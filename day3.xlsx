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92D63FC-9415-A541-A6E1-7A1F3C495AF4}" xr6:coauthVersionLast="47" xr6:coauthVersionMax="47" xr10:uidLastSave="{00000000-0000-0000-0000-000000000000}"/>
  <bookViews>
    <workbookView xWindow="0" yWindow="600" windowWidth="28800" windowHeight="17400" activeTab="1" xr2:uid="{95BF2A7D-BC62-9B4A-A2D5-026FC9DBC691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1" i="2" l="1"/>
  <c r="F176" i="2"/>
  <c r="F172" i="2"/>
  <c r="F156" i="2"/>
  <c r="F154" i="2"/>
  <c r="F152" i="2"/>
  <c r="B138" i="2"/>
  <c r="E107" i="2"/>
  <c r="F76" i="2"/>
  <c r="F58" i="2"/>
  <c r="B15" i="1"/>
  <c r="B14" i="1"/>
  <c r="B13" i="1"/>
  <c r="B12" i="1"/>
  <c r="B11" i="1"/>
  <c r="C23" i="2"/>
  <c r="C22" i="2"/>
  <c r="C21" i="2"/>
  <c r="C20" i="2"/>
  <c r="C19" i="2"/>
  <c r="B13" i="2"/>
  <c r="B8" i="2"/>
  <c r="B7" i="2"/>
  <c r="B6" i="2"/>
  <c r="B5" i="2"/>
  <c r="B4" i="2"/>
  <c r="H172" i="2"/>
  <c r="H176" i="2"/>
  <c r="H181" i="2"/>
</calcChain>
</file>

<file path=xl/sharedStrings.xml><?xml version="1.0" encoding="utf-8"?>
<sst xmlns="http://schemas.openxmlformats.org/spreadsheetml/2006/main" count="124" uniqueCount="103">
  <si>
    <t>Agenda</t>
  </si>
  <si>
    <t>Basic Arithmetic (+,-,*,/,^, etc)</t>
  </si>
  <si>
    <t>Symbol</t>
  </si>
  <si>
    <t>Purpose</t>
  </si>
  <si>
    <t>Addition</t>
  </si>
  <si>
    <t>Substraction</t>
  </si>
  <si>
    <t>Multiplication</t>
  </si>
  <si>
    <t>Division</t>
  </si>
  <si>
    <t>Power</t>
  </si>
  <si>
    <t>()</t>
  </si>
  <si>
    <t>Parentheses</t>
  </si>
  <si>
    <t>Num 1</t>
  </si>
  <si>
    <t>Num 2</t>
  </si>
  <si>
    <t>Sum</t>
  </si>
  <si>
    <t>Diff</t>
  </si>
  <si>
    <t>Mul</t>
  </si>
  <si>
    <t>Div</t>
  </si>
  <si>
    <t>^</t>
  </si>
  <si>
    <t>Data Types</t>
  </si>
  <si>
    <t>Each Data type has a special / unique representation way and is utilised for a specific purpose only.</t>
  </si>
  <si>
    <t>TEXT</t>
  </si>
  <si>
    <t>Anything inside double quotes in going to be text</t>
  </si>
  <si>
    <t>Numbers</t>
  </si>
  <si>
    <t>any combination of numeral which is not a text</t>
  </si>
  <si>
    <t>Currency</t>
  </si>
  <si>
    <t>Accounting</t>
  </si>
  <si>
    <t xml:space="preserve">Specific data type ( this also a kind of currency only) </t>
  </si>
  <si>
    <t>Short Date</t>
  </si>
  <si>
    <t>Long Date</t>
  </si>
  <si>
    <t>Time</t>
  </si>
  <si>
    <t>percentage</t>
  </si>
  <si>
    <t>PER CENT TAGE</t>
  </si>
  <si>
    <t>out of 100</t>
  </si>
  <si>
    <t>Text OR String</t>
  </si>
  <si>
    <t>combination of chartacters</t>
  </si>
  <si>
    <t xml:space="preserve">Text </t>
  </si>
  <si>
    <t>Anything inside double quotes</t>
  </si>
  <si>
    <t>number</t>
  </si>
  <si>
    <t>NUMERIC DATA</t>
  </si>
  <si>
    <t>Curr</t>
  </si>
  <si>
    <t>Acc</t>
  </si>
  <si>
    <t>price / unit</t>
  </si>
  <si>
    <t>DATE and Time</t>
  </si>
  <si>
    <t>lets store num for each date</t>
  </si>
  <si>
    <t>are stored as numbers (INTEGER )in the backend</t>
  </si>
  <si>
    <t>Decimal part ( 0.0 to 1.0) what decided the time</t>
  </si>
  <si>
    <t>E ==&gt; 10 power</t>
  </si>
  <si>
    <t>5 * 10^(-2)</t>
  </si>
  <si>
    <t>3*10^8</t>
  </si>
  <si>
    <t>c</t>
  </si>
  <si>
    <t>Flash Fill</t>
  </si>
  <si>
    <t>Smarter version of autofill</t>
  </si>
  <si>
    <t>UP</t>
  </si>
  <si>
    <t>TN</t>
  </si>
  <si>
    <t>MH</t>
  </si>
  <si>
    <t>F_name</t>
  </si>
  <si>
    <t>L_name</t>
  </si>
  <si>
    <t>Company_email</t>
  </si>
  <si>
    <t>Demo_1</t>
  </si>
  <si>
    <t>Sdemo_1</t>
  </si>
  <si>
    <t>Demo_2</t>
  </si>
  <si>
    <t>Demo_3</t>
  </si>
  <si>
    <t>Demo_4</t>
  </si>
  <si>
    <t>Demo_5</t>
  </si>
  <si>
    <t>Sdemo_2</t>
  </si>
  <si>
    <t>Sdemo_3</t>
  </si>
  <si>
    <t>Sdemo_4</t>
  </si>
  <si>
    <t>Sdemo_5</t>
  </si>
  <si>
    <t>M_name</t>
  </si>
  <si>
    <t>Dow</t>
  </si>
  <si>
    <t>Singh</t>
  </si>
  <si>
    <t>demo_1.sdemo_1@company.com</t>
  </si>
  <si>
    <t>demo_2_dow.sdemo_2@company.com</t>
  </si>
  <si>
    <t>demo_3.sdemo_3@company.com</t>
  </si>
  <si>
    <t>demo_4_singh.sdemo_4@company.com</t>
  </si>
  <si>
    <t>demo_5.sdemo_5@company.com</t>
  </si>
  <si>
    <t>1) SUM</t>
  </si>
  <si>
    <t>2) COUNT, COUNTA, COUNTBLANK</t>
  </si>
  <si>
    <t>Mathematical Functions</t>
  </si>
  <si>
    <t>SUM ()</t>
  </si>
  <si>
    <t>to add bunch of numbers</t>
  </si>
  <si>
    <t>I/P</t>
  </si>
  <si>
    <t>All the numbers we want to add</t>
  </si>
  <si>
    <t>O/P</t>
  </si>
  <si>
    <t>Sum of numbers as inp</t>
  </si>
  <si>
    <t>some text</t>
  </si>
  <si>
    <t>random text</t>
  </si>
  <si>
    <t xml:space="preserve">count </t>
  </si>
  <si>
    <t>count only numbers</t>
  </si>
  <si>
    <t>counta</t>
  </si>
  <si>
    <t>count all inc text</t>
  </si>
  <si>
    <t>countblank</t>
  </si>
  <si>
    <t>count empty cells</t>
  </si>
  <si>
    <t>countif</t>
  </si>
  <si>
    <t>countifs</t>
  </si>
  <si>
    <t>STATE</t>
  </si>
  <si>
    <t>Salary</t>
  </si>
  <si>
    <t>AGE</t>
  </si>
  <si>
    <t>BH</t>
  </si>
  <si>
    <t>PU</t>
  </si>
  <si>
    <t>COUNT people who are above &gt; 18</t>
  </si>
  <si>
    <t>COUNT people from maharastra</t>
  </si>
  <si>
    <t>Count people with salaray &gt;= 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</si>
</sst>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₹&quot;#,##0.00_);[Red]\(&quot;₹&quot;#,##0.00\)"/>
    <numFmt numFmtId="44" formatCode="_(&quot;₹&quot;* #,##0.00_);_(&quot;₹&quot;* \(#,##0.00\);_(&quot;₹&quot;* &quot;-&quot;??_);_(@_)"/>
    <numFmt numFmtId="169" formatCode="&quot;₹&quot;#,##0.00"/>
    <numFmt numFmtId="172" formatCode="[$-F800]dddd\,\ mmmm\ dd\,\ yyyy"/>
    <numFmt numFmtId="174" formatCode="dd/mm/yy;@"/>
    <numFmt numFmtId="175" formatCode="[$-F400]h:mm:ss\ AM/PM"/>
  </numFmts>
  <fonts count="5" x14ac:knownFonts="1">
    <font>
      <sz val="12"/>
      <color theme="1"/>
      <name val="Aptos Narrow"/>
      <family val="2"/>
      <scheme val="minor"/>
    </font>
    <font>
      <sz val="26"/>
      <color theme="1"/>
      <name val="Aptos Narrow (Body)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1" xfId="0" applyBorder="1"/>
    <xf numFmtId="9" fontId="0" fillId="0" borderId="0" xfId="0" applyNumberFormat="1"/>
    <xf numFmtId="0" fontId="2" fillId="0" borderId="0" xfId="0" applyFont="1"/>
    <xf numFmtId="8" fontId="2" fillId="0" borderId="0" xfId="0" applyNumberFormat="1" applyFont="1"/>
    <xf numFmtId="21" fontId="2" fillId="0" borderId="0" xfId="0" applyNumberFormat="1" applyFont="1"/>
    <xf numFmtId="0" fontId="0" fillId="0" borderId="0" xfId="0" applyAlignment="1">
      <alignment horizontal="left"/>
    </xf>
    <xf numFmtId="169" fontId="0" fillId="0" borderId="0" xfId="0" applyNumberFormat="1"/>
    <xf numFmtId="44" fontId="0" fillId="0" borderId="0" xfId="0" applyNumberFormat="1"/>
    <xf numFmtId="2" fontId="0" fillId="0" borderId="0" xfId="0" applyNumberFormat="1"/>
    <xf numFmtId="14" fontId="2" fillId="0" borderId="0" xfId="0" applyNumberFormat="1" applyFont="1"/>
    <xf numFmtId="172" fontId="2" fillId="0" borderId="0" xfId="0" applyNumberFormat="1" applyFont="1"/>
    <xf numFmtId="2" fontId="2" fillId="0" borderId="0" xfId="0" applyNumberFormat="1" applyFont="1"/>
    <xf numFmtId="14" fontId="0" fillId="0" borderId="0" xfId="0" applyNumberFormat="1"/>
    <xf numFmtId="174" fontId="0" fillId="0" borderId="0" xfId="0" applyNumberFormat="1"/>
    <xf numFmtId="175" fontId="0" fillId="0" borderId="0" xfId="0" applyNumberFormat="1"/>
    <xf numFmtId="11" fontId="0" fillId="0" borderId="0" xfId="0" applyNumberFormat="1"/>
    <xf numFmtId="0" fontId="4" fillId="0" borderId="0" xfId="1"/>
    <xf numFmtId="0" fontId="2" fillId="0" borderId="1" xfId="0" applyFont="1" applyBorder="1"/>
    <xf numFmtId="0" fontId="2" fillId="2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374650</xdr:colOff>
      <xdr:row>25</xdr:row>
      <xdr:rowOff>115242</xdr:rowOff>
    </xdr:from>
    <xdr:to>
      <xdr:col>3</xdr:col>
      <xdr:colOff>374649</xdr:colOff>
      <xdr:row>41</xdr:row>
      <xdr:rowOff>31749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06A0E3-CB15-1E74-9E23-2AB9E9544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150" y="5195242"/>
          <a:ext cx="1650999" cy="3167707"/>
        </a:xfrm>
        <a:prstGeom prst="rect">
          <a:avLst/>
        </a:prstGeom>
      </xdr:spPr>
    </xdr:pic>
    <xdr:clientData/>
  </xdr:twoCellAnchor>
  <xdr:twoCellAnchor editAs="oneCell">
    <xdr:from>
      <xdr:col>2</xdr:col>
      <xdr:colOff>521240</xdr:colOff>
      <xdr:row>25</xdr:row>
      <xdr:rowOff>152240</xdr:rowOff>
    </xdr:from>
    <xdr:to>
      <xdr:col>3</xdr:col>
      <xdr:colOff>444180</xdr:colOff>
      <xdr:row>37</xdr:row>
      <xdr:rowOff>93080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5C1EC889-9F41-E516-21D7-20E2B9A9C118}"/>
                </a:ext>
              </a:extLst>
            </xdr14:cNvPr>
            <xdr14:cNvContentPartPr/>
          </xdr14:nvContentPartPr>
          <xdr14:nvPr macro=""/>
          <xdr14:xfrm>
            <a:off x="2172240" y="5232240"/>
            <a:ext cx="748440" cy="237924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5C1EC889-9F41-E516-21D7-20E2B9A9C11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166120" y="5226120"/>
              <a:ext cx="760680" cy="239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0</xdr:colOff>
      <xdr:row>49</xdr:row>
      <xdr:rowOff>0</xdr:rowOff>
    </xdr:from>
    <xdr:to>
      <xdr:col>7</xdr:col>
      <xdr:colOff>1689100</xdr:colOff>
      <xdr:row>55</xdr:row>
      <xdr:rowOff>63500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79ADC29-16E7-679A-B6A7-55ACB960A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02000" y="9956800"/>
          <a:ext cx="4165600" cy="1282700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31T16:28:40.59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1005 720 24575,'6'7'0,"6"5"0,7 5 0,2 1 0,-3-2 0,-6-7 0,-4-4 0,-2-4 0,1-1 0,1-7 0,1-11 0,6-17 0,16-29 0,-3 18 0,4-4 0,12-10 0,4-2 0,7-5 0,3 0 0,0 5 0,-2 3 0,-7 11 0,-3 3 0,21-17 0,-27 28 0,-23 20 0,-9 10 0,-7 4 0</inkml:trace>
  <inkml:trace contextRef="#ctx0" brushRef="#br0" timeOffset="1216">386 1594 24575,'9'10'0,"1"-1"0,1 2 0,-2-5 0,-3-3 0,0-2 0,1-1 0,1-4 0,3-5 0,8-13 0,18-23 0,29-28 0,-18 22 0,3-2 0,7-5 0,0 0 0,0 3 0,-2 2 0,-10 9 0,-3 6 0,15-10 0,-25 24 0,-20 18 0,-9 6 0,-4 1 0</inkml:trace>
  <inkml:trace contextRef="#ctx0" brushRef="#br0" timeOffset="3183">712 2015 24575,'8'0'0,"9"0"0,8 0 0,8 0 0,-3 0 0,-7 3 0,-8 8 0,-9 8 0,-2 10 0,-4 7 0,-2 5 0,-3 4 0,-3 2 0,-1-1 0,3-2 0,2-2 0,3-3 0,1-6 0,0-8 0,0-10 0,3-9 0,2-10 0,3-7 0,1-7 0,-1 0 0,-2 3 0,-4 4 0,-5 4 0,-4 4 0,-2 6 0,1 4 0,2 7 0,2 9 0,1 11 0,2 16 0,1 18 0,-1 15 0,-1 3 0,-2-10 0,-2-18 0,-1-23 0,-2-14 0,-2-10 0,-1-6 0,-1-2 0,1-4 0,2-2 0,1-5 0,1-4 0,3-6 0,1 7 0,3 1 0</inkml:trace>
  <inkml:trace contextRef="#ctx0" brushRef="#br0" timeOffset="4167">894 2516 24575,'3'-32'0,"28"-37"0,0 14 0,6-6 0,16-19 0,6-4 0,-15 24 0,2-1 0,-1 2 0,-2 5 0,-1 0 0,-1 3 0,11-12 0,-4 6 0,15-13 0,-33 36 0,-18 23 0</inkml:trace>
  <inkml:trace contextRef="#ctx0" brushRef="#br0" timeOffset="6067">708 3247 24575,'3'2'0,"2"0"0,2 1 0,2 6 0,2 11 0,-2 14 0,-2 17 0,-3 20 0,1 23 0,-2-40 0,1 1 0,1 1 0,1-1 0,6 41 0,2-30 0,0-27 0,0-23 0,0-21 0,-1-16 0,-2-14 0,-2-9 0,-5 3 0,-3 5 0,-2 10 0,-2 10 0,-3 7 0,-4 6 0,-3 6 0,2 9 0,5 11 0,3 7 0,2 4 0,1 1 0,0 6 0,2 17 0,0 13 0,0 9 0,0-5 0,-3-17 0,-2-17 0,-5-17 0,-5-12 0,-3-6 0,-1-4 0,1-5 0,5-6 0,5 4 0,4-2 0</inkml:trace>
  <inkml:trace contextRef="#ctx0" brushRef="#br0" timeOffset="6901">1190 3816 24575,'0'5'0,"2"-9"0,21-35 0,12-9 0,8-9 0,-3 4 0,4-3 0,2-2-418,8-10 0,4-2 1,0 1 417,0-1 0,1 1 0,-3 2 0,-8 10 0,-2 2 0,-3 4 153,7-10 0,-6 7-153,9-12-1618,-32 40 0,-15 19 1,-4 7-1</inkml:trace>
  <inkml:trace contextRef="#ctx0" brushRef="#br0" timeOffset="7984">0 4896 24575,'14'0'0,"0"0"0,-3-5 0,1-14 0,14-22 0,25-32 0,-17 29 0,3-1 0,3-3 0,0 2 0,-4 4 0,-3 4 0,14-17 0,-17 19 0,-18 21 0,-7 9 0</inkml:trace>
  <inkml:trace contextRef="#ctx0" brushRef="#br0" timeOffset="9951">585 5272 24575,'19'0'0,"9"0"0,8 0 0,6 0 0,-4 0 0,-10 0 0,-10 0 0,-9 1 0,-5 2 0,-3 9 0,-1 9 0,-1 11 0,-2 16 0,-1 17 0,1 24 0,2-32 0,1 3 0,0 4 0,2 1 0,0 1 0,2 0 0,0-4 0,1-2 0,1-7 0,-1-3 0,6 40 0,-3-13 0,-2-8 0,-2-7 0,-1-9 0,-1-13 0,-2-14 0,0-10 0,0-4 0,0-4 0,-2-2 0,-3-3 0,-7-2 0,-3-1 0,-4 0 0,-11 0 0,-7 0 0,-10 0 0,1 0 0,10 0 0,9 0 0,15 0 0,6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demo_3.sdemo_3@company.com" TargetMode="External"/><Relationship Id="rId2" Type="http://schemas.openxmlformats.org/officeDocument/2006/relationships/hyperlink" Target="mailto:demo_2_dow.sdemo_2@company.com" TargetMode="External"/><Relationship Id="rId1" Type="http://schemas.openxmlformats.org/officeDocument/2006/relationships/hyperlink" Target="mailto:demo_1.sdemo_1@company.com" TargetMode="External"/><Relationship Id="rId5" Type="http://schemas.openxmlformats.org/officeDocument/2006/relationships/hyperlink" Target="mailto:demo_5.sdemo_5@company.com" TargetMode="External"/><Relationship Id="rId4" Type="http://schemas.openxmlformats.org/officeDocument/2006/relationships/hyperlink" Target="mailto:demo_4_singh.sdemo_4@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17736-464C-E84C-A340-B692E2829B8B}">
  <dimension ref="B2:J65"/>
  <sheetViews>
    <sheetView topLeftCell="A55" zoomScale="200" workbookViewId="0">
      <selection activeCell="B65" sqref="B65:D65"/>
    </sheetView>
  </sheetViews>
  <sheetFormatPr baseColWidth="10" defaultRowHeight="16" x14ac:dyDescent="0.2"/>
  <cols>
    <col min="8" max="8" width="22.83203125" bestFit="1" customWidth="1"/>
  </cols>
  <sheetData>
    <row r="2" spans="2:5" x14ac:dyDescent="0.2">
      <c r="B2" s="2" t="s">
        <v>0</v>
      </c>
      <c r="C2" s="1"/>
      <c r="D2" s="1"/>
      <c r="E2" s="1"/>
    </row>
    <row r="3" spans="2:5" x14ac:dyDescent="0.2">
      <c r="B3" s="1"/>
      <c r="C3" s="1"/>
      <c r="D3" s="1"/>
      <c r="E3" s="1"/>
    </row>
    <row r="4" spans="2:5" x14ac:dyDescent="0.2">
      <c r="B4" s="1"/>
      <c r="C4" s="1"/>
      <c r="D4" s="1"/>
      <c r="E4" s="1"/>
    </row>
    <row r="8" spans="2:5" x14ac:dyDescent="0.2">
      <c r="B8" s="4" t="s">
        <v>1</v>
      </c>
      <c r="C8" s="4"/>
      <c r="D8" s="4"/>
    </row>
    <row r="10" spans="2:5" x14ac:dyDescent="0.2">
      <c r="B10" s="5" t="s">
        <v>2</v>
      </c>
      <c r="C10" s="5"/>
      <c r="D10" s="5" t="s">
        <v>3</v>
      </c>
    </row>
    <row r="11" spans="2:5" x14ac:dyDescent="0.2">
      <c r="B11" s="5" t="str">
        <f>"+"</f>
        <v>+</v>
      </c>
      <c r="C11" s="5"/>
      <c r="D11" s="5" t="s">
        <v>4</v>
      </c>
    </row>
    <row r="12" spans="2:5" x14ac:dyDescent="0.2">
      <c r="B12" s="5" t="str">
        <f>"-"</f>
        <v>-</v>
      </c>
      <c r="C12" s="5"/>
      <c r="D12" s="5" t="s">
        <v>5</v>
      </c>
    </row>
    <row r="13" spans="2:5" x14ac:dyDescent="0.2">
      <c r="B13" s="5" t="str">
        <f>"*"</f>
        <v>*</v>
      </c>
      <c r="C13" s="5"/>
      <c r="D13" s="5" t="s">
        <v>6</v>
      </c>
    </row>
    <row r="14" spans="2:5" x14ac:dyDescent="0.2">
      <c r="B14" s="5" t="str">
        <f>"/"</f>
        <v>/</v>
      </c>
      <c r="C14" s="5"/>
      <c r="D14" s="5" t="s">
        <v>7</v>
      </c>
    </row>
    <row r="15" spans="2:5" x14ac:dyDescent="0.2">
      <c r="B15" s="5" t="str">
        <f>"^"</f>
        <v>^</v>
      </c>
      <c r="C15" s="5"/>
      <c r="D15" s="5" t="s">
        <v>8</v>
      </c>
    </row>
    <row r="16" spans="2:5" x14ac:dyDescent="0.2">
      <c r="B16" s="5" t="s">
        <v>9</v>
      </c>
      <c r="C16" s="5"/>
      <c r="D16" s="5" t="s">
        <v>10</v>
      </c>
    </row>
    <row r="18" spans="2:10" x14ac:dyDescent="0.2">
      <c r="B18" s="4" t="s">
        <v>18</v>
      </c>
      <c r="C18" s="4"/>
      <c r="D18" s="4"/>
    </row>
    <row r="21" spans="2:10" x14ac:dyDescent="0.2">
      <c r="B21" t="s">
        <v>19</v>
      </c>
    </row>
    <row r="24" spans="2:10" x14ac:dyDescent="0.2">
      <c r="E24" s="6"/>
    </row>
    <row r="25" spans="2:10" x14ac:dyDescent="0.2">
      <c r="F25" t="s">
        <v>33</v>
      </c>
      <c r="H25" t="s">
        <v>34</v>
      </c>
    </row>
    <row r="29" spans="2:10" x14ac:dyDescent="0.2">
      <c r="F29" s="7" t="s">
        <v>20</v>
      </c>
      <c r="G29" s="7"/>
      <c r="H29" s="7" t="s">
        <v>21</v>
      </c>
      <c r="I29" s="7"/>
      <c r="J29" s="7"/>
    </row>
    <row r="30" spans="2:10" x14ac:dyDescent="0.2">
      <c r="F30" s="7"/>
      <c r="G30" s="7"/>
      <c r="H30" s="7"/>
      <c r="I30" s="7"/>
      <c r="J30" s="7"/>
    </row>
    <row r="31" spans="2:10" x14ac:dyDescent="0.2">
      <c r="F31" s="7" t="s">
        <v>22</v>
      </c>
      <c r="G31" s="7"/>
      <c r="H31" s="7" t="s">
        <v>23</v>
      </c>
      <c r="I31" s="7"/>
      <c r="J31" s="7"/>
    </row>
    <row r="32" spans="2:10" x14ac:dyDescent="0.2">
      <c r="F32" s="7"/>
      <c r="G32" s="7"/>
      <c r="H32" s="7"/>
      <c r="I32" s="7"/>
      <c r="J32" s="7"/>
    </row>
    <row r="33" spans="2:10" x14ac:dyDescent="0.2">
      <c r="F33" s="7" t="s">
        <v>24</v>
      </c>
      <c r="G33" s="7"/>
      <c r="H33" s="8">
        <v>-10</v>
      </c>
      <c r="I33" s="7"/>
      <c r="J33" s="7"/>
    </row>
    <row r="34" spans="2:10" x14ac:dyDescent="0.2">
      <c r="F34" s="7"/>
      <c r="G34" s="7"/>
      <c r="H34" s="7"/>
      <c r="I34" s="7"/>
      <c r="J34" s="7"/>
    </row>
    <row r="35" spans="2:10" x14ac:dyDescent="0.2">
      <c r="F35" s="7" t="s">
        <v>25</v>
      </c>
      <c r="G35" s="7"/>
      <c r="H35" s="8">
        <v>-10</v>
      </c>
      <c r="I35" s="7"/>
      <c r="J35" s="7" t="s">
        <v>26</v>
      </c>
    </row>
    <row r="36" spans="2:10" x14ac:dyDescent="0.2">
      <c r="F36" s="7"/>
      <c r="G36" s="7"/>
      <c r="H36" s="7"/>
      <c r="I36" s="7"/>
      <c r="J36" s="7"/>
    </row>
    <row r="37" spans="2:10" x14ac:dyDescent="0.2">
      <c r="F37" s="7"/>
      <c r="G37" s="7"/>
      <c r="H37" s="7"/>
      <c r="I37" s="7"/>
      <c r="J37" s="7"/>
    </row>
    <row r="38" spans="2:10" x14ac:dyDescent="0.2">
      <c r="F38" s="7" t="s">
        <v>27</v>
      </c>
      <c r="G38" s="7"/>
      <c r="H38" s="14">
        <v>46072</v>
      </c>
      <c r="I38" s="7"/>
      <c r="J38" s="7"/>
    </row>
    <row r="39" spans="2:10" x14ac:dyDescent="0.2">
      <c r="F39" s="7"/>
      <c r="G39" s="7"/>
      <c r="H39" s="7"/>
      <c r="I39" s="7"/>
      <c r="J39" s="7"/>
    </row>
    <row r="40" spans="2:10" x14ac:dyDescent="0.2">
      <c r="F40" s="7" t="s">
        <v>28</v>
      </c>
      <c r="G40" s="7"/>
      <c r="H40" s="15">
        <v>46072</v>
      </c>
      <c r="I40" s="7"/>
      <c r="J40" s="7"/>
    </row>
    <row r="41" spans="2:10" x14ac:dyDescent="0.2">
      <c r="F41" s="7"/>
      <c r="G41" s="7"/>
      <c r="H41" s="7"/>
      <c r="I41" s="7"/>
      <c r="J41" s="7"/>
    </row>
    <row r="42" spans="2:10" x14ac:dyDescent="0.2">
      <c r="F42" s="7" t="s">
        <v>29</v>
      </c>
      <c r="G42" s="7"/>
      <c r="H42" s="9">
        <v>0.89236111111111116</v>
      </c>
      <c r="I42" s="7"/>
      <c r="J42" s="7"/>
    </row>
    <row r="43" spans="2:10" x14ac:dyDescent="0.2">
      <c r="F43" s="7"/>
      <c r="G43" s="7"/>
      <c r="H43" s="7"/>
      <c r="I43" s="7"/>
      <c r="J43" s="7"/>
    </row>
    <row r="44" spans="2:10" x14ac:dyDescent="0.2">
      <c r="F44" s="7" t="s">
        <v>30</v>
      </c>
      <c r="G44" s="7"/>
      <c r="H44" s="7" t="s">
        <v>31</v>
      </c>
      <c r="I44" s="7"/>
      <c r="J44" s="7"/>
    </row>
    <row r="45" spans="2:10" x14ac:dyDescent="0.2">
      <c r="F45" s="7"/>
      <c r="G45" s="7"/>
      <c r="H45" s="7" t="s">
        <v>32</v>
      </c>
      <c r="I45" s="7"/>
      <c r="J45" s="7"/>
    </row>
    <row r="48" spans="2:10" x14ac:dyDescent="0.2">
      <c r="B48" s="4" t="s">
        <v>50</v>
      </c>
      <c r="C48" s="4"/>
      <c r="D48" s="4"/>
    </row>
    <row r="52" spans="2:4" x14ac:dyDescent="0.2">
      <c r="B52" t="s">
        <v>51</v>
      </c>
    </row>
    <row r="62" spans="2:4" x14ac:dyDescent="0.2">
      <c r="B62" s="4" t="s">
        <v>78</v>
      </c>
      <c r="C62" s="4"/>
      <c r="D62" s="4"/>
    </row>
    <row r="64" spans="2:4" x14ac:dyDescent="0.2">
      <c r="B64" t="s">
        <v>76</v>
      </c>
    </row>
    <row r="65" spans="2:2" x14ac:dyDescent="0.2">
      <c r="B65" t="s">
        <v>77</v>
      </c>
    </row>
  </sheetData>
  <mergeCells count="5">
    <mergeCell ref="B2:E4"/>
    <mergeCell ref="B8:D8"/>
    <mergeCell ref="B18:D18"/>
    <mergeCell ref="B48:D48"/>
    <mergeCell ref="B62:D6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41A14-338B-3B4E-BAA7-329FB2318C4F}">
  <dimension ref="A3:L181"/>
  <sheetViews>
    <sheetView tabSelected="1" topLeftCell="A162" zoomScale="164" workbookViewId="0">
      <selection activeCell="C165" activeCellId="1" sqref="E176 C165"/>
    </sheetView>
  </sheetViews>
  <sheetFormatPr baseColWidth="10" defaultRowHeight="16" x14ac:dyDescent="0.2"/>
  <cols>
    <col min="2" max="2" width="20.33203125" bestFit="1" customWidth="1"/>
    <col min="3" max="3" width="11.83203125" bestFit="1" customWidth="1"/>
    <col min="4" max="4" width="14.33203125" bestFit="1" customWidth="1"/>
    <col min="5" max="5" width="22.83203125" bestFit="1" customWidth="1"/>
    <col min="6" max="6" width="14.33203125" bestFit="1" customWidth="1"/>
  </cols>
  <sheetData>
    <row r="3" spans="2:4" x14ac:dyDescent="0.2">
      <c r="B3" s="5" t="s">
        <v>2</v>
      </c>
      <c r="C3" s="5"/>
      <c r="D3" s="5" t="s">
        <v>3</v>
      </c>
    </row>
    <row r="4" spans="2:4" x14ac:dyDescent="0.2">
      <c r="B4" s="5" t="str">
        <f>"+"</f>
        <v>+</v>
      </c>
      <c r="C4" s="5"/>
      <c r="D4" s="5" t="s">
        <v>4</v>
      </c>
    </row>
    <row r="5" spans="2:4" x14ac:dyDescent="0.2">
      <c r="B5" s="5" t="str">
        <f>"-"</f>
        <v>-</v>
      </c>
      <c r="C5" s="5"/>
      <c r="D5" s="5" t="s">
        <v>5</v>
      </c>
    </row>
    <row r="6" spans="2:4" x14ac:dyDescent="0.2">
      <c r="B6" s="5" t="str">
        <f>"*"</f>
        <v>*</v>
      </c>
      <c r="C6" s="5"/>
      <c r="D6" s="5" t="s">
        <v>6</v>
      </c>
    </row>
    <row r="7" spans="2:4" x14ac:dyDescent="0.2">
      <c r="B7" s="5" t="str">
        <f>"/"</f>
        <v>/</v>
      </c>
      <c r="C7" s="5"/>
      <c r="D7" s="5" t="s">
        <v>7</v>
      </c>
    </row>
    <row r="8" spans="2:4" x14ac:dyDescent="0.2">
      <c r="B8" s="5" t="str">
        <f>"^"</f>
        <v>^</v>
      </c>
      <c r="C8" s="5"/>
      <c r="D8" s="5" t="s">
        <v>8</v>
      </c>
    </row>
    <row r="9" spans="2:4" x14ac:dyDescent="0.2">
      <c r="B9" s="5" t="s">
        <v>9</v>
      </c>
      <c r="C9" s="5"/>
      <c r="D9" s="5" t="s">
        <v>10</v>
      </c>
    </row>
    <row r="13" spans="2:4" x14ac:dyDescent="0.2">
      <c r="B13">
        <f>2^3</f>
        <v>8</v>
      </c>
    </row>
    <row r="16" spans="2:4" x14ac:dyDescent="0.2">
      <c r="B16" t="s">
        <v>11</v>
      </c>
      <c r="C16">
        <v>8</v>
      </c>
    </row>
    <row r="17" spans="1:10" x14ac:dyDescent="0.2">
      <c r="B17" t="s">
        <v>12</v>
      </c>
      <c r="C17">
        <v>3</v>
      </c>
    </row>
    <row r="19" spans="1:10" x14ac:dyDescent="0.2">
      <c r="B19" s="5" t="s">
        <v>13</v>
      </c>
      <c r="C19" s="5">
        <f>C16+C17</f>
        <v>11</v>
      </c>
    </row>
    <row r="20" spans="1:10" x14ac:dyDescent="0.2">
      <c r="B20" s="5" t="s">
        <v>14</v>
      </c>
      <c r="C20" s="5">
        <f>C16-C17</f>
        <v>5</v>
      </c>
    </row>
    <row r="21" spans="1:10" x14ac:dyDescent="0.2">
      <c r="B21" s="5" t="s">
        <v>15</v>
      </c>
      <c r="C21" s="5">
        <f>C16*C17</f>
        <v>24</v>
      </c>
    </row>
    <row r="22" spans="1:10" x14ac:dyDescent="0.2">
      <c r="B22" s="5" t="s">
        <v>16</v>
      </c>
      <c r="C22" s="5">
        <f>C16/C17</f>
        <v>2.6666666666666665</v>
      </c>
    </row>
    <row r="23" spans="1:10" x14ac:dyDescent="0.2">
      <c r="B23" s="5" t="s">
        <v>17</v>
      </c>
      <c r="C23" s="5">
        <f>C16^C17</f>
        <v>512</v>
      </c>
    </row>
    <row r="26" spans="1:10" x14ac:dyDescent="0.2">
      <c r="A26" s="3"/>
      <c r="B26" s="3"/>
      <c r="C26" s="3"/>
      <c r="D26" s="3"/>
      <c r="E26" s="3"/>
      <c r="F26" s="3"/>
      <c r="G26" s="3"/>
      <c r="H26" s="3"/>
      <c r="I26" s="3"/>
      <c r="J26" s="3"/>
    </row>
    <row r="29" spans="1:10" x14ac:dyDescent="0.2">
      <c r="B29" t="s">
        <v>18</v>
      </c>
    </row>
    <row r="32" spans="1:10" x14ac:dyDescent="0.2">
      <c r="D32" s="10"/>
    </row>
    <row r="33" spans="1:10" x14ac:dyDescent="0.2">
      <c r="B33" t="s">
        <v>35</v>
      </c>
      <c r="D33" t="s">
        <v>36</v>
      </c>
    </row>
    <row r="35" spans="1:10" x14ac:dyDescent="0.2">
      <c r="B35" t="s">
        <v>37</v>
      </c>
      <c r="D35" t="s">
        <v>38</v>
      </c>
    </row>
    <row r="39" spans="1:10" x14ac:dyDescent="0.2">
      <c r="A39" s="3"/>
      <c r="B39" s="3"/>
      <c r="C39" s="3"/>
      <c r="D39" s="3"/>
      <c r="E39" s="3"/>
      <c r="F39" s="3"/>
      <c r="G39" s="3"/>
      <c r="H39" s="3"/>
      <c r="I39" s="3"/>
      <c r="J39" s="3"/>
    </row>
    <row r="43" spans="1:10" x14ac:dyDescent="0.2">
      <c r="B43" s="7" t="s">
        <v>24</v>
      </c>
      <c r="C43" s="7"/>
      <c r="D43" s="8">
        <v>-10</v>
      </c>
    </row>
    <row r="44" spans="1:10" x14ac:dyDescent="0.2">
      <c r="B44" s="7"/>
      <c r="C44" s="7"/>
      <c r="D44" s="7"/>
    </row>
    <row r="45" spans="1:10" x14ac:dyDescent="0.2">
      <c r="B45" s="7" t="s">
        <v>25</v>
      </c>
      <c r="C45" s="7"/>
      <c r="D45" s="8">
        <v>-10</v>
      </c>
    </row>
    <row r="49" spans="1:7" x14ac:dyDescent="0.2">
      <c r="C49" t="s">
        <v>39</v>
      </c>
      <c r="E49" t="s">
        <v>40</v>
      </c>
    </row>
    <row r="50" spans="1:7" x14ac:dyDescent="0.2">
      <c r="C50" s="11">
        <v>0</v>
      </c>
      <c r="E50" s="12">
        <v>0</v>
      </c>
    </row>
    <row r="51" spans="1:7" x14ac:dyDescent="0.2">
      <c r="C51" s="11">
        <v>90</v>
      </c>
      <c r="E51" s="12">
        <v>90</v>
      </c>
    </row>
    <row r="52" spans="1:7" x14ac:dyDescent="0.2">
      <c r="C52" s="11">
        <v>999999</v>
      </c>
      <c r="E52" s="12">
        <v>999999</v>
      </c>
    </row>
    <row r="57" spans="1:7" x14ac:dyDescent="0.2">
      <c r="C57" t="s">
        <v>41</v>
      </c>
      <c r="D57" t="s">
        <v>41</v>
      </c>
    </row>
    <row r="58" spans="1:7" x14ac:dyDescent="0.2">
      <c r="C58">
        <v>10000000</v>
      </c>
      <c r="D58" s="11">
        <v>10000000</v>
      </c>
      <c r="F58" s="11">
        <f>2*D58</f>
        <v>20000000</v>
      </c>
    </row>
    <row r="61" spans="1:7" x14ac:dyDescent="0.2">
      <c r="A61" s="3"/>
      <c r="B61" s="3"/>
      <c r="C61" s="3"/>
      <c r="D61" s="3"/>
      <c r="E61" s="3"/>
      <c r="F61" s="3"/>
      <c r="G61" s="3"/>
    </row>
    <row r="64" spans="1:7" x14ac:dyDescent="0.2">
      <c r="C64" s="7" t="s">
        <v>27</v>
      </c>
      <c r="D64" s="7"/>
      <c r="E64" s="14">
        <v>46072</v>
      </c>
    </row>
    <row r="65" spans="3:6" x14ac:dyDescent="0.2">
      <c r="C65" s="7"/>
      <c r="D65" s="7"/>
      <c r="E65" s="7"/>
    </row>
    <row r="66" spans="3:6" x14ac:dyDescent="0.2">
      <c r="C66" s="7" t="s">
        <v>28</v>
      </c>
      <c r="D66" s="7"/>
      <c r="E66" s="15">
        <v>46072</v>
      </c>
    </row>
    <row r="70" spans="3:6" x14ac:dyDescent="0.2">
      <c r="C70" t="s">
        <v>42</v>
      </c>
      <c r="E70" t="s">
        <v>44</v>
      </c>
    </row>
    <row r="73" spans="3:6" x14ac:dyDescent="0.2">
      <c r="C73" s="16"/>
    </row>
    <row r="74" spans="3:6" x14ac:dyDescent="0.2">
      <c r="D74" t="s">
        <v>43</v>
      </c>
    </row>
    <row r="76" spans="3:6" x14ac:dyDescent="0.2">
      <c r="C76">
        <v>1</v>
      </c>
      <c r="D76" s="18">
        <v>1</v>
      </c>
      <c r="F76" s="13">
        <f ca="1">TODAY()</f>
        <v>46112</v>
      </c>
    </row>
    <row r="77" spans="3:6" x14ac:dyDescent="0.2">
      <c r="C77">
        <v>2</v>
      </c>
      <c r="D77" s="18">
        <v>2</v>
      </c>
    </row>
    <row r="78" spans="3:6" x14ac:dyDescent="0.2">
      <c r="C78">
        <v>3</v>
      </c>
      <c r="D78" s="18">
        <v>3</v>
      </c>
    </row>
    <row r="79" spans="3:6" x14ac:dyDescent="0.2">
      <c r="C79">
        <v>4</v>
      </c>
      <c r="D79" s="18">
        <v>4</v>
      </c>
    </row>
    <row r="80" spans="3:6" x14ac:dyDescent="0.2">
      <c r="C80">
        <v>5</v>
      </c>
      <c r="D80" s="18">
        <v>5</v>
      </c>
      <c r="E80" s="17"/>
      <c r="F80" s="17"/>
    </row>
    <row r="81" spans="2:7" x14ac:dyDescent="0.2">
      <c r="C81">
        <v>6</v>
      </c>
      <c r="D81" s="18">
        <v>6</v>
      </c>
    </row>
    <row r="82" spans="2:7" x14ac:dyDescent="0.2">
      <c r="C82">
        <v>7</v>
      </c>
      <c r="D82" s="18">
        <v>7</v>
      </c>
    </row>
    <row r="85" spans="2:7" x14ac:dyDescent="0.2">
      <c r="B85" s="3"/>
      <c r="C85" s="3"/>
      <c r="D85" s="3"/>
      <c r="E85" s="3"/>
      <c r="F85" s="3"/>
      <c r="G85" s="3"/>
    </row>
    <row r="88" spans="2:7" x14ac:dyDescent="0.2">
      <c r="B88" t="s">
        <v>29</v>
      </c>
      <c r="D88" t="s">
        <v>45</v>
      </c>
    </row>
    <row r="92" spans="2:7" x14ac:dyDescent="0.2">
      <c r="C92">
        <v>0.56699999999999995</v>
      </c>
      <c r="D92" s="19">
        <v>0.56699999999999995</v>
      </c>
    </row>
    <row r="97" spans="1:12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100" spans="1:12" x14ac:dyDescent="0.2">
      <c r="C100">
        <v>0.05</v>
      </c>
      <c r="E100" s="20">
        <v>0.05</v>
      </c>
      <c r="F100" t="s">
        <v>47</v>
      </c>
    </row>
    <row r="103" spans="1:12" x14ac:dyDescent="0.2">
      <c r="E103" t="s">
        <v>46</v>
      </c>
    </row>
    <row r="107" spans="1:12" x14ac:dyDescent="0.2">
      <c r="B107" t="s">
        <v>49</v>
      </c>
      <c r="C107" t="s">
        <v>48</v>
      </c>
      <c r="E107">
        <f>3*10^8</f>
        <v>300000000</v>
      </c>
    </row>
    <row r="109" spans="1:12" x14ac:dyDescent="0.2">
      <c r="E109" s="20">
        <v>378098000</v>
      </c>
    </row>
    <row r="113" spans="1:8" x14ac:dyDescent="0.2">
      <c r="A113" s="3"/>
      <c r="B113" s="3"/>
      <c r="C113" s="3"/>
      <c r="D113" s="3"/>
      <c r="E113" s="3"/>
      <c r="F113" s="3"/>
      <c r="G113" s="3"/>
      <c r="H113" s="3"/>
    </row>
    <row r="119" spans="1:8" x14ac:dyDescent="0.2">
      <c r="B119" t="s">
        <v>55</v>
      </c>
      <c r="C119" t="s">
        <v>68</v>
      </c>
      <c r="D119" t="s">
        <v>56</v>
      </c>
      <c r="E119" t="s">
        <v>57</v>
      </c>
    </row>
    <row r="120" spans="1:8" x14ac:dyDescent="0.2">
      <c r="B120" t="s">
        <v>58</v>
      </c>
      <c r="D120" t="s">
        <v>59</v>
      </c>
      <c r="E120" s="21" t="s">
        <v>71</v>
      </c>
    </row>
    <row r="121" spans="1:8" x14ac:dyDescent="0.2">
      <c r="B121" t="s">
        <v>60</v>
      </c>
      <c r="C121" t="s">
        <v>69</v>
      </c>
      <c r="D121" t="s">
        <v>64</v>
      </c>
      <c r="E121" s="21" t="s">
        <v>72</v>
      </c>
    </row>
    <row r="122" spans="1:8" x14ac:dyDescent="0.2">
      <c r="B122" t="s">
        <v>61</v>
      </c>
      <c r="D122" t="s">
        <v>65</v>
      </c>
      <c r="E122" s="21" t="s">
        <v>73</v>
      </c>
    </row>
    <row r="123" spans="1:8" x14ac:dyDescent="0.2">
      <c r="B123" t="s">
        <v>62</v>
      </c>
      <c r="C123" t="s">
        <v>70</v>
      </c>
      <c r="D123" t="s">
        <v>66</v>
      </c>
      <c r="E123" s="21" t="s">
        <v>74</v>
      </c>
    </row>
    <row r="124" spans="1:8" x14ac:dyDescent="0.2">
      <c r="B124" t="s">
        <v>63</v>
      </c>
      <c r="D124" t="s">
        <v>67</v>
      </c>
      <c r="E124" s="21" t="s">
        <v>75</v>
      </c>
    </row>
    <row r="125" spans="1:8" x14ac:dyDescent="0.2">
      <c r="E125" s="21"/>
    </row>
    <row r="129" spans="1:7" x14ac:dyDescent="0.2">
      <c r="A129" s="3"/>
      <c r="B129" s="3"/>
      <c r="C129" s="3"/>
      <c r="D129" s="3"/>
      <c r="E129" s="3"/>
      <c r="F129" s="3"/>
      <c r="G129" s="3"/>
    </row>
    <row r="132" spans="1:7" x14ac:dyDescent="0.2">
      <c r="B132" t="s">
        <v>79</v>
      </c>
      <c r="E132">
        <v>6</v>
      </c>
    </row>
    <row r="133" spans="1:7" x14ac:dyDescent="0.2">
      <c r="E133">
        <v>9</v>
      </c>
      <c r="G133">
        <v>9</v>
      </c>
    </row>
    <row r="134" spans="1:7" x14ac:dyDescent="0.2">
      <c r="E134">
        <v>3</v>
      </c>
      <c r="G134">
        <v>3</v>
      </c>
    </row>
    <row r="135" spans="1:7" x14ac:dyDescent="0.2">
      <c r="B135" t="s">
        <v>80</v>
      </c>
      <c r="E135">
        <v>8</v>
      </c>
      <c r="G135">
        <v>8</v>
      </c>
    </row>
    <row r="136" spans="1:7" x14ac:dyDescent="0.2">
      <c r="E136">
        <v>2</v>
      </c>
    </row>
    <row r="138" spans="1:7" x14ac:dyDescent="0.2">
      <c r="B138">
        <f>SUM(E132:E136,G133:G135)</f>
        <v>48</v>
      </c>
    </row>
    <row r="142" spans="1:7" x14ac:dyDescent="0.2">
      <c r="B142" t="s">
        <v>81</v>
      </c>
      <c r="D142" t="s">
        <v>82</v>
      </c>
    </row>
    <row r="144" spans="1:7" x14ac:dyDescent="0.2">
      <c r="B144" t="s">
        <v>83</v>
      </c>
      <c r="D144" t="s">
        <v>84</v>
      </c>
    </row>
    <row r="148" spans="1:7" x14ac:dyDescent="0.2">
      <c r="A148" s="3"/>
      <c r="B148" s="3"/>
      <c r="C148" s="3"/>
      <c r="D148" s="3"/>
      <c r="E148" s="3"/>
      <c r="F148" s="3"/>
      <c r="G148" s="3"/>
    </row>
    <row r="151" spans="1:7" x14ac:dyDescent="0.2">
      <c r="B151" t="s">
        <v>85</v>
      </c>
    </row>
    <row r="152" spans="1:7" x14ac:dyDescent="0.2">
      <c r="B152">
        <v>6</v>
      </c>
      <c r="D152" t="s">
        <v>87</v>
      </c>
      <c r="E152" t="s">
        <v>88</v>
      </c>
      <c r="F152">
        <f>COUNT(B151:B158)</f>
        <v>5</v>
      </c>
    </row>
    <row r="153" spans="1:7" x14ac:dyDescent="0.2">
      <c r="B153">
        <v>9</v>
      </c>
    </row>
    <row r="154" spans="1:7" x14ac:dyDescent="0.2">
      <c r="D154" t="s">
        <v>89</v>
      </c>
      <c r="E154" t="s">
        <v>90</v>
      </c>
      <c r="F154">
        <f>COUNTA(B151:B158)</f>
        <v>7</v>
      </c>
    </row>
    <row r="155" spans="1:7" x14ac:dyDescent="0.2">
      <c r="B155" t="s">
        <v>86</v>
      </c>
    </row>
    <row r="156" spans="1:7" x14ac:dyDescent="0.2">
      <c r="B156">
        <v>2</v>
      </c>
      <c r="D156" t="s">
        <v>91</v>
      </c>
      <c r="E156" t="s">
        <v>92</v>
      </c>
      <c r="F156">
        <f>COUNTBLANK(B151:B158)</f>
        <v>1</v>
      </c>
    </row>
    <row r="157" spans="1:7" x14ac:dyDescent="0.2">
      <c r="B157">
        <v>7</v>
      </c>
    </row>
    <row r="158" spans="1:7" x14ac:dyDescent="0.2">
      <c r="B158">
        <v>4</v>
      </c>
    </row>
    <row r="162" spans="2:8" x14ac:dyDescent="0.2">
      <c r="C162" t="s">
        <v>93</v>
      </c>
    </row>
    <row r="164" spans="2:8" x14ac:dyDescent="0.2">
      <c r="C164" t="s">
        <v>94</v>
      </c>
    </row>
    <row r="169" spans="2:8" x14ac:dyDescent="0.2">
      <c r="B169" s="23" t="s">
        <v>95</v>
      </c>
      <c r="C169" s="23" t="s">
        <v>96</v>
      </c>
      <c r="D169" s="23" t="s">
        <v>97</v>
      </c>
    </row>
    <row r="170" spans="2:8" x14ac:dyDescent="0.2">
      <c r="B170" s="22" t="s">
        <v>54</v>
      </c>
      <c r="C170" s="22">
        <v>4000</v>
      </c>
      <c r="D170" s="22">
        <v>17</v>
      </c>
      <c r="F170" t="s">
        <v>100</v>
      </c>
    </row>
    <row r="171" spans="2:8" x14ac:dyDescent="0.2">
      <c r="B171" s="22" t="s">
        <v>52</v>
      </c>
      <c r="C171" s="22">
        <v>5600</v>
      </c>
      <c r="D171" s="22">
        <v>18</v>
      </c>
    </row>
    <row r="172" spans="2:8" x14ac:dyDescent="0.2">
      <c r="B172" s="22" t="s">
        <v>98</v>
      </c>
      <c r="C172" s="22">
        <v>9700</v>
      </c>
      <c r="D172" s="22">
        <v>19</v>
      </c>
      <c r="F172">
        <f>COUNTIF(D170:D179,"&gt;18")</f>
        <v>5</v>
      </c>
      <c r="H172" t="str">
        <f ca="1">_xlfn.FORMULATEXT(F172)</f>
        <v>=COUNTIF(D170:D179,"&gt;18")</v>
      </c>
    </row>
    <row r="173" spans="2:8" x14ac:dyDescent="0.2">
      <c r="B173" s="22" t="s">
        <v>99</v>
      </c>
      <c r="C173" s="22">
        <v>4000</v>
      </c>
      <c r="D173" s="22">
        <v>20</v>
      </c>
    </row>
    <row r="174" spans="2:8" x14ac:dyDescent="0.2">
      <c r="B174" s="22" t="s">
        <v>54</v>
      </c>
      <c r="C174" s="22">
        <v>8000</v>
      </c>
      <c r="D174" s="22">
        <v>21</v>
      </c>
      <c r="F174" t="s">
        <v>101</v>
      </c>
    </row>
    <row r="175" spans="2:8" x14ac:dyDescent="0.2">
      <c r="B175" s="22" t="s">
        <v>52</v>
      </c>
      <c r="C175" s="22">
        <v>9000</v>
      </c>
      <c r="D175" s="22">
        <v>17</v>
      </c>
    </row>
    <row r="176" spans="2:8" x14ac:dyDescent="0.2">
      <c r="B176" s="22" t="s">
        <v>98</v>
      </c>
      <c r="C176" s="22">
        <v>15000</v>
      </c>
      <c r="D176" s="22">
        <v>18</v>
      </c>
      <c r="F176">
        <f>COUNTIF(B170:B179,"MH")</f>
        <v>4</v>
      </c>
      <c r="H176" t="str">
        <f ca="1">_xlfn.FORMULATEXT(F176)</f>
        <v>=COUNTIF(B170:B179,"MH")</v>
      </c>
    </row>
    <row r="177" spans="2:8" x14ac:dyDescent="0.2">
      <c r="B177" s="22" t="s">
        <v>54</v>
      </c>
      <c r="C177" s="22">
        <v>34000</v>
      </c>
      <c r="D177" s="22">
        <v>16</v>
      </c>
    </row>
    <row r="178" spans="2:8" x14ac:dyDescent="0.2">
      <c r="B178" s="22" t="s">
        <v>53</v>
      </c>
      <c r="C178" s="22">
        <v>9000</v>
      </c>
      <c r="D178" s="22">
        <v>20</v>
      </c>
    </row>
    <row r="179" spans="2:8" x14ac:dyDescent="0.2">
      <c r="B179" s="22" t="s">
        <v>54</v>
      </c>
      <c r="C179" s="22">
        <v>9000</v>
      </c>
      <c r="D179" s="22">
        <v>24</v>
      </c>
      <c r="F179" t="s">
        <v>102</v>
      </c>
    </row>
    <row r="181" spans="2:8" x14ac:dyDescent="0.2">
      <c r="F181">
        <f>COUNTIF(C170:C179,"&gt;=10000")</f>
        <v>2</v>
      </c>
      <c r="H181" t="str">
        <f ca="1">_xlfn.FORMULATEXT(F181)</f>
        <v>=COUNTIF(C170:C179,"&gt;=10000")</v>
      </c>
    </row>
  </sheetData>
  <phoneticPr fontId="3" type="noConversion"/>
  <hyperlinks>
    <hyperlink ref="E120" r:id="rId1" xr:uid="{7E1F588C-23A2-C244-B59A-BDACBAF5CDAB}"/>
    <hyperlink ref="E121" r:id="rId2" xr:uid="{33E9C652-C371-6E48-B871-C11AAD4D71A9}"/>
    <hyperlink ref="E122" r:id="rId3" xr:uid="{2B198933-856C-2B44-93BF-419FE1397655}"/>
    <hyperlink ref="E123" r:id="rId4" xr:uid="{04AB9C26-91DD-3344-8737-69FA1307A74C}"/>
    <hyperlink ref="E124" r:id="rId5" xr:uid="{FAA3C463-9D13-754F-9E59-5E896889D6A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2026-03-31T15:35:43Z</dcterms:created>
  <dcterms:modified xsi:type="dcterms:W3CDTF">2026-03-31T17:32:42Z</dcterms:modified>
</cp:coreProperties>
</file>