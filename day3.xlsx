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drawings/drawing2.xml" ContentType="application/vnd.openxmlformats-officedocument.drawing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"/>
    </mc:Choice>
  </mc:AlternateContent>
  <xr:revisionPtr revIDLastSave="0" documentId="13_ncr:1_{02FE6803-801B-4740-B8CC-CBC838BDA5B1}" xr6:coauthVersionLast="47" xr6:coauthVersionMax="47" xr10:uidLastSave="{00000000-0000-0000-0000-000000000000}"/>
  <bookViews>
    <workbookView xWindow="0" yWindow="600" windowWidth="28800" windowHeight="17400" activeTab="2" xr2:uid="{E752D398-CA14-FD4E-97C7-9B7DD185884F}"/>
  </bookViews>
  <sheets>
    <sheet name="agenda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9" i="2" l="1"/>
  <c r="B84" i="2"/>
  <c r="D79" i="2"/>
  <c r="C70" i="2"/>
  <c r="C69" i="2"/>
  <c r="C68" i="2"/>
  <c r="D64" i="2"/>
  <c r="D63" i="2"/>
  <c r="C38" i="2"/>
  <c r="D38" i="2"/>
  <c r="B28" i="2"/>
  <c r="D35" i="2"/>
  <c r="B30" i="2"/>
  <c r="D28" i="2"/>
  <c r="F7" i="2"/>
  <c r="F8" i="2"/>
  <c r="F9" i="2"/>
  <c r="F6" i="2"/>
</calcChain>
</file>

<file path=xl/sharedStrings.xml><?xml version="1.0" encoding="utf-8"?>
<sst xmlns="http://schemas.openxmlformats.org/spreadsheetml/2006/main" count="59" uniqueCount="57">
  <si>
    <t>AGENDA</t>
  </si>
  <si>
    <t>Data Type</t>
  </si>
  <si>
    <t>How we store / look /process a particular data</t>
  </si>
  <si>
    <t>Numeric</t>
  </si>
  <si>
    <t>Non Numeric</t>
  </si>
  <si>
    <t>Number</t>
  </si>
  <si>
    <t xml:space="preserve">Any numeric data </t>
  </si>
  <si>
    <t xml:space="preserve">Currency </t>
  </si>
  <si>
    <t>Accounting</t>
  </si>
  <si>
    <t>Spends (in INR)</t>
  </si>
  <si>
    <t xml:space="preserve">₹-   </t>
  </si>
  <si>
    <t>Date</t>
  </si>
  <si>
    <t xml:space="preserve">Short </t>
  </si>
  <si>
    <t>Long</t>
  </si>
  <si>
    <t>yyyymmdd</t>
  </si>
  <si>
    <t>Time</t>
  </si>
  <si>
    <t>WHOLE NUM</t>
  </si>
  <si>
    <t>DECIMALs</t>
  </si>
  <si>
    <t>%</t>
  </si>
  <si>
    <t>PERCENTAGE</t>
  </si>
  <si>
    <t>PER</t>
  </si>
  <si>
    <t>CENT</t>
  </si>
  <si>
    <t>Person 1</t>
  </si>
  <si>
    <t>16/20</t>
  </si>
  <si>
    <t>Person 2</t>
  </si>
  <si>
    <t>50/150</t>
  </si>
  <si>
    <t>Fractions</t>
  </si>
  <si>
    <t>p/q</t>
  </si>
  <si>
    <t>q!=0</t>
  </si>
  <si>
    <t>SCIENTIFIC notation</t>
  </si>
  <si>
    <t xml:space="preserve">VERY big &amp; Very small num </t>
  </si>
  <si>
    <t>are difficult to represent</t>
  </si>
  <si>
    <t>1.567 * 1000</t>
  </si>
  <si>
    <t>1.567 * 10^3</t>
  </si>
  <si>
    <t>E</t>
  </si>
  <si>
    <t>10 raised to power</t>
  </si>
  <si>
    <t>TEXT</t>
  </si>
  <si>
    <t>Any valid combination of characters ( s,f,2,1,@,#,^,*…)</t>
  </si>
  <si>
    <t>anything inside double quotes</t>
  </si>
  <si>
    <t>flash fill</t>
  </si>
  <si>
    <t>Fname</t>
  </si>
  <si>
    <t>Lname</t>
  </si>
  <si>
    <t>demo</t>
  </si>
  <si>
    <t>Sdemo</t>
  </si>
  <si>
    <t>Utkarsh</t>
  </si>
  <si>
    <t>Sahu</t>
  </si>
  <si>
    <t>Ram</t>
  </si>
  <si>
    <t>Singh</t>
  </si>
  <si>
    <t>Sheela</t>
  </si>
  <si>
    <t>Dixit</t>
  </si>
  <si>
    <t>Emails</t>
  </si>
  <si>
    <t>Sdemo.demo@xyz.com</t>
  </si>
  <si>
    <t>Sahu.Utkarsh@xyz.com</t>
  </si>
  <si>
    <t>Singh.Ram@xyz.com</t>
  </si>
  <si>
    <t>Dixit.Sheela@xyz.com</t>
  </si>
  <si>
    <t>CTRL</t>
  </si>
  <si>
    <t xml:space="preserve">Flash fill will work only in the adjacent cells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</si>
</sst>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₹&quot;* #,##0.00_);_(&quot;₹&quot;* \(#,##0.00\);_(&quot;₹&quot;* &quot;-&quot;??_);_(@_)"/>
    <numFmt numFmtId="43" formatCode="_(* #,##0.00_);_(* \(#,##0.00\);_(* &quot;-&quot;??_);_(@_)"/>
    <numFmt numFmtId="167" formatCode="0.0000"/>
    <numFmt numFmtId="169" formatCode="_(* #,##0_);_(* \(#,##0\);_(* &quot;-&quot;??_);_(@_)"/>
    <numFmt numFmtId="173" formatCode="&quot;₹&quot;#,##0.00"/>
    <numFmt numFmtId="174" formatCode="[$-F800]dddd\,\ mmmm\ dd\,\ yyyy"/>
    <numFmt numFmtId="177" formatCode="[$-409]hh:mm:ss\ AM/PM;@"/>
    <numFmt numFmtId="180" formatCode="#\ ??/16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2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1" fontId="0" fillId="0" borderId="0" xfId="0" applyNumberFormat="1"/>
    <xf numFmtId="167" fontId="0" fillId="0" borderId="0" xfId="0" applyNumberFormat="1"/>
    <xf numFmtId="169" fontId="0" fillId="0" borderId="0" xfId="1" applyNumberFormat="1" applyFont="1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44" fontId="3" fillId="0" borderId="0" xfId="0" applyNumberFormat="1" applyFont="1" applyAlignment="1">
      <alignment horizontal="left" vertical="center"/>
    </xf>
    <xf numFmtId="44" fontId="3" fillId="0" borderId="0" xfId="2" applyNumberFormat="1" applyFont="1" applyAlignment="1">
      <alignment horizontal="left" vertical="center"/>
    </xf>
    <xf numFmtId="173" fontId="3" fillId="0" borderId="0" xfId="0" applyNumberFormat="1" applyFont="1"/>
    <xf numFmtId="174" fontId="0" fillId="0" borderId="0" xfId="0" applyNumberFormat="1"/>
    <xf numFmtId="18" fontId="0" fillId="0" borderId="0" xfId="0" applyNumberFormat="1"/>
    <xf numFmtId="177" fontId="0" fillId="0" borderId="0" xfId="0" applyNumberFormat="1"/>
    <xf numFmtId="9" fontId="0" fillId="0" borderId="0" xfId="3" applyFont="1"/>
    <xf numFmtId="9" fontId="0" fillId="0" borderId="0" xfId="0" applyNumberFormat="1"/>
    <xf numFmtId="180" fontId="0" fillId="0" borderId="0" xfId="0" applyNumberFormat="1"/>
    <xf numFmtId="11" fontId="0" fillId="0" borderId="0" xfId="0" applyNumberFormat="1"/>
    <xf numFmtId="0" fontId="0" fillId="2" borderId="0" xfId="0" applyFill="1"/>
    <xf numFmtId="0" fontId="4" fillId="0" borderId="0" xfId="0" applyFont="1" applyAlignment="1">
      <alignment horizontal="center"/>
    </xf>
    <xf numFmtId="0" fontId="5" fillId="0" borderId="0" xfId="4"/>
  </cellXfs>
  <cellStyles count="5">
    <cellStyle name="Comma" xfId="1" builtinId="3"/>
    <cellStyle name="Currency" xfId="2" builtinId="4"/>
    <cellStyle name="Hyperlink" xfId="4" builtinId="8"/>
    <cellStyle name="Normal" xfId="0" builtinId="0"/>
    <cellStyle name="Per 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5" Type="http://schemas.openxmlformats.org/officeDocument/2006/relationships/image" Target="../media/image3.png"/><Relationship Id="rId4" Type="http://schemas.openxmlformats.org/officeDocument/2006/relationships/customXml" Target="../ink/ink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7.xml"/><Relationship Id="rId3" Type="http://schemas.openxmlformats.org/officeDocument/2006/relationships/image" Target="../media/image6.png"/><Relationship Id="rId7" Type="http://schemas.openxmlformats.org/officeDocument/2006/relationships/image" Target="../media/image8.png"/><Relationship Id="rId2" Type="http://schemas.openxmlformats.org/officeDocument/2006/relationships/customXml" Target="../ink/ink4.xml"/><Relationship Id="rId1" Type="http://schemas.openxmlformats.org/officeDocument/2006/relationships/image" Target="../media/image5.png"/><Relationship Id="rId6" Type="http://schemas.openxmlformats.org/officeDocument/2006/relationships/customXml" Target="../ink/ink6.xml"/><Relationship Id="rId5" Type="http://schemas.openxmlformats.org/officeDocument/2006/relationships/image" Target="../media/image7.png"/><Relationship Id="rId4" Type="http://schemas.openxmlformats.org/officeDocument/2006/relationships/customXml" Target="../ink/ink5.xml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56174</xdr:colOff>
      <xdr:row>8</xdr:row>
      <xdr:rowOff>23008</xdr:rowOff>
    </xdr:from>
    <xdr:to>
      <xdr:col>2</xdr:col>
      <xdr:colOff>557693</xdr:colOff>
      <xdr:row>18</xdr:row>
      <xdr:rowOff>143196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F7FD1B-FF94-44CD-83C8-971CF433B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9833" y="1642718"/>
          <a:ext cx="1325179" cy="2144826"/>
        </a:xfrm>
        <a:prstGeom prst="rect">
          <a:avLst/>
        </a:prstGeom>
      </xdr:spPr>
    </xdr:pic>
    <xdr:clientData/>
  </xdr:twoCellAnchor>
  <xdr:twoCellAnchor editAs="oneCell">
    <xdr:from>
      <xdr:col>1</xdr:col>
      <xdr:colOff>667821</xdr:colOff>
      <xdr:row>10</xdr:row>
      <xdr:rowOff>34562</xdr:rowOff>
    </xdr:from>
    <xdr:to>
      <xdr:col>2</xdr:col>
      <xdr:colOff>443561</xdr:colOff>
      <xdr:row>11</xdr:row>
      <xdr:rowOff>156819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AAC2E717-6DB0-5124-D0E3-D3CDDBF4D323}"/>
                </a:ext>
              </a:extLst>
            </xdr14:cNvPr>
            <xdr14:cNvContentPartPr/>
          </xdr14:nvContentPartPr>
          <xdr14:nvPr macro=""/>
          <xdr14:xfrm>
            <a:off x="1491480" y="2059200"/>
            <a:ext cx="599400" cy="32472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AAC2E717-6DB0-5124-D0E3-D3CDDBF4D32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485364" y="2053080"/>
              <a:ext cx="611633" cy="33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401</xdr:colOff>
      <xdr:row>12</xdr:row>
      <xdr:rowOff>87915</xdr:rowOff>
    </xdr:from>
    <xdr:to>
      <xdr:col>2</xdr:col>
      <xdr:colOff>553001</xdr:colOff>
      <xdr:row>14</xdr:row>
      <xdr:rowOff>50547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8A6B16DF-C1E3-67A7-6D79-73EAD88F62A7}"/>
                </a:ext>
              </a:extLst>
            </xdr14:cNvPr>
            <xdr14:cNvContentPartPr/>
          </xdr14:nvContentPartPr>
          <xdr14:nvPr macro=""/>
          <xdr14:xfrm>
            <a:off x="1647720" y="2517480"/>
            <a:ext cx="552600" cy="36756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8A6B16DF-C1E3-67A7-6D79-73EAD88F62A7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641600" y="2511360"/>
              <a:ext cx="564840" cy="37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769701</xdr:colOff>
      <xdr:row>14</xdr:row>
      <xdr:rowOff>109947</xdr:rowOff>
    </xdr:from>
    <xdr:to>
      <xdr:col>2</xdr:col>
      <xdr:colOff>695561</xdr:colOff>
      <xdr:row>16</xdr:row>
      <xdr:rowOff>56740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0736A866-44DB-9E94-1B76-7682E766BFD4}"/>
                </a:ext>
              </a:extLst>
            </xdr14:cNvPr>
            <xdr14:cNvContentPartPr/>
          </xdr14:nvContentPartPr>
          <xdr14:nvPr macro=""/>
          <xdr14:xfrm>
            <a:off x="1593360" y="2944440"/>
            <a:ext cx="749520" cy="351720"/>
          </xdr14:xfrm>
        </xdr:contentPart>
      </mc:Choice>
      <mc:Fallback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0736A866-44DB-9E94-1B76-7682E766BFD4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587240" y="2938320"/>
              <a:ext cx="761760" cy="3639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584425</xdr:colOff>
      <xdr:row>81</xdr:row>
      <xdr:rowOff>44955</xdr:rowOff>
    </xdr:from>
    <xdr:to>
      <xdr:col>5</xdr:col>
      <xdr:colOff>228713</xdr:colOff>
      <xdr:row>86</xdr:row>
      <xdr:rowOff>24051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ABFE7B-C59E-E536-C4DA-4215552E3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850" y="16431327"/>
          <a:ext cx="3111500" cy="990600"/>
        </a:xfrm>
        <a:prstGeom prst="rect">
          <a:avLst/>
        </a:prstGeom>
      </xdr:spPr>
    </xdr:pic>
    <xdr:clientData/>
  </xdr:twoCellAnchor>
  <xdr:twoCellAnchor editAs="oneCell">
    <xdr:from>
      <xdr:col>3</xdr:col>
      <xdr:colOff>1526473</xdr:colOff>
      <xdr:row>82</xdr:row>
      <xdr:rowOff>18847</xdr:rowOff>
    </xdr:from>
    <xdr:to>
      <xdr:col>4</xdr:col>
      <xdr:colOff>692385</xdr:colOff>
      <xdr:row>84</xdr:row>
      <xdr:rowOff>178006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42B8850-6AC0-D728-57B8-86B5F702EA10}"/>
                </a:ext>
              </a:extLst>
            </xdr14:cNvPr>
            <xdr14:cNvContentPartPr/>
          </xdr14:nvContentPartPr>
          <xdr14:nvPr macro=""/>
          <xdr14:xfrm>
            <a:off x="4206960" y="16607520"/>
            <a:ext cx="981000" cy="5637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942B8850-6AC0-D728-57B8-86B5F702EA1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200840" y="16601400"/>
              <a:ext cx="993240" cy="57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83763</xdr:colOff>
      <xdr:row>86</xdr:row>
      <xdr:rowOff>170484</xdr:rowOff>
    </xdr:from>
    <xdr:to>
      <xdr:col>5</xdr:col>
      <xdr:colOff>177363</xdr:colOff>
      <xdr:row>87</xdr:row>
      <xdr:rowOff>18943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B09D8FCD-2A9A-3092-BE90-8F79B191365D}"/>
                </a:ext>
              </a:extLst>
            </xdr14:cNvPr>
            <xdr14:cNvContentPartPr/>
          </xdr14:nvContentPartPr>
          <xdr14:nvPr macro=""/>
          <xdr14:xfrm>
            <a:off x="5405400" y="17568360"/>
            <a:ext cx="93600" cy="5076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B09D8FCD-2A9A-3092-BE90-8F79B191365D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5399280" y="17562240"/>
              <a:ext cx="105840" cy="6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8025</xdr:colOff>
      <xdr:row>85</xdr:row>
      <xdr:rowOff>201785</xdr:rowOff>
    </xdr:from>
    <xdr:to>
      <xdr:col>4</xdr:col>
      <xdr:colOff>625065</xdr:colOff>
      <xdr:row>87</xdr:row>
      <xdr:rowOff>51703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8F598A95-A941-3343-DA92-699398959C69}"/>
                </a:ext>
              </a:extLst>
            </xdr14:cNvPr>
            <xdr14:cNvContentPartPr/>
          </xdr14:nvContentPartPr>
          <xdr14:nvPr macro=""/>
          <xdr14:xfrm>
            <a:off x="4503600" y="17397360"/>
            <a:ext cx="617040" cy="25452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8F598A95-A941-3343-DA92-699398959C6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497480" y="17391240"/>
              <a:ext cx="629280" cy="26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440163</xdr:colOff>
      <xdr:row>86</xdr:row>
      <xdr:rowOff>27564</xdr:rowOff>
    </xdr:from>
    <xdr:to>
      <xdr:col>6</xdr:col>
      <xdr:colOff>71301</xdr:colOff>
      <xdr:row>87</xdr:row>
      <xdr:rowOff>183823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0B85B367-6AC0-21E9-5E40-DC6CF32F52BC}"/>
                </a:ext>
              </a:extLst>
            </xdr14:cNvPr>
            <xdr14:cNvContentPartPr/>
          </xdr14:nvContentPartPr>
          <xdr14:nvPr macro=""/>
          <xdr14:xfrm>
            <a:off x="5761800" y="17425440"/>
            <a:ext cx="457200" cy="358560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0B85B367-6AC0-21E9-5E40-DC6CF32F52BC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755680" y="17419320"/>
              <a:ext cx="469440" cy="370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5T15:48:25.050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73 142 24575,'96'0'0,"-10"0"0,13 0 0,-29 0 0,6 0 0,2 0 0,0 0-449,4 0 0,1 0 0,1 0 0,-3 0 449,19 0 0,-2 0 0,-5 0 0,-21 0 0,-3 0 0,-8 0 290,-6 0 0,-8 0-290,14-1-1546,-43-3 1,-13 2-1,-5-3 1</inkml:trace>
  <inkml:trace contextRef="#ctx0" brushRef="#br0" timeOffset="1399">198 0 24575,'-12'0'0,"-10"6"0,-12 5 0,-7 6 0,4 4 0,10-4 0,10-5 0,11-5 0,4-2 0,2-1 0,0 1 0,0 1 0,0-1 0,0-1 0,0 0 0,0-1 0,0 1 0,0-1 0,2 0 0,1 0 0,4 0 0,3 1 0,5 7 0,6 8 0,6 10 0,2 3 0,-3-3 0,-7-7 0,-6-8 0,-7-8 0,-3-2 0</inkml:trace>
  <inkml:trace contextRef="#ctx0" brushRef="#br0" timeOffset="503890">430 475 24575,'4'-1'0,"-1"-1"0,0 2 0,0 1 0,-1 1 0,0 2 0,-1 0 0,-1 2 0,0-1 0,0 1 0,0 0 0,0 0 0,0 0 0,0 0 0,0-1 0,0 0 0,0-1 0,0 1 0,0 0 0,-1 1 0,0 0 0,-1 0 0,1 1 0,0 0 0,0 0 0,1-1 0,0-1 0,0 0 0,0-2 0,0 0 0,1 0 0,1 0 0,0-1 0,2-1 0,0 0 0,-1 0 0,1-1 0,0 0 0,0 0 0,0 0 0,1 0 0,-1-1 0,-1 0 0,-1-1 0,-1-1 0,-3 1 0,-1 2 0,-1-1 0,1 2 0,0 1 0,1 2 0,1 1 0,0 0 0,1 0 0,0 1 0,0 1 0,0 1 0,0 1 0,0 0 0,0-1 0,-1 0 0,0-1 0,-1 0 0,1 0 0,-1 0 0,0-1 0,-1 1 0,0 1 0,0 2 0,-1 1 0,1 2 0,-1 0 0,0-2 0,1 0 0,0-2 0,-1-1 0,-1-1 0,0 0 0,-1 0 0,0 0 0,0-1 0,-1 0 0,-1-1 0,1 0 0,0-1 0,2-1 0,1 0 0,0-6-1696,-7-30 0,6 21 0,-4-20 0</inkml:trace>
  <inkml:trace contextRef="#ctx0" brushRef="#br0" timeOffset="505405">856 695 24575,'63'0'0,"9"0"0,20 0 0,-9 0 0,-21 0 0,-29 0 0,-17 0 0</inkml:trace>
  <inkml:trace contextRef="#ctx0" brushRef="#br0" timeOffset="507005">997 563 24575,'-12'3'0,"-3"5"0,-3 3 0,-1 3 0,5-4 0,5-3 0,5-2 0,0 0 0,-1 2 0,-1 0 0,3-1 0,1-1 0,0-1 0,0 1 0,-2 1 0,-5 5 0,-4 4 0,-3 1 0,2-2 0,3-3 0,6-5 0,7-3 0,6-2 0,7 0 0,3 3 0,5 6 0,5 8 0,6 7 0,3 4 0,-2-2 0,-8-6 0,-9-8 0,-8-7 0,-6-2 0,-2-4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5T16:09:05.305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130 0 24575,'11'0'0,"7"0"0,10 0 0,6 0 0,-2 0 0,-4 0 0,-5 0 0,-5 0 0,-3 0 0,-3 1 0,-4 0 0,-3 2 0,-3 0 0,-1-1 0,-1 1 0,0 0 0,0 2 0,0 0 0,-2 3 0,-1 3 0,-2 5 0,-3 6 0,0 4 0,1 5 0,2 4 0,1 2 0,1 2 0,1-3 0,0-2 0,1-2 0,1-3 0,-1 0 0,0 4 0,0 7 0,0 6 0,1 3 0,-2-3 0,1-11 0,-1-5 0,0-4 0,0-2 0,0 1 0,0-3 0,0-1 0,0 3 0,0 3 0,0 3 0,0-1 0,1-2 0,-1-6 0,-1-6 0,2-4 0,-1-3 0,1-3 0,0 0 0,-1-2 0,-1-1 0,-1-1 0,-2-1 0,-2 0 0,-2 0 0,-1 0 0,-2 0 0,-3-1 0,-3 0 0,-3 0 0,0 0 0,-1 1 0,1 0 0,3 0 0,1 0 0,1 1 0,3 1 0,2 0 0,3 0 0,4-2 0,3 1 0,2-2 0</inkml:trace>
  <inkml:trace contextRef="#ctx0" brushRef="#br0" timeOffset="950">825 480 24575,'48'2'0,"24"-1"0,-23-1 0,3 0 0,8 0 0,0 0 0,-4 0 0,-2 0 0,37 0 0,-19-1 0,-28 0 0,-14 0 0,-15-1 0,-11 1 0,-2 1 0,-3-1 0</inkml:trace>
  <inkml:trace contextRef="#ctx0" brushRef="#br0" timeOffset="2250">854 350 24575,'0'6'0,"-2"3"0,-3 1 0,-5 3 0,-3 1 0,-4 2 0,-5 5 0,-3 6 0,-2 3 0,1 0 0,5-5 0,8-7 0,5-7 0,6-6 0,3-2 0,3-2 0,4-1 0,3 0 0,4 0 0,2 1 0,2 1 0,1 4 0,1 3 0,-1 2 0,-3 0 0,-3-2 0,-3-2 0,-4-3 0,-3-2 0,-2-1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5T16:34:50.613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153 1 24575,'9'0'0,"4"0"0,8 0 0,9 0 0,7 0 0,3 0 0,2 0 0,-2 0 0,-6 0 0,-9 0 0,-9 0 0,-6 0 0,-4 1 0,-2 2 0,-2 4 0,-2 5 0,-1 5 0,-2 5 0,-1 3 0,-2 2 0,-1 0 0,2-2 0,0 4 0,1 4 0,1 7 0,0 11 0,2 6 0,-1 7 0,1 4 0,-1 1 0,0-5 0,1-10 0,0-13 0,0-12 0,1-9 0,0-4 0,0-2 0,0 0 0,0 2 0,0 2 0,0 1 0,0 1 0,-1-4 0,0-4 0,-2-3 0,0-3 0,0-4 0,-3-1 0,-1 0 0,-2-1 0,-3 0 0,-3 0 0,-6 0 0,-7 0 0,-8 1 0,-9 2 0,-6 2 0,-1 1 0,5 0 0,10-3 0,11 0 0,11-3 0,7 0 0,5 0 0,2-1 0</inkml:trace>
  <inkml:trace contextRef="#ctx0" brushRef="#br0" timeOffset="932">745 402 24575,'27'0'0,"43"0"0,-8 0 0,7 0 0,17 0 0,4 0 0,-23 0 0,2 0 0,-1 0 0,0 0 0,0 0 0,-2 0 0,21 0 0,-5 0 0,-10 0 0,-5 0 0,25 0 0,-34 0 0,-21 0 0,-19 0 0,-9 0 0,-6 0 0,-2-1 0</inkml:trace>
  <inkml:trace contextRef="#ctx0" brushRef="#br0" timeOffset="2433">688 418 24575,'0'9'0,"2"1"0,0 0 0,2-2 0,0-1 0,0-3 0,-3-1 0,-3-2 0,-6-5 0,-7-8 0,-5-10 0,-2-6 0,3 0 0,6 4 0,5 7 0,5 6 0,7 6 0,6 2 0,6 3 0,4 0 0,0 0 0,-2 0 0,-4-2 0,-3-2 0,-2-1 0,-1-2 0,-4 1 0,-1 2 0,-1 1 0,-2 1 0,0 1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5T16:53:29.901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205 1471 24575,'29'0'0,"15"0"0,22 0 0,18 0 0,13 0 0,-44 0 0,2 0 0,4 0 0,2 0 0,2 0 0,1 0 0,1 0 0,-1 0 0,1 0 0,1 0 0,2 0 0,2 0 0,5-1 0,1 2 0,4-2 0,0 2 0,2 0 0,0 1 0,-3 0 0,-3 0 0,-4 0 0,-2 0 0,-3 0 0,-2-1 0,-5 0 0,-2-2 0,-4 1 0,-1 0 0,36 0 0,-20 0 0,-20 0 0,-17 0 0,-10 0 0,-5 0 0,-3 0 0,-3-3 0,-4-1 0,-3-3 0,-1-2 0,-3-4 0,0-5 0,0-2 0,0-4 0,0-8 0,0-19 0,0-34 0,0 26 0,-1-4 0,-1-10 0,0-3 0,-2-7 0,0 1 0,-1 5 0,-1 2 0,1 7 0,-1 2 0,-1 10 0,1 2 0,-8-32 0,0 16 0,0 18 0,2 14 0,1 14 0,1 9 0,3 7 0,1 4 0,-1 3 0,0 1 0,-3 0 0,-3-1 0,-9-1 0,-15-5 0,-24-5 0,-30-6 0,31 8 0,-5 0 0,-15 1 0,-5 2 0,14 3 0,-3 1 0,-2 1-196,-7 0 1,-2 1 0,2 0 195,4 2 0,2 0 0,0 0 0,4 1 0,2 1 0,1 0 0,-22 2 0,4 2 0,7 1 0,1-1 0,0 0 0,3-2 0,14-1 0,5-1 0,-30-1 0,23-5 0,15-2 586,13-3-586,13-1 0,12 3 0,7 5 0,3 5 0,2 5 0,0 8 0,-2 13 0,-8 24 0,-12 26 0,7-29 0,-1 3 0,-1 2 0,1 0 0,0-1 0,3-1 0,1-4 0,2-1 0,-5 46 0,4-4 0,4-2 0,2-6 0,-1-13 0,0-6 0,1-11 0,1-3 0,0 0 0,0 1 0,-1-2 0,1-6 0,1-11 0,2-10 0,2-11 0,1-3 0,2-2 0,3 1 0,2 2 0,4 1 0,1 0 0,2-2 0,3-2 0,1-4 0,4-3 0,-1-3 0,-3-2 0,-2-2 0,-3 1 0,-3 3 0,-6 2 0,-1 1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5T16:53:36.568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0 0 24575,'15'0'0,"13"0"0,17 0 0,8 0 0,-4 0 0,-14 0 0,-15 0 0,-12 0 0,-4 0 0</inkml:trace>
  <inkml:trace contextRef="#ctx0" brushRef="#br0" timeOffset="950">94 137 24575,'4'2'0,"3"0"0,4-2 0,7 0 0,8 0 0,5 0 0,-1 0 0,-8 0 0,-11 0 0,-6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5T16:53:30.851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2 404 24575,'2'25'0,"0"12"0,-2 17 0,0 8 0,0-8 0,0-14 0,0-18 0,-2-23 0,1-1 0,-1-9 0</inkml:trace>
  <inkml:trace contextRef="#ctx0" brushRef="#br0" timeOffset="1533">326 423 21056,'0'5'0,"0"7"1677,0 14-1677,0 8 595,0 5-595,1-4 304,2-3-304,3-4 943,1-7-943,2-1 0,-1-8 0,0-3 0,0-3 0,1-3 0,0-2 0,3-1 0,3 0 0,3-2 0,1-3 0,3-3 0,0-2 0,3-1 0,0 0 0,0-1 0,-3-1 0,-3-2 0,-2-1 0,-3-2 0,-2-1 0,-3 1 0,-4 1 0,-5 0 0,-6 2 0,-7 0 0,-6 2 0,-6 4 0,-2 3 0,-2 4 0,-4 1 0,-3 2 0,0 3 0,4 4 0,6 3 0,6 0 0,7-3 0,3-3 0,6-2 0,2-3 0</inkml:trace>
  <inkml:trace contextRef="#ctx0" brushRef="#br0" timeOffset="2967">884 164 24575,'-2'8'0,"0"9"0,1 10 0,-5 11 0,-4 4 0,-4 1 0,1-6 0,4-12 0,5-12 0,3-14 0,2-12 0,3-12 0,4-13 0,5-7 0,1-4 0,2 1 0,0 4 0,0 6 0,-1 7 0,-1 6 0,-2 5 0,-2 5 0,0 4 0,-2 4 0,-1 4 0,-2 2 0,0 6 0,0 7 0,2 9 0,2 7 0,1 5 0,0 0 0,1 1 0,0 0 0,2-1 0,3-2 0,2-4 0,0-4 0,-3-5 0,-4-5 0,-7-7 0,-1-2 0</inkml:trace>
  <inkml:trace contextRef="#ctx0" brushRef="#br0" timeOffset="3900">1456 342 24575,'-2'5'0,"4"9"0,14 16 0,16 18 0,12 11 0,6 1 0,-6-10 0,-13-19 0,-10-11 0,-10-10 0,-6-6 0,-1 0 0</inkml:trace>
  <inkml:trace contextRef="#ctx0" brushRef="#br0" timeOffset="4883">1710 340 24575,'0'9'0,"-1"3"0,-4 5 0,-5 4 0,-7 5 0,-4 4 0,-2 1 0,3-2 0,3-4 0,4-8 0,5-4 0,3-6 0,3-4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5T16:53:39.868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191 158 24575,'-5'-2'0,"-7"0"0,-7 2 0,-9 0 0,-2 0 0,-1 0 0,4 0 0,7 0 0,8 0 0,6 0 0,6 2 0,2 2 0,5 6 0,1 6 0,2 7 0,0 4 0,-1 1 0,-1 3 0,-2-1 0,-1-2 0,-1-2 0,-1-6 0,0-5 0,0-4 0,1-4 0,1-3 0,1-2 0,2-2 0,1 0 0,3 0 0,1-1 0,2-2 0,-1-1 0,-2-1 0,-1 0 0,-1 2 0,-3 1 0,-2 1 0,-4 2 0,-7 4 0,-5 1 0,-6 2 0,-3 2 0,0-2 0,2-2 0,4-2 0,2-2 0,4-1 0,2 0 0,3 2 0,1 3 0,2 4 0,0 3 0,0 1 0,0 0 0,1 3 0,2 9 0,2 10 0,1 10 0,1 1 0,0-8 0,-2-10 0,0-13 0,-1-7 0,1-6 0,0-2 0,4-3 0,4-4 0,6-5 0,6-4 0,2 1 0,3 4 0,-3 3 0,-6 3 0,-6 3 0,-5 0 0,-4 0 0,-2 1 0,-2-1 0</inkml:trace>
  <inkml:trace contextRef="#ctx0" brushRef="#br0" timeOffset="1066">606 1 24575,'0'9'0,"0"8"0,-2 14 0,-2 5 0,-2 10 0,-2 7 0,3 3 0,2 6 0,2-6 0,2-1 0,6 6 0,9 6 0,13 10 0,11 7 0,2-2 0,1-6 0,-7-18 0,-10-21 0,-7-17 0,-8-11 0,-4-7 0,-4-1 0,-1-1 0</inkml:trace>
  <inkml:trace contextRef="#ctx0" brushRef="#br0" timeOffset="1883">873 346 24575,'13'5'0,"25"17"0,30 20 0,15 12 0,-3 1 0,-23-15 0,-24-16 0,-16-12 0,-11-9 0,-4-3 0</inkml:trace>
  <inkml:trace contextRef="#ctx0" brushRef="#br0" timeOffset="2766">1118 225 24575,'-5'22'0,"-7"12"0,-9 11 0,-7 11 0,-2 1 0,0-1 0,2 0 0,4-7 0,4-7 0,5-11 0,5-10 0,3-7 0,4-9 0,2-3 0,0-2 0</inkml:trace>
  <inkml:trace contextRef="#ctx0" brushRef="#br0" timeOffset="3900">1211 5 24575,'-2'2'0,"0"3"0,2 8 0,0 6 0,0 8 0,0 8 0,0 9 0,3 6 0,0 1 0,0-2 0,-1-4 0,-2-5 0,0-4 0,0 0 0,0 5 0,-1 3 0,0-1 0,-2-9 0,1-10 0,1-7 0,0-7 0,1-7 0,0-2 0,0-4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ingh.Ram@xyz.com" TargetMode="External"/><Relationship Id="rId2" Type="http://schemas.openxmlformats.org/officeDocument/2006/relationships/hyperlink" Target="mailto:Sahu.Utkarsh@xyz.com" TargetMode="External"/><Relationship Id="rId1" Type="http://schemas.openxmlformats.org/officeDocument/2006/relationships/hyperlink" Target="mailto:Sdemo.demo@xyz.com" TargetMode="External"/><Relationship Id="rId4" Type="http://schemas.openxmlformats.org/officeDocument/2006/relationships/hyperlink" Target="mailto:Dixit.Sheela@xy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D1A4-9497-F443-A00D-83549F509A65}">
  <dimension ref="B3:G10"/>
  <sheetViews>
    <sheetView topLeftCell="A6" zoomScale="276" workbookViewId="0">
      <selection activeCell="F13" sqref="F13"/>
    </sheetView>
  </sheetViews>
  <sheetFormatPr baseColWidth="10" defaultRowHeight="16" x14ac:dyDescent="0.2"/>
  <sheetData>
    <row r="3" spans="2:7" x14ac:dyDescent="0.2">
      <c r="B3" s="1" t="s">
        <v>0</v>
      </c>
      <c r="C3" s="1"/>
    </row>
    <row r="4" spans="2:7" x14ac:dyDescent="0.2">
      <c r="B4" s="1"/>
      <c r="C4" s="1"/>
    </row>
    <row r="7" spans="2:7" x14ac:dyDescent="0.2">
      <c r="B7" t="s">
        <v>1</v>
      </c>
      <c r="D7" t="s">
        <v>2</v>
      </c>
    </row>
    <row r="10" spans="2:7" x14ac:dyDescent="0.2">
      <c r="D10" s="2"/>
      <c r="E10" t="s">
        <v>3</v>
      </c>
      <c r="G10" t="s">
        <v>4</v>
      </c>
    </row>
  </sheetData>
  <mergeCells count="1">
    <mergeCell ref="B3:C4"/>
  </mergeCell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6CF55-2184-1545-95E3-D90213EB1762}">
  <dimension ref="A3:G111"/>
  <sheetViews>
    <sheetView zoomScale="226" workbookViewId="0">
      <selection activeCell="A111" sqref="A111:G111"/>
    </sheetView>
  </sheetViews>
  <sheetFormatPr baseColWidth="10" defaultRowHeight="16" x14ac:dyDescent="0.2"/>
  <cols>
    <col min="2" max="2" width="13.5" bestFit="1" customWidth="1"/>
    <col min="4" max="4" width="23.83203125" bestFit="1" customWidth="1"/>
  </cols>
  <sheetData>
    <row r="3" spans="2:6" x14ac:dyDescent="0.2">
      <c r="B3" t="s">
        <v>5</v>
      </c>
    </row>
    <row r="4" spans="2:6" x14ac:dyDescent="0.2">
      <c r="D4" t="s">
        <v>6</v>
      </c>
    </row>
    <row r="6" spans="2:6" x14ac:dyDescent="0.2">
      <c r="D6" s="3">
        <v>1</v>
      </c>
      <c r="F6">
        <f>D6*3</f>
        <v>3</v>
      </c>
    </row>
    <row r="7" spans="2:6" x14ac:dyDescent="0.2">
      <c r="D7" s="3">
        <v>20</v>
      </c>
      <c r="F7">
        <f t="shared" ref="F7:F9" si="0">D7*3</f>
        <v>60</v>
      </c>
    </row>
    <row r="8" spans="2:6" x14ac:dyDescent="0.2">
      <c r="D8" s="3">
        <v>20.34</v>
      </c>
      <c r="F8">
        <f t="shared" si="0"/>
        <v>61.019999999999996</v>
      </c>
    </row>
    <row r="9" spans="2:6" x14ac:dyDescent="0.2">
      <c r="D9" s="3">
        <v>0.68293000000000004</v>
      </c>
      <c r="F9">
        <f t="shared" si="0"/>
        <v>2.0487900000000003</v>
      </c>
    </row>
    <row r="10" spans="2:6" x14ac:dyDescent="0.2">
      <c r="D10" s="3"/>
    </row>
    <row r="11" spans="2:6" x14ac:dyDescent="0.2">
      <c r="D11" s="5">
        <v>646392</v>
      </c>
    </row>
    <row r="14" spans="2:6" x14ac:dyDescent="0.2">
      <c r="B14" t="s">
        <v>7</v>
      </c>
      <c r="D14" t="s">
        <v>8</v>
      </c>
    </row>
    <row r="16" spans="2:6" x14ac:dyDescent="0.2">
      <c r="B16" s="6" t="s">
        <v>9</v>
      </c>
      <c r="C16" s="6"/>
      <c r="D16" s="7" t="s">
        <v>9</v>
      </c>
    </row>
    <row r="17" spans="2:5" x14ac:dyDescent="0.2">
      <c r="B17" s="11">
        <v>646464</v>
      </c>
      <c r="C17" s="6"/>
      <c r="D17" s="9">
        <v>646464</v>
      </c>
    </row>
    <row r="18" spans="2:5" x14ac:dyDescent="0.2">
      <c r="B18" s="11">
        <v>377373</v>
      </c>
      <c r="C18" s="8"/>
      <c r="D18" s="9">
        <v>377373</v>
      </c>
    </row>
    <row r="19" spans="2:5" x14ac:dyDescent="0.2">
      <c r="B19" s="11" t="s">
        <v>10</v>
      </c>
      <c r="C19" s="6"/>
      <c r="D19" s="9">
        <v>38383.94</v>
      </c>
    </row>
    <row r="20" spans="2:5" x14ac:dyDescent="0.2">
      <c r="B20" s="11">
        <v>8383.83</v>
      </c>
      <c r="C20" s="6"/>
      <c r="D20" s="10">
        <v>0</v>
      </c>
    </row>
    <row r="21" spans="2:5" x14ac:dyDescent="0.2">
      <c r="B21" s="11">
        <v>-8383.4</v>
      </c>
      <c r="C21" s="6"/>
      <c r="D21" s="9">
        <v>-8383.4</v>
      </c>
    </row>
    <row r="24" spans="2:5" x14ac:dyDescent="0.2">
      <c r="B24" t="s">
        <v>11</v>
      </c>
      <c r="D24" t="s">
        <v>16</v>
      </c>
    </row>
    <row r="26" spans="2:5" x14ac:dyDescent="0.2">
      <c r="B26" t="s">
        <v>12</v>
      </c>
      <c r="D26" t="s">
        <v>13</v>
      </c>
    </row>
    <row r="28" spans="2:5" x14ac:dyDescent="0.2">
      <c r="B28" s="2">
        <f ca="1">TODAY()</f>
        <v>46280</v>
      </c>
      <c r="D28" s="12">
        <f ca="1">TODAY()</f>
        <v>46280</v>
      </c>
    </row>
    <row r="30" spans="2:5" x14ac:dyDescent="0.2">
      <c r="B30" s="2" t="str">
        <f>"15 - 09 - 2026"</f>
        <v>15 - 09 - 2026</v>
      </c>
    </row>
    <row r="32" spans="2:5" x14ac:dyDescent="0.2">
      <c r="B32" t="s">
        <v>14</v>
      </c>
      <c r="E32" s="2">
        <v>1</v>
      </c>
    </row>
    <row r="34" spans="2:6" x14ac:dyDescent="0.2">
      <c r="F34" s="2">
        <v>44623</v>
      </c>
    </row>
    <row r="35" spans="2:6" x14ac:dyDescent="0.2">
      <c r="C35">
        <v>1</v>
      </c>
      <c r="D35" t="str">
        <f>" 1 Jan 1900"</f>
        <v xml:space="preserve"> 1 Jan 1900</v>
      </c>
    </row>
    <row r="38" spans="2:6" x14ac:dyDescent="0.2">
      <c r="C38" s="3">
        <f ca="1">TODAY()</f>
        <v>46280</v>
      </c>
      <c r="D38" s="2">
        <f ca="1">TODAY()</f>
        <v>46280</v>
      </c>
    </row>
    <row r="40" spans="2:6" x14ac:dyDescent="0.2">
      <c r="C40">
        <v>45327</v>
      </c>
      <c r="D40" s="2">
        <v>45327</v>
      </c>
    </row>
    <row r="43" spans="2:6" x14ac:dyDescent="0.2">
      <c r="B43" t="s">
        <v>15</v>
      </c>
      <c r="D43" t="s">
        <v>17</v>
      </c>
    </row>
    <row r="46" spans="2:6" x14ac:dyDescent="0.2">
      <c r="C46" s="13">
        <v>0</v>
      </c>
      <c r="D46">
        <v>0</v>
      </c>
    </row>
    <row r="47" spans="2:6" x14ac:dyDescent="0.2">
      <c r="C47" s="13">
        <v>0.99930555555555556</v>
      </c>
      <c r="D47">
        <v>1</v>
      </c>
    </row>
    <row r="50" spans="2:6" x14ac:dyDescent="0.2">
      <c r="C50">
        <v>0.5</v>
      </c>
      <c r="D50" s="14">
        <v>0.5</v>
      </c>
      <c r="F50" s="14"/>
    </row>
    <row r="51" spans="2:6" x14ac:dyDescent="0.2">
      <c r="C51">
        <v>0.75</v>
      </c>
      <c r="D51" s="14">
        <v>0.75</v>
      </c>
    </row>
    <row r="57" spans="2:6" x14ac:dyDescent="0.2">
      <c r="B57" t="s">
        <v>18</v>
      </c>
    </row>
    <row r="58" spans="2:6" x14ac:dyDescent="0.2">
      <c r="B58" t="s">
        <v>19</v>
      </c>
    </row>
    <row r="60" spans="2:6" x14ac:dyDescent="0.2">
      <c r="B60" t="s">
        <v>20</v>
      </c>
      <c r="C60" t="s">
        <v>21</v>
      </c>
    </row>
    <row r="63" spans="2:6" x14ac:dyDescent="0.2">
      <c r="B63" t="s">
        <v>22</v>
      </c>
      <c r="C63" t="s">
        <v>23</v>
      </c>
      <c r="D63" s="15">
        <f>16/20</f>
        <v>0.8</v>
      </c>
      <c r="E63" s="4">
        <v>0.8</v>
      </c>
    </row>
    <row r="64" spans="2:6" x14ac:dyDescent="0.2">
      <c r="B64" t="s">
        <v>24</v>
      </c>
      <c r="C64" t="s">
        <v>25</v>
      </c>
      <c r="D64" s="15">
        <f>50/150</f>
        <v>0.33333333333333331</v>
      </c>
      <c r="E64" s="4">
        <v>0.33329999999999999</v>
      </c>
    </row>
    <row r="68" spans="2:4" x14ac:dyDescent="0.2">
      <c r="C68" s="16" t="str">
        <f>"80%"</f>
        <v>80%</v>
      </c>
      <c r="D68">
        <v>0.05</v>
      </c>
    </row>
    <row r="69" spans="2:4" x14ac:dyDescent="0.2">
      <c r="C69" t="str">
        <f>"==&gt;80/100"</f>
        <v>==&gt;80/100</v>
      </c>
    </row>
    <row r="70" spans="2:4" x14ac:dyDescent="0.2">
      <c r="C70" t="str">
        <f>"==&gt;0.80"</f>
        <v>==&gt;0.80</v>
      </c>
    </row>
    <row r="74" spans="2:4" x14ac:dyDescent="0.2">
      <c r="B74" t="s">
        <v>26</v>
      </c>
      <c r="C74" t="s">
        <v>27</v>
      </c>
      <c r="D74" t="s">
        <v>28</v>
      </c>
    </row>
    <row r="78" spans="2:4" x14ac:dyDescent="0.2">
      <c r="B78">
        <v>0.25</v>
      </c>
      <c r="C78" s="15">
        <v>0.25</v>
      </c>
      <c r="D78" s="17">
        <v>0.25</v>
      </c>
    </row>
    <row r="79" spans="2:4" x14ac:dyDescent="0.2">
      <c r="D79">
        <f>4/16</f>
        <v>0.25</v>
      </c>
    </row>
    <row r="82" spans="2:4" x14ac:dyDescent="0.2">
      <c r="B82" t="s">
        <v>29</v>
      </c>
    </row>
    <row r="84" spans="2:4" x14ac:dyDescent="0.2">
      <c r="B84" t="str">
        <f>"934993248384674"</f>
        <v>934993248384674</v>
      </c>
    </row>
    <row r="88" spans="2:4" x14ac:dyDescent="0.2">
      <c r="B88" t="s">
        <v>30</v>
      </c>
    </row>
    <row r="89" spans="2:4" x14ac:dyDescent="0.2">
      <c r="B89" t="s">
        <v>31</v>
      </c>
    </row>
    <row r="91" spans="2:4" x14ac:dyDescent="0.2">
      <c r="C91" s="19" t="s">
        <v>34</v>
      </c>
      <c r="D91" s="19" t="s">
        <v>35</v>
      </c>
    </row>
    <row r="92" spans="2:4" x14ac:dyDescent="0.2">
      <c r="D92">
        <v>1567</v>
      </c>
    </row>
    <row r="94" spans="2:4" x14ac:dyDescent="0.2">
      <c r="D94" t="s">
        <v>32</v>
      </c>
    </row>
    <row r="95" spans="2:4" x14ac:dyDescent="0.2">
      <c r="D95" t="s">
        <v>33</v>
      </c>
    </row>
    <row r="96" spans="2:4" x14ac:dyDescent="0.2">
      <c r="D96" s="18">
        <v>1567</v>
      </c>
    </row>
    <row r="99" spans="1:7" x14ac:dyDescent="0.2">
      <c r="D99" s="18">
        <v>3.9999999999999998E-7</v>
      </c>
      <c r="F99">
        <v>3.9999999999999998E-7</v>
      </c>
    </row>
    <row r="102" spans="1:7" x14ac:dyDescent="0.2">
      <c r="B102" t="s">
        <v>36</v>
      </c>
    </row>
    <row r="104" spans="1:7" x14ac:dyDescent="0.2">
      <c r="C104" t="s">
        <v>37</v>
      </c>
    </row>
    <row r="106" spans="1:7" x14ac:dyDescent="0.2">
      <c r="C106" t="s">
        <v>38</v>
      </c>
    </row>
    <row r="109" spans="1:7" x14ac:dyDescent="0.2">
      <c r="B109" t="str">
        <f>"cke230;;'%"</f>
        <v>cke230;;'%</v>
      </c>
    </row>
    <row r="111" spans="1:7" x14ac:dyDescent="0.2">
      <c r="A111" s="19"/>
      <c r="B111" s="19"/>
      <c r="C111" s="19"/>
      <c r="D111" s="19"/>
      <c r="E111" s="19"/>
      <c r="F111" s="19"/>
      <c r="G111" s="19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08316-96A9-9640-9F60-E007ACC1F35A}">
  <dimension ref="C4:G16"/>
  <sheetViews>
    <sheetView tabSelected="1" zoomScale="170" workbookViewId="0">
      <selection activeCell="I5" sqref="I5"/>
    </sheetView>
  </sheetViews>
  <sheetFormatPr baseColWidth="10" defaultRowHeight="16" x14ac:dyDescent="0.2"/>
  <sheetData>
    <row r="4" spans="3:7" x14ac:dyDescent="0.2">
      <c r="C4" s="20" t="s">
        <v>39</v>
      </c>
      <c r="D4" s="20"/>
      <c r="F4" t="s">
        <v>55</v>
      </c>
      <c r="G4" t="s">
        <v>34</v>
      </c>
    </row>
    <row r="5" spans="3:7" x14ac:dyDescent="0.2">
      <c r="C5" s="20"/>
      <c r="D5" s="20"/>
    </row>
    <row r="8" spans="3:7" x14ac:dyDescent="0.2">
      <c r="C8" t="s">
        <v>40</v>
      </c>
      <c r="D8" t="s">
        <v>41</v>
      </c>
      <c r="E8" t="s">
        <v>50</v>
      </c>
    </row>
    <row r="9" spans="3:7" x14ac:dyDescent="0.2">
      <c r="C9" t="s">
        <v>42</v>
      </c>
      <c r="D9" t="s">
        <v>43</v>
      </c>
      <c r="E9" s="21" t="s">
        <v>51</v>
      </c>
    </row>
    <row r="10" spans="3:7" x14ac:dyDescent="0.2">
      <c r="C10" t="s">
        <v>44</v>
      </c>
      <c r="D10" t="s">
        <v>45</v>
      </c>
      <c r="E10" s="21" t="s">
        <v>52</v>
      </c>
    </row>
    <row r="11" spans="3:7" x14ac:dyDescent="0.2">
      <c r="C11" t="s">
        <v>46</v>
      </c>
      <c r="D11" t="s">
        <v>47</v>
      </c>
      <c r="E11" s="21" t="s">
        <v>53</v>
      </c>
    </row>
    <row r="12" spans="3:7" x14ac:dyDescent="0.2">
      <c r="C12" t="s">
        <v>48</v>
      </c>
      <c r="D12" t="s">
        <v>49</v>
      </c>
      <c r="E12" s="21" t="s">
        <v>54</v>
      </c>
    </row>
    <row r="16" spans="3:7" x14ac:dyDescent="0.2">
      <c r="C16" t="s">
        <v>56</v>
      </c>
    </row>
  </sheetData>
  <mergeCells count="1">
    <mergeCell ref="C4:D5"/>
  </mergeCells>
  <hyperlinks>
    <hyperlink ref="E9" r:id="rId1" xr:uid="{1579BF8A-8141-8A4D-A720-12898843191A}"/>
    <hyperlink ref="E10" r:id="rId2" xr:uid="{DC008814-09CE-224E-9770-C7B8CA9B5062}"/>
    <hyperlink ref="E11" r:id="rId3" xr:uid="{8297A855-3846-404A-BA69-BF714A5D4974}"/>
    <hyperlink ref="E12" r:id="rId4" xr:uid="{DF3524D9-7453-5D4C-97E9-49E9845EBC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agenda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2026-09-15T15:33:04Z</dcterms:created>
  <dcterms:modified xsi:type="dcterms:W3CDTF">2026-09-15T17:11:24Z</dcterms:modified>
</cp:coreProperties>
</file>