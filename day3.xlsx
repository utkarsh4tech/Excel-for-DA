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AC00209-E39E-654A-AAAB-44591758DA87}" xr6:coauthVersionLast="47" xr6:coauthVersionMax="47" xr10:uidLastSave="{00000000-0000-0000-0000-000000000000}"/>
  <bookViews>
    <workbookView xWindow="380" yWindow="500" windowWidth="28040" windowHeight="16940" activeTab="2" xr2:uid="{4AA67202-ABE1-0342-A1A4-4D589E6D8A89}"/>
  </bookViews>
  <sheets>
    <sheet name="Sheet1" sheetId="1" r:id="rId1"/>
    <sheet name="Arithhmetic" sheetId="2" r:id="rId2"/>
    <sheet name="Sheet3" sheetId="3" r:id="rId3"/>
    <sheet name="Sheet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A18" i="4"/>
  <c r="A14" i="4"/>
  <c r="I3" i="4"/>
  <c r="I4" i="4"/>
  <c r="I5" i="4"/>
  <c r="I6" i="4"/>
  <c r="I7" i="4"/>
  <c r="I8" i="4"/>
  <c r="I9" i="4"/>
  <c r="I10" i="4"/>
  <c r="I11" i="4"/>
  <c r="I2" i="4"/>
  <c r="E2" i="4"/>
  <c r="H2" i="4"/>
  <c r="H3" i="4"/>
  <c r="H4" i="4"/>
  <c r="H5" i="4"/>
  <c r="H6" i="4"/>
  <c r="H7" i="4"/>
  <c r="H8" i="4"/>
  <c r="H9" i="4"/>
  <c r="H10" i="4"/>
  <c r="H11" i="4"/>
  <c r="F6" i="4"/>
  <c r="F3" i="4"/>
  <c r="F2" i="4"/>
  <c r="G3" i="4"/>
  <c r="D2" i="4"/>
  <c r="D4" i="4"/>
  <c r="C3" i="4"/>
  <c r="C2" i="4"/>
  <c r="G4" i="4"/>
  <c r="G5" i="4"/>
  <c r="G6" i="4"/>
  <c r="G7" i="4"/>
  <c r="G8" i="4"/>
  <c r="G9" i="4"/>
  <c r="G10" i="4"/>
  <c r="G11" i="4"/>
  <c r="G2" i="4"/>
  <c r="F4" i="4"/>
  <c r="F5" i="4"/>
  <c r="F7" i="4"/>
  <c r="F8" i="4"/>
  <c r="F9" i="4"/>
  <c r="F10" i="4"/>
  <c r="F11" i="4"/>
  <c r="E3" i="4"/>
  <c r="E4" i="4"/>
  <c r="E5" i="4"/>
  <c r="E6" i="4"/>
  <c r="E7" i="4"/>
  <c r="E8" i="4"/>
  <c r="E9" i="4"/>
  <c r="E10" i="4"/>
  <c r="E11" i="4"/>
  <c r="D3" i="4"/>
  <c r="D5" i="4"/>
  <c r="D6" i="4"/>
  <c r="D7" i="4"/>
  <c r="D8" i="4"/>
  <c r="D9" i="4"/>
  <c r="D10" i="4"/>
  <c r="D11" i="4"/>
  <c r="C4" i="4"/>
  <c r="C5" i="4"/>
  <c r="C6" i="4"/>
  <c r="C7" i="4"/>
  <c r="C8" i="4"/>
  <c r="C9" i="4"/>
  <c r="C10" i="4"/>
  <c r="C11" i="4"/>
  <c r="J5" i="2"/>
  <c r="H8" i="2"/>
  <c r="G2" i="2"/>
  <c r="G15" i="2"/>
  <c r="G9" i="2"/>
  <c r="G6" i="2"/>
  <c r="G4" i="2"/>
  <c r="E6" i="2"/>
  <c r="A1" i="2" a="1"/>
  <c r="A1" i="2" s="1"/>
  <c r="D2" i="1"/>
  <c r="E3" i="2"/>
  <c r="E4" i="2"/>
  <c r="E5" i="2"/>
  <c r="E7" i="2"/>
  <c r="E8" i="2"/>
  <c r="E9" i="2"/>
  <c r="E10" i="2"/>
  <c r="E2" i="2"/>
  <c r="D3" i="1"/>
  <c r="D4" i="1"/>
  <c r="D5" i="1"/>
  <c r="D6" i="1"/>
  <c r="D7" i="1"/>
  <c r="D8" i="1"/>
  <c r="D9" i="1"/>
  <c r="D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<sst xmlns="http://schemas.openxmlformats.org/spreadsheetml/2006/main" count="66" uniqueCount="57">
  <si>
    <t>Product_id</t>
  </si>
  <si>
    <t>Price(INR)</t>
  </si>
  <si>
    <t>OrderDATE</t>
  </si>
  <si>
    <t>Disc</t>
  </si>
  <si>
    <t>SP</t>
  </si>
  <si>
    <t>DataType</t>
  </si>
  <si>
    <t>Some Special abilities of the data.</t>
  </si>
  <si>
    <t>67 utkarsh</t>
  </si>
  <si>
    <t>SUM</t>
  </si>
  <si>
    <t>"=SUM(….)"</t>
  </si>
  <si>
    <t>SUM THE GIVEN VALUES</t>
  </si>
  <si>
    <t>AVG</t>
  </si>
  <si>
    <t>"=AVERAGE(….)"</t>
  </si>
  <si>
    <t>AVERAGE of the Given NUMBERs or ADDRESS</t>
  </si>
  <si>
    <t>Product</t>
  </si>
  <si>
    <t>"=PRODUCT(….)"</t>
  </si>
  <si>
    <t>COUNT</t>
  </si>
  <si>
    <t>"=COUNT(ADDRESS)"</t>
  </si>
  <si>
    <t>COUNT of cells</t>
  </si>
  <si>
    <t>CountA</t>
  </si>
  <si>
    <t>"Count all cells which not empty"</t>
  </si>
  <si>
    <t>CountBlank</t>
  </si>
  <si>
    <t>"only count blank cells"</t>
  </si>
  <si>
    <t>Count if</t>
  </si>
  <si>
    <t>COUNT only if the condition is true</t>
  </si>
  <si>
    <t>COUNTIFS</t>
  </si>
  <si>
    <t>COUNT IF with multiple condition</t>
  </si>
  <si>
    <t>STATE</t>
  </si>
  <si>
    <t>AGE</t>
  </si>
  <si>
    <t>MH</t>
  </si>
  <si>
    <t>UP</t>
  </si>
  <si>
    <t>BH</t>
  </si>
  <si>
    <t>PU</t>
  </si>
  <si>
    <t>TN</t>
  </si>
  <si>
    <t>Logicalfunc</t>
  </si>
  <si>
    <t>is_adult(&gt;=18)</t>
  </si>
  <si>
    <t>if someone is adult and from maharastra?</t>
  </si>
  <si>
    <t>From_MH</t>
  </si>
  <si>
    <t>is_adult_from_MH</t>
  </si>
  <si>
    <t>AND</t>
  </si>
  <si>
    <t>C1</t>
  </si>
  <si>
    <t>C2</t>
  </si>
  <si>
    <t>Output</t>
  </si>
  <si>
    <t>OR</t>
  </si>
  <si>
    <t>if someone is adult OR from maharastra?</t>
  </si>
  <si>
    <t>ALL CONDITION MUST BE TRUE</t>
  </si>
  <si>
    <t>ANY ONE CONDITION MUST BE TRUE</t>
  </si>
  <si>
    <t>NOT</t>
  </si>
  <si>
    <t>WHATEVER WE HAVE , OPPOSITE OF THAT</t>
  </si>
  <si>
    <t>SUMIF</t>
  </si>
  <si>
    <t>If Sum_Range is not given, then RANGE Is used for SUM</t>
  </si>
  <si>
    <t>RANGE iS used for evaluating CRITERIA</t>
  </si>
  <si>
    <t>CRITERIA is Cond</t>
  </si>
  <si>
    <t>SUMIFS</t>
  </si>
  <si>
    <t>ALL THE CONDITION MUST BE TRUE ( WE ARE ANDING ALL CONDITIONS)</t>
  </si>
  <si>
    <t>a.b,c</t>
  </si>
  <si>
    <t>(a+b+c)/3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</si>
</sst>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₹&quot;* #,##0.00_);_(&quot;₹&quot;* \(#,##0.00\);_(&quot;₹&quot;* &quot;-&quot;??_);_(@_)"/>
    <numFmt numFmtId="164" formatCode="0.0000"/>
    <numFmt numFmtId="171" formatCode="&quot;₹&quot;#,##0.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14" fontId="0" fillId="0" borderId="0" xfId="0" applyNumberFormat="1" applyAlignment="1">
      <alignment horizontal="center" vertical="top"/>
    </xf>
    <xf numFmtId="164" fontId="0" fillId="0" borderId="0" xfId="0" applyNumberFormat="1"/>
    <xf numFmtId="14" fontId="2" fillId="0" borderId="0" xfId="0" applyNumberFormat="1" applyFont="1" applyAlignment="1">
      <alignment horizontal="center" vertical="top"/>
    </xf>
    <xf numFmtId="9" fontId="0" fillId="0" borderId="0" xfId="0" applyNumberFormat="1"/>
    <xf numFmtId="10" fontId="0" fillId="0" borderId="0" xfId="0" applyNumberFormat="1"/>
    <xf numFmtId="12" fontId="0" fillId="0" borderId="0" xfId="0" applyNumberFormat="1"/>
    <xf numFmtId="11" fontId="0" fillId="0" borderId="0" xfId="0" applyNumberFormat="1"/>
    <xf numFmtId="171" fontId="0" fillId="0" borderId="0" xfId="0" applyNumberFormat="1"/>
    <xf numFmtId="171" fontId="0" fillId="0" borderId="0" xfId="1" applyNumberFormat="1" applyFon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</cellXfs>
  <cellStyles count="2">
    <cellStyle name="Currency" xfId="1" builtinId="4"/>
    <cellStyle name="Normal" xfId="0" builtinId="0"/>
  </cellStyles>
  <dxfs count="3">
    <dxf>
      <numFmt numFmtId="171" formatCode="&quot;₹&quot;#,##0.00"/>
    </dxf>
    <dxf>
      <numFmt numFmtId="19" formatCode="dd/mm/yyyy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71" formatCode="&quot;₹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166557</xdr:colOff>
      <xdr:row>29</xdr:row>
      <xdr:rowOff>131859</xdr:rowOff>
    </xdr:from>
    <xdr:to>
      <xdr:col>7</xdr:col>
      <xdr:colOff>228322</xdr:colOff>
      <xdr:row>35</xdr:row>
      <xdr:rowOff>156218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813114-FDDF-6E56-B9C3-63E9C3F01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8251" y="5968307"/>
          <a:ext cx="4191000" cy="12319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0</xdr:rowOff>
    </xdr:from>
    <xdr:to>
      <xdr:col>11</xdr:col>
      <xdr:colOff>339777</xdr:colOff>
      <xdr:row>44</xdr:row>
      <xdr:rowOff>198229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6837BE-5DB3-E6A4-57CC-6B2898D4F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1694" y="7647760"/>
          <a:ext cx="7772400" cy="1405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4C93D8-DD6A-1443-AE8B-A4C8811E2537}" name="Table2" displayName="Table2" ref="A1:D10" totalsRowShown="0">
  <autoFilter ref="A1:D10" xr:uid="{F14C93D8-DD6A-1443-AE8B-A4C8811E2537}"/>
  <tableColumns count="4">
    <tableColumn id="1" xr3:uid="{9DBA0937-E6C0-864B-9E40-A6DF98A1D0FD}" name="Product_id"/>
    <tableColumn id="2" xr3:uid="{167BB1FE-68CA-4545-B4AE-86B20D169C7D}" name="Price(INR)" dataDxfId="2" dataCellStyle="Currency"/>
    <tableColumn id="3" xr3:uid="{3B9A77BC-CF9C-1E4F-9A43-E7AED01BF752}" name="OrderDATE" dataDxfId="1"/>
    <tableColumn id="4" xr3:uid="{8680A83D-FB50-6049-968B-53ACC77EBC66}" name="Disc" dataDxfId="0">
      <calculatedColumnFormula>B2*$G$2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02E40-EA8E-204C-B122-B0A56970684E}">
  <dimension ref="A1:H14"/>
  <sheetViews>
    <sheetView zoomScale="299" workbookViewId="0">
      <selection activeCell="E9" sqref="E9"/>
    </sheetView>
  </sheetViews>
  <sheetFormatPr baseColWidth="10" defaultRowHeight="16" x14ac:dyDescent="0.2"/>
  <cols>
    <col min="2" max="2" width="11.5" bestFit="1" customWidth="1"/>
    <col min="4" max="4" width="11.6640625" bestFit="1" customWidth="1"/>
  </cols>
  <sheetData>
    <row r="1" spans="1:8" x14ac:dyDescent="0.2">
      <c r="A1" t="s">
        <v>0</v>
      </c>
      <c r="B1" s="1" t="s">
        <v>1</v>
      </c>
      <c r="C1" s="2" t="s">
        <v>2</v>
      </c>
      <c r="D1" t="s">
        <v>3</v>
      </c>
    </row>
    <row r="2" spans="1:8" x14ac:dyDescent="0.2">
      <c r="A2">
        <v>101</v>
      </c>
      <c r="B2" s="10">
        <v>860</v>
      </c>
      <c r="C2" s="2">
        <v>45943</v>
      </c>
      <c r="D2" s="9">
        <f>B2*$G$2</f>
        <v>43</v>
      </c>
      <c r="F2" t="s">
        <v>3</v>
      </c>
      <c r="G2" s="5">
        <v>0.05</v>
      </c>
    </row>
    <row r="3" spans="1:8" x14ac:dyDescent="0.2">
      <c r="A3">
        <v>102</v>
      </c>
      <c r="B3" s="10">
        <v>200</v>
      </c>
      <c r="C3" s="2">
        <v>45940</v>
      </c>
      <c r="D3" s="9">
        <f t="shared" ref="D3:D10" si="0">B3*$G$2</f>
        <v>10</v>
      </c>
    </row>
    <row r="4" spans="1:8" x14ac:dyDescent="0.2">
      <c r="A4">
        <v>103</v>
      </c>
      <c r="B4" s="10">
        <v>600</v>
      </c>
      <c r="C4" s="4">
        <v>45941</v>
      </c>
      <c r="D4" s="9">
        <f t="shared" si="0"/>
        <v>30</v>
      </c>
      <c r="E4" s="8"/>
    </row>
    <row r="5" spans="1:8" x14ac:dyDescent="0.2">
      <c r="A5">
        <v>104</v>
      </c>
      <c r="B5" s="10">
        <v>850.5</v>
      </c>
      <c r="C5" s="2">
        <v>45942</v>
      </c>
      <c r="D5" s="9">
        <f t="shared" si="0"/>
        <v>42.525000000000006</v>
      </c>
    </row>
    <row r="6" spans="1:8" x14ac:dyDescent="0.2">
      <c r="A6">
        <v>105</v>
      </c>
      <c r="B6" s="10">
        <v>1500</v>
      </c>
      <c r="C6" s="2">
        <v>45943</v>
      </c>
      <c r="D6" s="9">
        <f t="shared" si="0"/>
        <v>75</v>
      </c>
      <c r="G6" s="7"/>
    </row>
    <row r="7" spans="1:8" x14ac:dyDescent="0.2">
      <c r="A7">
        <v>106</v>
      </c>
      <c r="B7" s="10">
        <v>2000</v>
      </c>
      <c r="C7" s="2">
        <v>45944</v>
      </c>
      <c r="D7" s="9">
        <f t="shared" si="0"/>
        <v>100</v>
      </c>
    </row>
    <row r="8" spans="1:8" x14ac:dyDescent="0.2">
      <c r="A8">
        <v>107</v>
      </c>
      <c r="B8" s="10">
        <v>25870</v>
      </c>
      <c r="C8" s="2">
        <v>45945</v>
      </c>
      <c r="D8" s="9">
        <f t="shared" si="0"/>
        <v>1293.5</v>
      </c>
      <c r="F8" s="6">
        <v>0.06</v>
      </c>
      <c r="H8" t="s">
        <v>7</v>
      </c>
    </row>
    <row r="9" spans="1:8" x14ac:dyDescent="0.2">
      <c r="A9">
        <v>108</v>
      </c>
      <c r="B9" s="10">
        <v>50000</v>
      </c>
      <c r="C9" s="2">
        <v>45946</v>
      </c>
      <c r="D9" s="9">
        <f t="shared" si="0"/>
        <v>2500</v>
      </c>
    </row>
    <row r="10" spans="1:8" x14ac:dyDescent="0.2">
      <c r="A10">
        <v>109</v>
      </c>
      <c r="B10" s="10">
        <v>80</v>
      </c>
      <c r="C10" s="2">
        <v>45947</v>
      </c>
      <c r="D10" s="9">
        <f t="shared" si="0"/>
        <v>4</v>
      </c>
      <c r="F10" s="7">
        <v>0.25</v>
      </c>
    </row>
    <row r="11" spans="1:8" x14ac:dyDescent="0.2">
      <c r="F11" s="8"/>
    </row>
    <row r="14" spans="1:8" x14ac:dyDescent="0.2">
      <c r="A14" t="s">
        <v>5</v>
      </c>
      <c r="C14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C635-785B-DF4F-A186-3D12BFCBD619}">
  <dimension ref="A1:J15"/>
  <sheetViews>
    <sheetView zoomScale="226" workbookViewId="0">
      <selection activeCell="G14" sqref="G14"/>
    </sheetView>
  </sheetViews>
  <sheetFormatPr baseColWidth="10" defaultRowHeight="16" x14ac:dyDescent="0.2"/>
  <sheetData>
    <row r="1" spans="1:10" x14ac:dyDescent="0.2">
      <c r="A1" t="str" cm="1">
        <f t="array" ref="A1:D10">Sheet1!A1:D10</f>
        <v>Product_id</v>
      </c>
      <c r="B1" s="1" t="str">
        <v>Price(INR)</v>
      </c>
      <c r="C1" s="2" t="str">
        <v>OrderDATE</v>
      </c>
      <c r="D1" t="str">
        <v>Disc</v>
      </c>
      <c r="E1" t="s">
        <v>4</v>
      </c>
    </row>
    <row r="2" spans="1:10" x14ac:dyDescent="0.2">
      <c r="A2">
        <v>101</v>
      </c>
      <c r="B2" s="11">
        <v>860</v>
      </c>
      <c r="C2" s="2">
        <v>45943</v>
      </c>
      <c r="D2" s="12">
        <v>43</v>
      </c>
      <c r="E2" s="3">
        <f>B2-D2</f>
        <v>817</v>
      </c>
      <c r="G2">
        <f>COUNTIF(E2:E10,"&gt;1000")</f>
        <v>4</v>
      </c>
      <c r="I2">
        <v>4</v>
      </c>
    </row>
    <row r="3" spans="1:10" x14ac:dyDescent="0.2">
      <c r="A3">
        <v>102</v>
      </c>
      <c r="B3" s="16">
        <v>200</v>
      </c>
      <c r="C3" s="2">
        <v>45940</v>
      </c>
      <c r="D3" s="3">
        <v>10</v>
      </c>
      <c r="E3" s="15">
        <f t="shared" ref="E3:E10" si="0">B3-D3</f>
        <v>190</v>
      </c>
      <c r="I3">
        <v>23</v>
      </c>
    </row>
    <row r="4" spans="1:10" x14ac:dyDescent="0.2">
      <c r="A4">
        <v>103</v>
      </c>
      <c r="B4" s="11">
        <v>600</v>
      </c>
      <c r="C4" s="4">
        <v>45941</v>
      </c>
      <c r="D4" s="12">
        <v>30</v>
      </c>
      <c r="E4" s="3">
        <f t="shared" si="0"/>
        <v>570</v>
      </c>
      <c r="G4" s="3">
        <f>SUM(E2:E10)</f>
        <v>77862.475000000006</v>
      </c>
      <c r="I4">
        <v>5</v>
      </c>
    </row>
    <row r="5" spans="1:10" x14ac:dyDescent="0.2">
      <c r="A5">
        <v>104</v>
      </c>
      <c r="B5" s="11">
        <v>850.5</v>
      </c>
      <c r="C5" s="2">
        <v>45942</v>
      </c>
      <c r="D5" s="12">
        <v>42.525000000000006</v>
      </c>
      <c r="E5" s="3">
        <f t="shared" si="0"/>
        <v>807.97500000000002</v>
      </c>
      <c r="J5">
        <f>PRODUCT(I2:I4)</f>
        <v>460</v>
      </c>
    </row>
    <row r="6" spans="1:10" x14ac:dyDescent="0.2">
      <c r="A6">
        <v>105</v>
      </c>
      <c r="B6" s="1">
        <v>1500</v>
      </c>
      <c r="C6" s="2">
        <v>45943</v>
      </c>
      <c r="D6" s="3">
        <v>75</v>
      </c>
      <c r="E6" s="3">
        <f>B6-D6</f>
        <v>1425</v>
      </c>
      <c r="G6">
        <f>SUM(2,9,8,-6)</f>
        <v>13</v>
      </c>
    </row>
    <row r="7" spans="1:10" x14ac:dyDescent="0.2">
      <c r="A7">
        <v>106</v>
      </c>
      <c r="B7" s="1">
        <v>2000</v>
      </c>
      <c r="C7" s="2">
        <v>45944</v>
      </c>
      <c r="D7" s="3">
        <v>100</v>
      </c>
      <c r="E7" s="3">
        <f t="shared" si="0"/>
        <v>1900</v>
      </c>
    </row>
    <row r="8" spans="1:10" x14ac:dyDescent="0.2">
      <c r="A8">
        <v>107</v>
      </c>
      <c r="B8" s="1">
        <v>25870</v>
      </c>
      <c r="C8" s="2">
        <v>45945</v>
      </c>
      <c r="D8" s="3">
        <v>1293.5</v>
      </c>
      <c r="E8" s="3">
        <f t="shared" si="0"/>
        <v>24576.5</v>
      </c>
      <c r="H8">
        <f>PRODUCT(2,3,4)</f>
        <v>24</v>
      </c>
    </row>
    <row r="9" spans="1:10" x14ac:dyDescent="0.2">
      <c r="A9">
        <v>108</v>
      </c>
      <c r="B9" s="1">
        <v>50000</v>
      </c>
      <c r="C9" s="2">
        <v>45946</v>
      </c>
      <c r="D9" s="3">
        <v>2500</v>
      </c>
      <c r="E9" s="3">
        <f t="shared" si="0"/>
        <v>47500</v>
      </c>
      <c r="G9" s="3">
        <f>AVERAGE(E2:E10)</f>
        <v>8651.3861111111109</v>
      </c>
    </row>
    <row r="10" spans="1:10" x14ac:dyDescent="0.2">
      <c r="A10">
        <v>109</v>
      </c>
      <c r="B10" s="16">
        <v>80</v>
      </c>
      <c r="C10" s="2">
        <v>45947</v>
      </c>
      <c r="D10" s="3">
        <v>4</v>
      </c>
      <c r="E10" s="15">
        <f t="shared" si="0"/>
        <v>76</v>
      </c>
    </row>
    <row r="13" spans="1:10" x14ac:dyDescent="0.2">
      <c r="D13" s="3"/>
      <c r="G13">
        <f>SUMIF(E2:E10,"&lt;500",B2:B10)</f>
        <v>280</v>
      </c>
    </row>
    <row r="15" spans="1:10" x14ac:dyDescent="0.2">
      <c r="G15">
        <f>COUNT(E2:E10)</f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2C156-DE90-104A-8024-1CEE815DEF8F}">
  <dimension ref="B3:K49"/>
  <sheetViews>
    <sheetView tabSelected="1" zoomScale="183" workbookViewId="0">
      <selection activeCell="E14" sqref="E14"/>
    </sheetView>
  </sheetViews>
  <sheetFormatPr baseColWidth="10" defaultRowHeight="16" x14ac:dyDescent="0.2"/>
  <sheetData>
    <row r="3" spans="2:11" x14ac:dyDescent="0.2">
      <c r="B3" t="s">
        <v>8</v>
      </c>
      <c r="D3" t="s">
        <v>9</v>
      </c>
      <c r="F3" t="s">
        <v>10</v>
      </c>
    </row>
    <row r="5" spans="2:11" x14ac:dyDescent="0.2">
      <c r="B5" t="s">
        <v>11</v>
      </c>
      <c r="D5" t="s">
        <v>12</v>
      </c>
      <c r="F5" t="s">
        <v>13</v>
      </c>
      <c r="J5" t="s">
        <v>55</v>
      </c>
      <c r="K5" t="s">
        <v>56</v>
      </c>
    </row>
    <row r="7" spans="2:11" x14ac:dyDescent="0.2">
      <c r="B7" t="s">
        <v>14</v>
      </c>
      <c r="D7" t="s">
        <v>15</v>
      </c>
      <c r="F7" t="s">
        <v>14</v>
      </c>
    </row>
    <row r="11" spans="2:11" x14ac:dyDescent="0.2">
      <c r="B11" t="s">
        <v>16</v>
      </c>
      <c r="D11" t="s">
        <v>17</v>
      </c>
      <c r="F11" t="s">
        <v>18</v>
      </c>
    </row>
    <row r="13" spans="2:11" x14ac:dyDescent="0.2">
      <c r="B13" t="s">
        <v>19</v>
      </c>
      <c r="D13" t="s">
        <v>20</v>
      </c>
    </row>
    <row r="15" spans="2:11" x14ac:dyDescent="0.2">
      <c r="B15" t="s">
        <v>21</v>
      </c>
      <c r="D15" t="s">
        <v>22</v>
      </c>
    </row>
    <row r="17" spans="2:9" x14ac:dyDescent="0.2">
      <c r="B17" t="s">
        <v>23</v>
      </c>
      <c r="D17" t="s">
        <v>24</v>
      </c>
    </row>
    <row r="19" spans="2:9" x14ac:dyDescent="0.2">
      <c r="B19" t="s">
        <v>25</v>
      </c>
      <c r="D19" t="s">
        <v>26</v>
      </c>
    </row>
    <row r="22" spans="2:9" x14ac:dyDescent="0.2">
      <c r="B22" t="s">
        <v>34</v>
      </c>
    </row>
    <row r="24" spans="2:9" x14ac:dyDescent="0.2">
      <c r="B24" t="s">
        <v>39</v>
      </c>
      <c r="D24" t="s">
        <v>45</v>
      </c>
    </row>
    <row r="26" spans="2:9" x14ac:dyDescent="0.2">
      <c r="B26" t="s">
        <v>43</v>
      </c>
      <c r="D26" t="s">
        <v>46</v>
      </c>
    </row>
    <row r="28" spans="2:9" x14ac:dyDescent="0.2">
      <c r="B28" t="s">
        <v>47</v>
      </c>
      <c r="D28" t="s">
        <v>48</v>
      </c>
    </row>
    <row r="31" spans="2:9" x14ac:dyDescent="0.2">
      <c r="B31" t="s">
        <v>49</v>
      </c>
      <c r="I31" t="s">
        <v>50</v>
      </c>
    </row>
    <row r="33" spans="2:9" x14ac:dyDescent="0.2">
      <c r="I33" t="s">
        <v>51</v>
      </c>
    </row>
    <row r="35" spans="2:9" x14ac:dyDescent="0.2">
      <c r="I35" t="s">
        <v>52</v>
      </c>
    </row>
    <row r="39" spans="2:9" x14ac:dyDescent="0.2">
      <c r="B39" t="s">
        <v>53</v>
      </c>
    </row>
    <row r="49" spans="4:4" x14ac:dyDescent="0.2">
      <c r="D49" t="s">
        <v>54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B3F3-E81A-D34F-B9DF-013BAFDB986D}">
  <dimension ref="A1:I30"/>
  <sheetViews>
    <sheetView topLeftCell="A11" zoomScale="278" workbookViewId="0">
      <selection activeCell="A18" sqref="A18"/>
    </sheetView>
  </sheetViews>
  <sheetFormatPr baseColWidth="10" defaultRowHeight="16" x14ac:dyDescent="0.2"/>
  <sheetData>
    <row r="1" spans="1:9" x14ac:dyDescent="0.2">
      <c r="A1" t="s">
        <v>27</v>
      </c>
      <c r="B1" t="s">
        <v>28</v>
      </c>
      <c r="C1" t="s">
        <v>35</v>
      </c>
      <c r="D1" t="s">
        <v>37</v>
      </c>
      <c r="E1" t="s">
        <v>38</v>
      </c>
    </row>
    <row r="2" spans="1:9" x14ac:dyDescent="0.2">
      <c r="A2" t="s">
        <v>29</v>
      </c>
      <c r="B2">
        <v>17</v>
      </c>
      <c r="C2" t="b">
        <f>B2&gt;=18</f>
        <v>0</v>
      </c>
      <c r="D2" t="b">
        <f>A2="MH"</f>
        <v>1</v>
      </c>
      <c r="E2">
        <f>C2*D2</f>
        <v>0</v>
      </c>
      <c r="F2" t="b">
        <f>AND(C2,D2)</f>
        <v>0</v>
      </c>
      <c r="G2" t="b">
        <f>OR(C2,D2)</f>
        <v>1</v>
      </c>
      <c r="H2">
        <f>C2+D2</f>
        <v>1</v>
      </c>
      <c r="I2" t="b">
        <f>AND(B2&gt;=18,A2="MH")</f>
        <v>0</v>
      </c>
    </row>
    <row r="3" spans="1:9" x14ac:dyDescent="0.2">
      <c r="A3" t="s">
        <v>30</v>
      </c>
      <c r="B3">
        <v>18</v>
      </c>
      <c r="C3" t="b">
        <f>B3&gt;=18</f>
        <v>1</v>
      </c>
      <c r="D3" t="b">
        <f t="shared" ref="D3:D11" si="0">A3="MH"</f>
        <v>0</v>
      </c>
      <c r="E3">
        <f t="shared" ref="E3:E11" si="1">C3*D3</f>
        <v>0</v>
      </c>
      <c r="F3" t="b">
        <f>AND(C3,D3)</f>
        <v>0</v>
      </c>
      <c r="G3" t="b">
        <f>OR(C3,D3)</f>
        <v>1</v>
      </c>
      <c r="H3">
        <f t="shared" ref="H3:H11" si="2">C3+D3</f>
        <v>1</v>
      </c>
      <c r="I3" t="b">
        <f>AND(B3&gt;=18,A3="MH")</f>
        <v>0</v>
      </c>
    </row>
    <row r="4" spans="1:9" x14ac:dyDescent="0.2">
      <c r="A4" t="s">
        <v>31</v>
      </c>
      <c r="B4">
        <v>19</v>
      </c>
      <c r="C4" t="b">
        <f t="shared" ref="C3:C11" si="3">B4&gt;=18</f>
        <v>1</v>
      </c>
      <c r="D4" t="b">
        <f>A4="MH"</f>
        <v>0</v>
      </c>
      <c r="E4">
        <f t="shared" si="1"/>
        <v>0</v>
      </c>
      <c r="F4" t="b">
        <f t="shared" ref="F3:F11" si="4">AND(C4,D4)</f>
        <v>0</v>
      </c>
      <c r="G4" t="b">
        <f t="shared" ref="G3:G11" si="5">OR(C4,D4)</f>
        <v>1</v>
      </c>
      <c r="H4">
        <f t="shared" si="2"/>
        <v>1</v>
      </c>
      <c r="I4" t="b">
        <f t="shared" ref="I3:I11" si="6">AND(B4&gt;=18,A4="MH")</f>
        <v>0</v>
      </c>
    </row>
    <row r="5" spans="1:9" x14ac:dyDescent="0.2">
      <c r="A5" t="s">
        <v>32</v>
      </c>
      <c r="B5">
        <v>20</v>
      </c>
      <c r="C5" t="b">
        <f t="shared" si="3"/>
        <v>1</v>
      </c>
      <c r="D5" t="b">
        <f t="shared" si="0"/>
        <v>0</v>
      </c>
      <c r="E5">
        <f t="shared" si="1"/>
        <v>0</v>
      </c>
      <c r="F5" t="b">
        <f t="shared" si="4"/>
        <v>0</v>
      </c>
      <c r="G5" t="b">
        <f t="shared" si="5"/>
        <v>1</v>
      </c>
      <c r="H5">
        <f t="shared" si="2"/>
        <v>1</v>
      </c>
      <c r="I5" t="b">
        <f t="shared" si="6"/>
        <v>0</v>
      </c>
    </row>
    <row r="6" spans="1:9" x14ac:dyDescent="0.2">
      <c r="A6" s="13" t="s">
        <v>29</v>
      </c>
      <c r="B6" s="13">
        <v>21</v>
      </c>
      <c r="C6" s="13" t="b">
        <f t="shared" si="3"/>
        <v>1</v>
      </c>
      <c r="D6" s="13" t="b">
        <f t="shared" si="0"/>
        <v>1</v>
      </c>
      <c r="E6">
        <f t="shared" si="1"/>
        <v>1</v>
      </c>
      <c r="F6" t="b">
        <f>AND(C6,D6)</f>
        <v>1</v>
      </c>
      <c r="G6" t="b">
        <f t="shared" si="5"/>
        <v>1</v>
      </c>
      <c r="H6">
        <f t="shared" si="2"/>
        <v>2</v>
      </c>
      <c r="I6" t="b">
        <f t="shared" si="6"/>
        <v>1</v>
      </c>
    </row>
    <row r="7" spans="1:9" x14ac:dyDescent="0.2">
      <c r="A7" t="s">
        <v>30</v>
      </c>
      <c r="B7">
        <v>17</v>
      </c>
      <c r="C7" t="b">
        <f t="shared" si="3"/>
        <v>0</v>
      </c>
      <c r="D7" t="b">
        <f t="shared" si="0"/>
        <v>0</v>
      </c>
      <c r="E7">
        <f t="shared" si="1"/>
        <v>0</v>
      </c>
      <c r="F7" t="b">
        <f t="shared" si="4"/>
        <v>0</v>
      </c>
      <c r="G7" t="b">
        <f t="shared" si="5"/>
        <v>0</v>
      </c>
      <c r="H7">
        <f t="shared" si="2"/>
        <v>0</v>
      </c>
      <c r="I7" t="b">
        <f t="shared" si="6"/>
        <v>0</v>
      </c>
    </row>
    <row r="8" spans="1:9" x14ac:dyDescent="0.2">
      <c r="A8" t="s">
        <v>31</v>
      </c>
      <c r="B8">
        <v>18</v>
      </c>
      <c r="C8" t="b">
        <f t="shared" si="3"/>
        <v>1</v>
      </c>
      <c r="D8" t="b">
        <f t="shared" si="0"/>
        <v>0</v>
      </c>
      <c r="E8">
        <f t="shared" si="1"/>
        <v>0</v>
      </c>
      <c r="F8" t="b">
        <f t="shared" si="4"/>
        <v>0</v>
      </c>
      <c r="G8" t="b">
        <f t="shared" si="5"/>
        <v>1</v>
      </c>
      <c r="H8">
        <f t="shared" si="2"/>
        <v>1</v>
      </c>
      <c r="I8" t="b">
        <f t="shared" si="6"/>
        <v>0</v>
      </c>
    </row>
    <row r="9" spans="1:9" x14ac:dyDescent="0.2">
      <c r="A9" t="s">
        <v>29</v>
      </c>
      <c r="B9">
        <v>16</v>
      </c>
      <c r="C9" t="b">
        <f t="shared" si="3"/>
        <v>0</v>
      </c>
      <c r="D9" t="b">
        <f t="shared" si="0"/>
        <v>1</v>
      </c>
      <c r="E9">
        <f t="shared" si="1"/>
        <v>0</v>
      </c>
      <c r="F9" t="b">
        <f t="shared" si="4"/>
        <v>0</v>
      </c>
      <c r="G9" t="b">
        <f t="shared" si="5"/>
        <v>1</v>
      </c>
      <c r="H9">
        <f t="shared" si="2"/>
        <v>1</v>
      </c>
      <c r="I9" t="b">
        <f t="shared" si="6"/>
        <v>0</v>
      </c>
    </row>
    <row r="10" spans="1:9" x14ac:dyDescent="0.2">
      <c r="A10" t="s">
        <v>33</v>
      </c>
      <c r="B10">
        <v>20</v>
      </c>
      <c r="C10" t="b">
        <f t="shared" si="3"/>
        <v>1</v>
      </c>
      <c r="D10" t="b">
        <f t="shared" si="0"/>
        <v>0</v>
      </c>
      <c r="E10">
        <f t="shared" si="1"/>
        <v>0</v>
      </c>
      <c r="F10" t="b">
        <f t="shared" si="4"/>
        <v>0</v>
      </c>
      <c r="G10" t="b">
        <f t="shared" si="5"/>
        <v>1</v>
      </c>
      <c r="H10">
        <f t="shared" si="2"/>
        <v>1</v>
      </c>
      <c r="I10" t="b">
        <f t="shared" si="6"/>
        <v>0</v>
      </c>
    </row>
    <row r="11" spans="1:9" x14ac:dyDescent="0.2">
      <c r="A11" t="s">
        <v>29</v>
      </c>
      <c r="B11">
        <v>24</v>
      </c>
      <c r="C11" t="b">
        <f t="shared" si="3"/>
        <v>1</v>
      </c>
      <c r="D11" t="b">
        <f t="shared" si="0"/>
        <v>1</v>
      </c>
      <c r="E11">
        <f t="shared" si="1"/>
        <v>1</v>
      </c>
      <c r="F11" t="b">
        <f t="shared" si="4"/>
        <v>1</v>
      </c>
      <c r="G11" t="b">
        <f t="shared" si="5"/>
        <v>1</v>
      </c>
      <c r="H11">
        <f t="shared" si="2"/>
        <v>2</v>
      </c>
      <c r="I11" t="b">
        <f t="shared" si="6"/>
        <v>1</v>
      </c>
    </row>
    <row r="14" spans="1:9" x14ac:dyDescent="0.2">
      <c r="A14">
        <f>SUMIF(A2:A11,"=MH",B2:B11)</f>
        <v>78</v>
      </c>
      <c r="D14" t="s">
        <v>36</v>
      </c>
    </row>
    <row r="15" spans="1:9" x14ac:dyDescent="0.2">
      <c r="D15" t="s">
        <v>44</v>
      </c>
    </row>
    <row r="16" spans="1:9" x14ac:dyDescent="0.2">
      <c r="D16" t="b">
        <v>1</v>
      </c>
      <c r="E16">
        <v>1</v>
      </c>
    </row>
    <row r="17" spans="1:6" x14ac:dyDescent="0.2">
      <c r="D17" t="b">
        <v>0</v>
      </c>
      <c r="E17">
        <v>0</v>
      </c>
    </row>
    <row r="18" spans="1:6" x14ac:dyDescent="0.2">
      <c r="A18">
        <f>SUMIFS(B2:B11,A2:A11,"=MH",B2:B11,"&gt;=18")</f>
        <v>45</v>
      </c>
    </row>
    <row r="19" spans="1:6" x14ac:dyDescent="0.2">
      <c r="D19" t="s">
        <v>39</v>
      </c>
    </row>
    <row r="20" spans="1:6" x14ac:dyDescent="0.2">
      <c r="D20" s="13" t="s">
        <v>40</v>
      </c>
      <c r="E20" s="13" t="s">
        <v>41</v>
      </c>
      <c r="F20" t="s">
        <v>42</v>
      </c>
    </row>
    <row r="21" spans="1:6" x14ac:dyDescent="0.2">
      <c r="D21" t="b">
        <v>1</v>
      </c>
      <c r="E21" t="b">
        <v>0</v>
      </c>
      <c r="F21" t="b">
        <v>0</v>
      </c>
    </row>
    <row r="22" spans="1:6" x14ac:dyDescent="0.2">
      <c r="D22" s="14" t="b">
        <v>1</v>
      </c>
      <c r="E22" s="14" t="b">
        <v>1</v>
      </c>
      <c r="F22" s="14" t="b">
        <v>1</v>
      </c>
    </row>
    <row r="23" spans="1:6" x14ac:dyDescent="0.2">
      <c r="D23" t="b">
        <v>0</v>
      </c>
      <c r="E23" t="b">
        <v>0</v>
      </c>
      <c r="F23" t="b">
        <v>0</v>
      </c>
    </row>
    <row r="24" spans="1:6" x14ac:dyDescent="0.2">
      <c r="D24" t="b">
        <v>0</v>
      </c>
      <c r="E24" t="b">
        <v>1</v>
      </c>
      <c r="F24" t="b">
        <v>0</v>
      </c>
    </row>
    <row r="26" spans="1:6" x14ac:dyDescent="0.2">
      <c r="D26" t="s">
        <v>43</v>
      </c>
    </row>
    <row r="27" spans="1:6" x14ac:dyDescent="0.2">
      <c r="D27" t="b">
        <v>1</v>
      </c>
      <c r="E27" t="b">
        <v>0</v>
      </c>
      <c r="F27" t="b">
        <v>1</v>
      </c>
    </row>
    <row r="28" spans="1:6" x14ac:dyDescent="0.2">
      <c r="D28" t="b">
        <v>1</v>
      </c>
      <c r="E28" t="b">
        <v>1</v>
      </c>
      <c r="F28" t="b">
        <v>1</v>
      </c>
    </row>
    <row r="29" spans="1:6" x14ac:dyDescent="0.2">
      <c r="D29" t="b">
        <v>0</v>
      </c>
      <c r="E29" t="b">
        <v>0</v>
      </c>
      <c r="F29" t="b">
        <v>0</v>
      </c>
    </row>
    <row r="30" spans="1:6" x14ac:dyDescent="0.2">
      <c r="D30" t="b">
        <v>0</v>
      </c>
      <c r="E30" t="b">
        <v>1</v>
      </c>
      <c r="F30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Arithhmetic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2025-11-27T15:34:59Z</dcterms:created>
  <dcterms:modified xsi:type="dcterms:W3CDTF">2025-11-27T17:31:02Z</dcterms:modified>
</cp:coreProperties>
</file>