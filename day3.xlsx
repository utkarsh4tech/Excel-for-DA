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drawings/drawing2.xml" ContentType="application/vnd.openxmlformats-officedocument.drawing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7FC5A93A-B882-3C43-B297-12A9CB276331}" xr6:coauthVersionLast="47" xr6:coauthVersionMax="47" xr10:uidLastSave="{00000000-0000-0000-0000-000000000000}"/>
  <bookViews>
    <workbookView xWindow="0" yWindow="600" windowWidth="28800" windowHeight="17400" activeTab="1" xr2:uid="{46EC9735-D3C4-1F42-ABC2-96E23C5A8B91}"/>
  </bookViews>
  <sheets>
    <sheet name="agenda" sheetId="1" r:id="rId1"/>
    <sheet name="data_type" sheetId="3" r:id="rId2"/>
    <sheet name="Sheet3" sheetId="4" r:id="rId3"/>
    <sheet name="BASIC_ARITH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7" i="3" l="1"/>
  <c r="C67" i="3"/>
  <c r="B44" i="3"/>
  <c r="C44" i="3"/>
  <c r="C36" i="3"/>
  <c r="B36" i="3"/>
  <c r="C33" i="2"/>
  <c r="B33" i="2"/>
  <c r="C31" i="2"/>
  <c r="B31" i="2"/>
  <c r="D22" i="2"/>
  <c r="C10" i="2"/>
  <c r="B10" i="2"/>
  <c r="B7" i="2"/>
</calcChain>
</file>

<file path=xl/sharedStrings.xml><?xml version="1.0" encoding="utf-8"?>
<sst xmlns="http://schemas.openxmlformats.org/spreadsheetml/2006/main" count="70" uniqueCount="69">
  <si>
    <t>Fundamentals (3)</t>
  </si>
  <si>
    <t>Arithmetic Op</t>
  </si>
  <si>
    <t>Data types</t>
  </si>
  <si>
    <t>Flash Fill</t>
  </si>
  <si>
    <t>Quick Navigation</t>
  </si>
  <si>
    <t xml:space="preserve">Arrow + CTRL </t>
  </si>
  <si>
    <t>NAVIGATION</t>
  </si>
  <si>
    <t>ARROW+SHIFT+CTRL</t>
  </si>
  <si>
    <t>SELECTION</t>
  </si>
  <si>
    <t>CTRL + A</t>
  </si>
  <si>
    <t>Entire data range selection</t>
  </si>
  <si>
    <t>ARITHMETICS vs MATHEMATICS</t>
  </si>
  <si>
    <t>Arthimetics</t>
  </si>
  <si>
    <t>To evaluate a expression</t>
  </si>
  <si>
    <t>we must begin that with = in the cell</t>
  </si>
  <si>
    <t>BODMAS</t>
  </si>
  <si>
    <t>Binary operator</t>
  </si>
  <si>
    <t>bracket</t>
  </si>
  <si>
    <t>of</t>
  </si>
  <si>
    <t>div</t>
  </si>
  <si>
    <t>mul</t>
  </si>
  <si>
    <t>add</t>
  </si>
  <si>
    <t>sub</t>
  </si>
  <si>
    <t>()</t>
  </si>
  <si>
    <t>% or Mul</t>
  </si>
  <si>
    <t>Divide</t>
  </si>
  <si>
    <t>Mul</t>
  </si>
  <si>
    <t>3+(3*2-(4*5))</t>
  </si>
  <si>
    <t>3+(3*2-20)</t>
  </si>
  <si>
    <t>3+(6-20)</t>
  </si>
  <si>
    <t>3+(-14)</t>
  </si>
  <si>
    <t>(-11)</t>
  </si>
  <si>
    <t>Exponents</t>
  </si>
  <si>
    <t>(Repeated Mult.)</t>
  </si>
  <si>
    <t>DATA TYPE</t>
  </si>
  <si>
    <t>NUMBER</t>
  </si>
  <si>
    <t>CURRENCY vs ACCOUNTING</t>
  </si>
  <si>
    <t>Spends (in INR)</t>
  </si>
  <si>
    <t xml:space="preserve">SHORT DATE </t>
  </si>
  <si>
    <t>LONG DATE</t>
  </si>
  <si>
    <t xml:space="preserve">DATES </t>
  </si>
  <si>
    <t>no date is stored for formats</t>
  </si>
  <si>
    <t>Formatting is fetched from local setting</t>
  </si>
  <si>
    <t>ALL DATES are stored as a number In the backend</t>
  </si>
  <si>
    <t>TIME</t>
  </si>
  <si>
    <t>hh:mm:ss</t>
  </si>
  <si>
    <t>24 hour format</t>
  </si>
  <si>
    <t>12 hour format</t>
  </si>
  <si>
    <t>DECIMALS</t>
  </si>
  <si>
    <t>ALL TIME are decimals b/w 0 to 1 mapping 24 hrs of the day</t>
  </si>
  <si>
    <t>4 Aug 2026 TIME 6PM</t>
  </si>
  <si>
    <t>TEXT</t>
  </si>
  <si>
    <t>anything inside " "</t>
  </si>
  <si>
    <t>any combination of characters is called text</t>
  </si>
  <si>
    <t>char: *,s,e,A,s,;,',#</t>
  </si>
  <si>
    <t>%</t>
  </si>
  <si>
    <t>Scientific Notation</t>
  </si>
  <si>
    <t>Fraction</t>
  </si>
  <si>
    <t>PERCENTAGE</t>
  </si>
  <si>
    <t>PER HUNDRED</t>
  </si>
  <si>
    <t>SCIENTIFIC NOT.</t>
  </si>
  <si>
    <t xml:space="preserve">NUMBERS that are too large or </t>
  </si>
  <si>
    <t>too small to write</t>
  </si>
  <si>
    <t>#.{…} * 10^{..}</t>
  </si>
  <si>
    <t>5.0*10^-2</t>
  </si>
  <si>
    <t>5/(10^2)</t>
  </si>
  <si>
    <t>E --&gt; 10 raised to the power</t>
  </si>
  <si>
    <t>FRACTION</t>
  </si>
  <si>
    <t>P/Q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</si>
</sst>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₹&quot;* #,##0.00_);_(&quot;₹&quot;* \(#,##0.00\);_(&quot;₹&quot;* &quot;-&quot;??_);_(@_)"/>
    <numFmt numFmtId="164" formatCode="&quot;₹&quot;#,##0.00"/>
    <numFmt numFmtId="165" formatCode="0.0000"/>
    <numFmt numFmtId="166" formatCode="[$-F800]dddd\,\ mmmm\ dd\,\ yyyy"/>
    <numFmt numFmtId="167" formatCode="[$-409]hh:mm:ss\ AM/PM;@"/>
    <numFmt numFmtId="169" formatCode="#\ ??/16"/>
  </numFmts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2" borderId="0" xfId="0" applyFill="1"/>
    <xf numFmtId="2" fontId="0" fillId="0" borderId="0" xfId="0" applyNumberFormat="1"/>
    <xf numFmtId="165" fontId="0" fillId="0" borderId="0" xfId="0" applyNumberFormat="1"/>
    <xf numFmtId="44" fontId="0" fillId="0" borderId="0" xfId="0" applyNumberFormat="1"/>
    <xf numFmtId="0" fontId="0" fillId="0" borderId="0" xfId="0" applyAlignment="1">
      <alignment vertical="center"/>
    </xf>
    <xf numFmtId="164" fontId="0" fillId="0" borderId="0" xfId="0" applyNumberFormat="1" applyAlignment="1">
      <alignment horizontal="left" vertical="center"/>
    </xf>
    <xf numFmtId="164" fontId="0" fillId="0" borderId="0" xfId="0" applyNumberFormat="1" applyAlignment="1">
      <alignment horizontal="center"/>
    </xf>
    <xf numFmtId="14" fontId="0" fillId="0" borderId="0" xfId="0" applyNumberFormat="1"/>
    <xf numFmtId="166" fontId="0" fillId="0" borderId="0" xfId="0" applyNumberFormat="1"/>
    <xf numFmtId="1" fontId="0" fillId="0" borderId="0" xfId="0" applyNumberFormat="1"/>
    <xf numFmtId="1" fontId="0" fillId="2" borderId="0" xfId="0" applyNumberFormat="1" applyFill="1"/>
    <xf numFmtId="14" fontId="0" fillId="2" borderId="0" xfId="0" applyNumberFormat="1" applyFill="1"/>
    <xf numFmtId="167" fontId="0" fillId="0" borderId="0" xfId="0" applyNumberFormat="1"/>
    <xf numFmtId="22" fontId="0" fillId="0" borderId="0" xfId="0" applyNumberFormat="1"/>
    <xf numFmtId="0" fontId="0" fillId="0" borderId="0" xfId="0" applyAlignment="1">
      <alignment horizontal="center"/>
    </xf>
    <xf numFmtId="13" fontId="0" fillId="0" borderId="0" xfId="0" applyNumberFormat="1"/>
    <xf numFmtId="0" fontId="0" fillId="0" borderId="0" xfId="0" applyNumberFormat="1"/>
    <xf numFmtId="11" fontId="0" fillId="0" borderId="0" xfId="0" applyNumberFormat="1"/>
    <xf numFmtId="12" fontId="0" fillId="0" borderId="0" xfId="0" applyNumberFormat="1"/>
    <xf numFmtId="16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13" Type="http://schemas.openxmlformats.org/officeDocument/2006/relationships/customXml" Target="../ink/ink7.xml"/><Relationship Id="rId3" Type="http://schemas.openxmlformats.org/officeDocument/2006/relationships/customXml" Target="../ink/ink2.xml"/><Relationship Id="rId7" Type="http://schemas.openxmlformats.org/officeDocument/2006/relationships/customXml" Target="../ink/ink4.xml"/><Relationship Id="rId12" Type="http://schemas.openxmlformats.org/officeDocument/2006/relationships/image" Target="../media/image6.png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11" Type="http://schemas.openxmlformats.org/officeDocument/2006/relationships/customXml" Target="../ink/ink6.xml"/><Relationship Id="rId5" Type="http://schemas.openxmlformats.org/officeDocument/2006/relationships/customXml" Target="../ink/ink3.xml"/><Relationship Id="rId15" Type="http://schemas.openxmlformats.org/officeDocument/2006/relationships/customXml" Target="../ink/ink8.xml"/><Relationship Id="rId10" Type="http://schemas.openxmlformats.org/officeDocument/2006/relationships/image" Target="../media/image5.png"/><Relationship Id="rId4" Type="http://schemas.openxmlformats.org/officeDocument/2006/relationships/image" Target="../media/image2.png"/><Relationship Id="rId9" Type="http://schemas.openxmlformats.org/officeDocument/2006/relationships/customXml" Target="../ink/ink5.xml"/><Relationship Id="rId14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image" Target="../media/image70.png"/><Relationship Id="rId18" Type="http://schemas.openxmlformats.org/officeDocument/2006/relationships/customXml" Target="../ink/ink17.xml"/><Relationship Id="rId26" Type="http://schemas.openxmlformats.org/officeDocument/2006/relationships/customXml" Target="../ink/ink21.xml"/><Relationship Id="rId21" Type="http://schemas.openxmlformats.org/officeDocument/2006/relationships/image" Target="../media/image13.png"/><Relationship Id="rId34" Type="http://schemas.openxmlformats.org/officeDocument/2006/relationships/customXml" Target="../ink/ink25.xml"/><Relationship Id="rId7" Type="http://schemas.openxmlformats.org/officeDocument/2006/relationships/image" Target="../media/image40.png"/><Relationship Id="rId12" Type="http://schemas.openxmlformats.org/officeDocument/2006/relationships/customXml" Target="../ink/ink14.xml"/><Relationship Id="rId17" Type="http://schemas.openxmlformats.org/officeDocument/2006/relationships/image" Target="../media/image11.png"/><Relationship Id="rId25" Type="http://schemas.openxmlformats.org/officeDocument/2006/relationships/image" Target="../media/image15.png"/><Relationship Id="rId33" Type="http://schemas.openxmlformats.org/officeDocument/2006/relationships/image" Target="../media/image19.png"/><Relationship Id="rId2" Type="http://schemas.openxmlformats.org/officeDocument/2006/relationships/customXml" Target="../ink/ink9.xml"/><Relationship Id="rId16" Type="http://schemas.openxmlformats.org/officeDocument/2006/relationships/customXml" Target="../ink/ink16.xml"/><Relationship Id="rId20" Type="http://schemas.openxmlformats.org/officeDocument/2006/relationships/customXml" Target="../ink/ink18.xml"/><Relationship Id="rId29" Type="http://schemas.openxmlformats.org/officeDocument/2006/relationships/image" Target="../media/image17.png"/><Relationship Id="rId1" Type="http://schemas.openxmlformats.org/officeDocument/2006/relationships/image" Target="../media/image9.png"/><Relationship Id="rId6" Type="http://schemas.openxmlformats.org/officeDocument/2006/relationships/customXml" Target="../ink/ink11.xml"/><Relationship Id="rId11" Type="http://schemas.openxmlformats.org/officeDocument/2006/relationships/image" Target="../media/image60.png"/><Relationship Id="rId24" Type="http://schemas.openxmlformats.org/officeDocument/2006/relationships/customXml" Target="../ink/ink20.xml"/><Relationship Id="rId32" Type="http://schemas.openxmlformats.org/officeDocument/2006/relationships/customXml" Target="../ink/ink24.xml"/><Relationship Id="rId37" Type="http://schemas.openxmlformats.org/officeDocument/2006/relationships/image" Target="../media/image21.png"/><Relationship Id="rId5" Type="http://schemas.openxmlformats.org/officeDocument/2006/relationships/image" Target="../media/image30.png"/><Relationship Id="rId15" Type="http://schemas.openxmlformats.org/officeDocument/2006/relationships/image" Target="../media/image10.png"/><Relationship Id="rId23" Type="http://schemas.openxmlformats.org/officeDocument/2006/relationships/image" Target="../media/image14.png"/><Relationship Id="rId28" Type="http://schemas.openxmlformats.org/officeDocument/2006/relationships/customXml" Target="../ink/ink22.xml"/><Relationship Id="rId36" Type="http://schemas.openxmlformats.org/officeDocument/2006/relationships/customXml" Target="../ink/ink26.xml"/><Relationship Id="rId10" Type="http://schemas.openxmlformats.org/officeDocument/2006/relationships/customXml" Target="../ink/ink13.xml"/><Relationship Id="rId19" Type="http://schemas.openxmlformats.org/officeDocument/2006/relationships/image" Target="../media/image12.png"/><Relationship Id="rId31" Type="http://schemas.openxmlformats.org/officeDocument/2006/relationships/image" Target="../media/image18.png"/><Relationship Id="rId4" Type="http://schemas.openxmlformats.org/officeDocument/2006/relationships/customXml" Target="../ink/ink10.xml"/><Relationship Id="rId9" Type="http://schemas.openxmlformats.org/officeDocument/2006/relationships/image" Target="../media/image50.png"/><Relationship Id="rId14" Type="http://schemas.openxmlformats.org/officeDocument/2006/relationships/customXml" Target="../ink/ink15.xml"/><Relationship Id="rId22" Type="http://schemas.openxmlformats.org/officeDocument/2006/relationships/customXml" Target="../ink/ink19.xml"/><Relationship Id="rId27" Type="http://schemas.openxmlformats.org/officeDocument/2006/relationships/image" Target="../media/image16.png"/><Relationship Id="rId30" Type="http://schemas.openxmlformats.org/officeDocument/2006/relationships/customXml" Target="../ink/ink23.xml"/><Relationship Id="rId35" Type="http://schemas.openxmlformats.org/officeDocument/2006/relationships/image" Target="../media/image20.png"/><Relationship Id="rId8" Type="http://schemas.openxmlformats.org/officeDocument/2006/relationships/customXml" Target="../ink/ink12.xml"/><Relationship Id="rId3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565200</xdr:colOff>
      <xdr:row>51</xdr:row>
      <xdr:rowOff>24966</xdr:rowOff>
    </xdr:from>
    <xdr:to>
      <xdr:col>1</xdr:col>
      <xdr:colOff>690120</xdr:colOff>
      <xdr:row>51</xdr:row>
      <xdr:rowOff>180486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BA8F0CA7-4C2A-94F6-CB3B-E437604C7E61}"/>
                </a:ext>
              </a:extLst>
            </xdr14:cNvPr>
            <xdr14:cNvContentPartPr/>
          </xdr14:nvContentPartPr>
          <xdr14:nvPr macro=""/>
          <xdr14:xfrm>
            <a:off x="1390320" y="10302840"/>
            <a:ext cx="124920" cy="155520"/>
          </xdr14:xfrm>
        </xdr:contentPart>
      </mc:Choice>
      <mc:Fallback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BA8F0CA7-4C2A-94F6-CB3B-E437604C7E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84200" y="10296720"/>
              <a:ext cx="137160" cy="167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515520</xdr:colOff>
      <xdr:row>52</xdr:row>
      <xdr:rowOff>56359</xdr:rowOff>
    </xdr:from>
    <xdr:to>
      <xdr:col>1</xdr:col>
      <xdr:colOff>738360</xdr:colOff>
      <xdr:row>52</xdr:row>
      <xdr:rowOff>56719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D1B51B29-BD39-2E67-F42C-35E35D8C3A17}"/>
                </a:ext>
              </a:extLst>
            </xdr14:cNvPr>
            <xdr14:cNvContentPartPr/>
          </xdr14:nvContentPartPr>
          <xdr14:nvPr macro=""/>
          <xdr14:xfrm>
            <a:off x="1340640" y="10535760"/>
            <a:ext cx="222840" cy="36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D1B51B29-BD39-2E67-F42C-35E35D8C3A17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34520" y="10529640"/>
              <a:ext cx="23508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551448</xdr:colOff>
      <xdr:row>50</xdr:row>
      <xdr:rowOff>47573</xdr:rowOff>
    </xdr:from>
    <xdr:to>
      <xdr:col>3</xdr:col>
      <xdr:colOff>62928</xdr:colOff>
      <xdr:row>51</xdr:row>
      <xdr:rowOff>146286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03CAA024-4832-150A-B04C-EB50EF1E5BB0}"/>
                </a:ext>
              </a:extLst>
            </xdr14:cNvPr>
            <xdr14:cNvContentPartPr/>
          </xdr14:nvContentPartPr>
          <xdr14:nvPr macro=""/>
          <xdr14:xfrm>
            <a:off x="2825280" y="10123920"/>
            <a:ext cx="336600" cy="300240"/>
          </xdr14:xfrm>
        </xdr:contentPart>
      </mc:Choice>
      <mc:Fallback>
        <xdr:pic>
          <xdr:nvPicPr>
            <xdr:cNvPr id="20" name="Ink 19">
              <a:extLst>
                <a:ext uri="{FF2B5EF4-FFF2-40B4-BE49-F238E27FC236}">
                  <a16:creationId xmlns:a16="http://schemas.microsoft.com/office/drawing/2014/main" id="{03CAA024-4832-150A-B04C-EB50EF1E5BB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819160" y="10117800"/>
              <a:ext cx="348840" cy="312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1422720</xdr:colOff>
      <xdr:row>51</xdr:row>
      <xdr:rowOff>1206</xdr:rowOff>
    </xdr:from>
    <xdr:to>
      <xdr:col>2</xdr:col>
      <xdr:colOff>365688</xdr:colOff>
      <xdr:row>51</xdr:row>
      <xdr:rowOff>192366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127BA509-D43B-F613-F56B-1DFEE11C5005}"/>
                </a:ext>
              </a:extLst>
            </xdr14:cNvPr>
            <xdr14:cNvContentPartPr/>
          </xdr14:nvContentPartPr>
          <xdr14:nvPr macro=""/>
          <xdr14:xfrm>
            <a:off x="2247840" y="10279080"/>
            <a:ext cx="391680" cy="191160"/>
          </xdr14:xfrm>
        </xdr:contentPart>
      </mc:Choice>
      <mc:Fallback>
        <xdr:pic>
          <xdr:nvPicPr>
            <xdr:cNvPr id="21" name="Ink 20">
              <a:extLst>
                <a:ext uri="{FF2B5EF4-FFF2-40B4-BE49-F238E27FC236}">
                  <a16:creationId xmlns:a16="http://schemas.microsoft.com/office/drawing/2014/main" id="{127BA509-D43B-F613-F56B-1DFEE11C5005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2241714" y="10272960"/>
              <a:ext cx="403931" cy="203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1060560</xdr:colOff>
      <xdr:row>51</xdr:row>
      <xdr:rowOff>175086</xdr:rowOff>
    </xdr:from>
    <xdr:to>
      <xdr:col>1</xdr:col>
      <xdr:colOff>1227240</xdr:colOff>
      <xdr:row>52</xdr:row>
      <xdr:rowOff>30079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4EAE61C7-3BA9-6135-916B-5604491765D2}"/>
                </a:ext>
              </a:extLst>
            </xdr14:cNvPr>
            <xdr14:cNvContentPartPr/>
          </xdr14:nvContentPartPr>
          <xdr14:nvPr macro=""/>
          <xdr14:xfrm>
            <a:off x="1885680" y="10452960"/>
            <a:ext cx="166680" cy="56520"/>
          </xdr14:xfrm>
        </xdr:contentPart>
      </mc:Choice>
      <mc:Fallback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4EAE61C7-3BA9-6135-916B-5604491765D2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879547" y="10446840"/>
              <a:ext cx="178946" cy="68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478440</xdr:colOff>
      <xdr:row>52</xdr:row>
      <xdr:rowOff>156439</xdr:rowOff>
    </xdr:from>
    <xdr:to>
      <xdr:col>1</xdr:col>
      <xdr:colOff>706680</xdr:colOff>
      <xdr:row>53</xdr:row>
      <xdr:rowOff>166232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23" name="Ink 22">
              <a:extLst>
                <a:ext uri="{FF2B5EF4-FFF2-40B4-BE49-F238E27FC236}">
                  <a16:creationId xmlns:a16="http://schemas.microsoft.com/office/drawing/2014/main" id="{35B67B47-546B-6848-D78A-23FF907539D3}"/>
                </a:ext>
              </a:extLst>
            </xdr14:cNvPr>
            <xdr14:cNvContentPartPr/>
          </xdr14:nvContentPartPr>
          <xdr14:nvPr macro=""/>
          <xdr14:xfrm>
            <a:off x="1303560" y="10635840"/>
            <a:ext cx="228240" cy="211320"/>
          </xdr14:xfrm>
        </xdr:contentPart>
      </mc:Choice>
      <mc:Fallback>
        <xdr:pic>
          <xdr:nvPicPr>
            <xdr:cNvPr id="23" name="Ink 22">
              <a:extLst>
                <a:ext uri="{FF2B5EF4-FFF2-40B4-BE49-F238E27FC236}">
                  <a16:creationId xmlns:a16="http://schemas.microsoft.com/office/drawing/2014/main" id="{35B67B47-546B-6848-D78A-23FF907539D3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1297440" y="10629730"/>
              <a:ext cx="240480" cy="22353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354528</xdr:colOff>
      <xdr:row>54</xdr:row>
      <xdr:rowOff>93945</xdr:rowOff>
    </xdr:from>
    <xdr:to>
      <xdr:col>3</xdr:col>
      <xdr:colOff>420048</xdr:colOff>
      <xdr:row>55</xdr:row>
      <xdr:rowOff>193018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36" name="Ink 35">
              <a:extLst>
                <a:ext uri="{FF2B5EF4-FFF2-40B4-BE49-F238E27FC236}">
                  <a16:creationId xmlns:a16="http://schemas.microsoft.com/office/drawing/2014/main" id="{3EB61F04-7B67-DDDC-866C-3040C097E8C1}"/>
                </a:ext>
              </a:extLst>
            </xdr14:cNvPr>
            <xdr14:cNvContentPartPr/>
          </xdr14:nvContentPartPr>
          <xdr14:nvPr macro=""/>
          <xdr14:xfrm>
            <a:off x="2628360" y="10976400"/>
            <a:ext cx="890640" cy="300600"/>
          </xdr14:xfrm>
        </xdr:contentPart>
      </mc:Choice>
      <mc:Fallback>
        <xdr:pic>
          <xdr:nvPicPr>
            <xdr:cNvPr id="36" name="Ink 35">
              <a:extLst>
                <a:ext uri="{FF2B5EF4-FFF2-40B4-BE49-F238E27FC236}">
                  <a16:creationId xmlns:a16="http://schemas.microsoft.com/office/drawing/2014/main" id="{3EB61F04-7B67-DDDC-866C-3040C097E8C1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2622242" y="10970273"/>
              <a:ext cx="902875" cy="31285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948240</xdr:colOff>
      <xdr:row>54</xdr:row>
      <xdr:rowOff>191865</xdr:rowOff>
    </xdr:from>
    <xdr:to>
      <xdr:col>2</xdr:col>
      <xdr:colOff>78048</xdr:colOff>
      <xdr:row>57</xdr:row>
      <xdr:rowOff>14604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38" name="Ink 37">
              <a:extLst>
                <a:ext uri="{FF2B5EF4-FFF2-40B4-BE49-F238E27FC236}">
                  <a16:creationId xmlns:a16="http://schemas.microsoft.com/office/drawing/2014/main" id="{9FB8F3AF-70D4-E2D1-3E5A-E05EEA221386}"/>
                </a:ext>
              </a:extLst>
            </xdr14:cNvPr>
            <xdr14:cNvContentPartPr/>
          </xdr14:nvContentPartPr>
          <xdr14:nvPr macro=""/>
          <xdr14:xfrm>
            <a:off x="1773360" y="11074320"/>
            <a:ext cx="578520" cy="427320"/>
          </xdr14:xfrm>
        </xdr:contentPart>
      </mc:Choice>
      <mc:Fallback>
        <xdr:pic>
          <xdr:nvPicPr>
            <xdr:cNvPr id="38" name="Ink 37">
              <a:extLst>
                <a:ext uri="{FF2B5EF4-FFF2-40B4-BE49-F238E27FC236}">
                  <a16:creationId xmlns:a16="http://schemas.microsoft.com/office/drawing/2014/main" id="{9FB8F3AF-70D4-E2D1-3E5A-E05EEA221386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1767240" y="11068200"/>
              <a:ext cx="590760" cy="43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473075</xdr:colOff>
      <xdr:row>4</xdr:row>
      <xdr:rowOff>146052</xdr:rowOff>
    </xdr:from>
    <xdr:to>
      <xdr:col>1</xdr:col>
      <xdr:colOff>470535</xdr:colOff>
      <xdr:row>12</xdr:row>
      <xdr:rowOff>162399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687D2A-C0AD-7461-A5B2-345BEF158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3075" y="958852"/>
          <a:ext cx="822960" cy="1641947"/>
        </a:xfrm>
        <a:prstGeom prst="rect">
          <a:avLst/>
        </a:prstGeom>
      </xdr:spPr>
    </xdr:pic>
    <xdr:clientData/>
  </xdr:twoCellAnchor>
  <xdr:twoCellAnchor editAs="oneCell">
    <xdr:from>
      <xdr:col>2</xdr:col>
      <xdr:colOff>664880</xdr:colOff>
      <xdr:row>5</xdr:row>
      <xdr:rowOff>94960</xdr:rowOff>
    </xdr:from>
    <xdr:to>
      <xdr:col>3</xdr:col>
      <xdr:colOff>213240</xdr:colOff>
      <xdr:row>6</xdr:row>
      <xdr:rowOff>193440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6E343927-A8F3-63F0-711A-3E5B95E06F08}"/>
                </a:ext>
              </a:extLst>
            </xdr14:cNvPr>
            <xdr14:cNvContentPartPr/>
          </xdr14:nvContentPartPr>
          <xdr14:nvPr macro=""/>
          <xdr14:xfrm>
            <a:off x="2315880" y="1110960"/>
            <a:ext cx="716760" cy="30168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6E343927-A8F3-63F0-711A-3E5B95E06F08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2309760" y="1104840"/>
              <a:ext cx="729000" cy="313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545000</xdr:colOff>
      <xdr:row>7</xdr:row>
      <xdr:rowOff>16880</xdr:rowOff>
    </xdr:from>
    <xdr:to>
      <xdr:col>3</xdr:col>
      <xdr:colOff>494760</xdr:colOff>
      <xdr:row>8</xdr:row>
      <xdr:rowOff>13120</xdr:rowOff>
    </xdr:to>
    <mc:AlternateContent xmlns:mc="http://schemas.openxmlformats.org/markup-compatibility/2006" xmlns:xdr14="http://schemas.microsoft.com/office/excel/2010/spreadsheetDrawing" xmlns:aink="http://schemas.microsoft.com/office/drawing/2016/ink">
      <mc:Choice Requires="xdr14 aink">
        <xdr:contentPart xmlns:r="http://schemas.openxmlformats.org/officeDocument/2006/relationships" r:id="rId4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83AB2A00-56B7-D483-07AF-FFC5A5A5E731}"/>
                </a:ext>
              </a:extLst>
            </xdr14:cNvPr>
            <xdr14:cNvContentPartPr/>
          </xdr14:nvContentPartPr>
          <xdr14:nvPr macro=""/>
          <xdr14:xfrm>
            <a:off x="2196000" y="1439280"/>
            <a:ext cx="1118160" cy="19944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83AB2A00-56B7-D483-07AF-FFC5A5A5E731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2187000" y="1385280"/>
              <a:ext cx="1135800" cy="307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319640</xdr:colOff>
      <xdr:row>7</xdr:row>
      <xdr:rowOff>96440</xdr:rowOff>
    </xdr:from>
    <xdr:to>
      <xdr:col>2</xdr:col>
      <xdr:colOff>475160</xdr:colOff>
      <xdr:row>8</xdr:row>
      <xdr:rowOff>169360</xdr:rowOff>
    </xdr:to>
    <mc:AlternateContent xmlns:mc="http://schemas.openxmlformats.org/markup-compatibility/2006" xmlns:xdr14="http://schemas.microsoft.com/office/excel/2010/spreadsheetDrawing" xmlns:aink="http://schemas.microsoft.com/office/drawing/2016/ink">
      <mc:Choice Requires="xdr14 aink">
        <xdr:contentPart xmlns:r="http://schemas.openxmlformats.org/officeDocument/2006/relationships" r:id="rId6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6FE12EA4-F95F-5BD0-5313-6EBBB1C46003}"/>
                </a:ext>
              </a:extLst>
            </xdr14:cNvPr>
            <xdr14:cNvContentPartPr/>
          </xdr14:nvContentPartPr>
          <xdr14:nvPr macro=""/>
          <xdr14:xfrm>
            <a:off x="1970640" y="1518840"/>
            <a:ext cx="155520" cy="276120"/>
          </xdr14:xfrm>
        </xdr:contentPart>
      </mc:Choice>
      <mc:Fallback xmlns=""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6FE12EA4-F95F-5BD0-5313-6EBBB1C46003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1961640" y="1464840"/>
              <a:ext cx="173160" cy="383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620940</xdr:colOff>
      <xdr:row>8</xdr:row>
      <xdr:rowOff>72880</xdr:rowOff>
    </xdr:from>
    <xdr:to>
      <xdr:col>3</xdr:col>
      <xdr:colOff>862140</xdr:colOff>
      <xdr:row>8</xdr:row>
      <xdr:rowOff>159640</xdr:rowOff>
    </xdr:to>
    <mc:AlternateContent xmlns:mc="http://schemas.openxmlformats.org/markup-compatibility/2006" xmlns:xdr14="http://schemas.microsoft.com/office/excel/2010/spreadsheetDrawing" xmlns:aink="http://schemas.microsoft.com/office/drawing/2016/ink">
      <mc:Choice Requires="xdr14 aink">
        <xdr:contentPart xmlns:r="http://schemas.openxmlformats.org/officeDocument/2006/relationships" r:id="rId8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455939D4-C6B8-A825-D414-3DC616559BBB}"/>
                </a:ext>
              </a:extLst>
            </xdr14:cNvPr>
            <xdr14:cNvContentPartPr/>
          </xdr14:nvContentPartPr>
          <xdr14:nvPr macro=""/>
          <xdr14:xfrm>
            <a:off x="3097440" y="1698480"/>
            <a:ext cx="241200" cy="86760"/>
          </xdr14:xfrm>
        </xdr:contentPart>
      </mc:Choice>
      <mc:Fallback xmlns=""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455939D4-C6B8-A825-D414-3DC616559BBB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3088440" y="1644480"/>
              <a:ext cx="258840" cy="194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216340</xdr:colOff>
      <xdr:row>6</xdr:row>
      <xdr:rowOff>124320</xdr:rowOff>
    </xdr:from>
    <xdr:to>
      <xdr:col>1</xdr:col>
      <xdr:colOff>305620</xdr:colOff>
      <xdr:row>7</xdr:row>
      <xdr:rowOff>136760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F7B647D0-67B2-6E53-BA89-94F35BBEACD7}"/>
                </a:ext>
              </a:extLst>
            </xdr14:cNvPr>
            <xdr14:cNvContentPartPr/>
          </xdr14:nvContentPartPr>
          <xdr14:nvPr macro=""/>
          <xdr14:xfrm>
            <a:off x="1041840" y="1343520"/>
            <a:ext cx="89280" cy="215640"/>
          </xdr14:xfrm>
        </xdr:contentPart>
      </mc:Choice>
      <mc:Fallback xmlns=""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F7B647D0-67B2-6E53-BA89-94F35BBEACD7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1035720" y="1337410"/>
              <a:ext cx="101520" cy="2278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248740</xdr:colOff>
      <xdr:row>8</xdr:row>
      <xdr:rowOff>36520</xdr:rowOff>
    </xdr:from>
    <xdr:to>
      <xdr:col>1</xdr:col>
      <xdr:colOff>293020</xdr:colOff>
      <xdr:row>9</xdr:row>
      <xdr:rowOff>26640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3308FBCA-2288-6E4E-05BA-24D8D96C1FD1}"/>
                </a:ext>
              </a:extLst>
            </xdr14:cNvPr>
            <xdr14:cNvContentPartPr/>
          </xdr14:nvContentPartPr>
          <xdr14:nvPr macro=""/>
          <xdr14:xfrm>
            <a:off x="1074240" y="1662120"/>
            <a:ext cx="44280" cy="193320"/>
          </xdr14:xfrm>
        </xdr:contentPart>
      </mc:Choice>
      <mc:Fallback xmlns=""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3308FBCA-2288-6E4E-05BA-24D8D96C1FD1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1068120" y="1656000"/>
              <a:ext cx="56520" cy="205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1313940</xdr:colOff>
      <xdr:row>84</xdr:row>
      <xdr:rowOff>186720</xdr:rowOff>
    </xdr:from>
    <xdr:to>
      <xdr:col>3</xdr:col>
      <xdr:colOff>1426980</xdr:colOff>
      <xdr:row>84</xdr:row>
      <xdr:rowOff>193560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BEEC8E59-0D20-0A15-3DFB-E615A4C93ECF}"/>
                </a:ext>
              </a:extLst>
            </xdr14:cNvPr>
            <xdr14:cNvContentPartPr/>
          </xdr14:nvContentPartPr>
          <xdr14:nvPr macro=""/>
          <xdr14:xfrm>
            <a:off x="4476240" y="17255520"/>
            <a:ext cx="113040" cy="684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BEEC8E59-0D20-0A15-3DFB-E615A4C93ECF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4470120" y="17249400"/>
              <a:ext cx="125280" cy="19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668820</xdr:colOff>
      <xdr:row>84</xdr:row>
      <xdr:rowOff>165840</xdr:rowOff>
    </xdr:from>
    <xdr:to>
      <xdr:col>3</xdr:col>
      <xdr:colOff>989580</xdr:colOff>
      <xdr:row>85</xdr:row>
      <xdr:rowOff>41480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2114ED0F-FE43-9C47-2598-23A61F767A72}"/>
                </a:ext>
              </a:extLst>
            </xdr14:cNvPr>
            <xdr14:cNvContentPartPr/>
          </xdr14:nvContentPartPr>
          <xdr14:nvPr macro=""/>
          <xdr14:xfrm>
            <a:off x="3831120" y="17234640"/>
            <a:ext cx="320760" cy="78840"/>
          </xdr14:xfrm>
        </xdr:contentPart>
      </mc:Choice>
      <mc:Fallback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2114ED0F-FE43-9C47-2598-23A61F767A72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3825000" y="17228520"/>
              <a:ext cx="333000" cy="91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444580</xdr:colOff>
      <xdr:row>87</xdr:row>
      <xdr:rowOff>202440</xdr:rowOff>
    </xdr:from>
    <xdr:to>
      <xdr:col>1</xdr:col>
      <xdr:colOff>594340</xdr:colOff>
      <xdr:row>88</xdr:row>
      <xdr:rowOff>44960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CA1DCF4F-9E70-FC81-E8A8-18BB6CD23475}"/>
                </a:ext>
              </a:extLst>
            </xdr14:cNvPr>
            <xdr14:cNvContentPartPr/>
          </xdr14:nvContentPartPr>
          <xdr14:nvPr macro=""/>
          <xdr14:xfrm>
            <a:off x="1270080" y="17880840"/>
            <a:ext cx="149760" cy="45720"/>
          </xdr14:xfrm>
        </xdr:contentPart>
      </mc:Choice>
      <mc:Fallback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CA1DCF4F-9E70-FC81-E8A8-18BB6CD23475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1263960" y="17874720"/>
              <a:ext cx="162000" cy="57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219380</xdr:colOff>
      <xdr:row>85</xdr:row>
      <xdr:rowOff>10160</xdr:rowOff>
    </xdr:from>
    <xdr:to>
      <xdr:col>2</xdr:col>
      <xdr:colOff>540500</xdr:colOff>
      <xdr:row>86</xdr:row>
      <xdr:rowOff>7120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5BF24AE4-2BEB-1126-9BA6-C85CE79FF2A5}"/>
                </a:ext>
              </a:extLst>
            </xdr14:cNvPr>
            <xdr14:cNvContentPartPr/>
          </xdr14:nvContentPartPr>
          <xdr14:nvPr macro=""/>
          <xdr14:xfrm>
            <a:off x="2213280" y="17282160"/>
            <a:ext cx="321120" cy="200160"/>
          </xdr14:xfrm>
        </xdr:contentPart>
      </mc:Choice>
      <mc:Fallback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5BF24AE4-2BEB-1126-9BA6-C85CE79FF2A5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2207160" y="17276040"/>
              <a:ext cx="333360" cy="212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445460</xdr:colOff>
      <xdr:row>84</xdr:row>
      <xdr:rowOff>186000</xdr:rowOff>
    </xdr:from>
    <xdr:to>
      <xdr:col>3</xdr:col>
      <xdr:colOff>1138620</xdr:colOff>
      <xdr:row>86</xdr:row>
      <xdr:rowOff>140680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2B1AE8F5-B1A7-F890-91E7-80FFFA9136D3}"/>
                </a:ext>
              </a:extLst>
            </xdr14:cNvPr>
            <xdr14:cNvContentPartPr/>
          </xdr14:nvContentPartPr>
          <xdr14:nvPr macro=""/>
          <xdr14:xfrm>
            <a:off x="2439360" y="17254800"/>
            <a:ext cx="1861560" cy="361080"/>
          </xdr14:xfrm>
        </xdr:contentPart>
      </mc:Choice>
      <mc:Fallback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2B1AE8F5-B1A7-F890-91E7-80FFFA9136D3}"/>
                </a:ext>
              </a:extLst>
            </xdr:cNvPr>
            <xdr:cNvPicPr/>
          </xdr:nvPicPr>
          <xdr:blipFill>
            <a:blip xmlns:r="http://schemas.openxmlformats.org/officeDocument/2006/relationships" r:embed="rId23"/>
            <a:stretch>
              <a:fillRect/>
            </a:stretch>
          </xdr:blipFill>
          <xdr:spPr>
            <a:xfrm>
              <a:off x="2433240" y="17248680"/>
              <a:ext cx="1873800" cy="373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1230060</xdr:colOff>
      <xdr:row>84</xdr:row>
      <xdr:rowOff>48120</xdr:rowOff>
    </xdr:from>
    <xdr:to>
      <xdr:col>4</xdr:col>
      <xdr:colOff>30560</xdr:colOff>
      <xdr:row>85</xdr:row>
      <xdr:rowOff>41120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4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FD782847-D8CE-BBA9-14B9-3DAC82FF3C68}"/>
                </a:ext>
              </a:extLst>
            </xdr14:cNvPr>
            <xdr14:cNvContentPartPr/>
          </xdr14:nvContentPartPr>
          <xdr14:nvPr macro=""/>
          <xdr14:xfrm>
            <a:off x="4392360" y="17116920"/>
            <a:ext cx="261000" cy="196200"/>
          </xdr14:xfrm>
        </xdr:contentPart>
      </mc:Choice>
      <mc:Fallback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FD782847-D8CE-BBA9-14B9-3DAC82FF3C68}"/>
                </a:ext>
              </a:extLst>
            </xdr:cNvPr>
            <xdr:cNvPicPr/>
          </xdr:nvPicPr>
          <xdr:blipFill>
            <a:blip xmlns:r="http://schemas.openxmlformats.org/officeDocument/2006/relationships" r:embed="rId25"/>
            <a:stretch>
              <a:fillRect/>
            </a:stretch>
          </xdr:blipFill>
          <xdr:spPr>
            <a:xfrm>
              <a:off x="4386240" y="17110800"/>
              <a:ext cx="273240" cy="208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770540</xdr:colOff>
      <xdr:row>90</xdr:row>
      <xdr:rowOff>146160</xdr:rowOff>
    </xdr:from>
    <xdr:to>
      <xdr:col>2</xdr:col>
      <xdr:colOff>771980</xdr:colOff>
      <xdr:row>91</xdr:row>
      <xdr:rowOff>187760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6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81773B7C-146E-2BBA-A9A7-0CCEB9505935}"/>
                </a:ext>
              </a:extLst>
            </xdr14:cNvPr>
            <xdr14:cNvContentPartPr/>
          </xdr14:nvContentPartPr>
          <xdr14:nvPr macro=""/>
          <xdr14:xfrm>
            <a:off x="2764440" y="18434160"/>
            <a:ext cx="1440" cy="244800"/>
          </xdr14:xfrm>
        </xdr:contentPart>
      </mc:Choice>
      <mc:Fallback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81773B7C-146E-2BBA-A9A7-0CCEB9505935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2758320" y="18428040"/>
              <a:ext cx="13680" cy="257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149340</xdr:colOff>
      <xdr:row>91</xdr:row>
      <xdr:rowOff>60680</xdr:rowOff>
    </xdr:from>
    <xdr:to>
      <xdr:col>3</xdr:col>
      <xdr:colOff>909660</xdr:colOff>
      <xdr:row>92</xdr:row>
      <xdr:rowOff>9040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8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5969D82B-AFE7-B51A-C772-BE63F993DB17}"/>
                </a:ext>
              </a:extLst>
            </xdr14:cNvPr>
            <xdr14:cNvContentPartPr/>
          </xdr14:nvContentPartPr>
          <xdr14:nvPr macro=""/>
          <xdr14:xfrm>
            <a:off x="3311640" y="18551880"/>
            <a:ext cx="760320" cy="151560"/>
          </xdr14:xfrm>
        </xdr:contentPart>
      </mc:Choice>
      <mc:Fallback>
        <xdr:pic>
          <xdr:nvPicPr>
            <xdr:cNvPr id="27" name="Ink 26">
              <a:extLst>
                <a:ext uri="{FF2B5EF4-FFF2-40B4-BE49-F238E27FC236}">
                  <a16:creationId xmlns:a16="http://schemas.microsoft.com/office/drawing/2014/main" id="{5969D82B-AFE7-B51A-C772-BE63F993DB17}"/>
                </a:ext>
              </a:extLst>
            </xdr:cNvPr>
            <xdr:cNvPicPr/>
          </xdr:nvPicPr>
          <xdr:blipFill>
            <a:blip xmlns:r="http://schemas.openxmlformats.org/officeDocument/2006/relationships" r:embed="rId29"/>
            <a:stretch>
              <a:fillRect/>
            </a:stretch>
          </xdr:blipFill>
          <xdr:spPr>
            <a:xfrm>
              <a:off x="3305517" y="18545745"/>
              <a:ext cx="772566" cy="16382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1084980</xdr:colOff>
      <xdr:row>90</xdr:row>
      <xdr:rowOff>153720</xdr:rowOff>
    </xdr:from>
    <xdr:to>
      <xdr:col>3</xdr:col>
      <xdr:colOff>1365420</xdr:colOff>
      <xdr:row>91</xdr:row>
      <xdr:rowOff>176960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0">
          <xdr14:nvContentPartPr>
            <xdr14:cNvPr id="31" name="Ink 30">
              <a:extLst>
                <a:ext uri="{FF2B5EF4-FFF2-40B4-BE49-F238E27FC236}">
                  <a16:creationId xmlns:a16="http://schemas.microsoft.com/office/drawing/2014/main" id="{BC89BF12-C2E0-3B08-FC7B-38321F34D41E}"/>
                </a:ext>
              </a:extLst>
            </xdr14:cNvPr>
            <xdr14:cNvContentPartPr/>
          </xdr14:nvContentPartPr>
          <xdr14:nvPr macro=""/>
          <xdr14:xfrm>
            <a:off x="4247280" y="18441720"/>
            <a:ext cx="280440" cy="226440"/>
          </xdr14:xfrm>
        </xdr:contentPart>
      </mc:Choice>
      <mc:Fallback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BC89BF12-C2E0-3B08-FC7B-38321F34D41E}"/>
                </a:ext>
              </a:extLst>
            </xdr:cNvPr>
            <xdr:cNvPicPr/>
          </xdr:nvPicPr>
          <xdr:blipFill>
            <a:blip xmlns:r="http://schemas.openxmlformats.org/officeDocument/2006/relationships" r:embed="rId31"/>
            <a:stretch>
              <a:fillRect/>
            </a:stretch>
          </xdr:blipFill>
          <xdr:spPr>
            <a:xfrm>
              <a:off x="4241160" y="18435590"/>
              <a:ext cx="292680" cy="23869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1002020</xdr:colOff>
      <xdr:row>92</xdr:row>
      <xdr:rowOff>157360</xdr:rowOff>
    </xdr:from>
    <xdr:to>
      <xdr:col>2</xdr:col>
      <xdr:colOff>1002380</xdr:colOff>
      <xdr:row>92</xdr:row>
      <xdr:rowOff>157720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2">
          <xdr14:nvContentPartPr>
            <xdr14:cNvPr id="32" name="Ink 31">
              <a:extLst>
                <a:ext uri="{FF2B5EF4-FFF2-40B4-BE49-F238E27FC236}">
                  <a16:creationId xmlns:a16="http://schemas.microsoft.com/office/drawing/2014/main" id="{6C28873D-206F-CF08-32F2-C0275D11F51C}"/>
                </a:ext>
              </a:extLst>
            </xdr14:cNvPr>
            <xdr14:cNvContentPartPr/>
          </xdr14:nvContentPartPr>
          <xdr14:nvPr macro=""/>
          <xdr14:xfrm>
            <a:off x="2995920" y="18851760"/>
            <a:ext cx="360" cy="360"/>
          </xdr14:xfrm>
        </xdr:contentPart>
      </mc:Choice>
      <mc:Fallback>
        <xdr:pic>
          <xdr:nvPicPr>
            <xdr:cNvPr id="32" name="Ink 31">
              <a:extLst>
                <a:ext uri="{FF2B5EF4-FFF2-40B4-BE49-F238E27FC236}">
                  <a16:creationId xmlns:a16="http://schemas.microsoft.com/office/drawing/2014/main" id="{6C28873D-206F-CF08-32F2-C0275D11F51C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2987280" y="1884276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145020</xdr:colOff>
      <xdr:row>92</xdr:row>
      <xdr:rowOff>1120</xdr:rowOff>
    </xdr:from>
    <xdr:to>
      <xdr:col>4</xdr:col>
      <xdr:colOff>38480</xdr:colOff>
      <xdr:row>93</xdr:row>
      <xdr:rowOff>23640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4">
          <xdr14:nvContentPartPr>
            <xdr14:cNvPr id="43" name="Ink 42">
              <a:extLst>
                <a:ext uri="{FF2B5EF4-FFF2-40B4-BE49-F238E27FC236}">
                  <a16:creationId xmlns:a16="http://schemas.microsoft.com/office/drawing/2014/main" id="{F0079343-68BE-2AC7-9F01-7F7A827009FB}"/>
                </a:ext>
              </a:extLst>
            </xdr14:cNvPr>
            <xdr14:cNvContentPartPr/>
          </xdr14:nvContentPartPr>
          <xdr14:nvPr macro=""/>
          <xdr14:xfrm>
            <a:off x="3307320" y="18695520"/>
            <a:ext cx="1353960" cy="225720"/>
          </xdr14:xfrm>
        </xdr:contentPart>
      </mc:Choice>
      <mc:Fallback>
        <xdr:pic>
          <xdr:nvPicPr>
            <xdr:cNvPr id="43" name="Ink 42">
              <a:extLst>
                <a:ext uri="{FF2B5EF4-FFF2-40B4-BE49-F238E27FC236}">
                  <a16:creationId xmlns:a16="http://schemas.microsoft.com/office/drawing/2014/main" id="{F0079343-68BE-2AC7-9F01-7F7A827009FB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3298680" y="18686520"/>
              <a:ext cx="1371600" cy="243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918860</xdr:colOff>
      <xdr:row>92</xdr:row>
      <xdr:rowOff>187600</xdr:rowOff>
    </xdr:from>
    <xdr:to>
      <xdr:col>2</xdr:col>
      <xdr:colOff>934700</xdr:colOff>
      <xdr:row>94</xdr:row>
      <xdr:rowOff>53000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6">
          <xdr14:nvContentPartPr>
            <xdr14:cNvPr id="44" name="Ink 43">
              <a:extLst>
                <a:ext uri="{FF2B5EF4-FFF2-40B4-BE49-F238E27FC236}">
                  <a16:creationId xmlns:a16="http://schemas.microsoft.com/office/drawing/2014/main" id="{DC10562A-5CA8-6834-E32B-A8EB5AA1CB69}"/>
                </a:ext>
              </a:extLst>
            </xdr14:cNvPr>
            <xdr14:cNvContentPartPr/>
          </xdr14:nvContentPartPr>
          <xdr14:nvPr macro=""/>
          <xdr14:xfrm>
            <a:off x="2912760" y="18882000"/>
            <a:ext cx="15840" cy="271800"/>
          </xdr14:xfrm>
        </xdr:contentPart>
      </mc:Choice>
      <mc:Fallback>
        <xdr:pic>
          <xdr:nvPicPr>
            <xdr:cNvPr id="44" name="Ink 43">
              <a:extLst>
                <a:ext uri="{FF2B5EF4-FFF2-40B4-BE49-F238E27FC236}">
                  <a16:creationId xmlns:a16="http://schemas.microsoft.com/office/drawing/2014/main" id="{DC10562A-5CA8-6834-E32B-A8EB5AA1CB69}"/>
                </a:ext>
              </a:extLst>
            </xdr:cNvPr>
            <xdr:cNvPicPr/>
          </xdr:nvPicPr>
          <xdr:blipFill>
            <a:blip xmlns:r="http://schemas.openxmlformats.org/officeDocument/2006/relationships" r:embed="rId37"/>
            <a:stretch>
              <a:fillRect/>
            </a:stretch>
          </xdr:blipFill>
          <xdr:spPr>
            <a:xfrm>
              <a:off x="2903760" y="18873000"/>
              <a:ext cx="33480" cy="2894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6T15:55:51.411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347 28 24575,'-5'-2'0,"-5"0"0,-8-3 0,-9-3 0,-9 2 0,-16 1 0,-14 11 0,17 3 0,3 14 0,33 8 0,5 48 0,7-13 0,10 27 0,9-41 0,10-15 0,7-13 0,23-14 0,-15-9 0,7-8 0,-27-2 0,-11-1 0,-7 2 0,-5 0 0,-7-3 0,-11-1 0,-39-10 0,9 9 0,-23-4 0,30 13 0,10 2 0,15 2 0,9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6T15:55:52.308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 1 24575,'12'0'0,"14"0"0,24 0 0,23 0 0,16 0 0,8 0 0,-10 0 0,-13 0 0,-21 0 0,-22 0 0,-14 0 0,-10 0 0,-5 0 0,-2 0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6T15:56:05.407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1 426 24575,'0'24'0,"0"20"0,0 24 0,0 12 0,0-3 0,0-19 0,0-24 0,0-17 0,0-11 0</inkml:trace>
  <inkml:trace contextRef="#ctx0" brushRef="#br0" timeOffset="1366">408 523 24575,'-7'-2'0,"-2"1"0,-2 3 0,-3 4 0,1 3 0,1 5 0,4 2 0,2 2 0,2 4 0,2 1 0,1 3 0,0-1 0,3-2 0,0-4 0,4-5 0,3-4 0,7-3 0,7 0 0,6-2 0,3-3 0,0 0 0,-3-2 0,-7-1 0,-5 0 0,-6-3 0,-5-2 0,-3-2 0,-2 0 0,-1-1 0,0 0 0,-1-1 0,-3 1 0,-6 2 0,-7 2 0,-29 1 0,4 2 0,-14 1 0,21 1 0,12 0 0,13 0 0,6 0 0</inkml:trace>
  <inkml:trace contextRef="#ctx0" brushRef="#br0" timeOffset="2183">560 165 24575,'30'0'0,"-7"0"0,13 0 0,-19 0 0,-8 0 0,-6 0 0</inkml:trace>
  <inkml:trace contextRef="#ctx0" brushRef="#br0" timeOffset="3483">932 1 24575,'0'13'0,"0"5"0,0 10 0,0 1 0,0-6 0,0-7 0,0-7 0,0-4 0,0-1 0,0 0 0,0 2 0,0 2 0,0 1 0,0 1 0,1 0 0,0-2 0,-1 0 0,0-1 0,0 0 0,0-3 0,0-1 0,0-1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6T15:56:03.041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300 31 24575,'-6'0'0,"-4"0"0,-8 0 0,-5 0 0,-9 0 0,-2 0 0,2 2 0,0 6 0,3 12 0,1 13 0,4 11 0,4 34 0,11-13 0,7 20 0,17-30 0,12-8 0,10-16 0,8-10 0,5-10 0,35-26 0,-19-6 0,14-15 0,-41 7 0,-16 7 0,-13 6 0,-12 3 0,-17 1 0,-22 0 0,-53-2 0,19 7 0,-22 2 0,52 5 0,16 0 0,18 0 0,7 0 0,3 1 0</inkml:trace>
  <inkml:trace contextRef="#ctx0" brushRef="#br0" timeOffset="733">793 9 24575,'29'10'0,"16"14"0,14 11 0,2 6 0,-13-6 0,-17-12 0,-17-12 0,-7-6 0</inkml:trace>
  <inkml:trace contextRef="#ctx0" brushRef="#br0" timeOffset="1583">1064 0 24575,'-6'9'0,"-6"8"0,-4 9 0,-7 5 0,0 0 0,4-4 0,4-6 0,5-7 0,5-5 0,2-5 0,1-2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6T15:56:01.158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5 1 24575,'-4'1'0,"23"0"0,18 0 0,26-1 0,10 0 0,-5 0 0,-15 0 0,-16 0 0,-18 0 0,-11 0 0,-6 0 0</inkml:trace>
  <inkml:trace contextRef="#ctx0" brushRef="#br0" timeOffset="666">132 157 24575,'10'0'0,"18"0"0,25 0 0,16 0 0,3 0 0,-17 0 0,-27 0 0,-13 0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6T15:55:56.059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255 39 24575,'0'12'0,"0"7"0,0 9 0,0 6 0,0-2 0,0-7 0,0-7 0,0-7 0,0-5 0,1-3 0,2-2 0,1-1 0,1 0 0,1 0 0,3-1 0,3-2 0,5-1 0,4-3 0,2-1 0,-2 1 0,-3-1 0,-5 3 0,-5 1 0,-3 2 0,-2 0 0,-2 2 0,-1-1 0</inkml:trace>
  <inkml:trace contextRef="#ctx0" brushRef="#br0" timeOffset="900">1 100 24575,'0'13'0,"0"9"0,0 8 0,0 5 0,0 0 0,0-4 0,0-6 0,0-11 0,0-7 0</inkml:trace>
  <inkml:trace contextRef="#ctx0" brushRef="#br0" timeOffset="1966">9 219 24575,'-1'43'0,"0"13"0,1 15 0,0-1 0,0-14 0,0-19 0,0-14 0,0-14 0,0-6 0</inkml:trace>
  <inkml:trace contextRef="#ctx0" brushRef="#br0" timeOffset="4300">267 145 24575,'0'-16'0,"0"-3"0,3-3 0,5-1 0,6 2 0,7 5 0,6 4 0,5 4 0,1 3 0,-3 3 0,-5 2 0,-6 0 0,-7 0 0,-3 0 0,-6 0 0,-5 0 0,-5 0 0,-6 0 0,-4 0 0,-3 0 0,0 0 0,3 0 0,2 2 0,3 3 0,3 4 0,0 5 0,2 4 0,-3 5 0,-1 5 0,-1 2 0,1-1 0,2-4 0,2-5 0,3-3 0,1-2 0,2-2 0,0-1 0,1-1 0,0 1 0,0 0 0,0 0 0,0 2 0,1 0 0,2 1 0,4 0 0,3-1 0,4-2 0,3-2 0,1-3 0,3-2 0,0-3 0,2-2 0,3-3 0,4-7 0,2-6 0,1-5 0,-3-2 0,-5 1 0,-6 1 0,-8 3 0,-6 3 0,-4 3 0,-4 2 0,-6 0 0,-6-3 0,-7-2 0,-3-1 0,1-1 0,3 3 0,4 4 0,4 5 0,2 2 0,1 3 0,1 0 0,-2 0 0,-2 0 0,-2 0 0,-1 2 0,1 1 0,4 1 0,5-1 0,3 0 0,2-1 0,0 1 0,1-1 0,0-1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6T15:56:23.339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197 519 24575,'0'-19'0,"0"0"0,-1-2 0,-5 3 0,-6 7 0,-9 5 0,-9 3 0,-2 2 0,2 1 0,7 1 0,8 3 0,5 3 0,5 7 0,0 5 0,1 7 0,2 4 0,1 3 0,1-2 0,1-7 0,3-7 0,4-7 0,4-5 0,5-1 0,6-2 0,3-1 0,0-2 0,-1-3 0,-6-4 0,-4-2 0,-4-2 0,-4-1 0,-3 0 0,0 0 0,-3-1 0,0 2 0,0 4 0,-1 2 0,0 6 0,0 5 0,0 7 0,3 11 0,5 12 0,7 9 0,6 5 0,3-2 0,0-9 0,-4-12 0,-6-12 0,-6-9 0,-3-4 0,-2-3 0,0-2 0,-1 1 0,-1 1 0</inkml:trace>
  <inkml:trace contextRef="#ctx0" brushRef="#br0" timeOffset="833">700 361 24575,'27'26'0,"6"5"0,6 6 0,0-1 0,-10-11 0,-9-8 0,-8-8 0,-3-3 0,6 4 0,15 11 0,10 9 0,8 4 0,-5-4 0,-13-10 0,-13-7 0,-11-10 0,-5-1 0</inkml:trace>
  <inkml:trace contextRef="#ctx0" brushRef="#br0" timeOffset="1567">1089 515 24575,'-5'1'0,"-3"8"0,-7 11 0,-4 10 0,-2 5 0,1-1 0,3-7 0,6-8 0,5-10 0,5-5 0</inkml:trace>
  <inkml:trace contextRef="#ctx0" brushRef="#br0" timeOffset="2868">1555 295 24575,'0'20'0,"0"8"0,0 4 0,0 3 0,0-3 0,0-9 0,0-6 0,0-7 0,3-5 0,6 0 0,13 0 0,11 0 0,11-2 0,4-1 0,-3-2 0,-8-1 0,-9-2 0,-12-3 0,-6-4 0,-6-1 0,-3 0 0,-1 0 0,-3-4 0,0 6 0,-4-5 0,0 7 0,-6 0 0,-1 2 0,-7-1 0,-2 0 0,-6-1 0,-18 0 0,14 4 0,-5 0 0,24 3 0,7 1 0,5-1 0,0 0 0</inkml:trace>
  <inkml:trace contextRef="#ctx0" brushRef="#br0" timeOffset="3616">1828 114 24575,'23'0'0,"3"0"0,2 0 0,-2 0 0,-4 0 0,-9 0 0,-6 0 0,-4 0 0</inkml:trace>
  <inkml:trace contextRef="#ctx0" brushRef="#br0" timeOffset="4783">2380 1 24575,'-4'0'0,"-3"0"0,-1 0 0,-4 0 0,-2 3 0,-1 1 0,1 3 0,3 3 0,3 1 0,3 2 0,3 3 0,1 3 0,1 3 0,1 0 0,3 0 0,2-4 0,4-5 0,5-5 0,4-2 0,4-1 0,4-2 0,-1-1 0,-2 0 0,-6-1 0,-5 0 0,-7-1 0,-3 0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6T15:56:16.709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269 1 24575,'-10'0'0,"-7"0"0,-8 0 0,-8 0 0,-2 0 0,0 0 0,5 0 0,-1 9 0,11 4 0,1 11 0,10 3 0,5 3 0,5 6 0,31 16 0,-6-22 0,28 5 0,-16-34 0,16-20 0,-13-2 0,5-13 0,-23 8 0,-8 5 0,-8 7 0,-4 3 0,-1 5 0,-2 1 0,0 3 0,0 1 0,0 5 0,5 24 0,5 4 0,8 22 0,6-8 0,3-2 0,-2-12 0,-1-10 0,-2-10 0,-3-7 0,-3-5 0,-4-3 0,-8 1 0,-2-1 0</inkml:trace>
  <inkml:trace contextRef="#ctx0" brushRef="#br0" timeOffset="697">30 540 24575,'19'0'0,"27"0"0,48 0 0,-26 0 0,4 0 0,7 0 0,1 0 0,-4 0 0,-4 0 0,-14 0 0,-5 0 0,16 0 0,-32 0 0,-23 0 0,-9 0 0</inkml:trace>
  <inkml:trace contextRef="#ctx0" brushRef="#br0" timeOffset="1947">456 878 24575,'-1'19'0,"0"5"0,1 8 0,0 3 0,0 2 0,0-4 0,0-1 0,1-6 0,3-5 0,4-4 0,8-5 0,17-3 0,19-1 0,16-5 0,5-7 0,-8-9 0,-17-8 0,-15-4 0,-16 1 0,-11 1 0,-5 5 0,-6 2 0,-8 2 0,-11 3 0,-10 1 0,-8 3 0,0 2 0,5 3 0,8 1 0,11 1 0,8 1 0,5 0 0,2 1 0,2 0 0,1-1 0</inkml:trace>
  <inkml:trace contextRef="#ctx0" brushRef="#br0" timeOffset="3631">915 708 24575,'2'-4'0,"1"1"0,2 2 0,0 2 0,1 0 0,-1 3 0,0 2 0,0 0 0,-3 1 0,0-1 0,-1-2 0,-1-2 0,-3-8 0,-2 0 0,-2-5 0,-1 5 0,0 2 0,0 1 0,0 1 0,0 1 0,3 1 0,0 0 0,0 1 0,1 1 0,0 2 0,1 2 0,2 2 0,0 1 0,1 2 0,0 1 0,0 2 0,2-1 0,1-2 0,1-2 0,1-3 0,1-3 0,1-3 0,2 0 0,1 0 0,0-1 0,-1-1 0,-2 1 0,-4 0 0,-1 1 0</inkml:trace>
  <inkml:trace contextRef="#ctx0" brushRef="#br0" timeOffset="4414">1282 299 24575,'34'0'0,"8"0"0,11 0 0,-3 0 0,-18 0 0,-15 0 0,-9 0 0</inkml:trace>
  <inkml:trace contextRef="#ctx0" brushRef="#br0" timeOffset="5063">1228 424 24575,'27'0'0,"17"0"0,21 0 0,8 0 0,-7 0 0,-15 0 0,-21 0 0,-14 0 0,-9 0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4T16:35:01.52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196 270 24575,'-1'8'0,"0"14"0,1 22 0,0 27 0,0 11 0,0-3 0,0-16 0,0-24 0,0-16 0,0-12 0,0-7 0,0-3 0,1-1 0</inkml:trace>
  <inkml:trace contextRef="#ctx0" brushRef="#br0" timeOffset="1399">0 287 24575,'9'0'0,"6"0"0,11-2 0,4 0 0,3 1 0,0 0 0,-2 1 0,2 0 0,-3 2 0,1 4 0,-2 4 0,-2 4 0,-1 4 0,-1 4 0,-1 4 0,-1 3 0,-2 1 0,-3 0 0,-6-6 0,-4-4 0,-5-5 0,-4-2 0,-3 1 0,-5 2 0,-3 4 0,-6 7 0,-5 3 0,-4 2 0,-3 0 0,1-4 0,0-3 0,3-4 0,5-6 0,2-5 0,-1-2 0,-1-2 0,-3-1 0,0-1 0,2-2 0,3 0 0,6-1 0,5-1 0,3-1 0,-2 0 0,4 0 0,-2 0 0</inkml:trace>
  <inkml:trace contextRef="#ctx0" brushRef="#br0" timeOffset="3982">998 508 24575,'-8'0'0,"-7"0"0,-6 0 0,-8 0 0,-3 0 0,-2 0 0,0 0 0,3 2 0,4 3 0,7 3 0,5 3 0,6-1 0,3 2 0,2 3 0,2 4 0,2 5 0,4 8 0,9 6 0,9 0 0,13-2 0,3-9 0,4-7 0,-2-8 0,-8-7 0,-6-5 0,-7-7 0,-3-7 0,0-10 0,1-8 0,-2-2 0,-2 2 0,-4 6 0,-5 7 0,-2 10 0,-3 4 0,-2 3 0,-2-2 0,0-3 0,-1-2 0,0-1 0,2 1 0,0-1 0,2 1 0,1 1 0,0 2 0,1 4 0,8 12 0,7 7 0,11 13 0,5 3 0,2 2 0,-2-3 0,-2-4 0,-6-8 0,-4-7 0,-4-6 0,-1-3 0,3-3 0,3-2 0,2-3 0,-1-4 0,-2-3 0,-4-8 0,-3-19 0,-5-24 0,-3-26 0,-3 37 0,-2-2 0,-1 0 0,-1 1 0,-8-43 0,-5 17 0,-2 19 0,2 16 0,3 15 0,3 10 0,3 9 0,2 6 0,2 2 0,1 3 0,1 3 0,0 4 0,0 8 0,3 16 0,4 19 0,8 27 0,-3-28 0,1 3 0,3 4 0,0 1 0,1-1 0,-1-3 0,15 39 0,-3-24 0,-6-26 0,-3-15 0,-6-15 0,-3-9 0,1-4 0,7 0 0,5-3 0,3-3 0,-1-1 0,-6-1 0,-8 2 0,-5 3 0,-3 1 0</inkml:trace>
  <inkml:trace contextRef="#ctx0" brushRef="#br0" timeOffset="4765">1272 419 24575,'17'0'0,"12"0"0,14 0 0,5 0 0,-7 0 0,-12 0 0,-15 0 0,-8 0 0</inkml:trace>
  <inkml:trace contextRef="#ctx0" brushRef="#br0" timeOffset="6699">1788 505 24575,'-5'0'0,"0"1"0,0 2 0,-2 3 0,-1 6 0,-1 5 0,0 5 0,2 3 0,2 3 0,3 1 0,1 3 0,2 0 0,3-1 0,6-3 0,6-7 0,5-7 0,0-7 0,-1-4 0,-4-3 0,-4-2 0,-4-1 0,-2-3 0,-1-3 0,1-3 0,0-3 0,2-5 0,0-5 0,1-6 0,-1-1 0,-1 0 0,-3 6 0,-1 7 0,-2 8 0,-1 6 0,-1 3 0,0 3 0,-1 3 0,0 4 0,0 3 0,-1 2 0,0 1 0,0 1 0,1 0 0,1 1 0,1 0 0,2-1 0,2-1 0,2-2 0,2-3 0,0-2 0,-1-2 0,0 0 0,1 0 0,0 0 0,0 0 0,-2-1 0,-1-1 0,-1-1 0,-2-2 0,0 0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4T16:36:13.935"/>
    </inkml:context>
    <inkml:brush xml:id="br0">
      <inkml:brushProperty name="width" value="0.05" units="cm"/>
      <inkml:brushProperty name="height" value="0.3" units="cm"/>
      <inkml:brushProperty name="color" value="#849398"/>
      <inkml:brushProperty name="inkEffects" value="pencil"/>
    </inkml:brush>
  </inkml:definitions>
  <inkml:trace contextRef="#ctx0" brushRef="#br0">1395 0 16383,'0'8'0,"0"4"0,0 5 0,0 3 0,0 2 0,0-2 0,0-1 0,0-2 0,0 0 0,0-2 0,-1-2 0,-1-2 0,0-4 0,0-2 0,-1-2 0,0-2 0,-1-1 0,-2 0 0,-9 0 0,-21 0 0,-35-1 0,20 0 0,-4 1 0,-13-1 0,-4 0 0,-6 0 0,-1 1 0,2 0 0,0 1 0,6 1 0,3 1 0,12 0 0,4 1 0,-35 8 0,19 0 0,9 0 0,4-2 0,9-2 0,5-3 0,8-2 0,7-2 0,10-1 0,6 0 0,7 1 0,1 0 0,3 1 0,-1 0 0,2 0 0,0 1 0,1 4 0,2 6 0,-1 7 0,2 6 0,-2 5 0,0 0 0,0-3 0,-2-6 0,-1-8 0,1-6 0,-1-5 0,0-4 0,0-5 0,-1 2 0,0-2 0</inkml:trace>
  <inkml:trace contextRef="#ctx0" brushRef="#br0" timeOffset="2650">1476 212 16383,'9'-4'0,"8"-3"0,11-5 0,18-4 0,17-2 0,9 1 0,3 4 0,-6 4 0,-8 5 0,-8 4 0,-6 0 0,-6 0 0,-5 0 0,-5 0 0,-1 0 0,-3 0 0,6 0 0,7 0 0,8 0 0,6 0 0,0 0 0,-2 0 0,-4 0 0,-4 0 0,-6 0 0,-1 0 0,-5 0 0,-5 0 0,-5 2 0,-5 1 0,-4 0 0,-4-1 0,-2 0 0,1 0 0,1 0 0,4 0 0,3 0 0,2 1 0,3 0 0,1 0 0,1 1 0,0 0 0,-2 0 0,-3 0 0,-2 0 0,-4-1 0,-2 0 0,-3 0 0,-1 0 0,0 1 0,-2 0 0,1 1 0,-1 5 0,1 6 0,1 11 0,2 8 0,1 7 0,2 5 0,-1 0 0,0-3 0,-2-6 0,-2-10 0,-2-10 0,-1-8 0,-1-5 0,0-4 0,0-4 0,-1 2 0,0-2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4T16:36:27.451"/>
    </inkml:context>
    <inkml:brush xml:id="br0">
      <inkml:brushProperty name="width" value="0.05" units="cm"/>
      <inkml:brushProperty name="height" value="0.3" units="cm"/>
      <inkml:brushProperty name="color" value="#849398"/>
      <inkml:brushProperty name="inkEffects" value="pencil"/>
    </inkml:brush>
  </inkml:definitions>
  <inkml:trace contextRef="#ctx0" brushRef="#br0">19 473 16383,'1'18'0,"0"13"0,-1 16 0,0 8 0,0-3 0,0-12 0,0-13 0,0-12 0,0-8 0,0-6 0,0-11 0,0 1 0,-1-13 0,0-6 0,-1-17 0,-1-27 0,-1-20 0,1-5 0,-1 8 0,2 22 0,1 26 0,3 18 0,1 15 0,3 6 0,4 4 0,9 4 0,6 4 0,8 5 0,4 4 0,0 3 0,1 2 0,-4 0 0,-3-2 0,-4-1 0,-1-1 0,-2-1 0,-1-2 0,-3-2 0,-6-4 0,-4-3 0,-4-4 0,-3-3 0,-1-3 0,-1-6 0,-1-7 0,0-7 0,0-3 0,0-1 0,0 1 0,-1 1 0,-1-2 0,1-5 0,-1-4 0,1-2 0,-1 1 0,1 3 0,-1 6 0,0 5 0,1 8 0,-1 5 0,1 5 0,-3 5 0,2 0 0,0 2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4T16:36:33.001"/>
    </inkml:context>
    <inkml:brush xml:id="br0">
      <inkml:brushProperty name="width" value="0.05" units="cm"/>
      <inkml:brushProperty name="height" value="0.3" units="cm"/>
      <inkml:brushProperty name="color" value="#849398"/>
      <inkml:brushProperty name="inkEffects" value="pencil"/>
    </inkml:brush>
  </inkml:definitions>
  <inkml:trace contextRef="#ctx0" brushRef="#br0">452 135 16383,'0'6'0,"0"1"0,0-1 0,0 3 0,0 1 0,0 3 0,0-1 0,0 0 0,0-3 0,0-2 0,0-1 0,0-2 0,0-1 0,1-2 0,-1-5 0,-4-8 0,-5-9 0,-2-7 0,0-2 0,3 2 0,4 6 0,2 6 0,2 7 0,0 4 0,4 3 0,2 1 0,5 1 0,3 1 0,2 5 0,0 6 0,1 6 0,1 2 0,2 0 0,3-3 0,3-1 0,1-3 0,-3-1 0,-5-3 0,-7-3 0,-5-3 0,-4-2 0,-1-2 0,-1-6 0,-1-7 0,0-9 0,0-6 0,0-3 0,0 3 0,0 5 0,0 6 0,0 6 0,-1 3 0,1 4 0,-2 0 0,1 2 0,0 1 0,0 0 0,-1 2 0,0-1 0,1 1 0,0 0 0</inkml:trace>
  <inkml:trace contextRef="#ctx0" brushRef="#br0" timeOffset="1567">0 219 16383,'0'-15'0,"0"0"0,1-1 0,2 3 0,1 2 0,3 5 0,1 4 0,1 1 0,-1 1 0,0 2 0,-1 3 0,-1 4 0,0 2 0,0-1 0,-1-1 0,0-3 0,0-3 0,1-1 0,-1-2 0,0 0 0,-1 0 0,-1-2 0,-2-2 0,-1-3 0,0-2 0,0-2 0,-2-2 0,-1 1 0,0 2 0,1 3 0,1 3 0,1 2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4T16:38:02.133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 9 24575,'16'0'0,"2"0"0,4 0 0,1 0 0,-2 0 0,-4 0 0,-6 0 0,-4 0 0,-2 0 0,-1 0 0,-2 0 0,1 0 0,0 0 0,1 0 0,0-1 0,0 1 0,0-1 0,-1-1 0,0 0 0,-2 1 0,-1-1 0</inkml:trace>
  <inkml:trace contextRef="#ctx0" brushRef="#br0" timeOffset="2467">12 219 24575,'7'-1'0,"2"0"0,6 1 0,1 0 0,3 0 0,-1 0 0,-2 0 0,-2 0 0,-3 0 0,-1 0 0,0 0 0,-1 0 0,2 0 0,-2 0 0,0 0 0,-3 0 0,-1 0 0,-1 0 0,-2 1 0,-1 1 0,-1 2 0,0 1 0,0 3 0,0 1 0,0 1 0,0 1 0,1 1 0,2 0 0,-1 2 0,1-1 0,-1 0 0,1 1 0,0 3 0,0 1 0,-1 1 0,0 2 0,-1-1 0,1-1 0,-1-2 0,0-1 0,0 0 0,0-2 0,0-2 0,0-1 0,0-2 0,0-2 0,-1-2 0,0-1 0,-1-1 0,-1-1 0,-2-1 0,-3 0 0,0 1 0,-1 0 0,1 0 0,-2 1 0,0-1 0,0 1 0,-1 0 0,0-1 0,1 0 0,0-1 0,0-1 0,1 0 0,0-1 0,1-1 0,0-1 0,1-1 0,0 1 0,1 2 0,1-1 0,0 2 0,1 0 0,0-1 0,1-2 0,1 1 0,2-1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4T16:38:07.250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32 6 24575,'10'0'0,"1"0"0,1 0 0,0 0 0,-2 0 0,-2 0 0,-4 0 0,-1-2 0,-1 0 0,-1 0 0,-1 2 0,0 2 0,-1 3 0,0 1 0,0 0 0,-1 3 0,0 1 0,0 4 0,1 2 0,1 4 0,0 1 0,0 1 0,0 1 0,0 1 0,1 1 0,1 1 0,2 1 0,-1 1 0,0-2 0,0 0 0,-1-3 0,-1-3 0,0-1 0,0-3 0,-1-2 0,0-3 0,0-1 0,0-2 0,0 0 0,1-1 0,-1-1 0,1 0 0,-1-1 0,1 1 0,0-1 0,-1 0 0,1-1 0,-1 0 0,1 0 0,-1-1 0,0 1 0,0-1 0,0 0 0,0-1 0,-1 0 0,-3-1 0,-1 0 0,-3-1 0,-2 0 0,-2-2 0,-1-1 0,0-1 0,1-1 0,2 3 0,2 0 0,2 2 0,2 0 0,0 0 0,1 0 0,1 0 0,0 0 0,0-1 0,0 0 0,2-2 0,0-2 0,1-3 0,-1 3 0,1 0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6T15:57:22.071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 18 24575,'29'0'0,"7"0"0,18-2 0,1 0 0,-8-1 0,-11 0 0,-18 1 0,-4 0 0,-4 1 0,-3 0 0,-3 1 0,-2-1 0,-1 0 0,-1 1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6T15:57:30.552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890 54 24575,'-3'8'0,"-7"3"0,-13 7 0,-20 5 0,-9 0 0,-2-4 0,5-8 0,10-8 0,5-8 0,3-7 0,5-7 0,6-7 0,4-1 0,4 3 0,5 3 0,2 5 0,4 5 0,-1 5 0,2 4 0,-1 2 0,-1 3 0,0 1 0,0 1 0,0 1 0,-1 3 0,2 3 0,-1 4 0,-1 5 0,0 2 0,-3 1 0,-3-1 0,-5-2 0,-10-3 0,-11-3 0,-12-5 0,-8-4 0,0-4 0,5-7 0,12-5 0,11-5 0,11-4 0,8-1 0,4 2 0,2 3 0,2 5 0,0 3 0,1 3 0,-1 1 0,2 1 0,0 1 0,-1 1 0,-5 5 0,-1 0 0,-4 6 0,1-1 0,-1 0 0,2-1 0,0-2 0,2-2 0,3-1 0,0-4 0,2-4 0,2-4 0,0-4 0,1-1 0,1 0 0,-1 3 0,0 1 0,0 3 0,0 2 0,0 0 0,0 1 0,0 2 0,2 1 0,-2 0 0,1 0 0,0 2 0,-1 2 0,0 1 0,0 1 0,0 0 0,0 1 0,1-2 0,0 0 0,1-1 0,0-2 0,1 0 0,-1-1 0,0 0 0,-3 0 0,0 0 0,-3-1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6T15:57:36.649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0 1 24575,'2'9'0,"-1"2"0,-1 3 0,3 3 0,3 1 0,5 0 0,4-3 0,1-5 0,2-3 0,3-5 0,3-4 0,1-6 0,-4-3 0,-5-2 0,-6 0 0,-4 1 0,-2 0 0,-2 0 0,-1 3 0,-1 1 0,0 3 0,0 1 0,0 1 0,0 1 0,0 6 0,0 2 0,0 5 0,1-2 0,0 2 0,1-1 0,0-1 0,0-1 0,2 0 0,3 0 0,7 0 0,7-1 0,6 1 0,3-2 0,-1-2 0,-6-2 0,-6-2 0,-6 0 0,-4-2 0,-2-3 0,-1-2 0,-2-2 0,0 0 0,-2 0 0,0 0 0,0 0 0,0 0 0,0 2 0,0 0 0,0 3 0,0 0 0,1 2 0,-1-1 0,1 1 0,-1 0 0,0 1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6T15:58:00.353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14 5 24575,'0'15'0,"0"1"0,0 1 0,0 2 0,0 1 0,0 6 0,0 4 0,0 1 0,0 5 0,0-7 0,-1-4 0,0-3 0,1-6 0,-1 3 0,0-2 0,0 1 0,0-6 0,0 2 0,0-2 0,1-1 0,0-2 0,0-3 0,0 1 0,0-1 0,0-1 0,0 0 0,0-1 0,0 4 0,0 4 0,-1 4 0,0 2 0,0-2 0,0-4 0,1-3 0,-1-4 0,1-2 0,0 0 0,1-2 0,0 0 0,1-1 0,0 0 0,1 0 0,1-1 0,0 1 0,3-1 0,2-1 0,2 2 0,4-1 0,2 1 0,3 0 0,2 0 0,-1 0 0,0 0 0,-1 0 0,0 0 0,0 0 0,1 0 0,0 0 0,0 0 0,2 0 0,-3 0 0,0 0 0,-3 0 0,-2 0 0,1 0 0,-1 0 0,1 0 0,-1 0 0,2 0 0,1 0 0,2-1 0,1 0 0,1 0 0,-1-1 0,-2 2 0,-1-1 0,0 1 0,1 0 0,2 0 0,1 0 0,0 0 0,-2 0 0,-1 0 0,-3 0 0,-2 0 0,-3 0 0,-1 0 0,-2-1 0,-1 1 0,0-2 0,1 1 0,0-1 0,1 1 0,-1-1 0,0 1 0,-1-1 0,-1 1 0,0-1 0,-1 0 0,0 1 0,-1 0 0,-1 0 0,-1 0 0,-1-1 0,0 1 0,-1-2 0,0 0 0,0-2 0,0-1 0,0-1 0,0-3 0,0-3 0,0-3 0,0-4 0,-1 1 0,0 0 0,-1 3 0,0 3 0,1 1 0,-1 2 0,1-1 0,0 1 0,0-1 0,0-2 0,0 1 0,-1-2 0,1 1 0,-1 0 0,1 1 0,0 1 0,-1-1 0,1-1 0,-1-1 0,0-3 0,-1 0 0,1 1 0,1 1 0,0 2 0,-1 1 0,2 1 0,-1 2 0,0 0 0,1 3 0,-1 2 0,-1 2 0,1 2 0,-2-1 0,0 1 0,-1 0 0,0 0 0,-2 0 0,-1-1 0,-2-1 0,-3 1 0,-2-1 0,-4-1 0,-2 0 0,-3 1 0,-1-2 0,-1 2 0,1 0 0,2-1 0,1 2 0,1-1 0,1 0 0,0 1 0,0 1 0,0 0 0,-2 0 0,-1 0 0,-2 0 0,-2 0 0,0 0 0,-1 0 0,-1 0 0,-1 0 0,0 0 0,0 0 0,4-1 0,2 0 0,3-1 0,4 0 0,2 0 0,1 0 0,2 0 0,-1 0 0,0 1 0,1-1 0,1 1 0,1 0 0,1-1 0,2 1 0,2-1 0,2 1 0,1 0 0,1 1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6T15:58:04.180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1 566 24575,'24'17'0,"19"10"0,34 15 0,-24-16 0,5 1 0,9 1 0,5-1 0,10 1 0,3-1 0,8-2 0,2-2-223,-26-8 0,1-1 0,1-1 223,3-1 0,1-1 0,1-1 0,4-1 0,0-1 0,1 0 0,1-2 0,1 0 0,0-1 0,2 0 0,0-1 0,1 0 0,1-1 0,1-1 0,0 0 0,1 0 0,0-1 0,-1-2 0,-3 0 0,-1-2 0,-1 0 0,-2-2 0,-1-2 0,-2 0 0,-7-1 0,-1-2 0,-3 0 0,18-5 0,-4-1 0,-12 1 0,-5 0 0,30-9 0,-31 5 0,-20 5 0,-16 4 669,-14 5-669,-8 2 0,-3 2 0,-3 1 0,-2 0 0,0 0 0,1 0 0,0 0 0,0-1 0,1 0 0,0-2 0,1 0 0,0-1 0,-3-1 0,1 1 0,2 1 0,11-1 0,19-5 0,17-7 0,17-11 0,7-5 0,-3-2 0,2-1 0,-7 4 0,-3 2 0,-2 3 0,-6 6 0,2-1 0,-1 0 0,3-3 0,-5-1 0,-1 0 0,-4-1 0,-6 1 0,-1 0 0,-4 2 0,-3 1 0,-2 2 0,0 0 0,-1 3 0,1-1 0,-2 2 0,0 1 0,-5 1 0,-2 1 0,-3 2 0,-3 0 0,-1 0 0,0 0 0,0-1 0,0 0 0,-3 1 0,-3 3 0,-3 3 0,0 1 0,1 0 0,2-1 0,1 0 0,0-1 0,-2 1 0,-2 2 0,-3 0 0,0 2 0,0-1 0,-1 1 0,-3 0 0,-6 0 0,-9-1 0,-6-1 0,-3-2 0,3 1 0,5 0 0,7 3 0,6 0 0,7 1 0,9 0 0,9 0 0,9 0 0,2 0 0,-3 0 0,-6 0 0,-7 0 0,-5 0 0,-3 0 0,-3 0 0,-1 0 0,-3 1 0,-1 1 0,-1 1 0,-3 3 0,-1 6 0,-2 5 0,0 3 0,0-2 0,2-4 0,2-4 0,1-3 0,1-3 0,1-2 0,0-1 0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6T15:58:37.828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54 6 24575,'35'0'0,"9"0"0,38 0 0,4 0 0,1 0 0,-11 0 0,-15 0 0,-17 0 0,-13 0 0,-8 0 0,-6 0 0,-2-2 0,-3 1 0,-2-1 0,-3 1 0,-2 1 0,-1 0 0,0 0 0,0 0 0,1 0 0,-1 0 0,-1 2 0,-1 6 0,-1 15 0,0 19 0,1 20 0,1 11 0,-1 3 0,-2-6 0,0-15 0,0-16 0,0-16 0,0-11 0,0-6 0,-1-4 0,0-2 0,-1 0 0,-3 0 0,-4 0 0,-9 0 0,-8 0 0,-10 0 0,-4 0 0,-3 0 0,1 0 0,3 1 0,4 0 0,3 2 0,4 2 0,1 0 0,0 1 0,-1 1 0,0-1 0,2 0 0,4-2 0,6 0 0,5-2 0,4-1 0,3-1 0,0 0 0,0 0 0,-2 0 0,-1 0 0,-1 0 0,0 0 0,1 0 0,-1 0 0,0 0 0,-1 0 0,0-1 0,0 0 0,1 0 0,-2 0 0,0-1 0,-1-1 0,1 1 0,2-1 0,3 0 0,1-1 0,3-2 0,0-2 0,1-2 0,-1-3 0,1-2 0,0-3 0,-2-3 0,0-1 0,-1-1 0,0-1 0,1 0 0,0 1 0,2 1 0,-1 0 0,1 1 0,0 1 0,0 0 0,0 2 0,0 0 0,0-1 0,0 0 0,0 0 0,0 3 0,0 4 0,0 4 0,0 2 0,0 3 0,0 0 0,0 1 0,1 0 0,0 1 0,0 0 0,1 0 0,-1-1 0,-1 0 0,1-1 0,-1 0 0,0 0 0,0 1 0,1 1 0,1-1 0,0 0 0,-1 1 0,0-1 0,0 1 0,1 0 0,-1 0 0,1 0 0,0 1 0,0-1 0,-7 1 0,4 0 0,-5 0 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6T16:02:14.01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 0 24575,'0'13'0,"0"3"0,0 5 0,0 4 0,0 1 0,0 1 0,0-1 0,0 1 0,0 1 0,0 0 0,0-1 0,0 0 0,0 0 0,0 2 0,0 2 0,0 1 0,0 1 0,0-2 0,0-3 0,0-3 0,0-5 0,0-1 0,0-3 0,0-1 0,0-1 0,0-2 0,0-2 0,0-1 0,-1-1 0,1-2 0,-1 1 0,0-1 0,1-1 0,0-1 0,0-2 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6T16:02:30.27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25 24575,'0'12'0,"0"5"0,0 5 0,0 3 0,0 1 0,0-3 0,0-1 0,0-2 0,0-1 0,0-4 0,1-5 0,-1-5 0,1-3 0</inkml:trace>
  <inkml:trace contextRef="#ctx0" brushRef="#br0" timeOffset="1200">202 243 24575,'-3'0'0,"-2"0"0,2 0 0,0 0 0,1 0 0</inkml:trace>
  <inkml:trace contextRef="#ctx0" brushRef="#br0" timeOffset="2634">187 0 24575,'32'0'0,"3"0"0,8 0 0,-1 0 0,-9 0 0,-11 0 0,-11 0 0,-6 1 0,-5 0 0,-1 3 0,-2 2 0,-3 4 0,0 1 0,1 0 0,1-2 0,1-2 0,1-2 0,-1-1 0,-1 1 0,0 1 0,-1 3 0,0 1 0,-1 0 0,2 0 0,0-2 0,0-1 0,2-2 0,0-1 0,1-2 0,0 1 0,-2 2 0,-2 4 0,-1 5 0,-2 5 0,2 0 0,1 0 0,2-5 0,1-7 0,2-3 0</inkml:trace>
  <inkml:trace contextRef="#ctx0" brushRef="#br0" timeOffset="4000">507 68 24575,'6'0'0,"7"0"0,7 0 0,4 0 0,-2 0 0,-8 0 0,-8 4 0,-10 7 0,-7 8 0,-4 6 0,-2-1 0,4-6 0,4-7 0,5-5 0,2-5 0,3-3 0,1 0 0,2-1 0,3 2 0,2 1 0,3 0 0,0 2 0,-1 1 0,-4 2 0,-4 2 0,-1 1 0,-2 3 0,-2 3 0,-2 2 0,-3-1 0,-2-3 0,-2-2 0,-1-5 0,-3-2 0,-3-2 0,-4-2 0,-1-2 0,4-1 0,5-1 0,7 3 0,5 1 0</inkml:trace>
  <inkml:trace contextRef="#ctx0" brushRef="#br0" timeOffset="5617">872 133 24575,'-5'0'0,"-1"0"0,-1 0 0,0 0 0,0 0 0,-1 5 0,1 6 0,1 10 0,2 7 0,1 1 0,2-2 0,6-6 0,13-7 0,9-6 0,9-6 0,5-6 0,-6-7 0,-6-3 0,-8 0 0,-11 3 0,-4 4 0,-5 3 0,-2 2 0,-1 1 0,0 1 0,0 0 0,0 0 0,-2 0 0,-3-1 0,-2-2 0,-2-3 0,1-1 0,2 0 0,4 2 0,6 3 0,6 6 0,6 10 0,6 7 0,1 4 0,-4-3 0,-5-5 0,-6-6 0,-3-4 0,-3 0 0,-2 1 0,-5 4 0,-7 2 0,-5 2 0,-3-3 0,2-3-1696,5-3 0,6-4 0,5-2 0</inkml:trace>
  <inkml:trace contextRef="#ctx0" brushRef="#br0" timeOffset="6767">1093 266 24575,'6'-3'0,"5"1"0,5 2 0,3 0 0,-4 1 0,-4 1 0,-5 4 0,-5 4 0,-2 6 0,-4 4 0,-8 5 0,-5 0 0,-3-3 0,6-5 0,6-7 0,7-6 0,8-3 0,13-6 0,15-4 0,11-2 0,1 1 0,-7 2 0,-12 3 0,-11 2 0,-9 2 0,-4 0 0</inkml:trace>
  <inkml:trace contextRef="#ctx0" brushRef="#br0" timeOffset="8017">1593 110 24575,'-5'0'0,"1"1"0,1 3 0,2 6 0,0 9 0,0 5 0,0 3 0,0-3 0,9-6 0,10-4 0,11-6 0,10-3 0,-2-5 0,-8-4 0,-9-4 0,-10-4 0,-5 0 0,-4-1 0,-1 4 0,0 4 0,0 3 0,0 9 0,0 2 0,0 7 0,0-1 0,0 0 0,0 0 0,-1 1 0,-3-1 0,-4 1 0,-6 0 0,-4 0 0,-3-2 0,-2-3 0,-1-5 0,-2-3 0,12-2 0,2-1 0</inkml:trace>
  <inkml:trace contextRef="#ctx0" brushRef="#br0" timeOffset="9316">1550 141 24575,'0'-4'0,"0"-1"0,1 0 0,2-2 0,5 0 0,6-1 0,8-1 0,5 1 0,1 2 0,-3 2 0,-7 3 0,-5 2 0,-1 6 0,-1 5 0,0 4 0,-1 1 0,-3-3 0,-3-5 0,-2-2 0,-1-2 0,-1-2 0,0 0 0,0-2 0,0 0 0</inkml:trace>
  <inkml:trace contextRef="#ctx0" brushRef="#br0" timeOffset="10067">1911 66 24575,'7'-1'0,"10"6"0,14 9 0,8 8 0,1 4 0,-9-4 0,-10-7 0,-11-8 0,-6-4 0</inkml:trace>
  <inkml:trace contextRef="#ctx0" brushRef="#br0" timeOffset="10949">2111 19 24575,'-9'15'0,"0"1"0,0-2 0,2-4 0,4-4 0,0-1 0,-2 2 0,-4 5 0,-4 3 0,-1 1 0,3-3 0,2-3 0,4-4 0,4-4 0,0 0 0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6T16:02:45.64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1 363 24575,'0'9'0,"0"12"0,0 18 0,0 12 0,0 3 0,0-9 0,0-17 0,0-14 0,0-10 0</inkml:trace>
  <inkml:trace contextRef="#ctx0" brushRef="#br0" timeOffset="1066">203 444 24575,'8'10'0,"4"5"0,5 3 0,4 2 0,4-2 0,3-6 0,5-5 0,1-4 0,-1-8 0,-2-10 0,-5-8 0,-7-4 0,-6 1 0,-7 1 0,-5 3 0,-11-3 0,-14 0 0,-12 2 0,-11 4 0,-3 7 0,2 5 0,7 4 0,9 3 0,12 0 0,10 0 0,5 0 0</inkml:trace>
  <inkml:trace contextRef="#ctx0" brushRef="#br0" timeOffset="2233">640 1 24575,'-13'0'0,"-9"0"0,-6 0 0,0 0 0,7 0 0,11 4 0,5 5 0,5 8 0,2 6 0,3 2 0,1-5 0,1-6 0,-1-6 0,0-5 0,4-2 0,7-4 0,8-3 0,6-2 0,1 0 0,10 9 0,-14 8 0,2 8 0,-18 3 0,-6-3 0,-5-5 0,-12-3 0,-16 0 0,-13 0 0,-8-2 0,5-2 0,13-3 0,14-2 0,9 0 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6T16:03:04.759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1 0 24575,'0'0'0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6T16:03:15.476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518 36 24575,'-27'0'0,"-5"0"0,-10 0 0,-5 0 0,-4 3 0,0 5 0,5 4 0,3 6 0,4 8 0,2 8 0,4 9 0,4 6 0,8 1 0,8-3 0,7-6 0,7-7 0,13-7 0,18-5 0,27-6 0,24-4 0,9-6 0,-7-4 0,-21-3 0,-26-4 0,-18-6 0,-15-6 0,-15-5 0,-12-3 0,-16 0 0,-10 4 0,-2 6 0,1 6 0,11 6 0,9 2 0,11 0 0,9 1 0,5 0 0</inkml:trace>
  <inkml:trace contextRef="#ctx0" brushRef="#br0" timeOffset="515">735 376 24575,'0'0'0</inkml:trace>
  <inkml:trace contextRef="#ctx0" brushRef="#br0" timeOffset="1482">878 145 24575,'23'0'0,"6"0"0,9 0 0,-2 0 0,-11 0 0,-11 1 0,-9 4 0,-4 13 0,-6 19 0,-5 19 0,-1 11 0,0-1 0,4-10 0,3-16 0,2-13 0,1-15 0,1-7 0</inkml:trace>
  <inkml:trace contextRef="#ctx0" brushRef="#br0" timeOffset="2616">1305 224 24575,'9'-6'0,"11"2"0,14 2 0,8 1 0,3 5 0,-8 5 0,-10 13 0,-11 13 0,-12 14 0,-13 12 0,-18 4 0,-12-5 0,-10-10 0,1-17 0,6-14 0,4-10 0,10-14 0,8-8 0,9-6 0,7-2 0,8 0 0,13 1 0,14 4 0,14 4 0,7 6 0,3 7 0,2 6 0,-4 5 0,-5 2 0,-9-2-1696,-10-4 0,-14-4 0,-6-2 0</inkml:trace>
  <inkml:trace contextRef="#ctx0" brushRef="#br0" timeOffset="3332">1884 151 24575,'26'20'0,"5"3"0,7 6 0,-1-1 0,-9-7 0,-8-7 0,-8-6 0,-3-2-1696,-2-2 0,-3-1 0,-2-2 0</inkml:trace>
  <inkml:trace contextRef="#ctx0" brushRef="#br0" timeOffset="4132">2119 141 24575,'-8'4'0,"1"1"0,2 4 0,2-1 0,2-1 0,1-1 0,-1 2 0,-4 5 0,-4 4 0,-6 4 0,-4 2 0,-1 0 0,2-4 0,4-4-1696,5-5 0,5-5 0,2-3 0</inkml:trace>
  <inkml:trace contextRef="#ctx0" brushRef="#br0" timeOffset="4815">2495 239 24575,'-2'31'0,"1"10"0,1 5 0,0-4 0,0-14 0,0-15 0,0-6 0,0-6 0</inkml:trace>
  <inkml:trace contextRef="#ctx0" brushRef="#br0" timeOffset="5849">2780 170 24575,'-3'13'0,"1"6"0,7 10 0,12 5 0,15 2 0,13-6 0,6-11 0,-2-10 0,-6-9 0,-7-10 0,-10-10 0,-8-13 0,-9-11 0,-11-5 0,-13 1 0,-10 6 0,-9 10 0,-5 8 0,1 10 0,2 8 0,6 4 0,6 4 0,6 2 0,6 2 0,3 2 0,3 0 0,3-4 0,2-2 0</inkml:trace>
  <inkml:trace contextRef="#ctx0" brushRef="#br0" timeOffset="6599">3188 62 24575,'20'0'0,"7"0"0,2 0 0,-2 0 0,-14 0 0,-6 0 0</inkml:trace>
  <inkml:trace contextRef="#ctx0" brushRef="#br0" timeOffset="7765">3461 0 24575,'0'9'0,"0"3"0,0 2 0,1-3 0,8-3 0,13-6 0,19-2 0,13 2 0,0 2 0,-9 0 0,-17 0 0,-13-3 0,-10-4 0,-5-3 0,-2-1 0,-1 4 0,1 14 0,2 18 0,2 16 0,3 9 0,2-5 0,0-11 0,-3-12 0,-1-12 0,-1-7 0,-2-5 0,1-2 0,1 0 0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6T16:05:00.768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43 0 24575,'-1'11'0,"0"9"0,-1 8 0,-3 9 0,-1 4 0,-2 0 0,2 0 0,2-1 0,1 2 0,2 0 0,0-1 0,0-4 0,0-3 0,0-3 0,0-3 0,0-3 0,1-4 0,0-5 0,0-6 0,0-3 0,0-2 0,0-2 0,0 2 0,0 5 0,0 9 0,0 7 0,0 3 0,0-2 0,0-9 0,0-7 0,1-5 0,-1-4 0,0-1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41FB1-49DC-3A40-AFA3-57CD558B7C2A}">
  <dimension ref="A2:G48"/>
  <sheetViews>
    <sheetView topLeftCell="A40" zoomScale="334" workbookViewId="0">
      <selection activeCell="D49" sqref="D49"/>
    </sheetView>
  </sheetViews>
  <sheetFormatPr baseColWidth="10" defaultRowHeight="16" x14ac:dyDescent="0.2"/>
  <cols>
    <col min="2" max="2" width="19" customWidth="1"/>
  </cols>
  <sheetData>
    <row r="2" spans="1:7" x14ac:dyDescent="0.2">
      <c r="B2" s="15" t="s">
        <v>0</v>
      </c>
      <c r="C2" s="15"/>
    </row>
    <row r="3" spans="1:7" x14ac:dyDescent="0.2">
      <c r="B3" s="15"/>
      <c r="C3" s="15"/>
    </row>
    <row r="5" spans="1:7" x14ac:dyDescent="0.2">
      <c r="B5" t="s">
        <v>1</v>
      </c>
    </row>
    <row r="7" spans="1:7" x14ac:dyDescent="0.2">
      <c r="B7" t="s">
        <v>2</v>
      </c>
    </row>
    <row r="9" spans="1:7" x14ac:dyDescent="0.2">
      <c r="B9" t="s">
        <v>3</v>
      </c>
    </row>
    <row r="11" spans="1:7" x14ac:dyDescent="0.2">
      <c r="A11" s="1"/>
      <c r="B11" s="1"/>
      <c r="C11" s="1"/>
      <c r="D11" s="1"/>
      <c r="E11" s="1"/>
      <c r="F11" s="1"/>
      <c r="G11" s="1"/>
    </row>
    <row r="14" spans="1:7" x14ac:dyDescent="0.2">
      <c r="B14" t="s">
        <v>4</v>
      </c>
    </row>
    <row r="16" spans="1:7" x14ac:dyDescent="0.2">
      <c r="B16" t="s">
        <v>5</v>
      </c>
      <c r="C16" t="s">
        <v>6</v>
      </c>
    </row>
    <row r="17" spans="1:5" x14ac:dyDescent="0.2">
      <c r="B17" t="s">
        <v>7</v>
      </c>
      <c r="C17" t="s">
        <v>8</v>
      </c>
    </row>
    <row r="18" spans="1:5" x14ac:dyDescent="0.2">
      <c r="B18" t="s">
        <v>9</v>
      </c>
      <c r="C18" t="s">
        <v>10</v>
      </c>
    </row>
    <row r="21" spans="1:5" x14ac:dyDescent="0.2">
      <c r="A21" s="1"/>
      <c r="B21" s="1"/>
      <c r="C21" s="1"/>
      <c r="D21" s="1"/>
      <c r="E21" s="1"/>
    </row>
    <row r="24" spans="1:5" x14ac:dyDescent="0.2">
      <c r="B24" t="s">
        <v>13</v>
      </c>
    </row>
    <row r="25" spans="1:5" x14ac:dyDescent="0.2">
      <c r="B25" t="s">
        <v>14</v>
      </c>
    </row>
    <row r="28" spans="1:5" x14ac:dyDescent="0.2">
      <c r="A28" s="1"/>
      <c r="B28" s="1"/>
      <c r="C28" s="1"/>
      <c r="D28" s="1"/>
      <c r="E28" s="1"/>
    </row>
    <row r="30" spans="1:5" x14ac:dyDescent="0.2">
      <c r="B30" t="s">
        <v>40</v>
      </c>
    </row>
    <row r="32" spans="1:5" x14ac:dyDescent="0.2">
      <c r="B32" t="s">
        <v>41</v>
      </c>
    </row>
    <row r="33" spans="2:4" x14ac:dyDescent="0.2">
      <c r="B33" t="s">
        <v>42</v>
      </c>
    </row>
    <row r="37" spans="2:4" x14ac:dyDescent="0.2">
      <c r="B37" t="s">
        <v>43</v>
      </c>
    </row>
    <row r="40" spans="2:4" x14ac:dyDescent="0.2">
      <c r="B40" t="s">
        <v>49</v>
      </c>
    </row>
    <row r="44" spans="2:4" x14ac:dyDescent="0.2">
      <c r="B44" t="s">
        <v>58</v>
      </c>
      <c r="D44" t="s">
        <v>59</v>
      </c>
    </row>
    <row r="47" spans="2:4" x14ac:dyDescent="0.2">
      <c r="B47" t="s">
        <v>60</v>
      </c>
      <c r="D47" t="s">
        <v>61</v>
      </c>
    </row>
    <row r="48" spans="2:4" x14ac:dyDescent="0.2">
      <c r="D48" t="s">
        <v>62</v>
      </c>
    </row>
  </sheetData>
  <mergeCells count="1">
    <mergeCell ref="B2:C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D4421-5602-7847-825B-E5B2B05208AD}">
  <dimension ref="A2:E105"/>
  <sheetViews>
    <sheetView tabSelected="1" topLeftCell="A103" zoomScale="400" workbookViewId="0">
      <selection activeCell="B106" sqref="B106"/>
    </sheetView>
  </sheetViews>
  <sheetFormatPr baseColWidth="10" defaultRowHeight="16" x14ac:dyDescent="0.2"/>
  <cols>
    <col min="2" max="3" width="15.33203125" bestFit="1" customWidth="1"/>
    <col min="4" max="4" width="19.1640625" bestFit="1" customWidth="1"/>
  </cols>
  <sheetData>
    <row r="2" spans="2:3" x14ac:dyDescent="0.2">
      <c r="B2" s="15" t="s">
        <v>34</v>
      </c>
      <c r="C2" s="15"/>
    </row>
    <row r="3" spans="2:3" x14ac:dyDescent="0.2">
      <c r="B3" s="15"/>
      <c r="C3" s="15"/>
    </row>
    <row r="12" spans="2:3" x14ac:dyDescent="0.2">
      <c r="C12" t="s">
        <v>35</v>
      </c>
    </row>
    <row r="14" spans="2:3" x14ac:dyDescent="0.2">
      <c r="C14" s="2">
        <v>646464</v>
      </c>
    </row>
    <row r="15" spans="2:3" x14ac:dyDescent="0.2">
      <c r="C15" s="2">
        <v>377373</v>
      </c>
    </row>
    <row r="16" spans="2:3" x14ac:dyDescent="0.2">
      <c r="C16" s="2">
        <v>38383.938999999998</v>
      </c>
    </row>
    <row r="17" spans="1:5" x14ac:dyDescent="0.2">
      <c r="C17" s="2">
        <v>8383.8330000000005</v>
      </c>
    </row>
    <row r="18" spans="1:5" x14ac:dyDescent="0.2">
      <c r="C18" s="2">
        <v>8383.3999000000003</v>
      </c>
    </row>
    <row r="20" spans="1:5" x14ac:dyDescent="0.2">
      <c r="A20" s="1"/>
      <c r="B20" s="1"/>
      <c r="C20" s="1"/>
      <c r="D20" s="1"/>
      <c r="E20" s="1"/>
    </row>
    <row r="22" spans="1:5" x14ac:dyDescent="0.2">
      <c r="B22" t="s">
        <v>36</v>
      </c>
    </row>
    <row r="24" spans="1:5" x14ac:dyDescent="0.2">
      <c r="B24" t="s">
        <v>37</v>
      </c>
      <c r="D24" s="5" t="s">
        <v>37</v>
      </c>
    </row>
    <row r="25" spans="1:5" x14ac:dyDescent="0.2">
      <c r="B25" s="4">
        <v>646464</v>
      </c>
      <c r="D25" s="6">
        <v>646464</v>
      </c>
    </row>
    <row r="26" spans="1:5" x14ac:dyDescent="0.2">
      <c r="B26" s="4">
        <v>377373</v>
      </c>
      <c r="C26" s="7"/>
      <c r="D26" s="6">
        <v>377373</v>
      </c>
    </row>
    <row r="27" spans="1:5" x14ac:dyDescent="0.2">
      <c r="B27" s="4">
        <v>0</v>
      </c>
      <c r="D27" s="6">
        <v>38383.938999999998</v>
      </c>
    </row>
    <row r="28" spans="1:5" x14ac:dyDescent="0.2">
      <c r="B28" s="4">
        <v>8383.8330000000005</v>
      </c>
      <c r="D28" s="6">
        <v>0</v>
      </c>
    </row>
    <row r="29" spans="1:5" x14ac:dyDescent="0.2">
      <c r="B29" s="4">
        <v>-8383.3999000000003</v>
      </c>
      <c r="D29" s="6">
        <v>-8383.3999000000003</v>
      </c>
    </row>
    <row r="31" spans="1:5" x14ac:dyDescent="0.2">
      <c r="A31" s="1"/>
      <c r="B31" s="1"/>
      <c r="C31" s="1"/>
      <c r="D31" s="1"/>
      <c r="E31" s="1"/>
    </row>
    <row r="33" spans="1:4" x14ac:dyDescent="0.2">
      <c r="B33" t="s">
        <v>38</v>
      </c>
      <c r="D33" s="8">
        <v>46238</v>
      </c>
    </row>
    <row r="34" spans="1:4" x14ac:dyDescent="0.2">
      <c r="B34" t="s">
        <v>39</v>
      </c>
      <c r="D34" s="9">
        <v>46238</v>
      </c>
    </row>
    <row r="36" spans="1:4" x14ac:dyDescent="0.2">
      <c r="B36" s="8">
        <f ca="1">TODAY()</f>
        <v>46240</v>
      </c>
      <c r="C36" s="2">
        <f ca="1">TODAY()</f>
        <v>46240</v>
      </c>
    </row>
    <row r="38" spans="1:4" x14ac:dyDescent="0.2">
      <c r="B38">
        <v>1</v>
      </c>
      <c r="C38" s="8">
        <v>1</v>
      </c>
    </row>
    <row r="39" spans="1:4" x14ac:dyDescent="0.2">
      <c r="B39">
        <v>2</v>
      </c>
      <c r="C39" s="8">
        <v>2</v>
      </c>
    </row>
    <row r="40" spans="1:4" x14ac:dyDescent="0.2">
      <c r="B40">
        <v>3</v>
      </c>
      <c r="C40" s="8">
        <v>3</v>
      </c>
    </row>
    <row r="41" spans="1:4" x14ac:dyDescent="0.2">
      <c r="B41">
        <v>4</v>
      </c>
      <c r="C41" s="8">
        <v>4</v>
      </c>
    </row>
    <row r="43" spans="1:4" x14ac:dyDescent="0.2">
      <c r="B43">
        <v>36728</v>
      </c>
      <c r="C43" s="8">
        <v>36728</v>
      </c>
    </row>
    <row r="44" spans="1:4" x14ac:dyDescent="0.2">
      <c r="B44" s="10">
        <f ca="1">TODAY()</f>
        <v>46240</v>
      </c>
      <c r="C44" s="8">
        <f ca="1">TODAY()</f>
        <v>46240</v>
      </c>
    </row>
    <row r="46" spans="1:4" x14ac:dyDescent="0.2">
      <c r="A46" s="1"/>
      <c r="B46" s="11"/>
      <c r="C46" s="12"/>
      <c r="D46" s="1"/>
    </row>
    <row r="47" spans="1:4" x14ac:dyDescent="0.2">
      <c r="B47" s="8"/>
      <c r="C47" s="8"/>
    </row>
    <row r="48" spans="1:4" x14ac:dyDescent="0.2">
      <c r="B48" t="s">
        <v>44</v>
      </c>
    </row>
    <row r="50" spans="2:3" x14ac:dyDescent="0.2">
      <c r="B50" t="s">
        <v>45</v>
      </c>
    </row>
    <row r="51" spans="2:3" x14ac:dyDescent="0.2">
      <c r="B51" t="s">
        <v>47</v>
      </c>
    </row>
    <row r="52" spans="2:3" x14ac:dyDescent="0.2">
      <c r="B52" t="s">
        <v>46</v>
      </c>
    </row>
    <row r="54" spans="2:3" x14ac:dyDescent="0.2">
      <c r="B54" t="s">
        <v>48</v>
      </c>
    </row>
    <row r="57" spans="2:3" x14ac:dyDescent="0.2">
      <c r="B57">
        <v>0.5</v>
      </c>
      <c r="C57" s="13">
        <v>0.5</v>
      </c>
    </row>
    <row r="58" spans="2:3" x14ac:dyDescent="0.2">
      <c r="B58">
        <v>0.75</v>
      </c>
      <c r="C58" s="13">
        <v>0.75</v>
      </c>
    </row>
    <row r="59" spans="2:3" x14ac:dyDescent="0.2">
      <c r="B59">
        <v>0.46929999999999999</v>
      </c>
      <c r="C59" s="13">
        <v>0.46930555555555553</v>
      </c>
    </row>
    <row r="62" spans="2:3" x14ac:dyDescent="0.2">
      <c r="B62" t="s">
        <v>50</v>
      </c>
    </row>
    <row r="64" spans="2:3" x14ac:dyDescent="0.2">
      <c r="B64" s="3">
        <v>46238.75</v>
      </c>
    </row>
    <row r="66" spans="1:4" x14ac:dyDescent="0.2">
      <c r="B66" s="8"/>
    </row>
    <row r="67" spans="1:4" x14ac:dyDescent="0.2">
      <c r="B67" s="14">
        <f ca="1">NOW()</f>
        <v>46240.907507870368</v>
      </c>
      <c r="C67" s="2">
        <f ca="1">NOW()</f>
        <v>46240.907507870368</v>
      </c>
    </row>
    <row r="69" spans="1:4" x14ac:dyDescent="0.2">
      <c r="A69" s="1"/>
      <c r="B69" s="1"/>
      <c r="C69" s="1"/>
      <c r="D69" s="1"/>
    </row>
    <row r="71" spans="1:4" x14ac:dyDescent="0.2">
      <c r="B71" t="s">
        <v>51</v>
      </c>
    </row>
    <row r="73" spans="1:4" x14ac:dyDescent="0.2">
      <c r="B73" t="s">
        <v>52</v>
      </c>
    </row>
    <row r="74" spans="1:4" x14ac:dyDescent="0.2">
      <c r="C74" s="8"/>
    </row>
    <row r="75" spans="1:4" x14ac:dyDescent="0.2">
      <c r="B75" t="s">
        <v>53</v>
      </c>
    </row>
    <row r="76" spans="1:4" x14ac:dyDescent="0.2">
      <c r="B76" t="s">
        <v>54</v>
      </c>
    </row>
    <row r="78" spans="1:4" x14ac:dyDescent="0.2">
      <c r="A78" s="1"/>
      <c r="B78" s="1"/>
      <c r="C78" s="1"/>
      <c r="D78" s="1"/>
    </row>
    <row r="80" spans="1:4" x14ac:dyDescent="0.2">
      <c r="B80" t="s">
        <v>55</v>
      </c>
    </row>
    <row r="81" spans="2:4" x14ac:dyDescent="0.2">
      <c r="B81" t="s">
        <v>56</v>
      </c>
    </row>
    <row r="82" spans="2:4" x14ac:dyDescent="0.2">
      <c r="B82" t="s">
        <v>57</v>
      </c>
    </row>
    <row r="84" spans="2:4" x14ac:dyDescent="0.2">
      <c r="B84" s="2"/>
    </row>
    <row r="85" spans="2:4" x14ac:dyDescent="0.2">
      <c r="B85">
        <v>0.05</v>
      </c>
      <c r="C85" s="17" t="s">
        <v>65</v>
      </c>
      <c r="D85" s="18">
        <v>0.05</v>
      </c>
    </row>
    <row r="86" spans="2:4" x14ac:dyDescent="0.2">
      <c r="C86" t="s">
        <v>64</v>
      </c>
    </row>
    <row r="88" spans="2:4" x14ac:dyDescent="0.2">
      <c r="B88">
        <v>392492432839942</v>
      </c>
      <c r="D88" t="s">
        <v>63</v>
      </c>
    </row>
    <row r="90" spans="2:4" x14ac:dyDescent="0.2">
      <c r="B90" t="s">
        <v>66</v>
      </c>
    </row>
    <row r="92" spans="2:4" x14ac:dyDescent="0.2">
      <c r="B92">
        <v>173929</v>
      </c>
      <c r="C92">
        <v>173929</v>
      </c>
    </row>
    <row r="93" spans="2:4" x14ac:dyDescent="0.2">
      <c r="B93">
        <v>6.7199999999999996E-4</v>
      </c>
      <c r="C93">
        <v>6.7199999999999996E-4</v>
      </c>
    </row>
    <row r="94" spans="2:4" x14ac:dyDescent="0.2">
      <c r="B94">
        <v>2883</v>
      </c>
      <c r="C94">
        <v>2883</v>
      </c>
    </row>
    <row r="97" spans="2:3" x14ac:dyDescent="0.2">
      <c r="B97" t="s">
        <v>67</v>
      </c>
    </row>
    <row r="99" spans="2:3" x14ac:dyDescent="0.2">
      <c r="B99" t="s">
        <v>68</v>
      </c>
    </row>
    <row r="101" spans="2:3" x14ac:dyDescent="0.2">
      <c r="B101">
        <v>0.54300000000000004</v>
      </c>
    </row>
    <row r="102" spans="2:3" x14ac:dyDescent="0.2">
      <c r="B102" s="16">
        <v>0.54300000000000004</v>
      </c>
    </row>
    <row r="103" spans="2:3" x14ac:dyDescent="0.2">
      <c r="B103">
        <v>0.25</v>
      </c>
      <c r="C103" s="19">
        <v>0.25</v>
      </c>
    </row>
    <row r="104" spans="2:3" x14ac:dyDescent="0.2">
      <c r="B104">
        <v>4.0000000000000001E-3</v>
      </c>
      <c r="C104" s="19">
        <v>4.0000000000000001E-3</v>
      </c>
    </row>
    <row r="105" spans="2:3" x14ac:dyDescent="0.2">
      <c r="B105">
        <v>0.25</v>
      </c>
      <c r="C105" s="20">
        <v>0.25</v>
      </c>
    </row>
  </sheetData>
  <mergeCells count="1">
    <mergeCell ref="B2:C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E6187-BB7D-FF45-85A7-991D881D0EA5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1D2CE-A6FB-1946-8382-119F0CDA3C1A}">
  <dimension ref="A2:E33"/>
  <sheetViews>
    <sheetView zoomScale="398" workbookViewId="0">
      <selection activeCell="C33" sqref="C33"/>
    </sheetView>
  </sheetViews>
  <sheetFormatPr baseColWidth="10" defaultRowHeight="16" x14ac:dyDescent="0.2"/>
  <cols>
    <col min="2" max="4" width="10.83203125" customWidth="1"/>
  </cols>
  <sheetData>
    <row r="2" spans="2:4" x14ac:dyDescent="0.2">
      <c r="B2" t="s">
        <v>11</v>
      </c>
    </row>
    <row r="5" spans="2:4" x14ac:dyDescent="0.2">
      <c r="B5" t="s">
        <v>12</v>
      </c>
    </row>
    <row r="7" spans="2:4" x14ac:dyDescent="0.2">
      <c r="B7" t="str">
        <f>"+,-,*,/,^"</f>
        <v>+,-,*,/,^</v>
      </c>
      <c r="D7" t="s">
        <v>16</v>
      </c>
    </row>
    <row r="10" spans="2:4" x14ac:dyDescent="0.2">
      <c r="B10">
        <f>3+4*5-7</f>
        <v>16</v>
      </c>
      <c r="C10" t="str">
        <f ca="1">_xlfn.FORMULATEXT(B10)</f>
        <v>=3+4*5-7</v>
      </c>
    </row>
    <row r="13" spans="2:4" x14ac:dyDescent="0.2">
      <c r="B13" t="s">
        <v>15</v>
      </c>
    </row>
    <row r="15" spans="2:4" x14ac:dyDescent="0.2">
      <c r="B15" t="s">
        <v>17</v>
      </c>
      <c r="D15" t="s">
        <v>23</v>
      </c>
    </row>
    <row r="16" spans="2:4" x14ac:dyDescent="0.2">
      <c r="B16" t="s">
        <v>18</v>
      </c>
      <c r="D16" t="s">
        <v>24</v>
      </c>
    </row>
    <row r="17" spans="1:5" x14ac:dyDescent="0.2">
      <c r="B17" t="s">
        <v>19</v>
      </c>
      <c r="D17" t="s">
        <v>25</v>
      </c>
    </row>
    <row r="18" spans="1:5" x14ac:dyDescent="0.2">
      <c r="B18" t="s">
        <v>20</v>
      </c>
      <c r="D18" t="s">
        <v>26</v>
      </c>
    </row>
    <row r="19" spans="1:5" x14ac:dyDescent="0.2">
      <c r="B19" t="s">
        <v>21</v>
      </c>
    </row>
    <row r="20" spans="1:5" x14ac:dyDescent="0.2">
      <c r="B20" t="s">
        <v>22</v>
      </c>
    </row>
    <row r="22" spans="1:5" x14ac:dyDescent="0.2">
      <c r="B22" t="s">
        <v>27</v>
      </c>
      <c r="D22">
        <f>3+(3*2-(4*5))</f>
        <v>-11</v>
      </c>
    </row>
    <row r="23" spans="1:5" x14ac:dyDescent="0.2">
      <c r="B23" t="s">
        <v>28</v>
      </c>
    </row>
    <row r="24" spans="1:5" x14ac:dyDescent="0.2">
      <c r="B24" t="s">
        <v>29</v>
      </c>
    </row>
    <row r="25" spans="1:5" x14ac:dyDescent="0.2">
      <c r="B25" t="s">
        <v>30</v>
      </c>
    </row>
    <row r="26" spans="1:5" x14ac:dyDescent="0.2">
      <c r="B26" t="s">
        <v>31</v>
      </c>
    </row>
    <row r="28" spans="1:5" x14ac:dyDescent="0.2">
      <c r="A28" s="1"/>
      <c r="B28" s="1"/>
      <c r="C28" s="1"/>
      <c r="D28" s="1"/>
      <c r="E28" s="1"/>
    </row>
    <row r="30" spans="1:5" x14ac:dyDescent="0.2">
      <c r="A30" t="s">
        <v>32</v>
      </c>
      <c r="B30" t="s">
        <v>33</v>
      </c>
    </row>
    <row r="31" spans="1:5" x14ac:dyDescent="0.2">
      <c r="B31">
        <f>2^3</f>
        <v>8</v>
      </c>
      <c r="C31" t="str">
        <f ca="1">_xlfn.FORMULATEXT(B31)</f>
        <v>=2^3</v>
      </c>
    </row>
    <row r="33" spans="2:3" x14ac:dyDescent="0.2">
      <c r="B33">
        <f>4^6</f>
        <v>4096</v>
      </c>
      <c r="C33" t="str">
        <f ca="1">_xlfn.FORMULATEXT(B33)</f>
        <v>=4^6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agenda</vt:lpstr>
      <vt:lpstr>data_type</vt:lpstr>
      <vt:lpstr>Sheet3</vt:lpstr>
      <vt:lpstr>BASIC_ARITH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2026-08-04T15:24:49Z</dcterms:created>
  <dcterms:modified xsi:type="dcterms:W3CDTF">2026-08-06T16:16:59Z</dcterms:modified>
</cp:coreProperties>
</file>