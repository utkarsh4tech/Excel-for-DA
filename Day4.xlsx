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0C8F9F7D-754D-E04C-BA96-69269BB7DD47}" xr6:coauthVersionLast="47" xr6:coauthVersionMax="47" xr10:uidLastSave="{00000000-0000-0000-0000-000000000000}"/>
  <bookViews>
    <workbookView xWindow="0" yWindow="600" windowWidth="28800" windowHeight="17400" xr2:uid="{05A12E7C-A027-D441-BA35-DFAC2DBD5302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F54" i="1"/>
  <c r="H51" i="1"/>
  <c r="G51" i="1"/>
  <c r="H47" i="1"/>
  <c r="G47" i="1"/>
  <c r="G42" i="1"/>
  <c r="H42" i="1"/>
  <c r="C79" i="2"/>
  <c r="B79" i="2"/>
  <c r="C78" i="2"/>
  <c r="B78" i="2"/>
  <c r="E59" i="2"/>
  <c r="D59" i="2"/>
  <c r="D53" i="2" a="1"/>
  <c r="E41" i="2"/>
  <c r="D41" i="2"/>
  <c r="E40" i="2"/>
  <c r="D40" i="2"/>
  <c r="E31" i="2"/>
  <c r="D31" i="2"/>
  <c r="E30" i="2"/>
  <c r="D30" i="2"/>
  <c r="E29" i="2"/>
  <c r="D29" i="2"/>
  <c r="D16" i="2"/>
  <c r="E16" i="2"/>
  <c r="E14" i="2"/>
  <c r="D14" i="2"/>
  <c r="E12" i="2"/>
  <c r="D12" i="2"/>
  <c r="B3" i="2"/>
  <c r="C11" i="1"/>
  <c r="C10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<sst xmlns="http://schemas.openxmlformats.org/spreadsheetml/2006/main" count="50" uniqueCount="33">
  <si>
    <t>Agenda</t>
  </si>
  <si>
    <t>INFERENCE</t>
  </si>
  <si>
    <t>BODMAS</t>
  </si>
  <si>
    <t>SUM</t>
  </si>
  <si>
    <t>a+b</t>
  </si>
  <si>
    <t>SUM (2,3,4,3,3,2,22)</t>
  </si>
  <si>
    <t>Qt</t>
  </si>
  <si>
    <t>"sssjs"</t>
  </si>
  <si>
    <t>COUNT</t>
  </si>
  <si>
    <t>count()</t>
  </si>
  <si>
    <t>counta</t>
  </si>
  <si>
    <t>countblank</t>
  </si>
  <si>
    <t>AVERAGE</t>
  </si>
  <si>
    <t>UNIQUE</t>
  </si>
  <si>
    <t>abc</t>
  </si>
  <si>
    <t>abcd</t>
  </si>
  <si>
    <t>MOD</t>
  </si>
  <si>
    <t>QUOTIENT</t>
  </si>
  <si>
    <t>(remainder)</t>
  </si>
  <si>
    <t>COUNTIF</t>
  </si>
  <si>
    <t>COUNTIFS</t>
  </si>
  <si>
    <t>STATE</t>
  </si>
  <si>
    <t>Salary</t>
  </si>
  <si>
    <t>AGE</t>
  </si>
  <si>
    <t>MH</t>
  </si>
  <si>
    <t>UP</t>
  </si>
  <si>
    <t>BH</t>
  </si>
  <si>
    <t>PU</t>
  </si>
  <si>
    <t>TN</t>
  </si>
  <si>
    <t>count number of people in data</t>
  </si>
  <si>
    <t>count people from "MH"</t>
  </si>
  <si>
    <t>count people/row with salary &gt;5k</t>
  </si>
  <si>
    <t>"MH" and &gt;5000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</si>
</sst>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ustomXml" Target="../ink/ink4.xml"/><Relationship Id="rId7" Type="http://schemas.openxmlformats.org/officeDocument/2006/relationships/customXml" Target="../ink/ink6.xml"/><Relationship Id="rId2" Type="http://schemas.openxmlformats.org/officeDocument/2006/relationships/image" Target="../media/image4.png"/><Relationship Id="rId1" Type="http://schemas.openxmlformats.org/officeDocument/2006/relationships/customXml" Target="../ink/ink3.xml"/><Relationship Id="rId6" Type="http://schemas.openxmlformats.org/officeDocument/2006/relationships/image" Target="../media/image6.png"/><Relationship Id="rId5" Type="http://schemas.openxmlformats.org/officeDocument/2006/relationships/customXml" Target="../ink/ink5.xml"/><Relationship Id="rId10" Type="http://schemas.openxmlformats.org/officeDocument/2006/relationships/image" Target="../media/image8.png"/><Relationship Id="rId4" Type="http://schemas.openxmlformats.org/officeDocument/2006/relationships/image" Target="../media/image5.png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332850</xdr:colOff>
      <xdr:row>19</xdr:row>
      <xdr:rowOff>193893</xdr:rowOff>
    </xdr:from>
    <xdr:to>
      <xdr:col>4</xdr:col>
      <xdr:colOff>210213</xdr:colOff>
      <xdr:row>23</xdr:row>
      <xdr:rowOff>128842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287FD9-0B99-1D81-F465-780E3A9A7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6896" y="4062061"/>
          <a:ext cx="2349500" cy="749300"/>
        </a:xfrm>
        <a:prstGeom prst="rect">
          <a:avLst/>
        </a:prstGeom>
      </xdr:spPr>
    </xdr:pic>
    <xdr:clientData/>
  </xdr:twoCellAnchor>
  <xdr:twoCellAnchor editAs="oneCell">
    <xdr:from>
      <xdr:col>1</xdr:col>
      <xdr:colOff>714</xdr:colOff>
      <xdr:row>20</xdr:row>
      <xdr:rowOff>201444</xdr:rowOff>
    </xdr:from>
    <xdr:to>
      <xdr:col>1</xdr:col>
      <xdr:colOff>773994</xdr:colOff>
      <xdr:row>22</xdr:row>
      <xdr:rowOff>4149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03C85F7-8A18-F971-26CE-70D7F24555B8}"/>
                </a:ext>
              </a:extLst>
            </xdr14:cNvPr>
            <xdr14:cNvContentPartPr/>
          </xdr14:nvContentPartPr>
          <xdr14:nvPr macro=""/>
          <xdr14:xfrm>
            <a:off x="824760" y="4273200"/>
            <a:ext cx="773280" cy="2098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03C85F7-8A18-F971-26CE-70D7F24555B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18640" y="4267080"/>
              <a:ext cx="78552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812880</xdr:colOff>
      <xdr:row>17</xdr:row>
      <xdr:rowOff>56568</xdr:rowOff>
    </xdr:from>
    <xdr:to>
      <xdr:col>0</xdr:col>
      <xdr:colOff>813240</xdr:colOff>
      <xdr:row>17</xdr:row>
      <xdr:rowOff>56928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92C901C-7FE3-8E58-97A9-8535C5FC8BD7}"/>
                </a:ext>
              </a:extLst>
            </xdr14:cNvPr>
            <xdr14:cNvContentPartPr/>
          </xdr14:nvContentPartPr>
          <xdr14:nvPr macro=""/>
          <xdr14:xfrm>
            <a:off x="812880" y="3517560"/>
            <a:ext cx="36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592C901C-7FE3-8E58-97A9-8535C5FC8BD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806760" y="35114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781566</xdr:colOff>
      <xdr:row>69</xdr:row>
      <xdr:rowOff>156437</xdr:rowOff>
    </xdr:from>
    <xdr:to>
      <xdr:col>3</xdr:col>
      <xdr:colOff>718938</xdr:colOff>
      <xdr:row>72</xdr:row>
      <xdr:rowOff>95731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C9893A6-A5B0-E4E6-A656-9211E777507A}"/>
                </a:ext>
              </a:extLst>
            </xdr14:cNvPr>
            <xdr14:cNvContentPartPr/>
          </xdr14:nvContentPartPr>
          <xdr14:nvPr macro=""/>
          <xdr14:xfrm>
            <a:off x="1605240" y="14154840"/>
            <a:ext cx="1584720" cy="54792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C9893A6-A5B0-E4E6-A656-9211E777507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599119" y="14148724"/>
              <a:ext cx="1596963" cy="5601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45738</xdr:colOff>
      <xdr:row>68</xdr:row>
      <xdr:rowOff>80313</xdr:rowOff>
    </xdr:from>
    <xdr:to>
      <xdr:col>3</xdr:col>
      <xdr:colOff>418698</xdr:colOff>
      <xdr:row>69</xdr:row>
      <xdr:rowOff>21437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57BDF6C-C45F-2CC7-1BF5-9C5E1C689506}"/>
                </a:ext>
              </a:extLst>
            </xdr14:cNvPr>
            <xdr14:cNvContentPartPr/>
          </xdr14:nvContentPartPr>
          <xdr14:nvPr macro=""/>
          <xdr14:xfrm>
            <a:off x="2516760" y="13875840"/>
            <a:ext cx="372960" cy="14400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57BDF6C-C45F-2CC7-1BF5-9C5E1C68950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510640" y="13869720"/>
              <a:ext cx="38520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675732</xdr:colOff>
      <xdr:row>72</xdr:row>
      <xdr:rowOff>152971</xdr:rowOff>
    </xdr:from>
    <xdr:to>
      <xdr:col>4</xdr:col>
      <xdr:colOff>32064</xdr:colOff>
      <xdr:row>75</xdr:row>
      <xdr:rowOff>113145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43A1572D-06D2-C1BE-A949-9D739988588F}"/>
                </a:ext>
              </a:extLst>
            </xdr14:cNvPr>
            <xdr14:cNvContentPartPr/>
          </xdr14:nvContentPartPr>
          <xdr14:nvPr macro=""/>
          <xdr14:xfrm>
            <a:off x="2323080" y="14760000"/>
            <a:ext cx="1003680" cy="5688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43A1572D-06D2-C1BE-A949-9D739988588F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16962" y="14753884"/>
              <a:ext cx="1015916" cy="5810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498258</xdr:colOff>
      <xdr:row>74</xdr:row>
      <xdr:rowOff>67620</xdr:rowOff>
    </xdr:from>
    <xdr:to>
      <xdr:col>4</xdr:col>
      <xdr:colOff>69144</xdr:colOff>
      <xdr:row>75</xdr:row>
      <xdr:rowOff>113505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1539D791-EB8E-9AE0-FC1E-5651F248B6A2}"/>
                </a:ext>
              </a:extLst>
            </xdr14:cNvPr>
            <xdr14:cNvContentPartPr/>
          </xdr14:nvContentPartPr>
          <xdr14:nvPr macro=""/>
          <xdr14:xfrm>
            <a:off x="2969280" y="15080400"/>
            <a:ext cx="394560" cy="24876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1539D791-EB8E-9AE0-FC1E-5651F248B6A2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2960640" y="15071760"/>
              <a:ext cx="41220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390960</xdr:colOff>
      <xdr:row>65</xdr:row>
      <xdr:rowOff>157939</xdr:rowOff>
    </xdr:from>
    <xdr:to>
      <xdr:col>3</xdr:col>
      <xdr:colOff>327618</xdr:colOff>
      <xdr:row>75</xdr:row>
      <xdr:rowOff>114585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3F429C0-263C-29C7-12E3-469B95A04A57}"/>
                </a:ext>
              </a:extLst>
            </xdr14:cNvPr>
            <xdr14:cNvContentPartPr/>
          </xdr14:nvContentPartPr>
          <xdr14:nvPr macro=""/>
          <xdr14:xfrm>
            <a:off x="390960" y="13344840"/>
            <a:ext cx="2407680" cy="198540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23F429C0-263C-29C7-12E3-469B95A04A57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81960" y="13335840"/>
              <a:ext cx="2425320" cy="2003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22:19.88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0 24575,'26'16'0,"26"17"0,-7-7 0,7 2 0,17 7 0,7 1 0,12 1 0,6-3 0,-25-12 0,4-3 0,0-1-273,3-3 0,2-2 1,-1-2 272,0-2 0,-1-2 0,-1-2 0,-1-1 0,-1-2 0,-1 0 0,29 0 0,-4-1 100,-11 1 1,-5-1-101,-9 1 0,-5 1 0,-15 0 0,-4-1 0,18 3 0,-24-2 0,-20-2 617,-12-1-617,-6 1 0,-3-1 0,-13-8 0,-9-7 0,-17-14 0,-4-6 0,-1-3 0,7 5 0,9 8 0,11 8 0,9 8 0,7 5 0,6 3 0,9 5 0,8 6 0,7 6 0,1 4 0,-3 2 0,-5 0 0,-6 0 0,-3 0 0,-2 0 0,0 0 0,-2-3 0,-1-6 0,-3-5 0,-2-3 0,-1-2 0,-1 0 0,-2 0 0,0 2 0,-3 1 0,-4 3 0,-4 4 0,-5 5 0,-2 2 0,-1 2 0,1-3 0,4-2 0,3-6 0,3-3 0,3-2 0,1-2 0,2-1 0,1-2 0,0-5 0,0-4 0,0 3 0,1-2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22:23.363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1 24575,'0'0'0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51:04.806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1199 24 24575,'10'18'0,"14"23"0,20 28 0,-16-22 0,1 3 0,0 2 0,-2 1 0,-4 1 0,-4 2 0,-4 3 0,-5 3 0,-4 10 0,-2 3 0,-3 8 0,-2 3 0,-2 3 0,-3-1 0,-2-5 0,-3-5 0,0-15 0,-3-4 0,-12 25 0,8-37 0,7-24 0,6-16 0,2-7 0,-1-6 0,2 3 0,-1-3 0</inkml:trace>
  <inkml:trace contextRef="#ctx0" brushRef="#br0" timeOffset="1116">1220 0 24575,'17'0'0,"48"0"0,10 0 0,17 0 0,-20 0 0,9 0 0,4 0 0,2 0-1229,-3 0 0,2 0 0,3 0 0,1 0 0,1 0 1229,-9 0 0,1 0 0,1 0 0,1 0 0,-2 0 0,0 0 0,12 0 0,0 0 0,-2 0 0,-1 0 0,-3 0 150,6 0 1,-3 0-1,-2 0 1,-5 0-151,12 0 0,-5 0 0,-7 0 613,9 0 0,-10 0-613,-20 0 0,-6 0 0,22 0 0,-20 1 3156,-16 1-3156,-10 1 1161,-10 0-1161,-9-1 0,-8-2 0,-4 0 0,-3 0 0</inkml:trace>
  <inkml:trace contextRef="#ctx0" brushRef="#br0" timeOffset="3149">2180 587 24575,'0'16'0,"0"12"0,0 16 0,0 13 0,0 5 0,0-4 0,0-6 0,0-4 0,0-4 0,0-2 0,0-6 0,0-8-1696,0-1 0,0-15 0,0 1 0</inkml:trace>
  <inkml:trace contextRef="#ctx0" brushRef="#br0" timeOffset="4399">2886 649 24575,'-6'-3'0,"-9"0"0,-9 3 0,-14 0 0,-3 0 0,3 0 0,8 4 0,10 6 0,6 10 0,6 10 0,4 9 0,2 9 0,2 11 0,3 7 0,8 4 0,12-6 0,17-12 0,16-12 0,13-14 0,12-9 0,1-9 0,-2-6 0,-8-8 0,-15-8 0,-12-7 0,-14-5 0,-12-4 0,-9-2 0,-9-6 0,-11-8 0,-12-5 0,-15-5 0,-9 4 0,-3 5 0,1 10 0,5 10 0,8 9 0,8 7 0,10 5 0,5 3 0,5 2 0,2 0 0,-2 1 0,-2 0 0,-4 0 0,6 0 0,0 0 0</inkml:trace>
  <inkml:trace contextRef="#ctx0" brushRef="#br0" timeOffset="5582">3819 737 24575,'-12'5'0,"-3"7"0,-3 8 0,3 4 0,7-4 0,5-7 0,11-6 0,8-1 0,12 5 0,14 9 0,7 5 0,6 1 0,3-6 0,-2-6 0,-3-6 0,-7-5 0,-6-9 0,-6-9 0,-4-10 0,-3-8 0,-5-1 0,-6 0 0,-7 2 0,-8 2 0,-15-1 0,-13 0 0,-18-3 0,-11 3 0,-4 6 0,-2 6 0,8 8 0,9 6 0,7 3 0,8 4 0,6 2 0,6 3 0,5 2 0,6-1 0,4-4 0,2-1 0</inkml:trace>
  <inkml:trace contextRef="#ctx0" brushRef="#br0" timeOffset="7132">350 595 24575,'26'-1'0,"20"-1"0,20 2 0,9 0 0,-14 0 0,-22 1 0,-21 3 0,-19 7 0,-12 10 0,-8 9 0,-6 6 0,-2 1 0,-1-1 0,2-3 0,3-6 0,8-7 0,8-9 0,10-9 0,9-5 0,5-3 0,5 1 0,6 2 0,11 3 0,8 6 0,5 8 0,-3 6 0,-11 5 0,-11-3 0,-13-2 0,-9 1 0,-9 6 0,-12 11 0,-13 6 0,-14 1 0,-12-5 0,-15-11 0,-22-9 0,40-14 0,-1-2 0,-2-3 0,1-3 0,5-4 0,2-2 0,-26-14 0,27-4 0,22 5 0,16 11 0,7 4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51:36.60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25 24575,'12'0'0,"9"0"0,14 0 0,9 0 0,4 0 0,-4 0 0,-10 0 0,-13 0 0,-10 1 0,-7 1 0,-6 3 0,-5 2 0,-3 2 0,-3 3 0,0 0 0,0 2 0,1-1 0,1 1 0,1 0 0,0 0 0,0-1 0,1-2 0,1-1 0,3-4 0,1-2 0,5-2 0,2-5 0,6-3 0,4-1 0,3 1 0,5 1 0,3 2 0,2 2 0,1 1 0,-1 2 0,-6 3 0,-6 6 0,-5 4 0,-5 6 0,-2 0 0,-2 3 0,-2-1 0,-4-1 0,-4-1 0,-7-3 0,-5-3 0,-6-1 0,-4-3 0,-4-1 0,-2-5 0,3-1 0,5-3 0,7-3 0,8-2 0,6-1 0,4-1 0,3 3 0,1 0 0</inkml:trace>
  <inkml:trace contextRef="#ctx0" brushRef="#br0" timeOffset="1550">628 7 24575,'-2'-3'0,"2"1"0,10 1 0,17 1 0,11 0 0,10 0 0,-3 0 0,-12 0 0,-11 0 0,-11 4 0,-11 2 0,-5 6 0,-6 5 0,-4 5 0,-2 5 0,1-2 0,2-3 0,5-7 0,4-5 0,4-5 0,6-4 0,6-3 0,7 0 0,7 1 0,8 1 0,4 3 0,1 6 0,-2 6 0,-7 6 0,-8 3 0,-10 2 0,-7 2 0,-7-1 0,-9-2 0,-9-4 0,-10-5 0,-6-5 0,-7-5 0,-2-2 0,-1-5 0,0-3 0,8-3 0,11 0 0,13 1 0,9 4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51:39.33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1172 0 24575,'-12'0'0,"-6"0"0,-8 0 0,-6 0 0,1 0 0,2 4 0,6 4 0,5 6 0,6 5 0,5 3 0,4 1 0,2 2 0,1 1 0,2 0 0,5 1 0,6-1 0,9-3 0,-9-10 0,0-5 0</inkml:trace>
  <inkml:trace contextRef="#ctx0" brushRef="#br0" timeOffset="367">1053 267 24575,'0'0'0</inkml:trace>
  <inkml:trace contextRef="#ctx0" brushRef="#br0" timeOffset="1534">1187 81 24575,'0'22'0,"0"9"0,0 16 0,0 10 0,0 1 0,0-4 0,-1-10 0,-5-9 0,-4-9 0,-5-8 0,-11-4 0,-11-3 0,-16 1 0,-12 0 0,-3-3 0,9-3 0,14-3 0,22-2 0,12-1 0</inkml:trace>
  <inkml:trace contextRef="#ctx0" brushRef="#br0" timeOffset="3333">2074 60 24575,'-6'-3'0,"-4"0"0,-6 3 0,-1 0 0,1 0 0,0 0 0,2 0 0,-3 4 0,0 7 0,-2 11 0,-1 10 0,1 6 0,3 2 0,5-2 0,7-4 0,2-4 0,6-2 0,10-1 0,13 1 0,13 0 0,5-1 0,-4-7 0,-9-8 0,-11-6 0,-7-7 0,-6-6 0,-2-7 0,0-10 0,0-7 0,2-8 0,2-5 0,0-1 0,-1 4 0,-3 10 0,-2 12 0,-3 12 0,-1 9 0,0 7 0,0 4 0,0 5 0,0 8 0,0 10 0,0 10 0,1 11 0,3 5 0,1 1 0,0-4 0,-2-12 0,-2-13 0,-3-13 0,-5-9 0,-9-6 0,-13-3 0,-19 2 0,-21 1 0,-8 3 0,0 1 0,16 0 0,23-3 0,18-3 0,12-2 0</inkml:trace>
  <inkml:trace contextRef="#ctx0" brushRef="#br0" timeOffset="4117">0 434 24575,'21'0'0,"15"0"0,20 0 0,13 0 0,-5 0 0,-14 0 0,-26 0 0,-11 0 0</inkml:trace>
  <inkml:trace contextRef="#ctx0" brushRef="#br0" timeOffset="4767">167 849 24575,'64'0'0,"5"0"0,14 0 0,7 0 0,11 0 0,7 0-1053,-23 0 1,4 0 0,4 0 0,1 0 0,0 0 1052,-11 0 0,1 0 0,0 0 0,1 0 0,0 0 0,-3 0 0,13 0 0,-1 0 0,-1 0 0,-2 0 0,-4 0 376,2 0 0,-2 0 0,-5 0 0,-7 0-376,28 0 0,-14 0 173,-33 0 1,-9 0 0,-4 0 0,-26 0 0</inkml:trace>
  <inkml:trace contextRef="#ctx0" brushRef="#br0" timeOffset="6200">2153 1083 24575,'-2'6'0,"-3"4"0,-6 7 0,-5 3 0,0-1 0,3-4 0,7-8 0,7-9 0,8-8 0,6-8 0,5-5 0,1-1 0,-2 1 0,0 3 0,-2 2 0,0 2 0,-1 2 0,-3 5 0,-3 3 0,-4 5 0,-3 3 0,-1 4 0,-2 7 0,1 12 0,1 15 0,4 11 0,3 7 0,2-4 0,-2-13 0,-4-13 0,-3-12 0,-5-9 0,-3-5 0,-5 0 0,-11 0 0,-9 2 0,-7 2 0,0-1 0,9 0 0,12-3 0,15 0 0,17-4 0,19-1 0,18-2 0,16 1 0,5 1 0,-5 3 0,-14 0 0,-18 0 0,-17 0 0,-12 0 0,-5 1 0</inkml:trace>
  <inkml:trace contextRef="#ctx0" brushRef="#br0" timeOffset="9117">82 1580 24575,'57'0'0,"10"0"0,14 0 0,5 0 0,9 0 0,5 0-1044,-11 0 1,4 0-1,2 0 1,0 0 1043,4 0 0,2 0 0,-1 0 0,-1 0 0,-8 0 0,0 0 0,-3 0 0,-4 0 363,6 0 0,-5 0 0,-5 0-363,15 0 0,-10 0 362,-27 0 1,-7 0-363,5 0 0,-23 0 0,-15 0 2187,-4 0-2187,1 0 173,4 0-173,-1 0 0,-1 0 0,-3 0 0,-4 0 0,-3 0 0,-3 0 0,0 0 0,1 0 0,7-2 0,15 0 0,16 0 0,11 1 0,2 1 0,-11-1 0,-14-1 0,-12-1 0,-9 1 0,-6 0 0,-2 1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51:51.822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699 26 24575,'-26'-5'0,"-9"-2"0,-13 0 0,-7 2 0,-5 4 0,4 1 0,1 0 0,3 0 0,6 1 0,1 5 0,4 7 0,3 8 0,4 5 0,6 0 0,6 1 0,5 0 0,4 2 0,1 4 0,4 1 0,3 2 0,3 4 0,2 0 0,6 3 0,6 0 0,11-2 0,8-2 0,9-1 0,10-2 0,10-5 0,10-6 0,0-8 0,1-7 0,-2-5 0,-6-3 0,3-1 0,-4-3 0,-4-6 0,-6-5 0,-8-7 0,-6-4 0,-6-4 0,-4-3 0,-3-4 0,-3-3 0,-2-1 0,-2 0 0,-4 2 0,0 1 0,-3 3 0,-1 1 0,-2 4 0,-3 5 0,-3 6 0,-1 4 0,-4 2 0,-5 0 0,-6-1 0,-7-2 0,-7-2 0,-6-3 0,-4 0 0,-3 0 0,-1 4 0,3 3 0,1 2 0,4 2 0,5 2 0,3 2 0,6 2 0,10 1 0,3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6:51:56.038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1184 6 24575,'-11'-3'0,"-9"0"0,-18 6 0,-26 18 0,18 4 0,-3 8 0,-12 16 0,-1 11 0,12-7 0,-1 5 0,1 4-577,-4 11 1,0 5-1,1 4 577,12-12 0,0 3 0,2 2 0,0 2 0,0 8 0,2 3 0,1 2 0,3 1 0,7-15 0,2 1 0,2 1 0,1 1 0,2 0 0,1 1 0,2 0 0,2 1 0,1 0 0,2-1 0,-1 18 0,3 0 0,2 0 0,3-1 0,4-2 0,3 1 0,3-2 0,2-3 0,1-7 0,3-1 0,1-2 0,4-2 0,6 17 0,5-2 0,4-5-229,1-10 0,5-4 0,2-4 229,0-10 0,3-5 0,2 0 0,4-1 0,3-1 0,1-3 0,1-4 0,1-3 0,2-1 0,3 0 0,3-2 0,1-2 0,3 0 0,1-2 0,2-3 0,3-1 0,0-2 0,3-2 0,10-1 0,2-2 0,2-3-473,6-1 1,2-4 0,2-2 472,-19-4 0,1-2 0,1-1 0,1-1 0,4 0 0,1-1 0,1 0 0,-2-1 0,-1 0 0,-2-1 0,1 0 0,-2-1 0,-5 0 0,-1 0 0,-2-1 0,0 1-219,16 0 1,-3 1 0,-1-1 218,-8-1 0,-2 1 0,-1-1 379,-5 0 0,-2 0 0,-1 0-379,-1-1 0,-1-1 0,-1 0 0,24 0 0,-2 0 0,-8-2 0,-1-2 325,-8 0 1,-2-2-326,-8 0 0,-2-2 757,-4-1 0,-1-1-757,-4 1 0,0 0 790,44-7-790,-10 1 397,-13 3-397,-16 0 0,-3 2 0,0 1 0,-1 2 0,2 3 0,-2 3 0,0 5 0,-3 4 0,-8 3 0,-7 5 0,5 5 0,5 3 0,0 0 0,-9-6 0,-15-8 0,-9-7 0,-6-5 0,-3-2 0,-1-3 0,0-1 0,0 0 0,0 1 0,0 3 0,3 0 0,4 1 0,4 4 0,11 7 0,20 18 0,18 19 0,10 11 0,0 4 0,-7-2 0,-7-8 0,-1-4 0,-4-4 0,-8-10 0,-4-5 0,-7-8 0,-6-8 0,-1-3 0,3-3 0,2-1 0,-1-1 0,-4-3 0,-7 0 0,-7-2 0,-7-1 0,-6-4 0,-8-7 0,-6-8 0,-6-7 0,-3-3 0,-1 0 0,4 4 0,3 6 0,6 6 0,4 6 0,5 6 0,16 15 0,5 7 0,13 11 0,-3-5 0,-5-5 0,-9-6 0,-3-5 0,-2 0 0,-1 0 0,-1-1 0,-1-1 0,-2-1 0,-2 4 0,0 5 0,-2 8 0,-3 8 0,-5 5 0,-5 1 0,-2-3 0,-2-3 0,-1-2 0,-1-2 0,-3-2 0,2-4 0,3-5 0,6-6 0,6-4 0,3-3 0,2-2 0</inkml:trace>
  <inkml:trace contextRef="#ctx0" brushRef="#br0" timeOffset="2467">3035 1138 24575,'78'0'0,"-23"0"0,6 0 0,26 0 0,8 0-568,-21 0 1,3 0 0,1 0 567,5 0 0,1 0 0,0 0 0,-4 0 0,-1 0 0,0 0 0,-6 0 0,-1 0 0,-2 0 152,28 0 0,-3 0-152,-5 0 0,-1 0 0,-2 1 0,-2 0 0,-7 3 0,-3 3 170,-8 2 0,-3 4-170,-9 3 0,-4 3 0,-5 4 0,-3 3 0,-1 2 0,-2 4 430,-1 4 1,0 3-431,-2 1 0,0 2 98,-2 1 1,-2-1-99,22 32 0,-15-21 0,-16-18 0,-12-17 0,-7-10 0,-5-4 0,-3-3 0,-5-5 0,-10-6 0,-11-5 0,-12-4 0,-10 0 0,-4 2 0,4 3 0,12 6 0,15 5 0,12 2 0,7 2 0,4 1 0,2 1 0,4 2 0,4 1 0,7 1 0,5-1 0,3-1 0,3 1 0,2 2 0,3 2 0,0 3 0,1 2 0,-2 0 0,-3-2 0,-1-2 0,-2-3 0,0 0 0,1-1 0,-3 0 0,-4-2 0,-5-2 0,-5-2 0,-3-1 0,-2-3 0,-2-4 0,-1-6 0,0-7 0,1-4 0,0-3 0,0-1 0,1 1 0,-1 2 0,3-5 0,0-10 0,0-8 0,-1-3 0,-1 7 0,-2 12 0,-1 13 0,1 9 0,0 8 0,-1 3 0,1 2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738C2-B6CB-2B4D-BBF2-78FBE9B88AE3}">
  <dimension ref="A3:H54"/>
  <sheetViews>
    <sheetView tabSelected="1" topLeftCell="C42" zoomScale="231" workbookViewId="0">
      <selection activeCell="G52" sqref="G52"/>
    </sheetView>
  </sheetViews>
  <sheetFormatPr baseColWidth="10" defaultRowHeight="16" x14ac:dyDescent="0.2"/>
  <sheetData>
    <row r="3" spans="1:6" x14ac:dyDescent="0.2">
      <c r="B3" t="s">
        <v>0</v>
      </c>
    </row>
    <row r="5" spans="1:6" x14ac:dyDescent="0.2">
      <c r="B5" t="s">
        <v>1</v>
      </c>
    </row>
    <row r="7" spans="1:6" x14ac:dyDescent="0.2">
      <c r="B7" t="str">
        <f>"+, -, *, / , ^"</f>
        <v>+, -, *, / , ^</v>
      </c>
    </row>
    <row r="9" spans="1:6" x14ac:dyDescent="0.2">
      <c r="B9" t="s">
        <v>2</v>
      </c>
    </row>
    <row r="10" spans="1:6" x14ac:dyDescent="0.2">
      <c r="C10" t="str">
        <f ca="1">_xlfn.FORMULATEXT(C11)</f>
        <v>=2*3^(5+1)</v>
      </c>
    </row>
    <row r="11" spans="1:6" x14ac:dyDescent="0.2">
      <c r="C11">
        <f>2*3^(5+1)</f>
        <v>1458</v>
      </c>
    </row>
    <row r="13" spans="1:6" x14ac:dyDescent="0.2">
      <c r="A13" s="1"/>
      <c r="B13" s="1"/>
      <c r="C13" s="1"/>
      <c r="D13" s="1"/>
      <c r="E13" s="1"/>
      <c r="F13" s="1"/>
    </row>
    <row r="15" spans="1:6" x14ac:dyDescent="0.2">
      <c r="B15" t="s">
        <v>3</v>
      </c>
    </row>
    <row r="17" spans="1:5" x14ac:dyDescent="0.2">
      <c r="B17" t="s">
        <v>8</v>
      </c>
    </row>
    <row r="26" spans="1:5" x14ac:dyDescent="0.2">
      <c r="B26" t="s">
        <v>12</v>
      </c>
    </row>
    <row r="28" spans="1:5" x14ac:dyDescent="0.2">
      <c r="B28" t="s">
        <v>13</v>
      </c>
    </row>
    <row r="31" spans="1:5" x14ac:dyDescent="0.2">
      <c r="A31" s="1"/>
      <c r="B31" s="1"/>
      <c r="C31" s="1"/>
      <c r="D31" s="1"/>
      <c r="E31" s="1"/>
    </row>
    <row r="34" spans="2:8" x14ac:dyDescent="0.2">
      <c r="B34" t="s">
        <v>19</v>
      </c>
    </row>
    <row r="36" spans="2:8" x14ac:dyDescent="0.2">
      <c r="B36" t="s">
        <v>20</v>
      </c>
    </row>
    <row r="38" spans="2:8" x14ac:dyDescent="0.2">
      <c r="C38" s="6" t="s">
        <v>21</v>
      </c>
      <c r="D38" s="6" t="s">
        <v>22</v>
      </c>
      <c r="E38" s="6" t="s">
        <v>23</v>
      </c>
    </row>
    <row r="39" spans="2:8" x14ac:dyDescent="0.2">
      <c r="C39" s="3" t="s">
        <v>24</v>
      </c>
      <c r="D39" s="3">
        <v>4000</v>
      </c>
      <c r="E39" s="3">
        <v>17</v>
      </c>
      <c r="G39" t="s">
        <v>29</v>
      </c>
    </row>
    <row r="40" spans="2:8" x14ac:dyDescent="0.2">
      <c r="C40" s="3" t="s">
        <v>25</v>
      </c>
      <c r="D40" s="3">
        <v>5600</v>
      </c>
      <c r="E40" s="3">
        <v>18</v>
      </c>
    </row>
    <row r="41" spans="2:8" x14ac:dyDescent="0.2">
      <c r="C41" s="3" t="s">
        <v>26</v>
      </c>
      <c r="D41" s="3">
        <v>9700</v>
      </c>
      <c r="E41" s="3">
        <v>19</v>
      </c>
    </row>
    <row r="42" spans="2:8" x14ac:dyDescent="0.2">
      <c r="C42" s="3" t="s">
        <v>27</v>
      </c>
      <c r="D42" s="3">
        <v>4000</v>
      </c>
      <c r="E42" s="3">
        <v>20</v>
      </c>
      <c r="G42">
        <f>COUNT(D39:D48)</f>
        <v>10</v>
      </c>
      <c r="H42" t="str">
        <f ca="1">_xlfn.FORMULATEXT(G42)</f>
        <v>=COUNT(D39:D48)</v>
      </c>
    </row>
    <row r="43" spans="2:8" x14ac:dyDescent="0.2">
      <c r="C43" s="3" t="s">
        <v>24</v>
      </c>
      <c r="D43" s="3">
        <v>8000</v>
      </c>
      <c r="E43" s="3">
        <v>21</v>
      </c>
    </row>
    <row r="44" spans="2:8" x14ac:dyDescent="0.2">
      <c r="C44" s="3" t="s">
        <v>25</v>
      </c>
      <c r="D44" s="3">
        <v>9000</v>
      </c>
      <c r="E44" s="3">
        <v>17</v>
      </c>
    </row>
    <row r="45" spans="2:8" x14ac:dyDescent="0.2">
      <c r="C45" s="3" t="s">
        <v>26</v>
      </c>
      <c r="D45" s="3">
        <v>15000</v>
      </c>
      <c r="E45" s="3">
        <v>18</v>
      </c>
      <c r="G45" t="s">
        <v>30</v>
      </c>
    </row>
    <row r="46" spans="2:8" x14ac:dyDescent="0.2">
      <c r="C46" s="3" t="s">
        <v>24</v>
      </c>
      <c r="D46" s="3">
        <v>34000</v>
      </c>
      <c r="E46" s="3">
        <v>16</v>
      </c>
    </row>
    <row r="47" spans="2:8" x14ac:dyDescent="0.2">
      <c r="C47" s="3" t="s">
        <v>28</v>
      </c>
      <c r="D47" s="3">
        <v>9000</v>
      </c>
      <c r="E47" s="3">
        <v>20</v>
      </c>
      <c r="G47">
        <f>COUNTIF(C39:C48,"MH")</f>
        <v>4</v>
      </c>
      <c r="H47" t="str">
        <f ca="1">_xlfn.FORMULATEXT(G47)</f>
        <v>=COUNTIF(C39:C48,"MH")</v>
      </c>
    </row>
    <row r="48" spans="2:8" x14ac:dyDescent="0.2">
      <c r="C48" s="3" t="s">
        <v>24</v>
      </c>
      <c r="D48" s="3">
        <v>9000</v>
      </c>
      <c r="E48" s="3">
        <v>24</v>
      </c>
    </row>
    <row r="49" spans="5:8" x14ac:dyDescent="0.2">
      <c r="G49" t="s">
        <v>31</v>
      </c>
    </row>
    <row r="51" spans="5:8" x14ac:dyDescent="0.2">
      <c r="G51">
        <f>COUNTIF(D39:D48,"&gt;5000")</f>
        <v>8</v>
      </c>
      <c r="H51" t="str">
        <f ca="1">_xlfn.FORMULATEXT(G51)</f>
        <v>=COUNTIF(D39:D48,"&gt;5000")</v>
      </c>
    </row>
    <row r="53" spans="5:8" x14ac:dyDescent="0.2">
      <c r="E53" t="s">
        <v>32</v>
      </c>
    </row>
    <row r="54" spans="5:8" x14ac:dyDescent="0.2">
      <c r="F54">
        <f>COUNTIFS(C39:C48,"MH",D39:D48,"&gt;5000")</f>
        <v>3</v>
      </c>
      <c r="G54" t="str">
        <f ca="1">_xlfn.FORMULATEXT(F54)</f>
        <v>=COUNTIFS(C39:C48,"MH",D39:D48,"&gt;5000")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6871-9B70-AA4C-AF14-A099F5939FF1}">
  <dimension ref="A2:G89"/>
  <sheetViews>
    <sheetView topLeftCell="A82" zoomScale="313" workbookViewId="0">
      <selection activeCell="B87" sqref="B87:B89"/>
    </sheetView>
  </sheetViews>
  <sheetFormatPr baseColWidth="10" defaultRowHeight="16" x14ac:dyDescent="0.2"/>
  <sheetData>
    <row r="2" spans="1:5" x14ac:dyDescent="0.2">
      <c r="A2" t="s">
        <v>3</v>
      </c>
    </row>
    <row r="3" spans="1:5" x14ac:dyDescent="0.2">
      <c r="B3" t="str">
        <f>"+ vs SUM"</f>
        <v>+ vs SUM</v>
      </c>
    </row>
    <row r="5" spans="1:5" x14ac:dyDescent="0.2">
      <c r="B5" t="s">
        <v>4</v>
      </c>
    </row>
    <row r="7" spans="1:5" x14ac:dyDescent="0.2">
      <c r="B7" t="s">
        <v>5</v>
      </c>
    </row>
    <row r="10" spans="1:5" x14ac:dyDescent="0.2">
      <c r="B10" t="s">
        <v>6</v>
      </c>
    </row>
    <row r="11" spans="1:5" x14ac:dyDescent="0.2">
      <c r="B11">
        <v>2</v>
      </c>
    </row>
    <row r="12" spans="1:5" x14ac:dyDescent="0.2">
      <c r="B12">
        <v>3</v>
      </c>
      <c r="D12">
        <f>SUM(B11:B16)</f>
        <v>143</v>
      </c>
      <c r="E12" t="str">
        <f ca="1">_xlfn.FORMULATEXT(D12)</f>
        <v>=SUM(B11:B16)</v>
      </c>
    </row>
    <row r="13" spans="1:5" x14ac:dyDescent="0.2">
      <c r="B13">
        <v>4</v>
      </c>
    </row>
    <row r="14" spans="1:5" x14ac:dyDescent="0.2">
      <c r="B14" t="s">
        <v>7</v>
      </c>
      <c r="D14">
        <f>SUM(2,4,8)</f>
        <v>14</v>
      </c>
      <c r="E14" t="str">
        <f t="shared" ref="E13:E16" ca="1" si="0">_xlfn.FORMULATEXT(D14)</f>
        <v>=SUM(2,4,8)</v>
      </c>
    </row>
    <row r="15" spans="1:5" x14ac:dyDescent="0.2">
      <c r="B15">
        <v>43</v>
      </c>
    </row>
    <row r="16" spans="1:5" x14ac:dyDescent="0.2">
      <c r="B16">
        <v>91</v>
      </c>
      <c r="D16" t="e">
        <f>SUM("sssjs",1,2)</f>
        <v>#VALUE!</v>
      </c>
      <c r="E16" t="str">
        <f t="shared" ca="1" si="0"/>
        <v>=SUM("sssjs",1,2)</v>
      </c>
    </row>
    <row r="18" spans="1:6" x14ac:dyDescent="0.2">
      <c r="A18" s="1"/>
      <c r="B18" s="1"/>
      <c r="C18" s="1"/>
      <c r="D18" s="1"/>
      <c r="E18" s="1"/>
      <c r="F18" s="1"/>
    </row>
    <row r="21" spans="1:6" x14ac:dyDescent="0.2">
      <c r="A21" t="s">
        <v>8</v>
      </c>
    </row>
    <row r="22" spans="1:6" x14ac:dyDescent="0.2">
      <c r="B22" t="s">
        <v>9</v>
      </c>
    </row>
    <row r="24" spans="1:6" x14ac:dyDescent="0.2">
      <c r="B24" t="s">
        <v>10</v>
      </c>
    </row>
    <row r="26" spans="1:6" x14ac:dyDescent="0.2">
      <c r="B26" t="s">
        <v>11</v>
      </c>
    </row>
    <row r="28" spans="1:6" x14ac:dyDescent="0.2">
      <c r="B28" s="2" t="s">
        <v>6</v>
      </c>
    </row>
    <row r="29" spans="1:6" x14ac:dyDescent="0.2">
      <c r="B29" s="2">
        <v>2</v>
      </c>
      <c r="D29">
        <f>COUNT(B29:B34)</f>
        <v>4</v>
      </c>
      <c r="E29" t="str">
        <f ca="1">_xlfn.FORMULATEXT(D29)</f>
        <v>=COUNT(B29:B34)</v>
      </c>
    </row>
    <row r="30" spans="1:6" x14ac:dyDescent="0.2">
      <c r="B30" s="2">
        <v>3</v>
      </c>
      <c r="D30">
        <f>COUNTA(B29:B34)</f>
        <v>5</v>
      </c>
      <c r="E30" t="str">
        <f ca="1">_xlfn.FORMULATEXT(D30)</f>
        <v>=COUNTA(B29:B34)</v>
      </c>
    </row>
    <row r="31" spans="1:6" x14ac:dyDescent="0.2">
      <c r="B31" s="2"/>
      <c r="D31">
        <f>COUNTBLANK(B29:B34)</f>
        <v>1</v>
      </c>
      <c r="E31" t="str">
        <f ca="1">_xlfn.FORMULATEXT(D31)</f>
        <v>=COUNTBLANK(B29:B34)</v>
      </c>
    </row>
    <row r="32" spans="1:6" x14ac:dyDescent="0.2">
      <c r="B32" s="2" t="s">
        <v>7</v>
      </c>
    </row>
    <row r="33" spans="1:7" x14ac:dyDescent="0.2">
      <c r="B33" s="2">
        <v>43</v>
      </c>
    </row>
    <row r="34" spans="1:7" x14ac:dyDescent="0.2">
      <c r="B34" s="2">
        <v>91</v>
      </c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t="s">
        <v>12</v>
      </c>
    </row>
    <row r="38" spans="1:7" x14ac:dyDescent="0.2">
      <c r="B38" s="4" t="s">
        <v>6</v>
      </c>
    </row>
    <row r="39" spans="1:7" x14ac:dyDescent="0.2">
      <c r="B39" s="5">
        <v>2</v>
      </c>
    </row>
    <row r="40" spans="1:7" x14ac:dyDescent="0.2">
      <c r="B40" s="5">
        <v>3</v>
      </c>
      <c r="D40">
        <f>AVERAGE(B39:B44)</f>
        <v>34.75</v>
      </c>
      <c r="E40" t="str">
        <f ca="1">_xlfn.FORMULATEXT(D40)</f>
        <v>=AVERAGE(B39:B44)</v>
      </c>
    </row>
    <row r="41" spans="1:7" x14ac:dyDescent="0.2">
      <c r="B41" s="5"/>
      <c r="D41">
        <f>SUM(B39:B44)/COUNT(B39:B44)</f>
        <v>34.75</v>
      </c>
      <c r="E41" t="str">
        <f ca="1">_xlfn.FORMULATEXT(D41)</f>
        <v>=SUM(B39:B44)/COUNT(B39:B44)</v>
      </c>
    </row>
    <row r="42" spans="1:7" x14ac:dyDescent="0.2">
      <c r="B42" s="5" t="s">
        <v>7</v>
      </c>
    </row>
    <row r="43" spans="1:7" x14ac:dyDescent="0.2">
      <c r="B43" s="5">
        <v>43</v>
      </c>
    </row>
    <row r="44" spans="1:7" x14ac:dyDescent="0.2">
      <c r="B44" s="5">
        <v>91</v>
      </c>
    </row>
    <row r="47" spans="1:7" x14ac:dyDescent="0.2">
      <c r="A47" s="1"/>
      <c r="B47" s="1"/>
      <c r="C47" s="1"/>
      <c r="D47" s="1"/>
      <c r="E47" s="1"/>
      <c r="F47" s="1"/>
      <c r="G47" s="1"/>
    </row>
    <row r="49" spans="1:6" x14ac:dyDescent="0.2">
      <c r="A49" t="s">
        <v>13</v>
      </c>
    </row>
    <row r="51" spans="1:6" x14ac:dyDescent="0.2">
      <c r="B51" s="4" t="s">
        <v>6</v>
      </c>
    </row>
    <row r="52" spans="1:6" x14ac:dyDescent="0.2">
      <c r="B52" s="5">
        <v>2</v>
      </c>
    </row>
    <row r="53" spans="1:6" x14ac:dyDescent="0.2">
      <c r="B53" s="5">
        <v>2</v>
      </c>
      <c r="D53" cm="1">
        <f t="array" ref="D53:D56">_xlfn.UNIQUE(B52:B57)</f>
        <v>2</v>
      </c>
    </row>
    <row r="54" spans="1:6" x14ac:dyDescent="0.2">
      <c r="B54" s="5">
        <v>4</v>
      </c>
      <c r="D54">
        <v>4</v>
      </c>
    </row>
    <row r="55" spans="1:6" x14ac:dyDescent="0.2">
      <c r="B55" s="5" t="s">
        <v>14</v>
      </c>
      <c r="D55" t="str">
        <v>abc</v>
      </c>
    </row>
    <row r="56" spans="1:6" x14ac:dyDescent="0.2">
      <c r="B56" s="5" t="s">
        <v>14</v>
      </c>
      <c r="D56" t="str">
        <v>abcd</v>
      </c>
    </row>
    <row r="57" spans="1:6" x14ac:dyDescent="0.2">
      <c r="B57" s="5" t="s">
        <v>15</v>
      </c>
    </row>
    <row r="59" spans="1:6" x14ac:dyDescent="0.2">
      <c r="D59">
        <f>COUNT(_xlfn.UNIQUE(B52:B57))</f>
        <v>2</v>
      </c>
      <c r="E59" t="str">
        <f ca="1">_xlfn.FORMULATEXT(D59)</f>
        <v>=COUNT(UNIQUE(B52:B57))</v>
      </c>
    </row>
    <row r="62" spans="1:6" x14ac:dyDescent="0.2">
      <c r="A62" s="1"/>
      <c r="B62" s="1"/>
      <c r="C62" s="1"/>
      <c r="D62" s="1"/>
      <c r="E62" s="1"/>
      <c r="F62" s="1"/>
    </row>
    <row r="66" spans="2:3" x14ac:dyDescent="0.2">
      <c r="B66" t="s">
        <v>16</v>
      </c>
      <c r="C66" t="s">
        <v>18</v>
      </c>
    </row>
    <row r="68" spans="2:3" x14ac:dyDescent="0.2">
      <c r="B68" t="s">
        <v>17</v>
      </c>
    </row>
    <row r="78" spans="2:3" x14ac:dyDescent="0.2">
      <c r="B78">
        <f>MOD(100,3)</f>
        <v>1</v>
      </c>
      <c r="C78" t="str">
        <f ca="1">_xlfn.FORMULATEXT(B78)</f>
        <v>=MOD(100,3)</v>
      </c>
    </row>
    <row r="79" spans="2:3" x14ac:dyDescent="0.2">
      <c r="B79">
        <f>QUOTIENT(100,3)</f>
        <v>33</v>
      </c>
      <c r="C79" t="str">
        <f ca="1">_xlfn.FORMULATEXT(B79)</f>
        <v>=QUOTIENT(100,3)</v>
      </c>
    </row>
    <row r="83" spans="1:7" x14ac:dyDescent="0.2">
      <c r="A83" s="1"/>
      <c r="B83" s="1"/>
      <c r="C83" s="1"/>
      <c r="D83" s="1"/>
      <c r="E83" s="1"/>
      <c r="F83" s="1"/>
      <c r="G83" s="1"/>
    </row>
    <row r="87" spans="1:7" x14ac:dyDescent="0.2">
      <c r="B87" t="s">
        <v>19</v>
      </c>
    </row>
    <row r="89" spans="1:7" x14ac:dyDescent="0.2">
      <c r="B89" t="s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2026-06-26T15:46:20Z</dcterms:created>
  <dcterms:modified xsi:type="dcterms:W3CDTF">2026-06-26T17:30:13Z</dcterms:modified>
</cp:coreProperties>
</file>