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drawings/drawing2.xml" ContentType="application/vnd.openxmlformats-officedocument.drawing+xml"/>
  <Override PartName="/xl/ink/ink93.xml" ContentType="application/inkml+xml"/>
  <Override PartName="/xl/ink/ink94.xml" ContentType="application/inkml+xml"/>
  <Override PartName="/xl/drawings/drawing3.xml" ContentType="application/vnd.openxmlformats-officedocument.drawing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8228EDE8-CDE0-754E-BBE7-C6D77C68977A}" xr6:coauthVersionLast="47" xr6:coauthVersionMax="47" xr10:uidLastSave="{00000000-0000-0000-0000-000000000000}"/>
  <bookViews>
    <workbookView xWindow="0" yWindow="600" windowWidth="28800" windowHeight="17400" activeTab="2" xr2:uid="{C956B87E-01CE-F94F-BDD6-5AF055C1B7C0}"/>
  </bookViews>
  <sheets>
    <sheet name="AGENDA" sheetId="1" r:id="rId1"/>
    <sheet name="central_tend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5" i="3" l="1"/>
  <c r="I103" i="3" a="1"/>
  <c r="I103" i="3" s="1"/>
  <c r="J94" i="3" a="1"/>
  <c r="J94" i="3" s="1"/>
  <c r="H94" i="3" a="1"/>
  <c r="H94" i="3" s="1"/>
  <c r="H88" i="3"/>
  <c r="E99" i="3"/>
  <c r="E101" i="3"/>
  <c r="J73" i="3"/>
  <c r="E55" i="3"/>
  <c r="J27" i="3"/>
  <c r="I21" i="3"/>
  <c r="E32" i="3"/>
  <c r="F23" i="3"/>
  <c r="J27" i="2" a="1"/>
  <c r="J27" i="2" s="1"/>
  <c r="H25" i="2" a="1"/>
  <c r="H25" i="2" s="1"/>
  <c r="H20" i="2"/>
  <c r="F20" i="2"/>
  <c r="F15" i="2"/>
  <c r="F103" i="1"/>
  <c r="F101" i="1"/>
  <c r="F9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<sst xmlns="http://schemas.openxmlformats.org/spreadsheetml/2006/main" count="112" uniqueCount="79">
  <si>
    <t>AVERAGE</t>
  </si>
  <si>
    <t>COUNTING</t>
  </si>
  <si>
    <t>SUM</t>
  </si>
  <si>
    <t>Measure of Central tendencies</t>
  </si>
  <si>
    <t>MEAN</t>
  </si>
  <si>
    <t>MEDIAN</t>
  </si>
  <si>
    <t>MODE</t>
  </si>
  <si>
    <t>MEAN (AVERAGE)</t>
  </si>
  <si>
    <t>All the Values and their magnitude into consideration</t>
  </si>
  <si>
    <t>The middle value matters ( count of values effect this)</t>
  </si>
  <si>
    <t>AVERAGE / MEAN</t>
  </si>
  <si>
    <t>Median</t>
  </si>
  <si>
    <t>N</t>
  </si>
  <si>
    <t>MODE.MULT</t>
  </si>
  <si>
    <t>MODE.SNGL</t>
  </si>
  <si>
    <t>return Multiple MODEs</t>
  </si>
  <si>
    <t>return Single MODE</t>
  </si>
  <si>
    <t>SUMIF</t>
  </si>
  <si>
    <t>SUMIFS</t>
  </si>
  <si>
    <t>SUMPRODUCT</t>
  </si>
  <si>
    <t>SUM only when a condition is fulfilled</t>
  </si>
  <si>
    <t>Age</t>
  </si>
  <si>
    <t>Gen</t>
  </si>
  <si>
    <t>M</t>
  </si>
  <si>
    <t>F</t>
  </si>
  <si>
    <t>Tell me SUM of male age</t>
  </si>
  <si>
    <t>SUM IF</t>
  </si>
  <si>
    <t>SUMIF takes 3 arguments</t>
  </si>
  <si>
    <t>RANGE</t>
  </si>
  <si>
    <t>CRITERIA</t>
  </si>
  <si>
    <t>SUM RANGE</t>
  </si>
  <si>
    <t>Sum of age of people above 18</t>
  </si>
  <si>
    <t>Where is the condition to be checked</t>
  </si>
  <si>
    <t>the condition to check</t>
  </si>
  <si>
    <t>is option, but the range you want to add</t>
  </si>
  <si>
    <t>SUM of age of people who are above 14</t>
  </si>
  <si>
    <t>SUM OF age of F</t>
  </si>
  <si>
    <t>SUM only when (1) condition is met</t>
  </si>
  <si>
    <t>SUM when multiple conditions are met</t>
  </si>
  <si>
    <t xml:space="preserve">SUM of ages of MALE above below ( &lt;18) </t>
  </si>
  <si>
    <t>What I want to add</t>
  </si>
  <si>
    <t>First Range for evaluation</t>
  </si>
  <si>
    <t>First Criteria</t>
  </si>
  <si>
    <t>Second Range for evaluation</t>
  </si>
  <si>
    <t>Second Criteria</t>
  </si>
  <si>
    <t>STATE</t>
  </si>
  <si>
    <t>Salary</t>
  </si>
  <si>
    <t>AGE</t>
  </si>
  <si>
    <t>MH</t>
  </si>
  <si>
    <t>UP</t>
  </si>
  <si>
    <t>BH</t>
  </si>
  <si>
    <t>PU</t>
  </si>
  <si>
    <t>TN</t>
  </si>
  <si>
    <t>Sum of salary of people for, Maharastra</t>
  </si>
  <si>
    <t>SUM of salary of people from UP but under 18 (&lt;18)</t>
  </si>
  <si>
    <t>SUM only when multiples condition is fulfilled</t>
  </si>
  <si>
    <t>Type</t>
  </si>
  <si>
    <t>Price</t>
  </si>
  <si>
    <t>Electronics</t>
  </si>
  <si>
    <t>Food</t>
  </si>
  <si>
    <t>Utility</t>
  </si>
  <si>
    <t>Qt</t>
  </si>
  <si>
    <t>Price/Unit</t>
  </si>
  <si>
    <t>TYPE</t>
  </si>
  <si>
    <t>Brand</t>
  </si>
  <si>
    <t>Apple</t>
  </si>
  <si>
    <t>Android</t>
  </si>
  <si>
    <t>Washing machine</t>
  </si>
  <si>
    <t>TV</t>
  </si>
  <si>
    <t>BRAND</t>
  </si>
  <si>
    <t>SUM_PRICE</t>
  </si>
  <si>
    <t>Market va</t>
  </si>
  <si>
    <t>apple</t>
  </si>
  <si>
    <t>A&lt;B</t>
  </si>
  <si>
    <t>price &lt; Mrkt val</t>
  </si>
  <si>
    <t>APPLE : price &lt; markt val</t>
  </si>
  <si>
    <t>BRAND = APPLE</t>
  </si>
  <si>
    <t>AVERAGE IF</t>
  </si>
  <si>
    <t>AVERAGE 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</si>
</sst>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9.xml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63" Type="http://schemas.openxmlformats.org/officeDocument/2006/relationships/customXml" Target="../ink/ink32.xml"/><Relationship Id="rId84" Type="http://schemas.openxmlformats.org/officeDocument/2006/relationships/image" Target="../media/image42.png"/><Relationship Id="rId138" Type="http://schemas.openxmlformats.org/officeDocument/2006/relationships/image" Target="../media/image69.png"/><Relationship Id="rId159" Type="http://schemas.openxmlformats.org/officeDocument/2006/relationships/customXml" Target="../ink/ink80.xml"/><Relationship Id="rId170" Type="http://schemas.openxmlformats.org/officeDocument/2006/relationships/image" Target="../media/image85.png"/><Relationship Id="rId107" Type="http://schemas.openxmlformats.org/officeDocument/2006/relationships/customXml" Target="../ink/ink54.xml"/><Relationship Id="rId11" Type="http://schemas.openxmlformats.org/officeDocument/2006/relationships/customXml" Target="../ink/ink6.xml"/><Relationship Id="rId32" Type="http://schemas.openxmlformats.org/officeDocument/2006/relationships/image" Target="../media/image16.png"/><Relationship Id="rId53" Type="http://schemas.openxmlformats.org/officeDocument/2006/relationships/customXml" Target="../ink/ink27.xml"/><Relationship Id="rId74" Type="http://schemas.openxmlformats.org/officeDocument/2006/relationships/image" Target="../media/image37.png"/><Relationship Id="rId128" Type="http://schemas.openxmlformats.org/officeDocument/2006/relationships/image" Target="../media/image64.png"/><Relationship Id="rId149" Type="http://schemas.openxmlformats.org/officeDocument/2006/relationships/customXml" Target="../ink/ink75.xml"/><Relationship Id="rId5" Type="http://schemas.openxmlformats.org/officeDocument/2006/relationships/customXml" Target="../ink/ink3.xml"/><Relationship Id="rId95" Type="http://schemas.openxmlformats.org/officeDocument/2006/relationships/customXml" Target="../ink/ink48.xml"/><Relationship Id="rId160" Type="http://schemas.openxmlformats.org/officeDocument/2006/relationships/image" Target="../media/image80.png"/><Relationship Id="rId181" Type="http://schemas.openxmlformats.org/officeDocument/2006/relationships/customXml" Target="../ink/ink91.xml"/><Relationship Id="rId22" Type="http://schemas.openxmlformats.org/officeDocument/2006/relationships/image" Target="../media/image11.png"/><Relationship Id="rId43" Type="http://schemas.openxmlformats.org/officeDocument/2006/relationships/customXml" Target="../ink/ink22.xml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139" Type="http://schemas.openxmlformats.org/officeDocument/2006/relationships/customXml" Target="../ink/ink70.xml"/><Relationship Id="rId85" Type="http://schemas.openxmlformats.org/officeDocument/2006/relationships/customXml" Target="../ink/ink43.xml"/><Relationship Id="rId150" Type="http://schemas.openxmlformats.org/officeDocument/2006/relationships/image" Target="../media/image75.png"/><Relationship Id="rId171" Type="http://schemas.openxmlformats.org/officeDocument/2006/relationships/customXml" Target="../ink/ink86.xml"/><Relationship Id="rId12" Type="http://schemas.openxmlformats.org/officeDocument/2006/relationships/image" Target="../media/image6.png"/><Relationship Id="rId33" Type="http://schemas.openxmlformats.org/officeDocument/2006/relationships/customXml" Target="../ink/ink17.xml"/><Relationship Id="rId108" Type="http://schemas.openxmlformats.org/officeDocument/2006/relationships/image" Target="../media/image54.png"/><Relationship Id="rId129" Type="http://schemas.openxmlformats.org/officeDocument/2006/relationships/customXml" Target="../ink/ink65.xml"/><Relationship Id="rId54" Type="http://schemas.openxmlformats.org/officeDocument/2006/relationships/image" Target="../media/image27.png"/><Relationship Id="rId75" Type="http://schemas.openxmlformats.org/officeDocument/2006/relationships/customXml" Target="../ink/ink38.xml"/><Relationship Id="rId96" Type="http://schemas.openxmlformats.org/officeDocument/2006/relationships/image" Target="../media/image48.png"/><Relationship Id="rId140" Type="http://schemas.openxmlformats.org/officeDocument/2006/relationships/image" Target="../media/image70.png"/><Relationship Id="rId161" Type="http://schemas.openxmlformats.org/officeDocument/2006/relationships/customXml" Target="../ink/ink81.xml"/><Relationship Id="rId182" Type="http://schemas.openxmlformats.org/officeDocument/2006/relationships/image" Target="../media/image91.png"/><Relationship Id="rId6" Type="http://schemas.openxmlformats.org/officeDocument/2006/relationships/image" Target="../media/image3.png"/><Relationship Id="rId23" Type="http://schemas.openxmlformats.org/officeDocument/2006/relationships/customXml" Target="../ink/ink12.xml"/><Relationship Id="rId119" Type="http://schemas.openxmlformats.org/officeDocument/2006/relationships/customXml" Target="../ink/ink60.xm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customXml" Target="../ink/ink33.xml"/><Relationship Id="rId81" Type="http://schemas.openxmlformats.org/officeDocument/2006/relationships/customXml" Target="../ink/ink41.xml"/><Relationship Id="rId86" Type="http://schemas.openxmlformats.org/officeDocument/2006/relationships/image" Target="../media/image43.png"/><Relationship Id="rId130" Type="http://schemas.openxmlformats.org/officeDocument/2006/relationships/image" Target="../media/image65.png"/><Relationship Id="rId135" Type="http://schemas.openxmlformats.org/officeDocument/2006/relationships/customXml" Target="../ink/ink68.xml"/><Relationship Id="rId151" Type="http://schemas.openxmlformats.org/officeDocument/2006/relationships/customXml" Target="../ink/ink76.xml"/><Relationship Id="rId156" Type="http://schemas.openxmlformats.org/officeDocument/2006/relationships/image" Target="../media/image78.png"/><Relationship Id="rId177" Type="http://schemas.openxmlformats.org/officeDocument/2006/relationships/customXml" Target="../ink/ink89.xml"/><Relationship Id="rId172" Type="http://schemas.openxmlformats.org/officeDocument/2006/relationships/image" Target="../media/image86.png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109" Type="http://schemas.openxmlformats.org/officeDocument/2006/relationships/customXml" Target="../ink/ink55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6" Type="http://schemas.openxmlformats.org/officeDocument/2006/relationships/image" Target="../media/image38.png"/><Relationship Id="rId97" Type="http://schemas.openxmlformats.org/officeDocument/2006/relationships/customXml" Target="../ink/ink49.xm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customXml" Target="../ink/ink63.xml"/><Relationship Id="rId141" Type="http://schemas.openxmlformats.org/officeDocument/2006/relationships/customXml" Target="../ink/ink71.xml"/><Relationship Id="rId146" Type="http://schemas.openxmlformats.org/officeDocument/2006/relationships/image" Target="../media/image73.png"/><Relationship Id="rId167" Type="http://schemas.openxmlformats.org/officeDocument/2006/relationships/customXml" Target="../ink/ink84.xml"/><Relationship Id="rId7" Type="http://schemas.openxmlformats.org/officeDocument/2006/relationships/customXml" Target="../ink/ink4.xml"/><Relationship Id="rId71" Type="http://schemas.openxmlformats.org/officeDocument/2006/relationships/customXml" Target="../ink/ink36.xml"/><Relationship Id="rId92" Type="http://schemas.openxmlformats.org/officeDocument/2006/relationships/image" Target="../media/image46.png"/><Relationship Id="rId162" Type="http://schemas.openxmlformats.org/officeDocument/2006/relationships/image" Target="../media/image81.png"/><Relationship Id="rId183" Type="http://schemas.openxmlformats.org/officeDocument/2006/relationships/customXml" Target="../ink/ink92.xml"/><Relationship Id="rId2" Type="http://schemas.openxmlformats.org/officeDocument/2006/relationships/image" Target="../media/image1.png"/><Relationship Id="rId29" Type="http://schemas.openxmlformats.org/officeDocument/2006/relationships/customXml" Target="../ink/ink15.xm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66" Type="http://schemas.openxmlformats.org/officeDocument/2006/relationships/image" Target="../media/image33.png"/><Relationship Id="rId87" Type="http://schemas.openxmlformats.org/officeDocument/2006/relationships/customXml" Target="../ink/ink44.xml"/><Relationship Id="rId110" Type="http://schemas.openxmlformats.org/officeDocument/2006/relationships/image" Target="../media/image55.png"/><Relationship Id="rId115" Type="http://schemas.openxmlformats.org/officeDocument/2006/relationships/customXml" Target="../ink/ink58.xml"/><Relationship Id="rId131" Type="http://schemas.openxmlformats.org/officeDocument/2006/relationships/customXml" Target="../ink/ink66.xml"/><Relationship Id="rId136" Type="http://schemas.openxmlformats.org/officeDocument/2006/relationships/image" Target="../media/image68.png"/><Relationship Id="rId157" Type="http://schemas.openxmlformats.org/officeDocument/2006/relationships/customXml" Target="../ink/ink79.xml"/><Relationship Id="rId178" Type="http://schemas.openxmlformats.org/officeDocument/2006/relationships/image" Target="../media/image89.png"/><Relationship Id="rId61" Type="http://schemas.openxmlformats.org/officeDocument/2006/relationships/customXml" Target="../ink/ink31.xml"/><Relationship Id="rId82" Type="http://schemas.openxmlformats.org/officeDocument/2006/relationships/image" Target="../media/image41.png"/><Relationship Id="rId152" Type="http://schemas.openxmlformats.org/officeDocument/2006/relationships/image" Target="../media/image76.png"/><Relationship Id="rId173" Type="http://schemas.openxmlformats.org/officeDocument/2006/relationships/customXml" Target="../ink/ink87.xml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56" Type="http://schemas.openxmlformats.org/officeDocument/2006/relationships/image" Target="../media/image28.png"/><Relationship Id="rId77" Type="http://schemas.openxmlformats.org/officeDocument/2006/relationships/customXml" Target="../ink/ink39.xml"/><Relationship Id="rId100" Type="http://schemas.openxmlformats.org/officeDocument/2006/relationships/image" Target="../media/image50.png"/><Relationship Id="rId105" Type="http://schemas.openxmlformats.org/officeDocument/2006/relationships/customXml" Target="../ink/ink53.xml"/><Relationship Id="rId126" Type="http://schemas.openxmlformats.org/officeDocument/2006/relationships/image" Target="../media/image63.png"/><Relationship Id="rId147" Type="http://schemas.openxmlformats.org/officeDocument/2006/relationships/customXml" Target="../ink/ink74.xml"/><Relationship Id="rId168" Type="http://schemas.openxmlformats.org/officeDocument/2006/relationships/image" Target="../media/image84.png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93" Type="http://schemas.openxmlformats.org/officeDocument/2006/relationships/customXml" Target="../ink/ink47.xml"/><Relationship Id="rId98" Type="http://schemas.openxmlformats.org/officeDocument/2006/relationships/image" Target="../media/image49.png"/><Relationship Id="rId121" Type="http://schemas.openxmlformats.org/officeDocument/2006/relationships/customXml" Target="../ink/ink61.xml"/><Relationship Id="rId142" Type="http://schemas.openxmlformats.org/officeDocument/2006/relationships/image" Target="../media/image71.png"/><Relationship Id="rId163" Type="http://schemas.openxmlformats.org/officeDocument/2006/relationships/customXml" Target="../ink/ink82.xml"/><Relationship Id="rId3" Type="http://schemas.openxmlformats.org/officeDocument/2006/relationships/customXml" Target="../ink/ink2.xml"/><Relationship Id="rId25" Type="http://schemas.openxmlformats.org/officeDocument/2006/relationships/customXml" Target="../ink/ink13.xml"/><Relationship Id="rId46" Type="http://schemas.openxmlformats.org/officeDocument/2006/relationships/image" Target="../media/image23.png"/><Relationship Id="rId67" Type="http://schemas.openxmlformats.org/officeDocument/2006/relationships/customXml" Target="../ink/ink34.xml"/><Relationship Id="rId116" Type="http://schemas.openxmlformats.org/officeDocument/2006/relationships/image" Target="../media/image58.png"/><Relationship Id="rId137" Type="http://schemas.openxmlformats.org/officeDocument/2006/relationships/customXml" Target="../ink/ink69.xml"/><Relationship Id="rId158" Type="http://schemas.openxmlformats.org/officeDocument/2006/relationships/image" Target="../media/image79.png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62" Type="http://schemas.openxmlformats.org/officeDocument/2006/relationships/image" Target="../media/image31.png"/><Relationship Id="rId83" Type="http://schemas.openxmlformats.org/officeDocument/2006/relationships/customXml" Target="../ink/ink42.xml"/><Relationship Id="rId88" Type="http://schemas.openxmlformats.org/officeDocument/2006/relationships/image" Target="../media/image44.png"/><Relationship Id="rId111" Type="http://schemas.openxmlformats.org/officeDocument/2006/relationships/customXml" Target="../ink/ink56.xml"/><Relationship Id="rId132" Type="http://schemas.openxmlformats.org/officeDocument/2006/relationships/image" Target="../media/image66.png"/><Relationship Id="rId153" Type="http://schemas.openxmlformats.org/officeDocument/2006/relationships/customXml" Target="../ink/ink77.xml"/><Relationship Id="rId174" Type="http://schemas.openxmlformats.org/officeDocument/2006/relationships/image" Target="../media/image87.png"/><Relationship Id="rId179" Type="http://schemas.openxmlformats.org/officeDocument/2006/relationships/customXml" Target="../ink/ink90.xml"/><Relationship Id="rId15" Type="http://schemas.openxmlformats.org/officeDocument/2006/relationships/customXml" Target="../ink/ink8.xml"/><Relationship Id="rId36" Type="http://schemas.openxmlformats.org/officeDocument/2006/relationships/image" Target="../media/image18.png"/><Relationship Id="rId57" Type="http://schemas.openxmlformats.org/officeDocument/2006/relationships/customXml" Target="../ink/ink29.xml"/><Relationship Id="rId106" Type="http://schemas.openxmlformats.org/officeDocument/2006/relationships/image" Target="../media/image53.png"/><Relationship Id="rId127" Type="http://schemas.openxmlformats.org/officeDocument/2006/relationships/customXml" Target="../ink/ink64.xml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52" Type="http://schemas.openxmlformats.org/officeDocument/2006/relationships/image" Target="../media/image26.png"/><Relationship Id="rId73" Type="http://schemas.openxmlformats.org/officeDocument/2006/relationships/customXml" Target="../ink/ink37.xm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customXml" Target="../ink/ink50.xml"/><Relationship Id="rId101" Type="http://schemas.openxmlformats.org/officeDocument/2006/relationships/customXml" Target="../ink/ink51.xml"/><Relationship Id="rId122" Type="http://schemas.openxmlformats.org/officeDocument/2006/relationships/image" Target="../media/image61.png"/><Relationship Id="rId143" Type="http://schemas.openxmlformats.org/officeDocument/2006/relationships/customXml" Target="../ink/ink72.xml"/><Relationship Id="rId148" Type="http://schemas.openxmlformats.org/officeDocument/2006/relationships/image" Target="../media/image74.png"/><Relationship Id="rId164" Type="http://schemas.openxmlformats.org/officeDocument/2006/relationships/image" Target="../media/image82.png"/><Relationship Id="rId169" Type="http://schemas.openxmlformats.org/officeDocument/2006/relationships/customXml" Target="../ink/ink85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80" Type="http://schemas.openxmlformats.org/officeDocument/2006/relationships/image" Target="../media/image90.png"/><Relationship Id="rId26" Type="http://schemas.openxmlformats.org/officeDocument/2006/relationships/image" Target="../media/image13.png"/><Relationship Id="rId47" Type="http://schemas.openxmlformats.org/officeDocument/2006/relationships/customXml" Target="../ink/ink24.xml"/><Relationship Id="rId68" Type="http://schemas.openxmlformats.org/officeDocument/2006/relationships/image" Target="../media/image34.png"/><Relationship Id="rId89" Type="http://schemas.openxmlformats.org/officeDocument/2006/relationships/customXml" Target="../ink/ink45.xml"/><Relationship Id="rId112" Type="http://schemas.openxmlformats.org/officeDocument/2006/relationships/image" Target="../media/image56.png"/><Relationship Id="rId133" Type="http://schemas.openxmlformats.org/officeDocument/2006/relationships/customXml" Target="../ink/ink67.xml"/><Relationship Id="rId154" Type="http://schemas.openxmlformats.org/officeDocument/2006/relationships/image" Target="../media/image77.png"/><Relationship Id="rId175" Type="http://schemas.openxmlformats.org/officeDocument/2006/relationships/customXml" Target="../ink/ink88.xml"/><Relationship Id="rId16" Type="http://schemas.openxmlformats.org/officeDocument/2006/relationships/image" Target="../media/image8.png"/><Relationship Id="rId37" Type="http://schemas.openxmlformats.org/officeDocument/2006/relationships/customXml" Target="../ink/ink19.xml"/><Relationship Id="rId58" Type="http://schemas.openxmlformats.org/officeDocument/2006/relationships/image" Target="../media/image29.png"/><Relationship Id="rId79" Type="http://schemas.openxmlformats.org/officeDocument/2006/relationships/customXml" Target="../ink/ink40.xml"/><Relationship Id="rId102" Type="http://schemas.openxmlformats.org/officeDocument/2006/relationships/image" Target="../media/image51.png"/><Relationship Id="rId123" Type="http://schemas.openxmlformats.org/officeDocument/2006/relationships/customXml" Target="../ink/ink62.xml"/><Relationship Id="rId144" Type="http://schemas.openxmlformats.org/officeDocument/2006/relationships/image" Target="../media/image72.png"/><Relationship Id="rId90" Type="http://schemas.openxmlformats.org/officeDocument/2006/relationships/image" Target="../media/image45.png"/><Relationship Id="rId165" Type="http://schemas.openxmlformats.org/officeDocument/2006/relationships/customXml" Target="../ink/ink83.xml"/><Relationship Id="rId27" Type="http://schemas.openxmlformats.org/officeDocument/2006/relationships/customXml" Target="../ink/ink14.xml"/><Relationship Id="rId48" Type="http://schemas.openxmlformats.org/officeDocument/2006/relationships/image" Target="../media/image24.png"/><Relationship Id="rId69" Type="http://schemas.openxmlformats.org/officeDocument/2006/relationships/customXml" Target="../ink/ink35.xml"/><Relationship Id="rId113" Type="http://schemas.openxmlformats.org/officeDocument/2006/relationships/customXml" Target="../ink/ink57.xml"/><Relationship Id="rId134" Type="http://schemas.openxmlformats.org/officeDocument/2006/relationships/image" Target="../media/image67.png"/><Relationship Id="rId80" Type="http://schemas.openxmlformats.org/officeDocument/2006/relationships/image" Target="../media/image40.png"/><Relationship Id="rId155" Type="http://schemas.openxmlformats.org/officeDocument/2006/relationships/customXml" Target="../ink/ink78.xml"/><Relationship Id="rId176" Type="http://schemas.openxmlformats.org/officeDocument/2006/relationships/image" Target="../media/image88.png"/><Relationship Id="rId17" Type="http://schemas.openxmlformats.org/officeDocument/2006/relationships/customXml" Target="../ink/ink9.xml"/><Relationship Id="rId38" Type="http://schemas.openxmlformats.org/officeDocument/2006/relationships/image" Target="../media/image19.png"/><Relationship Id="rId59" Type="http://schemas.openxmlformats.org/officeDocument/2006/relationships/customXml" Target="../ink/ink30.xml"/><Relationship Id="rId103" Type="http://schemas.openxmlformats.org/officeDocument/2006/relationships/customXml" Target="../ink/ink52.xml"/><Relationship Id="rId124" Type="http://schemas.openxmlformats.org/officeDocument/2006/relationships/image" Target="../media/image62.png"/><Relationship Id="rId70" Type="http://schemas.openxmlformats.org/officeDocument/2006/relationships/image" Target="../media/image35.png"/><Relationship Id="rId91" Type="http://schemas.openxmlformats.org/officeDocument/2006/relationships/customXml" Target="../ink/ink46.xml"/><Relationship Id="rId145" Type="http://schemas.openxmlformats.org/officeDocument/2006/relationships/customXml" Target="../ink/ink73.xml"/><Relationship Id="rId166" Type="http://schemas.openxmlformats.org/officeDocument/2006/relationships/image" Target="../media/image83.png"/><Relationship Id="rId1" Type="http://schemas.openxmlformats.org/officeDocument/2006/relationships/customXml" Target="../ink/ink1.xml"/><Relationship Id="rId28" Type="http://schemas.openxmlformats.org/officeDocument/2006/relationships/image" Target="../media/image14.png"/><Relationship Id="rId49" Type="http://schemas.openxmlformats.org/officeDocument/2006/relationships/customXml" Target="../ink/ink25.xml"/><Relationship Id="rId114" Type="http://schemas.openxmlformats.org/officeDocument/2006/relationships/image" Target="../media/image57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94.xml"/><Relationship Id="rId2" Type="http://schemas.openxmlformats.org/officeDocument/2006/relationships/image" Target="../media/image92.png"/><Relationship Id="rId1" Type="http://schemas.openxmlformats.org/officeDocument/2006/relationships/customXml" Target="../ink/ink93.xml"/><Relationship Id="rId4" Type="http://schemas.openxmlformats.org/officeDocument/2006/relationships/image" Target="../media/image93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01.png"/><Relationship Id="rId18" Type="http://schemas.openxmlformats.org/officeDocument/2006/relationships/customXml" Target="../ink/ink102.xml"/><Relationship Id="rId26" Type="http://schemas.openxmlformats.org/officeDocument/2006/relationships/customXml" Target="../ink/ink106.xml"/><Relationship Id="rId3" Type="http://schemas.openxmlformats.org/officeDocument/2006/relationships/customXml" Target="../ink/ink95.xml"/><Relationship Id="rId21" Type="http://schemas.openxmlformats.org/officeDocument/2006/relationships/image" Target="../media/image105.png"/><Relationship Id="rId34" Type="http://schemas.openxmlformats.org/officeDocument/2006/relationships/customXml" Target="../ink/ink110.xml"/><Relationship Id="rId7" Type="http://schemas.openxmlformats.org/officeDocument/2006/relationships/customXml" Target="../ink/ink97.xml"/><Relationship Id="rId12" Type="http://schemas.openxmlformats.org/officeDocument/2006/relationships/image" Target="../media/image100.png"/><Relationship Id="rId17" Type="http://schemas.openxmlformats.org/officeDocument/2006/relationships/image" Target="../media/image103.png"/><Relationship Id="rId25" Type="http://schemas.openxmlformats.org/officeDocument/2006/relationships/image" Target="../media/image107.png"/><Relationship Id="rId33" Type="http://schemas.openxmlformats.org/officeDocument/2006/relationships/image" Target="../media/image111.png"/><Relationship Id="rId2" Type="http://schemas.openxmlformats.org/officeDocument/2006/relationships/image" Target="../media/image95.png"/><Relationship Id="rId16" Type="http://schemas.openxmlformats.org/officeDocument/2006/relationships/customXml" Target="../ink/ink101.xml"/><Relationship Id="rId20" Type="http://schemas.openxmlformats.org/officeDocument/2006/relationships/customXml" Target="../ink/ink103.xml"/><Relationship Id="rId29" Type="http://schemas.openxmlformats.org/officeDocument/2006/relationships/image" Target="../media/image109.png"/><Relationship Id="rId1" Type="http://schemas.openxmlformats.org/officeDocument/2006/relationships/image" Target="../media/image94.png"/><Relationship Id="rId6" Type="http://schemas.openxmlformats.org/officeDocument/2006/relationships/image" Target="../media/image97.png"/><Relationship Id="rId11" Type="http://schemas.openxmlformats.org/officeDocument/2006/relationships/customXml" Target="../ink/ink99.xml"/><Relationship Id="rId24" Type="http://schemas.openxmlformats.org/officeDocument/2006/relationships/customXml" Target="../ink/ink105.xml"/><Relationship Id="rId32" Type="http://schemas.openxmlformats.org/officeDocument/2006/relationships/customXml" Target="../ink/ink109.xml"/><Relationship Id="rId5" Type="http://schemas.openxmlformats.org/officeDocument/2006/relationships/customXml" Target="../ink/ink96.xml"/><Relationship Id="rId15" Type="http://schemas.openxmlformats.org/officeDocument/2006/relationships/image" Target="../media/image102.png"/><Relationship Id="rId23" Type="http://schemas.openxmlformats.org/officeDocument/2006/relationships/image" Target="../media/image106.png"/><Relationship Id="rId28" Type="http://schemas.openxmlformats.org/officeDocument/2006/relationships/customXml" Target="../ink/ink107.xml"/><Relationship Id="rId10" Type="http://schemas.openxmlformats.org/officeDocument/2006/relationships/image" Target="../media/image99.png"/><Relationship Id="rId19" Type="http://schemas.openxmlformats.org/officeDocument/2006/relationships/image" Target="../media/image104.png"/><Relationship Id="rId31" Type="http://schemas.openxmlformats.org/officeDocument/2006/relationships/image" Target="../media/image110.png"/><Relationship Id="rId4" Type="http://schemas.openxmlformats.org/officeDocument/2006/relationships/image" Target="../media/image96.png"/><Relationship Id="rId9" Type="http://schemas.openxmlformats.org/officeDocument/2006/relationships/customXml" Target="../ink/ink98.xml"/><Relationship Id="rId14" Type="http://schemas.openxmlformats.org/officeDocument/2006/relationships/customXml" Target="../ink/ink100.xml"/><Relationship Id="rId22" Type="http://schemas.openxmlformats.org/officeDocument/2006/relationships/customXml" Target="../ink/ink104.xml"/><Relationship Id="rId27" Type="http://schemas.openxmlformats.org/officeDocument/2006/relationships/image" Target="../media/image108.png"/><Relationship Id="rId30" Type="http://schemas.openxmlformats.org/officeDocument/2006/relationships/customXml" Target="../ink/ink108.xml"/><Relationship Id="rId35" Type="http://schemas.openxmlformats.org/officeDocument/2006/relationships/image" Target="../media/image112.png"/><Relationship Id="rId8" Type="http://schemas.openxmlformats.org/officeDocument/2006/relationships/image" Target="../media/image9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554760</xdr:colOff>
      <xdr:row>11</xdr:row>
      <xdr:rowOff>196700</xdr:rowOff>
    </xdr:from>
    <xdr:to>
      <xdr:col>1</xdr:col>
      <xdr:colOff>46623</xdr:colOff>
      <xdr:row>17</xdr:row>
      <xdr:rowOff>16547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AF6AB7B-06C1-7B5E-4B83-E7F32C287074}"/>
                </a:ext>
              </a:extLst>
            </xdr14:cNvPr>
            <xdr14:cNvContentPartPr/>
          </xdr14:nvContentPartPr>
          <xdr14:nvPr macro=""/>
          <xdr14:xfrm>
            <a:off x="554760" y="2419200"/>
            <a:ext cx="316080" cy="10321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AF6AB7B-06C1-7B5E-4B83-E7F32C28707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8702" y="2413080"/>
              <a:ext cx="328196" cy="104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139462</xdr:colOff>
      <xdr:row>19</xdr:row>
      <xdr:rowOff>136828</xdr:rowOff>
    </xdr:from>
    <xdr:to>
      <xdr:col>2</xdr:col>
      <xdr:colOff>259702</xdr:colOff>
      <xdr:row>21</xdr:row>
      <xdr:rowOff>91869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78E2440E-B3F0-2056-DA0F-623A56926A86}"/>
                </a:ext>
              </a:extLst>
            </xdr14:cNvPr>
            <xdr14:cNvContentPartPr/>
          </xdr14:nvContentPartPr>
          <xdr14:nvPr macro=""/>
          <xdr14:xfrm>
            <a:off x="1787760" y="3987360"/>
            <a:ext cx="120240" cy="360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78E2440E-B3F0-2056-DA0F-623A56926A8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777320" y="3976920"/>
              <a:ext cx="141480" cy="38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781517</xdr:colOff>
      <xdr:row>19</xdr:row>
      <xdr:rowOff>7588</xdr:rowOff>
    </xdr:from>
    <xdr:to>
      <xdr:col>8</xdr:col>
      <xdr:colOff>240689</xdr:colOff>
      <xdr:row>20</xdr:row>
      <xdr:rowOff>150889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AC6D9523-E735-9752-2154-55DBC589D563}"/>
                </a:ext>
              </a:extLst>
            </xdr14:cNvPr>
            <xdr14:cNvContentPartPr/>
          </xdr14:nvContentPartPr>
          <xdr14:nvPr macro=""/>
          <xdr14:xfrm>
            <a:off x="6550560" y="3858120"/>
            <a:ext cx="283320" cy="3459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AC6D9523-E735-9752-2154-55DBC589D563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539760" y="3847320"/>
              <a:ext cx="304560" cy="36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273055</xdr:colOff>
      <xdr:row>19</xdr:row>
      <xdr:rowOff>118108</xdr:rowOff>
    </xdr:from>
    <xdr:to>
      <xdr:col>5</xdr:col>
      <xdr:colOff>377815</xdr:colOff>
      <xdr:row>20</xdr:row>
      <xdr:rowOff>86809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132A8236-639F-03D1-6DB2-D26986CCEDDE}"/>
                </a:ext>
              </a:extLst>
            </xdr14:cNvPr>
            <xdr14:cNvContentPartPr/>
          </xdr14:nvContentPartPr>
          <xdr14:nvPr macro=""/>
          <xdr14:xfrm>
            <a:off x="4393800" y="3968640"/>
            <a:ext cx="104760" cy="17136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132A8236-639F-03D1-6DB2-D26986CCEDDE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4383360" y="3957840"/>
              <a:ext cx="126000" cy="19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533335</xdr:colOff>
      <xdr:row>20</xdr:row>
      <xdr:rowOff>52609</xdr:rowOff>
    </xdr:from>
    <xdr:to>
      <xdr:col>5</xdr:col>
      <xdr:colOff>593815</xdr:colOff>
      <xdr:row>20</xdr:row>
      <xdr:rowOff>146209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6F5A101E-A40E-CFC2-CCAD-B2D8627FD5A0}"/>
                </a:ext>
              </a:extLst>
            </xdr14:cNvPr>
            <xdr14:cNvContentPartPr/>
          </xdr14:nvContentPartPr>
          <xdr14:nvPr macro=""/>
          <xdr14:xfrm>
            <a:off x="4654080" y="4105800"/>
            <a:ext cx="60480" cy="9360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6F5A101E-A40E-CFC2-CCAD-B2D8627FD5A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643640" y="4095000"/>
              <a:ext cx="81720" cy="11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242237</xdr:colOff>
      <xdr:row>19</xdr:row>
      <xdr:rowOff>126028</xdr:rowOff>
    </xdr:from>
    <xdr:to>
      <xdr:col>7</xdr:col>
      <xdr:colOff>470117</xdr:colOff>
      <xdr:row>20</xdr:row>
      <xdr:rowOff>84649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539544B-9C07-5AA6-CA0E-85CDB14F1CC5}"/>
                </a:ext>
              </a:extLst>
            </xdr14:cNvPr>
            <xdr14:cNvContentPartPr/>
          </xdr14:nvContentPartPr>
          <xdr14:nvPr macro=""/>
          <xdr14:xfrm>
            <a:off x="6011280" y="3976560"/>
            <a:ext cx="227880" cy="161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6539544B-9C07-5AA6-CA0E-85CDB14F1CC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6000480" y="3966120"/>
              <a:ext cx="249120" cy="18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585066</xdr:colOff>
      <xdr:row>19</xdr:row>
      <xdr:rowOff>90748</xdr:rowOff>
    </xdr:from>
    <xdr:to>
      <xdr:col>7</xdr:col>
      <xdr:colOff>15077</xdr:colOff>
      <xdr:row>20</xdr:row>
      <xdr:rowOff>133249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E1111236-F557-E546-7A70-99B62DB8F7BF}"/>
                </a:ext>
              </a:extLst>
            </xdr14:cNvPr>
            <xdr14:cNvContentPartPr/>
          </xdr14:nvContentPartPr>
          <xdr14:nvPr macro=""/>
          <xdr14:xfrm>
            <a:off x="5529960" y="3941280"/>
            <a:ext cx="254160" cy="24516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E1111236-F557-E546-7A70-99B62DB8F7BF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5519505" y="3930840"/>
              <a:ext cx="275430" cy="266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788935</xdr:colOff>
      <xdr:row>19</xdr:row>
      <xdr:rowOff>154108</xdr:rowOff>
    </xdr:from>
    <xdr:to>
      <xdr:col>6</xdr:col>
      <xdr:colOff>291666</xdr:colOff>
      <xdr:row>20</xdr:row>
      <xdr:rowOff>165289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F5FFC2F5-9EB6-9E2E-6338-8DD04148F62B}"/>
                </a:ext>
              </a:extLst>
            </xdr14:cNvPr>
            <xdr14:cNvContentPartPr/>
          </xdr14:nvContentPartPr>
          <xdr14:nvPr macro=""/>
          <xdr14:xfrm>
            <a:off x="4909680" y="4004640"/>
            <a:ext cx="326880" cy="21384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F5FFC2F5-9EB6-9E2E-6338-8DD04148F62B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4899240" y="3993840"/>
              <a:ext cx="348120" cy="23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475124</xdr:colOff>
      <xdr:row>19</xdr:row>
      <xdr:rowOff>140428</xdr:rowOff>
    </xdr:from>
    <xdr:to>
      <xdr:col>5</xdr:col>
      <xdr:colOff>35095</xdr:colOff>
      <xdr:row>20</xdr:row>
      <xdr:rowOff>180409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F10B2CD7-C5DC-770A-E8D4-EEC11C1D8491}"/>
                </a:ext>
              </a:extLst>
            </xdr14:cNvPr>
            <xdr14:cNvContentPartPr/>
          </xdr14:nvContentPartPr>
          <xdr14:nvPr macro=""/>
          <xdr14:xfrm>
            <a:off x="3771720" y="3990960"/>
            <a:ext cx="384120" cy="24264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F10B2CD7-C5DC-770A-E8D4-EEC11C1D849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760920" y="3980160"/>
              <a:ext cx="405360" cy="263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92084</xdr:colOff>
      <xdr:row>19</xdr:row>
      <xdr:rowOff>136468</xdr:rowOff>
    </xdr:from>
    <xdr:to>
      <xdr:col>4</xdr:col>
      <xdr:colOff>287204</xdr:colOff>
      <xdr:row>20</xdr:row>
      <xdr:rowOff>193009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4213E8C4-1700-A75C-630B-8503364D4FA7}"/>
                </a:ext>
              </a:extLst>
            </xdr14:cNvPr>
            <xdr14:cNvContentPartPr/>
          </xdr14:nvContentPartPr>
          <xdr14:nvPr macro=""/>
          <xdr14:xfrm>
            <a:off x="3388680" y="3987000"/>
            <a:ext cx="195120" cy="25920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4213E8C4-1700-A75C-630B-8503364D4FA7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378240" y="3976560"/>
              <a:ext cx="216360" cy="280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244833</xdr:colOff>
      <xdr:row>19</xdr:row>
      <xdr:rowOff>95068</xdr:rowOff>
    </xdr:from>
    <xdr:to>
      <xdr:col>3</xdr:col>
      <xdr:colOff>488193</xdr:colOff>
      <xdr:row>20</xdr:row>
      <xdr:rowOff>130369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FCA8801E-F2B6-CD1F-5417-0F12D2686DA7}"/>
                </a:ext>
              </a:extLst>
            </xdr14:cNvPr>
            <xdr14:cNvContentPartPr/>
          </xdr14:nvContentPartPr>
          <xdr14:nvPr macro=""/>
          <xdr14:xfrm>
            <a:off x="2717280" y="3945600"/>
            <a:ext cx="243360" cy="23796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FCA8801E-F2B6-CD1F-5417-0F12D2686DA7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706840" y="3935160"/>
              <a:ext cx="264600" cy="25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577222</xdr:colOff>
      <xdr:row>19</xdr:row>
      <xdr:rowOff>114868</xdr:rowOff>
    </xdr:from>
    <xdr:to>
      <xdr:col>3</xdr:col>
      <xdr:colOff>6153</xdr:colOff>
      <xdr:row>20</xdr:row>
      <xdr:rowOff>141169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374FF7B8-6548-D87F-C049-D11E3CAA61F6}"/>
                </a:ext>
              </a:extLst>
            </xdr14:cNvPr>
            <xdr14:cNvContentPartPr/>
          </xdr14:nvContentPartPr>
          <xdr14:nvPr macro=""/>
          <xdr14:xfrm>
            <a:off x="2225520" y="3965400"/>
            <a:ext cx="253080" cy="22896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374FF7B8-6548-D87F-C049-D11E3CAA61F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215080" y="3954600"/>
              <a:ext cx="274320" cy="25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243000</xdr:colOff>
      <xdr:row>15</xdr:row>
      <xdr:rowOff>49626</xdr:rowOff>
    </xdr:from>
    <xdr:to>
      <xdr:col>1</xdr:col>
      <xdr:colOff>198971</xdr:colOff>
      <xdr:row>23</xdr:row>
      <xdr:rowOff>124310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1828E3F6-AF7A-230E-4B49-E7B76E1BE53C}"/>
                </a:ext>
              </a:extLst>
            </xdr14:cNvPr>
            <xdr14:cNvContentPartPr/>
          </xdr14:nvContentPartPr>
          <xdr14:nvPr macro=""/>
          <xdr14:xfrm>
            <a:off x="243000" y="3089520"/>
            <a:ext cx="780120" cy="16959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1828E3F6-AF7A-230E-4B49-E7B76E1BE53C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32250" y="3079051"/>
              <a:ext cx="801262" cy="171725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657611</xdr:colOff>
      <xdr:row>22</xdr:row>
      <xdr:rowOff>146249</xdr:rowOff>
    </xdr:from>
    <xdr:to>
      <xdr:col>3</xdr:col>
      <xdr:colOff>160593</xdr:colOff>
      <xdr:row>25</xdr:row>
      <xdr:rowOff>119671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2A8E170A-C160-6B8B-F927-FFBCB7D7BADC}"/>
                </a:ext>
              </a:extLst>
            </xdr14:cNvPr>
            <xdr14:cNvContentPartPr/>
          </xdr14:nvContentPartPr>
          <xdr14:nvPr macro=""/>
          <xdr14:xfrm>
            <a:off x="1481760" y="4604760"/>
            <a:ext cx="1151280" cy="581400"/>
          </xdr14:xfrm>
        </xdr:contentPart>
      </mc:Choice>
      <mc:Fallback xmlns=""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2A8E170A-C160-6B8B-F927-FFBCB7D7BADC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471317" y="4593960"/>
              <a:ext cx="1172527" cy="60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709233</xdr:colOff>
      <xdr:row>23</xdr:row>
      <xdr:rowOff>28910</xdr:rowOff>
    </xdr:from>
    <xdr:to>
      <xdr:col>4</xdr:col>
      <xdr:colOff>260924</xdr:colOff>
      <xdr:row>24</xdr:row>
      <xdr:rowOff>188050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EBD3CEED-AD68-0327-785D-398A84C11D9C}"/>
                </a:ext>
              </a:extLst>
            </xdr14:cNvPr>
            <xdr14:cNvContentPartPr/>
          </xdr14:nvContentPartPr>
          <xdr14:nvPr macro=""/>
          <xdr14:xfrm>
            <a:off x="3181680" y="4690080"/>
            <a:ext cx="375840" cy="361800"/>
          </xdr14:xfrm>
        </xdr:contentPart>
      </mc:Choice>
      <mc:Fallback xmlns=""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EBD3CEED-AD68-0327-785D-398A84C11D9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3170880" y="4679640"/>
              <a:ext cx="397080" cy="383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583484</xdr:colOff>
      <xdr:row>18</xdr:row>
      <xdr:rowOff>46088</xdr:rowOff>
    </xdr:from>
    <xdr:to>
      <xdr:col>4</xdr:col>
      <xdr:colOff>649724</xdr:colOff>
      <xdr:row>18</xdr:row>
      <xdr:rowOff>61208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52" name="Ink 51">
              <a:extLst>
                <a:ext uri="{FF2B5EF4-FFF2-40B4-BE49-F238E27FC236}">
                  <a16:creationId xmlns:a16="http://schemas.microsoft.com/office/drawing/2014/main" id="{B90BB517-0705-8819-FFC1-3EC43AA0276E}"/>
                </a:ext>
              </a:extLst>
            </xdr14:cNvPr>
            <xdr14:cNvContentPartPr/>
          </xdr14:nvContentPartPr>
          <xdr14:nvPr macro=""/>
          <xdr14:xfrm>
            <a:off x="3880080" y="3693960"/>
            <a:ext cx="66240" cy="15120"/>
          </xdr14:xfrm>
        </xdr:contentPart>
      </mc:Choice>
      <mc:Fallback xmlns="">
        <xdr:pic>
          <xdr:nvPicPr>
            <xdr:cNvPr id="52" name="Ink 51">
              <a:extLst>
                <a:ext uri="{FF2B5EF4-FFF2-40B4-BE49-F238E27FC236}">
                  <a16:creationId xmlns:a16="http://schemas.microsoft.com/office/drawing/2014/main" id="{B90BB517-0705-8819-FFC1-3EC43AA0276E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3869640" y="3683160"/>
              <a:ext cx="87480" cy="36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144895</xdr:colOff>
      <xdr:row>18</xdr:row>
      <xdr:rowOff>45728</xdr:rowOff>
    </xdr:from>
    <xdr:to>
      <xdr:col>5</xdr:col>
      <xdr:colOff>183775</xdr:colOff>
      <xdr:row>18</xdr:row>
      <xdr:rowOff>56528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967A9B64-FEF5-D159-97F1-96E2488C5128}"/>
                </a:ext>
              </a:extLst>
            </xdr14:cNvPr>
            <xdr14:cNvContentPartPr/>
          </xdr14:nvContentPartPr>
          <xdr14:nvPr macro=""/>
          <xdr14:xfrm>
            <a:off x="4265640" y="3693600"/>
            <a:ext cx="38880" cy="10800"/>
          </xdr14:xfrm>
        </xdr:contentPart>
      </mc:Choice>
      <mc:Fallback xmlns="">
        <xdr:pic>
          <xdr:nvPicPr>
            <xdr:cNvPr id="53" name="Ink 52">
              <a:extLst>
                <a:ext uri="{FF2B5EF4-FFF2-40B4-BE49-F238E27FC236}">
                  <a16:creationId xmlns:a16="http://schemas.microsoft.com/office/drawing/2014/main" id="{967A9B64-FEF5-D159-97F1-96E2488C5128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4254840" y="3683160"/>
              <a:ext cx="60120" cy="32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740586</xdr:colOff>
      <xdr:row>18</xdr:row>
      <xdr:rowOff>1448</xdr:rowOff>
    </xdr:from>
    <xdr:to>
      <xdr:col>7</xdr:col>
      <xdr:colOff>472997</xdr:colOff>
      <xdr:row>18</xdr:row>
      <xdr:rowOff>122048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56" name="Ink 55">
              <a:extLst>
                <a:ext uri="{FF2B5EF4-FFF2-40B4-BE49-F238E27FC236}">
                  <a16:creationId xmlns:a16="http://schemas.microsoft.com/office/drawing/2014/main" id="{62EA162D-99C3-FB69-0BB7-F0263908ABD1}"/>
                </a:ext>
              </a:extLst>
            </xdr14:cNvPr>
            <xdr14:cNvContentPartPr/>
          </xdr14:nvContentPartPr>
          <xdr14:nvPr macro=""/>
          <xdr14:xfrm>
            <a:off x="5685480" y="3649320"/>
            <a:ext cx="556560" cy="120600"/>
          </xdr14:xfrm>
        </xdr:contentPart>
      </mc:Choice>
      <mc:Fallback xmlns="">
        <xdr:pic>
          <xdr:nvPicPr>
            <xdr:cNvPr id="56" name="Ink 55">
              <a:extLst>
                <a:ext uri="{FF2B5EF4-FFF2-40B4-BE49-F238E27FC236}">
                  <a16:creationId xmlns:a16="http://schemas.microsoft.com/office/drawing/2014/main" id="{62EA162D-99C3-FB69-0BB7-F0263908ABD1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5675040" y="3638880"/>
              <a:ext cx="577800" cy="141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20444</xdr:colOff>
      <xdr:row>18</xdr:row>
      <xdr:rowOff>64808</xdr:rowOff>
    </xdr:from>
    <xdr:to>
      <xdr:col>4</xdr:col>
      <xdr:colOff>281804</xdr:colOff>
      <xdr:row>18</xdr:row>
      <xdr:rowOff>104048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57" name="Ink 56">
              <a:extLst>
                <a:ext uri="{FF2B5EF4-FFF2-40B4-BE49-F238E27FC236}">
                  <a16:creationId xmlns:a16="http://schemas.microsoft.com/office/drawing/2014/main" id="{66B5BEC2-4DCA-6F77-1344-9C6355288DB0}"/>
                </a:ext>
              </a:extLst>
            </xdr14:cNvPr>
            <xdr14:cNvContentPartPr/>
          </xdr14:nvContentPartPr>
          <xdr14:nvPr macro=""/>
          <xdr14:xfrm>
            <a:off x="3317040" y="3712680"/>
            <a:ext cx="261360" cy="39240"/>
          </xdr14:xfrm>
        </xdr:contentPart>
      </mc:Choice>
      <mc:Fallback xmlns="">
        <xdr:pic>
          <xdr:nvPicPr>
            <xdr:cNvPr id="57" name="Ink 56">
              <a:extLst>
                <a:ext uri="{FF2B5EF4-FFF2-40B4-BE49-F238E27FC236}">
                  <a16:creationId xmlns:a16="http://schemas.microsoft.com/office/drawing/2014/main" id="{66B5BEC2-4DCA-6F77-1344-9C6355288DB0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306600" y="3701880"/>
              <a:ext cx="282600" cy="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463102</xdr:colOff>
      <xdr:row>18</xdr:row>
      <xdr:rowOff>2528</xdr:rowOff>
    </xdr:from>
    <xdr:to>
      <xdr:col>3</xdr:col>
      <xdr:colOff>330513</xdr:colOff>
      <xdr:row>18</xdr:row>
      <xdr:rowOff>174608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58" name="Ink 57">
              <a:extLst>
                <a:ext uri="{FF2B5EF4-FFF2-40B4-BE49-F238E27FC236}">
                  <a16:creationId xmlns:a16="http://schemas.microsoft.com/office/drawing/2014/main" id="{F11A2BE8-595D-51AB-84E7-8CC4045A7478}"/>
                </a:ext>
              </a:extLst>
            </xdr14:cNvPr>
            <xdr14:cNvContentPartPr/>
          </xdr14:nvContentPartPr>
          <xdr14:nvPr macro=""/>
          <xdr14:xfrm>
            <a:off x="2111400" y="3650400"/>
            <a:ext cx="691560" cy="172080"/>
          </xdr14:xfrm>
        </xdr:contentPart>
      </mc:Choice>
      <mc:Fallback xmlns="">
        <xdr:pic>
          <xdr:nvPicPr>
            <xdr:cNvPr id="58" name="Ink 57">
              <a:extLst>
                <a:ext uri="{FF2B5EF4-FFF2-40B4-BE49-F238E27FC236}">
                  <a16:creationId xmlns:a16="http://schemas.microsoft.com/office/drawing/2014/main" id="{F11A2BE8-595D-51AB-84E7-8CC4045A7478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100955" y="3639960"/>
              <a:ext cx="712811" cy="19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358877</xdr:colOff>
      <xdr:row>22</xdr:row>
      <xdr:rowOff>137249</xdr:rowOff>
    </xdr:from>
    <xdr:to>
      <xdr:col>8</xdr:col>
      <xdr:colOff>714809</xdr:colOff>
      <xdr:row>23</xdr:row>
      <xdr:rowOff>198470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67" name="Ink 66">
              <a:extLst>
                <a:ext uri="{FF2B5EF4-FFF2-40B4-BE49-F238E27FC236}">
                  <a16:creationId xmlns:a16="http://schemas.microsoft.com/office/drawing/2014/main" id="{C085AA3B-6F8D-E8FE-06E6-E94E1366363A}"/>
                </a:ext>
              </a:extLst>
            </xdr14:cNvPr>
            <xdr14:cNvContentPartPr/>
          </xdr14:nvContentPartPr>
          <xdr14:nvPr macro=""/>
          <xdr14:xfrm>
            <a:off x="6127920" y="4595760"/>
            <a:ext cx="1180080" cy="263880"/>
          </xdr14:xfrm>
        </xdr:contentPart>
      </mc:Choice>
      <mc:Fallback xmlns="">
        <xdr:pic>
          <xdr:nvPicPr>
            <xdr:cNvPr id="67" name="Ink 66">
              <a:extLst>
                <a:ext uri="{FF2B5EF4-FFF2-40B4-BE49-F238E27FC236}">
                  <a16:creationId xmlns:a16="http://schemas.microsoft.com/office/drawing/2014/main" id="{C085AA3B-6F8D-E8FE-06E6-E94E1366363A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6117120" y="4584960"/>
              <a:ext cx="1201320" cy="28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164477</xdr:colOff>
      <xdr:row>19</xdr:row>
      <xdr:rowOff>25228</xdr:rowOff>
    </xdr:from>
    <xdr:to>
      <xdr:col>7</xdr:col>
      <xdr:colOff>640397</xdr:colOff>
      <xdr:row>21</xdr:row>
      <xdr:rowOff>63789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69" name="Ink 68">
              <a:extLst>
                <a:ext uri="{FF2B5EF4-FFF2-40B4-BE49-F238E27FC236}">
                  <a16:creationId xmlns:a16="http://schemas.microsoft.com/office/drawing/2014/main" id="{00E1587A-C51F-0C2D-E46D-E4B2AD366FA7}"/>
                </a:ext>
              </a:extLst>
            </xdr14:cNvPr>
            <xdr14:cNvContentPartPr/>
          </xdr14:nvContentPartPr>
          <xdr14:nvPr macro=""/>
          <xdr14:xfrm>
            <a:off x="5933520" y="3875760"/>
            <a:ext cx="475920" cy="443880"/>
          </xdr14:xfrm>
        </xdr:contentPart>
      </mc:Choice>
      <mc:Fallback xmlns="">
        <xdr:pic>
          <xdr:nvPicPr>
            <xdr:cNvPr id="69" name="Ink 68">
              <a:extLst>
                <a:ext uri="{FF2B5EF4-FFF2-40B4-BE49-F238E27FC236}">
                  <a16:creationId xmlns:a16="http://schemas.microsoft.com/office/drawing/2014/main" id="{00E1587A-C51F-0C2D-E46D-E4B2AD366FA7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5918400" y="3860280"/>
              <a:ext cx="506520" cy="47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585360</xdr:colOff>
      <xdr:row>27</xdr:row>
      <xdr:rowOff>11351</xdr:rowOff>
    </xdr:from>
    <xdr:to>
      <xdr:col>2</xdr:col>
      <xdr:colOff>108862</xdr:colOff>
      <xdr:row>29</xdr:row>
      <xdr:rowOff>169072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7BD81381-78CC-81AC-BF74-3314286D9CF9}"/>
                </a:ext>
              </a:extLst>
            </xdr14:cNvPr>
            <xdr14:cNvContentPartPr/>
          </xdr14:nvContentPartPr>
          <xdr14:nvPr macro=""/>
          <xdr14:xfrm>
            <a:off x="585360" y="5483160"/>
            <a:ext cx="1171800" cy="563040"/>
          </xdr14:xfrm>
        </xdr:contentPart>
      </mc:Choice>
      <mc:Fallback xmlns=""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7BD81381-78CC-81AC-BF74-3314286D9CF9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574920" y="5472720"/>
              <a:ext cx="1193040" cy="58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563684</xdr:colOff>
      <xdr:row>21</xdr:row>
      <xdr:rowOff>83229</xdr:rowOff>
    </xdr:from>
    <xdr:to>
      <xdr:col>6</xdr:col>
      <xdr:colOff>668586</xdr:colOff>
      <xdr:row>25</xdr:row>
      <xdr:rowOff>137311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83AF82D5-E0E2-A664-E699-AB161135BDC1}"/>
                </a:ext>
              </a:extLst>
            </xdr14:cNvPr>
            <xdr14:cNvContentPartPr/>
          </xdr14:nvContentPartPr>
          <xdr14:nvPr macro=""/>
          <xdr14:xfrm>
            <a:off x="3860280" y="4339080"/>
            <a:ext cx="1753200" cy="864720"/>
          </xdr14:xfrm>
        </xdr:contentPart>
      </mc:Choice>
      <mc:Fallback xmlns=""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83AF82D5-E0E2-A664-E699-AB161135BDC1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849840" y="4328280"/>
              <a:ext cx="1774440" cy="88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461477</xdr:colOff>
      <xdr:row>16</xdr:row>
      <xdr:rowOff>21927</xdr:rowOff>
    </xdr:from>
    <xdr:to>
      <xdr:col>9</xdr:col>
      <xdr:colOff>453340</xdr:colOff>
      <xdr:row>21</xdr:row>
      <xdr:rowOff>38229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80" name="Ink 79">
              <a:extLst>
                <a:ext uri="{FF2B5EF4-FFF2-40B4-BE49-F238E27FC236}">
                  <a16:creationId xmlns:a16="http://schemas.microsoft.com/office/drawing/2014/main" id="{FB2B221A-9BFB-D972-41A5-E483530CE726}"/>
                </a:ext>
              </a:extLst>
            </xdr14:cNvPr>
            <xdr14:cNvContentPartPr/>
          </xdr14:nvContentPartPr>
          <xdr14:nvPr macro=""/>
          <xdr14:xfrm>
            <a:off x="6230520" y="3264480"/>
            <a:ext cx="1640160" cy="1029600"/>
          </xdr14:xfrm>
        </xdr:contentPart>
      </mc:Choice>
      <mc:Fallback xmlns="">
        <xdr:pic>
          <xdr:nvPicPr>
            <xdr:cNvPr id="80" name="Ink 79">
              <a:extLst>
                <a:ext uri="{FF2B5EF4-FFF2-40B4-BE49-F238E27FC236}">
                  <a16:creationId xmlns:a16="http://schemas.microsoft.com/office/drawing/2014/main" id="{FB2B221A-9BFB-D972-41A5-E483530CE726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6219722" y="3253680"/>
              <a:ext cx="1661395" cy="105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455717</xdr:colOff>
      <xdr:row>27</xdr:row>
      <xdr:rowOff>19631</xdr:rowOff>
    </xdr:from>
    <xdr:to>
      <xdr:col>8</xdr:col>
      <xdr:colOff>761249</xdr:colOff>
      <xdr:row>28</xdr:row>
      <xdr:rowOff>156812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97" name="Ink 96">
              <a:extLst>
                <a:ext uri="{FF2B5EF4-FFF2-40B4-BE49-F238E27FC236}">
                  <a16:creationId xmlns:a16="http://schemas.microsoft.com/office/drawing/2014/main" id="{3BE4A5E2-8717-71B1-FC60-031E515A1C5E}"/>
                </a:ext>
              </a:extLst>
            </xdr14:cNvPr>
            <xdr14:cNvContentPartPr/>
          </xdr14:nvContentPartPr>
          <xdr14:nvPr macro=""/>
          <xdr14:xfrm>
            <a:off x="6224760" y="5491440"/>
            <a:ext cx="1129680" cy="339840"/>
          </xdr14:xfrm>
        </xdr:contentPart>
      </mc:Choice>
      <mc:Fallback xmlns="">
        <xdr:pic>
          <xdr:nvPicPr>
            <xdr:cNvPr id="97" name="Ink 96">
              <a:extLst>
                <a:ext uri="{FF2B5EF4-FFF2-40B4-BE49-F238E27FC236}">
                  <a16:creationId xmlns:a16="http://schemas.microsoft.com/office/drawing/2014/main" id="{3BE4A5E2-8717-71B1-FC60-031E515A1C5E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6214320" y="5480651"/>
              <a:ext cx="1150920" cy="36105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537622</xdr:colOff>
      <xdr:row>27</xdr:row>
      <xdr:rowOff>140231</xdr:rowOff>
    </xdr:from>
    <xdr:to>
      <xdr:col>7</xdr:col>
      <xdr:colOff>155477</xdr:colOff>
      <xdr:row>32</xdr:row>
      <xdr:rowOff>42054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98" name="Ink 97">
              <a:extLst>
                <a:ext uri="{FF2B5EF4-FFF2-40B4-BE49-F238E27FC236}">
                  <a16:creationId xmlns:a16="http://schemas.microsoft.com/office/drawing/2014/main" id="{043F3D90-2B27-BEE9-F132-196852B190D9}"/>
                </a:ext>
              </a:extLst>
            </xdr14:cNvPr>
            <xdr14:cNvContentPartPr/>
          </xdr14:nvContentPartPr>
          <xdr14:nvPr macro=""/>
          <xdr14:xfrm>
            <a:off x="2185920" y="5612040"/>
            <a:ext cx="3738600" cy="915120"/>
          </xdr14:xfrm>
        </xdr:contentPart>
      </mc:Choice>
      <mc:Fallback xmlns="">
        <xdr:pic>
          <xdr:nvPicPr>
            <xdr:cNvPr id="98" name="Ink 97">
              <a:extLst>
                <a:ext uri="{FF2B5EF4-FFF2-40B4-BE49-F238E27FC236}">
                  <a16:creationId xmlns:a16="http://schemas.microsoft.com/office/drawing/2014/main" id="{043F3D90-2B27-BEE9-F132-196852B190D9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2175183" y="5601766"/>
              <a:ext cx="3759716" cy="93602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728531</xdr:colOff>
      <xdr:row>29</xdr:row>
      <xdr:rowOff>90592</xdr:rowOff>
    </xdr:from>
    <xdr:to>
      <xdr:col>2</xdr:col>
      <xdr:colOff>201382</xdr:colOff>
      <xdr:row>30</xdr:row>
      <xdr:rowOff>83413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99" name="Ink 98">
              <a:extLst>
                <a:ext uri="{FF2B5EF4-FFF2-40B4-BE49-F238E27FC236}">
                  <a16:creationId xmlns:a16="http://schemas.microsoft.com/office/drawing/2014/main" id="{BAE958F5-4BEC-0510-2144-A74D65173A3E}"/>
                </a:ext>
              </a:extLst>
            </xdr14:cNvPr>
            <xdr14:cNvContentPartPr/>
          </xdr14:nvContentPartPr>
          <xdr14:nvPr macro=""/>
          <xdr14:xfrm>
            <a:off x="1552680" y="5967720"/>
            <a:ext cx="297000" cy="195480"/>
          </xdr14:xfrm>
        </xdr:contentPart>
      </mc:Choice>
      <mc:Fallback xmlns="">
        <xdr:pic>
          <xdr:nvPicPr>
            <xdr:cNvPr id="99" name="Ink 98">
              <a:extLst>
                <a:ext uri="{FF2B5EF4-FFF2-40B4-BE49-F238E27FC236}">
                  <a16:creationId xmlns:a16="http://schemas.microsoft.com/office/drawing/2014/main" id="{BAE958F5-4BEC-0510-2144-A74D65173A3E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1541880" y="5957280"/>
              <a:ext cx="318240" cy="21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740411</xdr:colOff>
      <xdr:row>32</xdr:row>
      <xdr:rowOff>170934</xdr:rowOff>
    </xdr:from>
    <xdr:to>
      <xdr:col>2</xdr:col>
      <xdr:colOff>157462</xdr:colOff>
      <xdr:row>33</xdr:row>
      <xdr:rowOff>95354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100" name="Ink 99">
              <a:extLst>
                <a:ext uri="{FF2B5EF4-FFF2-40B4-BE49-F238E27FC236}">
                  <a16:creationId xmlns:a16="http://schemas.microsoft.com/office/drawing/2014/main" id="{6BFB65EC-09F1-B5F7-28E3-60EDDD135D51}"/>
                </a:ext>
              </a:extLst>
            </xdr14:cNvPr>
            <xdr14:cNvContentPartPr/>
          </xdr14:nvContentPartPr>
          <xdr14:nvPr macro=""/>
          <xdr14:xfrm>
            <a:off x="1564560" y="6656040"/>
            <a:ext cx="241200" cy="127080"/>
          </xdr14:xfrm>
        </xdr:contentPart>
      </mc:Choice>
      <mc:Fallback xmlns="">
        <xdr:pic>
          <xdr:nvPicPr>
            <xdr:cNvPr id="100" name="Ink 99">
              <a:extLst>
                <a:ext uri="{FF2B5EF4-FFF2-40B4-BE49-F238E27FC236}">
                  <a16:creationId xmlns:a16="http://schemas.microsoft.com/office/drawing/2014/main" id="{6BFB65EC-09F1-B5F7-28E3-60EDDD135D5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1554120" y="6645240"/>
              <a:ext cx="262440" cy="148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76637</xdr:colOff>
      <xdr:row>18</xdr:row>
      <xdr:rowOff>173168</xdr:rowOff>
    </xdr:from>
    <xdr:to>
      <xdr:col>8</xdr:col>
      <xdr:colOff>149609</xdr:colOff>
      <xdr:row>21</xdr:row>
      <xdr:rowOff>155589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101" name="Ink 100">
              <a:extLst>
                <a:ext uri="{FF2B5EF4-FFF2-40B4-BE49-F238E27FC236}">
                  <a16:creationId xmlns:a16="http://schemas.microsoft.com/office/drawing/2014/main" id="{305F7B41-1360-610A-80B2-6C1089323FF9}"/>
                </a:ext>
              </a:extLst>
            </xdr14:cNvPr>
            <xdr14:cNvContentPartPr/>
          </xdr14:nvContentPartPr>
          <xdr14:nvPr macro=""/>
          <xdr14:xfrm>
            <a:off x="5845680" y="3821040"/>
            <a:ext cx="897120" cy="590400"/>
          </xdr14:xfrm>
        </xdr:contentPart>
      </mc:Choice>
      <mc:Fallback xmlns="">
        <xdr:pic>
          <xdr:nvPicPr>
            <xdr:cNvPr id="101" name="Ink 100">
              <a:extLst>
                <a:ext uri="{FF2B5EF4-FFF2-40B4-BE49-F238E27FC236}">
                  <a16:creationId xmlns:a16="http://schemas.microsoft.com/office/drawing/2014/main" id="{305F7B41-1360-610A-80B2-6C1089323FF9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5834880" y="3810600"/>
              <a:ext cx="918360" cy="611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502844</xdr:colOff>
      <xdr:row>32</xdr:row>
      <xdr:rowOff>82014</xdr:rowOff>
    </xdr:from>
    <xdr:to>
      <xdr:col>5</xdr:col>
      <xdr:colOff>486895</xdr:colOff>
      <xdr:row>34</xdr:row>
      <xdr:rowOff>187894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116" name="Ink 115">
              <a:extLst>
                <a:ext uri="{FF2B5EF4-FFF2-40B4-BE49-F238E27FC236}">
                  <a16:creationId xmlns:a16="http://schemas.microsoft.com/office/drawing/2014/main" id="{DF3736A6-C131-B716-D700-077FBEBD2E9C}"/>
                </a:ext>
              </a:extLst>
            </xdr14:cNvPr>
            <xdr14:cNvContentPartPr/>
          </xdr14:nvContentPartPr>
          <xdr14:nvPr macro=""/>
          <xdr14:xfrm>
            <a:off x="3799440" y="6567120"/>
            <a:ext cx="808200" cy="511200"/>
          </xdr14:xfrm>
        </xdr:contentPart>
      </mc:Choice>
      <mc:Fallback xmlns="">
        <xdr:pic>
          <xdr:nvPicPr>
            <xdr:cNvPr id="116" name="Ink 115">
              <a:extLst>
                <a:ext uri="{FF2B5EF4-FFF2-40B4-BE49-F238E27FC236}">
                  <a16:creationId xmlns:a16="http://schemas.microsoft.com/office/drawing/2014/main" id="{DF3736A6-C131-B716-D700-077FBEBD2E9C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788645" y="6556680"/>
              <a:ext cx="829431" cy="532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436462</xdr:colOff>
      <xdr:row>32</xdr:row>
      <xdr:rowOff>201534</xdr:rowOff>
    </xdr:from>
    <xdr:to>
      <xdr:col>4</xdr:col>
      <xdr:colOff>173084</xdr:colOff>
      <xdr:row>34</xdr:row>
      <xdr:rowOff>80974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117" name="Ink 116">
              <a:extLst>
                <a:ext uri="{FF2B5EF4-FFF2-40B4-BE49-F238E27FC236}">
                  <a16:creationId xmlns:a16="http://schemas.microsoft.com/office/drawing/2014/main" id="{353E93CB-7759-8197-5086-7F1F8B5A154C}"/>
                </a:ext>
              </a:extLst>
            </xdr14:cNvPr>
            <xdr14:cNvContentPartPr/>
          </xdr14:nvContentPartPr>
          <xdr14:nvPr macro=""/>
          <xdr14:xfrm>
            <a:off x="2084760" y="6686640"/>
            <a:ext cx="1384920" cy="284760"/>
          </xdr14:xfrm>
        </xdr:contentPart>
      </mc:Choice>
      <mc:Fallback xmlns="">
        <xdr:pic>
          <xdr:nvPicPr>
            <xdr:cNvPr id="117" name="Ink 116">
              <a:extLst>
                <a:ext uri="{FF2B5EF4-FFF2-40B4-BE49-F238E27FC236}">
                  <a16:creationId xmlns:a16="http://schemas.microsoft.com/office/drawing/2014/main" id="{353E93CB-7759-8197-5086-7F1F8B5A154C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2073960" y="6675854"/>
              <a:ext cx="1406160" cy="30597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818924</xdr:colOff>
      <xdr:row>21</xdr:row>
      <xdr:rowOff>176469</xdr:rowOff>
    </xdr:from>
    <xdr:to>
      <xdr:col>6</xdr:col>
      <xdr:colOff>267906</xdr:colOff>
      <xdr:row>26</xdr:row>
      <xdr:rowOff>128331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20F65FDA-1EAD-3E7D-EDE0-4F75A59A444A}"/>
                </a:ext>
              </a:extLst>
            </xdr14:cNvPr>
            <xdr14:cNvContentPartPr/>
          </xdr14:nvContentPartPr>
          <xdr14:nvPr macro=""/>
          <xdr14:xfrm>
            <a:off x="4115520" y="4432320"/>
            <a:ext cx="1097280" cy="965160"/>
          </xdr14:xfrm>
        </xdr:contentPart>
      </mc:Choice>
      <mc:Fallback xmlns=""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20F65FDA-1EAD-3E7D-EDE0-4F75A59A444A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4105124" y="4421509"/>
              <a:ext cx="1118430" cy="98715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429797</xdr:colOff>
      <xdr:row>24</xdr:row>
      <xdr:rowOff>117130</xdr:rowOff>
    </xdr:from>
    <xdr:to>
      <xdr:col>8</xdr:col>
      <xdr:colOff>382529</xdr:colOff>
      <xdr:row>26</xdr:row>
      <xdr:rowOff>23211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124" name="Ink 123">
              <a:extLst>
                <a:ext uri="{FF2B5EF4-FFF2-40B4-BE49-F238E27FC236}">
                  <a16:creationId xmlns:a16="http://schemas.microsoft.com/office/drawing/2014/main" id="{8807DAD1-41DE-34CD-0B4B-88AF8188AF28}"/>
                </a:ext>
              </a:extLst>
            </xdr14:cNvPr>
            <xdr14:cNvContentPartPr/>
          </xdr14:nvContentPartPr>
          <xdr14:nvPr macro=""/>
          <xdr14:xfrm>
            <a:off x="6198840" y="4980960"/>
            <a:ext cx="776880" cy="311400"/>
          </xdr14:xfrm>
        </xdr:contentPart>
      </mc:Choice>
      <mc:Fallback xmlns="">
        <xdr:pic>
          <xdr:nvPicPr>
            <xdr:cNvPr id="124" name="Ink 123">
              <a:extLst>
                <a:ext uri="{FF2B5EF4-FFF2-40B4-BE49-F238E27FC236}">
                  <a16:creationId xmlns:a16="http://schemas.microsoft.com/office/drawing/2014/main" id="{8807DAD1-41DE-34CD-0B4B-88AF8188AF28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6188400" y="4970172"/>
              <a:ext cx="798120" cy="3326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209662</xdr:colOff>
      <xdr:row>36</xdr:row>
      <xdr:rowOff>17655</xdr:rowOff>
    </xdr:from>
    <xdr:to>
      <xdr:col>3</xdr:col>
      <xdr:colOff>775473</xdr:colOff>
      <xdr:row>38</xdr:row>
      <xdr:rowOff>126416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131" name="Ink 130">
              <a:extLst>
                <a:ext uri="{FF2B5EF4-FFF2-40B4-BE49-F238E27FC236}">
                  <a16:creationId xmlns:a16="http://schemas.microsoft.com/office/drawing/2014/main" id="{6EFAA3A9-B45E-F629-D632-E04C1BB52E73}"/>
                </a:ext>
              </a:extLst>
            </xdr14:cNvPr>
            <xdr14:cNvContentPartPr/>
          </xdr14:nvContentPartPr>
          <xdr14:nvPr macro=""/>
          <xdr14:xfrm>
            <a:off x="1857960" y="7313400"/>
            <a:ext cx="1389960" cy="514080"/>
          </xdr14:xfrm>
        </xdr:contentPart>
      </mc:Choice>
      <mc:Fallback xmlns="">
        <xdr:pic>
          <xdr:nvPicPr>
            <xdr:cNvPr id="131" name="Ink 130">
              <a:extLst>
                <a:ext uri="{FF2B5EF4-FFF2-40B4-BE49-F238E27FC236}">
                  <a16:creationId xmlns:a16="http://schemas.microsoft.com/office/drawing/2014/main" id="{6EFAA3A9-B45E-F629-D632-E04C1BB52E73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1847517" y="7302608"/>
              <a:ext cx="1411206" cy="53530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104651</xdr:colOff>
      <xdr:row>36</xdr:row>
      <xdr:rowOff>179295</xdr:rowOff>
    </xdr:from>
    <xdr:to>
      <xdr:col>1</xdr:col>
      <xdr:colOff>558611</xdr:colOff>
      <xdr:row>39</xdr:row>
      <xdr:rowOff>187997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132" name="Ink 131">
              <a:extLst>
                <a:ext uri="{FF2B5EF4-FFF2-40B4-BE49-F238E27FC236}">
                  <a16:creationId xmlns:a16="http://schemas.microsoft.com/office/drawing/2014/main" id="{CADA3A1E-C3B1-C9EE-32E4-51382B1C4B5F}"/>
                </a:ext>
              </a:extLst>
            </xdr14:cNvPr>
            <xdr14:cNvContentPartPr/>
          </xdr14:nvContentPartPr>
          <xdr14:nvPr macro=""/>
          <xdr14:xfrm>
            <a:off x="928800" y="7475040"/>
            <a:ext cx="453960" cy="616680"/>
          </xdr14:xfrm>
        </xdr:contentPart>
      </mc:Choice>
      <mc:Fallback xmlns="">
        <xdr:pic>
          <xdr:nvPicPr>
            <xdr:cNvPr id="132" name="Ink 131">
              <a:extLst>
                <a:ext uri="{FF2B5EF4-FFF2-40B4-BE49-F238E27FC236}">
                  <a16:creationId xmlns:a16="http://schemas.microsoft.com/office/drawing/2014/main" id="{CADA3A1E-C3B1-C9EE-32E4-51382B1C4B5F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918000" y="7464240"/>
              <a:ext cx="475200" cy="63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391102</xdr:colOff>
      <xdr:row>38</xdr:row>
      <xdr:rowOff>159536</xdr:rowOff>
    </xdr:from>
    <xdr:to>
      <xdr:col>3</xdr:col>
      <xdr:colOff>363273</xdr:colOff>
      <xdr:row>39</xdr:row>
      <xdr:rowOff>167477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135" name="Ink 134">
              <a:extLst>
                <a:ext uri="{FF2B5EF4-FFF2-40B4-BE49-F238E27FC236}">
                  <a16:creationId xmlns:a16="http://schemas.microsoft.com/office/drawing/2014/main" id="{96836F9E-4EF5-5EBE-2A6E-B37FD1A532B3}"/>
                </a:ext>
              </a:extLst>
            </xdr14:cNvPr>
            <xdr14:cNvContentPartPr/>
          </xdr14:nvContentPartPr>
          <xdr14:nvPr macro=""/>
          <xdr14:xfrm>
            <a:off x="2039400" y="7860600"/>
            <a:ext cx="796320" cy="210600"/>
          </xdr14:xfrm>
        </xdr:contentPart>
      </mc:Choice>
      <mc:Fallback xmlns="">
        <xdr:pic>
          <xdr:nvPicPr>
            <xdr:cNvPr id="135" name="Ink 134">
              <a:extLst>
                <a:ext uri="{FF2B5EF4-FFF2-40B4-BE49-F238E27FC236}">
                  <a16:creationId xmlns:a16="http://schemas.microsoft.com/office/drawing/2014/main" id="{96836F9E-4EF5-5EBE-2A6E-B37FD1A532B3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2028960" y="7849800"/>
              <a:ext cx="817560" cy="231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170924</xdr:colOff>
      <xdr:row>37</xdr:row>
      <xdr:rowOff>169596</xdr:rowOff>
    </xdr:from>
    <xdr:to>
      <xdr:col>7</xdr:col>
      <xdr:colOff>313877</xdr:colOff>
      <xdr:row>39</xdr:row>
      <xdr:rowOff>161717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143" name="Ink 142">
              <a:extLst>
                <a:ext uri="{FF2B5EF4-FFF2-40B4-BE49-F238E27FC236}">
                  <a16:creationId xmlns:a16="http://schemas.microsoft.com/office/drawing/2014/main" id="{873B23F7-B2A0-2DA0-23C7-52999BCF6EAC}"/>
                </a:ext>
              </a:extLst>
            </xdr14:cNvPr>
            <xdr14:cNvContentPartPr/>
          </xdr14:nvContentPartPr>
          <xdr14:nvPr macro=""/>
          <xdr14:xfrm>
            <a:off x="3467520" y="7668000"/>
            <a:ext cx="2615400" cy="397440"/>
          </xdr14:xfrm>
        </xdr:contentPart>
      </mc:Choice>
      <mc:Fallback xmlns="">
        <xdr:pic>
          <xdr:nvPicPr>
            <xdr:cNvPr id="143" name="Ink 142">
              <a:extLst>
                <a:ext uri="{FF2B5EF4-FFF2-40B4-BE49-F238E27FC236}">
                  <a16:creationId xmlns:a16="http://schemas.microsoft.com/office/drawing/2014/main" id="{873B23F7-B2A0-2DA0-23C7-52999BCF6EAC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457080" y="7657560"/>
              <a:ext cx="263664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653717</xdr:colOff>
      <xdr:row>37</xdr:row>
      <xdr:rowOff>8316</xdr:rowOff>
    </xdr:from>
    <xdr:to>
      <xdr:col>10</xdr:col>
      <xdr:colOff>529191</xdr:colOff>
      <xdr:row>39</xdr:row>
      <xdr:rowOff>45797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4F51ED64-4176-EB66-A427-C372C749680F}"/>
                </a:ext>
              </a:extLst>
            </xdr14:cNvPr>
            <xdr14:cNvContentPartPr/>
          </xdr14:nvContentPartPr>
          <xdr14:nvPr macro=""/>
          <xdr14:xfrm>
            <a:off x="6422760" y="7506720"/>
            <a:ext cx="2347920" cy="442800"/>
          </xdr14:xfrm>
        </xdr:contentPart>
      </mc:Choice>
      <mc:Fallback xmlns=""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4F51ED64-4176-EB66-A427-C372C749680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6412318" y="7496272"/>
              <a:ext cx="2369163" cy="46405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106233</xdr:colOff>
      <xdr:row>43</xdr:row>
      <xdr:rowOff>113558</xdr:rowOff>
    </xdr:from>
    <xdr:to>
      <xdr:col>3</xdr:col>
      <xdr:colOff>318273</xdr:colOff>
      <xdr:row>44</xdr:row>
      <xdr:rowOff>166139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153" name="Ink 152">
              <a:extLst>
                <a:ext uri="{FF2B5EF4-FFF2-40B4-BE49-F238E27FC236}">
                  <a16:creationId xmlns:a16="http://schemas.microsoft.com/office/drawing/2014/main" id="{279DFAC4-39F8-5266-54BA-52C85ED454E0}"/>
                </a:ext>
              </a:extLst>
            </xdr14:cNvPr>
            <xdr14:cNvContentPartPr/>
          </xdr14:nvContentPartPr>
          <xdr14:nvPr macro=""/>
          <xdr14:xfrm>
            <a:off x="2578680" y="8827920"/>
            <a:ext cx="212040" cy="255240"/>
          </xdr14:xfrm>
        </xdr:contentPart>
      </mc:Choice>
      <mc:Fallback xmlns="">
        <xdr:pic>
          <xdr:nvPicPr>
            <xdr:cNvPr id="153" name="Ink 152">
              <a:extLst>
                <a:ext uri="{FF2B5EF4-FFF2-40B4-BE49-F238E27FC236}">
                  <a16:creationId xmlns:a16="http://schemas.microsoft.com/office/drawing/2014/main" id="{279DFAC4-39F8-5266-54BA-52C85ED454E0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2568240" y="8817120"/>
              <a:ext cx="233280" cy="27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766473</xdr:colOff>
      <xdr:row>43</xdr:row>
      <xdr:rowOff>37958</xdr:rowOff>
    </xdr:from>
    <xdr:to>
      <xdr:col>4</xdr:col>
      <xdr:colOff>204044</xdr:colOff>
      <xdr:row>44</xdr:row>
      <xdr:rowOff>64979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154" name="Ink 153">
              <a:extLst>
                <a:ext uri="{FF2B5EF4-FFF2-40B4-BE49-F238E27FC236}">
                  <a16:creationId xmlns:a16="http://schemas.microsoft.com/office/drawing/2014/main" id="{F4F1BEF6-37A4-6DF8-C327-C3C5426B407B}"/>
                </a:ext>
              </a:extLst>
            </xdr14:cNvPr>
            <xdr14:cNvContentPartPr/>
          </xdr14:nvContentPartPr>
          <xdr14:nvPr macro=""/>
          <xdr14:xfrm>
            <a:off x="3238920" y="8752320"/>
            <a:ext cx="261720" cy="229680"/>
          </xdr14:xfrm>
        </xdr:contentPart>
      </mc:Choice>
      <mc:Fallback xmlns="">
        <xdr:pic>
          <xdr:nvPicPr>
            <xdr:cNvPr id="154" name="Ink 153">
              <a:extLst>
                <a:ext uri="{FF2B5EF4-FFF2-40B4-BE49-F238E27FC236}">
                  <a16:creationId xmlns:a16="http://schemas.microsoft.com/office/drawing/2014/main" id="{F4F1BEF6-37A4-6DF8-C327-C3C5426B407B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3228480" y="8741520"/>
              <a:ext cx="282960" cy="25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741884</xdr:colOff>
      <xdr:row>43</xdr:row>
      <xdr:rowOff>11318</xdr:rowOff>
    </xdr:from>
    <xdr:to>
      <xdr:col>5</xdr:col>
      <xdr:colOff>124015</xdr:colOff>
      <xdr:row>44</xdr:row>
      <xdr:rowOff>58139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155" name="Ink 154">
              <a:extLst>
                <a:ext uri="{FF2B5EF4-FFF2-40B4-BE49-F238E27FC236}">
                  <a16:creationId xmlns:a16="http://schemas.microsoft.com/office/drawing/2014/main" id="{8E270AB7-AC59-4661-31CC-CF0841838E85}"/>
                </a:ext>
              </a:extLst>
            </xdr14:cNvPr>
            <xdr14:cNvContentPartPr/>
          </xdr14:nvContentPartPr>
          <xdr14:nvPr macro=""/>
          <xdr14:xfrm>
            <a:off x="4038480" y="8725680"/>
            <a:ext cx="206280" cy="249480"/>
          </xdr14:xfrm>
        </xdr:contentPart>
      </mc:Choice>
      <mc:Fallback xmlns="">
        <xdr:pic>
          <xdr:nvPicPr>
            <xdr:cNvPr id="155" name="Ink 154">
              <a:extLst>
                <a:ext uri="{FF2B5EF4-FFF2-40B4-BE49-F238E27FC236}">
                  <a16:creationId xmlns:a16="http://schemas.microsoft.com/office/drawing/2014/main" id="{8E270AB7-AC59-4661-31CC-CF0841838E85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028040" y="8715240"/>
              <a:ext cx="227520" cy="27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42906</xdr:colOff>
      <xdr:row>42</xdr:row>
      <xdr:rowOff>127938</xdr:rowOff>
    </xdr:from>
    <xdr:to>
      <xdr:col>6</xdr:col>
      <xdr:colOff>231906</xdr:colOff>
      <xdr:row>43</xdr:row>
      <xdr:rowOff>133718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156" name="Ink 155">
              <a:extLst>
                <a:ext uri="{FF2B5EF4-FFF2-40B4-BE49-F238E27FC236}">
                  <a16:creationId xmlns:a16="http://schemas.microsoft.com/office/drawing/2014/main" id="{F09B4A38-A2D8-3595-F589-781195616BD2}"/>
                </a:ext>
              </a:extLst>
            </xdr14:cNvPr>
            <xdr14:cNvContentPartPr/>
          </xdr14:nvContentPartPr>
          <xdr14:nvPr macro=""/>
          <xdr14:xfrm>
            <a:off x="4987800" y="8639640"/>
            <a:ext cx="189000" cy="208440"/>
          </xdr14:xfrm>
        </xdr:contentPart>
      </mc:Choice>
      <mc:Fallback xmlns="">
        <xdr:pic>
          <xdr:nvPicPr>
            <xdr:cNvPr id="156" name="Ink 155">
              <a:extLst>
                <a:ext uri="{FF2B5EF4-FFF2-40B4-BE49-F238E27FC236}">
                  <a16:creationId xmlns:a16="http://schemas.microsoft.com/office/drawing/2014/main" id="{F09B4A38-A2D8-3595-F589-781195616BD2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4977000" y="8629200"/>
              <a:ext cx="210240" cy="22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734357</xdr:colOff>
      <xdr:row>42</xdr:row>
      <xdr:rowOff>81858</xdr:rowOff>
    </xdr:from>
    <xdr:to>
      <xdr:col>8</xdr:col>
      <xdr:colOff>63569</xdr:colOff>
      <xdr:row>43</xdr:row>
      <xdr:rowOff>123998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159" name="Ink 158">
              <a:extLst>
                <a:ext uri="{FF2B5EF4-FFF2-40B4-BE49-F238E27FC236}">
                  <a16:creationId xmlns:a16="http://schemas.microsoft.com/office/drawing/2014/main" id="{F4DCF177-824C-AC29-F439-B41923D161C1}"/>
                </a:ext>
              </a:extLst>
            </xdr14:cNvPr>
            <xdr14:cNvContentPartPr/>
          </xdr14:nvContentPartPr>
          <xdr14:nvPr macro=""/>
          <xdr14:xfrm>
            <a:off x="6503400" y="8593560"/>
            <a:ext cx="153360" cy="244800"/>
          </xdr14:xfrm>
        </xdr:contentPart>
      </mc:Choice>
      <mc:Fallback xmlns="">
        <xdr:pic>
          <xdr:nvPicPr>
            <xdr:cNvPr id="159" name="Ink 158">
              <a:extLst>
                <a:ext uri="{FF2B5EF4-FFF2-40B4-BE49-F238E27FC236}">
                  <a16:creationId xmlns:a16="http://schemas.microsoft.com/office/drawing/2014/main" id="{F4DCF177-824C-AC29-F439-B41923D161C1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6492960" y="8582760"/>
              <a:ext cx="174600" cy="266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657426</xdr:colOff>
      <xdr:row>42</xdr:row>
      <xdr:rowOff>103098</xdr:rowOff>
    </xdr:from>
    <xdr:to>
      <xdr:col>7</xdr:col>
      <xdr:colOff>42077</xdr:colOff>
      <xdr:row>43</xdr:row>
      <xdr:rowOff>148118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160" name="Ink 159">
              <a:extLst>
                <a:ext uri="{FF2B5EF4-FFF2-40B4-BE49-F238E27FC236}">
                  <a16:creationId xmlns:a16="http://schemas.microsoft.com/office/drawing/2014/main" id="{164397BE-E817-02B1-111F-1AFCD0505D9B}"/>
                </a:ext>
              </a:extLst>
            </xdr14:cNvPr>
            <xdr14:cNvContentPartPr/>
          </xdr14:nvContentPartPr>
          <xdr14:nvPr macro=""/>
          <xdr14:xfrm>
            <a:off x="5602320" y="8614800"/>
            <a:ext cx="208800" cy="247680"/>
          </xdr14:xfrm>
        </xdr:contentPart>
      </mc:Choice>
      <mc:Fallback xmlns="">
        <xdr:pic>
          <xdr:nvPicPr>
            <xdr:cNvPr id="160" name="Ink 159">
              <a:extLst>
                <a:ext uri="{FF2B5EF4-FFF2-40B4-BE49-F238E27FC236}">
                  <a16:creationId xmlns:a16="http://schemas.microsoft.com/office/drawing/2014/main" id="{164397BE-E817-02B1-111F-1AFCD0505D9B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5591520" y="8604000"/>
              <a:ext cx="230040" cy="26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822809</xdr:colOff>
      <xdr:row>42</xdr:row>
      <xdr:rowOff>60258</xdr:rowOff>
    </xdr:from>
    <xdr:to>
      <xdr:col>9</xdr:col>
      <xdr:colOff>115660</xdr:colOff>
      <xdr:row>43</xdr:row>
      <xdr:rowOff>93758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01B3610F-2583-8215-1EF9-1945A03DEABD}"/>
                </a:ext>
              </a:extLst>
            </xdr14:cNvPr>
            <xdr14:cNvContentPartPr/>
          </xdr14:nvContentPartPr>
          <xdr14:nvPr macro=""/>
          <xdr14:xfrm>
            <a:off x="7416000" y="8571960"/>
            <a:ext cx="117000" cy="236160"/>
          </xdr14:xfrm>
        </xdr:contentPart>
      </mc:Choice>
      <mc:Fallback xmlns=""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01B3610F-2583-8215-1EF9-1945A03DEABD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7405200" y="8561160"/>
              <a:ext cx="138240" cy="257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562102</xdr:colOff>
      <xdr:row>42</xdr:row>
      <xdr:rowOff>183018</xdr:rowOff>
    </xdr:from>
    <xdr:to>
      <xdr:col>2</xdr:col>
      <xdr:colOff>811582</xdr:colOff>
      <xdr:row>45</xdr:row>
      <xdr:rowOff>111439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164" name="Ink 163">
              <a:extLst>
                <a:ext uri="{FF2B5EF4-FFF2-40B4-BE49-F238E27FC236}">
                  <a16:creationId xmlns:a16="http://schemas.microsoft.com/office/drawing/2014/main" id="{9B137FCF-5EE8-A151-E993-BF5A9E5AED85}"/>
                </a:ext>
              </a:extLst>
            </xdr14:cNvPr>
            <xdr14:cNvContentPartPr/>
          </xdr14:nvContentPartPr>
          <xdr14:nvPr macro=""/>
          <xdr14:xfrm>
            <a:off x="2210400" y="8694720"/>
            <a:ext cx="249480" cy="536400"/>
          </xdr14:xfrm>
        </xdr:contentPart>
      </mc:Choice>
      <mc:Fallback xmlns="">
        <xdr:pic>
          <xdr:nvPicPr>
            <xdr:cNvPr id="164" name="Ink 163">
              <a:extLst>
                <a:ext uri="{FF2B5EF4-FFF2-40B4-BE49-F238E27FC236}">
                  <a16:creationId xmlns:a16="http://schemas.microsoft.com/office/drawing/2014/main" id="{9B137FCF-5EE8-A151-E993-BF5A9E5AED85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2199960" y="8684280"/>
              <a:ext cx="270720" cy="55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619920</xdr:colOff>
      <xdr:row>43</xdr:row>
      <xdr:rowOff>82958</xdr:rowOff>
    </xdr:from>
    <xdr:to>
      <xdr:col>1</xdr:col>
      <xdr:colOff>555011</xdr:colOff>
      <xdr:row>47</xdr:row>
      <xdr:rowOff>30480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171" name="Ink 170">
              <a:extLst>
                <a:ext uri="{FF2B5EF4-FFF2-40B4-BE49-F238E27FC236}">
                  <a16:creationId xmlns:a16="http://schemas.microsoft.com/office/drawing/2014/main" id="{FFF9ADB4-D64E-F40C-73E3-3E462255752A}"/>
                </a:ext>
              </a:extLst>
            </xdr14:cNvPr>
            <xdr14:cNvContentPartPr/>
          </xdr14:nvContentPartPr>
          <xdr14:nvPr macro=""/>
          <xdr14:xfrm>
            <a:off x="619920" y="8797320"/>
            <a:ext cx="759240" cy="758160"/>
          </xdr14:xfrm>
        </xdr:contentPart>
      </mc:Choice>
      <mc:Fallback xmlns="">
        <xdr:pic>
          <xdr:nvPicPr>
            <xdr:cNvPr id="171" name="Ink 170">
              <a:extLst>
                <a:ext uri="{FF2B5EF4-FFF2-40B4-BE49-F238E27FC236}">
                  <a16:creationId xmlns:a16="http://schemas.microsoft.com/office/drawing/2014/main" id="{FFF9ADB4-D64E-F40C-73E3-3E462255752A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609475" y="8786515"/>
              <a:ext cx="780490" cy="7794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536500</xdr:colOff>
      <xdr:row>40</xdr:row>
      <xdr:rowOff>190897</xdr:rowOff>
    </xdr:from>
    <xdr:to>
      <xdr:col>10</xdr:col>
      <xdr:colOff>604071</xdr:colOff>
      <xdr:row>43</xdr:row>
      <xdr:rowOff>106358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172" name="Ink 171">
              <a:extLst>
                <a:ext uri="{FF2B5EF4-FFF2-40B4-BE49-F238E27FC236}">
                  <a16:creationId xmlns:a16="http://schemas.microsoft.com/office/drawing/2014/main" id="{BD9584A4-9138-1DF2-B0BC-216B20B7D5AD}"/>
                </a:ext>
              </a:extLst>
            </xdr14:cNvPr>
            <xdr14:cNvContentPartPr/>
          </xdr14:nvContentPartPr>
          <xdr14:nvPr macro=""/>
          <xdr14:xfrm>
            <a:off x="7953840" y="8297280"/>
            <a:ext cx="891720" cy="523440"/>
          </xdr14:xfrm>
        </xdr:contentPart>
      </mc:Choice>
      <mc:Fallback xmlns="">
        <xdr:pic>
          <xdr:nvPicPr>
            <xdr:cNvPr id="172" name="Ink 171">
              <a:extLst>
                <a:ext uri="{FF2B5EF4-FFF2-40B4-BE49-F238E27FC236}">
                  <a16:creationId xmlns:a16="http://schemas.microsoft.com/office/drawing/2014/main" id="{BD9584A4-9138-1DF2-B0BC-216B20B7D5AD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7943396" y="8286840"/>
              <a:ext cx="912969" cy="54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589211</xdr:colOff>
      <xdr:row>46</xdr:row>
      <xdr:rowOff>194260</xdr:rowOff>
    </xdr:from>
    <xdr:to>
      <xdr:col>3</xdr:col>
      <xdr:colOff>180393</xdr:colOff>
      <xdr:row>52</xdr:row>
      <xdr:rowOff>36702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99">
          <xdr14:nvContentPartPr>
            <xdr14:cNvPr id="178" name="Ink 177">
              <a:extLst>
                <a:ext uri="{FF2B5EF4-FFF2-40B4-BE49-F238E27FC236}">
                  <a16:creationId xmlns:a16="http://schemas.microsoft.com/office/drawing/2014/main" id="{3F87E943-65C1-21C5-8F67-53009C6BE371}"/>
                </a:ext>
              </a:extLst>
            </xdr14:cNvPr>
            <xdr14:cNvContentPartPr/>
          </xdr14:nvContentPartPr>
          <xdr14:nvPr macro=""/>
          <xdr14:xfrm>
            <a:off x="1413360" y="9516600"/>
            <a:ext cx="1239480" cy="1058400"/>
          </xdr14:xfrm>
        </xdr:contentPart>
      </mc:Choice>
      <mc:Fallback xmlns="">
        <xdr:pic>
          <xdr:nvPicPr>
            <xdr:cNvPr id="178" name="Ink 177">
              <a:extLst>
                <a:ext uri="{FF2B5EF4-FFF2-40B4-BE49-F238E27FC236}">
                  <a16:creationId xmlns:a16="http://schemas.microsoft.com/office/drawing/2014/main" id="{3F87E943-65C1-21C5-8F67-53009C6BE371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1409040" y="9512280"/>
              <a:ext cx="1248120" cy="106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36209</xdr:colOff>
      <xdr:row>50</xdr:row>
      <xdr:rowOff>64381</xdr:rowOff>
    </xdr:from>
    <xdr:to>
      <xdr:col>8</xdr:col>
      <xdr:colOff>437969</xdr:colOff>
      <xdr:row>51</xdr:row>
      <xdr:rowOff>130282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206" name="Ink 205">
              <a:extLst>
                <a:ext uri="{FF2B5EF4-FFF2-40B4-BE49-F238E27FC236}">
                  <a16:creationId xmlns:a16="http://schemas.microsoft.com/office/drawing/2014/main" id="{6040682F-3FCD-912A-96A0-266EB2E5AE34}"/>
                </a:ext>
              </a:extLst>
            </xdr14:cNvPr>
            <xdr14:cNvContentPartPr/>
          </xdr14:nvContentPartPr>
          <xdr14:nvPr macro=""/>
          <xdr14:xfrm>
            <a:off x="6629400" y="10197360"/>
            <a:ext cx="401760" cy="268560"/>
          </xdr14:xfrm>
        </xdr:contentPart>
      </mc:Choice>
      <mc:Fallback xmlns="">
        <xdr:pic>
          <xdr:nvPicPr>
            <xdr:cNvPr id="206" name="Ink 205">
              <a:extLst>
                <a:ext uri="{FF2B5EF4-FFF2-40B4-BE49-F238E27FC236}">
                  <a16:creationId xmlns:a16="http://schemas.microsoft.com/office/drawing/2014/main" id="{6040682F-3FCD-912A-96A0-266EB2E5AE34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618600" y="10186920"/>
              <a:ext cx="423000" cy="28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104860</xdr:colOff>
      <xdr:row>44</xdr:row>
      <xdr:rowOff>136259</xdr:rowOff>
    </xdr:from>
    <xdr:to>
      <xdr:col>10</xdr:col>
      <xdr:colOff>766791</xdr:colOff>
      <xdr:row>48</xdr:row>
      <xdr:rowOff>165500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210" name="Ink 209">
              <a:extLst>
                <a:ext uri="{FF2B5EF4-FFF2-40B4-BE49-F238E27FC236}">
                  <a16:creationId xmlns:a16="http://schemas.microsoft.com/office/drawing/2014/main" id="{DA222652-F139-DB0D-C240-EB1495598F6E}"/>
                </a:ext>
              </a:extLst>
            </xdr14:cNvPr>
            <xdr14:cNvContentPartPr/>
          </xdr14:nvContentPartPr>
          <xdr14:nvPr macro=""/>
          <xdr14:xfrm>
            <a:off x="7522200" y="9053280"/>
            <a:ext cx="1486080" cy="839880"/>
          </xdr14:xfrm>
        </xdr:contentPart>
      </mc:Choice>
      <mc:Fallback xmlns="">
        <xdr:pic>
          <xdr:nvPicPr>
            <xdr:cNvPr id="210" name="Ink 209">
              <a:extLst>
                <a:ext uri="{FF2B5EF4-FFF2-40B4-BE49-F238E27FC236}">
                  <a16:creationId xmlns:a16="http://schemas.microsoft.com/office/drawing/2014/main" id="{DA222652-F139-DB0D-C240-EB1495598F6E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7511400" y="9042480"/>
              <a:ext cx="1507320" cy="86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747317</xdr:colOff>
      <xdr:row>45</xdr:row>
      <xdr:rowOff>36559</xdr:rowOff>
    </xdr:from>
    <xdr:to>
      <xdr:col>8</xdr:col>
      <xdr:colOff>506729</xdr:colOff>
      <xdr:row>47</xdr:row>
      <xdr:rowOff>49560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211" name="Ink 210">
              <a:extLst>
                <a:ext uri="{FF2B5EF4-FFF2-40B4-BE49-F238E27FC236}">
                  <a16:creationId xmlns:a16="http://schemas.microsoft.com/office/drawing/2014/main" id="{F3EA8DAC-88F2-55EE-4AA0-7E992D779EC3}"/>
                </a:ext>
              </a:extLst>
            </xdr14:cNvPr>
            <xdr14:cNvContentPartPr/>
          </xdr14:nvContentPartPr>
          <xdr14:nvPr macro=""/>
          <xdr14:xfrm>
            <a:off x="6516360" y="9156240"/>
            <a:ext cx="583560" cy="418320"/>
          </xdr14:xfrm>
        </xdr:contentPart>
      </mc:Choice>
      <mc:Fallback xmlns="">
        <xdr:pic>
          <xdr:nvPicPr>
            <xdr:cNvPr id="211" name="Ink 210">
              <a:extLst>
                <a:ext uri="{FF2B5EF4-FFF2-40B4-BE49-F238E27FC236}">
                  <a16:creationId xmlns:a16="http://schemas.microsoft.com/office/drawing/2014/main" id="{F3EA8DAC-88F2-55EE-4AA0-7E992D779EC3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6505914" y="9145791"/>
              <a:ext cx="604813" cy="4395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37289</xdr:colOff>
      <xdr:row>49</xdr:row>
      <xdr:rowOff>89201</xdr:rowOff>
    </xdr:from>
    <xdr:to>
      <xdr:col>10</xdr:col>
      <xdr:colOff>702711</xdr:colOff>
      <xdr:row>51</xdr:row>
      <xdr:rowOff>137122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224" name="Ink 223">
              <a:extLst>
                <a:ext uri="{FF2B5EF4-FFF2-40B4-BE49-F238E27FC236}">
                  <a16:creationId xmlns:a16="http://schemas.microsoft.com/office/drawing/2014/main" id="{B801693F-F12E-A3FF-6CF0-5081E32A3A02}"/>
                </a:ext>
              </a:extLst>
            </xdr14:cNvPr>
            <xdr14:cNvContentPartPr/>
          </xdr14:nvContentPartPr>
          <xdr14:nvPr macro=""/>
          <xdr14:xfrm>
            <a:off x="6630480" y="10019520"/>
            <a:ext cx="2313720" cy="453240"/>
          </xdr14:xfrm>
        </xdr:contentPart>
      </mc:Choice>
      <mc:Fallback xmlns="">
        <xdr:pic>
          <xdr:nvPicPr>
            <xdr:cNvPr id="224" name="Ink 223">
              <a:extLst>
                <a:ext uri="{FF2B5EF4-FFF2-40B4-BE49-F238E27FC236}">
                  <a16:creationId xmlns:a16="http://schemas.microsoft.com/office/drawing/2014/main" id="{B801693F-F12E-A3FF-6CF0-5081E32A3A02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6619680" y="10009072"/>
              <a:ext cx="2334960" cy="4744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607495</xdr:colOff>
      <xdr:row>41</xdr:row>
      <xdr:rowOff>150597</xdr:rowOff>
    </xdr:from>
    <xdr:to>
      <xdr:col>8</xdr:col>
      <xdr:colOff>759449</xdr:colOff>
      <xdr:row>45</xdr:row>
      <xdr:rowOff>118639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245" name="Ink 244">
              <a:extLst>
                <a:ext uri="{FF2B5EF4-FFF2-40B4-BE49-F238E27FC236}">
                  <a16:creationId xmlns:a16="http://schemas.microsoft.com/office/drawing/2014/main" id="{E18CC54D-00C0-F525-701E-6EB861143ADD}"/>
                </a:ext>
              </a:extLst>
            </xdr14:cNvPr>
            <xdr14:cNvContentPartPr/>
          </xdr14:nvContentPartPr>
          <xdr14:nvPr macro=""/>
          <xdr14:xfrm>
            <a:off x="4728240" y="8459640"/>
            <a:ext cx="2624400" cy="778680"/>
          </xdr14:xfrm>
        </xdr:contentPart>
      </mc:Choice>
      <mc:Fallback xmlns="">
        <xdr:pic>
          <xdr:nvPicPr>
            <xdr:cNvPr id="245" name="Ink 244">
              <a:extLst>
                <a:ext uri="{FF2B5EF4-FFF2-40B4-BE49-F238E27FC236}">
                  <a16:creationId xmlns:a16="http://schemas.microsoft.com/office/drawing/2014/main" id="{E18CC54D-00C0-F525-701E-6EB861143ADD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4713120" y="8444513"/>
              <a:ext cx="2655000" cy="80929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537580</xdr:colOff>
      <xdr:row>41</xdr:row>
      <xdr:rowOff>170757</xdr:rowOff>
    </xdr:from>
    <xdr:to>
      <xdr:col>10</xdr:col>
      <xdr:colOff>205191</xdr:colOff>
      <xdr:row>43</xdr:row>
      <xdr:rowOff>23198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246" name="Ink 245">
              <a:extLst>
                <a:ext uri="{FF2B5EF4-FFF2-40B4-BE49-F238E27FC236}">
                  <a16:creationId xmlns:a16="http://schemas.microsoft.com/office/drawing/2014/main" id="{C62F61B6-E718-A5F0-8B4B-3942C1DDFF01}"/>
                </a:ext>
              </a:extLst>
            </xdr14:cNvPr>
            <xdr14:cNvContentPartPr/>
          </xdr14:nvContentPartPr>
          <xdr14:nvPr macro=""/>
          <xdr14:xfrm>
            <a:off x="7954920" y="8479800"/>
            <a:ext cx="491760" cy="257760"/>
          </xdr14:xfrm>
        </xdr:contentPart>
      </mc:Choice>
      <mc:Fallback xmlns="">
        <xdr:pic>
          <xdr:nvPicPr>
            <xdr:cNvPr id="246" name="Ink 245">
              <a:extLst>
                <a:ext uri="{FF2B5EF4-FFF2-40B4-BE49-F238E27FC236}">
                  <a16:creationId xmlns:a16="http://schemas.microsoft.com/office/drawing/2014/main" id="{C62F61B6-E718-A5F0-8B4B-3942C1DDFF01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7900920" y="8372160"/>
              <a:ext cx="599400" cy="47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724353</xdr:colOff>
      <xdr:row>40</xdr:row>
      <xdr:rowOff>192337</xdr:rowOff>
    </xdr:from>
    <xdr:to>
      <xdr:col>7</xdr:col>
      <xdr:colOff>404597</xdr:colOff>
      <xdr:row>54</xdr:row>
      <xdr:rowOff>34583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254" name="Ink 253">
              <a:extLst>
                <a:ext uri="{FF2B5EF4-FFF2-40B4-BE49-F238E27FC236}">
                  <a16:creationId xmlns:a16="http://schemas.microsoft.com/office/drawing/2014/main" id="{C77E522B-809F-8F69-7C33-77313BA11144}"/>
                </a:ext>
              </a:extLst>
            </xdr14:cNvPr>
            <xdr14:cNvContentPartPr/>
          </xdr14:nvContentPartPr>
          <xdr14:nvPr macro=""/>
          <xdr14:xfrm>
            <a:off x="3196800" y="8298720"/>
            <a:ext cx="2976840" cy="2679480"/>
          </xdr14:xfrm>
        </xdr:contentPart>
      </mc:Choice>
      <mc:Fallback xmlns="">
        <xdr:pic>
          <xdr:nvPicPr>
            <xdr:cNvPr id="254" name="Ink 253">
              <a:extLst>
                <a:ext uri="{FF2B5EF4-FFF2-40B4-BE49-F238E27FC236}">
                  <a16:creationId xmlns:a16="http://schemas.microsoft.com/office/drawing/2014/main" id="{C77E522B-809F-8F69-7C33-77313BA11144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3186407" y="8287887"/>
              <a:ext cx="2997985" cy="27007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363633</xdr:colOff>
      <xdr:row>58</xdr:row>
      <xdr:rowOff>36105</xdr:rowOff>
    </xdr:from>
    <xdr:to>
      <xdr:col>3</xdr:col>
      <xdr:colOff>409713</xdr:colOff>
      <xdr:row>59</xdr:row>
      <xdr:rowOff>150245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255" name="Ink 254">
              <a:extLst>
                <a:ext uri="{FF2B5EF4-FFF2-40B4-BE49-F238E27FC236}">
                  <a16:creationId xmlns:a16="http://schemas.microsoft.com/office/drawing/2014/main" id="{334A311F-8ABF-F2D9-7FD0-BC6876230D8A}"/>
                </a:ext>
              </a:extLst>
            </xdr14:cNvPr>
            <xdr14:cNvContentPartPr/>
          </xdr14:nvContentPartPr>
          <xdr14:nvPr macro=""/>
          <xdr14:xfrm>
            <a:off x="2836080" y="11790360"/>
            <a:ext cx="46080" cy="316800"/>
          </xdr14:xfrm>
        </xdr:contentPart>
      </mc:Choice>
      <mc:Fallback xmlns="">
        <xdr:pic>
          <xdr:nvPicPr>
            <xdr:cNvPr id="255" name="Ink 254">
              <a:extLst>
                <a:ext uri="{FF2B5EF4-FFF2-40B4-BE49-F238E27FC236}">
                  <a16:creationId xmlns:a16="http://schemas.microsoft.com/office/drawing/2014/main" id="{334A311F-8ABF-F2D9-7FD0-BC6876230D8A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2825640" y="11779920"/>
              <a:ext cx="67320" cy="33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96044</xdr:colOff>
      <xdr:row>58</xdr:row>
      <xdr:rowOff>80025</xdr:rowOff>
    </xdr:from>
    <xdr:to>
      <xdr:col>4</xdr:col>
      <xdr:colOff>380444</xdr:colOff>
      <xdr:row>59</xdr:row>
      <xdr:rowOff>132605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256" name="Ink 255">
              <a:extLst>
                <a:ext uri="{FF2B5EF4-FFF2-40B4-BE49-F238E27FC236}">
                  <a16:creationId xmlns:a16="http://schemas.microsoft.com/office/drawing/2014/main" id="{7E9587B9-B567-DC60-EFBF-18A6E7FF6818}"/>
                </a:ext>
              </a:extLst>
            </xdr14:cNvPr>
            <xdr14:cNvContentPartPr/>
          </xdr14:nvContentPartPr>
          <xdr14:nvPr macro=""/>
          <xdr14:xfrm>
            <a:off x="3392640" y="11834280"/>
            <a:ext cx="284400" cy="255240"/>
          </xdr14:xfrm>
        </xdr:contentPart>
      </mc:Choice>
      <mc:Fallback xmlns="">
        <xdr:pic>
          <xdr:nvPicPr>
            <xdr:cNvPr id="256" name="Ink 255">
              <a:extLst>
                <a:ext uri="{FF2B5EF4-FFF2-40B4-BE49-F238E27FC236}">
                  <a16:creationId xmlns:a16="http://schemas.microsoft.com/office/drawing/2014/main" id="{7E9587B9-B567-DC60-EFBF-18A6E7FF6818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382200" y="11823480"/>
              <a:ext cx="305640" cy="27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706964</xdr:colOff>
      <xdr:row>58</xdr:row>
      <xdr:rowOff>60585</xdr:rowOff>
    </xdr:from>
    <xdr:to>
      <xdr:col>5</xdr:col>
      <xdr:colOff>104215</xdr:colOff>
      <xdr:row>59</xdr:row>
      <xdr:rowOff>76445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257" name="Ink 256">
              <a:extLst>
                <a:ext uri="{FF2B5EF4-FFF2-40B4-BE49-F238E27FC236}">
                  <a16:creationId xmlns:a16="http://schemas.microsoft.com/office/drawing/2014/main" id="{645EA578-D58E-3734-404F-49099A17BB28}"/>
                </a:ext>
              </a:extLst>
            </xdr14:cNvPr>
            <xdr14:cNvContentPartPr/>
          </xdr14:nvContentPartPr>
          <xdr14:nvPr macro=""/>
          <xdr14:xfrm>
            <a:off x="4003560" y="11814840"/>
            <a:ext cx="221400" cy="218520"/>
          </xdr14:xfrm>
        </xdr:contentPart>
      </mc:Choice>
      <mc:Fallback xmlns="">
        <xdr:pic>
          <xdr:nvPicPr>
            <xdr:cNvPr id="257" name="Ink 256">
              <a:extLst>
                <a:ext uri="{FF2B5EF4-FFF2-40B4-BE49-F238E27FC236}">
                  <a16:creationId xmlns:a16="http://schemas.microsoft.com/office/drawing/2014/main" id="{645EA578-D58E-3734-404F-49099A17BB2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3992760" y="11804040"/>
              <a:ext cx="242640" cy="239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297644</xdr:colOff>
      <xdr:row>59</xdr:row>
      <xdr:rowOff>118565</xdr:rowOff>
    </xdr:from>
    <xdr:to>
      <xdr:col>4</xdr:col>
      <xdr:colOff>398444</xdr:colOff>
      <xdr:row>60</xdr:row>
      <xdr:rowOff>87266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270" name="Ink 269">
              <a:extLst>
                <a:ext uri="{FF2B5EF4-FFF2-40B4-BE49-F238E27FC236}">
                  <a16:creationId xmlns:a16="http://schemas.microsoft.com/office/drawing/2014/main" id="{D473AC4F-A060-5352-0FBB-2FB2EA1CAE9D}"/>
                </a:ext>
              </a:extLst>
            </xdr14:cNvPr>
            <xdr14:cNvContentPartPr/>
          </xdr14:nvContentPartPr>
          <xdr14:nvPr macro=""/>
          <xdr14:xfrm>
            <a:off x="3594240" y="12075480"/>
            <a:ext cx="100800" cy="171360"/>
          </xdr14:xfrm>
        </xdr:contentPart>
      </mc:Choice>
      <mc:Fallback xmlns="">
        <xdr:pic>
          <xdr:nvPicPr>
            <xdr:cNvPr id="270" name="Ink 269">
              <a:extLst>
                <a:ext uri="{FF2B5EF4-FFF2-40B4-BE49-F238E27FC236}">
                  <a16:creationId xmlns:a16="http://schemas.microsoft.com/office/drawing/2014/main" id="{D473AC4F-A060-5352-0FBB-2FB2EA1CAE9D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3583440" y="12065040"/>
              <a:ext cx="122040" cy="19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190255</xdr:colOff>
      <xdr:row>59</xdr:row>
      <xdr:rowOff>114605</xdr:rowOff>
    </xdr:from>
    <xdr:to>
      <xdr:col>5</xdr:col>
      <xdr:colOff>305815</xdr:colOff>
      <xdr:row>60</xdr:row>
      <xdr:rowOff>112826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271" name="Ink 270">
              <a:extLst>
                <a:ext uri="{FF2B5EF4-FFF2-40B4-BE49-F238E27FC236}">
                  <a16:creationId xmlns:a16="http://schemas.microsoft.com/office/drawing/2014/main" id="{11A9ECC5-F9EE-0423-DF01-4AFCB541AD08}"/>
                </a:ext>
              </a:extLst>
            </xdr14:cNvPr>
            <xdr14:cNvContentPartPr/>
          </xdr14:nvContentPartPr>
          <xdr14:nvPr macro=""/>
          <xdr14:xfrm>
            <a:off x="4311000" y="12071520"/>
            <a:ext cx="115560" cy="200880"/>
          </xdr14:xfrm>
        </xdr:contentPart>
      </mc:Choice>
      <mc:Fallback xmlns="">
        <xdr:pic>
          <xdr:nvPicPr>
            <xdr:cNvPr id="271" name="Ink 270">
              <a:extLst>
                <a:ext uri="{FF2B5EF4-FFF2-40B4-BE49-F238E27FC236}">
                  <a16:creationId xmlns:a16="http://schemas.microsoft.com/office/drawing/2014/main" id="{11A9ECC5-F9EE-0423-DF01-4AFCB541AD08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4300200" y="12061080"/>
              <a:ext cx="136800" cy="22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93993</xdr:colOff>
      <xdr:row>57</xdr:row>
      <xdr:rowOff>193764</xdr:rowOff>
    </xdr:from>
    <xdr:to>
      <xdr:col>3</xdr:col>
      <xdr:colOff>579993</xdr:colOff>
      <xdr:row>60</xdr:row>
      <xdr:rowOff>183746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277" name="Ink 276">
              <a:extLst>
                <a:ext uri="{FF2B5EF4-FFF2-40B4-BE49-F238E27FC236}">
                  <a16:creationId xmlns:a16="http://schemas.microsoft.com/office/drawing/2014/main" id="{3B2B68EE-A210-DC76-1C77-4170B8C5EA04}"/>
                </a:ext>
              </a:extLst>
            </xdr14:cNvPr>
            <xdr14:cNvContentPartPr/>
          </xdr14:nvContentPartPr>
          <xdr14:nvPr macro=""/>
          <xdr14:xfrm>
            <a:off x="2566440" y="11745360"/>
            <a:ext cx="486000" cy="597960"/>
          </xdr14:xfrm>
        </xdr:contentPart>
      </mc:Choice>
      <mc:Fallback xmlns="">
        <xdr:pic>
          <xdr:nvPicPr>
            <xdr:cNvPr id="277" name="Ink 276">
              <a:extLst>
                <a:ext uri="{FF2B5EF4-FFF2-40B4-BE49-F238E27FC236}">
                  <a16:creationId xmlns:a16="http://schemas.microsoft.com/office/drawing/2014/main" id="{3B2B68EE-A210-DC76-1C77-4170B8C5EA04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2556008" y="11734560"/>
              <a:ext cx="507224" cy="61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278815</xdr:colOff>
      <xdr:row>59</xdr:row>
      <xdr:rowOff>94805</xdr:rowOff>
    </xdr:from>
    <xdr:to>
      <xdr:col>5</xdr:col>
      <xdr:colOff>302215</xdr:colOff>
      <xdr:row>59</xdr:row>
      <xdr:rowOff>113885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282" name="Ink 281">
              <a:extLst>
                <a:ext uri="{FF2B5EF4-FFF2-40B4-BE49-F238E27FC236}">
                  <a16:creationId xmlns:a16="http://schemas.microsoft.com/office/drawing/2014/main" id="{8D403B9B-F849-06E7-C35A-13458087B91D}"/>
                </a:ext>
              </a:extLst>
            </xdr14:cNvPr>
            <xdr14:cNvContentPartPr/>
          </xdr14:nvContentPartPr>
          <xdr14:nvPr macro=""/>
          <xdr14:xfrm>
            <a:off x="4399560" y="12051720"/>
            <a:ext cx="23400" cy="19080"/>
          </xdr14:xfrm>
        </xdr:contentPart>
      </mc:Choice>
      <mc:Fallback xmlns="">
        <xdr:pic>
          <xdr:nvPicPr>
            <xdr:cNvPr id="282" name="Ink 281">
              <a:extLst>
                <a:ext uri="{FF2B5EF4-FFF2-40B4-BE49-F238E27FC236}">
                  <a16:creationId xmlns:a16="http://schemas.microsoft.com/office/drawing/2014/main" id="{8D403B9B-F849-06E7-C35A-13458087B91D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4389120" y="12040920"/>
              <a:ext cx="44640" cy="40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362084</xdr:colOff>
      <xdr:row>59</xdr:row>
      <xdr:rowOff>101285</xdr:rowOff>
    </xdr:from>
    <xdr:to>
      <xdr:col>4</xdr:col>
      <xdr:colOff>409604</xdr:colOff>
      <xdr:row>59</xdr:row>
      <xdr:rowOff>139445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283" name="Ink 282">
              <a:extLst>
                <a:ext uri="{FF2B5EF4-FFF2-40B4-BE49-F238E27FC236}">
                  <a16:creationId xmlns:a16="http://schemas.microsoft.com/office/drawing/2014/main" id="{363BADBF-2840-C131-18F8-88FC4925410D}"/>
                </a:ext>
              </a:extLst>
            </xdr14:cNvPr>
            <xdr14:cNvContentPartPr/>
          </xdr14:nvContentPartPr>
          <xdr14:nvPr macro=""/>
          <xdr14:xfrm>
            <a:off x="3658680" y="12058200"/>
            <a:ext cx="47520" cy="38160"/>
          </xdr14:xfrm>
        </xdr:contentPart>
      </mc:Choice>
      <mc:Fallback xmlns="">
        <xdr:pic>
          <xdr:nvPicPr>
            <xdr:cNvPr id="283" name="Ink 282">
              <a:extLst>
                <a:ext uri="{FF2B5EF4-FFF2-40B4-BE49-F238E27FC236}">
                  <a16:creationId xmlns:a16="http://schemas.microsoft.com/office/drawing/2014/main" id="{363BADBF-2840-C131-18F8-88FC4925410D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3648240" y="12047760"/>
              <a:ext cx="68760" cy="5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625495</xdr:colOff>
      <xdr:row>57</xdr:row>
      <xdr:rowOff>6204</xdr:rowOff>
    </xdr:from>
    <xdr:to>
      <xdr:col>9</xdr:col>
      <xdr:colOff>5500</xdr:colOff>
      <xdr:row>60</xdr:row>
      <xdr:rowOff>91586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284" name="Ink 283">
              <a:extLst>
                <a:ext uri="{FF2B5EF4-FFF2-40B4-BE49-F238E27FC236}">
                  <a16:creationId xmlns:a16="http://schemas.microsoft.com/office/drawing/2014/main" id="{4E043768-5BE8-DE78-7D34-0F7E1B055D45}"/>
                </a:ext>
              </a:extLst>
            </xdr14:cNvPr>
            <xdr14:cNvContentPartPr/>
          </xdr14:nvContentPartPr>
          <xdr14:nvPr macro=""/>
          <xdr14:xfrm>
            <a:off x="4746240" y="11557800"/>
            <a:ext cx="2676600" cy="693360"/>
          </xdr14:xfrm>
        </xdr:contentPart>
      </mc:Choice>
      <mc:Fallback xmlns="">
        <xdr:pic>
          <xdr:nvPicPr>
            <xdr:cNvPr id="284" name="Ink 283">
              <a:extLst>
                <a:ext uri="{FF2B5EF4-FFF2-40B4-BE49-F238E27FC236}">
                  <a16:creationId xmlns:a16="http://schemas.microsoft.com/office/drawing/2014/main" id="{4E043768-5BE8-DE78-7D34-0F7E1B055D45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4735440" y="11547006"/>
              <a:ext cx="2697840" cy="71458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550113</xdr:colOff>
      <xdr:row>59</xdr:row>
      <xdr:rowOff>171845</xdr:rowOff>
    </xdr:from>
    <xdr:to>
      <xdr:col>3</xdr:col>
      <xdr:colOff>593673</xdr:colOff>
      <xdr:row>60</xdr:row>
      <xdr:rowOff>13106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285" name="Ink 284">
              <a:extLst>
                <a:ext uri="{FF2B5EF4-FFF2-40B4-BE49-F238E27FC236}">
                  <a16:creationId xmlns:a16="http://schemas.microsoft.com/office/drawing/2014/main" id="{C62EB372-DF4C-83D7-45B3-96A49170F086}"/>
                </a:ext>
              </a:extLst>
            </xdr14:cNvPr>
            <xdr14:cNvContentPartPr/>
          </xdr14:nvContentPartPr>
          <xdr14:nvPr macro=""/>
          <xdr14:xfrm>
            <a:off x="3022560" y="12128760"/>
            <a:ext cx="43560" cy="43920"/>
          </xdr14:xfrm>
        </xdr:contentPart>
      </mc:Choice>
      <mc:Fallback xmlns="">
        <xdr:pic>
          <xdr:nvPicPr>
            <xdr:cNvPr id="285" name="Ink 284">
              <a:extLst>
                <a:ext uri="{FF2B5EF4-FFF2-40B4-BE49-F238E27FC236}">
                  <a16:creationId xmlns:a16="http://schemas.microsoft.com/office/drawing/2014/main" id="{C62EB372-DF4C-83D7-45B3-96A49170F086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3012120" y="12118320"/>
              <a:ext cx="64800" cy="6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257249</xdr:colOff>
      <xdr:row>54</xdr:row>
      <xdr:rowOff>156983</xdr:rowOff>
    </xdr:from>
    <xdr:to>
      <xdr:col>10</xdr:col>
      <xdr:colOff>424791</xdr:colOff>
      <xdr:row>57</xdr:row>
      <xdr:rowOff>166404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295" name="Ink 294">
              <a:extLst>
                <a:ext uri="{FF2B5EF4-FFF2-40B4-BE49-F238E27FC236}">
                  <a16:creationId xmlns:a16="http://schemas.microsoft.com/office/drawing/2014/main" id="{5440B5AA-D651-A196-255F-261E9031578D}"/>
                </a:ext>
              </a:extLst>
            </xdr14:cNvPr>
            <xdr14:cNvContentPartPr/>
          </xdr14:nvContentPartPr>
          <xdr14:nvPr macro=""/>
          <xdr14:xfrm>
            <a:off x="6850440" y="11100600"/>
            <a:ext cx="1815840" cy="617400"/>
          </xdr14:xfrm>
        </xdr:contentPart>
      </mc:Choice>
      <mc:Fallback xmlns="">
        <xdr:pic>
          <xdr:nvPicPr>
            <xdr:cNvPr id="295" name="Ink 294">
              <a:extLst>
                <a:ext uri="{FF2B5EF4-FFF2-40B4-BE49-F238E27FC236}">
                  <a16:creationId xmlns:a16="http://schemas.microsoft.com/office/drawing/2014/main" id="{5440B5AA-D651-A196-255F-261E9031578D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6840000" y="11090160"/>
              <a:ext cx="1837080" cy="63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634495</xdr:colOff>
      <xdr:row>57</xdr:row>
      <xdr:rowOff>137604</xdr:rowOff>
    </xdr:from>
    <xdr:to>
      <xdr:col>7</xdr:col>
      <xdr:colOff>637157</xdr:colOff>
      <xdr:row>63</xdr:row>
      <xdr:rowOff>70407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302" name="Ink 301">
              <a:extLst>
                <a:ext uri="{FF2B5EF4-FFF2-40B4-BE49-F238E27FC236}">
                  <a16:creationId xmlns:a16="http://schemas.microsoft.com/office/drawing/2014/main" id="{406E9713-5CC2-F68F-247B-C04AA037FA43}"/>
                </a:ext>
              </a:extLst>
            </xdr14:cNvPr>
            <xdr14:cNvContentPartPr/>
          </xdr14:nvContentPartPr>
          <xdr14:nvPr macro=""/>
          <xdr14:xfrm>
            <a:off x="4755240" y="11689200"/>
            <a:ext cx="1650960" cy="1148760"/>
          </xdr14:xfrm>
        </xdr:contentPart>
      </mc:Choice>
      <mc:Fallback xmlns="">
        <xdr:pic>
          <xdr:nvPicPr>
            <xdr:cNvPr id="302" name="Ink 301">
              <a:extLst>
                <a:ext uri="{FF2B5EF4-FFF2-40B4-BE49-F238E27FC236}">
                  <a16:creationId xmlns:a16="http://schemas.microsoft.com/office/drawing/2014/main" id="{406E9713-5CC2-F68F-247B-C04AA037FA43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4744800" y="11678757"/>
              <a:ext cx="1672200" cy="11700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180502</xdr:colOff>
      <xdr:row>66</xdr:row>
      <xdr:rowOff>18268</xdr:rowOff>
    </xdr:from>
    <xdr:to>
      <xdr:col>2</xdr:col>
      <xdr:colOff>629782</xdr:colOff>
      <xdr:row>66</xdr:row>
      <xdr:rowOff>192508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303" name="Ink 302">
              <a:extLst>
                <a:ext uri="{FF2B5EF4-FFF2-40B4-BE49-F238E27FC236}">
                  <a16:creationId xmlns:a16="http://schemas.microsoft.com/office/drawing/2014/main" id="{35A61C42-26FC-0528-5039-CFF895F65CB8}"/>
                </a:ext>
              </a:extLst>
            </xdr14:cNvPr>
            <xdr14:cNvContentPartPr/>
          </xdr14:nvContentPartPr>
          <xdr14:nvPr macro=""/>
          <xdr14:xfrm>
            <a:off x="1828800" y="13393800"/>
            <a:ext cx="449280" cy="174240"/>
          </xdr14:xfrm>
        </xdr:contentPart>
      </mc:Choice>
      <mc:Fallback xmlns="">
        <xdr:pic>
          <xdr:nvPicPr>
            <xdr:cNvPr id="303" name="Ink 302">
              <a:extLst>
                <a:ext uri="{FF2B5EF4-FFF2-40B4-BE49-F238E27FC236}">
                  <a16:creationId xmlns:a16="http://schemas.microsoft.com/office/drawing/2014/main" id="{35A61C42-26FC-0528-5039-CFF895F65CB8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1818000" y="13383360"/>
              <a:ext cx="470520" cy="19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64615</xdr:colOff>
      <xdr:row>65</xdr:row>
      <xdr:rowOff>61088</xdr:rowOff>
    </xdr:from>
    <xdr:to>
      <xdr:col>5</xdr:col>
      <xdr:colOff>799375</xdr:colOff>
      <xdr:row>66</xdr:row>
      <xdr:rowOff>141748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308" name="Ink 307">
              <a:extLst>
                <a:ext uri="{FF2B5EF4-FFF2-40B4-BE49-F238E27FC236}">
                  <a16:creationId xmlns:a16="http://schemas.microsoft.com/office/drawing/2014/main" id="{6EE4179A-7850-F34B-C16C-1C370D6C06AF}"/>
                </a:ext>
              </a:extLst>
            </xdr14:cNvPr>
            <xdr14:cNvContentPartPr/>
          </xdr14:nvContentPartPr>
          <xdr14:nvPr macro=""/>
          <xdr14:xfrm>
            <a:off x="4185360" y="13233960"/>
            <a:ext cx="734760" cy="283320"/>
          </xdr14:xfrm>
        </xdr:contentPart>
      </mc:Choice>
      <mc:Fallback xmlns="">
        <xdr:pic>
          <xdr:nvPicPr>
            <xdr:cNvPr id="308" name="Ink 307">
              <a:extLst>
                <a:ext uri="{FF2B5EF4-FFF2-40B4-BE49-F238E27FC236}">
                  <a16:creationId xmlns:a16="http://schemas.microsoft.com/office/drawing/2014/main" id="{6EE4179A-7850-F34B-C16C-1C370D6C06AF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4174560" y="13223520"/>
              <a:ext cx="756000" cy="304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176751</xdr:colOff>
      <xdr:row>64</xdr:row>
      <xdr:rowOff>58907</xdr:rowOff>
    </xdr:from>
    <xdr:to>
      <xdr:col>10</xdr:col>
      <xdr:colOff>454311</xdr:colOff>
      <xdr:row>67</xdr:row>
      <xdr:rowOff>69049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317" name="Ink 316">
              <a:extLst>
                <a:ext uri="{FF2B5EF4-FFF2-40B4-BE49-F238E27FC236}">
                  <a16:creationId xmlns:a16="http://schemas.microsoft.com/office/drawing/2014/main" id="{C6742172-6E57-E2CF-FC27-071488A1A602}"/>
                </a:ext>
              </a:extLst>
            </xdr14:cNvPr>
            <xdr14:cNvContentPartPr/>
          </xdr14:nvContentPartPr>
          <xdr14:nvPr macro=""/>
          <xdr14:xfrm>
            <a:off x="8418240" y="13029120"/>
            <a:ext cx="277560" cy="618120"/>
          </xdr14:xfrm>
        </xdr:contentPart>
      </mc:Choice>
      <mc:Fallback xmlns="">
        <xdr:pic>
          <xdr:nvPicPr>
            <xdr:cNvPr id="317" name="Ink 316">
              <a:extLst>
                <a:ext uri="{FF2B5EF4-FFF2-40B4-BE49-F238E27FC236}">
                  <a16:creationId xmlns:a16="http://schemas.microsoft.com/office/drawing/2014/main" id="{C6742172-6E57-E2CF-FC27-071488A1A602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8407800" y="13018320"/>
              <a:ext cx="298800" cy="63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310026</xdr:colOff>
      <xdr:row>64</xdr:row>
      <xdr:rowOff>151427</xdr:rowOff>
    </xdr:from>
    <xdr:to>
      <xdr:col>8</xdr:col>
      <xdr:colOff>704729</xdr:colOff>
      <xdr:row>69</xdr:row>
      <xdr:rowOff>15449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324" name="Ink 323">
              <a:extLst>
                <a:ext uri="{FF2B5EF4-FFF2-40B4-BE49-F238E27FC236}">
                  <a16:creationId xmlns:a16="http://schemas.microsoft.com/office/drawing/2014/main" id="{E26EEC00-FA78-81B6-4117-680B00CCB3C1}"/>
                </a:ext>
              </a:extLst>
            </xdr14:cNvPr>
            <xdr14:cNvContentPartPr/>
          </xdr14:nvContentPartPr>
          <xdr14:nvPr macro=""/>
          <xdr14:xfrm>
            <a:off x="5254920" y="13121640"/>
            <a:ext cx="2043000" cy="877320"/>
          </xdr14:xfrm>
        </xdr:contentPart>
      </mc:Choice>
      <mc:Fallback xmlns="">
        <xdr:pic>
          <xdr:nvPicPr>
            <xdr:cNvPr id="324" name="Ink 323">
              <a:extLst>
                <a:ext uri="{FF2B5EF4-FFF2-40B4-BE49-F238E27FC236}">
                  <a16:creationId xmlns:a16="http://schemas.microsoft.com/office/drawing/2014/main" id="{E26EEC00-FA78-81B6-4117-680B00CCB3C1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5244482" y="13110840"/>
              <a:ext cx="2064236" cy="898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271540</xdr:colOff>
      <xdr:row>65</xdr:row>
      <xdr:rowOff>36248</xdr:rowOff>
    </xdr:from>
    <xdr:to>
      <xdr:col>9</xdr:col>
      <xdr:colOff>716500</xdr:colOff>
      <xdr:row>66</xdr:row>
      <xdr:rowOff>97828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325" name="Ink 324">
              <a:extLst>
                <a:ext uri="{FF2B5EF4-FFF2-40B4-BE49-F238E27FC236}">
                  <a16:creationId xmlns:a16="http://schemas.microsoft.com/office/drawing/2014/main" id="{2D47476B-7AF7-240F-20C2-E6409272925F}"/>
                </a:ext>
              </a:extLst>
            </xdr14:cNvPr>
            <xdr14:cNvContentPartPr/>
          </xdr14:nvContentPartPr>
          <xdr14:nvPr macro=""/>
          <xdr14:xfrm>
            <a:off x="7688880" y="13209120"/>
            <a:ext cx="444960" cy="264240"/>
          </xdr14:xfrm>
        </xdr:contentPart>
      </mc:Choice>
      <mc:Fallback xmlns="">
        <xdr:pic>
          <xdr:nvPicPr>
            <xdr:cNvPr id="325" name="Ink 324">
              <a:extLst>
                <a:ext uri="{FF2B5EF4-FFF2-40B4-BE49-F238E27FC236}">
                  <a16:creationId xmlns:a16="http://schemas.microsoft.com/office/drawing/2014/main" id="{2D47476B-7AF7-240F-20C2-E6409272925F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7678080" y="13198320"/>
              <a:ext cx="466200" cy="28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351033</xdr:colOff>
      <xdr:row>65</xdr:row>
      <xdr:rowOff>58928</xdr:rowOff>
    </xdr:from>
    <xdr:to>
      <xdr:col>4</xdr:col>
      <xdr:colOff>420404</xdr:colOff>
      <xdr:row>67</xdr:row>
      <xdr:rowOff>11449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326" name="Ink 325">
              <a:extLst>
                <a:ext uri="{FF2B5EF4-FFF2-40B4-BE49-F238E27FC236}">
                  <a16:creationId xmlns:a16="http://schemas.microsoft.com/office/drawing/2014/main" id="{5C205F65-ED92-69B7-4BC2-806927998D06}"/>
                </a:ext>
              </a:extLst>
            </xdr14:cNvPr>
            <xdr14:cNvContentPartPr/>
          </xdr14:nvContentPartPr>
          <xdr14:nvPr macro=""/>
          <xdr14:xfrm>
            <a:off x="2823480" y="13231800"/>
            <a:ext cx="893520" cy="357840"/>
          </xdr14:xfrm>
        </xdr:contentPart>
      </mc:Choice>
      <mc:Fallback xmlns="">
        <xdr:pic>
          <xdr:nvPicPr>
            <xdr:cNvPr id="326" name="Ink 325">
              <a:extLst>
                <a:ext uri="{FF2B5EF4-FFF2-40B4-BE49-F238E27FC236}">
                  <a16:creationId xmlns:a16="http://schemas.microsoft.com/office/drawing/2014/main" id="{5C205F65-ED92-69B7-4BC2-806927998D06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2813044" y="13221000"/>
              <a:ext cx="914751" cy="37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633851</xdr:colOff>
      <xdr:row>71</xdr:row>
      <xdr:rowOff>52570</xdr:rowOff>
    </xdr:from>
    <xdr:to>
      <xdr:col>3</xdr:col>
      <xdr:colOff>137553</xdr:colOff>
      <xdr:row>76</xdr:row>
      <xdr:rowOff>106672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331" name="Ink 330">
              <a:extLst>
                <a:ext uri="{FF2B5EF4-FFF2-40B4-BE49-F238E27FC236}">
                  <a16:creationId xmlns:a16="http://schemas.microsoft.com/office/drawing/2014/main" id="{96F7B84C-5A0B-BC64-5149-DAECCEAA57CE}"/>
                </a:ext>
              </a:extLst>
            </xdr14:cNvPr>
            <xdr14:cNvContentPartPr/>
          </xdr14:nvContentPartPr>
          <xdr14:nvPr macro=""/>
          <xdr14:xfrm>
            <a:off x="1458000" y="14441400"/>
            <a:ext cx="1152000" cy="1067400"/>
          </xdr14:xfrm>
        </xdr:contentPart>
      </mc:Choice>
      <mc:Fallback xmlns="">
        <xdr:pic>
          <xdr:nvPicPr>
            <xdr:cNvPr id="331" name="Ink 330">
              <a:extLst>
                <a:ext uri="{FF2B5EF4-FFF2-40B4-BE49-F238E27FC236}">
                  <a16:creationId xmlns:a16="http://schemas.microsoft.com/office/drawing/2014/main" id="{96F7B84C-5A0B-BC64-5149-DAECCEAA57CE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1447200" y="14430600"/>
              <a:ext cx="1173240" cy="108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476095</xdr:colOff>
      <xdr:row>73</xdr:row>
      <xdr:rowOff>163851</xdr:rowOff>
    </xdr:from>
    <xdr:to>
      <xdr:col>6</xdr:col>
      <xdr:colOff>448986</xdr:colOff>
      <xdr:row>75</xdr:row>
      <xdr:rowOff>141212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3">
          <xdr14:nvContentPartPr>
            <xdr14:cNvPr id="349" name="Ink 348">
              <a:extLst>
                <a:ext uri="{FF2B5EF4-FFF2-40B4-BE49-F238E27FC236}">
                  <a16:creationId xmlns:a16="http://schemas.microsoft.com/office/drawing/2014/main" id="{7251C0D2-8E83-9860-B137-36227399310B}"/>
                </a:ext>
              </a:extLst>
            </xdr14:cNvPr>
            <xdr14:cNvContentPartPr/>
          </xdr14:nvContentPartPr>
          <xdr14:nvPr macro=""/>
          <xdr14:xfrm>
            <a:off x="4596840" y="14958000"/>
            <a:ext cx="797040" cy="382680"/>
          </xdr14:xfrm>
        </xdr:contentPart>
      </mc:Choice>
      <mc:Fallback xmlns="">
        <xdr:pic>
          <xdr:nvPicPr>
            <xdr:cNvPr id="349" name="Ink 348">
              <a:extLst>
                <a:ext uri="{FF2B5EF4-FFF2-40B4-BE49-F238E27FC236}">
                  <a16:creationId xmlns:a16="http://schemas.microsoft.com/office/drawing/2014/main" id="{7251C0D2-8E83-9860-B137-36227399310B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4586400" y="14947200"/>
              <a:ext cx="818280" cy="403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781953</xdr:colOff>
      <xdr:row>74</xdr:row>
      <xdr:rowOff>77831</xdr:rowOff>
    </xdr:from>
    <xdr:to>
      <xdr:col>5</xdr:col>
      <xdr:colOff>79735</xdr:colOff>
      <xdr:row>76</xdr:row>
      <xdr:rowOff>60232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5">
          <xdr14:nvContentPartPr>
            <xdr14:cNvPr id="350" name="Ink 349">
              <a:extLst>
                <a:ext uri="{FF2B5EF4-FFF2-40B4-BE49-F238E27FC236}">
                  <a16:creationId xmlns:a16="http://schemas.microsoft.com/office/drawing/2014/main" id="{30257EF6-2262-F69C-6DC2-3532D82A2AFB}"/>
                </a:ext>
              </a:extLst>
            </xdr14:cNvPr>
            <xdr14:cNvContentPartPr/>
          </xdr14:nvContentPartPr>
          <xdr14:nvPr macro=""/>
          <xdr14:xfrm>
            <a:off x="3254400" y="15074640"/>
            <a:ext cx="946080" cy="387720"/>
          </xdr14:xfrm>
        </xdr:contentPart>
      </mc:Choice>
      <mc:Fallback xmlns="">
        <xdr:pic>
          <xdr:nvPicPr>
            <xdr:cNvPr id="350" name="Ink 349">
              <a:extLst>
                <a:ext uri="{FF2B5EF4-FFF2-40B4-BE49-F238E27FC236}">
                  <a16:creationId xmlns:a16="http://schemas.microsoft.com/office/drawing/2014/main" id="{30257EF6-2262-F69C-6DC2-3532D82A2AFB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3243604" y="15064200"/>
              <a:ext cx="967312" cy="40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406942</xdr:colOff>
      <xdr:row>77</xdr:row>
      <xdr:rowOff>83293</xdr:rowOff>
    </xdr:from>
    <xdr:to>
      <xdr:col>3</xdr:col>
      <xdr:colOff>60513</xdr:colOff>
      <xdr:row>79</xdr:row>
      <xdr:rowOff>21774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7">
          <xdr14:nvContentPartPr>
            <xdr14:cNvPr id="351" name="Ink 350">
              <a:extLst>
                <a:ext uri="{FF2B5EF4-FFF2-40B4-BE49-F238E27FC236}">
                  <a16:creationId xmlns:a16="http://schemas.microsoft.com/office/drawing/2014/main" id="{A5B4358F-5B16-F8B8-207D-34BD0D2CC48A}"/>
                </a:ext>
              </a:extLst>
            </xdr14:cNvPr>
            <xdr14:cNvContentPartPr/>
          </xdr14:nvContentPartPr>
          <xdr14:nvPr macro=""/>
          <xdr14:xfrm>
            <a:off x="2055240" y="15688080"/>
            <a:ext cx="477720" cy="343800"/>
          </xdr14:xfrm>
        </xdr:contentPart>
      </mc:Choice>
      <mc:Fallback xmlns="">
        <xdr:pic>
          <xdr:nvPicPr>
            <xdr:cNvPr id="351" name="Ink 350">
              <a:extLst>
                <a:ext uri="{FF2B5EF4-FFF2-40B4-BE49-F238E27FC236}">
                  <a16:creationId xmlns:a16="http://schemas.microsoft.com/office/drawing/2014/main" id="{A5B4358F-5B16-F8B8-207D-34BD0D2CC48A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2044440" y="15677280"/>
              <a:ext cx="498960" cy="36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580495</xdr:colOff>
      <xdr:row>73</xdr:row>
      <xdr:rowOff>139011</xdr:rowOff>
    </xdr:from>
    <xdr:to>
      <xdr:col>9</xdr:col>
      <xdr:colOff>602380</xdr:colOff>
      <xdr:row>79</xdr:row>
      <xdr:rowOff>166494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9">
          <xdr14:nvContentPartPr>
            <xdr14:cNvPr id="364" name="Ink 363">
              <a:extLst>
                <a:ext uri="{FF2B5EF4-FFF2-40B4-BE49-F238E27FC236}">
                  <a16:creationId xmlns:a16="http://schemas.microsoft.com/office/drawing/2014/main" id="{81CAA540-0AC5-7D40-7949-269D770F5BE7}"/>
                </a:ext>
              </a:extLst>
            </xdr14:cNvPr>
            <xdr14:cNvContentPartPr/>
          </xdr14:nvContentPartPr>
          <xdr14:nvPr macro=""/>
          <xdr14:xfrm>
            <a:off x="4701240" y="14933160"/>
            <a:ext cx="3318480" cy="1243440"/>
          </xdr14:xfrm>
        </xdr:contentPart>
      </mc:Choice>
      <mc:Fallback xmlns="">
        <xdr:pic>
          <xdr:nvPicPr>
            <xdr:cNvPr id="364" name="Ink 363">
              <a:extLst>
                <a:ext uri="{FF2B5EF4-FFF2-40B4-BE49-F238E27FC236}">
                  <a16:creationId xmlns:a16="http://schemas.microsoft.com/office/drawing/2014/main" id="{81CAA540-0AC5-7D40-7949-269D770F5BE7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4690801" y="14922720"/>
              <a:ext cx="3339718" cy="126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503313</xdr:colOff>
      <xdr:row>77</xdr:row>
      <xdr:rowOff>58453</xdr:rowOff>
    </xdr:from>
    <xdr:to>
      <xdr:col>4</xdr:col>
      <xdr:colOff>652964</xdr:colOff>
      <xdr:row>79</xdr:row>
      <xdr:rowOff>101334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1">
          <xdr14:nvContentPartPr>
            <xdr14:cNvPr id="365" name="Ink 364">
              <a:extLst>
                <a:ext uri="{FF2B5EF4-FFF2-40B4-BE49-F238E27FC236}">
                  <a16:creationId xmlns:a16="http://schemas.microsoft.com/office/drawing/2014/main" id="{1C9738B7-4A3E-B2CF-6741-CF9FA34FB5BA}"/>
                </a:ext>
              </a:extLst>
            </xdr14:cNvPr>
            <xdr14:cNvContentPartPr/>
          </xdr14:nvContentPartPr>
          <xdr14:nvPr macro=""/>
          <xdr14:xfrm>
            <a:off x="2975760" y="15663240"/>
            <a:ext cx="973800" cy="448200"/>
          </xdr14:xfrm>
        </xdr:contentPart>
      </mc:Choice>
      <mc:Fallback xmlns="">
        <xdr:pic>
          <xdr:nvPicPr>
            <xdr:cNvPr id="365" name="Ink 364">
              <a:extLst>
                <a:ext uri="{FF2B5EF4-FFF2-40B4-BE49-F238E27FC236}">
                  <a16:creationId xmlns:a16="http://schemas.microsoft.com/office/drawing/2014/main" id="{1C9738B7-4A3E-B2CF-6741-CF9FA34FB5BA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2964960" y="15652800"/>
              <a:ext cx="995040" cy="46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306862</xdr:colOff>
      <xdr:row>82</xdr:row>
      <xdr:rowOff>77995</xdr:rowOff>
    </xdr:from>
    <xdr:to>
      <xdr:col>2</xdr:col>
      <xdr:colOff>463102</xdr:colOff>
      <xdr:row>84</xdr:row>
      <xdr:rowOff>84516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3">
          <xdr14:nvContentPartPr>
            <xdr14:cNvPr id="366" name="Ink 365">
              <a:extLst>
                <a:ext uri="{FF2B5EF4-FFF2-40B4-BE49-F238E27FC236}">
                  <a16:creationId xmlns:a16="http://schemas.microsoft.com/office/drawing/2014/main" id="{1B8DA511-37BE-2578-66D2-A4522D2F03D0}"/>
                </a:ext>
              </a:extLst>
            </xdr14:cNvPr>
            <xdr14:cNvContentPartPr/>
          </xdr14:nvContentPartPr>
          <xdr14:nvPr macro=""/>
          <xdr14:xfrm>
            <a:off x="1955160" y="16696080"/>
            <a:ext cx="156240" cy="411840"/>
          </xdr14:xfrm>
        </xdr:contentPart>
      </mc:Choice>
      <mc:Fallback xmlns="">
        <xdr:pic>
          <xdr:nvPicPr>
            <xdr:cNvPr id="366" name="Ink 365">
              <a:extLst>
                <a:ext uri="{FF2B5EF4-FFF2-40B4-BE49-F238E27FC236}">
                  <a16:creationId xmlns:a16="http://schemas.microsoft.com/office/drawing/2014/main" id="{1B8DA511-37BE-2578-66D2-A4522D2F03D0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1944720" y="16685280"/>
              <a:ext cx="177480" cy="43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796277</xdr:colOff>
      <xdr:row>82</xdr:row>
      <xdr:rowOff>111835</xdr:rowOff>
    </xdr:from>
    <xdr:to>
      <xdr:col>8</xdr:col>
      <xdr:colOff>103529</xdr:colOff>
      <xdr:row>84</xdr:row>
      <xdr:rowOff>125196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5">
          <xdr14:nvContentPartPr>
            <xdr14:cNvPr id="386" name="Ink 385">
              <a:extLst>
                <a:ext uri="{FF2B5EF4-FFF2-40B4-BE49-F238E27FC236}">
                  <a16:creationId xmlns:a16="http://schemas.microsoft.com/office/drawing/2014/main" id="{8F5E8F16-1CFC-CC25-757F-3074234B5267}"/>
                </a:ext>
              </a:extLst>
            </xdr14:cNvPr>
            <xdr14:cNvContentPartPr/>
          </xdr14:nvContentPartPr>
          <xdr14:nvPr macro=""/>
          <xdr14:xfrm>
            <a:off x="6565320" y="16729920"/>
            <a:ext cx="131400" cy="418680"/>
          </xdr14:xfrm>
        </xdr:contentPart>
      </mc:Choice>
      <mc:Fallback xmlns="">
        <xdr:pic>
          <xdr:nvPicPr>
            <xdr:cNvPr id="386" name="Ink 385">
              <a:extLst>
                <a:ext uri="{FF2B5EF4-FFF2-40B4-BE49-F238E27FC236}">
                  <a16:creationId xmlns:a16="http://schemas.microsoft.com/office/drawing/2014/main" id="{8F5E8F16-1CFC-CC25-757F-3074234B5267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6554520" y="16719120"/>
              <a:ext cx="152640" cy="439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393404</xdr:colOff>
      <xdr:row>87</xdr:row>
      <xdr:rowOff>14377</xdr:rowOff>
    </xdr:from>
    <xdr:to>
      <xdr:col>4</xdr:col>
      <xdr:colOff>588884</xdr:colOff>
      <xdr:row>88</xdr:row>
      <xdr:rowOff>8997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7">
          <xdr14:nvContentPartPr>
            <xdr14:cNvPr id="389" name="Ink 388">
              <a:extLst>
                <a:ext uri="{FF2B5EF4-FFF2-40B4-BE49-F238E27FC236}">
                  <a16:creationId xmlns:a16="http://schemas.microsoft.com/office/drawing/2014/main" id="{30DF9603-3BD0-1847-308F-BA940A121C55}"/>
                </a:ext>
              </a:extLst>
            </xdr14:cNvPr>
            <xdr14:cNvContentPartPr/>
          </xdr14:nvContentPartPr>
          <xdr14:nvPr macro=""/>
          <xdr14:xfrm>
            <a:off x="3690000" y="17645760"/>
            <a:ext cx="195480" cy="197280"/>
          </xdr14:xfrm>
        </xdr:contentPart>
      </mc:Choice>
      <mc:Fallback xmlns="">
        <xdr:pic>
          <xdr:nvPicPr>
            <xdr:cNvPr id="389" name="Ink 388">
              <a:extLst>
                <a:ext uri="{FF2B5EF4-FFF2-40B4-BE49-F238E27FC236}">
                  <a16:creationId xmlns:a16="http://schemas.microsoft.com/office/drawing/2014/main" id="{30DF9603-3BD0-1847-308F-BA940A121C55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3679560" y="17635320"/>
              <a:ext cx="216720" cy="21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101193</xdr:colOff>
      <xdr:row>89</xdr:row>
      <xdr:rowOff>40698</xdr:rowOff>
    </xdr:from>
    <xdr:to>
      <xdr:col>4</xdr:col>
      <xdr:colOff>564404</xdr:colOff>
      <xdr:row>90</xdr:row>
      <xdr:rowOff>141518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9">
          <xdr14:nvContentPartPr>
            <xdr14:cNvPr id="393" name="Ink 392">
              <a:extLst>
                <a:ext uri="{FF2B5EF4-FFF2-40B4-BE49-F238E27FC236}">
                  <a16:creationId xmlns:a16="http://schemas.microsoft.com/office/drawing/2014/main" id="{F42974F6-AC85-DDAA-678B-BCF9BFF5B483}"/>
                </a:ext>
              </a:extLst>
            </xdr14:cNvPr>
            <xdr14:cNvContentPartPr/>
          </xdr14:nvContentPartPr>
          <xdr14:nvPr macro=""/>
          <xdr14:xfrm>
            <a:off x="2573640" y="18077400"/>
            <a:ext cx="1287360" cy="303480"/>
          </xdr14:xfrm>
        </xdr:contentPart>
      </mc:Choice>
      <mc:Fallback xmlns="">
        <xdr:pic>
          <xdr:nvPicPr>
            <xdr:cNvPr id="393" name="Ink 392">
              <a:extLst>
                <a:ext uri="{FF2B5EF4-FFF2-40B4-BE49-F238E27FC236}">
                  <a16:creationId xmlns:a16="http://schemas.microsoft.com/office/drawing/2014/main" id="{F42974F6-AC85-DDAA-678B-BCF9BFF5B483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2563197" y="18066613"/>
              <a:ext cx="1308606" cy="32469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11913</xdr:colOff>
      <xdr:row>87</xdr:row>
      <xdr:rowOff>15457</xdr:rowOff>
    </xdr:from>
    <xdr:to>
      <xdr:col>4</xdr:col>
      <xdr:colOff>125924</xdr:colOff>
      <xdr:row>88</xdr:row>
      <xdr:rowOff>106917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1">
          <xdr14:nvContentPartPr>
            <xdr14:cNvPr id="394" name="Ink 393">
              <a:extLst>
                <a:ext uri="{FF2B5EF4-FFF2-40B4-BE49-F238E27FC236}">
                  <a16:creationId xmlns:a16="http://schemas.microsoft.com/office/drawing/2014/main" id="{672C3C4F-D8C1-8A2A-A55F-C2E74A647787}"/>
                </a:ext>
              </a:extLst>
            </xdr14:cNvPr>
            <xdr14:cNvContentPartPr/>
          </xdr14:nvContentPartPr>
          <xdr14:nvPr macro=""/>
          <xdr14:xfrm>
            <a:off x="2484360" y="17646840"/>
            <a:ext cx="938160" cy="294120"/>
          </xdr14:xfrm>
        </xdr:contentPart>
      </mc:Choice>
      <mc:Fallback xmlns="">
        <xdr:pic>
          <xdr:nvPicPr>
            <xdr:cNvPr id="394" name="Ink 393">
              <a:extLst>
                <a:ext uri="{FF2B5EF4-FFF2-40B4-BE49-F238E27FC236}">
                  <a16:creationId xmlns:a16="http://schemas.microsoft.com/office/drawing/2014/main" id="{672C3C4F-D8C1-8A2A-A55F-C2E74A647787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2473564" y="17636040"/>
              <a:ext cx="959392" cy="31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13604</xdr:colOff>
      <xdr:row>82</xdr:row>
      <xdr:rowOff>192835</xdr:rowOff>
    </xdr:from>
    <xdr:to>
      <xdr:col>7</xdr:col>
      <xdr:colOff>496397</xdr:colOff>
      <xdr:row>84</xdr:row>
      <xdr:rowOff>124116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3">
          <xdr14:nvContentPartPr>
            <xdr14:cNvPr id="395" name="Ink 394">
              <a:extLst>
                <a:ext uri="{FF2B5EF4-FFF2-40B4-BE49-F238E27FC236}">
                  <a16:creationId xmlns:a16="http://schemas.microsoft.com/office/drawing/2014/main" id="{95644252-C188-1F79-8B74-C3BD889B42F5}"/>
                </a:ext>
              </a:extLst>
            </xdr14:cNvPr>
            <xdr14:cNvContentPartPr/>
          </xdr14:nvContentPartPr>
          <xdr14:nvPr macro=""/>
          <xdr14:xfrm>
            <a:off x="3310200" y="16810920"/>
            <a:ext cx="2955240" cy="336600"/>
          </xdr14:xfrm>
        </xdr:contentPart>
      </mc:Choice>
      <mc:Fallback xmlns="">
        <xdr:pic>
          <xdr:nvPicPr>
            <xdr:cNvPr id="395" name="Ink 394">
              <a:extLst>
                <a:ext uri="{FF2B5EF4-FFF2-40B4-BE49-F238E27FC236}">
                  <a16:creationId xmlns:a16="http://schemas.microsoft.com/office/drawing/2014/main" id="{95644252-C188-1F79-8B74-C3BD889B42F5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3299760" y="16800480"/>
              <a:ext cx="2976480" cy="357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740662</xdr:colOff>
      <xdr:row>82</xdr:row>
      <xdr:rowOff>199675</xdr:rowOff>
    </xdr:from>
    <xdr:to>
      <xdr:col>3</xdr:col>
      <xdr:colOff>514473</xdr:colOff>
      <xdr:row>84</xdr:row>
      <xdr:rowOff>110796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5">
          <xdr14:nvContentPartPr>
            <xdr14:cNvPr id="396" name="Ink 395">
              <a:extLst>
                <a:ext uri="{FF2B5EF4-FFF2-40B4-BE49-F238E27FC236}">
                  <a16:creationId xmlns:a16="http://schemas.microsoft.com/office/drawing/2014/main" id="{A9C70266-3156-025F-BD94-5FB319100BF4}"/>
                </a:ext>
              </a:extLst>
            </xdr14:cNvPr>
            <xdr14:cNvContentPartPr/>
          </xdr14:nvContentPartPr>
          <xdr14:nvPr macro=""/>
          <xdr14:xfrm>
            <a:off x="2388960" y="16817760"/>
            <a:ext cx="597960" cy="316440"/>
          </xdr14:xfrm>
        </xdr:contentPart>
      </mc:Choice>
      <mc:Fallback xmlns="">
        <xdr:pic>
          <xdr:nvPicPr>
            <xdr:cNvPr id="396" name="Ink 395">
              <a:extLst>
                <a:ext uri="{FF2B5EF4-FFF2-40B4-BE49-F238E27FC236}">
                  <a16:creationId xmlns:a16="http://schemas.microsoft.com/office/drawing/2014/main" id="{A9C70266-3156-025F-BD94-5FB319100BF4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2378160" y="16806972"/>
              <a:ext cx="619200" cy="33765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326553</xdr:colOff>
      <xdr:row>91</xdr:row>
      <xdr:rowOff>61619</xdr:rowOff>
    </xdr:from>
    <xdr:to>
      <xdr:col>4</xdr:col>
      <xdr:colOff>500684</xdr:colOff>
      <xdr:row>95</xdr:row>
      <xdr:rowOff>46940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7">
          <xdr14:nvContentPartPr>
            <xdr14:cNvPr id="407" name="Ink 406">
              <a:extLst>
                <a:ext uri="{FF2B5EF4-FFF2-40B4-BE49-F238E27FC236}">
                  <a16:creationId xmlns:a16="http://schemas.microsoft.com/office/drawing/2014/main" id="{303A6F0E-356B-EF16-DC16-169782AFEA4D}"/>
                </a:ext>
              </a:extLst>
            </xdr14:cNvPr>
            <xdr14:cNvContentPartPr/>
          </xdr14:nvContentPartPr>
          <xdr14:nvPr macro=""/>
          <xdr14:xfrm>
            <a:off x="2799000" y="18503640"/>
            <a:ext cx="998280" cy="795960"/>
          </xdr14:xfrm>
        </xdr:contentPart>
      </mc:Choice>
      <mc:Fallback xmlns="">
        <xdr:pic>
          <xdr:nvPicPr>
            <xdr:cNvPr id="407" name="Ink 406">
              <a:extLst>
                <a:ext uri="{FF2B5EF4-FFF2-40B4-BE49-F238E27FC236}">
                  <a16:creationId xmlns:a16="http://schemas.microsoft.com/office/drawing/2014/main" id="{303A6F0E-356B-EF16-DC16-169782AFEA4D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2788204" y="18493195"/>
              <a:ext cx="1019512" cy="8172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581542</xdr:colOff>
      <xdr:row>82</xdr:row>
      <xdr:rowOff>55675</xdr:rowOff>
    </xdr:from>
    <xdr:to>
      <xdr:col>9</xdr:col>
      <xdr:colOff>472420</xdr:colOff>
      <xdr:row>95</xdr:row>
      <xdr:rowOff>173300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9">
          <xdr14:nvContentPartPr>
            <xdr14:cNvPr id="421" name="Ink 420">
              <a:extLst>
                <a:ext uri="{FF2B5EF4-FFF2-40B4-BE49-F238E27FC236}">
                  <a16:creationId xmlns:a16="http://schemas.microsoft.com/office/drawing/2014/main" id="{6D5B2EA6-A94D-1BA8-7DC5-6DCDDA0E3833}"/>
                </a:ext>
              </a:extLst>
            </xdr14:cNvPr>
            <xdr14:cNvContentPartPr/>
          </xdr14:nvContentPartPr>
          <xdr14:nvPr macro=""/>
          <xdr14:xfrm>
            <a:off x="2229840" y="16673760"/>
            <a:ext cx="5659920" cy="2752200"/>
          </xdr14:xfrm>
        </xdr:contentPart>
      </mc:Choice>
      <mc:Fallback xmlns="">
        <xdr:pic>
          <xdr:nvPicPr>
            <xdr:cNvPr id="421" name="Ink 420">
              <a:extLst>
                <a:ext uri="{FF2B5EF4-FFF2-40B4-BE49-F238E27FC236}">
                  <a16:creationId xmlns:a16="http://schemas.microsoft.com/office/drawing/2014/main" id="{6D5B2EA6-A94D-1BA8-7DC5-6DCDDA0E3833}"/>
                </a:ext>
              </a:extLst>
            </xdr:cNvPr>
            <xdr:cNvPicPr/>
          </xdr:nvPicPr>
          <xdr:blipFill>
            <a:blip xmlns:r="http://schemas.openxmlformats.org/officeDocument/2006/relationships" r:embed="rId180"/>
            <a:stretch>
              <a:fillRect/>
            </a:stretch>
          </xdr:blipFill>
          <xdr:spPr>
            <a:xfrm>
              <a:off x="2214423" y="16658596"/>
              <a:ext cx="5690396" cy="278288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199222</xdr:colOff>
      <xdr:row>86</xdr:row>
      <xdr:rowOff>96797</xdr:rowOff>
    </xdr:from>
    <xdr:to>
      <xdr:col>2</xdr:col>
      <xdr:colOff>199582</xdr:colOff>
      <xdr:row>86</xdr:row>
      <xdr:rowOff>97157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1">
          <xdr14:nvContentPartPr>
            <xdr14:cNvPr id="422" name="Ink 421">
              <a:extLst>
                <a:ext uri="{FF2B5EF4-FFF2-40B4-BE49-F238E27FC236}">
                  <a16:creationId xmlns:a16="http://schemas.microsoft.com/office/drawing/2014/main" id="{EE07B7F6-FD5B-5C13-AA8B-3091183E2CC0}"/>
                </a:ext>
              </a:extLst>
            </xdr14:cNvPr>
            <xdr14:cNvContentPartPr/>
          </xdr14:nvContentPartPr>
          <xdr14:nvPr macro=""/>
          <xdr14:xfrm>
            <a:off x="1847520" y="17525520"/>
            <a:ext cx="360" cy="360"/>
          </xdr14:xfrm>
        </xdr:contentPart>
      </mc:Choice>
      <mc:Fallback xmlns="">
        <xdr:pic>
          <xdr:nvPicPr>
            <xdr:cNvPr id="422" name="Ink 421">
              <a:extLst>
                <a:ext uri="{FF2B5EF4-FFF2-40B4-BE49-F238E27FC236}">
                  <a16:creationId xmlns:a16="http://schemas.microsoft.com/office/drawing/2014/main" id="{EE07B7F6-FD5B-5C13-AA8B-3091183E2CC0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1838520" y="175168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333862</xdr:colOff>
      <xdr:row>81</xdr:row>
      <xdr:rowOff>21094</xdr:rowOff>
    </xdr:from>
    <xdr:to>
      <xdr:col>2</xdr:col>
      <xdr:colOff>334222</xdr:colOff>
      <xdr:row>81</xdr:row>
      <xdr:rowOff>21454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3">
          <xdr14:nvContentPartPr>
            <xdr14:cNvPr id="423" name="Ink 422">
              <a:extLst>
                <a:ext uri="{FF2B5EF4-FFF2-40B4-BE49-F238E27FC236}">
                  <a16:creationId xmlns:a16="http://schemas.microsoft.com/office/drawing/2014/main" id="{8D7094A4-EBAF-E1D5-96DA-F3A7D882BB80}"/>
                </a:ext>
              </a:extLst>
            </xdr14:cNvPr>
            <xdr14:cNvContentPartPr/>
          </xdr14:nvContentPartPr>
          <xdr14:nvPr macro=""/>
          <xdr14:xfrm>
            <a:off x="1982160" y="16436520"/>
            <a:ext cx="360" cy="360"/>
          </xdr14:xfrm>
        </xdr:contentPart>
      </mc:Choice>
      <mc:Fallback xmlns="">
        <xdr:pic>
          <xdr:nvPicPr>
            <xdr:cNvPr id="423" name="Ink 422">
              <a:extLst>
                <a:ext uri="{FF2B5EF4-FFF2-40B4-BE49-F238E27FC236}">
                  <a16:creationId xmlns:a16="http://schemas.microsoft.com/office/drawing/2014/main" id="{8D7094A4-EBAF-E1D5-96DA-F3A7D882BB80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1973520" y="164275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529702</xdr:colOff>
      <xdr:row>13</xdr:row>
      <xdr:rowOff>200267</xdr:rowOff>
    </xdr:from>
    <xdr:ext cx="430956" cy="297932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F80243F-6182-8C4A-A2F5-925DBFA153A7}"/>
                </a:ext>
              </a:extLst>
            </xdr14:cNvPr>
            <xdr14:cNvContentPartPr/>
          </xdr14:nvContentPartPr>
          <xdr14:nvPr macro=""/>
          <xdr14:xfrm>
            <a:off x="2178000" y="22695480"/>
            <a:ext cx="427680" cy="2991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F80243F-6182-8C4A-A2F5-925DBFA153A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171880" y="22689360"/>
              <a:ext cx="439920" cy="311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439844</xdr:colOff>
      <xdr:row>12</xdr:row>
      <xdr:rowOff>16287</xdr:rowOff>
    </xdr:from>
    <xdr:ext cx="1412710" cy="1075129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6EAFA135-2303-7443-818F-27AF2714A774}"/>
                </a:ext>
              </a:extLst>
            </xdr14:cNvPr>
            <xdr14:cNvContentPartPr/>
          </xdr14:nvContentPartPr>
          <xdr14:nvPr macro=""/>
          <xdr14:xfrm>
            <a:off x="3736440" y="22308840"/>
            <a:ext cx="1406160" cy="107820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6EAFA135-2303-7443-818F-27AF2714A77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730350" y="22302704"/>
              <a:ext cx="1418341" cy="1090473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89148</xdr:colOff>
      <xdr:row>1</xdr:row>
      <xdr:rowOff>24489</xdr:rowOff>
    </xdr:from>
    <xdr:to>
      <xdr:col>4</xdr:col>
      <xdr:colOff>247492</xdr:colOff>
      <xdr:row>4</xdr:row>
      <xdr:rowOff>47300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BC143-5647-7CAF-0659-5235EC2BE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0498" y="227409"/>
          <a:ext cx="1809694" cy="631571"/>
        </a:xfrm>
        <a:prstGeom prst="rect">
          <a:avLst/>
        </a:prstGeom>
      </xdr:spPr>
    </xdr:pic>
    <xdr:clientData/>
  </xdr:twoCellAnchor>
  <xdr:twoCellAnchor editAs="oneCell">
    <xdr:from>
      <xdr:col>0</xdr:col>
      <xdr:colOff>702862</xdr:colOff>
      <xdr:row>29</xdr:row>
      <xdr:rowOff>169736</xdr:rowOff>
    </xdr:from>
    <xdr:to>
      <xdr:col>3</xdr:col>
      <xdr:colOff>597868</xdr:colOff>
      <xdr:row>35</xdr:row>
      <xdr:rowOff>4556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71F5A40-5FBB-8700-C33F-A1C62AE04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862" y="6073782"/>
          <a:ext cx="2367143" cy="1056347"/>
        </a:xfrm>
        <a:prstGeom prst="rect">
          <a:avLst/>
        </a:prstGeom>
      </xdr:spPr>
    </xdr:pic>
    <xdr:clientData/>
  </xdr:twoCellAnchor>
  <xdr:twoCellAnchor editAs="oneCell">
    <xdr:from>
      <xdr:col>2</xdr:col>
      <xdr:colOff>277908</xdr:colOff>
      <xdr:row>33</xdr:row>
      <xdr:rowOff>154363</xdr:rowOff>
    </xdr:from>
    <xdr:to>
      <xdr:col>3</xdr:col>
      <xdr:colOff>203023</xdr:colOff>
      <xdr:row>35</xdr:row>
      <xdr:rowOff>125907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8AE4C519-89C4-D55B-9CCB-694E5945C62E}"/>
                </a:ext>
              </a:extLst>
            </xdr14:cNvPr>
            <xdr14:cNvContentPartPr/>
          </xdr14:nvContentPartPr>
          <xdr14:nvPr macro=""/>
          <xdr14:xfrm>
            <a:off x="1926000" y="6872760"/>
            <a:ext cx="749160" cy="37872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8AE4C519-89C4-D55B-9CCB-694E5945C62E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917000" y="6864120"/>
              <a:ext cx="766800" cy="396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686154</xdr:colOff>
      <xdr:row>33</xdr:row>
      <xdr:rowOff>104323</xdr:rowOff>
    </xdr:from>
    <xdr:to>
      <xdr:col>2</xdr:col>
      <xdr:colOff>53268</xdr:colOff>
      <xdr:row>36</xdr:row>
      <xdr:rowOff>137960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C29D141E-86EF-56F8-8181-D0E5FBBC07FF}"/>
                </a:ext>
              </a:extLst>
            </xdr14:cNvPr>
            <xdr14:cNvContentPartPr/>
          </xdr14:nvContentPartPr>
          <xdr14:nvPr macro=""/>
          <xdr14:xfrm>
            <a:off x="1510200" y="6822720"/>
            <a:ext cx="191160" cy="64440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C29D141E-86EF-56F8-8181-D0E5FBBC07FF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504080" y="6816600"/>
              <a:ext cx="203400" cy="65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565554</xdr:colOff>
      <xdr:row>37</xdr:row>
      <xdr:rowOff>131652</xdr:rowOff>
    </xdr:from>
    <xdr:to>
      <xdr:col>1</xdr:col>
      <xdr:colOff>763914</xdr:colOff>
      <xdr:row>38</xdr:row>
      <xdr:rowOff>110944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1A7D2778-0F22-EC67-0A76-F275DD8D4894}"/>
                </a:ext>
              </a:extLst>
            </xdr14:cNvPr>
            <xdr14:cNvContentPartPr/>
          </xdr14:nvContentPartPr>
          <xdr14:nvPr macro=""/>
          <xdr14:xfrm>
            <a:off x="1389600" y="7664400"/>
            <a:ext cx="198360" cy="18288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1A7D2778-0F22-EC67-0A76-F275DD8D489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383480" y="7658280"/>
              <a:ext cx="210600" cy="19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313314</xdr:colOff>
      <xdr:row>51</xdr:row>
      <xdr:rowOff>23820</xdr:rowOff>
    </xdr:from>
    <xdr:to>
      <xdr:col>1</xdr:col>
      <xdr:colOff>411594</xdr:colOff>
      <xdr:row>52</xdr:row>
      <xdr:rowOff>155030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2E45975E-592E-DFCE-CD35-7F175A66BA93}"/>
                </a:ext>
              </a:extLst>
            </xdr14:cNvPr>
            <xdr14:cNvContentPartPr/>
          </xdr14:nvContentPartPr>
          <xdr14:nvPr macro=""/>
          <xdr14:xfrm>
            <a:off x="1137240" y="10461960"/>
            <a:ext cx="98280" cy="33588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2E45975E-592E-DFCE-CD35-7F175A66BA93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31097" y="10455840"/>
              <a:ext cx="110565" cy="348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388554</xdr:colOff>
      <xdr:row>57</xdr:row>
      <xdr:rowOff>3</xdr:rowOff>
    </xdr:from>
    <xdr:to>
      <xdr:col>1</xdr:col>
      <xdr:colOff>515634</xdr:colOff>
      <xdr:row>57</xdr:row>
      <xdr:rowOff>117363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92A2F8B1-2AC6-4348-56A3-000FCC688586}"/>
                </a:ext>
              </a:extLst>
            </xdr14:cNvPr>
            <xdr14:cNvContentPartPr/>
          </xdr14:nvContentPartPr>
          <xdr14:nvPr macro=""/>
          <xdr14:xfrm>
            <a:off x="1212480" y="11666160"/>
            <a:ext cx="127080" cy="11736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92A2F8B1-2AC6-4348-56A3-000FCC688586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206360" y="11660040"/>
              <a:ext cx="139320" cy="12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587768</xdr:colOff>
      <xdr:row>55</xdr:row>
      <xdr:rowOff>119164</xdr:rowOff>
    </xdr:from>
    <xdr:to>
      <xdr:col>6</xdr:col>
      <xdr:colOff>713927</xdr:colOff>
      <xdr:row>58</xdr:row>
      <xdr:rowOff>15539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A22599A-EDB8-4185-6686-A0EA772EB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059545" y="11375982"/>
          <a:ext cx="2597936" cy="510383"/>
        </a:xfrm>
        <a:prstGeom prst="rect">
          <a:avLst/>
        </a:prstGeom>
      </xdr:spPr>
    </xdr:pic>
    <xdr:clientData/>
  </xdr:twoCellAnchor>
  <xdr:twoCellAnchor editAs="oneCell">
    <xdr:from>
      <xdr:col>4</xdr:col>
      <xdr:colOff>468098</xdr:colOff>
      <xdr:row>57</xdr:row>
      <xdr:rowOff>95043</xdr:rowOff>
    </xdr:from>
    <xdr:to>
      <xdr:col>4</xdr:col>
      <xdr:colOff>582218</xdr:colOff>
      <xdr:row>59</xdr:row>
      <xdr:rowOff>177104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ACB1CEE6-D080-12E4-8590-2917B46CFF4F}"/>
                </a:ext>
              </a:extLst>
            </xdr14:cNvPr>
            <xdr14:cNvContentPartPr/>
          </xdr14:nvContentPartPr>
          <xdr14:nvPr macro=""/>
          <xdr14:xfrm>
            <a:off x="3763800" y="11761200"/>
            <a:ext cx="114120" cy="49140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ACB1CEE6-D080-12E4-8590-2917B46CFF4F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3757680" y="11755080"/>
              <a:ext cx="126360" cy="50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30092</xdr:colOff>
      <xdr:row>57</xdr:row>
      <xdr:rowOff>97923</xdr:rowOff>
    </xdr:from>
    <xdr:to>
      <xdr:col>5</xdr:col>
      <xdr:colOff>388652</xdr:colOff>
      <xdr:row>61</xdr:row>
      <xdr:rowOff>19045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8B67907A-B47D-3B36-C254-4FBE92C7502E}"/>
                </a:ext>
              </a:extLst>
            </xdr14:cNvPr>
            <xdr14:cNvContentPartPr/>
          </xdr14:nvContentPartPr>
          <xdr14:nvPr macro=""/>
          <xdr14:xfrm>
            <a:off x="4149720" y="11764080"/>
            <a:ext cx="358560" cy="739800"/>
          </xdr14:xfrm>
        </xdr:contentPart>
      </mc:Choice>
      <mc:Fallback xmlns=""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8B67907A-B47D-3B36-C254-4FBE92C7502E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4143600" y="11757960"/>
              <a:ext cx="370800" cy="752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502052</xdr:colOff>
      <xdr:row>57</xdr:row>
      <xdr:rowOff>121683</xdr:rowOff>
    </xdr:from>
    <xdr:to>
      <xdr:col>5</xdr:col>
      <xdr:colOff>595652</xdr:colOff>
      <xdr:row>62</xdr:row>
      <xdr:rowOff>151336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4AD1A712-70EB-A6CC-FB9F-274B056741DE}"/>
                </a:ext>
              </a:extLst>
            </xdr14:cNvPr>
            <xdr14:cNvContentPartPr/>
          </xdr14:nvContentPartPr>
          <xdr14:nvPr macro=""/>
          <xdr14:xfrm>
            <a:off x="4621680" y="11787840"/>
            <a:ext cx="93600" cy="1053000"/>
          </xdr14:xfrm>
        </xdr:contentPart>
      </mc:Choice>
      <mc:Fallback xmlns=""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4AD1A712-70EB-A6CC-FB9F-274B056741DE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4615560" y="11781720"/>
              <a:ext cx="105840" cy="106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3566</xdr:colOff>
      <xdr:row>57</xdr:row>
      <xdr:rowOff>64803</xdr:rowOff>
    </xdr:from>
    <xdr:to>
      <xdr:col>7</xdr:col>
      <xdr:colOff>135441</xdr:colOff>
      <xdr:row>66</xdr:row>
      <xdr:rowOff>112058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7A9E6A28-28A2-B343-B2E7-E944B736CDC3}"/>
                </a:ext>
              </a:extLst>
            </xdr14:cNvPr>
            <xdr14:cNvContentPartPr/>
          </xdr14:nvContentPartPr>
          <xdr14:nvPr macro=""/>
          <xdr14:xfrm>
            <a:off x="4947120" y="11730960"/>
            <a:ext cx="955800" cy="188928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7A9E6A28-28A2-B343-B2E7-E944B736CDC3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4941000" y="11724840"/>
              <a:ext cx="968040" cy="19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224754</xdr:colOff>
      <xdr:row>102</xdr:row>
      <xdr:rowOff>177959</xdr:rowOff>
    </xdr:from>
    <xdr:to>
      <xdr:col>2</xdr:col>
      <xdr:colOff>279589</xdr:colOff>
      <xdr:row>108</xdr:row>
      <xdr:rowOff>112382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F632A315-0D0F-BB0E-26C8-0BE0896E16EB}"/>
                </a:ext>
              </a:extLst>
            </xdr14:cNvPr>
            <xdr14:cNvContentPartPr/>
          </xdr14:nvContentPartPr>
          <xdr14:nvPr macro=""/>
          <xdr14:xfrm>
            <a:off x="1048680" y="21054240"/>
            <a:ext cx="878760" cy="1162440"/>
          </xdr14:xfrm>
        </xdr:contentPart>
      </mc:Choice>
      <mc:Fallback xmlns=""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F632A315-0D0F-BB0E-26C8-0BE0896E16EB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1042560" y="21048120"/>
              <a:ext cx="891000" cy="117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127063</xdr:colOff>
      <xdr:row>102</xdr:row>
      <xdr:rowOff>109559</xdr:rowOff>
    </xdr:from>
    <xdr:to>
      <xdr:col>4</xdr:col>
      <xdr:colOff>170738</xdr:colOff>
      <xdr:row>107</xdr:row>
      <xdr:rowOff>202572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696EE26D-0BC9-630B-C587-9334B7E30F11}"/>
                </a:ext>
              </a:extLst>
            </xdr14:cNvPr>
            <xdr14:cNvContentPartPr/>
          </xdr14:nvContentPartPr>
          <xdr14:nvPr macro=""/>
          <xdr14:xfrm>
            <a:off x="2598840" y="20985840"/>
            <a:ext cx="867600" cy="1116360"/>
          </xdr14:xfrm>
        </xdr:contentPart>
      </mc:Choice>
      <mc:Fallback xmlns=""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696EE26D-0BC9-630B-C587-9334B7E30F11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2592720" y="20979720"/>
              <a:ext cx="879840" cy="1128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31892</xdr:colOff>
      <xdr:row>102</xdr:row>
      <xdr:rowOff>20279</xdr:rowOff>
    </xdr:from>
    <xdr:to>
      <xdr:col>6</xdr:col>
      <xdr:colOff>131726</xdr:colOff>
      <xdr:row>107</xdr:row>
      <xdr:rowOff>98892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E5BFB8F5-F1BC-D348-1D69-04B66C045BE9}"/>
                </a:ext>
              </a:extLst>
            </xdr14:cNvPr>
            <xdr14:cNvContentPartPr/>
          </xdr14:nvContentPartPr>
          <xdr14:nvPr macro=""/>
          <xdr14:xfrm>
            <a:off x="4151520" y="20896560"/>
            <a:ext cx="923760" cy="1101960"/>
          </xdr14:xfrm>
        </xdr:contentPart>
      </mc:Choice>
      <mc:Fallback xmlns=""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E5BFB8F5-F1BC-D348-1D69-04B66C045BE9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4145400" y="20890440"/>
              <a:ext cx="936000" cy="111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816234</xdr:colOff>
      <xdr:row>103</xdr:row>
      <xdr:rowOff>86690</xdr:rowOff>
    </xdr:from>
    <xdr:to>
      <xdr:col>3</xdr:col>
      <xdr:colOff>356383</xdr:colOff>
      <xdr:row>104</xdr:row>
      <xdr:rowOff>95500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798F7907-941D-B31B-9716-48427FBAE412}"/>
                </a:ext>
              </a:extLst>
            </xdr14:cNvPr>
            <xdr14:cNvContentPartPr/>
          </xdr14:nvContentPartPr>
          <xdr14:nvPr macro=""/>
          <xdr14:xfrm>
            <a:off x="1640160" y="21167640"/>
            <a:ext cx="1188000" cy="213480"/>
          </xdr14:xfrm>
        </xdr:contentPart>
      </mc:Choice>
      <mc:Fallback xmlns=""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798F7907-941D-B31B-9716-48427FBAE412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1634040" y="21161520"/>
              <a:ext cx="1200240" cy="22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723223</xdr:colOff>
      <xdr:row>103</xdr:row>
      <xdr:rowOff>2090</xdr:rowOff>
    </xdr:from>
    <xdr:to>
      <xdr:col>5</xdr:col>
      <xdr:colOff>189932</xdr:colOff>
      <xdr:row>103</xdr:row>
      <xdr:rowOff>129890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6F468A59-C781-0069-9865-EF4B5AEC07A4}"/>
                </a:ext>
              </a:extLst>
            </xdr14:cNvPr>
            <xdr14:cNvContentPartPr/>
          </xdr14:nvContentPartPr>
          <xdr14:nvPr macro=""/>
          <xdr14:xfrm>
            <a:off x="3195000" y="21083040"/>
            <a:ext cx="1114560" cy="127800"/>
          </xdr14:xfrm>
        </xdr:contentPart>
      </mc:Choice>
      <mc:Fallback xmlns=""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6F468A59-C781-0069-9865-EF4B5AEC07A4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3188880" y="21076920"/>
              <a:ext cx="1126800" cy="14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702686</xdr:colOff>
      <xdr:row>102</xdr:row>
      <xdr:rowOff>177599</xdr:rowOff>
    </xdr:from>
    <xdr:to>
      <xdr:col>7</xdr:col>
      <xdr:colOff>271161</xdr:colOff>
      <xdr:row>104</xdr:row>
      <xdr:rowOff>32140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4FA7DF76-9E4F-59D5-D021-49AF357B3DD3}"/>
                </a:ext>
              </a:extLst>
            </xdr14:cNvPr>
            <xdr14:cNvContentPartPr/>
          </xdr14:nvContentPartPr>
          <xdr14:nvPr macro=""/>
          <xdr14:xfrm>
            <a:off x="5646240" y="21053880"/>
            <a:ext cx="392400" cy="263880"/>
          </xdr14:xfrm>
        </xdr:contentPart>
      </mc:Choice>
      <mc:Fallback xmlns=""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4FA7DF76-9E4F-59D5-D021-49AF357B3DD3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5640126" y="21047760"/>
              <a:ext cx="404629" cy="27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129109</xdr:colOff>
      <xdr:row>104</xdr:row>
      <xdr:rowOff>109180</xdr:rowOff>
    </xdr:from>
    <xdr:to>
      <xdr:col>5</xdr:col>
      <xdr:colOff>488732</xdr:colOff>
      <xdr:row>105</xdr:row>
      <xdr:rowOff>45991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54E5C749-4A4C-C462-95D3-22C8473431A7}"/>
                </a:ext>
              </a:extLst>
            </xdr14:cNvPr>
            <xdr14:cNvContentPartPr/>
          </xdr14:nvContentPartPr>
          <xdr14:nvPr macro=""/>
          <xdr14:xfrm>
            <a:off x="1776960" y="21394800"/>
            <a:ext cx="2831400" cy="141480"/>
          </xdr14:xfrm>
        </xdr:contentPart>
      </mc:Choice>
      <mc:Fallback xmlns=""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54E5C749-4A4C-C462-95D3-22C8473431A7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1770840" y="21388680"/>
              <a:ext cx="2843640" cy="153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39:11.70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541 3 24575,'-10'-1'0,"-7"0"0,-15 1 0,-7 0 0,-4 0 0,3 0 0,10 0 0,6 2 0,6 6 0,3 6 0,-2 10 0,-4 10 0,-4 9 0,-2 9 0,4 0 0,4 2 0,4-3 0,4 2 0,4 6 0,3 4 0,4 12 0,4 8 0,6 2 0,4-5 0,3-11 0,-1-11 0,-1-6 0,2-1 0,-1 0 0,1 0 0,0-1 0,-3-7 0,-2-9 0,-4-10 0,-4-9 0,0-6 0,-2 0 0,-1 0 0,-1 3 0,0 1 0,0 3 0,-4 2 0,-2 4 0,-5 3 0,-1-2 0,0-3 0,0-5 0,0-5 0,0-3 0,-4-2 0,-5-2 0,-4-2 0,-6-1 0,-1-5 0,1-4 0,6-5 0,8-5 0,8 0 0,5 0 0,4 2 0,4 4 0,3 2 0,3 2 0,2 3 0,-1 2 0,-2 2 0,-2 1 0,1 1 0,0 0 0,1 0 0,1 0 0,2 2 0,1 1 0,2 2 0,1 1 0,-2 2 0,-2 1 0,-3 0 0,-3 0 0,-3 0 0,-1 0 0,-2 2 0,0 3 0,1 3 0,1 4 0,1 7 0,2 7 0,1 6 0,1 5 0,1 4 0,-1-1 0,-2 0 0,0-2 0,-2-3 0,1-2 0,-1 2 0,1 2 0,1 2 0,0 3 0,-1-3 0,1-4 0,-1-4 0,1-4 0,1-2 0,0-1 0,1 0 0,0-1 0,2-1 0,0 0 0,2-2 0,-1-4 0,-2-7 0,0-4 0,-1-4 0,0-1 0,1 3 0,2 3 0,2 4 0,1 0 0,-1-2 0,-2-4 0,-2-3 0,0-2 0,6 2 0,13 4 0,15 4 0,15 5 0,7-2 0,-2-2 0,-8-6 0,-14-4 0,-12-4 0,-12-3 0,-7-1 0,-3-1 0,-4 0 0,-1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0:54.41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334 99 14279,'-27'-11'809,"-6"-1"-539,-9-1 90,-11-3 360,2 1 449,2 1 180,16 4-809,8 3-180,10 8-90,10 6 179,9 29-89,4 11-180,3 31-180,-4 10 90,-4 10-90,-3-46 0,-1-1 0,-1 1 0,0-1-90,-5 45 90,1-8 90,0-12 180,1-13 179,2-17-269,3-13-1079,9-8-2879,9-15-539,19-8 4317,6-11 0,-12 0 0,-8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0:55.64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4 41 9242,'-4'-15'6476,"11"9"-6026,15 5 539,52 10-359,9-3-271,-14-4 1,4-3 270,-6-2 0,-2-2-226,-8 1 1,-2-1 225,38-5-270,-45 5-180,-18 2-90,-7 13 89,-16 23-179,-2 13 90,-7 39-45,3-30 0,0 2-45,1-2 0,-1 1 45,2 16 0,-1-1 180,-2-12 0,-2-3 45,-7 41-90,-28-6-2789,-42-37-1798,-9-15 4407,33-26 0,3-6 0,1-3 0,15-6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0:59.933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7 134 11580,'-6'-30'5397,"10"-3"-4857,16 1-90,8 6-270,-1 13-180,-7 20 90,-10 14-180,1 15 90,5 5-90,12 4 0,10 1 90,3 5 90,-10 3 0,-15 0-90,-22-7-270,-22-9-2788,-19-15 3058,-1-14 0,15-5 0,13-6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00.14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145 0 9602,'15'1'5306,"-8"8"-4676,-19 19-1889,-20 21-5847,-20 23 7106,14-20 0,10-12 0,24-32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02.11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13 60 10501,'-4'-35'7106,"1"11"-6386,-2 27-181,4 37-989,6 54-1708,3-6-721,-2-33 1,1-2 2878,2 4 0,-2-15 0,-4-27 0</inkml:trace>
  <inkml:trace contextRef="#ctx0" brushRef="#br0" timeOffset="400">381 106 8072,'-5'-24'5937,"6"-2"-5038,12-5-359,15 13 90,8 25 629,-11 37-539,-21 11 89,-32 30-269,-13-7-360,7-16 0,22 5-630,40-45-1259,12-2-2159,25-26 3868,-5-9 0,-20 4 0,-9 2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01.66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128 357 9062,'6'-14'6746,"-4"-9"-5397,-13 9-719,-19 10-360,-3 21-90,0 21-270,25 9 0,25 2 0,23-8 90,11-18 0,-7-27 0,-27-34 90,-40-34-90,-3 27 0,-3-1 0,-4-4 0,1 0 0,-11-40 0,40 20 90,35 28 179,20 33-269,0 36-1169,-12 30-3328,-12 20 4497,-9-1 0,-10-29 0,0-18 0</inkml:trace>
  <inkml:trace contextRef="#ctx0" brushRef="#br0" timeOffset="183">705 442 9602,'-5'7'7915,"0"3"-7645,-20 22-3149,-3 21-4856,10 2 7735,2-5 0,15-23 0,3-22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00.71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7 15 9062,'-5'-15'6926,"4"27"-6566,8 14-90,14 27-181,18-2 91,19-17 360,13-23 90,4-18-181,-10-7-269,-12 8-809,-16 15-2789,-11 15-4048,-7 9 7466,-7-10 0,-4-5 0,-5-14 0</inkml:trace>
  <inkml:trace contextRef="#ctx0" brushRef="#br0" timeOffset="217">908 335 15988,'-16'30'450,"-11"16"-3419,-4 9 2969,-3 10 0,16-28 0,8-12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0:59.11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3 78 8972,'-3'-19'7556,"22"-5"-6927,21 1 271,26 11-91,5 27-269,-16 27-180,-31 25-180,-30 16 0,-15-6 269,-2-14 1,13-18-450,22-25-2069,22-13-2518,29-19 4587,26-11 0,-19 4 0,3 2 0</inkml:trace>
  <inkml:trace contextRef="#ctx0" brushRef="#br0" timeOffset="183">1034 311 9152,'20'0'8995,"-7"10"-7916,-18 20-719,-14 10-2159,-35 41-4498,3-7 6297,-1-2 0,25-31 0,19-27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0:58.26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30 80 9961,'-23'-8'6746,"17"-8"-6026,25-2 359,21-6 181,12 11-361,-5 20-359,-13 25-270,-15 21-270,-17 16-2609,-10 7-3058,-4 2 5667,3-13 0,4-25 0,6-19 0</inkml:trace>
  <inkml:trace contextRef="#ctx0" brushRef="#br0" timeOffset="200">538 448 11221,'4'12'7285,"-12"13"-8724,-20 28-4497,-12 14 5936,5-9 0,12-18 0,14-23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0:57.34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76 234 12480,'-14'-35'5577,"-1"3"-5307,5 35-181,20 27 91,15 32-180,9 9 180,-3 13-90,-20-23-540,-13-3-3417,-29-26-3509,-3-34 7376,0-5 0,14-9 0,16 9 0</inkml:trace>
  <inkml:trace contextRef="#ctx0" brushRef="#br0" timeOffset="150">1 185 7803,'23'-49'2428,"6"5"-3417,35-1 989,-10 22 0,-5 3 0,-25 17 0</inkml:trace>
  <inkml:trace contextRef="#ctx0" brushRef="#br0" timeOffset="334">676 260 10861,'-6'60'4587,"-2"-10"-4587,-23 27-5127,-11 1 5127,6-12 0,5-15 0,20-33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0:56.783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15 111 10501,'13'-17'5757,"-12"15"-4408,-10 12-1169,-1-6-90,4-3 719,19-29 91,4 0-450,3-4-360,0 13-90,-3 22 89,-1 24 1,-2 20-90,-4 12 0,-4 3 90,-4-7-90,-7-12 0,-9-17-90,-10-13 180,-7-12 360,2-8 0,6-2-90,11-3-270,17-5-1080,20 3-3327,24-3-4948,21 7 9265,-18 5 0,-11 2 0,-31 4 0</inkml:trace>
  <inkml:trace contextRef="#ctx0" brushRef="#br0" timeOffset="200">691 340 12210,'7'11'5307,"-2"1"-5127,-7 8 270,-6 15-1800,-8 11-3327,-10 16 4677,0-6 0,8-21 0,8-17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15.882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423 179 8252,'-12'-15'5847,"-3"1"-5757,4 11 90,11 8 0,6 7 179,25-1 181,-4-20 630,5-16-811,-20-18 91,-19-4-180,-21 11-270,-14 23 90,-3 24-90,8 18 0,16 5 0,17-2 0,13-13 0,15-20 719,-5-14 361,2-19-451,-16 2-359,-11 3-270,-13 16-180,0 20-179,3 14-1,17 10 270,14-9 0,12-13 540,0-20-1,-9-12-269,-15-5-90,-6 8-450,-16 10-1798,8 16 808,-2 6-1888,11 12 360,8 0-180,4 1 3058,0-6 0,-4-9 0,-2-6 0</inkml:trace>
  <inkml:trace contextRef="#ctx0" brushRef="#br0" timeOffset="917">478 107 10141,'-2'-16'5487,"-4"-2"-4138,-8 4-539,-9 4-450,-21 21-180,-14 34-136,18-1 1,1 8-45,-2 16 0,3 8 90,12-15 0,2 3 0,2 4-274,1 16 1,1 5-1,4 3 229,5-17 0,2 2 0,2 2 0,1 1-45,0 12 0,3 3 0,1 1 0,3-1-418,3 3 1,3 1 0,1-1 0,3-2 439,0-7 1,1-2-1,4 0 1,3 3-23,3-8 0,3 3 0,3 1 0,1-2 0,2-4 0,4 5 0,2-4 0,2-2 0,1 1 0,3 5 0,1 1 0,2-2 0,4-4-108,-1-9 1,4-3-1,0-3 1,0-5 107,8 2 0,-1-6 0,1-3 0,-1-1 0,1-3 0,1-4-73,0-4 0,1-3 1,-4-3 27,6 1 0,-2-3 362,-2-1 1,-2-2-318,31 11 1684,-34-16-1684,-8-3 676,-5 0-586,-23-12 323,7 2-53,-16-13 89,-5-9 1,-9-7 1079,-17-18-449,3 9-361,-10-12-359,12 18-630,27 8-359,40 31 539,23 15 314,-24-2 1,0 4 719,-12 0 1,-5 1-135,19 31-1080,-26 11-4947,-33-5 450,-7-9 4767,-7-1 0,10-39 0,3-9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20.682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337 478 9691,'3'-13'9805,"0"0"-9715,8 4-90,-1 2 0,8 3 90,22 1-90,31 1 45,-18 5 0,2 4-45,42 14 90,-13 32-90,-59 20-45,-23-24 0,-9 2 45,-9 4 0,-7 0 0,-3-4 0,-3-3 0,-29 32 90,12-30-90,15-22 0,12-29 90,31-27-90,24-36 45,-2 19 0,4-3 44,5-4 1,-1-1 180,1-2 0,-3 1 45,-7 6 0,-3 2 584,15-35 181,-16 20-541,-13 21-359,-20 25 180,-13 33 0,-16 33-90,-1 27 89,11 13-269,17 0 0,24-13-270,19-18-2428,15-21-1620,7-23-1348,-1-18 5576,-11-10 0,-19 3 0,-13 0 0</inkml:trace>
  <inkml:trace contextRef="#ctx0" brushRef="#br0" timeOffset="2367">464 171 18057,'64'-11'1799,"9"-1"-1664,-9 5 0,4-1-46,-3 0 1,0 1-90,7-2 0,-1 1 0,-8 0 0,-6 2-539,14-2 359,-28 7-630,-51 6 271,-32 5 269,-55 4 180,12-7 45,21-4 0,-2-2 45,2-2 0,0-2 45,4 1 0,0-1 180,-7 0 0,2-1 764,-33 0-449,23 0 539,20 1-809,43 0 180,44-2-1,54-6-404,-38 6 0,5 0-45,17-2 0,2-1 45,-5 2 0,-2-1-45,-8 2 0,-1-1 0,0 0 0,-3 1 90,15-2-180,-23 2 90,-32 8 0,-44 4 0,-40 7 0,-29 1 0,41-8 0,-2 1-45,-3-2 0,0 1 45,0-2 0,0 0 45,0 1 0,0-1-45,4 1 0,1 0 0,4-1 0,3 1 0,-32 3 90,25-2 0,20-4 0,46-3 0,39-5-45,5 0 0,8 0-45,15-1 0,4 0 0,8 0 0,1 0 45,1 1 0,-2 0-45,-9 2 0,-5 0 0,-11 0 0,-4 1 0,27 0 180,-23 0-90,-30 1-180,-19-1 180,-36 1-90,-32 0 0,-39 5 0,35-1 0,-2 1 0,-7 0 0,-1 1-45,-2-1 0,-1 1 45,-3 0 0,0 1 45,5-1 0,0 1-45,3 0 0,1 0 0,10 0 0,3-1 0,-24 3 270,18-3-180,46-6 0,39-3-90,67-8 0,-21 5 0,5-1 0,6 1 0,1 0-45,-4 0 0,-3 2-135,-16 0 0,-5 2-1259,19-1-3958,-21 1-450,-26 4 5847,-7 3 0,-15-1 0,-5 2 0</inkml:trace>
  <inkml:trace contextRef="#ctx0" brushRef="#br0" timeOffset="3401">1731 857 9512,'14'-4'7195,"-4"4"-7105,-8-2 90,-5 1 90,-9-13 270,6-5-90,6-7-91,5 7-179,5 9-180,-5 14 90,-2 7 0,-11 3 0,-3-4 0,-5-6 90,4-9 719,14-19-359,14 8-360,15-3 90,18 32-90,-6 18-180,-1 14-360,-28 24-2069,-40 0-359,-25 7-1530,3-39 1,-3-6 4317,-9 2 0,2-9 0,48-23 0</inkml:trace>
  <inkml:trace contextRef="#ctx0" brushRef="#br0" timeOffset="4317">2229 775 12300,'-6'14'2968,"5"-2"-2158,8 10-270,22-8 179,3-7 360,27-27 271,-1-39-811,-6-10-359,-24 18 0,-5-3 270,4-42 44,-16 43 1,-3 0 1035,0-42-451,-9 22-539,-4 16-450,-5 36-1,-1 28 1,2 37-90,7 36 0,6-30 0,2 2 0,3 4 0,2 0 45,2-3 0,3-3-45,19 30 0,8-34 0,8-43 0,7-51 0,-29 6 0,-2-7 90,0-9 0,-3-2 270,-4 0 0,-2 1 179,-3 8 1,-2 3 180,4-19-360,-7 16-360,-10 37 0,-8 29 0,-9 48 0,7-14 0,1 4 0,2 9 0,3 1 0,3 3 0,5 0 0,5-5 0,6-2-1170,4-8 1,5-4-6387,34 20 7556,11-34 0,-31-19 0,-5-17 0</inkml:trace>
  <inkml:trace contextRef="#ctx0" brushRef="#br0" timeOffset="5592">402 1615 8432,'15'-10'270,"4"1"-180,35 2 0,26-1 90,-24 3 0,6-2 494,34-4 1,6-2-1,-6-1 1,2-1-405,-24 3 0,1 0 0,2-1 179,6-1 1,1 0 0,-2 1-280,-10 2 0,-3 1 0,2 0 9,5 0 1,1 0 0,1 0 0,5 1 0,2 0 0,-5 1 0,15-2 0,-3 1-135,5-1 0,-3 1 45,-14 3 0,-6 1 45,-22 2 0,-2 1 224,48 1 361,-29 1 90,-23 1 29,-11 0-389,-12 0 449,-7-1-899,-1 1 0,-6-1 0,-3 0 0</inkml:trace>
  <inkml:trace contextRef="#ctx0" brushRef="#br0" timeOffset="7677">149 170 8972,'-16'-1'6296,"13"-2"-5666,29 1-90,29 1-450,-7 0 0,6 1 44,11 1 1,2-2 45,10 0 0,1-2-45,1 0 0,-1-1-45,-7-1 0,-2 1-45,-12 0 0,-3 0 45,26 0-90,-17 2 719,-20 2-179,-10-1 90,-8 1-91,-10 0-449,0 0-90,-3-2 0,-4 2 0,-4-2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29.44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10 337 10771,'-10'-5'6656,"54"6"-6836,29-3-990,-9 2 1,5-1-675,-4-1 1,-2-1 1843,-10 0 0,-5-1 0,5 0 0,-30 3 0</inkml:trace>
  <inkml:trace contextRef="#ctx0" brushRef="#br0" timeOffset="217">278 468 9961,'-26'6'6657,"23"-3"-6478,-2 0-179,56-5-1529,14-5-1529,32-3 3058,0 1 0,-41 4 0,-20 2 0</inkml:trace>
  <inkml:trace contextRef="#ctx0" brushRef="#br0" timeOffset="1050">384 19 9332,'-12'-6'7465,"1"-1"-5486,0 2-1169,17 13-270,31 20-406,3-2 1,7 3-135,13 9 0,4 0 45,2 0 0,0-1-45,-7-3 0,-4-3 0,25 16 90,-30-16 810,-15-9 719,-18-9-990,-6 1 271,-18 6-270,-14 10-271,-28 20-359,-20 15-1034,25-25 0,-2 2-1665,-2 5 1,1 2-2218,1 3 1,5-2 4629,-12 17 0,22-18 1,26-40-1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35.66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 42 7263,'27'-6'1259,"6"-3"-1259,26-3 0,-28 4 0,2 1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35.81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0 30 7713,'43'-13'-315,"-14"6"0,-2-1 0,-19 7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36.61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2 173 7892,'-1'-23'6297,"1"-5"-5038,12-8-539,26-2 89,35 5-179,24 19-226,-46 17 1,-2 8 45,25 32-270,-33 20-90,-29 8 0,-16-14-180,-5-8 90,10-34-360,17-21 180,22-36 180,23-28 180,-29 33 0,0 0 450,27-31 89,-20 24-539,-30 39-270,-12 26-2068,-7 31-2160,19 9 4318,27-1 0,-13-24 0,7-13 0</inkml:trace>
  <inkml:trace contextRef="#ctx0" brushRef="#br0" timeOffset="383">1146 251 7623,'1'-15'9830,"0"-1"-8597,-1 24-1053,3 5 0,3 21-180,0-10 0,15-15 0,5-23 0,19-15 270,3-8 450,0 9-451,-5 14-179,-5 17-1349,-7 17-3508,-1 17 4767,-4 5 0,-11-14 0,-4-9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35.36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27 109 10051,'-16'-16'990,"6"2"-990,19-9 0,-7 15 0,17-5 0</inkml:trace>
  <inkml:trace contextRef="#ctx0" brushRef="#br0" timeOffset="150">628 33 8612,'13'-5'1619,"-1"-1"-1619,22-4 0,-22 5 0,15-2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34.54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40 319 8972,'-27'-37'6656,"15"-15"-5397,32 9-539,28 1-450,20 30-90,2 29-90,-14 26 0,-24 18-90,-29 7 90,-19-5-90,-6-14-90,3-18 90,21-34 0,17-28 449,19-31 271,9-13 89,-3 6-359,-11 19-270,-12 19-90,-10 35-450,-7 26-1439,3 31 270,9 9 810,17-12 539,17-25 989,5-32 720,-10-17-449,-9-10-990,-18 8-2429,6 21-2518,0 19 4857,12 20 0,-6-5 0,0-4 0</inkml:trace>
  <inkml:trace contextRef="#ctx0" brushRef="#br0" timeOffset="584">1500 282 7353,'-43'-37'5307,"19"16"-2519,-35-31-2428,35 18 270,5-16-1,35 5-89,29 12-270,17 24-90,1 27-90,-12 27 0,-19 18-270,-16 5-540,-10-5 270,-4-21 91,7-17 179,11-43 719,7-14 271,6-22-360,-10 9 269,-3 9-539,-9 27-90,1 24 90,-2 27-1169,3 21-1170,5-4-6836,21 1 8995,-15-31 0,6-7 0,-23-19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45.99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26 228 9332,'-12'20'6656,"2"15"-5397,6 28-539,10 16-181,8 8 1,6-8 719,-3-21-809,-4-24 0,-7-49-180,-8-36-90,-1-1 0,-2-7 179,-1-6 1,0-2 224,0-2 1,2 0-315,1 10 0,2 4 0,0-22-270,3 32 180,15 54 0,11 43-135,0-5 0,3 4-45,6 3 0,3-2 0,5-6 0,4-7 45,1-12 0,3-11-45,0-14 0,1-11 0,0-13 0,-1-9 269,-3-5 1,-3-5 180,-5 0 0,-4 0 0,18-26 89,-25 29-269,-9 22 90,-9 47-450,-1 28-1080,-7-8 1,-1 5-1664,-2 5 0,2 1 134,0 2 1,3-2 629,2-9 0,5-4 810,23 13 2338,4-46 1710,-6-37-811,-14-19-1078,-11 6-270,-8 4-451,0 16-179,5 8 90,17 10 0,12 1 900,18-7 179,-4-20-269,-13-20-361,-28-9-89,-30 0-180,-25 17-180,-12 27-90,1 36-180,21 34-720,36 29 405,21-43 1,11-3 314,14-3 0,9-8 180,11-9 0,5-11 90,2-15 0,-1-13 225,-7-11 0,-7-10 44,-11-8 1,-11-6-45,-14-3 0,-13-1 45,-32-38-180,-35 31-180,-17 36 0,12 44-90,33 33-720,41 25 181,32 2 359,12-20 90,19-32 90,-14-37 270,3-16 359,-7-16-449,-22 11-90,-4 4 90,8 29-180,-7 12 0,16 13-269,-5 3 359,-4-12-90,2-13 90,7-28 0,6-16 359,5-10 361,12-1-90,-17 19-181,-9 11 91,-10 34-270,-16 13-270,4 14 90,-7-5-90,-6-13 0,6-10 0,34-29 0,14-10 0,25-10 180,4 11-180,-30 20-1529,4 15-4138,-14 20-3058,4 3 7877,-11-3 0,-15-14 0,-20-14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2:31.482"/>
    </inkml:context>
    <inkml:brush xml:id="br0">
      <inkml:brushProperty name="width" value="0.08571" units="cm"/>
      <inkml:brushProperty name="height" value="0.08571" units="cm"/>
      <inkml:brushProperty name="color" value="#FF0066"/>
    </inkml:brush>
  </inkml:definitions>
  <inkml:trace contextRef="#ctx0" brushRef="#br0">127 1012 9871,'-15'3'4228,"13"16"-3868,26 13-180,26 14-90,-4-19 0,7-3 89,17-4 1,4-6 0,0-4 0,2-7 180,20-8 0,1-13 44,-7-19 1,-4-10-270,-10 1 0,-5-9-105,-21 5 0,-3-7 0,-8-2 60,-1-26 0,-12-2 0,-6 9 0,-11-2 0,-16-9 0,-16 4 0,-16 22 0,-12 8-45,-17-6 0,-9 9 0,-10 9 0,-5 12 44,-6 11 1,-1 13-45,1 12 0,2 13-45,4 12 0,7 13 0,7 10 0,9 10 45,13 4 0,11 8-45,13 13 0,12 4 0,11-18 0,10 0 0,12 15 0,13-2 0,13-16 0,8-6 0,-3-8 0,6-6 45,14 0 0,4-11-45,-11-20 0,2-8 45,14-5 0,2-9 0,1-11 0,1-10-45,12-19 0,-4-9 45,-14 3 0,-7-6 225,3-16 0,-11-6 0,-25 13 0,-9-2-136,-5-7 1,-12-2-45,-13 2 0,-12 2 0,-11 2 0,-10 4 0,-10 5 0,-7 7-45,-6 9 0,-6 9-90,-4 13 0,-2 13 0,-6 14 0,0 15-855,-5 19 1,5 13-510,30-11 0,3 4 0,4 5 1316,3 6 0,5 4 0,5-6 1,2-3-1,7-4 0,1 32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5:39.548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26 1563 9332,'-19'-2'3957,"13"-9"-3147,29-20-90,41-26-361,-1 11 1,9-2-180,-17 13 0,3-1 0,7-1-467,10-3 1,9-2 0,2 0 0,0 1 353,-2 3 1,-1 1-1,1 0 1,3 1-68,-11 4 0,2-1 0,1 1 0,1 0 0,1 1 0,7-3 0,2 1 0,0 0 0,-1 1 0,-3 1 0,5-2 0,-4 2 0,0 1 0,-1-1 45,1 0 0,1 0 0,-2 0 0,-4 2 316,8-4 0,-5 2 1,-8 3 177,-7 2 1,-8 2-225,-8 3 0,-6 1 405,5-6-451,-29 12-89,-3-4 1117,-22 3-1207,-14 1 23,-17-1-113,-26 2 0,-12 4 0,-10 1 135,29 4 0,-1 0 135,-26-1 359,-19-3 181,32 0-540,7 0-90,20 3-180,40-1 0,40 4 45,13 0 0,7 1-90,-2 0 0,1 0 45,18 0 0,0-1 0,-18 1 0,-4 0 90,34 0 180,-20 2 539,-40 11-269,-17 20-270,-32 34-450,-13-6 0,-9 4-1305,3-4 1,-4 3-1619,-14 19 0,0-3 3103,21-27 0,4-6 0,-14 24 0,29-42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1:32.74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971 644 9152,'14'-4'9264,"15"2"-8904,50 1 0,21 3-360,-40-1 0,1 0-900,-2-1 1,-1-1-630,-6 1 0,-3 0-1979,22-1 3508,-26 1 0,-25 1 0,-14-1 0</inkml:trace>
  <inkml:trace contextRef="#ctx0" brushRef="#br0" timeOffset="600">1134 629 9152,'-33'-10'6116,"9"2"-2698,3 2-2698,19 7-90,13 6-1,23 13-269,47 32-315,-36-24 0,1 1 0,5 3 0,1 0 0,-5-2 0,-2-3 854,10 8-359,-13-7 180,-35 1-181,-27-4-359,-21 13 45,2-10 0,-5 1 0,0 0 0,-1 2-46,-7 4 1,-2 1 90,1-1 0,2-1-90,-16 10 360,9-2-360,55-17 0,24-11-1170,57-3-2338,-15-13 0,5-3 0,-8 1 0,1-2 3328,5-1 0,-7 0 0,-9-1 0,-25 3 0</inkml:trace>
  <inkml:trace contextRef="#ctx0" brushRef="#br0" timeOffset="6067">2118 1056 10051,'-22'-33'5757,"12"-22"-4498,33 2-809,11-3-90,30 16-90,4 40 179,10 29-89,-10 32-180,-23 23-90,-29 12-90,-26 0 90,-17-14-90,-6-23 0,-2-29 0,12-44 0,18-29 0,28-42 360,-2 37 0,2 1-1,2 0 1,0 3 90,16-21 269,-18 28-359,-17 25 90,-13 33-270,-6 12-90,-4 35-180,13 7-1709,17 13-90,21-11 630,24-23 719,13-36 630,2-30 899,-10-22 451,-19-8-721,-20 9 361,-13 6-361,-18 19-539,-4 19-90,-2 19-2429,13 17-2158,20 1-4228,13-14 8725,3-16 0,-15-12 0,-10-6 0</inkml:trace>
  <inkml:trace contextRef="#ctx0" brushRef="#br0" timeOffset="6384">2955 852 8882,'-39'-14'3688,"2"7"-3059,30 11 1080,12 2 270,22-10-360,3-12-809,-12-13-360,-25-4-1350,-24 9-3507,-14 20 4407,-4 28 0,21-6 0,9 6 0</inkml:trace>
  <inkml:trace contextRef="#ctx0" brushRef="#br0" timeOffset="6933">1257 1608 8702,'-33'-5'8095,"6"0"-7465,32 0 449,64 3-809,-10 0 0,12 0 0,6-1-442,-1 1 0,5-2 1,4 1-1,3-1 262,-4-1 0,4 1 0,1-2 0,1 1 0,-2-1-1,-2 0 1,0-1 0,0 1 0,-2-1 0,-3 0 90,7-1 0,-2 0 0,-4-1 0,-5 1 243,1-1 0,-5 1 1,-8 0-155,-5-1 1,-8 1-10101,12-3 9230,-43 13 1,-6-4 0,-17 8-1</inkml:trace>
  <inkml:trace contextRef="#ctx0" brushRef="#br0" timeOffset="9517">1878 2054 8882,'3'-13'8365,"10"18"-7285,0 16-451,8 25-359,-3 9-90,-3-6 450,-2-7 89,-5-18-629,-9-14-90,-1-12 0,-10-22 0,7-11 0,7-18 180,14-10 180,15-8-90,7 3-90,1 7-1,-9 18-179,-5 12 90,-12 14-90,-2 2 90,-3 6 0,-1 0-180,0 0 180,2 13-90,3 9 0,6 21 90,6 12 0,5 9 0,5 5-90,0 0 0,-2-4 90,-5-8-90,-7-12 360,-6-11 180,-5-7 629,-3-7-1079,1-9 0,-2-12 0,2-28 0,-5-30-90,-2-30 45,0 46 0,-1 0-135,-2-41-3148,1 15-1800,0 26-4586,2 14 9624,1 13 0,0 17 0,1 2 0</inkml:trace>
  <inkml:trace contextRef="#ctx0" brushRef="#br0" timeOffset="11117">4068 1301 12570,'3'-5'6116,"1"1"-5936,16 1 270,21-2-450,30-5-1889,27-5 135,-44 8 0,1-1-4992,39-2 6746,-34 5 0,-26 5 0,-23 1 0</inkml:trace>
  <inkml:trace contextRef="#ctx0" brushRef="#br0" timeOffset="11300">4439 1421 8882,'-40'10'8185,"27"-2"-9894,46-8-2069,65-8 3778,-32 1 0,2-2 0,-8 2 0,-3 0 0,-6-1 0,-1 0 0</inkml:trace>
  <inkml:trace contextRef="#ctx0" brushRef="#br0" timeOffset="151967">759 341 7982,'-39'-24'5397,"-30"-3"-4902,17 12 0,-5 1-450,-4 0 0,-1 2 90,2 2 0,2 1 134,-35-7 361,25 1-270,19 2-180,15 2 270,12 4 269,7 3-179,4 17 359,3 35-584,8 1 0,2 9-90,2 23 0,1 6-106,0-17 1,1 2 0,-1 2-132,2 4 1,-1 1 0,0-1 41,1 0 0,0 0 0,-1-2 60,1-5 0,-1-1 0,0-2 155,3 28 0,1-3-65,-2-8 0,-1-1-46,-1-7 1,-1 0-45,0-4 0,-1-2-90,-1-11 0,1-3 90,5 39 123,8-26-2372,14-21-2737,24-19 4896,-4-25 0,3-6 0,26-3 0,-28-6 0,0 1 0</inkml:trace>
  <inkml:trace contextRef="#ctx0" brushRef="#br0" timeOffset="153100">3414 146 8792,'-27'-20'4587,"8"4"-4227,33-2-180,21 5 180,47-8 180,-1 4 269,2-1-449,-23 3-90,-22 7 359,-9 24 1,-13 32-315,-5 6 0,-2 10-136,1 30 1,-2 10-278,-1-16 1,-1 5 0,1 2 127,-1 3 0,1 1 0,-1 1-30,-2-24 0,1 0 0,0-1 0,-2-2 210,1 10 0,-1-4 0,-1-2 284,0 23 1,-3-6-135,-3-18 0,-5-6-226,-3-16 1,-5-5-1034,-28 27-2069,-16-28-1890,-9-22 4858,6-20 0,24-6 0,20-5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3:40.96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86 1548 8882,'10'-4'7646,"13"28"-6657,31 47-584,-13-10 0,3 7-181,8 14 1,3 4-328,-16-23 1,0 1 0,0 0-78,-3-4 0,1 0 0,-3-1-761,12 19 1,-4-5-544,-7-12 0,-4-6 1484,9 16 0,-21-37 0,-11-20 0</inkml:trace>
  <inkml:trace contextRef="#ctx0" brushRef="#br0" timeOffset="283">786 1663 7892,'-23'-29'6117,"-12"27"-4408,-34 45-1304,20 18 0,-1 16-226,9-12 1,-1 6 0,1 1-248,-1 4 1,0 2-1,1 0-172,1-2 0,0 0 1,2-4-1066,-6 14 1,3-6 1323,8-15 0,4-7 0,-2 6 0,16-35 0</inkml:trace>
  <inkml:trace contextRef="#ctx0" brushRef="#br0" timeOffset="1217">684 1529 8612,'-30'-75'7016,"8"-2"-6656,20 8 0,10-6-46,17-1 1,8-1-225,8-11 0,10 1 0,0 27 0,8 3 0,2 5-371,22-4 1,3 7 280,1 4 0,2 7 0,-1 14 0,-6 8-45,-29 7 0,-4 3 91,5 2 1,-6 1-137,-9 1 184,-15-5-94,-33-7 89,-25-15 181,-6 1 555,-7-4-555,13 9-270,20 7 0,46 10 89,45 22 1,13 9 90,-38-6 0,-5 5 270,6 16-270,-23 7-270,-34 3-3148,-30 11-630,-3-9 3868,1-3 0,23-28 0,8-11 0</inkml:trace>
  <inkml:trace contextRef="#ctx0" brushRef="#br0" timeOffset="1500">2461 210 9332,'4'-35'8275,"1"36"-7825,1 38-810,5 49-810,-4-36 1,1 1-1395,2 3 1,0-2 2563,6 25 0,-5-30 0,-6-33 0</inkml:trace>
  <inkml:trace contextRef="#ctx0" brushRef="#br0" timeOffset="1900">2883 396 8522,'-7'-37'7196,"-3"2"-6566,-4 18-360,-2 34-91,13 27-89,20 21 180,34-14 900,30-26-1,13-39-360,-15-36-359,-39-25-360,-55-13-180,-42 19-1439,-28 25-1889,2 46-450,30 34 3868,43 21 0,10-19 0,23-9 0</inkml:trace>
  <inkml:trace contextRef="#ctx0" brushRef="#br0" timeOffset="2666">3264 386 7263,'53'-31'6566,"-24"10"-3867,23-23-1890,-36 13-359,-8 6-270,-10 22 0,-4 32-90,4 30-180,23 17 180,29-7 179,27-22 361,14-38-360,-6-42-180,-22-36 0,-34-25-90,-29 38 0,-9 1-45,-11 2 0,-7 5 0,-5 6 0,-5 7 45,-42 0-90,10 53-450,25 34-89,38 26 269,46-2 270,27-20 90,-12-36 0,5-10 90,-10-11 0,0-6 45,9-7 0,-4-5 404,24-27 1,-25 2-270,-22 12-180,-21 24 0,-9 29 0,2 30-90,21 29 0,0-37 0,7-3 90,8-4 0,6-8 359,5-10 1,1-11 360,40-36-271,-32-44-539,-50 20 0,-16-3-900,-20 0 1,-15 6-1395,-18 6 1,-10 12 2293,-18 18 0,1 11 0,23 5 0,4 5 0,4 12 0,1-1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5:51.098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269 690 11760,'-9'-14'4947,"-13"0"-4497,-24 17 180,-17 20-360,-6 25-180,22 18-90,35 1 90,42-16 0,32-27 89,17-37-89,-9-44 270,-29-34-270,-37 38 0,-10-1-45,-11 4 0,-8 5 45,-42-17 0,-5 48-90,18 41-90,37 27 90,47 8 90,39-16-90,20-24 360,0-23-90,-20-9-180,-25-1-1,-12 12-89,-14 11 90,4 10-90,3 2 0,16-10 90,10-21 90,17-22 360,-1-16-180,-7 0-270,-10 16 0,-9 27-1889,0 28-3238,21 26 5037,18 6 0,-8-11 0,4-12 0</inkml:trace>
  <inkml:trace contextRef="#ctx0" brushRef="#br0" timeOffset="884">2246 840 7892,'-9'-42'7916,"-26"-9"-6387,-33-17-1304,24 40 0,-3 7-45,-4 9 0,1 8-90,-27 21-90,29 22 90,42 4-90,36-11 89,23-23 361,6-23 450,-6-16-361,-15 0-89,-5 6-360,-7 27 0,6 20-90,17 26-360,17 4 270,13-13 0,7-34 90,-9-54 0,-41 0 0,-7-11 0,-4-12 0,-8-6 90,-5-6 0,-8 0 0,-5 11 0,-6 5 0,-13-27 180,-15 61-90,9 66-90,6 38-45,25-1 0,9 4-135,6-14 0,5-3-45,3 6 0,6-9 45,48 2 0,-10-66 0,5-38 90,-35-19 0,-8-11 45,-11 10 0,-6-1 0,2-11 0,-12 2 45,-19 20 0,-12 12 360,-34 15-1,-15 41-179,41 34 0,11 16-495,12 6 0,12 5-764,4 8 0,14 0-1800,26 4 1,10-9-900,-14-28 0,1-7 3688,4-1 0,-3-8 0,-8-14 0,-27-14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5:43.732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18 694 10591,'-3'3'6296,"0"34"-5486,-4 52-585,6-29 0,-1 4-91,1 4 1,0 0 90,2-9 0,1-3 945,2 26-991,3-50 1,0-66-90,-3-16 0,0-9 0,1-20 0,-2-5-45,0-12 0,-1 0 135,-1 8 0,-1 5-45,0 12 0,0 6-45,0-25-90,1 38 270,20 46 89,17 45-314,-3 3 0,5 7 0,5 7 0,2 2 0,2 1 0,3-5 0,-6-11 0,1-9 45,37-8 90,-12-54-135,-38-8 0,-5-9 180,-2-12 0,-4-5 224,-3-1 1,-5 1 0,-4 8 0,-2 3 629,2-28-899,-6 65 0,2 61-315,-3 5 0,-1 9-1080,1 8 1,2 5-2474,2 17 1,4-1 3687,1-24 0,2-6 0,-5-7 0,1-6 0,9-2 0</inkml:trace>
  <inkml:trace contextRef="#ctx0" brushRef="#br0" timeOffset="816">1170 906 10051,'-6'-24'6387,"-4"14"-5848,1 6-359,-1 27 0,13 8-90,20 8-90,8-18 180,26-25 1169,-2-44-539,-12-6-91,-18-25-179,-50 26-270,-13 20-180,-34 37-90,1 61-360,17 10-585,32-21 1,14 1-1485,53 23 1800,27-27 404,-4-38 0,7-14 135,9-17 0,-2-11 180,-8 2 0,-3-5 405,4-10 0,-11-6 314,-6-27-269,-35-1-270,-42 19-270,-34 34 90,-14 44-540,10 35-899,28 24-91,40 3 541,32-22 719,24-28 990,2-37 629,-7-30 180,-18-17 90,-19-4-1169,-14 13-181,-6 10-629,1 49-2068,2 12-1710,5 37-2608,-1-10 6656,1-13 0,-5-22 0,-3-13 0</inkml:trace>
  <inkml:trace contextRef="#ctx0" brushRef="#br0" timeOffset="1216">2193 915 9242,'4'-51'8905,"-2"14"-7646,-1 8-180,13 24-359,3 22-360,10 21-180,-4 15-90,-5-5-90,-6-16-90,2-28 0,5-27 90,11-22 90,9-9 0,8 7 179,5 20-89,5 27-180,2 29-2968,-12 25-6863,-17 27 9253,-18-22 0,-11-9 0,-1-39 0</inkml:trace>
  <inkml:trace contextRef="#ctx0" brushRef="#br0" timeOffset="1583">4190 720 10051,'-7'-12'6926,"9"11"-6476,2 8-450,11 31-1889,-1 11-6476,0 18 8365,-6-15 0,-4-18 0,-4-22 0</inkml:trace>
  <inkml:trace contextRef="#ctx0" brushRef="#br0" timeOffset="1933">4035 490 9062,'-27'-43'4857,"3"5"-4407,36 18 719,18 2 270,36-3 0,-3-17-719,-21-17-360,-42-1-180,-44 17-1170,-30 30-2338,-4 37-1979,33 29 5307,36 0 0,18-17 0,7-21 0</inkml:trace>
  <inkml:trace contextRef="#ctx0" brushRef="#br0" timeOffset="2316">4689 653 9332,'43'19'6476,"-15"-6"-5577,6 6-539,-21-11-90,3 6-180,-29 19 0,-11-2-180,-9 10-180,-7-17 180,26-39 630,7-5 1439,20-31-1260,-1 21-449,-7 15 0,-44 56-2788,-24 34 494,24-26 0,0 3 2024,2 0 0,5-3 0,0 2 0,15-15 0</inkml:trace>
  <inkml:trace contextRef="#ctx0" brushRef="#br0" timeOffset="3716">6687 759 8432,'20'-41'6387,"-19"3"-5038,-28-22 0,-43 16-899,-6 18-180,-20 42-181,59 18 1,7 10 0,-13 40-90,33-24 0,15-3-90,58 12 90,17-33 45,-18-41 0,2-20 315,-7-29 0,-7-14-180,-4 0 0,-8-7 29,-15 12 1,-4-5 0,-6 3 150,-8-18 0,-6 4-225,-1 15 0,-4 3 135,-17-32-270,4 83 0,7 37 0,9 19 0,5 12-90,6 8 0,7 3-180,8 10 0,9-1 0,6-11 0,8-8 180,2-16 1,5-14 89,47-22 269,-28-50 361,-33-30-180,-42-3-270,-34 22-90,-22 44-90,0 51-720,24 42-180,35-29 1,14-1 179,16-4 1,10-8 404,11-9 0,6-14 495,8-19 0,-1-17 90,-7-20 0,-7-13 89,-7-14 1,-9-8 135,-11-5 0,-10 0-46,-8 5 1,-7 5 630,-15-30-541,-8 57 361,4 78-720,13 22 0,7 15-91,1-4 1,3 6 0,0 2-128,2 6 0,2 2 0,1-2 38,0-1 0,0-2 0,1-4 45,2 10 0,-1-10-45,2 11-90,-26-82-450,-7-99 405,10 13 0,5-10 75,6 19 0,4-3 0,5 0 30,3 5 0,4 1 0,4 6-15,15-14 0,7 13 45,0 25 0,4 14-90,41 30 205,-23 51-25,-36 34-270,-34-37 0,-11-1-1214,-12-2 0,-9-5-1080,-3-7 1,-3-8 2473,-29 3 0,30-23 0,28-15 0</inkml:trace>
  <inkml:trace contextRef="#ctx0" brushRef="#br0" timeOffset="4466">8025 609 9961,'14'-7'6117,"0"2"-5847,8 10-180,14 3 0,14-2 0,14-19 359,-6-27 91,-19-23 90,-31-7-271,-38 15-179,-34 42-360,-17 55-495,43-8 1,6 7-585,6 17 0,12 4-900,28 31 1439,10-47 1,10-8 449,50-7 1349,8-45 720,-18-34 270,-23-19-90,-23 6-720,-14 5-179,-9 24-991,2 14 91,-1 35-90,3 19-90,-3 14 90,-1 2-270,-1-21 0,13-30 91,6-28 89,16-26-90,2-1 90,-8 15-90,-6 20-720,-10 42-2248,-8 16-360,3 23 3418,9-5 0,-9-27 0,7-9 0</inkml:trace>
  <inkml:trace contextRef="#ctx0" brushRef="#br0" timeOffset="5050">9382 550 8342,'-21'-34'5397,"-5"9"-3328,-39 0-1170,3 23-359,-34 27-405,53 7 0,5 7-45,-23 35-360,39-24 0,15-1-179,39 11 269,13-24 539,35-49-224,-44-25 0,-4-12-45,-2-6 0,-4-6 270,-2-22 0,-6-4 449,-10 10 1,-4 3-540,-1 13 0,-3 4 539,-10-27-89,-15 80-540,7 31-360,-2 62-1844,23-24 0,6 2-180,-1-5 0,3 1 2204,7 5 0,0-6 0,-1-7 0,-3-20 0</inkml:trace>
  <inkml:trace contextRef="#ctx0" brushRef="#br0" timeOffset="5917">9847 655 9691,'-27'-65'7286,"-11"10"-7106,-19 20 90,-10 28-270,5 30-360,19 15-179,31 15 179,25-21 270,30-11 270,-1-32 719,7-17-89,-17-2-361,-6-2-449,-10 22 0,-5 7 0,-3 16-269,1 22-361,2 0 450,7 5 180,4-25 0,1-29-90,3-30 180,0-15 180,-3 4 539,-1 10-539,-3 34-180,3 22-90,12 28 0,12 8 90,10-7-90,5-23 90,-6-39 270,-5-48-45,-30 17 0,-4-5 224,-5-7 1,-4-1-46,-4 2 1,-5 3 135,-11-33-360,-10 41 90,0 50-180,5 50-1440,13 45-269,8-36 0,2 1-450,3 0 0,0-2-3238,8 28 5217,-6-30 0,-4-32 0,-4-13 0</inkml:trace>
  <inkml:trace contextRef="#ctx0" brushRef="#br0" timeOffset="6083">10246 378 9152,'-34'-29'7376,"10"6"-7107,27 8-1798,28 6-2159,32-2 3688,13-2 0,-27 6 0,-14-1 0</inkml:trace>
  <inkml:trace contextRef="#ctx0" brushRef="#br0" timeOffset="8950">2945 2197 12660,'-3'14'4497,"5"2"-3777,6 8 269,30 36-674,-9-21 0,4 2-90,9 8 0,3-2 134,1-4 1,3-11 90,44-13 0,-13-63-360,-44 0 0,-6-8-45,-6-6 0,-6-3-585,-7 3 0,-4 1-6746,-5-21 6117,-4 44 1169,8 39 0,-3 8 0,5 6 0</inkml:trace>
  <inkml:trace contextRef="#ctx0" brushRef="#br0" timeOffset="10600">3801 2292 12480,'-4'-33'5397,"-5"5"-5127,-16 2 89,-13 28-179,1 21-180,3 29-90,26 10-90,27-11 91,19-25 178,7-39 181,-11-23 450,-14-31-90,-16 16-361,-6 2-179,-8 40-90,8 30 90,3 15-90,28 24-90,11-24 180,10-12-90,6-57 0,-18-50 0,-19 27 0,-5-7 45,-4-29 0,-7-2 180,-2 21 0,-2 2-180,-2-4 0,-1 7 135,-10-4-90,-2 74 0,11 39-90,9 27 0,6 10 45,5-9 0,3-1-45,3 14 0,6-4-45,1-19 0,5-10-45,22-3 0,2-27 90,-6-61 180,-23-8 449,-3-29 271,-16 19-900,-3 31 180,4 49-180,4 28 90,17 38 0,18-23-90,3-20 90,14-35 179,-11-62 181,-12-5 360,-4-28-450,-22 29-181,-6 17-179,-2 47 0,0 14-90,15 35-449,18-15 179,20-10 270,7-28 90,-8-25 0,-21-16 180,-22-11-90,-22 13-90,-16 20 0,-4 37 0,2 35-360,18 20-270,31-2 181,25-24 359,17-31 0,-2-36 90,-17-34 0,-15-18-90,-14-2 0,-6 13 90,-3 24 0,20 24 0,6 27-180,27 26 0,-9 12 90,-12-1 90,-33 0 0,-38-24 0,-33-7-90,-17-21-180,2-10 180,16-1 90,23 4 360,16 23 180,15 23-270,6 29-1260,12 15-2967,10-1-2969,18-17 6926,-2-28 0,-9-20 0,-13-16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5:55.715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0 286 11311,'6'-9'6746,"7"1"-6207,46-1-179,35-1-315,-34 2 0,5 0-180,14-3 0,-2-2 135,20-5-90,-3-6 180,-70-10 180,-31 4 720,-41-17-181,-15 16-629,11 10-180,28 17 0,73 32 90,14 12-90,-10-8 0,0 3 0,-13-1 0,-5 1 0,13 29-1979,-39 8-5577,-39 1 7556,0-12 0,2-13 0,18-28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5:56.432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33 335 9781,'-17'-1'9265,"2"-1"-8635,35-6-180,23 0-361,54-8-89,-39 8 0,0-1-90,1 0 1,-1 0 89,-6 0 0,-4-1 90,20-9 179,-27-5 721,-38-12 989,-26-4-630,-30-8-540,-7 12-449,9 9-270,18 11-90,42 17-90,27 11 0,33 16 90,1 6-90,-12 7 90,-25-4-1619,-25 12-3148,-17-8-2609,-7 6 7376,1-13 0,8-16 0,4-8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5:58.332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274 1452 9332,'21'45'3867,"38"4"-3777,1-20 0,10-5 90,-9-10 0,5-3 0,5-2-530,23-4 0,7-4 1,2-4 461,-20-2 1,0-3-1,2-2 1,0-1-1,9-4 0,2-2 1,-1-2-1,-2-2 0,-6-2 1,-2-3-1,-2-1 1,-4-3 7,10-7 0,-4-3 0,-8-7 16,-14-1 0,-6-5 0,-14-5-91,-6-33 0,-24-7-45,-20 23 0,-13-3 0,-11 2 0,-14-4 0,-13 3 0,-12 4-18,11 23 0,-7 2 0,-6 1 0,-1 4 0,1 3-167,-11-2 1,0 4-1,-2 3 1,-4 4 166,4 4 0,-5 2 0,-2 3 0,1 3 0,4 6 18,-3 4 0,3 6 0,1 4 0,0 5-152,0 3 1,0 4-1,3 7 1,4 6 173,8 8 1,3 6-1,5 5 1,6 5-23,-5 20 0,10 7 0,13 6 0,13 12 0,13 6 0,16-3 0,17-3 0,14-2 0,12-5-45,0-20 0,9-3 0,5-4 0,6-6-270,7-4 0,6-6 0,4-5 1,0-5-339,-2-6 1,1-5 0,2-4 0,-1-4-653,1-6 1,3-4 0,-4-4 0,-7-1 1304,22-2 0,-9-5 0,-5-6 0,-13-1 0,-18 1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6:06.465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222 642 11400,'-2'-22'4858,"-21"10"-4139,-22 19-449,-20 31-90,9 22-180,25 12-90,41-12 0,39-26 0,24-28 90,0-27-899,-19-10-5488,-24-6 6387,-22 15 0,-7 6 0,-3 12 0</inkml:trace>
  <inkml:trace contextRef="#ctx0" brushRef="#br0" timeOffset="2083">191 590 14189,'7'18'1439,"12"11"-1079,17 14-90,22 15-225,-14-27 0,6-5-45,43 0 0,-29-30 0,1-14 90,-10-13 0,-5-10 44,0-13 1,-8-7 180,-11-8 0,-12-4 0,-11-1 0,-10 0-91,-6 6 1,-7 4 45,-1 10 0,-4 4 90,-16-16 90,6 47 89,13 64-359,16 13 0,5 13-120,3-6 0,2 6 0,2 2-108,2 4 0,3 1 0,1 1 48,1 2 0,2 1 0,1-3 0,-3-11 0,2-2 0,-2-3 0,8 18 0,-2-6-45,-5-16 0,-1-6 135,5 9-90,-2-35 0,-8-58 0,-5-51 0,-12 13 0,-6-7 0,-9-3 0,-6 0 0,-4 4 0,-6 7 72,0 17 0,-1 9-252,-23-9 0,48 17-90,40 0 270,53-24-45,-31 16 0,-1-5 45,-3-6 0,-5-3 180,-7-2 0,-7 0-45,-11 6 0,-7 3 45,-6-26 0,-9 31 270,-11 53 179,11 74-449,4 1 0,3 13-120,2-15 0,4 5 0,1 1-189,1 2 1,2 1-1,3-1 129,1-4 0,2 0 0,2-6-90,7 10 0,3-10-225,-1-21 1,3-11 134,19-9 180,-18-59-90,-28-55 45,-17 19 0,-7-3 45,-6-4 0,-5 0 238,-3 4 0,-1 4-328,-24-26-180,17 26 90,29 14-360,31 6 270,31-1 180,17-4 90,-2-7 0,-17-10 270,-20 4-90,-18-3 0,-15 18-90,-9 16-180,-3 29 90,6 29-1529,15 22-1349,21 7-720,21 0-2159,9-13 5757,-12-21 0,-14-15 0,-22-14 0</inkml:trace>
  <inkml:trace contextRef="#ctx0" brushRef="#br0" timeOffset="2650">1927 544 10231,'-10'-21'5937,"-8"7"-4948,-15 13-269,-5 27-360,2 33-270,17 20-180,22 9-450,28-19 360,33-33 90,21-47 180,-5-34 45,-38-9 0,-10-10 45,-12 3 0,-8-3 134,-1-7 1,-5 0 180,-9 4 0,-5 6-46,-8-13-179,-2 20 90,-9 64-270,16 34-90,0 26-1169,31 28-1530,8-24-89,11 1-4318,0-28 7106,-13-24 0,-6-9 0,-12-12 0</inkml:trace>
  <inkml:trace contextRef="#ctx0" brushRef="#br0" timeOffset="2850">2079 285 8432,'-42'-9'3328,"24"6"-3598,9 0-4047,70-5 3254,-26 0 0,39-9 0,-37 7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6:00.098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31 80 8522,'-12'-22'7196,"1"10"-6656,5 30-450,4 17-540,16 46-2338,12-3-810,11 2 3598,2-31 0,-17-29 0,-8-13 0</inkml:trace>
  <inkml:trace contextRef="#ctx0" brushRef="#br0" timeOffset="200">368 201 8792,'-6'-19'5757,"-4"0"-4768,0 7-629,-3 6-360,8 25-1439,8 9-3239,20 34 4678,3-15 0,-4-8 0,-9-22 0</inkml:trace>
  <inkml:trace contextRef="#ctx0" brushRef="#br0" timeOffset="650">858 386 10411,'-41'-22'7376,"-12"18"-6387,5 19-359,1 36-360,36 24-225,16-25 0,8 1 0,9-1 0,7-4-45,5-6 0,5-9 0,48-9-90,2-53 225,-46 0 0,-6-9 89,-5-8 1,-9-5 0,-12-6 0,-12-2 0,-13 3 0,-10 2-135,-10 4 0,-8 7-45,-2 12 0,-4 10-855,-45 15-2338,23 42-1529,33 32 4677,38 7 0,18-14 0,14-14 0</inkml:trace>
  <inkml:trace contextRef="#ctx0" brushRef="#br0" timeOffset="1600">1273 562 11400,'-15'-32'6747,"3"9"-6298,-2 12-89,10 31-90,10 14-180,15 19 0,17-9-90,10-22 90,5-30 809,0-35 900,-9-14 0,-11-4-1259,-13 21-360,-7 16-90,4 37 0,7 18-90,19 31-180,7 3-90,7-14 180,0-33 90,-5-45 0,-7-53 45,-27 24 0,-5-3 135,-4-8 0,-5 0 0,-4 6 0,-5 4 89,-14-30-179,-8 43 90,-3 46-180,7 43-90,19 44-1304,10-32 0,5 2-765,6 2 0,4-1-315,2-7 1,4-6-675,33 12 2159,4-50 2158,-2-48 990,-15-40-855,-29 28 0,-7-3-90,-4 0 1,-4 0 674,-7-39-990,-4 28-179,-2 26-1,-7 40-179,8 34-360,-2 42-360,11-26 0,5 3-1034,2 3 0,4 0-855,2-6 0,3-3-6566,16 20 8635,-5-31 0,-12-25 0,-7-9 0</inkml:trace>
  <inkml:trace contextRef="#ctx0" brushRef="#br0" timeOffset="2767">1770 354 12210,'-18'-9'3958,"14"5"-4408,10 2-2248,38 4-3149,12-3 5847,-2 0 0,-14-1 0,-30 2 0</inkml:trace>
  <inkml:trace contextRef="#ctx0" brushRef="#br0" timeOffset="3300">2292 422 13469,'-1'19'1799,"1"0"-1619,12 12 0,4-7 0,16 4 270,12-25 539,-2-16 1,-5-24-1,-27-9-359,-25-1-271,-20 12-269,-12 22 180,1 29-180,10 28 0,21 19-719,28 4-2340,26-11-1528,17-18 4497,-2-22 0,-20-11 0,-15-6 0</inkml:trace>
  <inkml:trace contextRef="#ctx0" brushRef="#br0" timeOffset="4084">2392 196 11490,'-1'-23'5128,"-1"3"-4139,-4 8-989,-2 9 90,6 7-90,8 11 0,13 1 90,7-7 809,1-18-269,-14-17-90,-22-14-630,-13 8-1349,-23 12-3868,7 40 5307,11 11 0,11 0 0,16-11 0</inkml:trace>
  <inkml:trace contextRef="#ctx0" brushRef="#br0" timeOffset="5550">2623 407 14729,'-3'21'1259,"8"-1"-1169,15 8 90,8-13 539,5-26 541,-11-12-91,-12-28-629,-25 11-271,-20 6-179,-12 34 0,2 30-90,19 24-719,30 13-630,32-6 539,23-19 540,13-28 540,-4-30 360,-13-25 359,-19-16 90,-19 4-539,-11 0-360,-5 21 0,11 10-90,16 32 0,12 23-90,6 27 0,-12 8 90,-15-11-180,-18-10-270,-13-29-539,-6-27-1,4-32 360,13-23 360,13-8 91,6 12 89,-1 11 539,-6 21-539,0 16 90,-3 22-90,12 22 0,7 8 0,17 10 0,9 0 270,-3 1 360,-12-3-91,-29 1-269,-25-20-2878,-45-6-4228,-8-23 6836,-2-8 0,29-1 0,27 3 0</inkml:trace>
  <inkml:trace contextRef="#ctx0" brushRef="#br0" timeOffset="6750">3609 14 9242,'1'-14'4947,"6"15"-4767,3 11-900,6 34-1618,-3 7 359,1 5 1979,1-14 0,-7-24 0,0-10 0</inkml:trace>
  <inkml:trace contextRef="#ctx0" brushRef="#br0" timeOffset="6883">3752 188 8972,'1'-16'2788,"6"19"-5396,6 47 2608,9 3 0,4-4 0,0-12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7:06.548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244 240 7533,'-14'-1'5037,"2"-3"-4318,16-4-269,29-3-90,20 0 44,2 5 1,11 0-135,0 0 0,8 0 0,1 1-150,4-1 0,2 0 0,5 0-291,-1 0 0,5 0 0,1-1 0,-4 1 201,14 0 0,-2 0 0,0 0-8,-17 0 1,1 1-1,0 0 1,-3 0-23,14-2 0,-3 1 0,-1-1 106,-6 0 1,-1 0 0,-5 0 297,14-1 1,-6-1 180,-20 2 0,-7 1 224,14-2-89,-22 2-271,-23 2 1041,-4 1-1310,-9 2-46,-2 3 46,2 12 89,0 14 181,3 24-90,-1 19-180,0 21-90,-9-40 0,-1 0 45,0 6 0,1 1-46,-1-1 1,0 1 0,0-2 0,-1-1-90,-1-5 0,0-2 90,3 34 90,-4-19 90,-1-16-180,-6-9 0,-11-6-90,-18-4 0,-35 0-90,13-13 0,-7 0 90,-17 2 0,-5 0-60,18-4 0,-3 0 0,-1 0-114,-5 0 1,-1 0 0,-1 0 113,-2-1 0,-1-1 0,0-1 30,1-1 0,-1 0 0,0-1 0,4-2 0,0-1 0,1 0 30,4-2 0,1 0 0,1-1 0,-23 0 0,2 0 0,8-2 0,4 1 0,6 0 0,2 1-45,6 0 1,1 2 44,6 0 0,2 1 0,-45 5 0,16 1 340,14-4-340,16-1 0,17-2 0,11-2 0,8-2-90,-3-4 90,-3-5 0,-7-13 0,2-13 0,-1-23 0,3-25-45,13 29 0,1-3 45,0-7 0,1-2 0,1-4 0,1-1-45,2 0 0,2 2 45,1 3 0,1 2 45,2 5 0,1 3-45,0-41 90,1 21 0,0 17-90,-2 19 89,2 14-89,-1 7-7465,0 3 6026,10 7 1439,23 7 0,-15 3 0,14 3 0</inkml:trace>
  <inkml:trace contextRef="#ctx0" brushRef="#br0" timeOffset="2083">2216 1377 14998,'-10'-9'2519,"-18"3"-1799,-17 8-181,-42 4-404,26-1 0,-4 0-90,2 1 0,-2 0-45,-20 2 0,-2 1 0,13-2 0,0 0 0,-3 1 0,1 0 90,8-2 0,2 0 45,12-2 0,3 0 135,-23 1 89,14-3-89,19-1 0,3 0-90,10 0 0,5 0 0,5-1 0,1 0 359,3 10-89,6 27 0,8 24-315,4-15 0,2 4-90,2 8 0,1 2 0,0 5 0,0 0 0,-1 5 0,-1 1 0,-2-3 0,-2 0-45,-2-5 0,-2-2 0,0-8 0,-1-3 179,-2 22 91,3-20-180,9-25 0,28-15-90,46-24 45,-7-4 0,11-2 15,-15 4 0,5 0 0,2 0-224,9-1 1,3 1 0,1 2 193,2 1 0,-1 2 0,0 2-60,-6 1 0,-1 2 0,-3 1-4,-6 1 0,-3 1 0,-2 0 34,19 0 0,-5 0 90,-18 1 0,-6-1 180,27-6-1,-36-6 91,-21-13 305,-25-23-486,-16-17-125,-2 20 0,-2-2-54,-2-9 0,-1-2 45,0-7 0,1-1 90,0 1 0,1 0 0,3 5 0,0 4 45,-6-32-180,3 21 90,5 17-90,3 16 90,2 11-90,2 9 0,0 2-3149,1-1 3149,1 1 0,0 5 0,1 1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7:10.531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14 156 8972,'18'7'7016,"62"-5"-6836,-22-1 0,11-2 0,5 0-68,0-2 0,5-2 1,3 0-1,2-1-480,-6 0 0,4 0 0,1-1 1,0 0-1,0 0 332,1 0 0,2-1 0,-1 0 0,-1-1 0,-2 1-347,6-1 1,-1 0 0,-3 0 0,-4 0-554,5 1 0,-5-1 0,-10 2 36,-4-1 1,-20 4-2392,-36 9 3291,-28-1 0,-44 10 0,16-6 0</inkml:trace>
  <inkml:trace contextRef="#ctx0" brushRef="#br0" timeOffset="250">154 467 8432,'-48'22'3553,"1"0"0,-11 13-2923,75-18-46,37-14 1,19-10-405,0 0 0,8-2 0,4-2-522,-7 1 0,4-1 0,1 0 0,1 0-108,4-1 0,2-1 1,-1 1-1,-2 0-427,-6 2 0,0 0 0,-3 0 0,-3 2 877,4-1 0,-4 1 0,-8 2 0,-2 0 0,-11 2 0,-5 2 0</inkml:trace>
  <inkml:trace contextRef="#ctx0" brushRef="#br0" timeOffset="567">87 860 8072,'-16'5'6836,"38"-10"-5306,71-12-1201,-26 5 1,10-1 0,6-1-788,-6 3 0,4 0 0,3-1 0,1 1 314,-6 2 0,2-1 0,1 1 1,0 0-1,-2 1-531,13 0 0,-2 0 1,-1 2-1,-2 0-1124,-7 1 0,0 1 0,-4 0 0,-7 1 1799,18 0 0,-11 1 0,22 2 0,-83 0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8:23.897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115 834 9691,'-50'-34'7826,"7"6"-5937,23 44-630,19 35-944,7 1 0,5 7-180,10 13 0,4 2-90,2 3 0,1-3 539,-2-10 1,-1-7-45,10 3-360,-21-65-90,-24-86-135,-5 7 0,-3-9 45,4 22 0,-2-2 0,0 0 59,1 0 1,-1-1 0,1 5-15,-3-13 0,1 9 495,-3-12-180,20 62 359,42 77-584,-9-13 0,6 5-90,16 15 0,6-1 45,-2-10 0,4-7-45,-4-11 0,1-13-45,-5-17 0,-2-14 0,-6-19 0,-5-13-45,0-20 0,-7-9 45,-3-8 0,-6-1 45,-5 5 0,-3 4 405,-6 11 0,0 14 449,5 31-449,6 58-630,-3 16 0,0 12-1799,7 9 0,2 4-315,2 0 1,1 0-2623,8 8 1,-1-7 4314,4 5 1,-2-13-1,-35-67 1</inkml:trace>
  <inkml:trace contextRef="#ctx0" brushRef="#br0" timeOffset="1017">1383 869 8702,'-9'-8'7736,"19"11"-7377,17 17 1,13-4 270,20-26 719,-9-34-629,-1-23-181,-32 15 1,-9-2 0,-14-26-360,-20 12 0,-40 69-180,10 38-405,17 1 0,7 9-1709,16 5 0,10 1-1304,18 42 1664,15-50 0,13-10 1349,15-21 1,7-13 718,-5-5 1,1-11 539,13-19 1,-6-13 314,-16-9 1,-10-7-496,-5 6 1,-8-2 0,-7-6 0,-11 4 764,-29-10-450,-11 33-179,-28 58-675,34 19 0,5 9-90,3-1 0,5 3-90,8 13 0,12-2-315,40 9 360,7-34-90,22-59 90,-27-60-45,-29 18 0,-6-7 180,-6-12 0,-6-3 449,-4 1 1,-2 2 44,-2 10 1,0 5 450,-5-20-181,-8 72-449,7 73-270,9 4 0,7 10-135,11 14 0,9 3-75,-1-26 0,5-1 0,3-3-150,23 18 0,5-10 90,-3-16 0,1-13 45,-9-16 0,-2-14 45,12-30 90,-29-37 270,-21-13 0,-12 8-360,-6 29 90,3 48-1080,5 39-3327,12 31-3239,13 1 7556,1-24 0,-6-26 0,-11-25 0</inkml:trace>
  <inkml:trace contextRef="#ctx0" brushRef="#br0" timeOffset="1334">2629 411 8072,'-41'1'7016,"7"2"-6026,1 3-900,39-23 360,27-26 629,21-31 270,-10-12-629,-32-1-360,-35 17-630,-32 26-2609,-27 49-1978,9 44 4857,20 24 0,29-21 0,25-20 0</inkml:trace>
  <inkml:trace contextRef="#ctx0" brushRef="#br0" timeOffset="2000">3004 458 9512,'15'-18'9804,"-4"-4"-8994,-2-1-181,-19 14-179,-11 23-270,-10 30-180,9 21-540,15 11-359,22-8 359,16-24 450,10-29 180,-1-33 450,-8-30 629,-2-17 450,-5-3-270,2 18-719,2 28-90,1 28-181,4 23-269,-6 5 90,-1 3-90,-12-16-90,11-27 0,-6-22 0,23-34 180,7-7 360,11 4-91,6 26-89,-4 40-450,-10 44-2788,-10 29-2879,-11 8-4074,-9-16 9388,-7-23 0,-8-26 0,-5-10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8:22.564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434 575 8252,'-30'-8'8276,"2"-16"-7557,12-3 181,22-20-91,40 8-539,6 17 0,21 34 0,-21 64-46,-32-31 1,-7 6 135,-8 27 0,-12 5 224,-11-5 1,-5-2-315,2-9 0,0-3 404,-5-4 1,5-7 45,10-6-450,25-17-1709,34-29-2969,43-36 1439,-33 4 1,0-5 2968,1-4 0,-4-2 0,-10 7 0,-5 1 0,12-20 0</inkml:trace>
  <inkml:trace contextRef="#ctx0" brushRef="#br0" timeOffset="466">989 243 7083,'-41'-43'2248,"0"1"1,-7 9 0,-6 2-1350,-23-14 1,-7 10-361,-3 21 1,-1 21-300,26 12 0,0 11 0,5 8-437,1 13 1,4 10 0,6 6 286,2 12 0,6 6 0,11 6-68,12-12 1,7 4-1,6 1 1,5-1-126,4-3 0,6 0 0,5-1 0,4-2 125,3-2 1,5-1-1,4-3 1,3-5-23,14 5 0,6-6 0,6-14 25,4-17 1,5-11-1,1-14 5,3-15 0,2-15 0,-3-9 0,1-12 0,-4-11 0,-6-6 150,-5-6 0,-7-7 0,-8-6 269,-10-8 1,-10-5 0,-10-2-308,-10-1 0,-11-1 1,-6 3 96,-4 6 1,-6 2 0,-8 4-180,-5 4 0,-8 3 0,-7 11-304,-29 0 1,-10 19-836,-8 19 0,-4 18-1305,4 19 0,6 12 2384,19 5 0,9 3 0,-10 15 0,54-20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8:58.263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1 361 13829,'11'-13'2878,"25"-1"-1798,52 0-676,-16 3 1,9-3-225,-6 1 0,6-1 0,2-1-353,4-2 0,2 0 0,1-1 203,3 0 0,1-1 0,-3 0-30,-9 2 0,-2 1 0,-4 0 141,20-2 0,-5 2-141,-14 3 0,-4 1-45,-16 4 0,-4 1-405,24-5-5667,-20 4 4408,-49 6 1858,-25 8 1,-5-2-1,-8 5 1</inkml:trace>
  <inkml:trace contextRef="#ctx0" brushRef="#br0" timeOffset="384">90 584 13199,'18'1'3598,"33"-9"-2968,25-12-151,-13 3 1,13-3 0,2-1-270,7-2 0,2 1 0,4-2-379,-11 3 0,2 0 0,2-1 0,1 0 11,7-1 1,3 0 0,-1 1 0,-6 2-593,4-1 0,-5 2 1,-1 1-151,-1 0 1,-1 0-1,-5 4 900,9 1 0,-14 4 0,-9 1 0,-9 5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00.646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11 748 11760,'-3'-27'6477,"-1"2"-5938,1 27 91,3 22-90,5 30-181,9 31-179,4 3 720,1-6 359,-6-28-1169,-4-36 90,-10-56-90,-4-57 0,-1 24 0,0-5 179,-1-7 1,-1-1 0,1 7 0,-1 4-180,3 17 0,0 5 0,-2-12-90,15 48 90,32 70-45,-8-12 0,4 5 0,12 17 0,4 0-45,-1-10 0,2-7 45,-3-13 0,1-11-45,49-23 0,-53-20 0,-3-11 0,1-10 0,-3-6 45,-7 0 0,-3 0 45,13-29 539,-14 36-539,-11 44 90,3 38-630,5 42-405,-9-30 1,1 2-135,4 3 0,3-1 539,0-8 0,3-5 0,30 11 360,-4-47 180,-12-30 990,-6-26-271,-17 9-989,-1 9-2158,-4 41-1080,-3 17 3418,1 30 0,-8-31 0,-3 0 0</inkml:trace>
  <inkml:trace contextRef="#ctx0" brushRef="#br0" timeOffset="150">1306 467 8162,'-31'-14'-180,"9"7"0,8 8 0,10 3 1</inkml:trace>
  <inkml:trace contextRef="#ctx0" brushRef="#br0" timeOffset="701">1761 688 8162,'16'-22'7466,"-10"-2"-5397,-10-3-1350,-25 22 271,-26 45-810,9 17-90,20-11 0,8 3-180,19 37 90,17-21 0,34-24 90,11-61 0,-11-23-90,-25-7 0,-8-11 224,-11-23 1,-7-5 45,0 8 0,-3 0 180,-5-15 0,-4 5 179,-6-7-449,1 35 180,-1 54 180,12 51-271,4 52-224,6-33 0,4 4-315,2 4 1,3 0-856,1-2 1,2-4-630,3-7 0,2-4-4722,24 30 6476,-8-28 0,-13-27 0,-15-18 0</inkml:trace>
  <inkml:trace contextRef="#ctx0" brushRef="#br0" timeOffset="1534">2423 775 9422,'24'-52'7735,"-20"2"-6386,-29 5-359,-37 29-360,-28 42-496,44 2 1,4 7-90,5 6 0,7 4 45,0 44-90,37-19 0,32-27 0,25-41 90,19-55-90,-39-1 0,-6-12 45,0-22 0,-7-7 135,-14 27 0,-4-2 0,-4 0 404,0-30 1,-8 5-315,-6 19 0,-6 10 270,-24-11 179,-3 65 91,12 73-631,24 10 1,10 12-120,2-19 0,4 1 0,3 2-60,4 8 0,5 0 0,3-3-45,16 19 0,5-9 45,-5-23 0,3-12 90,37-5-90,-23-63-90,-22-54 135,-28 23 0,-6-3 45,-4-1 0,-6 1 90,-15-27-90,-9 52-360,4 49-2608,14 33-2519,30 20-4434,33-3 9702,-8-23 1,-3-18 0,-31-23 0</inkml:trace>
  <inkml:trace contextRef="#ctx0" brushRef="#br0" timeOffset="2600">2820 862 11311,'22'4'4677,"0"-4"-3868,11-23 1,3-22-360,10-31-226,-24 19 1,-5-4 135,-6-12 0,-4-1-135,-2 7 0,-6 0 89,-10-9 1,-8 7-45,-21 0 90,-11 26 629,-5 91-674,38-4 0,5 9-180,0 13 0,7 7-45,18 20 0,14 0 0,7-21 0,7-5-90,5 3 0,7-10 45,15-23 0,3-17-90,-18-14 0,-1-11 90,12-13 0,-6-13-45,-22-13 0,-9-8-45,-5 3 0,-10-1 225,-12-11 0,-14 5 629,-37-10-449,-3 31-180,-3 52-360,41 53-1259,29 8-585,19-26 0,14-4-2892,14-12 1,3-6 4470,-13-6 1,-2-4 0,37 2-1,-69-21 1</inkml:trace>
  <inkml:trace contextRef="#ctx0" brushRef="#br0" timeOffset="3151">4453 373 9242,'-27'-25'7555,"7"9"-6655,10 21 449,30 35-1034,10-2 0,7 4-135,14 9 0,5 0-46,5 2 1,2-3 674,-7-8 1,-2-8 1169,30-5-450,-25-59-1214,-33-16 0,-7-13-225,0-20 0,-6-6 0,-3-4 0,-4 0-180,-1 7 0,-3 7-2608,-4-20-631,-8 61-1798,8 64 5127,23 61 0,1-14 0,-1-31 0,1 0 0</inkml:trace>
  <inkml:trace contextRef="#ctx0" brushRef="#br0" timeOffset="4434">5486 619 11760,'10'-21'6656,"-16"-10"-5576,-20 12-91,-25 16-539,-8 39-270,6 26-90,26 14-180,37-13 90,30-25 0,19-35 180,2-37 449,-12-26 631,-16-10-451,-17 11-539,-9 19-180,-4 42 0,7 26-90,17 33-90,21 6 90,19-10-90,9-30 180,-1-43-90,-14-51-45,-36 11 0,-7-9 45,-4-13 0,-7-3 45,-4-3 0,-4 1 45,-2 10 0,-2 5 0,-9-26 90,-3 64 270,4 65-361,10 12 1,5 9 0,6 18 0,6 4-90,5 2 0,4-1-45,0-11 0,3-5 45,3-11 0,3-11 0,17-12 0,6-42 270,-6-63 180,-28 29 0,-3-3-91,-2-2 1,-2 3-90,1-12-180,-15 48 0,-1 43-90,2 35 90,16 16 0,9-6-90,10-20 90,5-38-90,1-34 90,0-30 0,-7-10-90,-10 8 90,-8 18 0,-4 35-90,9 37 0,12 22 0,9 8-90,25-9 0,-4-37 90,5-20-90,-2-58 90,-28-24-90,-10-17 90,-34-5-90,-21 50 180,-10 20 0,-6 64-270,26 22-1349,18 17-4857,57-2 719,17-30 5667,19-12 0,-40-21 0,-22-10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07.830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76 561 9871,'9'-69'8366,"-4"4"-6388,-5 20-988,-16 24 1259,-9 70-1530,-1 26-539,12-6 0,6 10-855,11 11 1,9 1-811,1-13 1,8-3-1170,13 7 1,12-11 2653,1-35 0,1-9 0,14 10 0,-9-28 0</inkml:trace>
  <inkml:trace contextRef="#ctx0" brushRef="#br0" timeOffset="467">1030 695 9152,'-32'-36'7825,"-7"12"-6835,-13 24-91,-4 29-539,12 23-180,25 17-90,36 7-90,32-6-90,20-5 90,0-12 0,-15-12 270,-24-1 0,-38-12-90,-30 0-1260,-33-11-4227,-8-6 5307,21-6 0,23-3 0,26-1 0</inkml:trace>
  <inkml:trace contextRef="#ctx0" brushRef="#br0" timeOffset="1417">1284 1011 8252,'20'-20'8815,"-11"6"-7825,-3-3-361,-15 13 91,-10 16-360,11 19-270,16 9-270,31 1 180,27-23 0,15-33 180,-5-34-135,-44 10 0,-8-7-45,-10-3 0,-9-2-45,-12 0 0,-9 3 45,-35-22-180,-11 43-990,17 45-808,34 31 269,42 14 1169,26-14 1080,17-25 269,-1-31-179,-3-23-181,-3-7-89,-4 8-90,-2 18-180,-3 25 0,-1 27 0,-10 15-90,-16 12 90,-20-7 90,-20-18 90,-15-28-180,-3-29-360,10-27-180,25-18-270,29-12 181,23-1 179,10-1 270,-8 0 180,-17-4 270,-23-10 359,-21-11 91,-13 2 269,-7 11 1,1 33-451,7 53-179,21 63-765,1-4 0,2 5-809,6 8 0,2 0-765,1-2 0,1-4 1889,-3-17 0,-1-6 0,2 2 0,-7-23 0</inkml:trace>
  <inkml:trace contextRef="#ctx0" brushRef="#br0" timeOffset="2184">2414 597 8882,'-50'-34'5307,"12"6"-5487,3-1-809,54 10 269,39 5 540,24-1 1349,14-2 810,-38 2-629,-30 1-451,-46 20-629,-18 12-270,-11 40-1709,34 4-180,21 14 809,36-35 1,13-7 809,-5-10 0,6-4 180,31 0 1,3-9 583,-16-15 1,-5-9-90,-13 0 0,-7-7 854,17-40 90,-75 5-719,-20 16-271,-36 28-179,3 53-270,17 9-719,27 26-1,53-27 630,9-19 270,25-35 270,-14-70-315,-32 26 0,-5-7 180,0-27 0,-7-7 314,-9 0 1,-5 1-270,0 14 0,-3 3 45,-2 6 0,-7 14 314,-18 24-449,10 57-540,6 61-1124,18-25 0,7 3-2789,9 11 1,4-3 4272,-6-21 0,2-5 0,25 39 0,-19-54 0</inkml:trace>
  <inkml:trace contextRef="#ctx0" brushRef="#br0" timeOffset="2399">4661 835 6813,'-14'-24'-210,"6"8"0,3 10 0</inkml:trace>
  <inkml:trace contextRef="#ctx0" brushRef="#br0" timeOffset="3466">4625 692 7533,'-30'-34'7555,"-11"4"-6476,-1 6 1,-7 4-765,-6 12 0,-2 8-90,4 4 0,1 6-91,-1 13 1,10 9-135,11 43 0,35-5-180,55-6 180,30-43 0,-32-25 0,-2-13 0,0-21 0,-5-13 0,-6-19 0,-8-8 180,-7-7 0,-8-2 45,-6 7 0,-8 5 225,-12-22-270,-15 78 0,-3 80-405,18 2 0,10 10-540,11 15 1,10 1 179,14 3 0,10-6 315,3-16 1,6-10 224,-3-19 0,2-12 135,37-24 90,-24-52 89,-20-31-89,-35-9 90,-35 20-180,-28 36 0,-13 39-90,11 27 0,24 13 0,28-4 0,22-16 0,13-22 0,2-23 90,-5-12-90,-10 3 0,3 12 0,-8 23-90,15 12-270,10 9 180,19-3 180,15-14 90,8-29-135,-43-9 0,-4-10 0,0-19 0,-7-10 135,-5-11 0,-7-4 45,-5-8 0,-8 2 45,-6 11 0,-7 6 270,-16-25-91,-24 64-179,11 71-225,18 8 0,7 9-630,10 14 1,7 2-675,5 2 0,5-3-450,0-9 0,2-6 1799,10 19 0,-14-42 0,-8-20 0</inkml:trace>
  <inkml:trace contextRef="#ctx0" brushRef="#br0" timeOffset="3933">5592 563 7713,'-28'-35'4497,"9"10"-4137,24 6-180,31 12 539,36 3 91,23-1-91,-4-6 91,-19-7-630,-40 0 180,-44 5-90,-21 18-181,-17 15 1,14 12 0,19 16-90,26-11 0,17-2 0,13-22 180,9-16 0,2-8-180,1 1 90,-3 11-630,-4 14-1888,1 13-2429,2 9 4857,-9-6 0,-11-11 0,-15-11 0</inkml:trace>
  <inkml:trace contextRef="#ctx0" brushRef="#br0" timeOffset="4183">6401 8 7982,'5'-4'6117,"13"49"-5757,0 5 0,1 9-226,2 23 1,-3 9-705,-7-22 1,-4 3-1,-4 0-1902,-6 2 0,-4 1 0,-2-6 2472,-4 5 0,-3-6 0,-6-4 0,0-7 0,-2-6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23.163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127 54 10141,'4'-13'7646,"-7"10"-7286,-4 6-1,-15 24-269,-3 9-180,-4 7 360,3-1 90,11-18 180,12-24 359,12-25-89,10-25 179,1 0-449,-3 2-180,-6 22-180,0 12 179,1 34 1,6 26-180,4 40-135,-10-35 0,-1 3 0,0 3 0,-2 0-45,-1-4 0,-3-3 0,-3 36 0,-16-26 0,-12-18 270,-10-17 449,6-12 181,3-7-270,12-4-541,15-3-178,28-5-1531,38-5-584,-11 2 1,4-1-631,3-1 1,0-1 2833,-4 1 0,-4 0 0,11-2 0,-35 6 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23.99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11 172 11850,'-10'-33'6656,"11"-5"-5576,21-6-91,27 6-269,23 19 89,11 34-269,-13 39-360,-28 34-135,-35-34 0,-9 3-45,-6-1 0,-6-2 90,-20 39 180,4-26 719,7-20-539,24-17-270,21-12-900,41-13-2608,35-19 1034,-44 5 1,2-2 2293,-1-1 0,-4 1 0,6-1 0,-24 4 0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24.963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2 104 12030,'-1'-12'7016,"11"-10"-4767,39-6-900,5 2-90,33 11-449,-20 35-630,-22 14-90,-24 35-90,-37 10-90,-3-11 0,-4-9 90,31-43 90,11-17 0,31-10 180,18 7-1,-7 10 451,5 26 90,-41 22-631,-26 5-1798,-55 23-1979,10-48 0,-8-6 3598,-17-2 0,-2-5 0,17-8 0,2-5 0,3-10 0,-1 0 0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31.92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89 85 9422,'-18'-34'9264,"7"15"-7645,-6-9-899,7 25 899,0 29-719,0 12-271,0 49-359,7-14-180,8 2 0,28-29 0,14-30-90,13-16 0,16-32 90,-20-5 270,-1-6 269,-23 14 451,-9 23-631,-8 25-359,9 33-2338,-5 7-4229,8 25 6477,-3-14 0,-8-23 0,-4-14 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33.380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80 30 9062,'-27'-2'9624,"0"0"-8184,2 0-1081,35-2 91,36-1-180,45-3 360,7 1 1258,-8 11 91,-33 20-629,-28 27-631,-25 32-989,-9-33 0,-3 2-1844,-2 5 1,0 1-766,1-4 1,1-1-6953,-2 41 9770,6-37 0,4-22 1,1-28-1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32.463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99 100 9961,'-6'-10'7826,"-13"4"-5667,-9 14-1890,-2 11 1,18 17-90,46 18-135,7-19 0,9 0-45,12 3 0,3-1 0,1-1 0,-2 0 0,-10-5 0,-7-1 90,8 17-90,-39 7-180,-37-12-1529,-36 2-2159,-22-23-4047,-14-25 7067,32-8 0,19-5 0,34 10 0</inkml:trace>
  <inkml:trace contextRef="#ctx0" brushRef="#br0" timeOffset="216">31 89 12840,'-22'-14'6026,"13"3"-5216,48 7-1080,41-3-1169,-18 3 0,4-2-3239,9-2 1,-3-1 4677,-19 3 0,-5-1 0,21-4 0,-54 9 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39.79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38 327 12030,'0'-5'7736,"-9"14"-7197,-8 17-179,5 28-180,26 20-180,37 3 90,23-17 450,12-27-91,-19-35-359,-35-30 0,-51-30-180,-6 21 0,-7-2-180,-7-9 1,-1-1 44,3 1 0,4-1 90,7 5 0,7 1-45,3-30 90,24 22 90,18 21 180,10 30 0,1 33-90,-6 29-540,-8 18-1978,-3 6-2070,3-5 4498,4-18 0,-10-25 0,-2-17 0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41.813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581 7 7353,'-8'-6'6386,"-7"7"-4497,-50 20-1439,-14 5-91,27-10 1,-1-2 180,-41 4-360,25-10-90,15-6-90,25-1 0,3-1 90,13 5 0,3 14 629,4 37-269,3-6 0,1 8-225,0 27 0,2 7-135,0-18 0,1 2 0,2 2-173,2 6 0,2 1 1,2-2 22,3-4 0,3 0 0,5-6-840,13 21 1,12-12-1125,11-23 0,11-16 2024,16-22 0,1-15 0,-21-5 0,-2-6 0,3-11 0,-1 1 0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1:00.177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572 746 7353,'-7'-52'8365,"-14"-2"-5936,-27-6-1890,-29 22-179,26 32 0,-3 9-225,3 9 0,2 9 0,5 10 0,9 7 45,9 51-136,39-38 1,15-1 0,16 0 0,10-5 0,14 2 0,5-4 135,-3-4 0,-1-2 674,-9-4 1,-6 0 1214,11 20-990,-53 4-629,-53-12-720,-2-19 0,-7-6-1529,-8-6 0,-2-8-675,-1-7 1,4-8-2744,-22-32 5217,42-16 0,26 19 0,18 11 0</inkml:trace>
  <inkml:trace contextRef="#ctx0" brushRef="#br0" timeOffset="884">679 837 7443,'23'-14'8185,"-17"12"-6206,-3 7-1529,-22 28-1,5 18-269,17 12-180,27-2-90,25-17 90,17-28 900,1-37-181,-20-28-269,-34-22-180,-51-4 0,-36 12-180,-19 22-180,7 30-180,27 19 90,39 12 90,42-9 90,36-6 90,19-11-90,-4-1 180,9 12-90,-25 17 0,-2 12-90,-21 20 0,-22-10 0,-8-3-450,-20-16-539,-16-37-1,-5-33 451,-1-45 449,22 33 0,4-3 45,4-2 0,3 1 0,2 5 0,3 3 225,7-36 269,0 17 631,-6 0-1,-11 12-89,-7 3-271,-3 24-269,-3 18 180,12 44-271,11 32-314,6-10 0,4 4-630,6 5 1,4-1-1080,2 1 0,2-3-900,-1-7 1,-1-3 2563,16 20 0,-18-31 0,-14-20 0</inkml:trace>
  <inkml:trace contextRef="#ctx0" brushRef="#br0" timeOffset="1684">1195 609 10231,'-29'-20'3688,"16"0"-4138,27-5 270,29-2 450,18-1 990,-1 5-181,-21 8-90,-8 15-449,-19 15-180,1 28-270,-6 4-90,7 7-270,7-22 0,29-20 90,5-23 90,21-25 180,-11-20 540,-17-13 179,-25-1-449,-33 14-270,-25 27 0,-17 40-90,4 36-360,20 25-539,36 4 539,29-14 180,18-28 360,6-35 360,-1-40-1,-15-40-224,-28 28 0,-8-4 135,-6-8 0,-8 0 179,-4 5 1,-6 2-91,-2 8 1,-3 5-90,-17-8-270,6 58-90,22 53-540,9-1 0,7 7-809,4 2 0,5 3-1755,11 19 1,4-2 3013,-5-23 0,1-5 0,16 32 0,-18-51 0</inkml:trace>
  <inkml:trace contextRef="#ctx0" brushRef="#br0" timeOffset="2017">22 1760 8162,'-21'9'7826,"21"-9"-6882,33-16 1,25-12-736,1 0 1,8-4 0,6-2-579,-2 0 1,6-2 0,3-2 0,3-1 332,0 1 0,5-2 0,2-1 0,-1 2 0,-4 1-302,5-2 1,-4 2 0,0 0 0,1 1-518,4-1 1,2-1-1,-4 3 1,-9 5-2519,11-5 0,-11 8 3373,-23 9 0,-11 6 0,-19 6 0,-23 10 0</inkml:trace>
  <inkml:trace contextRef="#ctx0" brushRef="#br0" timeOffset="2317">109 2105 11940,'67'-32'2278,"1"-1"1,5-2 0,9-5-2167,-6 2 1,9-4-1,5-3 1,-2 2-469,-2 2 1,0 0 0,0 0 0,3 0 103,-12 6 0,2-2 0,0 1 1,-1 1-1,-5 2-438,22-9 0,-4 2 1,-3 2-451,-5 2 1,-2 1 0,-14 7 1271,6-2 1,-26 11-1,-35 14 1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49:40.24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1 757 8342,'4'-14'7106,"6"11"-6566,2 21 90,11 29-361,9 30-719,-12-32 1,2 0-811,2 2 1,1-1-1889,27 36 3148,-8-24 0,-18-27 0,-11-19 0</inkml:trace>
  <inkml:trace contextRef="#ctx0" brushRef="#br0" timeOffset="400">585 738 7803,'10'-40'4407,"-2"13"-2428,23-38-540,13 21-629,30-6-91,11 34-314,-39 41 0,-7 14-225,-3 36-135,-25-13 0,-11 2-45,-14-15 0,-4-3 0,-9 30 0,21-5-540,31-31-360,38-6-179,19-23-450,-22-11 0,0-2-3958,32-5 5487,-15 0 0,-44 2 0,-28 3 0</inkml:trace>
  <inkml:trace contextRef="#ctx0" brushRef="#br0" timeOffset="2884">1860 147 9781,'-31'-18'3868,"9"5"-3328,3 1-180,26 2 89,24-2-179,4 0 270,46-10-180,-27 8-90,16-4-1,-24 8 181,-21 5-180,-3 6 360,-7 28 359,6 29-449,6 36-315,-3-14 0,3 7-136,-1-3 1,1 2-60,-7-23 0,0 2 0,-1-1-30,7 30 0,-3-4 45,-8-23 0,-4-3 0,-1-2 0,-4-3-45,-9 39 270,-7-33-180,-2-9 180,-13-16-90,-19-20-180,-13-3-630,7-12 1,-3-2-4499,-35-3 5128,-6 1 0,45-1 0,26 1 0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2-21T15:51:14.494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nkEffects" value="pencil"/>
    </inkml:brush>
  </inkml:definitions>
  <inkml:trace contextRef="#ctx0" brushRef="#br0">763 1309 10189 214160 55670,'-49'-46'9265'0'2775,"13"20"-8995"3076"-2775,-15 22 539-3076 0,-7 65-449 0 0,31-17 0 0 0,4 6-135 0 778,-3 25 0 0 0,10 5-180-365-453,16 4 0 365-1,14 0 45-1561-15,14-4 0 1561 1,12-7 0-1621-310,2-14 0 1621 0,10-13 404 0 448,28-21 1 0 0,5-19 179 1134-448,-15-18 1-1134 0,-3-11-270 0 116,6-4 0 0 0,-7-10-1 2870-453,-17-10 1-2870 0,-15-6-45 1597 1011,-26-42-315-3194-674,-19 41 0 1597 0,-14 0-45 0 0,-33-12 0 0 0,-15 4 0 0-337,1 8 0 0 0,-5 4-30 1597 53,19 14 0-1597 1,-2 2 0 0 0,0 0-15-1242-61,-25-12 0 1242 0,7 2-45 1513-85,26 13 0-1513-1,7-2 45-1192 79,1-9 0 1192 0,15-6 45 1437-14,31-6 0-1437 1,16 0 0 1381 364,0 7 0-1381 0,10 3 45 0 0,20-9 0 0 0,11 11 0 0-378,1 26 0 0 0,2 12 45 1324-12,-5 5 0-1324 0,-2 10-45 1270 797,3 20 0-1270 1,-8 14-135 1219-12,-17 15 0-1219-1,-11 8-855-1273-12,-3-3 1 1273 0,-4 3-1260-1329-13,-5 17 1 1329 0,-3-1 2203-1388-370,5-12 0 1388 0,-1-7 0 0 0,-1 17 0 0 0,9-18 0 0 0</inkml:trace>
  <inkml:trace contextRef="#ctx0" brushRef="#br0" timeOffset="699">1525 1116 11089 222274 60296,'20'-13'11513'0'-825,"17"-2"-11333"-1264"1650,42-8-540 2528-825,-26 8 1-1264 0,3 0-901 0-376,7-3 1 0 0,1-1-585 1394-12,-4 2 0-1394-1,-4 0 1844 1332 389,30-9 0-1332 0,-43 13 0 0 0,-23 9 0 0 0</inkml:trace>
  <inkml:trace contextRef="#ctx0" brushRef="#br0" timeOffset="866">1798 1253 11359 214695 58194,'-31'20'8905'0'1552,"7"-4"-8995"-480"-648,27-6-1619 1575-904,47-24-720-1095-232,-1-3 0 0-1,5-2 2429 4251 233,-1-2 0-4251 0,-1-1 0 0 0,-3 0 0 0 0,-3 2 0 0 0,9-7 0 0 0</inkml:trace>
  <inkml:trace contextRef="#ctx0" brushRef="#br0" timeOffset="1400">2623 825 11449 226219 56359,'-16'29'12413'0'2408,"9"17"-11964"-1219"-842,14 27-269 1219-801,8 7 450-1397 765,-2-14 1529 1325-802,0-12-1080-1471-728,-5-26-809 1543 0,-10-25-90 0-728,-5-40-90 1543-802,-1-46-45-1471 1147,10 25 0-72 1,4-2 0 1397 764,3-1 0-1397 1,6 2 45 1397-383,5 3 0-1397 0,6 5 179 0 739,37-20 451 1465-853,11 32 269 1383-75,8 32-179-26-76,-4 35-360-43 853,-14 32-360-1095-308,-36-19 0-1684-1,-5 5-225 1749 182,-4 5 0-1749-1,-4 1-1215-1072-190,-2 1 1 1072 0,-2-1-4677 1853 1547,8 43-1620-4137-1817,-6-25 7646 2284 0,-3-22 0 0 0,-6-26 0 0 0,-2-13 0 0 0</inkml:trace>
  <inkml:trace contextRef="#ctx0" brushRef="#br0" timeOffset="2700">3398 263 10369 231073 56150,'5'-25'8635'0'-206,"-9"0"-7106"2399"206,-18-8-629-2399 672,-23 10-451 1394-672,-17 12 1-1394 0,-14 6-390 0 0,10 3 0 0 0,-4 3 0 0 0,-5 1-38 0 0,5 1 1 0 0,-3 0 0 0 0,-4 2-1 0 0,-6 2-22 0 41,1 2 0 0-1,-6 2 0 0 1,-5 3 0 0-1,-2 0 0 0 1,2 0 0 0-1,4 0 0-2434-5,-3 2 0 2434 0,2 0 0 0 0,1 0 0 0 1,0 1 0 0-1,-3 0-15-2463-18,4-1 0 2463 1,-1 2 0 0-1,-2-1 0 0 0,0 1 0 0 1,3 0 0 0-1,3-2 15-2480-10,0 2 0 2480 0,2-1 0 0 0,2 0 0 0 0,5-1 0 0 0,3-2 0-2489-279,-11 0 0 2489 0,6-2 0 0 1,1-2 0-1219 248,4 0 0 1219 0,1-1 0 0 0,7-4 45-2433 395,2-8 0 2433 1,9-5-45-1317-1258,-14-6 0 213 1594,15-1 90-255-709,17 3 0 1359 0,19 9 630 0 0,-1 23 179 0 0,18 41-584 0 447,9 9 0 0 0,4 11-195 1093-216,-2-17 0-1093-1,3 4 0 0 1,1 6-53-1425 158,3 13 1 1425 0,2 10-1 0 0,1 2 1 0 0,0-5-46-365-6,-3-12 1 365 0,0-3-1 0 1,0 1 1 0-1,2 3 12-403-82,-1 1 1 403 1,2 4 0 0-1,0 1 0 0 1,1-1 0 0-1,-2-6-14-442 70,1-2 1 442 1,0-4 0 0-1,-1-2-1 0 1,0-2-22-490 116,4 13 0 490 0,-1-4 0 0 1,-1-4 45-545 234,6 14 0 545 0,-3-11 315-612 1549,4 8-360 1452-2272,-8-39 90-840 0,18-40-45 0-715,6-36 0 0 1,7-13-45 617 405,16-3 0-617 1,10-4 22 2037 308,-18 11 1-2037 0,6-3-1 0 0,3-1 1 0 0,3 1-23 0 34,13-2 0 0 0,4 1 0 0 1,2 1 0 0-1,-2 0 0 3551-34,-3 2 0-3551 0,-2 2 0 0 0,1-1 0 0 0,4 1-18 0 9,-8 4 0 0 0,4 0 0 0 0,0 0 0 0 1,0 2 0 0-1,-4 1-27 3576 170,3 1 0-3576-1,-1 1 0 0 1,-3 2 0 0 0,-1 1 15 1847-210,12-5 0-1847 0,-2 2 0 0 0,-3 2 30 3680 31,-8 4 0-3680 0,-3 1 0 0 0,-7 3-45 0-403,-7 3 0 0 1,-6 3 135 1600 402,27-4-90-1600 0,-18 5 0 0 0,-23 0 90 0 0,-5-13-90 0-826,-9-19 0 1490 826,-9-35 135-1490 0,-12 22 0 0 0,-4-6 45 0-730,-2-18 0 0-1,-2-5-45-485 306,-3-14 0 485 0,-3-5-76 1332 134,0 28 1-1332 1,-2-1 0 0 0,0 0-30 1250-6,-3-2 0-1250-1,-1 0 0 0 0,-1 0 0 1176-6,-1 3 0-1176 0,-1 0 0 0 0,1 2-30 1105-449,-8-24 0-1105 0,1 5 45-613 284,3 15 0 613-1,0 6 0 1013-8,5 17 0-1013 0,2 5-135 957 477,-6-16 90-957-1550,8 28-180-613 1550,4 10-3058 613 0,3 12 3238 0 0,1 1 0 0 0,1 5 0 0 0,1 3 0 0 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1:38.927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0 175 11400,'3'-23'6477,"9"20"-6027,8 34-181,12 32-179,3 14 360,-3-5 0,-13-26-360,-5-29 0,-5-53 0,5-27 0,-2 13 0,3-2 179,4 1 1,4 3 0,30-36 270,-3 31-1,10 39-179,-12 43-360,6 36-675,-32-21 1,-2 4-1440,-3 1 0,-2 1-7420,11 42 9534,-10-35 0,-6-21 0,-7-29 0</inkml:trace>
  <inkml:trace contextRef="#ctx0" brushRef="#br0" timeOffset="233">1114 42 12030,'2'-33'7916,"-5"25"-7197,-2 43-359,-8 56-1350,6-24 1,-1 7-1620,0 10 1,0 2 2608,2-4 0,1-6 0,-1 20 0,5-43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1:28.743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175 640 9961,'-50'48'3553,"0"0"0,-25 5-3373,102 41-180,25-65 90,33-7 450,1-46-90,-23-49-361,-51 11 1,-13-6 0,-14-13 0,-9-3 180,-12-9 0,-3 1-90,4 12 0,3 4-135,7 14 0,11 8 45,25 1 539,57 76-359,-17 34 0,-2 21-180,-11-6 0,-1 9 0,-3 5-257,-8-11 1,-2 4-1,-2 1 1,-2 0 188,-3 0 1,-1 0-1,-3-1 1,0 1-23,-3-4 0,0 1 0,-1-2 0,-2-2-74,0 12 0,-1-3 0,-1-2 74,-2-9 0,0-2 0,-2-4 0,0 13 0,-4-9 0,-15 4 0,-25-75 0,5-31 0,-1-15 45,-12-22 0,1-8-45,2-6 0,5-2-135,8 2 0,11 1-352,17 7 0,14 2-1312,14 6 0,14 3-944,16-2 0,8 6 2743,-4 10 0,1 7 0,-3 8 0,-2 6 0,19-6 0</inkml:trace>
  <inkml:trace contextRef="#ctx0" brushRef="#br0" timeOffset="684">1278 500 12750,'-3'-15'5217,"-4"20"-4678,-8 44-89,0 24-270,5 17 0,5-12 899,4-9-899,1-94-180,0-62 45,2 7 0,0-6 45,1 0 0,1 2-45,1 13 0,0 8 45,5-4 90,10 57 0,6 55-180,-3-3 0,2 5 45,2 5 0,1-1-45,2-2 0,1-5 90,31 11-90,0-49 0,-1-56 0,-29 8 0,-3-6 269,-3-4 1,-1 0-45,-4 4 0,-3 4 315,6-10-270,-5 38 449,-8 59-449,5 35-225,-9-29 0,0 3-1529,1 9 0,1-1-3733,5 30-3868,5 5 9085,-6-45 0,-3-19 0,-6-23 0</inkml:trace>
  <inkml:trace contextRef="#ctx0" brushRef="#br0" timeOffset="984">2350 689 9242,'-8'-33'7825,"-1"-2"-7645,5 32-90,0 32-2698,3 22-4948,3 18 7556,-1-21 0,0-25 0,0-12 0</inkml:trace>
  <inkml:trace contextRef="#ctx0" brushRef="#br0" timeOffset="1133">2258 405 8252,'-12'-24'337,"3"7"1,0 0-1,5 10 1</inkml:trace>
  <inkml:trace contextRef="#ctx0" brushRef="#br0" timeOffset="1634">2623 578 8972,'25'-29'8005,"-10"5"-7465,-32-3-180,-16 27-180,-15 13-90,1 57-180,29 11-180,19 13 0,52-18 360,7-50 0,16-35 0,-26-59-90,-32 14 0,-7-6 0,-6-12 0,-5-3 225,-4-2 0,-3 2-1,-1 8 1,-3 4 135,-9-23 180,-7 52-270,6 51-180,5 43-1440,20 37-629,7-40 1,5 2-541,7 2 1,4-3 2518,-3-10 0,2-5 0,24 22 0,-14-31 0</inkml:trace>
  <inkml:trace contextRef="#ctx0" brushRef="#br0" timeOffset="2517">3308 714 8252,'11'-36'7016,"-12"-23"-4947,-17-8-990,-18 1-179,-38 35-540,8 49-360,-5 37-360,36 28-719,37 7 629,29-25 270,22-34 270,6-60-180,-8-44 45,-24-7 0,-5-9 270,-9 14 0,-3-2 89,0-15 1,-5 3-135,-6 30 0,-5 7 180,-13-14-180,-7 50 180,0 60-270,16 7 0,6 9-45,6 19 0,8 6-45,11 8 0,8 0-45,11-1 0,6-7 45,-1-18 0,5-9 0,6-11 0,3-14 0,26-23 0,0-52 45,-52-2 0,-8-8 89,-3-5 1,-6-2 45,-4 0 0,-6 2 0,-12-31 0,-18 38-90,-11 39 0,1 44-90,13 30-90,19 15 0,26-6 90,19-21 0,14-28 0,4-37 180,-16-20-180,-16-11 0,-22 14-450,-15 21-1709,0 27-2518,13 24 4677,37 18 0,-2-13 0,22-3 0</inkml:trace>
  <inkml:trace contextRef="#ctx0" brushRef="#br0" timeOffset="3117">1045 1769 8342,'-7'-25'7736,"0"1"-5487,3 11-540,-5 24 0,-3 38-540,0 48-899,12-30 0,5 2-630,8 3 0,8-3-1304,8-8 0,7-8-450,5-14 0,5-11-3283,52-18 5397,-28-28 0,-22-6 0,-31 8 0</inkml:trace>
  <inkml:trace contextRef="#ctx0" brushRef="#br0" timeOffset="4134">1041 2009 8342,'-74'-1'5037,"24"-2"-4497,66-2 449,22 2 1,42 16-181,-4 14-539,-30-4 0,-2 3 0,20 26-180,-11-2 0,-7-17 0,-3-22 90,-2-28 269,-1-24-179,-5-9-90,-8 7-90,-7 15 0,-4 26-90,0 15-540,12 15-269,6-6 449,9-14 180,-1-26 180,-6-31 450,-9-23 90,-10-7-540,-8 10-1080,-9 29-719,-6 24-899,0 27 1079,13 14 629,29 8 1260,30-6 1079,19-15 630,4-21 90,-17-18 0,-22-7-270,-22 6-1439,-23 24-270,-6 25-360,-2 26-540,29 11 91,44-3 584,-23-34 0,5-7 135,6-6 0,0-10 135,-7-11 0,-6-10 134,18-52 181,-41-21 0,-41-1-180,-38 28-270,-18 38-1170,5 42-1438,37 29-1350,54 12 3958,36-9 0,10-13 0,-5-17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1:27.060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162 96 10681,'-15'-24'4767,"-3"2"-4227,1 6-180,0 4-90,7 5-1,0 0 2700,2 0-2520,1 9 541,3 23-406,-1 20 1,1 12-360,-1 14 0,0 6-135,-1 21 0,0 2-45,1-8 0,0-4 494,1-17 1,1-7 0,0 14-360,-1-62 0,4-61-180,3-18 0,3-12 0,6-21 0,3-5-45,-1 8 0,1 1 45,3 0 0,0 8 0,8-1 90,-3 43 0,14 51-90,-6 30 0,-1 13-495,1-2 0,1 4-1394,11 23 0,0 3-1124,-6-14 0,-2-4-630,-6-9 0,0-5 3643,13 21 0,-27-46 0,-12-18 0</inkml:trace>
  <inkml:trace contextRef="#ctx0" brushRef="#br0" timeOffset="817">303 604 9781,'-69'-44'6117,"17"3"-5937,73-3 0,28 10 44,3 11 1,5 4 0,-5 10 0,0 5 45,1 4 0,-1 5 90,27 22-90,-15 15-181,-22-7 361,-7-1-360,-17-19 90,13-29-90,10-36 90,-10 10 0,0-2 90,20-32 0,0 22-181,-24 51 1,-1 25-90,1 19 0,4 5 0,12-11 0,12-23 90,9-36 90,-6-25 90,-15-8-180,-21 5-90,-20 24-540,-16 12 360,6 17 180,10 13-89,25 19 89,21 29 44,-20-15 1,-3 6-45,0 11 0,-4 5 135,-5 8 0,-8 1 315,-9-1 0,-10-2-46,-11-9 1,-10-5-315,-9-12 0,-10-11-1349,-9-13 0,-5-12-1350,0-15 1,1-10 2608,12-9 0,6-4 0,-13-11 0,38 4 0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1:42.743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528 584 8612,'-5'-36'5577,"-9"-7"-4048,-21-7-450,-31 12-719,14 34 0,-4 11-135,-7 13 0,1 10-180,1 9 0,9 9-45,14 3 0,14 3 0,28 37 0,36-47 0,16-9 45,1-14 0,5-8 314,9-2 1,1-10 494,-7-14 1,-8-8-135,5-19-540,-31 0 0,-79 23-90,-30 35-90,27 2 0,2 7-45,8 7 0,10 5-1844,16 39-990,55-16 91,19-38 0,11-11 2788,-9-7 0,0-6 0,5-2 0,-5-4 0,20-11 0</inkml:trace>
  <inkml:trace contextRef="#ctx0" brushRef="#br0" timeOffset="266">1021 623 10141,'-46'-17'7826,"27"22"-7646,38 31-1889,43 33-1530,3-7-628,7 1 3867,-21-22 0,-26-24 0,-13-9 0</inkml:trace>
  <inkml:trace contextRef="#ctx0" brushRef="#br0" timeOffset="483">1393 729 10591,'-17'-17'6386,"-22"14"-5756,2 24-405,-2 11 0,-1 10-1170,-3 17 1,3 5-585,4-4 0,4 0 1529,3 8 0,8-7 0,9-13 0,15-14 0</inkml:trace>
  <inkml:trace contextRef="#ctx0" brushRef="#br0" timeOffset="867">1548 894 8702,'4'-43'8635,"-14"4"-8455,-21-3 90,-7 31-180,-15 38-270,23 27-270,16 14 180,29-11 450,28-29 630,4-24 89,15-28 1,-14-5-361,2 1-539,-8 15-1799,-1 25-1349,-9 11-5037,12 20 8185,-19-18 0,-1-4 0,-17-17 0</inkml:trace>
  <inkml:trace contextRef="#ctx0" brushRef="#br0" timeOffset="1283">2269 908 7892,'26'-54'7916,"-13"1"-5308,-12-16-1978,-30 30 180,-23 38-540,-4 44-810,18 32-1709,36 16 0,41-17 1620,33-32 1438,22-54-179,-49-16 0,-4-12-181,-4-20 1,-8-8 0,-8-8 0,-9-3-1,-7 0 1,-7 2-180,-4 14 0,-5 6 269,-12-8-269,-8 70-450,13 54-1394,12-7 0,6 6-1529,6 6 0,4-1 3103,13 33 0,-3-34 0,-11-41 0</inkml:trace>
  <inkml:trace contextRef="#ctx0" brushRef="#br0" timeOffset="1483">2480 788 7982,'-23'-16'7286,"0"0"-7286,16-4-989,29-3-2249,46-7 3238,-13 13 0,2 2 0,34-8 0,4 5 0</inkml:trace>
  <inkml:trace contextRef="#ctx0" brushRef="#br0" timeOffset="2200">3342 501 14369,'2'19'1529,"0"10"-1079,3 22-270,9 25-90,6 6-90,0-9 89,-5-28-89,-4-46 0,-6-37 90,2-53 180,-4 36 0,0-2 90,0 1 0,1 1 89,3-33-359,0 59-90,-2 26 0,8 57 90,7 10-90,23 12-90,24-17 180,20-35-90,-36-29 0,-1-10 0,-1-9 0,-3-7 0,-5-2 0,-4-2 90,22-28-90,-22 19 0,-13 23 0,-3 20 0,12 25 0,23 21 0,14 5 0,4-5 90,-18-16 180,-14-12-270,-18-9 0,-1 5-1709,-13 10 1709,-3 22 0,-6-19 0,-2 5 0</inkml:trace>
  <inkml:trace contextRef="#ctx0" brushRef="#br0" timeOffset="2350">4667 568 8882,'-36'-35'210,"15"14"0,7 9 0</inkml:trace>
  <inkml:trace contextRef="#ctx0" brushRef="#br0" timeOffset="2833">4898 490 9422,'-6'-20'5936,"-14"4"-4766,-21 7-901,-17 26-89,-1 27-270,16 24-809,29 8 179,35-11 630,32-23 810,33-48-270,-10-33-360,-30-5 0,-7-11 89,-13-7 1,-9-3 45,-2 3 0,-6 1-90,-5 3 0,-7 7 225,-31-7-180,-10 56-90,-8 39-900,26 17 1,8 11-811,8-2 1,6 2 405,2 8 0,7-2 44,11-11 1,7-7 1169,29 13 0,-16-26 0,-5-26 0</inkml:trace>
  <inkml:trace contextRef="#ctx0" brushRef="#br0" timeOffset="3567">5684 565 8162,'6'-21'6117,"-16"-9"-4588,-17 1-450,-36 9-269,-32 32-630,42 7 0,2 9-90,1 7 0,6 6-270,11 3 0,10 2-990,13 37 451,46-27 449,32-37 540,18-48-225,-41-9 0,-4-13-45,-2-16 0,-6-10 90,-4-14 0,-6-3 224,-6 3 1,-5 4-135,-4 11 0,-6 7 270,-13-8 0,-18 78-181,-8 84-224,17-16 0,7 8-180,6 20 1,12 2-361,14-3 0,14-5 135,15-8 1,11-12 224,4-18 0,6-16 90,3-18 0,0-19 270,-8-23 0,-6-17 179,-3-17 1,-9-11 0,-5-9 0,-9-4-181,-10 3 1,-12 2-45,-14 13 0,-15 9 720,-63 6-541,0 55-314,35 27 0,10 16-1035,24 10 1,15 7-1125,12 9 1,14 0-361,17-3 1,9-7 2473,-5-16 0,1-8 0,-3-11 0,-2-8 0,10-3 0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04.742"/>
    </inkml:context>
    <inkml:brush xml:id="br0">
      <inkml:brushProperty name="width" value="0.08571" units="cm"/>
      <inkml:brushProperty name="height" value="0.08571" units="cm"/>
      <inkml:brushProperty name="color" value="#FF0066"/>
    </inkml:brush>
  </inkml:definitions>
  <inkml:trace contextRef="#ctx0" brushRef="#br0">200 100 9961,'-2'-16'9175,"1"12"-8815,3 32 989,4 65-1124,-1-37 0,1 5-45,2 33 0,0 9-180,-3-31 0,0 1 0,0 0-315,1 25 0,0 0-585,-2-27 1,0 1 0,0-5-1710,1 1 1,0-5 2608,5 33 0,-3-39 0,-4-40 0</inkml:trace>
  <inkml:trace contextRef="#ctx0" brushRef="#br0" timeOffset="1437">13 200 7623,'-9'-20'4947,"6"4"-3418,15-12-899,36 10-361,5 6 1,10 1-90,21 3 0,9 2-30,-12 1 0,5 0 0,3 2-232,-14 0 1,2 2 0,2-1-1,-1 0 239,3 1 1,1-1-1,0 0 1,0 0-1,-1 1 1,1-1-1,-1 1 1,-1-1 21,-3 0 1,-1 0 0,0 0 0,-2 0 0,19-1 0,-3 0 0,-1 1-74,-9 0 1,-1 0 0,-4 0 163,19-1 0,-8 0 134,-21 1 1,-7-1 225,15-1 180,-21 1-271,-23 0 407,-4 1-856,-8 1 139,-2 7-139,-1 13 0,0 20 0,-1 20 0,4 20 269,2 14-179,-8-43 0,0 0-90,1 1 0,0 1 45,0 0 0,-1 1-90,-1-2 0,0 1 0,-1-2 0,-1 0-45,6 41 90,-3-14-90,-3-18 180,-2-7 0,-3-12-180,-1-8 89,-2-3 1,0-11 0,-7 3-90,-3-3 0,-11 3 0,-11-5 0,-16 0 0,-27-2-45,18-8 0,-8-1 0,-23-2 0,-11 0 15,6-2 0,-8 1 1,-3-1-205,17 1 0,-3 0 0,-1 1 1,0-1 233,-6 1 0,-2 0 0,0 1 0,4-1 0,9 0 0,2 1 0,2-1 0,4 0 0,-7 0 0,4 0 0,7-1 0,-8 0 0,9-1 0,-25-2 0,35 0 0,24 0-90,14 1 1025,9 0-4713,1 1 3778,0 0 0,8 0 0,1-1 0</inkml:trace>
  <inkml:trace contextRef="#ctx0" brushRef="#br0" timeOffset="3800">1676 1154 15088,'4'33'2339,"1"25"-1889,5 14-270,3-12 0,5 2-135,4-9 0,5-1-1,11 9 1,8-5-90,5-13 1,4-9-46,-4-7 0,2-6-450,10-8 0,0-7-629,35-13 674,-45-2 0,-2-3-44,19-16 179,-10-11 360,-31 13 720,-5-11 269,-26 17 0,-11-3-449,-3 11-180,-11 2-270,20 13-90,6 4 0,25 16 0,11 8 0,7 9 0,-8 5-540,-17 4-2878,-27 9 3418,-21-7 0,5-15 0,3-15 0</inkml:trace>
  <inkml:trace contextRef="#ctx0" brushRef="#br0" timeOffset="5500">3513 1240 7892,'-5'-12'5128,"-2"9"-4319,3 22-89,6 23-91,12 20-359,19 0-90,21-19 0,18-31 180,10-42 359,-6-31 91,-16-10-270,-22 7-91,-19 29-89,-4 29-180,-5 35-360,5 30-1619,6 21-1889,6 1 3688,7-13 0,-15-32 0,-1-15 0</inkml:trace>
  <inkml:trace contextRef="#ctx0" brushRef="#br0" timeOffset="5733">4353 1187 8522,'-9'-5'6386,"-2"29"-6206,-1 20-1349,5 30-1529,12-1 2698,4-15 0,-1-26 0,-3-17 0</inkml:trace>
  <inkml:trace contextRef="#ctx0" brushRef="#br0" timeOffset="5933">4290 1363 11490,'6'-18'810,"14"-5"-2159,19 2 1349,23-10 0,-24 14 0,-3 1 0</inkml:trace>
  <inkml:trace contextRef="#ctx0" brushRef="#br0" timeOffset="6284">4732 1104 12210,'-19'7'2159,"5"10"-1979,7 16 0,20 21-180,12 6 0,7 3 179,4 0 91,-15-23-180,-5 2 0,-28-20-1169,-32-13-720,-8-12 1799,-26-32 0,44 19 0,0-14 0</inkml:trace>
  <inkml:trace contextRef="#ctx0" brushRef="#br0" timeOffset="6450">4691 1072 9691,'14'-2'1709,"24"-9"-4497,-6 1 2788,24-7 0,-31 10 0,-4 2 0</inkml:trace>
  <inkml:trace contextRef="#ctx0" brushRef="#br0" timeOffset="6817">3855 1782 7803,'-22'16'5846,"17"-6"-5396,11 6 0,63-23-405,-10-4 0,6-3-450,17-7 0,3-2-540,1-2 1,-1 0-675,-13 2 0,-6 2 1619,17-5 0,-41 13 0,-29 9 0</inkml:trace>
  <inkml:trace contextRef="#ctx0" brushRef="#br0" timeOffset="7183">4380 1775 7713,'-32'13'5127,"12"-3"-4048,-2 11-629,40 2 359,9 6-359,8-1 450,-13 22-451,-27-7-269,-10 21 0,-6-18-180,1-7-270,16-20-719,24-17-2339,38-26 3328,-5 0 0,2-3 0,32-16 0,-38 20 0,0 0 0</inkml:trace>
  <inkml:trace contextRef="#ctx0" brushRef="#br0" timeOffset="7450">5560 1591 7083,'-17'-9'90,"32"0"-90,-10-4 0,21 6 0,-18 4 0</inkml:trace>
  <inkml:trace contextRef="#ctx0" brushRef="#br0" timeOffset="7633">5616 1703 9871,'-14'19'1799,"14"-7"-3058,26-16 1259,24-10 0,-14 2 0,-1 1 0</inkml:trace>
  <inkml:trace contextRef="#ctx0" brushRef="#br0" timeOffset="10117">6060 1333 10321,'-8'-11'4587,"3"11"-3957,6 41-360,8 7-180,11 20 0,13-16-90,14-19 90,10-26 90,1-27 449,-7-14-269,-13-3-90,-15 11-90,-8 8-180,-8 17-180,-3 18-1619,-1 29-1439,-2 7 3238,4 11 0,-2-34 0,1-8 0</inkml:trace>
  <inkml:trace contextRef="#ctx0" brushRef="#br0" timeOffset="10300">6569 1645 8522,'-10'-16'584,"3"-5"1,1 7 0,4 1 0</inkml:trace>
  <inkml:trace contextRef="#ctx0" brushRef="#br0" timeOffset="10633">6826 1418 11850,'12'17'2249,"3"6"-1889,6 10 89,5 12-89,0 11-90,-8-6-180,-8 3-90,-20-23-809,-15-11-1710,-16-26-2608,-4-39 5127,14 10 0,11-6 0,19 32 0</inkml:trace>
  <inkml:trace contextRef="#ctx0" brushRef="#br0" timeOffset="10783">6822 1350 7443,'37'-22'2069,"5"0"-2339,18-2-1799,4 2 1006,-19 7 0,-12 4 0,-25 9 0</inkml:trace>
  <inkml:trace contextRef="#ctx0" brushRef="#br0" timeOffset="11383">7260 1240 7803,'-38'-50'3508,"-22"-4"-3194,14 24 1,-7 3-45,-16 3 0,-7 9-210,11 9 0,-3 6 0,-2 6 30,-12 6 0,-3 7 0,2 4-74,4 3 1,2 2 0,2 5 192,4 3 1,3 4 0,9 3 15,0 11 0,16 5-41,21 2 0,18 3-139,22 1 0,16-3-45,21 2 0,13-7-30,-13-20 0,5-5 0,2-5-30,3-6 0,2-4 0,1-7 30,1-6 0,1-5 0,-2-7-15,29-13 0,-4-11 0,-6-12 1,-5-9 44,-10-10 0,-8-7 44,-14 0 1,-11-4-45,-12 1 0,-15 0 0,-17 6 0,-16 5-630,-19 7 1,-13 9-2339,-16 9 0,-4 9 2968,15 8 0,1 7 0,0 8 0,6 5 0,6 4 0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21.009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759 21 10369,'-71'12'327,"1"1"1,-22 7 0,7 5 163,36-3 1,4 4-1,-13 8 1,7 6 491,11 42-492,68-43 1,22-6-165,9-12 1,13-7 0,3-4-1,15-1 1,6-4 0,0-5-1,1-2 1,1-4 0,-6-3-1,-16 0 1,-3-2 0,-10-2 163,0-3 1,-24-5 491,-47-7-492,-46 17 1,-25 13-347,1 4 1,-10 5 0,-3 4-169,11 0 1,-2 3 0,-1 1-1,2 2 23,6 1 0,0 1 0,3 1 0,6 2-45,-38 19 0,32 4 45,68 14 0,67-47 0,28-17 30,-13-5 0,6-8 0,1-3 0,5-6 0,1-5 0,-3-3 30,-9-2 0,-4-3 0,-8-3 30,1-8 0,-20-4 90,-29-34-90,-53 52 0,-19 10 0,-6 10 0,-10 8 0,-5 5-90,-19 8 0,-7 7 0,0 7 0,22-2 0,-2 5 0,2 3 0,5 2 0,-12 9 0,6 3 0,15 6-45,6 21 0,36-2 45,72-17 0,35-14 0,-3-17 0,13-12 0,3-7 22,-10-5 1,3-5-1,1-6 1,-3-4-1,-6-5 1,-1-3-1,-4-5 1,-7-3-23,6-8 0,-7-4 0,-16-6 45,-10-22 0,-32-2 0,-47 10 0,-29 9 14,-3 21 1,-14 9 0,-5 7-60,10 9 0,-6 4 0,-2 6 0,2 4 0,1 6 0,0 5 0,1 5 0,6 3 0,-8 4 0,6 6 0,19 11 0,17 36 0,37 3-45,56-17 1,32-12 73,-9-12 1,10-7 0,5-7-30,-14-13 0,4-5 0,0-5 0,-3-4-30,14-7 0,-4-7 1,-7-4 29,16-10 0,-27-11 0,-51-39 0,-77 45 0,-29 10-90,24 10 0,-5 4 0,-3 4-238,-26 6 0,-7 6 0,10 6 164,0 10 0,10 4 0,10-7 0,15 4 0,25 13 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1:34.776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4250 5806 10681,'-18'3'2608,"14"-2"-3957,31-11-1709,40-12 3058,2-2 0,-10 3 0,-36 13 0</inkml:trace>
  <inkml:trace contextRef="#ctx0" brushRef="#br0" timeOffset="534">4534 5850 9871,'-11'9'5307,"0"-1"-6116,27-4-181,27-8 0,6-3 1,6-4 494,14-7 1,2-4 854,7-3 0,-2-4 629,-7-1 1,-6-1 808,20-19 721,-46 10-1260,-41 27-89,-21 20-541,-8 32-449,15 22-180,31 11-90,32-14 90,30-29 0,16-44 180,-10-41-45,-50 16 0,-10-7-90,-14-6 0,-13-1-45,-16 4 0,-10 5-450,-9 8 0,-6 10-2788,-51 10-899,36 49-1530,57 31 5667,22-15 0,35-3 0,-17-29 0</inkml:trace>
  <inkml:trace contextRef="#ctx0" brushRef="#br0" timeOffset="1434">5736 5622 9332,'48'-46'8905,"-15"-8"-7016,-28-13-720,-39 4-180,-32 23-539,-28 38-360,46 21 0,5 10-135,7 10 0,9 7-315,14 9 0,14 3-225,15-4 1,13-4 269,8-8 0,8-10 270,6-15 0,3-15 270,-1-21 0,-4-17-45,-5-22 0,-8-14-90,-6-20 0,-10-7 149,-12 29 1,-5-2 0,-3 2 30,-5-27 0,-7 7-180,-4 18 0,-6 11 0,-31 5-450,-10 88-944,35 18 0,11 14-765,7 28 0,15 8 779,6-28 1,6 1 0,7-3 629,8-3 1,6-2-1,5-7 525,28 14 1,7-15 1168,1-23 0,3-16 90,-10-13 1,-1-16 494,-2-22 0,-9-14-630,-21-2 1,-11-7-46,-5-16 1,-14-2-136,-18 8 1,-13 4-315,-6 10 0,-8 9-46,-39 0-359,26 59 0,4 18-135,16 9 0,8 9-225,0 17 1,14 4-901,34 7 1,16-5 629,1-24 1,6-8 359,7 0 0,3-19 180,-6-33 0,-5-18 90,6-52 149,-36 18 1,-4-11 0,-6 2 479,-5-20 1,-6 0-270,-1-9 0,-3 5-135,-1 26 0,-6 14-46,-12 18-269,5 35-1709,3 66-1079,25-3 0,11 6 134,4-5 1,5 0 2307,9 6 0,4-6 0,24 7 0,-10-26 0</inkml:trace>
  <inkml:trace contextRef="#ctx0" brushRef="#br0" timeOffset="1650">7515 5546 17247,'21'-24'-1889,"16"-3"-1169,18 0-2069,9 0 5127,-18 10 0,-17 6 0,-23 10 0</inkml:trace>
  <inkml:trace contextRef="#ctx0" brushRef="#br0" timeOffset="2050">7547 5563 7713,'-43'31'4947,"12"-1"-4767,18 1-180,51-17 0,21-19 224,-10-10 1,1-6 765,22-31 179,-12-19 540,-38-4-270,-28 5-719,-13 13-450,3 21-270,16 29 90,24 33-180,21 29-180,10 19-809,-10 4-1530,-27-3-2968,-31-10 5577,-12-19 0,2-18 0,11-19 0</inkml:trace>
  <inkml:trace contextRef="#ctx0" brushRef="#br0" timeOffset="-866">782 6083 10051,'-3'6'4588,"18"-2"-3959,61-10-494,-12-5 0,6-4-90,19-8 0,3-3 0,-4-1 0,-3-3 449,-5-4 1,-11-3 315,-5-21-180,-41 2 359,-81 10-629,-5 19-270,-5 8 0,60 22-90,65 20 0,34 14 45,-25-8 0,0 3-90,-19-4 0,-5 3-675,25 36-2968,-62 11-4407,-23-16 8095,-5-8 0,9-26 0,11-23 0</inkml:trace>
  <inkml:trace contextRef="#ctx0" brushRef="#br0" timeOffset="-483">2224 5789 10051,'38'-25'7736,"0"23"-7466,0 39 89,3 40-269,-10-8 0,-2 1-90,-2-54 0,-1-35 90,21-57 270,-15 18 0,2-1-225,-4 6 0,3 3 0,5 1 0,2 11-45,22 24-180,-14 30-4318,3 61-3957,-8 12 8365,-9-7 0,6-17 0,-15-39 0</inkml:trace>
  <inkml:trace contextRef="#ctx0" brushRef="#br0" timeOffset="-11116">2964 3273 9422,'-11'-32'7555,"7"16"-6655,16 46-1,11 35-269,7 21-270,-13-30 0,-1-2 809,7 24-450,-4-15-629,-13-42 0,-4-51 0,9-44-90,1 19 0,5-2 0,6-4 0,4 4 45,1 9 0,5 6 315,52-9 270,-7 52-181,7 39-179,-21 35-360,-24 16-1799,-17-8-4767,-8-11 6656,0-28 0,-8-15 0,3-17 0</inkml:trace>
  <inkml:trace contextRef="#ctx0" brushRef="#br0" timeOffset="-10933">3983 3344 10591,'2'-14'3418,"22"1"-4228,23 0-3417,28-1 4227,-16 2 0,-15 4 0,-30 5 0</inkml:trace>
  <inkml:trace contextRef="#ctx0" brushRef="#br0" timeOffset="-10733">4111 3374 10231,'-39'16'6117,"44"-1"-8096,31-13-1799,60-13 3778,-42-1 0,-2-1 0,18-5 0,-23 4 0</inkml:trace>
  <inkml:trace contextRef="#ctx0" brushRef="#br0" timeOffset="-9383">4829 3138 13559,'-9'6'1889,"5"3"-1709,24 14 0,12-3 450,17-4 539,7-16 360,-5-21-539,-15-20-361,-29-9-179,-35 1-180,-29 20-180,-17 32-90,9 36-90,28 29-720,46 20 1,38-9 539,31-23 315,-29-44 0,3-12 180,1-11 0,-2-11 89,1-11 1,-3-7 90,-7-3 0,-5-2 134,-7 2 1,-5 1 539,10-22-719,-7 42-270,-4 35 0,6 27-90,8 9 0,9-16 0,5-25 90,0-26-90,-4-19-90,-9-9 90,-7 6 0,-9 17 0,-3 20 0,3 24 0,5 6 0,14 4 0,5-15 180,5-22-90,-11-22 180,-19-18-180,-24-6 0,-22 12-180,-15 30-180,-1 32-989,12 29-1170,23 10 990,29-5 719,27-19 450,20-27 540,7-29 450,-8-17 179,-12-11-449,-21 10 360,-7 8-541,-13 22 1,3 23-180,-6 17 0,1 8-90,-3-2 90,4-24 0,5-24 180,11-28 360,8-18-271,7 0 631,2 19-540,-1 27-271,-5 31-1258,-6 31-3328,1 23-541,8 8-2877,9-9 7825,-14-28 0,-9-22 0,-25-22 0</inkml:trace>
  <inkml:trace contextRef="#ctx0" brushRef="#br0" timeOffset="-9216">7251 3150 9242,'17'-38'4137,"5"-1"-4406,8 2-1710,37-4 1979,0 13 0,-9 7 0,-20 11 0</inkml:trace>
  <inkml:trace contextRef="#ctx0" brushRef="#br0" timeOffset="-9032">7436 3067 8882,'-25'11'6206,"-3"4"-7375,17-1 449,20-3 720,41-10 0,-17-1 0,9-7 0</inkml:trace>
  <inkml:trace contextRef="#ctx0" brushRef="#br0" timeOffset="-12199">895 3510 11131,'-14'2'8725,"26"0"-8006,27-2-269,60-6-360,-31-1 0,4 0-90,10-2 0,2-1-630,-4 1 1,-2 0-721,-11 2 1,-5 0-2878,34-2-1620,-28 3 5847,-27 2 0,-20 2 0,-13 1 0</inkml:trace>
  <inkml:trace contextRef="#ctx0" brushRef="#br0" timeOffset="-11866">1842 3379 7533,'-28'-21'5846,"-8"-2"-3507,-13-7-540,3 6-630,1 4-989,40 27-180,32 11 0,46 26 45,-28-20 0,0 0 135,39 23 0,-28-5-180,-40 12-1169,-36 0-2699,-25 12 3868,-8-11 0,19-24 0,13-12 0</inkml:trace>
  <inkml:trace contextRef="#ctx0" brushRef="#br0" timeOffset="51366">4354 323 9961,'-16'-10'4318,"7"-4"-3689,47-5-449,22 0 0,14-1-120,-6 3 0,6-1 0,3 1-270,12-3 0,3 1 0,0 0 210,0 1 0,1 0 0,-6 2 30,-17 4 0,-3 0 0,-4 2 327,15-2 1,-8 1 631,22-1-449,-46 5-90,-16 4-360,-21 9 179,-4 3 816,-10 37-455,-1 23-361,3-11 1,1 6 0,2 19 0,3 5-210,0-21 0,0 3 0,1 1-133,0 7 1,0 2 0,0 0 132,0 0 0,-2 0 0,1-2 60,-2-3 0,0-2 0,-1-1-31,0 26 1,-1-4-45,-1-12 0,0-4 0,0-14 0,-1-3 135,-3 35 90,0-30-180,-4-24 307,-13-16-397,-19-11 0,-17-6 0,1-3 0,-5 1 0,0 2 0,-2 1 0,-12 1 0,-1 2 0,-1 4 0,3-1 0,23-4 0,3 0 45,-1 1 0,4-1 45,1 0 0,11-10 0,19-18-90,2-45 0,12 1 0,5-9 0,-1-10 0,1-11-282,-1 16 1,0-8 0,-1-3-1,0 2 237,-2 4 0,-2 0 0,0 0 0,0-3 22,-1-15 1,0-3 0,-1 0-1,-1 4-62,0 17 0,0 1 1,-1 4-1,1 3 55,0-6 0,-1 5 0,2 5-60,0-4 0,1 9-630,0-14-2338,3 34-4228,5 48 7535,0 10 1,0 14-1,-2-15 1</inkml:trace>
  <inkml:trace contextRef="#ctx0" brushRef="#br0" timeOffset="52982">5000 1174 10591,'-6'-11'3328,"-2"2"-3058,-29 4 629,-21 7-629,-20 3-135,20 2 0,-6 3 90,-21 7 0,-4 4-135,4-2 0,-4 3-241,4 2 1,-5 2 0,2 1 180,15-3 0,3 0 0,-4 2-30,6-1 0,-3 2 0,-1 1 0,2 0 0,-15 9 0,1 0 0,1 1-30,-3 3 0,0 1 0,1 1 30,0 2 0,0 1 0,1 2 0,1-1 0,1 2 0,-2 0 0,18-9 0,0 0 0,-1 1 0,0 1-240,-1 1 0,0 0 0,0 1 1,-1 1 239,-1 1 0,-1 0 0,0 0 0,1 1 0,-1 2 0,0 1 0,0 0 0,1 0 0,0 1 0,0 0 0,1 1 0,1 1 0,3-1 0,0 1 0,1 1 0,2 0-129,5-2 1,1 1 0,1 1 0,3 0 128,-12 15 0,4 1 0,2 1 30,6-1 0,3 2 0,2 0-30,6 1 0,2 1 0,3 1 0,1 3 0,2 1 0,3 3 60,2 3 0,2 2 0,3 2 0,2 3 0,2 2 0,3 0-31,3-1 1,3 2 0,2 1 15,5-16 0,2 3 0,2-1 0,2-1-23,1-4 1,3-2 0,1 0-1,2 1 0,3 3 1,2 2 0,1-1-1,4-3 0,2-3 1,3-3 0,2 0-1,3-2 8,13 19 0,6-1 0,4-4-53,-8-20 1,2-2 0,4-2-1,2-2 45,4-3 1,2-2 0,4-3-1,2-3-201,4-2 0,3-3 0,1-3 0,2-4 179,2-4 0,0-3 0,3-4 0,-1-2 0,3-3 0,0-4 0,1-2 0,-1-3 22,-5-2 1,0-3-1,-1-3 1,0 0 41,23-4 1,-1-2 0,-2-3-65,-7-1 0,-1-3 0,-1-2 0,-3-1 0,-2-1 0,-2-2 30,-5 2 0,-1-2 0,-2 1 339,24-8 0,-4 1-369,-9 3 0,-5 0 260,-12 3 1,-3 1-261,-8 2 0,-2 1 844,31-10-844,-20 5 407,-19 5-318,-18 4 477,-12-11 243,-21-2 181,-14-8-91,-19 5-179,-1 8-361,0 5-359,16 6-179,16 1-271,42 4 90,29 1 270,-13 3 0,2 2 180,42 8 0,-13 13-90,-37 20-899,-39 33-361,-18-25 1,-6 3-990,-3 5 1,-1 0 2248,2-6 0,3-5 0,-3 9 0,17-31 0</inkml:trace>
  <inkml:trace contextRef="#ctx0" brushRef="#br0" timeOffset="54966">5016 6955 11490,'-7'-20'4408,"3"13"-3958,4 23-1,4 18-89,4 20 180,0-3 179,-2-7-629,2-31 630,-1-59-90,4-10-181,4-36 451,5 32-540,9 18-1,8 35-269,5 32 0,1 29-90,-6 10 90,-7-5-90,-11-18 0,2-43 0,-8-28 90,4-28-90,-7-3 90,-3 12 270,0 18-90,8 30 0,5 30-270,15 31-90,7 14-450,5-4-629,1-17 539,-4-28 270,-6-23 180,-9-25 450,-11-21 450,-10-7-1,-8 4-359,-3 14-270,7 39-180,11 17-180,17 22 1,15-10 89,9-26 180,-1-31 0,-13-31 90,-24-25 89,-29-3 91,-25 13-90,-17 35-90,0 46-360,11 42-1439,30 29-719,39 3 359,42-19 1214,-18-49 1,6-12 584,9-14 0,0-12 675,-1-10 0,-4-10 269,-8-5 1,-9-6 89,-15 1 1,-10-1 314,-18-34 91,-33 31-181,-19 44-449,-1 53-360,14 47-225,32-33 0,10 2-315,11-2 0,9-5-135,6-9 1,6-11 44,47-15 360,-11-67 135,-46 0 0,-8-9 45,-8-19 0,-8-4 315,-7 1 0,-4 1-91,-3 7 1,-1 7 45,-5-14-270,8 63-630,15 46-1529,8 26-7762,31 28 9433,-15-36 0,6-1 0,-27-40 0</inkml:trace>
  <inkml:trace contextRef="#ctx0" brushRef="#br0" timeOffset="55149">7273 6648 13559,'11'-19'-1080,"5"-1"1,-2 6 0,0 3 0</inkml:trace>
  <inkml:trace contextRef="#ctx0" brushRef="#br0" timeOffset="55349">7241 6751 9332,'-17'24'4047,"10"-6"-6205,20-8 2158,33-31 0,-2-1 0,10-16 0</inkml:trace>
  <inkml:trace contextRef="#ctx0" brushRef="#br0" timeOffset="55782">7762 6303 12750,'-17'-9'5397,"1"14"-4948,7 15 181,8 43-540,15 14-360,10 16-180,-3-45 1,6-6 89,25 3 270,6-22 270,2-56 449,-18-12 91,-3-9 180,-11 15-181,2 34-539,-2 20-450,19 64-944,-29-34 0,0 4-2070,3 15 1,-1 2 3283,3 29 0,-10-34 0,-9-35 0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40.008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 1 10141,'0'10'9830,"9"38"-8584,-2-1 1,2 8-932,2 15 0,0 3-315,-1-1 0,-1 1-1979,2 11 0,-1-2-1844,-3-23 0,0-4 3823,7 42 0,-7-55 0,-2-30 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40.674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29 246 9512,'-24'-33'6926,"20"-23"-5127,39-8-900,38 0 180,23 35-269,-11 52-450,-43 50-270,-40-13 0,-13 6 0,-12 5 0,-7 0 179,-4-1 1,-3-4 180,3-12 0,1-6 989,-10 11-1079,25-28 0,37-18-271,16-10-1033,15-6 0,8-3-1080,1-1 0,3-1 180,9-1 0,2 0 1844,9-1 0,-8 1 0,-5 1 0,-2 1 0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41.408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6 141 12210,'-6'-35'5037,"34"-12"-4677,31 15 0,16 5 539,5 42-449,-42 29-270,-18 23-135,-30-19 0,-9 0-45,-16 24 0,-2-9 0,27-40 90,43-40-180,8 0 0,52-7 90,-20 23 90,21 25 809,-35 25-269,-27 4-180,-50 15-1035,-24-39 0,-11-7-854,1-3 0,-3-5-3477,-23-7 1,3-7 4786,-3-10 1,17-6 0,50 11 0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46.574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279 1 15808,'-5'21'3418,"-11"18"-2788,-15 17-1215,5-13 0,-3 2-854,0 0 0,0 0 1439,-3 6 0,1-4 0,1-2 0,9-7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46.974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321 1 15628,'-8'28'3688,"-28"31"-4183,6-14 1,-3 4-1800,-8 15 0,-1 2 2294,4-2 0,3-3 0,-6 16 0,24-33 0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46.058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462 119 9242,'8'-11'6926,"-17"-10"-5667,-20 5-359,-33-7-451,-26 7 91,-10 4-90,8 0-180,30 4 719,27 16 450,37 29-90,14 58-989,-4-21 0,-1 9-240,-4-15 0,-3 4 0,0 2-90,-2 5 0,-1 2 0,0-1-600,-1-5 0,2-1 1,2-2-1860,5 23 0,10-8-1214,9-26 1,7-11 3642,41 5 0,3-41 0,-17-23 0</inkml:trace>
  <inkml:trace contextRef="#ctx0" brushRef="#br0" timeOffset="216">1341 1042 12660,'9'51'5936,"-14"17"-5981,-7-17 0,-5 5-1394,-7 8 0,-2 2-2789,1-6 1,0-2 4227,-13 32 0,21-47 0,14-31 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53.074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13 0 12570,'-6'10'2698,"1"2"-2518,4-1-90,5-1 0,6-5 270,2-5 270,0-5-361,-3-4-269,-9 2 0,-3 4-269,-7 8-1,3 4 180,7 1 180,6-6 1259,5-5 180,3-10-1349,-8-1-810,-7 4 630,-11 10 0,3 1 0,0 4 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53.807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23 43 14009,'-9'7'1979,"1"4"-1799,3 3-270,8 5-90,11-7 540,19-12 719,-4-14 1260,5-19-1979,-21 10-270,-9-2-1080,-11 15-7285,-10 13 8275,6 5 0,0 1 0,9-2 0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43.424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2692 819 7533,'-51'-1'8275,"3"2"-6026,2-1-1170,16 2-629,38-5 0,63-10-1,-10 2 1,6-2 44,8-1 1,-1 1 494,-6 1 1,-4 5 809,19 20-629,-43 39-946,-31-5 1,-9 6-675,-5 12 1,-4 3-2070,-2 4 1,-1 0-676,2-5 1,2-5 3193,3 31 0,5-44 0,5-27 0</inkml:trace>
  <inkml:trace contextRef="#ctx0" brushRef="#br0" timeOffset="650">4408 973 12030,'-17'7'5937,"-11"16"-4858,-9 31-449,9 5-180,22 27-271,72-11-179,16-20 45,-17-33 0,4-12 0,-10-18 0,-4-8 45,24-19-90,-43-36 90,-91-9-135,6 32 0,-5-1 45,-9-4 0,3-1-45,8 2 0,12-3 0,21 0 0,15 0 90,20 5 0,12 4 270,12 9 0,7 10 89,8 15 1,2 14-180,-5 18 0,-5 13-270,-2 14 0,-8 8-1124,-7 8 0,-7 3-1125,-6 2 0,-4 0 2294,-1-8 0,-3-4 0,-1 11 0,2-28 0</inkml:trace>
  <inkml:trace contextRef="#ctx0" brushRef="#br0" timeOffset="884">5418 718 10951,'-7'-14'9085,"4"26"-8726,-2 1-808,17 68-1800,8 3 270,-5-25 0,4 2 1979,1-9 0,0-5 0,4 8 0,-5-28 0</inkml:trace>
  <inkml:trace contextRef="#ctx0" brushRef="#br0" timeOffset="1234">5827 664 10861,'12'-77'7915,"13"9"-7105,21 22 359,13 32-89,-2 39-181,-25 44-674,-29-18 0,-8 5-135,-4 2 0,-1 2-270,0-2 0,6-2-1259,18 29-270,39-40 0,-2-38 0,6-11 269,-5-4 1,1-5 1439,18-10 0,-6-1 0,-6-1 0,-7 2 0</inkml:trace>
  <inkml:trace contextRef="#ctx0" brushRef="#br0" timeOffset="1784">6956 180 8702,'73'-51'3276,"1"1"1,-8 0 0,-10 21-1953,-25 48-1144,-3 20-1,11 44-89,-22-26 0,-2 6-90,1 13 0,-1 4-45,-1 4 0,-1 0 0,-3-4 0,-2-2-225,-5-8 1,-5-3-766,-6-10 1,-7-6-3284,-36 32 4318,-15-33 0,21-25 0,12-18 0</inkml:trace>
  <inkml:trace contextRef="#ctx0" brushRef="#br0" timeOffset="-1366">3 777 8432,'-1'-19'9830,"-1"-8"-8866,7 26 25,11 33-539,15 32-180,10 14 180,18-15 0,-3-41-91,5-16 451,-2-33-270,-21 3-91,-3-1 361,-14 33-720,-10 13-180,3 39-3958,-2 31 90,3-2 3958,-2-34 0,1-4 0,-1-7 0,4-9 0</inkml:trace>
  <inkml:trace contextRef="#ctx0" brushRef="#br0" timeOffset="-1016">1044 918 10411,'0'-18'8365,"-1"0"-8095,22 36 0,17 22-90,-3 3 0,3 4-45,-6-6 0,-1 0 89,4 6 1,-5-2 315,-1 10-360,-22 8-540,-36-22-2248,-33-5-2070,-27-38 4678,42-16 0,2-7 0,-18-18 0,18-20 0</inkml:trace>
  <inkml:trace contextRef="#ctx0" brushRef="#br0" timeOffset="-867">969 964 9961,'5'-33'5667,"5"8"-4947,26-2-1530,30 2-809,-18 9 0,2 0 1619,5-1 0,-2 1 0,10-2 0,-21 6 0</inkml:trace>
  <inkml:trace contextRef="#ctx0" brushRef="#br0" timeOffset="4184">948 1513 15178,'-6'17'2519,"-4"6"-2429,-25 38-990,2-4-719,8-12 0,0 1 1619,-2 14 0,8-20 0,14-20 0</inkml:trace>
  <inkml:trace contextRef="#ctx0" brushRef="#br0" timeOffset="4433">1796 1405 10411,'12'-5'6566,"-12"13"-5846,-19 23-720,-33 44-1260,15-21 1,-1 4-2744,-3 8 1,3-1 4002,9-16 0,4-4 0,-5 18 0,26-51 0</inkml:trace>
  <inkml:trace contextRef="#ctx0" brushRef="#br0" timeOffset="4867">3633 1340 8072,'-5'6'7646,"2"-1"-6657,-22 49-1438,-10 22-1081,6-18 1,0 4 1529,0 3 0,1-3 0,-11 16 0,19-28 0</inkml:trace>
  <inkml:trace contextRef="#ctx0" brushRef="#br0" timeOffset="5784">5312 1242 11580,'-12'17'3778,"-6"-3"-3418,-9-1-360,1-8 0,5-14 0,17-11 180,12-10 180,12 1 89,-1 10-89,1 9 180,-11 12-90,-4 14-180,-16 6-270,0-1 89,-15-2-178,13-18 89,2-11 0,9-4 179,12-16 1,1 16 270,15 5 270,-7 25-91,2 42-449,-24 14-585,-20-5 1,-10 3-1395,-2-16 0,-6-2-765,-8 5 1,-2-6 2563,-25 2 0,39-34 0,17-14 0</inkml:trace>
  <inkml:trace contextRef="#ctx0" brushRef="#br0" timeOffset="6850">3646 1341 7803,'-15'-2'6476,"-8"4"-6116,-9 10 539,-3 12-539,6 7-270,10 10-180,18-9 90,11-9 180,18-25 719,-1-18-269,-3-18-360,-18 1-270,-16 8-540,-4 12 540,6 16 0,7 4-719,3 9-8726,-11 0 9445,-1-1 0,-4-3 0,9-4 0</inkml:trace>
  <inkml:trace contextRef="#ctx0" brushRef="#br0" timeOffset="7934">1668 1423 12660,'-24'-4'3418,"3"2"-3058,-4 11-180,5 8-91,6 7-89,16-2-89,18-10 268,8-14 901,6-13-91,-11-5-809,-10 0-450,-11 4-1079,-17 11 1079,9 8 450,2 0 899,14 0 91,3-8-4588,-15-2-720,-4 9 2429,-2-1 1709,8 6 0,6-4 0,1-3 0</inkml:trace>
  <inkml:trace contextRef="#ctx0" brushRef="#br0" timeOffset="8684">803 1528 13559,'10'25'630,"0"-8"0,7-8-91,-5-11 1440,7-14-1439,-14-2-270,-6-3-360,-9 4-900,-5 8-449,12 16 899,9-1 900,6 6 1439,15-12-989,-14-4-3419,-8-6 2609,-12 13 0,-5-5 0,4 10 0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2:54.841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 68 7892,'13'4'4138,"0"1"-3688,4 7-90,-5-3-90,3 4-181,-4-9 91,-2-4 360,7-14 180,-8-7-271,-2-8-179,-10 0-270,-7 11 90,-10 15-270,5 14 90,2 5 180,16 3 810,7-12-1980,-5 0-539,-2 0 1619,-1 15 0,-1-10 0,8 7 0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3:00.507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61 1715 6903,'-15'-26'5847,"-6"-13"-4228,3-11-1169,12-25-136,24 21 1,14-3-135,30-16 0,13 0-220,-20 24 0,4 0 1,4 3 69,17-5 0,4 3 0,-2 6-30,11-1 0,-3 8 37,-4 6 0,-4 5-37,-27 11 0,-5 4 90,24-1 0,-29 5 0,-16 1 180,-29-7 314,-17-4-44,-34-7 0,-15 4-1,-20 3-359,34 7-180,20 1-180,81 8-449,45 4 449,-33 0 0,3 1 45,5 3 0,-4 3 45,25 24 90,-39 4-540,-52 31-3507,-31-8 4047,-7 3 0,17-31 0,13-17 0</inkml:trace>
  <inkml:trace contextRef="#ctx0" brushRef="#br0" timeOffset="283">2240 369 8432,'-26'-33'6746,"4"10"-4947,-4 34-1709,16 18-360,1 50-1754,16-24 1,5 2 2023,-1-6 0,2-1 0,8 30 0,-7-45 0</inkml:trace>
  <inkml:trace contextRef="#ctx0" brushRef="#br0" timeOffset="667">2716 543 9242,'-25'-37'6476,"-5"16"-5756,-7 20-361,8 26-269,25 14-180,37-1 90,33-15 270,21-25 450,-6-24-270,-25-26-271,-45-14-179,-48 0-719,-34 17-2339,-22 35-4408,13 33 7466,30 6 0,26 0 0,22-19 0</inkml:trace>
  <inkml:trace contextRef="#ctx0" brushRef="#br0" timeOffset="1144">3314 272 8792,'-51'-30'2788,"32"-7"1,-22 61-1</inkml:trace>
  <inkml:trace contextRef="#ctx0" brushRef="#br0" timeOffset="1550">3720 287 9242,'-9'-23'6386,"-10"4"-5217,-10 4-989,-5 20 180,9 24-270,22 21 0,32 14-180,24-7 180,19-16 0,1-29 630,-8-29-361,-19-25-269,-32-19-90,-37-6-719,-38 11-2070,-20 26-1258,4 32 4047,31 19 0,21-1 0,24-6 0</inkml:trace>
  <inkml:trace contextRef="#ctx0" brushRef="#br0" timeOffset="1967">4251 319 11580,'-5'-44'5757,"-3"19"-5577,2 48-270,13 20 0,22 14 90,37-10 180,4-31 809,16-22-179,-23-33-450,-27-23-180,-39-15-180,-38 2-1080,-28 20-1618,-12 36-181,17 30 2879,20 23 0,26-13 0,12-2 0</inkml:trace>
  <inkml:trace contextRef="#ctx0" brushRef="#br0" timeOffset="2400">4806 175 7982,'1'-30'7196,"-5"3"-5846,0-3-451,-12 20-449,8 27-180,2 19-180,19 16 0,19 1-1,17-12 91,9-22 270,-6-21 180,-4-36-450,-29-13-180,-15-13-1889,-53-7-1619,-23 30 1889,23 24 0,-3 6 1619,-6 11 0,1 7 0,-20 9 0,-1 8 0</inkml:trace>
  <inkml:trace contextRef="#ctx0" brushRef="#br0" timeOffset="3017">3256 336 9512,'-15'-2'6026,"1"4"-5396,-9 17 269,3 9-539,-1 12-90,18 14-180,30-13 0,33-3 180,30-32 539,2-31-359,-24-27-360,-47-19-360,-52 3-1709,-34 17-1979,-19 35 3958,7 35 0,33-2 0,16 8 0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3:52.189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1644 21 12030,'-14'-7'900,"-2"1"-91,-37 2-359,-41 3-360,15 0 0,-8 1-60,16 0 0,-4 1 0,-1 0-136,-7-1 0,-2 1 0,1-1 136,5 1 0,0-1 0,3 0-30,-22 0 0,9-1 0,26 0 0,7 0 79,-20 0-169,30 0 90,10 1 90,13 2 270,5 21 359,5 30-330,4 0 1,1 9-210,0 20 0,1 7-91,2-17 1,0 3 0,0 1-198,0 5 1,1 2 0,0-1 137,0-4 0,1-1 0,0-2-30,0 25 0,2-6 0,1-17 0,0-6 45,2-16 0,1-5 45,2 23 0,3-27-90,14-27 0,24-27 502,47-27-502,-26 9 0,6 0 0,15-4 0,5 2 30,-25 9 0,0 2 0,1 1-30,0 1 0,0 1 0,-1 2 45,28-4 0,-2 2-45,-11 2 0,-3 1 45,-13 3 0,-4 0 0,-10 2 0,-4-1 135,29-8 359,-20-8-179,-19-19-90,-21-34-225,-19 14 0,-5-6 0,-5-15 0,-4-4-45,-4-6 0,-3 0-90,1 8 0,-2 5-810,1 16 1,-2 7-4138,-18-22 5037,12 36 0,11 23 0,12 16 0</inkml:trace>
  <inkml:trace contextRef="#ctx0" brushRef="#br0" timeOffset="683">832 1481 9152,'-9'-15'5846,"0"11"-3957,-6 23-989,1 69-541,8-25 1,1 6-225,2 14 0,5 5-75,7-22 0,4 2 0,6-6-375,19 9 1,9-9-46,5 0 0,10-15 45,23-27 0,3-18 270,-23-11 0,-2-7 180,1-2 0,-8-9 1035,-2-40 359,-56 15-630,-21-2-359,-23 16-360,16 21-180,12 13-360,47 28-180,20 19 360,16 12 0,-10 13-359,-37 2-1530,-35 12-1214,-11-36 0,-7-3 3283,-24 19 0,5-17 0,36-33 0</inkml:trace>
  <inkml:trace contextRef="#ctx0" brushRef="#br0" timeOffset="1516">2697 2257 10321,'-9'-14'7286,"-4"16"-5217,4 40-720,6 46-900,6-25 1,5 3 0,4 1 0,5-3-135,4-7 0,6-9-46,36 0-89,22-67-135,-39-17 0,-2-11 180,1-8 0,-4-4 135,-6 3 0,-4 2 359,11-25-449,-20 48-90,-8 50-1439,-6 34-3688,3 45 2878,-4-49 0,2 0 2069,7 11 0,1-4 0,1 1 0,6-6 0</inkml:trace>
  <inkml:trace contextRef="#ctx0" brushRef="#br0" timeOffset="1699">3569 2897 11221,'-25'-22'1439,"-8"-2"-4767,12 10 3328,-3-2 0,18 11 0,2 0 0</inkml:trace>
  <inkml:trace contextRef="#ctx0" brushRef="#br0" timeOffset="2117">3785 2430 8252,'-10'-19'9445,"-1"0"-8995,10 19-91,16 29-269,14 27 0,-6-11 0,1 5-90,-2 0 0,-1 1 90,13 41 90,-13 0-90,-42-39-450,-16-22-1439,-51-33-225,36-22 1,2-10 808,4 2 1,3-5 1214,3-15 0,9 0 0,9 5 0,17 3 0</inkml:trace>
  <inkml:trace contextRef="#ctx0" brushRef="#br0" timeOffset="2683">3726 2288 8882,'51'-44'2968,"6"3"-3013,-9 9 0,4-1-45,-5 4 0,0-1 315,-2-2 0,-4-3 675,9-34-91,-57-2-89,-72 11-316,2 38 1,-14 12-135,9 12 0,-7 7 0,-2 8-324,16 0 1,-3 6 0,1 3 0,0 5 187,-2 5 1,-1 5 0,3 4 0,6 4-45,9-1 0,3 2 0,6 4 0,7 3-155,-3 18 0,10 4 0,16 2 95,19 2 0,14 3 0,14-6 0,13-5 0,14-6 0,10-6-53,-3-16 1,7-3-1,6-6 1,3-7-289,7-7 1,5-8 0,3-6-1,-1-6 221,3-6 0,1-6 0,0-5 1,-3-6 66,-4-4 1,-1-6-1,-2-4 1,-6-4 171,10-15 1,-6-7 0,-11-8 120,-12-6 0,-11-8 0,-11-4 59,-14-11 1,-14-5 0,-10 0-150,-7 24 0,-5 1 0,-7 1 0,-6 3-113,-9 0 1,-7 1-1,-7 5 1,-6 9-136,-8 9 1,-8 8-1,-5 8 1,-2 9-406,-9 9 1,-5 9 0,-1 9 0,2 8-698,-2 9 1,0 8 0,2 8 0,6 2 896,12 2 0,3 4 1,5 2-1,6 0 0,0 4 1,8 0-1,10 1 1,15 7-1,0 0 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4:01.405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275 224 7173,'-51'5'5667,"-7"1"-3688,-18 2 89,16 3-1438,30-1 180,52 7-361,59-10-359,-8-6 0,9-4-45,15-5 0,3-3-45,-27 1 0,1-2 0,-2 1 0,23-6 0,-4 1 0,-16 0 0,-6 2 90,22-7 90,-34 4 90,-35 3 359,-29-9 91,-27 1 269,-26-4 541,-3 5-991,7 6-269,19 6-180,49 7-180,30 13 0,39 14-90,0 15 0,-14 9-359,-26 8-1800,-35 7-1439,-36 10-6053,-22 0 9792,8-23 1,12-19 0,27-26 0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4:05.922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506 477 8792,'-7'-14'5397,"-28"-19"-2968,-21 8-2160,-27-3 181,18 32 0,1 12-270,15 10 0,5 8-180,-5 5 0,11 7 45,22 12 0,18 0 45,38 14-90,27-15 134,-6-64 1,2-22 135,-14-12 0,-5-11-90,8-13 0,-9-10 90,-21-19 0,-14-1-46,-8 25 1,-7 4 45,-7-11 0,-9 11 360,-24 17-181,8 56-314,19 33 0,10 19-315,12 26 0,12 5-225,1-6 1,10-2-91,16 10 0,13-13 180,1-39 1,4-14 269,-3-8 0,-1-12 270,0-20 0,-5-13 944,10-45-629,-21 10 269,-19-2-719,-20 53 0,2 20 0,6 32-90,23 23-90,10-16-90,27-17 180,-7-45 0,-7-31 90,-36-41-135,-27 34 0,-11 1 0,-9 1 0,-7 6-405,-6 11 1,-2 11-1890,-37 25-449,36 43-181,48 23 990,57-7 1529,-16-37 1,6-9 898,5-8 1,0-8 1979,37-19-180,-20-18 89,-28-7-1528,-23 11-180,-15 5-360,-9 31-360,8 19-450,10 24 0,20 8 270,16-14 540,3-23 630,-9-31-361,-23-29-89,-28-16-180,-26 2-180,-20 25-90,-4 41 0,14 40-630,31 28-269,37 0 449,28-22 540,14-36 899,-3-43-269,-12-25-450,-8-16-180,-8 8 0,7 17-180,10 23 0,10 25 0,0 25 90,-15 20-180,-26 14-1709,-44 7-2878,-40-7 4767,-11-19 0,17-22 0,25-16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4:12.338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90 842 11221,'-9'-10'5307,"-16"11"-4498,-1 17-539,1 20-270,21 13 0,27-1-90,28-15 90,23-27-90,4-36 90,-39-6 0,-8-12-45,-8-15 0,-9-10 45,-7-18 0,-7-5 45,-3-5 0,-4 1-45,1 8 0,0 4 0,3 15 0,4 7 0,12-15 180,14 56 180,13 78-270,-18 9 0,-5 15-60,-5-3 0,-3 9 0,-3 1-215,-1 4 1,-4 2 0,-2 2 184,-2 4 0,-3 2 0,0-4 0,0-15 0,-1-2 0,0-4-45,-2 20 0,0-7-45,3-20 0,0-6-90,-2 19 90,-5-28 0,-14-34 0,-6-22-706,2-36-2262,38-48 1843,22 19 1,14-3-181,16-9 1,5 2 1025,-2 8 1,0 5 0,-9 16 0,-4 8 0,3-1 0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4:07.172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26 799 8072,'-16'-20'7916,"7"6"-5847,9-8-1260,26 27 1,16 18-360,3 27-91,-12 11-269,-16-4-180,-9-19 90,5-30 0,12-40 0,21-29 90,9-10 270,-1 16 90,4 39 0,-19 41-91,1 29-89,-16 14-180,-1-8-90,8-22 0,8-33 90,3-30-90,-3-17 90,-10 0 0,-7 20 180,-4 36-90,2 27-90,9 24-90,16-2 0,17-20 0,10-34 0,-6-44 0,-31-41 0,-34 18 0,-12-4 0,-8 2 0,-9 1-45,-6 5 0,-5 9-45,-36 9-90,14 72-720,30 50 135,33-27 1,14-1 134,12-6 1,11-8 404,7-10 0,6-14 540,3-18 0,-3-15 44,-8-17 1,-8-13-225,-7-19 0,-11-10 0,-11-16 0,-9-2 225,-7 3 0,-7 2-1,-2 11 1,-5 9 540,-23 4-360,7 91-496,23 15 1,7 12-945,6 22 1,7 5-900,5 0 1,7-2-451,3-6 0,4-6-4407,16 19 6656,-10-41 0,-16-32 0,-7-13 0</inkml:trace>
  <inkml:trace contextRef="#ctx0" brushRef="#br0" timeOffset="183">1072 660 9422,'-32'-21'7106,"8"7"-7646,39 2-1709,33 3-449,38-4 2698,-35 5 0,-3 0 0,7-1 0,-14 2 0</inkml:trace>
  <inkml:trace contextRef="#ctx0" brushRef="#br0" timeOffset="1266">2812 676 7173,'2'-25'3508,"-17"-2"-1709,-23-1 270,-37 12-1440,23 17 1,-3 6-360,-1 7 0,2 5-180,4 6 0,7 5 0,-2 30-90,47-13 179,37-24 361,20-27 270,3-20-91,-12-4-449,-15 12 90,2 40 0,10 49-270,-14-12 0,1 9-45,2 11 0,-1 4-45,-5-2 0,-5-1 0,-6-11 0,-7-4 0,-16 26 0,-35-54-90,-38-59 0,35-10 0,3-8-225,1-8 0,10-6 135,14 0 0,14-1 0,17 5 0,13 4 0,16-1 1,8 3 134,6 1 0,2 3 135,-1-1 0,-3-1 89,-14 4 1,-7-3 360,-1-36 90,-38 13-181,-30 27-269,-6 35 0,4 62-180,40 21-225,5-33 1,10-2-226,23-3 0,9-10 180,42-10 225,-39-23 0,-4-14 90,-4-34 0,-9-16-45,-11-9 0,-6-6-45,-1-12 0,-5-3 180,-10-7 0,-7 4 0,-3 33 0,-4 6 315,-17-34-1,-19 117-719,26 16 1,6 11-631,-4 14 1,6 6-1485,11 21 0,7-2 450,-1-32 1,3-4 1933,3 1 0,1-7 0,0-17 0,-7-21 0</inkml:trace>
  <inkml:trace contextRef="#ctx0" brushRef="#br0" timeOffset="1466">3345 624 9602,'-53'-43'5936,"11"7"-6116,41 27-1079,30-1-2519,62-9 3778,-39 9 0,1 0 0,3 0 0,-1 0 0,26-5 0</inkml:trace>
  <inkml:trace contextRef="#ctx0" brushRef="#br0" timeOffset="2817">4877 608 9512,'-52'-51'7195,"-18"11"-6475,-26 20-495,41 23 0,1 10-135,6 6 0,6 6-180,-18 30 90,54 3 0,37-29 90,19-10 449,13-24-449,-22-1-90,-4 2 0,-1 29 0,0-1 0,19 5 90,30-33 0,-7-36-90,-35 8 0,-5-9 0,-7-36 0,-12-10 45,-9 8 0,-6-3 180,0-7 0,-5 2 0,-3 18 0,-4 12 584,-11 20-269,4 55-270,6 58 0,10 28-151,1-21 1,4 5 0,0 4-194,-1-14 0,0 2 0,0 1 0,2 1 51,1 4 1,2 2-1,0-3 1,0-4-98,0-2 0,1-5 0,0-3-60,3 24 0,3-10 90,0-29 0,3-16 0,8-25 90,-3-42-45,-18-29 0,-9-14 45,-3 0 0,-4-3-45,-2-10 0,-2-1-135,-3 4 1,-1 5-361,8 21 0,2 1 238,2 0 1,7-1-239,18-11 1,8-1 404,-2 11 0,2-2 225,13-25 0,-1-2 270,-14 15 0,-4 4-181,-6 9 1,-6 3 90,-9-29 180,-28 56 270,5 34-1,2 74-569,24-14 0,8 11 0,1 1-120,-3-4 0,1 0 0,2 4-121,1-2 0,2 4 0,0 0 0,0-4-59,1 6 0,1-4 1,-1-3-121,4 17 0,0-6 111,-2-15 0,-1-9-21,3-3 90,-16-61 90,-25-59 0,1 8 0,-3-6-45,-5-7 0,-1-1 181,1 5 0,2 3-226,-7-31-490,26 17-1039,25 1-1799,17 4-3058,9 8 6476,-14 22 0,-11 19 0,-16 14 0</inkml:trace>
  <inkml:trace contextRef="#ctx0" brushRef="#br0" timeOffset="3004">5675 659 12750,'-7'-9'674,"1"0"1,2 5 0,1 0-1</inkml:trace>
  <inkml:trace contextRef="#ctx0" brushRef="#br0" timeOffset="6449">1904 2294 11311,'-41'1'3867,"9"12"-3687,18 19 0,31 10-90,35-4 90,25-22 360,5-35-1,-20-37-89,-37-29-270,-49-12-90,-35 20 0,-28 39-90,-5 65 0,26 40-360,38 20-270,62-18 271,54-41 269,-31-32 0,2-12 359,0-10 1,-2-7 180,-10-1 0,-5-2 90,16-25-1,-30 25-179,-11 34-180,-1 25-90,10 18-180,14 6 90,11-17-90,6-22 0,-1-28 90,-7-20-90,-10-9 90,-12 8 0,-7 17 0,-2 24 90,8 18-360,9 2 90,14-5 0,3-25 180,-4-25 180,-12-38 45,-23 17 0,-6-3 0,-1 8 0,-4 1-90,-1-5 0,-1 4 314,-2 3-359,-5 45 0,10 59-315,3 9 1,3 9-856,4 1 1,1 0-316,2 3 1,0-5-2563,10 21 3957,-12-48 0,-7-23 0,-3-16 0</inkml:trace>
  <inkml:trace contextRef="#ctx0" brushRef="#br0" timeOffset="6649">2972 1953 7803,'-28'-11'5576,"18"0"-5486,8 2-360,37-1-1349,19 1-2788,25-2 4407,-22 2 0,-13 3 0,-33 4 0</inkml:trace>
  <inkml:trace contextRef="#ctx0" brushRef="#br0" timeOffset="7316">3292 2291 11850,'-3'11'2159,"18"-25"-2159,21-38 135,-10 4 0,-1-10 359,3-28 1,-4-5-225,-3 8 0,-4-1 179,-2-15 1,-4 3-135,-8 29 0,-4 7 135,-8-23-90,-17 57-91,2 104-269,18-18 0,5 6-225,3 14 1,10 3-586,21 9 1,11-7 134,-3-26 0,4-7 360,9-1 1,2-11 314,32-20 719,-24-44-89,-23-34 90,-27-28-1,-20-6-269,-14 8-90,-7 25-270,-3 31-90,0 31 0,9 35-990,14 27-1079,19 17-719,13-5-2249,7-13 5037,-6-25 0,-9-20 0,-10-13 0</inkml:trace>
  <inkml:trace contextRef="#ctx0" brushRef="#br0" timeOffset="7599">3700 1454 7803,'-28'-15'-630,"4"3"630,23 14 0,-3-3 0,10 6 0</inkml:trace>
  <inkml:trace contextRef="#ctx0" brushRef="#br0" timeOffset="8499">4046 1796 8612,'0'22'3778,"3"4"-3598,10 1-270,13-8 90,13-16 270,3-22 449,-7-20 181,-17-13 179,-24 1-539,-29 26-270,-2 28-90,-8 45-540,29 26 90,22 0-270,43 2 91,35-38 269,5-24 360,-6-25 449,-30-44 1,-33-10-180,-16-14-91,-25 1-89,0 33-180,-2 12-90,20 42 0,18 16 0,16 11-90,29 6 90,-5-8 0,4 4 180,-13 15-90,-22 1 90,-11 7 90,-23 1-180,-13-25-90,-3-7-810,-12-44-539,30-38 809,8-28 450,22 26 0,9 2 540,36-17-270,11 18-90,-3 55-1169,-24 17-271,-10 5 1350,-15-1 0,-18-16 0,0 0 0</inkml:trace>
  <inkml:trace contextRef="#ctx0" brushRef="#br0" timeOffset="9349">5034 1776 11940,'-22'-9'3328,"-11"11"-2968,6 17-180,1 17-180,22 8 0,13-1 0,18-5-180,3-14-90,-4-7-449,-3-8 359,-13-19 630,-2 2 809,-2-11-539,-20 29-450,-15 19-1709,-20 24 1619,11-11 0,1-2 0,0 0 0,-5 5 0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4:10.988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81 215 6813,'-16'-38'3688,"0"-7"-1169,-1-7 539,1-6-2608,7 36 899,2 27 0,8 74-989,6-13 0,2 5-226,1 5 1,4 2-45,10 13 0,5-5-90,-2-30 0,4-7 0,2-4 0,5-14 90,52-42 0,-25-50-90,-31 20 0,-9-6 0,-17-13 0,-15 0-449,-34-17-991,-24 9-3147,-22 55 4587,34 29 0,10 1 0,31 1 0</inkml:trace>
  <inkml:trace contextRef="#ctx0" brushRef="#br0" timeOffset="667">684 311 9062,'28'-25'7556,"-10"3"-6027,-39 29-720,-5 20-449,-11 34-180,26 19-450,32 2-90,29-14 270,16-29 180,3-35 360,-11-32 0,-19-23 89,-18 1-179,-14 1-360,-10 33 0,5 28-450,8 20 1,18 12-91,15-18 450,-4-23 90,-8-20-90,-28-43 90,-23-8 0,-8-8-90,-3 7 0,27 18 90,13 14 180,34 22 270,-1 40-180,5 35-450,-22 22-2159,-13 8-2338,-8-16 4677,4-12 0,-6-35 0,6-8 0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4:02.756"/>
    </inkml:context>
    <inkml:brush xml:id="br0">
      <inkml:brushProperty name="width" value="0.06" units="cm"/>
      <inkml:brushProperty name="height" value="0.06" units="cm"/>
      <inkml:brushProperty name="color" value="#5B2D90"/>
    </inkml:brush>
  </inkml:definitions>
  <inkml:trace contextRef="#ctx0" brushRef="#br0">19 535 11760,'-11'-20'5757,"4"15"-4768,12 54-359,5 11-405,0-5 0,3 5-90,-2-6 0,0-2 314,8 35-179,-3-21-180,-11-77-180,-9-42 90,-2-13 0,-2-12 60,1 12 0,0-5 0,0 2 30,-3-27 0,1 2 180,0-7 0,1 7 179,3 36 1,3 10 270,12 6 269,26 88-809,-10-2 0,1 8-90,14 29 0,4 2-45,4-13 0,2-5 0,-8-12 0,3-7 0,6-12 0,1-17-45,25-51-45,-37-10 0,-5-11 90,-2-15 0,-6-5-45,-5-3 0,-6 0 180,-4 11 0,-4 5 269,0-12-179,-4 80-180,5 63-1215,-3 4 1,2 10-1440,5 7 1,2 2-945,5 1 0,1-6 3421,-4-22 0,1-9 0,10 10 0,-16-49 0</inkml:trace>
  <inkml:trace contextRef="#ctx0" brushRef="#br0" timeOffset="682">1258 603 9781,'-7'-27'6837,"-5"-3"-5488,-5 2-810,0 5-359,0 13 540,7 9-540,-4 1 0,-5-1 90,-13 0 89,-10 9-179,0 20-90,11 22-270,22 17-989,26 3-630,31-12 450,23-26 629,19-30 720,-1-33 540,-13-27 449,-26-14 181,-30-6-271,-33 9-449,-29 15-180,-22 24 0,-20 26-1,-7 27-89,5 26 0,23 20-180,38 20 0,29-39 0,10 1-270,10-1 1,9-2-676,5-6 1,4-6-496,4-9 1,1-7-2339,44-7 3778,-12-26 0,-34 2 0,-17-4 0</inkml:trace>
  <inkml:trace contextRef="#ctx0" brushRef="#br0" timeOffset="1282">2219 526 8162,'-24'-11'4858,"-7"-1"-2160,-38-4-1259,-18 11-944,32 10 0,-1 7-226,4 10 1,6 8-180,9 6 0,9 6 0,5 51-270,50-17-269,43-37 449,-20-39 0,1-13 179,3-19 1,-5-13 90,-3-19 0,-10-10 90,-11-7 0,-10-4 134,-8-2 1,-7 3-180,-7 14 0,-3 7 134,-14-22 181,-4 52 270,3 90-855,16-2 0,5 9-630,2 16 0,5 5-1034,5-18 0,4 2 0,2-5-3297,4 7 1,3-7 4523,-2-7 1,0-8 0,5-5 0,-19-38-1</inkml:trace>
  <inkml:trace contextRef="#ctx0" brushRef="#br0" timeOffset="1466">2482 722 10771,'-10'-10'4317,"1"2"-12232,-1 1 7915,0 1 0,5 3 0,0 1 0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5:47.68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0 1044 9781,'1'-41'8995,"5"51"-7825,6 48-901,0 10 1,2 10-180,3 14 0,1 3-45,2 0 0,-1-3 225,-2-15 0,0-6 719,8 22-899,-10-63 0,-8-60-45,-5-19 0,-4-11-45,0-27 0,-1-9 0,0 21 0,0-3 0,0 1 90,-1-1 0,1 1 0,0 2 225,-1-22 0,0 7-136,1 20 1,0 7 0,1-17-180,7 42 0,15 42 90,28 54-90,-11-11 0,4 5 0,8 5 0,3-1 0,-1-4 0,2-8 0,-6-13 0,1-11 0,36-24 90,-11-50-90,-38 8 0,-4-7 135,-3-4 0,-4-3 494,-4 3 1,-2 2 180,6-29-91,-9 26-539,-7 42 630,7 33-450,8 54-360,-5-13 0,2 5-1170,2 9 1,0 1-1979,1 4 0,-1-1-46,-3-9 1,-1-4 3193,10 32 0,-14-44 0,-6-26 0</inkml:trace>
  <inkml:trace contextRef="#ctx0" brushRef="#br0" timeOffset="433">1481 1105 8792,'-1'-28'8545,"-2"1"-7645,-1 0-451,-7 19-269,4 28-180,5 28 0,20 20-90,20 1 90,14-18 90,10-38 450,-4-45 180,-15-26-46,-27 10 1,-9-4 44,-20-34-539,-22 2-1349,-38 32-2159,9 44-90,6 24 3418,48 41 0,18-18 0,23 10 0</inkml:trace>
  <inkml:trace contextRef="#ctx0" brushRef="#br0" timeOffset="1116">1935 1021 8702,'16'-27'8095,"-1"-13"-6116,-5-10-629,-14 3-541,-26 32-449,-11 41-180,-2 32-180,30-1 0,10 5-540,21 31 0,7-34 1,11-10-91,55-17 720,-1-50 90,-41-28 0,-10-20-30,-17-6 0,-9-11 0,-3-1-130,0 9 1,-2 0 0,-4-4 308,-3-20 1,-5-5 0,-5 8 164,-9-4 1,-7 11-270,4 16 0,-8 13 585,-50 1-316,45 88 1,5 21-315,6 4 0,10 11-120,13 11 0,9 12 0,9-4-120,8-11 0,8-2 0,2-2-30,1 1 0,3-1 0,4-7-135,26 13 0,7-18 90,-12-33 1,0-15 134,-9-7 0,-4-14 238,-1-23 1,-10-15 121,-17-9 0,-10-6 179,-5-6 1,-8-1 89,-10 7 1,-7 5 180,-29-16-450,-8 54-180,11 64-765,30 9 0,9 9-2518,12 13 0,9 2-1125,13 5 1,7-5 4227,-3-18 0,3-8 0,34 12 0,-27-39 0</inkml:trace>
  <inkml:trace contextRef="#ctx0" brushRef="#br0" timeOffset="2433">1608 1864 8972,'-5'-8'9355,"0"28"-7467,-9 40-1213,6-7 0,1 8 44,-3 19 1,1 5-226,0 5 1,1 0-45,0 0 0,2-3-225,1-14 0,2-6 44,0 31 1,3-25 0,4-30-270,12-12 0,24-23 180,22-19-135,-15-3 0,5-2-45,9-2 0,4-1 0,16-3 0,5 0 30,-22 7 0,1 0 0,2 1-30,6-2 0,1 0 0,-1 1-60,-1 0 0,0 0 0,-2 1-210,22-6 0,-4 2-315,-18 3 1,-5 1-945,25-5-90,-34 6 899,-14 4 450,-17 3 180,-7-2 450,-17-7 450,-19-8 719,-16-5 270,-18-1 180,-5 4-450,-3 3-1259,1 4-270,9 6 0,16 4 0,30 8 0,38 6 0,39 11-450,20 11-630,-4 9-808,-30 10-1980,-42 7-989,-36 6 4857,-16-1 0,7-24 0,10-10 0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5:54.26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43 656 10501,'-19'-11'9625,"4"28"-9446,7 15 181,12 16 0,7 6-225,3-5 0,4 0-90,2 6 0,5-4 45,39 11 0,-3-61 90,5-30 899,-6-39-539,-24 17-450,-6 17-90,-10 51-90,1 13 0,23 26-90,30-22 180,5-19 45,-25-24 0,-4-13 135,-13-17 0,-6-9 179,14-40-179,-36 31 0,-15 5-90,-38 2-90,-7 29-180,-10 46-1169,47 33-180,32-6 449,61-6 945,-23-42 1,4-10 448,-8-1 1,-1-4 629,2-10 1,-5-4 2383,0-12-3058,-19 17-270,-20 38-3418,-8 28-2249,0 26 5667,14-6 0,-6-27 0,4-14 0</inkml:trace>
  <inkml:trace contextRef="#ctx0" brushRef="#br0" timeOffset="133">1256 463 8792,'-28'-51'233,"1"0"1,-16-34 0,13 35 0,17 24 0</inkml:trace>
  <inkml:trace contextRef="#ctx0" brushRef="#br0" timeOffset="383">1427 0 17337,'-6'50'2878,"9"41"-2563,3-38 0,3 3-360,2 19 0,2 1-1214,1-1 0,0-1-855,-1-10 0,1-3-4722,8 23 6836,-4-34 0,-9-32 0,-5-12 0</inkml:trace>
  <inkml:trace contextRef="#ctx0" brushRef="#br0" timeOffset="883">1550 781 8522,'-44'-52'6027,"-4"1"-4318,-4-2-990,11 13-539,28-2 0,35 4-180,28-14 360,19 0 629,-1 3 1,-16 12 269,-7 13 90,-9 36-539,-2 30-450,3 41-315,-22-35 0,-2 2-135,12 43-810,-7-18 720,-7-45-270,-3-29-269,7-60 539,11-12 270,17-13 90,14 27-180,6 37-540,0 41-1978,-14 32-2070,-19 25 4588,-19 2 0,-10-30 0,-2-19 0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5:52.069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13 357 11580,'-6'-31'7736,"0"4"-7376,5 31 629,8 21-359,26 60-495,-6-23 0,4 5-45,12 17 0,3 3 89,3-1 1,2-4 495,-5-13 0,2-10-1,-7-16 1,1-18 494,31-51-719,-25-52-135,-24-2 0,-9-10 44,-9 4 1,-6-2 0,-3-7 0,-4 2-270,-1 19 0,-3 6-90,-8-28-2069,5 44-1709,8 54-1889,16 44 2429,5 0 0,2 4 3238,2-3 0,2-1 0,25 35 0,-12-35 0</inkml:trace>
  <inkml:trace contextRef="#ctx0" brushRef="#br0" timeOffset="1233">937 667 11311,'38'-12'8185,"-8"-8"-7196,-34-4 810,-16-1-1169,-22 15-270,-12 35-270,5 37-270,19 21 0,32 0 180,27-32 0,16-40 270,4-48 179,-8-29 991,-10-8-811,-13 12-449,-1 50-180,3 31 0,13 42-90,11 3 0,11-17 90,3-39 0,-6-50 0,-30-7 0,-8-11-45,-5-22 0,-7-6 90,-6-6 0,-5 0 135,-4 5 0,-2 5-135,2 23 0,-3 10 405,-16 7 629,18 70-674,11 22 0,7 13-360,8 30 0,6 8-45,-2-26 0,2 1 0,3 0 0,2 2 0,3 0 0,3-5 0,12 12 0,6-12 0,-1-21 0,5-16 0,45-24 0,-17-70 0,-46 13 0,-6-5 0,-6-2 0,-6 0 0,2-40 0,-13 39 0,-6 49 0,5 37 0,3 36 0,15 3 0,14-17 0,12-30 0,4-32 0,-3-29 0,-9-11 0,-14 8 0,-4 4 0,-7 27 0,9 23 0,7 27 0,14 25 0,5-4-450,12-27 180,4-50 180,-6-49 90,-35 18 0,-6-5 270,3-43 0,-20 8-90,-16 44-180,-6 27-900,-17 61-5846,15 26 1259,15 23 5487,49-11 0,6-32 0,23-12 0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01.902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0 0 12660,'9'11'4137,"4"22"-1978,-2 35-1350,-4-13 1,0 5-225,-2 14 0,-2 2-91,0 3 1,-2-1-270,0-5 0,1-3-90,1-13 0,4-3 45,23 29-180,32-28 44,-10-39 1,8-7-225,20-6 1,7-7-136,11-6 0,1-5 165,-31 4 0,-1-2 0,-2-1-120,19-8 1,-6-2 179,-19 2 0,-7-3 90,13-25 449,-44 0 451,-35-1 89,-28 7-539,-6 11-180,1 9-360,31 16-270,31 10-539,38 16-361,25 12-179,-1 10-1349,-23 12-1260,-36 14-2518,-30 4 6566,-11-14 0,-4-8 0,9-19 0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5:59.285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7914 81 8882,'-44'-45'7736,"-1"10"-5218,2 45-899,11 38-225,19 35 1,10 20-916,6-23 1,4 5 0,1 3-580,0-5 1,2 4 0,0 2-1,0-3 145,0-5 0,2-1 0,-1-1 0,-1-2 15,2 17 0,-2-4 0,-1-3 118,-4 13 1,-4-6-314,-5-17 1,-6-8-856,-6-19 1,-6-7-2159,-30 7-2789,-45-61 5937,52-19 0,3-7 0,1 6 0,4-2 0,-13-51 0</inkml:trace>
  <inkml:trace contextRef="#ctx0" brushRef="#br0" timeOffset="1217">7427 1140 10141,'7'-96'7916,"-2"39"-7107,15 6 1,9 4-181,33 6-449,-13 14 0,5 5-90,1 15 0,0 9-45,-3 10 0,-2 6-135,27 26 0,-18 17 90,-37-16-360,-9-7 1,-26-31-91,11-39 270,15-38 90,27-17 360,12 3-90,-4 32 90,-6 37-270,-16 23 0,8 20 0,6 0 0,1-8 0,15-18 90,-10-39 89,-10-13 1,-17-33-180,-41 10 90,-18 20-90,-35 30-270,7 61-359,25 17-271,36-4 1,17 4 134,23-1 1,12-4 584,0-5 0,5-6 360,18-5 0,5-15 314,-7-25 1,-3-14-315,-6 0 0,-5-10 90,2-15 0,-10-8-1,-19 4 1,-8-1-90,-6-40-90,-27 27-90,-37 46-630,6 34-269,1 15 179,28 15 361,26-13 179,23-13 360,10-22 449,5-13 990,-6-8-269,-14 33-1,-10 39-855,-11 1 1,-3 8-315,-1 16 0,0 4-225,1 9 0,2 1-450,3-1 1,1-2 89,2-11 0,1-4-270,2-13 1,1-7-765,16 13 899,0-47 90,-8-49-89,-21-63 269,-9 29 0,-5-2-495,-5-4 1,-2 2-451,-1 8 1,2 4-945,-8-23 720,22 24 1439,14 12 0,1 19 0,0 10 0</inkml:trace>
  <inkml:trace contextRef="#ctx0" brushRef="#br0" timeOffset="1301">9122 783 7892,'28'-13'-719,"-2"-2"719,-3-1 0,-11 5 0,-5 4 0</inkml:trace>
  <inkml:trace contextRef="#ctx0" brushRef="#br0" timeOffset="-3249">3426 53 10591,'-9'-36'6566,"-8"22"-4227,-7 50-1575,15 15 1,5 14-525,3 2 0,4 8 0,2 1-193,2 4 1,3 1 0,1 2 11,3 6 1,2 2 0,1-6-15,3 14 0,1-7 184,-3-20 0,0-6 311,4 14-540,-13-38-540,-22-37-719,-5-26 359,-9-32 480,11-21 150,14-24 225,7 44 0,3-1 45,4-2 0,4 1 225,3 5 0,3 5 404,31-19-89,15 45 269,9 50-359,-36 3 0,-2 8-225,-1 12 0,-5 6-495,-4 6 0,-5 3-1214,-5-1 0,-4 1-810,-2-5 0,-2-3-5891,8 23 8185,1-35 0,-8-32 0,-3-14 0</inkml:trace>
  <inkml:trace contextRef="#ctx0" brushRef="#br0" timeOffset="-3049">4235 882 9781,'-4'-15'8456,"-6"26"-8456,2 23-2159,-2 37-2249,8 11 4408,6-10 0,-1-28 0,2-23 0</inkml:trace>
  <inkml:trace contextRef="#ctx0" brushRef="#br0" timeOffset="-2716">4204 670 8342,'-37'-52'7196,"-6"13"-6566,0 6-1,4 18-629,37 10 90,23-4 1350,49-23-91,-7-16-720,-5-13-359,-61-8-1169,-42 35-1890,-40 30-1618,6 58 4407,28 29 0,32-4 0,30-11 0</inkml:trace>
  <inkml:trace contextRef="#ctx0" brushRef="#br0" timeOffset="-2299">4449 865 9781,'34'-8'8366,"-6"1"-7827,-29-1-449,-4 4 0,-31 5-270,5 20-539,2 10-361,24 19 361,35 1 719,8-9 899,25 6 1,-17-1-540,0 19-136,-29-13 1,-5 6 539,-6 7 1,-4 0-315,-1-2 0,-8-1-360,-18 6 0,-13-8-1215,-4-27 1,-10-9-1665,-36 3 1,-9-11 2788,8-13 0,2-6 0,8-2 0,4-2 0,21-2 0,0 1 0</inkml:trace>
  <inkml:trace contextRef="#ctx0" brushRef="#br0" timeOffset="-650">4832 295 7753,'-8'-12'7736,"9"24"-5617,17 43-1714,0-1 0,1 7-123,3 15 0,1 2-192,-2 3 0,-2-3 7,-5-12 0,-2-6-7,2 21 140,-4-50-320,2-59 0,16-60 45,-7 30 0,2-2 45,3-1 0,4 4 270,31-19 90,-4 56 89,-2 59-314,-27 1 0,-4 8-135,3 15 0,-1 3 0,1 1 0,2-2 0,-1-9 0,3-7 0,35 8 0,-2-66 0,-9-59 270,-32 22 0,-7-4 44,-3-4 1,-7 1 495,-15-24 359,-25 40-539,-17 46-270,2 37-270,18 23-90,30 2 0,30-16 0,23-29 90,14-38-90,-1-34 180,-9-16 179,-17 1-179,-15 15-180,-10 19-90,-5 9 90,1 16-90,9 17-90,17 18-89,20 16-1,14 7 0,0 5 90,-15 0 180,-27 1 0,-35-15 90,-32-16-90,-19-22-360,4-17-629,14-14-181,40-9 451,27-6 539,36-14 180,-25 19 0,0-3 135,1-12 0,-3-6 179,-2-17 1,-6-6 180,-8-6 0,-6-3 89,-5 0 1,-5 2-135,-6 13 0,-4 7 809,-10-17 180,-10 75-719,10 89-900,9-20 0,4 10-1110,6 0 1,3 7 0,3-2-1140,4 18 1,4-3 854,0 1 0,1-6-1575,-2-30 1,-3-12 1799,-7-12 1349,-10-33 0,-12-27 0,-3-9 0</inkml:trace>
  <inkml:trace contextRef="#ctx0" brushRef="#br0" timeOffset="-499">6294 726 10051,'-27'-35'6207,"6"7"-5937,25 3-2069,52 0-2879,37-6 4678,-40 17 0,-3 1 0,21-5 0,-41 12 0</inkml:trace>
  <inkml:trace contextRef="#ctx0" brushRef="#br0" timeOffset="5234">288 2642 10411,'-72'-28'8095,"-2"17"-6745,1 29-631,21 34-449,36 28-180,54 9-45,1-51 0,10-10 0,14-11 0,6-14 315,0-15 0,-3-14-1,-8-11 1,-10-11-180,-16-8 0,-16-3-135,-20 0 0,-15 4-45,-14 7 0,-11 10-855,-10 14 1,-4 15-1170,2 16 0,3 12-4542,-23 45 6566,43-1 0,27-21 0,15-26 0</inkml:trace>
  <inkml:trace contextRef="#ctx0" brushRef="#br0" timeOffset="5967">962 2646 8612,'10'-34'8995,"-16"-5"-6476,-22-11-1260,-32 16 0,-10 26-90,-18 46-899,34 31-675,29-24 1,12 5-1620,23 16 0,17-1 225,8-17 0,8-6 540,9 6 0,9-11-136,16-22 1,3-18 1169,-12-13 0,-2-9 765,4-4 0,-5-8 989,-8-14 0,-10-4 1259,0-32-719,-21-2 540,-50 20-1260,-9 34-90,-24 20-629,4 62-810,16 18-900,25-8 1,14 4-900,19-4 0,10-3 1035,-1-5 0,7-5 134,19-4 0,6-13 900,30-25 450,0-31 89,-52-7 1,-5-9 404,-3-10 1,-6-2-91,-2 2 1,-4 1-181,-2 4 1,-5 3 1664,-4-11-1889,-12 37-1,-5 30-1978,1 46-3238,9 19 359,10 6 4318,23-11 0,-18-39 0,8-6 0</inkml:trace>
  <inkml:trace contextRef="#ctx0" brushRef="#br0" timeOffset="6884">1934 2634 9422,'-4'-12'8005,"-2"11"-7645,4 8 539,1 25-89,7 23-450,10 15-180,15 6-450,23-23 0,37-42 225,-34-25 0,1-12 0,4-13 0,-5-8 0,-5-6 0,-8-3 90,-12 3 0,-8 0 45,-3-32 90,-17 36-90,-14 26-90,-4 50-1170,-4 25-1888,7 34-630,17 7 3688,11-18 0,0-27 0,-4-27 0</inkml:trace>
  <inkml:trace contextRef="#ctx0" brushRef="#br0" timeOffset="7467">2772 2520 9691,'-7'-15'5307,"3"-2"-2338,17 6-2699,21 23 449,27 31-494,-26-7 0,-1 5-90,-2 6 0,-5 2-45,6 43 0,-32-15-360,-23-23-630,-17-33-629,0-41 360,22-49 1169,37-29 494,1 48 1,6 4 765,40-22-91,-3 46-449,-8 40-541,-7 27-1078,-10 16-3329,-11 1 4228,-12-8 0,-9-24 0,-4-12 0</inkml:trace>
  <inkml:trace contextRef="#ctx0" brushRef="#br0" timeOffset="7617">3169 2300 8702,'-20'-30'539,"6"10"1,2 4 0,8 11 0</inkml:trace>
  <inkml:trace contextRef="#ctx0" brushRef="#br0" timeOffset="8317">3384 2302 9602,'21'67'7645,"3"12"-7016,-10-32 1,-1 2-90,10 45-180,-7-12-360,-7-18-810,-6-22 630,4-22-269,7-41 359,12-18 450,9-16 449,5 11-89,-1 25-271,-3 23-89,-2 18-270,-2 8-90,-4-3-270,2 0-1079,-6-8 989,-1-10 180,-6-8 90,-4-17 90,-7-2 0,-3-15 0,-6-2 0,0-4 90,1 9 180,24 35 90,17 45-180,-10-4 0,0 6 0,-2 13 0,-5 4-1,-5 1 1,-7 2-90,-8-4 0,-8-2-45,-10-5 0,-9-5-855,-12-10 1,-10-8-1440,-16-10 1,-7-10 2248,-5-10 0,0-8 0,13-3 0,4-5 0,-36-14 0</inkml:trace>
  <inkml:trace contextRef="#ctx0" brushRef="#br0" timeOffset="8867">5687 2446 9062,'-23'-39'7376,"10"23"-6657,19 36-179,26 65-450,-7-28 0,4 3 0,0 2 0,6-3-90,9-3 0,7-13 180,39-20 179,9-36-179,-51-32 0,-10-16-180,-12-2 0,-9-4 0,-1-9 0,-8-2-765,-12 4 1,-9 8-2204,-20-1-180,-4 41 3148,11 72 0,16 7 0,13 14 0</inkml:trace>
  <inkml:trace contextRef="#ctx0" brushRef="#br0" timeOffset="10200">6524 2811 8882,'40'-48'8005,"-14"0"-7285,-27-15 899,-20 18-989,-18 20-181,-9 35-269,0 43-90,20 5-90,25 23 0,28-38 90,15-12 0,16-44 270,-1-32 90,-9 1-91,-9-4-179,-16 37-180,-8 12-180,13 37-269,1-9 179,14 4 180,11-31 90,4-53-90,-9-34 45,-23 6 0,-4-10 75,-7 19 0,-3-3 0,0 2-30,1-22 0,-2 3 0,3-5 0,-3 11 270,-6 13-90,-15 55 269,-1 104-359,8-15 0,3 6-90,3 15 0,6 4-45,7 2 0,5-4-270,4-17 1,3-7 179,-4-14 0,4-8 45,36 16 0,-4-88 90,-2-50 0,-29 24 0,-5-4 135,-2-10 0,-4 2 315,1-16-270,-2 49-1,-4 49-89,6 51-90,6 4-90,12-12 0,11-27 90,8-37-89,10-52 44,-29 11 0,-2-3 45,-1-3 0,-2-1 179,18-27 91,-20 36 180,-10 43-270,-11 32-90,6 37-90,9 16 0,-3-44 0,7-3 0,8-5 0,5-6-180,51 5-90,6-44 90,-53-18 0,-5-9 135,-6-8 0,-7-5 135,-6-4 0,-9 1 450,-15-29 180,-29 42-271,-22 45-179,-6 41-989,17 26-2430,32 10-898,39-9-91,28-14 4138,21-14 0,-33-24 0,-3-10 0</inkml:trace>
  <inkml:trace contextRef="#ctx0" brushRef="#br0" timeOffset="10367">8773 2758 15538,'-2'-13'-1979,"3"4"0,-5 6 1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02.836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12 535 12300,'7'5'6656,"6"38"-5397,7 40-719,-3-3 0,1 6-360,-2-11 0,-1-1-46,1 4 1,1-5 135,8 22-270,-13-77 0,-8-43-45,-12-37 0,-8-20 45,2 8 0,-2-5 0,0 0-30,1 6 0,-1 1 0,1-1 0,-3-5 0,1-1 0,1 10 30,-2 3 0,11 25 0,16 38 90,31 59-90,-7 5 0,5 7-90,15 7 1,7-5-1,-6-20 0,5-10 45,8-9 0,3-18 45,2-31 0,-3-22-45,1-28 0,-7-13 75,-21 21 0,-3-3 0,-2-1 239,-6 2 1,-2 0 0,-2 5 360,0 0 0,-2 12 179,9 17-269,-16 99-720,-8-5 0,-1 10-870,-3-12 1,0 4 0,2 1-301,0 5 1,2 0 0,2-1-1035,8 27 1,7-8 2383,2-23 0,2-9 0,9 9 0,-7-49 0</inkml:trace>
  <inkml:trace contextRef="#ctx0" brushRef="#br0" timeOffset="933">1453 980 7982,'10'-70'3276,"0"1"1,-2 2 0,-6 29-1503,-13 60-1594,6 22-90,13 33-180,22-6-90,21-18 90,13-40 90,-2-51 360,-16-50-46,-33 25 1,-10-3-90,-6 2 0,-8 2-135,-7 7 0,-7 9-180,-36 4-1619,-4 56-1169,19 40-900,43 28 630,53-2 2608,-6-46 0,6-7 1214,6-10 1,2-11 539,-1-12 1,-3-10 179,-6-9 0,-4-6 1575,21-38-1080,-24 9-630,-17 15-1079,-5 35 0,7 22-180,13 33-360,11 21-90,1 15 270,-17 2 90,-24-6 90,-30-18-90,-21-18-989,-3-19-270,8-14 179,27-20 541,29-9 359,35-25 270,-16 17 0,2-5 180,7-11 0,-2-6 0,-1-12 0,-5-6-46,-7-13 1,-7-4 315,-8-4 0,-8 0 179,-5 8 1,-6 4-1,-2 17 1,-4 10 990,-17 4-361,9 78-989,9 17 0,4 11-765,8 21 0,5 5-1169,4 10 0,4 1-900,2-9 1,0-5 2563,-3-18 0,-2-8 0,4 6 0,-12-38 0</inkml:trace>
  <inkml:trace contextRef="#ctx0" brushRef="#br0" timeOffset="1133">2503 504 10681,'-44'-34'6296,"10"-1"-6386,44 8-1709,34-3-3418,29 5 5217,-2 6 0,-28 9 0,-25 6 0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34.054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417 144 8792,'13'-7'8005,"-9"-3"-6206,-21-2-1349,-26-4 90,-24-2-270,-11-1 0,8-1-91,15 1 1,22 7 540,10 3-1,12 7 271,6 25 89,2 28-629,4-4 0,-1 7-136,-2 14 1,-1 4-180,-3 12 0,0 3-90,0 2 0,2-1 45,2-6 0,3-3-45,5-11 0,6-6-315,25 29-1978,19-31-3239,18-29-4344,19-24 9545,-26-8 0,-13-6 1,-41 4-1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40.671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16 33 10681,'-13'-5'5397,"10"-1"-5037,12 3 269,33-4 91,13 1 89,5 0 541,0 14-361,-23 23 270,1 34-539,-22-17 0,-5 6-226,0 13 1,-3 4-315,-1 11 0,-1 1-135,-3-5 0,-2 1-360,-1 9 0,-4-4-1079,-5-23 0,-3-3-46,-4-4 1,-9-5-3477,-16-14 1,-5-8 4472,-9-3 0,-8-9 0,51-14 0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42.621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114 202 9781,'-70'-55'9355,"27"-2"-8545,46 7-91,41 16-269,27 29 359,-3 34 451,-28 34 89,-44 31-900,-11-41 1,-5-1-270,-2 0 0,1-2-180,0 33-1889,52-35-1619,48-27 1214,-25-20 1,2-5 2293,-1-2 0,-5-1 0,11-4 0,-28 4 0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43.171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32 504 7533,'-24'-21'6476,"17"-12"-4857,29-22-1259,47 0 270,18 15-91,-6 38-179,-46 43 90,-44 41-181,-9-31 1,-6 1-45,-3 0 0,0 0 180,2-7 0,4-1 494,5 22-449,44-23-630,57-26-630,-28-18 1,6-6-2070,33-11 1,2-6 2878,-16 3 0,-4-2 0,-1 1 0,-6 0 0,19-7 0</inkml:trace>
  <inkml:trace contextRef="#ctx0" brushRef="#br0" timeOffset="583">1389 505 9062,'-25'-6'9830,"-5"0"-7517,1 1-2043,23-1 0,51-3-181,25-4 1,18-4-270,2 2 0,9-2 1,-1 0-91,-8 1 0,-2 0 0,2 1-23,-12 1 1,4 1 0,-4 0 0,-9 1 112,3-1 0,-11 1 180,33-13 540,-68-12 269,-33-2-179,-17-7 180,-15 4 269,4 13-809,5 6-90,30 5-180,53 23-90,8 5 135,-14 6 0,-1 7 225,2 19-91,-19 10-179,-65 24-2248,-14-15-496,9-19 1,0-1 2743,-6 6 0,15-16 0,26-19 0</inkml:trace>
  <inkml:trace contextRef="#ctx0" brushRef="#br0" timeOffset="1033">3211 127 9332,'16'-26'9830,"-1"-5"-6438,-4 3-3032,0 3-90,11 8-90,7 20-180,7 18 90,-8 22-360,-15 18-630,-14 8-809,-8-6 900,5-15 449,19-20 540,16-17 629,16-4 1,1 8 449,-9 14 180,-22 17-809,-35 17-2789,-47 4-989,13-36 0,-7-6 3148,-2-7 0,-1-7 0,-37-2 0,26-18 0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41.504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0 54 7533,'3'-28'8995,"0"3"-7736,-2 24 450,4 23 0,11 53-1260,-5-22 1,-1 3-270,2 7 0,0 2-450,-1 12 0,-3-3-1349,-2-19 0,0-2-360,-2 1 1,1-3 1978,5 17 0,-5-39 0,1-7 0</inkml:trace>
  <inkml:trace contextRef="#ctx0" brushRef="#br0" timeOffset="601">822 469 7533,'-31'-7'7645,"34"2"-7195,4-1 90,62 3-360,-2 0 0,13-3-121,10-4 1,10-3 0,1-1-392,-5 2 1,-1-1 0,3-2 331,-6 0 0,4-1 0,-2-1 0,-8 2 90,-8 0 0,-6 1 0,-4 0 112,19-5 0,-12 2 248,-3-2 539,-59-6 90,-36 9-359,-20-7-540,6 11 716,9 3-986,56 16 324,27 9-414,36 17 180,-6 8 0,-37 11-719,-50 8-2879,-36 5 3598,-12-7 0,13-25 0,19-14 0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35.604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1 227 7803,'10'-30'7555,"-1"18"-5756,56-13-719,20 48 269,-1 11-540,-43 1 1,-10 8 629,-24 49-1034,-12-41 0,-3 0 134,-9 42-269,20-22-989,35-28-2969,36-21 809,-19-20 1,3-3 2878,3-3 0,-2-1 0,20-3 0,-25 1 0</inkml:trace>
  <inkml:trace contextRef="#ctx0" brushRef="#br0" timeOffset="283">1355 631 14009,'-25'37'2159,"-8"14"-4498,-10 18 2339,1 3 0,16-26 0,12-18 0</inkml:trace>
  <inkml:trace contextRef="#ctx0" brushRef="#br0" timeOffset="667">1637 246 9691,'-11'-28'8096,"5"9"-5847,9-9-1800,25 34 631,4 15 449,4 30-540,-21 12-449,-14 8-270,-6 4-180,3-5-540,14-9-3148,25-21-1079,28-24-4408,28-24 9085,-24-6 0,-15 1 0,-41 9 0</inkml:trace>
  <inkml:trace contextRef="#ctx0" brushRef="#br0" timeOffset="867">2719 535 10951,'-3'28'9264,"-12"8"-8454,-19 27-2339,-9 5-2879,0 4 4408,10-15 0,15-25 0,10-16 0</inkml:trace>
  <inkml:trace contextRef="#ctx0" brushRef="#br0" timeOffset="1217">2861 241 10861,'18'-61'8995,"15"12"-8096,18 22 270,14 32 271,-6 34-631,-17 18 91,-20 36-541,-11-13-359,4 11-2068,16-32-2340,19-26-89,18-23-2789,9-19 7286,-23-1 0,-17 0 0,-28 7 0</inkml:trace>
  <inkml:trace contextRef="#ctx0" brushRef="#br0" timeOffset="1384">3775 433 11311,'11'19'8365,"-7"2"-8635,-14 31-3508,-9-2-4677,-8 7 8455,7-18 0,7-18 0,9-14 0</inkml:trace>
  <inkml:trace contextRef="#ctx0" brushRef="#br0" timeOffset="2217">4333 145 9871,'-6'-13'7646,"18"-4"-7196,18-2 629,11 10-359,-6 18-360,-20 19-271,-18 13-89,-5 2-89,17-8-1,38-16 90,40-7 0,-34-7 0,1 3 179,-3 2 1,-4 6 540,15 31 0,-49 20-361,-49 13-2338,-31-10-4497,-12-20 6476,17-37 0,28-11 0,22-13 0</inkml:trace>
  <inkml:trace contextRef="#ctx0" brushRef="#br0" timeOffset="2417">5223 453 8792,'16'21'8365,"-13"15"-7825,-16 25-1979,-24 12-7646,-13 4 9085,14-26 0,14-19 0,18-25 0</inkml:trace>
  <inkml:trace contextRef="#ctx0" brushRef="#br0" timeOffset="2983">5730 1 10231,'34'68'3276,"1"1"1,2-3 0,4-21 296,17-49-3214,18-22 901,-2-19-721,-20 1 271,-10 23-360,-17 38-990,-1 40-4587,-6 36 1844,-10-39 0,1 1 3283,14 40 0,-10-40 0,0-27 0</inkml:trace>
  <inkml:trace contextRef="#ctx0" brushRef="#br0" timeOffset="3167">6613 543 12750,'11'-19'8545,"-1"2"-7376,-18 24-1169,-12 20-3238,-20 32-3958,-1 18 7196,13-13 0,12-22 0,16-27 0</inkml:trace>
  <inkml:trace contextRef="#ctx0" brushRef="#br0" timeOffset="3550">7100 249 9691,'-3'-28'9830,"-8"4"-6977,-1-2-2583,-3 23 360,25 30-540,15 19 0,9-3 0,4 1-90,26 29 224,-27-31 1,-4-2 135,-1 14-180,-39-15-720,-32-12-1799,-13-16 1,-8-10-181,7-7 1,1-7 2518,-7-9 0,5-4 0,-1-8 0,36-5 0</inkml:trace>
  <inkml:trace contextRef="#ctx0" brushRef="#br0" timeOffset="3700">7011 192 9602,'23'-31'6746,"8"4"-6476,12 5-2519,19 5-4947,13 6 7196,-20 6 0,-19 4 0,-28 1 0</inkml:trace>
  <inkml:trace contextRef="#ctx0" brushRef="#br0" timeOffset="3917">7722 453 10591,'-8'33'9830,"-5"13"-8416,-8 12-1684,-9 9-2159,3-23 0,-1-1 2429,-18 22 0,4-10 0,23-31 0</inkml:trace>
  <inkml:trace contextRef="#ctx0" brushRef="#br0" timeOffset="4267">7951 170 11400,'12'-31'9830,"0"15"-9046,-4 28-244,9 22-180,17 30-315,-9-21 0,1 1 0,0 0 0,0 0-135,15 37-1169,-38-17-1890,-37-32 1,-23-13-1439,-29-53 899,29-13 3688,7-6 0,35 21 0,12 23 0</inkml:trace>
  <inkml:trace contextRef="#ctx0" brushRef="#br0" timeOffset="4383">7897 223 7263,'26'-30'4048,"23"-3"-4858,8 3 810,35-1 0,-51 20 0,6-1 0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34.370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51 44 9152,'-24'-29'8905,"6"14"-8456,9 33 91,13 28-630,10 42-1709,4 4-3117,-6-23 1,0-2 4876,2 8 1,0 3 0,-11-65 0</inkml:trace>
  <inkml:trace contextRef="#ctx0" brushRef="#br0" timeOffset="217">471 562 15718,'9'23'2159,"-4"16"-3508,-10 28-4408,-3 9 5757,1-22 0,1-18 0,5-29 0</inkml:trace>
  <inkml:trace contextRef="#ctx0" brushRef="#br0" timeOffset="467">1012 334 10771,'27'-62'9830,"-6"13"-8237,1 45-1053,-4 23-1709,18 54-3509,-13 14-179,-11-36 0,-2-1 4857,0 18 0,-7-32 0,-1-26 0</inkml:trace>
  <inkml:trace contextRef="#ctx0" brushRef="#br0" timeOffset="667">1659 604 13469,'1'13'3778,"-6"23"-4048,-4 4-5307,-9 33 5577,6-21 0,1-10 0,7-23 0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45.554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59 249 7533,'-14'-17'6296,"2"3"-5576,-1 0-181,4 5 631,1 1-721,5-3 91,10-2 0,7-2 179,18-6 91,6 9 0,12 13-91,-2 24-359,-10 25-90,-19 18-180,-24 6-90,-14-3-90,-6-13 90,18-32 0,24-22 0,32-16 0,22 4 90,4 19 359,-10 20 91,-29 18-180,-37 12-450,-45 8-2788,-31-9-2879,-14-19 5757,18-32 0,31-9 0,25-11 0</inkml:trace>
  <inkml:trace contextRef="#ctx0" brushRef="#br0" timeOffset="517">839 472 14819,'15'-4'3867,"13"-3"-3147,35-9-585,-16 5 0,4-2-360,8-1 0,2-1-45,-2 0 0,-3-1-89,31-8 269,-31 4 269,-27 4 631,-30-6 539,-19 4-629,-10-3-540,5 7-270,43 10 0,15 6-90,30 10 180,-15 14-90,-25 15-1259,-30 12-3059,-21 7 4408,-5-12 0,11-19 0,12-16 0</inkml:trace>
  <inkml:trace contextRef="#ctx0" brushRef="#br0" timeOffset="751">2212 50 8882,'16'-23'9830,"-2"2"-6977,7 16-2224,2 34-179,3 44-1889,-12-21 0,0 3-1260,-1 5 1,0 0 2698,-4-7 0,0-4 0,1 13 0,-7-30 0</inkml:trace>
  <inkml:trace contextRef="#ctx0" brushRef="#br0" timeOffset="1317">263 1123 10861,'-11'19'7016,"6"20"-6656,9 31 269,17 15-359,28-5-180,16-43 0,14-42 989,2-51-359,-28 7 89,-11 0 361,-14 46-720,-11 34-1980,9 35-3237,0 22-5064,13-2 9770,-10-31 0,-1-24 1,-21-26-1</inkml:trace>
  <inkml:trace contextRef="#ctx0" brushRef="#br0" timeOffset="1833">1161 1335 9691,'-21'-32'9830,"19"9"-8686,19-10-1773,56 14-136,-14 9 0,6 1 180,10-3 1,0-2 269,-2-2 0,-3-1 225,-13 0 1,-8-3 538,2-14 271,-54 5 179,-39 4-179,-20 6-180,6 7-540,37 11 0,42 10 0,40 16 0,11 14 0,-10 10 90,-25 9-450,-28 1-2788,-23-5 3148,-11-16 0,5-16 0,7-16 0</inkml:trace>
  <inkml:trace contextRef="#ctx0" brushRef="#br0" timeOffset="2417">2373 1019 8522,'17'-28'9830,"-5"5"-8326,-17 12-1324,-7 12-540,-14 12-540,3 8 91,4-1 629,9-16 270,18-25 719,6-14 181,6-7-271,-3 8-449,-5 16 0,7 15-90,1 23-90,14 32-90,-4 13-360,1 14 0,-11-16 270,-14-1 450,-20-23 90,-15-3-360,-6-16-540,18-18-1079,29-14-1439,26-14-1260,7-2 4228,-5 3 0,-22 14 0,-7 3 0</inkml:trace>
  <inkml:trace contextRef="#ctx0" brushRef="#br0" timeOffset="2917">582 1897 9961,'-21'-6'6207,"-2"7"-5488,2 13-359,12 18-180,34 26-90,14-6-90,28 5 1439,-13-24-90,-11-8-989,-36-2-360,-40-12-1529,-35 2-2069,-18-13-1889,7-15 5487,27-6 0,25 1 0,20 7 0</inkml:trace>
  <inkml:trace contextRef="#ctx0" brushRef="#br0" timeOffset="3133">542 1850 10411,'9'-10'8455,"1"4"-8275,11-1 360,17-1-2429,49-12-450,-31 9 1,2 0 2338,9-3 0,-1 2 0,-14 3 0,-3 2 0,27-1 0</inkml:trace>
  <inkml:trace contextRef="#ctx0" brushRef="#br0" timeOffset="3617">1612 1698 12750,'8'-9'5487,"2"-1"-5397,6-6 89,7-2-179,11-8 90,5-4 0,-5 1 810,-6-3-91,-22 4-269,-19 4-180,-14 4-90,-13 12-270,12 8-270,14 12-450,31 6 91,33 17 539,16-2 270,3 5 359,-21-7-269,-21 7-450,-28 5-2968,-12 1 3148,-9-5 0,8-20 0,6-10 0</inkml:trace>
  <inkml:trace contextRef="#ctx0" brushRef="#br0" timeOffset="4050">2425 1581 9961,'-8'-19'7646,"2"2"-6837,8-7-539,15 6-180,17 2 0,7 13 0,-4 16 540,-21 31-180,-18 7-181,-14 11-89,-2-7-539,15-18-721,26-13-359,18-24-1529,20-18 2968,4-6 0,-30 7 0,-6 8 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6:54.238"/>
    </inkml:context>
    <inkml:brush xml:id="br0">
      <inkml:brushProperty name="width" value="0.08571" units="cm"/>
      <inkml:brushProperty name="height" value="0.08571" units="cm"/>
      <inkml:brushProperty name="color" value="#FF0066"/>
    </inkml:brush>
  </inkml:definitions>
  <inkml:trace contextRef="#ctx0" brushRef="#br0">3496 2144 10231,'-19'-23'5667,"2"11"-4498,-1 31 270,2 53-1079,6-5 0,0 10-210,3-12 0,1 4 0,0 2-105,-1 9 0,1 4 0,0 0 165,1 3 0,0 0 0,0 0-121,2 0 1,0-1 0,0-1-30,2 1 0,1-1 0,-1 0-30,2-2 0,0 0 0,0 0-30,1-1 0,0 0 0,1 0 0,-1 0 0,0-1 0,-1 1 30,1-2 0,-1-1 0,-1 1 60,0-2 0,-2 1 0,0-2-19,0-3 0,-1-2 1,-1 0-42,0-4 0,-1 0 0,1-1 15,-3 29 0,1-3-55,0-7 0,2-1 10,0-6 0,1-1 0,1-6 0,-1-1 0,2-2 0,0-1 203,0-1 1,1 0-204,1-1 0,1-1 116,1-1 0,2 0-116,0-3 0,1-1 10,1-1 1,0-2-56,1-3 0,1 0 0,0-3 0,1 1 0,2 4 0,0 1 0,0-4 0,-1 0 0,2 6 0,0 0 0,-1-8 1,0-2 44,13 42 0,2-11 0,5-13-180,8-13-90,10-18 90,24-23 0,3-19 90,-21-8 0,3-5 0,8-3 0,2 0-45,3-2 0,2 1-45,7 0 1,0-1 44,-10 4 0,-1 0-45,-5 0 0,-1-1 90,-5 2 0,-1-1 90,-9 3 0,-2 1-90,39-12 180,-12 3 0,5-3 0,-10 4 0,1-1-90,-16 4 0,-9-6-90,-10-14 90,-11-28 90,-16 18 0,-4-6 45,-3-14 0,-4-6-45,-3-16 0,-4-5-217,1 23 1,-3-2 0,0-1 156,-3-7 0,-1-1 0,-1 0 0,0 1 0,-1 0 0,-1 0-30,0 1 0,-1 0 0,0 2 30,2 6 0,-1 2 0,1 0-30,0 0 0,-1 0 0,1 0 0,0-2 0,0 0 0,1-1 0,0-2 0,1-1 0,0 1 0,2-2 0,1 1 0,1 1 0,1 4 0,1 1 0,2 1 0,-3-27 0,2 3 0,1 10 0,1 2 0,0 0 0,0 1-45,1-4 0,-1-1 45,0 0 0,0 0 45,-1 0 0,-1 0-45,0 4 0,-2 0-45,-1-4 0,-1-1 0,-1-5 0,-1 0 45,1 3 0,0 1 0,2 8 0,-2 3 0,3 13 0,-2 4 0,2 12 0,0 2 0,-10-37 0,6 23 379,2 10-379,4 18 0,0 10 0,-11 6 0,-11 10 0,-29 1 0,-28 6 0,29 5 0,-5 1-45,-8 2 0,-4 2 90,-5 1 0,-1 1-90,0 1 0,2-1 45,6 0 0,3 0-405,8-1 0,4 0-4092,-33 7 89,38-3 4408,27 0 0,21-8 0,9 0 0</inkml:trace>
  <inkml:trace contextRef="#ctx0" brushRef="#br0" timeOffset="1183">4909 1794 7982,'23'-13'6747,"-3"-5"-4589,2-1-1348,-12-7-91,-25 20 541,-22 16-271,-15 35-539,6 24-270,34-4 0,11 7-135,11-3 0,7 2 0,5 7 0,4 1-45,7-6 0,0-5 539,10 18-359,-10-19 90,-33-30-180,-47-35-270,-6-14-90,5-16 0,4-9 1,-2-36 179,14-15 0,64 6 180,30 32-90,25 12 45,-31 35 0,0 10 134,27 20-89,-9 15 0,-38 15-90,-23-9-269,-6-8-361,-3-48 360,13-36 180,14-38 0,12 3 90,4 24 0,-4 34 90,-4 27-180,2 16 90,15 5 90,-5-11-180,18-13 180,-9-30-90,-11-8 180,-11-16 0,-39 5-180,-28 24 0,-23 26 90,1 44-630,24 30-2698,44 10 1259,12-46 0,9-5 1979,11-9 0,1-6 0,16 4 0,-9-20 0</inkml:trace>
  <inkml:trace contextRef="#ctx0" brushRef="#br0" timeOffset="2916">6067 3607 9242,'34'-12'5756,"-5"1"-5126,-43-10 90,-45-3-541,-20 4 1,-17 2-120,4 7 0,-9 3 0,-6 2-506,26 3 1,-3 1 0,-3 1 0,-2 1 0,-2 1 445,3 1 0,-3 1 0,-1 2 0,-2-1 0,1 2 0,1-1 0,2 1 0,1 1 0,-1 0 0,1 1 0,0 0 0,-1 0 0,-1 0 0,0 1 0,-1 0 0,1 0 0,2 0 0,2-1-86,-5 1 0,2 0 0,2 0 0,1 0 1,2-1 62,-14 0 1,2 1-1,1-2 1,3 1-103,10-2 1,2 0 0,2 0 0,0 1 94,-17 1 0,2 1 0,1 0 30,7 1 0,1 0 0,0 1-124,3 0 1,0 0 0,0-1 93,2 0 0,1-1 0,1-1 30,5-1 0,0-1 0,1-1 415,2-1 1,0-1 0,1-1-416,-28 1 0,2-1 0,5-1 0,2 0 0,7-2 0,4 0 523,12-1 0,4-1-523,-34-5 648,30-1-738,19 10 498,15 17-319,11 24 175,8 38-174,11-19 0,3 6-90,3 16 0,4 4 45,3 11 0,4 1 0,2-4 0,3-2 45,1-13 0,4-6 0,-1-16 0,5-8-90,38 17 45,-20-47 0,8-7-45,27-8 0,12-8-324,-10-2 1,7-4-1,3-2 324,-10 1 0,2-1 0,3-1 0,1 0 0,-12 2 0,2-1 0,1 0 0,1 0 0,-1 0-225,1 1 1,0-1 0,0 0 0,0 1-1,1 0 225,1 1 0,-1 0 0,1 1 0,1-1 0,-1 0 18,2 0 0,1 0 0,0-1 0,0 1 0,0-1-18,3 0 0,0-1 0,1 1 0,-1-1 0,1 0 18,1-1 0,0 0 0,0 0 0,-1 1 0,1-1-18,-2 1 0,0 0 0,-1 0 0,0 1 0,-1 0 18,-4 1 0,0 0 0,-2 1 0,0 1 0,0 0-18,15-1 0,-1 1 0,-1 1 0,-2 0-112,-10 0 1,0 1-1,-3 0 1,-1 0 141,17-3 0,-3 0 0,-5-1 59,-18 1 1,-3-1 0,-5-2 45,11-6 0,-9-5 923,11-29-968,-45-24 579,-29 19 1,-9-6-355,-6-14 0,-5-3 45,-7-12 0,-3-1 340,0 7 1,-2 3-476,4 14 0,1 5-135,-13-19-1350,15 33-7105,9 25 8365,7 19 0,3 3 0,4 10 0</inkml:trace>
  <inkml:trace contextRef="#ctx0" brushRef="#br0" timeOffset="3699">5496 3975 7623,'-38'-20'6026,"7"5"-3777,-14-8-1529,71 27-496,25-2 1,16 0-135,17 3 0,13 1 0,9-1-487,-22-4 1,6-1 0,4 0 0,2-2-1,0 1 412,-8-1 0,1 0 0,2-1 0,0 0 0,1-1 0,0 0 0,4 0 0,1 0 0,2-1 0,-2-1 0,-2 1 0,-3 0-15,2-1 0,-1-1 0,-4 1 0,-2 0 0,-4 0 124,2 0 0,-4 0 1,-4 1-1,-7-1 11,25-2 0,-16 0 315,-10-2 270,-59-20-361,-54-7-89,3 8 0,-5 0 90,-7 1 0,-1 2-1,4 2 1,2 3-90,-19-8 1478,34 18-1658,63 28 6,51 27-186,-23-12 1,2 4-1,0 2 0,-4 3-315,-15-3 0,-9 3-3103,-13 36-6323,-39 1 9747,-2-27 1,0-13 0,16-31 0</inkml:trace>
  <inkml:trace contextRef="#ctx0" brushRef="#br0" timeOffset="4883">9130 3476 10231,'-10'62'4857,"2"-16"-4362,11 3 0,2 5 134,6 40-449,-3-31 0,0 1 1080,6 31-541,-4-36-539,-8-60-90,-13-74-90,3 14 0,0-7 299,0-4 1,1-6 0,0 3 15,-1-9 0,2 4 0,0-3 0,4 15-45,10 38-91,15 71-89,13 35-90,-2-15 0,7-1 45,-2-16 0,4-5-45,2 1 0,5-12 45,10-28 0,0-18-90,-11-17 0,-3-11 90,8-8 0,-4-7 405,-8-4 0,-6 0-91,-11 17 1,-2 4 450,11-16 359,1 70-629,-10 58-405,-8-16 0,-1 6-360,0 29 0,-2 1-585,-3-21 1,0 0-810,5 17 0,4-3 179,1-26 1,3-6 450,23 23 629,10-41 810,-13-59 360,-9-13 629,-7-27-180,-14 11-1079,-6 15-90,4 50-180,1 19-720,20 49-899,20-17 720,27-10 764,-31-37 0,2-13 360,4-20 0,-5-13 45,-9-2 0,-8-9 314,-6-25 1,-13-5-90,-16 8 0,-12 3-180,-6-1 0,-11 8-136,-9 16 1,-9 14-45,-9 19 0,-2 15-450,2 13 1,4 12-946,7 8 1,13 8-675,20 6 1,17 2 2023,21 0 0,11-5 0,27 25 0,17-18 0</inkml:trace>
  <inkml:trace contextRef="#ctx0" brushRef="#br0" timeOffset="5816">11123 3922 7263,'36'-49'7106,"-11"-13"-4947,1-31-1350,-30-5-359,-21 14-270,-18 21-180,-9 34-90,-3 35-540,11 36-899,24 37 494,23-25 1,9 2 314,8 5 1,7-2 449,7-2 0,6-6 540,0-13 0,4-8 989,44-10 180,-9-59-854,-43-10 0,-7-12-1,-4-22 1,-7-8-136,-8 22 1,-4-3 0,-4 1 45,-5-30 0,-9 6-270,-6 17 0,-9 13 44,-44 3-89,-18 89-135,50 20 0,8 14-45,6 17 0,12 7-90,14 8 0,12-2 0,9-13 0,9-8 45,5-14 1,6-14 44,46-20 0,-40-46 0,-2-18 0,3-26 0,-5-13 29,-14 17 1,-4-3 0,-2-2 150,-2-4 0,-4-2 0,-3 2 135,-1-20 0,-7 5-90,-7 17 0,-6 8 44,-24-9-89,-15 72-135,18 37 0,7 19-45,2 22 0,9 9-240,8-18 0,5 4 1,7-1-61,8 1 0,8-2 0,6-4-15,24 17 1,11-13 224,0-16 0,4-16 90,-8-23 0,-3-19-45,-17-23 0,-8-13 224,-10-9 1,-9-5-90,-5-4 0,-7 2 0,-14-25 0,-19 71-629,-7 69-1350,19-3 0,10 8-2654,12 14 1,8-1 4542,-2-21 0,5-5 0,10-1 0,4-9 0,5-7 0</inkml:trace>
  <inkml:trace contextRef="#ctx0" brushRef="#br0" timeOffset="6166">12963 3268 8612,'-36'-16'6476,"11"5"-6026,40 1-1709,58 5-1035,-9 3 0,4 0 2294,-4 1 0,-3 0 0,29-1 0,-56 2 0</inkml:trace>
  <inkml:trace contextRef="#ctx0" brushRef="#br0" timeOffset="6366">13235 3530 8522,'-21'16'6386,"9"6"-5846,27 0-1529,67-6-541,-6-14 1,9-5 1529,10-3 0,-1-2 0,-12 0 0,-4 0 0,-21 0 0,1 0 0</inkml:trace>
  <inkml:trace contextRef="#ctx0" brushRef="#br0" timeOffset="6749">14259 3126 8342,'-22'-42'5847,"12"-3"-4498,19-16-449,44 13 179,38 25 180,8 33-269,-29 45-721,-59-4 1,-18 9-180,-23 17 0,-14 4-60,11-25 0,-3 1 0,-1 0 15,-21 27 0,5-2-90,19-20 0,16-4-764,45 29 89,26-59 1,17-13-391,6-8 1,9-7-1,2-3-2167,4-4 0,2-4 0,-4-1 3193,-10 2 0,-3 0 1,-5-2-1,15-5 0,-13 0 1,-17 1-1</inkml:trace>
  <inkml:trace contextRef="#ctx0" brushRef="#br0" timeOffset="7916">15785 2609 9332,'-45'-44'6026,"-39"-1"-5666,4 19 0,-15 2-270,27 9 0,-4 1 0,-6 0 0,-4 0-635,6 1 0,-4 1 1,-4 0-1,-2-1 1,-2 2-1,0-1 557,4 2 1,-1 1 0,-2-1 0,-1 1 0,0 1 0,-2-1 0,1 1-212,-5 0 1,-1 0 0,-1 0-1,-1 0 1,0 2 0,0-1 0,0 2 198,-3 0 0,0 1 0,-2 0 0,1 1 0,0 1 0,3 0 0,1 0 0,-2 1 0,2 1 0,2 1 0,1 0 0,0 0 0,-1 1 25,0-1 1,0 1-1,0 1 1,1-1 0,2 1-1,3 1-25,-1-1 0,3 2 0,2-1 0,2 1 0,2 0-92,-10 1 1,3 0 0,2 0 0,2 1 61,-12 2 0,2 0 0,5 0 379,14 0 1,2-1 0,2 0-395,-28 4 0,1-2 45,7-2 0,1-2 0,-4-2 0,-2-2-30,28-1 0,-2-1 0,0 0 30,-2 0 0,-1 1 0,1 0 0,3 0 0,2 1 0,1 1 1012,-15 0 0,5 2-901,17 0 0,6 2 1279,-12 11-1130,24 15 865,11 33-901,14-7 1,1 10-105,3 1 0,0 7 0,1 2-101,-1 12 1,1 3 0,1 3 145,2-17 1,2 1 0,-1 2 0,2-1-132,1 1 1,1 1 0,0-1 0,2 0-49,1-6 0,0 0 1,2-1-1,1 0 17,2 24 1,3-1 0,4-1-70,3-5 1,4-2 0,6-5 95,5-10 0,5-3 0,7-6-30,4-8 0,7-5 0,8-7 30,18-6 0,9-9 0,6-7-30,-16-10 0,3-6 0,3-3 0,2 0-288,-4-1 1,2-2-1,2-1 1,2-1-1,1 1 324,6-1 0,1-1 0,2 1 0,2-1 0,1 1 9,-8 0 0,1 1 0,2 0 0,1 0 0,0 0 0,1 0-288,-11 0 0,2 1 0,-1 0 0,2-1 1,-1 1-1,1-1 0,-1 0 255,0 0 1,1 0 0,0 0 0,0-1 0,-1 0 0,1 1 0,-1-1-26,-1 0 0,0 0 0,0 0 0,-1 0 1,0 0-1,-1 0 0,-2-1-111,4 0 0,-1 0 1,0 0-1,-3 0 1,0 0-1,-3-1 124,6 1 0,-3 0 0,-1 0 0,-1 0 0,-3-1 37,8 0 0,-1 0 0,-4 0 1,-4-3-68,3 0 0,-4-3 0,-4-2 30,24-10 0,-8-8 530,-13-5 1,-7-10-576,-10-8 0,-9-9 45,-8-11 0,-11-8 0,-15 11 0,-7-5 0,-4-5 233,-3 5 1,-5-4 0,-1-3 0,0-1-257,-1-15 1,-2-3-1,1-1 1,1-2 4,1 17 0,0-2 0,1 0 0,1 1 0,1 3 18,1-10 0,1 1 0,1 4 0,2 3 348,2-7 0,2 5 0,-1 8-573,3 2 0,-3 10-2797,-8-18-5973,-11 36 8995,-4 26 0,3 14 0,8 12 0</inkml:trace>
  <inkml:trace contextRef="#ctx0" brushRef="#br0" timeOffset="9966">3005 1340 14998,'67'9'1979,"23"-6"-1919,-25-5 0,11-3 0,5 1-601,-3 0 0,4 0 0,3 1 0,-2-1 541,-3 1 0,0 0 0,0 1 0,3-1-23,15 1 1,5 0-1,0 0 1,-6 1 19,4 0 1,-4 1 0,0 0-21,-22-1 1,2 1 0,-1-2-1,-2 1 23,19-2 0,-2 0 0,-2 0 0,-3-1 0,-2 0 0,-1-1 0,-9 1 0,-1 0 0,-1 0 165,-4 0 0,-1 0 1,-1 0-166,24-1 0,-2-1 0,-5 0 0,-1-1 0,-6 1 0,-2-1 0,-9 1 0,-3 1 656,-10 0 1,-2 0-207,26-2 452,-31 3-93,-7-1-449,-20 3-90,2-5 90,-12-9-180,-12-29-90,-12-32-45,3 20 0,-3-5-45,-4-13 0,-1-2 224,0 0 1,0-1-45,0 2 0,0 2-45,4 13 0,0 3 135,-13-35 90,7 22 89,4 18-179,7 20 90,-3 3-360,-6 15 0,-30-2-90,2 11 0,-8 2 90,-28 0 0,-11 2-30,3 0 0,-9 1 0,-3 0-251,19 0 0,-2 0 0,-2 0 0,-1 0 281,8 0 0,-1 0 0,-2 0 0,0 1 0,1-1-253,1 1 0,0 0 0,0 0 1,0 0-1,0 1 253,0 0 0,0 1 0,1 0 0,0 0 0,2 1-23,-13 2 1,2-1-1,1 2 1,2 0-72,7 0 0,1 1 0,2 0 0,3 0 94,-6 2 0,3-1 0,4 1-45,-20 3 0,6 0 45,15-3 0,4 1 430,10-2 0,3 0-430,-39 5 1245,26-4-1245,12-3 569,19-1-569,9-2-90,6-1 90,8 0 0,1-1-90,0 1 90,0 2 0,-1 14 90,4 21 180,7 45-225,9-16 0,5 7-180,3 12 0,2 4-855,-3-23 1,0 2 0,2-2-1710,5 28 1,2-4 2698,-3-15 0,0-6 0,9 25 0,-3-33 0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7:17.387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24575,'0'0'0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5:57:28.853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1 0 24575,'0'0'0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10:21.46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755 6 24575,'-6'-3'0,"-8"1"0,-10 2 0,-16 0 0,-14 0 0,-5 0 0,-10 0 0,0 0 0,-2 0 0,2 0 0,8 0 0,6 2 0,5 5 0,10 6 0,9 4 0,9 0 0,9 0 0,7 0 0,5 0 0,0 1 0,3 3 0,4 7 0,6 13 0,7 17 0,6 15 0,7 13 0,3 7 0,3-3 0,2-11 0,5-20 0,7-20 0,14-17 0,17-11 0,-33-8 0,2-2 0,4 0 0,1-1 0,1-3 0,-1-3 0,-1-3 0,-1-3 0,39-21 0,-18-11 0,-24-2 0,-21 3 0,-11 0 0,-10 1 0,-4-1 0,-4-3 0,-2 2 0,0 1 0,-3 7 0,-6 3 0,-13 3 0,-15-1 0,-15-1 0,-8 3 0,-7 4 0,-2 5 0,-1 4 0,1 4 0,7 1 0,12 3 0,14 4 0,14 2 0,8 13 0,9-7 0,1 9 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10:21.46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33 24575,'33'0'0,"58"0"0,-5 0 0,15 0-1104,-32-1 0,6-1 0,3 1 0,3-1 1104,-3 1 0,3-1 0,3 1 0,0-1 0,0 1 0,2-1 0,0 1 0,0-1 0,1 1 0,-1-1 0,-1 1 0,0 0 0,0-1 0,-1 1 0,-1 0 0,14 1 0,-1 0 0,-3 0 0,-2 0 136,12 0 0,-4 0 0,-3 0-136,-9 0 0,-3 0 0,-3 0 443,21 0 0,-6 0-443,-18 0 0,-3 0 0,-7 0 0,-2 0 0,-10 0 0,-3 0 2241,28 0-2241,-18-1 840,-19-1-840,-13 0 41,-7 1-41,0 1 0,4 0 0,3 0 0,6 0 0,4 0 0,-2 0 0,-4 0 0,-10 0 0,-11 1 0,-7 1 0,-6 3 0,-4 4 0,-3 5 0,-4 6 0,0 2 0,0 3 0,1 4 0,3 2 0,2 6 0,3 3 0,1 3 0,0-1 0,0-2 0,0-4 0,-1-6 0,0-5 0,-3-6 0,-2-4 0,-3-4 0,-6-6 0,-12-2 0,-39 1 0,12-1 0,-10 1 0,-3 0 0,-7 1 0,-3 0-521,-15 1 0,-4 2 0,-3 0 521,18-2 0,-3 1 0,0 0 0,-1 0 0,-2 1 0,-1-1 0,0 1 0,3 0 0,6 0 0,1 0 0,2 0 0,1 0 0,-19 1 0,2 0 0,3 0-83,14-1 0,3 0 0,3-1 83,-23 3 0,5 0 0,13-2 0,2 0 0,5-2 0,2 1 0,3-2 0,3 0 0,4-1 0,2 0 1543,-45 2-1543,12 0 269,10-2-269,13 0 0,8-1 0,8-1 0,9-1 0,9-1 0,7 0 0,6 0 0,1 0 0,0 0 0,0 0 0,0 0 0,0-2 0,1-8 0,0-9 0,1-12 0,0-12 0,0-11 0,-1-10 0,0-5 0,-1 2 0,3 6 0,1 11 0,2 12 0,2 8 0,2 7 0,2 5 0,2 2 0,0 4 0,1 2 0,0 2 0,0 1 0,0 1 0,0 0 0,-2 2 0,-9 1 0,6 2 0,-6 0 0</inkml:trace>
  <inkml:trace contextRef="#ctx0" brushRef="#br0" timeOffset="1">1282 556 24575,'3'2'0,"-1"13"0,-2 34 0,9 39 0,0-27 0,2 3 0,4 4 0,1 0 0,3-4 0,0-2 0,-3-10 0,-1-5 0,7 18 0,-8-22 0,-9-25 0,-7-9 0,-12-9 0,-14-13 0,-13-13 0,-10-11 0,-5-7 0,7 2 0,11 9 0,10 9 0,11 11 0,9 9 0,17 15 0,16 12 0,16 12 0,4 6 0,-6-2 0,-7-4 0,-8-5 0,-4-7 0,-2-6 0,-2-4 0,1-2 0,1 0 0,1 1 0,4 1 0,1-2 0,0-4 0,-2-3 0,-3-3 0,-2-1 0,-2 0 0,-3 0 0,-2 0 0,0 0 0,0-6 0,2-10 0,5-20 0,6-18 0,2-12 0,-2-1 0,-4 8 0,-5 10 0,-2 11 0,-2 8 0,-4 7 0,-2 5 0,-4 6 0,-6 4 0,-19 28 0,13-15 0,-11 18 0</inkml:trace>
  <inkml:trace contextRef="#ctx0" brushRef="#br0" timeOffset="2">1227 1910 24575,'-4'5'0,"2"-2"0,5-2 0,4-1 0,6 0 0,4 0 0,1-1 0,1 0 0,-1-2 0,0-3 0,-1-3 0,0-6 0,-2-4 0,-2-4 0,-4-3 0,-3 2 0,-3 3 0,-4 8 0,-2 7 0,-1 4 0,-1 4 0,0 6 0,2 6 0,1 5 0,1 3 0,0 0 0,1 0 0,0 0 0,0-2 0,0-1 0,0 2 0,0 2 0,2 5 0,3 9 0,6 6 0,5 3 0,2-4 0,-2-10 0,-4-12 0,-4-10 0,-4-8 0,-3-2 0,-1-3 0</inkml:trace>
  <inkml:trace contextRef="#ctx0" brushRef="#br0" timeOffset="3">1709 1940 24575,'-5'-7'0,"2"7"0,0 12 0,3 18 0,0 13 0,0 8 0,2-3 0,3-8 0,4-9 0,2-13 0,3-8 0,3-6 0,6-7 0,4-6 0,4-6 0,0-3 0,-2 1 0,-4 2 0,-7 0 0,-7-1 0,-5-5 0,-5-9 0,-5-6 0,-11-7 0,-13 0 0,-8 7 0,-4 10 0,2 14 0,5 7 0,5 9 0,7 10 0,7 7 0,8 8 0,4-3-1696,2-7 0,0-8 0,0-7 0</inkml:trace>
  <inkml:trace contextRef="#ctx0" brushRef="#br0" timeOffset="4">2133 1758 24575,'-3'2'0,"1"4"0,2 5 0,0 5 0,0 4 0,0 3 0,0 4 0,0 0 0,3 1 0,2 0 0,3-2 0,3-4 0,-1-2 0,-2-3 0,-1-2 0,0-1 0,-1 0 0,0 0 0,-2-4 0,-1-4 0,-1-3 0</inkml:trace>
  <inkml:trace contextRef="#ctx0" brushRef="#br0" timeOffset="5">1962 2043 24575,'6'-2'0,"1"0"0,9 1 0,9 1 0,7 0 0,6 0 0,-2 0 0,2-2 0,2-5 0,4-6 0,4-3 0,3-3 0,1-1 0,-1 1 0,-6 1 0,-9 3 0,-11 3 0,-13 7 0,-5 1 0</inkml:trace>
  <inkml:trace contextRef="#ctx0" brushRef="#br0" timeOffset="6">2771 1540 24575,'0'10'0,"0"0"0,0 2 0,0 3 0,0 6 0,0 3 0,0 1 0,0-3 0,0-6 0,0-5 0,2-6 0,7 1 0,12-1 0,16 1 0,13 4 0,4 1 0,-3-1 0,-5-4 0,-8-3 0,-7-6 0,-7-4 0,-6-5 0,-5-3 0,-6-3 0,-4-4 0,-10-5 0,-10-3 0,-12 5 0,-12 8 0,-6 9 0,-2 8 0,3 9 0,7 10 0,11 7 0,9 2 0,9-4 0,5-12 0,4-5 0</inkml:trace>
  <inkml:trace contextRef="#ctx0" brushRef="#br0" timeOffset="7">3552 1306 24575,'-8'-2'0,"3"6"0,1 7 0,4 9 0,0 3 0,0-1 0,0-5 0,1-6 0,3-2 0,4-3 0,4-3 0,4-1 0,2-2 0,1 0 0,1 0 0,1 0 0,1 0 0,-1 0 0,-2-2 0,-1 0 0,-4-3 0,-1-1 0,-1-4 0,-2-4 0,-3-5 0,-2-3 0,-3-2 0,-7 1 0,-10 3 0,-11 5 0,-11 4 0,-6 2 0,-1 0 0,6 2 0,7 1 0,7 3 0,6 2 0,8 1 0,3 0 0</inkml:trace>
  <inkml:trace contextRef="#ctx0" brushRef="#br0" timeOffset="8">1773 2412 24575,'2'-5'0,"26"2"0,34-3 0,-7 0 0,8-3 0,0-3 0,7-3 0,1-1-426,5-3 0,1-1 0,2-1 426,7-3 0,1 0 0,0 0 0,-1-1 0,0 1 0,-3 1 0,-10 3 0,-3 2 0,0 0 156,28-7 0,-3 1-156,-16 4 0,-5 0 0,-13 5 0,-4 2 0,29-9 0,-28 7 0,-26 8 241,-21 5 1,-6 2-1,-6 0 1</inkml:trace>
  <inkml:trace contextRef="#ctx0" brushRef="#br0" timeOffset="9">2696 2721 24575,'0'-6'0,"7"-1"0,16-6 0,18-2 0,16 1 0,0 5 0,-11 7 0,-16 2 0,-14 2 0,-9 5 0,-5 9 0,-1 7 0,-1 5 0,-1 2 0,-2-1 0,-7 1 0,-5 0 0,-5-1 0,-4-4 0,0-2 0,1-5 0,2-3 0,5-3 0,8-3 0,12-4 0,21-9 0,18-9 0,12-7 0,9-6 0,-2 1 0,-1 4 0,-6 5 0,-12 6 0,-8 4 0,-10 1 0,-7 2 0,-6 0 0,-6 2 0,-3 0 0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20:38.149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642 1 24575,'-16'0'0,"-7"0"0,-6 0 0,-4 0 0,3 0 0,8 0 0,10 1 0,8 2 0,5 4 0,3 7 0,3 9 0,0 8 0,-1 8 0,2 7 0,-1 4 0,-1-1 0,0-6 0,-2-10 0,-2-10 0,0-7 0,-2-6 0,1-3 0,-1-2 0,1-2 0,1-2 0,2-1 0,0-1 0,2-2 0,2-2 0,4-1 0,3-1 0,2 2 0,1 1 0,-3 1 0,-4 1 0,-6 1 0,-2 1 0</inkml:trace>
  <inkml:trace contextRef="#ctx0" brushRef="#br0" timeOffset="1566">1721 21 24575,'6'0'0,"0"0"0,0 0 0,-1 0 0,1 0 0,-2 0 0,0 0 0,0 0 0,-2 1 0,0 2 0,-1 2 0,0 4 0,-1 4 0,0 3 0,0 4 0,0 6 0,0 4 0,0 4 0,1 0 0,1-2 0,1-3 0,0-6 0,-1-2 0,-1-2 0,-1-2 0,0-2 0,0-4 0,0-1 0,0-2 0,-1-1 0,-5-1 0,-6 1 0,-7-1 0,-5 0 0,0-1 0,3-2 0,4-2 0,9-1 0,4 0 0</inkml:trace>
  <inkml:trace contextRef="#ctx0" brushRef="#br0" timeOffset="3499">0 592 24575,'16'14'0,"7"1"0,10 0 0,9-3 0,3-4 0,0-3 0,-1-2 0,-6-4 0,-2-5 0,-2-5 0,3-6 0,6-5 0,8-5 0,5-2 0,3-1 0,1 1 0,1 3 0,1 3 0,-3 6 0,-4 6 0,-3 5 0,-4 4 0,-4 1 0,-2 4 0,-2 5 0,-3 6 0,-4 6 0,-6 1 0,-6-2 0,-8-3 0,-4-4 0,-4-5 0,-2-3 0,0-2 0,1-5 0,-1-5 0,1-3 0,1 0 0,0 1 0,2 4 0,4 3 0,7 1 0,15 2 0,16 0 0,11 5 0,8 5 0,0 4 0,0 3 0,-2-2 0,-6-4 0,-3-4 0,-7-3 0,-5-6 0,-8-8 0,-9-6 0,-7-5 0,-5-2 0,-6 3 0,-3 3 0,-4 1 0,-2 4 0,-1 1 0,0 2 0,0 3 0,-2 3 0,-1 2 0,1 1 0,-1 0 0</inkml:trace>
  <inkml:trace contextRef="#ctx0" brushRef="#br0" timeOffset="4649">517 766 24575,'0'10'0,"0"3"0,1 7 0,3 3 0,6 3 0,7-1 0,6-4 0,2-4 0,0-6 0,-2-6 0,-4-3 0,-2-5 0,-4-7 0,0-6 0,-4-7 0,-3-2 0,-3 1 0,-3 2 0,-4 4 0,-6 2 0,-8 4 0,-8 3 0,-4 5 0,1 2 0,2 2 0,6 0 0,5 0 0,5 2 0,3 2 0,3 1 0,2-1 0,2 0 0</inkml:trace>
  <inkml:trace contextRef="#ctx0" brushRef="#br0" timeOffset="6183">829 719 24575,'0'12'0,"0"3"0,0 5 0,0-1 0,0 0 0,0 2 0,0 6 0,0 4 0,4 3 0,2 1 0,3-2 0,-1-6 0,-3-8 0,-1-5 0,-3-7 0,0-13 0,-1-14 0,-4-18 0,-5-16 0,-5-6 0,-1 2 0,5 11 0,5 16 0,5 11 0,4 7 0,8 6 0,10 3 0,10 3 0,2 1 0,-3 6 0,-8 5 0,-9 4 0,-6 3 0,-5-1 0,-3-2 0,-3 0 0,-4-1 0,-3-1 0,-2 1 0,-2-1 0,-1 0 0,0-3 0,-1-1 0,0-3 0,1-3 0,3-1 0,3-2 0,5 0 0,2 0 0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21:05.19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151 0 24575,'0'29'0,"0"35"0,0-11 0,0 6 0,0 19 0,0 5 0,0 10 0,0 3 0,0 3 0,0 1 0,0-2 0,0-2 0,1-10 0,0-2 0,1-11 0,0-2 0,2-9 0,0-3 0,1-8 0,1-2 0,4 37 0,-1-17 0,-4-18 0,-2-17 0,-1-13 0,-4-12 0,-10-16 0,-15-19 0,-10-17 0,-4-11 0,7 4 0,10 12 0,7 13 0,7 13 0,9 17 0,11 13 0,9 14 0,9 12 0,2-1 0,-3-4 0,-7-10 0,-4-9 0,-3-6 0,-1-5 0,0-5 0,2-2 0,6-1 0,7 2 0,7 3 0,6 3 0,0-2 0,-4-2 0,-6-3 0,-7-4 0,-5-2 0,-4-4 0,-3-4 0,-1-4 0,0-4 0,-2-3 0,-2 1 0,-4 4 0,-2 6 0,-1 5 0,-1 5 0,-5 1 0,3 1 0,-1 0 0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21:06.64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134 66 16508,'0'-5'0,"0"17"3531,0 20-3531,0 27 1388,0 22-1388,0 4 738,0-9-738,0-16 2410,0-27-2410,-3-24 0,-9-31 0,-13-38 0,-6-22 0,1-9 0,11 10 0,11 22 0,4 15 0,3 14 0,2 11 0,4 8 0,4 5 0,7 4 0,9 6 0,8 10 0,6 12 0,0 12 0,-5 8 0,-7 0 0,-2 0 0,5 1 0,13 5 0,10 1 0,2-5 0,-8-11 0,-15-13 0,-13-11 0,-8-12 0,-7-20 0,-2-27 0,-1-24 0,-1-17 0,-1 4 0,-1 16 0,1 19 0,0 20 0,1 12 0,0 10 0,0 9 0,0-1 0,0 4 0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39:56.59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14 256 24575,'2'10'0,"6"3"0,4 13 0,3-5 0,1-4 0,-5-7 0,-2-5 0,-2-4 0,1-4 0,1-6 0,4-10 0,4-13 0,2-11 0,1-6 0,-1-1 0,-2 7 0,-4 8 0,-1 9 0,-2 8 0,-2 4 0,-1 5 0,-3 4 0,-2 2 0</inkml:trace>
  <inkml:trace contextRef="#ctx0" brushRef="#br0" timeOffset="1249">0 775 24575,'0'9'0,"1"0"0,2 1 0,4 5 0,5 4 0,5 6 0,2 0 0,-3-4 0,-3-6 0,-4-8 0,0-5 0,0-9 0,2-11 0,2-13 0,1-15 0,2-9 0,1-2 0,2 4 0,-1 12 0,-3 13 0,-2 10 0,-4 8 0,-4 5 0,-3 2 0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40:00.27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0 287 24575,'17'0'0,"9"0"0,11 5 0,5 2 0,-6 4 0,-7-3 0,-11-3 0,-7-3 0,-2-7 0,0-10 0,0-14 0,2-15 0,3-8 0,2 0 0,1 8 0,-1 11 0,-4 11 0,-4 8 0,-1 6 0,-3 4 0,-1 2 0,-2 1 0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41:37.77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46 1 24575,'-2'10'0,"1"20"0,1 30 0,0 37 0,0-31 0,0 5 0,0 12 0,1 4 0,1 10 0,2 1 0,0-3 0,1-2 0,1-12 0,0-4 0,-1-18 0,0-5 0,0 10 0,-4-25 0,-1-24 0,0-10 0,0-10 0,0-4 0,-1-3 0,-3-1 0,-1 2 0,-3 2 0,0 1 0,0 1 0,1-1 0,-2-1 0,0 0 0,-1 1 0,2 0 0,3 1 0,2 2 0,2 3 0,4 6 0,6 5 0,6 7 0,5 7 0,4 5 0,-2 4 0,-2 0 0,-4-4 0,-5-7 0,-2-9 0,-1-6 0,0-4 0,1-7 0,4-8 0,6-9 0,4-9 0,0-2 0,-2 4 0,-6 7 0,-5 8 0,-4 6 0,-1 3 0,-2-1 0,-1 3 0,-1 0 0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41:46.07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24575,'25'0'0,"19"0"0,27 0 0,16 0 0,0 0 0,-6 0 0,-7 0 0,-4 0 0,-3 0 0,-7 0 0,-6 0 0,-4 0 0,-2 0 0,0 0 0,-5 0 0,-8 0 0,-10 0 0,-10 0 0,-8 0 0,-4 0 0</inkml:trace>
  <inkml:trace contextRef="#ctx0" brushRef="#br0" timeOffset="2566">536 29 24575,'0'24'0,"0"23"0,0 34 0,0-23 0,0 5 0,0 10 0,0 3 0,0 6 0,0 0 0,0-3 0,0-1 0,0-8 0,0-2 0,0-9 0,0-2 0,0 36 0,0-17 0,0-10 0,0-7 0,0 0 0,0 1 0,0-2 0,0-7 0,0-8 0,0-9 0,0-4 0,0 2 0,0 3 0,0 3 0,0 3 0,0-4 0,0-4 0,0-5 0,0-3 0,0-4 0,0-1 0,0-3 0,0-4 0,0-3 0,0-3 0,0 0 0,0-3 0,-2-1 0,-1-2 0,-3-1 0,-2 0 0,-3 0 0,-1-3 0,1-1 0,1-2 0,1-1 0,1 1 0,3 0 0,0 2 0,2 0 0,1 1 0,1 0 0,0 0 0,1-2 0,1 1 0,1 2 0,3 3 0,3 6 0,1 2 0,0 1 0,0-1 0,-1-1 0,-1-1 0,1 0 0,0-2 0,-1 0 0,0-2 0,-2 0 0,0 0 0,-1 0 0,-1-1 0,0 0 0,0 0 0,0-1 0,2-1 0,1-2 0,1-4 0,1-6 0,0-2 0,0 1 0,0 3 0,-1 4 0,-2 2 0,-2 2 0,-1 1 0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42:02.41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85 1 24575,'0'11'0,"0"12"0,0 24 0,0 31 0,0-22 0,0 5 0,0 12 0,0 5 0,0 10 0,0 3 0,0 7 0,0 0 0,0-2 0,0 0 0,0-5 0,0-3 0,0-9 0,0-3 0,0-8 0,0-3 0,0-8 0,0-2 0,0 41 0,0-9 0,1-10 0,1-5 0,0-4 0,0-1 0,0-4 0,-1-6 0,0-6 0,-1-6 0,0-4 0,0 0 0,0 3 0,0 5 0,0 11 0,0 5 0,0 2 0,0-6 0,0-9 0,0-12 0,0-9 0,0-6 0,0-3 0,0-4 0,1 0 0,0-4 0,0-4 0,-1-3 0,-1-4 0,-2-3 0,-2-2 0,-2-1 0,-2-3 0,-2-4 0,-3-6 0,0-4 0,1-1 0,2 0 0,6 6 0,0 3 0,4 6 0,2 8 0,3 6 0,4 6 0,1 1 0,1 0 0,-1-2 0,-1-3 0,-1-2 0,0-2 0,-1-1 0,-1-2 0,-1-1 0,-1 1 0,1-1 0,0 1 0,0-1 0,-1 1 0,1-1 0,-1-1 0,0 0 0,1 0 0,2-1 0,0-2 0,4-5 0,7-10 0,4-10 0,4-5 0,-2 1 0,-5 7 0,-6 8 0,-6 6 0,-2 5 0,-3 1 0,-1 0 0,-1-1 0,1 2 0,-1 0 0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6:42:24.81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24575,'0'20'0,"0"9"0,0 15 0,0 18 0,3 19 0,1-30 0,1 2 0,3 8 0,2 3 0,4 7 0,0 1 0,3 5 0,1 0 0,0 4 0,1 0 0,-1 0 0,1 0 0,-1-2 0,0 0 0,-1-3 0,0 0 0,0-2 0,-2-1 0,1 0 0,-2-2 0,0 0 0,0 0 0,0 0 0,0 0 0,0 1 0,0 0 0,0-2 0,1-1 0,-2-4 0,-1-2 0,-1-5 0,0-2 0,5 41 0,-1-10 0,-3-8 0,0-7 0,0-3 0,0-1 0,-1 5 0,2 7 0,-1 8 0,3 7 0,0 3 0,1-4 0,0-1 0,-2-6 0,-1-10 0,-3-10 0,-3-15 0,-3-10 0,-2-7 0,1-2 0,-1-1 0,1-1 0,0 0 0,-1-3 0,-1-3 0,-1-5 0,0-3 0,0-2 0,0 0 0,0 0 0,0-4 0,0-3 0,0-4 0,0-3 0,-3-5 0,-2-7 0,-3-4 0,-2-4 0,1 3 0,3 3 0,1 3 0,2 5 0,1 3 0,1 5 0,0 4 0,1 5 0,1 3 0,0 1 0,3-2 0,1-2 0,1-4 0,0-4 0,-1-2 0,0-1 0,0-1 0,2 0 0,2-4 0,3-7 0,4-9 0,5-8 0,2-3 0,-1 1 0,-5 6 0,-4 7 0,-7 6 0,-2 4 0,-3 2 0,-1 3 0,0 0 0</inkml:trace>
  <inkml:trace contextRef="#ctx0" brushRef="#br0" timeOffset="2800">1141 44 24575,'2'2'0,"0"2"0,-2 6 0,0 9 0,1 16 0,14 28 0,1-16 0,5 5 0,9 13 0,5 3 0,8 8 0,3 1 0,2 3 0,1 0 0,3 2 0,2 1-263,-17-24 1,2 2 0,0 0 262,2 5 0,1 2 0,-1 1 0,3 4 0,0 2 0,-2-1 0,1 2 0,-2 0 0,-1 0 0,-2-3 0,-2 0 0,-1-1 0,-3-3 0,-2 0 0,-1-1 0,-2-1 0,-1 0 0,-1-1-108,-1-2 1,-2 0 0,0 0 107,9 30 0,-1 0 0,-2-3 0,-2-1 0,-3-2 0,-1-1 0,-3 0 0,-3 1 0,-1 6 0,-3 2 0,-5-27 0,-1 0 0,0 1 0,-2 2 0,0 0 0,-1 0 0,-1-2 0,1 0 0,-2-2 0,1 22 0,-2-5 0,-1-11 0,-1-2 0,-1-9 0,-3-1 0,-1-6 0,-3-1 0,0-3 0,-3-2 774,-14 42-774,0-11 335,-1-8-335,0-5 0,2-13 0,2-10 0,4-12 0,5-8 0,5-9 0,4-4 0,1-5 0,2-4 0,1-4 0,2-9 0,-1-10 0,1-9 0,0-7 0,0 1 0,0 2 0,0 4 0,0 3 0,0 5 0,0 4 0,0 5 0,-1 5 0,0 5 0,-3 8 0,-2 9 0,1 7 0,-1 5 0,2 2 0,2 3 0,0 0 0,-1-2 0,1-4 0,0-4 0,1-5 0,2-6 0,4-8 0,7-9 0,7-8 0,3-6 0,3 0 0,-3 4 0,-2 5 0,-3 5 0,-4 4 0,-2 1 0,-3 1 0,-3 0 0,-2 1 0,0 0 0,-2 0 0,0-1 0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7:03:30.20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585 140 24575,'-53'0'0,"-24"0"0,26 0 0,-2 0 0,-3 0 0,1 0 0,-44 0 0,29 0 0,28 0 0,20 1 0,16 1 0,7 4 0,4 4 0,3 6 0,0 4 0,0 3 0,-2 11 0,-2 21 0,-2 34 0,-1-26 0,-1 6 0,0 13 0,0 2 0,0 6 0,0 1 0,0-3 0,0 0 0,0-9 0,0-2 0,0-6 0,0-2 0,0-1 0,0-1 0,0 1 0,2 1 0,1 0 0,2 2 0,2 0 0,1 0 0,2 1 0,1 1 0,1 2 0,0 1 0,-1 5 0,1 1 0,0 5 0,0 0 0,-1-3 0,1-1 0,-2-7 0,1-3 0,-2-10 0,0-3 0,6 34 0,-2-25 0,-4-23 0,-3-20 0,-2-13 0,0-7 0,1-5 0,4-6 0,4-9 0,4-7 0,4-5 0,1 1 0,1 2 0,0 1 0,-4 6 0,-1 2 0,2 6 0,7 2 0,8 3 0,7 1 0,3 1 0,-5 1 0,-7-1 0,-10 0 0,-8 0 0,-8 0 0,-4 1 0</inkml:trace>
  <inkml:trace contextRef="#ctx0" brushRef="#br0" timeOffset="2300">1236 494 24575,'-19'-6'0,"-7"-6"0,-8-5 0,-2-1 0,4 4 0,8 7 0,4 4 0,5 2 0,1 1 0,1 3 0,-1 5 0,-1 4 0,0 2 0,3 0 0,2-2 0,4-1 0,3-1 0,3 2 0,0 3 0,0 4 0,5 4 0,7 5 0,7 2 0,5-2 0,1-6 0,-2-8 0,-1-6 0,-1-5 0,-1-4 0,-3-3 0,-1-3 0,-2-1 0,-2 0 0,-1-1 0,-1-1 0,-1-2 0,-2-3 0,-2-2 0,-1-2 0,-3 1 0,1 4 0,-1 4 0,0 4 0,0 9 0,-1 11 0,0 10 0,0 9 0,0 2 0,0-1 0,0-2 0,0-5 0,1-3 0,2-7 0,1-4 0,2-3 0,1-1 0,1-1 0,4 0 0,2 0 0,3 1 0,0 1 0,-2 0 0,-1-1 0,-3-2 0,-2-2 0,-2-5 0,-3-8 0,-3 3 0,-1-3 0</inkml:trace>
  <inkml:trace contextRef="#ctx0" brushRef="#br0" timeOffset="3417">1362 723 24575,'0'23'0,"0"-2"0,0 2 0,0-6 0,0-5 0,0-5 0,0-3 0,0 0 0,0 1 0,0 1 0,0 1 0,0 1 0,0 0 0,0-1 0,1-2 0,-1-2 0,1-2 0</inkml:trace>
  <inkml:trace contextRef="#ctx0" brushRef="#br0" timeOffset="5167">1209 1219 24575,'1'-9'0,"-2"4"0,-2 1 0,-3 4 0,0 0 0,2 1 0,0 2 0,3 4 0,0 6 0,1 5 0,0 5 0,0 5 0,3 6 0,5 2 0,5 1 0,5-2 0,1-7 0,-2-8 0,1-9 0,0-7 0,4-7 0,2-5 0,-1-4 0,-4-3 0,-5 2 0,-3 2 0,-4 0 0,-2-1 0,-4-2 0,-5-5 0,-5-2 0,-2 1 0,0 2 0,4 6 0,3 6 0,4 9 0,3 12 0,3 7 0,2 4 0,1-2 0,0-5 0,-2-2 0,0-5 0,0-1 0,0-4 0,1-3 0,2-2 0,2-2 0,3 0 0,2 0 0,0 0 0,-1 0 0,-2 0 0,-2 0 0,-2 2 0,0 3 0,0 1 0,-2 2 0,-4-4 0,-1-1 0</inkml:trace>
  <inkml:trace contextRef="#ctx0" brushRef="#br0" timeOffset="6250">1607 1482 24575,'0'-3'0,"0"5"0,0 7 0,0 10 0,0 5 0,-1 3 0,-4 1 0,-5-2 0,-4-2 0,0-5 0,2-5 0,3-6 0,4-6 0,2-4 0,1-7 0,4-4 0,3-4 0,6 0 0,4 5 0,5 5 0,3 4 0,3 2 0,4 1 0,-1 0 0,-1 0 0,-4 1 0,-6 1 0,-5 1 0,-4 1 0,-5-1 0,-1-1 0</inkml:trace>
  <inkml:trace contextRef="#ctx0" brushRef="#br0" timeOffset="7400">1347 1859 24575,'0'-3'0,"0"7"0,0-1 0,0 5 0,0-4 0,0 1 0,0-1 0,0 2 0,0 5 0,0 12 0,0 18 0,0 18 0,2 11 0,2-2 0,2-11 0,-1-18 0,-2-15 0,-1-13 0,-1-4 0,0-5 0,0 0 0</inkml:trace>
  <inkml:trace contextRef="#ctx0" brushRef="#br0" timeOffset="9117">1281 2497 24575,'-10'2'0,"-12"0"0,-15-2 0,-12 0 0,-1 0 0,10 0 0,12 0 0,14 0 0,9 3 0,3 6 0,2 5 0,-1 6 0,4 2 0,1 0 0,4 1 0,5 4 0,5 4 0,3 3 0,1-3 0,-2-7 0,-3-9 0,1-7 0,1-10 0,4-12 0,1-10 0,3-10 0,-5-4 0,-4 1 0,-5 2 0,-8 6 0,-1 7 0,-4 7 0,0 6 0,0 7 0,0 17 0,0 6 0,0 15 0,0 1 0,0-3 0,0-3 0,0-6 0,0-6 0,1-6 0,1-3 0,3-4 0,2-2 0,2-3 0,0-1 0,1 0 0,0 0 0,1 0 0,2 0 0,-1 0 0,-1 0 0,-1 0 0,-2-1 0,-4-3 0,-1 2 0,-3-2 0</inkml:trace>
  <inkml:trace contextRef="#ctx0" brushRef="#br0" timeOffset="10483">1443 2752 24575,'0'6'0,"0"2"0,0 3 0,0 0 0,0-1 0,0-1 0,0-2 0,2 0 0,1 0 0,1-1 0,0 0 0,0-1 0,1-3 0,-1-2 0,0-1 0,0-4 0,0-3 0,0-4 0,-1-3 0,-1-1 0,0 0 0,1 2 0,0 1 0,1 4 0,0 3 0,1 2 0,1 3 0,-1 0 0,2 1 0,0 1 0,0 4 0,1 3 0,1 4 0,-1 2 0,-1 2 0,0 1 0,-2-1 0,0-1 0,0-1 0,-1-3 0,1-1 0,-2-5 0,-6-7 0,2 1 0,-3-5 0</inkml:trace>
  <inkml:trace contextRef="#ctx0" brushRef="#br0" timeOffset="13100">1902 1 24575,'11'2'0,"9"-1"0,14-1 0,11 0 0,5 0 0,1 0 0,-10 0 0,-10 0 0,-11 0 0,-9 0 0,-3 0 0,-3 1 0,-2 2 0,-2 6 0,-1 10 0,0 17 0,0 24 0,4-9 0,3 6 0,4 15 0,2 6 0,3 15 0,2 5 0,-5-31 0,1 1 0,-1 0 0,-2-1 0,-1-1 0,0 1 0,3 31 0,-2-1 0,-2-6 0,-1-2 0,-1-1 0,-2-2 0,0-11 0,-2-1 0,0-5 0,-2-2 0,0-6 0,0-2 0,-1-4 0,0-2 0,0-2 0,0-1 0,0 37 0,0-7 0,0-10 0,0-8 0,0-5 0,0-4 0,0-2 0,0-4 0,0-5 0,0-2 0,0 1 0,0 3 0,0 2 0,0-6 0,0-10 0,-1-11 0,-1-9 0,-3-4 0,-1-4 0,-4-1 0,-6-1 0,-3 0 0,-3 0 0,2 0 0,2 0 0,3 0 0,2 0 0,3 0 0,1 0 0,1 0 0,1 0 0,-2 0 0,-1-1 0,-4-6 0,-2-5 0,5 3 0,3-1 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7:03:45.20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466 1 24575,'-13'0'0,"-14"0"0,-20 0 0,-19 0 0,-12 0 0,-1 0 0,15 0 0,15 0 0,23 1 0,14 2 0,8 4 0,3 5 0,3 6 0,4 9 0,7 9 0,8 18 0,1 25 0,-12-24 0,-2 4 0,-2 16 0,-1 5 0,-2 13 0,-2 4 0,-2-28 0,0 1 0,-1 0 0,1-1 0,-2 1 0,1-2 0,-1 26 0,0-3 0,-1-13 0,2-4 0,1-11 0,0-3 0,1-7 0,0-2 0,0 49 0,0-47 0,0 1 0,0 7 0,0 1 0,0 5 0,0 1 0,0 2 0,0 1 0,0 1 0,0-1 0,0-6 0,0-1 0,0-5 0,-1 0 0,0-6 0,0-2 0,-2 40 0,-1-10 0,-1-19 0,1-18 0,2-18 0,1-12 0,4-8 0,5-8 0,8-7 0,8-7 0,12-6 0,16-3 0,16 3 0,9 7 0,3 7 0,-10 6 0,-15 2 0,-18 0 0,-16 0 0,-11-2 0,-7 1 0,-1-1 0</inkml:trace>
  <inkml:trace contextRef="#ctx0" brushRef="#br0" timeOffset="1233">952 317 24575,'0'11'0,"0"3"0,0 3 0,0 1 0,0-1 0,0 5 0,0 7 0,0 4 0,1 1 0,2-7 0,2-7 0,2-7 0,0-6 0,1-4 0,2-4 0,4-6 0,4-8 0,6-4 0,0-2 0,-1 4 0,-3 3 0,-5 3 0,-6 4 0,-8 3 0,-13 2 0,-12 1 0,-6-2 0,-2 1 0,5 0 0,6 1 0,4 3 0,4 3 0,6-2 0,3 1 0</inkml:trace>
  <inkml:trace contextRef="#ctx0" brushRef="#br0" timeOffset="2216">1323 522 24575,'-2'10'0,"1"11"0,1 14 0,0 6 0,0-4 0,0-9 0,0-12 0,0-8 0,0-5 0</inkml:trace>
  <inkml:trace contextRef="#ctx0" brushRef="#br0" timeOffset="3633">1133 1054 24575,'0'10'0,"1"-3"0,1-2 0,1-4 0,5-1 0,3-3 0,4-4 0,3-4 0,1-3 0,0-1 0,-2 2 0,-3 4 0,-6 4 0,-8 3 0,-8 5 0,-9 3 0,-8 2 0,-3 1 0,1 0 0,5 0 0,6-1 0,6-2 0,4-1 0,2 0 0,1-1 0,0 0 0,3 0 0,1-4 0,2-3 0,-2 2 0,1-3 0</inkml:trace>
  <inkml:trace contextRef="#ctx0" brushRef="#br0" timeOffset="5050">1094 912 24575,'0'24'0,"0"2"0,0 3 0,0-5 0,0-6 0,0-6 0,0-3 0,0-1 0,0-1 0,0 0 0,0 0 0,0 1 0,0-2 0,0 1 0,0-1 0,0-1 0,0 0 0,0-1 0,0 1 0,1 0 0,1 0 0,4 3 0,5 3 0,8 5 0,9 6 0,5 1 0,2-1 0,-5-4 0,-8-7 0,-6-5 0,-5-4 0,-3-4 0,-2-4 0,-3-3 0,-1-7 0,-2-5 0,-6-8 0,-9-9 0,-8-5 0,-5-2 0,4 6 0,5 11 0,5 11 0,5 9 0,1 5 0,2 1 0,0 2 0,0 1 0,1 1 0,0 2 0,1 2 0,1-3 0,2 1 0</inkml:trace>
  <inkml:trace contextRef="#ctx0" brushRef="#br0" timeOffset="6583">1400 1205 24575,'0'5'0,"1"2"0,1 3 0,2 6 0,0 6 0,1 1 0,-1 2 0,-1 2 0,-1 1 0,-1 3 0,-2 1 0,-4-2 0,-2-4 0,-4-6 0,-1-5 0,2-5 0,1-6 0,5-7 0,8-5 0,7-5 0,7 1 0,1 2 0,0 3 0,-3 2 0,-3 3 0,-2 1 0,-2 1 0,-1 0 0,0 0 0,-4 0 0,-1 0 0</inkml:trace>
  <inkml:trace contextRef="#ctx0" brushRef="#br0" timeOffset="7400">1060 1519 24575,'4'1'0,"-2"6"0,0 22 0,-2 34 0,0-14 0,0 4 0,0 5 0,0 1 0,0-2 0,0-2 0,0 30 0,0-34 0,0-25 0,-1-26 0,1-2 0,-2-9 0</inkml:trace>
  <inkml:trace contextRef="#ctx0" brushRef="#br0" timeOffset="8550">942 2261 24575,'0'17'0,"0"19"0,0 27 0,0 15 0,0 2 0,0-14 0,0-24 0,1-17 0,2-17 0,6-12 0,8-8 0,4-5 0,2-5 0,-1 0 0,-4-2 0,-2-5 0,-3-5 0,-4-4 0,-4 1 0,-6 10 0,-7 11 0,-9 9 0,-9 7 0,-5 3 0,4 2 0,7 0 0,7-1 0,7-2 0,2-1 0</inkml:trace>
  <inkml:trace contextRef="#ctx0" brushRef="#br0" timeOffset="9983">1180 2577 24575,'0'6'0,"0"3"0,0 0 0,0 1 0,0-2 0,0-5 0,0-4 0,2-10 0,2-11 0,4-11 0,3-5 0,2 3 0,0 8 0,0 9 0,0 9 0,-2 6 0,0 2 0,-2 1 0,0 1 0,-3 3 0,-3 2 0,-1 1 0,-1 1 0,0-1 0,0 1 0,-1 2 0,2 4 0,3 7 0,5 8 0,5 3 0,2-3 0,-3-7 0,-6-12 0,-4-5 0</inkml:trace>
  <inkml:trace contextRef="#ctx0" brushRef="#br0" timeOffset="11933">1815 70 24575,'1'-4'0,"5"2"0,16 0 0,22 2 0,21 0 0,15 0 0,1 0 0,-14 2 0,-21 4 0,-21 4 0,-16 6 0,-6 5 0,-2 11 0,-1 18 0,0 30 0,0-23 0,2 3 0,1 13 0,1 4 0,1 8 0,2 3 0,0 3 0,1 1 0,0 0 0,0 0 0,-2 1 0,0 0 0,-1 1 0,-2-1 0,1 1 0,-1 0 0,0-3 0,-1-1 0,1-6 0,1-3 0,-1-5 0,1-4 0,0-6 0,0-2 0,-1-6 0,1-3 0,0-4 0,0-1 0,3 41 0,-1-12 0,-1-9 0,-3-16 0,0-10 0,0-9 0,-2-8 0,0-5 0,0-6 0,-2-5 0,-6-2 0,-6 0 0,-7 0 0,-6 0 0,-4-1 0,-3-2 0,0-3 0,4-2 0,5-2 0,7-3 0,7-4 0,6-3 0,4-2 0,-4 2 0,4 4 0,-4 3 0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7:03:58.98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342 244 24575,'-13'0'0,"-15"0"0,-27 0 0,-12 0 0,-4 0 0,16 0 0,24 2 0,14 2 0,12 9 0,5 13 0,4 31 0,2 40 0,-1-29 0,1 6 0,3 18 0,1 4 0,-1-28 0,0 2 0,2 0-190,3 3 1,1 1 0,2-1 189,1-1 0,3 0 0,0-1 0,1-4 0,1-1 0,-1-1 0,11 24 0,-2-4 0,-4-12 0,-2-4 0,-5-12 0,-3-3 0,8 30 0,-7-16 0,-6-12 0,-1-4 568,0 0-568,1 4 0,-2 1 0,0-3 0,-3-9 0,-3-11 0,-1-11 0,-1-6 0,-1-3 0,2 2 0,-1 1 0,0 0 0,0-2 0,-1 1 0,2 7 0,1 8 0,1 4 0,-1-2 0,0-8 0,-2-8 0,0-6 0,0-3 0,1-2 0,1 4 0,0 2 0,2 4 0,-1 0 0,0-4 0,1-4 0,1-3 0,6-3 0,11-1 0,16-1 0,16 0 0,5 0 0,-3-2 0,-11-1 0,-12-2 0,-12-2 0,-8-1 0,-7 0 0,-4 3 0,-2 1 0</inkml:trace>
  <inkml:trace contextRef="#ctx0" brushRef="#br0" timeOffset="1183">1242 337 24575,'-8'-2'0,"-4"0"0,-5 2 0,-2 0 0,4 0 0,3 0 0,3 0 0,2 2 0,-2 3 0,-2 5 0,0 3 0,2 3 0,4 3 0,2 1 0,2 1 0,1-4 0,0-4 0,5-5 0,11-2 0,15 1 0,12 1 0,5 2 0,-3-3 0,-9-3 0,-9-2 0,-8-2 0,-5 0 0,-6 0 0,-4-1 0</inkml:trace>
  <inkml:trace contextRef="#ctx0" brushRef="#br0" timeOffset="2267">1458 479 24575,'2'4'0,"0"0"0,-2 0 0,0-1 0,0 0 0,0-1 0,0 2 0,0 1 0,0 1 0,0 0 0,0 5 0,4 13 0,5 11 0,6 8 0,1-2 0,-2-11 0,-6-9 0,-3-9 0,-3-7 0,-2-2 0</inkml:trace>
  <inkml:trace contextRef="#ctx0" brushRef="#br0" timeOffset="3333">1358 866 24575,'-7'2'0,"-9"0"0,-6-2 0,-7 0 0,1 0 0,6 0 0,8 0 0,7 3 0,4 4 0,2 4 0,0 4 0,3 1 0,4 0 0,4 1 0,6 3 0,6 6 0,4 4 0,4 1 0,0-6 0,-2-7 0,-1-8 0,-1-8 0,-2-6 0,-2-5 0,-5-2 0,-3 2 0,-7 4 0,-2 2 0,-4-1 0,-1 2 0,0-1 0</inkml:trace>
  <inkml:trace contextRef="#ctx0" brushRef="#br0" timeOffset="4483">1594 1031 24575,'2'4'0,"0"5"0,-3 6 0,-2 7 0,-5 4 0,-5 2 0,-2-1 0,-2-3 0,2-3 0,0-2 0,3-3 0,3-4 0,2-3 0,4-5 0,3-5 0,7-7 0,7-5 0,5-4 0,2 1 0,-1 6 0,-2 4 0,-2 4 0,-2 2 0,-3 0 0,-6 0 0,-2 0 0</inkml:trace>
  <inkml:trace contextRef="#ctx0" brushRef="#br0" timeOffset="5250">1431 1470 24575,'-2'7'0,"1"16"0,1 31 0,0 30 0,0 15 0,0-4 0,0-25 0,0-25 0,0-22 0,0-16 0,-1-15 0,1 4 0,0-8 0</inkml:trace>
  <inkml:trace contextRef="#ctx0" brushRef="#br0" timeOffset="6333">1429 2527 24575,'0'-6'0,"-2"3"0,-3 0 0,-5 3 0,-4 1 0,-2 3 0,1 3 0,1 5 0,4 3 0,2 1 0,5 2 0,2 0 0,2 0 0,2 1 0,6 0 0,6 2 0,8 0 0,4-1 0,5-4 0,3-5 0,-1-5 0,-4-5 0,-8-5 0,-6-2 0,-7-1 0,-5 4 0,-2 0 0</inkml:trace>
  <inkml:trace contextRef="#ctx0" brushRef="#br0" timeOffset="7800">1667 2646 24575,'2'2'0,"0"1"0,-2 0 0,0 1 0,0 1 0,2 7 0,4 7 0,4 4 0,2 1 0,0-5 0,-3-7 0,-4-4 0,-1-4 0,-1-1 0,0-3 0,0 1 0,0-2 0,1-2 0,-1-5 0,1-6 0,-1-6 0,-1-5 0,0-2 0,0 2 0,0 3 0,2 6 0,2 6 0,1 6 0,3 4 0,1 1 0,1 4 0,-1 5 0,-2 5 0,-4 1 0,-1 0 0,-3 0 0,-1 0 0,0 1 0,0 0 0,0 0 0,0-3 0,0-2 0,0-2 0,0-3 0,0-1 0,0-2 0,0-2 0,0 0 0</inkml:trace>
  <inkml:trace contextRef="#ctx0" brushRef="#br0" timeOffset="9667">1854 33 24575,'8'-2'0,"4"-1"0,4-1 0,1-2 0,1-2 0,-4 3 0,-1 2 0,-3 2 0,-3 0 0,-2 2 0,1 11 0,6 24 0,10 28 0,-7-16 0,2 4 0,4 10 0,0 4 0,3 8 0,0 3 0,0 6 0,1 1 0,0 2 0,0 0 0,-2-3 0,0 0 0,-3-4 0,0-1 0,-3-3 0,0-1 0,-1-1 0,-1 1 0,0 2 0,1 1 0,-1 3 0,1 2 0,-2-3 0,0-1 0,-2-4 0,-1-1 0,-2-9 0,-1-1 0,-3-5 0,0 0 0,0 2 0,-1 0 0,0 3 0,0 1 0,-1 2 0,1-1 0,0-4 0,-1-1 0,2 39 0,-3-31 0,-1-26 0,-1-21 0,0-11 0,-1-5 0,-3-1 0,-7-3 0,-9-1 0,-7-3 0,-7-3 0,3-3 0,6-2 0,6 1 0,8-1 0,5-6 0,2-7 0,3 9 0,0 0 0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7:04:13.888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1 214 24575,'39'2'0,"59"0"0,-37-2 0,8 0 0,6 0-853,-1 0 0,5 0 0,3 0 0,0 0 853,4 0 0,2 0 0,0 0 0,1 0 0,1 0 0,1 0 0,-1 0 0,-3 0 8,-9 0 1,-1 0 0,-3 0 0,-2 0-9,7 0 0,-4 0 0,-2 0 394,21 0 0,-5 0-394,-20 0 0,-4 0 0,-11 0 0,-2 0 0,40 0 1707,0 0-1707,1 0 441,-41 0 0,0 0-441,0 0 0,0 0 0,-1 0 0,0 0 0,46 0 0,-13 0 0,-15 0 0,-21 0 0,-18 0 0,-13 0 0,-7-1 0,-5-4 0,-3-4 0,-2-9 0,-6-10 0,-8-7 0,-6-1 0,-6 5 0,1 8 0,0 9 0,1 7 0,2 2 0,2 3 0,5 0 0,7 1 0,11 1 0,13 4 0,12 6 0,9 8 0,2 6 0,-5 3 0,-7-1 0,-8-2 0,-6-3 0,-3-5 0,-4-2 0,-2-1 0,-4 1 0,-7 5 0,-6 4 0,-5 2 0,-5 2 0,4-1 0,3 6 0,6 6 0,6 7 0,5 5 0,3-8 0,2-10 0,-1-17 0,-3-8 0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7:04:16.00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0 355 24575,'37'0'0,"15"0"0,13 0 0,15 0 0,12 0 0,6 0-1054,-8 0 0,4 0 0,3 0 0,1 0 1054,-14 0 0,1 0 0,1 0 0,0 0 0,-2 0 0,-2 0 0,1 0 0,-2 0 0,-1 0 0,-4 0 237,26 0 1,-5 0 0,-5 0-238,-17 0 0,-3 0 0,-5 0 407,9 0 1,-9 0-408,12 0 0,-21 0 0,-11-4 2173,2-4-2173,0-4 515,-2-2-515,-3 2 0,0 1 0,3 1 0,4 1 0,3-1 0,-3 0 0,-6 0 0,-8-2 0,-10 2 0,-6-2 0,-4 0 0,-4 0 0,-2 0 0,-3-1 0,-1 0 0,-3 0 0,0-2 0,-3 1 0,0 2 0,0 1 0,-1 2 0,0 2 0,0-2 0,-3-1 0,-3-2 0,-3 1 0,-1 1 0,1 3 0,2 2 0,1 3 0,3 1 0,2 1 0,7 3 0,0 3 0,5 5 0,-3 2 0,0 0 0,-1-1 0,-3-2 0,-1 0 0,-2 1 0,-1 1 0,0 3 0,0-1 0,0 0 0,0 1 0,0 2 0,0 2 0,0 2 0,-3 0 0,-1 0 0,-3-3 0,-1-2 0,2-4 0,0-2 0,2-1 0,0-2 0,2-2 0,0-1 0,1-2 0,0 0 0,1-1 0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7:04:18.02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182 18 24575,'0'-4'0,"-2"2"0,-3 0 0,-5 2 0,-4 0 0,-4 0 0,-1 0 0,1 0 0,0 0 0,1 1 0,1 3 0,1 4 0,3 1 0,3 2 0,3-3 0,4-1 0,1-2 0,2 0 0,4-1 0,7 0 0,11 0 0,11-2 0,5 0 0,2-1 0,-4-1 0,-10 0 0,-10-1 0,-8-4 0,-5-5 0,-2-5 0,-4-2 0,-1 2 0,-3 3 0,-1 5 0,1 5 0,1 8 0,3 14 0,2 19 0,1 17 0,1 12 0,3 2 0,-1-11 0,-1-12 0,-2-17 0,0-14 0,1-9 0,-1-4 0,0-3 0</inkml:trace>
  <inkml:trace contextRef="#ctx0" brushRef="#br0" timeOffset="834">445 217 24575,'0'12'0,"0"4"0,0 3 0,0 0 0,0-7 0,0-5 0,0-5 0,0-2 0</inkml:trace>
  <inkml:trace contextRef="#ctx0" brushRef="#br0" timeOffset="2917">1004 633 24575,'0'-3'0,"0"6"0,0 7 0,0 9 0,0 4 0,0-2 0,0-6 0,-2-7 0,-3-5 0,-7-3 0,-7-7 0,-8-9 0,-4-9 0,0-4 0,3 4 0,8 8 0,8 11 0,5 6 0,6 9 0,7 5 0,10 3 0,11-1 0,9-4 0,4-6 0,0-3 0,-6-2 0,-7-2 0,-8 0 0,-6-1 0,-4 0 0,-2-1 0,-3 1 0,-1-1 0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1T17:04:22.988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0 392 24575,'78'0'0,"-25"0"0,6 0 0,24 0 0,7 0 0,-23 0 0,3 0 0,2 0-591,7 0 1,3 0 0,0 0 590,1 0 0,0 0 0,0 0 0,-1 0 0,-2 0 0,1 0 0,-2 0 0,0 0 0,-2 0 185,-8 0 0,-2 0 0,-2 0-185,24 0 0,-3 0 148,-11 0 1,-4 0-149,-8 0 0,-2 0 0,-3 0 0,-1 0 0,1 0 0,0 0 452,-1 0 1,0 0-453,1 0 0,0 0 7,0 0 0,1 0-7,0 0 0,-2 0 0,-2 0 0,-2 0 0,46 0 0,-13 0 0,-18 0 0,-15 0 0,-17 0 0,-13 0 0,-8 0 0,-4-1 0,-2 0 0,0-1 0,4-2 0,12-1 0,29-4 0,-3 2 0,7-2 0,21-1 0,8-2 0,-12 2 0,4 0 0,1-1-423,10-2 1,1 0 0,1 0 422,1 0 0,1 1 0,-1-1 0,-2 1 0,-1 1 0,-1 0-160,-10 2 1,-1 1 0,-1 1 159,-5 1 0,-1 1 0,-1 1 0,29-2 0,-1 1 0,-1 0 0,0 0 0,2-1 0,0 1 0,0-1 0,-1 0 0,-1-1 0,-1 1 0,-4 0 0,-2 0 0,-7 1 0,-2 0 0,-9 1 0,-2 1 0,-8 0 0,-3 0 0,41 0 1235,-17-1-1235,-11 1 510,-8 1-510,-2-1 0,0 1 0,9 1 0,5 1 0,6 0 0,2 0 0,-11 0 0,-13 0 0,-19 0 0,-16-1 0,-9 0 0,-5-1 0,-4-1 0,-2 0 0,-1 0 0,-1-2 0,0-5 0,-2 5 0,0-3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DD7BE-4C82-F34B-A634-F5DF56FBAFDC}">
  <dimension ref="A3:G114"/>
  <sheetViews>
    <sheetView topLeftCell="B102" zoomScale="181" workbookViewId="0">
      <selection activeCell="E114" sqref="E114"/>
    </sheetView>
  </sheetViews>
  <sheetFormatPr baseColWidth="10" defaultRowHeight="16" x14ac:dyDescent="0.2"/>
  <sheetData>
    <row r="3" spans="1:4" x14ac:dyDescent="0.2">
      <c r="B3" t="s">
        <v>0</v>
      </c>
    </row>
    <row r="5" spans="1:4" x14ac:dyDescent="0.2">
      <c r="B5" t="s">
        <v>1</v>
      </c>
    </row>
    <row r="7" spans="1:4" x14ac:dyDescent="0.2">
      <c r="B7" t="s">
        <v>2</v>
      </c>
    </row>
    <row r="9" spans="1:4" x14ac:dyDescent="0.2">
      <c r="A9" s="1"/>
      <c r="B9" s="1"/>
      <c r="C9" s="1"/>
      <c r="D9" s="1"/>
    </row>
    <row r="11" spans="1:4" x14ac:dyDescent="0.2">
      <c r="B11" t="s">
        <v>3</v>
      </c>
    </row>
    <row r="13" spans="1:4" x14ac:dyDescent="0.2">
      <c r="B13" t="s">
        <v>7</v>
      </c>
      <c r="D13" t="s">
        <v>8</v>
      </c>
    </row>
    <row r="15" spans="1:4" x14ac:dyDescent="0.2">
      <c r="B15" t="s">
        <v>5</v>
      </c>
      <c r="D15" t="s">
        <v>9</v>
      </c>
    </row>
    <row r="17" spans="2:2" x14ac:dyDescent="0.2">
      <c r="B17" t="s">
        <v>6</v>
      </c>
    </row>
    <row r="98" spans="2:7" x14ac:dyDescent="0.2">
      <c r="B98" s="1"/>
      <c r="C98" s="1"/>
      <c r="D98" s="1"/>
      <c r="E98" s="1"/>
      <c r="F98" s="1"/>
      <c r="G98" s="1"/>
    </row>
    <row r="99" spans="2:7" x14ac:dyDescent="0.2">
      <c r="B99" s="1"/>
      <c r="C99" s="1" t="s">
        <v>10</v>
      </c>
      <c r="D99" s="1"/>
      <c r="E99" s="1"/>
      <c r="F99" s="1" t="str">
        <f>"=AVERAGE()"</f>
        <v>=AVERAGE()</v>
      </c>
      <c r="G99" s="1"/>
    </row>
    <row r="100" spans="2:7" x14ac:dyDescent="0.2">
      <c r="B100" s="1"/>
      <c r="C100" s="1"/>
      <c r="D100" s="1"/>
      <c r="E100" s="1"/>
      <c r="F100" s="1"/>
      <c r="G100" s="1"/>
    </row>
    <row r="101" spans="2:7" x14ac:dyDescent="0.2">
      <c r="B101" s="1"/>
      <c r="C101" s="1" t="s">
        <v>5</v>
      </c>
      <c r="D101" s="1"/>
      <c r="E101" s="1"/>
      <c r="F101" s="1" t="str">
        <f>"=MEDIAN()"</f>
        <v>=MEDIAN()</v>
      </c>
      <c r="G101" s="1"/>
    </row>
    <row r="102" spans="2:7" x14ac:dyDescent="0.2">
      <c r="B102" s="1"/>
      <c r="C102" s="1"/>
      <c r="D102" s="1"/>
      <c r="E102" s="1"/>
      <c r="F102" s="1"/>
      <c r="G102" s="1"/>
    </row>
    <row r="103" spans="2:7" x14ac:dyDescent="0.2">
      <c r="B103" s="1"/>
      <c r="C103" s="1" t="s">
        <v>6</v>
      </c>
      <c r="D103" s="1"/>
      <c r="E103" s="1"/>
      <c r="F103" s="1" t="str">
        <f>"=MODE()"</f>
        <v>=MODE()</v>
      </c>
      <c r="G103" s="1"/>
    </row>
    <row r="104" spans="2:7" x14ac:dyDescent="0.2">
      <c r="B104" s="1"/>
      <c r="C104" s="1"/>
      <c r="D104" s="1"/>
      <c r="E104" s="1"/>
      <c r="F104" s="1"/>
      <c r="G104" s="1"/>
    </row>
    <row r="110" spans="2:7" x14ac:dyDescent="0.2">
      <c r="C110" t="s">
        <v>17</v>
      </c>
      <c r="E110" t="s">
        <v>20</v>
      </c>
    </row>
    <row r="112" spans="2:7" x14ac:dyDescent="0.2">
      <c r="C112" t="s">
        <v>18</v>
      </c>
      <c r="E112" t="s">
        <v>55</v>
      </c>
    </row>
    <row r="114" spans="3:3" x14ac:dyDescent="0.2">
      <c r="C114" t="s">
        <v>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452C-8ACD-4D41-A43E-1D8862F2F57B}">
  <dimension ref="E11:K37"/>
  <sheetViews>
    <sheetView topLeftCell="A97" zoomScale="253" workbookViewId="0">
      <selection activeCell="H35" sqref="H35"/>
    </sheetView>
  </sheetViews>
  <sheetFormatPr baseColWidth="10" defaultRowHeight="16" x14ac:dyDescent="0.2"/>
  <sheetData>
    <row r="11" spans="5:11" x14ac:dyDescent="0.2">
      <c r="F11" s="2">
        <v>30</v>
      </c>
      <c r="G11" s="2">
        <v>130</v>
      </c>
      <c r="H11" s="2">
        <v>20</v>
      </c>
      <c r="I11" s="2">
        <v>40</v>
      </c>
      <c r="J11" s="2">
        <v>60</v>
      </c>
      <c r="K11" s="2">
        <v>100</v>
      </c>
    </row>
    <row r="13" spans="5:11" x14ac:dyDescent="0.2">
      <c r="F13">
        <v>20</v>
      </c>
      <c r="G13">
        <v>30</v>
      </c>
      <c r="H13">
        <v>40</v>
      </c>
      <c r="I13">
        <v>60</v>
      </c>
      <c r="J13">
        <v>100</v>
      </c>
      <c r="K13">
        <v>130</v>
      </c>
    </row>
    <row r="15" spans="5:11" x14ac:dyDescent="0.2">
      <c r="E15" t="s">
        <v>11</v>
      </c>
      <c r="F15">
        <f>MEDIAN(F11:K11)</f>
        <v>50</v>
      </c>
    </row>
    <row r="19" spans="5:10" x14ac:dyDescent="0.2">
      <c r="H19" t="s">
        <v>2</v>
      </c>
      <c r="I19" t="s">
        <v>12</v>
      </c>
    </row>
    <row r="20" spans="5:10" x14ac:dyDescent="0.2">
      <c r="E20" t="s">
        <v>4</v>
      </c>
      <c r="F20">
        <f>AVERAGE(F11:K11)</f>
        <v>63.333333333333336</v>
      </c>
      <c r="H20">
        <f>SUM(F11:K11)</f>
        <v>380</v>
      </c>
      <c r="I20">
        <v>6</v>
      </c>
    </row>
    <row r="25" spans="5:10" x14ac:dyDescent="0.2">
      <c r="E25" t="s">
        <v>6</v>
      </c>
      <c r="H25" cm="1">
        <f t="array" ref="H25:H26">_xlfn.MODE.MULT(F27:F37)</f>
        <v>2</v>
      </c>
    </row>
    <row r="26" spans="5:10" x14ac:dyDescent="0.2">
      <c r="H26">
        <v>6</v>
      </c>
    </row>
    <row r="27" spans="5:10" x14ac:dyDescent="0.2">
      <c r="F27" s="2">
        <v>1</v>
      </c>
      <c r="J27" cm="1">
        <f t="array" ref="J27:J28">_xlfn.MODE.MULT(F27:F37)</f>
        <v>2</v>
      </c>
    </row>
    <row r="28" spans="5:10" x14ac:dyDescent="0.2">
      <c r="F28" s="2">
        <v>3</v>
      </c>
      <c r="J28">
        <v>6</v>
      </c>
    </row>
    <row r="29" spans="5:10" x14ac:dyDescent="0.2">
      <c r="F29" s="2">
        <v>4</v>
      </c>
      <c r="I29" t="s">
        <v>13</v>
      </c>
      <c r="J29" t="s">
        <v>15</v>
      </c>
    </row>
    <row r="30" spans="5:10" x14ac:dyDescent="0.2">
      <c r="F30" s="2">
        <v>2</v>
      </c>
    </row>
    <row r="31" spans="5:10" x14ac:dyDescent="0.2">
      <c r="F31" s="2">
        <v>2</v>
      </c>
      <c r="I31" t="s">
        <v>14</v>
      </c>
      <c r="J31" t="s">
        <v>16</v>
      </c>
    </row>
    <row r="32" spans="5:10" x14ac:dyDescent="0.2">
      <c r="F32" s="2">
        <v>2</v>
      </c>
    </row>
    <row r="33" spans="6:6" x14ac:dyDescent="0.2">
      <c r="F33" s="2">
        <v>2</v>
      </c>
    </row>
    <row r="34" spans="6:6" x14ac:dyDescent="0.2">
      <c r="F34" s="2">
        <v>6</v>
      </c>
    </row>
    <row r="35" spans="6:6" x14ac:dyDescent="0.2">
      <c r="F35" s="2">
        <v>6</v>
      </c>
    </row>
    <row r="36" spans="6:6" x14ac:dyDescent="0.2">
      <c r="F36" s="2">
        <v>6</v>
      </c>
    </row>
    <row r="37" spans="6:6" x14ac:dyDescent="0.2">
      <c r="F37" s="2">
        <v>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672F-DD7E-7C48-ACB3-6F8DAC73D92E}">
  <dimension ref="B3:M132"/>
  <sheetViews>
    <sheetView tabSelected="1" topLeftCell="A67" zoomScale="242" workbookViewId="0">
      <selection activeCell="G79" sqref="G79"/>
    </sheetView>
  </sheetViews>
  <sheetFormatPr baseColWidth="10" defaultRowHeight="16" x14ac:dyDescent="0.2"/>
  <sheetData>
    <row r="3" spans="2:3" x14ac:dyDescent="0.2">
      <c r="B3" t="s">
        <v>2</v>
      </c>
    </row>
    <row r="15" spans="2:3" x14ac:dyDescent="0.2">
      <c r="B15" t="s">
        <v>21</v>
      </c>
      <c r="C15" t="s">
        <v>22</v>
      </c>
    </row>
    <row r="16" spans="2:3" x14ac:dyDescent="0.2">
      <c r="B16">
        <v>12</v>
      </c>
      <c r="C16" s="1" t="s">
        <v>23</v>
      </c>
    </row>
    <row r="17" spans="2:10" x14ac:dyDescent="0.2">
      <c r="B17">
        <v>13</v>
      </c>
      <c r="C17" s="1" t="s">
        <v>23</v>
      </c>
      <c r="D17" t="s">
        <v>25</v>
      </c>
    </row>
    <row r="18" spans="2:10" x14ac:dyDescent="0.2">
      <c r="B18">
        <v>15</v>
      </c>
      <c r="C18" t="s">
        <v>24</v>
      </c>
      <c r="I18" t="s">
        <v>35</v>
      </c>
    </row>
    <row r="19" spans="2:10" x14ac:dyDescent="0.2">
      <c r="B19">
        <v>17</v>
      </c>
      <c r="C19" t="s">
        <v>24</v>
      </c>
    </row>
    <row r="20" spans="2:10" x14ac:dyDescent="0.2">
      <c r="B20">
        <v>28</v>
      </c>
      <c r="C20" s="1" t="s">
        <v>23</v>
      </c>
      <c r="D20" t="s">
        <v>31</v>
      </c>
    </row>
    <row r="21" spans="2:10" x14ac:dyDescent="0.2">
      <c r="B21">
        <v>29</v>
      </c>
      <c r="C21" t="s">
        <v>24</v>
      </c>
      <c r="I21">
        <f>SUMIF(B16:B24,"&gt;=14")</f>
        <v>138</v>
      </c>
    </row>
    <row r="22" spans="2:10" x14ac:dyDescent="0.2">
      <c r="B22">
        <v>14</v>
      </c>
      <c r="C22" s="1" t="s">
        <v>23</v>
      </c>
    </row>
    <row r="23" spans="2:10" x14ac:dyDescent="0.2">
      <c r="B23">
        <v>18</v>
      </c>
      <c r="C23" s="1" t="s">
        <v>23</v>
      </c>
      <c r="F23">
        <f>SUMIF(B16:B24,"&gt;=18")</f>
        <v>75</v>
      </c>
    </row>
    <row r="24" spans="2:10" x14ac:dyDescent="0.2">
      <c r="B24">
        <v>17</v>
      </c>
      <c r="C24" t="s">
        <v>24</v>
      </c>
    </row>
    <row r="25" spans="2:10" x14ac:dyDescent="0.2">
      <c r="I25" t="s">
        <v>36</v>
      </c>
    </row>
    <row r="27" spans="2:10" x14ac:dyDescent="0.2">
      <c r="B27" t="s">
        <v>26</v>
      </c>
      <c r="D27" t="s">
        <v>37</v>
      </c>
      <c r="J27">
        <f>SUMIF(C16:C24,"F",B16:B24)</f>
        <v>78</v>
      </c>
    </row>
    <row r="32" spans="2:10" x14ac:dyDescent="0.2">
      <c r="E32">
        <f>SUMIF(C16:C24,"M",B16:B24)</f>
        <v>85</v>
      </c>
    </row>
    <row r="34" spans="2:10" x14ac:dyDescent="0.2">
      <c r="E34" t="s">
        <v>27</v>
      </c>
    </row>
    <row r="36" spans="2:10" x14ac:dyDescent="0.2">
      <c r="E36" t="s">
        <v>28</v>
      </c>
      <c r="G36" t="s">
        <v>32</v>
      </c>
    </row>
    <row r="38" spans="2:10" x14ac:dyDescent="0.2">
      <c r="E38" t="s">
        <v>29</v>
      </c>
      <c r="G38" t="s">
        <v>33</v>
      </c>
    </row>
    <row r="40" spans="2:10" x14ac:dyDescent="0.2">
      <c r="E40" t="s">
        <v>30</v>
      </c>
      <c r="G40" t="s">
        <v>34</v>
      </c>
    </row>
    <row r="44" spans="2:10" x14ac:dyDescent="0.2">
      <c r="B44" s="1"/>
      <c r="C44" s="1"/>
      <c r="D44" s="1"/>
      <c r="E44" s="1"/>
      <c r="F44" s="1"/>
      <c r="G44" s="1"/>
      <c r="H44" s="1"/>
      <c r="I44" s="1"/>
      <c r="J44" s="1"/>
    </row>
    <row r="48" spans="2:10" x14ac:dyDescent="0.2">
      <c r="B48" t="s">
        <v>18</v>
      </c>
      <c r="D48" t="s">
        <v>38</v>
      </c>
    </row>
    <row r="51" spans="2:6" x14ac:dyDescent="0.2">
      <c r="B51" t="s">
        <v>21</v>
      </c>
      <c r="C51" t="s">
        <v>22</v>
      </c>
    </row>
    <row r="52" spans="2:6" x14ac:dyDescent="0.2">
      <c r="B52">
        <v>12</v>
      </c>
      <c r="C52" s="1" t="s">
        <v>23</v>
      </c>
      <c r="E52" t="s">
        <v>39</v>
      </c>
    </row>
    <row r="53" spans="2:6" x14ac:dyDescent="0.2">
      <c r="B53">
        <v>13</v>
      </c>
      <c r="C53" s="1" t="s">
        <v>23</v>
      </c>
    </row>
    <row r="54" spans="2:6" x14ac:dyDescent="0.2">
      <c r="B54">
        <v>15</v>
      </c>
      <c r="C54" t="s">
        <v>24</v>
      </c>
    </row>
    <row r="55" spans="2:6" x14ac:dyDescent="0.2">
      <c r="B55">
        <v>17</v>
      </c>
      <c r="C55" t="s">
        <v>24</v>
      </c>
      <c r="E55">
        <f>SUMIFS(B52:B60,C52:C60,"M",B52:B60,"&lt;18")</f>
        <v>39</v>
      </c>
    </row>
    <row r="56" spans="2:6" x14ac:dyDescent="0.2">
      <c r="B56">
        <v>28</v>
      </c>
      <c r="C56" s="1" t="s">
        <v>23</v>
      </c>
    </row>
    <row r="57" spans="2:6" x14ac:dyDescent="0.2">
      <c r="B57">
        <v>29</v>
      </c>
      <c r="C57" t="s">
        <v>24</v>
      </c>
    </row>
    <row r="58" spans="2:6" x14ac:dyDescent="0.2">
      <c r="B58">
        <v>14</v>
      </c>
      <c r="C58" s="1" t="s">
        <v>23</v>
      </c>
    </row>
    <row r="59" spans="2:6" x14ac:dyDescent="0.2">
      <c r="B59">
        <v>18</v>
      </c>
      <c r="C59" s="1" t="s">
        <v>23</v>
      </c>
    </row>
    <row r="60" spans="2:6" x14ac:dyDescent="0.2">
      <c r="B60">
        <v>17</v>
      </c>
      <c r="C60" t="s">
        <v>24</v>
      </c>
    </row>
    <row r="61" spans="2:6" x14ac:dyDescent="0.2">
      <c r="E61" t="s">
        <v>40</v>
      </c>
    </row>
    <row r="63" spans="2:6" x14ac:dyDescent="0.2">
      <c r="F63" t="s">
        <v>41</v>
      </c>
    </row>
    <row r="64" spans="2:6" x14ac:dyDescent="0.2">
      <c r="F64" t="s">
        <v>42</v>
      </c>
    </row>
    <row r="66" spans="2:10" x14ac:dyDescent="0.2">
      <c r="G66" s="2" t="s">
        <v>43</v>
      </c>
    </row>
    <row r="67" spans="2:10" x14ac:dyDescent="0.2">
      <c r="G67" s="2" t="s">
        <v>44</v>
      </c>
    </row>
    <row r="71" spans="2:10" x14ac:dyDescent="0.2">
      <c r="B71" t="s">
        <v>45</v>
      </c>
      <c r="C71" t="s">
        <v>46</v>
      </c>
      <c r="D71" t="s">
        <v>47</v>
      </c>
    </row>
    <row r="72" spans="2:10" x14ac:dyDescent="0.2">
      <c r="B72" t="s">
        <v>48</v>
      </c>
      <c r="C72">
        <v>4000</v>
      </c>
      <c r="D72">
        <v>17</v>
      </c>
    </row>
    <row r="73" spans="2:10" x14ac:dyDescent="0.2">
      <c r="B73" t="s">
        <v>49</v>
      </c>
      <c r="C73">
        <v>5600</v>
      </c>
      <c r="D73">
        <v>18</v>
      </c>
      <c r="F73" t="s">
        <v>53</v>
      </c>
      <c r="J73">
        <f>SUMIF(B72:B81,"MH",C72:C81)</f>
        <v>55000</v>
      </c>
    </row>
    <row r="74" spans="2:10" x14ac:dyDescent="0.2">
      <c r="B74" t="s">
        <v>50</v>
      </c>
      <c r="C74">
        <v>9700</v>
      </c>
      <c r="D74">
        <v>19</v>
      </c>
    </row>
    <row r="75" spans="2:10" x14ac:dyDescent="0.2">
      <c r="B75" t="s">
        <v>51</v>
      </c>
      <c r="C75">
        <v>4000</v>
      </c>
      <c r="D75">
        <v>20</v>
      </c>
      <c r="F75" t="s">
        <v>54</v>
      </c>
      <c r="J75">
        <f>SUMIFS(C72:C81,B72:B81,"UP",D72:D81,"&lt;18")</f>
        <v>9000</v>
      </c>
    </row>
    <row r="76" spans="2:10" x14ac:dyDescent="0.2">
      <c r="B76" t="s">
        <v>48</v>
      </c>
      <c r="C76">
        <v>8000</v>
      </c>
      <c r="D76">
        <v>21</v>
      </c>
    </row>
    <row r="77" spans="2:10" x14ac:dyDescent="0.2">
      <c r="B77" t="s">
        <v>49</v>
      </c>
      <c r="C77">
        <v>9000</v>
      </c>
      <c r="D77">
        <v>17</v>
      </c>
    </row>
    <row r="78" spans="2:10" x14ac:dyDescent="0.2">
      <c r="B78" t="s">
        <v>50</v>
      </c>
      <c r="C78">
        <v>15000</v>
      </c>
      <c r="D78">
        <v>18</v>
      </c>
    </row>
    <row r="79" spans="2:10" x14ac:dyDescent="0.2">
      <c r="B79" t="s">
        <v>48</v>
      </c>
      <c r="C79">
        <v>34000</v>
      </c>
      <c r="D79">
        <v>16</v>
      </c>
    </row>
    <row r="80" spans="2:10" x14ac:dyDescent="0.2">
      <c r="B80" t="s">
        <v>52</v>
      </c>
      <c r="C80">
        <v>9000</v>
      </c>
      <c r="D80">
        <v>20</v>
      </c>
    </row>
    <row r="81" spans="2:13" x14ac:dyDescent="0.2">
      <c r="B81" t="s">
        <v>48</v>
      </c>
      <c r="C81">
        <v>9000</v>
      </c>
      <c r="D81">
        <v>24</v>
      </c>
    </row>
    <row r="84" spans="2:13" x14ac:dyDescent="0.2">
      <c r="B84" s="1"/>
      <c r="C84" s="1"/>
      <c r="D84" s="1"/>
      <c r="E84" s="1"/>
      <c r="F84" s="1"/>
      <c r="G84" s="1"/>
    </row>
    <row r="87" spans="2:13" x14ac:dyDescent="0.2">
      <c r="B87" s="2" t="s">
        <v>64</v>
      </c>
      <c r="C87" s="2" t="s">
        <v>56</v>
      </c>
      <c r="D87" s="2" t="s">
        <v>57</v>
      </c>
      <c r="E87" s="2" t="s">
        <v>71</v>
      </c>
      <c r="F87" t="s">
        <v>69</v>
      </c>
      <c r="G87" s="2" t="s">
        <v>63</v>
      </c>
      <c r="H87" s="2" t="s">
        <v>70</v>
      </c>
    </row>
    <row r="88" spans="2:13" x14ac:dyDescent="0.2">
      <c r="B88" s="2" t="s">
        <v>65</v>
      </c>
      <c r="C88" s="2" t="s">
        <v>58</v>
      </c>
      <c r="D88" s="2">
        <v>2000</v>
      </c>
      <c r="E88">
        <v>1800</v>
      </c>
      <c r="F88" t="s">
        <v>72</v>
      </c>
      <c r="G88" s="2" t="s">
        <v>58</v>
      </c>
      <c r="H88">
        <f>SUMIFS(D88:D92,B88:B92,F88,C88:C92,G88)</f>
        <v>2000</v>
      </c>
    </row>
    <row r="89" spans="2:13" x14ac:dyDescent="0.2">
      <c r="B89" s="2" t="s">
        <v>66</v>
      </c>
      <c r="C89" s="2" t="s">
        <v>58</v>
      </c>
      <c r="D89" s="2">
        <v>25870</v>
      </c>
      <c r="E89">
        <v>30000</v>
      </c>
    </row>
    <row r="90" spans="2:13" x14ac:dyDescent="0.2">
      <c r="B90" s="2" t="s">
        <v>65</v>
      </c>
      <c r="C90" s="2" t="s">
        <v>59</v>
      </c>
      <c r="D90" s="2">
        <v>50000</v>
      </c>
      <c r="E90">
        <v>70000</v>
      </c>
    </row>
    <row r="91" spans="2:13" x14ac:dyDescent="0.2">
      <c r="B91" s="2" t="s">
        <v>67</v>
      </c>
      <c r="C91" s="2" t="s">
        <v>60</v>
      </c>
      <c r="D91" s="2">
        <v>800</v>
      </c>
      <c r="E91">
        <v>400</v>
      </c>
    </row>
    <row r="92" spans="2:13" x14ac:dyDescent="0.2">
      <c r="B92" s="2" t="s">
        <v>68</v>
      </c>
      <c r="C92" s="2" t="s">
        <v>60</v>
      </c>
      <c r="D92" s="2">
        <v>600</v>
      </c>
      <c r="E92">
        <v>1500</v>
      </c>
      <c r="H92" t="s">
        <v>74</v>
      </c>
      <c r="K92" t="s">
        <v>76</v>
      </c>
    </row>
    <row r="93" spans="2:13" x14ac:dyDescent="0.2">
      <c r="B93" s="2"/>
      <c r="C93" s="2"/>
    </row>
    <row r="94" spans="2:13" x14ac:dyDescent="0.2">
      <c r="H94" s="1" t="b" cm="1">
        <f t="array" ref="H94:H98">D88:D92&lt;E88:E92</f>
        <v>0</v>
      </c>
      <c r="I94" s="1">
        <v>0</v>
      </c>
      <c r="J94" s="3" t="b" cm="1">
        <f t="array" ref="J94:J98">B88:B92="Apple"</f>
        <v>1</v>
      </c>
      <c r="K94" s="3">
        <v>1</v>
      </c>
      <c r="M94">
        <v>0</v>
      </c>
    </row>
    <row r="95" spans="2:13" x14ac:dyDescent="0.2">
      <c r="H95" s="1" t="b">
        <v>1</v>
      </c>
      <c r="I95" s="1">
        <v>1</v>
      </c>
      <c r="J95" s="3" t="b">
        <v>0</v>
      </c>
      <c r="K95" s="3">
        <v>0</v>
      </c>
      <c r="M95">
        <v>1</v>
      </c>
    </row>
    <row r="96" spans="2:13" x14ac:dyDescent="0.2">
      <c r="H96" s="1" t="b">
        <v>1</v>
      </c>
      <c r="I96" s="1">
        <v>1</v>
      </c>
      <c r="J96" s="3" t="b">
        <v>1</v>
      </c>
      <c r="K96" s="3">
        <v>1</v>
      </c>
      <c r="M96">
        <v>1</v>
      </c>
    </row>
    <row r="97" spans="2:13" x14ac:dyDescent="0.2">
      <c r="B97" s="2" t="s">
        <v>61</v>
      </c>
      <c r="C97" s="2" t="s">
        <v>62</v>
      </c>
      <c r="D97" s="2"/>
      <c r="H97" s="1" t="b">
        <v>0</v>
      </c>
      <c r="I97" s="1">
        <v>0</v>
      </c>
      <c r="J97" s="3" t="b">
        <v>0</v>
      </c>
      <c r="K97" s="3">
        <v>0</v>
      </c>
      <c r="M97">
        <v>0</v>
      </c>
    </row>
    <row r="98" spans="2:13" x14ac:dyDescent="0.2">
      <c r="B98" s="2">
        <v>2</v>
      </c>
      <c r="C98" s="2">
        <v>400</v>
      </c>
      <c r="D98" s="2"/>
      <c r="H98" s="1" t="b">
        <v>1</v>
      </c>
      <c r="I98" s="1">
        <v>1</v>
      </c>
      <c r="J98" s="3" t="b">
        <v>0</v>
      </c>
      <c r="K98" s="3">
        <v>0</v>
      </c>
      <c r="M98">
        <v>0</v>
      </c>
    </row>
    <row r="99" spans="2:13" x14ac:dyDescent="0.2">
      <c r="B99" s="2">
        <v>3</v>
      </c>
      <c r="C99" s="2">
        <v>300</v>
      </c>
      <c r="D99" s="2"/>
      <c r="E99">
        <f>B98*C98+B99*C99+B100*C100</f>
        <v>2900</v>
      </c>
    </row>
    <row r="100" spans="2:13" x14ac:dyDescent="0.2">
      <c r="B100" s="2">
        <v>6</v>
      </c>
      <c r="C100" s="2">
        <v>200</v>
      </c>
      <c r="D100" s="2"/>
    </row>
    <row r="101" spans="2:13" x14ac:dyDescent="0.2">
      <c r="E101">
        <f>SUMPRODUCT(B98:B100,C98:C100)</f>
        <v>2900</v>
      </c>
      <c r="I101" t="s">
        <v>75</v>
      </c>
    </row>
    <row r="103" spans="2:13" x14ac:dyDescent="0.2">
      <c r="I103" cm="1">
        <f t="array" ref="I103">SUMPRODUCT((D88:D92&lt;E88:E92)*(B88:B92="Apple"))</f>
        <v>1</v>
      </c>
    </row>
    <row r="117" spans="2:7" x14ac:dyDescent="0.2">
      <c r="C117" t="s">
        <v>73</v>
      </c>
    </row>
    <row r="120" spans="2:7" x14ac:dyDescent="0.2">
      <c r="B120" t="b">
        <v>1</v>
      </c>
      <c r="C120">
        <v>1</v>
      </c>
    </row>
    <row r="122" spans="2:7" x14ac:dyDescent="0.2">
      <c r="B122" t="b">
        <v>0</v>
      </c>
      <c r="C122">
        <v>0</v>
      </c>
    </row>
    <row r="124" spans="2:7" x14ac:dyDescent="0.2">
      <c r="B124" s="3"/>
      <c r="C124" s="3"/>
      <c r="D124" s="3"/>
      <c r="E124" s="3"/>
      <c r="F124" s="3"/>
      <c r="G124" s="3"/>
    </row>
    <row r="127" spans="2:7" x14ac:dyDescent="0.2">
      <c r="B127" t="s">
        <v>77</v>
      </c>
    </row>
    <row r="129" spans="2:7" x14ac:dyDescent="0.2">
      <c r="B129" t="s">
        <v>78</v>
      </c>
    </row>
    <row r="132" spans="2:7" x14ac:dyDescent="0.2">
      <c r="B132" s="3"/>
      <c r="C132" s="3"/>
      <c r="D132" s="3"/>
      <c r="E132" s="3"/>
      <c r="F132" s="3"/>
      <c r="G132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central_tend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2026-02-21T15:36:04Z</dcterms:created>
  <dcterms:modified xsi:type="dcterms:W3CDTF">2026-02-22T08:40:51Z</dcterms:modified>
</cp:coreProperties>
</file>