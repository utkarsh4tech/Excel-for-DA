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ink/ink2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E833751E-9CFE-B84D-ABA6-2BC464E7AABF}" xr6:coauthVersionLast="47" xr6:coauthVersionMax="47" xr10:uidLastSave="{00000000-0000-0000-0000-000000000000}"/>
  <bookViews>
    <workbookView xWindow="0" yWindow="600" windowWidth="38400" windowHeight="21000" activeTab="4" xr2:uid="{C6CD940F-C704-D541-AB70-64062AAA297C}"/>
  </bookViews>
  <sheets>
    <sheet name="agenda" sheetId="1" r:id="rId1"/>
    <sheet name="data_toolpak" sheetId="2" r:id="rId2"/>
    <sheet name="Regression" sheetId="3" r:id="rId3"/>
    <sheet name="Regression_output" sheetId="4" r:id="rId4"/>
    <sheet name="Sheet5" sheetId="5" r:id="rId5"/>
  </sheets>
  <definedNames>
    <definedName name="_xlchart.v1.0" hidden="1">Regression!$B$4:$B$33</definedName>
    <definedName name="_xlchart.v1.1" hidden="1">Regression!$C$3</definedName>
    <definedName name="_xlchart.v1.2" hidden="1">Regression!$C$4:$C$33</definedName>
    <definedName name="_xlchart.v1.3" hidden="1">Regression!$B$4:$B$33</definedName>
    <definedName name="_xlchart.v1.4" hidden="1">Regression!$C$3</definedName>
    <definedName name="_xlchart.v1.5" hidden="1">Regression!$C$4:$C$33</definedName>
    <definedName name="_xlchart.v1.6" hidden="1">Regression!$B$4:$B$33</definedName>
    <definedName name="_xlchart.v1.7" hidden="1">Regression!$C$3</definedName>
    <definedName name="_xlchart.v1.8" hidden="1">Regression!$C$4:$C$33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5" l="1"/>
  <c r="C44" i="4"/>
  <c r="C42" i="4"/>
  <c r="E8" i="4"/>
  <c r="H23" i="3"/>
  <c r="H31" i="3"/>
  <c r="H30" i="3"/>
  <c r="I26" i="3"/>
  <c r="F7" i="2" a="1"/>
  <c r="F6" i="2"/>
  <c r="F5" i="2"/>
  <c r="F7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<sst xmlns="http://schemas.openxmlformats.org/spreadsheetml/2006/main" count="183" uniqueCount="103">
  <si>
    <t>Adv Stats 2</t>
  </si>
  <si>
    <t>1) Intro to Data Analysis Toolpak</t>
  </si>
  <si>
    <t>2) A/B Testing (only Usage/Application and Interpretation of results)</t>
  </si>
  <si>
    <t>3) Intro Linear Regression  (only Usage/Application and Interpretation of results)</t>
  </si>
  <si>
    <t>2 Sample T Test</t>
  </si>
  <si>
    <t>YearsExperience</t>
  </si>
  <si>
    <t>Salary</t>
  </si>
  <si>
    <t>Median YoE</t>
  </si>
  <si>
    <t>Mean YOE</t>
  </si>
  <si>
    <t>MODE YOE</t>
  </si>
  <si>
    <t>IN BUILT TESTS AND WORKS</t>
  </si>
  <si>
    <t>MEAN MEDIAN MODE</t>
  </si>
  <si>
    <t>SD, VAR, KURTOSIS, SKEWNESS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</si>
  <si>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</si>
  <si>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</si>
  <si>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</si>
  <si>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</si>
  <si>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</si>
  <si>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</si>
  <si>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</si>
  <si>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</si>
  <si>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</si>
  <si>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</si>
  <si>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</si>
  <si>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</si>
  <si>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</si>
  <si>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Confidence Level(95.0%)</t>
  </si>
  <si>
    <t>LINEAR REGRESSION</t>
  </si>
  <si>
    <t>What kind of Reln do you think exists b/w YOE and Salary</t>
  </si>
  <si>
    <t>y=mx+c</t>
  </si>
  <si>
    <t>Salary = 9450 * YOE + 25792</t>
  </si>
  <si>
    <t>INTERCEPT / CONSTANT</t>
  </si>
  <si>
    <t>Starting Point / BASE VALUE</t>
  </si>
  <si>
    <t xml:space="preserve">SLOPE </t>
  </si>
  <si>
    <t>How much change in Y (salary) happened if we Increase our X (YOE) by 1 Unit</t>
  </si>
  <si>
    <t xml:space="preserve">CORRELATION </t>
  </si>
  <si>
    <t>How two variables change with respect to each other</t>
  </si>
  <si>
    <t xml:space="preserve">CORREL(X,Y) </t>
  </si>
  <si>
    <t>The variables are negatively correlated</t>
  </si>
  <si>
    <t>The variables are not related at all</t>
  </si>
  <si>
    <t>&lt;0</t>
  </si>
  <si>
    <t>&gt;0</t>
  </si>
  <si>
    <t>The variables are Positively correlated</t>
  </si>
  <si>
    <t>Var 1 and Var 2 do not effect each other</t>
  </si>
  <si>
    <t>Var 1 inc. Var 2 inc.</t>
  </si>
  <si>
    <t>Var 1 inc. Var 2 dec.</t>
  </si>
  <si>
    <t>Regression</t>
  </si>
  <si>
    <t>1) FIND correl</t>
  </si>
  <si>
    <t>if correl is good proceed with mathematical eqn.</t>
  </si>
  <si>
    <t>SUMMARY OUTPUT</t>
  </si>
  <si>
    <t>Regression Statistics</t>
  </si>
  <si>
    <t>Multiple R</t>
  </si>
  <si>
    <t>R Square</t>
  </si>
  <si>
    <t>Adjusted R Square</t>
  </si>
  <si>
    <t>Observations</t>
  </si>
  <si>
    <t>ANOVA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</si>
  <si>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</si>
  <si>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</si>
  <si>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</si>
  <si>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</si>
  <si>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</si>
  <si>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</si>
  <si>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</si>
  <si>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</si>
  <si>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</si>
  <si>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</si>
  <si>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</si>
  <si>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</si>
  <si>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</si>
  <si>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</si>
  <si>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</si>
  <si>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Y must be a NUMBER</t>
  </si>
  <si>
    <t>Q2) if yes, then what is the mathematical Eqn for that relationship</t>
  </si>
  <si>
    <t>Q3) How good is that relationship??</t>
  </si>
  <si>
    <t>A1)</t>
  </si>
  <si>
    <t>Then, the relationship is not SIGNIFICANT</t>
  </si>
  <si>
    <t>ELSE</t>
  </si>
  <si>
    <t>There is a statistically significant relationship</t>
  </si>
  <si>
    <t>If P value ( corresponding to a input variable) &gt; 5% or &gt; 0.05</t>
  </si>
  <si>
    <t>if 0 comes in b/w Lower to Upper</t>
  </si>
  <si>
    <t>That means, the relationship is not SIGNIFICANT</t>
  </si>
  <si>
    <t>Else</t>
  </si>
  <si>
    <t>A2)</t>
  </si>
  <si>
    <t>Q1 ) Is there any statistically significant Linear Relationship b/w X(s) and Y??</t>
  </si>
  <si>
    <t>y = mx + c</t>
  </si>
  <si>
    <t>Prev Salary</t>
  </si>
  <si>
    <t>Y = m1 * x1 + m2 * x2 + m3* x3 …. m_n * x_n + c</t>
  </si>
  <si>
    <t>Pass and Fail</t>
  </si>
  <si>
    <t>A3)</t>
  </si>
  <si>
    <t>We explain goodness of model using r^2</t>
  </si>
  <si>
    <t>R^2 tells us, how much % of Variance in Y is captured/explained by the Model</t>
  </si>
  <si>
    <t>R^2</t>
  </si>
  <si>
    <t>Our model (X) captures / explains 95% variance in Y (Salary)</t>
  </si>
  <si>
    <t>X1</t>
  </si>
  <si>
    <t>X2</t>
  </si>
  <si>
    <t>X3</t>
  </si>
  <si>
    <t>Y</t>
  </si>
  <si>
    <t>--&gt; some randomness</t>
  </si>
  <si>
    <t>X1 and X2 are statistically significant</t>
  </si>
  <si>
    <t>bcoz they have p val &lt; 5%</t>
  </si>
  <si>
    <t>X3 is not significant??</t>
  </si>
  <si>
    <t>Y = X1 * 56.03 + X2 * 21.00 + 9.83</t>
  </si>
  <si>
    <t>Y_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</si>
</sst>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9" formatCode="0.0000"/>
    <numFmt numFmtId="171" formatCode="0.000%"/>
    <numFmt numFmtId="177" formatCode="0.0000%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2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i/>
      <sz val="12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BE5014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4" fillId="2" borderId="1" xfId="0" applyFont="1" applyFill="1" applyBorder="1"/>
    <xf numFmtId="0" fontId="0" fillId="0" borderId="1" xfId="0" applyBorder="1"/>
    <xf numFmtId="0" fontId="4" fillId="0" borderId="1" xfId="0" applyFont="1" applyBorder="1"/>
    <xf numFmtId="0" fontId="0" fillId="3" borderId="0" xfId="0" applyFill="1"/>
    <xf numFmtId="0" fontId="0" fillId="0" borderId="0" xfId="0" applyFill="1" applyBorder="1" applyAlignment="1"/>
    <xf numFmtId="0" fontId="0" fillId="0" borderId="2" xfId="0" applyFill="1" applyBorder="1" applyAlignment="1"/>
    <xf numFmtId="0" fontId="5" fillId="0" borderId="3" xfId="0" applyFont="1" applyFill="1" applyBorder="1" applyAlignment="1">
      <alignment horizontal="center"/>
    </xf>
    <xf numFmtId="0" fontId="5" fillId="0" borderId="3" xfId="0" applyFont="1" applyFill="1" applyBorder="1" applyAlignment="1">
      <alignment horizontal="centerContinuous"/>
    </xf>
    <xf numFmtId="0" fontId="0" fillId="4" borderId="0" xfId="0" applyFill="1" applyBorder="1" applyAlignment="1"/>
    <xf numFmtId="0" fontId="5" fillId="5" borderId="3" xfId="0" applyFont="1" applyFill="1" applyBorder="1" applyAlignment="1">
      <alignment horizontal="center"/>
    </xf>
    <xf numFmtId="0" fontId="0" fillId="5" borderId="0" xfId="0" applyFill="1"/>
    <xf numFmtId="0" fontId="2" fillId="0" borderId="0" xfId="0" applyFont="1" applyFill="1"/>
    <xf numFmtId="0" fontId="5" fillId="6" borderId="3" xfId="0" applyFont="1" applyFill="1" applyBorder="1" applyAlignment="1">
      <alignment horizontal="center"/>
    </xf>
    <xf numFmtId="0" fontId="0" fillId="7" borderId="0" xfId="0" applyFill="1"/>
    <xf numFmtId="0" fontId="0" fillId="6" borderId="0" xfId="0" applyFill="1"/>
    <xf numFmtId="169" fontId="0" fillId="6" borderId="0" xfId="0" applyNumberFormat="1" applyFill="1" applyBorder="1" applyAlignment="1"/>
    <xf numFmtId="169" fontId="0" fillId="6" borderId="2" xfId="0" applyNumberFormat="1" applyFill="1" applyBorder="1" applyAlignment="1"/>
    <xf numFmtId="171" fontId="0" fillId="5" borderId="0" xfId="1" applyNumberFormat="1" applyFont="1" applyFill="1" applyBorder="1" applyAlignment="1"/>
    <xf numFmtId="171" fontId="2" fillId="5" borderId="2" xfId="1" applyNumberFormat="1" applyFont="1" applyFill="1" applyBorder="1" applyAlignment="1"/>
    <xf numFmtId="171" fontId="2" fillId="0" borderId="0" xfId="1" applyNumberFormat="1" applyFont="1"/>
    <xf numFmtId="0" fontId="0" fillId="8" borderId="0" xfId="0" applyFill="1"/>
    <xf numFmtId="0" fontId="0" fillId="9" borderId="0" xfId="0" applyFill="1" applyBorder="1" applyAlignment="1"/>
    <xf numFmtId="9" fontId="0" fillId="0" borderId="0" xfId="0" applyNumberFormat="1"/>
    <xf numFmtId="0" fontId="0" fillId="10" borderId="1" xfId="0" applyFill="1" applyBorder="1"/>
    <xf numFmtId="0" fontId="0" fillId="11" borderId="1" xfId="0" applyFill="1" applyBorder="1"/>
    <xf numFmtId="169" fontId="0" fillId="0" borderId="0" xfId="0" applyNumberFormat="1" applyFill="1" applyBorder="1" applyAlignment="1"/>
    <xf numFmtId="169" fontId="0" fillId="0" borderId="2" xfId="0" applyNumberFormat="1" applyFill="1" applyBorder="1" applyAlignment="1"/>
    <xf numFmtId="0" fontId="0" fillId="12" borderId="0" xfId="0" applyFill="1" applyBorder="1" applyAlignment="1"/>
    <xf numFmtId="0" fontId="0" fillId="12" borderId="2" xfId="0" applyFill="1" applyBorder="1" applyAlignment="1"/>
    <xf numFmtId="177" fontId="0" fillId="0" borderId="0" xfId="1" applyNumberFormat="1" applyFont="1" applyFill="1" applyBorder="1" applyAlignment="1"/>
    <xf numFmtId="177" fontId="0" fillId="12" borderId="0" xfId="1" applyNumberFormat="1" applyFont="1" applyFill="1" applyBorder="1" applyAlignment="1"/>
    <xf numFmtId="177" fontId="0" fillId="12" borderId="2" xfId="1" applyNumberFormat="1" applyFont="1" applyFill="1" applyBorder="1" applyAlignment="1"/>
    <xf numFmtId="0" fontId="0" fillId="3" borderId="4" xfId="0" applyFont="1" applyFill="1" applyBorder="1"/>
    <xf numFmtId="177" fontId="0" fillId="0" borderId="2" xfId="1" applyNumberFormat="1" applyFont="1" applyFill="1" applyBorder="1" applyAlignme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Regression!$C$3</c:f>
              <c:strCache>
                <c:ptCount val="1"/>
                <c:pt idx="0">
                  <c:v>Salary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Regression!$B$4:$B$33</c:f>
              <c:numCache>
                <c:formatCode>General</c:formatCode>
                <c:ptCount val="30"/>
                <c:pt idx="0">
                  <c:v>1.1000000000000001</c:v>
                </c:pt>
                <c:pt idx="1">
                  <c:v>1.3</c:v>
                </c:pt>
                <c:pt idx="2">
                  <c:v>1.5</c:v>
                </c:pt>
                <c:pt idx="3">
                  <c:v>2</c:v>
                </c:pt>
                <c:pt idx="4">
                  <c:v>2.2000000000000002</c:v>
                </c:pt>
                <c:pt idx="5">
                  <c:v>2.9</c:v>
                </c:pt>
                <c:pt idx="6">
                  <c:v>3</c:v>
                </c:pt>
                <c:pt idx="7">
                  <c:v>3.2</c:v>
                </c:pt>
                <c:pt idx="8">
                  <c:v>3.2</c:v>
                </c:pt>
                <c:pt idx="9">
                  <c:v>3.7</c:v>
                </c:pt>
                <c:pt idx="10">
                  <c:v>3.9</c:v>
                </c:pt>
                <c:pt idx="11">
                  <c:v>4</c:v>
                </c:pt>
                <c:pt idx="12">
                  <c:v>4</c:v>
                </c:pt>
                <c:pt idx="13">
                  <c:v>4.0999999999999996</c:v>
                </c:pt>
                <c:pt idx="14">
                  <c:v>4.5</c:v>
                </c:pt>
                <c:pt idx="15">
                  <c:v>4.9000000000000004</c:v>
                </c:pt>
                <c:pt idx="16">
                  <c:v>5.0999999999999996</c:v>
                </c:pt>
                <c:pt idx="17">
                  <c:v>5.3</c:v>
                </c:pt>
                <c:pt idx="18">
                  <c:v>5.9</c:v>
                </c:pt>
                <c:pt idx="19">
                  <c:v>6</c:v>
                </c:pt>
                <c:pt idx="20">
                  <c:v>6.8</c:v>
                </c:pt>
                <c:pt idx="21">
                  <c:v>7.1</c:v>
                </c:pt>
                <c:pt idx="22">
                  <c:v>7.9</c:v>
                </c:pt>
                <c:pt idx="23">
                  <c:v>8.1999999999999993</c:v>
                </c:pt>
                <c:pt idx="24">
                  <c:v>8.6999999999999993</c:v>
                </c:pt>
                <c:pt idx="25">
                  <c:v>9</c:v>
                </c:pt>
                <c:pt idx="26">
                  <c:v>9.5</c:v>
                </c:pt>
                <c:pt idx="27">
                  <c:v>9.6</c:v>
                </c:pt>
                <c:pt idx="28">
                  <c:v>10.3</c:v>
                </c:pt>
                <c:pt idx="29">
                  <c:v>10.5</c:v>
                </c:pt>
              </c:numCache>
            </c:numRef>
          </c:xVal>
          <c:yVal>
            <c:numRef>
              <c:f>Regression!$C$4:$C$33</c:f>
              <c:numCache>
                <c:formatCode>General</c:formatCode>
                <c:ptCount val="30"/>
                <c:pt idx="0">
                  <c:v>39343</c:v>
                </c:pt>
                <c:pt idx="1">
                  <c:v>46205</c:v>
                </c:pt>
                <c:pt idx="2">
                  <c:v>37731</c:v>
                </c:pt>
                <c:pt idx="3">
                  <c:v>43525</c:v>
                </c:pt>
                <c:pt idx="4">
                  <c:v>39891</c:v>
                </c:pt>
                <c:pt idx="5">
                  <c:v>56642</c:v>
                </c:pt>
                <c:pt idx="6">
                  <c:v>60150</c:v>
                </c:pt>
                <c:pt idx="7">
                  <c:v>54445</c:v>
                </c:pt>
                <c:pt idx="8">
                  <c:v>64445</c:v>
                </c:pt>
                <c:pt idx="9">
                  <c:v>57189</c:v>
                </c:pt>
                <c:pt idx="10">
                  <c:v>63218</c:v>
                </c:pt>
                <c:pt idx="11">
                  <c:v>55794</c:v>
                </c:pt>
                <c:pt idx="12">
                  <c:v>56957</c:v>
                </c:pt>
                <c:pt idx="13">
                  <c:v>57081</c:v>
                </c:pt>
                <c:pt idx="14">
                  <c:v>61111</c:v>
                </c:pt>
                <c:pt idx="15">
                  <c:v>67938</c:v>
                </c:pt>
                <c:pt idx="16">
                  <c:v>66029</c:v>
                </c:pt>
                <c:pt idx="17">
                  <c:v>83088</c:v>
                </c:pt>
                <c:pt idx="18">
                  <c:v>81363</c:v>
                </c:pt>
                <c:pt idx="19">
                  <c:v>93940</c:v>
                </c:pt>
                <c:pt idx="20">
                  <c:v>91738</c:v>
                </c:pt>
                <c:pt idx="21">
                  <c:v>98273</c:v>
                </c:pt>
                <c:pt idx="22">
                  <c:v>101302</c:v>
                </c:pt>
                <c:pt idx="23">
                  <c:v>113812</c:v>
                </c:pt>
                <c:pt idx="24">
                  <c:v>109431</c:v>
                </c:pt>
                <c:pt idx="25">
                  <c:v>105582</c:v>
                </c:pt>
                <c:pt idx="26">
                  <c:v>116969</c:v>
                </c:pt>
                <c:pt idx="27">
                  <c:v>112635</c:v>
                </c:pt>
                <c:pt idx="28">
                  <c:v>122391</c:v>
                </c:pt>
                <c:pt idx="29">
                  <c:v>121872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1F-1E40-89E0-229FD40DA8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4452672"/>
        <c:axId val="1144448192"/>
      </c:scatterChart>
      <c:valAx>
        <c:axId val="1144452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448192"/>
        <c:crosses val="autoZero"/>
        <c:crossBetween val="midCat"/>
      </c:valAx>
      <c:valAx>
        <c:axId val="114444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452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Regression!$C$3</c:f>
              <c:strCache>
                <c:ptCount val="1"/>
                <c:pt idx="0">
                  <c:v>Salary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Regression!$B$4:$B$33</c:f>
              <c:numCache>
                <c:formatCode>General</c:formatCode>
                <c:ptCount val="30"/>
                <c:pt idx="0">
                  <c:v>1.1000000000000001</c:v>
                </c:pt>
                <c:pt idx="1">
                  <c:v>1.3</c:v>
                </c:pt>
                <c:pt idx="2">
                  <c:v>1.5</c:v>
                </c:pt>
                <c:pt idx="3">
                  <c:v>2</c:v>
                </c:pt>
                <c:pt idx="4">
                  <c:v>2.2000000000000002</c:v>
                </c:pt>
                <c:pt idx="5">
                  <c:v>2.9</c:v>
                </c:pt>
                <c:pt idx="6">
                  <c:v>3</c:v>
                </c:pt>
                <c:pt idx="7">
                  <c:v>3.2</c:v>
                </c:pt>
                <c:pt idx="8">
                  <c:v>3.2</c:v>
                </c:pt>
                <c:pt idx="9">
                  <c:v>3.7</c:v>
                </c:pt>
                <c:pt idx="10">
                  <c:v>3.9</c:v>
                </c:pt>
                <c:pt idx="11">
                  <c:v>4</c:v>
                </c:pt>
                <c:pt idx="12">
                  <c:v>4</c:v>
                </c:pt>
                <c:pt idx="13">
                  <c:v>4.0999999999999996</c:v>
                </c:pt>
                <c:pt idx="14">
                  <c:v>4.5</c:v>
                </c:pt>
                <c:pt idx="15">
                  <c:v>4.9000000000000004</c:v>
                </c:pt>
                <c:pt idx="16">
                  <c:v>5.0999999999999996</c:v>
                </c:pt>
                <c:pt idx="17">
                  <c:v>5.3</c:v>
                </c:pt>
                <c:pt idx="18">
                  <c:v>5.9</c:v>
                </c:pt>
                <c:pt idx="19">
                  <c:v>6</c:v>
                </c:pt>
                <c:pt idx="20">
                  <c:v>6.8</c:v>
                </c:pt>
                <c:pt idx="21">
                  <c:v>7.1</c:v>
                </c:pt>
                <c:pt idx="22">
                  <c:v>7.9</c:v>
                </c:pt>
                <c:pt idx="23">
                  <c:v>8.1999999999999993</c:v>
                </c:pt>
                <c:pt idx="24">
                  <c:v>8.6999999999999993</c:v>
                </c:pt>
                <c:pt idx="25">
                  <c:v>9</c:v>
                </c:pt>
                <c:pt idx="26">
                  <c:v>9.5</c:v>
                </c:pt>
                <c:pt idx="27">
                  <c:v>9.6</c:v>
                </c:pt>
                <c:pt idx="28">
                  <c:v>10.3</c:v>
                </c:pt>
                <c:pt idx="29">
                  <c:v>10.5</c:v>
                </c:pt>
              </c:numCache>
            </c:numRef>
          </c:xVal>
          <c:yVal>
            <c:numRef>
              <c:f>Regression!$C$4:$C$33</c:f>
              <c:numCache>
                <c:formatCode>General</c:formatCode>
                <c:ptCount val="30"/>
                <c:pt idx="0">
                  <c:v>39343</c:v>
                </c:pt>
                <c:pt idx="1">
                  <c:v>46205</c:v>
                </c:pt>
                <c:pt idx="2">
                  <c:v>37731</c:v>
                </c:pt>
                <c:pt idx="3">
                  <c:v>43525</c:v>
                </c:pt>
                <c:pt idx="4">
                  <c:v>39891</c:v>
                </c:pt>
                <c:pt idx="5">
                  <c:v>56642</c:v>
                </c:pt>
                <c:pt idx="6">
                  <c:v>60150</c:v>
                </c:pt>
                <c:pt idx="7">
                  <c:v>54445</c:v>
                </c:pt>
                <c:pt idx="8">
                  <c:v>64445</c:v>
                </c:pt>
                <c:pt idx="9">
                  <c:v>57189</c:v>
                </c:pt>
                <c:pt idx="10">
                  <c:v>63218</c:v>
                </c:pt>
                <c:pt idx="11">
                  <c:v>55794</c:v>
                </c:pt>
                <c:pt idx="12">
                  <c:v>56957</c:v>
                </c:pt>
                <c:pt idx="13">
                  <c:v>57081</c:v>
                </c:pt>
                <c:pt idx="14">
                  <c:v>61111</c:v>
                </c:pt>
                <c:pt idx="15">
                  <c:v>67938</c:v>
                </c:pt>
                <c:pt idx="16">
                  <c:v>66029</c:v>
                </c:pt>
                <c:pt idx="17">
                  <c:v>83088</c:v>
                </c:pt>
                <c:pt idx="18">
                  <c:v>81363</c:v>
                </c:pt>
                <c:pt idx="19">
                  <c:v>93940</c:v>
                </c:pt>
                <c:pt idx="20">
                  <c:v>91738</c:v>
                </c:pt>
                <c:pt idx="21">
                  <c:v>98273</c:v>
                </c:pt>
                <c:pt idx="22">
                  <c:v>101302</c:v>
                </c:pt>
                <c:pt idx="23">
                  <c:v>113812</c:v>
                </c:pt>
                <c:pt idx="24">
                  <c:v>109431</c:v>
                </c:pt>
                <c:pt idx="25">
                  <c:v>105582</c:v>
                </c:pt>
                <c:pt idx="26">
                  <c:v>116969</c:v>
                </c:pt>
                <c:pt idx="27">
                  <c:v>112635</c:v>
                </c:pt>
                <c:pt idx="28">
                  <c:v>122391</c:v>
                </c:pt>
                <c:pt idx="29">
                  <c:v>121872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6F-DB4B-A0D3-F4D6AE7BC7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4452672"/>
        <c:axId val="1144448192"/>
      </c:scatterChart>
      <c:valAx>
        <c:axId val="1144452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448192"/>
        <c:crosses val="autoZero"/>
        <c:crossBetween val="midCat"/>
      </c:valAx>
      <c:valAx>
        <c:axId val="114444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452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ustomXml" Target="../ink/ink1.xml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customXml" Target="../ink/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0</xdr:rowOff>
    </xdr:from>
    <xdr:to>
      <xdr:col>7</xdr:col>
      <xdr:colOff>480198</xdr:colOff>
      <xdr:row>27</xdr:row>
      <xdr:rowOff>11033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F42548-3465-1641-8C7A-D310EB93D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3784" y="3216680"/>
          <a:ext cx="5422900" cy="22225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29</xdr:row>
      <xdr:rowOff>0</xdr:rowOff>
    </xdr:from>
    <xdr:to>
      <xdr:col>7</xdr:col>
      <xdr:colOff>251598</xdr:colOff>
      <xdr:row>39</xdr:row>
      <xdr:rowOff>110476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EE3DA68-060F-FE7A-6775-71EC5F3499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3784" y="5830232"/>
          <a:ext cx="5194300" cy="21209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165139</xdr:colOff>
      <xdr:row>8</xdr:row>
      <xdr:rowOff>165139</xdr:rowOff>
    </xdr:from>
    <xdr:to>
      <xdr:col>5</xdr:col>
      <xdr:colOff>431052</xdr:colOff>
      <xdr:row>15</xdr:row>
      <xdr:rowOff>80132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5E964D-1671-0425-620E-FF15ACE3BB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8885" y="1800805"/>
          <a:ext cx="2298700" cy="1346200"/>
        </a:xfrm>
        <a:prstGeom prst="rect">
          <a:avLst/>
        </a:prstGeom>
      </xdr:spPr>
    </xdr:pic>
    <xdr:clientData/>
  </xdr:twoCellAnchor>
  <xdr:twoCellAnchor editAs="oneCell">
    <xdr:from>
      <xdr:col>6</xdr:col>
      <xdr:colOff>536461</xdr:colOff>
      <xdr:row>16</xdr:row>
      <xdr:rowOff>152629</xdr:rowOff>
    </xdr:from>
    <xdr:to>
      <xdr:col>7</xdr:col>
      <xdr:colOff>418668</xdr:colOff>
      <xdr:row>21</xdr:row>
      <xdr:rowOff>71018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59" name="Ink 58">
              <a:extLst>
                <a:ext uri="{FF2B5EF4-FFF2-40B4-BE49-F238E27FC236}">
                  <a16:creationId xmlns:a16="http://schemas.microsoft.com/office/drawing/2014/main" id="{AE286CE6-FDBC-892B-AFAF-7FD6D17084FF}"/>
                </a:ext>
              </a:extLst>
            </xdr14:cNvPr>
            <xdr14:cNvContentPartPr/>
          </xdr14:nvContentPartPr>
          <xdr14:nvPr macro=""/>
          <xdr14:xfrm>
            <a:off x="5781600" y="3423960"/>
            <a:ext cx="1533600" cy="940680"/>
          </xdr14:xfrm>
        </xdr:contentPart>
      </mc:Choice>
      <mc:Fallback>
        <xdr:pic>
          <xdr:nvPicPr>
            <xdr:cNvPr id="59" name="Ink 58">
              <a:extLst>
                <a:ext uri="{FF2B5EF4-FFF2-40B4-BE49-F238E27FC236}">
                  <a16:creationId xmlns:a16="http://schemas.microsoft.com/office/drawing/2014/main" id="{AE286CE6-FDBC-892B-AFAF-7FD6D17084FF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5775480" y="3417838"/>
              <a:ext cx="1545840" cy="952925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124753</xdr:colOff>
      <xdr:row>30</xdr:row>
      <xdr:rowOff>81032</xdr:rowOff>
    </xdr:from>
    <xdr:to>
      <xdr:col>10</xdr:col>
      <xdr:colOff>605779</xdr:colOff>
      <xdr:row>43</xdr:row>
      <xdr:rowOff>194321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0CAF79C-7BBA-363E-28E3-76A88BB0B2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603771</xdr:colOff>
      <xdr:row>63</xdr:row>
      <xdr:rowOff>135328</xdr:rowOff>
    </xdr:from>
    <xdr:to>
      <xdr:col>7</xdr:col>
      <xdr:colOff>210279</xdr:colOff>
      <xdr:row>77</xdr:row>
      <xdr:rowOff>36643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FBB0A2-40E8-4B43-8761-7AEF12E739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131857</xdr:colOff>
      <xdr:row>4</xdr:row>
      <xdr:rowOff>13711</xdr:rowOff>
    </xdr:from>
    <xdr:to>
      <xdr:col>6</xdr:col>
      <xdr:colOff>278377</xdr:colOff>
      <xdr:row>4</xdr:row>
      <xdr:rowOff>194071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78557937-D2FC-0418-239C-1250D2E55D0F}"/>
                </a:ext>
              </a:extLst>
            </xdr14:cNvPr>
            <xdr14:cNvContentPartPr/>
          </xdr14:nvContentPartPr>
          <xdr14:nvPr macro=""/>
          <xdr14:xfrm>
            <a:off x="5074560" y="822240"/>
            <a:ext cx="146520" cy="180360"/>
          </xdr14:xfrm>
        </xdr:contentPart>
      </mc:Choice>
      <mc:Fallback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78557937-D2FC-0418-239C-1250D2E55D0F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068440" y="816120"/>
              <a:ext cx="158760" cy="19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22T16:00:02.45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39 24575,'8'-6'0,"5"0"0,4 0 0,6 1 0,2-1 0,12 2 0,0 0 0,8 3 0,2 1 0,-5 2 0,5 1 0,-5 6 0,0 1 0,-1 6 0,9 12 0,10 16 0,-11 0 0,1 11 0,-24-17 0,-6 8 0,-2 0 0,-5 15 0,1-10 0,-6 17 0,-3-13 0,-5 7 0,0 2 0,0 17 0,0-7 0,-2 12 0,-2-12 0,1-2 0,1-7 0,11 7 0,2-21 0,7 3 0,-2-20 0,2-10 0,2-4 0,15-7 0,2-6 0,17-2 0,-3-7 0,8-6 0,-2-3 0,-3-6 0,-11-2 0,-10 0 0,-14-1 0,-9 3 0,-6-1 0,-7-3 0,-3-1 0,-3 2 0,-2 4 0,1 8 0,0 3 0,-1 3 0,2 4 0,0 5 0,-1 4 0,-1 10 0,-3 3 0,0 17 0,-1 2 0,-1 16 0,0 1 0,1 5 0,4 6 0,-3 21 0,10-10 0,-4 16 0,8-23 0,0-1 0,0-2 0,0-15 0,0-1 0,0-18 0,-1-5 0,-3-1 0,-1-5 0,-1-5 0,-2 5 0,-1-10 0,-2 5 0,-3-10 0,1 1 0,-6-7 0,-2 1 0,-6-6 0,-17 2 0,0-5 0,-10-4 0,8-2 0,6-3 0,4 2 0,13 1 0,-1 3 0,12 2 0,-9 0 0,9 3 0,0-2 0,9 2 0</inkml:trace>
  <inkml:trace contextRef="#ctx0" brushRef="#br0" timeOffset="825">1756 580 24575,'4'8'0,"4"7"0,0 16 0,3-1 0,-2 9 0,-1-9 0,-1 2 0,2 2 0,3 11 0,-2-7 0,3 9 0,-5-9 0,2-3 0,-1-3 0,-2-7 0,-2-6 0,-1-8 0,-4-5 0,1-4 0</inkml:trace>
  <inkml:trace contextRef="#ctx0" brushRef="#br0" timeOffset="1708">1326 536 24575,'7'-4'0,"0"0"0,14-5 0,-2 2 0,10-3 0,0 2 0,7 0 0,5-2 0,7 5 0,-2 0 0,17 5 0,-12 0 0,13 0 0,-9 2 0,8 4 0,6 5 0,12 11 0,-13-5 0,3 4 0,-24-9 0,-6-1 0,-10 1 0,-4 2 0,-6 1 0,-2 1 0,-7 5 0,1 0 0,1 6 0,-1 8 0,-4-2 0,2 4 0,-7-5 0,3-1 0,-6-2 0,1 2 0,-4-2 0,-3 2 0,-5 2 0,-4-2 0,-3 0 0,-4-5 0,0-3 0,-9 0 0,0-5 0,-8-2 0,-9-2 0,5-1 0,-5-2 0,13-1 0,7-3 0,5-2 0,3 1 0,-3-1 0,4-2 0,1 1 0,9-3 0,2 1 0,4-1 0,0-2 0,1-2 0,1 1 0,0-1 0</inkml:trace>
  <inkml:trace contextRef="#ctx0" brushRef="#br0" timeOffset="3075">2466 860 24575,'8'0'0,"0"1"0,-1 4 0,0 3 0,0 0 0,7 3 0,1-2 0,3 2 0,2-4 0,1-2 0,8-3 0,-1 0 0,5-2 0,-2 0 0,-1 0 0,1 0 0,-8 0 0,-1-3 0,-7-2 0,-2-6 0,-7-2 0,-2-2 0,-2-1 0,-2 4 0,0-7 0,0 7 0,0-6 0,0 0 0,-3 6 0,2 0 0,-4 8 0,3 2 0,-3-3 0,1 4 0,-5-1 0,-1 2 0,-2 0 0,-6 1 0,0 1 0,-5 5 0,-7 9 0,5 2 0,-2 5 0,7 1 0,2-2 0,0 4 0,3 1 0,5-4 0,5 1 0,4-5 0,1 0 0,0 1 0,2 4 0,2-4 0,2-1 0,1-4 0,2-3 0,1 0 0,4-3 0,3-5 0,6-1 0,16-10 0,2-4 0,15-7 0,-6-9 0,3 0 0,-3-6 0,-4 1 0,0 1 0,-7-5 0,-11 5 0,-9-3 0,-12 9 0,-4 1 0,-1 3 0,-6 1 0,-1 1 0,-3 4 0,1 2 0,3 5 0,0 6 0,3 0 0,-6 2 0,3 0 0,-5 2 0,4 4 0,1 2 0,1 5 0,3-1 0,0-1 0,3-1 0,0-1 0,4 0 0,-1-1 0,1 0 0,-2 2 0,2-1 0,1 3 0,2-3 0,-1-1 0,-2 0 0,1 4 0,-3 0 0,-1 2 0,0-1 0,-2-1 0,-1 1 0,1-1 0,-2-3 0,0 2 0,0-4 0,0 3 0,-4-4 0,-4 2 0,-2-3 0,-10 6 0,4-2 0,-7 2 0,0-5 0,-2 1 0,2-2 0,1 1 0,10-2 0,3-1 0,5-2 0,-1-1 0,1 0 0,1 0 0,2 0 0</inkml:trace>
  <inkml:trace contextRef="#ctx0" brushRef="#br0" timeOffset="8375">3524 591 24575,'6'0'0,"-1"0"0,-10 0 0,-3 5 0,-14-1 0,1 3 0,-4-2 0,6 0 0,2-1 0,11 0 0,-1 0 0,3 1 0,1 5 0,-3 10 0,4 2 0,-4 7 0,2-6 0,-2 4 0,2-2 0,1 2 0,3-1 0,-2 5 0,2 9 0,-2 2 0,4 7 0,3-8 0,3-3 0,3-9 0,1-4 0,1-4 0,10 0 0,2-6 0,14 0 0,-1-8 0,5-3 0,3-2 0,0-2 0,14 0 0,-9-2 0,10 0 0,-15-2 0,-6 2 0,-14-1 0,-13 1 0,-8 1 0,-6 0 0,0 1 0</inkml:trace>
  <inkml:trace contextRef="#ctx0" brushRef="#br0" timeOffset="9650">2096 1858 24575,'3'-3'0,"0"0"0,-1 0 0,0-3 0,-5 1 0,-8-8 0,-2 3 0,-8-1 0,-5 1 0,-2 4 0,-7 2 0,1 1 0,0 9 0,-10 13 0,7 6 0,-3 10 0,9-3 0,12-2 0,2 0 0,11-3 0,6 0 0,5-5 0,4-3 0,3-8 0,2-1 0,8-6 0,16 0 0,3-4 0,12 0 0,1 0 0,0 1 0,13 8 0,17 6 0,-11 9 0,9 5 0,-27 4 0,-7-1 0,-8 2 0,-6-1 0,-10 11 0,-6-2 0,-9 7 0,-4-9 0,-5-4 0,-4-7 0,-4-7 0,-4-5 0,-5-5 0,-10-2 0,2-1 0,-10-4 0,9-1 0,-4-3 0,4-2 0,-3-3 0,-4-4 0,-9-10 0,-1 2 0,1-7 0,14 12 0,7-1 0,4 4 0,7 3 0,-2-2 0,11 5 0,-2-4 0,4-2 0,2 1 0,-1 1 0,1 3 0</inkml:trace>
  <inkml:trace contextRef="#ctx0" brushRef="#br0" timeOffset="10258">2899 1729 24575,'0'6'0,"0"2"0,1 8 0,3 8 0,6 17 0,2 4 0,7 15 0,-4-1 0,5 6 0,-5 3 0,2 10 0,-8-13 0,-3 4 0,-6-18 0,4-8 0,2-4 0,4-10 0,2-4 0,-1-6 0,5-3 0,-2-6 0,9-3 0,-1-6 0,5-7 0,1-3 0,0-7 0,8-8 0,-10 1 0,-3-1 0,-13 9 0,-5 5 0,-4 4 0,-2-1 0,0 3 0,-1 0 0</inkml:trace>
  <inkml:trace contextRef="#ctx0" brushRef="#br0" timeOffset="10658">2865 2283 24575,'21'-2'0,"5"-3"0,18-5 0,16-4 0,26 2 0,-36 8 0,3 0 0,11-4 0,0 1 0,34-2 0,-13-9 0,-39 11 0,-23 2 0,-8 5 0,-11 0 0</inkml:trace>
  <inkml:trace contextRef="#ctx0" brushRef="#br0" timeOffset="11783">3618 2103 24575,'-5'0'0,"1"1"0,1 5 0,-1 9 0,3 7 0,-2 8 0,3 4 0,0-1 0,0-1 0,2 5 0,1-11 0,0 3 0,3-10 0,-1-5 0,6-1 0,4-3 0,7 0 0,3-6 0,0-1 0,-5-3 0,-6-4 0,-5-6 0,-2-6 0,-3-8 0,-1-3 0,-3-4 0,0 1 0,0-1 0,-4 4 0,0 0 0,-6 1 0,5 6 0,-2 3 0,3 10 0,0 10 0,3 11 0,4 10 0,2 9 0,3-3 0,-1 1 0,0-4 0,2-2 0,0-4 0,3-3 0,-2-7 0,0-3 0,-1-5 0,5-2 0,-4-5 0,5-4 0,-4-6 0,1-7 0,-2-2 0,0-19 0,-1 8 0,-2-19 0,-2 7 0,-3-13 0,-2-1 0,-2-5 0,-9-12 0,1 13 0,-10-7 0,10 22 0,-4 6 0,7 9 0,-2 13 0,7 9 0,-1 11 0,3 11 0,0 7 0,0 9 0,2 9 0,7 14 0,-4-1 0,7 9 0,-6-12 0,3-4 0,2 1 0,3 3 0,0-3 0,3 0 0,-3-11 0,4-1 0,4-3 0,1 1 0,3-6 0,-3-2 0,-2-7 0,-3-6 0,0-3 0,-3-4 0,-5 0 0,-3-2 0,-1-4 0,-3-3 0,1-3 0,-1-3 0,0 1 0,-1-8 0,-1 9 0,-1 0 0,0 10 0</inkml:trace>
  <inkml:trace contextRef="#ctx0" brushRef="#br0" timeOffset="12155">3777 2084 24575,'4'-2'0,"6"-2"0,12-1 0,11-4 0,15-2 0,12-1 0,3-5 0,3 4 0,-10-5 0,-12 8 0,-8 1 0,-14 3 0,-9 4 0,-8-1 0</inkml:trace>
  <inkml:trace contextRef="#ctx0" brushRef="#br0" timeOffset="12336">4259 1972 24575,'0'0'0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22T17:36:11.647"/>
    </inkml:context>
    <inkml:brush xml:id="br0">
      <inkml:brushProperty name="width" value="0.035" units="cm"/>
      <inkml:brushProperty name="height" value="0.035" units="cm"/>
      <inkml:brushProperty name="color" value="#5B2D90"/>
    </inkml:brush>
  </inkml:definitions>
  <inkml:trace contextRef="#ctx0" brushRef="#br0">0 0 24575,'4'3'0,"1"2"0,6 8 0,-1-1 0,5 8 0,-4-6 0,5 6 0,-4-4 0,4 4 0,-4-3 0,3 5 0,-3-3 0,2 2 0,-1-4 0,-2-2 0,2 0 0,-1 0 0,0 1 0,-1-1 0,2 2 0,-2-2 0,1 1 0,-3-3 0,-1 0 0,-1 0 0,0-2 0,0 2 0,2 1 0,1-2 0,-2-1 0,-1-1 0,-2-2 0,1 0 0,0 0 0,-2-3 0,-1-1 0,-2-3 0,0-6 0,-2-2 0,1-2 0,-4 1 0,3-2 0,-1 0 0,2-1 0,0 2 0,0-2 0,0 5 0,0-2 0,0 2 0,0-3 0,0 2 0,0-2 0,0 5 0,0 0 0,1-1 0,0 3 0,6 2 0,-2 3 0,3 6 0,-3 0 0,1 2 0,-1 2 0,0-4 0,-1 3 0,-3-3 0,3 2 0,-3-2 0,1 2 0,-2-5 0,0 6 0,0-6 0,0 3 0,0-4 0,-3-3 0,-1 1 0,-3-2 0,-1 1 0,2-1 0,-2-1 0,0-1 0,1 1 0,-3-2 0,1 2 0,1-2 0,1 1 0,0-4 0,3 5 0,-1-3 0,1 3 0,0 0 0,0-3 0,-1 3 0,1-3 0,-1 1 0,2 1 0,-2-1 0,3 2 0,1 0 0</inkml:trace>
  <inkml:trace contextRef="#ctx0" brushRef="#br0" timeOffset="1201">246 458 24575,'10'0'0,"-3"0"0,4 0 0,-5 0 0,4 0 0,-5 0 0,4 0 0,-4 1 0,1 1 0,0-1 0,-1 2 0,1-2 0,-1 2 0,2 1 0,-3-1 0,5 3 0,-4-2 0,2 1 0,-3-3 0,0 0 0,-5-4 0,3 1 0,-8-5 0,6 3 0,-3-3 0,3 1 0,0-2 0,0 1 0,0 0 0,0-1 0,0 1 0,0 1 0,0-1 0,0 3 0,0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B4E25-4A09-B747-A3C5-AC9C2DFBF355}">
  <dimension ref="A3:K47"/>
  <sheetViews>
    <sheetView topLeftCell="A35" zoomScale="259" zoomScaleNormal="259" workbookViewId="0">
      <selection activeCell="C47" sqref="C47:J47"/>
    </sheetView>
  </sheetViews>
  <sheetFormatPr baseColWidth="10" defaultRowHeight="16" x14ac:dyDescent="0.2"/>
  <sheetData>
    <row r="3" spans="1:11" x14ac:dyDescent="0.2">
      <c r="B3" s="2" t="s">
        <v>0</v>
      </c>
      <c r="C3" s="2"/>
    </row>
    <row r="4" spans="1:11" x14ac:dyDescent="0.2">
      <c r="B4" s="2"/>
      <c r="C4" s="2"/>
    </row>
    <row r="6" spans="1:11" x14ac:dyDescent="0.2">
      <c r="B6" t="s">
        <v>1</v>
      </c>
    </row>
    <row r="8" spans="1:11" x14ac:dyDescent="0.2">
      <c r="B8" t="s">
        <v>2</v>
      </c>
      <c r="H8" t="s">
        <v>4</v>
      </c>
    </row>
    <row r="10" spans="1:11" x14ac:dyDescent="0.2">
      <c r="B10" t="s">
        <v>3</v>
      </c>
    </row>
    <row r="13" spans="1:11" x14ac:dyDescent="0.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</row>
    <row r="15" spans="1:11" x14ac:dyDescent="0.2">
      <c r="B15" t="s">
        <v>10</v>
      </c>
    </row>
    <row r="42" spans="1:11" x14ac:dyDescent="0.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</row>
    <row r="44" spans="1:11" x14ac:dyDescent="0.2">
      <c r="C44" t="s">
        <v>46</v>
      </c>
    </row>
    <row r="47" spans="1:11" x14ac:dyDescent="0.2">
      <c r="C47" t="s">
        <v>47</v>
      </c>
      <c r="E47" t="s">
        <v>48</v>
      </c>
    </row>
  </sheetData>
  <mergeCells count="1">
    <mergeCell ref="B3:C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E6D38-8412-1742-8E66-783072C91B42}">
  <dimension ref="B4:H39"/>
  <sheetViews>
    <sheetView topLeftCell="A3" zoomScale="323" zoomScaleNormal="323" workbookViewId="0">
      <selection activeCell="B4" sqref="B4:C34"/>
    </sheetView>
  </sheetViews>
  <sheetFormatPr baseColWidth="10" defaultRowHeight="16" x14ac:dyDescent="0.2"/>
  <cols>
    <col min="2" max="2" width="14.6640625" bestFit="1" customWidth="1"/>
    <col min="5" max="5" width="26.6640625" bestFit="1" customWidth="1"/>
    <col min="7" max="7" width="21.6640625" bestFit="1" customWidth="1"/>
  </cols>
  <sheetData>
    <row r="4" spans="2:6" x14ac:dyDescent="0.2">
      <c r="B4" s="3" t="s">
        <v>5</v>
      </c>
      <c r="C4" s="3" t="s">
        <v>6</v>
      </c>
    </row>
    <row r="5" spans="2:6" x14ac:dyDescent="0.2">
      <c r="B5" s="5">
        <v>1.1000000000000001</v>
      </c>
      <c r="C5" s="5">
        <v>39343</v>
      </c>
      <c r="E5" t="s">
        <v>7</v>
      </c>
      <c r="F5">
        <f>MEDIAN(B5:B34)</f>
        <v>4.7</v>
      </c>
    </row>
    <row r="6" spans="2:6" x14ac:dyDescent="0.2">
      <c r="B6" s="5">
        <v>1.3</v>
      </c>
      <c r="C6" s="5">
        <v>46205</v>
      </c>
      <c r="E6" t="s">
        <v>8</v>
      </c>
      <c r="F6">
        <f>AVERAGE(B5:B34)</f>
        <v>5.3133333333333335</v>
      </c>
    </row>
    <row r="7" spans="2:6" x14ac:dyDescent="0.2">
      <c r="B7" s="5">
        <v>1.5</v>
      </c>
      <c r="C7" s="5">
        <v>37731</v>
      </c>
      <c r="E7" t="s">
        <v>9</v>
      </c>
      <c r="F7" cm="1">
        <f t="array" ref="F7:F8">_xlfn.MODE.MULT(B5:B34)</f>
        <v>3.2</v>
      </c>
    </row>
    <row r="8" spans="2:6" x14ac:dyDescent="0.2">
      <c r="B8" s="5">
        <v>2</v>
      </c>
      <c r="C8" s="5">
        <v>43525</v>
      </c>
      <c r="F8">
        <v>4</v>
      </c>
    </row>
    <row r="9" spans="2:6" x14ac:dyDescent="0.2">
      <c r="B9" s="5">
        <v>2.2000000000000002</v>
      </c>
      <c r="C9" s="5">
        <v>39891</v>
      </c>
    </row>
    <row r="10" spans="2:6" x14ac:dyDescent="0.2">
      <c r="B10" s="5">
        <v>2.9</v>
      </c>
      <c r="C10" s="5">
        <v>56642</v>
      </c>
    </row>
    <row r="11" spans="2:6" x14ac:dyDescent="0.2">
      <c r="B11" s="5">
        <v>3</v>
      </c>
      <c r="C11" s="5">
        <v>60150</v>
      </c>
    </row>
    <row r="12" spans="2:6" x14ac:dyDescent="0.2">
      <c r="B12" s="5">
        <v>3.2</v>
      </c>
      <c r="C12" s="5">
        <v>54445</v>
      </c>
    </row>
    <row r="13" spans="2:6" x14ac:dyDescent="0.2">
      <c r="B13" s="5">
        <v>3.2</v>
      </c>
      <c r="C13" s="5">
        <v>64445</v>
      </c>
    </row>
    <row r="14" spans="2:6" x14ac:dyDescent="0.2">
      <c r="B14" s="5">
        <v>3.7</v>
      </c>
      <c r="C14" s="5">
        <v>57189</v>
      </c>
    </row>
    <row r="15" spans="2:6" x14ac:dyDescent="0.2">
      <c r="B15" s="5">
        <v>3.9</v>
      </c>
      <c r="C15" s="5">
        <v>63218</v>
      </c>
    </row>
    <row r="16" spans="2:6" x14ac:dyDescent="0.2">
      <c r="B16" s="5">
        <v>4</v>
      </c>
      <c r="C16" s="5">
        <v>55794</v>
      </c>
    </row>
    <row r="17" spans="2:8" x14ac:dyDescent="0.2">
      <c r="B17" s="5">
        <v>4</v>
      </c>
      <c r="C17" s="5">
        <v>56957</v>
      </c>
    </row>
    <row r="18" spans="2:8" x14ac:dyDescent="0.2">
      <c r="B18" s="5">
        <v>4.0999999999999996</v>
      </c>
      <c r="C18" s="5">
        <v>57081</v>
      </c>
    </row>
    <row r="19" spans="2:8" x14ac:dyDescent="0.2">
      <c r="B19" s="5">
        <v>4.5</v>
      </c>
      <c r="C19" s="5">
        <v>61111</v>
      </c>
      <c r="E19" t="s">
        <v>11</v>
      </c>
    </row>
    <row r="20" spans="2:8" x14ac:dyDescent="0.2">
      <c r="B20" s="5">
        <v>4.9000000000000004</v>
      </c>
      <c r="C20" s="5">
        <v>67938</v>
      </c>
    </row>
    <row r="21" spans="2:8" x14ac:dyDescent="0.2">
      <c r="B21" s="5">
        <v>5.0999999999999996</v>
      </c>
      <c r="C21" s="5">
        <v>66029</v>
      </c>
      <c r="E21" t="s">
        <v>12</v>
      </c>
    </row>
    <row r="22" spans="2:8" x14ac:dyDescent="0.2">
      <c r="B22" s="5">
        <v>5.3</v>
      </c>
      <c r="C22" s="5">
        <v>83088</v>
      </c>
    </row>
    <row r="23" spans="2:8" ht="17" thickBot="1" x14ac:dyDescent="0.25">
      <c r="B23" s="5">
        <v>5.9</v>
      </c>
      <c r="C23" s="5">
        <v>81363</v>
      </c>
    </row>
    <row r="24" spans="2:8" x14ac:dyDescent="0.2">
      <c r="B24" s="5">
        <v>6</v>
      </c>
      <c r="C24" s="5">
        <v>93940</v>
      </c>
      <c r="E24" s="9" t="s">
        <v>5</v>
      </c>
      <c r="F24" s="9"/>
      <c r="G24" s="9" t="s">
        <v>6</v>
      </c>
      <c r="H24" s="9"/>
    </row>
    <row r="25" spans="2:8" x14ac:dyDescent="0.2">
      <c r="B25" s="5">
        <v>6.8</v>
      </c>
      <c r="C25" s="5">
        <v>91738</v>
      </c>
      <c r="E25" s="7"/>
      <c r="F25" s="7"/>
      <c r="G25" s="7"/>
      <c r="H25" s="7"/>
    </row>
    <row r="26" spans="2:8" x14ac:dyDescent="0.2">
      <c r="B26" s="5">
        <v>7.1</v>
      </c>
      <c r="C26" s="5">
        <v>98273</v>
      </c>
      <c r="E26" s="7" t="s">
        <v>13</v>
      </c>
      <c r="F26" s="7">
        <v>5.3133333333333335</v>
      </c>
      <c r="G26" s="7" t="s">
        <v>13</v>
      </c>
      <c r="H26" s="7">
        <v>76003</v>
      </c>
    </row>
    <row r="27" spans="2:8" x14ac:dyDescent="0.2">
      <c r="B27" s="5">
        <v>7.9</v>
      </c>
      <c r="C27" s="5">
        <v>101302</v>
      </c>
      <c r="E27" s="7" t="s">
        <v>14</v>
      </c>
      <c r="F27" s="7">
        <v>0.51812511987621601</v>
      </c>
      <c r="G27" s="7" t="s">
        <v>14</v>
      </c>
      <c r="H27" s="7">
        <v>5005.1671980524052</v>
      </c>
    </row>
    <row r="28" spans="2:8" x14ac:dyDescent="0.2">
      <c r="B28" s="5">
        <v>8.1999999999999993</v>
      </c>
      <c r="C28" s="5">
        <v>113812</v>
      </c>
      <c r="E28" s="7" t="s">
        <v>15</v>
      </c>
      <c r="F28" s="7">
        <v>4.7</v>
      </c>
      <c r="G28" s="7" t="s">
        <v>15</v>
      </c>
      <c r="H28" s="7">
        <v>65237</v>
      </c>
    </row>
    <row r="29" spans="2:8" x14ac:dyDescent="0.2">
      <c r="B29" s="5">
        <v>8.6999999999999993</v>
      </c>
      <c r="C29" s="5">
        <v>109431</v>
      </c>
      <c r="E29" s="7" t="s">
        <v>16</v>
      </c>
      <c r="F29" s="7">
        <v>3.2</v>
      </c>
      <c r="G29" s="7" t="s">
        <v>16</v>
      </c>
      <c r="H29" s="7" t="e">
        <v>#N/A</v>
      </c>
    </row>
    <row r="30" spans="2:8" x14ac:dyDescent="0.2">
      <c r="B30" s="5">
        <v>9</v>
      </c>
      <c r="C30" s="5">
        <v>105582</v>
      </c>
      <c r="E30" s="7" t="s">
        <v>17</v>
      </c>
      <c r="F30" s="7">
        <v>2.8378881576627184</v>
      </c>
      <c r="G30" s="7" t="s">
        <v>17</v>
      </c>
      <c r="H30" s="7">
        <v>27414.429784582298</v>
      </c>
    </row>
    <row r="31" spans="2:8" x14ac:dyDescent="0.2">
      <c r="B31" s="5">
        <v>9.5</v>
      </c>
      <c r="C31" s="5">
        <v>116969</v>
      </c>
      <c r="E31" s="7" t="s">
        <v>18</v>
      </c>
      <c r="F31" s="7">
        <v>8.0536091954022986</v>
      </c>
      <c r="G31" s="7" t="s">
        <v>18</v>
      </c>
      <c r="H31" s="7">
        <v>751550960.41379309</v>
      </c>
    </row>
    <row r="32" spans="2:8" x14ac:dyDescent="0.2">
      <c r="B32" s="5">
        <v>9.6</v>
      </c>
      <c r="C32" s="5">
        <v>112635</v>
      </c>
      <c r="E32" s="7" t="s">
        <v>19</v>
      </c>
      <c r="F32" s="7">
        <v>-1.0122119403325072</v>
      </c>
      <c r="G32" s="7" t="s">
        <v>19</v>
      </c>
      <c r="H32" s="7">
        <v>-1.295421086394517</v>
      </c>
    </row>
    <row r="33" spans="2:8" x14ac:dyDescent="0.2">
      <c r="B33" s="5">
        <v>10.3</v>
      </c>
      <c r="C33" s="5">
        <v>122391</v>
      </c>
      <c r="E33" s="7" t="s">
        <v>20</v>
      </c>
      <c r="F33" s="7">
        <v>0.37956024064804139</v>
      </c>
      <c r="G33" s="7" t="s">
        <v>20</v>
      </c>
      <c r="H33" s="7">
        <v>0.35411967922959159</v>
      </c>
    </row>
    <row r="34" spans="2:8" x14ac:dyDescent="0.2">
      <c r="B34" s="5">
        <v>10.5</v>
      </c>
      <c r="C34" s="5">
        <v>121872</v>
      </c>
      <c r="E34" s="7" t="s">
        <v>21</v>
      </c>
      <c r="F34" s="7">
        <v>9.4</v>
      </c>
      <c r="G34" s="7" t="s">
        <v>21</v>
      </c>
      <c r="H34" s="7">
        <v>84660</v>
      </c>
    </row>
    <row r="35" spans="2:8" x14ac:dyDescent="0.2">
      <c r="E35" s="7" t="s">
        <v>22</v>
      </c>
      <c r="F35" s="7">
        <v>1.1000000000000001</v>
      </c>
      <c r="G35" s="7" t="s">
        <v>22</v>
      </c>
      <c r="H35" s="7">
        <v>37731</v>
      </c>
    </row>
    <row r="36" spans="2:8" x14ac:dyDescent="0.2">
      <c r="E36" s="7" t="s">
        <v>23</v>
      </c>
      <c r="F36" s="7">
        <v>10.5</v>
      </c>
      <c r="G36" s="7" t="s">
        <v>23</v>
      </c>
      <c r="H36" s="7">
        <v>122391</v>
      </c>
    </row>
    <row r="37" spans="2:8" x14ac:dyDescent="0.2">
      <c r="E37" s="7" t="s">
        <v>24</v>
      </c>
      <c r="F37" s="7">
        <v>159.4</v>
      </c>
      <c r="G37" s="7" t="s">
        <v>24</v>
      </c>
      <c r="H37" s="7">
        <v>2280090</v>
      </c>
    </row>
    <row r="38" spans="2:8" x14ac:dyDescent="0.2">
      <c r="E38" s="7" t="s">
        <v>25</v>
      </c>
      <c r="F38" s="7">
        <v>30</v>
      </c>
      <c r="G38" s="7" t="s">
        <v>25</v>
      </c>
      <c r="H38" s="7">
        <v>30</v>
      </c>
    </row>
    <row r="39" spans="2:8" ht="17" thickBot="1" x14ac:dyDescent="0.25">
      <c r="E39" s="8" t="s">
        <v>26</v>
      </c>
      <c r="F39" s="8">
        <v>1.0596848535043972</v>
      </c>
      <c r="G39" s="8" t="s">
        <v>26</v>
      </c>
      <c r="H39" s="8">
        <v>10236.716317287066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25326-64A2-AE44-B29E-15CC659D5562}">
  <dimension ref="B3:L33"/>
  <sheetViews>
    <sheetView topLeftCell="A35" zoomScale="226" zoomScaleNormal="226" workbookViewId="0">
      <selection activeCell="B3" sqref="B3:C33"/>
    </sheetView>
  </sheetViews>
  <sheetFormatPr baseColWidth="10" defaultRowHeight="16" x14ac:dyDescent="0.2"/>
  <cols>
    <col min="2" max="2" width="14.6640625" bestFit="1" customWidth="1"/>
    <col min="5" max="5" width="5.83203125" bestFit="1" customWidth="1"/>
    <col min="6" max="6" width="15.33203125" bestFit="1" customWidth="1"/>
    <col min="7" max="7" width="5.83203125" bestFit="1" customWidth="1"/>
    <col min="11" max="11" width="23.83203125" bestFit="1" customWidth="1"/>
  </cols>
  <sheetData>
    <row r="3" spans="2:9" x14ac:dyDescent="0.2">
      <c r="B3" s="3" t="s">
        <v>5</v>
      </c>
      <c r="C3" s="3" t="s">
        <v>6</v>
      </c>
      <c r="E3" s="1" t="s">
        <v>27</v>
      </c>
      <c r="F3" s="1"/>
      <c r="G3" s="1"/>
    </row>
    <row r="4" spans="2:9" x14ac:dyDescent="0.2">
      <c r="B4" s="5">
        <v>1.1000000000000001</v>
      </c>
      <c r="C4" s="5">
        <v>39343</v>
      </c>
      <c r="E4" s="1"/>
      <c r="F4" s="1"/>
      <c r="G4" s="1"/>
      <c r="I4" t="s">
        <v>71</v>
      </c>
    </row>
    <row r="5" spans="2:9" x14ac:dyDescent="0.2">
      <c r="B5" s="5">
        <v>1.3</v>
      </c>
      <c r="C5" s="5">
        <v>46205</v>
      </c>
    </row>
    <row r="6" spans="2:9" x14ac:dyDescent="0.2">
      <c r="B6" s="5">
        <v>1.5</v>
      </c>
      <c r="C6" s="5">
        <v>37731</v>
      </c>
    </row>
    <row r="7" spans="2:9" x14ac:dyDescent="0.2">
      <c r="B7" s="5">
        <v>2</v>
      </c>
      <c r="C7" s="5">
        <v>43525</v>
      </c>
      <c r="F7" t="s">
        <v>28</v>
      </c>
    </row>
    <row r="8" spans="2:9" x14ac:dyDescent="0.2">
      <c r="B8" s="5">
        <v>2.2000000000000002</v>
      </c>
      <c r="C8" s="5">
        <v>39891</v>
      </c>
    </row>
    <row r="9" spans="2:9" x14ac:dyDescent="0.2">
      <c r="B9" s="5">
        <v>2.9</v>
      </c>
      <c r="C9" s="5">
        <v>56642</v>
      </c>
    </row>
    <row r="10" spans="2:9" x14ac:dyDescent="0.2">
      <c r="B10" s="5">
        <v>3</v>
      </c>
      <c r="C10" s="5">
        <v>60150</v>
      </c>
    </row>
    <row r="11" spans="2:9" x14ac:dyDescent="0.2">
      <c r="B11" s="5">
        <v>3.2</v>
      </c>
      <c r="C11" s="5">
        <v>54445</v>
      </c>
      <c r="F11" t="s">
        <v>29</v>
      </c>
    </row>
    <row r="12" spans="2:9" x14ac:dyDescent="0.2">
      <c r="B12" s="5">
        <v>3.2</v>
      </c>
      <c r="C12" s="5">
        <v>64445</v>
      </c>
    </row>
    <row r="13" spans="2:9" x14ac:dyDescent="0.2">
      <c r="B13" s="5">
        <v>3.7</v>
      </c>
      <c r="C13" s="5">
        <v>57189</v>
      </c>
      <c r="F13" t="s">
        <v>30</v>
      </c>
    </row>
    <row r="14" spans="2:9" x14ac:dyDescent="0.2">
      <c r="B14" s="5">
        <v>3.9</v>
      </c>
      <c r="C14" s="5">
        <v>63218</v>
      </c>
    </row>
    <row r="15" spans="2:9" x14ac:dyDescent="0.2">
      <c r="B15" s="5">
        <v>4</v>
      </c>
      <c r="C15" s="5">
        <v>55794</v>
      </c>
    </row>
    <row r="16" spans="2:9" x14ac:dyDescent="0.2">
      <c r="B16" s="5">
        <v>4</v>
      </c>
      <c r="C16" s="5">
        <v>56957</v>
      </c>
      <c r="F16" t="s">
        <v>31</v>
      </c>
      <c r="G16" t="s">
        <v>32</v>
      </c>
    </row>
    <row r="17" spans="2:12" x14ac:dyDescent="0.2">
      <c r="B17" s="5">
        <v>4.0999999999999996</v>
      </c>
      <c r="C17" s="5">
        <v>57081</v>
      </c>
    </row>
    <row r="18" spans="2:12" x14ac:dyDescent="0.2">
      <c r="B18" s="5">
        <v>4.5</v>
      </c>
      <c r="C18" s="5">
        <v>61111</v>
      </c>
      <c r="F18" t="s">
        <v>33</v>
      </c>
      <c r="G18" t="s">
        <v>34</v>
      </c>
    </row>
    <row r="19" spans="2:12" x14ac:dyDescent="0.2">
      <c r="B19" s="5">
        <v>4.9000000000000004</v>
      </c>
      <c r="C19" s="5">
        <v>67938</v>
      </c>
    </row>
    <row r="20" spans="2:12" x14ac:dyDescent="0.2">
      <c r="B20" s="5">
        <v>5.0999999999999996</v>
      </c>
      <c r="C20" s="5">
        <v>66029</v>
      </c>
    </row>
    <row r="21" spans="2:12" x14ac:dyDescent="0.2">
      <c r="B21" s="5">
        <v>5.3</v>
      </c>
      <c r="C21" s="5">
        <v>83088</v>
      </c>
    </row>
    <row r="22" spans="2:12" x14ac:dyDescent="0.2">
      <c r="B22" s="5">
        <v>5.9</v>
      </c>
      <c r="C22" s="5">
        <v>81363</v>
      </c>
      <c r="F22" s="6" t="s">
        <v>35</v>
      </c>
      <c r="H22" t="s">
        <v>36</v>
      </c>
    </row>
    <row r="23" spans="2:12" x14ac:dyDescent="0.2">
      <c r="B23" s="5">
        <v>6</v>
      </c>
      <c r="C23" s="5">
        <v>93940</v>
      </c>
      <c r="H23" t="str">
        <f>"-1 to 1"</f>
        <v>-1 to 1</v>
      </c>
    </row>
    <row r="24" spans="2:12" x14ac:dyDescent="0.2">
      <c r="B24" s="5">
        <v>6.8</v>
      </c>
      <c r="C24" s="5">
        <v>91738</v>
      </c>
      <c r="H24" t="s">
        <v>37</v>
      </c>
    </row>
    <row r="25" spans="2:12" x14ac:dyDescent="0.2">
      <c r="B25" s="5">
        <v>7.1</v>
      </c>
      <c r="C25" s="5">
        <v>98273</v>
      </c>
      <c r="I25" t="s">
        <v>40</v>
      </c>
      <c r="J25" t="s">
        <v>38</v>
      </c>
      <c r="L25" t="s">
        <v>45</v>
      </c>
    </row>
    <row r="26" spans="2:12" x14ac:dyDescent="0.2">
      <c r="B26" s="5">
        <v>7.9</v>
      </c>
      <c r="C26" s="5">
        <v>101302</v>
      </c>
      <c r="I26" t="str">
        <f>"=0"</f>
        <v>=0</v>
      </c>
      <c r="J26" t="s">
        <v>39</v>
      </c>
      <c r="L26" t="s">
        <v>43</v>
      </c>
    </row>
    <row r="27" spans="2:12" x14ac:dyDescent="0.2">
      <c r="B27" s="5">
        <v>8.1999999999999993</v>
      </c>
      <c r="C27" s="5">
        <v>113812</v>
      </c>
      <c r="I27" t="s">
        <v>41</v>
      </c>
      <c r="J27" t="s">
        <v>42</v>
      </c>
      <c r="L27" t="s">
        <v>44</v>
      </c>
    </row>
    <row r="28" spans="2:12" x14ac:dyDescent="0.2">
      <c r="B28" s="5">
        <v>8.6999999999999993</v>
      </c>
      <c r="C28" s="5">
        <v>109431</v>
      </c>
    </row>
    <row r="29" spans="2:12" x14ac:dyDescent="0.2">
      <c r="B29" s="5">
        <v>9</v>
      </c>
      <c r="C29" s="5">
        <v>105582</v>
      </c>
    </row>
    <row r="30" spans="2:12" x14ac:dyDescent="0.2">
      <c r="B30" s="5">
        <v>9.5</v>
      </c>
      <c r="C30" s="5">
        <v>116969</v>
      </c>
      <c r="H30">
        <f>CORREL(B4:B33,C4:C33)</f>
        <v>0.9782416184887599</v>
      </c>
    </row>
    <row r="31" spans="2:12" x14ac:dyDescent="0.2">
      <c r="B31" s="5">
        <v>9.6</v>
      </c>
      <c r="C31" s="5">
        <v>112635</v>
      </c>
      <c r="H31" t="str">
        <f ca="1">_xlfn.FORMULATEXT(H30)</f>
        <v>=CORREL(B4:B33,C4:C33)</v>
      </c>
    </row>
    <row r="32" spans="2:12" x14ac:dyDescent="0.2">
      <c r="B32" s="5">
        <v>10.3</v>
      </c>
      <c r="C32" s="5">
        <v>122391</v>
      </c>
    </row>
    <row r="33" spans="2:3" x14ac:dyDescent="0.2">
      <c r="B33" s="5">
        <v>10.5</v>
      </c>
      <c r="C33" s="5">
        <v>121872</v>
      </c>
    </row>
  </sheetData>
  <sortState xmlns:xlrd2="http://schemas.microsoft.com/office/spreadsheetml/2017/richdata2" ref="E10:H39">
    <sortCondition ref="G11"/>
  </sortState>
  <mergeCells count="1">
    <mergeCell ref="E3:G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5E468-5546-3644-A844-C4E827DB97EC}">
  <dimension ref="A1:M59"/>
  <sheetViews>
    <sheetView topLeftCell="A33" zoomScale="244" zoomScaleNormal="244" workbookViewId="0">
      <selection activeCell="H46" sqref="H46"/>
    </sheetView>
  </sheetViews>
  <sheetFormatPr baseColWidth="10" defaultRowHeight="16" x14ac:dyDescent="0.2"/>
  <cols>
    <col min="1" max="1" width="16.33203125" bestFit="1" customWidth="1"/>
  </cols>
  <sheetData>
    <row r="1" spans="1:9" x14ac:dyDescent="0.2">
      <c r="A1" t="s">
        <v>49</v>
      </c>
    </row>
    <row r="2" spans="1:9" ht="17" thickBot="1" x14ac:dyDescent="0.25"/>
    <row r="3" spans="1:9" x14ac:dyDescent="0.2">
      <c r="A3" s="10" t="s">
        <v>50</v>
      </c>
      <c r="B3" s="10"/>
    </row>
    <row r="4" spans="1:9" x14ac:dyDescent="0.2">
      <c r="A4" s="7" t="s">
        <v>51</v>
      </c>
      <c r="B4" s="11">
        <v>0.9782416184887599</v>
      </c>
    </row>
    <row r="5" spans="1:9" x14ac:dyDescent="0.2">
      <c r="A5" s="24" t="s">
        <v>52</v>
      </c>
      <c r="B5" s="24">
        <v>0.95695666414350844</v>
      </c>
    </row>
    <row r="6" spans="1:9" x14ac:dyDescent="0.2">
      <c r="A6" s="24" t="s">
        <v>53</v>
      </c>
      <c r="B6" s="24">
        <v>0.95541940214863375</v>
      </c>
    </row>
    <row r="7" spans="1:9" x14ac:dyDescent="0.2">
      <c r="A7" s="7" t="s">
        <v>14</v>
      </c>
      <c r="B7" s="7">
        <v>5788.3150511193935</v>
      </c>
    </row>
    <row r="8" spans="1:9" ht="17" thickBot="1" x14ac:dyDescent="0.25">
      <c r="A8" s="8" t="s">
        <v>54</v>
      </c>
      <c r="B8" s="8">
        <v>30</v>
      </c>
      <c r="E8" t="str">
        <f>"Salary =" &amp;  ROUND(B18,2) &amp;" * YOE + " &amp; ROUND(B17,2)</f>
        <v>Salary =9449.96 * YOE + 25792.2</v>
      </c>
    </row>
    <row r="10" spans="1:9" ht="17" thickBot="1" x14ac:dyDescent="0.25">
      <c r="A10" t="s">
        <v>55</v>
      </c>
    </row>
    <row r="11" spans="1:9" x14ac:dyDescent="0.2">
      <c r="A11" s="9"/>
      <c r="B11" s="9" t="s">
        <v>59</v>
      </c>
      <c r="C11" s="9" t="s">
        <v>60</v>
      </c>
      <c r="D11" s="9" t="s">
        <v>61</v>
      </c>
      <c r="E11" s="9" t="s">
        <v>62</v>
      </c>
      <c r="F11" s="9" t="s">
        <v>63</v>
      </c>
    </row>
    <row r="12" spans="1:9" x14ac:dyDescent="0.2">
      <c r="A12" s="7" t="s">
        <v>46</v>
      </c>
      <c r="B12" s="7">
        <v>1</v>
      </c>
      <c r="C12" s="7">
        <v>20856849300.33157</v>
      </c>
      <c r="D12" s="7">
        <v>20856849300.33157</v>
      </c>
      <c r="E12" s="7">
        <v>622.50720263302401</v>
      </c>
      <c r="F12" s="7">
        <v>1.1430681092271349E-20</v>
      </c>
    </row>
    <row r="13" spans="1:9" x14ac:dyDescent="0.2">
      <c r="A13" s="7" t="s">
        <v>56</v>
      </c>
      <c r="B13" s="7">
        <v>28</v>
      </c>
      <c r="C13" s="7">
        <v>938128551.66842878</v>
      </c>
      <c r="D13" s="7">
        <v>33504591.131015312</v>
      </c>
      <c r="E13" s="7"/>
      <c r="F13" s="7"/>
    </row>
    <row r="14" spans="1:9" ht="17" thickBot="1" x14ac:dyDescent="0.25">
      <c r="A14" s="8" t="s">
        <v>57</v>
      </c>
      <c r="B14" s="8">
        <v>29</v>
      </c>
      <c r="C14" s="8">
        <v>21794977852</v>
      </c>
      <c r="D14" s="8"/>
      <c r="E14" s="8"/>
      <c r="F14" s="8"/>
    </row>
    <row r="15" spans="1:9" ht="17" thickBot="1" x14ac:dyDescent="0.25"/>
    <row r="16" spans="1:9" x14ac:dyDescent="0.2">
      <c r="A16" s="9"/>
      <c r="B16" s="15" t="s">
        <v>64</v>
      </c>
      <c r="C16" s="9" t="s">
        <v>14</v>
      </c>
      <c r="D16" s="9" t="s">
        <v>65</v>
      </c>
      <c r="E16" s="12" t="s">
        <v>66</v>
      </c>
      <c r="F16" s="9" t="s">
        <v>67</v>
      </c>
      <c r="G16" s="9" t="s">
        <v>68</v>
      </c>
      <c r="H16" s="9" t="s">
        <v>69</v>
      </c>
      <c r="I16" s="9" t="s">
        <v>70</v>
      </c>
    </row>
    <row r="17" spans="1:13" x14ac:dyDescent="0.2">
      <c r="A17" s="7" t="s">
        <v>58</v>
      </c>
      <c r="B17" s="18">
        <v>25792.200198668696</v>
      </c>
      <c r="C17" s="7">
        <v>2273.0534325816047</v>
      </c>
      <c r="D17" s="7">
        <v>11.346939684288628</v>
      </c>
      <c r="E17" s="20">
        <v>5.5119502709561397E-12</v>
      </c>
      <c r="F17" s="7">
        <v>21136.061313686339</v>
      </c>
      <c r="G17" s="7">
        <v>30448.339083651052</v>
      </c>
      <c r="H17" s="7">
        <v>21136.061313686339</v>
      </c>
      <c r="I17" s="7">
        <v>30448.339083651052</v>
      </c>
    </row>
    <row r="18" spans="1:13" ht="17" thickBot="1" x14ac:dyDescent="0.25">
      <c r="A18" s="8" t="s">
        <v>5</v>
      </c>
      <c r="B18" s="19">
        <v>9449.9623214550757</v>
      </c>
      <c r="C18" s="8">
        <v>378.75457423882102</v>
      </c>
      <c r="D18" s="8">
        <v>24.950094240964781</v>
      </c>
      <c r="E18" s="21">
        <v>1.1430681092271301E-20</v>
      </c>
      <c r="F18" s="8">
        <v>8674.1187465966577</v>
      </c>
      <c r="G18" s="8">
        <v>10225.805896313494</v>
      </c>
      <c r="H18" s="8">
        <v>8674.1187465966577</v>
      </c>
      <c r="I18" s="8">
        <v>10225.805896313494</v>
      </c>
    </row>
    <row r="19" spans="1:13" x14ac:dyDescent="0.2">
      <c r="A19" s="7" t="s">
        <v>85</v>
      </c>
      <c r="B19">
        <v>2</v>
      </c>
      <c r="E19" s="22">
        <v>4.4999999999999998E-2</v>
      </c>
    </row>
    <row r="21" spans="1:13" x14ac:dyDescent="0.2">
      <c r="B21" s="16" t="s">
        <v>83</v>
      </c>
      <c r="C21" s="16"/>
      <c r="D21" s="16"/>
      <c r="E21" s="16"/>
      <c r="F21" s="16"/>
      <c r="G21" s="16"/>
      <c r="I21" t="s">
        <v>87</v>
      </c>
    </row>
    <row r="23" spans="1:13" x14ac:dyDescent="0.2">
      <c r="B23" s="17" t="s">
        <v>72</v>
      </c>
      <c r="C23" s="17"/>
      <c r="D23" s="17"/>
      <c r="E23" s="17"/>
      <c r="F23" s="17"/>
    </row>
    <row r="25" spans="1:13" x14ac:dyDescent="0.2">
      <c r="B25" s="23" t="s">
        <v>73</v>
      </c>
      <c r="C25" s="23"/>
      <c r="D25" s="23"/>
    </row>
    <row r="26" spans="1:13" x14ac:dyDescent="0.2">
      <c r="H26" s="14"/>
    </row>
    <row r="27" spans="1:13" x14ac:dyDescent="0.2">
      <c r="H27" s="14"/>
    </row>
    <row r="28" spans="1:13" x14ac:dyDescent="0.2">
      <c r="B28" t="s">
        <v>74</v>
      </c>
      <c r="H28" s="14"/>
    </row>
    <row r="29" spans="1:13" x14ac:dyDescent="0.2">
      <c r="C29" s="16" t="s">
        <v>78</v>
      </c>
      <c r="D29" s="16"/>
      <c r="E29" s="16"/>
      <c r="F29" s="16"/>
      <c r="G29" s="16"/>
      <c r="H29" s="14"/>
      <c r="J29" s="13" t="s">
        <v>79</v>
      </c>
      <c r="K29" s="13"/>
      <c r="L29" s="13"/>
      <c r="M29" s="13"/>
    </row>
    <row r="30" spans="1:13" x14ac:dyDescent="0.2">
      <c r="C30" s="16"/>
      <c r="D30" s="16"/>
      <c r="E30" s="16"/>
      <c r="F30" s="16"/>
      <c r="G30" s="16"/>
      <c r="H30" s="14"/>
      <c r="J30" s="13"/>
      <c r="K30" s="13"/>
      <c r="L30" s="13"/>
      <c r="M30" s="13"/>
    </row>
    <row r="31" spans="1:13" x14ac:dyDescent="0.2">
      <c r="C31" s="16" t="s">
        <v>75</v>
      </c>
      <c r="D31" s="16"/>
      <c r="E31" s="16"/>
      <c r="F31" s="16"/>
      <c r="G31" s="16"/>
      <c r="H31" s="14"/>
      <c r="J31" s="13" t="s">
        <v>80</v>
      </c>
      <c r="K31" s="13"/>
      <c r="L31" s="13"/>
      <c r="M31" s="13"/>
    </row>
    <row r="32" spans="1:13" x14ac:dyDescent="0.2">
      <c r="C32" s="16"/>
      <c r="D32" s="16"/>
      <c r="E32" s="16"/>
      <c r="F32" s="16"/>
      <c r="G32" s="16"/>
      <c r="H32" s="14"/>
      <c r="J32" s="13"/>
      <c r="K32" s="13"/>
      <c r="L32" s="13"/>
      <c r="M32" s="13"/>
    </row>
    <row r="33" spans="2:13" x14ac:dyDescent="0.2">
      <c r="C33" s="16" t="s">
        <v>76</v>
      </c>
      <c r="D33" s="16"/>
      <c r="E33" s="16"/>
      <c r="F33" s="16"/>
      <c r="G33" s="16"/>
      <c r="H33" s="14"/>
      <c r="J33" s="13" t="s">
        <v>81</v>
      </c>
      <c r="K33" s="13"/>
      <c r="L33" s="13"/>
      <c r="M33" s="13"/>
    </row>
    <row r="34" spans="2:13" x14ac:dyDescent="0.2">
      <c r="C34" s="16"/>
      <c r="D34" s="16"/>
      <c r="E34" s="16"/>
      <c r="F34" s="16"/>
      <c r="G34" s="16"/>
      <c r="H34" s="14"/>
      <c r="J34" s="13"/>
      <c r="K34" s="13"/>
      <c r="L34" s="13"/>
      <c r="M34" s="13"/>
    </row>
    <row r="35" spans="2:13" x14ac:dyDescent="0.2">
      <c r="C35" s="16" t="s">
        <v>77</v>
      </c>
      <c r="D35" s="16"/>
      <c r="E35" s="16"/>
      <c r="F35" s="16"/>
      <c r="G35" s="16"/>
      <c r="H35" s="14"/>
      <c r="J35" s="13" t="s">
        <v>77</v>
      </c>
      <c r="K35" s="13"/>
      <c r="L35" s="13"/>
      <c r="M35" s="13"/>
    </row>
    <row r="36" spans="2:13" x14ac:dyDescent="0.2">
      <c r="H36" s="14"/>
    </row>
    <row r="37" spans="2:13" x14ac:dyDescent="0.2">
      <c r="H37" s="14"/>
    </row>
    <row r="38" spans="2:13" x14ac:dyDescent="0.2">
      <c r="B38" t="s">
        <v>82</v>
      </c>
    </row>
    <row r="40" spans="2:13" x14ac:dyDescent="0.2">
      <c r="C40" s="17" t="s">
        <v>84</v>
      </c>
      <c r="F40" s="17" t="s">
        <v>86</v>
      </c>
      <c r="G40" s="17"/>
      <c r="H40" s="17"/>
      <c r="I40" s="17"/>
    </row>
    <row r="42" spans="2:13" x14ac:dyDescent="0.2">
      <c r="C42" t="str">
        <f>"Salary = " &amp;  ROUND(B18,2) &amp;" * YOE + " &amp; ROUND(B17,2)</f>
        <v>Salary = 9449.96 * YOE + 25792.2</v>
      </c>
    </row>
    <row r="44" spans="2:13" x14ac:dyDescent="0.2">
      <c r="C44" t="str">
        <f>"Salary = " &amp;  ROUND(B18,2) &amp;" * YOE + " &amp; "2 * Prev Salary + " &amp; ROUND(B17,2)</f>
        <v>Salary = 9449.96 * YOE + 2 * Prev Salary + 25792.2</v>
      </c>
    </row>
    <row r="49" spans="2:3" x14ac:dyDescent="0.2">
      <c r="B49" t="s">
        <v>88</v>
      </c>
    </row>
    <row r="51" spans="2:3" x14ac:dyDescent="0.2">
      <c r="C51" t="s">
        <v>89</v>
      </c>
    </row>
    <row r="53" spans="2:3" x14ac:dyDescent="0.2">
      <c r="C53" t="s">
        <v>90</v>
      </c>
    </row>
    <row r="55" spans="2:3" x14ac:dyDescent="0.2">
      <c r="B55" s="24" t="s">
        <v>52</v>
      </c>
      <c r="C55" s="24">
        <v>0.95695666414350844</v>
      </c>
    </row>
    <row r="56" spans="2:3" x14ac:dyDescent="0.2">
      <c r="B56" t="s">
        <v>91</v>
      </c>
      <c r="C56" s="25">
        <v>0.95</v>
      </c>
    </row>
    <row r="59" spans="2:3" x14ac:dyDescent="0.2">
      <c r="C59" t="s">
        <v>92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7511F-49F9-4F4E-9736-29CE4F54220C}">
  <dimension ref="B4:Q60"/>
  <sheetViews>
    <sheetView tabSelected="1" topLeftCell="H48" zoomScale="333" zoomScaleNormal="333" workbookViewId="0">
      <selection activeCell="J54" sqref="J54"/>
    </sheetView>
  </sheetViews>
  <sheetFormatPr baseColWidth="10" defaultRowHeight="16" x14ac:dyDescent="0.2"/>
  <cols>
    <col min="8" max="8" width="12.6640625" bestFit="1" customWidth="1"/>
  </cols>
  <sheetData>
    <row r="4" spans="2:8" x14ac:dyDescent="0.2">
      <c r="E4" t="str">
        <f>"= 56*X1 + 21*X2 + RANDBETWEEN(-5,5)"</f>
        <v>= 56*X1 + 21*X2 + RANDBETWEEN(-5,5)</v>
      </c>
    </row>
    <row r="6" spans="2:8" x14ac:dyDescent="0.2">
      <c r="B6" s="26" t="s">
        <v>93</v>
      </c>
      <c r="C6" s="26" t="s">
        <v>94</v>
      </c>
      <c r="D6" s="26" t="s">
        <v>95</v>
      </c>
      <c r="E6" s="27" t="s">
        <v>96</v>
      </c>
      <c r="F6" s="35" t="s">
        <v>102</v>
      </c>
      <c r="G6" t="s">
        <v>97</v>
      </c>
    </row>
    <row r="7" spans="2:8" x14ac:dyDescent="0.2">
      <c r="B7" s="4">
        <v>8</v>
      </c>
      <c r="C7" s="4">
        <v>113</v>
      </c>
      <c r="D7" s="4">
        <v>-96</v>
      </c>
      <c r="E7" s="4">
        <v>2822</v>
      </c>
      <c r="F7">
        <v>-167</v>
      </c>
    </row>
    <row r="8" spans="2:8" x14ac:dyDescent="0.2">
      <c r="B8" s="4">
        <v>8</v>
      </c>
      <c r="C8" s="4">
        <v>148</v>
      </c>
      <c r="D8" s="4">
        <v>-80</v>
      </c>
      <c r="E8" s="4">
        <v>3553</v>
      </c>
      <c r="F8">
        <v>146</v>
      </c>
    </row>
    <row r="9" spans="2:8" x14ac:dyDescent="0.2">
      <c r="B9" s="4">
        <v>0</v>
      </c>
      <c r="C9" s="4">
        <v>327</v>
      </c>
      <c r="D9" s="4">
        <v>-91</v>
      </c>
      <c r="E9" s="4">
        <v>6871</v>
      </c>
      <c r="F9">
        <v>245</v>
      </c>
    </row>
    <row r="10" spans="2:8" x14ac:dyDescent="0.2">
      <c r="B10" s="4">
        <v>8</v>
      </c>
      <c r="C10" s="4">
        <v>391</v>
      </c>
      <c r="D10" s="4">
        <v>-89</v>
      </c>
      <c r="E10" s="4">
        <v>8660</v>
      </c>
      <c r="F10">
        <v>-256</v>
      </c>
    </row>
    <row r="11" spans="2:8" x14ac:dyDescent="0.2">
      <c r="B11" s="4">
        <v>9</v>
      </c>
      <c r="C11" s="4">
        <v>242</v>
      </c>
      <c r="D11" s="4">
        <v>-85</v>
      </c>
      <c r="E11" s="4">
        <v>5584</v>
      </c>
      <c r="F11">
        <v>483</v>
      </c>
      <c r="G11" t="s">
        <v>49</v>
      </c>
    </row>
    <row r="12" spans="2:8" ht="17" thickBot="1" x14ac:dyDescent="0.25">
      <c r="B12" s="4">
        <v>7</v>
      </c>
      <c r="C12" s="4">
        <v>146</v>
      </c>
      <c r="D12" s="4">
        <v>-96</v>
      </c>
      <c r="E12" s="4">
        <v>3454</v>
      </c>
      <c r="F12">
        <v>-151</v>
      </c>
    </row>
    <row r="13" spans="2:8" x14ac:dyDescent="0.2">
      <c r="B13" s="4">
        <v>7</v>
      </c>
      <c r="C13" s="4">
        <v>254</v>
      </c>
      <c r="D13" s="4">
        <v>-92</v>
      </c>
      <c r="E13" s="4">
        <v>5728</v>
      </c>
      <c r="F13">
        <v>-430</v>
      </c>
      <c r="G13" s="10" t="s">
        <v>50</v>
      </c>
      <c r="H13" s="10"/>
    </row>
    <row r="14" spans="2:8" x14ac:dyDescent="0.2">
      <c r="B14" s="4">
        <v>6</v>
      </c>
      <c r="C14" s="4">
        <v>144</v>
      </c>
      <c r="D14" s="4">
        <v>-90</v>
      </c>
      <c r="E14" s="4">
        <v>3356</v>
      </c>
      <c r="F14">
        <v>-338</v>
      </c>
      <c r="G14" s="7" t="s">
        <v>51</v>
      </c>
      <c r="H14" s="7">
        <v>0.99999841964088709</v>
      </c>
    </row>
    <row r="15" spans="2:8" x14ac:dyDescent="0.2">
      <c r="B15" s="4">
        <v>3</v>
      </c>
      <c r="C15" s="4">
        <v>249</v>
      </c>
      <c r="D15" s="4">
        <v>-91</v>
      </c>
      <c r="E15" s="4">
        <v>5398</v>
      </c>
      <c r="F15">
        <v>285</v>
      </c>
      <c r="G15" s="7" t="s">
        <v>52</v>
      </c>
      <c r="H15" s="7">
        <v>0.99999683928427174</v>
      </c>
    </row>
    <row r="16" spans="2:8" x14ac:dyDescent="0.2">
      <c r="B16" s="4">
        <v>-5</v>
      </c>
      <c r="C16" s="4">
        <v>220</v>
      </c>
      <c r="D16" s="4">
        <v>-89</v>
      </c>
      <c r="E16" s="4">
        <v>4336</v>
      </c>
      <c r="F16">
        <v>176</v>
      </c>
      <c r="G16" s="7" t="s">
        <v>53</v>
      </c>
      <c r="H16" s="7">
        <v>0.99999663315063725</v>
      </c>
    </row>
    <row r="17" spans="2:15" x14ac:dyDescent="0.2">
      <c r="B17" s="4">
        <v>5</v>
      </c>
      <c r="C17" s="4">
        <v>186</v>
      </c>
      <c r="D17" s="4">
        <v>-94</v>
      </c>
      <c r="E17" s="4">
        <v>4181</v>
      </c>
      <c r="F17">
        <v>-351</v>
      </c>
      <c r="G17" s="7" t="s">
        <v>14</v>
      </c>
      <c r="H17" s="7">
        <v>3.3883052300976226</v>
      </c>
    </row>
    <row r="18" spans="2:15" ht="17" thickBot="1" x14ac:dyDescent="0.25">
      <c r="B18" s="4">
        <v>4</v>
      </c>
      <c r="C18" s="4">
        <v>276</v>
      </c>
      <c r="D18" s="4">
        <v>-94</v>
      </c>
      <c r="E18" s="4">
        <v>6022</v>
      </c>
      <c r="F18">
        <v>-39</v>
      </c>
      <c r="G18" s="8" t="s">
        <v>54</v>
      </c>
      <c r="H18" s="8">
        <v>50</v>
      </c>
    </row>
    <row r="19" spans="2:15" x14ac:dyDescent="0.2">
      <c r="B19" s="4">
        <v>4</v>
      </c>
      <c r="C19" s="4">
        <v>290</v>
      </c>
      <c r="D19" s="4">
        <v>-96</v>
      </c>
      <c r="E19" s="4">
        <v>6310</v>
      </c>
      <c r="F19">
        <v>132</v>
      </c>
    </row>
    <row r="20" spans="2:15" ht="17" thickBot="1" x14ac:dyDescent="0.25">
      <c r="B20" s="4">
        <v>3</v>
      </c>
      <c r="C20" s="4">
        <v>290</v>
      </c>
      <c r="D20" s="4">
        <v>-88</v>
      </c>
      <c r="E20" s="4">
        <v>6256</v>
      </c>
      <c r="F20">
        <v>363</v>
      </c>
      <c r="G20" t="s">
        <v>55</v>
      </c>
    </row>
    <row r="21" spans="2:15" x14ac:dyDescent="0.2">
      <c r="B21" s="4">
        <v>0</v>
      </c>
      <c r="C21" s="4">
        <v>350</v>
      </c>
      <c r="D21" s="4">
        <v>-82</v>
      </c>
      <c r="E21" s="4">
        <v>7347</v>
      </c>
      <c r="F21">
        <v>488</v>
      </c>
      <c r="G21" s="9"/>
      <c r="H21" s="9" t="s">
        <v>59</v>
      </c>
      <c r="I21" s="9" t="s">
        <v>60</v>
      </c>
      <c r="J21" s="9" t="s">
        <v>61</v>
      </c>
      <c r="K21" s="9" t="s">
        <v>62</v>
      </c>
      <c r="L21" s="9" t="s">
        <v>63</v>
      </c>
    </row>
    <row r="22" spans="2:15" x14ac:dyDescent="0.2">
      <c r="B22" s="4">
        <v>9</v>
      </c>
      <c r="C22" s="4">
        <v>189</v>
      </c>
      <c r="D22" s="4">
        <v>-91</v>
      </c>
      <c r="E22" s="4">
        <v>4472</v>
      </c>
      <c r="F22">
        <v>-29</v>
      </c>
      <c r="G22" s="7" t="s">
        <v>46</v>
      </c>
      <c r="H22" s="7">
        <v>3</v>
      </c>
      <c r="I22" s="7">
        <v>167084465.51183268</v>
      </c>
      <c r="J22" s="7">
        <v>55694821.837277561</v>
      </c>
      <c r="K22" s="7">
        <v>4851206.5580814099</v>
      </c>
      <c r="L22" s="7">
        <v>1.7193460668559286E-126</v>
      </c>
    </row>
    <row r="23" spans="2:15" x14ac:dyDescent="0.2">
      <c r="B23" s="4">
        <v>0</v>
      </c>
      <c r="C23" s="4">
        <v>172</v>
      </c>
      <c r="D23" s="4">
        <v>-81</v>
      </c>
      <c r="E23" s="4">
        <v>3610</v>
      </c>
      <c r="F23">
        <v>-152</v>
      </c>
      <c r="G23" s="7" t="s">
        <v>56</v>
      </c>
      <c r="H23" s="7">
        <v>46</v>
      </c>
      <c r="I23" s="7">
        <v>528.10816728611758</v>
      </c>
      <c r="J23" s="7">
        <v>11.480612332306904</v>
      </c>
      <c r="K23" s="7"/>
      <c r="L23" s="7"/>
    </row>
    <row r="24" spans="2:15" ht="17" thickBot="1" x14ac:dyDescent="0.25">
      <c r="B24" s="4">
        <v>6</v>
      </c>
      <c r="C24" s="4">
        <v>194</v>
      </c>
      <c r="D24" s="4">
        <v>-85</v>
      </c>
      <c r="E24" s="4">
        <v>4410</v>
      </c>
      <c r="F24">
        <v>-316</v>
      </c>
      <c r="G24" s="8" t="s">
        <v>57</v>
      </c>
      <c r="H24" s="8">
        <v>49</v>
      </c>
      <c r="I24" s="8">
        <v>167084993.61999997</v>
      </c>
      <c r="J24" s="8"/>
      <c r="K24" s="8"/>
      <c r="L24" s="8"/>
    </row>
    <row r="25" spans="2:15" ht="17" thickBot="1" x14ac:dyDescent="0.25">
      <c r="B25" s="4">
        <v>2</v>
      </c>
      <c r="C25" s="4">
        <v>338</v>
      </c>
      <c r="D25" s="4">
        <v>-94</v>
      </c>
      <c r="E25" s="4">
        <v>7209</v>
      </c>
      <c r="F25">
        <v>-487</v>
      </c>
    </row>
    <row r="26" spans="2:15" x14ac:dyDescent="0.2">
      <c r="B26" s="4">
        <v>4</v>
      </c>
      <c r="C26" s="4">
        <v>201</v>
      </c>
      <c r="D26" s="4">
        <v>-89</v>
      </c>
      <c r="E26" s="4">
        <v>4441</v>
      </c>
      <c r="F26">
        <v>194</v>
      </c>
      <c r="G26" s="9"/>
      <c r="H26" s="9" t="s">
        <v>64</v>
      </c>
      <c r="I26" s="9" t="s">
        <v>14</v>
      </c>
      <c r="J26" s="9" t="s">
        <v>65</v>
      </c>
      <c r="K26" s="9" t="s">
        <v>66</v>
      </c>
      <c r="L26" s="9" t="s">
        <v>67</v>
      </c>
      <c r="M26" s="9" t="s">
        <v>68</v>
      </c>
      <c r="N26" s="9" t="s">
        <v>69</v>
      </c>
      <c r="O26" s="9" t="s">
        <v>70</v>
      </c>
    </row>
    <row r="27" spans="2:15" x14ac:dyDescent="0.2">
      <c r="B27" s="4">
        <v>0</v>
      </c>
      <c r="C27" s="4">
        <v>366</v>
      </c>
      <c r="D27" s="4">
        <v>-83</v>
      </c>
      <c r="E27" s="4">
        <v>7687</v>
      </c>
      <c r="F27">
        <v>-336</v>
      </c>
      <c r="G27" s="7" t="s">
        <v>58</v>
      </c>
      <c r="H27" s="28">
        <v>9.8383887545100777</v>
      </c>
      <c r="I27" s="7">
        <v>8.166100647077382</v>
      </c>
      <c r="J27" s="7">
        <v>1.2047841656263691</v>
      </c>
      <c r="K27" s="32">
        <v>0.2344486199659038</v>
      </c>
      <c r="L27" s="7">
        <v>-6.5991192983250935</v>
      </c>
      <c r="M27" s="7">
        <v>26.275896807345248</v>
      </c>
      <c r="N27" s="7">
        <v>-6.5991192983250935</v>
      </c>
      <c r="O27" s="7">
        <v>26.275896807345248</v>
      </c>
    </row>
    <row r="28" spans="2:15" x14ac:dyDescent="0.2">
      <c r="B28" s="4">
        <v>-2</v>
      </c>
      <c r="C28" s="4">
        <v>339</v>
      </c>
      <c r="D28" s="4">
        <v>-85</v>
      </c>
      <c r="E28" s="4">
        <v>7012</v>
      </c>
      <c r="F28">
        <v>43</v>
      </c>
      <c r="G28" s="30" t="s">
        <v>93</v>
      </c>
      <c r="H28" s="28">
        <v>56.037959790005978</v>
      </c>
      <c r="I28" s="7">
        <v>0.11575627790017523</v>
      </c>
      <c r="J28" s="7">
        <v>484.10298608885341</v>
      </c>
      <c r="K28" s="33">
        <v>6.347088366328847E-87</v>
      </c>
      <c r="L28" s="7">
        <v>55.80495448767342</v>
      </c>
      <c r="M28" s="7">
        <v>56.270965092338535</v>
      </c>
      <c r="N28" s="7">
        <v>55.80495448767342</v>
      </c>
      <c r="O28" s="7">
        <v>56.270965092338535</v>
      </c>
    </row>
    <row r="29" spans="2:15" x14ac:dyDescent="0.2">
      <c r="B29" s="4">
        <v>9</v>
      </c>
      <c r="C29" s="4">
        <v>153</v>
      </c>
      <c r="D29" s="4">
        <v>-94</v>
      </c>
      <c r="E29" s="4">
        <v>3722</v>
      </c>
      <c r="F29">
        <v>-236</v>
      </c>
      <c r="G29" s="30" t="s">
        <v>94</v>
      </c>
      <c r="H29" s="28">
        <v>21.007547880902859</v>
      </c>
      <c r="I29" s="7">
        <v>5.5321370869934466E-3</v>
      </c>
      <c r="J29" s="7">
        <v>3797.3657468274782</v>
      </c>
      <c r="K29" s="33">
        <v>4.5228089869180077E-128</v>
      </c>
      <c r="L29" s="7">
        <v>20.996412266507832</v>
      </c>
      <c r="M29" s="7">
        <v>21.018683495297886</v>
      </c>
      <c r="N29" s="7">
        <v>20.996412266507832</v>
      </c>
      <c r="O29" s="7">
        <v>21.018683495297886</v>
      </c>
    </row>
    <row r="30" spans="2:15" ht="17" thickBot="1" x14ac:dyDescent="0.25">
      <c r="B30" s="4">
        <v>6</v>
      </c>
      <c r="C30" s="4">
        <v>223</v>
      </c>
      <c r="D30" s="4">
        <v>-88</v>
      </c>
      <c r="E30" s="4">
        <v>5023</v>
      </c>
      <c r="F30">
        <v>-208</v>
      </c>
      <c r="G30" s="31" t="s">
        <v>95</v>
      </c>
      <c r="H30" s="29">
        <v>0.1326900016152657</v>
      </c>
      <c r="I30" s="8">
        <v>9.081243162143679E-2</v>
      </c>
      <c r="J30" s="8">
        <v>1.4611435818435179</v>
      </c>
      <c r="K30" s="34">
        <v>0.15077369300758536</v>
      </c>
      <c r="L30" s="8">
        <v>-5.0105942322696086E-2</v>
      </c>
      <c r="M30" s="8">
        <v>0.31548594555322751</v>
      </c>
      <c r="N30" s="8">
        <v>-5.0105942322696086E-2</v>
      </c>
      <c r="O30" s="8">
        <v>0.31548594555322751</v>
      </c>
    </row>
    <row r="31" spans="2:15" x14ac:dyDescent="0.2">
      <c r="B31" s="4">
        <v>3</v>
      </c>
      <c r="C31" s="4">
        <v>400</v>
      </c>
      <c r="D31" s="4">
        <v>-84</v>
      </c>
      <c r="E31" s="4">
        <v>8572</v>
      </c>
      <c r="F31">
        <v>-108</v>
      </c>
    </row>
    <row r="32" spans="2:15" x14ac:dyDescent="0.2">
      <c r="B32" s="4">
        <v>1</v>
      </c>
      <c r="C32" s="4">
        <v>360</v>
      </c>
      <c r="D32" s="4">
        <v>-91</v>
      </c>
      <c r="E32" s="4">
        <v>7612</v>
      </c>
      <c r="F32">
        <v>382</v>
      </c>
      <c r="J32" t="s">
        <v>98</v>
      </c>
    </row>
    <row r="33" spans="2:10" x14ac:dyDescent="0.2">
      <c r="B33" s="4">
        <v>-3</v>
      </c>
      <c r="C33" s="4">
        <v>323</v>
      </c>
      <c r="D33" s="4">
        <v>-92</v>
      </c>
      <c r="E33" s="4">
        <v>6612</v>
      </c>
      <c r="F33">
        <v>158</v>
      </c>
      <c r="J33" t="s">
        <v>99</v>
      </c>
    </row>
    <row r="34" spans="2:10" x14ac:dyDescent="0.2">
      <c r="B34" s="4">
        <v>1</v>
      </c>
      <c r="C34" s="4">
        <v>129</v>
      </c>
      <c r="D34" s="4">
        <v>-86</v>
      </c>
      <c r="E34" s="4">
        <v>2765</v>
      </c>
      <c r="F34">
        <v>270</v>
      </c>
    </row>
    <row r="35" spans="2:10" x14ac:dyDescent="0.2">
      <c r="B35" s="4">
        <v>-2</v>
      </c>
      <c r="C35" s="4">
        <v>323</v>
      </c>
      <c r="D35" s="4">
        <v>-83</v>
      </c>
      <c r="E35" s="4">
        <v>6672</v>
      </c>
      <c r="F35">
        <v>215</v>
      </c>
      <c r="J35" t="s">
        <v>100</v>
      </c>
    </row>
    <row r="36" spans="2:10" x14ac:dyDescent="0.2">
      <c r="B36" s="4">
        <v>6</v>
      </c>
      <c r="C36" s="4">
        <v>220</v>
      </c>
      <c r="D36" s="4">
        <v>-81</v>
      </c>
      <c r="E36" s="4">
        <v>4952</v>
      </c>
      <c r="F36">
        <v>184</v>
      </c>
    </row>
    <row r="37" spans="2:10" x14ac:dyDescent="0.2">
      <c r="B37" s="4">
        <v>-2</v>
      </c>
      <c r="C37" s="4">
        <v>116</v>
      </c>
      <c r="D37" s="4">
        <v>-96</v>
      </c>
      <c r="E37" s="4">
        <v>2321</v>
      </c>
      <c r="F37">
        <v>60</v>
      </c>
      <c r="J37" t="s">
        <v>101</v>
      </c>
    </row>
    <row r="38" spans="2:10" x14ac:dyDescent="0.2">
      <c r="B38" s="4">
        <v>8</v>
      </c>
      <c r="C38" s="4">
        <v>337</v>
      </c>
      <c r="D38" s="4">
        <v>-100</v>
      </c>
      <c r="E38" s="4">
        <v>7520</v>
      </c>
      <c r="F38">
        <v>483</v>
      </c>
    </row>
    <row r="39" spans="2:10" x14ac:dyDescent="0.2">
      <c r="B39" s="4">
        <v>6</v>
      </c>
      <c r="C39" s="4">
        <v>305</v>
      </c>
      <c r="D39" s="4">
        <v>-89</v>
      </c>
      <c r="E39" s="4">
        <v>6737</v>
      </c>
      <c r="F39">
        <v>-360</v>
      </c>
    </row>
    <row r="40" spans="2:10" x14ac:dyDescent="0.2">
      <c r="B40" s="4">
        <v>2</v>
      </c>
      <c r="C40" s="4">
        <v>346</v>
      </c>
      <c r="D40" s="4">
        <v>-88</v>
      </c>
      <c r="E40" s="4">
        <v>7383</v>
      </c>
      <c r="F40">
        <v>-181</v>
      </c>
    </row>
    <row r="41" spans="2:10" x14ac:dyDescent="0.2">
      <c r="B41" s="4">
        <v>-5</v>
      </c>
      <c r="C41" s="4">
        <v>194</v>
      </c>
      <c r="D41" s="4">
        <v>-97</v>
      </c>
      <c r="E41" s="4">
        <v>3789</v>
      </c>
      <c r="F41">
        <v>-368</v>
      </c>
      <c r="I41" t="s">
        <v>49</v>
      </c>
    </row>
    <row r="42" spans="2:10" ht="17" thickBot="1" x14ac:dyDescent="0.25">
      <c r="B42" s="4">
        <v>3</v>
      </c>
      <c r="C42" s="4">
        <v>133</v>
      </c>
      <c r="D42" s="4">
        <v>-87</v>
      </c>
      <c r="E42" s="4">
        <v>2956</v>
      </c>
      <c r="F42">
        <v>178</v>
      </c>
    </row>
    <row r="43" spans="2:10" x14ac:dyDescent="0.2">
      <c r="B43" s="4">
        <v>6</v>
      </c>
      <c r="C43" s="4">
        <v>385</v>
      </c>
      <c r="D43" s="4">
        <v>-92</v>
      </c>
      <c r="E43" s="4">
        <v>8423</v>
      </c>
      <c r="F43">
        <v>-58</v>
      </c>
      <c r="I43" s="10" t="s">
        <v>50</v>
      </c>
      <c r="J43" s="10"/>
    </row>
    <row r="44" spans="2:10" x14ac:dyDescent="0.2">
      <c r="B44" s="4">
        <v>1</v>
      </c>
      <c r="C44" s="4">
        <v>251</v>
      </c>
      <c r="D44" s="4">
        <v>-92</v>
      </c>
      <c r="E44" s="4">
        <v>5325</v>
      </c>
      <c r="F44">
        <v>-60</v>
      </c>
      <c r="I44" s="7" t="s">
        <v>51</v>
      </c>
      <c r="J44" s="7">
        <v>0.36473694754821717</v>
      </c>
    </row>
    <row r="45" spans="2:10" x14ac:dyDescent="0.2">
      <c r="B45" s="4">
        <v>-4</v>
      </c>
      <c r="C45" s="4">
        <v>165</v>
      </c>
      <c r="D45" s="4">
        <v>-84</v>
      </c>
      <c r="E45" s="4">
        <v>3242</v>
      </c>
      <c r="F45">
        <v>495</v>
      </c>
      <c r="I45" s="7" t="s">
        <v>52</v>
      </c>
      <c r="J45" s="7">
        <v>0.13303304090679094</v>
      </c>
    </row>
    <row r="46" spans="2:10" x14ac:dyDescent="0.2">
      <c r="B46" s="4">
        <v>-3</v>
      </c>
      <c r="C46" s="4">
        <v>238</v>
      </c>
      <c r="D46" s="4">
        <v>-80</v>
      </c>
      <c r="E46" s="4">
        <v>4833</v>
      </c>
      <c r="F46">
        <v>344</v>
      </c>
      <c r="I46" s="7" t="s">
        <v>53</v>
      </c>
      <c r="J46" s="7">
        <v>7.6491717487668615E-2</v>
      </c>
    </row>
    <row r="47" spans="2:10" x14ac:dyDescent="0.2">
      <c r="B47" s="4">
        <v>6</v>
      </c>
      <c r="C47" s="4">
        <v>140</v>
      </c>
      <c r="D47" s="4">
        <v>-84</v>
      </c>
      <c r="E47" s="4">
        <v>3281</v>
      </c>
      <c r="F47">
        <v>182</v>
      </c>
      <c r="I47" s="7" t="s">
        <v>14</v>
      </c>
      <c r="J47" s="7">
        <v>275.45789568620597</v>
      </c>
    </row>
    <row r="48" spans="2:10" ht="17" thickBot="1" x14ac:dyDescent="0.25">
      <c r="B48" s="4">
        <v>6</v>
      </c>
      <c r="C48" s="4">
        <v>186</v>
      </c>
      <c r="D48" s="4">
        <v>-85</v>
      </c>
      <c r="E48" s="4">
        <v>4247</v>
      </c>
      <c r="F48">
        <v>449</v>
      </c>
      <c r="I48" s="8" t="s">
        <v>54</v>
      </c>
      <c r="J48" s="8">
        <v>50</v>
      </c>
    </row>
    <row r="49" spans="2:17" x14ac:dyDescent="0.2">
      <c r="B49" s="4">
        <v>8</v>
      </c>
      <c r="C49" s="4">
        <v>118</v>
      </c>
      <c r="D49" s="4">
        <v>-95</v>
      </c>
      <c r="E49" s="4">
        <v>2926</v>
      </c>
      <c r="F49">
        <v>-202</v>
      </c>
    </row>
    <row r="50" spans="2:17" ht="17" thickBot="1" x14ac:dyDescent="0.25">
      <c r="B50" s="4">
        <v>5</v>
      </c>
      <c r="C50" s="4">
        <v>146</v>
      </c>
      <c r="D50" s="4">
        <v>-82</v>
      </c>
      <c r="E50" s="4">
        <v>3347</v>
      </c>
      <c r="F50">
        <v>188</v>
      </c>
      <c r="I50" t="s">
        <v>55</v>
      </c>
    </row>
    <row r="51" spans="2:17" x14ac:dyDescent="0.2">
      <c r="B51" s="4">
        <v>8</v>
      </c>
      <c r="C51" s="4">
        <v>347</v>
      </c>
      <c r="D51" s="4">
        <v>-95</v>
      </c>
      <c r="E51" s="4">
        <v>7740</v>
      </c>
      <c r="F51">
        <v>-427</v>
      </c>
      <c r="I51" s="9"/>
      <c r="J51" s="9" t="s">
        <v>59</v>
      </c>
      <c r="K51" s="9" t="s">
        <v>60</v>
      </c>
      <c r="L51" s="9" t="s">
        <v>61</v>
      </c>
      <c r="M51" s="9" t="s">
        <v>62</v>
      </c>
      <c r="N51" s="9" t="s">
        <v>63</v>
      </c>
    </row>
    <row r="52" spans="2:17" x14ac:dyDescent="0.2">
      <c r="B52" s="4">
        <v>-2</v>
      </c>
      <c r="C52" s="4">
        <v>317</v>
      </c>
      <c r="D52" s="4">
        <v>-88</v>
      </c>
      <c r="E52" s="4">
        <v>6550</v>
      </c>
      <c r="F52">
        <v>459</v>
      </c>
      <c r="I52" s="7" t="s">
        <v>46</v>
      </c>
      <c r="J52" s="7">
        <v>3</v>
      </c>
      <c r="K52" s="7">
        <v>535581.11438985355</v>
      </c>
      <c r="L52" s="7">
        <v>178527.03812995119</v>
      </c>
      <c r="M52" s="7">
        <v>2.3528462523004734</v>
      </c>
      <c r="N52" s="7">
        <v>8.4428536250386557E-2</v>
      </c>
    </row>
    <row r="53" spans="2:17" x14ac:dyDescent="0.2">
      <c r="B53" s="4">
        <v>-3</v>
      </c>
      <c r="C53" s="4">
        <v>356</v>
      </c>
      <c r="D53" s="4">
        <v>-94</v>
      </c>
      <c r="E53" s="4">
        <v>7310</v>
      </c>
      <c r="F53">
        <v>-34</v>
      </c>
      <c r="I53" s="7" t="s">
        <v>56</v>
      </c>
      <c r="J53" s="7">
        <v>46</v>
      </c>
      <c r="K53" s="7">
        <v>3490344.405610146</v>
      </c>
      <c r="L53" s="7">
        <v>75877.052295872738</v>
      </c>
      <c r="M53" s="7"/>
      <c r="N53" s="7"/>
    </row>
    <row r="54" spans="2:17" ht="17" thickBot="1" x14ac:dyDescent="0.25">
      <c r="B54" s="4">
        <v>-5</v>
      </c>
      <c r="C54" s="4">
        <v>356</v>
      </c>
      <c r="D54" s="4">
        <v>-99</v>
      </c>
      <c r="E54" s="4">
        <v>7195</v>
      </c>
      <c r="F54">
        <v>136</v>
      </c>
      <c r="I54" s="8" t="s">
        <v>57</v>
      </c>
      <c r="J54" s="8">
        <v>49</v>
      </c>
      <c r="K54" s="8">
        <v>4025925.5199999996</v>
      </c>
      <c r="L54" s="8"/>
      <c r="M54" s="8"/>
      <c r="N54" s="8"/>
    </row>
    <row r="55" spans="2:17" ht="17" thickBot="1" x14ac:dyDescent="0.25">
      <c r="B55" s="4">
        <v>-1</v>
      </c>
      <c r="C55" s="4">
        <v>106</v>
      </c>
      <c r="D55" s="4">
        <v>-95</v>
      </c>
      <c r="E55" s="4">
        <v>2173</v>
      </c>
      <c r="F55">
        <v>-202</v>
      </c>
    </row>
    <row r="56" spans="2:17" x14ac:dyDescent="0.2">
      <c r="B56" s="4">
        <v>-1</v>
      </c>
      <c r="C56" s="4">
        <v>271</v>
      </c>
      <c r="D56" s="4">
        <v>-84</v>
      </c>
      <c r="E56" s="4">
        <v>5640</v>
      </c>
      <c r="F56">
        <v>-210</v>
      </c>
      <c r="I56" s="9"/>
      <c r="J56" s="9" t="s">
        <v>64</v>
      </c>
      <c r="K56" s="9" t="s">
        <v>14</v>
      </c>
      <c r="L56" s="9" t="s">
        <v>65</v>
      </c>
      <c r="M56" s="9" t="s">
        <v>66</v>
      </c>
      <c r="N56" s="9" t="s">
        <v>67</v>
      </c>
      <c r="O56" s="9" t="s">
        <v>68</v>
      </c>
      <c r="P56" s="9" t="s">
        <v>69</v>
      </c>
      <c r="Q56" s="9" t="s">
        <v>70</v>
      </c>
    </row>
    <row r="57" spans="2:17" x14ac:dyDescent="0.2">
      <c r="I57" s="7" t="s">
        <v>58</v>
      </c>
      <c r="J57" s="7">
        <v>1432.1354669578996</v>
      </c>
      <c r="K57" s="7">
        <v>663.8767016101707</v>
      </c>
      <c r="L57" s="7">
        <v>2.1572310995165056</v>
      </c>
      <c r="M57" s="32">
        <v>3.6246324705841833E-2</v>
      </c>
      <c r="N57" s="7">
        <v>95.820976061639328</v>
      </c>
      <c r="O57" s="7">
        <v>2768.4499578541599</v>
      </c>
      <c r="P57" s="7">
        <v>95.820976061639328</v>
      </c>
      <c r="Q57" s="7">
        <v>2768.4499578541599</v>
      </c>
    </row>
    <row r="58" spans="2:17" x14ac:dyDescent="0.2">
      <c r="I58" s="7" t="s">
        <v>93</v>
      </c>
      <c r="J58" s="7">
        <v>-13.829517548765594</v>
      </c>
      <c r="K58" s="7">
        <v>9.4105986791311764</v>
      </c>
      <c r="L58" s="7">
        <v>-1.4695683048766872</v>
      </c>
      <c r="M58" s="32">
        <v>0.14848539622627599</v>
      </c>
      <c r="N58" s="7">
        <v>-32.772070213185742</v>
      </c>
      <c r="O58" s="7">
        <v>5.1130351156545517</v>
      </c>
      <c r="P58" s="7">
        <v>-32.772070213185742</v>
      </c>
      <c r="Q58" s="7">
        <v>5.1130351156545517</v>
      </c>
    </row>
    <row r="59" spans="2:17" x14ac:dyDescent="0.2">
      <c r="I59" s="7" t="s">
        <v>94</v>
      </c>
      <c r="J59" s="7">
        <v>-1.5831888707288792E-2</v>
      </c>
      <c r="K59" s="7">
        <v>0.4497442636202309</v>
      </c>
      <c r="L59" s="7">
        <v>-3.520198029842448E-2</v>
      </c>
      <c r="M59" s="32">
        <v>0.97207099842519762</v>
      </c>
      <c r="N59" s="7">
        <v>-0.9211201375877115</v>
      </c>
      <c r="O59" s="7">
        <v>0.8894563601731339</v>
      </c>
      <c r="P59" s="7">
        <v>-0.9211201375877115</v>
      </c>
      <c r="Q59" s="7">
        <v>0.8894563601731339</v>
      </c>
    </row>
    <row r="60" spans="2:17" ht="17" thickBot="1" x14ac:dyDescent="0.25">
      <c r="I60" s="8" t="s">
        <v>95</v>
      </c>
      <c r="J60" s="8">
        <v>15.325305924685926</v>
      </c>
      <c r="K60" s="8">
        <v>7.3827473081189101</v>
      </c>
      <c r="L60" s="8">
        <v>2.0758269632000643</v>
      </c>
      <c r="M60" s="36">
        <v>4.352690705442732E-2</v>
      </c>
      <c r="N60" s="8">
        <v>0.46460636023910357</v>
      </c>
      <c r="O60" s="8">
        <v>30.18600548913275</v>
      </c>
      <c r="P60" s="8">
        <v>0.46460636023910357</v>
      </c>
      <c r="Q60" s="8">
        <v>30.18600548913275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agenda</vt:lpstr>
      <vt:lpstr>data_toolpak</vt:lpstr>
      <vt:lpstr>Regression</vt:lpstr>
      <vt:lpstr>Regression_output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2026-05-22T15:33:45Z</dcterms:created>
  <dcterms:modified xsi:type="dcterms:W3CDTF">2026-05-22T17:49:54Z</dcterms:modified>
</cp:coreProperties>
</file>