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E952970D-371B-1B41-A859-380876B8ACD8}" xr6:coauthVersionLast="47" xr6:coauthVersionMax="47" xr10:uidLastSave="{00000000-0000-0000-0000-000000000000}"/>
  <bookViews>
    <workbookView xWindow="0" yWindow="600" windowWidth="28800" windowHeight="17400" activeTab="5" xr2:uid="{C41FCFCF-2A87-1041-A4D3-58B116849A37}"/>
  </bookViews>
  <sheets>
    <sheet name="Agenda" sheetId="1" r:id="rId1"/>
    <sheet name="Sheet2" sheetId="2" r:id="rId2"/>
    <sheet name="VLOOKUP" sheetId="3" r:id="rId3"/>
    <sheet name="HLOOKUP" sheetId="4" r:id="rId4"/>
    <sheet name="XLOOKUP_DIFF" sheetId="5" r:id="rId5"/>
    <sheet name="XLOOKUP_DEMO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6" l="1" a="1"/>
  <c r="C13" i="6" s="1"/>
  <c r="C12" i="6" a="1"/>
  <c r="C12" i="6" s="1"/>
  <c r="C9" i="4" a="1"/>
  <c r="C9" i="4" s="1"/>
  <c r="C11" i="3"/>
  <c r="C38" i="3" l="1" a="1"/>
  <c r="C38" i="3" s="1"/>
  <c r="C12" i="3"/>
  <c r="C36" i="3"/>
  <c r="D36" i="3"/>
  <c r="E36" i="3"/>
  <c r="I8" i="3"/>
  <c r="E11" i="3"/>
  <c r="H94" i="2"/>
  <c r="F101" i="2"/>
  <c r="F99" i="2"/>
  <c r="F78" i="2"/>
  <c r="J32" i="2"/>
  <c r="C71" i="2"/>
  <c r="C52" i="2"/>
  <c r="C50" i="2"/>
  <c r="D50" i="2"/>
  <c r="E50" i="2"/>
  <c r="F50" i="2"/>
  <c r="B50" i="2"/>
  <c r="C44" i="2"/>
  <c r="D21" i="2"/>
  <c r="B21" i="2"/>
  <c r="D19" i="2"/>
  <c r="B19" i="2"/>
  <c r="D10" i="2"/>
  <c r="B10" i="2"/>
  <c r="D9" i="2"/>
  <c r="B9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<sst xmlns="http://schemas.openxmlformats.org/spreadsheetml/2006/main" count="250" uniqueCount="170">
  <si>
    <t>LOOKUP</t>
  </si>
  <si>
    <t>we have one value ( key identifier) used to search and retreive one or more particular information related to that Value</t>
  </si>
  <si>
    <t>ROW / ROWS</t>
  </si>
  <si>
    <t>COLUMN / COLUMNS</t>
  </si>
  <si>
    <t>INDEX</t>
  </si>
  <si>
    <t>MATCH</t>
  </si>
  <si>
    <t>INDEX + MATCH (TOGETHER for LOOKUP)</t>
  </si>
  <si>
    <t>VLOOKUP</t>
  </si>
  <si>
    <t>HLOOKUP</t>
  </si>
  <si>
    <t>XLOOKUP</t>
  </si>
  <si>
    <t>ROW()</t>
  </si>
  <si>
    <t>Gives the NUMBER OF ROW for the cell address, if not given then current row</t>
  </si>
  <si>
    <t>COLUMN()</t>
  </si>
  <si>
    <t>Gives the Column NUMBER for the cell addres else , the current column num</t>
  </si>
  <si>
    <t>ROWS()</t>
  </si>
  <si>
    <t>COLUMNS()</t>
  </si>
  <si>
    <t>TAKES a range as input, COUNT NUMBER OF ROWS</t>
  </si>
  <si>
    <t>TAKES range as input, COUNT NUMBER OF COLUMNs</t>
  </si>
  <si>
    <t>MATCH()</t>
  </si>
  <si>
    <t>INDEX()</t>
  </si>
  <si>
    <t>Groc A</t>
  </si>
  <si>
    <t>Groc B</t>
  </si>
  <si>
    <t>Groc C</t>
  </si>
  <si>
    <t>Sugar</t>
  </si>
  <si>
    <t>Salt</t>
  </si>
  <si>
    <t>Pepper</t>
  </si>
  <si>
    <t>Soap</t>
  </si>
  <si>
    <t>Shampoo</t>
  </si>
  <si>
    <t>Apple</t>
  </si>
  <si>
    <t>Orange</t>
  </si>
  <si>
    <t>Guava</t>
  </si>
  <si>
    <t>Mango</t>
  </si>
  <si>
    <t>What is the number of Mango??</t>
  </si>
  <si>
    <t>MANGO</t>
  </si>
  <si>
    <t>NUM??</t>
  </si>
  <si>
    <t>GIVES US THE INDEX / POSITION (RELATIVE) of the VALUE inside an array</t>
  </si>
  <si>
    <t>MATCH takes 3 inp - 1) the VALUE TO FIND 2) the array where to find. 3) HOW TO FIND</t>
  </si>
  <si>
    <t>MATCH_TYPE</t>
  </si>
  <si>
    <t>IT expects data to be in ASC order, and it gives INDEX OF the LARGEST value SMALLER THAN the search ITEM</t>
  </si>
  <si>
    <t>LESS THAN</t>
  </si>
  <si>
    <t>EXACT MATCH</t>
  </si>
  <si>
    <t>IT WILL GIVE INDEX where the search value is exactly present</t>
  </si>
  <si>
    <t>1 ( Default)</t>
  </si>
  <si>
    <t>GREATER</t>
  </si>
  <si>
    <t>IT expects data to be in DESC order, and it gives INDEX OF the SMALLEST value LARGER THAN the search ITEM</t>
  </si>
  <si>
    <t xml:space="preserve">ROW </t>
  </si>
  <si>
    <t>TO GET ROW NUMBER OF THAT CELL if refrence is given else current row number</t>
  </si>
  <si>
    <t>ROWS</t>
  </si>
  <si>
    <t xml:space="preserve">GIVES number of rows in the array </t>
  </si>
  <si>
    <t>COLUMN</t>
  </si>
  <si>
    <t>TO GET COLUMN NUMBER OF THAT CELL if refrence is given else current COLUMN number</t>
  </si>
  <si>
    <t>COLUMNS</t>
  </si>
  <si>
    <t>GIVES number of Columns in the array</t>
  </si>
  <si>
    <t>Helps in finding VALUE in array at particular ROW number and column number</t>
  </si>
  <si>
    <t>RETURNS VALUE AT GIVEN INDEX</t>
  </si>
  <si>
    <t>ROW / CoL number of the value in the lookup array</t>
  </si>
  <si>
    <t>RETURNS INDEX MATCHING THE VALUE PASSED</t>
  </si>
  <si>
    <t>INDEX+MATCH</t>
  </si>
  <si>
    <t>Find some value in a array based on sum conditions ( LOOKUP )</t>
  </si>
  <si>
    <t>OPPOSITE OF MATCH</t>
  </si>
  <si>
    <t>YOU GIVE INDEX AS INPUT, FUNC gives VALUE as OUTPUT</t>
  </si>
  <si>
    <t>Inp Array</t>
  </si>
  <si>
    <t>ROW num ( compulsory)</t>
  </si>
  <si>
    <t>COLUMN Num ( option)</t>
  </si>
  <si>
    <t>PRICE??</t>
  </si>
  <si>
    <t>COLUMN NUM</t>
  </si>
  <si>
    <t xml:space="preserve">ROW NUM </t>
  </si>
  <si>
    <t>ARRAY is F86:H90</t>
  </si>
  <si>
    <t>ROW</t>
  </si>
  <si>
    <t>COL</t>
  </si>
  <si>
    <t>MATCH(G94,E86:E90,0)</t>
  </si>
  <si>
    <t>GIVES MATCHING ROW NUM</t>
  </si>
  <si>
    <t>MATCH(F94,F85:H85,0)</t>
  </si>
  <si>
    <t>Gives matching column num</t>
  </si>
  <si>
    <t>INDEX func uses row n col to get the VALUE matching for those GROC and ITEM</t>
  </si>
  <si>
    <t>Groc c</t>
  </si>
  <si>
    <t>salt</t>
  </si>
  <si>
    <t>LOOKUP Funcs</t>
  </si>
  <si>
    <t>Updated Vers</t>
  </si>
  <si>
    <t>VERTICAL LOOKUP</t>
  </si>
  <si>
    <t>HORIZONTAL LOOKUP</t>
  </si>
  <si>
    <t>Student Id</t>
  </si>
  <si>
    <t>Name</t>
  </si>
  <si>
    <t>Course</t>
  </si>
  <si>
    <t>Phn Num</t>
  </si>
  <si>
    <t>Jennifer</t>
  </si>
  <si>
    <t>Bsc Phy</t>
  </si>
  <si>
    <t>Fake num 1</t>
  </si>
  <si>
    <t>Shyaam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</si>
  <si>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</si>
  <si>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</si>
  <si>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</si>
  <si>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</si>
  <si>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</si>
  <si>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</si>
  <si>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</si>
  <si>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</si>
  <si>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Dolly</t>
  </si>
  <si>
    <t>Ba Soci</t>
  </si>
  <si>
    <t>Fake num 5</t>
  </si>
  <si>
    <t>Sonam</t>
  </si>
  <si>
    <t>MBA Ops</t>
  </si>
  <si>
    <t>Fake num 6</t>
  </si>
  <si>
    <t>STUDENT ID</t>
  </si>
  <si>
    <t>COURSE</t>
  </si>
  <si>
    <t>NAME</t>
  </si>
  <si>
    <t>We are searching the query in a COLUMN</t>
  </si>
  <si>
    <t>We can only lookup in left most Column of given array</t>
  </si>
  <si>
    <t xml:space="preserve">If using EXACT match, the first found value is returned… </t>
  </si>
  <si>
    <t>we can only get right columns in the output</t>
  </si>
  <si>
    <t>if doing approximate match ( by default) data must be sorted in ascending orded…</t>
  </si>
  <si>
    <t>IMP</t>
  </si>
  <si>
    <t>Stu ID</t>
  </si>
  <si>
    <t>Phn No</t>
  </si>
  <si>
    <t>name</t>
  </si>
  <si>
    <t>STUDENT</t>
  </si>
  <si>
    <t>Horizontal Lookup</t>
  </si>
  <si>
    <t>We are searching a query inside a ROW</t>
  </si>
  <si>
    <t>search only in TOP MOST row</t>
  </si>
  <si>
    <t>we can only get rows bottom to the search row... in the output</t>
  </si>
  <si>
    <t>Feature</t>
  </si>
  <si>
    <t>VLOOKUP()</t>
  </si>
  <si>
    <t>XLOOKUP()</t>
  </si>
  <si>
    <t>Default Match Mode</t>
  </si>
  <si>
    <r>
      <t>Requires specifying </t>
    </r>
    <r>
      <rPr>
        <sz val="10"/>
        <color rgb="FF05192D"/>
        <rFont val="Arial Unicode MS"/>
        <family val="2"/>
      </rPr>
      <t>FALSE</t>
    </r>
    <r>
      <rPr>
        <sz val="12"/>
        <color rgb="FF05192D"/>
        <rFont val="Arial"/>
        <family val="2"/>
      </rPr>
      <t> for an exact match.</t>
    </r>
  </si>
  <si>
    <t>Defaults to exact match.</t>
  </si>
  <si>
    <t>Lookup Direction</t>
  </si>
  <si>
    <t>Only searches to the right of the lookup column.</t>
  </si>
  <si>
    <t>Can search in any direction (left, right, top, bottom).</t>
  </si>
  <si>
    <t>Array References</t>
  </si>
  <si>
    <t>Requires defining the entire data range and column index within a single formula.</t>
  </si>
  <si>
    <t>Allows separate arrays for the lookup value and return values.</t>
  </si>
  <si>
    <r>
      <t>Does not support horizontal lookups (</t>
    </r>
    <r>
      <rPr>
        <sz val="10"/>
        <color rgb="FF05192D"/>
        <rFont val="Arial Unicode MS"/>
        <family val="2"/>
      </rPr>
      <t>HLOOKUP()</t>
    </r>
    <r>
      <rPr>
        <sz val="12"/>
        <color rgb="FF05192D"/>
        <rFont val="Arial"/>
        <family val="2"/>
      </rPr>
      <t> is required).</t>
    </r>
  </si>
  <si>
    <t>Supports both vertical and horizontal lookups.</t>
  </si>
  <si>
    <t>Handling Column Changes</t>
  </si>
  <si>
    <t>Affected by column insertions/deletions due to hardcoded column indices.</t>
  </si>
  <si>
    <t>Unaffected by column changes, continuing to function without adjustments.</t>
  </si>
  <si>
    <t>Sorting and Searching</t>
  </si>
  <si>
    <t>Limited to sorting in ascending order.</t>
  </si>
  <si>
    <r>
      <t>Can search in both ascending and descending order using the </t>
    </r>
    <r>
      <rPr>
        <sz val="10"/>
        <color rgb="FF05192D"/>
        <rFont val="Arial Unicode MS"/>
        <family val="2"/>
      </rPr>
      <t>search_mode</t>
    </r>
    <r>
      <rPr>
        <sz val="12"/>
        <color rgb="FF05192D"/>
        <rFont val="Arial"/>
        <family val="2"/>
      </rPr>
      <t> argument.</t>
    </r>
  </si>
  <si>
    <t>Custom Error Messages</t>
  </si>
  <si>
    <r>
      <t>Displays </t>
    </r>
    <r>
      <rPr>
        <sz val="10"/>
        <color rgb="FF05192D"/>
        <rFont val="Arial Unicode MS"/>
        <family val="2"/>
      </rPr>
      <t>#N/A</t>
    </r>
    <r>
      <rPr>
        <sz val="12"/>
        <color rgb="FF05192D"/>
        <rFont val="Arial"/>
        <family val="2"/>
      </rPr>
      <t> error when no match is found.</t>
    </r>
  </si>
  <si>
    <t>Allows customization of the output message when no match is found.</t>
  </si>
  <si>
    <t>Return Multiple Values</t>
  </si>
  <si>
    <t>Can return only one value at a time.</t>
  </si>
  <si>
    <t>Can retrieve values from multiple columns simultaneously.</t>
  </si>
  <si>
    <t>Search Mode</t>
  </si>
  <si>
    <t>Searches from top to bottom and returns the first match.</t>
  </si>
  <si>
    <t>Can search in both directions (top-down or bottom-up) for faster results in extensive lists.</t>
  </si>
  <si>
    <t>Performance in Large Datasets</t>
  </si>
  <si>
    <r>
      <t>Can be slower, especially with unsorted data or when </t>
    </r>
    <r>
      <rPr>
        <sz val="10"/>
        <color rgb="FF05192D"/>
        <rFont val="Arial Unicode MS"/>
        <family val="2"/>
      </rPr>
      <t>range_lookup</t>
    </r>
    <r>
      <rPr>
        <sz val="12"/>
        <color rgb="FF05192D"/>
        <rFont val="Arial"/>
        <family val="2"/>
      </rPr>
      <t> is </t>
    </r>
    <r>
      <rPr>
        <sz val="10"/>
        <color rgb="FF05192D"/>
        <rFont val="Arial Unicode MS"/>
        <family val="2"/>
      </rPr>
      <t>FALSE</t>
    </r>
    <r>
      <rPr>
        <sz val="12"/>
        <color rgb="FF05192D"/>
        <rFont val="Arial"/>
        <family val="2"/>
      </rPr>
      <t>.</t>
    </r>
  </si>
  <si>
    <t>Better performance, handles large datasets efficiently, and searches without sorting.</t>
  </si>
  <si>
    <t>Compatibility</t>
  </si>
  <si>
    <t>Works with all versions of Excel.</t>
  </si>
  <si>
    <t>Only available in Excel 2021 and Microsoft 365 (from 2019).</t>
  </si>
  <si>
    <t>Stud ID</t>
  </si>
  <si>
    <t>Vlookup</t>
  </si>
  <si>
    <t>Xlookup</t>
  </si>
  <si>
    <t>Lookup Value</t>
  </si>
  <si>
    <t>VALUE WE ARE USING TO SEARCH</t>
  </si>
  <si>
    <t>LOOKUP ARRAY</t>
  </si>
  <si>
    <t>ARRAY WHERE MY VALUE IS</t>
  </si>
  <si>
    <t>RETURN ARRAY</t>
  </si>
  <si>
    <t>THE ARRAY WHICH I WANT IN RETURN</t>
  </si>
  <si>
    <t>IF_NOT_FOUND</t>
  </si>
  <si>
    <t>ERROR MESSAGE</t>
  </si>
  <si>
    <t>MATCH_MODE</t>
  </si>
  <si>
    <t>"UTK*"</t>
  </si>
  <si>
    <t>SEARCH_MODE</t>
  </si>
  <si>
    <t>here(9)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</si>
</sst>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6"/>
      <color rgb="FF000000"/>
      <name val="Arial"/>
      <family val="2"/>
    </font>
    <font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5"/>
      <color rgb="FF242424"/>
      <name val="Aptos Narrow"/>
      <scheme val="minor"/>
    </font>
    <font>
      <b/>
      <sz val="12"/>
      <color rgb="FF05192D"/>
      <name val="Arial"/>
      <family val="2"/>
    </font>
    <font>
      <sz val="12"/>
      <color rgb="FF05192D"/>
      <name val="Arial"/>
      <family val="2"/>
    </font>
    <font>
      <sz val="10"/>
      <color rgb="FF05192D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1" fillId="3" borderId="0" xfId="0" applyFont="1" applyFill="1"/>
    <xf numFmtId="0" fontId="3" fillId="0" borderId="0" xfId="0" applyFont="1"/>
    <xf numFmtId="0" fontId="4" fillId="0" borderId="0" xfId="0" applyFont="1"/>
    <xf numFmtId="0" fontId="4" fillId="4" borderId="0" xfId="0" applyFont="1" applyFill="1"/>
    <xf numFmtId="0" fontId="5" fillId="0" borderId="0" xfId="0" applyFont="1"/>
    <xf numFmtId="0" fontId="6" fillId="0" borderId="0" xfId="0" applyFont="1"/>
    <xf numFmtId="0" fontId="0" fillId="5" borderId="0" xfId="0" applyFill="1"/>
    <xf numFmtId="0" fontId="4" fillId="5" borderId="0" xfId="0" applyFont="1" applyFill="1"/>
    <xf numFmtId="0" fontId="7" fillId="6" borderId="1" xfId="0" applyFont="1" applyFill="1" applyBorder="1"/>
    <xf numFmtId="0" fontId="7" fillId="6" borderId="2" xfId="0" applyFont="1" applyFill="1" applyBorder="1" applyAlignment="1">
      <alignment wrapText="1"/>
    </xf>
    <xf numFmtId="0" fontId="8" fillId="7" borderId="1" xfId="0" applyFont="1" applyFill="1" applyBorder="1"/>
    <xf numFmtId="0" fontId="8" fillId="7" borderId="2" xfId="0" applyFont="1" applyFill="1" applyBorder="1" applyAlignment="1">
      <alignment wrapText="1"/>
    </xf>
    <xf numFmtId="0" fontId="8" fillId="0" borderId="1" xfId="0" applyFont="1" applyBorder="1"/>
    <xf numFmtId="0" fontId="8" fillId="0" borderId="2" xfId="0" applyFont="1" applyBorder="1" applyAlignment="1">
      <alignment wrapText="1"/>
    </xf>
  </cellXfs>
  <cellStyles count="1">
    <cellStyle name="Normal" xfId="0" builtinId="0"/>
  </cellStyles>
  <dxfs count="6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ustomXml" Target="../ink/ink3.xml"/><Relationship Id="rId3" Type="http://schemas.openxmlformats.org/officeDocument/2006/relationships/image" Target="../media/image7.png"/><Relationship Id="rId7" Type="http://schemas.openxmlformats.org/officeDocument/2006/relationships/image" Target="../media/image9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customXml" Target="../ink/ink2.xml"/><Relationship Id="rId5" Type="http://schemas.openxmlformats.org/officeDocument/2006/relationships/image" Target="../media/image8.png"/><Relationship Id="rId4" Type="http://schemas.openxmlformats.org/officeDocument/2006/relationships/customXml" Target="../ink/ink1.xml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302012</xdr:colOff>
      <xdr:row>71</xdr:row>
      <xdr:rowOff>139390</xdr:rowOff>
    </xdr:from>
    <xdr:to>
      <xdr:col>5</xdr:col>
      <xdr:colOff>73722</xdr:colOff>
      <xdr:row>75</xdr:row>
      <xdr:rowOff>159524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3BCE8-1999-A9ED-8BEB-11538A925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0610" y="14759878"/>
          <a:ext cx="3086100" cy="8255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104</xdr:row>
      <xdr:rowOff>0</xdr:rowOff>
    </xdr:from>
    <xdr:to>
      <xdr:col>10</xdr:col>
      <xdr:colOff>737219</xdr:colOff>
      <xdr:row>110</xdr:row>
      <xdr:rowOff>125451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42BBA2B-00D9-245C-8003-088DB3EC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7195" y="21264756"/>
          <a:ext cx="7366000" cy="1333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508951</xdr:colOff>
      <xdr:row>14</xdr:row>
      <xdr:rowOff>80860</xdr:rowOff>
    </xdr:from>
    <xdr:to>
      <xdr:col>7</xdr:col>
      <xdr:colOff>493968</xdr:colOff>
      <xdr:row>20</xdr:row>
      <xdr:rowOff>174469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1F220-2A57-A437-2423-EC6213CF39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8951" y="2944306"/>
          <a:ext cx="5778500" cy="13208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</xdr:row>
      <xdr:rowOff>0</xdr:rowOff>
    </xdr:from>
    <xdr:to>
      <xdr:col>8</xdr:col>
      <xdr:colOff>330200</xdr:colOff>
      <xdr:row>44</xdr:row>
      <xdr:rowOff>127000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12D2445-1D41-8FCF-3126-116ED9803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7975600"/>
          <a:ext cx="6108700" cy="1143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201513</xdr:colOff>
      <xdr:row>13</xdr:row>
      <xdr:rowOff>81155</xdr:rowOff>
    </xdr:from>
    <xdr:to>
      <xdr:col>7</xdr:col>
      <xdr:colOff>602290</xdr:colOff>
      <xdr:row>19</xdr:row>
      <xdr:rowOff>181500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743A0D-75D9-74CF-BFD2-334C0813D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513" y="2700823"/>
          <a:ext cx="6174356" cy="1309422"/>
        </a:xfrm>
        <a:prstGeom prst="rect">
          <a:avLst/>
        </a:prstGeom>
      </xdr:spPr>
    </xdr:pic>
    <xdr:clientData/>
  </xdr:twoCellAnchor>
  <xdr:twoCellAnchor editAs="oneCell">
    <xdr:from>
      <xdr:col>2</xdr:col>
      <xdr:colOff>548301</xdr:colOff>
      <xdr:row>29</xdr:row>
      <xdr:rowOff>153926</xdr:rowOff>
    </xdr:from>
    <xdr:to>
      <xdr:col>5</xdr:col>
      <xdr:colOff>292989</xdr:colOff>
      <xdr:row>35</xdr:row>
      <xdr:rowOff>11714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73A128-35C8-9662-3423-699AA64E5B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97895" y="5997801"/>
          <a:ext cx="2219079" cy="1066865"/>
        </a:xfrm>
        <a:prstGeom prst="rect">
          <a:avLst/>
        </a:prstGeom>
      </xdr:spPr>
    </xdr:pic>
    <xdr:clientData/>
  </xdr:twoCellAnchor>
  <xdr:twoCellAnchor editAs="oneCell">
    <xdr:from>
      <xdr:col>2</xdr:col>
      <xdr:colOff>604539</xdr:colOff>
      <xdr:row>36</xdr:row>
      <xdr:rowOff>99543</xdr:rowOff>
    </xdr:from>
    <xdr:to>
      <xdr:col>5</xdr:col>
      <xdr:colOff>481382</xdr:colOff>
      <xdr:row>41</xdr:row>
      <xdr:rowOff>26806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4A89CF-A309-9D9E-3C65-2258FCEF15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54133" y="7354008"/>
          <a:ext cx="2351234" cy="934828"/>
        </a:xfrm>
        <a:prstGeom prst="rect">
          <a:avLst/>
        </a:prstGeom>
      </xdr:spPr>
    </xdr:pic>
    <xdr:clientData/>
  </xdr:twoCellAnchor>
  <xdr:twoCellAnchor editAs="oneCell">
    <xdr:from>
      <xdr:col>1</xdr:col>
      <xdr:colOff>613899</xdr:colOff>
      <xdr:row>44</xdr:row>
      <xdr:rowOff>184489</xdr:rowOff>
    </xdr:from>
    <xdr:to>
      <xdr:col>6</xdr:col>
      <xdr:colOff>548515</xdr:colOff>
      <xdr:row>46</xdr:row>
      <xdr:rowOff>163240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B3F9C9D1-F961-2FA4-AC1C-653D2D76DAF7}"/>
                </a:ext>
              </a:extLst>
            </xdr14:cNvPr>
            <xdr14:cNvContentPartPr/>
          </xdr14:nvContentPartPr>
          <xdr14:nvPr macro=""/>
          <xdr14:xfrm>
            <a:off x="1442160" y="9173880"/>
            <a:ext cx="4075920" cy="38736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B3F9C9D1-F961-2FA4-AC1C-653D2D76DAF7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437840" y="9169560"/>
              <a:ext cx="4084560" cy="39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367237</xdr:colOff>
      <xdr:row>44</xdr:row>
      <xdr:rowOff>54889</xdr:rowOff>
    </xdr:from>
    <xdr:to>
      <xdr:col>4</xdr:col>
      <xdr:colOff>429877</xdr:colOff>
      <xdr:row>44</xdr:row>
      <xdr:rowOff>103489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209CE3DA-AEE2-3151-0231-C3C964120A68}"/>
                </a:ext>
              </a:extLst>
            </xdr14:cNvPr>
            <xdr14:cNvContentPartPr/>
          </xdr14:nvContentPartPr>
          <xdr14:nvPr macro=""/>
          <xdr14:xfrm>
            <a:off x="3680280" y="9044280"/>
            <a:ext cx="62640" cy="48600"/>
          </xdr14:xfrm>
        </xdr:contentPart>
      </mc:Choice>
      <mc:Fallback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209CE3DA-AEE2-3151-0231-C3C964120A68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3675960" y="9039960"/>
              <a:ext cx="71280" cy="57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417277</xdr:colOff>
      <xdr:row>44</xdr:row>
      <xdr:rowOff>159649</xdr:rowOff>
    </xdr:from>
    <xdr:to>
      <xdr:col>6</xdr:col>
      <xdr:colOff>369595</xdr:colOff>
      <xdr:row>47</xdr:row>
      <xdr:rowOff>93216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229FF042-1049-D8D4-CF90-50E784F3BF0D}"/>
                </a:ext>
              </a:extLst>
            </xdr14:cNvPr>
            <xdr14:cNvContentPartPr/>
          </xdr14:nvContentPartPr>
          <xdr14:nvPr macro=""/>
          <xdr14:xfrm>
            <a:off x="3730320" y="9149040"/>
            <a:ext cx="1608840" cy="54648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229FF042-1049-D8D4-CF90-50E784F3BF0D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3726000" y="9144720"/>
              <a:ext cx="1617480" cy="5551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8T17:20:04.082"/>
    </inkml:context>
    <inkml:brush xml:id="br0">
      <inkml:brushProperty name="width" value="0.025" units="cm"/>
      <inkml:brushProperty name="height" value="0.025" units="cm"/>
      <inkml:brushProperty name="color" value="#E71224"/>
    </inkml:brush>
  </inkml:definitions>
  <inkml:trace contextRef="#ctx0" brushRef="#br0">0 1 24575,'1'50'0,"4"5"0,8 9 0,9-4 0,9-7 0,13-3 0,15 1 0,22 8 0,-31-26 0,2 0 0,6 2 0,2-2 0,2-1 0,2-2 0,-1-4 0,1-4 0,1-4 0,1-4 0,4-4 0,0-3 0,5-2 0,0-2 0,2-4 0,1-4 0,0-5 0,0-4 0,0-5 0,0-5 0,3-7 0,-1-3 0,-5-1 0,-2 0 0,-8 1 0,-3 1 0,-11 4 0,-5 1 0,20-17 0,-18 8 0,-16 5 0,-11 7 0,-8 5 0,-5 4 0,-4 6 0,-3 3 0,-1 1 0,0 2 0,0 0 0,0 5 0,0 8 0,0 9 0,0 7 0,0 6 0,1 9 0,3 15 0,14 19 0,-2-27 0,5 0 0,8 5 0,5 0 0,6 3 0,3-3 0,5-1 0,4-3 0,1-4 0,3-5 0,1-6 0,2-4 0,2-6 0,1-5 0,2-4 0,2-5 0,7-5 0,2-5 0,8-7 0,3-6 0,7-7 0,1-6 0,-29 5 0,0-1 0,-2-3 0,26-12 0,-4-2 0,-11 3 0,-5-1 0,-13 6 0,-6-1 0,18-20 0,-25 8 0,-21 12 0,-11 8 0,-5 6 0,-3 2 0,-1-2 0,0-5 0,0-8 0,1-11 0,0-7 0,0 2 0,-2 8 0,-1 14 0,1 11 0,0 8 0,1 5 0,0 4 0,0 4 0,0 7 0,0 6 0,4 7 0,11 10 0,23 14 0,-5-16 0,6 0 0,15 8 0,6-1 0,12 4 0,5-1 0,7-1 0,2-4 0,3-4 0,0-5 0,0-5 0,1-4 0,-4-6 0,1-5 0,-4-2 0,-1-5 0,-6-5 0,-2-5 0,-7-6 0,-4-5 0,-9-2 0,-5-6 0,-6-2 0,-3-5 0,-5-2 0,-3-2 0,25-38 0,-6-5 0,-10 5 0,-12 12 0,-9 11 0,-7 11 0,-3 9 0,-4 4 0,1 2 0,-2 3 0,0 3 0,-1 4 0,-2 6 0,-2 4 0,-1 4 0</inkml:trace>
  <inkml:trace contextRef="#ctx0" brushRef="#br0" timeOffset="882">6555 78 24575,'0'20'0,"5"14"0,19 20 0,26 19 0,-9-29 0,8-1 0,18 4 0,8-3 0,-11-13 0,4-2 0,4-2-413,12 0 1,5-3 0,2-3 412,-19-6 0,2-2 0,1-2 0,0-1 0,3-1 0,1-3 0,-1 0 0,0-2 0,23 1 0,-2-3 0,-2-3 0,-9-1 0,-3-2 0,-3-3 0,-9-1 0,-3-2 0,-4-3 0,11-7 0,-8-5 0,-19 1 0,-5-3 0,15-17 0,-27 8 0,-16 8 1237,-9 7-1237,-4 4 0,-2 3 0,0 4 0,-1 4 0,0 2 0,0 2 0</inkml:trace>
  <inkml:trace contextRef="#ctx0" brushRef="#br0" timeOffset="1965">9074 354 24575,'0'14'0,"10"9"0,13 8 0,18 7 0,14-6 0,10 0 0,-10-8 0,4-1 0,32 10 0,4-3 0,-11-9 0,0-4 0,7-2 0,0-4 0,1-2 0,0-4 0,-2-1 0,-2-2 0,-5-4 0,-1-2 0,-7-4 0,-2-3 0,-4-4 0,-2-5 0,-3-4 0,-3-4 0,-5 0 0,-2-3 0,-5 2 0,-3-2 0,29-23 0,-21 9 0,-14 9 0,-14 6 0,-6 4 0,-5 1 0,-3 3 0,-3 2 0,-3 6 0,-2 4 0,-3 4 0,-1 3 0,-2 0 0,1 2 0,-1 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8T17:20:18.697"/>
    </inkml:context>
    <inkml:brush xml:id="br0">
      <inkml:brushProperty name="width" value="0.025" units="cm"/>
      <inkml:brushProperty name="height" value="0.025" units="cm"/>
      <inkml:brushProperty name="color" value="#66CC00"/>
    </inkml:brush>
  </inkml:definitions>
  <inkml:trace contextRef="#ctx0" brushRef="#br0">85 132 24575,'-1'2'0,"4"-1"0,4-1 0,6 0 0,5-5 0,0-6 0,-2-9 0,-6-7 0,-6 1 0,-7 5 0,-8 7 0,-8 7 0,-6 4 0,0 4 0,0 8 0,5 5 0,4 6 0,5 0 0,4-2 0,3-2 0,3-5 0,3-3 0,3-4 0,6-3 0,3-2 0,2-4 0,-2-3 0,-4-4 0,-4-2 0,-3-1 0,-4 2 0,-4 3 0,-6 5 0,-4 3 0,-2 4 0,2 4 0,4 5 0,4 4 0,3 0 0,3-3 0,1-1 0,5-5 0,6-2 0,6-2 0,5-5 0,0-2 0,-5-3 0,-3-1 0,-4-3 0,-5-2 0,-4 0 0,-7 1 0,-5 6 0,-5 3 0,-2 5 0,1 7 0,3 7 0,4 4 0,4-1 0,3-7 0,2-8 0,1-1 0,0-4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8T17:20:23.264"/>
    </inkml:context>
    <inkml:brush xml:id="br0">
      <inkml:brushProperty name="width" value="0.025" units="cm"/>
      <inkml:brushProperty name="height" value="0.025" units="cm"/>
      <inkml:brushProperty name="color" value="#66CC00"/>
    </inkml:brush>
  </inkml:definitions>
  <inkml:trace contextRef="#ctx0" brushRef="#br0">1 1 24575,'0'12'0,"0"8"0,0 3 0,0 4 0,0-1 0,0 11 0,4 24 0,16 35 0,-2-34 0,5 3 0,6 4 0,2-1 0,4-1 0,1-2 0,-2-9 0,-1-2 0,-3-10 0,1-2 0,33 33 0,10-12 0,-29-32 0,3-3 0,5 0 0,2-2 0,4-2 0,2-2 0,0-2 0,1-2 0,-1-3 0,1-1 0,0 0 0,1-2 0,5 2 0,1-1 0,9 3 0,2 1 0,9 2 0,2 1 0,5 1 0,2-1 0,0-1 0,-1-2 0,-10-2 0,-2-2 0,-6-3 0,-1-3 0,-7-2 0,0-2 0,-4 0 0,0-2 0,3-2 0,0-3 0,-4-1 0,0-4 0,1-3 0,-1-3 0,-4-2 0,-2-3 0,-4 0 0,-3-1 0,-5 1 0,-2-1 0,24-17 0,-15-1 0,-15 1 0,-10 5 0,-2 2 0,-1 3 0,2 1 0,1-1 0,3-2 0,12-9 0,20-16 0,-23 18 0,1-3 0,2-3 0,-1-1 0,-1 0 0,-3 0 0,-5 4 0,-3 1 0,16-26 0,-9 10 0,-10 14 0,-9 12 0,-5 9 0,-5 7 0,-3 5 0,-1 4 0,0-2 0,2-4 0,6-4 0,4-5 0,2 1 0,-2 2 0,-5 4 0,-2 4 0,-3 1 0,-1 3 0,-2 0 0,-1 0 0,0 0 0,0-2 0,1-1 0,0-1 0,1 0 0,-2 1 0,-4 2 0,-7 2 0,-9 2 0,-8 1 0,-5 0 0,2 2 0,3 2 0,4 0 0,2 1 0,3-2 0,1-1 0,0-1 0,1 0 0,1 0 0,1 0 0,2 1 0,2 0 0,4 0 0,8 0 0,9-1 0,8-1 0,6-2 0,1-2 0,1-2 0,1-2 0,-2 0 0,-4 2 0,-5 1 0,-5 2 0,-6 2 0,-3 2 0,-3 0 0,-3 3 0,0 2 0,1 4 0,-1 5 0,0 7 0,0 4 0,-1 4 0,-1 1 0,-2-2 0,1-2 0,0-6 0,2-4 0,1-6 0,0-1 0,0-2 0,0-2 0,1-1 0,0-2 0,0-1 0,3-4 0,-1-11 0,0 7 0,-1-8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337AD9-A300-C745-9DFA-A7D074927688}" name="student" displayName="student" ref="A1:D7" totalsRowShown="0" headerRowDxfId="0" dataDxfId="1">
  <autoFilter ref="A1:D7" xr:uid="{15337AD9-A300-C745-9DFA-A7D074927688}"/>
  <tableColumns count="4">
    <tableColumn id="1" xr3:uid="{97565D46-2871-9C48-909F-0B6AD3E7EE44}" name="Student Id" dataDxfId="5"/>
    <tableColumn id="2" xr3:uid="{67DE9329-DE88-AF49-B7AF-E5B9D8F285AC}" name="Name" dataDxfId="4"/>
    <tableColumn id="3" xr3:uid="{77AFB6E4-53B5-D343-8B15-390F3690A0A1}" name="Course" dataDxfId="3"/>
    <tableColumn id="4" xr3:uid="{8D70E439-F1FF-3E4F-9FA0-BD580FCFF25C}" name="Phn Num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A6F71-E5BC-BC4D-B53A-74EFF1FA8AFF}">
  <dimension ref="A4:K46"/>
  <sheetViews>
    <sheetView topLeftCell="A36" zoomScale="216" workbookViewId="0">
      <selection activeCell="D44" sqref="D44:G44"/>
    </sheetView>
  </sheetViews>
  <sheetFormatPr baseColWidth="10" defaultRowHeight="16" x14ac:dyDescent="0.2"/>
  <sheetData>
    <row r="4" spans="1:9" x14ac:dyDescent="0.2">
      <c r="B4" t="s">
        <v>0</v>
      </c>
    </row>
    <row r="6" spans="1:9" x14ac:dyDescent="0.2">
      <c r="B6" t="s">
        <v>1</v>
      </c>
    </row>
    <row r="9" spans="1:9" x14ac:dyDescent="0.2">
      <c r="A9" s="1"/>
      <c r="B9" s="1"/>
      <c r="C9" s="1"/>
      <c r="D9" s="1"/>
      <c r="E9" s="1"/>
      <c r="F9" s="1"/>
      <c r="G9" s="1"/>
      <c r="H9" s="1"/>
      <c r="I9" s="1"/>
    </row>
    <row r="12" spans="1:9" x14ac:dyDescent="0.2">
      <c r="B12" t="s">
        <v>2</v>
      </c>
    </row>
    <row r="14" spans="1:9" x14ac:dyDescent="0.2">
      <c r="B14" t="s">
        <v>3</v>
      </c>
    </row>
    <row r="16" spans="1:9" x14ac:dyDescent="0.2">
      <c r="B16" t="s">
        <v>4</v>
      </c>
    </row>
    <row r="18" spans="2:4" x14ac:dyDescent="0.2">
      <c r="B18" t="s">
        <v>5</v>
      </c>
    </row>
    <row r="20" spans="2:4" x14ac:dyDescent="0.2">
      <c r="B20" t="s">
        <v>6</v>
      </c>
    </row>
    <row r="22" spans="2:4" x14ac:dyDescent="0.2">
      <c r="B22" s="1"/>
      <c r="C22" s="1"/>
      <c r="D22" s="1"/>
    </row>
    <row r="25" spans="2:4" x14ac:dyDescent="0.2">
      <c r="B25" t="s">
        <v>7</v>
      </c>
    </row>
    <row r="27" spans="2:4" x14ac:dyDescent="0.2">
      <c r="B27" t="s">
        <v>8</v>
      </c>
    </row>
    <row r="29" spans="2:4" x14ac:dyDescent="0.2">
      <c r="B29" t="s">
        <v>9</v>
      </c>
    </row>
    <row r="34" spans="2:11" x14ac:dyDescent="0.2">
      <c r="B34" s="5" t="s">
        <v>45</v>
      </c>
      <c r="C34" s="5"/>
      <c r="D34" s="5" t="s">
        <v>46</v>
      </c>
      <c r="E34" s="5"/>
      <c r="F34" s="6"/>
      <c r="G34" s="6"/>
      <c r="H34" s="6"/>
      <c r="I34" s="6"/>
      <c r="J34" s="6"/>
      <c r="K34" s="6"/>
    </row>
    <row r="35" spans="2:11" x14ac:dyDescent="0.2">
      <c r="B35" s="5"/>
      <c r="C35" s="5"/>
      <c r="D35" s="5"/>
      <c r="E35" s="5"/>
      <c r="F35" s="6"/>
      <c r="G35" s="6"/>
      <c r="H35" s="6"/>
      <c r="I35" s="6"/>
      <c r="J35" s="6"/>
      <c r="K35" s="6"/>
    </row>
    <row r="36" spans="2:11" x14ac:dyDescent="0.2">
      <c r="B36" s="5" t="s">
        <v>47</v>
      </c>
      <c r="C36" s="5"/>
      <c r="D36" s="5" t="s">
        <v>48</v>
      </c>
      <c r="E36" s="5"/>
      <c r="F36" s="6"/>
      <c r="G36" s="6"/>
      <c r="H36" s="6"/>
      <c r="I36" s="6"/>
      <c r="J36" s="6"/>
      <c r="K36" s="6"/>
    </row>
    <row r="37" spans="2:11" x14ac:dyDescent="0.2">
      <c r="B37" s="5"/>
      <c r="C37" s="5"/>
      <c r="D37" s="5"/>
      <c r="E37" s="5"/>
      <c r="F37" s="6"/>
      <c r="G37" s="6"/>
      <c r="H37" s="6"/>
      <c r="I37" s="6"/>
      <c r="J37" s="6"/>
      <c r="K37" s="6"/>
    </row>
    <row r="38" spans="2:11" x14ac:dyDescent="0.2">
      <c r="B38" s="5" t="s">
        <v>49</v>
      </c>
      <c r="C38" s="5"/>
      <c r="D38" s="5" t="s">
        <v>50</v>
      </c>
      <c r="E38" s="5"/>
      <c r="F38" s="6"/>
      <c r="G38" s="6"/>
      <c r="H38" s="6"/>
      <c r="I38" s="6"/>
      <c r="J38" s="6"/>
      <c r="K38" s="6"/>
    </row>
    <row r="39" spans="2:11" x14ac:dyDescent="0.2">
      <c r="B39" s="5"/>
      <c r="C39" s="5"/>
      <c r="D39" s="5"/>
      <c r="E39" s="5"/>
      <c r="F39" s="6"/>
      <c r="G39" s="6"/>
      <c r="H39" s="6"/>
      <c r="I39" s="6"/>
      <c r="J39" s="6"/>
      <c r="K39" s="6"/>
    </row>
    <row r="40" spans="2:11" x14ac:dyDescent="0.2">
      <c r="B40" s="6" t="s">
        <v>51</v>
      </c>
      <c r="C40" s="6"/>
      <c r="D40" s="6" t="s">
        <v>52</v>
      </c>
      <c r="E40" s="6"/>
      <c r="F40" s="6"/>
      <c r="G40" s="6"/>
      <c r="H40" s="6"/>
      <c r="I40" s="6"/>
      <c r="J40" s="6"/>
      <c r="K40" s="6"/>
    </row>
    <row r="41" spans="2:11" x14ac:dyDescent="0.2">
      <c r="B41" s="6"/>
      <c r="C41" s="6"/>
      <c r="D41" s="6"/>
      <c r="E41" s="6"/>
      <c r="F41" s="6"/>
      <c r="G41" s="6"/>
      <c r="H41" s="6"/>
      <c r="I41" s="6"/>
      <c r="J41" s="6"/>
      <c r="K41" s="6"/>
    </row>
    <row r="42" spans="2:11" x14ac:dyDescent="0.2">
      <c r="B42" s="7" t="s">
        <v>4</v>
      </c>
      <c r="C42" s="7"/>
      <c r="D42" s="7" t="s">
        <v>53</v>
      </c>
      <c r="E42" s="7"/>
      <c r="F42" s="7"/>
      <c r="G42" s="7"/>
      <c r="H42" s="6"/>
      <c r="I42" s="6"/>
      <c r="J42" s="6"/>
      <c r="K42" s="6" t="s">
        <v>54</v>
      </c>
    </row>
    <row r="43" spans="2:11" x14ac:dyDescent="0.2">
      <c r="B43" s="7"/>
      <c r="C43" s="7"/>
      <c r="D43" s="7"/>
      <c r="E43" s="7"/>
      <c r="F43" s="7"/>
      <c r="G43" s="7"/>
      <c r="H43" s="6"/>
      <c r="I43" s="6"/>
      <c r="J43" s="6"/>
      <c r="K43" s="6"/>
    </row>
    <row r="44" spans="2:11" x14ac:dyDescent="0.2">
      <c r="B44" s="7" t="s">
        <v>5</v>
      </c>
      <c r="C44" s="7"/>
      <c r="D44" s="7" t="s">
        <v>55</v>
      </c>
      <c r="E44" s="7"/>
      <c r="F44" s="7"/>
      <c r="G44" s="7"/>
      <c r="H44" s="6"/>
      <c r="I44" s="6"/>
      <c r="J44" s="6"/>
      <c r="K44" s="6" t="s">
        <v>56</v>
      </c>
    </row>
    <row r="45" spans="2:11" x14ac:dyDescent="0.2">
      <c r="B45" s="7"/>
      <c r="C45" s="7"/>
      <c r="D45" s="7"/>
      <c r="E45" s="7"/>
      <c r="F45" s="7"/>
      <c r="G45" s="7"/>
      <c r="H45" s="6"/>
      <c r="I45" s="6"/>
      <c r="J45" s="6"/>
      <c r="K45" s="6"/>
    </row>
    <row r="46" spans="2:11" x14ac:dyDescent="0.2">
      <c r="B46" s="7" t="s">
        <v>57</v>
      </c>
      <c r="C46" s="7"/>
      <c r="D46" s="7" t="s">
        <v>58</v>
      </c>
      <c r="E46" s="7"/>
      <c r="F46" s="7"/>
      <c r="G46" s="7"/>
      <c r="H46" s="6"/>
      <c r="I46" s="6"/>
      <c r="J46" s="6"/>
      <c r="K46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034D1-E7AD-8849-B09D-ABB40E9F50D1}">
  <dimension ref="A3:L134"/>
  <sheetViews>
    <sheetView topLeftCell="A48" zoomScale="164" workbookViewId="0">
      <selection activeCell="B57" sqref="B57:G61"/>
    </sheetView>
  </sheetViews>
  <sheetFormatPr baseColWidth="10" defaultRowHeight="16" x14ac:dyDescent="0.2"/>
  <sheetData>
    <row r="3" spans="2:5" x14ac:dyDescent="0.2">
      <c r="B3" t="s">
        <v>10</v>
      </c>
      <c r="D3" t="s">
        <v>11</v>
      </c>
    </row>
    <row r="5" spans="2:5" x14ac:dyDescent="0.2">
      <c r="B5" t="s">
        <v>12</v>
      </c>
      <c r="D5" t="s">
        <v>13</v>
      </c>
    </row>
    <row r="9" spans="2:5" x14ac:dyDescent="0.2">
      <c r="B9">
        <f>ROW()</f>
        <v>9</v>
      </c>
      <c r="D9" t="str">
        <f>"=ROW()"</f>
        <v>=ROW()</v>
      </c>
    </row>
    <row r="10" spans="2:5" x14ac:dyDescent="0.2">
      <c r="B10">
        <f>COLUMN()</f>
        <v>2</v>
      </c>
      <c r="D10" t="str">
        <f>"=COLUMN()"</f>
        <v>=COLUMN()</v>
      </c>
    </row>
    <row r="12" spans="2:5" x14ac:dyDescent="0.2">
      <c r="B12" s="1"/>
      <c r="C12" s="1"/>
      <c r="D12" s="1"/>
      <c r="E12" s="1"/>
    </row>
    <row r="14" spans="2:5" x14ac:dyDescent="0.2">
      <c r="B14" t="s">
        <v>14</v>
      </c>
      <c r="D14" t="s">
        <v>16</v>
      </c>
    </row>
    <row r="16" spans="2:5" x14ac:dyDescent="0.2">
      <c r="B16" t="s">
        <v>15</v>
      </c>
      <c r="D16" t="s">
        <v>17</v>
      </c>
    </row>
    <row r="19" spans="2:10" x14ac:dyDescent="0.2">
      <c r="B19">
        <f>ROWS(I12:I18)</f>
        <v>7</v>
      </c>
      <c r="D19" t="str">
        <f>"=ROWS(I12:I18)"</f>
        <v>=ROWS(I12:I18)</v>
      </c>
    </row>
    <row r="21" spans="2:10" x14ac:dyDescent="0.2">
      <c r="B21">
        <f>COLUMNS(H18:K18)</f>
        <v>4</v>
      </c>
      <c r="D21" t="str">
        <f>"=COLUMNS(H18:K18)"</f>
        <v>=COLUMNS(H18:K18)</v>
      </c>
    </row>
    <row r="24" spans="2:10" x14ac:dyDescent="0.2">
      <c r="B24" s="1"/>
      <c r="C24" s="1"/>
      <c r="D24" s="1"/>
      <c r="E24" s="1"/>
      <c r="F24" s="1"/>
      <c r="G24" s="1"/>
      <c r="H24" s="1"/>
    </row>
    <row r="26" spans="2:10" x14ac:dyDescent="0.2">
      <c r="B26" t="s">
        <v>18</v>
      </c>
      <c r="D26" t="s">
        <v>35</v>
      </c>
    </row>
    <row r="28" spans="2:10" x14ac:dyDescent="0.2">
      <c r="D28" t="s">
        <v>36</v>
      </c>
    </row>
    <row r="31" spans="2:10" x14ac:dyDescent="0.2">
      <c r="D31" s="2"/>
      <c r="E31" s="4" t="s">
        <v>20</v>
      </c>
      <c r="F31" s="4" t="s">
        <v>21</v>
      </c>
      <c r="G31" s="4" t="s">
        <v>22</v>
      </c>
    </row>
    <row r="32" spans="2:10" x14ac:dyDescent="0.2">
      <c r="D32" s="4" t="s">
        <v>23</v>
      </c>
      <c r="E32" s="2">
        <v>2</v>
      </c>
      <c r="F32" s="2">
        <v>10</v>
      </c>
      <c r="G32" s="2">
        <v>15</v>
      </c>
      <c r="J32">
        <f>INDEX(E32:G36,2,3)</f>
        <v>17</v>
      </c>
    </row>
    <row r="33" spans="2:7" x14ac:dyDescent="0.2">
      <c r="D33" s="4" t="s">
        <v>24</v>
      </c>
      <c r="E33" s="2">
        <v>10</v>
      </c>
      <c r="F33" s="2">
        <v>12</v>
      </c>
      <c r="G33" s="2">
        <v>17</v>
      </c>
    </row>
    <row r="34" spans="2:7" x14ac:dyDescent="0.2">
      <c r="D34" s="4" t="s">
        <v>25</v>
      </c>
      <c r="E34" s="2">
        <v>20</v>
      </c>
      <c r="F34" s="2">
        <v>20</v>
      </c>
      <c r="G34" s="2">
        <v>20</v>
      </c>
    </row>
    <row r="35" spans="2:7" x14ac:dyDescent="0.2">
      <c r="D35" s="4" t="s">
        <v>26</v>
      </c>
      <c r="E35" s="2">
        <v>6</v>
      </c>
      <c r="F35" s="2">
        <v>4</v>
      </c>
      <c r="G35" s="2">
        <v>8</v>
      </c>
    </row>
    <row r="36" spans="2:7" x14ac:dyDescent="0.2">
      <c r="D36" s="4" t="s">
        <v>27</v>
      </c>
      <c r="E36" s="2">
        <v>2</v>
      </c>
      <c r="F36" s="2">
        <v>3</v>
      </c>
      <c r="G36" s="2">
        <v>5</v>
      </c>
    </row>
    <row r="39" spans="2:7" x14ac:dyDescent="0.2">
      <c r="B39">
        <v>1</v>
      </c>
      <c r="C39">
        <v>2</v>
      </c>
      <c r="D39">
        <v>3</v>
      </c>
      <c r="E39">
        <v>4</v>
      </c>
    </row>
    <row r="40" spans="2:7" ht="20" x14ac:dyDescent="0.2">
      <c r="B40" t="s">
        <v>28</v>
      </c>
      <c r="C40" t="s">
        <v>29</v>
      </c>
      <c r="D40" t="s">
        <v>30</v>
      </c>
      <c r="E40" t="s">
        <v>31</v>
      </c>
      <c r="F40" s="3"/>
      <c r="G40" s="3"/>
    </row>
    <row r="41" spans="2:7" ht="20" x14ac:dyDescent="0.2">
      <c r="D41" s="3"/>
      <c r="E41" s="3"/>
      <c r="F41" s="3"/>
      <c r="G41" s="3"/>
    </row>
    <row r="42" spans="2:7" ht="20" x14ac:dyDescent="0.2">
      <c r="B42" t="s">
        <v>32</v>
      </c>
      <c r="D42" s="3"/>
      <c r="E42" s="3" t="s">
        <v>5</v>
      </c>
      <c r="F42" s="3"/>
      <c r="G42" s="3"/>
    </row>
    <row r="43" spans="2:7" ht="20" x14ac:dyDescent="0.2">
      <c r="C43" t="s">
        <v>34</v>
      </c>
      <c r="D43" s="3"/>
      <c r="E43" s="3"/>
      <c r="F43" s="3"/>
      <c r="G43" s="3"/>
    </row>
    <row r="44" spans="2:7" ht="20" x14ac:dyDescent="0.2">
      <c r="B44" t="s">
        <v>33</v>
      </c>
      <c r="C44">
        <f>MATCH("orange",B40:E40,0)</f>
        <v>2</v>
      </c>
      <c r="D44" s="3"/>
      <c r="E44" s="3"/>
      <c r="F44" s="3"/>
      <c r="G44" s="3"/>
    </row>
    <row r="45" spans="2:7" ht="20" x14ac:dyDescent="0.2">
      <c r="D45" s="3"/>
      <c r="E45" s="3"/>
      <c r="F45" s="3"/>
      <c r="G45" s="3"/>
    </row>
    <row r="48" spans="2:7" x14ac:dyDescent="0.2">
      <c r="B48">
        <v>1</v>
      </c>
      <c r="C48">
        <v>5</v>
      </c>
      <c r="D48">
        <v>8</v>
      </c>
      <c r="E48">
        <v>9</v>
      </c>
      <c r="F48">
        <v>10</v>
      </c>
      <c r="G48">
        <v>13</v>
      </c>
    </row>
    <row r="50" spans="2:7" x14ac:dyDescent="0.2">
      <c r="B50">
        <f>20-B48</f>
        <v>19</v>
      </c>
      <c r="C50">
        <f t="shared" ref="C50:G50" si="0">20-C48</f>
        <v>15</v>
      </c>
      <c r="D50">
        <f t="shared" si="0"/>
        <v>12</v>
      </c>
      <c r="E50">
        <f t="shared" si="0"/>
        <v>11</v>
      </c>
      <c r="F50">
        <f t="shared" si="0"/>
        <v>10</v>
      </c>
      <c r="G50">
        <v>5</v>
      </c>
    </row>
    <row r="52" spans="2:7" x14ac:dyDescent="0.2">
      <c r="C52">
        <f>MATCH(6,B48:G48)</f>
        <v>2</v>
      </c>
    </row>
    <row r="55" spans="2:7" x14ac:dyDescent="0.2">
      <c r="B55" t="s">
        <v>37</v>
      </c>
    </row>
    <row r="57" spans="2:7" x14ac:dyDescent="0.2">
      <c r="B57" t="s">
        <v>42</v>
      </c>
      <c r="C57" t="s">
        <v>39</v>
      </c>
      <c r="D57" t="s">
        <v>38</v>
      </c>
    </row>
    <row r="59" spans="2:7" x14ac:dyDescent="0.2">
      <c r="B59">
        <v>0</v>
      </c>
      <c r="C59" t="s">
        <v>40</v>
      </c>
      <c r="D59" t="s">
        <v>41</v>
      </c>
    </row>
    <row r="61" spans="2:7" x14ac:dyDescent="0.2">
      <c r="B61">
        <v>-1</v>
      </c>
      <c r="C61" t="s">
        <v>43</v>
      </c>
      <c r="D61" t="s">
        <v>44</v>
      </c>
    </row>
    <row r="64" spans="2:7" x14ac:dyDescent="0.2">
      <c r="B64" t="s">
        <v>19</v>
      </c>
    </row>
    <row r="66" spans="2:9" x14ac:dyDescent="0.2">
      <c r="B66" t="s">
        <v>59</v>
      </c>
      <c r="E66" t="s">
        <v>60</v>
      </c>
    </row>
    <row r="69" spans="2:9" x14ac:dyDescent="0.2">
      <c r="B69" s="6" t="s">
        <v>28</v>
      </c>
      <c r="C69" s="6" t="s">
        <v>29</v>
      </c>
      <c r="D69" s="6" t="s">
        <v>30</v>
      </c>
      <c r="E69" s="6" t="s">
        <v>31</v>
      </c>
      <c r="I69" s="6" t="s">
        <v>28</v>
      </c>
    </row>
    <row r="70" spans="2:9" x14ac:dyDescent="0.2">
      <c r="I70" s="6" t="s">
        <v>29</v>
      </c>
    </row>
    <row r="71" spans="2:9" x14ac:dyDescent="0.2">
      <c r="C71" t="str">
        <f>INDEX(B69:E69,1,2)</f>
        <v>Orange</v>
      </c>
      <c r="I71" s="6" t="s">
        <v>30</v>
      </c>
    </row>
    <row r="72" spans="2:9" x14ac:dyDescent="0.2">
      <c r="I72" s="6" t="s">
        <v>31</v>
      </c>
    </row>
    <row r="78" spans="2:9" x14ac:dyDescent="0.2">
      <c r="B78" t="s">
        <v>61</v>
      </c>
      <c r="F78" t="str">
        <f>INDEX(I69:I72,3)</f>
        <v>Guava</v>
      </c>
    </row>
    <row r="80" spans="2:9" x14ac:dyDescent="0.2">
      <c r="B80" t="s">
        <v>62</v>
      </c>
    </row>
    <row r="82" spans="2:8" x14ac:dyDescent="0.2">
      <c r="B82" t="s">
        <v>63</v>
      </c>
    </row>
    <row r="85" spans="2:8" x14ac:dyDescent="0.2">
      <c r="E85" s="2"/>
      <c r="F85" s="4" t="s">
        <v>20</v>
      </c>
      <c r="G85" s="4" t="s">
        <v>21</v>
      </c>
      <c r="H85" s="4" t="s">
        <v>22</v>
      </c>
    </row>
    <row r="86" spans="2:8" x14ac:dyDescent="0.2">
      <c r="E86" s="4" t="s">
        <v>23</v>
      </c>
      <c r="F86" s="2">
        <v>2</v>
      </c>
      <c r="G86" s="2">
        <v>10</v>
      </c>
      <c r="H86" s="2">
        <v>15</v>
      </c>
    </row>
    <row r="87" spans="2:8" x14ac:dyDescent="0.2">
      <c r="E87" s="4" t="s">
        <v>24</v>
      </c>
      <c r="F87" s="2">
        <v>10</v>
      </c>
      <c r="G87" s="2">
        <v>12</v>
      </c>
      <c r="H87" s="2">
        <v>17</v>
      </c>
    </row>
    <row r="88" spans="2:8" x14ac:dyDescent="0.2">
      <c r="E88" s="4" t="s">
        <v>25</v>
      </c>
      <c r="F88" s="2">
        <v>20</v>
      </c>
      <c r="G88" s="2">
        <v>20</v>
      </c>
      <c r="H88" s="2">
        <v>20</v>
      </c>
    </row>
    <row r="89" spans="2:8" x14ac:dyDescent="0.2">
      <c r="E89" s="4" t="s">
        <v>26</v>
      </c>
      <c r="F89" s="2">
        <v>6</v>
      </c>
      <c r="G89" s="2">
        <v>4</v>
      </c>
      <c r="H89" s="2">
        <v>8</v>
      </c>
    </row>
    <row r="90" spans="2:8" x14ac:dyDescent="0.2">
      <c r="E90" s="4" t="s">
        <v>27</v>
      </c>
      <c r="F90" s="2">
        <v>2</v>
      </c>
      <c r="G90" s="2">
        <v>3</v>
      </c>
      <c r="H90" s="2">
        <v>5</v>
      </c>
    </row>
    <row r="93" spans="2:8" x14ac:dyDescent="0.2">
      <c r="H93" t="s">
        <v>64</v>
      </c>
    </row>
    <row r="94" spans="2:8" x14ac:dyDescent="0.2">
      <c r="F94" t="s">
        <v>75</v>
      </c>
      <c r="G94" t="s">
        <v>76</v>
      </c>
      <c r="H94">
        <f>INDEX(F86:H90,MATCH(G94,E86:E90,0),MATCH(F94,F85:H85,0))</f>
        <v>17</v>
      </c>
    </row>
    <row r="96" spans="2:8" x14ac:dyDescent="0.2">
      <c r="F96" t="s">
        <v>69</v>
      </c>
      <c r="G96" t="s">
        <v>68</v>
      </c>
    </row>
    <row r="99" spans="4:6" x14ac:dyDescent="0.2">
      <c r="D99" t="s">
        <v>65</v>
      </c>
      <c r="F99" t="str">
        <f>"=MATCH(G94,E86:E90,0)"</f>
        <v>=MATCH(G94,E86:E90,0)</v>
      </c>
    </row>
    <row r="101" spans="4:6" x14ac:dyDescent="0.2">
      <c r="D101" t="s">
        <v>66</v>
      </c>
      <c r="F101" t="str">
        <f>"=MATCH(F94,F85:H85,0)"</f>
        <v>=MATCH(F94,F85:H85,0)</v>
      </c>
    </row>
    <row r="103" spans="4:6" x14ac:dyDescent="0.2">
      <c r="D103" t="s">
        <v>4</v>
      </c>
      <c r="F103" t="s">
        <v>67</v>
      </c>
    </row>
    <row r="114" spans="1:12" x14ac:dyDescent="0.2">
      <c r="D114" t="s">
        <v>70</v>
      </c>
      <c r="G114" t="s">
        <v>71</v>
      </c>
    </row>
    <row r="116" spans="1:12" x14ac:dyDescent="0.2">
      <c r="D116" t="s">
        <v>72</v>
      </c>
      <c r="G116" t="s">
        <v>73</v>
      </c>
    </row>
    <row r="119" spans="1:12" x14ac:dyDescent="0.2">
      <c r="D119" t="s">
        <v>74</v>
      </c>
    </row>
    <row r="124" spans="1:12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7" spans="1:12" x14ac:dyDescent="0.2">
      <c r="B127" t="s">
        <v>77</v>
      </c>
    </row>
    <row r="130" spans="2:4" x14ac:dyDescent="0.2">
      <c r="B130" t="s">
        <v>7</v>
      </c>
      <c r="D130" t="s">
        <v>79</v>
      </c>
    </row>
    <row r="132" spans="2:4" x14ac:dyDescent="0.2">
      <c r="B132" t="s">
        <v>8</v>
      </c>
      <c r="D132" t="s">
        <v>80</v>
      </c>
    </row>
    <row r="134" spans="2:4" x14ac:dyDescent="0.2">
      <c r="B134" t="s">
        <v>9</v>
      </c>
      <c r="D134" t="s">
        <v>78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F484C-E8D1-C242-B2DC-D5F959535B34}">
  <dimension ref="A1:I38"/>
  <sheetViews>
    <sheetView zoomScale="200" workbookViewId="0">
      <selection activeCell="A2" sqref="A2:A7"/>
    </sheetView>
  </sheetViews>
  <sheetFormatPr baseColWidth="10" defaultRowHeight="16" x14ac:dyDescent="0.2"/>
  <sheetData>
    <row r="1" spans="1:9" x14ac:dyDescent="0.2">
      <c r="A1" s="8" t="s">
        <v>81</v>
      </c>
      <c r="B1" s="8" t="s">
        <v>82</v>
      </c>
      <c r="C1" s="8" t="s">
        <v>83</v>
      </c>
      <c r="D1" s="8" t="s">
        <v>84</v>
      </c>
      <c r="E1" s="8"/>
    </row>
    <row r="2" spans="1:9" x14ac:dyDescent="0.2">
      <c r="A2" s="5">
        <v>1201</v>
      </c>
      <c r="B2" s="5" t="s">
        <v>85</v>
      </c>
      <c r="C2" s="5" t="s">
        <v>86</v>
      </c>
      <c r="D2" s="5" t="s">
        <v>87</v>
      </c>
      <c r="E2" s="5"/>
    </row>
    <row r="3" spans="1:9" x14ac:dyDescent="0.2">
      <c r="A3" s="5">
        <v>1202</v>
      </c>
      <c r="B3" s="5" t="s">
        <v>88</v>
      </c>
      <c r="C3" s="5" t="s">
        <v>89</v>
      </c>
      <c r="D3" s="5" t="s">
        <v>90</v>
      </c>
      <c r="E3" s="5"/>
    </row>
    <row r="4" spans="1:9" x14ac:dyDescent="0.2">
      <c r="A4" s="5">
        <v>1205</v>
      </c>
      <c r="B4" s="5" t="s">
        <v>91</v>
      </c>
      <c r="C4" s="5" t="s">
        <v>92</v>
      </c>
      <c r="D4" s="5" t="s">
        <v>93</v>
      </c>
      <c r="E4" s="5"/>
    </row>
    <row r="5" spans="1:9" x14ac:dyDescent="0.2">
      <c r="A5" s="5">
        <v>1204</v>
      </c>
      <c r="B5" s="5" t="s">
        <v>94</v>
      </c>
      <c r="C5" s="5" t="s">
        <v>95</v>
      </c>
      <c r="D5" s="5" t="s">
        <v>96</v>
      </c>
      <c r="E5" s="5"/>
    </row>
    <row r="6" spans="1:9" x14ac:dyDescent="0.2">
      <c r="A6" s="5">
        <v>1205</v>
      </c>
      <c r="B6" s="5" t="s">
        <v>97</v>
      </c>
      <c r="C6" s="5" t="s">
        <v>98</v>
      </c>
      <c r="D6" s="5" t="s">
        <v>99</v>
      </c>
      <c r="E6" s="5"/>
    </row>
    <row r="7" spans="1:9" x14ac:dyDescent="0.2">
      <c r="A7" s="5">
        <v>1206</v>
      </c>
      <c r="B7" s="5" t="s">
        <v>100</v>
      </c>
      <c r="C7" s="5" t="s">
        <v>101</v>
      </c>
      <c r="D7" s="5" t="s">
        <v>102</v>
      </c>
      <c r="E7" s="5"/>
      <c r="H7" t="s">
        <v>105</v>
      </c>
      <c r="I7" t="s">
        <v>104</v>
      </c>
    </row>
    <row r="8" spans="1:9" x14ac:dyDescent="0.2">
      <c r="H8" s="5" t="s">
        <v>88</v>
      </c>
      <c r="I8" t="str">
        <f>VLOOKUP(H8,B2:D7,2,FALSE)</f>
        <v>Bsc Chem</v>
      </c>
    </row>
    <row r="10" spans="1:9" x14ac:dyDescent="0.2">
      <c r="B10" s="5" t="s">
        <v>103</v>
      </c>
      <c r="C10" s="5" t="s">
        <v>105</v>
      </c>
      <c r="H10" t="s">
        <v>105</v>
      </c>
      <c r="I10" t="s">
        <v>112</v>
      </c>
    </row>
    <row r="11" spans="1:9" x14ac:dyDescent="0.2">
      <c r="B11">
        <v>1206</v>
      </c>
      <c r="C11" t="str">
        <f>VLOOKUP(B11,A2:D7,2,FALSE)</f>
        <v>Sonam</v>
      </c>
      <c r="E11" t="str">
        <f>"=VLOOKUP(B11,A2:D7,3)"</f>
        <v>=VLOOKUP(B11,A2:D7,3)</v>
      </c>
      <c r="H11" s="5" t="s">
        <v>88</v>
      </c>
    </row>
    <row r="12" spans="1:9" x14ac:dyDescent="0.2">
      <c r="C12" t="str">
        <f>VLOOKUP(B11,student[],2,FALSE)</f>
        <v>Sonam</v>
      </c>
    </row>
    <row r="14" spans="1:9" x14ac:dyDescent="0.2">
      <c r="B14" t="s">
        <v>7</v>
      </c>
    </row>
    <row r="24" spans="2:2" ht="20" x14ac:dyDescent="0.25">
      <c r="B24" s="9" t="s">
        <v>106</v>
      </c>
    </row>
    <row r="26" spans="2:2" x14ac:dyDescent="0.2">
      <c r="B26" s="10" t="s">
        <v>111</v>
      </c>
    </row>
    <row r="27" spans="2:2" x14ac:dyDescent="0.2">
      <c r="B27" s="6" t="s">
        <v>107</v>
      </c>
    </row>
    <row r="28" spans="2:2" x14ac:dyDescent="0.2">
      <c r="B28" s="6" t="s">
        <v>108</v>
      </c>
    </row>
    <row r="29" spans="2:2" x14ac:dyDescent="0.2">
      <c r="B29" s="6" t="s">
        <v>109</v>
      </c>
    </row>
    <row r="30" spans="2:2" x14ac:dyDescent="0.2">
      <c r="B30" s="6" t="s">
        <v>110</v>
      </c>
    </row>
    <row r="35" spans="2:5" x14ac:dyDescent="0.2">
      <c r="B35" t="s">
        <v>112</v>
      </c>
      <c r="C35" t="s">
        <v>83</v>
      </c>
      <c r="D35" t="s">
        <v>113</v>
      </c>
      <c r="E35" t="s">
        <v>114</v>
      </c>
    </row>
    <row r="36" spans="2:5" x14ac:dyDescent="0.2">
      <c r="B36">
        <v>1202</v>
      </c>
      <c r="C36" t="str">
        <f>VLOOKUP($B$36,$A$2:$D$7,3,0)</f>
        <v>Bsc Chem</v>
      </c>
      <c r="D36" t="str">
        <f>VLOOKUP($B$36,$A$2:$D$7,4,0)</f>
        <v>Fake num 2</v>
      </c>
      <c r="E36">
        <f>VLOOKUP($B$36,$A$2:$D$7,1,0)</f>
        <v>1202</v>
      </c>
    </row>
    <row r="38" spans="2:5" x14ac:dyDescent="0.2">
      <c r="C38" t="str" cm="1">
        <f t="array" ref="C38:E38">VLOOKUP($B$36,$A$2:$D$7,{3,4,2},0)</f>
        <v>Bsc Chem</v>
      </c>
      <c r="D38" t="str">
        <v>Fake num 2</v>
      </c>
      <c r="E38" t="str">
        <v>Shyaam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048BF-8BB2-2849-B087-1B7FC5E6CA01}">
  <dimension ref="A1:G20"/>
  <sheetViews>
    <sheetView zoomScale="229" workbookViewId="0">
      <selection activeCell="C10" sqref="C10"/>
    </sheetView>
  </sheetViews>
  <sheetFormatPr baseColWidth="10" defaultRowHeight="16" x14ac:dyDescent="0.2"/>
  <sheetData>
    <row r="1" spans="1:7" x14ac:dyDescent="0.2">
      <c r="A1" s="8" t="s">
        <v>81</v>
      </c>
      <c r="B1" s="5">
        <v>1201</v>
      </c>
      <c r="C1" s="5">
        <v>1202</v>
      </c>
      <c r="D1" s="5">
        <v>1203</v>
      </c>
      <c r="E1" s="5">
        <v>1204</v>
      </c>
      <c r="F1" s="5">
        <v>1205</v>
      </c>
      <c r="G1" s="5">
        <v>1206</v>
      </c>
    </row>
    <row r="2" spans="1:7" x14ac:dyDescent="0.2">
      <c r="A2" s="8" t="s">
        <v>82</v>
      </c>
      <c r="B2" s="5" t="s">
        <v>85</v>
      </c>
      <c r="C2" s="5" t="s">
        <v>88</v>
      </c>
      <c r="D2" s="5" t="s">
        <v>91</v>
      </c>
      <c r="E2" s="5" t="s">
        <v>94</v>
      </c>
      <c r="F2" s="5" t="s">
        <v>97</v>
      </c>
      <c r="G2" s="5" t="s">
        <v>100</v>
      </c>
    </row>
    <row r="3" spans="1:7" x14ac:dyDescent="0.2">
      <c r="A3" s="8" t="s">
        <v>83</v>
      </c>
      <c r="B3" s="5" t="s">
        <v>86</v>
      </c>
      <c r="C3" s="5" t="s">
        <v>89</v>
      </c>
      <c r="D3" s="5" t="s">
        <v>92</v>
      </c>
      <c r="E3" s="5" t="s">
        <v>95</v>
      </c>
      <c r="F3" s="5" t="s">
        <v>98</v>
      </c>
      <c r="G3" s="5" t="s">
        <v>101</v>
      </c>
    </row>
    <row r="4" spans="1:7" x14ac:dyDescent="0.2">
      <c r="A4" s="8" t="s">
        <v>84</v>
      </c>
      <c r="B4" s="5" t="s">
        <v>87</v>
      </c>
      <c r="C4" s="5" t="s">
        <v>90</v>
      </c>
      <c r="D4" s="5" t="s">
        <v>93</v>
      </c>
      <c r="E4" s="5" t="s">
        <v>96</v>
      </c>
      <c r="F4" s="5" t="s">
        <v>99</v>
      </c>
      <c r="G4" s="5" t="s">
        <v>102</v>
      </c>
    </row>
    <row r="8" spans="1:7" x14ac:dyDescent="0.2">
      <c r="B8" t="s">
        <v>115</v>
      </c>
      <c r="C8" t="s">
        <v>105</v>
      </c>
    </row>
    <row r="9" spans="1:7" x14ac:dyDescent="0.2">
      <c r="B9">
        <v>1203</v>
      </c>
      <c r="C9" t="str" cm="1">
        <f t="array" ref="C9:E9">HLOOKUP(B9,A1:G4,{2,3,4},0)</f>
        <v>Meena</v>
      </c>
      <c r="D9" t="str">
        <v>Ba History</v>
      </c>
      <c r="E9" t="str">
        <v>Fake num 3</v>
      </c>
    </row>
    <row r="13" spans="1:7" x14ac:dyDescent="0.2">
      <c r="B13" s="6" t="s">
        <v>116</v>
      </c>
    </row>
    <row r="14" spans="1:7" x14ac:dyDescent="0.2">
      <c r="B14" s="6"/>
    </row>
    <row r="15" spans="1:7" x14ac:dyDescent="0.2">
      <c r="B15" s="6" t="s">
        <v>117</v>
      </c>
    </row>
    <row r="16" spans="1:7" x14ac:dyDescent="0.2">
      <c r="B16" s="11" t="s">
        <v>111</v>
      </c>
    </row>
    <row r="17" spans="2:2" x14ac:dyDescent="0.2">
      <c r="B17" s="6" t="s">
        <v>118</v>
      </c>
    </row>
    <row r="18" spans="2:2" x14ac:dyDescent="0.2">
      <c r="B18" s="6" t="s">
        <v>108</v>
      </c>
    </row>
    <row r="19" spans="2:2" x14ac:dyDescent="0.2">
      <c r="B19" s="6" t="s">
        <v>119</v>
      </c>
    </row>
    <row r="20" spans="2:2" x14ac:dyDescent="0.2">
      <c r="B20" s="6" t="s">
        <v>110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3F4CA-E987-294C-AEE5-5A29FD27B695}">
  <dimension ref="A1:C12"/>
  <sheetViews>
    <sheetView topLeftCell="A7" zoomScale="135" workbookViewId="0">
      <selection activeCell="C7" sqref="C7"/>
    </sheetView>
  </sheetViews>
  <sheetFormatPr baseColWidth="10" defaultRowHeight="16" x14ac:dyDescent="0.2"/>
  <cols>
    <col min="1" max="1" width="29.83203125" bestFit="1" customWidth="1"/>
    <col min="2" max="2" width="33.83203125" customWidth="1"/>
    <col min="3" max="3" width="31.1640625" customWidth="1"/>
  </cols>
  <sheetData>
    <row r="1" spans="1:3" ht="34" x14ac:dyDescent="0.2">
      <c r="A1" s="12" t="s">
        <v>120</v>
      </c>
      <c r="B1" s="13" t="s">
        <v>121</v>
      </c>
      <c r="C1" s="13" t="s">
        <v>122</v>
      </c>
    </row>
    <row r="2" spans="1:3" ht="86" x14ac:dyDescent="0.2">
      <c r="A2" s="14" t="s">
        <v>123</v>
      </c>
      <c r="B2" s="15" t="s">
        <v>124</v>
      </c>
      <c r="C2" s="15" t="s">
        <v>125</v>
      </c>
    </row>
    <row r="3" spans="1:3" ht="119" x14ac:dyDescent="0.2">
      <c r="A3" s="16" t="s">
        <v>126</v>
      </c>
      <c r="B3" s="17" t="s">
        <v>127</v>
      </c>
      <c r="C3" s="17" t="s">
        <v>128</v>
      </c>
    </row>
    <row r="4" spans="1:3" ht="170" x14ac:dyDescent="0.2">
      <c r="A4" s="14" t="s">
        <v>129</v>
      </c>
      <c r="B4" s="15" t="s">
        <v>130</v>
      </c>
      <c r="C4" s="15" t="s">
        <v>131</v>
      </c>
    </row>
    <row r="5" spans="1:3" ht="121" x14ac:dyDescent="0.2">
      <c r="A5" s="16" t="s">
        <v>116</v>
      </c>
      <c r="B5" s="17" t="s">
        <v>132</v>
      </c>
      <c r="C5" s="17" t="s">
        <v>133</v>
      </c>
    </row>
    <row r="6" spans="1:3" ht="153" x14ac:dyDescent="0.2">
      <c r="A6" s="14" t="s">
        <v>134</v>
      </c>
      <c r="B6" s="15" t="s">
        <v>135</v>
      </c>
      <c r="C6" s="15" t="s">
        <v>136</v>
      </c>
    </row>
    <row r="7" spans="1:3" ht="189" x14ac:dyDescent="0.2">
      <c r="A7" s="16" t="s">
        <v>137</v>
      </c>
      <c r="B7" s="17" t="s">
        <v>138</v>
      </c>
      <c r="C7" s="17" t="s">
        <v>139</v>
      </c>
    </row>
    <row r="8" spans="1:3" ht="136" x14ac:dyDescent="0.2">
      <c r="A8" s="14" t="s">
        <v>140</v>
      </c>
      <c r="B8" s="15" t="s">
        <v>141</v>
      </c>
      <c r="C8" s="15" t="s">
        <v>142</v>
      </c>
    </row>
    <row r="9" spans="1:3" ht="136" x14ac:dyDescent="0.2">
      <c r="A9" s="16" t="s">
        <v>143</v>
      </c>
      <c r="B9" s="17" t="s">
        <v>144</v>
      </c>
      <c r="C9" s="17" t="s">
        <v>145</v>
      </c>
    </row>
    <row r="10" spans="1:3" ht="187" x14ac:dyDescent="0.2">
      <c r="A10" s="14" t="s">
        <v>146</v>
      </c>
      <c r="B10" s="15" t="s">
        <v>147</v>
      </c>
      <c r="C10" s="15" t="s">
        <v>148</v>
      </c>
    </row>
    <row r="11" spans="1:3" ht="188" x14ac:dyDescent="0.25">
      <c r="A11" s="16" t="s">
        <v>149</v>
      </c>
      <c r="B11" s="17" t="s">
        <v>150</v>
      </c>
      <c r="C11" s="17" t="s">
        <v>151</v>
      </c>
    </row>
    <row r="12" spans="1:3" ht="119" x14ac:dyDescent="0.2">
      <c r="A12" s="14" t="s">
        <v>152</v>
      </c>
      <c r="B12" s="15" t="s">
        <v>153</v>
      </c>
      <c r="C12" s="15" t="s">
        <v>154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CD0B3-108F-9F49-B381-4F08BCFDB307}">
  <dimension ref="A1:H45"/>
  <sheetViews>
    <sheetView tabSelected="1" topLeftCell="A9" zoomScale="230" workbookViewId="0">
      <selection activeCell="F14" sqref="F14"/>
    </sheetView>
  </sheetViews>
  <sheetFormatPr baseColWidth="10" defaultRowHeight="16" x14ac:dyDescent="0.2"/>
  <sheetData>
    <row r="1" spans="1:5" x14ac:dyDescent="0.2">
      <c r="A1" t="s">
        <v>81</v>
      </c>
      <c r="B1" t="s">
        <v>82</v>
      </c>
      <c r="C1" t="s">
        <v>83</v>
      </c>
      <c r="D1" t="s">
        <v>84</v>
      </c>
    </row>
    <row r="2" spans="1:5" x14ac:dyDescent="0.2">
      <c r="A2">
        <v>1201</v>
      </c>
      <c r="B2" t="s">
        <v>85</v>
      </c>
      <c r="C2" t="s">
        <v>86</v>
      </c>
      <c r="D2" t="s">
        <v>87</v>
      </c>
    </row>
    <row r="3" spans="1:5" x14ac:dyDescent="0.2">
      <c r="A3">
        <v>1202</v>
      </c>
      <c r="B3" t="s">
        <v>88</v>
      </c>
      <c r="C3" t="s">
        <v>89</v>
      </c>
      <c r="D3" t="s">
        <v>90</v>
      </c>
    </row>
    <row r="4" spans="1:5" x14ac:dyDescent="0.2">
      <c r="A4">
        <v>1205</v>
      </c>
      <c r="B4" t="s">
        <v>91</v>
      </c>
      <c r="C4" t="s">
        <v>92</v>
      </c>
      <c r="D4" t="s">
        <v>93</v>
      </c>
    </row>
    <row r="5" spans="1:5" x14ac:dyDescent="0.2">
      <c r="A5">
        <v>1204</v>
      </c>
      <c r="B5" t="s">
        <v>94</v>
      </c>
      <c r="C5" t="s">
        <v>95</v>
      </c>
      <c r="D5" t="s">
        <v>96</v>
      </c>
    </row>
    <row r="6" spans="1:5" x14ac:dyDescent="0.2">
      <c r="A6">
        <v>1205</v>
      </c>
      <c r="B6" t="s">
        <v>97</v>
      </c>
      <c r="C6" t="s">
        <v>98</v>
      </c>
      <c r="D6" t="s">
        <v>99</v>
      </c>
    </row>
    <row r="7" spans="1:5" x14ac:dyDescent="0.2">
      <c r="A7">
        <v>1206</v>
      </c>
      <c r="B7" t="s">
        <v>100</v>
      </c>
      <c r="C7" t="s">
        <v>101</v>
      </c>
      <c r="D7" t="s">
        <v>102</v>
      </c>
    </row>
    <row r="11" spans="1:5" x14ac:dyDescent="0.2">
      <c r="B11" t="s">
        <v>155</v>
      </c>
      <c r="C11" t="s">
        <v>114</v>
      </c>
    </row>
    <row r="12" spans="1:5" x14ac:dyDescent="0.2">
      <c r="A12" t="s">
        <v>156</v>
      </c>
      <c r="B12">
        <v>1204</v>
      </c>
      <c r="C12" t="str" cm="1">
        <f t="array" ref="C12:E12">VLOOKUP(B12,A2:D7,{2,3,4},0)</f>
        <v>Arjun</v>
      </c>
      <c r="D12" t="str">
        <v>MBA HR</v>
      </c>
      <c r="E12" t="str">
        <v>Fake num 4</v>
      </c>
    </row>
    <row r="13" spans="1:5" x14ac:dyDescent="0.2">
      <c r="A13" t="s">
        <v>157</v>
      </c>
      <c r="B13">
        <v>1204</v>
      </c>
      <c r="C13" t="str" cm="1">
        <f t="array" ref="C13:E13">_xlfn.XLOOKUP(B13,A2:A7,B2:D7,"NUM NOT FOUND",)</f>
        <v>Arjun</v>
      </c>
      <c r="D13" t="str">
        <v>MBA HR</v>
      </c>
      <c r="E13" t="str">
        <v>Fake num 4</v>
      </c>
    </row>
    <row r="23" spans="2:8" x14ac:dyDescent="0.2">
      <c r="B23" t="s">
        <v>158</v>
      </c>
      <c r="D23" t="s">
        <v>159</v>
      </c>
      <c r="H23" t="s">
        <v>167</v>
      </c>
    </row>
    <row r="25" spans="2:8" x14ac:dyDescent="0.2">
      <c r="B25" t="s">
        <v>160</v>
      </c>
      <c r="D25" t="s">
        <v>161</v>
      </c>
    </row>
    <row r="27" spans="2:8" x14ac:dyDescent="0.2">
      <c r="B27" t="s">
        <v>162</v>
      </c>
      <c r="D27" t="s">
        <v>163</v>
      </c>
    </row>
    <row r="29" spans="2:8" x14ac:dyDescent="0.2">
      <c r="B29" t="s">
        <v>164</v>
      </c>
      <c r="D29" t="s">
        <v>165</v>
      </c>
    </row>
    <row r="30" spans="2:8" x14ac:dyDescent="0.2">
      <c r="H30">
        <v>2</v>
      </c>
    </row>
    <row r="31" spans="2:8" x14ac:dyDescent="0.2">
      <c r="B31" t="s">
        <v>166</v>
      </c>
    </row>
    <row r="37" spans="2:8" x14ac:dyDescent="0.2">
      <c r="B37" t="s">
        <v>168</v>
      </c>
    </row>
    <row r="44" spans="2:8" x14ac:dyDescent="0.2">
      <c r="E44" t="s">
        <v>169</v>
      </c>
    </row>
    <row r="45" spans="2:8" x14ac:dyDescent="0.2">
      <c r="B45">
        <v>1</v>
      </c>
      <c r="C45">
        <v>3</v>
      </c>
      <c r="D45">
        <v>5</v>
      </c>
      <c r="E45">
        <v>7</v>
      </c>
      <c r="F45">
        <v>8</v>
      </c>
      <c r="G45">
        <v>9</v>
      </c>
      <c r="H45">
        <v>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Agenda</vt:lpstr>
      <vt:lpstr>Sheet2</vt:lpstr>
      <vt:lpstr>VLOOKUP</vt:lpstr>
      <vt:lpstr>HLOOKUP</vt:lpstr>
      <vt:lpstr>XLOOKUP_DIFF</vt:lpstr>
      <vt:lpstr>XLOOKUP_DEMO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2026-01-18T14:42:45Z</dcterms:created>
  <dcterms:modified xsi:type="dcterms:W3CDTF">2026-01-18T17:29:43Z</dcterms:modified>
</cp:coreProperties>
</file>