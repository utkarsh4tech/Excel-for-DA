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B77EEA9D-5743-9F4B-9D89-09297BA61837}" xr6:coauthVersionLast="47" xr6:coauthVersionMax="47" xr10:uidLastSave="{00000000-0000-0000-0000-000000000000}"/>
  <bookViews>
    <workbookView xWindow="0" yWindow="600" windowWidth="38400" windowHeight="21000" activeTab="6" xr2:uid="{C6CD940F-C704-D541-AB70-64062AAA297C}"/>
  </bookViews>
  <sheets>
    <sheet name="agenda" sheetId="1" r:id="rId1"/>
    <sheet name="data_toolpak" sheetId="2" r:id="rId2"/>
    <sheet name="Regression" sheetId="3" r:id="rId3"/>
    <sheet name="Regression_output" sheetId="4" r:id="rId4"/>
    <sheet name="Sheet5" sheetId="5" r:id="rId5"/>
    <sheet name="A B Testing" sheetId="6" r:id="rId6"/>
    <sheet name="Sheet2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7" l="1" a="1"/>
  <c r="H15" i="7" a="1"/>
  <c r="J10" i="7"/>
  <c r="J9" i="7"/>
  <c r="E4" i="5"/>
  <c r="C44" i="4"/>
  <c r="C42" i="4"/>
  <c r="E8" i="4"/>
  <c r="H23" i="3"/>
  <c r="H31" i="3"/>
  <c r="H30" i="3"/>
  <c r="I26" i="3"/>
  <c r="F7" i="2" a="1"/>
  <c r="F6" i="2"/>
  <c r="F5" i="2"/>
  <c r="I15" i="7" l="1"/>
  <c r="H15" i="7"/>
  <c r="F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<sst xmlns="http://schemas.openxmlformats.org/spreadsheetml/2006/main" count="1544" uniqueCount="579">
  <si>
    <t>Adv Stats 2</t>
  </si>
  <si>
    <t>1) Intro to Data Analysis Toolpak</t>
  </si>
  <si>
    <t>2) A/B Testing (only Usage/Application and Interpretation of results)</t>
  </si>
  <si>
    <t>3) Intro Linear Regression  (only Usage/Application and Interpretation of results)</t>
  </si>
  <si>
    <t>2 Sample T Test</t>
  </si>
  <si>
    <t>YearsExperience</t>
  </si>
  <si>
    <t>Salary</t>
  </si>
  <si>
    <t>Median YoE</t>
  </si>
  <si>
    <t>Mean YOE</t>
  </si>
  <si>
    <t>MODE YOE</t>
  </si>
  <si>
    <t>IN BUILT TESTS AND WORKS</t>
  </si>
  <si>
    <t>MEAN MEDIAN MODE</t>
  </si>
  <si>
    <t>SD, VAR, KURTOSIS, SKEWNESS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</si>
  <si>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</si>
  <si>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</si>
  <si>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</si>
  <si>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</si>
  <si>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</si>
  <si>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</si>
  <si>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</si>
  <si>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</si>
  <si>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</si>
  <si>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</si>
  <si>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</si>
  <si>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</si>
  <si>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</si>
  <si>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Confidence Level(95.0%)</t>
  </si>
  <si>
    <t>LINEAR REGRESSION</t>
  </si>
  <si>
    <t>What kind of Reln do you think exists b/w YOE and Salary</t>
  </si>
  <si>
    <t>y=mx+c</t>
  </si>
  <si>
    <t>Salary = 9450 * YOE + 25792</t>
  </si>
  <si>
    <t>INTERCEPT / CONSTANT</t>
  </si>
  <si>
    <t>Starting Point / BASE VALUE</t>
  </si>
  <si>
    <t xml:space="preserve">SLOPE </t>
  </si>
  <si>
    <t>How much change in Y (salary) happened if we Increase our X (YOE) by 1 Unit</t>
  </si>
  <si>
    <t xml:space="preserve">CORRELATION </t>
  </si>
  <si>
    <t>How two variables change with respect to each other</t>
  </si>
  <si>
    <t xml:space="preserve">CORREL(X,Y) </t>
  </si>
  <si>
    <t>The variables are negatively correlated</t>
  </si>
  <si>
    <t>The variables are not related at all</t>
  </si>
  <si>
    <t>&lt;0</t>
  </si>
  <si>
    <t>&gt;0</t>
  </si>
  <si>
    <t>The variables are Positively correlated</t>
  </si>
  <si>
    <t>Var 1 and Var 2 do not effect each other</t>
  </si>
  <si>
    <t>Var 1 inc. Var 2 inc.</t>
  </si>
  <si>
    <t>Var 1 inc. Var 2 dec.</t>
  </si>
  <si>
    <t>Regression</t>
  </si>
  <si>
    <t>1) FIND correl</t>
  </si>
  <si>
    <t>if correl is good proceed with mathematical eqn.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</si>
  <si>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</si>
  <si>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</si>
  <si>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</si>
  <si>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</si>
  <si>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</si>
  <si>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</si>
  <si>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</si>
  <si>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</si>
  <si>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</si>
  <si>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</si>
  <si>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</si>
  <si>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</si>
  <si>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</si>
  <si>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</si>
  <si>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</si>
  <si>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</si>
  <si>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</si>
  <si>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</si>
  <si>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</si>
  <si>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</si>
  <si>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</si>
  <si>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</si>
  <si>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Y must be a NUMBER</t>
  </si>
  <si>
    <t>Q2) if yes, then what is the mathematical Eqn for that relationship</t>
  </si>
  <si>
    <t>Q3) How good is that relationship??</t>
  </si>
  <si>
    <t>A1)</t>
  </si>
  <si>
    <t>Then, the relationship is not SIGNIFICANT</t>
  </si>
  <si>
    <t>ELSE</t>
  </si>
  <si>
    <t>There is a statistically significant relationship</t>
  </si>
  <si>
    <t>If P value ( corresponding to a input variable) &gt; 5% or &gt; 0.05</t>
  </si>
  <si>
    <t>if 0 comes in b/w Lower to Upper</t>
  </si>
  <si>
    <t>That means, the relationship is not SIGNIFICANT</t>
  </si>
  <si>
    <t>Else</t>
  </si>
  <si>
    <t>A2)</t>
  </si>
  <si>
    <t>Q1 ) Is there any statistically significant Linear Relationship b/w X(s) and Y??</t>
  </si>
  <si>
    <t>y = mx + c</t>
  </si>
  <si>
    <t>Prev Salary</t>
  </si>
  <si>
    <t>Y = m1 * x1 + m2 * x2 + m3* x3 …. m_n * x_n + c</t>
  </si>
  <si>
    <t>Pass and Fail</t>
  </si>
  <si>
    <t>A3)</t>
  </si>
  <si>
    <t>We explain goodness of model using r^2</t>
  </si>
  <si>
    <t>R^2 tells us, how much % of Variance in Y is captured/explained by the Model</t>
  </si>
  <si>
    <t>R^2</t>
  </si>
  <si>
    <t>Our model (X) captures / explains 95% variance in Y (Salary)</t>
  </si>
  <si>
    <t>X1</t>
  </si>
  <si>
    <t>X2</t>
  </si>
  <si>
    <t>X3</t>
  </si>
  <si>
    <t>Y</t>
  </si>
  <si>
    <t>--&gt; some randomness</t>
  </si>
  <si>
    <t>X1 and X2 are statistically significant</t>
  </si>
  <si>
    <t>bcoz they have p val &lt; 5%</t>
  </si>
  <si>
    <t>X3 is not significant??</t>
  </si>
  <si>
    <t>Y = X1 * 56.03 + X2 * 21.00 + 9.83</t>
  </si>
  <si>
    <t>Y_</t>
  </si>
  <si>
    <t>Avg Height of Male = Avg Height of Female</t>
  </si>
  <si>
    <t>height</t>
  </si>
  <si>
    <t>Gender</t>
  </si>
  <si>
    <t>Revenue</t>
  </si>
  <si>
    <t>ADV_NO_ADV</t>
  </si>
  <si>
    <t>Adv</t>
  </si>
  <si>
    <t>No adv</t>
  </si>
  <si>
    <t>user_id</t>
  </si>
  <si>
    <t>group</t>
  </si>
  <si>
    <t>traffic_source</t>
  </si>
  <si>
    <t>converted</t>
  </si>
  <si>
    <t>revenue_per_visitor_inr</t>
  </si>
  <si>
    <t>A001</t>
  </si>
  <si>
    <t>A</t>
  </si>
  <si>
    <t>Search</t>
  </si>
  <si>
    <t>A002</t>
  </si>
  <si>
    <t>A003</t>
  </si>
  <si>
    <t>A004</t>
  </si>
  <si>
    <t>Social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</si>
  <si>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</si>
  <si>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</si>
  <si>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</si>
  <si>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</si>
  <si>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</si>
  <si>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</si>
  <si>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</si>
  <si>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</si>
  <si>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</si>
  <si>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</si>
  <si>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</si>
  <si>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</si>
  <si>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</si>
  <si>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</si>
  <si>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</si>
  <si>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</si>
  <si>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</si>
  <si>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</si>
  <si>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</si>
  <si>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</si>
  <si>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</si>
  <si>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</si>
  <si>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</si>
  <si>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</si>
  <si>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</si>
  <si>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</si>
  <si>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</si>
  <si>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</si>
  <si>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</si>
  <si>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</si>
  <si>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</si>
  <si>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</si>
  <si>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</si>
  <si>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</si>
  <si>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</si>
  <si>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</si>
  <si>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</si>
  <si>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</si>
  <si>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</si>
  <si>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</si>
  <si>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</si>
  <si>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</si>
  <si>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</si>
  <si>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</si>
  <si>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</si>
  <si>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</si>
  <si>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</si>
  <si>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</si>
  <si>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</si>
  <si>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</si>
  <si>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</si>
  <si>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</si>
  <si>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</si>
  <si>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</si>
  <si>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</si>
  <si>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</si>
  <si>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</si>
  <si>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</si>
  <si>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</si>
  <si>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</si>
  <si>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</si>
  <si>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</si>
  <si>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</si>
  <si>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</si>
  <si>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</si>
  <si>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</si>
  <si>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</si>
  <si>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</si>
  <si>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</si>
  <si>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</si>
  <si>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</si>
  <si>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</si>
  <si>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</si>
  <si>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</si>
  <si>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</si>
  <si>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</si>
  <si>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</si>
  <si>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</si>
  <si>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</si>
  <si>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</si>
  <si>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</si>
  <si>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</si>
  <si>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</si>
  <si>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</si>
  <si>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</si>
  <si>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</si>
  <si>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</si>
  <si>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</si>
  <si>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</si>
  <si>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</si>
  <si>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</si>
  <si>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</si>
  <si>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</si>
  <si>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</si>
  <si>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</si>
  <si>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</si>
  <si>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</si>
  <si>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</si>
  <si>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</si>
  <si>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</si>
  <si>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</si>
  <si>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</si>
  <si>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</si>
  <si>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</si>
  <si>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</si>
  <si>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</si>
  <si>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</si>
  <si>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</si>
  <si>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</si>
  <si>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</si>
  <si>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</si>
  <si>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</si>
  <si>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</si>
  <si>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</si>
  <si>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</si>
  <si>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</si>
  <si>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</si>
  <si>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</si>
  <si>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</si>
  <si>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</si>
  <si>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A125</t>
  </si>
  <si>
    <t>A126</t>
  </si>
  <si>
    <t>A127</t>
  </si>
  <si>
    <t>A128</t>
  </si>
  <si>
    <t>A129</t>
  </si>
  <si>
    <t>A130</t>
  </si>
  <si>
    <t>A131</t>
  </si>
  <si>
    <t>A132</t>
  </si>
  <si>
    <t>A133</t>
  </si>
  <si>
    <t>A134</t>
  </si>
  <si>
    <t>A135</t>
  </si>
  <si>
    <t>A136</t>
  </si>
  <si>
    <t>A137</t>
  </si>
  <si>
    <t>A138</t>
  </si>
  <si>
    <t>A139</t>
  </si>
  <si>
    <t>A140</t>
  </si>
  <si>
    <t>A141</t>
  </si>
  <si>
    <t>A142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</si>
  <si>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</si>
  <si>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</si>
  <si>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</si>
  <si>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</si>
  <si>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</si>
  <si>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</si>
  <si>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</si>
  <si>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</si>
  <si>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</si>
  <si>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A152</t>
  </si>
  <si>
    <t>A153</t>
  </si>
  <si>
    <t>A154</t>
  </si>
  <si>
    <t>A155</t>
  </si>
  <si>
    <t>A156</t>
  </si>
  <si>
    <t>A157</t>
  </si>
  <si>
    <t>A158</t>
  </si>
  <si>
    <t>A159</t>
  </si>
  <si>
    <t>A160</t>
  </si>
  <si>
    <t>A161</t>
  </si>
  <si>
    <t>A162</t>
  </si>
  <si>
    <t>A163</t>
  </si>
  <si>
    <t>A164</t>
  </si>
  <si>
    <t>A165</t>
  </si>
  <si>
    <t>A166</t>
  </si>
  <si>
    <t>A167</t>
  </si>
  <si>
    <t>A168</t>
  </si>
  <si>
    <t>A169</t>
  </si>
  <si>
    <t>A170</t>
  </si>
  <si>
    <t>A171</t>
  </si>
  <si>
    <t>A172</t>
  </si>
  <si>
    <t>A173</t>
  </si>
  <si>
    <t>A174</t>
  </si>
  <si>
    <t>A175</t>
  </si>
  <si>
    <t>A176</t>
  </si>
  <si>
    <t>A177</t>
  </si>
  <si>
    <t>A178</t>
  </si>
  <si>
    <t>A179</t>
  </si>
  <si>
    <t>A180</t>
  </si>
  <si>
    <t>B001</t>
  </si>
  <si>
    <t>B</t>
  </si>
  <si>
    <t>B002</t>
  </si>
  <si>
    <t>B003</t>
  </si>
  <si>
    <t>B004</t>
  </si>
  <si>
    <t>B005</t>
  </si>
  <si>
    <t>B006</t>
  </si>
  <si>
    <t>B007</t>
  </si>
  <si>
    <t>B008</t>
  </si>
  <si>
    <t>B009</t>
  </si>
  <si>
    <t>B010</t>
  </si>
  <si>
    <t>B011</t>
  </si>
  <si>
    <t>B012</t>
  </si>
  <si>
    <t>B013</t>
  </si>
  <si>
    <t>B014</t>
  </si>
  <si>
    <t>B015</t>
  </si>
  <si>
    <t>B016</t>
  </si>
  <si>
    <t>B017</t>
  </si>
  <si>
    <t>B018</t>
  </si>
  <si>
    <t>B019</t>
  </si>
  <si>
    <t>B020</t>
  </si>
  <si>
    <t>B021</t>
  </si>
  <si>
    <t>B022</t>
  </si>
  <si>
    <t>B023</t>
  </si>
  <si>
    <t>B024</t>
  </si>
  <si>
    <t>B025</t>
  </si>
  <si>
    <t>B026</t>
  </si>
  <si>
    <t>B027</t>
  </si>
  <si>
    <t>B028</t>
  </si>
  <si>
    <t>B029</t>
  </si>
  <si>
    <t>B030</t>
  </si>
  <si>
    <t>B031</t>
  </si>
  <si>
    <t>B032</t>
  </si>
  <si>
    <t>B033</t>
  </si>
  <si>
    <t>B034</t>
  </si>
  <si>
    <t>B035</t>
  </si>
  <si>
    <t>B036</t>
  </si>
  <si>
    <t>B037</t>
  </si>
  <si>
    <t>B038</t>
  </si>
  <si>
    <t>B039</t>
  </si>
  <si>
    <t>B040</t>
  </si>
  <si>
    <t>B041</t>
  </si>
  <si>
    <t>B042</t>
  </si>
  <si>
    <t>B043</t>
  </si>
  <si>
    <t>B044</t>
  </si>
  <si>
    <t>B045</t>
  </si>
  <si>
    <t>B046</t>
  </si>
  <si>
    <t>B047</t>
  </si>
  <si>
    <t>B048</t>
  </si>
  <si>
    <t>B049</t>
  </si>
  <si>
    <t>B050</t>
  </si>
  <si>
    <t>B051</t>
  </si>
  <si>
    <t>B052</t>
  </si>
  <si>
    <t>B053</t>
  </si>
  <si>
    <t>B054</t>
  </si>
  <si>
    <t>B055</t>
  </si>
  <si>
    <t>B056</t>
  </si>
  <si>
    <t>B057</t>
  </si>
  <si>
    <t>B058</t>
  </si>
  <si>
    <t>B059</t>
  </si>
  <si>
    <t>B060</t>
  </si>
  <si>
    <t>B061</t>
  </si>
  <si>
    <t>B062</t>
  </si>
  <si>
    <t>B063</t>
  </si>
  <si>
    <t>B064</t>
  </si>
  <si>
    <t>B065</t>
  </si>
  <si>
    <t>B066</t>
  </si>
  <si>
    <t>B067</t>
  </si>
  <si>
    <t>B068</t>
  </si>
  <si>
    <t>B069</t>
  </si>
  <si>
    <t>B070</t>
  </si>
  <si>
    <t>B071</t>
  </si>
  <si>
    <t>B072</t>
  </si>
  <si>
    <t>B073</t>
  </si>
  <si>
    <t>B074</t>
  </si>
  <si>
    <t>B075</t>
  </si>
  <si>
    <t>B076</t>
  </si>
  <si>
    <t>B077</t>
  </si>
  <si>
    <t>B078</t>
  </si>
  <si>
    <t>B079</t>
  </si>
  <si>
    <t>B080</t>
  </si>
  <si>
    <t>B081</t>
  </si>
  <si>
    <t>B082</t>
  </si>
  <si>
    <t>B083</t>
  </si>
  <si>
    <t>B084</t>
  </si>
  <si>
    <t>B085</t>
  </si>
  <si>
    <t>B086</t>
  </si>
  <si>
    <t>B087</t>
  </si>
  <si>
    <t>B088</t>
  </si>
  <si>
    <t>B089</t>
  </si>
  <si>
    <t>B090</t>
  </si>
  <si>
    <t>B091</t>
  </si>
  <si>
    <t>B092</t>
  </si>
  <si>
    <t>B093</t>
  </si>
  <si>
    <t>B094</t>
  </si>
  <si>
    <t>B095</t>
  </si>
  <si>
    <t>B096</t>
  </si>
  <si>
    <t>B097</t>
  </si>
  <si>
    <t>B098</t>
  </si>
  <si>
    <t>B099</t>
  </si>
  <si>
    <t>B100</t>
  </si>
  <si>
    <t>B101</t>
  </si>
  <si>
    <t>B102</t>
  </si>
  <si>
    <t>B103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</si>
  <si>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</si>
  <si>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</si>
  <si>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</si>
  <si>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</si>
  <si>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</si>
  <si>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</si>
  <si>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</si>
  <si>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</si>
  <si>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</si>
  <si>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</si>
  <si>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</si>
  <si>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</si>
  <si>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</si>
  <si>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B117</t>
  </si>
  <si>
    <t>B118</t>
  </si>
  <si>
    <t>B119</t>
  </si>
  <si>
    <t>B120</t>
  </si>
  <si>
    <t>B121</t>
  </si>
  <si>
    <t>B122</t>
  </si>
  <si>
    <t>B123</t>
  </si>
  <si>
    <t>B124</t>
  </si>
  <si>
    <t>B125</t>
  </si>
  <si>
    <t>B126</t>
  </si>
  <si>
    <t>B127</t>
  </si>
  <si>
    <t>B128</t>
  </si>
  <si>
    <t>B129</t>
  </si>
  <si>
    <t>B130</t>
  </si>
  <si>
    <t>B131</t>
  </si>
  <si>
    <t>B132</t>
  </si>
  <si>
    <t>B133</t>
  </si>
  <si>
    <t>B134</t>
  </si>
  <si>
    <t>B135</t>
  </si>
  <si>
    <t>B136</t>
  </si>
  <si>
    <t>B137</t>
  </si>
  <si>
    <t>B138</t>
  </si>
  <si>
    <t>B139</t>
  </si>
  <si>
    <t>B140</t>
  </si>
  <si>
    <t>B141</t>
  </si>
  <si>
    <t>B142</t>
  </si>
  <si>
    <t>B143</t>
  </si>
  <si>
    <t>B144</t>
  </si>
  <si>
    <t>B145</t>
  </si>
  <si>
    <t>B146</t>
  </si>
  <si>
    <t>B147</t>
  </si>
  <si>
    <t>B148</t>
  </si>
  <si>
    <t>B149</t>
  </si>
  <si>
    <t>B150</t>
  </si>
  <si>
    <t>B151</t>
  </si>
  <si>
    <t>B152</t>
  </si>
  <si>
    <t>B153</t>
  </si>
  <si>
    <t>B154</t>
  </si>
  <si>
    <t>B155</t>
  </si>
  <si>
    <t>B156</t>
  </si>
  <si>
    <t>B157</t>
  </si>
  <si>
    <t>B158</t>
  </si>
  <si>
    <t>B159</t>
  </si>
  <si>
    <t>B160</t>
  </si>
  <si>
    <t>B161</t>
  </si>
  <si>
    <t>B162</t>
  </si>
  <si>
    <t>B163</t>
  </si>
  <si>
    <t>B164</t>
  </si>
  <si>
    <t>B165</t>
  </si>
  <si>
    <t>B166</t>
  </si>
  <si>
    <t>B167</t>
  </si>
  <si>
    <t>B168</t>
  </si>
  <si>
    <t>B169</t>
  </si>
  <si>
    <t>B170</t>
  </si>
  <si>
    <t>B171</t>
  </si>
  <si>
    <t>B172</t>
  </si>
  <si>
    <t>B173</t>
  </si>
  <si>
    <t>B174</t>
  </si>
  <si>
    <t>B175</t>
  </si>
  <si>
    <t>B176</t>
  </si>
  <si>
    <t>B177</t>
  </si>
  <si>
    <t>B178</t>
  </si>
  <si>
    <t>B179</t>
  </si>
  <si>
    <t>B180</t>
  </si>
  <si>
    <t>B181</t>
  </si>
  <si>
    <t>B182</t>
  </si>
  <si>
    <t>B183</t>
  </si>
  <si>
    <t>B184</t>
  </si>
  <si>
    <t>B185</t>
  </si>
  <si>
    <t>B186</t>
  </si>
  <si>
    <t>B187</t>
  </si>
  <si>
    <t>B188</t>
  </si>
  <si>
    <t>B189</t>
  </si>
  <si>
    <t>B190</t>
  </si>
  <si>
    <t>B191</t>
  </si>
  <si>
    <t>B192</t>
  </si>
  <si>
    <t>B193</t>
  </si>
  <si>
    <t>B194</t>
  </si>
  <si>
    <t>B195</t>
  </si>
  <si>
    <t>B196</t>
  </si>
  <si>
    <t>B197</t>
  </si>
  <si>
    <t>B198</t>
  </si>
  <si>
    <t>B199</t>
  </si>
  <si>
    <t>B200</t>
  </si>
  <si>
    <t>B201</t>
  </si>
  <si>
    <t>B202</t>
  </si>
  <si>
    <t>B203</t>
  </si>
  <si>
    <t>B204</t>
  </si>
  <si>
    <t>B205</t>
  </si>
  <si>
    <t>B206</t>
  </si>
  <si>
    <t>B207</t>
  </si>
  <si>
    <t>B208</t>
  </si>
  <si>
    <t>B209</t>
  </si>
  <si>
    <t>B210</t>
  </si>
  <si>
    <t>B211</t>
  </si>
  <si>
    <t>B212</t>
  </si>
  <si>
    <t>B213</t>
  </si>
  <si>
    <t>B214</t>
  </si>
  <si>
    <t>B215</t>
  </si>
  <si>
    <t>B216</t>
  </si>
  <si>
    <t>B217</t>
  </si>
  <si>
    <t>B218</t>
  </si>
  <si>
    <t>B219</t>
  </si>
  <si>
    <t>B220</t>
  </si>
  <si>
    <t>B221</t>
  </si>
  <si>
    <t>B222</t>
  </si>
  <si>
    <t>B223</t>
  </si>
  <si>
    <t>B224</t>
  </si>
  <si>
    <t>B225</t>
  </si>
  <si>
    <t>B226</t>
  </si>
  <si>
    <t>B227</t>
  </si>
  <si>
    <t>B228</t>
  </si>
  <si>
    <t>B229</t>
  </si>
  <si>
    <t>B230</t>
  </si>
  <si>
    <t>B231</t>
  </si>
  <si>
    <t>B232</t>
  </si>
  <si>
    <t>B233</t>
  </si>
  <si>
    <t>B234</t>
  </si>
  <si>
    <t>B235</t>
  </si>
  <si>
    <t>B236</t>
  </si>
  <si>
    <t>B237</t>
  </si>
  <si>
    <t>B238</t>
  </si>
  <si>
    <t>B239</t>
  </si>
  <si>
    <t>B240</t>
  </si>
  <si>
    <t>B241</t>
  </si>
  <si>
    <t>B242</t>
  </si>
  <si>
    <t>B243</t>
  </si>
  <si>
    <t>B244</t>
  </si>
  <si>
    <t>B245</t>
  </si>
  <si>
    <t>B246</t>
  </si>
  <si>
    <t>B247</t>
  </si>
  <si>
    <t>B248</t>
  </si>
  <si>
    <t>B249</t>
  </si>
  <si>
    <t>B250</t>
  </si>
  <si>
    <t>B251</t>
  </si>
  <si>
    <t>B252</t>
  </si>
  <si>
    <t>B253</t>
  </si>
  <si>
    <t>B254</t>
  </si>
  <si>
    <t>B255</t>
  </si>
  <si>
    <t>B256</t>
  </si>
  <si>
    <t>B257</t>
  </si>
  <si>
    <t>B258</t>
  </si>
  <si>
    <t>B259</t>
  </si>
  <si>
    <t>B260</t>
  </si>
  <si>
    <t>A --&gt; No adv</t>
  </si>
  <si>
    <t>B --&gt; Adv</t>
  </si>
  <si>
    <t>Avg Rev Grp A</t>
  </si>
  <si>
    <t>Avg Rev Grp B</t>
  </si>
  <si>
    <t>A / B Testing</t>
  </si>
  <si>
    <t>2 Sample T test</t>
  </si>
  <si>
    <t>t-Test: Two-Sample Assuming Unequal Variances</t>
  </si>
  <si>
    <t>Variance</t>
  </si>
  <si>
    <t>Hypothesized Mean Difference</t>
  </si>
  <si>
    <t>P(T&lt;=t) one-tail</t>
  </si>
  <si>
    <t>t Critical one-tail</t>
  </si>
  <si>
    <t>P(T&lt;=t) two-tail</t>
  </si>
  <si>
    <t>t Critical two-tail</t>
  </si>
  <si>
    <t>then The difference is Significant</t>
  </si>
  <si>
    <t xml:space="preserve">The diff is not sign </t>
  </si>
  <si>
    <t>https://www.youtube.com/watch?v=VekJxtk4BYM&amp;t=272s&amp;pp=ygUGVCB0ZXN0</t>
  </si>
  <si>
    <t xml:space="preserve">ALPHA </t>
  </si>
  <si>
    <t>Significance level</t>
  </si>
  <si>
    <t>95% confident --&gt; Alpha is 100-CONFIDENCE</t>
  </si>
  <si>
    <t>if P value &lt; 5% ( alpha or 100-confidence level)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</si>
</sst>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%"/>
    <numFmt numFmtId="166" formatCode="0.0000%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36"/>
      <color theme="1"/>
      <name val="Aptos Narrow (Body)"/>
    </font>
  </fonts>
  <fills count="13">
    <fill>
      <patternFill patternType="none"/>
    </fill>
    <fill>
      <patternFill patternType="gray125"/>
    </fill>
    <fill>
      <patternFill patternType="solid">
        <fgColor rgb="FFBE5014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4" fillId="2" borderId="1" xfId="0" applyFont="1" applyFill="1" applyBorder="1"/>
    <xf numFmtId="0" fontId="0" fillId="0" borderId="1" xfId="0" applyBorder="1"/>
    <xf numFmtId="0" fontId="4" fillId="0" borderId="1" xfId="0" applyFont="1" applyBorder="1"/>
    <xf numFmtId="0" fontId="0" fillId="3" borderId="0" xfId="0" applyFill="1"/>
    <xf numFmtId="0" fontId="0" fillId="0" borderId="2" xfId="0" applyBorder="1"/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Continuous"/>
    </xf>
    <xf numFmtId="0" fontId="0" fillId="4" borderId="0" xfId="0" applyFill="1"/>
    <xf numFmtId="0" fontId="5" fillId="5" borderId="3" xfId="0" applyFont="1" applyFill="1" applyBorder="1" applyAlignment="1">
      <alignment horizontal="center"/>
    </xf>
    <xf numFmtId="0" fontId="0" fillId="5" borderId="0" xfId="0" applyFill="1"/>
    <xf numFmtId="0" fontId="2" fillId="0" borderId="0" xfId="0" applyFont="1"/>
    <xf numFmtId="0" fontId="5" fillId="6" borderId="3" xfId="0" applyFont="1" applyFill="1" applyBorder="1" applyAlignment="1">
      <alignment horizontal="center"/>
    </xf>
    <xf numFmtId="0" fontId="0" fillId="7" borderId="0" xfId="0" applyFill="1"/>
    <xf numFmtId="0" fontId="0" fillId="6" borderId="0" xfId="0" applyFill="1"/>
    <xf numFmtId="164" fontId="0" fillId="6" borderId="0" xfId="0" applyNumberFormat="1" applyFill="1"/>
    <xf numFmtId="164" fontId="0" fillId="6" borderId="2" xfId="0" applyNumberFormat="1" applyFill="1" applyBorder="1"/>
    <xf numFmtId="165" fontId="0" fillId="5" borderId="0" xfId="1" applyNumberFormat="1" applyFont="1" applyFill="1" applyBorder="1" applyAlignment="1"/>
    <xf numFmtId="165" fontId="2" fillId="5" borderId="2" xfId="1" applyNumberFormat="1" applyFont="1" applyFill="1" applyBorder="1" applyAlignment="1"/>
    <xf numFmtId="165" fontId="2" fillId="0" borderId="0" xfId="1" applyNumberFormat="1" applyFont="1"/>
    <xf numFmtId="0" fontId="0" fillId="8" borderId="0" xfId="0" applyFill="1"/>
    <xf numFmtId="0" fontId="0" fillId="9" borderId="0" xfId="0" applyFill="1"/>
    <xf numFmtId="9" fontId="0" fillId="0" borderId="0" xfId="0" applyNumberFormat="1"/>
    <xf numFmtId="0" fontId="0" fillId="10" borderId="1" xfId="0" applyFill="1" applyBorder="1"/>
    <xf numFmtId="0" fontId="0" fillId="11" borderId="1" xfId="0" applyFill="1" applyBorder="1"/>
    <xf numFmtId="164" fontId="0" fillId="0" borderId="0" xfId="0" applyNumberFormat="1"/>
    <xf numFmtId="164" fontId="0" fillId="0" borderId="2" xfId="0" applyNumberFormat="1" applyBorder="1"/>
    <xf numFmtId="0" fontId="0" fillId="12" borderId="0" xfId="0" applyFill="1"/>
    <xf numFmtId="0" fontId="0" fillId="12" borderId="2" xfId="0" applyFill="1" applyBorder="1"/>
    <xf numFmtId="166" fontId="0" fillId="0" borderId="0" xfId="1" applyNumberFormat="1" applyFont="1" applyFill="1" applyBorder="1" applyAlignment="1"/>
    <xf numFmtId="166" fontId="0" fillId="12" borderId="0" xfId="1" applyNumberFormat="1" applyFont="1" applyFill="1" applyBorder="1" applyAlignment="1"/>
    <xf numFmtId="166" fontId="0" fillId="12" borderId="2" xfId="1" applyNumberFormat="1" applyFont="1" applyFill="1" applyBorder="1" applyAlignment="1"/>
    <xf numFmtId="0" fontId="0" fillId="3" borderId="4" xfId="0" applyFill="1" applyBorder="1"/>
    <xf numFmtId="166" fontId="0" fillId="0" borderId="2" xfId="1" applyNumberFormat="1" applyFont="1" applyFill="1" applyBorder="1" applyAlignme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 vertical="top"/>
    </xf>
    <xf numFmtId="0" fontId="7" fillId="0" borderId="0" xfId="0" applyFont="1"/>
    <xf numFmtId="0" fontId="8" fillId="0" borderId="0" xfId="0" applyFont="1" applyAlignment="1">
      <alignment horizontal="center"/>
    </xf>
    <xf numFmtId="0" fontId="0" fillId="0" borderId="0" xfId="0" applyFill="1" applyBorder="1" applyAlignment="1"/>
    <xf numFmtId="0" fontId="0" fillId="0" borderId="2" xfId="0" applyFill="1" applyBorder="1" applyAlignment="1"/>
    <xf numFmtId="0" fontId="5" fillId="0" borderId="3" xfId="0" applyFont="1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Regression!$C$3</c:f>
              <c:strCache>
                <c:ptCount val="1"/>
                <c:pt idx="0">
                  <c:v>Salary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Regression!$B$4:$B$33</c:f>
              <c:numCache>
                <c:formatCode>General</c:formatCode>
                <c:ptCount val="30"/>
                <c:pt idx="0">
                  <c:v>1.1000000000000001</c:v>
                </c:pt>
                <c:pt idx="1">
                  <c:v>1.3</c:v>
                </c:pt>
                <c:pt idx="2">
                  <c:v>1.5</c:v>
                </c:pt>
                <c:pt idx="3">
                  <c:v>2</c:v>
                </c:pt>
                <c:pt idx="4">
                  <c:v>2.2000000000000002</c:v>
                </c:pt>
                <c:pt idx="5">
                  <c:v>2.9</c:v>
                </c:pt>
                <c:pt idx="6">
                  <c:v>3</c:v>
                </c:pt>
                <c:pt idx="7">
                  <c:v>3.2</c:v>
                </c:pt>
                <c:pt idx="8">
                  <c:v>3.2</c:v>
                </c:pt>
                <c:pt idx="9">
                  <c:v>3.7</c:v>
                </c:pt>
                <c:pt idx="10">
                  <c:v>3.9</c:v>
                </c:pt>
                <c:pt idx="11">
                  <c:v>4</c:v>
                </c:pt>
                <c:pt idx="12">
                  <c:v>4</c:v>
                </c:pt>
                <c:pt idx="13">
                  <c:v>4.0999999999999996</c:v>
                </c:pt>
                <c:pt idx="14">
                  <c:v>4.5</c:v>
                </c:pt>
                <c:pt idx="15">
                  <c:v>4.9000000000000004</c:v>
                </c:pt>
                <c:pt idx="16">
                  <c:v>5.0999999999999996</c:v>
                </c:pt>
                <c:pt idx="17">
                  <c:v>5.3</c:v>
                </c:pt>
                <c:pt idx="18">
                  <c:v>5.9</c:v>
                </c:pt>
                <c:pt idx="19">
                  <c:v>6</c:v>
                </c:pt>
                <c:pt idx="20">
                  <c:v>6.8</c:v>
                </c:pt>
                <c:pt idx="21">
                  <c:v>7.1</c:v>
                </c:pt>
                <c:pt idx="22">
                  <c:v>7.9</c:v>
                </c:pt>
                <c:pt idx="23">
                  <c:v>8.1999999999999993</c:v>
                </c:pt>
                <c:pt idx="24">
                  <c:v>8.6999999999999993</c:v>
                </c:pt>
                <c:pt idx="25">
                  <c:v>9</c:v>
                </c:pt>
                <c:pt idx="26">
                  <c:v>9.5</c:v>
                </c:pt>
                <c:pt idx="27">
                  <c:v>9.6</c:v>
                </c:pt>
                <c:pt idx="28">
                  <c:v>10.3</c:v>
                </c:pt>
                <c:pt idx="29">
                  <c:v>10.5</c:v>
                </c:pt>
              </c:numCache>
            </c:numRef>
          </c:xVal>
          <c:yVal>
            <c:numRef>
              <c:f>Regression!$C$4:$C$33</c:f>
              <c:numCache>
                <c:formatCode>General</c:formatCode>
                <c:ptCount val="30"/>
                <c:pt idx="0">
                  <c:v>39343</c:v>
                </c:pt>
                <c:pt idx="1">
                  <c:v>46205</c:v>
                </c:pt>
                <c:pt idx="2">
                  <c:v>37731</c:v>
                </c:pt>
                <c:pt idx="3">
                  <c:v>43525</c:v>
                </c:pt>
                <c:pt idx="4">
                  <c:v>39891</c:v>
                </c:pt>
                <c:pt idx="5">
                  <c:v>56642</c:v>
                </c:pt>
                <c:pt idx="6">
                  <c:v>60150</c:v>
                </c:pt>
                <c:pt idx="7">
                  <c:v>54445</c:v>
                </c:pt>
                <c:pt idx="8">
                  <c:v>64445</c:v>
                </c:pt>
                <c:pt idx="9">
                  <c:v>57189</c:v>
                </c:pt>
                <c:pt idx="10">
                  <c:v>63218</c:v>
                </c:pt>
                <c:pt idx="11">
                  <c:v>55794</c:v>
                </c:pt>
                <c:pt idx="12">
                  <c:v>56957</c:v>
                </c:pt>
                <c:pt idx="13">
                  <c:v>57081</c:v>
                </c:pt>
                <c:pt idx="14">
                  <c:v>61111</c:v>
                </c:pt>
                <c:pt idx="15">
                  <c:v>67938</c:v>
                </c:pt>
                <c:pt idx="16">
                  <c:v>66029</c:v>
                </c:pt>
                <c:pt idx="17">
                  <c:v>83088</c:v>
                </c:pt>
                <c:pt idx="18">
                  <c:v>81363</c:v>
                </c:pt>
                <c:pt idx="19">
                  <c:v>93940</c:v>
                </c:pt>
                <c:pt idx="20">
                  <c:v>91738</c:v>
                </c:pt>
                <c:pt idx="21">
                  <c:v>98273</c:v>
                </c:pt>
                <c:pt idx="22">
                  <c:v>101302</c:v>
                </c:pt>
                <c:pt idx="23">
                  <c:v>113812</c:v>
                </c:pt>
                <c:pt idx="24">
                  <c:v>109431</c:v>
                </c:pt>
                <c:pt idx="25">
                  <c:v>105582</c:v>
                </c:pt>
                <c:pt idx="26">
                  <c:v>116969</c:v>
                </c:pt>
                <c:pt idx="27">
                  <c:v>112635</c:v>
                </c:pt>
                <c:pt idx="28">
                  <c:v>122391</c:v>
                </c:pt>
                <c:pt idx="29">
                  <c:v>121872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1F-1E40-89E0-229FD40DA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4452672"/>
        <c:axId val="1144448192"/>
      </c:scatterChart>
      <c:valAx>
        <c:axId val="114445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448192"/>
        <c:crosses val="autoZero"/>
        <c:crossBetween val="midCat"/>
      </c:valAx>
      <c:valAx>
        <c:axId val="114444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45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Regression!$C$3</c:f>
              <c:strCache>
                <c:ptCount val="1"/>
                <c:pt idx="0">
                  <c:v>Salary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Regression!$B$4:$B$33</c:f>
              <c:numCache>
                <c:formatCode>General</c:formatCode>
                <c:ptCount val="30"/>
                <c:pt idx="0">
                  <c:v>1.1000000000000001</c:v>
                </c:pt>
                <c:pt idx="1">
                  <c:v>1.3</c:v>
                </c:pt>
                <c:pt idx="2">
                  <c:v>1.5</c:v>
                </c:pt>
                <c:pt idx="3">
                  <c:v>2</c:v>
                </c:pt>
                <c:pt idx="4">
                  <c:v>2.2000000000000002</c:v>
                </c:pt>
                <c:pt idx="5">
                  <c:v>2.9</c:v>
                </c:pt>
                <c:pt idx="6">
                  <c:v>3</c:v>
                </c:pt>
                <c:pt idx="7">
                  <c:v>3.2</c:v>
                </c:pt>
                <c:pt idx="8">
                  <c:v>3.2</c:v>
                </c:pt>
                <c:pt idx="9">
                  <c:v>3.7</c:v>
                </c:pt>
                <c:pt idx="10">
                  <c:v>3.9</c:v>
                </c:pt>
                <c:pt idx="11">
                  <c:v>4</c:v>
                </c:pt>
                <c:pt idx="12">
                  <c:v>4</c:v>
                </c:pt>
                <c:pt idx="13">
                  <c:v>4.0999999999999996</c:v>
                </c:pt>
                <c:pt idx="14">
                  <c:v>4.5</c:v>
                </c:pt>
                <c:pt idx="15">
                  <c:v>4.9000000000000004</c:v>
                </c:pt>
                <c:pt idx="16">
                  <c:v>5.0999999999999996</c:v>
                </c:pt>
                <c:pt idx="17">
                  <c:v>5.3</c:v>
                </c:pt>
                <c:pt idx="18">
                  <c:v>5.9</c:v>
                </c:pt>
                <c:pt idx="19">
                  <c:v>6</c:v>
                </c:pt>
                <c:pt idx="20">
                  <c:v>6.8</c:v>
                </c:pt>
                <c:pt idx="21">
                  <c:v>7.1</c:v>
                </c:pt>
                <c:pt idx="22">
                  <c:v>7.9</c:v>
                </c:pt>
                <c:pt idx="23">
                  <c:v>8.1999999999999993</c:v>
                </c:pt>
                <c:pt idx="24">
                  <c:v>8.6999999999999993</c:v>
                </c:pt>
                <c:pt idx="25">
                  <c:v>9</c:v>
                </c:pt>
                <c:pt idx="26">
                  <c:v>9.5</c:v>
                </c:pt>
                <c:pt idx="27">
                  <c:v>9.6</c:v>
                </c:pt>
                <c:pt idx="28">
                  <c:v>10.3</c:v>
                </c:pt>
                <c:pt idx="29">
                  <c:v>10.5</c:v>
                </c:pt>
              </c:numCache>
            </c:numRef>
          </c:xVal>
          <c:yVal>
            <c:numRef>
              <c:f>Regression!$C$4:$C$33</c:f>
              <c:numCache>
                <c:formatCode>General</c:formatCode>
                <c:ptCount val="30"/>
                <c:pt idx="0">
                  <c:v>39343</c:v>
                </c:pt>
                <c:pt idx="1">
                  <c:v>46205</c:v>
                </c:pt>
                <c:pt idx="2">
                  <c:v>37731</c:v>
                </c:pt>
                <c:pt idx="3">
                  <c:v>43525</c:v>
                </c:pt>
                <c:pt idx="4">
                  <c:v>39891</c:v>
                </c:pt>
                <c:pt idx="5">
                  <c:v>56642</c:v>
                </c:pt>
                <c:pt idx="6">
                  <c:v>60150</c:v>
                </c:pt>
                <c:pt idx="7">
                  <c:v>54445</c:v>
                </c:pt>
                <c:pt idx="8">
                  <c:v>64445</c:v>
                </c:pt>
                <c:pt idx="9">
                  <c:v>57189</c:v>
                </c:pt>
                <c:pt idx="10">
                  <c:v>63218</c:v>
                </c:pt>
                <c:pt idx="11">
                  <c:v>55794</c:v>
                </c:pt>
                <c:pt idx="12">
                  <c:v>56957</c:v>
                </c:pt>
                <c:pt idx="13">
                  <c:v>57081</c:v>
                </c:pt>
                <c:pt idx="14">
                  <c:v>61111</c:v>
                </c:pt>
                <c:pt idx="15">
                  <c:v>67938</c:v>
                </c:pt>
                <c:pt idx="16">
                  <c:v>66029</c:v>
                </c:pt>
                <c:pt idx="17">
                  <c:v>83088</c:v>
                </c:pt>
                <c:pt idx="18">
                  <c:v>81363</c:v>
                </c:pt>
                <c:pt idx="19">
                  <c:v>93940</c:v>
                </c:pt>
                <c:pt idx="20">
                  <c:v>91738</c:v>
                </c:pt>
                <c:pt idx="21">
                  <c:v>98273</c:v>
                </c:pt>
                <c:pt idx="22">
                  <c:v>101302</c:v>
                </c:pt>
                <c:pt idx="23">
                  <c:v>113812</c:v>
                </c:pt>
                <c:pt idx="24">
                  <c:v>109431</c:v>
                </c:pt>
                <c:pt idx="25">
                  <c:v>105582</c:v>
                </c:pt>
                <c:pt idx="26">
                  <c:v>116969</c:v>
                </c:pt>
                <c:pt idx="27">
                  <c:v>112635</c:v>
                </c:pt>
                <c:pt idx="28">
                  <c:v>122391</c:v>
                </c:pt>
                <c:pt idx="29">
                  <c:v>121872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6F-DB4B-A0D3-F4D6AE7BC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4452672"/>
        <c:axId val="1144448192"/>
      </c:scatterChart>
      <c:valAx>
        <c:axId val="114445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448192"/>
        <c:crosses val="autoZero"/>
        <c:crossBetween val="midCat"/>
      </c:valAx>
      <c:valAx>
        <c:axId val="114444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45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7</xdr:col>
      <xdr:colOff>480198</xdr:colOff>
      <xdr:row>27</xdr:row>
      <xdr:rowOff>11033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F42548-3465-1641-8C7A-D310EB93D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3784" y="3216680"/>
          <a:ext cx="5422900" cy="22225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</xdr:row>
      <xdr:rowOff>0</xdr:rowOff>
    </xdr:from>
    <xdr:to>
      <xdr:col>7</xdr:col>
      <xdr:colOff>251598</xdr:colOff>
      <xdr:row>39</xdr:row>
      <xdr:rowOff>110476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EE3DA68-060F-FE7A-6775-71EC5F349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3784" y="5830232"/>
          <a:ext cx="5194300" cy="2120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165139</xdr:colOff>
      <xdr:row>8</xdr:row>
      <xdr:rowOff>165139</xdr:rowOff>
    </xdr:from>
    <xdr:to>
      <xdr:col>5</xdr:col>
      <xdr:colOff>431052</xdr:colOff>
      <xdr:row>15</xdr:row>
      <xdr:rowOff>80132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E964D-1671-0425-620E-FF15ACE3B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8885" y="1800805"/>
          <a:ext cx="2298700" cy="1346200"/>
        </a:xfrm>
        <a:prstGeom prst="rect">
          <a:avLst/>
        </a:prstGeom>
      </xdr:spPr>
    </xdr:pic>
    <xdr:clientData/>
  </xdr:twoCellAnchor>
  <xdr:twoCellAnchor editAs="oneCell">
    <xdr:from>
      <xdr:col>6</xdr:col>
      <xdr:colOff>536461</xdr:colOff>
      <xdr:row>16</xdr:row>
      <xdr:rowOff>152629</xdr:rowOff>
    </xdr:from>
    <xdr:to>
      <xdr:col>7</xdr:col>
      <xdr:colOff>418668</xdr:colOff>
      <xdr:row>21</xdr:row>
      <xdr:rowOff>71018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AE286CE6-FDBC-892B-AFAF-7FD6D17084FF}"/>
                </a:ext>
              </a:extLst>
            </xdr14:cNvPr>
            <xdr14:cNvContentPartPr/>
          </xdr14:nvContentPartPr>
          <xdr14:nvPr macro=""/>
          <xdr14:xfrm>
            <a:off x="5781600" y="3423960"/>
            <a:ext cx="1533600" cy="940680"/>
          </xdr14:xfrm>
        </xdr:contentPart>
      </mc:Choice>
      <mc:Fallback xmlns=""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AE286CE6-FDBC-892B-AFAF-7FD6D17084F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5775480" y="3417838"/>
              <a:ext cx="1545840" cy="952925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124753</xdr:colOff>
      <xdr:row>30</xdr:row>
      <xdr:rowOff>81032</xdr:rowOff>
    </xdr:from>
    <xdr:to>
      <xdr:col>10</xdr:col>
      <xdr:colOff>605779</xdr:colOff>
      <xdr:row>43</xdr:row>
      <xdr:rowOff>194321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CAF79C-7BBA-363E-28E3-76A88BB0B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603771</xdr:colOff>
      <xdr:row>63</xdr:row>
      <xdr:rowOff>135328</xdr:rowOff>
    </xdr:from>
    <xdr:to>
      <xdr:col>7</xdr:col>
      <xdr:colOff>210279</xdr:colOff>
      <xdr:row>77</xdr:row>
      <xdr:rowOff>36643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FBB0A2-40E8-4B43-8761-7AEF12E739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131857</xdr:colOff>
      <xdr:row>4</xdr:row>
      <xdr:rowOff>13711</xdr:rowOff>
    </xdr:from>
    <xdr:to>
      <xdr:col>6</xdr:col>
      <xdr:colOff>278377</xdr:colOff>
      <xdr:row>4</xdr:row>
      <xdr:rowOff>194071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78557937-D2FC-0418-239C-1250D2E55D0F}"/>
                </a:ext>
              </a:extLst>
            </xdr14:cNvPr>
            <xdr14:cNvContentPartPr/>
          </xdr14:nvContentPartPr>
          <xdr14:nvPr macro=""/>
          <xdr14:xfrm>
            <a:off x="5074560" y="822240"/>
            <a:ext cx="146520" cy="180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78557937-D2FC-0418-239C-1250D2E55D0F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068440" y="816120"/>
              <a:ext cx="158760" cy="19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22T16:00:02.45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39 24575,'8'-6'0,"5"0"0,4 0 0,6 1 0,2-1 0,12 2 0,0 0 0,8 3 0,2 1 0,-5 2 0,5 1 0,-5 6 0,0 1 0,-1 6 0,9 12 0,10 16 0,-11 0 0,1 11 0,-24-17 0,-6 8 0,-2 0 0,-5 15 0,1-10 0,-6 17 0,-3-13 0,-5 7 0,0 2 0,0 17 0,0-7 0,-2 12 0,-2-12 0,1-2 0,1-7 0,11 7 0,2-21 0,7 3 0,-2-20 0,2-10 0,2-4 0,15-7 0,2-6 0,17-2 0,-3-7 0,8-6 0,-2-3 0,-3-6 0,-11-2 0,-10 0 0,-14-1 0,-9 3 0,-6-1 0,-7-3 0,-3-1 0,-3 2 0,-2 4 0,1 8 0,0 3 0,-1 3 0,2 4 0,0 5 0,-1 4 0,-1 10 0,-3 3 0,0 17 0,-1 2 0,-1 16 0,0 1 0,1 5 0,4 6 0,-3 21 0,10-10 0,-4 16 0,8-23 0,0-1 0,0-2 0,0-15 0,0-1 0,0-18 0,-1-5 0,-3-1 0,-1-5 0,-1-5 0,-2 5 0,-1-10 0,-2 5 0,-3-10 0,1 1 0,-6-7 0,-2 1 0,-6-6 0,-17 2 0,0-5 0,-10-4 0,8-2 0,6-3 0,4 2 0,13 1 0,-1 3 0,12 2 0,-9 0 0,9 3 0,0-2 0,9 2 0</inkml:trace>
  <inkml:trace contextRef="#ctx0" brushRef="#br0" timeOffset="825">1756 580 24575,'4'8'0,"4"7"0,0 16 0,3-1 0,-2 9 0,-1-9 0,-1 2 0,2 2 0,3 11 0,-2-7 0,3 9 0,-5-9 0,2-3 0,-1-3 0,-2-7 0,-2-6 0,-1-8 0,-4-5 0,1-4 0</inkml:trace>
  <inkml:trace contextRef="#ctx0" brushRef="#br0" timeOffset="1708">1326 536 24575,'7'-4'0,"0"0"0,14-5 0,-2 2 0,10-3 0,0 2 0,7 0 0,5-2 0,7 5 0,-2 0 0,17 5 0,-12 0 0,13 0 0,-9 2 0,8 4 0,6 5 0,12 11 0,-13-5 0,3 4 0,-24-9 0,-6-1 0,-10 1 0,-4 2 0,-6 1 0,-2 1 0,-7 5 0,1 0 0,1 6 0,-1 8 0,-4-2 0,2 4 0,-7-5 0,3-1 0,-6-2 0,1 2 0,-4-2 0,-3 2 0,-5 2 0,-4-2 0,-3 0 0,-4-5 0,0-3 0,-9 0 0,0-5 0,-8-2 0,-9-2 0,5-1 0,-5-2 0,13-1 0,7-3 0,5-2 0,3 1 0,-3-1 0,4-2 0,1 1 0,9-3 0,2 1 0,4-1 0,0-2 0,1-2 0,1 1 0,0-1 0</inkml:trace>
  <inkml:trace contextRef="#ctx0" brushRef="#br0" timeOffset="3075">2466 860 24575,'8'0'0,"0"1"0,-1 4 0,0 3 0,0 0 0,7 3 0,1-2 0,3 2 0,2-4 0,1-2 0,8-3 0,-1 0 0,5-2 0,-2 0 0,-1 0 0,1 0 0,-8 0 0,-1-3 0,-7-2 0,-2-6 0,-7-2 0,-2-2 0,-2-1 0,-2 4 0,0-7 0,0 7 0,0-6 0,0 0 0,-3 6 0,2 0 0,-4 8 0,3 2 0,-3-3 0,1 4 0,-5-1 0,-1 2 0,-2 0 0,-6 1 0,0 1 0,-5 5 0,-7 9 0,5 2 0,-2 5 0,7 1 0,2-2 0,0 4 0,3 1 0,5-4 0,5 1 0,4-5 0,1 0 0,0 1 0,2 4 0,2-4 0,2-1 0,1-4 0,2-3 0,1 0 0,4-3 0,3-5 0,6-1 0,16-10 0,2-4 0,15-7 0,-6-9 0,3 0 0,-3-6 0,-4 1 0,0 1 0,-7-5 0,-11 5 0,-9-3 0,-12 9 0,-4 1 0,-1 3 0,-6 1 0,-1 1 0,-3 4 0,1 2 0,3 5 0,0 6 0,3 0 0,-6 2 0,3 0 0,-5 2 0,4 4 0,1 2 0,1 5 0,3-1 0,0-1 0,3-1 0,0-1 0,4 0 0,-1-1 0,1 0 0,-2 2 0,2-1 0,1 3 0,2-3 0,-1-1 0,-2 0 0,1 4 0,-3 0 0,-1 2 0,0-1 0,-2-1 0,-1 1 0,1-1 0,-2-3 0,0 2 0,0-4 0,0 3 0,-4-4 0,-4 2 0,-2-3 0,-10 6 0,4-2 0,-7 2 0,0-5 0,-2 1 0,2-2 0,1 1 0,10-2 0,3-1 0,5-2 0,-1-1 0,1 0 0,1 0 0,2 0 0</inkml:trace>
  <inkml:trace contextRef="#ctx0" brushRef="#br0" timeOffset="8375">3524 591 24575,'6'0'0,"-1"0"0,-10 0 0,-3 5 0,-14-1 0,1 3 0,-4-2 0,6 0 0,2-1 0,11 0 0,-1 0 0,3 1 0,1 5 0,-3 10 0,4 2 0,-4 7 0,2-6 0,-2 4 0,2-2 0,1 2 0,3-1 0,-2 5 0,2 9 0,-2 2 0,4 7 0,3-8 0,3-3 0,3-9 0,1-4 0,1-4 0,10 0 0,2-6 0,14 0 0,-1-8 0,5-3 0,3-2 0,0-2 0,14 0 0,-9-2 0,10 0 0,-15-2 0,-6 2 0,-14-1 0,-13 1 0,-8 1 0,-6 0 0,0 1 0</inkml:trace>
  <inkml:trace contextRef="#ctx0" brushRef="#br0" timeOffset="9650">2096 1858 24575,'3'-3'0,"0"0"0,-1 0 0,0-3 0,-5 1 0,-8-8 0,-2 3 0,-8-1 0,-5 1 0,-2 4 0,-7 2 0,1 1 0,0 9 0,-10 13 0,7 6 0,-3 10 0,9-3 0,12-2 0,2 0 0,11-3 0,6 0 0,5-5 0,4-3 0,3-8 0,2-1 0,8-6 0,16 0 0,3-4 0,12 0 0,1 0 0,0 1 0,13 8 0,17 6 0,-11 9 0,9 5 0,-27 4 0,-7-1 0,-8 2 0,-6-1 0,-10 11 0,-6-2 0,-9 7 0,-4-9 0,-5-4 0,-4-7 0,-4-7 0,-4-5 0,-5-5 0,-10-2 0,2-1 0,-10-4 0,9-1 0,-4-3 0,4-2 0,-3-3 0,-4-4 0,-9-10 0,-1 2 0,1-7 0,14 12 0,7-1 0,4 4 0,7 3 0,-2-2 0,11 5 0,-2-4 0,4-2 0,2 1 0,-1 1 0,1 3 0</inkml:trace>
  <inkml:trace contextRef="#ctx0" brushRef="#br0" timeOffset="10258">2899 1729 24575,'0'6'0,"0"2"0,1 8 0,3 8 0,6 17 0,2 4 0,7 15 0,-4-1 0,5 6 0,-5 3 0,2 10 0,-8-13 0,-3 4 0,-6-18 0,4-8 0,2-4 0,4-10 0,2-4 0,-1-6 0,5-3 0,-2-6 0,9-3 0,-1-6 0,5-7 0,1-3 0,0-7 0,8-8 0,-10 1 0,-3-1 0,-13 9 0,-5 5 0,-4 4 0,-2-1 0,0 3 0,-1 0 0</inkml:trace>
  <inkml:trace contextRef="#ctx0" brushRef="#br0" timeOffset="10658">2865 2283 24575,'21'-2'0,"5"-3"0,18-5 0,16-4 0,26 2 0,-36 8 0,3 0 0,11-4 0,0 1 0,34-2 0,-13-9 0,-39 11 0,-23 2 0,-8 5 0,-11 0 0</inkml:trace>
  <inkml:trace contextRef="#ctx0" brushRef="#br0" timeOffset="11783">3618 2103 24575,'-5'0'0,"1"1"0,1 5 0,-1 9 0,3 7 0,-2 8 0,3 4 0,0-1 0,0-1 0,2 5 0,1-11 0,0 3 0,3-10 0,-1-5 0,6-1 0,4-3 0,7 0 0,3-6 0,0-1 0,-5-3 0,-6-4 0,-5-6 0,-2-6 0,-3-8 0,-1-3 0,-3-4 0,0 1 0,0-1 0,-4 4 0,0 0 0,-6 1 0,5 6 0,-2 3 0,3 10 0,0 10 0,3 11 0,4 10 0,2 9 0,3-3 0,-1 1 0,0-4 0,2-2 0,0-4 0,3-3 0,-2-7 0,0-3 0,-1-5 0,5-2 0,-4-5 0,5-4 0,-4-6 0,1-7 0,-2-2 0,0-19 0,-1 8 0,-2-19 0,-2 7 0,-3-13 0,-2-1 0,-2-5 0,-9-12 0,1 13 0,-10-7 0,10 22 0,-4 6 0,7 9 0,-2 13 0,7 9 0,-1 11 0,3 11 0,0 7 0,0 9 0,2 9 0,7 14 0,-4-1 0,7 9 0,-6-12 0,3-4 0,2 1 0,3 3 0,0-3 0,3 0 0,-3-11 0,4-1 0,4-3 0,1 1 0,3-6 0,-3-2 0,-2-7 0,-3-6 0,0-3 0,-3-4 0,-5 0 0,-3-2 0,-1-4 0,-3-3 0,1-3 0,-1-3 0,0 1 0,-1-8 0,-1 9 0,-1 0 0,0 10 0</inkml:trace>
  <inkml:trace contextRef="#ctx0" brushRef="#br0" timeOffset="12155">3777 2084 24575,'4'-2'0,"6"-2"0,12-1 0,11-4 0,15-2 0,12-1 0,3-5 0,3 4 0,-10-5 0,-12 8 0,-8 1 0,-14 3 0,-9 4 0,-8-1 0</inkml:trace>
  <inkml:trace contextRef="#ctx0" brushRef="#br0" timeOffset="12336">4259 1972 24575,'0'0'0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22T17:36:11.647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0 24575,'4'3'0,"1"2"0,6 8 0,-1-1 0,5 8 0,-4-6 0,5 6 0,-4-4 0,4 4 0,-4-3 0,3 5 0,-3-3 0,2 2 0,-1-4 0,-2-2 0,2 0 0,-1 0 0,0 1 0,-1-1 0,2 2 0,-2-2 0,1 1 0,-3-3 0,-1 0 0,-1 0 0,0-2 0,0 2 0,2 1 0,1-2 0,-2-1 0,-1-1 0,-2-2 0,1 0 0,0 0 0,-2-3 0,-1-1 0,-2-3 0,0-6 0,-2-2 0,1-2 0,-4 1 0,3-2 0,-1 0 0,2-1 0,0 2 0,0-2 0,0 5 0,0-2 0,0 2 0,0-3 0,0 2 0,0-2 0,0 5 0,0 0 0,1-1 0,0 3 0,6 2 0,-2 3 0,3 6 0,-3 0 0,1 2 0,-1 2 0,0-4 0,-1 3 0,-3-3 0,3 2 0,-3-2 0,1 2 0,-2-5 0,0 6 0,0-6 0,0 3 0,0-4 0,-3-3 0,-1 1 0,-3-2 0,-1 1 0,2-1 0,-2-1 0,0-1 0,1 1 0,-3-2 0,1 2 0,1-2 0,1 1 0,0-4 0,3 5 0,-1-3 0,1 3 0,0 0 0,0-3 0,-1 3 0,1-3 0,-1 1 0,2 1 0,-2-1 0,3 2 0,1 0 0</inkml:trace>
  <inkml:trace contextRef="#ctx0" brushRef="#br0" timeOffset="1201">246 458 24575,'10'0'0,"-3"0"0,4 0 0,-5 0 0,4 0 0,-5 0 0,4 0 0,-4 1 0,1 1 0,0-1 0,-1 2 0,1-2 0,-1 2 0,2 1 0,-3-1 0,5 3 0,-4-2 0,2 1 0,-3-3 0,0 0 0,-5-4 0,3 1 0,-8-5 0,6 3 0,-3-3 0,3 1 0,0-2 0,0 1 0,0 0 0,0-1 0,0 1 0,0 1 0,0-1 0,0 3 0,0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B4E25-4A09-B747-A3C5-AC9C2DFBF355}">
  <dimension ref="A3:K47"/>
  <sheetViews>
    <sheetView topLeftCell="A35" zoomScale="259" zoomScaleNormal="259" workbookViewId="0">
      <selection activeCell="C47" sqref="C47:J47"/>
    </sheetView>
  </sheetViews>
  <sheetFormatPr baseColWidth="10" defaultRowHeight="16" x14ac:dyDescent="0.2"/>
  <sheetData>
    <row r="3" spans="1:11" x14ac:dyDescent="0.2">
      <c r="B3" s="34" t="s">
        <v>0</v>
      </c>
      <c r="C3" s="34"/>
    </row>
    <row r="4" spans="1:11" x14ac:dyDescent="0.2">
      <c r="B4" s="34"/>
      <c r="C4" s="34"/>
    </row>
    <row r="6" spans="1:11" x14ac:dyDescent="0.2">
      <c r="B6" t="s">
        <v>1</v>
      </c>
    </row>
    <row r="8" spans="1:11" x14ac:dyDescent="0.2">
      <c r="B8" t="s">
        <v>2</v>
      </c>
      <c r="H8" t="s">
        <v>4</v>
      </c>
    </row>
    <row r="10" spans="1:11" x14ac:dyDescent="0.2">
      <c r="B10" t="s">
        <v>3</v>
      </c>
    </row>
    <row r="13" spans="1:1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5" spans="1:11" x14ac:dyDescent="0.2">
      <c r="B15" t="s">
        <v>10</v>
      </c>
    </row>
    <row r="42" spans="1:1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4" spans="1:11" x14ac:dyDescent="0.2">
      <c r="C44" t="s">
        <v>46</v>
      </c>
    </row>
    <row r="47" spans="1:11" x14ac:dyDescent="0.2">
      <c r="C47" t="s">
        <v>47</v>
      </c>
      <c r="E47" t="s">
        <v>48</v>
      </c>
    </row>
  </sheetData>
  <mergeCells count="1">
    <mergeCell ref="B3:C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E6D38-8412-1742-8E66-783072C91B42}">
  <dimension ref="B4:H39"/>
  <sheetViews>
    <sheetView topLeftCell="A3" zoomScale="323" zoomScaleNormal="323" workbookViewId="0">
      <selection activeCell="B4" sqref="B4:C34"/>
    </sheetView>
  </sheetViews>
  <sheetFormatPr baseColWidth="10" defaultRowHeight="16" x14ac:dyDescent="0.2"/>
  <cols>
    <col min="2" max="2" width="14.6640625" bestFit="1" customWidth="1"/>
    <col min="5" max="5" width="26.6640625" bestFit="1" customWidth="1"/>
    <col min="7" max="7" width="21.6640625" bestFit="1" customWidth="1"/>
  </cols>
  <sheetData>
    <row r="4" spans="2:6" x14ac:dyDescent="0.2">
      <c r="B4" s="1" t="s">
        <v>5</v>
      </c>
      <c r="C4" s="1" t="s">
        <v>6</v>
      </c>
    </row>
    <row r="5" spans="2:6" x14ac:dyDescent="0.2">
      <c r="B5" s="3">
        <v>1.1000000000000001</v>
      </c>
      <c r="C5" s="3">
        <v>39343</v>
      </c>
      <c r="E5" t="s">
        <v>7</v>
      </c>
      <c r="F5">
        <f>MEDIAN(B5:B34)</f>
        <v>4.7</v>
      </c>
    </row>
    <row r="6" spans="2:6" x14ac:dyDescent="0.2">
      <c r="B6" s="3">
        <v>1.3</v>
      </c>
      <c r="C6" s="3">
        <v>46205</v>
      </c>
      <c r="E6" t="s">
        <v>8</v>
      </c>
      <c r="F6">
        <f>AVERAGE(B5:B34)</f>
        <v>5.3133333333333335</v>
      </c>
    </row>
    <row r="7" spans="2:6" x14ac:dyDescent="0.2">
      <c r="B7" s="3">
        <v>1.5</v>
      </c>
      <c r="C7" s="3">
        <v>37731</v>
      </c>
      <c r="E7" t="s">
        <v>9</v>
      </c>
      <c r="F7" cm="1">
        <f t="array" ref="F7:F8">_xlfn.MODE.MULT(B5:B34)</f>
        <v>3.2</v>
      </c>
    </row>
    <row r="8" spans="2:6" x14ac:dyDescent="0.2">
      <c r="B8" s="3">
        <v>2</v>
      </c>
      <c r="C8" s="3">
        <v>43525</v>
      </c>
      <c r="F8">
        <v>4</v>
      </c>
    </row>
    <row r="9" spans="2:6" x14ac:dyDescent="0.2">
      <c r="B9" s="3">
        <v>2.2000000000000002</v>
      </c>
      <c r="C9" s="3">
        <v>39891</v>
      </c>
    </row>
    <row r="10" spans="2:6" x14ac:dyDescent="0.2">
      <c r="B10" s="3">
        <v>2.9</v>
      </c>
      <c r="C10" s="3">
        <v>56642</v>
      </c>
    </row>
    <row r="11" spans="2:6" x14ac:dyDescent="0.2">
      <c r="B11" s="3">
        <v>3</v>
      </c>
      <c r="C11" s="3">
        <v>60150</v>
      </c>
    </row>
    <row r="12" spans="2:6" x14ac:dyDescent="0.2">
      <c r="B12" s="3">
        <v>3.2</v>
      </c>
      <c r="C12" s="3">
        <v>54445</v>
      </c>
    </row>
    <row r="13" spans="2:6" x14ac:dyDescent="0.2">
      <c r="B13" s="3">
        <v>3.2</v>
      </c>
      <c r="C13" s="3">
        <v>64445</v>
      </c>
    </row>
    <row r="14" spans="2:6" x14ac:dyDescent="0.2">
      <c r="B14" s="3">
        <v>3.7</v>
      </c>
      <c r="C14" s="3">
        <v>57189</v>
      </c>
    </row>
    <row r="15" spans="2:6" x14ac:dyDescent="0.2">
      <c r="B15" s="3">
        <v>3.9</v>
      </c>
      <c r="C15" s="3">
        <v>63218</v>
      </c>
    </row>
    <row r="16" spans="2:6" x14ac:dyDescent="0.2">
      <c r="B16" s="3">
        <v>4</v>
      </c>
      <c r="C16" s="3">
        <v>55794</v>
      </c>
    </row>
    <row r="17" spans="2:8" x14ac:dyDescent="0.2">
      <c r="B17" s="3">
        <v>4</v>
      </c>
      <c r="C17" s="3">
        <v>56957</v>
      </c>
    </row>
    <row r="18" spans="2:8" x14ac:dyDescent="0.2">
      <c r="B18" s="3">
        <v>4.0999999999999996</v>
      </c>
      <c r="C18" s="3">
        <v>57081</v>
      </c>
    </row>
    <row r="19" spans="2:8" x14ac:dyDescent="0.2">
      <c r="B19" s="3">
        <v>4.5</v>
      </c>
      <c r="C19" s="3">
        <v>61111</v>
      </c>
      <c r="E19" t="s">
        <v>11</v>
      </c>
    </row>
    <row r="20" spans="2:8" x14ac:dyDescent="0.2">
      <c r="B20" s="3">
        <v>4.9000000000000004</v>
      </c>
      <c r="C20" s="3">
        <v>67938</v>
      </c>
    </row>
    <row r="21" spans="2:8" x14ac:dyDescent="0.2">
      <c r="B21" s="3">
        <v>5.0999999999999996</v>
      </c>
      <c r="C21" s="3">
        <v>66029</v>
      </c>
      <c r="E21" t="s">
        <v>12</v>
      </c>
    </row>
    <row r="22" spans="2:8" x14ac:dyDescent="0.2">
      <c r="B22" s="3">
        <v>5.3</v>
      </c>
      <c r="C22" s="3">
        <v>83088</v>
      </c>
    </row>
    <row r="23" spans="2:8" ht="17" thickBot="1" x14ac:dyDescent="0.25">
      <c r="B23" s="3">
        <v>5.9</v>
      </c>
      <c r="C23" s="3">
        <v>81363</v>
      </c>
    </row>
    <row r="24" spans="2:8" x14ac:dyDescent="0.2">
      <c r="B24" s="3">
        <v>6</v>
      </c>
      <c r="C24" s="3">
        <v>93940</v>
      </c>
      <c r="E24" s="6" t="s">
        <v>5</v>
      </c>
      <c r="F24" s="6"/>
      <c r="G24" s="6" t="s">
        <v>6</v>
      </c>
      <c r="H24" s="6"/>
    </row>
    <row r="25" spans="2:8" x14ac:dyDescent="0.2">
      <c r="B25" s="3">
        <v>6.8</v>
      </c>
      <c r="C25" s="3">
        <v>91738</v>
      </c>
    </row>
    <row r="26" spans="2:8" x14ac:dyDescent="0.2">
      <c r="B26" s="3">
        <v>7.1</v>
      </c>
      <c r="C26" s="3">
        <v>98273</v>
      </c>
      <c r="E26" t="s">
        <v>13</v>
      </c>
      <c r="F26">
        <v>5.3133333333333335</v>
      </c>
      <c r="G26" t="s">
        <v>13</v>
      </c>
      <c r="H26">
        <v>76003</v>
      </c>
    </row>
    <row r="27" spans="2:8" x14ac:dyDescent="0.2">
      <c r="B27" s="3">
        <v>7.9</v>
      </c>
      <c r="C27" s="3">
        <v>101302</v>
      </c>
      <c r="E27" t="s">
        <v>14</v>
      </c>
      <c r="F27">
        <v>0.51812511987621601</v>
      </c>
      <c r="G27" t="s">
        <v>14</v>
      </c>
      <c r="H27">
        <v>5005.1671980524052</v>
      </c>
    </row>
    <row r="28" spans="2:8" x14ac:dyDescent="0.2">
      <c r="B28" s="3">
        <v>8.1999999999999993</v>
      </c>
      <c r="C28" s="3">
        <v>113812</v>
      </c>
      <c r="E28" t="s">
        <v>15</v>
      </c>
      <c r="F28">
        <v>4.7</v>
      </c>
      <c r="G28" t="s">
        <v>15</v>
      </c>
      <c r="H28">
        <v>65237</v>
      </c>
    </row>
    <row r="29" spans="2:8" x14ac:dyDescent="0.2">
      <c r="B29" s="3">
        <v>8.6999999999999993</v>
      </c>
      <c r="C29" s="3">
        <v>109431</v>
      </c>
      <c r="E29" t="s">
        <v>16</v>
      </c>
      <c r="F29">
        <v>3.2</v>
      </c>
      <c r="G29" t="s">
        <v>16</v>
      </c>
      <c r="H29" t="e">
        <v>#N/A</v>
      </c>
    </row>
    <row r="30" spans="2:8" x14ac:dyDescent="0.2">
      <c r="B30" s="3">
        <v>9</v>
      </c>
      <c r="C30" s="3">
        <v>105582</v>
      </c>
      <c r="E30" t="s">
        <v>17</v>
      </c>
      <c r="F30">
        <v>2.8378881576627184</v>
      </c>
      <c r="G30" t="s">
        <v>17</v>
      </c>
      <c r="H30">
        <v>27414.429784582298</v>
      </c>
    </row>
    <row r="31" spans="2:8" x14ac:dyDescent="0.2">
      <c r="B31" s="3">
        <v>9.5</v>
      </c>
      <c r="C31" s="3">
        <v>116969</v>
      </c>
      <c r="E31" t="s">
        <v>18</v>
      </c>
      <c r="F31">
        <v>8.0536091954022986</v>
      </c>
      <c r="G31" t="s">
        <v>18</v>
      </c>
      <c r="H31">
        <v>751550960.41379309</v>
      </c>
    </row>
    <row r="32" spans="2:8" x14ac:dyDescent="0.2">
      <c r="B32" s="3">
        <v>9.6</v>
      </c>
      <c r="C32" s="3">
        <v>112635</v>
      </c>
      <c r="E32" t="s">
        <v>19</v>
      </c>
      <c r="F32">
        <v>-1.0122119403325072</v>
      </c>
      <c r="G32" t="s">
        <v>19</v>
      </c>
      <c r="H32">
        <v>-1.295421086394517</v>
      </c>
    </row>
    <row r="33" spans="2:8" x14ac:dyDescent="0.2">
      <c r="B33" s="3">
        <v>10.3</v>
      </c>
      <c r="C33" s="3">
        <v>122391</v>
      </c>
      <c r="E33" t="s">
        <v>20</v>
      </c>
      <c r="F33">
        <v>0.37956024064804139</v>
      </c>
      <c r="G33" t="s">
        <v>20</v>
      </c>
      <c r="H33">
        <v>0.35411967922959159</v>
      </c>
    </row>
    <row r="34" spans="2:8" x14ac:dyDescent="0.2">
      <c r="B34" s="3">
        <v>10.5</v>
      </c>
      <c r="C34" s="3">
        <v>121872</v>
      </c>
      <c r="E34" t="s">
        <v>21</v>
      </c>
      <c r="F34">
        <v>9.4</v>
      </c>
      <c r="G34" t="s">
        <v>21</v>
      </c>
      <c r="H34">
        <v>84660</v>
      </c>
    </row>
    <row r="35" spans="2:8" x14ac:dyDescent="0.2">
      <c r="E35" t="s">
        <v>22</v>
      </c>
      <c r="F35">
        <v>1.1000000000000001</v>
      </c>
      <c r="G35" t="s">
        <v>22</v>
      </c>
      <c r="H35">
        <v>37731</v>
      </c>
    </row>
    <row r="36" spans="2:8" x14ac:dyDescent="0.2">
      <c r="E36" t="s">
        <v>23</v>
      </c>
      <c r="F36">
        <v>10.5</v>
      </c>
      <c r="G36" t="s">
        <v>23</v>
      </c>
      <c r="H36">
        <v>122391</v>
      </c>
    </row>
    <row r="37" spans="2:8" x14ac:dyDescent="0.2">
      <c r="E37" t="s">
        <v>24</v>
      </c>
      <c r="F37">
        <v>159.4</v>
      </c>
      <c r="G37" t="s">
        <v>24</v>
      </c>
      <c r="H37">
        <v>2280090</v>
      </c>
    </row>
    <row r="38" spans="2:8" x14ac:dyDescent="0.2">
      <c r="E38" t="s">
        <v>25</v>
      </c>
      <c r="F38">
        <v>30</v>
      </c>
      <c r="G38" t="s">
        <v>25</v>
      </c>
      <c r="H38">
        <v>30</v>
      </c>
    </row>
    <row r="39" spans="2:8" ht="17" thickBot="1" x14ac:dyDescent="0.25">
      <c r="E39" s="5" t="s">
        <v>26</v>
      </c>
      <c r="F39" s="5">
        <v>1.0596848535043972</v>
      </c>
      <c r="G39" s="5" t="s">
        <v>26</v>
      </c>
      <c r="H39" s="5">
        <v>10236.716317287066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25326-64A2-AE44-B29E-15CC659D5562}">
  <dimension ref="B3:L33"/>
  <sheetViews>
    <sheetView topLeftCell="A35" zoomScale="226" zoomScaleNormal="226" workbookViewId="0">
      <selection activeCell="B3" sqref="B3:C33"/>
    </sheetView>
  </sheetViews>
  <sheetFormatPr baseColWidth="10" defaultRowHeight="16" x14ac:dyDescent="0.2"/>
  <cols>
    <col min="2" max="2" width="14.6640625" bestFit="1" customWidth="1"/>
    <col min="5" max="5" width="5.83203125" bestFit="1" customWidth="1"/>
    <col min="6" max="6" width="15.33203125" bestFit="1" customWidth="1"/>
    <col min="7" max="7" width="5.83203125" bestFit="1" customWidth="1"/>
    <col min="11" max="11" width="23.83203125" bestFit="1" customWidth="1"/>
  </cols>
  <sheetData>
    <row r="3" spans="2:9" x14ac:dyDescent="0.2">
      <c r="B3" s="1" t="s">
        <v>5</v>
      </c>
      <c r="C3" s="1" t="s">
        <v>6</v>
      </c>
      <c r="E3" s="35" t="s">
        <v>27</v>
      </c>
      <c r="F3" s="35"/>
      <c r="G3" s="35"/>
    </row>
    <row r="4" spans="2:9" x14ac:dyDescent="0.2">
      <c r="B4" s="3">
        <v>1.1000000000000001</v>
      </c>
      <c r="C4" s="3">
        <v>39343</v>
      </c>
      <c r="E4" s="35"/>
      <c r="F4" s="35"/>
      <c r="G4" s="35"/>
      <c r="I4" t="s">
        <v>71</v>
      </c>
    </row>
    <row r="5" spans="2:9" x14ac:dyDescent="0.2">
      <c r="B5" s="3">
        <v>1.3</v>
      </c>
      <c r="C5" s="3">
        <v>46205</v>
      </c>
    </row>
    <row r="6" spans="2:9" x14ac:dyDescent="0.2">
      <c r="B6" s="3">
        <v>1.5</v>
      </c>
      <c r="C6" s="3">
        <v>37731</v>
      </c>
    </row>
    <row r="7" spans="2:9" x14ac:dyDescent="0.2">
      <c r="B7" s="3">
        <v>2</v>
      </c>
      <c r="C7" s="3">
        <v>43525</v>
      </c>
      <c r="F7" t="s">
        <v>28</v>
      </c>
    </row>
    <row r="8" spans="2:9" x14ac:dyDescent="0.2">
      <c r="B8" s="3">
        <v>2.2000000000000002</v>
      </c>
      <c r="C8" s="3">
        <v>39891</v>
      </c>
    </row>
    <row r="9" spans="2:9" x14ac:dyDescent="0.2">
      <c r="B9" s="3">
        <v>2.9</v>
      </c>
      <c r="C9" s="3">
        <v>56642</v>
      </c>
    </row>
    <row r="10" spans="2:9" x14ac:dyDescent="0.2">
      <c r="B10" s="3">
        <v>3</v>
      </c>
      <c r="C10" s="3">
        <v>60150</v>
      </c>
    </row>
    <row r="11" spans="2:9" x14ac:dyDescent="0.2">
      <c r="B11" s="3">
        <v>3.2</v>
      </c>
      <c r="C11" s="3">
        <v>54445</v>
      </c>
      <c r="F11" t="s">
        <v>29</v>
      </c>
    </row>
    <row r="12" spans="2:9" x14ac:dyDescent="0.2">
      <c r="B12" s="3">
        <v>3.2</v>
      </c>
      <c r="C12" s="3">
        <v>64445</v>
      </c>
    </row>
    <row r="13" spans="2:9" x14ac:dyDescent="0.2">
      <c r="B13" s="3">
        <v>3.7</v>
      </c>
      <c r="C13" s="3">
        <v>57189</v>
      </c>
      <c r="F13" t="s">
        <v>30</v>
      </c>
    </row>
    <row r="14" spans="2:9" x14ac:dyDescent="0.2">
      <c r="B14" s="3">
        <v>3.9</v>
      </c>
      <c r="C14" s="3">
        <v>63218</v>
      </c>
    </row>
    <row r="15" spans="2:9" x14ac:dyDescent="0.2">
      <c r="B15" s="3">
        <v>4</v>
      </c>
      <c r="C15" s="3">
        <v>55794</v>
      </c>
    </row>
    <row r="16" spans="2:9" x14ac:dyDescent="0.2">
      <c r="B16" s="3">
        <v>4</v>
      </c>
      <c r="C16" s="3">
        <v>56957</v>
      </c>
      <c r="F16" t="s">
        <v>31</v>
      </c>
      <c r="G16" t="s">
        <v>32</v>
      </c>
    </row>
    <row r="17" spans="2:12" x14ac:dyDescent="0.2">
      <c r="B17" s="3">
        <v>4.0999999999999996</v>
      </c>
      <c r="C17" s="3">
        <v>57081</v>
      </c>
    </row>
    <row r="18" spans="2:12" x14ac:dyDescent="0.2">
      <c r="B18" s="3">
        <v>4.5</v>
      </c>
      <c r="C18" s="3">
        <v>61111</v>
      </c>
      <c r="F18" t="s">
        <v>33</v>
      </c>
      <c r="G18" t="s">
        <v>34</v>
      </c>
    </row>
    <row r="19" spans="2:12" x14ac:dyDescent="0.2">
      <c r="B19" s="3">
        <v>4.9000000000000004</v>
      </c>
      <c r="C19" s="3">
        <v>67938</v>
      </c>
    </row>
    <row r="20" spans="2:12" x14ac:dyDescent="0.2">
      <c r="B20" s="3">
        <v>5.0999999999999996</v>
      </c>
      <c r="C20" s="3">
        <v>66029</v>
      </c>
    </row>
    <row r="21" spans="2:12" x14ac:dyDescent="0.2">
      <c r="B21" s="3">
        <v>5.3</v>
      </c>
      <c r="C21" s="3">
        <v>83088</v>
      </c>
    </row>
    <row r="22" spans="2:12" x14ac:dyDescent="0.2">
      <c r="B22" s="3">
        <v>5.9</v>
      </c>
      <c r="C22" s="3">
        <v>81363</v>
      </c>
      <c r="F22" s="4" t="s">
        <v>35</v>
      </c>
      <c r="H22" t="s">
        <v>36</v>
      </c>
    </row>
    <row r="23" spans="2:12" x14ac:dyDescent="0.2">
      <c r="B23" s="3">
        <v>6</v>
      </c>
      <c r="C23" s="3">
        <v>93940</v>
      </c>
      <c r="H23" t="str">
        <f>"-1 to 1"</f>
        <v>-1 to 1</v>
      </c>
    </row>
    <row r="24" spans="2:12" x14ac:dyDescent="0.2">
      <c r="B24" s="3">
        <v>6.8</v>
      </c>
      <c r="C24" s="3">
        <v>91738</v>
      </c>
      <c r="H24" t="s">
        <v>37</v>
      </c>
    </row>
    <row r="25" spans="2:12" x14ac:dyDescent="0.2">
      <c r="B25" s="3">
        <v>7.1</v>
      </c>
      <c r="C25" s="3">
        <v>98273</v>
      </c>
      <c r="I25" t="s">
        <v>40</v>
      </c>
      <c r="J25" t="s">
        <v>38</v>
      </c>
      <c r="L25" t="s">
        <v>45</v>
      </c>
    </row>
    <row r="26" spans="2:12" x14ac:dyDescent="0.2">
      <c r="B26" s="3">
        <v>7.9</v>
      </c>
      <c r="C26" s="3">
        <v>101302</v>
      </c>
      <c r="I26" t="str">
        <f>"=0"</f>
        <v>=0</v>
      </c>
      <c r="J26" t="s">
        <v>39</v>
      </c>
      <c r="L26" t="s">
        <v>43</v>
      </c>
    </row>
    <row r="27" spans="2:12" x14ac:dyDescent="0.2">
      <c r="B27" s="3">
        <v>8.1999999999999993</v>
      </c>
      <c r="C27" s="3">
        <v>113812</v>
      </c>
      <c r="I27" t="s">
        <v>41</v>
      </c>
      <c r="J27" t="s">
        <v>42</v>
      </c>
      <c r="L27" t="s">
        <v>44</v>
      </c>
    </row>
    <row r="28" spans="2:12" x14ac:dyDescent="0.2">
      <c r="B28" s="3">
        <v>8.6999999999999993</v>
      </c>
      <c r="C28" s="3">
        <v>109431</v>
      </c>
    </row>
    <row r="29" spans="2:12" x14ac:dyDescent="0.2">
      <c r="B29" s="3">
        <v>9</v>
      </c>
      <c r="C29" s="3">
        <v>105582</v>
      </c>
    </row>
    <row r="30" spans="2:12" x14ac:dyDescent="0.2">
      <c r="B30" s="3">
        <v>9.5</v>
      </c>
      <c r="C30" s="3">
        <v>116969</v>
      </c>
      <c r="H30">
        <f>CORREL(B4:B33,C4:C33)</f>
        <v>0.9782416184887599</v>
      </c>
    </row>
    <row r="31" spans="2:12" x14ac:dyDescent="0.2">
      <c r="B31" s="3">
        <v>9.6</v>
      </c>
      <c r="C31" s="3">
        <v>112635</v>
      </c>
      <c r="H31" t="str">
        <f ca="1">_xlfn.FORMULATEXT(H30)</f>
        <v>=CORREL(B4:B33,C4:C33)</v>
      </c>
    </row>
    <row r="32" spans="2:12" x14ac:dyDescent="0.2">
      <c r="B32" s="3">
        <v>10.3</v>
      </c>
      <c r="C32" s="3">
        <v>122391</v>
      </c>
    </row>
    <row r="33" spans="2:3" x14ac:dyDescent="0.2">
      <c r="B33" s="3">
        <v>10.5</v>
      </c>
      <c r="C33" s="3">
        <v>121872</v>
      </c>
    </row>
  </sheetData>
  <sortState xmlns:xlrd2="http://schemas.microsoft.com/office/spreadsheetml/2017/richdata2" ref="E10:H39">
    <sortCondition ref="G11"/>
  </sortState>
  <mergeCells count="1">
    <mergeCell ref="E3:G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E468-5546-3644-A844-C4E827DB97EC}">
  <dimension ref="A1:M59"/>
  <sheetViews>
    <sheetView topLeftCell="A17" zoomScale="244" zoomScaleNormal="244" workbookViewId="0">
      <selection activeCell="H46" sqref="H46"/>
    </sheetView>
  </sheetViews>
  <sheetFormatPr baseColWidth="10" defaultRowHeight="16" x14ac:dyDescent="0.2"/>
  <cols>
    <col min="1" max="1" width="16.33203125" bestFit="1" customWidth="1"/>
  </cols>
  <sheetData>
    <row r="1" spans="1:9" x14ac:dyDescent="0.2">
      <c r="A1" t="s">
        <v>49</v>
      </c>
    </row>
    <row r="2" spans="1:9" ht="17" thickBot="1" x14ac:dyDescent="0.25"/>
    <row r="3" spans="1:9" x14ac:dyDescent="0.2">
      <c r="A3" s="7" t="s">
        <v>50</v>
      </c>
      <c r="B3" s="7"/>
    </row>
    <row r="4" spans="1:9" x14ac:dyDescent="0.2">
      <c r="A4" t="s">
        <v>51</v>
      </c>
      <c r="B4" s="8">
        <v>0.9782416184887599</v>
      </c>
    </row>
    <row r="5" spans="1:9" x14ac:dyDescent="0.2">
      <c r="A5" s="21" t="s">
        <v>52</v>
      </c>
      <c r="B5" s="21">
        <v>0.95695666414350844</v>
      </c>
    </row>
    <row r="6" spans="1:9" x14ac:dyDescent="0.2">
      <c r="A6" s="21" t="s">
        <v>53</v>
      </c>
      <c r="B6" s="21">
        <v>0.95541940214863375</v>
      </c>
    </row>
    <row r="7" spans="1:9" x14ac:dyDescent="0.2">
      <c r="A7" t="s">
        <v>14</v>
      </c>
      <c r="B7">
        <v>5788.3150511193935</v>
      </c>
    </row>
    <row r="8" spans="1:9" ht="17" thickBot="1" x14ac:dyDescent="0.25">
      <c r="A8" s="5" t="s">
        <v>54</v>
      </c>
      <c r="B8" s="5">
        <v>30</v>
      </c>
      <c r="E8" t="str">
        <f>"Salary =" &amp;  ROUND(B18,2) &amp;" * YOE + " &amp; ROUND(B17,2)</f>
        <v>Salary =9449.96 * YOE + 25792.2</v>
      </c>
    </row>
    <row r="10" spans="1:9" ht="17" thickBot="1" x14ac:dyDescent="0.25">
      <c r="A10" t="s">
        <v>55</v>
      </c>
    </row>
    <row r="11" spans="1:9" x14ac:dyDescent="0.2">
      <c r="A11" s="6"/>
      <c r="B11" s="6" t="s">
        <v>59</v>
      </c>
      <c r="C11" s="6" t="s">
        <v>60</v>
      </c>
      <c r="D11" s="6" t="s">
        <v>61</v>
      </c>
      <c r="E11" s="6" t="s">
        <v>62</v>
      </c>
      <c r="F11" s="6" t="s">
        <v>63</v>
      </c>
    </row>
    <row r="12" spans="1:9" x14ac:dyDescent="0.2">
      <c r="A12" t="s">
        <v>46</v>
      </c>
      <c r="B12">
        <v>1</v>
      </c>
      <c r="C12">
        <v>20856849300.33157</v>
      </c>
      <c r="D12">
        <v>20856849300.33157</v>
      </c>
      <c r="E12">
        <v>622.50720263302401</v>
      </c>
      <c r="F12">
        <v>1.1430681092271349E-20</v>
      </c>
    </row>
    <row r="13" spans="1:9" x14ac:dyDescent="0.2">
      <c r="A13" t="s">
        <v>56</v>
      </c>
      <c r="B13">
        <v>28</v>
      </c>
      <c r="C13">
        <v>938128551.66842878</v>
      </c>
      <c r="D13">
        <v>33504591.131015312</v>
      </c>
    </row>
    <row r="14" spans="1:9" ht="17" thickBot="1" x14ac:dyDescent="0.25">
      <c r="A14" s="5" t="s">
        <v>57</v>
      </c>
      <c r="B14" s="5">
        <v>29</v>
      </c>
      <c r="C14" s="5">
        <v>21794977852</v>
      </c>
      <c r="D14" s="5"/>
      <c r="E14" s="5"/>
      <c r="F14" s="5"/>
    </row>
    <row r="15" spans="1:9" ht="17" thickBot="1" x14ac:dyDescent="0.25"/>
    <row r="16" spans="1:9" x14ac:dyDescent="0.2">
      <c r="A16" s="6"/>
      <c r="B16" s="12" t="s">
        <v>64</v>
      </c>
      <c r="C16" s="6" t="s">
        <v>14</v>
      </c>
      <c r="D16" s="6" t="s">
        <v>65</v>
      </c>
      <c r="E16" s="9" t="s">
        <v>66</v>
      </c>
      <c r="F16" s="6" t="s">
        <v>67</v>
      </c>
      <c r="G16" s="6" t="s">
        <v>68</v>
      </c>
      <c r="H16" s="6" t="s">
        <v>69</v>
      </c>
      <c r="I16" s="6" t="s">
        <v>70</v>
      </c>
    </row>
    <row r="17" spans="1:13" x14ac:dyDescent="0.2">
      <c r="A17" t="s">
        <v>58</v>
      </c>
      <c r="B17" s="15">
        <v>25792.200198668696</v>
      </c>
      <c r="C17">
        <v>2273.0534325816047</v>
      </c>
      <c r="D17">
        <v>11.346939684288628</v>
      </c>
      <c r="E17" s="17">
        <v>5.5119502709561397E-12</v>
      </c>
      <c r="F17">
        <v>21136.061313686339</v>
      </c>
      <c r="G17">
        <v>30448.339083651052</v>
      </c>
      <c r="H17">
        <v>21136.061313686339</v>
      </c>
      <c r="I17">
        <v>30448.339083651052</v>
      </c>
    </row>
    <row r="18" spans="1:13" ht="17" thickBot="1" x14ac:dyDescent="0.25">
      <c r="A18" s="5" t="s">
        <v>5</v>
      </c>
      <c r="B18" s="16">
        <v>9449.9623214550757</v>
      </c>
      <c r="C18" s="5">
        <v>378.75457423882102</v>
      </c>
      <c r="D18" s="5">
        <v>24.950094240964781</v>
      </c>
      <c r="E18" s="18">
        <v>1.1430681092271301E-20</v>
      </c>
      <c r="F18" s="5">
        <v>8674.1187465966577</v>
      </c>
      <c r="G18" s="5">
        <v>10225.805896313494</v>
      </c>
      <c r="H18" s="5">
        <v>8674.1187465966577</v>
      </c>
      <c r="I18" s="5">
        <v>10225.805896313494</v>
      </c>
    </row>
    <row r="19" spans="1:13" x14ac:dyDescent="0.2">
      <c r="A19" t="s">
        <v>85</v>
      </c>
      <c r="B19">
        <v>2</v>
      </c>
      <c r="E19" s="19">
        <v>4.4999999999999998E-2</v>
      </c>
    </row>
    <row r="21" spans="1:13" x14ac:dyDescent="0.2">
      <c r="B21" s="13" t="s">
        <v>83</v>
      </c>
      <c r="C21" s="13"/>
      <c r="D21" s="13"/>
      <c r="E21" s="13"/>
      <c r="F21" s="13"/>
      <c r="G21" s="13"/>
      <c r="I21" t="s">
        <v>87</v>
      </c>
    </row>
    <row r="23" spans="1:13" x14ac:dyDescent="0.2">
      <c r="B23" s="14" t="s">
        <v>72</v>
      </c>
      <c r="C23" s="14"/>
      <c r="D23" s="14"/>
      <c r="E23" s="14"/>
      <c r="F23" s="14"/>
    </row>
    <row r="25" spans="1:13" x14ac:dyDescent="0.2">
      <c r="B25" s="20" t="s">
        <v>73</v>
      </c>
      <c r="C25" s="20"/>
      <c r="D25" s="20"/>
    </row>
    <row r="26" spans="1:13" x14ac:dyDescent="0.2">
      <c r="H26" s="11"/>
    </row>
    <row r="27" spans="1:13" x14ac:dyDescent="0.2">
      <c r="H27" s="11"/>
    </row>
    <row r="28" spans="1:13" x14ac:dyDescent="0.2">
      <c r="B28" t="s">
        <v>74</v>
      </c>
      <c r="H28" s="11"/>
    </row>
    <row r="29" spans="1:13" x14ac:dyDescent="0.2">
      <c r="C29" s="13" t="s">
        <v>78</v>
      </c>
      <c r="D29" s="13"/>
      <c r="E29" s="13"/>
      <c r="F29" s="13"/>
      <c r="G29" s="13"/>
      <c r="H29" s="11"/>
      <c r="J29" s="10" t="s">
        <v>79</v>
      </c>
      <c r="K29" s="10"/>
      <c r="L29" s="10"/>
      <c r="M29" s="10"/>
    </row>
    <row r="30" spans="1:13" x14ac:dyDescent="0.2">
      <c r="C30" s="13"/>
      <c r="D30" s="13"/>
      <c r="E30" s="13"/>
      <c r="F30" s="13"/>
      <c r="G30" s="13"/>
      <c r="H30" s="11"/>
      <c r="J30" s="10"/>
      <c r="K30" s="10"/>
      <c r="L30" s="10"/>
      <c r="M30" s="10"/>
    </row>
    <row r="31" spans="1:13" x14ac:dyDescent="0.2">
      <c r="C31" s="13" t="s">
        <v>75</v>
      </c>
      <c r="D31" s="13"/>
      <c r="E31" s="13"/>
      <c r="F31" s="13"/>
      <c r="G31" s="13"/>
      <c r="H31" s="11"/>
      <c r="J31" s="10" t="s">
        <v>80</v>
      </c>
      <c r="K31" s="10"/>
      <c r="L31" s="10"/>
      <c r="M31" s="10"/>
    </row>
    <row r="32" spans="1:13" x14ac:dyDescent="0.2">
      <c r="C32" s="13"/>
      <c r="D32" s="13"/>
      <c r="E32" s="13"/>
      <c r="F32" s="13"/>
      <c r="G32" s="13"/>
      <c r="H32" s="11"/>
      <c r="J32" s="10"/>
      <c r="K32" s="10"/>
      <c r="L32" s="10"/>
      <c r="M32" s="10"/>
    </row>
    <row r="33" spans="2:13" x14ac:dyDescent="0.2">
      <c r="C33" s="13" t="s">
        <v>76</v>
      </c>
      <c r="D33" s="13"/>
      <c r="E33" s="13"/>
      <c r="F33" s="13"/>
      <c r="G33" s="13"/>
      <c r="H33" s="11"/>
      <c r="J33" s="10" t="s">
        <v>81</v>
      </c>
      <c r="K33" s="10"/>
      <c r="L33" s="10"/>
      <c r="M33" s="10"/>
    </row>
    <row r="34" spans="2:13" x14ac:dyDescent="0.2">
      <c r="C34" s="13"/>
      <c r="D34" s="13"/>
      <c r="E34" s="13"/>
      <c r="F34" s="13"/>
      <c r="G34" s="13"/>
      <c r="H34" s="11"/>
      <c r="J34" s="10"/>
      <c r="K34" s="10"/>
      <c r="L34" s="10"/>
      <c r="M34" s="10"/>
    </row>
    <row r="35" spans="2:13" x14ac:dyDescent="0.2">
      <c r="C35" s="13" t="s">
        <v>77</v>
      </c>
      <c r="D35" s="13"/>
      <c r="E35" s="13"/>
      <c r="F35" s="13"/>
      <c r="G35" s="13"/>
      <c r="H35" s="11"/>
      <c r="J35" s="10" t="s">
        <v>77</v>
      </c>
      <c r="K35" s="10"/>
      <c r="L35" s="10"/>
      <c r="M35" s="10"/>
    </row>
    <row r="36" spans="2:13" x14ac:dyDescent="0.2">
      <c r="H36" s="11"/>
    </row>
    <row r="37" spans="2:13" x14ac:dyDescent="0.2">
      <c r="H37" s="11"/>
    </row>
    <row r="38" spans="2:13" x14ac:dyDescent="0.2">
      <c r="B38" t="s">
        <v>82</v>
      </c>
    </row>
    <row r="40" spans="2:13" x14ac:dyDescent="0.2">
      <c r="C40" s="14" t="s">
        <v>84</v>
      </c>
      <c r="F40" s="14" t="s">
        <v>86</v>
      </c>
      <c r="G40" s="14"/>
      <c r="H40" s="14"/>
      <c r="I40" s="14"/>
    </row>
    <row r="42" spans="2:13" x14ac:dyDescent="0.2">
      <c r="C42" t="str">
        <f>"Salary = " &amp;  ROUND(B18,2) &amp;" * YOE + " &amp; ROUND(B17,2)</f>
        <v>Salary = 9449.96 * YOE + 25792.2</v>
      </c>
    </row>
    <row r="44" spans="2:13" x14ac:dyDescent="0.2">
      <c r="C44" t="str">
        <f>"Salary = " &amp;  ROUND(B18,2) &amp;" * YOE + " &amp; "2 * Prev Salary + " &amp; ROUND(B17,2)</f>
        <v>Salary = 9449.96 * YOE + 2 * Prev Salary + 25792.2</v>
      </c>
    </row>
    <row r="49" spans="2:3" x14ac:dyDescent="0.2">
      <c r="B49" t="s">
        <v>88</v>
      </c>
    </row>
    <row r="51" spans="2:3" x14ac:dyDescent="0.2">
      <c r="C51" t="s">
        <v>89</v>
      </c>
    </row>
    <row r="53" spans="2:3" x14ac:dyDescent="0.2">
      <c r="C53" t="s">
        <v>90</v>
      </c>
    </row>
    <row r="55" spans="2:3" x14ac:dyDescent="0.2">
      <c r="B55" s="21" t="s">
        <v>52</v>
      </c>
      <c r="C55" s="21">
        <v>0.95695666414350844</v>
      </c>
    </row>
    <row r="56" spans="2:3" x14ac:dyDescent="0.2">
      <c r="B56" t="s">
        <v>91</v>
      </c>
      <c r="C56" s="22">
        <v>0.95</v>
      </c>
    </row>
    <row r="59" spans="2:3" x14ac:dyDescent="0.2">
      <c r="C59" t="s">
        <v>92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11F-49F9-4F4E-9736-29CE4F54220C}">
  <dimension ref="B4:Q60"/>
  <sheetViews>
    <sheetView topLeftCell="H48" zoomScale="333" zoomScaleNormal="333" workbookViewId="0">
      <selection activeCell="J54" sqref="J54"/>
    </sheetView>
  </sheetViews>
  <sheetFormatPr baseColWidth="10" defaultRowHeight="16" x14ac:dyDescent="0.2"/>
  <cols>
    <col min="8" max="8" width="12.6640625" bestFit="1" customWidth="1"/>
  </cols>
  <sheetData>
    <row r="4" spans="2:8" x14ac:dyDescent="0.2">
      <c r="E4" t="str">
        <f>"= 56*X1 + 21*X2 + RANDBETWEEN(-5,5)"</f>
        <v>= 56*X1 + 21*X2 + RANDBETWEEN(-5,5)</v>
      </c>
    </row>
    <row r="6" spans="2:8" x14ac:dyDescent="0.2">
      <c r="B6" s="23" t="s">
        <v>93</v>
      </c>
      <c r="C6" s="23" t="s">
        <v>94</v>
      </c>
      <c r="D6" s="23" t="s">
        <v>95</v>
      </c>
      <c r="E6" s="24" t="s">
        <v>96</v>
      </c>
      <c r="F6" s="32" t="s">
        <v>102</v>
      </c>
      <c r="G6" t="s">
        <v>97</v>
      </c>
    </row>
    <row r="7" spans="2:8" x14ac:dyDescent="0.2">
      <c r="B7" s="2">
        <v>8</v>
      </c>
      <c r="C7" s="2">
        <v>113</v>
      </c>
      <c r="D7" s="2">
        <v>-96</v>
      </c>
      <c r="E7" s="2">
        <v>2822</v>
      </c>
      <c r="F7">
        <v>-167</v>
      </c>
    </row>
    <row r="8" spans="2:8" x14ac:dyDescent="0.2">
      <c r="B8" s="2">
        <v>8</v>
      </c>
      <c r="C8" s="2">
        <v>148</v>
      </c>
      <c r="D8" s="2">
        <v>-80</v>
      </c>
      <c r="E8" s="2">
        <v>3553</v>
      </c>
      <c r="F8">
        <v>146</v>
      </c>
    </row>
    <row r="9" spans="2:8" x14ac:dyDescent="0.2">
      <c r="B9" s="2">
        <v>0</v>
      </c>
      <c r="C9" s="2">
        <v>327</v>
      </c>
      <c r="D9" s="2">
        <v>-91</v>
      </c>
      <c r="E9" s="2">
        <v>6871</v>
      </c>
      <c r="F9">
        <v>245</v>
      </c>
    </row>
    <row r="10" spans="2:8" x14ac:dyDescent="0.2">
      <c r="B10" s="2">
        <v>8</v>
      </c>
      <c r="C10" s="2">
        <v>391</v>
      </c>
      <c r="D10" s="2">
        <v>-89</v>
      </c>
      <c r="E10" s="2">
        <v>8660</v>
      </c>
      <c r="F10">
        <v>-256</v>
      </c>
    </row>
    <row r="11" spans="2:8" x14ac:dyDescent="0.2">
      <c r="B11" s="2">
        <v>9</v>
      </c>
      <c r="C11" s="2">
        <v>242</v>
      </c>
      <c r="D11" s="2">
        <v>-85</v>
      </c>
      <c r="E11" s="2">
        <v>5584</v>
      </c>
      <c r="F11">
        <v>483</v>
      </c>
      <c r="G11" t="s">
        <v>49</v>
      </c>
    </row>
    <row r="12" spans="2:8" ht="17" thickBot="1" x14ac:dyDescent="0.25">
      <c r="B12" s="2">
        <v>7</v>
      </c>
      <c r="C12" s="2">
        <v>146</v>
      </c>
      <c r="D12" s="2">
        <v>-96</v>
      </c>
      <c r="E12" s="2">
        <v>3454</v>
      </c>
      <c r="F12">
        <v>-151</v>
      </c>
    </row>
    <row r="13" spans="2:8" x14ac:dyDescent="0.2">
      <c r="B13" s="2">
        <v>7</v>
      </c>
      <c r="C13" s="2">
        <v>254</v>
      </c>
      <c r="D13" s="2">
        <v>-92</v>
      </c>
      <c r="E13" s="2">
        <v>5728</v>
      </c>
      <c r="F13">
        <v>-430</v>
      </c>
      <c r="G13" s="7" t="s">
        <v>50</v>
      </c>
      <c r="H13" s="7"/>
    </row>
    <row r="14" spans="2:8" x14ac:dyDescent="0.2">
      <c r="B14" s="2">
        <v>6</v>
      </c>
      <c r="C14" s="2">
        <v>144</v>
      </c>
      <c r="D14" s="2">
        <v>-90</v>
      </c>
      <c r="E14" s="2">
        <v>3356</v>
      </c>
      <c r="F14">
        <v>-338</v>
      </c>
      <c r="G14" t="s">
        <v>51</v>
      </c>
      <c r="H14">
        <v>0.99999841964088709</v>
      </c>
    </row>
    <row r="15" spans="2:8" x14ac:dyDescent="0.2">
      <c r="B15" s="2">
        <v>3</v>
      </c>
      <c r="C15" s="2">
        <v>249</v>
      </c>
      <c r="D15" s="2">
        <v>-91</v>
      </c>
      <c r="E15" s="2">
        <v>5398</v>
      </c>
      <c r="F15">
        <v>285</v>
      </c>
      <c r="G15" t="s">
        <v>52</v>
      </c>
      <c r="H15">
        <v>0.99999683928427174</v>
      </c>
    </row>
    <row r="16" spans="2:8" x14ac:dyDescent="0.2">
      <c r="B16" s="2">
        <v>-5</v>
      </c>
      <c r="C16" s="2">
        <v>220</v>
      </c>
      <c r="D16" s="2">
        <v>-89</v>
      </c>
      <c r="E16" s="2">
        <v>4336</v>
      </c>
      <c r="F16">
        <v>176</v>
      </c>
      <c r="G16" t="s">
        <v>53</v>
      </c>
      <c r="H16">
        <v>0.99999663315063725</v>
      </c>
    </row>
    <row r="17" spans="2:15" x14ac:dyDescent="0.2">
      <c r="B17" s="2">
        <v>5</v>
      </c>
      <c r="C17" s="2">
        <v>186</v>
      </c>
      <c r="D17" s="2">
        <v>-94</v>
      </c>
      <c r="E17" s="2">
        <v>4181</v>
      </c>
      <c r="F17">
        <v>-351</v>
      </c>
      <c r="G17" t="s">
        <v>14</v>
      </c>
      <c r="H17">
        <v>3.3883052300976226</v>
      </c>
    </row>
    <row r="18" spans="2:15" ht="17" thickBot="1" x14ac:dyDescent="0.25">
      <c r="B18" s="2">
        <v>4</v>
      </c>
      <c r="C18" s="2">
        <v>276</v>
      </c>
      <c r="D18" s="2">
        <v>-94</v>
      </c>
      <c r="E18" s="2">
        <v>6022</v>
      </c>
      <c r="F18">
        <v>-39</v>
      </c>
      <c r="G18" s="5" t="s">
        <v>54</v>
      </c>
      <c r="H18" s="5">
        <v>50</v>
      </c>
    </row>
    <row r="19" spans="2:15" x14ac:dyDescent="0.2">
      <c r="B19" s="2">
        <v>4</v>
      </c>
      <c r="C19" s="2">
        <v>290</v>
      </c>
      <c r="D19" s="2">
        <v>-96</v>
      </c>
      <c r="E19" s="2">
        <v>6310</v>
      </c>
      <c r="F19">
        <v>132</v>
      </c>
    </row>
    <row r="20" spans="2:15" ht="17" thickBot="1" x14ac:dyDescent="0.25">
      <c r="B20" s="2">
        <v>3</v>
      </c>
      <c r="C20" s="2">
        <v>290</v>
      </c>
      <c r="D20" s="2">
        <v>-88</v>
      </c>
      <c r="E20" s="2">
        <v>6256</v>
      </c>
      <c r="F20">
        <v>363</v>
      </c>
      <c r="G20" t="s">
        <v>55</v>
      </c>
    </row>
    <row r="21" spans="2:15" x14ac:dyDescent="0.2">
      <c r="B21" s="2">
        <v>0</v>
      </c>
      <c r="C21" s="2">
        <v>350</v>
      </c>
      <c r="D21" s="2">
        <v>-82</v>
      </c>
      <c r="E21" s="2">
        <v>7347</v>
      </c>
      <c r="F21">
        <v>488</v>
      </c>
      <c r="G21" s="6"/>
      <c r="H21" s="6" t="s">
        <v>59</v>
      </c>
      <c r="I21" s="6" t="s">
        <v>60</v>
      </c>
      <c r="J21" s="6" t="s">
        <v>61</v>
      </c>
      <c r="K21" s="6" t="s">
        <v>62</v>
      </c>
      <c r="L21" s="6" t="s">
        <v>63</v>
      </c>
    </row>
    <row r="22" spans="2:15" x14ac:dyDescent="0.2">
      <c r="B22" s="2">
        <v>9</v>
      </c>
      <c r="C22" s="2">
        <v>189</v>
      </c>
      <c r="D22" s="2">
        <v>-91</v>
      </c>
      <c r="E22" s="2">
        <v>4472</v>
      </c>
      <c r="F22">
        <v>-29</v>
      </c>
      <c r="G22" t="s">
        <v>46</v>
      </c>
      <c r="H22">
        <v>3</v>
      </c>
      <c r="I22">
        <v>167084465.51183268</v>
      </c>
      <c r="J22">
        <v>55694821.837277561</v>
      </c>
      <c r="K22">
        <v>4851206.5580814099</v>
      </c>
      <c r="L22">
        <v>1.7193460668559286E-126</v>
      </c>
    </row>
    <row r="23" spans="2:15" x14ac:dyDescent="0.2">
      <c r="B23" s="2">
        <v>0</v>
      </c>
      <c r="C23" s="2">
        <v>172</v>
      </c>
      <c r="D23" s="2">
        <v>-81</v>
      </c>
      <c r="E23" s="2">
        <v>3610</v>
      </c>
      <c r="F23">
        <v>-152</v>
      </c>
      <c r="G23" t="s">
        <v>56</v>
      </c>
      <c r="H23">
        <v>46</v>
      </c>
      <c r="I23">
        <v>528.10816728611758</v>
      </c>
      <c r="J23">
        <v>11.480612332306904</v>
      </c>
    </row>
    <row r="24" spans="2:15" ht="17" thickBot="1" x14ac:dyDescent="0.25">
      <c r="B24" s="2">
        <v>6</v>
      </c>
      <c r="C24" s="2">
        <v>194</v>
      </c>
      <c r="D24" s="2">
        <v>-85</v>
      </c>
      <c r="E24" s="2">
        <v>4410</v>
      </c>
      <c r="F24">
        <v>-316</v>
      </c>
      <c r="G24" s="5" t="s">
        <v>57</v>
      </c>
      <c r="H24" s="5">
        <v>49</v>
      </c>
      <c r="I24" s="5">
        <v>167084993.61999997</v>
      </c>
      <c r="J24" s="5"/>
      <c r="K24" s="5"/>
      <c r="L24" s="5"/>
    </row>
    <row r="25" spans="2:15" ht="17" thickBot="1" x14ac:dyDescent="0.25">
      <c r="B25" s="2">
        <v>2</v>
      </c>
      <c r="C25" s="2">
        <v>338</v>
      </c>
      <c r="D25" s="2">
        <v>-94</v>
      </c>
      <c r="E25" s="2">
        <v>7209</v>
      </c>
      <c r="F25">
        <v>-487</v>
      </c>
    </row>
    <row r="26" spans="2:15" x14ac:dyDescent="0.2">
      <c r="B26" s="2">
        <v>4</v>
      </c>
      <c r="C26" s="2">
        <v>201</v>
      </c>
      <c r="D26" s="2">
        <v>-89</v>
      </c>
      <c r="E26" s="2">
        <v>4441</v>
      </c>
      <c r="F26">
        <v>194</v>
      </c>
      <c r="G26" s="6"/>
      <c r="H26" s="6" t="s">
        <v>64</v>
      </c>
      <c r="I26" s="6" t="s">
        <v>14</v>
      </c>
      <c r="J26" s="6" t="s">
        <v>65</v>
      </c>
      <c r="K26" s="6" t="s">
        <v>66</v>
      </c>
      <c r="L26" s="6" t="s">
        <v>67</v>
      </c>
      <c r="M26" s="6" t="s">
        <v>68</v>
      </c>
      <c r="N26" s="6" t="s">
        <v>69</v>
      </c>
      <c r="O26" s="6" t="s">
        <v>70</v>
      </c>
    </row>
    <row r="27" spans="2:15" x14ac:dyDescent="0.2">
      <c r="B27" s="2">
        <v>0</v>
      </c>
      <c r="C27" s="2">
        <v>366</v>
      </c>
      <c r="D27" s="2">
        <v>-83</v>
      </c>
      <c r="E27" s="2">
        <v>7687</v>
      </c>
      <c r="F27">
        <v>-336</v>
      </c>
      <c r="G27" t="s">
        <v>58</v>
      </c>
      <c r="H27" s="25">
        <v>9.8383887545100777</v>
      </c>
      <c r="I27">
        <v>8.166100647077382</v>
      </c>
      <c r="J27">
        <v>1.2047841656263691</v>
      </c>
      <c r="K27" s="29">
        <v>0.2344486199659038</v>
      </c>
      <c r="L27">
        <v>-6.5991192983250935</v>
      </c>
      <c r="M27">
        <v>26.275896807345248</v>
      </c>
      <c r="N27">
        <v>-6.5991192983250935</v>
      </c>
      <c r="O27">
        <v>26.275896807345248</v>
      </c>
    </row>
    <row r="28" spans="2:15" x14ac:dyDescent="0.2">
      <c r="B28" s="2">
        <v>-2</v>
      </c>
      <c r="C28" s="2">
        <v>339</v>
      </c>
      <c r="D28" s="2">
        <v>-85</v>
      </c>
      <c r="E28" s="2">
        <v>7012</v>
      </c>
      <c r="F28">
        <v>43</v>
      </c>
      <c r="G28" s="27" t="s">
        <v>93</v>
      </c>
      <c r="H28" s="25">
        <v>56.037959790005978</v>
      </c>
      <c r="I28">
        <v>0.11575627790017523</v>
      </c>
      <c r="J28">
        <v>484.10298608885341</v>
      </c>
      <c r="K28" s="30">
        <v>6.347088366328847E-87</v>
      </c>
      <c r="L28">
        <v>55.80495448767342</v>
      </c>
      <c r="M28">
        <v>56.270965092338535</v>
      </c>
      <c r="N28">
        <v>55.80495448767342</v>
      </c>
      <c r="O28">
        <v>56.270965092338535</v>
      </c>
    </row>
    <row r="29" spans="2:15" x14ac:dyDescent="0.2">
      <c r="B29" s="2">
        <v>9</v>
      </c>
      <c r="C29" s="2">
        <v>153</v>
      </c>
      <c r="D29" s="2">
        <v>-94</v>
      </c>
      <c r="E29" s="2">
        <v>3722</v>
      </c>
      <c r="F29">
        <v>-236</v>
      </c>
      <c r="G29" s="27" t="s">
        <v>94</v>
      </c>
      <c r="H29" s="25">
        <v>21.007547880902859</v>
      </c>
      <c r="I29">
        <v>5.5321370869934466E-3</v>
      </c>
      <c r="J29">
        <v>3797.3657468274782</v>
      </c>
      <c r="K29" s="30">
        <v>4.5228089869180077E-128</v>
      </c>
      <c r="L29">
        <v>20.996412266507832</v>
      </c>
      <c r="M29">
        <v>21.018683495297886</v>
      </c>
      <c r="N29">
        <v>20.996412266507832</v>
      </c>
      <c r="O29">
        <v>21.018683495297886</v>
      </c>
    </row>
    <row r="30" spans="2:15" ht="17" thickBot="1" x14ac:dyDescent="0.25">
      <c r="B30" s="2">
        <v>6</v>
      </c>
      <c r="C30" s="2">
        <v>223</v>
      </c>
      <c r="D30" s="2">
        <v>-88</v>
      </c>
      <c r="E30" s="2">
        <v>5023</v>
      </c>
      <c r="F30">
        <v>-208</v>
      </c>
      <c r="G30" s="28" t="s">
        <v>95</v>
      </c>
      <c r="H30" s="26">
        <v>0.1326900016152657</v>
      </c>
      <c r="I30" s="5">
        <v>9.081243162143679E-2</v>
      </c>
      <c r="J30" s="5">
        <v>1.4611435818435179</v>
      </c>
      <c r="K30" s="31">
        <v>0.15077369300758536</v>
      </c>
      <c r="L30" s="5">
        <v>-5.0105942322696086E-2</v>
      </c>
      <c r="M30" s="5">
        <v>0.31548594555322751</v>
      </c>
      <c r="N30" s="5">
        <v>-5.0105942322696086E-2</v>
      </c>
      <c r="O30" s="5">
        <v>0.31548594555322751</v>
      </c>
    </row>
    <row r="31" spans="2:15" x14ac:dyDescent="0.2">
      <c r="B31" s="2">
        <v>3</v>
      </c>
      <c r="C31" s="2">
        <v>400</v>
      </c>
      <c r="D31" s="2">
        <v>-84</v>
      </c>
      <c r="E31" s="2">
        <v>8572</v>
      </c>
      <c r="F31">
        <v>-108</v>
      </c>
    </row>
    <row r="32" spans="2:15" x14ac:dyDescent="0.2">
      <c r="B32" s="2">
        <v>1</v>
      </c>
      <c r="C32" s="2">
        <v>360</v>
      </c>
      <c r="D32" s="2">
        <v>-91</v>
      </c>
      <c r="E32" s="2">
        <v>7612</v>
      </c>
      <c r="F32">
        <v>382</v>
      </c>
      <c r="J32" t="s">
        <v>98</v>
      </c>
    </row>
    <row r="33" spans="2:10" x14ac:dyDescent="0.2">
      <c r="B33" s="2">
        <v>-3</v>
      </c>
      <c r="C33" s="2">
        <v>323</v>
      </c>
      <c r="D33" s="2">
        <v>-92</v>
      </c>
      <c r="E33" s="2">
        <v>6612</v>
      </c>
      <c r="F33">
        <v>158</v>
      </c>
      <c r="J33" t="s">
        <v>99</v>
      </c>
    </row>
    <row r="34" spans="2:10" x14ac:dyDescent="0.2">
      <c r="B34" s="2">
        <v>1</v>
      </c>
      <c r="C34" s="2">
        <v>129</v>
      </c>
      <c r="D34" s="2">
        <v>-86</v>
      </c>
      <c r="E34" s="2">
        <v>2765</v>
      </c>
      <c r="F34">
        <v>270</v>
      </c>
    </row>
    <row r="35" spans="2:10" x14ac:dyDescent="0.2">
      <c r="B35" s="2">
        <v>-2</v>
      </c>
      <c r="C35" s="2">
        <v>323</v>
      </c>
      <c r="D35" s="2">
        <v>-83</v>
      </c>
      <c r="E35" s="2">
        <v>6672</v>
      </c>
      <c r="F35">
        <v>215</v>
      </c>
      <c r="J35" t="s">
        <v>100</v>
      </c>
    </row>
    <row r="36" spans="2:10" x14ac:dyDescent="0.2">
      <c r="B36" s="2">
        <v>6</v>
      </c>
      <c r="C36" s="2">
        <v>220</v>
      </c>
      <c r="D36" s="2">
        <v>-81</v>
      </c>
      <c r="E36" s="2">
        <v>4952</v>
      </c>
      <c r="F36">
        <v>184</v>
      </c>
    </row>
    <row r="37" spans="2:10" x14ac:dyDescent="0.2">
      <c r="B37" s="2">
        <v>-2</v>
      </c>
      <c r="C37" s="2">
        <v>116</v>
      </c>
      <c r="D37" s="2">
        <v>-96</v>
      </c>
      <c r="E37" s="2">
        <v>2321</v>
      </c>
      <c r="F37">
        <v>60</v>
      </c>
      <c r="J37" t="s">
        <v>101</v>
      </c>
    </row>
    <row r="38" spans="2:10" x14ac:dyDescent="0.2">
      <c r="B38" s="2">
        <v>8</v>
      </c>
      <c r="C38" s="2">
        <v>337</v>
      </c>
      <c r="D38" s="2">
        <v>-100</v>
      </c>
      <c r="E38" s="2">
        <v>7520</v>
      </c>
      <c r="F38">
        <v>483</v>
      </c>
    </row>
    <row r="39" spans="2:10" x14ac:dyDescent="0.2">
      <c r="B39" s="2">
        <v>6</v>
      </c>
      <c r="C39" s="2">
        <v>305</v>
      </c>
      <c r="D39" s="2">
        <v>-89</v>
      </c>
      <c r="E39" s="2">
        <v>6737</v>
      </c>
      <c r="F39">
        <v>-360</v>
      </c>
    </row>
    <row r="40" spans="2:10" x14ac:dyDescent="0.2">
      <c r="B40" s="2">
        <v>2</v>
      </c>
      <c r="C40" s="2">
        <v>346</v>
      </c>
      <c r="D40" s="2">
        <v>-88</v>
      </c>
      <c r="E40" s="2">
        <v>7383</v>
      </c>
      <c r="F40">
        <v>-181</v>
      </c>
    </row>
    <row r="41" spans="2:10" x14ac:dyDescent="0.2">
      <c r="B41" s="2">
        <v>-5</v>
      </c>
      <c r="C41" s="2">
        <v>194</v>
      </c>
      <c r="D41" s="2">
        <v>-97</v>
      </c>
      <c r="E41" s="2">
        <v>3789</v>
      </c>
      <c r="F41">
        <v>-368</v>
      </c>
      <c r="I41" t="s">
        <v>49</v>
      </c>
    </row>
    <row r="42" spans="2:10" ht="17" thickBot="1" x14ac:dyDescent="0.25">
      <c r="B42" s="2">
        <v>3</v>
      </c>
      <c r="C42" s="2">
        <v>133</v>
      </c>
      <c r="D42" s="2">
        <v>-87</v>
      </c>
      <c r="E42" s="2">
        <v>2956</v>
      </c>
      <c r="F42">
        <v>178</v>
      </c>
    </row>
    <row r="43" spans="2:10" x14ac:dyDescent="0.2">
      <c r="B43" s="2">
        <v>6</v>
      </c>
      <c r="C43" s="2">
        <v>385</v>
      </c>
      <c r="D43" s="2">
        <v>-92</v>
      </c>
      <c r="E43" s="2">
        <v>8423</v>
      </c>
      <c r="F43">
        <v>-58</v>
      </c>
      <c r="I43" s="7" t="s">
        <v>50</v>
      </c>
      <c r="J43" s="7"/>
    </row>
    <row r="44" spans="2:10" x14ac:dyDescent="0.2">
      <c r="B44" s="2">
        <v>1</v>
      </c>
      <c r="C44" s="2">
        <v>251</v>
      </c>
      <c r="D44" s="2">
        <v>-92</v>
      </c>
      <c r="E44" s="2">
        <v>5325</v>
      </c>
      <c r="F44">
        <v>-60</v>
      </c>
      <c r="I44" t="s">
        <v>51</v>
      </c>
      <c r="J44">
        <v>0.36473694754821717</v>
      </c>
    </row>
    <row r="45" spans="2:10" x14ac:dyDescent="0.2">
      <c r="B45" s="2">
        <v>-4</v>
      </c>
      <c r="C45" s="2">
        <v>165</v>
      </c>
      <c r="D45" s="2">
        <v>-84</v>
      </c>
      <c r="E45" s="2">
        <v>3242</v>
      </c>
      <c r="F45">
        <v>495</v>
      </c>
      <c r="I45" t="s">
        <v>52</v>
      </c>
      <c r="J45">
        <v>0.13303304090679094</v>
      </c>
    </row>
    <row r="46" spans="2:10" x14ac:dyDescent="0.2">
      <c r="B46" s="2">
        <v>-3</v>
      </c>
      <c r="C46" s="2">
        <v>238</v>
      </c>
      <c r="D46" s="2">
        <v>-80</v>
      </c>
      <c r="E46" s="2">
        <v>4833</v>
      </c>
      <c r="F46">
        <v>344</v>
      </c>
      <c r="I46" t="s">
        <v>53</v>
      </c>
      <c r="J46">
        <v>7.6491717487668615E-2</v>
      </c>
    </row>
    <row r="47" spans="2:10" x14ac:dyDescent="0.2">
      <c r="B47" s="2">
        <v>6</v>
      </c>
      <c r="C47" s="2">
        <v>140</v>
      </c>
      <c r="D47" s="2">
        <v>-84</v>
      </c>
      <c r="E47" s="2">
        <v>3281</v>
      </c>
      <c r="F47">
        <v>182</v>
      </c>
      <c r="I47" t="s">
        <v>14</v>
      </c>
      <c r="J47">
        <v>275.45789568620597</v>
      </c>
    </row>
    <row r="48" spans="2:10" ht="17" thickBot="1" x14ac:dyDescent="0.25">
      <c r="B48" s="2">
        <v>6</v>
      </c>
      <c r="C48" s="2">
        <v>186</v>
      </c>
      <c r="D48" s="2">
        <v>-85</v>
      </c>
      <c r="E48" s="2">
        <v>4247</v>
      </c>
      <c r="F48">
        <v>449</v>
      </c>
      <c r="I48" s="5" t="s">
        <v>54</v>
      </c>
      <c r="J48" s="5">
        <v>50</v>
      </c>
    </row>
    <row r="49" spans="2:17" x14ac:dyDescent="0.2">
      <c r="B49" s="2">
        <v>8</v>
      </c>
      <c r="C49" s="2">
        <v>118</v>
      </c>
      <c r="D49" s="2">
        <v>-95</v>
      </c>
      <c r="E49" s="2">
        <v>2926</v>
      </c>
      <c r="F49">
        <v>-202</v>
      </c>
    </row>
    <row r="50" spans="2:17" ht="17" thickBot="1" x14ac:dyDescent="0.25">
      <c r="B50" s="2">
        <v>5</v>
      </c>
      <c r="C50" s="2">
        <v>146</v>
      </c>
      <c r="D50" s="2">
        <v>-82</v>
      </c>
      <c r="E50" s="2">
        <v>3347</v>
      </c>
      <c r="F50">
        <v>188</v>
      </c>
      <c r="I50" t="s">
        <v>55</v>
      </c>
    </row>
    <row r="51" spans="2:17" x14ac:dyDescent="0.2">
      <c r="B51" s="2">
        <v>8</v>
      </c>
      <c r="C51" s="2">
        <v>347</v>
      </c>
      <c r="D51" s="2">
        <v>-95</v>
      </c>
      <c r="E51" s="2">
        <v>7740</v>
      </c>
      <c r="F51">
        <v>-427</v>
      </c>
      <c r="I51" s="6"/>
      <c r="J51" s="6" t="s">
        <v>59</v>
      </c>
      <c r="K51" s="6" t="s">
        <v>60</v>
      </c>
      <c r="L51" s="6" t="s">
        <v>61</v>
      </c>
      <c r="M51" s="6" t="s">
        <v>62</v>
      </c>
      <c r="N51" s="6" t="s">
        <v>63</v>
      </c>
    </row>
    <row r="52" spans="2:17" x14ac:dyDescent="0.2">
      <c r="B52" s="2">
        <v>-2</v>
      </c>
      <c r="C52" s="2">
        <v>317</v>
      </c>
      <c r="D52" s="2">
        <v>-88</v>
      </c>
      <c r="E52" s="2">
        <v>6550</v>
      </c>
      <c r="F52">
        <v>459</v>
      </c>
      <c r="I52" t="s">
        <v>46</v>
      </c>
      <c r="J52">
        <v>3</v>
      </c>
      <c r="K52">
        <v>535581.11438985355</v>
      </c>
      <c r="L52">
        <v>178527.03812995119</v>
      </c>
      <c r="M52">
        <v>2.3528462523004734</v>
      </c>
      <c r="N52">
        <v>8.4428536250386557E-2</v>
      </c>
    </row>
    <row r="53" spans="2:17" x14ac:dyDescent="0.2">
      <c r="B53" s="2">
        <v>-3</v>
      </c>
      <c r="C53" s="2">
        <v>356</v>
      </c>
      <c r="D53" s="2">
        <v>-94</v>
      </c>
      <c r="E53" s="2">
        <v>7310</v>
      </c>
      <c r="F53">
        <v>-34</v>
      </c>
      <c r="I53" t="s">
        <v>56</v>
      </c>
      <c r="J53">
        <v>46</v>
      </c>
      <c r="K53">
        <v>3490344.405610146</v>
      </c>
      <c r="L53">
        <v>75877.052295872738</v>
      </c>
    </row>
    <row r="54" spans="2:17" ht="17" thickBot="1" x14ac:dyDescent="0.25">
      <c r="B54" s="2">
        <v>-5</v>
      </c>
      <c r="C54" s="2">
        <v>356</v>
      </c>
      <c r="D54" s="2">
        <v>-99</v>
      </c>
      <c r="E54" s="2">
        <v>7195</v>
      </c>
      <c r="F54">
        <v>136</v>
      </c>
      <c r="I54" s="5" t="s">
        <v>57</v>
      </c>
      <c r="J54" s="5">
        <v>49</v>
      </c>
      <c r="K54" s="5">
        <v>4025925.5199999996</v>
      </c>
      <c r="L54" s="5"/>
      <c r="M54" s="5"/>
      <c r="N54" s="5"/>
    </row>
    <row r="55" spans="2:17" ht="17" thickBot="1" x14ac:dyDescent="0.25">
      <c r="B55" s="2">
        <v>-1</v>
      </c>
      <c r="C55" s="2">
        <v>106</v>
      </c>
      <c r="D55" s="2">
        <v>-95</v>
      </c>
      <c r="E55" s="2">
        <v>2173</v>
      </c>
      <c r="F55">
        <v>-202</v>
      </c>
    </row>
    <row r="56" spans="2:17" x14ac:dyDescent="0.2">
      <c r="B56" s="2">
        <v>-1</v>
      </c>
      <c r="C56" s="2">
        <v>271</v>
      </c>
      <c r="D56" s="2">
        <v>-84</v>
      </c>
      <c r="E56" s="2">
        <v>5640</v>
      </c>
      <c r="F56">
        <v>-210</v>
      </c>
      <c r="I56" s="6"/>
      <c r="J56" s="6" t="s">
        <v>64</v>
      </c>
      <c r="K56" s="6" t="s">
        <v>14</v>
      </c>
      <c r="L56" s="6" t="s">
        <v>65</v>
      </c>
      <c r="M56" s="6" t="s">
        <v>66</v>
      </c>
      <c r="N56" s="6" t="s">
        <v>67</v>
      </c>
      <c r="O56" s="6" t="s">
        <v>68</v>
      </c>
      <c r="P56" s="6" t="s">
        <v>69</v>
      </c>
      <c r="Q56" s="6" t="s">
        <v>70</v>
      </c>
    </row>
    <row r="57" spans="2:17" x14ac:dyDescent="0.2">
      <c r="I57" t="s">
        <v>58</v>
      </c>
      <c r="J57">
        <v>1432.1354669578996</v>
      </c>
      <c r="K57">
        <v>663.8767016101707</v>
      </c>
      <c r="L57">
        <v>2.1572310995165056</v>
      </c>
      <c r="M57" s="29">
        <v>3.6246324705841833E-2</v>
      </c>
      <c r="N57">
        <v>95.820976061639328</v>
      </c>
      <c r="O57">
        <v>2768.4499578541599</v>
      </c>
      <c r="P57">
        <v>95.820976061639328</v>
      </c>
      <c r="Q57">
        <v>2768.4499578541599</v>
      </c>
    </row>
    <row r="58" spans="2:17" x14ac:dyDescent="0.2">
      <c r="I58" t="s">
        <v>93</v>
      </c>
      <c r="J58">
        <v>-13.829517548765594</v>
      </c>
      <c r="K58">
        <v>9.4105986791311764</v>
      </c>
      <c r="L58">
        <v>-1.4695683048766872</v>
      </c>
      <c r="M58" s="29">
        <v>0.14848539622627599</v>
      </c>
      <c r="N58">
        <v>-32.772070213185742</v>
      </c>
      <c r="O58">
        <v>5.1130351156545517</v>
      </c>
      <c r="P58">
        <v>-32.772070213185742</v>
      </c>
      <c r="Q58">
        <v>5.1130351156545517</v>
      </c>
    </row>
    <row r="59" spans="2:17" x14ac:dyDescent="0.2">
      <c r="I59" t="s">
        <v>94</v>
      </c>
      <c r="J59">
        <v>-1.5831888707288792E-2</v>
      </c>
      <c r="K59">
        <v>0.4497442636202309</v>
      </c>
      <c r="L59">
        <v>-3.520198029842448E-2</v>
      </c>
      <c r="M59" s="29">
        <v>0.97207099842519762</v>
      </c>
      <c r="N59">
        <v>-0.9211201375877115</v>
      </c>
      <c r="O59">
        <v>0.8894563601731339</v>
      </c>
      <c r="P59">
        <v>-0.9211201375877115</v>
      </c>
      <c r="Q59">
        <v>0.8894563601731339</v>
      </c>
    </row>
    <row r="60" spans="2:17" ht="17" thickBot="1" x14ac:dyDescent="0.25">
      <c r="I60" s="5" t="s">
        <v>95</v>
      </c>
      <c r="J60" s="5">
        <v>15.325305924685926</v>
      </c>
      <c r="K60" s="5">
        <v>7.3827473081189101</v>
      </c>
      <c r="L60" s="5">
        <v>2.0758269632000643</v>
      </c>
      <c r="M60" s="33">
        <v>4.352690705442732E-2</v>
      </c>
      <c r="N60" s="5">
        <v>0.46460636023910357</v>
      </c>
      <c r="O60" s="5">
        <v>30.18600548913275</v>
      </c>
      <c r="P60" s="5">
        <v>0.46460636023910357</v>
      </c>
      <c r="Q60" s="5">
        <v>30.18600548913275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77F14-7E03-DD43-9D9D-0BFB14EB57BE}">
  <dimension ref="C5:K10"/>
  <sheetViews>
    <sheetView zoomScale="200" workbookViewId="0">
      <selection activeCell="E22" sqref="E22"/>
    </sheetView>
  </sheetViews>
  <sheetFormatPr baseColWidth="10" defaultRowHeight="16" x14ac:dyDescent="0.2"/>
  <sheetData>
    <row r="5" spans="3:11" x14ac:dyDescent="0.2">
      <c r="D5" t="s">
        <v>103</v>
      </c>
    </row>
    <row r="8" spans="3:11" x14ac:dyDescent="0.2">
      <c r="C8" t="s">
        <v>104</v>
      </c>
      <c r="D8" t="s">
        <v>105</v>
      </c>
      <c r="I8" t="s">
        <v>106</v>
      </c>
      <c r="J8" t="s">
        <v>107</v>
      </c>
    </row>
    <row r="9" spans="3:11" x14ac:dyDescent="0.2">
      <c r="J9">
        <v>0</v>
      </c>
      <c r="K9" t="s">
        <v>109</v>
      </c>
    </row>
    <row r="10" spans="3:11" x14ac:dyDescent="0.2">
      <c r="J10">
        <v>1</v>
      </c>
      <c r="K10" t="s">
        <v>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61B3-1960-3845-993D-F3679C41DE53}">
  <dimension ref="A1:P441"/>
  <sheetViews>
    <sheetView tabSelected="1" topLeftCell="C16" zoomScale="157" workbookViewId="0">
      <selection activeCell="M40" sqref="M40"/>
    </sheetView>
  </sheetViews>
  <sheetFormatPr baseColWidth="10" defaultRowHeight="16" x14ac:dyDescent="0.2"/>
  <cols>
    <col min="1" max="1" width="6.83203125" bestFit="1" customWidth="1"/>
    <col min="5" max="5" width="20" bestFit="1" customWidth="1"/>
    <col min="13" max="13" width="41" bestFit="1" customWidth="1"/>
  </cols>
  <sheetData>
    <row r="1" spans="1:16" x14ac:dyDescent="0.2">
      <c r="A1" s="36" t="s">
        <v>110</v>
      </c>
      <c r="B1" s="36" t="s">
        <v>111</v>
      </c>
      <c r="C1" s="36" t="s">
        <v>112</v>
      </c>
      <c r="D1" s="36" t="s">
        <v>113</v>
      </c>
      <c r="E1" s="36" t="s">
        <v>114</v>
      </c>
    </row>
    <row r="2" spans="1:16" x14ac:dyDescent="0.2">
      <c r="A2" s="37" t="s">
        <v>115</v>
      </c>
      <c r="B2" s="37" t="s">
        <v>116</v>
      </c>
      <c r="C2" s="37" t="s">
        <v>117</v>
      </c>
      <c r="D2" s="37">
        <v>0</v>
      </c>
      <c r="E2" s="37">
        <v>0</v>
      </c>
    </row>
    <row r="3" spans="1:16" x14ac:dyDescent="0.2">
      <c r="A3" s="37" t="s">
        <v>118</v>
      </c>
      <c r="B3" s="37" t="s">
        <v>116</v>
      </c>
      <c r="C3" s="37" t="s">
        <v>117</v>
      </c>
      <c r="D3" s="37">
        <v>0</v>
      </c>
      <c r="E3" s="37">
        <v>0</v>
      </c>
    </row>
    <row r="4" spans="1:16" x14ac:dyDescent="0.2">
      <c r="A4" s="37" t="s">
        <v>119</v>
      </c>
      <c r="B4" s="37" t="s">
        <v>116</v>
      </c>
      <c r="C4" s="37" t="s">
        <v>117</v>
      </c>
      <c r="D4" s="37">
        <v>0</v>
      </c>
      <c r="E4" s="37">
        <v>0</v>
      </c>
      <c r="H4" t="s">
        <v>559</v>
      </c>
      <c r="K4" t="s">
        <v>574</v>
      </c>
    </row>
    <row r="5" spans="1:16" x14ac:dyDescent="0.2">
      <c r="A5" s="37" t="s">
        <v>120</v>
      </c>
      <c r="B5" s="37" t="s">
        <v>116</v>
      </c>
      <c r="C5" s="37" t="s">
        <v>121</v>
      </c>
      <c r="D5" s="37">
        <v>0</v>
      </c>
      <c r="E5" s="37">
        <v>0</v>
      </c>
      <c r="H5" t="s">
        <v>560</v>
      </c>
    </row>
    <row r="6" spans="1:16" x14ac:dyDescent="0.2">
      <c r="A6" s="37" t="s">
        <v>122</v>
      </c>
      <c r="B6" s="37" t="s">
        <v>116</v>
      </c>
      <c r="C6" s="37" t="s">
        <v>117</v>
      </c>
      <c r="D6" s="37">
        <v>0</v>
      </c>
      <c r="E6" s="37">
        <v>0</v>
      </c>
      <c r="N6" s="38" t="s">
        <v>563</v>
      </c>
      <c r="O6" s="35"/>
      <c r="P6" s="35"/>
    </row>
    <row r="7" spans="1:16" x14ac:dyDescent="0.2">
      <c r="A7" s="37" t="s">
        <v>123</v>
      </c>
      <c r="B7" s="37" t="s">
        <v>116</v>
      </c>
      <c r="C7" s="37" t="s">
        <v>117</v>
      </c>
      <c r="D7" s="37">
        <v>0</v>
      </c>
      <c r="E7" s="37">
        <v>0</v>
      </c>
      <c r="N7" s="35"/>
      <c r="O7" s="35"/>
      <c r="P7" s="35"/>
    </row>
    <row r="8" spans="1:16" x14ac:dyDescent="0.2">
      <c r="A8" s="37" t="s">
        <v>124</v>
      </c>
      <c r="B8" s="37" t="s">
        <v>116</v>
      </c>
      <c r="C8" s="37" t="s">
        <v>121</v>
      </c>
      <c r="D8" s="37">
        <v>0</v>
      </c>
      <c r="E8" s="37">
        <v>0</v>
      </c>
      <c r="N8" s="35"/>
      <c r="O8" s="35"/>
      <c r="P8" s="35"/>
    </row>
    <row r="9" spans="1:16" x14ac:dyDescent="0.2">
      <c r="A9" s="37" t="s">
        <v>125</v>
      </c>
      <c r="B9" s="37" t="s">
        <v>116</v>
      </c>
      <c r="C9" s="37" t="s">
        <v>121</v>
      </c>
      <c r="D9" s="37">
        <v>0</v>
      </c>
      <c r="E9" s="37">
        <v>0</v>
      </c>
      <c r="H9" t="s">
        <v>561</v>
      </c>
      <c r="J9">
        <f>AVERAGEIF(B2:B441,"A",E2:E441)</f>
        <v>875.80677777777782</v>
      </c>
    </row>
    <row r="10" spans="1:16" x14ac:dyDescent="0.2">
      <c r="A10" s="37" t="s">
        <v>126</v>
      </c>
      <c r="B10" s="37" t="s">
        <v>116</v>
      </c>
      <c r="C10" s="37" t="s">
        <v>117</v>
      </c>
      <c r="D10" s="37">
        <v>0</v>
      </c>
      <c r="E10" s="37">
        <v>0</v>
      </c>
      <c r="H10" t="s">
        <v>562</v>
      </c>
      <c r="J10">
        <f>AVERAGEIF(B2:B441,"B",E2:E441)</f>
        <v>1596.9391538461537</v>
      </c>
    </row>
    <row r="11" spans="1:16" x14ac:dyDescent="0.2">
      <c r="A11" s="37" t="s">
        <v>127</v>
      </c>
      <c r="B11" s="37" t="s">
        <v>116</v>
      </c>
      <c r="C11" s="37" t="s">
        <v>117</v>
      </c>
      <c r="D11" s="37">
        <v>1</v>
      </c>
      <c r="E11" s="37">
        <v>4503.58</v>
      </c>
      <c r="N11" t="s">
        <v>564</v>
      </c>
    </row>
    <row r="12" spans="1:16" x14ac:dyDescent="0.2">
      <c r="A12" s="37" t="s">
        <v>128</v>
      </c>
      <c r="B12" s="37" t="s">
        <v>116</v>
      </c>
      <c r="C12" s="37" t="s">
        <v>117</v>
      </c>
      <c r="D12" s="37">
        <v>0</v>
      </c>
      <c r="E12" s="37">
        <v>0</v>
      </c>
    </row>
    <row r="13" spans="1:16" x14ac:dyDescent="0.2">
      <c r="A13" s="37" t="s">
        <v>129</v>
      </c>
      <c r="B13" s="37" t="s">
        <v>116</v>
      </c>
      <c r="C13" s="37" t="s">
        <v>117</v>
      </c>
      <c r="D13" s="37">
        <v>0</v>
      </c>
      <c r="E13" s="37">
        <v>0</v>
      </c>
    </row>
    <row r="14" spans="1:16" x14ac:dyDescent="0.2">
      <c r="A14" s="37" t="s">
        <v>130</v>
      </c>
      <c r="B14" s="37" t="s">
        <v>116</v>
      </c>
      <c r="C14" s="37" t="s">
        <v>117</v>
      </c>
      <c r="D14" s="37">
        <v>0</v>
      </c>
      <c r="E14" s="37">
        <v>0</v>
      </c>
      <c r="H14" t="s">
        <v>116</v>
      </c>
      <c r="I14" t="s">
        <v>299</v>
      </c>
      <c r="M14" t="s">
        <v>565</v>
      </c>
    </row>
    <row r="15" spans="1:16" ht="17" thickBot="1" x14ac:dyDescent="0.25">
      <c r="A15" s="37" t="s">
        <v>131</v>
      </c>
      <c r="B15" s="37" t="s">
        <v>116</v>
      </c>
      <c r="C15" s="37" t="s">
        <v>121</v>
      </c>
      <c r="D15" s="37">
        <v>0</v>
      </c>
      <c r="E15" s="37">
        <v>0</v>
      </c>
      <c r="H15" cm="1">
        <f t="array" ref="H15:H194">_xlfn._xlws.FILTER(E2:E441,B2:B441="A")</f>
        <v>0</v>
      </c>
      <c r="I15" cm="1">
        <f t="array" ref="I15:I274">_xlfn._xlws.FILTER(E2:E441,B2:B441="B")</f>
        <v>0</v>
      </c>
    </row>
    <row r="16" spans="1:16" x14ac:dyDescent="0.2">
      <c r="A16" s="37" t="s">
        <v>132</v>
      </c>
      <c r="B16" s="37" t="s">
        <v>116</v>
      </c>
      <c r="C16" s="37" t="s">
        <v>117</v>
      </c>
      <c r="D16" s="37">
        <v>0</v>
      </c>
      <c r="E16" s="37">
        <v>0</v>
      </c>
      <c r="H16">
        <v>0</v>
      </c>
      <c r="I16">
        <v>0</v>
      </c>
      <c r="M16" s="41"/>
      <c r="N16" s="41" t="s">
        <v>116</v>
      </c>
      <c r="O16" s="41" t="s">
        <v>299</v>
      </c>
    </row>
    <row r="17" spans="1:15" x14ac:dyDescent="0.2">
      <c r="A17" s="37" t="s">
        <v>133</v>
      </c>
      <c r="B17" s="37" t="s">
        <v>116</v>
      </c>
      <c r="C17" s="37" t="s">
        <v>121</v>
      </c>
      <c r="D17" s="37">
        <v>0</v>
      </c>
      <c r="E17" s="37">
        <v>0</v>
      </c>
      <c r="H17">
        <v>0</v>
      </c>
      <c r="I17">
        <v>0</v>
      </c>
      <c r="M17" s="39" t="s">
        <v>13</v>
      </c>
      <c r="N17" s="39">
        <v>875.80677777777782</v>
      </c>
      <c r="O17" s="39">
        <v>1596.9391538461537</v>
      </c>
    </row>
    <row r="18" spans="1:15" x14ac:dyDescent="0.2">
      <c r="A18" s="37" t="s">
        <v>134</v>
      </c>
      <c r="B18" s="37" t="s">
        <v>116</v>
      </c>
      <c r="C18" s="37" t="s">
        <v>121</v>
      </c>
      <c r="D18" s="37">
        <v>0</v>
      </c>
      <c r="E18" s="37">
        <v>0</v>
      </c>
      <c r="H18">
        <v>0</v>
      </c>
      <c r="I18">
        <v>0</v>
      </c>
      <c r="M18" s="39" t="s">
        <v>566</v>
      </c>
      <c r="N18" s="39">
        <v>4033590.61153928</v>
      </c>
      <c r="O18" s="39">
        <v>6321039.1289529502</v>
      </c>
    </row>
    <row r="19" spans="1:15" x14ac:dyDescent="0.2">
      <c r="A19" s="37" t="s">
        <v>135</v>
      </c>
      <c r="B19" s="37" t="s">
        <v>116</v>
      </c>
      <c r="C19" s="37" t="s">
        <v>121</v>
      </c>
      <c r="D19" s="37">
        <v>0</v>
      </c>
      <c r="E19" s="37">
        <v>0</v>
      </c>
      <c r="H19">
        <v>0</v>
      </c>
      <c r="I19">
        <v>0</v>
      </c>
      <c r="M19" s="39" t="s">
        <v>54</v>
      </c>
      <c r="N19" s="39">
        <v>180</v>
      </c>
      <c r="O19" s="39">
        <v>260</v>
      </c>
    </row>
    <row r="20" spans="1:15" x14ac:dyDescent="0.2">
      <c r="A20" s="37" t="s">
        <v>136</v>
      </c>
      <c r="B20" s="37" t="s">
        <v>116</v>
      </c>
      <c r="C20" s="37" t="s">
        <v>117</v>
      </c>
      <c r="D20" s="37">
        <v>0</v>
      </c>
      <c r="E20" s="37">
        <v>0</v>
      </c>
      <c r="H20">
        <v>0</v>
      </c>
      <c r="I20">
        <v>0</v>
      </c>
      <c r="M20" s="39" t="s">
        <v>567</v>
      </c>
      <c r="N20" s="39">
        <v>0</v>
      </c>
      <c r="O20" s="39"/>
    </row>
    <row r="21" spans="1:15" x14ac:dyDescent="0.2">
      <c r="A21" s="37" t="s">
        <v>137</v>
      </c>
      <c r="B21" s="37" t="s">
        <v>116</v>
      </c>
      <c r="C21" s="37" t="s">
        <v>121</v>
      </c>
      <c r="D21" s="37">
        <v>0</v>
      </c>
      <c r="E21" s="37">
        <v>0</v>
      </c>
      <c r="H21">
        <v>0</v>
      </c>
      <c r="I21">
        <v>0</v>
      </c>
      <c r="M21" s="39" t="s">
        <v>59</v>
      </c>
      <c r="N21" s="39">
        <v>429</v>
      </c>
      <c r="O21" s="39"/>
    </row>
    <row r="22" spans="1:15" x14ac:dyDescent="0.2">
      <c r="A22" s="37" t="s">
        <v>138</v>
      </c>
      <c r="B22" s="37" t="s">
        <v>116</v>
      </c>
      <c r="C22" s="37" t="s">
        <v>121</v>
      </c>
      <c r="D22" s="37">
        <v>0</v>
      </c>
      <c r="E22" s="37">
        <v>0</v>
      </c>
      <c r="H22">
        <v>0</v>
      </c>
      <c r="I22">
        <v>4892.8500000000004</v>
      </c>
      <c r="M22" s="39" t="s">
        <v>65</v>
      </c>
      <c r="N22" s="39">
        <v>-3.3362695661000279</v>
      </c>
      <c r="O22" s="39"/>
    </row>
    <row r="23" spans="1:15" x14ac:dyDescent="0.2">
      <c r="A23" s="37" t="s">
        <v>139</v>
      </c>
      <c r="B23" s="37" t="s">
        <v>116</v>
      </c>
      <c r="C23" s="37" t="s">
        <v>121</v>
      </c>
      <c r="D23" s="37">
        <v>1</v>
      </c>
      <c r="E23" s="37">
        <v>4973.3599999999997</v>
      </c>
      <c r="H23">
        <v>0</v>
      </c>
      <c r="I23">
        <v>0</v>
      </c>
      <c r="M23" s="39" t="s">
        <v>568</v>
      </c>
      <c r="N23" s="39">
        <v>4.6150331372435898E-4</v>
      </c>
      <c r="O23" s="39"/>
    </row>
    <row r="24" spans="1:15" x14ac:dyDescent="0.2">
      <c r="A24" s="37" t="s">
        <v>140</v>
      </c>
      <c r="B24" s="37" t="s">
        <v>116</v>
      </c>
      <c r="C24" s="37" t="s">
        <v>121</v>
      </c>
      <c r="D24" s="37">
        <v>0</v>
      </c>
      <c r="E24" s="37">
        <v>0</v>
      </c>
      <c r="H24">
        <v>4503.58</v>
      </c>
      <c r="I24">
        <v>0</v>
      </c>
      <c r="M24" s="39" t="s">
        <v>569</v>
      </c>
      <c r="N24" s="39">
        <v>1.6484132656245523</v>
      </c>
      <c r="O24" s="39"/>
    </row>
    <row r="25" spans="1:15" x14ac:dyDescent="0.2">
      <c r="A25" s="37" t="s">
        <v>141</v>
      </c>
      <c r="B25" s="37" t="s">
        <v>116</v>
      </c>
      <c r="C25" s="37" t="s">
        <v>117</v>
      </c>
      <c r="D25" s="37">
        <v>0</v>
      </c>
      <c r="E25" s="37">
        <v>0</v>
      </c>
      <c r="H25">
        <v>0</v>
      </c>
      <c r="I25">
        <v>0</v>
      </c>
      <c r="M25" s="39" t="s">
        <v>570</v>
      </c>
      <c r="N25" s="39">
        <v>9.2300662744871796E-4</v>
      </c>
      <c r="O25" s="39"/>
    </row>
    <row r="26" spans="1:15" ht="17" thickBot="1" x14ac:dyDescent="0.25">
      <c r="A26" s="37" t="s">
        <v>142</v>
      </c>
      <c r="B26" s="37" t="s">
        <v>116</v>
      </c>
      <c r="C26" s="37" t="s">
        <v>117</v>
      </c>
      <c r="D26" s="37">
        <v>0</v>
      </c>
      <c r="E26" s="37">
        <v>0</v>
      </c>
      <c r="H26">
        <v>0</v>
      </c>
      <c r="I26">
        <v>0</v>
      </c>
      <c r="M26" s="40" t="s">
        <v>571</v>
      </c>
      <c r="N26" s="40">
        <v>1.9655091229752595</v>
      </c>
      <c r="O26" s="40"/>
    </row>
    <row r="27" spans="1:15" x14ac:dyDescent="0.2">
      <c r="A27" s="37" t="s">
        <v>143</v>
      </c>
      <c r="B27" s="37" t="s">
        <v>116</v>
      </c>
      <c r="C27" s="37" t="s">
        <v>121</v>
      </c>
      <c r="D27" s="37">
        <v>1</v>
      </c>
      <c r="E27" s="37">
        <v>5897.98</v>
      </c>
      <c r="H27">
        <v>0</v>
      </c>
      <c r="I27">
        <v>5531.95</v>
      </c>
    </row>
    <row r="28" spans="1:15" x14ac:dyDescent="0.2">
      <c r="A28" s="37" t="s">
        <v>144</v>
      </c>
      <c r="B28" s="37" t="s">
        <v>116</v>
      </c>
      <c r="C28" s="37" t="s">
        <v>117</v>
      </c>
      <c r="D28" s="37">
        <v>1</v>
      </c>
      <c r="E28" s="37">
        <v>4911.1099999999997</v>
      </c>
      <c r="H28">
        <v>0</v>
      </c>
      <c r="I28">
        <v>5481.32</v>
      </c>
    </row>
    <row r="29" spans="1:15" x14ac:dyDescent="0.2">
      <c r="A29" s="37" t="s">
        <v>145</v>
      </c>
      <c r="B29" s="37" t="s">
        <v>116</v>
      </c>
      <c r="C29" s="37" t="s">
        <v>121</v>
      </c>
      <c r="D29" s="37">
        <v>0</v>
      </c>
      <c r="E29" s="37">
        <v>0</v>
      </c>
      <c r="H29">
        <v>0</v>
      </c>
      <c r="I29">
        <v>6754.54</v>
      </c>
      <c r="L29" s="20"/>
      <c r="M29" s="20"/>
      <c r="N29" s="20"/>
    </row>
    <row r="30" spans="1:15" x14ac:dyDescent="0.2">
      <c r="A30" s="37" t="s">
        <v>146</v>
      </c>
      <c r="B30" s="37" t="s">
        <v>116</v>
      </c>
      <c r="C30" s="37" t="s">
        <v>121</v>
      </c>
      <c r="D30" s="37">
        <v>1</v>
      </c>
      <c r="E30" s="37">
        <v>874.82</v>
      </c>
      <c r="H30">
        <v>0</v>
      </c>
      <c r="I30">
        <v>0</v>
      </c>
      <c r="L30" s="20"/>
      <c r="M30" s="20" t="s">
        <v>578</v>
      </c>
      <c r="N30" s="20"/>
    </row>
    <row r="31" spans="1:15" x14ac:dyDescent="0.2">
      <c r="A31" s="37" t="s">
        <v>147</v>
      </c>
      <c r="B31" s="37" t="s">
        <v>116</v>
      </c>
      <c r="C31" s="37" t="s">
        <v>117</v>
      </c>
      <c r="D31" s="37">
        <v>0</v>
      </c>
      <c r="E31" s="37">
        <v>0</v>
      </c>
      <c r="H31">
        <v>0</v>
      </c>
      <c r="I31">
        <v>0</v>
      </c>
      <c r="L31" s="20"/>
      <c r="M31" s="20"/>
      <c r="N31" s="20"/>
    </row>
    <row r="32" spans="1:15" x14ac:dyDescent="0.2">
      <c r="A32" s="37" t="s">
        <v>148</v>
      </c>
      <c r="B32" s="37" t="s">
        <v>116</v>
      </c>
      <c r="C32" s="37" t="s">
        <v>121</v>
      </c>
      <c r="D32" s="37">
        <v>1</v>
      </c>
      <c r="E32" s="37">
        <v>3941.67</v>
      </c>
      <c r="H32">
        <v>0</v>
      </c>
      <c r="I32">
        <v>5438.16</v>
      </c>
      <c r="L32" s="20"/>
      <c r="M32" s="20" t="s">
        <v>572</v>
      </c>
      <c r="N32" s="20"/>
    </row>
    <row r="33" spans="1:14" x14ac:dyDescent="0.2">
      <c r="A33" s="37" t="s">
        <v>149</v>
      </c>
      <c r="B33" s="37" t="s">
        <v>116</v>
      </c>
      <c r="C33" s="37" t="s">
        <v>117</v>
      </c>
      <c r="D33" s="37">
        <v>0</v>
      </c>
      <c r="E33" s="37">
        <v>0</v>
      </c>
      <c r="H33">
        <v>0</v>
      </c>
      <c r="I33">
        <v>0</v>
      </c>
      <c r="L33" s="20"/>
      <c r="M33" s="20"/>
      <c r="N33" s="20"/>
    </row>
    <row r="34" spans="1:14" x14ac:dyDescent="0.2">
      <c r="A34" s="37" t="s">
        <v>150</v>
      </c>
      <c r="B34" s="37" t="s">
        <v>116</v>
      </c>
      <c r="C34" s="37" t="s">
        <v>117</v>
      </c>
      <c r="D34" s="37">
        <v>0</v>
      </c>
      <c r="E34" s="37">
        <v>0</v>
      </c>
      <c r="H34">
        <v>0</v>
      </c>
      <c r="I34">
        <v>6104.65</v>
      </c>
      <c r="L34" s="20"/>
      <c r="M34" s="20"/>
      <c r="N34" s="20"/>
    </row>
    <row r="35" spans="1:14" x14ac:dyDescent="0.2">
      <c r="A35" s="37" t="s">
        <v>151</v>
      </c>
      <c r="B35" s="37" t="s">
        <v>116</v>
      </c>
      <c r="C35" s="37" t="s">
        <v>121</v>
      </c>
      <c r="D35" s="37">
        <v>0</v>
      </c>
      <c r="E35" s="37">
        <v>0</v>
      </c>
      <c r="H35">
        <v>0</v>
      </c>
      <c r="I35">
        <v>0</v>
      </c>
      <c r="L35" s="20"/>
      <c r="M35" s="20" t="s">
        <v>81</v>
      </c>
      <c r="N35" s="20"/>
    </row>
    <row r="36" spans="1:14" x14ac:dyDescent="0.2">
      <c r="A36" s="37" t="s">
        <v>152</v>
      </c>
      <c r="B36" s="37" t="s">
        <v>116</v>
      </c>
      <c r="C36" s="37" t="s">
        <v>121</v>
      </c>
      <c r="D36" s="37">
        <v>1</v>
      </c>
      <c r="E36" s="37">
        <v>5873.08</v>
      </c>
      <c r="H36">
        <v>4973.3599999999997</v>
      </c>
      <c r="I36">
        <v>2695.01</v>
      </c>
      <c r="L36" s="20"/>
      <c r="M36" s="20"/>
      <c r="N36" s="20"/>
    </row>
    <row r="37" spans="1:14" x14ac:dyDescent="0.2">
      <c r="A37" s="37" t="s">
        <v>153</v>
      </c>
      <c r="B37" s="37" t="s">
        <v>116</v>
      </c>
      <c r="C37" s="37" t="s">
        <v>117</v>
      </c>
      <c r="D37" s="37">
        <v>0</v>
      </c>
      <c r="E37" s="37">
        <v>0</v>
      </c>
      <c r="H37">
        <v>0</v>
      </c>
      <c r="I37">
        <v>0</v>
      </c>
      <c r="L37" s="20"/>
      <c r="M37" s="20" t="s">
        <v>573</v>
      </c>
      <c r="N37" s="20"/>
    </row>
    <row r="38" spans="1:14" x14ac:dyDescent="0.2">
      <c r="A38" s="37" t="s">
        <v>154</v>
      </c>
      <c r="B38" s="37" t="s">
        <v>116</v>
      </c>
      <c r="C38" s="37" t="s">
        <v>121</v>
      </c>
      <c r="D38" s="37">
        <v>0</v>
      </c>
      <c r="E38" s="37">
        <v>0</v>
      </c>
      <c r="H38">
        <v>0</v>
      </c>
      <c r="I38">
        <v>0</v>
      </c>
      <c r="L38" s="20"/>
      <c r="M38" s="20"/>
      <c r="N38" s="20"/>
    </row>
    <row r="39" spans="1:14" x14ac:dyDescent="0.2">
      <c r="A39" s="37" t="s">
        <v>155</v>
      </c>
      <c r="B39" s="37" t="s">
        <v>116</v>
      </c>
      <c r="C39" s="37" t="s">
        <v>121</v>
      </c>
      <c r="D39" s="37">
        <v>0</v>
      </c>
      <c r="E39" s="37">
        <v>0</v>
      </c>
      <c r="H39">
        <v>0</v>
      </c>
      <c r="I39">
        <v>0</v>
      </c>
    </row>
    <row r="40" spans="1:14" x14ac:dyDescent="0.2">
      <c r="A40" s="37" t="s">
        <v>156</v>
      </c>
      <c r="B40" s="37" t="s">
        <v>116</v>
      </c>
      <c r="C40" s="37" t="s">
        <v>117</v>
      </c>
      <c r="D40" s="37">
        <v>0</v>
      </c>
      <c r="E40" s="37">
        <v>0</v>
      </c>
      <c r="H40">
        <v>5897.98</v>
      </c>
      <c r="I40">
        <v>0</v>
      </c>
    </row>
    <row r="41" spans="1:14" x14ac:dyDescent="0.2">
      <c r="A41" s="37" t="s">
        <v>157</v>
      </c>
      <c r="B41" s="37" t="s">
        <v>116</v>
      </c>
      <c r="C41" s="37" t="s">
        <v>117</v>
      </c>
      <c r="D41" s="37">
        <v>0</v>
      </c>
      <c r="E41" s="37">
        <v>0</v>
      </c>
      <c r="H41">
        <v>4911.1099999999997</v>
      </c>
      <c r="I41">
        <v>0</v>
      </c>
    </row>
    <row r="42" spans="1:14" x14ac:dyDescent="0.2">
      <c r="A42" s="37" t="s">
        <v>158</v>
      </c>
      <c r="B42" s="37" t="s">
        <v>116</v>
      </c>
      <c r="C42" s="37" t="s">
        <v>121</v>
      </c>
      <c r="D42" s="37">
        <v>0</v>
      </c>
      <c r="E42" s="37">
        <v>0</v>
      </c>
      <c r="H42">
        <v>0</v>
      </c>
      <c r="I42">
        <v>0</v>
      </c>
    </row>
    <row r="43" spans="1:14" x14ac:dyDescent="0.2">
      <c r="A43" s="37" t="s">
        <v>159</v>
      </c>
      <c r="B43" s="37" t="s">
        <v>116</v>
      </c>
      <c r="C43" s="37" t="s">
        <v>121</v>
      </c>
      <c r="D43" s="37">
        <v>0</v>
      </c>
      <c r="E43" s="37">
        <v>0</v>
      </c>
      <c r="H43">
        <v>874.82</v>
      </c>
      <c r="I43">
        <v>3875.27</v>
      </c>
    </row>
    <row r="44" spans="1:14" x14ac:dyDescent="0.2">
      <c r="A44" s="37" t="s">
        <v>160</v>
      </c>
      <c r="B44" s="37" t="s">
        <v>116</v>
      </c>
      <c r="C44" s="37" t="s">
        <v>121</v>
      </c>
      <c r="D44" s="37">
        <v>0</v>
      </c>
      <c r="E44" s="37">
        <v>0</v>
      </c>
      <c r="H44">
        <v>0</v>
      </c>
      <c r="I44">
        <v>6043.23</v>
      </c>
    </row>
    <row r="45" spans="1:14" x14ac:dyDescent="0.2">
      <c r="A45" s="37" t="s">
        <v>161</v>
      </c>
      <c r="B45" s="37" t="s">
        <v>116</v>
      </c>
      <c r="C45" s="37" t="s">
        <v>117</v>
      </c>
      <c r="D45" s="37">
        <v>0</v>
      </c>
      <c r="E45" s="37">
        <v>0</v>
      </c>
      <c r="H45">
        <v>3941.67</v>
      </c>
      <c r="I45">
        <v>0</v>
      </c>
    </row>
    <row r="46" spans="1:14" x14ac:dyDescent="0.2">
      <c r="A46" s="37" t="s">
        <v>162</v>
      </c>
      <c r="B46" s="37" t="s">
        <v>116</v>
      </c>
      <c r="C46" s="37" t="s">
        <v>121</v>
      </c>
      <c r="D46" s="37">
        <v>0</v>
      </c>
      <c r="E46" s="37">
        <v>0</v>
      </c>
      <c r="H46">
        <v>0</v>
      </c>
      <c r="I46">
        <v>5354.33</v>
      </c>
    </row>
    <row r="47" spans="1:14" x14ac:dyDescent="0.2">
      <c r="A47" s="37" t="s">
        <v>163</v>
      </c>
      <c r="B47" s="37" t="s">
        <v>116</v>
      </c>
      <c r="C47" s="37" t="s">
        <v>121</v>
      </c>
      <c r="D47" s="37">
        <v>0</v>
      </c>
      <c r="E47" s="37">
        <v>0</v>
      </c>
      <c r="H47">
        <v>0</v>
      </c>
      <c r="I47">
        <v>0</v>
      </c>
      <c r="M47" t="s">
        <v>575</v>
      </c>
    </row>
    <row r="48" spans="1:14" x14ac:dyDescent="0.2">
      <c r="A48" s="37" t="s">
        <v>164</v>
      </c>
      <c r="B48" s="37" t="s">
        <v>116</v>
      </c>
      <c r="C48" s="37" t="s">
        <v>121</v>
      </c>
      <c r="D48" s="37">
        <v>1</v>
      </c>
      <c r="E48" s="37">
        <v>4736.8100000000004</v>
      </c>
      <c r="H48">
        <v>0</v>
      </c>
      <c r="I48">
        <v>0</v>
      </c>
      <c r="M48" t="s">
        <v>576</v>
      </c>
    </row>
    <row r="49" spans="1:13" x14ac:dyDescent="0.2">
      <c r="A49" s="37" t="s">
        <v>165</v>
      </c>
      <c r="B49" s="37" t="s">
        <v>116</v>
      </c>
      <c r="C49" s="37" t="s">
        <v>117</v>
      </c>
      <c r="D49" s="37">
        <v>0</v>
      </c>
      <c r="E49" s="37">
        <v>0</v>
      </c>
      <c r="H49">
        <v>5873.08</v>
      </c>
      <c r="I49">
        <v>0</v>
      </c>
    </row>
    <row r="50" spans="1:13" x14ac:dyDescent="0.2">
      <c r="A50" s="37" t="s">
        <v>166</v>
      </c>
      <c r="B50" s="37" t="s">
        <v>116</v>
      </c>
      <c r="C50" s="37" t="s">
        <v>121</v>
      </c>
      <c r="D50" s="37">
        <v>1</v>
      </c>
      <c r="E50" s="37">
        <v>3598.88</v>
      </c>
      <c r="H50">
        <v>0</v>
      </c>
      <c r="I50">
        <v>5456.42</v>
      </c>
      <c r="M50" t="s">
        <v>577</v>
      </c>
    </row>
    <row r="51" spans="1:13" x14ac:dyDescent="0.2">
      <c r="A51" s="37" t="s">
        <v>167</v>
      </c>
      <c r="B51" s="37" t="s">
        <v>116</v>
      </c>
      <c r="C51" s="37" t="s">
        <v>121</v>
      </c>
      <c r="D51" s="37">
        <v>0</v>
      </c>
      <c r="E51" s="37">
        <v>0</v>
      </c>
      <c r="H51">
        <v>0</v>
      </c>
      <c r="I51">
        <v>0</v>
      </c>
    </row>
    <row r="52" spans="1:13" x14ac:dyDescent="0.2">
      <c r="A52" s="37" t="s">
        <v>168</v>
      </c>
      <c r="B52" s="37" t="s">
        <v>116</v>
      </c>
      <c r="C52" s="37" t="s">
        <v>117</v>
      </c>
      <c r="D52" s="37">
        <v>1</v>
      </c>
      <c r="E52" s="37">
        <v>5225.68</v>
      </c>
      <c r="H52">
        <v>0</v>
      </c>
      <c r="I52">
        <v>0</v>
      </c>
    </row>
    <row r="53" spans="1:13" x14ac:dyDescent="0.2">
      <c r="A53" s="37" t="s">
        <v>169</v>
      </c>
      <c r="B53" s="37" t="s">
        <v>116</v>
      </c>
      <c r="C53" s="37" t="s">
        <v>117</v>
      </c>
      <c r="D53" s="37">
        <v>0</v>
      </c>
      <c r="E53" s="37">
        <v>0</v>
      </c>
      <c r="H53">
        <v>0</v>
      </c>
      <c r="I53">
        <v>0</v>
      </c>
    </row>
    <row r="54" spans="1:13" x14ac:dyDescent="0.2">
      <c r="A54" s="37" t="s">
        <v>170</v>
      </c>
      <c r="B54" s="37" t="s">
        <v>116</v>
      </c>
      <c r="C54" s="37" t="s">
        <v>117</v>
      </c>
      <c r="D54" s="37">
        <v>0</v>
      </c>
      <c r="E54" s="37">
        <v>0</v>
      </c>
      <c r="H54">
        <v>0</v>
      </c>
      <c r="I54">
        <v>5906.28</v>
      </c>
    </row>
    <row r="55" spans="1:13" x14ac:dyDescent="0.2">
      <c r="A55" s="37" t="s">
        <v>171</v>
      </c>
      <c r="B55" s="37" t="s">
        <v>116</v>
      </c>
      <c r="C55" s="37" t="s">
        <v>117</v>
      </c>
      <c r="D55" s="37">
        <v>0</v>
      </c>
      <c r="E55" s="37">
        <v>0</v>
      </c>
      <c r="H55">
        <v>0</v>
      </c>
      <c r="I55">
        <v>0</v>
      </c>
    </row>
    <row r="56" spans="1:13" x14ac:dyDescent="0.2">
      <c r="A56" s="37" t="s">
        <v>172</v>
      </c>
      <c r="B56" s="37" t="s">
        <v>116</v>
      </c>
      <c r="C56" s="37" t="s">
        <v>117</v>
      </c>
      <c r="D56" s="37">
        <v>0</v>
      </c>
      <c r="E56" s="37">
        <v>0</v>
      </c>
      <c r="H56">
        <v>0</v>
      </c>
      <c r="I56">
        <v>0</v>
      </c>
    </row>
    <row r="57" spans="1:13" x14ac:dyDescent="0.2">
      <c r="A57" s="37" t="s">
        <v>173</v>
      </c>
      <c r="B57" s="37" t="s">
        <v>116</v>
      </c>
      <c r="C57" s="37" t="s">
        <v>121</v>
      </c>
      <c r="D57" s="37">
        <v>0</v>
      </c>
      <c r="E57" s="37">
        <v>0</v>
      </c>
      <c r="H57">
        <v>0</v>
      </c>
      <c r="I57">
        <v>0</v>
      </c>
    </row>
    <row r="58" spans="1:13" x14ac:dyDescent="0.2">
      <c r="A58" s="37" t="s">
        <v>174</v>
      </c>
      <c r="B58" s="37" t="s">
        <v>116</v>
      </c>
      <c r="C58" s="37" t="s">
        <v>117</v>
      </c>
      <c r="D58" s="37">
        <v>0</v>
      </c>
      <c r="E58" s="37">
        <v>0</v>
      </c>
      <c r="H58">
        <v>0</v>
      </c>
      <c r="I58">
        <v>0</v>
      </c>
    </row>
    <row r="59" spans="1:13" x14ac:dyDescent="0.2">
      <c r="A59" s="37" t="s">
        <v>175</v>
      </c>
      <c r="B59" s="37" t="s">
        <v>116</v>
      </c>
      <c r="C59" s="37" t="s">
        <v>121</v>
      </c>
      <c r="D59" s="37">
        <v>1</v>
      </c>
      <c r="E59" s="37">
        <v>5082.09</v>
      </c>
      <c r="H59">
        <v>0</v>
      </c>
      <c r="I59">
        <v>4413.9399999999996</v>
      </c>
    </row>
    <row r="60" spans="1:13" x14ac:dyDescent="0.2">
      <c r="A60" s="37" t="s">
        <v>176</v>
      </c>
      <c r="B60" s="37" t="s">
        <v>116</v>
      </c>
      <c r="C60" s="37" t="s">
        <v>121</v>
      </c>
      <c r="D60" s="37">
        <v>1</v>
      </c>
      <c r="E60" s="37">
        <v>2834.45</v>
      </c>
      <c r="H60">
        <v>0</v>
      </c>
      <c r="I60">
        <v>7025.95</v>
      </c>
    </row>
    <row r="61" spans="1:13" x14ac:dyDescent="0.2">
      <c r="A61" s="37" t="s">
        <v>177</v>
      </c>
      <c r="B61" s="37" t="s">
        <v>116</v>
      </c>
      <c r="C61" s="37" t="s">
        <v>121</v>
      </c>
      <c r="D61" s="37">
        <v>0</v>
      </c>
      <c r="E61" s="37">
        <v>0</v>
      </c>
      <c r="H61">
        <v>4736.8100000000004</v>
      </c>
      <c r="I61">
        <v>5399.15</v>
      </c>
    </row>
    <row r="62" spans="1:13" x14ac:dyDescent="0.2">
      <c r="A62" s="37" t="s">
        <v>178</v>
      </c>
      <c r="B62" s="37" t="s">
        <v>116</v>
      </c>
      <c r="C62" s="37" t="s">
        <v>117</v>
      </c>
      <c r="D62" s="37">
        <v>0</v>
      </c>
      <c r="E62" s="37">
        <v>0</v>
      </c>
      <c r="H62">
        <v>0</v>
      </c>
      <c r="I62">
        <v>0</v>
      </c>
    </row>
    <row r="63" spans="1:13" x14ac:dyDescent="0.2">
      <c r="A63" s="37" t="s">
        <v>179</v>
      </c>
      <c r="B63" s="37" t="s">
        <v>116</v>
      </c>
      <c r="C63" s="37" t="s">
        <v>117</v>
      </c>
      <c r="D63" s="37">
        <v>0</v>
      </c>
      <c r="E63" s="37">
        <v>0</v>
      </c>
      <c r="H63">
        <v>3598.88</v>
      </c>
      <c r="I63">
        <v>0</v>
      </c>
    </row>
    <row r="64" spans="1:13" x14ac:dyDescent="0.2">
      <c r="A64" s="37" t="s">
        <v>180</v>
      </c>
      <c r="B64" s="37" t="s">
        <v>116</v>
      </c>
      <c r="C64" s="37" t="s">
        <v>117</v>
      </c>
      <c r="D64" s="37">
        <v>0</v>
      </c>
      <c r="E64" s="37">
        <v>0</v>
      </c>
      <c r="H64">
        <v>0</v>
      </c>
      <c r="I64">
        <v>0</v>
      </c>
    </row>
    <row r="65" spans="1:9" x14ac:dyDescent="0.2">
      <c r="A65" s="37" t="s">
        <v>181</v>
      </c>
      <c r="B65" s="37" t="s">
        <v>116</v>
      </c>
      <c r="C65" s="37" t="s">
        <v>121</v>
      </c>
      <c r="D65" s="37">
        <v>0</v>
      </c>
      <c r="E65" s="37">
        <v>0</v>
      </c>
      <c r="H65">
        <v>5225.68</v>
      </c>
      <c r="I65">
        <v>0</v>
      </c>
    </row>
    <row r="66" spans="1:9" x14ac:dyDescent="0.2">
      <c r="A66" s="37" t="s">
        <v>182</v>
      </c>
      <c r="B66" s="37" t="s">
        <v>116</v>
      </c>
      <c r="C66" s="37" t="s">
        <v>121</v>
      </c>
      <c r="D66" s="37">
        <v>1</v>
      </c>
      <c r="E66" s="37">
        <v>3617.14</v>
      </c>
      <c r="H66">
        <v>0</v>
      </c>
      <c r="I66">
        <v>4864.63</v>
      </c>
    </row>
    <row r="67" spans="1:9" x14ac:dyDescent="0.2">
      <c r="A67" s="37" t="s">
        <v>183</v>
      </c>
      <c r="B67" s="37" t="s">
        <v>116</v>
      </c>
      <c r="C67" s="37" t="s">
        <v>117</v>
      </c>
      <c r="D67" s="37">
        <v>1</v>
      </c>
      <c r="E67" s="37">
        <v>2960.61</v>
      </c>
      <c r="H67">
        <v>0</v>
      </c>
      <c r="I67">
        <v>0</v>
      </c>
    </row>
    <row r="68" spans="1:9" x14ac:dyDescent="0.2">
      <c r="A68" s="37" t="s">
        <v>184</v>
      </c>
      <c r="B68" s="37" t="s">
        <v>116</v>
      </c>
      <c r="C68" s="37" t="s">
        <v>121</v>
      </c>
      <c r="D68" s="37">
        <v>0</v>
      </c>
      <c r="E68" s="37">
        <v>0</v>
      </c>
      <c r="H68">
        <v>0</v>
      </c>
      <c r="I68">
        <v>6052.36</v>
      </c>
    </row>
    <row r="69" spans="1:9" x14ac:dyDescent="0.2">
      <c r="A69" s="37" t="s">
        <v>185</v>
      </c>
      <c r="B69" s="37" t="s">
        <v>116</v>
      </c>
      <c r="C69" s="37" t="s">
        <v>121</v>
      </c>
      <c r="D69" s="37">
        <v>1</v>
      </c>
      <c r="E69" s="37">
        <v>6301.36</v>
      </c>
      <c r="H69">
        <v>0</v>
      </c>
      <c r="I69">
        <v>0</v>
      </c>
    </row>
    <row r="70" spans="1:9" x14ac:dyDescent="0.2">
      <c r="A70" s="37" t="s">
        <v>186</v>
      </c>
      <c r="B70" s="37" t="s">
        <v>116</v>
      </c>
      <c r="C70" s="37" t="s">
        <v>117</v>
      </c>
      <c r="D70" s="37">
        <v>0</v>
      </c>
      <c r="E70" s="37">
        <v>0</v>
      </c>
      <c r="H70">
        <v>0</v>
      </c>
      <c r="I70">
        <v>0</v>
      </c>
    </row>
    <row r="71" spans="1:9" x14ac:dyDescent="0.2">
      <c r="A71" s="37" t="s">
        <v>187</v>
      </c>
      <c r="B71" s="37" t="s">
        <v>116</v>
      </c>
      <c r="C71" s="37" t="s">
        <v>121</v>
      </c>
      <c r="D71" s="37">
        <v>0</v>
      </c>
      <c r="E71" s="37">
        <v>0</v>
      </c>
      <c r="H71">
        <v>0</v>
      </c>
      <c r="I71">
        <v>0</v>
      </c>
    </row>
    <row r="72" spans="1:9" x14ac:dyDescent="0.2">
      <c r="A72" s="37" t="s">
        <v>188</v>
      </c>
      <c r="B72" s="37" t="s">
        <v>116</v>
      </c>
      <c r="C72" s="37" t="s">
        <v>121</v>
      </c>
      <c r="D72" s="37">
        <v>0</v>
      </c>
      <c r="E72" s="37">
        <v>0</v>
      </c>
      <c r="H72">
        <v>5082.09</v>
      </c>
      <c r="I72">
        <v>0</v>
      </c>
    </row>
    <row r="73" spans="1:9" x14ac:dyDescent="0.2">
      <c r="A73" s="37" t="s">
        <v>189</v>
      </c>
      <c r="B73" s="37" t="s">
        <v>116</v>
      </c>
      <c r="C73" s="37" t="s">
        <v>117</v>
      </c>
      <c r="D73" s="37">
        <v>0</v>
      </c>
      <c r="E73" s="37">
        <v>0</v>
      </c>
      <c r="H73">
        <v>2834.45</v>
      </c>
      <c r="I73">
        <v>4959.25</v>
      </c>
    </row>
    <row r="74" spans="1:9" x14ac:dyDescent="0.2">
      <c r="A74" s="37" t="s">
        <v>190</v>
      </c>
      <c r="B74" s="37" t="s">
        <v>116</v>
      </c>
      <c r="C74" s="37" t="s">
        <v>121</v>
      </c>
      <c r="D74" s="37">
        <v>1</v>
      </c>
      <c r="E74" s="37">
        <v>5115.29</v>
      </c>
      <c r="H74">
        <v>0</v>
      </c>
      <c r="I74">
        <v>0</v>
      </c>
    </row>
    <row r="75" spans="1:9" x14ac:dyDescent="0.2">
      <c r="A75" s="37" t="s">
        <v>191</v>
      </c>
      <c r="B75" s="37" t="s">
        <v>116</v>
      </c>
      <c r="C75" s="37" t="s">
        <v>121</v>
      </c>
      <c r="D75" s="37">
        <v>0</v>
      </c>
      <c r="E75" s="37">
        <v>0</v>
      </c>
      <c r="H75">
        <v>0</v>
      </c>
      <c r="I75">
        <v>0</v>
      </c>
    </row>
    <row r="76" spans="1:9" x14ac:dyDescent="0.2">
      <c r="A76" s="37" t="s">
        <v>192</v>
      </c>
      <c r="B76" s="37" t="s">
        <v>116</v>
      </c>
      <c r="C76" s="37" t="s">
        <v>121</v>
      </c>
      <c r="D76" s="37">
        <v>0</v>
      </c>
      <c r="E76" s="37">
        <v>0</v>
      </c>
      <c r="H76">
        <v>0</v>
      </c>
      <c r="I76">
        <v>0</v>
      </c>
    </row>
    <row r="77" spans="1:9" x14ac:dyDescent="0.2">
      <c r="A77" s="37" t="s">
        <v>193</v>
      </c>
      <c r="B77" s="37" t="s">
        <v>116</v>
      </c>
      <c r="C77" s="37" t="s">
        <v>121</v>
      </c>
      <c r="D77" s="37">
        <v>0</v>
      </c>
      <c r="E77" s="37">
        <v>0</v>
      </c>
      <c r="H77">
        <v>0</v>
      </c>
      <c r="I77">
        <v>0</v>
      </c>
    </row>
    <row r="78" spans="1:9" x14ac:dyDescent="0.2">
      <c r="A78" s="37" t="s">
        <v>194</v>
      </c>
      <c r="B78" s="37" t="s">
        <v>116</v>
      </c>
      <c r="C78" s="37" t="s">
        <v>117</v>
      </c>
      <c r="D78" s="37">
        <v>0</v>
      </c>
      <c r="E78" s="37">
        <v>0</v>
      </c>
      <c r="H78">
        <v>0</v>
      </c>
      <c r="I78">
        <v>0</v>
      </c>
    </row>
    <row r="79" spans="1:9" x14ac:dyDescent="0.2">
      <c r="A79" s="37" t="s">
        <v>195</v>
      </c>
      <c r="B79" s="37" t="s">
        <v>116</v>
      </c>
      <c r="C79" s="37" t="s">
        <v>121</v>
      </c>
      <c r="D79" s="37">
        <v>0</v>
      </c>
      <c r="E79" s="37">
        <v>0</v>
      </c>
      <c r="H79">
        <v>3617.14</v>
      </c>
      <c r="I79">
        <v>5147.66</v>
      </c>
    </row>
    <row r="80" spans="1:9" x14ac:dyDescent="0.2">
      <c r="A80" s="37" t="s">
        <v>196</v>
      </c>
      <c r="B80" s="37" t="s">
        <v>116</v>
      </c>
      <c r="C80" s="37" t="s">
        <v>121</v>
      </c>
      <c r="D80" s="37">
        <v>0</v>
      </c>
      <c r="E80" s="37">
        <v>0</v>
      </c>
      <c r="H80">
        <v>2960.61</v>
      </c>
      <c r="I80">
        <v>0</v>
      </c>
    </row>
    <row r="81" spans="1:9" x14ac:dyDescent="0.2">
      <c r="A81" s="37" t="s">
        <v>197</v>
      </c>
      <c r="B81" s="37" t="s">
        <v>116</v>
      </c>
      <c r="C81" s="37" t="s">
        <v>117</v>
      </c>
      <c r="D81" s="37">
        <v>0</v>
      </c>
      <c r="E81" s="37">
        <v>0</v>
      </c>
      <c r="H81">
        <v>0</v>
      </c>
      <c r="I81">
        <v>0</v>
      </c>
    </row>
    <row r="82" spans="1:9" x14ac:dyDescent="0.2">
      <c r="A82" s="37" t="s">
        <v>198</v>
      </c>
      <c r="B82" s="37" t="s">
        <v>116</v>
      </c>
      <c r="C82" s="37" t="s">
        <v>121</v>
      </c>
      <c r="D82" s="37">
        <v>0</v>
      </c>
      <c r="E82" s="37">
        <v>0</v>
      </c>
      <c r="H82">
        <v>6301.36</v>
      </c>
      <c r="I82">
        <v>0</v>
      </c>
    </row>
    <row r="83" spans="1:9" x14ac:dyDescent="0.2">
      <c r="A83" s="37" t="s">
        <v>199</v>
      </c>
      <c r="B83" s="37" t="s">
        <v>116</v>
      </c>
      <c r="C83" s="37" t="s">
        <v>117</v>
      </c>
      <c r="D83" s="37">
        <v>1</v>
      </c>
      <c r="E83" s="37">
        <v>5301.21</v>
      </c>
      <c r="H83">
        <v>0</v>
      </c>
      <c r="I83">
        <v>0</v>
      </c>
    </row>
    <row r="84" spans="1:9" x14ac:dyDescent="0.2">
      <c r="A84" s="37" t="s">
        <v>200</v>
      </c>
      <c r="B84" s="37" t="s">
        <v>116</v>
      </c>
      <c r="C84" s="37" t="s">
        <v>121</v>
      </c>
      <c r="D84" s="37">
        <v>0</v>
      </c>
      <c r="E84" s="37">
        <v>0</v>
      </c>
      <c r="H84">
        <v>0</v>
      </c>
      <c r="I84">
        <v>6610.95</v>
      </c>
    </row>
    <row r="85" spans="1:9" x14ac:dyDescent="0.2">
      <c r="A85" s="37" t="s">
        <v>201</v>
      </c>
      <c r="B85" s="37" t="s">
        <v>116</v>
      </c>
      <c r="C85" s="37" t="s">
        <v>117</v>
      </c>
      <c r="D85" s="37">
        <v>0</v>
      </c>
      <c r="E85" s="37">
        <v>0</v>
      </c>
      <c r="H85">
        <v>0</v>
      </c>
      <c r="I85">
        <v>5333.58</v>
      </c>
    </row>
    <row r="86" spans="1:9" x14ac:dyDescent="0.2">
      <c r="A86" s="37" t="s">
        <v>202</v>
      </c>
      <c r="B86" s="37" t="s">
        <v>116</v>
      </c>
      <c r="C86" s="37" t="s">
        <v>117</v>
      </c>
      <c r="D86" s="37">
        <v>0</v>
      </c>
      <c r="E86" s="37">
        <v>0</v>
      </c>
      <c r="H86">
        <v>0</v>
      </c>
      <c r="I86">
        <v>0</v>
      </c>
    </row>
    <row r="87" spans="1:9" x14ac:dyDescent="0.2">
      <c r="A87" s="37" t="s">
        <v>203</v>
      </c>
      <c r="B87" s="37" t="s">
        <v>116</v>
      </c>
      <c r="C87" s="37" t="s">
        <v>121</v>
      </c>
      <c r="D87" s="37">
        <v>1</v>
      </c>
      <c r="E87" s="37">
        <v>4389.87</v>
      </c>
      <c r="H87">
        <v>5115.29</v>
      </c>
      <c r="I87">
        <v>0</v>
      </c>
    </row>
    <row r="88" spans="1:9" x14ac:dyDescent="0.2">
      <c r="A88" s="37" t="s">
        <v>204</v>
      </c>
      <c r="B88" s="37" t="s">
        <v>116</v>
      </c>
      <c r="C88" s="37" t="s">
        <v>121</v>
      </c>
      <c r="D88" s="37">
        <v>0</v>
      </c>
      <c r="E88" s="37">
        <v>0</v>
      </c>
      <c r="H88">
        <v>0</v>
      </c>
      <c r="I88">
        <v>6840.03</v>
      </c>
    </row>
    <row r="89" spans="1:9" x14ac:dyDescent="0.2">
      <c r="A89" s="37" t="s">
        <v>205</v>
      </c>
      <c r="B89" s="37" t="s">
        <v>116</v>
      </c>
      <c r="C89" s="37" t="s">
        <v>117</v>
      </c>
      <c r="D89" s="37">
        <v>1</v>
      </c>
      <c r="E89" s="37">
        <v>3514.22</v>
      </c>
      <c r="H89">
        <v>0</v>
      </c>
      <c r="I89">
        <v>4165.7700000000004</v>
      </c>
    </row>
    <row r="90" spans="1:9" x14ac:dyDescent="0.2">
      <c r="A90" s="37" t="s">
        <v>206</v>
      </c>
      <c r="B90" s="37" t="s">
        <v>116</v>
      </c>
      <c r="C90" s="37" t="s">
        <v>117</v>
      </c>
      <c r="D90" s="37">
        <v>0</v>
      </c>
      <c r="E90" s="37">
        <v>0</v>
      </c>
      <c r="H90">
        <v>0</v>
      </c>
      <c r="I90">
        <v>4539.2700000000004</v>
      </c>
    </row>
    <row r="91" spans="1:9" x14ac:dyDescent="0.2">
      <c r="A91" s="37" t="s">
        <v>207</v>
      </c>
      <c r="B91" s="37" t="s">
        <v>116</v>
      </c>
      <c r="C91" s="37" t="s">
        <v>121</v>
      </c>
      <c r="D91" s="37">
        <v>0</v>
      </c>
      <c r="E91" s="37">
        <v>0</v>
      </c>
      <c r="H91">
        <v>0</v>
      </c>
      <c r="I91">
        <v>0</v>
      </c>
    </row>
    <row r="92" spans="1:9" x14ac:dyDescent="0.2">
      <c r="A92" s="37" t="s">
        <v>208</v>
      </c>
      <c r="B92" s="37" t="s">
        <v>116</v>
      </c>
      <c r="C92" s="37" t="s">
        <v>121</v>
      </c>
      <c r="D92" s="37">
        <v>0</v>
      </c>
      <c r="E92" s="37">
        <v>0</v>
      </c>
      <c r="H92">
        <v>0</v>
      </c>
      <c r="I92">
        <v>0</v>
      </c>
    </row>
    <row r="93" spans="1:9" x14ac:dyDescent="0.2">
      <c r="A93" s="37" t="s">
        <v>209</v>
      </c>
      <c r="B93" s="37" t="s">
        <v>116</v>
      </c>
      <c r="C93" s="37" t="s">
        <v>121</v>
      </c>
      <c r="D93" s="37">
        <v>1</v>
      </c>
      <c r="E93" s="37">
        <v>5344.37</v>
      </c>
      <c r="H93">
        <v>0</v>
      </c>
      <c r="I93">
        <v>0</v>
      </c>
    </row>
    <row r="94" spans="1:9" x14ac:dyDescent="0.2">
      <c r="A94" s="37" t="s">
        <v>210</v>
      </c>
      <c r="B94" s="37" t="s">
        <v>116</v>
      </c>
      <c r="C94" s="37" t="s">
        <v>121</v>
      </c>
      <c r="D94" s="37">
        <v>0</v>
      </c>
      <c r="E94" s="37">
        <v>0</v>
      </c>
      <c r="H94">
        <v>0</v>
      </c>
      <c r="I94">
        <v>2855.2</v>
      </c>
    </row>
    <row r="95" spans="1:9" x14ac:dyDescent="0.2">
      <c r="A95" s="37" t="s">
        <v>211</v>
      </c>
      <c r="B95" s="37" t="s">
        <v>116</v>
      </c>
      <c r="C95" s="37" t="s">
        <v>117</v>
      </c>
      <c r="D95" s="37">
        <v>0</v>
      </c>
      <c r="E95" s="37">
        <v>0</v>
      </c>
      <c r="H95">
        <v>0</v>
      </c>
      <c r="I95">
        <v>4740.96</v>
      </c>
    </row>
    <row r="96" spans="1:9" x14ac:dyDescent="0.2">
      <c r="A96" s="37" t="s">
        <v>212</v>
      </c>
      <c r="B96" s="37" t="s">
        <v>116</v>
      </c>
      <c r="C96" s="37" t="s">
        <v>121</v>
      </c>
      <c r="D96" s="37">
        <v>0</v>
      </c>
      <c r="E96" s="37">
        <v>0</v>
      </c>
      <c r="H96">
        <v>5301.21</v>
      </c>
      <c r="I96">
        <v>0</v>
      </c>
    </row>
    <row r="97" spans="1:9" x14ac:dyDescent="0.2">
      <c r="A97" s="37" t="s">
        <v>213</v>
      </c>
      <c r="B97" s="37" t="s">
        <v>116</v>
      </c>
      <c r="C97" s="37" t="s">
        <v>117</v>
      </c>
      <c r="D97" s="37">
        <v>0</v>
      </c>
      <c r="E97" s="37">
        <v>0</v>
      </c>
      <c r="H97">
        <v>0</v>
      </c>
      <c r="I97">
        <v>0</v>
      </c>
    </row>
    <row r="98" spans="1:9" x14ac:dyDescent="0.2">
      <c r="A98" s="37" t="s">
        <v>214</v>
      </c>
      <c r="B98" s="37" t="s">
        <v>116</v>
      </c>
      <c r="C98" s="37" t="s">
        <v>121</v>
      </c>
      <c r="D98" s="37">
        <v>1</v>
      </c>
      <c r="E98" s="37">
        <v>5224.0200000000004</v>
      </c>
      <c r="H98">
        <v>0</v>
      </c>
      <c r="I98">
        <v>0</v>
      </c>
    </row>
    <row r="99" spans="1:9" x14ac:dyDescent="0.2">
      <c r="A99" s="37" t="s">
        <v>215</v>
      </c>
      <c r="B99" s="37" t="s">
        <v>116</v>
      </c>
      <c r="C99" s="37" t="s">
        <v>121</v>
      </c>
      <c r="D99" s="37">
        <v>0</v>
      </c>
      <c r="E99" s="37">
        <v>0</v>
      </c>
      <c r="H99">
        <v>0</v>
      </c>
      <c r="I99">
        <v>0</v>
      </c>
    </row>
    <row r="100" spans="1:9" x14ac:dyDescent="0.2">
      <c r="A100" s="37" t="s">
        <v>216</v>
      </c>
      <c r="B100" s="37" t="s">
        <v>116</v>
      </c>
      <c r="C100" s="37" t="s">
        <v>121</v>
      </c>
      <c r="D100" s="37">
        <v>0</v>
      </c>
      <c r="E100" s="37">
        <v>0</v>
      </c>
      <c r="H100">
        <v>4389.87</v>
      </c>
      <c r="I100">
        <v>0</v>
      </c>
    </row>
    <row r="101" spans="1:9" x14ac:dyDescent="0.2">
      <c r="A101" s="37" t="s">
        <v>217</v>
      </c>
      <c r="B101" s="37" t="s">
        <v>116</v>
      </c>
      <c r="C101" s="37" t="s">
        <v>117</v>
      </c>
      <c r="D101" s="37">
        <v>0</v>
      </c>
      <c r="E101" s="37">
        <v>0</v>
      </c>
      <c r="H101">
        <v>0</v>
      </c>
      <c r="I101">
        <v>4286.12</v>
      </c>
    </row>
    <row r="102" spans="1:9" x14ac:dyDescent="0.2">
      <c r="A102" s="37" t="s">
        <v>218</v>
      </c>
      <c r="B102" s="37" t="s">
        <v>116</v>
      </c>
      <c r="C102" s="37" t="s">
        <v>121</v>
      </c>
      <c r="D102" s="37">
        <v>0</v>
      </c>
      <c r="E102" s="37">
        <v>0</v>
      </c>
      <c r="H102">
        <v>3514.22</v>
      </c>
      <c r="I102">
        <v>0</v>
      </c>
    </row>
    <row r="103" spans="1:9" x14ac:dyDescent="0.2">
      <c r="A103" s="37" t="s">
        <v>219</v>
      </c>
      <c r="B103" s="37" t="s">
        <v>116</v>
      </c>
      <c r="C103" s="37" t="s">
        <v>117</v>
      </c>
      <c r="D103" s="37">
        <v>0</v>
      </c>
      <c r="E103" s="37">
        <v>0</v>
      </c>
      <c r="H103">
        <v>0</v>
      </c>
      <c r="I103">
        <v>0</v>
      </c>
    </row>
    <row r="104" spans="1:9" x14ac:dyDescent="0.2">
      <c r="A104" s="37" t="s">
        <v>220</v>
      </c>
      <c r="B104" s="37" t="s">
        <v>116</v>
      </c>
      <c r="C104" s="37" t="s">
        <v>117</v>
      </c>
      <c r="D104" s="37">
        <v>0</v>
      </c>
      <c r="E104" s="37">
        <v>0</v>
      </c>
      <c r="H104">
        <v>0</v>
      </c>
      <c r="I104">
        <v>0</v>
      </c>
    </row>
    <row r="105" spans="1:9" x14ac:dyDescent="0.2">
      <c r="A105" s="37" t="s">
        <v>221</v>
      </c>
      <c r="B105" s="37" t="s">
        <v>116</v>
      </c>
      <c r="C105" s="37" t="s">
        <v>121</v>
      </c>
      <c r="D105" s="37">
        <v>0</v>
      </c>
      <c r="E105" s="37">
        <v>0</v>
      </c>
      <c r="H105">
        <v>0</v>
      </c>
      <c r="I105">
        <v>0</v>
      </c>
    </row>
    <row r="106" spans="1:9" x14ac:dyDescent="0.2">
      <c r="A106" s="37" t="s">
        <v>222</v>
      </c>
      <c r="B106" s="37" t="s">
        <v>116</v>
      </c>
      <c r="C106" s="37" t="s">
        <v>121</v>
      </c>
      <c r="D106" s="37">
        <v>0</v>
      </c>
      <c r="E106" s="37">
        <v>0</v>
      </c>
      <c r="H106">
        <v>5344.37</v>
      </c>
      <c r="I106">
        <v>0</v>
      </c>
    </row>
    <row r="107" spans="1:9" x14ac:dyDescent="0.2">
      <c r="A107" s="37" t="s">
        <v>223</v>
      </c>
      <c r="B107" s="37" t="s">
        <v>116</v>
      </c>
      <c r="C107" s="37" t="s">
        <v>117</v>
      </c>
      <c r="D107" s="37">
        <v>0</v>
      </c>
      <c r="E107" s="37">
        <v>0</v>
      </c>
      <c r="H107">
        <v>0</v>
      </c>
      <c r="I107">
        <v>0</v>
      </c>
    </row>
    <row r="108" spans="1:9" x14ac:dyDescent="0.2">
      <c r="A108" s="37" t="s">
        <v>224</v>
      </c>
      <c r="B108" s="37" t="s">
        <v>116</v>
      </c>
      <c r="C108" s="37" t="s">
        <v>117</v>
      </c>
      <c r="D108" s="37">
        <v>0</v>
      </c>
      <c r="E108" s="37">
        <v>0</v>
      </c>
      <c r="H108">
        <v>0</v>
      </c>
      <c r="I108">
        <v>5212.3999999999996</v>
      </c>
    </row>
    <row r="109" spans="1:9" x14ac:dyDescent="0.2">
      <c r="A109" s="37" t="s">
        <v>225</v>
      </c>
      <c r="B109" s="37" t="s">
        <v>116</v>
      </c>
      <c r="C109" s="37" t="s">
        <v>117</v>
      </c>
      <c r="D109" s="37">
        <v>0</v>
      </c>
      <c r="E109" s="37">
        <v>0</v>
      </c>
      <c r="H109">
        <v>0</v>
      </c>
      <c r="I109">
        <v>0</v>
      </c>
    </row>
    <row r="110" spans="1:9" x14ac:dyDescent="0.2">
      <c r="A110" s="37" t="s">
        <v>226</v>
      </c>
      <c r="B110" s="37" t="s">
        <v>116</v>
      </c>
      <c r="C110" s="37" t="s">
        <v>121</v>
      </c>
      <c r="D110" s="37">
        <v>1</v>
      </c>
      <c r="E110" s="37">
        <v>6178.52</v>
      </c>
      <c r="H110">
        <v>0</v>
      </c>
      <c r="I110">
        <v>0</v>
      </c>
    </row>
    <row r="111" spans="1:9" x14ac:dyDescent="0.2">
      <c r="A111" s="37" t="s">
        <v>227</v>
      </c>
      <c r="B111" s="37" t="s">
        <v>116</v>
      </c>
      <c r="C111" s="37" t="s">
        <v>121</v>
      </c>
      <c r="D111" s="37">
        <v>0</v>
      </c>
      <c r="E111" s="37">
        <v>0</v>
      </c>
      <c r="H111">
        <v>5224.0200000000004</v>
      </c>
      <c r="I111">
        <v>0</v>
      </c>
    </row>
    <row r="112" spans="1:9" x14ac:dyDescent="0.2">
      <c r="A112" s="37" t="s">
        <v>228</v>
      </c>
      <c r="B112" s="37" t="s">
        <v>116</v>
      </c>
      <c r="C112" s="37" t="s">
        <v>117</v>
      </c>
      <c r="D112" s="37">
        <v>0</v>
      </c>
      <c r="E112" s="37">
        <v>0</v>
      </c>
      <c r="H112">
        <v>0</v>
      </c>
      <c r="I112">
        <v>3995.62</v>
      </c>
    </row>
    <row r="113" spans="1:9" x14ac:dyDescent="0.2">
      <c r="A113" s="37" t="s">
        <v>229</v>
      </c>
      <c r="B113" s="37" t="s">
        <v>116</v>
      </c>
      <c r="C113" s="37" t="s">
        <v>121</v>
      </c>
      <c r="D113" s="37">
        <v>0</v>
      </c>
      <c r="E113" s="37">
        <v>0</v>
      </c>
      <c r="H113">
        <v>0</v>
      </c>
      <c r="I113">
        <v>0</v>
      </c>
    </row>
    <row r="114" spans="1:9" x14ac:dyDescent="0.2">
      <c r="A114" s="37" t="s">
        <v>230</v>
      </c>
      <c r="B114" s="37" t="s">
        <v>116</v>
      </c>
      <c r="C114" s="37" t="s">
        <v>121</v>
      </c>
      <c r="D114" s="37">
        <v>0</v>
      </c>
      <c r="E114" s="37">
        <v>0</v>
      </c>
      <c r="H114">
        <v>0</v>
      </c>
      <c r="I114">
        <v>0</v>
      </c>
    </row>
    <row r="115" spans="1:9" x14ac:dyDescent="0.2">
      <c r="A115" s="37" t="s">
        <v>231</v>
      </c>
      <c r="B115" s="37" t="s">
        <v>116</v>
      </c>
      <c r="C115" s="37" t="s">
        <v>117</v>
      </c>
      <c r="D115" s="37">
        <v>0</v>
      </c>
      <c r="E115" s="37">
        <v>0</v>
      </c>
      <c r="H115">
        <v>0</v>
      </c>
      <c r="I115">
        <v>0</v>
      </c>
    </row>
    <row r="116" spans="1:9" x14ac:dyDescent="0.2">
      <c r="A116" s="37" t="s">
        <v>232</v>
      </c>
      <c r="B116" s="37" t="s">
        <v>116</v>
      </c>
      <c r="C116" s="37" t="s">
        <v>117</v>
      </c>
      <c r="D116" s="37">
        <v>0</v>
      </c>
      <c r="E116" s="37">
        <v>0</v>
      </c>
      <c r="H116">
        <v>0</v>
      </c>
      <c r="I116">
        <v>0</v>
      </c>
    </row>
    <row r="117" spans="1:9" x14ac:dyDescent="0.2">
      <c r="A117" s="37" t="s">
        <v>233</v>
      </c>
      <c r="B117" s="37" t="s">
        <v>116</v>
      </c>
      <c r="C117" s="37" t="s">
        <v>117</v>
      </c>
      <c r="D117" s="37">
        <v>0</v>
      </c>
      <c r="E117" s="37">
        <v>0</v>
      </c>
      <c r="H117">
        <v>0</v>
      </c>
      <c r="I117">
        <v>0</v>
      </c>
    </row>
    <row r="118" spans="1:9" x14ac:dyDescent="0.2">
      <c r="A118" s="37" t="s">
        <v>234</v>
      </c>
      <c r="B118" s="37" t="s">
        <v>116</v>
      </c>
      <c r="C118" s="37" t="s">
        <v>117</v>
      </c>
      <c r="D118" s="37">
        <v>0</v>
      </c>
      <c r="E118" s="37">
        <v>0</v>
      </c>
      <c r="H118">
        <v>0</v>
      </c>
      <c r="I118">
        <v>0</v>
      </c>
    </row>
    <row r="119" spans="1:9" x14ac:dyDescent="0.2">
      <c r="A119" s="37" t="s">
        <v>235</v>
      </c>
      <c r="B119" s="37" t="s">
        <v>116</v>
      </c>
      <c r="C119" s="37" t="s">
        <v>121</v>
      </c>
      <c r="D119" s="37">
        <v>0</v>
      </c>
      <c r="E119" s="37">
        <v>0</v>
      </c>
      <c r="H119">
        <v>0</v>
      </c>
      <c r="I119">
        <v>0</v>
      </c>
    </row>
    <row r="120" spans="1:9" x14ac:dyDescent="0.2">
      <c r="A120" s="37" t="s">
        <v>236</v>
      </c>
      <c r="B120" s="37" t="s">
        <v>116</v>
      </c>
      <c r="C120" s="37" t="s">
        <v>121</v>
      </c>
      <c r="D120" s="37">
        <v>0</v>
      </c>
      <c r="E120" s="37">
        <v>0</v>
      </c>
      <c r="H120">
        <v>0</v>
      </c>
      <c r="I120">
        <v>0</v>
      </c>
    </row>
    <row r="121" spans="1:9" x14ac:dyDescent="0.2">
      <c r="A121" s="37" t="s">
        <v>237</v>
      </c>
      <c r="B121" s="37" t="s">
        <v>116</v>
      </c>
      <c r="C121" s="37" t="s">
        <v>117</v>
      </c>
      <c r="D121" s="37">
        <v>0</v>
      </c>
      <c r="E121" s="37">
        <v>0</v>
      </c>
      <c r="H121">
        <v>0</v>
      </c>
      <c r="I121">
        <v>0</v>
      </c>
    </row>
    <row r="122" spans="1:9" x14ac:dyDescent="0.2">
      <c r="A122" s="37" t="s">
        <v>238</v>
      </c>
      <c r="B122" s="37" t="s">
        <v>116</v>
      </c>
      <c r="C122" s="37" t="s">
        <v>117</v>
      </c>
      <c r="D122" s="37">
        <v>0</v>
      </c>
      <c r="E122" s="37">
        <v>0</v>
      </c>
      <c r="H122">
        <v>0</v>
      </c>
      <c r="I122">
        <v>5136.04</v>
      </c>
    </row>
    <row r="123" spans="1:9" x14ac:dyDescent="0.2">
      <c r="A123" s="37" t="s">
        <v>239</v>
      </c>
      <c r="B123" s="37" t="s">
        <v>116</v>
      </c>
      <c r="C123" s="37" t="s">
        <v>117</v>
      </c>
      <c r="D123" s="37">
        <v>0</v>
      </c>
      <c r="E123" s="37">
        <v>0</v>
      </c>
      <c r="H123">
        <v>6178.52</v>
      </c>
      <c r="I123">
        <v>0</v>
      </c>
    </row>
    <row r="124" spans="1:9" x14ac:dyDescent="0.2">
      <c r="A124" s="37" t="s">
        <v>240</v>
      </c>
      <c r="B124" s="37" t="s">
        <v>116</v>
      </c>
      <c r="C124" s="37" t="s">
        <v>117</v>
      </c>
      <c r="D124" s="37">
        <v>0</v>
      </c>
      <c r="E124" s="37">
        <v>0</v>
      </c>
      <c r="H124">
        <v>0</v>
      </c>
      <c r="I124">
        <v>0</v>
      </c>
    </row>
    <row r="125" spans="1:9" x14ac:dyDescent="0.2">
      <c r="A125" s="37" t="s">
        <v>241</v>
      </c>
      <c r="B125" s="37" t="s">
        <v>116</v>
      </c>
      <c r="C125" s="37" t="s">
        <v>121</v>
      </c>
      <c r="D125" s="37">
        <v>0</v>
      </c>
      <c r="E125" s="37">
        <v>0</v>
      </c>
      <c r="H125">
        <v>0</v>
      </c>
      <c r="I125">
        <v>0</v>
      </c>
    </row>
    <row r="126" spans="1:9" x14ac:dyDescent="0.2">
      <c r="A126" s="37" t="s">
        <v>242</v>
      </c>
      <c r="B126" s="37" t="s">
        <v>116</v>
      </c>
      <c r="C126" s="37" t="s">
        <v>117</v>
      </c>
      <c r="D126" s="37">
        <v>0</v>
      </c>
      <c r="E126" s="37">
        <v>0</v>
      </c>
      <c r="H126">
        <v>0</v>
      </c>
      <c r="I126">
        <v>0</v>
      </c>
    </row>
    <row r="127" spans="1:9" x14ac:dyDescent="0.2">
      <c r="A127" s="37" t="s">
        <v>243</v>
      </c>
      <c r="B127" s="37" t="s">
        <v>116</v>
      </c>
      <c r="C127" s="37" t="s">
        <v>121</v>
      </c>
      <c r="D127" s="37">
        <v>0</v>
      </c>
      <c r="E127" s="37">
        <v>0</v>
      </c>
      <c r="H127">
        <v>0</v>
      </c>
      <c r="I127">
        <v>6297.21</v>
      </c>
    </row>
    <row r="128" spans="1:9" x14ac:dyDescent="0.2">
      <c r="A128" s="37" t="s">
        <v>244</v>
      </c>
      <c r="B128" s="37" t="s">
        <v>116</v>
      </c>
      <c r="C128" s="37" t="s">
        <v>117</v>
      </c>
      <c r="D128" s="37">
        <v>0</v>
      </c>
      <c r="E128" s="37">
        <v>0</v>
      </c>
      <c r="H128">
        <v>0</v>
      </c>
      <c r="I128">
        <v>5817.47</v>
      </c>
    </row>
    <row r="129" spans="1:9" x14ac:dyDescent="0.2">
      <c r="A129" s="37" t="s">
        <v>245</v>
      </c>
      <c r="B129" s="37" t="s">
        <v>116</v>
      </c>
      <c r="C129" s="37" t="s">
        <v>121</v>
      </c>
      <c r="D129" s="37">
        <v>0</v>
      </c>
      <c r="E129" s="37">
        <v>0</v>
      </c>
      <c r="H129">
        <v>0</v>
      </c>
      <c r="I129">
        <v>0</v>
      </c>
    </row>
    <row r="130" spans="1:9" x14ac:dyDescent="0.2">
      <c r="A130" s="37" t="s">
        <v>246</v>
      </c>
      <c r="B130" s="37" t="s">
        <v>116</v>
      </c>
      <c r="C130" s="37" t="s">
        <v>117</v>
      </c>
      <c r="D130" s="37">
        <v>0</v>
      </c>
      <c r="E130" s="37">
        <v>0</v>
      </c>
      <c r="H130">
        <v>0</v>
      </c>
      <c r="I130">
        <v>5768.5</v>
      </c>
    </row>
    <row r="131" spans="1:9" x14ac:dyDescent="0.2">
      <c r="A131" s="37" t="s">
        <v>247</v>
      </c>
      <c r="B131" s="37" t="s">
        <v>116</v>
      </c>
      <c r="C131" s="37" t="s">
        <v>117</v>
      </c>
      <c r="D131" s="37">
        <v>0</v>
      </c>
      <c r="E131" s="37">
        <v>0</v>
      </c>
      <c r="H131">
        <v>0</v>
      </c>
      <c r="I131">
        <v>0</v>
      </c>
    </row>
    <row r="132" spans="1:9" x14ac:dyDescent="0.2">
      <c r="A132" s="37" t="s">
        <v>248</v>
      </c>
      <c r="B132" s="37" t="s">
        <v>116</v>
      </c>
      <c r="C132" s="37" t="s">
        <v>121</v>
      </c>
      <c r="D132" s="37">
        <v>1</v>
      </c>
      <c r="E132" s="37">
        <v>6804.34</v>
      </c>
      <c r="H132">
        <v>0</v>
      </c>
      <c r="I132">
        <v>0</v>
      </c>
    </row>
    <row r="133" spans="1:9" x14ac:dyDescent="0.2">
      <c r="A133" s="37" t="s">
        <v>249</v>
      </c>
      <c r="B133" s="37" t="s">
        <v>116</v>
      </c>
      <c r="C133" s="37" t="s">
        <v>117</v>
      </c>
      <c r="D133" s="37">
        <v>0</v>
      </c>
      <c r="E133" s="37">
        <v>0</v>
      </c>
      <c r="H133">
        <v>0</v>
      </c>
      <c r="I133">
        <v>4259.5600000000004</v>
      </c>
    </row>
    <row r="134" spans="1:9" x14ac:dyDescent="0.2">
      <c r="A134" s="37" t="s">
        <v>250</v>
      </c>
      <c r="B134" s="37" t="s">
        <v>116</v>
      </c>
      <c r="C134" s="37" t="s">
        <v>117</v>
      </c>
      <c r="D134" s="37">
        <v>0</v>
      </c>
      <c r="E134" s="37">
        <v>0</v>
      </c>
      <c r="H134">
        <v>0</v>
      </c>
      <c r="I134">
        <v>0</v>
      </c>
    </row>
    <row r="135" spans="1:9" x14ac:dyDescent="0.2">
      <c r="A135" s="37" t="s">
        <v>251</v>
      </c>
      <c r="B135" s="37" t="s">
        <v>116</v>
      </c>
      <c r="C135" s="37" t="s">
        <v>121</v>
      </c>
      <c r="D135" s="37">
        <v>0</v>
      </c>
      <c r="E135" s="37">
        <v>0</v>
      </c>
      <c r="H135">
        <v>0</v>
      </c>
      <c r="I135">
        <v>3629.59</v>
      </c>
    </row>
    <row r="136" spans="1:9" x14ac:dyDescent="0.2">
      <c r="A136" s="37" t="s">
        <v>252</v>
      </c>
      <c r="B136" s="37" t="s">
        <v>116</v>
      </c>
      <c r="C136" s="37" t="s">
        <v>121</v>
      </c>
      <c r="D136" s="37">
        <v>0</v>
      </c>
      <c r="E136" s="37">
        <v>0</v>
      </c>
      <c r="H136">
        <v>0</v>
      </c>
      <c r="I136">
        <v>0</v>
      </c>
    </row>
    <row r="137" spans="1:9" x14ac:dyDescent="0.2">
      <c r="A137" s="37" t="s">
        <v>253</v>
      </c>
      <c r="B137" s="37" t="s">
        <v>116</v>
      </c>
      <c r="C137" s="37" t="s">
        <v>121</v>
      </c>
      <c r="D137" s="37">
        <v>0</v>
      </c>
      <c r="E137" s="37">
        <v>0</v>
      </c>
      <c r="H137">
        <v>0</v>
      </c>
      <c r="I137">
        <v>0</v>
      </c>
    </row>
    <row r="138" spans="1:9" x14ac:dyDescent="0.2">
      <c r="A138" s="37" t="s">
        <v>254</v>
      </c>
      <c r="B138" s="37" t="s">
        <v>116</v>
      </c>
      <c r="C138" s="37" t="s">
        <v>121</v>
      </c>
      <c r="D138" s="37">
        <v>1</v>
      </c>
      <c r="E138" s="37">
        <v>4129.25</v>
      </c>
      <c r="H138">
        <v>0</v>
      </c>
      <c r="I138">
        <v>0</v>
      </c>
    </row>
    <row r="139" spans="1:9" x14ac:dyDescent="0.2">
      <c r="A139" s="37" t="s">
        <v>255</v>
      </c>
      <c r="B139" s="37" t="s">
        <v>116</v>
      </c>
      <c r="C139" s="37" t="s">
        <v>121</v>
      </c>
      <c r="D139" s="37">
        <v>0</v>
      </c>
      <c r="E139" s="37">
        <v>0</v>
      </c>
      <c r="H139">
        <v>0</v>
      </c>
      <c r="I139">
        <v>0</v>
      </c>
    </row>
    <row r="140" spans="1:9" x14ac:dyDescent="0.2">
      <c r="A140" s="37" t="s">
        <v>256</v>
      </c>
      <c r="B140" s="37" t="s">
        <v>116</v>
      </c>
      <c r="C140" s="37" t="s">
        <v>117</v>
      </c>
      <c r="D140" s="37">
        <v>0</v>
      </c>
      <c r="E140" s="37">
        <v>0</v>
      </c>
      <c r="H140">
        <v>0</v>
      </c>
      <c r="I140">
        <v>0</v>
      </c>
    </row>
    <row r="141" spans="1:9" x14ac:dyDescent="0.2">
      <c r="A141" s="37" t="s">
        <v>257</v>
      </c>
      <c r="B141" s="37" t="s">
        <v>116</v>
      </c>
      <c r="C141" s="37" t="s">
        <v>117</v>
      </c>
      <c r="D141" s="37">
        <v>0</v>
      </c>
      <c r="E141" s="37">
        <v>0</v>
      </c>
      <c r="H141">
        <v>0</v>
      </c>
      <c r="I141">
        <v>0</v>
      </c>
    </row>
    <row r="142" spans="1:9" x14ac:dyDescent="0.2">
      <c r="A142" s="37" t="s">
        <v>258</v>
      </c>
      <c r="B142" s="37" t="s">
        <v>116</v>
      </c>
      <c r="C142" s="37" t="s">
        <v>117</v>
      </c>
      <c r="D142" s="37">
        <v>0</v>
      </c>
      <c r="E142" s="37">
        <v>0</v>
      </c>
      <c r="H142">
        <v>0</v>
      </c>
      <c r="I142">
        <v>4594.88</v>
      </c>
    </row>
    <row r="143" spans="1:9" x14ac:dyDescent="0.2">
      <c r="A143" s="37" t="s">
        <v>259</v>
      </c>
      <c r="B143" s="37" t="s">
        <v>116</v>
      </c>
      <c r="C143" s="37" t="s">
        <v>121</v>
      </c>
      <c r="D143" s="37">
        <v>0</v>
      </c>
      <c r="E143" s="37">
        <v>0</v>
      </c>
      <c r="H143">
        <v>0</v>
      </c>
      <c r="I143">
        <v>0</v>
      </c>
    </row>
    <row r="144" spans="1:9" x14ac:dyDescent="0.2">
      <c r="A144" s="37" t="s">
        <v>260</v>
      </c>
      <c r="B144" s="37" t="s">
        <v>116</v>
      </c>
      <c r="C144" s="37" t="s">
        <v>121</v>
      </c>
      <c r="D144" s="37">
        <v>1</v>
      </c>
      <c r="E144" s="37">
        <v>2970.57</v>
      </c>
      <c r="H144">
        <v>0</v>
      </c>
      <c r="I144">
        <v>0</v>
      </c>
    </row>
    <row r="145" spans="1:9" x14ac:dyDescent="0.2">
      <c r="A145" s="37" t="s">
        <v>261</v>
      </c>
      <c r="B145" s="37" t="s">
        <v>116</v>
      </c>
      <c r="C145" s="37" t="s">
        <v>121</v>
      </c>
      <c r="D145" s="37">
        <v>0</v>
      </c>
      <c r="E145" s="37">
        <v>0</v>
      </c>
      <c r="H145">
        <v>6804.34</v>
      </c>
      <c r="I145">
        <v>0</v>
      </c>
    </row>
    <row r="146" spans="1:9" x14ac:dyDescent="0.2">
      <c r="A146" s="37" t="s">
        <v>262</v>
      </c>
      <c r="B146" s="37" t="s">
        <v>116</v>
      </c>
      <c r="C146" s="37" t="s">
        <v>117</v>
      </c>
      <c r="D146" s="37">
        <v>1</v>
      </c>
      <c r="E146" s="37">
        <v>6601.82</v>
      </c>
      <c r="H146">
        <v>0</v>
      </c>
      <c r="I146">
        <v>0</v>
      </c>
    </row>
    <row r="147" spans="1:9" x14ac:dyDescent="0.2">
      <c r="A147" s="37" t="s">
        <v>263</v>
      </c>
      <c r="B147" s="37" t="s">
        <v>116</v>
      </c>
      <c r="C147" s="37" t="s">
        <v>117</v>
      </c>
      <c r="D147" s="37">
        <v>1</v>
      </c>
      <c r="E147" s="37">
        <v>6112.12</v>
      </c>
      <c r="H147">
        <v>0</v>
      </c>
      <c r="I147">
        <v>0</v>
      </c>
    </row>
    <row r="148" spans="1:9" x14ac:dyDescent="0.2">
      <c r="A148" s="37" t="s">
        <v>264</v>
      </c>
      <c r="B148" s="37" t="s">
        <v>116</v>
      </c>
      <c r="C148" s="37" t="s">
        <v>121</v>
      </c>
      <c r="D148" s="37">
        <v>0</v>
      </c>
      <c r="E148" s="37">
        <v>0</v>
      </c>
      <c r="H148">
        <v>0</v>
      </c>
      <c r="I148">
        <v>0</v>
      </c>
    </row>
    <row r="149" spans="1:9" x14ac:dyDescent="0.2">
      <c r="A149" s="37" t="s">
        <v>265</v>
      </c>
      <c r="B149" s="37" t="s">
        <v>116</v>
      </c>
      <c r="C149" s="37" t="s">
        <v>117</v>
      </c>
      <c r="D149" s="37">
        <v>1</v>
      </c>
      <c r="E149" s="37">
        <v>5715.38</v>
      </c>
      <c r="H149">
        <v>0</v>
      </c>
      <c r="I149">
        <v>7105.63</v>
      </c>
    </row>
    <row r="150" spans="1:9" x14ac:dyDescent="0.2">
      <c r="A150" s="37" t="s">
        <v>266</v>
      </c>
      <c r="B150" s="37" t="s">
        <v>116</v>
      </c>
      <c r="C150" s="37" t="s">
        <v>121</v>
      </c>
      <c r="D150" s="37">
        <v>0</v>
      </c>
      <c r="E150" s="37">
        <v>0</v>
      </c>
      <c r="H150">
        <v>0</v>
      </c>
      <c r="I150">
        <v>0</v>
      </c>
    </row>
    <row r="151" spans="1:9" x14ac:dyDescent="0.2">
      <c r="A151" s="37" t="s">
        <v>267</v>
      </c>
      <c r="B151" s="37" t="s">
        <v>116</v>
      </c>
      <c r="C151" s="37" t="s">
        <v>121</v>
      </c>
      <c r="D151" s="37">
        <v>0</v>
      </c>
      <c r="E151" s="37">
        <v>0</v>
      </c>
      <c r="H151">
        <v>4129.25</v>
      </c>
      <c r="I151">
        <v>0</v>
      </c>
    </row>
    <row r="152" spans="1:9" x14ac:dyDescent="0.2">
      <c r="A152" s="37" t="s">
        <v>268</v>
      </c>
      <c r="B152" s="37" t="s">
        <v>116</v>
      </c>
      <c r="C152" s="37" t="s">
        <v>117</v>
      </c>
      <c r="D152" s="37">
        <v>0</v>
      </c>
      <c r="E152" s="37">
        <v>0</v>
      </c>
      <c r="H152">
        <v>0</v>
      </c>
      <c r="I152">
        <v>0</v>
      </c>
    </row>
    <row r="153" spans="1:9" x14ac:dyDescent="0.2">
      <c r="A153" s="37" t="s">
        <v>269</v>
      </c>
      <c r="B153" s="37" t="s">
        <v>116</v>
      </c>
      <c r="C153" s="37" t="s">
        <v>117</v>
      </c>
      <c r="D153" s="37">
        <v>0</v>
      </c>
      <c r="E153" s="37">
        <v>0</v>
      </c>
      <c r="H153">
        <v>0</v>
      </c>
      <c r="I153">
        <v>5321.96</v>
      </c>
    </row>
    <row r="154" spans="1:9" x14ac:dyDescent="0.2">
      <c r="A154" s="37" t="s">
        <v>270</v>
      </c>
      <c r="B154" s="37" t="s">
        <v>116</v>
      </c>
      <c r="C154" s="37" t="s">
        <v>117</v>
      </c>
      <c r="D154" s="37">
        <v>0</v>
      </c>
      <c r="E154" s="37">
        <v>0</v>
      </c>
      <c r="H154">
        <v>0</v>
      </c>
      <c r="I154">
        <v>0</v>
      </c>
    </row>
    <row r="155" spans="1:9" x14ac:dyDescent="0.2">
      <c r="A155" s="37" t="s">
        <v>271</v>
      </c>
      <c r="B155" s="37" t="s">
        <v>116</v>
      </c>
      <c r="C155" s="37" t="s">
        <v>117</v>
      </c>
      <c r="D155" s="37">
        <v>0</v>
      </c>
      <c r="E155" s="37">
        <v>0</v>
      </c>
      <c r="H155">
        <v>0</v>
      </c>
      <c r="I155">
        <v>4074.47</v>
      </c>
    </row>
    <row r="156" spans="1:9" x14ac:dyDescent="0.2">
      <c r="A156" s="37" t="s">
        <v>272</v>
      </c>
      <c r="B156" s="37" t="s">
        <v>116</v>
      </c>
      <c r="C156" s="37" t="s">
        <v>121</v>
      </c>
      <c r="D156" s="37">
        <v>0</v>
      </c>
      <c r="E156" s="37">
        <v>0</v>
      </c>
      <c r="H156">
        <v>0</v>
      </c>
      <c r="I156">
        <v>4888.7</v>
      </c>
    </row>
    <row r="157" spans="1:9" x14ac:dyDescent="0.2">
      <c r="A157" s="37" t="s">
        <v>273</v>
      </c>
      <c r="B157" s="37" t="s">
        <v>116</v>
      </c>
      <c r="C157" s="37" t="s">
        <v>121</v>
      </c>
      <c r="D157" s="37">
        <v>0</v>
      </c>
      <c r="E157" s="37">
        <v>0</v>
      </c>
      <c r="H157">
        <v>2970.57</v>
      </c>
      <c r="I157">
        <v>0</v>
      </c>
    </row>
    <row r="158" spans="1:9" x14ac:dyDescent="0.2">
      <c r="A158" s="37" t="s">
        <v>274</v>
      </c>
      <c r="B158" s="37" t="s">
        <v>116</v>
      </c>
      <c r="C158" s="37" t="s">
        <v>121</v>
      </c>
      <c r="D158" s="37">
        <v>0</v>
      </c>
      <c r="E158" s="37">
        <v>0</v>
      </c>
      <c r="H158">
        <v>0</v>
      </c>
      <c r="I158">
        <v>7166.22</v>
      </c>
    </row>
    <row r="159" spans="1:9" x14ac:dyDescent="0.2">
      <c r="A159" s="37" t="s">
        <v>275</v>
      </c>
      <c r="B159" s="37" t="s">
        <v>116</v>
      </c>
      <c r="C159" s="37" t="s">
        <v>117</v>
      </c>
      <c r="D159" s="37">
        <v>0</v>
      </c>
      <c r="E159" s="37">
        <v>0</v>
      </c>
      <c r="H159">
        <v>6601.82</v>
      </c>
      <c r="I159">
        <v>0</v>
      </c>
    </row>
    <row r="160" spans="1:9" x14ac:dyDescent="0.2">
      <c r="A160" s="37" t="s">
        <v>276</v>
      </c>
      <c r="B160" s="37" t="s">
        <v>116</v>
      </c>
      <c r="C160" s="37" t="s">
        <v>117</v>
      </c>
      <c r="D160" s="37">
        <v>0</v>
      </c>
      <c r="E160" s="37">
        <v>0</v>
      </c>
      <c r="H160">
        <v>6112.12</v>
      </c>
      <c r="I160">
        <v>0</v>
      </c>
    </row>
    <row r="161" spans="1:9" x14ac:dyDescent="0.2">
      <c r="A161" s="37" t="s">
        <v>277</v>
      </c>
      <c r="B161" s="37" t="s">
        <v>116</v>
      </c>
      <c r="C161" s="37" t="s">
        <v>117</v>
      </c>
      <c r="D161" s="37">
        <v>0</v>
      </c>
      <c r="E161" s="37">
        <v>0</v>
      </c>
      <c r="H161">
        <v>0</v>
      </c>
      <c r="I161">
        <v>0</v>
      </c>
    </row>
    <row r="162" spans="1:9" x14ac:dyDescent="0.2">
      <c r="A162" s="37" t="s">
        <v>278</v>
      </c>
      <c r="B162" s="37" t="s">
        <v>116</v>
      </c>
      <c r="C162" s="37" t="s">
        <v>121</v>
      </c>
      <c r="D162" s="37">
        <v>0</v>
      </c>
      <c r="E162" s="37">
        <v>0</v>
      </c>
      <c r="H162">
        <v>5715.38</v>
      </c>
      <c r="I162">
        <v>0</v>
      </c>
    </row>
    <row r="163" spans="1:9" x14ac:dyDescent="0.2">
      <c r="A163" s="37" t="s">
        <v>279</v>
      </c>
      <c r="B163" s="37" t="s">
        <v>116</v>
      </c>
      <c r="C163" s="37" t="s">
        <v>117</v>
      </c>
      <c r="D163" s="37">
        <v>0</v>
      </c>
      <c r="E163" s="37">
        <v>0</v>
      </c>
      <c r="H163">
        <v>0</v>
      </c>
      <c r="I163">
        <v>4720.21</v>
      </c>
    </row>
    <row r="164" spans="1:9" x14ac:dyDescent="0.2">
      <c r="A164" s="37" t="s">
        <v>280</v>
      </c>
      <c r="B164" s="37" t="s">
        <v>116</v>
      </c>
      <c r="C164" s="37" t="s">
        <v>117</v>
      </c>
      <c r="D164" s="37">
        <v>0</v>
      </c>
      <c r="E164" s="37">
        <v>0</v>
      </c>
      <c r="H164">
        <v>0</v>
      </c>
      <c r="I164">
        <v>0</v>
      </c>
    </row>
    <row r="165" spans="1:9" x14ac:dyDescent="0.2">
      <c r="A165" s="37" t="s">
        <v>281</v>
      </c>
      <c r="B165" s="37" t="s">
        <v>116</v>
      </c>
      <c r="C165" s="37" t="s">
        <v>121</v>
      </c>
      <c r="D165" s="37">
        <v>0</v>
      </c>
      <c r="E165" s="37">
        <v>0</v>
      </c>
      <c r="H165">
        <v>0</v>
      </c>
      <c r="I165">
        <v>0</v>
      </c>
    </row>
    <row r="166" spans="1:9" x14ac:dyDescent="0.2">
      <c r="A166" s="37" t="s">
        <v>282</v>
      </c>
      <c r="B166" s="37" t="s">
        <v>116</v>
      </c>
      <c r="C166" s="37" t="s">
        <v>121</v>
      </c>
      <c r="D166" s="37">
        <v>0</v>
      </c>
      <c r="E166" s="37">
        <v>0</v>
      </c>
      <c r="H166">
        <v>0</v>
      </c>
      <c r="I166">
        <v>0</v>
      </c>
    </row>
    <row r="167" spans="1:9" x14ac:dyDescent="0.2">
      <c r="A167" s="37" t="s">
        <v>283</v>
      </c>
      <c r="B167" s="37" t="s">
        <v>116</v>
      </c>
      <c r="C167" s="37" t="s">
        <v>121</v>
      </c>
      <c r="D167" s="37">
        <v>1</v>
      </c>
      <c r="E167" s="37">
        <v>5238.13</v>
      </c>
      <c r="H167">
        <v>0</v>
      </c>
      <c r="I167">
        <v>0</v>
      </c>
    </row>
    <row r="168" spans="1:9" x14ac:dyDescent="0.2">
      <c r="A168" s="37" t="s">
        <v>284</v>
      </c>
      <c r="B168" s="37" t="s">
        <v>116</v>
      </c>
      <c r="C168" s="37" t="s">
        <v>121</v>
      </c>
      <c r="D168" s="37">
        <v>0</v>
      </c>
      <c r="E168" s="37">
        <v>0</v>
      </c>
      <c r="H168">
        <v>0</v>
      </c>
      <c r="I168">
        <v>0</v>
      </c>
    </row>
    <row r="169" spans="1:9" x14ac:dyDescent="0.2">
      <c r="A169" s="37" t="s">
        <v>285</v>
      </c>
      <c r="B169" s="37" t="s">
        <v>116</v>
      </c>
      <c r="C169" s="37" t="s">
        <v>121</v>
      </c>
      <c r="D169" s="37">
        <v>0</v>
      </c>
      <c r="E169" s="37">
        <v>0</v>
      </c>
      <c r="H169">
        <v>0</v>
      </c>
      <c r="I169">
        <v>7108.95</v>
      </c>
    </row>
    <row r="170" spans="1:9" x14ac:dyDescent="0.2">
      <c r="A170" s="37" t="s">
        <v>286</v>
      </c>
      <c r="B170" s="37" t="s">
        <v>116</v>
      </c>
      <c r="C170" s="37" t="s">
        <v>121</v>
      </c>
      <c r="D170" s="37">
        <v>0</v>
      </c>
      <c r="E170" s="37">
        <v>0</v>
      </c>
      <c r="H170">
        <v>0</v>
      </c>
      <c r="I170">
        <v>2635.25</v>
      </c>
    </row>
    <row r="171" spans="1:9" x14ac:dyDescent="0.2">
      <c r="A171" s="37" t="s">
        <v>287</v>
      </c>
      <c r="B171" s="37" t="s">
        <v>116</v>
      </c>
      <c r="C171" s="37" t="s">
        <v>117</v>
      </c>
      <c r="D171" s="37">
        <v>0</v>
      </c>
      <c r="E171" s="37">
        <v>0</v>
      </c>
      <c r="H171">
        <v>0</v>
      </c>
      <c r="I171">
        <v>0</v>
      </c>
    </row>
    <row r="172" spans="1:9" x14ac:dyDescent="0.2">
      <c r="A172" s="37" t="s">
        <v>288</v>
      </c>
      <c r="B172" s="37" t="s">
        <v>116</v>
      </c>
      <c r="C172" s="37" t="s">
        <v>117</v>
      </c>
      <c r="D172" s="37">
        <v>0</v>
      </c>
      <c r="E172" s="37">
        <v>0</v>
      </c>
      <c r="H172">
        <v>0</v>
      </c>
      <c r="I172">
        <v>8759.82</v>
      </c>
    </row>
    <row r="173" spans="1:9" x14ac:dyDescent="0.2">
      <c r="A173" s="37" t="s">
        <v>289</v>
      </c>
      <c r="B173" s="37" t="s">
        <v>116</v>
      </c>
      <c r="C173" s="37" t="s">
        <v>117</v>
      </c>
      <c r="D173" s="37">
        <v>0</v>
      </c>
      <c r="E173" s="37">
        <v>0</v>
      </c>
      <c r="H173">
        <v>0</v>
      </c>
      <c r="I173">
        <v>5840.71</v>
      </c>
    </row>
    <row r="174" spans="1:9" x14ac:dyDescent="0.2">
      <c r="A174" s="37" t="s">
        <v>290</v>
      </c>
      <c r="B174" s="37" t="s">
        <v>116</v>
      </c>
      <c r="C174" s="37" t="s">
        <v>121</v>
      </c>
      <c r="D174" s="37">
        <v>0</v>
      </c>
      <c r="E174" s="37">
        <v>0</v>
      </c>
      <c r="H174">
        <v>0</v>
      </c>
      <c r="I174">
        <v>0</v>
      </c>
    </row>
    <row r="175" spans="1:9" x14ac:dyDescent="0.2">
      <c r="A175" s="37" t="s">
        <v>291</v>
      </c>
      <c r="B175" s="37" t="s">
        <v>116</v>
      </c>
      <c r="C175" s="37" t="s">
        <v>117</v>
      </c>
      <c r="D175" s="37">
        <v>0</v>
      </c>
      <c r="E175" s="37">
        <v>0</v>
      </c>
      <c r="H175">
        <v>0</v>
      </c>
      <c r="I175">
        <v>0</v>
      </c>
    </row>
    <row r="176" spans="1:9" x14ac:dyDescent="0.2">
      <c r="A176" s="37" t="s">
        <v>292</v>
      </c>
      <c r="B176" s="37" t="s">
        <v>116</v>
      </c>
      <c r="C176" s="37" t="s">
        <v>117</v>
      </c>
      <c r="D176" s="37">
        <v>1</v>
      </c>
      <c r="E176" s="37">
        <v>2672.6</v>
      </c>
      <c r="H176">
        <v>0</v>
      </c>
      <c r="I176">
        <v>3264.39</v>
      </c>
    </row>
    <row r="177" spans="1:9" x14ac:dyDescent="0.2">
      <c r="A177" s="37" t="s">
        <v>293</v>
      </c>
      <c r="B177" s="37" t="s">
        <v>116</v>
      </c>
      <c r="C177" s="37" t="s">
        <v>121</v>
      </c>
      <c r="D177" s="37">
        <v>0</v>
      </c>
      <c r="E177" s="37">
        <v>0</v>
      </c>
      <c r="H177">
        <v>0</v>
      </c>
      <c r="I177">
        <v>4889.53</v>
      </c>
    </row>
    <row r="178" spans="1:9" x14ac:dyDescent="0.2">
      <c r="A178" s="37" t="s">
        <v>294</v>
      </c>
      <c r="B178" s="37" t="s">
        <v>116</v>
      </c>
      <c r="C178" s="37" t="s">
        <v>121</v>
      </c>
      <c r="D178" s="37">
        <v>1</v>
      </c>
      <c r="E178" s="37">
        <v>7392.81</v>
      </c>
      <c r="H178">
        <v>0</v>
      </c>
      <c r="I178">
        <v>0</v>
      </c>
    </row>
    <row r="179" spans="1:9" x14ac:dyDescent="0.2">
      <c r="A179" s="37" t="s">
        <v>295</v>
      </c>
      <c r="B179" s="37" t="s">
        <v>116</v>
      </c>
      <c r="C179" s="37" t="s">
        <v>117</v>
      </c>
      <c r="D179" s="37">
        <v>0</v>
      </c>
      <c r="E179" s="37">
        <v>0</v>
      </c>
      <c r="H179">
        <v>0</v>
      </c>
      <c r="I179">
        <v>0</v>
      </c>
    </row>
    <row r="180" spans="1:9" x14ac:dyDescent="0.2">
      <c r="A180" s="37" t="s">
        <v>296</v>
      </c>
      <c r="B180" s="37" t="s">
        <v>116</v>
      </c>
      <c r="C180" s="37" t="s">
        <v>121</v>
      </c>
      <c r="D180" s="37">
        <v>1</v>
      </c>
      <c r="E180" s="37">
        <v>9608.08</v>
      </c>
      <c r="H180">
        <v>5238.13</v>
      </c>
      <c r="I180">
        <v>0</v>
      </c>
    </row>
    <row r="181" spans="1:9" x14ac:dyDescent="0.2">
      <c r="A181" s="37" t="s">
        <v>297</v>
      </c>
      <c r="B181" s="37" t="s">
        <v>116</v>
      </c>
      <c r="C181" s="37" t="s">
        <v>117</v>
      </c>
      <c r="D181" s="37">
        <v>0</v>
      </c>
      <c r="E181" s="37">
        <v>0</v>
      </c>
      <c r="H181">
        <v>0</v>
      </c>
      <c r="I181">
        <v>0</v>
      </c>
    </row>
    <row r="182" spans="1:9" x14ac:dyDescent="0.2">
      <c r="A182" s="37" t="s">
        <v>298</v>
      </c>
      <c r="B182" s="37" t="s">
        <v>299</v>
      </c>
      <c r="C182" s="37" t="s">
        <v>121</v>
      </c>
      <c r="D182" s="37">
        <v>0</v>
      </c>
      <c r="E182" s="37">
        <v>0</v>
      </c>
      <c r="H182">
        <v>0</v>
      </c>
      <c r="I182">
        <v>3756.58</v>
      </c>
    </row>
    <row r="183" spans="1:9" x14ac:dyDescent="0.2">
      <c r="A183" s="37" t="s">
        <v>300</v>
      </c>
      <c r="B183" s="37" t="s">
        <v>299</v>
      </c>
      <c r="C183" s="37" t="s">
        <v>121</v>
      </c>
      <c r="D183" s="37">
        <v>0</v>
      </c>
      <c r="E183" s="37">
        <v>0</v>
      </c>
      <c r="H183">
        <v>0</v>
      </c>
      <c r="I183">
        <v>0</v>
      </c>
    </row>
    <row r="184" spans="1:9" x14ac:dyDescent="0.2">
      <c r="A184" s="37" t="s">
        <v>301</v>
      </c>
      <c r="B184" s="37" t="s">
        <v>299</v>
      </c>
      <c r="C184" s="37" t="s">
        <v>121</v>
      </c>
      <c r="D184" s="37">
        <v>0</v>
      </c>
      <c r="E184" s="37">
        <v>0</v>
      </c>
      <c r="H184">
        <v>0</v>
      </c>
      <c r="I184">
        <v>6767.82</v>
      </c>
    </row>
    <row r="185" spans="1:9" x14ac:dyDescent="0.2">
      <c r="A185" s="37" t="s">
        <v>302</v>
      </c>
      <c r="B185" s="37" t="s">
        <v>299</v>
      </c>
      <c r="C185" s="37" t="s">
        <v>121</v>
      </c>
      <c r="D185" s="37">
        <v>0</v>
      </c>
      <c r="E185" s="37">
        <v>0</v>
      </c>
      <c r="H185">
        <v>0</v>
      </c>
      <c r="I185">
        <v>0</v>
      </c>
    </row>
    <row r="186" spans="1:9" x14ac:dyDescent="0.2">
      <c r="A186" s="37" t="s">
        <v>303</v>
      </c>
      <c r="B186" s="37" t="s">
        <v>299</v>
      </c>
      <c r="C186" s="37" t="s">
        <v>117</v>
      </c>
      <c r="D186" s="37">
        <v>0</v>
      </c>
      <c r="E186" s="37">
        <v>0</v>
      </c>
      <c r="H186">
        <v>0</v>
      </c>
      <c r="I186">
        <v>0</v>
      </c>
    </row>
    <row r="187" spans="1:9" x14ac:dyDescent="0.2">
      <c r="A187" s="37" t="s">
        <v>304</v>
      </c>
      <c r="B187" s="37" t="s">
        <v>299</v>
      </c>
      <c r="C187" s="37" t="s">
        <v>121</v>
      </c>
      <c r="D187" s="37">
        <v>0</v>
      </c>
      <c r="E187" s="37">
        <v>0</v>
      </c>
      <c r="H187">
        <v>0</v>
      </c>
      <c r="I187">
        <v>0</v>
      </c>
    </row>
    <row r="188" spans="1:9" x14ac:dyDescent="0.2">
      <c r="A188" s="37" t="s">
        <v>305</v>
      </c>
      <c r="B188" s="37" t="s">
        <v>299</v>
      </c>
      <c r="C188" s="37" t="s">
        <v>121</v>
      </c>
      <c r="D188" s="37">
        <v>0</v>
      </c>
      <c r="E188" s="37">
        <v>0</v>
      </c>
      <c r="H188">
        <v>0</v>
      </c>
      <c r="I188">
        <v>0</v>
      </c>
    </row>
    <row r="189" spans="1:9" x14ac:dyDescent="0.2">
      <c r="A189" s="37" t="s">
        <v>306</v>
      </c>
      <c r="B189" s="37" t="s">
        <v>299</v>
      </c>
      <c r="C189" s="37" t="s">
        <v>121</v>
      </c>
      <c r="D189" s="37">
        <v>1</v>
      </c>
      <c r="E189" s="37">
        <v>4892.8500000000004</v>
      </c>
      <c r="H189">
        <v>2672.6</v>
      </c>
      <c r="I189">
        <v>0</v>
      </c>
    </row>
    <row r="190" spans="1:9" x14ac:dyDescent="0.2">
      <c r="A190" s="37" t="s">
        <v>307</v>
      </c>
      <c r="B190" s="37" t="s">
        <v>299</v>
      </c>
      <c r="C190" s="37" t="s">
        <v>121</v>
      </c>
      <c r="D190" s="37">
        <v>0</v>
      </c>
      <c r="E190" s="37">
        <v>0</v>
      </c>
      <c r="H190">
        <v>0</v>
      </c>
      <c r="I190">
        <v>0</v>
      </c>
    </row>
    <row r="191" spans="1:9" x14ac:dyDescent="0.2">
      <c r="A191" s="37" t="s">
        <v>308</v>
      </c>
      <c r="B191" s="37" t="s">
        <v>299</v>
      </c>
      <c r="C191" s="37" t="s">
        <v>121</v>
      </c>
      <c r="D191" s="37">
        <v>0</v>
      </c>
      <c r="E191" s="37">
        <v>0</v>
      </c>
      <c r="H191">
        <v>7392.81</v>
      </c>
      <c r="I191">
        <v>0</v>
      </c>
    </row>
    <row r="192" spans="1:9" x14ac:dyDescent="0.2">
      <c r="A192" s="37" t="s">
        <v>309</v>
      </c>
      <c r="B192" s="37" t="s">
        <v>299</v>
      </c>
      <c r="C192" s="37" t="s">
        <v>117</v>
      </c>
      <c r="D192" s="37">
        <v>0</v>
      </c>
      <c r="E192" s="37">
        <v>0</v>
      </c>
      <c r="H192">
        <v>0</v>
      </c>
      <c r="I192">
        <v>5546.89</v>
      </c>
    </row>
    <row r="193" spans="1:9" x14ac:dyDescent="0.2">
      <c r="A193" s="37" t="s">
        <v>310</v>
      </c>
      <c r="B193" s="37" t="s">
        <v>299</v>
      </c>
      <c r="C193" s="37" t="s">
        <v>117</v>
      </c>
      <c r="D193" s="37">
        <v>0</v>
      </c>
      <c r="E193" s="37">
        <v>0</v>
      </c>
      <c r="H193">
        <v>9608.08</v>
      </c>
      <c r="I193">
        <v>7036.74</v>
      </c>
    </row>
    <row r="194" spans="1:9" x14ac:dyDescent="0.2">
      <c r="A194" s="37" t="s">
        <v>311</v>
      </c>
      <c r="B194" s="37" t="s">
        <v>299</v>
      </c>
      <c r="C194" s="37" t="s">
        <v>121</v>
      </c>
      <c r="D194" s="37">
        <v>1</v>
      </c>
      <c r="E194" s="37">
        <v>5531.95</v>
      </c>
      <c r="H194">
        <v>0</v>
      </c>
      <c r="I194">
        <v>6454.91</v>
      </c>
    </row>
    <row r="195" spans="1:9" x14ac:dyDescent="0.2">
      <c r="A195" s="37" t="s">
        <v>312</v>
      </c>
      <c r="B195" s="37" t="s">
        <v>299</v>
      </c>
      <c r="C195" s="37" t="s">
        <v>117</v>
      </c>
      <c r="D195" s="37">
        <v>1</v>
      </c>
      <c r="E195" s="37">
        <v>5481.32</v>
      </c>
      <c r="I195">
        <v>0</v>
      </c>
    </row>
    <row r="196" spans="1:9" x14ac:dyDescent="0.2">
      <c r="A196" s="37" t="s">
        <v>313</v>
      </c>
      <c r="B196" s="37" t="s">
        <v>299</v>
      </c>
      <c r="C196" s="37" t="s">
        <v>117</v>
      </c>
      <c r="D196" s="37">
        <v>1</v>
      </c>
      <c r="E196" s="37">
        <v>6754.54</v>
      </c>
      <c r="I196">
        <v>6214.21</v>
      </c>
    </row>
    <row r="197" spans="1:9" x14ac:dyDescent="0.2">
      <c r="A197" s="37" t="s">
        <v>314</v>
      </c>
      <c r="B197" s="37" t="s">
        <v>299</v>
      </c>
      <c r="C197" s="37" t="s">
        <v>117</v>
      </c>
      <c r="D197" s="37">
        <v>0</v>
      </c>
      <c r="E197" s="37">
        <v>0</v>
      </c>
      <c r="I197">
        <v>0</v>
      </c>
    </row>
    <row r="198" spans="1:9" x14ac:dyDescent="0.2">
      <c r="A198" s="37" t="s">
        <v>315</v>
      </c>
      <c r="B198" s="37" t="s">
        <v>299</v>
      </c>
      <c r="C198" s="37" t="s">
        <v>121</v>
      </c>
      <c r="D198" s="37">
        <v>0</v>
      </c>
      <c r="E198" s="37">
        <v>0</v>
      </c>
      <c r="I198">
        <v>4975.8500000000004</v>
      </c>
    </row>
    <row r="199" spans="1:9" x14ac:dyDescent="0.2">
      <c r="A199" s="37" t="s">
        <v>316</v>
      </c>
      <c r="B199" s="37" t="s">
        <v>299</v>
      </c>
      <c r="C199" s="37" t="s">
        <v>121</v>
      </c>
      <c r="D199" s="37">
        <v>1</v>
      </c>
      <c r="E199" s="37">
        <v>5438.16</v>
      </c>
      <c r="I199">
        <v>5157.62</v>
      </c>
    </row>
    <row r="200" spans="1:9" x14ac:dyDescent="0.2">
      <c r="A200" s="37" t="s">
        <v>317</v>
      </c>
      <c r="B200" s="37" t="s">
        <v>299</v>
      </c>
      <c r="C200" s="37" t="s">
        <v>121</v>
      </c>
      <c r="D200" s="37">
        <v>0</v>
      </c>
      <c r="E200" s="37">
        <v>0</v>
      </c>
      <c r="I200">
        <v>0</v>
      </c>
    </row>
    <row r="201" spans="1:9" x14ac:dyDescent="0.2">
      <c r="A201" s="37" t="s">
        <v>318</v>
      </c>
      <c r="B201" s="37" t="s">
        <v>299</v>
      </c>
      <c r="C201" s="37" t="s">
        <v>121</v>
      </c>
      <c r="D201" s="37">
        <v>1</v>
      </c>
      <c r="E201" s="37">
        <v>6104.65</v>
      </c>
      <c r="I201">
        <v>0</v>
      </c>
    </row>
    <row r="202" spans="1:9" x14ac:dyDescent="0.2">
      <c r="A202" s="37" t="s">
        <v>319</v>
      </c>
      <c r="B202" s="37" t="s">
        <v>299</v>
      </c>
      <c r="C202" s="37" t="s">
        <v>121</v>
      </c>
      <c r="D202" s="37">
        <v>0</v>
      </c>
      <c r="E202" s="37">
        <v>0</v>
      </c>
      <c r="I202">
        <v>0</v>
      </c>
    </row>
    <row r="203" spans="1:9" x14ac:dyDescent="0.2">
      <c r="A203" s="37" t="s">
        <v>320</v>
      </c>
      <c r="B203" s="37" t="s">
        <v>299</v>
      </c>
      <c r="C203" s="37" t="s">
        <v>117</v>
      </c>
      <c r="D203" s="37">
        <v>1</v>
      </c>
      <c r="E203" s="37">
        <v>2695.01</v>
      </c>
      <c r="I203">
        <v>4174.8999999999996</v>
      </c>
    </row>
    <row r="204" spans="1:9" x14ac:dyDescent="0.2">
      <c r="A204" s="37" t="s">
        <v>321</v>
      </c>
      <c r="B204" s="37" t="s">
        <v>299</v>
      </c>
      <c r="C204" s="37" t="s">
        <v>117</v>
      </c>
      <c r="D204" s="37">
        <v>0</v>
      </c>
      <c r="E204" s="37">
        <v>0</v>
      </c>
      <c r="I204">
        <v>0</v>
      </c>
    </row>
    <row r="205" spans="1:9" x14ac:dyDescent="0.2">
      <c r="A205" s="37" t="s">
        <v>322</v>
      </c>
      <c r="B205" s="37" t="s">
        <v>299</v>
      </c>
      <c r="C205" s="37" t="s">
        <v>121</v>
      </c>
      <c r="D205" s="37">
        <v>0</v>
      </c>
      <c r="E205" s="37">
        <v>0</v>
      </c>
      <c r="I205">
        <v>4455.4399999999996</v>
      </c>
    </row>
    <row r="206" spans="1:9" x14ac:dyDescent="0.2">
      <c r="A206" s="37" t="s">
        <v>323</v>
      </c>
      <c r="B206" s="37" t="s">
        <v>299</v>
      </c>
      <c r="C206" s="37" t="s">
        <v>117</v>
      </c>
      <c r="D206" s="37">
        <v>0</v>
      </c>
      <c r="E206" s="37">
        <v>0</v>
      </c>
      <c r="I206">
        <v>0</v>
      </c>
    </row>
    <row r="207" spans="1:9" x14ac:dyDescent="0.2">
      <c r="A207" s="37" t="s">
        <v>324</v>
      </c>
      <c r="B207" s="37" t="s">
        <v>299</v>
      </c>
      <c r="C207" s="37" t="s">
        <v>121</v>
      </c>
      <c r="D207" s="37">
        <v>0</v>
      </c>
      <c r="E207" s="37">
        <v>0</v>
      </c>
      <c r="I207">
        <v>0</v>
      </c>
    </row>
    <row r="208" spans="1:9" x14ac:dyDescent="0.2">
      <c r="A208" s="37" t="s">
        <v>325</v>
      </c>
      <c r="B208" s="37" t="s">
        <v>299</v>
      </c>
      <c r="C208" s="37" t="s">
        <v>121</v>
      </c>
      <c r="D208" s="37">
        <v>0</v>
      </c>
      <c r="E208" s="37">
        <v>0</v>
      </c>
      <c r="I208">
        <v>0</v>
      </c>
    </row>
    <row r="209" spans="1:9" x14ac:dyDescent="0.2">
      <c r="A209" s="37" t="s">
        <v>326</v>
      </c>
      <c r="B209" s="37" t="s">
        <v>299</v>
      </c>
      <c r="C209" s="37" t="s">
        <v>117</v>
      </c>
      <c r="D209" s="37">
        <v>0</v>
      </c>
      <c r="E209" s="37">
        <v>0</v>
      </c>
      <c r="I209">
        <v>0</v>
      </c>
    </row>
    <row r="210" spans="1:9" x14ac:dyDescent="0.2">
      <c r="A210" s="37" t="s">
        <v>327</v>
      </c>
      <c r="B210" s="37" t="s">
        <v>299</v>
      </c>
      <c r="C210" s="37" t="s">
        <v>117</v>
      </c>
      <c r="D210" s="37">
        <v>1</v>
      </c>
      <c r="E210" s="37">
        <v>3875.27</v>
      </c>
      <c r="I210">
        <v>0</v>
      </c>
    </row>
    <row r="211" spans="1:9" x14ac:dyDescent="0.2">
      <c r="A211" s="37" t="s">
        <v>328</v>
      </c>
      <c r="B211" s="37" t="s">
        <v>299</v>
      </c>
      <c r="C211" s="37" t="s">
        <v>121</v>
      </c>
      <c r="D211" s="37">
        <v>1</v>
      </c>
      <c r="E211" s="37">
        <v>6043.23</v>
      </c>
      <c r="I211">
        <v>2120.65</v>
      </c>
    </row>
    <row r="212" spans="1:9" x14ac:dyDescent="0.2">
      <c r="A212" s="37" t="s">
        <v>329</v>
      </c>
      <c r="B212" s="37" t="s">
        <v>299</v>
      </c>
      <c r="C212" s="37" t="s">
        <v>121</v>
      </c>
      <c r="D212" s="37">
        <v>0</v>
      </c>
      <c r="E212" s="37">
        <v>0</v>
      </c>
      <c r="I212">
        <v>0</v>
      </c>
    </row>
    <row r="213" spans="1:9" x14ac:dyDescent="0.2">
      <c r="A213" s="37" t="s">
        <v>330</v>
      </c>
      <c r="B213" s="37" t="s">
        <v>299</v>
      </c>
      <c r="C213" s="37" t="s">
        <v>117</v>
      </c>
      <c r="D213" s="37">
        <v>1</v>
      </c>
      <c r="E213" s="37">
        <v>5354.33</v>
      </c>
      <c r="I213">
        <v>0</v>
      </c>
    </row>
    <row r="214" spans="1:9" x14ac:dyDescent="0.2">
      <c r="A214" s="37" t="s">
        <v>331</v>
      </c>
      <c r="B214" s="37" t="s">
        <v>299</v>
      </c>
      <c r="C214" s="37" t="s">
        <v>117</v>
      </c>
      <c r="D214" s="37">
        <v>0</v>
      </c>
      <c r="E214" s="37">
        <v>0</v>
      </c>
      <c r="I214">
        <v>4852.18</v>
      </c>
    </row>
    <row r="215" spans="1:9" x14ac:dyDescent="0.2">
      <c r="A215" s="37" t="s">
        <v>332</v>
      </c>
      <c r="B215" s="37" t="s">
        <v>299</v>
      </c>
      <c r="C215" s="37" t="s">
        <v>117</v>
      </c>
      <c r="D215" s="37">
        <v>0</v>
      </c>
      <c r="E215" s="37">
        <v>0</v>
      </c>
      <c r="I215">
        <v>3463.59</v>
      </c>
    </row>
    <row r="216" spans="1:9" x14ac:dyDescent="0.2">
      <c r="A216" s="37" t="s">
        <v>333</v>
      </c>
      <c r="B216" s="37" t="s">
        <v>299</v>
      </c>
      <c r="C216" s="37" t="s">
        <v>117</v>
      </c>
      <c r="D216" s="37">
        <v>0</v>
      </c>
      <c r="E216" s="37">
        <v>0</v>
      </c>
      <c r="I216">
        <v>0</v>
      </c>
    </row>
    <row r="217" spans="1:9" x14ac:dyDescent="0.2">
      <c r="A217" s="37" t="s">
        <v>334</v>
      </c>
      <c r="B217" s="37" t="s">
        <v>299</v>
      </c>
      <c r="C217" s="37" t="s">
        <v>117</v>
      </c>
      <c r="D217" s="37">
        <v>1</v>
      </c>
      <c r="E217" s="37">
        <v>5456.42</v>
      </c>
      <c r="I217">
        <v>6381.87</v>
      </c>
    </row>
    <row r="218" spans="1:9" x14ac:dyDescent="0.2">
      <c r="A218" s="37" t="s">
        <v>335</v>
      </c>
      <c r="B218" s="37" t="s">
        <v>299</v>
      </c>
      <c r="C218" s="37" t="s">
        <v>121</v>
      </c>
      <c r="D218" s="37">
        <v>0</v>
      </c>
      <c r="E218" s="37">
        <v>0</v>
      </c>
      <c r="I218">
        <v>5026.4799999999996</v>
      </c>
    </row>
    <row r="219" spans="1:9" x14ac:dyDescent="0.2">
      <c r="A219" s="37" t="s">
        <v>336</v>
      </c>
      <c r="B219" s="37" t="s">
        <v>299</v>
      </c>
      <c r="C219" s="37" t="s">
        <v>117</v>
      </c>
      <c r="D219" s="37">
        <v>0</v>
      </c>
      <c r="E219" s="37">
        <v>0</v>
      </c>
      <c r="I219">
        <v>0</v>
      </c>
    </row>
    <row r="220" spans="1:9" x14ac:dyDescent="0.2">
      <c r="A220" s="37" t="s">
        <v>337</v>
      </c>
      <c r="B220" s="37" t="s">
        <v>299</v>
      </c>
      <c r="C220" s="37" t="s">
        <v>121</v>
      </c>
      <c r="D220" s="37">
        <v>0</v>
      </c>
      <c r="E220" s="37">
        <v>0</v>
      </c>
      <c r="I220">
        <v>6215.04</v>
      </c>
    </row>
    <row r="221" spans="1:9" x14ac:dyDescent="0.2">
      <c r="A221" s="37" t="s">
        <v>338</v>
      </c>
      <c r="B221" s="37" t="s">
        <v>299</v>
      </c>
      <c r="C221" s="37" t="s">
        <v>117</v>
      </c>
      <c r="D221" s="37">
        <v>1</v>
      </c>
      <c r="E221" s="37">
        <v>5906.28</v>
      </c>
      <c r="I221">
        <v>0</v>
      </c>
    </row>
    <row r="222" spans="1:9" x14ac:dyDescent="0.2">
      <c r="A222" s="37" t="s">
        <v>339</v>
      </c>
      <c r="B222" s="37" t="s">
        <v>299</v>
      </c>
      <c r="C222" s="37" t="s">
        <v>121</v>
      </c>
      <c r="D222" s="37">
        <v>0</v>
      </c>
      <c r="E222" s="37">
        <v>0</v>
      </c>
      <c r="I222">
        <v>3976.53</v>
      </c>
    </row>
    <row r="223" spans="1:9" x14ac:dyDescent="0.2">
      <c r="A223" s="37" t="s">
        <v>340</v>
      </c>
      <c r="B223" s="37" t="s">
        <v>299</v>
      </c>
      <c r="C223" s="37" t="s">
        <v>121</v>
      </c>
      <c r="D223" s="37">
        <v>0</v>
      </c>
      <c r="E223" s="37">
        <v>0</v>
      </c>
      <c r="I223">
        <v>6833.39</v>
      </c>
    </row>
    <row r="224" spans="1:9" x14ac:dyDescent="0.2">
      <c r="A224" s="37" t="s">
        <v>341</v>
      </c>
      <c r="B224" s="37" t="s">
        <v>299</v>
      </c>
      <c r="C224" s="37" t="s">
        <v>121</v>
      </c>
      <c r="D224" s="37">
        <v>0</v>
      </c>
      <c r="E224" s="37">
        <v>0</v>
      </c>
      <c r="I224">
        <v>0</v>
      </c>
    </row>
    <row r="225" spans="1:9" x14ac:dyDescent="0.2">
      <c r="A225" s="37" t="s">
        <v>342</v>
      </c>
      <c r="B225" s="37" t="s">
        <v>299</v>
      </c>
      <c r="C225" s="37" t="s">
        <v>121</v>
      </c>
      <c r="D225" s="37">
        <v>0</v>
      </c>
      <c r="E225" s="37">
        <v>0</v>
      </c>
      <c r="I225">
        <v>6044.06</v>
      </c>
    </row>
    <row r="226" spans="1:9" x14ac:dyDescent="0.2">
      <c r="A226" s="37" t="s">
        <v>343</v>
      </c>
      <c r="B226" s="37" t="s">
        <v>299</v>
      </c>
      <c r="C226" s="37" t="s">
        <v>121</v>
      </c>
      <c r="D226" s="37">
        <v>1</v>
      </c>
      <c r="E226" s="37">
        <v>4413.9399999999996</v>
      </c>
      <c r="I226">
        <v>0</v>
      </c>
    </row>
    <row r="227" spans="1:9" x14ac:dyDescent="0.2">
      <c r="A227" s="37" t="s">
        <v>344</v>
      </c>
      <c r="B227" s="37" t="s">
        <v>299</v>
      </c>
      <c r="C227" s="37" t="s">
        <v>121</v>
      </c>
      <c r="D227" s="37">
        <v>1</v>
      </c>
      <c r="E227" s="37">
        <v>7025.95</v>
      </c>
      <c r="I227">
        <v>0</v>
      </c>
    </row>
    <row r="228" spans="1:9" x14ac:dyDescent="0.2">
      <c r="A228" s="37" t="s">
        <v>345</v>
      </c>
      <c r="B228" s="37" t="s">
        <v>299</v>
      </c>
      <c r="C228" s="37" t="s">
        <v>121</v>
      </c>
      <c r="D228" s="37">
        <v>1</v>
      </c>
      <c r="E228" s="37">
        <v>5399.15</v>
      </c>
      <c r="I228">
        <v>0</v>
      </c>
    </row>
    <row r="229" spans="1:9" x14ac:dyDescent="0.2">
      <c r="A229" s="37" t="s">
        <v>346</v>
      </c>
      <c r="B229" s="37" t="s">
        <v>299</v>
      </c>
      <c r="C229" s="37" t="s">
        <v>121</v>
      </c>
      <c r="D229" s="37">
        <v>0</v>
      </c>
      <c r="E229" s="37">
        <v>0</v>
      </c>
      <c r="I229">
        <v>0</v>
      </c>
    </row>
    <row r="230" spans="1:9" x14ac:dyDescent="0.2">
      <c r="A230" s="37" t="s">
        <v>347</v>
      </c>
      <c r="B230" s="37" t="s">
        <v>299</v>
      </c>
      <c r="C230" s="37" t="s">
        <v>121</v>
      </c>
      <c r="D230" s="37">
        <v>0</v>
      </c>
      <c r="E230" s="37">
        <v>0</v>
      </c>
      <c r="I230">
        <v>4357.5</v>
      </c>
    </row>
    <row r="231" spans="1:9" x14ac:dyDescent="0.2">
      <c r="A231" s="37" t="s">
        <v>348</v>
      </c>
      <c r="B231" s="37" t="s">
        <v>299</v>
      </c>
      <c r="C231" s="37" t="s">
        <v>117</v>
      </c>
      <c r="D231" s="37">
        <v>0</v>
      </c>
      <c r="E231" s="37">
        <v>0</v>
      </c>
      <c r="I231">
        <v>0</v>
      </c>
    </row>
    <row r="232" spans="1:9" x14ac:dyDescent="0.2">
      <c r="A232" s="37" t="s">
        <v>349</v>
      </c>
      <c r="B232" s="37" t="s">
        <v>299</v>
      </c>
      <c r="C232" s="37" t="s">
        <v>121</v>
      </c>
      <c r="D232" s="37">
        <v>0</v>
      </c>
      <c r="E232" s="37">
        <v>0</v>
      </c>
      <c r="I232">
        <v>0</v>
      </c>
    </row>
    <row r="233" spans="1:9" x14ac:dyDescent="0.2">
      <c r="A233" s="37" t="s">
        <v>350</v>
      </c>
      <c r="B233" s="37" t="s">
        <v>299</v>
      </c>
      <c r="C233" s="37" t="s">
        <v>121</v>
      </c>
      <c r="D233" s="37">
        <v>1</v>
      </c>
      <c r="E233" s="37">
        <v>4864.63</v>
      </c>
      <c r="I233">
        <v>5907.11</v>
      </c>
    </row>
    <row r="234" spans="1:9" x14ac:dyDescent="0.2">
      <c r="A234" s="37" t="s">
        <v>351</v>
      </c>
      <c r="B234" s="37" t="s">
        <v>299</v>
      </c>
      <c r="C234" s="37" t="s">
        <v>117</v>
      </c>
      <c r="D234" s="37">
        <v>0</v>
      </c>
      <c r="E234" s="37">
        <v>0</v>
      </c>
      <c r="I234">
        <v>5915.41</v>
      </c>
    </row>
    <row r="235" spans="1:9" x14ac:dyDescent="0.2">
      <c r="A235" s="37" t="s">
        <v>352</v>
      </c>
      <c r="B235" s="37" t="s">
        <v>299</v>
      </c>
      <c r="C235" s="37" t="s">
        <v>117</v>
      </c>
      <c r="D235" s="37">
        <v>1</v>
      </c>
      <c r="E235" s="37">
        <v>6052.36</v>
      </c>
      <c r="I235">
        <v>6327.92</v>
      </c>
    </row>
    <row r="236" spans="1:9" x14ac:dyDescent="0.2">
      <c r="A236" s="37" t="s">
        <v>353</v>
      </c>
      <c r="B236" s="37" t="s">
        <v>299</v>
      </c>
      <c r="C236" s="37" t="s">
        <v>117</v>
      </c>
      <c r="D236" s="37">
        <v>0</v>
      </c>
      <c r="E236" s="37">
        <v>0</v>
      </c>
      <c r="I236">
        <v>0</v>
      </c>
    </row>
    <row r="237" spans="1:9" x14ac:dyDescent="0.2">
      <c r="A237" s="37" t="s">
        <v>354</v>
      </c>
      <c r="B237" s="37" t="s">
        <v>299</v>
      </c>
      <c r="C237" s="37" t="s">
        <v>117</v>
      </c>
      <c r="D237" s="37">
        <v>0</v>
      </c>
      <c r="E237" s="37">
        <v>0</v>
      </c>
      <c r="I237">
        <v>4044.59</v>
      </c>
    </row>
    <row r="238" spans="1:9" x14ac:dyDescent="0.2">
      <c r="A238" s="37" t="s">
        <v>355</v>
      </c>
      <c r="B238" s="37" t="s">
        <v>299</v>
      </c>
      <c r="C238" s="37" t="s">
        <v>117</v>
      </c>
      <c r="D238" s="37">
        <v>0</v>
      </c>
      <c r="E238" s="37">
        <v>0</v>
      </c>
      <c r="I238">
        <v>3995.62</v>
      </c>
    </row>
    <row r="239" spans="1:9" x14ac:dyDescent="0.2">
      <c r="A239" s="37" t="s">
        <v>356</v>
      </c>
      <c r="B239" s="37" t="s">
        <v>299</v>
      </c>
      <c r="C239" s="37" t="s">
        <v>117</v>
      </c>
      <c r="D239" s="37">
        <v>0</v>
      </c>
      <c r="E239" s="37">
        <v>0</v>
      </c>
      <c r="I239">
        <v>7131.36</v>
      </c>
    </row>
    <row r="240" spans="1:9" x14ac:dyDescent="0.2">
      <c r="A240" s="37" t="s">
        <v>357</v>
      </c>
      <c r="B240" s="37" t="s">
        <v>299</v>
      </c>
      <c r="C240" s="37" t="s">
        <v>117</v>
      </c>
      <c r="D240" s="37">
        <v>1</v>
      </c>
      <c r="E240" s="37">
        <v>4959.25</v>
      </c>
      <c r="I240">
        <v>0</v>
      </c>
    </row>
    <row r="241" spans="1:9" x14ac:dyDescent="0.2">
      <c r="A241" s="37" t="s">
        <v>358</v>
      </c>
      <c r="B241" s="37" t="s">
        <v>299</v>
      </c>
      <c r="C241" s="37" t="s">
        <v>117</v>
      </c>
      <c r="D241" s="37">
        <v>0</v>
      </c>
      <c r="E241" s="37">
        <v>0</v>
      </c>
      <c r="I241">
        <v>0</v>
      </c>
    </row>
    <row r="242" spans="1:9" x14ac:dyDescent="0.2">
      <c r="A242" s="37" t="s">
        <v>359</v>
      </c>
      <c r="B242" s="37" t="s">
        <v>299</v>
      </c>
      <c r="C242" s="37" t="s">
        <v>117</v>
      </c>
      <c r="D242" s="37">
        <v>0</v>
      </c>
      <c r="E242" s="37">
        <v>0</v>
      </c>
      <c r="I242">
        <v>0</v>
      </c>
    </row>
    <row r="243" spans="1:9" x14ac:dyDescent="0.2">
      <c r="A243" s="37" t="s">
        <v>360</v>
      </c>
      <c r="B243" s="37" t="s">
        <v>299</v>
      </c>
      <c r="C243" s="37" t="s">
        <v>121</v>
      </c>
      <c r="D243" s="37">
        <v>0</v>
      </c>
      <c r="E243" s="37">
        <v>0</v>
      </c>
      <c r="I243">
        <v>5153.47</v>
      </c>
    </row>
    <row r="244" spans="1:9" x14ac:dyDescent="0.2">
      <c r="A244" s="37" t="s">
        <v>361</v>
      </c>
      <c r="B244" s="37" t="s">
        <v>299</v>
      </c>
      <c r="C244" s="37" t="s">
        <v>121</v>
      </c>
      <c r="D244" s="37">
        <v>0</v>
      </c>
      <c r="E244" s="37">
        <v>0</v>
      </c>
      <c r="I244">
        <v>5223.1899999999996</v>
      </c>
    </row>
    <row r="245" spans="1:9" x14ac:dyDescent="0.2">
      <c r="A245" s="37" t="s">
        <v>362</v>
      </c>
      <c r="B245" s="37" t="s">
        <v>299</v>
      </c>
      <c r="C245" s="37" t="s">
        <v>117</v>
      </c>
      <c r="D245" s="37">
        <v>0</v>
      </c>
      <c r="E245" s="37">
        <v>0</v>
      </c>
      <c r="I245">
        <v>0</v>
      </c>
    </row>
    <row r="246" spans="1:9" x14ac:dyDescent="0.2">
      <c r="A246" s="37" t="s">
        <v>363</v>
      </c>
      <c r="B246" s="37" t="s">
        <v>299</v>
      </c>
      <c r="C246" s="37" t="s">
        <v>117</v>
      </c>
      <c r="D246" s="37">
        <v>1</v>
      </c>
      <c r="E246" s="37">
        <v>5147.66</v>
      </c>
      <c r="I246">
        <v>0</v>
      </c>
    </row>
    <row r="247" spans="1:9" x14ac:dyDescent="0.2">
      <c r="A247" s="37" t="s">
        <v>364</v>
      </c>
      <c r="B247" s="37" t="s">
        <v>299</v>
      </c>
      <c r="C247" s="37" t="s">
        <v>117</v>
      </c>
      <c r="D247" s="37">
        <v>0</v>
      </c>
      <c r="E247" s="37">
        <v>0</v>
      </c>
      <c r="I247">
        <v>0</v>
      </c>
    </row>
    <row r="248" spans="1:9" x14ac:dyDescent="0.2">
      <c r="A248" s="37" t="s">
        <v>365</v>
      </c>
      <c r="B248" s="37" t="s">
        <v>299</v>
      </c>
      <c r="C248" s="37" t="s">
        <v>121</v>
      </c>
      <c r="D248" s="37">
        <v>0</v>
      </c>
      <c r="E248" s="37">
        <v>0</v>
      </c>
      <c r="I248">
        <v>0</v>
      </c>
    </row>
    <row r="249" spans="1:9" x14ac:dyDescent="0.2">
      <c r="A249" s="37" t="s">
        <v>366</v>
      </c>
      <c r="B249" s="37" t="s">
        <v>299</v>
      </c>
      <c r="C249" s="37" t="s">
        <v>121</v>
      </c>
      <c r="D249" s="37">
        <v>0</v>
      </c>
      <c r="E249" s="37">
        <v>0</v>
      </c>
      <c r="I249">
        <v>0</v>
      </c>
    </row>
    <row r="250" spans="1:9" x14ac:dyDescent="0.2">
      <c r="A250" s="37" t="s">
        <v>367</v>
      </c>
      <c r="B250" s="37" t="s">
        <v>299</v>
      </c>
      <c r="C250" s="37" t="s">
        <v>121</v>
      </c>
      <c r="D250" s="37">
        <v>0</v>
      </c>
      <c r="E250" s="37">
        <v>0</v>
      </c>
      <c r="I250">
        <v>0</v>
      </c>
    </row>
    <row r="251" spans="1:9" x14ac:dyDescent="0.2">
      <c r="A251" s="37" t="s">
        <v>368</v>
      </c>
      <c r="B251" s="37" t="s">
        <v>299</v>
      </c>
      <c r="C251" s="37" t="s">
        <v>117</v>
      </c>
      <c r="D251" s="37">
        <v>1</v>
      </c>
      <c r="E251" s="37">
        <v>6610.95</v>
      </c>
      <c r="I251">
        <v>0</v>
      </c>
    </row>
    <row r="252" spans="1:9" x14ac:dyDescent="0.2">
      <c r="A252" s="37" t="s">
        <v>369</v>
      </c>
      <c r="B252" s="37" t="s">
        <v>299</v>
      </c>
      <c r="C252" s="37" t="s">
        <v>117</v>
      </c>
      <c r="D252" s="37">
        <v>1</v>
      </c>
      <c r="E252" s="37">
        <v>5333.58</v>
      </c>
      <c r="I252">
        <v>0</v>
      </c>
    </row>
    <row r="253" spans="1:9" x14ac:dyDescent="0.2">
      <c r="A253" s="37" t="s">
        <v>370</v>
      </c>
      <c r="B253" s="37" t="s">
        <v>299</v>
      </c>
      <c r="C253" s="37" t="s">
        <v>117</v>
      </c>
      <c r="D253" s="37">
        <v>0</v>
      </c>
      <c r="E253" s="37">
        <v>0</v>
      </c>
      <c r="I253">
        <v>0</v>
      </c>
    </row>
    <row r="254" spans="1:9" x14ac:dyDescent="0.2">
      <c r="A254" s="37" t="s">
        <v>371</v>
      </c>
      <c r="B254" s="37" t="s">
        <v>299</v>
      </c>
      <c r="C254" s="37" t="s">
        <v>121</v>
      </c>
      <c r="D254" s="37">
        <v>0</v>
      </c>
      <c r="E254" s="37">
        <v>0</v>
      </c>
      <c r="I254">
        <v>5889.68</v>
      </c>
    </row>
    <row r="255" spans="1:9" x14ac:dyDescent="0.2">
      <c r="A255" s="37" t="s">
        <v>372</v>
      </c>
      <c r="B255" s="37" t="s">
        <v>299</v>
      </c>
      <c r="C255" s="37" t="s">
        <v>121</v>
      </c>
      <c r="D255" s="37">
        <v>1</v>
      </c>
      <c r="E255" s="37">
        <v>6840.03</v>
      </c>
      <c r="I255">
        <v>0</v>
      </c>
    </row>
    <row r="256" spans="1:9" x14ac:dyDescent="0.2">
      <c r="A256" s="37" t="s">
        <v>373</v>
      </c>
      <c r="B256" s="37" t="s">
        <v>299</v>
      </c>
      <c r="C256" s="37" t="s">
        <v>121</v>
      </c>
      <c r="D256" s="37">
        <v>1</v>
      </c>
      <c r="E256" s="37">
        <v>4165.7700000000004</v>
      </c>
      <c r="I256">
        <v>0</v>
      </c>
    </row>
    <row r="257" spans="1:9" x14ac:dyDescent="0.2">
      <c r="A257" s="37" t="s">
        <v>374</v>
      </c>
      <c r="B257" s="37" t="s">
        <v>299</v>
      </c>
      <c r="C257" s="37" t="s">
        <v>117</v>
      </c>
      <c r="D257" s="37">
        <v>1</v>
      </c>
      <c r="E257" s="37">
        <v>4539.2700000000004</v>
      </c>
      <c r="I257">
        <v>0</v>
      </c>
    </row>
    <row r="258" spans="1:9" x14ac:dyDescent="0.2">
      <c r="A258" s="37" t="s">
        <v>375</v>
      </c>
      <c r="B258" s="37" t="s">
        <v>299</v>
      </c>
      <c r="C258" s="37" t="s">
        <v>121</v>
      </c>
      <c r="D258" s="37">
        <v>0</v>
      </c>
      <c r="E258" s="37">
        <v>0</v>
      </c>
      <c r="I258">
        <v>0</v>
      </c>
    </row>
    <row r="259" spans="1:9" x14ac:dyDescent="0.2">
      <c r="A259" s="37" t="s">
        <v>376</v>
      </c>
      <c r="B259" s="37" t="s">
        <v>299</v>
      </c>
      <c r="C259" s="37" t="s">
        <v>121</v>
      </c>
      <c r="D259" s="37">
        <v>0</v>
      </c>
      <c r="E259" s="37">
        <v>0</v>
      </c>
      <c r="I259">
        <v>0</v>
      </c>
    </row>
    <row r="260" spans="1:9" x14ac:dyDescent="0.2">
      <c r="A260" s="37" t="s">
        <v>377</v>
      </c>
      <c r="B260" s="37" t="s">
        <v>299</v>
      </c>
      <c r="C260" s="37" t="s">
        <v>121</v>
      </c>
      <c r="D260" s="37">
        <v>0</v>
      </c>
      <c r="E260" s="37">
        <v>0</v>
      </c>
      <c r="I260">
        <v>0</v>
      </c>
    </row>
    <row r="261" spans="1:9" x14ac:dyDescent="0.2">
      <c r="A261" s="37" t="s">
        <v>378</v>
      </c>
      <c r="B261" s="37" t="s">
        <v>299</v>
      </c>
      <c r="C261" s="37" t="s">
        <v>117</v>
      </c>
      <c r="D261" s="37">
        <v>1</v>
      </c>
      <c r="E261" s="37">
        <v>2855.2</v>
      </c>
      <c r="I261">
        <v>0</v>
      </c>
    </row>
    <row r="262" spans="1:9" x14ac:dyDescent="0.2">
      <c r="A262" s="37" t="s">
        <v>379</v>
      </c>
      <c r="B262" s="37" t="s">
        <v>299</v>
      </c>
      <c r="C262" s="37" t="s">
        <v>121</v>
      </c>
      <c r="D262" s="37">
        <v>1</v>
      </c>
      <c r="E262" s="37">
        <v>4740.96</v>
      </c>
      <c r="I262">
        <v>0</v>
      </c>
    </row>
    <row r="263" spans="1:9" x14ac:dyDescent="0.2">
      <c r="A263" s="37" t="s">
        <v>380</v>
      </c>
      <c r="B263" s="37" t="s">
        <v>299</v>
      </c>
      <c r="C263" s="37" t="s">
        <v>121</v>
      </c>
      <c r="D263" s="37">
        <v>0</v>
      </c>
      <c r="E263" s="37">
        <v>0</v>
      </c>
      <c r="I263">
        <v>0</v>
      </c>
    </row>
    <row r="264" spans="1:9" x14ac:dyDescent="0.2">
      <c r="A264" s="37" t="s">
        <v>381</v>
      </c>
      <c r="B264" s="37" t="s">
        <v>299</v>
      </c>
      <c r="C264" s="37" t="s">
        <v>121</v>
      </c>
      <c r="D264" s="37">
        <v>0</v>
      </c>
      <c r="E264" s="37">
        <v>0</v>
      </c>
      <c r="I264">
        <v>0</v>
      </c>
    </row>
    <row r="265" spans="1:9" x14ac:dyDescent="0.2">
      <c r="A265" s="37" t="s">
        <v>382</v>
      </c>
      <c r="B265" s="37" t="s">
        <v>299</v>
      </c>
      <c r="C265" s="37" t="s">
        <v>117</v>
      </c>
      <c r="D265" s="37">
        <v>0</v>
      </c>
      <c r="E265" s="37">
        <v>0</v>
      </c>
      <c r="I265">
        <v>0</v>
      </c>
    </row>
    <row r="266" spans="1:9" x14ac:dyDescent="0.2">
      <c r="A266" s="37" t="s">
        <v>383</v>
      </c>
      <c r="B266" s="37" t="s">
        <v>299</v>
      </c>
      <c r="C266" s="37" t="s">
        <v>121</v>
      </c>
      <c r="D266" s="37">
        <v>0</v>
      </c>
      <c r="E266" s="37">
        <v>0</v>
      </c>
      <c r="I266">
        <v>4245.45</v>
      </c>
    </row>
    <row r="267" spans="1:9" x14ac:dyDescent="0.2">
      <c r="A267" s="37" t="s">
        <v>384</v>
      </c>
      <c r="B267" s="37" t="s">
        <v>299</v>
      </c>
      <c r="C267" s="37" t="s">
        <v>117</v>
      </c>
      <c r="D267" s="37">
        <v>0</v>
      </c>
      <c r="E267" s="37">
        <v>0</v>
      </c>
      <c r="I267">
        <v>0</v>
      </c>
    </row>
    <row r="268" spans="1:9" x14ac:dyDescent="0.2">
      <c r="A268" s="37" t="s">
        <v>385</v>
      </c>
      <c r="B268" s="37" t="s">
        <v>299</v>
      </c>
      <c r="C268" s="37" t="s">
        <v>117</v>
      </c>
      <c r="D268" s="37">
        <v>1</v>
      </c>
      <c r="E268" s="37">
        <v>4286.12</v>
      </c>
      <c r="I268">
        <v>6302.19</v>
      </c>
    </row>
    <row r="269" spans="1:9" x14ac:dyDescent="0.2">
      <c r="A269" s="37" t="s">
        <v>386</v>
      </c>
      <c r="B269" s="37" t="s">
        <v>299</v>
      </c>
      <c r="C269" s="37" t="s">
        <v>121</v>
      </c>
      <c r="D269" s="37">
        <v>0</v>
      </c>
      <c r="E269" s="37">
        <v>0</v>
      </c>
      <c r="I269">
        <v>0</v>
      </c>
    </row>
    <row r="270" spans="1:9" x14ac:dyDescent="0.2">
      <c r="A270" s="37" t="s">
        <v>387</v>
      </c>
      <c r="B270" s="37" t="s">
        <v>299</v>
      </c>
      <c r="C270" s="37" t="s">
        <v>117</v>
      </c>
      <c r="D270" s="37">
        <v>0</v>
      </c>
      <c r="E270" s="37">
        <v>0</v>
      </c>
      <c r="I270">
        <v>0</v>
      </c>
    </row>
    <row r="271" spans="1:9" x14ac:dyDescent="0.2">
      <c r="A271" s="37" t="s">
        <v>388</v>
      </c>
      <c r="B271" s="37" t="s">
        <v>299</v>
      </c>
      <c r="C271" s="37" t="s">
        <v>121</v>
      </c>
      <c r="D271" s="37">
        <v>0</v>
      </c>
      <c r="E271" s="37">
        <v>0</v>
      </c>
      <c r="I271">
        <v>0</v>
      </c>
    </row>
    <row r="272" spans="1:9" x14ac:dyDescent="0.2">
      <c r="A272" s="37" t="s">
        <v>389</v>
      </c>
      <c r="B272" s="37" t="s">
        <v>299</v>
      </c>
      <c r="C272" s="37" t="s">
        <v>121</v>
      </c>
      <c r="D272" s="37">
        <v>0</v>
      </c>
      <c r="E272" s="37">
        <v>0</v>
      </c>
      <c r="I272">
        <v>0</v>
      </c>
    </row>
    <row r="273" spans="1:9" x14ac:dyDescent="0.2">
      <c r="A273" s="37" t="s">
        <v>390</v>
      </c>
      <c r="B273" s="37" t="s">
        <v>299</v>
      </c>
      <c r="C273" s="37" t="s">
        <v>121</v>
      </c>
      <c r="D273" s="37">
        <v>0</v>
      </c>
      <c r="E273" s="37">
        <v>0</v>
      </c>
      <c r="I273">
        <v>0</v>
      </c>
    </row>
    <row r="274" spans="1:9" x14ac:dyDescent="0.2">
      <c r="A274" s="37" t="s">
        <v>391</v>
      </c>
      <c r="B274" s="37" t="s">
        <v>299</v>
      </c>
      <c r="C274" s="37" t="s">
        <v>117</v>
      </c>
      <c r="D274" s="37">
        <v>0</v>
      </c>
      <c r="E274" s="37">
        <v>0</v>
      </c>
      <c r="I274">
        <v>0</v>
      </c>
    </row>
    <row r="275" spans="1:9" x14ac:dyDescent="0.2">
      <c r="A275" s="37" t="s">
        <v>392</v>
      </c>
      <c r="B275" s="37" t="s">
        <v>299</v>
      </c>
      <c r="C275" s="37" t="s">
        <v>121</v>
      </c>
      <c r="D275" s="37">
        <v>1</v>
      </c>
      <c r="E275" s="37">
        <v>5212.3999999999996</v>
      </c>
    </row>
    <row r="276" spans="1:9" x14ac:dyDescent="0.2">
      <c r="A276" s="37" t="s">
        <v>393</v>
      </c>
      <c r="B276" s="37" t="s">
        <v>299</v>
      </c>
      <c r="C276" s="37" t="s">
        <v>121</v>
      </c>
      <c r="D276" s="37">
        <v>0</v>
      </c>
      <c r="E276" s="37">
        <v>0</v>
      </c>
    </row>
    <row r="277" spans="1:9" x14ac:dyDescent="0.2">
      <c r="A277" s="37" t="s">
        <v>394</v>
      </c>
      <c r="B277" s="37" t="s">
        <v>299</v>
      </c>
      <c r="C277" s="37" t="s">
        <v>121</v>
      </c>
      <c r="D277" s="37">
        <v>0</v>
      </c>
      <c r="E277" s="37">
        <v>0</v>
      </c>
    </row>
    <row r="278" spans="1:9" x14ac:dyDescent="0.2">
      <c r="A278" s="37" t="s">
        <v>395</v>
      </c>
      <c r="B278" s="37" t="s">
        <v>299</v>
      </c>
      <c r="C278" s="37" t="s">
        <v>117</v>
      </c>
      <c r="D278" s="37">
        <v>0</v>
      </c>
      <c r="E278" s="37">
        <v>0</v>
      </c>
    </row>
    <row r="279" spans="1:9" x14ac:dyDescent="0.2">
      <c r="A279" s="37" t="s">
        <v>396</v>
      </c>
      <c r="B279" s="37" t="s">
        <v>299</v>
      </c>
      <c r="C279" s="37" t="s">
        <v>117</v>
      </c>
      <c r="D279" s="37">
        <v>1</v>
      </c>
      <c r="E279" s="37">
        <v>3995.62</v>
      </c>
    </row>
    <row r="280" spans="1:9" x14ac:dyDescent="0.2">
      <c r="A280" s="37" t="s">
        <v>397</v>
      </c>
      <c r="B280" s="37" t="s">
        <v>299</v>
      </c>
      <c r="C280" s="37" t="s">
        <v>121</v>
      </c>
      <c r="D280" s="37">
        <v>0</v>
      </c>
      <c r="E280" s="37">
        <v>0</v>
      </c>
    </row>
    <row r="281" spans="1:9" x14ac:dyDescent="0.2">
      <c r="A281" s="37" t="s">
        <v>398</v>
      </c>
      <c r="B281" s="37" t="s">
        <v>299</v>
      </c>
      <c r="C281" s="37" t="s">
        <v>117</v>
      </c>
      <c r="D281" s="37">
        <v>0</v>
      </c>
      <c r="E281" s="37">
        <v>0</v>
      </c>
    </row>
    <row r="282" spans="1:9" x14ac:dyDescent="0.2">
      <c r="A282" s="37" t="s">
        <v>399</v>
      </c>
      <c r="B282" s="37" t="s">
        <v>299</v>
      </c>
      <c r="C282" s="37" t="s">
        <v>117</v>
      </c>
      <c r="D282" s="37">
        <v>0</v>
      </c>
      <c r="E282" s="37">
        <v>0</v>
      </c>
    </row>
    <row r="283" spans="1:9" x14ac:dyDescent="0.2">
      <c r="A283" s="37" t="s">
        <v>400</v>
      </c>
      <c r="B283" s="37" t="s">
        <v>299</v>
      </c>
      <c r="C283" s="37" t="s">
        <v>121</v>
      </c>
      <c r="D283" s="37">
        <v>0</v>
      </c>
      <c r="E283" s="37">
        <v>0</v>
      </c>
    </row>
    <row r="284" spans="1:9" x14ac:dyDescent="0.2">
      <c r="A284" s="37" t="s">
        <v>401</v>
      </c>
      <c r="B284" s="37" t="s">
        <v>299</v>
      </c>
      <c r="C284" s="37" t="s">
        <v>121</v>
      </c>
      <c r="D284" s="37">
        <v>0</v>
      </c>
      <c r="E284" s="37">
        <v>0</v>
      </c>
    </row>
    <row r="285" spans="1:9" x14ac:dyDescent="0.2">
      <c r="A285" s="37" t="s">
        <v>402</v>
      </c>
      <c r="B285" s="37" t="s">
        <v>299</v>
      </c>
      <c r="C285" s="37" t="s">
        <v>121</v>
      </c>
      <c r="D285" s="37">
        <v>0</v>
      </c>
      <c r="E285" s="37">
        <v>0</v>
      </c>
    </row>
    <row r="286" spans="1:9" x14ac:dyDescent="0.2">
      <c r="A286" s="37" t="s">
        <v>403</v>
      </c>
      <c r="B286" s="37" t="s">
        <v>299</v>
      </c>
      <c r="C286" s="37" t="s">
        <v>117</v>
      </c>
      <c r="D286" s="37">
        <v>0</v>
      </c>
      <c r="E286" s="37">
        <v>0</v>
      </c>
    </row>
    <row r="287" spans="1:9" x14ac:dyDescent="0.2">
      <c r="A287" s="37" t="s">
        <v>404</v>
      </c>
      <c r="B287" s="37" t="s">
        <v>299</v>
      </c>
      <c r="C287" s="37" t="s">
        <v>121</v>
      </c>
      <c r="D287" s="37">
        <v>0</v>
      </c>
      <c r="E287" s="37">
        <v>0</v>
      </c>
    </row>
    <row r="288" spans="1:9" x14ac:dyDescent="0.2">
      <c r="A288" s="37" t="s">
        <v>405</v>
      </c>
      <c r="B288" s="37" t="s">
        <v>299</v>
      </c>
      <c r="C288" s="37" t="s">
        <v>121</v>
      </c>
      <c r="D288" s="37">
        <v>0</v>
      </c>
      <c r="E288" s="37">
        <v>0</v>
      </c>
    </row>
    <row r="289" spans="1:5" x14ac:dyDescent="0.2">
      <c r="A289" s="37" t="s">
        <v>406</v>
      </c>
      <c r="B289" s="37" t="s">
        <v>299</v>
      </c>
      <c r="C289" s="37" t="s">
        <v>117</v>
      </c>
      <c r="D289" s="37">
        <v>1</v>
      </c>
      <c r="E289" s="37">
        <v>5136.04</v>
      </c>
    </row>
    <row r="290" spans="1:5" x14ac:dyDescent="0.2">
      <c r="A290" s="37" t="s">
        <v>407</v>
      </c>
      <c r="B290" s="37" t="s">
        <v>299</v>
      </c>
      <c r="C290" s="37" t="s">
        <v>121</v>
      </c>
      <c r="D290" s="37">
        <v>0</v>
      </c>
      <c r="E290" s="37">
        <v>0</v>
      </c>
    </row>
    <row r="291" spans="1:5" x14ac:dyDescent="0.2">
      <c r="A291" s="37" t="s">
        <v>408</v>
      </c>
      <c r="B291" s="37" t="s">
        <v>299</v>
      </c>
      <c r="C291" s="37" t="s">
        <v>117</v>
      </c>
      <c r="D291" s="37">
        <v>0</v>
      </c>
      <c r="E291" s="37">
        <v>0</v>
      </c>
    </row>
    <row r="292" spans="1:5" x14ac:dyDescent="0.2">
      <c r="A292" s="37" t="s">
        <v>409</v>
      </c>
      <c r="B292" s="37" t="s">
        <v>299</v>
      </c>
      <c r="C292" s="37" t="s">
        <v>121</v>
      </c>
      <c r="D292" s="37">
        <v>0</v>
      </c>
      <c r="E292" s="37">
        <v>0</v>
      </c>
    </row>
    <row r="293" spans="1:5" x14ac:dyDescent="0.2">
      <c r="A293" s="37" t="s">
        <v>410</v>
      </c>
      <c r="B293" s="37" t="s">
        <v>299</v>
      </c>
      <c r="C293" s="37" t="s">
        <v>121</v>
      </c>
      <c r="D293" s="37">
        <v>0</v>
      </c>
      <c r="E293" s="37">
        <v>0</v>
      </c>
    </row>
    <row r="294" spans="1:5" x14ac:dyDescent="0.2">
      <c r="A294" s="37" t="s">
        <v>411</v>
      </c>
      <c r="B294" s="37" t="s">
        <v>299</v>
      </c>
      <c r="C294" s="37" t="s">
        <v>117</v>
      </c>
      <c r="D294" s="37">
        <v>1</v>
      </c>
      <c r="E294" s="37">
        <v>6297.21</v>
      </c>
    </row>
    <row r="295" spans="1:5" x14ac:dyDescent="0.2">
      <c r="A295" s="37" t="s">
        <v>412</v>
      </c>
      <c r="B295" s="37" t="s">
        <v>299</v>
      </c>
      <c r="C295" s="37" t="s">
        <v>121</v>
      </c>
      <c r="D295" s="37">
        <v>1</v>
      </c>
      <c r="E295" s="37">
        <v>5817.47</v>
      </c>
    </row>
    <row r="296" spans="1:5" x14ac:dyDescent="0.2">
      <c r="A296" s="37" t="s">
        <v>413</v>
      </c>
      <c r="B296" s="37" t="s">
        <v>299</v>
      </c>
      <c r="C296" s="37" t="s">
        <v>117</v>
      </c>
      <c r="D296" s="37">
        <v>0</v>
      </c>
      <c r="E296" s="37">
        <v>0</v>
      </c>
    </row>
    <row r="297" spans="1:5" x14ac:dyDescent="0.2">
      <c r="A297" s="37" t="s">
        <v>414</v>
      </c>
      <c r="B297" s="37" t="s">
        <v>299</v>
      </c>
      <c r="C297" s="37" t="s">
        <v>121</v>
      </c>
      <c r="D297" s="37">
        <v>1</v>
      </c>
      <c r="E297" s="37">
        <v>5768.5</v>
      </c>
    </row>
    <row r="298" spans="1:5" x14ac:dyDescent="0.2">
      <c r="A298" s="37" t="s">
        <v>415</v>
      </c>
      <c r="B298" s="37" t="s">
        <v>299</v>
      </c>
      <c r="C298" s="37" t="s">
        <v>117</v>
      </c>
      <c r="D298" s="37">
        <v>0</v>
      </c>
      <c r="E298" s="37">
        <v>0</v>
      </c>
    </row>
    <row r="299" spans="1:5" x14ac:dyDescent="0.2">
      <c r="A299" s="37" t="s">
        <v>416</v>
      </c>
      <c r="B299" s="37" t="s">
        <v>299</v>
      </c>
      <c r="C299" s="37" t="s">
        <v>117</v>
      </c>
      <c r="D299" s="37">
        <v>0</v>
      </c>
      <c r="E299" s="37">
        <v>0</v>
      </c>
    </row>
    <row r="300" spans="1:5" x14ac:dyDescent="0.2">
      <c r="A300" s="37" t="s">
        <v>417</v>
      </c>
      <c r="B300" s="37" t="s">
        <v>299</v>
      </c>
      <c r="C300" s="37" t="s">
        <v>117</v>
      </c>
      <c r="D300" s="37">
        <v>1</v>
      </c>
      <c r="E300" s="37">
        <v>4259.5600000000004</v>
      </c>
    </row>
    <row r="301" spans="1:5" x14ac:dyDescent="0.2">
      <c r="A301" s="37" t="s">
        <v>418</v>
      </c>
      <c r="B301" s="37" t="s">
        <v>299</v>
      </c>
      <c r="C301" s="37" t="s">
        <v>117</v>
      </c>
      <c r="D301" s="37">
        <v>0</v>
      </c>
      <c r="E301" s="37">
        <v>0</v>
      </c>
    </row>
    <row r="302" spans="1:5" x14ac:dyDescent="0.2">
      <c r="A302" s="37" t="s">
        <v>419</v>
      </c>
      <c r="B302" s="37" t="s">
        <v>299</v>
      </c>
      <c r="C302" s="37" t="s">
        <v>117</v>
      </c>
      <c r="D302" s="37">
        <v>1</v>
      </c>
      <c r="E302" s="37">
        <v>3629.59</v>
      </c>
    </row>
    <row r="303" spans="1:5" x14ac:dyDescent="0.2">
      <c r="A303" s="37" t="s">
        <v>420</v>
      </c>
      <c r="B303" s="37" t="s">
        <v>299</v>
      </c>
      <c r="C303" s="37" t="s">
        <v>121</v>
      </c>
      <c r="D303" s="37">
        <v>0</v>
      </c>
      <c r="E303" s="37">
        <v>0</v>
      </c>
    </row>
    <row r="304" spans="1:5" x14ac:dyDescent="0.2">
      <c r="A304" s="37" t="s">
        <v>421</v>
      </c>
      <c r="B304" s="37" t="s">
        <v>299</v>
      </c>
      <c r="C304" s="37" t="s">
        <v>121</v>
      </c>
      <c r="D304" s="37">
        <v>0</v>
      </c>
      <c r="E304" s="37">
        <v>0</v>
      </c>
    </row>
    <row r="305" spans="1:5" x14ac:dyDescent="0.2">
      <c r="A305" s="37" t="s">
        <v>422</v>
      </c>
      <c r="B305" s="37" t="s">
        <v>299</v>
      </c>
      <c r="C305" s="37" t="s">
        <v>121</v>
      </c>
      <c r="D305" s="37">
        <v>0</v>
      </c>
      <c r="E305" s="37">
        <v>0</v>
      </c>
    </row>
    <row r="306" spans="1:5" x14ac:dyDescent="0.2">
      <c r="A306" s="37" t="s">
        <v>423</v>
      </c>
      <c r="B306" s="37" t="s">
        <v>299</v>
      </c>
      <c r="C306" s="37" t="s">
        <v>117</v>
      </c>
      <c r="D306" s="37">
        <v>0</v>
      </c>
      <c r="E306" s="37">
        <v>0</v>
      </c>
    </row>
    <row r="307" spans="1:5" x14ac:dyDescent="0.2">
      <c r="A307" s="37" t="s">
        <v>424</v>
      </c>
      <c r="B307" s="37" t="s">
        <v>299</v>
      </c>
      <c r="C307" s="37" t="s">
        <v>121</v>
      </c>
      <c r="D307" s="37">
        <v>0</v>
      </c>
      <c r="E307" s="37">
        <v>0</v>
      </c>
    </row>
    <row r="308" spans="1:5" x14ac:dyDescent="0.2">
      <c r="A308" s="37" t="s">
        <v>425</v>
      </c>
      <c r="B308" s="37" t="s">
        <v>299</v>
      </c>
      <c r="C308" s="37" t="s">
        <v>117</v>
      </c>
      <c r="D308" s="37">
        <v>0</v>
      </c>
      <c r="E308" s="37">
        <v>0</v>
      </c>
    </row>
    <row r="309" spans="1:5" x14ac:dyDescent="0.2">
      <c r="A309" s="37" t="s">
        <v>426</v>
      </c>
      <c r="B309" s="37" t="s">
        <v>299</v>
      </c>
      <c r="C309" s="37" t="s">
        <v>117</v>
      </c>
      <c r="D309" s="37">
        <v>1</v>
      </c>
      <c r="E309" s="37">
        <v>4594.88</v>
      </c>
    </row>
    <row r="310" spans="1:5" x14ac:dyDescent="0.2">
      <c r="A310" s="37" t="s">
        <v>427</v>
      </c>
      <c r="B310" s="37" t="s">
        <v>299</v>
      </c>
      <c r="C310" s="37" t="s">
        <v>121</v>
      </c>
      <c r="D310" s="37">
        <v>0</v>
      </c>
      <c r="E310" s="37">
        <v>0</v>
      </c>
    </row>
    <row r="311" spans="1:5" x14ac:dyDescent="0.2">
      <c r="A311" s="37" t="s">
        <v>428</v>
      </c>
      <c r="B311" s="37" t="s">
        <v>299</v>
      </c>
      <c r="C311" s="37" t="s">
        <v>121</v>
      </c>
      <c r="D311" s="37">
        <v>0</v>
      </c>
      <c r="E311" s="37">
        <v>0</v>
      </c>
    </row>
    <row r="312" spans="1:5" x14ac:dyDescent="0.2">
      <c r="A312" s="37" t="s">
        <v>429</v>
      </c>
      <c r="B312" s="37" t="s">
        <v>299</v>
      </c>
      <c r="C312" s="37" t="s">
        <v>121</v>
      </c>
      <c r="D312" s="37">
        <v>0</v>
      </c>
      <c r="E312" s="37">
        <v>0</v>
      </c>
    </row>
    <row r="313" spans="1:5" x14ac:dyDescent="0.2">
      <c r="A313" s="37" t="s">
        <v>430</v>
      </c>
      <c r="B313" s="37" t="s">
        <v>299</v>
      </c>
      <c r="C313" s="37" t="s">
        <v>121</v>
      </c>
      <c r="D313" s="37">
        <v>0</v>
      </c>
      <c r="E313" s="37">
        <v>0</v>
      </c>
    </row>
    <row r="314" spans="1:5" x14ac:dyDescent="0.2">
      <c r="A314" s="37" t="s">
        <v>431</v>
      </c>
      <c r="B314" s="37" t="s">
        <v>299</v>
      </c>
      <c r="C314" s="37" t="s">
        <v>117</v>
      </c>
      <c r="D314" s="37">
        <v>0</v>
      </c>
      <c r="E314" s="37">
        <v>0</v>
      </c>
    </row>
    <row r="315" spans="1:5" x14ac:dyDescent="0.2">
      <c r="A315" s="37" t="s">
        <v>432</v>
      </c>
      <c r="B315" s="37" t="s">
        <v>299</v>
      </c>
      <c r="C315" s="37" t="s">
        <v>121</v>
      </c>
      <c r="D315" s="37">
        <v>0</v>
      </c>
      <c r="E315" s="37">
        <v>0</v>
      </c>
    </row>
    <row r="316" spans="1:5" x14ac:dyDescent="0.2">
      <c r="A316" s="37" t="s">
        <v>433</v>
      </c>
      <c r="B316" s="37" t="s">
        <v>299</v>
      </c>
      <c r="C316" s="37" t="s">
        <v>121</v>
      </c>
      <c r="D316" s="37">
        <v>1</v>
      </c>
      <c r="E316" s="37">
        <v>7105.63</v>
      </c>
    </row>
    <row r="317" spans="1:5" x14ac:dyDescent="0.2">
      <c r="A317" s="37" t="s">
        <v>434</v>
      </c>
      <c r="B317" s="37" t="s">
        <v>299</v>
      </c>
      <c r="C317" s="37" t="s">
        <v>121</v>
      </c>
      <c r="D317" s="37">
        <v>0</v>
      </c>
      <c r="E317" s="37">
        <v>0</v>
      </c>
    </row>
    <row r="318" spans="1:5" x14ac:dyDescent="0.2">
      <c r="A318" s="37" t="s">
        <v>435</v>
      </c>
      <c r="B318" s="37" t="s">
        <v>299</v>
      </c>
      <c r="C318" s="37" t="s">
        <v>117</v>
      </c>
      <c r="D318" s="37">
        <v>0</v>
      </c>
      <c r="E318" s="37">
        <v>0</v>
      </c>
    </row>
    <row r="319" spans="1:5" x14ac:dyDescent="0.2">
      <c r="A319" s="37" t="s">
        <v>436</v>
      </c>
      <c r="B319" s="37" t="s">
        <v>299</v>
      </c>
      <c r="C319" s="37" t="s">
        <v>121</v>
      </c>
      <c r="D319" s="37">
        <v>0</v>
      </c>
      <c r="E319" s="37">
        <v>0</v>
      </c>
    </row>
    <row r="320" spans="1:5" x14ac:dyDescent="0.2">
      <c r="A320" s="37" t="s">
        <v>437</v>
      </c>
      <c r="B320" s="37" t="s">
        <v>299</v>
      </c>
      <c r="C320" s="37" t="s">
        <v>117</v>
      </c>
      <c r="D320" s="37">
        <v>1</v>
      </c>
      <c r="E320" s="37">
        <v>5321.96</v>
      </c>
    </row>
    <row r="321" spans="1:5" x14ac:dyDescent="0.2">
      <c r="A321" s="37" t="s">
        <v>438</v>
      </c>
      <c r="B321" s="37" t="s">
        <v>299</v>
      </c>
      <c r="C321" s="37" t="s">
        <v>117</v>
      </c>
      <c r="D321" s="37">
        <v>0</v>
      </c>
      <c r="E321" s="37">
        <v>0</v>
      </c>
    </row>
    <row r="322" spans="1:5" x14ac:dyDescent="0.2">
      <c r="A322" s="37" t="s">
        <v>439</v>
      </c>
      <c r="B322" s="37" t="s">
        <v>299</v>
      </c>
      <c r="C322" s="37" t="s">
        <v>121</v>
      </c>
      <c r="D322" s="37">
        <v>1</v>
      </c>
      <c r="E322" s="37">
        <v>4074.47</v>
      </c>
    </row>
    <row r="323" spans="1:5" x14ac:dyDescent="0.2">
      <c r="A323" s="37" t="s">
        <v>440</v>
      </c>
      <c r="B323" s="37" t="s">
        <v>299</v>
      </c>
      <c r="C323" s="37" t="s">
        <v>117</v>
      </c>
      <c r="D323" s="37">
        <v>1</v>
      </c>
      <c r="E323" s="37">
        <v>4888.7</v>
      </c>
    </row>
    <row r="324" spans="1:5" x14ac:dyDescent="0.2">
      <c r="A324" s="37" t="s">
        <v>441</v>
      </c>
      <c r="B324" s="37" t="s">
        <v>299</v>
      </c>
      <c r="C324" s="37" t="s">
        <v>117</v>
      </c>
      <c r="D324" s="37">
        <v>0</v>
      </c>
      <c r="E324" s="37">
        <v>0</v>
      </c>
    </row>
    <row r="325" spans="1:5" x14ac:dyDescent="0.2">
      <c r="A325" s="37" t="s">
        <v>442</v>
      </c>
      <c r="B325" s="37" t="s">
        <v>299</v>
      </c>
      <c r="C325" s="37" t="s">
        <v>117</v>
      </c>
      <c r="D325" s="37">
        <v>1</v>
      </c>
      <c r="E325" s="37">
        <v>7166.22</v>
      </c>
    </row>
    <row r="326" spans="1:5" x14ac:dyDescent="0.2">
      <c r="A326" s="37" t="s">
        <v>443</v>
      </c>
      <c r="B326" s="37" t="s">
        <v>299</v>
      </c>
      <c r="C326" s="37" t="s">
        <v>121</v>
      </c>
      <c r="D326" s="37">
        <v>0</v>
      </c>
      <c r="E326" s="37">
        <v>0</v>
      </c>
    </row>
    <row r="327" spans="1:5" x14ac:dyDescent="0.2">
      <c r="A327" s="37" t="s">
        <v>444</v>
      </c>
      <c r="B327" s="37" t="s">
        <v>299</v>
      </c>
      <c r="C327" s="37" t="s">
        <v>121</v>
      </c>
      <c r="D327" s="37">
        <v>0</v>
      </c>
      <c r="E327" s="37">
        <v>0</v>
      </c>
    </row>
    <row r="328" spans="1:5" x14ac:dyDescent="0.2">
      <c r="A328" s="37" t="s">
        <v>445</v>
      </c>
      <c r="B328" s="37" t="s">
        <v>299</v>
      </c>
      <c r="C328" s="37" t="s">
        <v>117</v>
      </c>
      <c r="D328" s="37">
        <v>0</v>
      </c>
      <c r="E328" s="37">
        <v>0</v>
      </c>
    </row>
    <row r="329" spans="1:5" x14ac:dyDescent="0.2">
      <c r="A329" s="37" t="s">
        <v>446</v>
      </c>
      <c r="B329" s="37" t="s">
        <v>299</v>
      </c>
      <c r="C329" s="37" t="s">
        <v>121</v>
      </c>
      <c r="D329" s="37">
        <v>0</v>
      </c>
      <c r="E329" s="37">
        <v>0</v>
      </c>
    </row>
    <row r="330" spans="1:5" x14ac:dyDescent="0.2">
      <c r="A330" s="37" t="s">
        <v>447</v>
      </c>
      <c r="B330" s="37" t="s">
        <v>299</v>
      </c>
      <c r="C330" s="37" t="s">
        <v>121</v>
      </c>
      <c r="D330" s="37">
        <v>1</v>
      </c>
      <c r="E330" s="37">
        <v>4720.21</v>
      </c>
    </row>
    <row r="331" spans="1:5" x14ac:dyDescent="0.2">
      <c r="A331" s="37" t="s">
        <v>448</v>
      </c>
      <c r="B331" s="37" t="s">
        <v>299</v>
      </c>
      <c r="C331" s="37" t="s">
        <v>117</v>
      </c>
      <c r="D331" s="37">
        <v>0</v>
      </c>
      <c r="E331" s="37">
        <v>0</v>
      </c>
    </row>
    <row r="332" spans="1:5" x14ac:dyDescent="0.2">
      <c r="A332" s="37" t="s">
        <v>449</v>
      </c>
      <c r="B332" s="37" t="s">
        <v>299</v>
      </c>
      <c r="C332" s="37" t="s">
        <v>121</v>
      </c>
      <c r="D332" s="37">
        <v>0</v>
      </c>
      <c r="E332" s="37">
        <v>0</v>
      </c>
    </row>
    <row r="333" spans="1:5" x14ac:dyDescent="0.2">
      <c r="A333" s="37" t="s">
        <v>450</v>
      </c>
      <c r="B333" s="37" t="s">
        <v>299</v>
      </c>
      <c r="C333" s="37" t="s">
        <v>117</v>
      </c>
      <c r="D333" s="37">
        <v>0</v>
      </c>
      <c r="E333" s="37">
        <v>0</v>
      </c>
    </row>
    <row r="334" spans="1:5" x14ac:dyDescent="0.2">
      <c r="A334" s="37" t="s">
        <v>451</v>
      </c>
      <c r="B334" s="37" t="s">
        <v>299</v>
      </c>
      <c r="C334" s="37" t="s">
        <v>121</v>
      </c>
      <c r="D334" s="37">
        <v>0</v>
      </c>
      <c r="E334" s="37">
        <v>0</v>
      </c>
    </row>
    <row r="335" spans="1:5" x14ac:dyDescent="0.2">
      <c r="A335" s="37" t="s">
        <v>452</v>
      </c>
      <c r="B335" s="37" t="s">
        <v>299</v>
      </c>
      <c r="C335" s="37" t="s">
        <v>117</v>
      </c>
      <c r="D335" s="37">
        <v>0</v>
      </c>
      <c r="E335" s="37">
        <v>0</v>
      </c>
    </row>
    <row r="336" spans="1:5" x14ac:dyDescent="0.2">
      <c r="A336" s="37" t="s">
        <v>453</v>
      </c>
      <c r="B336" s="37" t="s">
        <v>299</v>
      </c>
      <c r="C336" s="37" t="s">
        <v>121</v>
      </c>
      <c r="D336" s="37">
        <v>1</v>
      </c>
      <c r="E336" s="37">
        <v>7108.95</v>
      </c>
    </row>
    <row r="337" spans="1:5" x14ac:dyDescent="0.2">
      <c r="A337" s="37" t="s">
        <v>454</v>
      </c>
      <c r="B337" s="37" t="s">
        <v>299</v>
      </c>
      <c r="C337" s="37" t="s">
        <v>117</v>
      </c>
      <c r="D337" s="37">
        <v>1</v>
      </c>
      <c r="E337" s="37">
        <v>2635.25</v>
      </c>
    </row>
    <row r="338" spans="1:5" x14ac:dyDescent="0.2">
      <c r="A338" s="37" t="s">
        <v>455</v>
      </c>
      <c r="B338" s="37" t="s">
        <v>299</v>
      </c>
      <c r="C338" s="37" t="s">
        <v>117</v>
      </c>
      <c r="D338" s="37">
        <v>0</v>
      </c>
      <c r="E338" s="37">
        <v>0</v>
      </c>
    </row>
    <row r="339" spans="1:5" x14ac:dyDescent="0.2">
      <c r="A339" s="37" t="s">
        <v>456</v>
      </c>
      <c r="B339" s="37" t="s">
        <v>299</v>
      </c>
      <c r="C339" s="37" t="s">
        <v>117</v>
      </c>
      <c r="D339" s="37">
        <v>1</v>
      </c>
      <c r="E339" s="37">
        <v>8759.82</v>
      </c>
    </row>
    <row r="340" spans="1:5" x14ac:dyDescent="0.2">
      <c r="A340" s="37" t="s">
        <v>457</v>
      </c>
      <c r="B340" s="37" t="s">
        <v>299</v>
      </c>
      <c r="C340" s="37" t="s">
        <v>121</v>
      </c>
      <c r="D340" s="37">
        <v>1</v>
      </c>
      <c r="E340" s="37">
        <v>5840.71</v>
      </c>
    </row>
    <row r="341" spans="1:5" x14ac:dyDescent="0.2">
      <c r="A341" s="37" t="s">
        <v>458</v>
      </c>
      <c r="B341" s="37" t="s">
        <v>299</v>
      </c>
      <c r="C341" s="37" t="s">
        <v>121</v>
      </c>
      <c r="D341" s="37">
        <v>0</v>
      </c>
      <c r="E341" s="37">
        <v>0</v>
      </c>
    </row>
    <row r="342" spans="1:5" x14ac:dyDescent="0.2">
      <c r="A342" s="37" t="s">
        <v>459</v>
      </c>
      <c r="B342" s="37" t="s">
        <v>299</v>
      </c>
      <c r="C342" s="37" t="s">
        <v>121</v>
      </c>
      <c r="D342" s="37">
        <v>0</v>
      </c>
      <c r="E342" s="37">
        <v>0</v>
      </c>
    </row>
    <row r="343" spans="1:5" x14ac:dyDescent="0.2">
      <c r="A343" s="37" t="s">
        <v>460</v>
      </c>
      <c r="B343" s="37" t="s">
        <v>299</v>
      </c>
      <c r="C343" s="37" t="s">
        <v>117</v>
      </c>
      <c r="D343" s="37">
        <v>1</v>
      </c>
      <c r="E343" s="37">
        <v>3264.39</v>
      </c>
    </row>
    <row r="344" spans="1:5" x14ac:dyDescent="0.2">
      <c r="A344" s="37" t="s">
        <v>461</v>
      </c>
      <c r="B344" s="37" t="s">
        <v>299</v>
      </c>
      <c r="C344" s="37" t="s">
        <v>121</v>
      </c>
      <c r="D344" s="37">
        <v>1</v>
      </c>
      <c r="E344" s="37">
        <v>4889.53</v>
      </c>
    </row>
    <row r="345" spans="1:5" x14ac:dyDescent="0.2">
      <c r="A345" s="37" t="s">
        <v>462</v>
      </c>
      <c r="B345" s="37" t="s">
        <v>299</v>
      </c>
      <c r="C345" s="37" t="s">
        <v>121</v>
      </c>
      <c r="D345" s="37">
        <v>0</v>
      </c>
      <c r="E345" s="37">
        <v>0</v>
      </c>
    </row>
    <row r="346" spans="1:5" x14ac:dyDescent="0.2">
      <c r="A346" s="37" t="s">
        <v>463</v>
      </c>
      <c r="B346" s="37" t="s">
        <v>299</v>
      </c>
      <c r="C346" s="37" t="s">
        <v>117</v>
      </c>
      <c r="D346" s="37">
        <v>0</v>
      </c>
      <c r="E346" s="37">
        <v>0</v>
      </c>
    </row>
    <row r="347" spans="1:5" x14ac:dyDescent="0.2">
      <c r="A347" s="37" t="s">
        <v>464</v>
      </c>
      <c r="B347" s="37" t="s">
        <v>299</v>
      </c>
      <c r="C347" s="37" t="s">
        <v>117</v>
      </c>
      <c r="D347" s="37">
        <v>0</v>
      </c>
      <c r="E347" s="37">
        <v>0</v>
      </c>
    </row>
    <row r="348" spans="1:5" x14ac:dyDescent="0.2">
      <c r="A348" s="37" t="s">
        <v>465</v>
      </c>
      <c r="B348" s="37" t="s">
        <v>299</v>
      </c>
      <c r="C348" s="37" t="s">
        <v>121</v>
      </c>
      <c r="D348" s="37">
        <v>0</v>
      </c>
      <c r="E348" s="37">
        <v>0</v>
      </c>
    </row>
    <row r="349" spans="1:5" x14ac:dyDescent="0.2">
      <c r="A349" s="37" t="s">
        <v>466</v>
      </c>
      <c r="B349" s="37" t="s">
        <v>299</v>
      </c>
      <c r="C349" s="37" t="s">
        <v>117</v>
      </c>
      <c r="D349" s="37">
        <v>1</v>
      </c>
      <c r="E349" s="37">
        <v>3756.58</v>
      </c>
    </row>
    <row r="350" spans="1:5" x14ac:dyDescent="0.2">
      <c r="A350" s="37" t="s">
        <v>467</v>
      </c>
      <c r="B350" s="37" t="s">
        <v>299</v>
      </c>
      <c r="C350" s="37" t="s">
        <v>117</v>
      </c>
      <c r="D350" s="37">
        <v>0</v>
      </c>
      <c r="E350" s="37">
        <v>0</v>
      </c>
    </row>
    <row r="351" spans="1:5" x14ac:dyDescent="0.2">
      <c r="A351" s="37" t="s">
        <v>468</v>
      </c>
      <c r="B351" s="37" t="s">
        <v>299</v>
      </c>
      <c r="C351" s="37" t="s">
        <v>117</v>
      </c>
      <c r="D351" s="37">
        <v>1</v>
      </c>
      <c r="E351" s="37">
        <v>6767.82</v>
      </c>
    </row>
    <row r="352" spans="1:5" x14ac:dyDescent="0.2">
      <c r="A352" s="37" t="s">
        <v>469</v>
      </c>
      <c r="B352" s="37" t="s">
        <v>299</v>
      </c>
      <c r="C352" s="37" t="s">
        <v>121</v>
      </c>
      <c r="D352" s="37">
        <v>0</v>
      </c>
      <c r="E352" s="37">
        <v>0</v>
      </c>
    </row>
    <row r="353" spans="1:5" x14ac:dyDescent="0.2">
      <c r="A353" s="37" t="s">
        <v>470</v>
      </c>
      <c r="B353" s="37" t="s">
        <v>299</v>
      </c>
      <c r="C353" s="37" t="s">
        <v>117</v>
      </c>
      <c r="D353" s="37">
        <v>0</v>
      </c>
      <c r="E353" s="37">
        <v>0</v>
      </c>
    </row>
    <row r="354" spans="1:5" x14ac:dyDescent="0.2">
      <c r="A354" s="37" t="s">
        <v>471</v>
      </c>
      <c r="B354" s="37" t="s">
        <v>299</v>
      </c>
      <c r="C354" s="37" t="s">
        <v>117</v>
      </c>
      <c r="D354" s="37">
        <v>0</v>
      </c>
      <c r="E354" s="37">
        <v>0</v>
      </c>
    </row>
    <row r="355" spans="1:5" x14ac:dyDescent="0.2">
      <c r="A355" s="37" t="s">
        <v>472</v>
      </c>
      <c r="B355" s="37" t="s">
        <v>299</v>
      </c>
      <c r="C355" s="37" t="s">
        <v>117</v>
      </c>
      <c r="D355" s="37">
        <v>0</v>
      </c>
      <c r="E355" s="37">
        <v>0</v>
      </c>
    </row>
    <row r="356" spans="1:5" x14ac:dyDescent="0.2">
      <c r="A356" s="37" t="s">
        <v>473</v>
      </c>
      <c r="B356" s="37" t="s">
        <v>299</v>
      </c>
      <c r="C356" s="37" t="s">
        <v>117</v>
      </c>
      <c r="D356" s="37">
        <v>0</v>
      </c>
      <c r="E356" s="37">
        <v>0</v>
      </c>
    </row>
    <row r="357" spans="1:5" x14ac:dyDescent="0.2">
      <c r="A357" s="37" t="s">
        <v>474</v>
      </c>
      <c r="B357" s="37" t="s">
        <v>299</v>
      </c>
      <c r="C357" s="37" t="s">
        <v>121</v>
      </c>
      <c r="D357" s="37">
        <v>0</v>
      </c>
      <c r="E357" s="37">
        <v>0</v>
      </c>
    </row>
    <row r="358" spans="1:5" x14ac:dyDescent="0.2">
      <c r="A358" s="37" t="s">
        <v>475</v>
      </c>
      <c r="B358" s="37" t="s">
        <v>299</v>
      </c>
      <c r="C358" s="37" t="s">
        <v>121</v>
      </c>
      <c r="D358" s="37">
        <v>0</v>
      </c>
      <c r="E358" s="37">
        <v>0</v>
      </c>
    </row>
    <row r="359" spans="1:5" x14ac:dyDescent="0.2">
      <c r="A359" s="37" t="s">
        <v>476</v>
      </c>
      <c r="B359" s="37" t="s">
        <v>299</v>
      </c>
      <c r="C359" s="37" t="s">
        <v>117</v>
      </c>
      <c r="D359" s="37">
        <v>1</v>
      </c>
      <c r="E359" s="37">
        <v>5546.89</v>
      </c>
    </row>
    <row r="360" spans="1:5" x14ac:dyDescent="0.2">
      <c r="A360" s="37" t="s">
        <v>477</v>
      </c>
      <c r="B360" s="37" t="s">
        <v>299</v>
      </c>
      <c r="C360" s="37" t="s">
        <v>121</v>
      </c>
      <c r="D360" s="37">
        <v>1</v>
      </c>
      <c r="E360" s="37">
        <v>7036.74</v>
      </c>
    </row>
    <row r="361" spans="1:5" x14ac:dyDescent="0.2">
      <c r="A361" s="37" t="s">
        <v>478</v>
      </c>
      <c r="B361" s="37" t="s">
        <v>299</v>
      </c>
      <c r="C361" s="37" t="s">
        <v>121</v>
      </c>
      <c r="D361" s="37">
        <v>1</v>
      </c>
      <c r="E361" s="37">
        <v>6454.91</v>
      </c>
    </row>
    <row r="362" spans="1:5" x14ac:dyDescent="0.2">
      <c r="A362" s="37" t="s">
        <v>479</v>
      </c>
      <c r="B362" s="37" t="s">
        <v>299</v>
      </c>
      <c r="C362" s="37" t="s">
        <v>121</v>
      </c>
      <c r="D362" s="37">
        <v>0</v>
      </c>
      <c r="E362" s="37">
        <v>0</v>
      </c>
    </row>
    <row r="363" spans="1:5" x14ac:dyDescent="0.2">
      <c r="A363" s="37" t="s">
        <v>480</v>
      </c>
      <c r="B363" s="37" t="s">
        <v>299</v>
      </c>
      <c r="C363" s="37" t="s">
        <v>117</v>
      </c>
      <c r="D363" s="37">
        <v>1</v>
      </c>
      <c r="E363" s="37">
        <v>6214.21</v>
      </c>
    </row>
    <row r="364" spans="1:5" x14ac:dyDescent="0.2">
      <c r="A364" s="37" t="s">
        <v>481</v>
      </c>
      <c r="B364" s="37" t="s">
        <v>299</v>
      </c>
      <c r="C364" s="37" t="s">
        <v>121</v>
      </c>
      <c r="D364" s="37">
        <v>0</v>
      </c>
      <c r="E364" s="37">
        <v>0</v>
      </c>
    </row>
    <row r="365" spans="1:5" x14ac:dyDescent="0.2">
      <c r="A365" s="37" t="s">
        <v>482</v>
      </c>
      <c r="B365" s="37" t="s">
        <v>299</v>
      </c>
      <c r="C365" s="37" t="s">
        <v>117</v>
      </c>
      <c r="D365" s="37">
        <v>1</v>
      </c>
      <c r="E365" s="37">
        <v>4975.8500000000004</v>
      </c>
    </row>
    <row r="366" spans="1:5" x14ac:dyDescent="0.2">
      <c r="A366" s="37" t="s">
        <v>483</v>
      </c>
      <c r="B366" s="37" t="s">
        <v>299</v>
      </c>
      <c r="C366" s="37" t="s">
        <v>121</v>
      </c>
      <c r="D366" s="37">
        <v>1</v>
      </c>
      <c r="E366" s="37">
        <v>5157.62</v>
      </c>
    </row>
    <row r="367" spans="1:5" x14ac:dyDescent="0.2">
      <c r="A367" s="37" t="s">
        <v>484</v>
      </c>
      <c r="B367" s="37" t="s">
        <v>299</v>
      </c>
      <c r="C367" s="37" t="s">
        <v>121</v>
      </c>
      <c r="D367" s="37">
        <v>0</v>
      </c>
      <c r="E367" s="37">
        <v>0</v>
      </c>
    </row>
    <row r="368" spans="1:5" x14ac:dyDescent="0.2">
      <c r="A368" s="37" t="s">
        <v>485</v>
      </c>
      <c r="B368" s="37" t="s">
        <v>299</v>
      </c>
      <c r="C368" s="37" t="s">
        <v>117</v>
      </c>
      <c r="D368" s="37">
        <v>0</v>
      </c>
      <c r="E368" s="37">
        <v>0</v>
      </c>
    </row>
    <row r="369" spans="1:5" x14ac:dyDescent="0.2">
      <c r="A369" s="37" t="s">
        <v>486</v>
      </c>
      <c r="B369" s="37" t="s">
        <v>299</v>
      </c>
      <c r="C369" s="37" t="s">
        <v>121</v>
      </c>
      <c r="D369" s="37">
        <v>0</v>
      </c>
      <c r="E369" s="37">
        <v>0</v>
      </c>
    </row>
    <row r="370" spans="1:5" x14ac:dyDescent="0.2">
      <c r="A370" s="37" t="s">
        <v>487</v>
      </c>
      <c r="B370" s="37" t="s">
        <v>299</v>
      </c>
      <c r="C370" s="37" t="s">
        <v>117</v>
      </c>
      <c r="D370" s="37">
        <v>1</v>
      </c>
      <c r="E370" s="37">
        <v>4174.8999999999996</v>
      </c>
    </row>
    <row r="371" spans="1:5" x14ac:dyDescent="0.2">
      <c r="A371" s="37" t="s">
        <v>488</v>
      </c>
      <c r="B371" s="37" t="s">
        <v>299</v>
      </c>
      <c r="C371" s="37" t="s">
        <v>121</v>
      </c>
      <c r="D371" s="37">
        <v>0</v>
      </c>
      <c r="E371" s="37">
        <v>0</v>
      </c>
    </row>
    <row r="372" spans="1:5" x14ac:dyDescent="0.2">
      <c r="A372" s="37" t="s">
        <v>489</v>
      </c>
      <c r="B372" s="37" t="s">
        <v>299</v>
      </c>
      <c r="C372" s="37" t="s">
        <v>117</v>
      </c>
      <c r="D372" s="37">
        <v>1</v>
      </c>
      <c r="E372" s="37">
        <v>4455.4399999999996</v>
      </c>
    </row>
    <row r="373" spans="1:5" x14ac:dyDescent="0.2">
      <c r="A373" s="37" t="s">
        <v>490</v>
      </c>
      <c r="B373" s="37" t="s">
        <v>299</v>
      </c>
      <c r="C373" s="37" t="s">
        <v>121</v>
      </c>
      <c r="D373" s="37">
        <v>0</v>
      </c>
      <c r="E373" s="37">
        <v>0</v>
      </c>
    </row>
    <row r="374" spans="1:5" x14ac:dyDescent="0.2">
      <c r="A374" s="37" t="s">
        <v>491</v>
      </c>
      <c r="B374" s="37" t="s">
        <v>299</v>
      </c>
      <c r="C374" s="37" t="s">
        <v>117</v>
      </c>
      <c r="D374" s="37">
        <v>0</v>
      </c>
      <c r="E374" s="37">
        <v>0</v>
      </c>
    </row>
    <row r="375" spans="1:5" x14ac:dyDescent="0.2">
      <c r="A375" s="37" t="s">
        <v>492</v>
      </c>
      <c r="B375" s="37" t="s">
        <v>299</v>
      </c>
      <c r="C375" s="37" t="s">
        <v>121</v>
      </c>
      <c r="D375" s="37">
        <v>0</v>
      </c>
      <c r="E375" s="37">
        <v>0</v>
      </c>
    </row>
    <row r="376" spans="1:5" x14ac:dyDescent="0.2">
      <c r="A376" s="37" t="s">
        <v>493</v>
      </c>
      <c r="B376" s="37" t="s">
        <v>299</v>
      </c>
      <c r="C376" s="37" t="s">
        <v>121</v>
      </c>
      <c r="D376" s="37">
        <v>0</v>
      </c>
      <c r="E376" s="37">
        <v>0</v>
      </c>
    </row>
    <row r="377" spans="1:5" x14ac:dyDescent="0.2">
      <c r="A377" s="37" t="s">
        <v>494</v>
      </c>
      <c r="B377" s="37" t="s">
        <v>299</v>
      </c>
      <c r="C377" s="37" t="s">
        <v>117</v>
      </c>
      <c r="D377" s="37">
        <v>0</v>
      </c>
      <c r="E377" s="37">
        <v>0</v>
      </c>
    </row>
    <row r="378" spans="1:5" x14ac:dyDescent="0.2">
      <c r="A378" s="37" t="s">
        <v>495</v>
      </c>
      <c r="B378" s="37" t="s">
        <v>299</v>
      </c>
      <c r="C378" s="37" t="s">
        <v>117</v>
      </c>
      <c r="D378" s="37">
        <v>1</v>
      </c>
      <c r="E378" s="37">
        <v>2120.65</v>
      </c>
    </row>
    <row r="379" spans="1:5" x14ac:dyDescent="0.2">
      <c r="A379" s="37" t="s">
        <v>496</v>
      </c>
      <c r="B379" s="37" t="s">
        <v>299</v>
      </c>
      <c r="C379" s="37" t="s">
        <v>117</v>
      </c>
      <c r="D379" s="37">
        <v>0</v>
      </c>
      <c r="E379" s="37">
        <v>0</v>
      </c>
    </row>
    <row r="380" spans="1:5" x14ac:dyDescent="0.2">
      <c r="A380" s="37" t="s">
        <v>497</v>
      </c>
      <c r="B380" s="37" t="s">
        <v>299</v>
      </c>
      <c r="C380" s="37" t="s">
        <v>117</v>
      </c>
      <c r="D380" s="37">
        <v>0</v>
      </c>
      <c r="E380" s="37">
        <v>0</v>
      </c>
    </row>
    <row r="381" spans="1:5" x14ac:dyDescent="0.2">
      <c r="A381" s="37" t="s">
        <v>498</v>
      </c>
      <c r="B381" s="37" t="s">
        <v>299</v>
      </c>
      <c r="C381" s="37" t="s">
        <v>117</v>
      </c>
      <c r="D381" s="37">
        <v>1</v>
      </c>
      <c r="E381" s="37">
        <v>4852.18</v>
      </c>
    </row>
    <row r="382" spans="1:5" x14ac:dyDescent="0.2">
      <c r="A382" s="37" t="s">
        <v>499</v>
      </c>
      <c r="B382" s="37" t="s">
        <v>299</v>
      </c>
      <c r="C382" s="37" t="s">
        <v>121</v>
      </c>
      <c r="D382" s="37">
        <v>1</v>
      </c>
      <c r="E382" s="37">
        <v>3463.59</v>
      </c>
    </row>
    <row r="383" spans="1:5" x14ac:dyDescent="0.2">
      <c r="A383" s="37" t="s">
        <v>500</v>
      </c>
      <c r="B383" s="37" t="s">
        <v>299</v>
      </c>
      <c r="C383" s="37" t="s">
        <v>121</v>
      </c>
      <c r="D383" s="37">
        <v>0</v>
      </c>
      <c r="E383" s="37">
        <v>0</v>
      </c>
    </row>
    <row r="384" spans="1:5" x14ac:dyDescent="0.2">
      <c r="A384" s="37" t="s">
        <v>501</v>
      </c>
      <c r="B384" s="37" t="s">
        <v>299</v>
      </c>
      <c r="C384" s="37" t="s">
        <v>121</v>
      </c>
      <c r="D384" s="37">
        <v>1</v>
      </c>
      <c r="E384" s="37">
        <v>6381.87</v>
      </c>
    </row>
    <row r="385" spans="1:5" x14ac:dyDescent="0.2">
      <c r="A385" s="37" t="s">
        <v>502</v>
      </c>
      <c r="B385" s="37" t="s">
        <v>299</v>
      </c>
      <c r="C385" s="37" t="s">
        <v>121</v>
      </c>
      <c r="D385" s="37">
        <v>1</v>
      </c>
      <c r="E385" s="37">
        <v>5026.4799999999996</v>
      </c>
    </row>
    <row r="386" spans="1:5" x14ac:dyDescent="0.2">
      <c r="A386" s="37" t="s">
        <v>503</v>
      </c>
      <c r="B386" s="37" t="s">
        <v>299</v>
      </c>
      <c r="C386" s="37" t="s">
        <v>117</v>
      </c>
      <c r="D386" s="37">
        <v>0</v>
      </c>
      <c r="E386" s="37">
        <v>0</v>
      </c>
    </row>
    <row r="387" spans="1:5" x14ac:dyDescent="0.2">
      <c r="A387" s="37" t="s">
        <v>504</v>
      </c>
      <c r="B387" s="37" t="s">
        <v>299</v>
      </c>
      <c r="C387" s="37" t="s">
        <v>117</v>
      </c>
      <c r="D387" s="37">
        <v>1</v>
      </c>
      <c r="E387" s="37">
        <v>6215.04</v>
      </c>
    </row>
    <row r="388" spans="1:5" x14ac:dyDescent="0.2">
      <c r="A388" s="37" t="s">
        <v>505</v>
      </c>
      <c r="B388" s="37" t="s">
        <v>299</v>
      </c>
      <c r="C388" s="37" t="s">
        <v>121</v>
      </c>
      <c r="D388" s="37">
        <v>0</v>
      </c>
      <c r="E388" s="37">
        <v>0</v>
      </c>
    </row>
    <row r="389" spans="1:5" x14ac:dyDescent="0.2">
      <c r="A389" s="37" t="s">
        <v>506</v>
      </c>
      <c r="B389" s="37" t="s">
        <v>299</v>
      </c>
      <c r="C389" s="37" t="s">
        <v>121</v>
      </c>
      <c r="D389" s="37">
        <v>1</v>
      </c>
      <c r="E389" s="37">
        <v>3976.53</v>
      </c>
    </row>
    <row r="390" spans="1:5" x14ac:dyDescent="0.2">
      <c r="A390" s="37" t="s">
        <v>507</v>
      </c>
      <c r="B390" s="37" t="s">
        <v>299</v>
      </c>
      <c r="C390" s="37" t="s">
        <v>121</v>
      </c>
      <c r="D390" s="37">
        <v>1</v>
      </c>
      <c r="E390" s="37">
        <v>6833.39</v>
      </c>
    </row>
    <row r="391" spans="1:5" x14ac:dyDescent="0.2">
      <c r="A391" s="37" t="s">
        <v>508</v>
      </c>
      <c r="B391" s="37" t="s">
        <v>299</v>
      </c>
      <c r="C391" s="37" t="s">
        <v>121</v>
      </c>
      <c r="D391" s="37">
        <v>0</v>
      </c>
      <c r="E391" s="37">
        <v>0</v>
      </c>
    </row>
    <row r="392" spans="1:5" x14ac:dyDescent="0.2">
      <c r="A392" s="37" t="s">
        <v>509</v>
      </c>
      <c r="B392" s="37" t="s">
        <v>299</v>
      </c>
      <c r="C392" s="37" t="s">
        <v>117</v>
      </c>
      <c r="D392" s="37">
        <v>1</v>
      </c>
      <c r="E392" s="37">
        <v>6044.06</v>
      </c>
    </row>
    <row r="393" spans="1:5" x14ac:dyDescent="0.2">
      <c r="A393" s="37" t="s">
        <v>510</v>
      </c>
      <c r="B393" s="37" t="s">
        <v>299</v>
      </c>
      <c r="C393" s="37" t="s">
        <v>121</v>
      </c>
      <c r="D393" s="37">
        <v>0</v>
      </c>
      <c r="E393" s="37">
        <v>0</v>
      </c>
    </row>
    <row r="394" spans="1:5" x14ac:dyDescent="0.2">
      <c r="A394" s="37" t="s">
        <v>511</v>
      </c>
      <c r="B394" s="37" t="s">
        <v>299</v>
      </c>
      <c r="C394" s="37" t="s">
        <v>121</v>
      </c>
      <c r="D394" s="37">
        <v>0</v>
      </c>
      <c r="E394" s="37">
        <v>0</v>
      </c>
    </row>
    <row r="395" spans="1:5" x14ac:dyDescent="0.2">
      <c r="A395" s="37" t="s">
        <v>512</v>
      </c>
      <c r="B395" s="37" t="s">
        <v>299</v>
      </c>
      <c r="C395" s="37" t="s">
        <v>121</v>
      </c>
      <c r="D395" s="37">
        <v>0</v>
      </c>
      <c r="E395" s="37">
        <v>0</v>
      </c>
    </row>
    <row r="396" spans="1:5" x14ac:dyDescent="0.2">
      <c r="A396" s="37" t="s">
        <v>513</v>
      </c>
      <c r="B396" s="37" t="s">
        <v>299</v>
      </c>
      <c r="C396" s="37" t="s">
        <v>117</v>
      </c>
      <c r="D396" s="37">
        <v>0</v>
      </c>
      <c r="E396" s="37">
        <v>0</v>
      </c>
    </row>
    <row r="397" spans="1:5" x14ac:dyDescent="0.2">
      <c r="A397" s="37" t="s">
        <v>514</v>
      </c>
      <c r="B397" s="37" t="s">
        <v>299</v>
      </c>
      <c r="C397" s="37" t="s">
        <v>117</v>
      </c>
      <c r="D397" s="37">
        <v>1</v>
      </c>
      <c r="E397" s="37">
        <v>4357.5</v>
      </c>
    </row>
    <row r="398" spans="1:5" x14ac:dyDescent="0.2">
      <c r="A398" s="37" t="s">
        <v>515</v>
      </c>
      <c r="B398" s="37" t="s">
        <v>299</v>
      </c>
      <c r="C398" s="37" t="s">
        <v>121</v>
      </c>
      <c r="D398" s="37">
        <v>0</v>
      </c>
      <c r="E398" s="37">
        <v>0</v>
      </c>
    </row>
    <row r="399" spans="1:5" x14ac:dyDescent="0.2">
      <c r="A399" s="37" t="s">
        <v>516</v>
      </c>
      <c r="B399" s="37" t="s">
        <v>299</v>
      </c>
      <c r="C399" s="37" t="s">
        <v>121</v>
      </c>
      <c r="D399" s="37">
        <v>0</v>
      </c>
      <c r="E399" s="37">
        <v>0</v>
      </c>
    </row>
    <row r="400" spans="1:5" x14ac:dyDescent="0.2">
      <c r="A400" s="37" t="s">
        <v>517</v>
      </c>
      <c r="B400" s="37" t="s">
        <v>299</v>
      </c>
      <c r="C400" s="37" t="s">
        <v>117</v>
      </c>
      <c r="D400" s="37">
        <v>1</v>
      </c>
      <c r="E400" s="37">
        <v>5907.11</v>
      </c>
    </row>
    <row r="401" spans="1:5" x14ac:dyDescent="0.2">
      <c r="A401" s="37" t="s">
        <v>518</v>
      </c>
      <c r="B401" s="37" t="s">
        <v>299</v>
      </c>
      <c r="C401" s="37" t="s">
        <v>121</v>
      </c>
      <c r="D401" s="37">
        <v>1</v>
      </c>
      <c r="E401" s="37">
        <v>5915.41</v>
      </c>
    </row>
    <row r="402" spans="1:5" x14ac:dyDescent="0.2">
      <c r="A402" s="37" t="s">
        <v>519</v>
      </c>
      <c r="B402" s="37" t="s">
        <v>299</v>
      </c>
      <c r="C402" s="37" t="s">
        <v>117</v>
      </c>
      <c r="D402" s="37">
        <v>1</v>
      </c>
      <c r="E402" s="37">
        <v>6327.92</v>
      </c>
    </row>
    <row r="403" spans="1:5" x14ac:dyDescent="0.2">
      <c r="A403" s="37" t="s">
        <v>520</v>
      </c>
      <c r="B403" s="37" t="s">
        <v>299</v>
      </c>
      <c r="C403" s="37" t="s">
        <v>117</v>
      </c>
      <c r="D403" s="37">
        <v>0</v>
      </c>
      <c r="E403" s="37">
        <v>0</v>
      </c>
    </row>
    <row r="404" spans="1:5" x14ac:dyDescent="0.2">
      <c r="A404" s="37" t="s">
        <v>521</v>
      </c>
      <c r="B404" s="37" t="s">
        <v>299</v>
      </c>
      <c r="C404" s="37" t="s">
        <v>121</v>
      </c>
      <c r="D404" s="37">
        <v>1</v>
      </c>
      <c r="E404" s="37">
        <v>4044.59</v>
      </c>
    </row>
    <row r="405" spans="1:5" x14ac:dyDescent="0.2">
      <c r="A405" s="37" t="s">
        <v>522</v>
      </c>
      <c r="B405" s="37" t="s">
        <v>299</v>
      </c>
      <c r="C405" s="37" t="s">
        <v>121</v>
      </c>
      <c r="D405" s="37">
        <v>1</v>
      </c>
      <c r="E405" s="37">
        <v>3995.62</v>
      </c>
    </row>
    <row r="406" spans="1:5" x14ac:dyDescent="0.2">
      <c r="A406" s="37" t="s">
        <v>523</v>
      </c>
      <c r="B406" s="37" t="s">
        <v>299</v>
      </c>
      <c r="C406" s="37" t="s">
        <v>117</v>
      </c>
      <c r="D406" s="37">
        <v>1</v>
      </c>
      <c r="E406" s="37">
        <v>7131.36</v>
      </c>
    </row>
    <row r="407" spans="1:5" x14ac:dyDescent="0.2">
      <c r="A407" s="37" t="s">
        <v>524</v>
      </c>
      <c r="B407" s="37" t="s">
        <v>299</v>
      </c>
      <c r="C407" s="37" t="s">
        <v>121</v>
      </c>
      <c r="D407" s="37">
        <v>0</v>
      </c>
      <c r="E407" s="37">
        <v>0</v>
      </c>
    </row>
    <row r="408" spans="1:5" x14ac:dyDescent="0.2">
      <c r="A408" s="37" t="s">
        <v>525</v>
      </c>
      <c r="B408" s="37" t="s">
        <v>299</v>
      </c>
      <c r="C408" s="37" t="s">
        <v>117</v>
      </c>
      <c r="D408" s="37">
        <v>0</v>
      </c>
      <c r="E408" s="37">
        <v>0</v>
      </c>
    </row>
    <row r="409" spans="1:5" x14ac:dyDescent="0.2">
      <c r="A409" s="37" t="s">
        <v>526</v>
      </c>
      <c r="B409" s="37" t="s">
        <v>299</v>
      </c>
      <c r="C409" s="37" t="s">
        <v>121</v>
      </c>
      <c r="D409" s="37">
        <v>0</v>
      </c>
      <c r="E409" s="37">
        <v>0</v>
      </c>
    </row>
    <row r="410" spans="1:5" x14ac:dyDescent="0.2">
      <c r="A410" s="37" t="s">
        <v>527</v>
      </c>
      <c r="B410" s="37" t="s">
        <v>299</v>
      </c>
      <c r="C410" s="37" t="s">
        <v>117</v>
      </c>
      <c r="D410" s="37">
        <v>1</v>
      </c>
      <c r="E410" s="37">
        <v>5153.47</v>
      </c>
    </row>
    <row r="411" spans="1:5" x14ac:dyDescent="0.2">
      <c r="A411" s="37" t="s">
        <v>528</v>
      </c>
      <c r="B411" s="37" t="s">
        <v>299</v>
      </c>
      <c r="C411" s="37" t="s">
        <v>117</v>
      </c>
      <c r="D411" s="37">
        <v>1</v>
      </c>
      <c r="E411" s="37">
        <v>5223.1899999999996</v>
      </c>
    </row>
    <row r="412" spans="1:5" x14ac:dyDescent="0.2">
      <c r="A412" s="37" t="s">
        <v>529</v>
      </c>
      <c r="B412" s="37" t="s">
        <v>299</v>
      </c>
      <c r="C412" s="37" t="s">
        <v>121</v>
      </c>
      <c r="D412" s="37">
        <v>0</v>
      </c>
      <c r="E412" s="37">
        <v>0</v>
      </c>
    </row>
    <row r="413" spans="1:5" x14ac:dyDescent="0.2">
      <c r="A413" s="37" t="s">
        <v>530</v>
      </c>
      <c r="B413" s="37" t="s">
        <v>299</v>
      </c>
      <c r="C413" s="37" t="s">
        <v>117</v>
      </c>
      <c r="D413" s="37">
        <v>0</v>
      </c>
      <c r="E413" s="37">
        <v>0</v>
      </c>
    </row>
    <row r="414" spans="1:5" x14ac:dyDescent="0.2">
      <c r="A414" s="37" t="s">
        <v>531</v>
      </c>
      <c r="B414" s="37" t="s">
        <v>299</v>
      </c>
      <c r="C414" s="37" t="s">
        <v>121</v>
      </c>
      <c r="D414" s="37">
        <v>0</v>
      </c>
      <c r="E414" s="37">
        <v>0</v>
      </c>
    </row>
    <row r="415" spans="1:5" x14ac:dyDescent="0.2">
      <c r="A415" s="37" t="s">
        <v>532</v>
      </c>
      <c r="B415" s="37" t="s">
        <v>299</v>
      </c>
      <c r="C415" s="37" t="s">
        <v>117</v>
      </c>
      <c r="D415" s="37">
        <v>0</v>
      </c>
      <c r="E415" s="37">
        <v>0</v>
      </c>
    </row>
    <row r="416" spans="1:5" x14ac:dyDescent="0.2">
      <c r="A416" s="37" t="s">
        <v>533</v>
      </c>
      <c r="B416" s="37" t="s">
        <v>299</v>
      </c>
      <c r="C416" s="37" t="s">
        <v>121</v>
      </c>
      <c r="D416" s="37">
        <v>0</v>
      </c>
      <c r="E416" s="37">
        <v>0</v>
      </c>
    </row>
    <row r="417" spans="1:5" x14ac:dyDescent="0.2">
      <c r="A417" s="37" t="s">
        <v>534</v>
      </c>
      <c r="B417" s="37" t="s">
        <v>299</v>
      </c>
      <c r="C417" s="37" t="s">
        <v>121</v>
      </c>
      <c r="D417" s="37">
        <v>0</v>
      </c>
      <c r="E417" s="37">
        <v>0</v>
      </c>
    </row>
    <row r="418" spans="1:5" x14ac:dyDescent="0.2">
      <c r="A418" s="37" t="s">
        <v>535</v>
      </c>
      <c r="B418" s="37" t="s">
        <v>299</v>
      </c>
      <c r="C418" s="37" t="s">
        <v>117</v>
      </c>
      <c r="D418" s="37">
        <v>0</v>
      </c>
      <c r="E418" s="37">
        <v>0</v>
      </c>
    </row>
    <row r="419" spans="1:5" x14ac:dyDescent="0.2">
      <c r="A419" s="37" t="s">
        <v>536</v>
      </c>
      <c r="B419" s="37" t="s">
        <v>299</v>
      </c>
      <c r="C419" s="37" t="s">
        <v>117</v>
      </c>
      <c r="D419" s="37">
        <v>0</v>
      </c>
      <c r="E419" s="37">
        <v>0</v>
      </c>
    </row>
    <row r="420" spans="1:5" x14ac:dyDescent="0.2">
      <c r="A420" s="37" t="s">
        <v>537</v>
      </c>
      <c r="B420" s="37" t="s">
        <v>299</v>
      </c>
      <c r="C420" s="37" t="s">
        <v>121</v>
      </c>
      <c r="D420" s="37">
        <v>0</v>
      </c>
      <c r="E420" s="37">
        <v>0</v>
      </c>
    </row>
    <row r="421" spans="1:5" x14ac:dyDescent="0.2">
      <c r="A421" s="37" t="s">
        <v>538</v>
      </c>
      <c r="B421" s="37" t="s">
        <v>299</v>
      </c>
      <c r="C421" s="37" t="s">
        <v>121</v>
      </c>
      <c r="D421" s="37">
        <v>1</v>
      </c>
      <c r="E421" s="37">
        <v>5889.68</v>
      </c>
    </row>
    <row r="422" spans="1:5" x14ac:dyDescent="0.2">
      <c r="A422" s="37" t="s">
        <v>539</v>
      </c>
      <c r="B422" s="37" t="s">
        <v>299</v>
      </c>
      <c r="C422" s="37" t="s">
        <v>121</v>
      </c>
      <c r="D422" s="37">
        <v>0</v>
      </c>
      <c r="E422" s="37">
        <v>0</v>
      </c>
    </row>
    <row r="423" spans="1:5" x14ac:dyDescent="0.2">
      <c r="A423" s="37" t="s">
        <v>540</v>
      </c>
      <c r="B423" s="37" t="s">
        <v>299</v>
      </c>
      <c r="C423" s="37" t="s">
        <v>121</v>
      </c>
      <c r="D423" s="37">
        <v>0</v>
      </c>
      <c r="E423" s="37">
        <v>0</v>
      </c>
    </row>
    <row r="424" spans="1:5" x14ac:dyDescent="0.2">
      <c r="A424" s="37" t="s">
        <v>541</v>
      </c>
      <c r="B424" s="37" t="s">
        <v>299</v>
      </c>
      <c r="C424" s="37" t="s">
        <v>121</v>
      </c>
      <c r="D424" s="37">
        <v>0</v>
      </c>
      <c r="E424" s="37">
        <v>0</v>
      </c>
    </row>
    <row r="425" spans="1:5" x14ac:dyDescent="0.2">
      <c r="A425" s="37" t="s">
        <v>542</v>
      </c>
      <c r="B425" s="37" t="s">
        <v>299</v>
      </c>
      <c r="C425" s="37" t="s">
        <v>117</v>
      </c>
      <c r="D425" s="37">
        <v>0</v>
      </c>
      <c r="E425" s="37">
        <v>0</v>
      </c>
    </row>
    <row r="426" spans="1:5" x14ac:dyDescent="0.2">
      <c r="A426" s="37" t="s">
        <v>543</v>
      </c>
      <c r="B426" s="37" t="s">
        <v>299</v>
      </c>
      <c r="C426" s="37" t="s">
        <v>121</v>
      </c>
      <c r="D426" s="37">
        <v>0</v>
      </c>
      <c r="E426" s="37">
        <v>0</v>
      </c>
    </row>
    <row r="427" spans="1:5" x14ac:dyDescent="0.2">
      <c r="A427" s="37" t="s">
        <v>544</v>
      </c>
      <c r="B427" s="37" t="s">
        <v>299</v>
      </c>
      <c r="C427" s="37" t="s">
        <v>121</v>
      </c>
      <c r="D427" s="37">
        <v>0</v>
      </c>
      <c r="E427" s="37">
        <v>0</v>
      </c>
    </row>
    <row r="428" spans="1:5" x14ac:dyDescent="0.2">
      <c r="A428" s="37" t="s">
        <v>545</v>
      </c>
      <c r="B428" s="37" t="s">
        <v>299</v>
      </c>
      <c r="C428" s="37" t="s">
        <v>121</v>
      </c>
      <c r="D428" s="37">
        <v>0</v>
      </c>
      <c r="E428" s="37">
        <v>0</v>
      </c>
    </row>
    <row r="429" spans="1:5" x14ac:dyDescent="0.2">
      <c r="A429" s="37" t="s">
        <v>546</v>
      </c>
      <c r="B429" s="37" t="s">
        <v>299</v>
      </c>
      <c r="C429" s="37" t="s">
        <v>121</v>
      </c>
      <c r="D429" s="37">
        <v>0</v>
      </c>
      <c r="E429" s="37">
        <v>0</v>
      </c>
    </row>
    <row r="430" spans="1:5" x14ac:dyDescent="0.2">
      <c r="A430" s="37" t="s">
        <v>547</v>
      </c>
      <c r="B430" s="37" t="s">
        <v>299</v>
      </c>
      <c r="C430" s="37" t="s">
        <v>117</v>
      </c>
      <c r="D430" s="37">
        <v>0</v>
      </c>
      <c r="E430" s="37">
        <v>0</v>
      </c>
    </row>
    <row r="431" spans="1:5" x14ac:dyDescent="0.2">
      <c r="A431" s="37" t="s">
        <v>548</v>
      </c>
      <c r="B431" s="37" t="s">
        <v>299</v>
      </c>
      <c r="C431" s="37" t="s">
        <v>121</v>
      </c>
      <c r="D431" s="37">
        <v>0</v>
      </c>
      <c r="E431" s="37">
        <v>0</v>
      </c>
    </row>
    <row r="432" spans="1:5" x14ac:dyDescent="0.2">
      <c r="A432" s="37" t="s">
        <v>549</v>
      </c>
      <c r="B432" s="37" t="s">
        <v>299</v>
      </c>
      <c r="C432" s="37" t="s">
        <v>117</v>
      </c>
      <c r="D432" s="37">
        <v>0</v>
      </c>
      <c r="E432" s="37">
        <v>0</v>
      </c>
    </row>
    <row r="433" spans="1:5" x14ac:dyDescent="0.2">
      <c r="A433" s="37" t="s">
        <v>550</v>
      </c>
      <c r="B433" s="37" t="s">
        <v>299</v>
      </c>
      <c r="C433" s="37" t="s">
        <v>121</v>
      </c>
      <c r="D433" s="37">
        <v>1</v>
      </c>
      <c r="E433" s="37">
        <v>4245.45</v>
      </c>
    </row>
    <row r="434" spans="1:5" x14ac:dyDescent="0.2">
      <c r="A434" s="37" t="s">
        <v>551</v>
      </c>
      <c r="B434" s="37" t="s">
        <v>299</v>
      </c>
      <c r="C434" s="37" t="s">
        <v>117</v>
      </c>
      <c r="D434" s="37">
        <v>0</v>
      </c>
      <c r="E434" s="37">
        <v>0</v>
      </c>
    </row>
    <row r="435" spans="1:5" x14ac:dyDescent="0.2">
      <c r="A435" s="37" t="s">
        <v>552</v>
      </c>
      <c r="B435" s="37" t="s">
        <v>299</v>
      </c>
      <c r="C435" s="37" t="s">
        <v>121</v>
      </c>
      <c r="D435" s="37">
        <v>1</v>
      </c>
      <c r="E435" s="37">
        <v>6302.19</v>
      </c>
    </row>
    <row r="436" spans="1:5" x14ac:dyDescent="0.2">
      <c r="A436" s="37" t="s">
        <v>553</v>
      </c>
      <c r="B436" s="37" t="s">
        <v>299</v>
      </c>
      <c r="C436" s="37" t="s">
        <v>121</v>
      </c>
      <c r="D436" s="37">
        <v>0</v>
      </c>
      <c r="E436" s="37">
        <v>0</v>
      </c>
    </row>
    <row r="437" spans="1:5" x14ac:dyDescent="0.2">
      <c r="A437" s="37" t="s">
        <v>554</v>
      </c>
      <c r="B437" s="37" t="s">
        <v>299</v>
      </c>
      <c r="C437" s="37" t="s">
        <v>117</v>
      </c>
      <c r="D437" s="37">
        <v>0</v>
      </c>
      <c r="E437" s="37">
        <v>0</v>
      </c>
    </row>
    <row r="438" spans="1:5" x14ac:dyDescent="0.2">
      <c r="A438" s="37" t="s">
        <v>555</v>
      </c>
      <c r="B438" s="37" t="s">
        <v>299</v>
      </c>
      <c r="C438" s="37" t="s">
        <v>121</v>
      </c>
      <c r="D438" s="37">
        <v>0</v>
      </c>
      <c r="E438" s="37">
        <v>0</v>
      </c>
    </row>
    <row r="439" spans="1:5" x14ac:dyDescent="0.2">
      <c r="A439" s="37" t="s">
        <v>556</v>
      </c>
      <c r="B439" s="37" t="s">
        <v>299</v>
      </c>
      <c r="C439" s="37" t="s">
        <v>117</v>
      </c>
      <c r="D439" s="37">
        <v>0</v>
      </c>
      <c r="E439" s="37">
        <v>0</v>
      </c>
    </row>
    <row r="440" spans="1:5" x14ac:dyDescent="0.2">
      <c r="A440" s="37" t="s">
        <v>557</v>
      </c>
      <c r="B440" s="37" t="s">
        <v>299</v>
      </c>
      <c r="C440" s="37" t="s">
        <v>121</v>
      </c>
      <c r="D440" s="37">
        <v>0</v>
      </c>
      <c r="E440" s="37">
        <v>0</v>
      </c>
    </row>
    <row r="441" spans="1:5" x14ac:dyDescent="0.2">
      <c r="A441" s="37" t="s">
        <v>558</v>
      </c>
      <c r="B441" s="37" t="s">
        <v>299</v>
      </c>
      <c r="C441" s="37" t="s">
        <v>121</v>
      </c>
      <c r="D441" s="37">
        <v>0</v>
      </c>
      <c r="E441" s="37">
        <v>0</v>
      </c>
    </row>
  </sheetData>
  <mergeCells count="1">
    <mergeCell ref="N6:P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agenda</vt:lpstr>
      <vt:lpstr>data_toolpak</vt:lpstr>
      <vt:lpstr>Regression</vt:lpstr>
      <vt:lpstr>Regression_output</vt:lpstr>
      <vt:lpstr>Sheet5</vt:lpstr>
      <vt:lpstr>A B Testing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2026-05-22T15:33:45Z</dcterms:created>
  <dcterms:modified xsi:type="dcterms:W3CDTF">2026-05-23T17:48:03Z</dcterms:modified>
</cp:coreProperties>
</file>