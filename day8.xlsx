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83B23C93-A1AA-9340-9F22-F9ABBB1B3A26}" xr6:coauthVersionLast="47" xr6:coauthVersionMax="47" xr10:uidLastSave="{00000000-0000-0000-0000-000000000000}"/>
  <bookViews>
    <workbookView xWindow="0" yWindow="600" windowWidth="28800" windowHeight="17400" activeTab="1" xr2:uid="{2C5116C8-3F38-0543-8E84-98112BD1897E}"/>
  </bookViews>
  <sheets>
    <sheet name="agenda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5" i="2" l="1"/>
  <c r="D136" i="2"/>
  <c r="C105" i="2"/>
  <c r="D104" i="2"/>
  <c r="D103" i="2"/>
  <c r="D105" i="2"/>
  <c r="E79" i="2"/>
  <c r="F79" i="2"/>
  <c r="E64" i="2"/>
  <c r="F64" i="2"/>
  <c r="E56" i="2"/>
  <c r="E58" i="2"/>
  <c r="B58" i="2"/>
  <c r="B56" i="2"/>
  <c r="G39" i="2"/>
  <c r="G41" i="2"/>
  <c r="C35" i="2"/>
  <c r="B35" i="2"/>
  <c r="D26" i="2"/>
  <c r="E26" i="2"/>
  <c r="D21" i="2"/>
  <c r="D19" i="2"/>
  <c r="C21" i="2"/>
  <c r="C19" i="2"/>
  <c r="C15" i="2"/>
  <c r="D15" i="2"/>
  <c r="C13" i="2"/>
  <c r="C14" i="2"/>
  <c r="C12" i="2"/>
  <c r="D14" i="2"/>
  <c r="D13" i="2"/>
  <c r="D12" i="2"/>
  <c r="D9" i="2"/>
  <c r="C9" i="2"/>
  <c r="D8" i="2"/>
  <c r="C8" i="2"/>
  <c r="D7" i="2"/>
  <c r="C7" i="2"/>
</calcChain>
</file>

<file path=xl/sharedStrings.xml><?xml version="1.0" encoding="utf-8"?>
<sst xmlns="http://schemas.openxmlformats.org/spreadsheetml/2006/main" count="157" uniqueCount="85">
  <si>
    <t>Lookup &amp; Reference</t>
  </si>
  <si>
    <t>Lookup</t>
  </si>
  <si>
    <t>Student Id</t>
  </si>
  <si>
    <t>Name</t>
  </si>
  <si>
    <t>Course</t>
  </si>
  <si>
    <t>Phn Num</t>
  </si>
  <si>
    <t>Jennifer</t>
  </si>
  <si>
    <t>Bsc Phy</t>
  </si>
  <si>
    <t>Fake num 1</t>
  </si>
  <si>
    <t>Shyaam</t>
  </si>
  <si>
    <t>Bsc Chem</t>
  </si>
  <si>
    <t>Fake num 2</t>
  </si>
  <si>
    <t>Meena</t>
  </si>
  <si>
    <t>Ba History</t>
  </si>
  <si>
    <t>Fake num 3</t>
  </si>
  <si>
    <t>Arjun</t>
  </si>
  <si>
    <t>MBA HR</t>
  </si>
  <si>
    <t>Fake num 4</t>
  </si>
  <si>
    <t>Dolly</t>
  </si>
  <si>
    <t>Ba Soci</t>
  </si>
  <si>
    <t>Fake num 5</t>
  </si>
  <si>
    <t>Sonam</t>
  </si>
  <si>
    <t>MBA Ops</t>
  </si>
  <si>
    <t>Fake num 6</t>
  </si>
  <si>
    <t>Student ID</t>
  </si>
  <si>
    <t>VLOOKUP</t>
  </si>
  <si>
    <t>HLOOKUP</t>
  </si>
  <si>
    <t>XLOOKUP</t>
  </si>
  <si>
    <t>ROW</t>
  </si>
  <si>
    <t>ROWS</t>
  </si>
  <si>
    <t>COLUMN</t>
  </si>
  <si>
    <t>COLUMNS</t>
  </si>
  <si>
    <t>TO GET ROW NUMBER OF THAT CELL if refrence is given else current row number</t>
  </si>
  <si>
    <t xml:space="preserve">GIVES number of rows in the array </t>
  </si>
  <si>
    <t>TO GET COLUMN NUMBER OF THAT CELL if refrence is given else current COLUMN number</t>
  </si>
  <si>
    <t xml:space="preserve">GIVES number of columns in the array </t>
  </si>
  <si>
    <t>Hello</t>
  </si>
  <si>
    <t>This</t>
  </si>
  <si>
    <t>is</t>
  </si>
  <si>
    <t>Selected</t>
  </si>
  <si>
    <t xml:space="preserve">For </t>
  </si>
  <si>
    <t>Demo</t>
  </si>
  <si>
    <t>INDEX</t>
  </si>
  <si>
    <t>Helps in finding VALUE in array at particular ROW number and column number</t>
  </si>
  <si>
    <t>MATCH</t>
  </si>
  <si>
    <t>ROW / CoL number of the value in the lookup array</t>
  </si>
  <si>
    <t>INDEX+MATCH</t>
  </si>
  <si>
    <t>Mango</t>
  </si>
  <si>
    <t>Banana</t>
  </si>
  <si>
    <t>Apple</t>
  </si>
  <si>
    <t>Orange</t>
  </si>
  <si>
    <t>Litchi</t>
  </si>
  <si>
    <t>FOR MATCH</t>
  </si>
  <si>
    <t>EXACT search</t>
  </si>
  <si>
    <t>Approximate Search</t>
  </si>
  <si>
    <t xml:space="preserve">Less than </t>
  </si>
  <si>
    <t>SORTED ORDER</t>
  </si>
  <si>
    <t>Asc</t>
  </si>
  <si>
    <t>Greater than</t>
  </si>
  <si>
    <t>Desc</t>
  </si>
  <si>
    <t>Salary</t>
  </si>
  <si>
    <t>Find person with Sal &lt;20K</t>
  </si>
  <si>
    <t>LESS THAN ( 1 )</t>
  </si>
  <si>
    <t>Find the position where the biggest value is smaller than lookup value</t>
  </si>
  <si>
    <t>Just Smaller than Lookup Value</t>
  </si>
  <si>
    <t>GREATER THAN (- 1 )</t>
  </si>
  <si>
    <t>Find the position where the Smallest value is Bigger than lookup value</t>
  </si>
  <si>
    <t>Just bigger than Lookup Value</t>
  </si>
  <si>
    <t>the person who earns</t>
  </si>
  <si>
    <t>just higher than 30K</t>
  </si>
  <si>
    <t>INDEX + MATCH</t>
  </si>
  <si>
    <t>Groc A</t>
  </si>
  <si>
    <t>Groc B</t>
  </si>
  <si>
    <t>Groc C</t>
  </si>
  <si>
    <t>Sugar</t>
  </si>
  <si>
    <t>Salt</t>
  </si>
  <si>
    <t>Pepper</t>
  </si>
  <si>
    <t>Soap</t>
  </si>
  <si>
    <t>Shampoo</t>
  </si>
  <si>
    <t>Outlet</t>
  </si>
  <si>
    <t>Item</t>
  </si>
  <si>
    <t>Price</t>
  </si>
  <si>
    <t>Vlookup</t>
  </si>
  <si>
    <t>Xlookup</t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</si>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</sst>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242424"/>
      <name val="Aptos Narrow"/>
      <scheme val="minor"/>
    </font>
    <font>
      <sz val="12"/>
      <color rgb="FF000000"/>
      <name val="Aptos Narrow"/>
      <scheme val="minor"/>
    </font>
    <font>
      <sz val="12"/>
      <color rgb="FF242424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4D93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0" fillId="3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0" fillId="4" borderId="1" xfId="0" applyFill="1" applyBorder="1"/>
    <xf numFmtId="0" fontId="0" fillId="3" borderId="1" xfId="0" applyFill="1" applyBorder="1"/>
    <xf numFmtId="0" fontId="2" fillId="0" borderId="0" xfId="0" applyFont="1" applyFill="1" applyBorder="1"/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0" fillId="0" borderId="1" xfId="0" applyBorder="1" applyAlignment="1">
      <alignment horizontal="center"/>
    </xf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11" Type="http://schemas.openxmlformats.org/officeDocument/2006/relationships/image" Target="../media/image6.png"/><Relationship Id="rId5" Type="http://schemas.openxmlformats.org/officeDocument/2006/relationships/image" Target="../media/image3.png"/><Relationship Id="rId10" Type="http://schemas.openxmlformats.org/officeDocument/2006/relationships/customXml" Target="../ink/ink5.xml"/><Relationship Id="rId4" Type="http://schemas.openxmlformats.org/officeDocument/2006/relationships/customXml" Target="../ink/ink2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107</xdr:row>
      <xdr:rowOff>200526</xdr:rowOff>
    </xdr:from>
    <xdr:to>
      <xdr:col>8</xdr:col>
      <xdr:colOff>437998</xdr:colOff>
      <xdr:row>112</xdr:row>
      <xdr:rowOff>40430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61EA80-A92D-8F62-8951-A7D4F77B3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2823" y="22556172"/>
          <a:ext cx="7772400" cy="842536"/>
        </a:xfrm>
        <a:prstGeom prst="rect">
          <a:avLst/>
        </a:prstGeom>
      </xdr:spPr>
    </xdr:pic>
    <xdr:clientData/>
  </xdr:twoCellAnchor>
  <xdr:twoCellAnchor editAs="oneCell">
    <xdr:from>
      <xdr:col>3</xdr:col>
      <xdr:colOff>1839326</xdr:colOff>
      <xdr:row>117</xdr:row>
      <xdr:rowOff>73731</xdr:rowOff>
    </xdr:from>
    <xdr:to>
      <xdr:col>4</xdr:col>
      <xdr:colOff>128803</xdr:colOff>
      <xdr:row>119</xdr:row>
      <xdr:rowOff>96038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6B6FA3C9-4174-C4FB-40BD-DB7B145BD3B3}"/>
                </a:ext>
              </a:extLst>
            </xdr14:cNvPr>
            <xdr14:cNvContentPartPr/>
          </xdr14:nvContentPartPr>
          <xdr14:nvPr macro=""/>
          <xdr14:xfrm>
            <a:off x="4318560" y="24434640"/>
            <a:ext cx="331200" cy="42336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6B6FA3C9-4174-C4FB-40BD-DB7B145BD3B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312440" y="24428520"/>
              <a:ext cx="343440" cy="43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162283</xdr:colOff>
      <xdr:row>117</xdr:row>
      <xdr:rowOff>198291</xdr:rowOff>
    </xdr:from>
    <xdr:to>
      <xdr:col>4</xdr:col>
      <xdr:colOff>758443</xdr:colOff>
      <xdr:row>119</xdr:row>
      <xdr:rowOff>46358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33D97901-13B0-ABF4-2B3A-C62C090E851A}"/>
                </a:ext>
              </a:extLst>
            </xdr14:cNvPr>
            <xdr14:cNvContentPartPr/>
          </xdr14:nvContentPartPr>
          <xdr14:nvPr macro=""/>
          <xdr14:xfrm>
            <a:off x="4683240" y="24559200"/>
            <a:ext cx="596160" cy="24912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33D97901-13B0-ABF4-2B3A-C62C090E851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677120" y="24553080"/>
              <a:ext cx="608400" cy="26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818577</xdr:colOff>
      <xdr:row>109</xdr:row>
      <xdr:rowOff>48581</xdr:rowOff>
    </xdr:from>
    <xdr:to>
      <xdr:col>4</xdr:col>
      <xdr:colOff>1882632</xdr:colOff>
      <xdr:row>115</xdr:row>
      <xdr:rowOff>181024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ACB6E83C-FEEF-BDAE-246A-1A0B52557ED1}"/>
                </a:ext>
              </a:extLst>
            </xdr14:cNvPr>
            <xdr14:cNvContentPartPr/>
          </xdr14:nvContentPartPr>
          <xdr14:nvPr macro=""/>
          <xdr14:xfrm>
            <a:off x="2471400" y="22805280"/>
            <a:ext cx="3936240" cy="133560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ACB6E83C-FEEF-BDAE-246A-1A0B52557ED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465271" y="22799206"/>
              <a:ext cx="3948498" cy="13477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247180</xdr:colOff>
      <xdr:row>109</xdr:row>
      <xdr:rowOff>8621</xdr:rowOff>
    </xdr:from>
    <xdr:to>
      <xdr:col>9</xdr:col>
      <xdr:colOff>618786</xdr:colOff>
      <xdr:row>122</xdr:row>
      <xdr:rowOff>20419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CAC0B9D3-9B31-7078-033D-32F782A8F584}"/>
                </a:ext>
              </a:extLst>
            </xdr14:cNvPr>
            <xdr14:cNvContentPartPr/>
          </xdr14:nvContentPartPr>
          <xdr14:nvPr macro=""/>
          <xdr14:xfrm>
            <a:off x="6420960" y="22765320"/>
            <a:ext cx="2850840" cy="261864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CAC0B9D3-9B31-7078-033D-32F782A8F58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414828" y="22759201"/>
              <a:ext cx="2863105" cy="26308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330997</xdr:colOff>
      <xdr:row>119</xdr:row>
      <xdr:rowOff>172358</xdr:rowOff>
    </xdr:from>
    <xdr:to>
      <xdr:col>8</xdr:col>
      <xdr:colOff>736717</xdr:colOff>
      <xdr:row>122</xdr:row>
      <xdr:rowOff>4219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E99EB128-C0C2-8524-792B-4BB8FE808D54}"/>
                </a:ext>
              </a:extLst>
            </xdr14:cNvPr>
            <xdr14:cNvContentPartPr/>
          </xdr14:nvContentPartPr>
          <xdr14:nvPr macro=""/>
          <xdr14:xfrm>
            <a:off x="8157600" y="24934320"/>
            <a:ext cx="405720" cy="43344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E99EB128-C0C2-8524-792B-4BB8FE808D54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8151480" y="24928200"/>
              <a:ext cx="417960" cy="445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6T17:14:02.466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125 141 24575,'0'21'0,"0"43"0,0-6 0,0 8 0,0 20 0,0 5 0,0 5 0,0 0 0,0-9 0,0-4 0,0-17 0,0-6 0,0 18 0,0-38 0,-1-32 0,-2-21 0,0-13 0,-1-10 0,-1-5 0,0-2 0,-4-9 0,-4-14 0,-6-21 0,9 36 0,-1-2 0,2-3 0,0 0 0,1 2 0,2 1 0,-1-39 0,4 16 0,9 17 0,7 10 0,12 6 0,11 5 0,14 2 0,12 6 0,12 11 0,7 8 0,-6 12 0,-3 20 0,-7 20 0,-6 24 0,-30-23 0,-2 3 0,-3 1 0,-3 0 0,-1 2 0,-4-1 0,7 35 0,-11-20 0,-6-18 0,-8-18 0,-8-12 0,-9-6 0,-12-4 0,-14-2 0,-22-2 0,-14 0 0,-12 0 0,-1 0 0,14 0 0,15-2 0,23-2 0,20-2 0,13-2 0,6 1 0,4 0 0,4 3 0,4 2 0,6 3 0,3 3 0,9 9 0,14 14 0,20 14 0,-20-12 0,4 1 0,3 5 0,2 1 0,2 2 0,-1 1 0,-4 0 0,-1-1 0,-6-3 0,-2-2 0,23 21 0,-18-17 0,-16-14 0,-14-11 0,-7-7 0,-4-3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6T17:14:05.566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81 410 24575,'-5'-1'0,"3"8"0,0 11 0,3 14 0,7 9 0,6 3 0,6-4 0,7-7 0,1-8 0,2-9 0,0-7 0,-3-5 0,-1-5 0,-1-6 0,1-10 0,2-9 0,-1-8 0,-2-4 0,-5-3 0,-7 0 0,-6 0 0,-7 3 0,-11 3 0,-11 1 0,-12-1 0,-14 0 0,-9-1 0,-7 2 0,0 5 0,7 8 0,14 10 0,15 7 0,12 7 0,9 7 0,5 6 0,1 5 0,2 1 0,3-2 0,6 0 0,7-2 0,10 1 0,10 0 0,14 1 0,11 0 0,8-4 0,5-5 0,-5-6 0,-5-9 0,-5-10 0,-8-10 0,-4-10 0,-5-6 0,-8-3 0,-9-1 0,-9 4 0,-8 5 0,-5 10 0,-5 8 0,-4 8 0,-3 5 0,-1 4 0,0 7 0,1 8 0,2 9 0,1 8 0,2 0 0,2 1 0,1 7 0,1 15 0,8 23 0,10 11 0,10 1 0,6-14 0,-4-24 0,-4-22 0,-8-18 0,-3-12 0,-3-12 0,0-12 0,1-16 0,2-17 0,2-10 0,1-5 0,-2 2 0,-5 13 0,-4 14 0,-4 15 0,-4 12 0,-3 7 0,-4 6 0,-3 2 0,-1 2 0,2 4 0,3 7 0,4 6 0,1 8 0,4 11 0,10 13 0,11 15 0,8 3 0,6-7 0,-3-14 0,-1-18 0,3-14 0,2-9 0,8-10 0,7-11 0,8-11 0,2-13 0,-4-6 0,-12-3 0,-13-1 0,-15 2 0,-10 2 0,-9 2 0,-11-1 0,-13-3 0,-13 0 0,-6 2 0,-1 8 0,5 10 0,4 11 0,6 10 0,6 4 0,7 2 0,4 4 0,4 7 0,4 5 0,1 5 0,2-2 0,1-1 0,3-4 0,6-3 0,4-5 0,5-3 0,6-2 0,2-1 0,6 0 0,3-2 0,-1-5 0,-2-4 0,-6-3 0,-7 1 0,-7 2 0,-4 3 0,-4 5 0,-3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6T17:13:41.884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858 1150 24575,'4'-2'0,"18"0"0,45 2 0,-11 0 0,6 0 0,11 0 0,3 0 0,3 0 0,-2 0 0,-5 0 0,-3 0 0,-7 0 0,-2 0 0,1 0 0,-1 0 0,-1 0 0,-1 0 0,-3 0 0,0 0 0,44 0 0,-11 0 0,-4 0 0,5 0 0,7 0 0,-44 0 0,0 0 0,2 0 0,0-1 0,-2-1 0,-1 0 0,43-4 0,-17 1 0,-22 2 0,-19 1 0,-15 2 0,-7 0 0,-4 0 0,-3 0 0,-3 0 0,-2 0 0</inkml:trace>
  <inkml:trace contextRef="#ctx0" brushRef="#br0" timeOffset="2082">1969 1279 24575,'0'12'0,"0"14"0,0 18 0,0 16 0,0 8 0,0-2 0,0-4 0,0-7 0,0-1 0,0 3 0,0-1 0,0-4 0,0-7 0,0-5 0,0-6 0,0-6 0,0-7 0,0-7 0,-1-6 0,-1-3 0,-2-2 0,-2-2 0,-4-3 0,-4-4 0,-1-4 0,-3-6 0,0-2 0,-2-1 0,-3-2 0,-3-1 0,-1 2 0,3 2 0,6 5 0,13 6 0,12 9 0,10 7 0,6 7 0,-2 5 0,-2-1 0,-2 2 0,-3 0 0,-1 1 0,-2-2 0,-3-4 0,-2-3 0,-1-3 0,-1-2 0,0 1 0,0-2 0,0-1 0,1-3 0,1-2 0,-1-1 0,1-1 0,1-1 0,3-3 0,2-6 0,5-7 0,2-5 0,4-3 0,2-3 0,0 0 0,1 0 0,-2 3 0,-3 3 0,-2 4 0,-4 3 0,-3 3 0,-3 3 0,-2 2 0,-2 1 0,-2 2 0,-2-1 0,-3 1 0,-12 2 0,7 0 0,-6 2 0</inkml:trace>
  <inkml:trace contextRef="#ctx0" brushRef="#br0" timeOffset="3982">0 2883 24575,'0'41'0,"0"25"0,0-13 0,0 5 0,0 13 0,0 3 0,0 2 0,0 0 0,0-7 0,0-4 0,0 30 0,0-39 0,0-26 0,0-23 0,0-44 0,0-8 0,0-34 0,2 10 0,0 6 0,2 9 0,1 3 0,2-8 0,5-10 0,5-14 0,6-3 0,4 10 0,2 13 0,4 14 0,9 4 0,15-8 0,11-3 0,5-1 0,-4 12 0,-11 17 0,-12 13 0,-5 13 0,2 12 0,5 12 0,5 14 0,-2 13 0,-7 8 0,-9 6 0,-9 2 0,-7-1 0,-7-3 0,-3-3 0,-4-2 0,-1-1 0,0-1 0,0-6 0,-1-7 0,-2-8 0,-1-7 0,0-4 0,2-2 0,-1 0 0,0-3 0,0-2 0,-1-2 0,0-2 0,0-5 0,0-2 0</inkml:trace>
  <inkml:trace contextRef="#ctx0" brushRef="#br0" timeOffset="4915">350 3229 24575,'12'0'0,"8"0"0,16 0 0,23 0 0,27 0 0,-25 0 0,5 0 0,15-1 0,3-1 0,6-3 0,2-2 0,-1-1 0,-3-2 0,-15-1 0,-5-1 0,28-7 0,-40 8 0,-33 7 0,-20 2 0,-10 2 0,0 0 0,0 0 0</inkml:trace>
  <inkml:trace contextRef="#ctx0" brushRef="#br0" timeOffset="6199">1499 3069 24575,'8'-2'0,"5"2"0,13 13 0,9 15 0,10 14 0,1 11 0,-9-2 0,-9-6 0,-13-8 0,-8-11 0,-5-7 0,-7-3 0,-3-1 0,-5-2 0,-3-1 0,-2-4 0,-1-2 0,0-4 0,0-2 0,3-5 0,4-8 0,4-10 0,5-12 0,2-7 0,7-9 0,11-3 0,10 0 0,7 6 0,-2 8 0,-6 8 0,-3 7 0,-4 3 0,0 5 0,-4 4 0,-3 5 0,-2 3 0,-4 2 0,-5 3 0,0 0 0,-4 1 0</inkml:trace>
  <inkml:trace contextRef="#ctx0" brushRef="#br0" timeOffset="7532">2034 3000 24575,'21'18'0,"5"15"0,6 16 0,2 9 0,-3 0 0,-9-8 0,-7-10 0,-8-12 0,-5-9 0,-6-5 0,-5-2 0,-5 0 0,-6-3 0,-2-2 0,0-3 0,1-5 0,4-6 0,4-8 0,4-12 0,3-11 0,3-8 0,10-6 0,11-2 0,12 6 0,10 7 0,-1 9 0,-2 8 0,-4 3 0,-5 3 0,-6 2 0,-6 4 0,-3 3 0,-4 3 0,-3 2 0,-1 2 0,-4 0 0,-4 1 0,-11 2-1696,-8 3 0,7-2 0,1 2 0</inkml:trace>
  <inkml:trace contextRef="#ctx0" brushRef="#br0" timeOffset="10098">3626 1069 24575,'0'8'0,"0"2"0,0 2 0,1-2 0,1-5 0,3-4 0,1-1 0,1 0 0,1 0 0,3 0 0,2 0 0,5 0 0,5 0 0,3 0 0,6 0 0,4 0 0,8 0 0,11 0 0,14 0 0,19 0 0,-34 0 0,3 0 0,8 1 0,5-2 0,11 1 0,3-2 0,11 0 0,4 0 0,-26 0 0,1 1 0,2-1-260,3 0 1,2-1-1,0 1 260,3 0 0,0 1 0,1-1 0,0 1 0,1 0 0,-1 1 0,0-1 0,0 0 0,-1 0 0,-1 1 0,-1 0 0,-1 0 0,-1 0 0,-1 0 0,0 0 0,-2 0 0,0 0 0,-1 0 0,-5 0 0,-1 0 0,-1 0 0,27 0 0,-3 0 0,-12 0 0,-3 0 0,-12 0 0,-3 0 0,-9 0 0,-2 0 0,37 0 0,-12 0 779,-8 0-779,-6 0 0,-3 0 0,-6 0 0,0 0 0,1 0 0,8-1 0,17-3 0,5-1 0,6-1 0,-1 2 0,0 3 0,-34 0 0,4 2 0,11-1 0,4 0 0,7 0 0,2 0 0,2 0 0,-1 0 0,-9 0 0,-5 0 0,-15 0 0,-5 0 0,21 0 0,-30 0 0,-19 0 0,-11 0 0,-6 0 0</inkml:trace>
  <inkml:trace contextRef="#ctx0" brushRef="#br0" timeOffset="15482">9437 1066 24575,'20'0'0,"7"0"0,13 0 0,10 0 0,8 0 0,7 0 0,8 0 0,4 0 0,4 0 0,1 0 0,-2 0 0,-1 0 0,-5 0 0,-8 0 0,-6 0 0,-8 0 0,-8 0 0,-9 1 0,-8 0 0,-3 0 0,0 0 0,3 0 0,3 0 0,-2 1 0,-2 1 0,-4 1 0,0 1 0,0 0 0,-1 1 0,-2-1 0,-5-1 0,-4-2 0,-5-2 0,-2-5 0,-2-5 0,0-6 0,1-6 0,2-9 0,3-14 0,4-11 0,4-11 0,2-4 0,-1 5 0,-5 8 0,-5 11 0,-4 10 0,-2 5 0,0 1 0,-3-2 0,-2-6 0,-6-5 0,-3-3 0,1-2 0,0 5 0,1 4 0,2 8 0,1 7 0,1 6 0,1 5 0,1 5 0,1 4 0,-1 2 0,1 2 0,-1 1 0,-2-1 0,-2 1 0,-2 0 0,-2 0 0,-7-2 0,-13-5 0,-19-5 0,-19-6 0,-14 0 0,-6 0 0,-7 3 0,50 9 0,-2 2 0,-1 0 0,-2 2 0,-3 0 0,0 2 0,-2-1 0,0 1 0,-4 0 0,0 0 0,2 0 0,2 0 0,1 0 0,1 0 0,4 0 0,0 0 0,0 0 0,0 0 0,-2 0 0,-1 0 0,-4 1 0,-1 0 0,-3 2 0,-1 0 0,1 1 0,0-1 0,2 2 0,0-1 0,4 0 0,1-1 0,0 0 0,1-1 0,0 2 0,0-1 0,2 0 0,1 0 0,2 0 0,1 0 0,-40 0 0,6-1 0,4-2 0,7 0 0,1 0 0,2 0 0,4 0 0,3 0 0,4 0 0,-5 0 0,-1 0 0,-7 0 0,-7 0 0,3-1 0,-2-1 0,7 0 0,6 1 0,5 1 0,6 0 0,9 0 0,3-1 0,5-1 0,1-1 0,1-1 0,1 0 0,-7-2 0,-10 0 0,-19 1 0,-13 2 0,-12 3 0,1 0 0,13 0 0,15 0 0,23 0 0,16-1 0,13 0 0,6-1 0,3-1 0,1 1 0,2 0 0,2 2 0,1 5 0,-2 7 0,-24 3 0,-26 0 0,-35-3 0,30-6 0,-1-1 0,-3-1 0,0 0 0,0 0 0,1-1 0,6 0 0,3-1 0,-32 0 0,17-1 0,8-1 0,1 0 0,-11 0 0,-5 2 0,1-1 0,7 2 0,15-1 0,11 0 0,1 0 0,-4 0 0,-14 0 0,-4 0 0,4 0 0,12 0 0,16 1 0,10 0 0,6-1 0,0 0 0,-3 0 0,-5-1 0,-5 0 0,-3-1 0,-1 0 0,0 0 0,1 1 0,-3 1 0,-8-1 0,-6 2 0,-4-2 0,-4 1 0,5-1 0,5-1 0,10 0 0,10 0 0,3 0 0,-4 0 0,-8 0 0,-9 0 0,-5-1 0,3-2 0,8 0 0,10 0 0,9 0 0,6 2 0,1 0 0,-5 1 0,-11 0 0,-8 0 0,-6 0 0,3 0 0,9 1 0,11 1 0,8 2 0,6 0 0,1 1 0,0 0 0,0 1 0,0 1 0,0 0 0,0 1 0,2 0 0,2 1 0,1 0 0,1-1 0,0 0 0,-2 6 0,-2 9 0,-1 14 0,-1 20 0,0 16 0,-5 11 0,-1-2 0,-3-12 0,1-15 0,3-17 0,2-13 0,2-7 0,0-4 0,0 1 0,-1 4 0,-1 5 0,1 5 0,-2 0 0,0-2 0,2-4 0,1-6 0,1-4 0,0-2 0,0-1 0,0 3 0,0 2 0,0 4 0,0 2 0,0 0 0,0 0 0,1-4 0,1-4 0,2-4 0,2-5 0,2-2 0,4-2 0,3 0 0,5 0 0,4 0 0,3 0 0,7 0 0,9 2 0,9 1 0,8 2 0,1 1 0,-3-1 0,-11 0 0,-13-1 0,-11-1 0,-11 0 0,-5 1 0,-4-2 0,-3 0 0</inkml:trace>
  <inkml:trace contextRef="#ctx0" brushRef="#br0" timeOffset="18148">7081 1249 24575,'0'18'0,"0"22"0,0 29 0,0 25 0,0-40 0,0 2 0,0 0 0,0 0 0,0 1 0,0 1 0,-1 3 0,0 1 0,-1 4 0,-2 2 0,-1 8 0,-3 1 0,-1 4 0,-2 1 0,0-4 0,-1-1 0,1-6 0,0-2 0,1-8 0,1-2 0,2-7 0,0 0 0,-4 41 0,2-9 0,2-7 0,1-4 0,0 1 0,2 1 0,0-1 0,1-2 0,1-10 0,0-14 0,0-13 0,1-15 0,0-6 0,0-7 0,-1-3 0,-1-2 0,0-2 0,-1 0 0,-3 0 0,-2-3 0,-3-4 0,-3-3 0,-1-5 0,2 1 0,2 0 0,3 2 0,0 0 0,0 0 0,-4-1 0,-1-1 0,-2-1 0,-2 2 0,-1-1 0,0 1 0,1 2 0,3 2 0,4 3 0,3 4 0,4 3 0,7 7 0,6 5 0,7 5 0,3 0 0,0 0 0,-1-2 0,-2-3 0,-1-1 0,3-1 0,2 2 0,4 3 0,0 1 0,-4-2 0,-4-1 0,-4-5 0,-3-2 0,-1-1 0,-1-2 0,-2-2 0,0 0 0,-1-2 0,1 0 0,1 0 0,1 0 0,2-3 0,0-3 0,0-5 0,1-3 0,0-2 0,0-1 0,0-3 0,1 0 0,2-1 0,5-2 0,7-3 0,7-2 0,2 2 0,-4 5 0,-7 7 0,-11 6 0,-9 5 0,-2 2 0,-4 1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6T17:14:12.616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0 235 24575,'0'15'0,"0"14"0,1 26 0,3 28 0,1-33 0,2 2 0,2 2 0,1 0 0,1 0 0,2-2 0,13 45 0,-4-14 0,-1-11 0,-4-17 0,-4-15 0,-2-11 0,-4-9 0,-1-6 0,-3-3 0,1-1 0,1-3 0,2-1 0,5-1 0,15 1 0,27 4 0,38 3 0,-28-5 0,6 0 0,16 1 0,5 0 0,-23-3 0,2 1 0,0-1-139,2 1 0,1-1 1,0 0 138,0 0 0,1-1 0,0 0 0,-1-1 0,-1 0 0,2 0 0,6-1 0,3-1 0,1 0-461,9-1 1,2 0-1,2 0 461,-21-1 0,1 1 0,1-1 0,0 1 0,6-1 0,0 0 0,0 0 0,1 0 0,-2 0 0,0 0 0,0 0 0,2 0-468,4-1 1,0 1-1,2 0 1,1 1 467,5-1 0,1 1 0,1 1 0,2-1-486,-13 1 0,1 0 1,1 1-1,0 0 0,0-1 486,3 2 0,0-1 0,0 1 0,-1 0 0,-1 0 0,-5 1 0,-2-1 0,0 1 0,-1 0 0,-1 0-169,14 1 0,-1-1 1,-2 1-1,-3 0 169,11 1 0,-3 0 0,-3 0 0,-13 0 0,-3-1 0,-3 1 506,21 1 1,-8 1-507,-20-1 0,-6 0 1638,30 6-1638,-24-2 2762,-17-3-2762,-15-4 1359,1-4-1359,11-1 0,14 0 0,7-3 0,-5-3 0,-5-2 0,1-2 0,10-1 0,20 0 0,-40 6 0,1 0 0,2 0 0,0 1 0,-3 1 0,-2 0 0,34-2 0,-10 0 0,-12 0 0,-11 0 0,-12-1 0,-12 0 0,-13 0 0,-7-2 0,-4-1 0,-2-2 0,1-3 0,1-7 0,3-7 0,2-10 0,0-1 0,1-2 0,-4 2 0,-1 1 0,-2-18 0,-5-5 0,-5-4 0,-6-3 0,-3 18 0,0 5 0,5 11 0,1 10 0,1 4 0,1 2 0,-1 0 0,1-2 0,-1-3 0,0-1 0,0 1 0,4 6 0,1 2 0,0-1 0,-2-5 0,-3-8 0,-4-6 0,2 1 0,0 2 0,4 10 0,-1 5 0,-2 0 0,-8-6 0,-6-6 0,-8-6 0,-11-1 0,-7 0 0,-8 4 0,-1 6 0,1 8 0,0 8 0,-4 4 0,-12 3 0,-14 1 0,-5 2 0,-2 0 0,6 0 0,6 1 0,1 4 0,-6 4 0,-7 3 0,43-5 0,0 1 0,-3 0 0,-1 1 0,-3 1 0,-2 0 0,-3 1 0,-1 0 0,-2 1 0,-1 0 0,-4-1 0,0 1 0,-5-1 0,-1 0 0,-3 0 0,-1 0 0,-4 1 0,0-1 0,-1 1 0,-1 1 0,-1 0 0,0 2 0,-4 0 0,-1 2 0,28-5 0,0 0 0,0 0 0,-1 0 0,-1 1 0,0-1-137,-1 0 1,0-1 0,1 1 136,1-2 0,1 0 0,-1-1 0,2 0 0,-1-2 0,1 0 0,0-1 0,1-2 0,0 0 0,-26 1 0,2-2 0,6-1 0,4-2 0,12 1 0,3-1 0,11 0 0,2 0 0,-42-2 0,12-6 0,2-5 409,0-7-409,-3-5 0,-6-4 0,-2-5 0,45 16 0,-1-1 0,-2 0 0,0 0 0,0-1 0,0 1 0,0-1 0,1 1 0,1 0 0,1 0 0,-40-17 0,6 4 0,7 3 0,7 4 0,9 6 0,5 3 0,1 2 0,-4 3 0,-8 0 0,-8 3 0,-8 2 0,0 1 0,8 2 0,8 0 0,12 0 0,8 1 0,4 1 0,3 1 0,-3 0 0,-3 2 0,0 3 0,0 3 0,3 1 0,5 1 0,4 0 0,4 0 0,3 0 0,1 1 0,1-1 0,-3 0 0,0 1 0,2-1 0,4-1 0,7-3 0,4-1 0,4-1 0,2 0 0,1-1 0,2-1 0,-1 0 0,1-2 0</inkml:trace>
  <inkml:trace contextRef="#ctx0" brushRef="#br0" timeOffset="2550">5137 1521 24575,'-3'11'0,"1"43"0,2 6 0,0 12 0,0 2 0,0 6 0,0 5-850,0-9 0,0 3 0,0 1 0,0 2 850,0 3 0,0 1 0,0 1 0,0 0 0,0-3 0,0 1 0,0-2 0,0 0 0,0 18 0,0-2 0,0-1 19,0-7 0,0-1 0,0-2-19,0-4 0,0-2 0,0-1 0,0-4 0,0-1 0,0-1 222,0-6 1,0-1 0,0-3-223,0 25 0,0-5 0,0-13 0,0-6 0,0 29 1691,0-27-1691,0-22 855,0-14-855,0-5 129,0-1-129,0 2 0,0 5 0,0 8 0,0 9 0,0 12 0,0 8 0,0 0 0,0-8 0,0-12 0,0-12 0,0-9 0,0-4 0,0-4 0,0-1 0,0-1 0,0 0 0,0 0 0,0 2 0,1 0 0,0-2 0,0-2 0,1-2 0,-2-2 0,0 0 0,0-1 0,1-2 0,0-1 0,0-2 0,-3-3 0,-8-2 0,-10-5 0,-16-5 0,-20-8 0,-11-5 0,-2-4 0,8 1 0,18 5 0,15 3 0,14 6 0,12 4 0,10 4 0,5 6 0,7 5 0,4 8 0,11 14 0,8 13 0,7 10 0,-1 2 0,-7-10 0,-11-13 0,-10-14 0,-9-11 0,-4-6 0,0-4 0,1-7 0,-1-5 0,11-8 0,20-14 0,29-16 0,-26 21 0,3 0 0,0-1 0,-1 1 0,28-19 0,-26 17 0,-21 16 0,-15 11 0,-7 4 0</inkml:trace>
  <inkml:trace contextRef="#ctx0" brushRef="#br0" timeOffset="4400">4214 5847 24575,'-15'-3'0,"-7"2"0,-11 1 0,-10 0 0,-2 0 0,-1 0 0,5 3 0,10 5 0,9 6 0,8 8 0,4 11 0,-1 20 0,-8 33 0,5-22 0,0 8 0,-2 18 0,1 6 0,5-26 0,1 3 0,1-2 0,1-1 0,1-2 0,1-1 0,1 18 0,1-7 0,2-20 0,3-7 0,8 14 0,20-27 0,38-16 0,-17-11 0,3-2 0,10 0 0,1 0 0,2 0 0,-2-2 0,-11 0 0,-4-2 0,23 1 0,-32-3 0,-23-3 0,-10-1 0,-3-2 0,-2-2 0,1-1 0,0-1 0,1-1 0,0-2 0,-1-2 0,0-1 0,-1-1 0,-1 0 0,0-1 0,0 1 0,0-1 0,-1 0 0,-1 1 0,0 0 0,1 3 0,0 2 0,0 4 0,0 3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6T17:14:22.082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73 543 24575,'-2'7'0,"0"13"0,-2 16 0,-5 21 0,-6 15 0,-1 6 0,2-2 0,7-11 0,4-15 0,7-12 0,10-10 0,11-6 0,10-7 0,4-5 0,2-5 0,2-2 0,-2-5 0,0-6 0,-4-8 0,-4-8 0,-5-4 0,-7-3 0,-6 0 0,-7 2 0,-4 2 0,-4 1 0,-5 4 0,-5 2 0,-7 1 0,-7-1 0,-7-3 0,-6-5 0,-6-3 0,-2 1 0,1 5 0,4 10 0,6 8 0,7 5 0,6 6 0,7 7 0,5 6 0,3 5 0,4-1 0,1-3 0,1-2 0,4-3 0,6-3 0,8 0 0,13 1 0,12-1 0,12-2 0,10-4 0,6-2 0,2-7 0,1-10 0,-2-11 0,-7-13 0,-3-11 0,-5-7 0,-6-7 0,-6-1 0,-13 2 0,-11 6 0,-9 5 0,-10 2 0,-10 0 0,-10-5 0,-8 0 0,-6 4 0,1 10 0,1 15 0,2 12 0,6 11 0,4 11 0,6 9 0,2 8 0,3 5 0,1 11 0,0 15 0,-3 29 0,5-25 0,0 4 0,1 7 0,0 3 0,1 5 0,1-1 0,1-5 0,0-4 0,1-11 0,2-3 0,8 33 0,11-28 0,16-18 0,16-12 0,12-9 0,10-8 0,1-8 0,-11-3 0,-14-3 0,-17-2 0,-20 2 0,-7-1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E3AC-744E-8845-820F-9883C46E12F6}">
  <dimension ref="A3:H51"/>
  <sheetViews>
    <sheetView topLeftCell="A29" zoomScale="245" workbookViewId="0">
      <selection activeCell="B39" sqref="B39"/>
    </sheetView>
  </sheetViews>
  <sheetFormatPr baseColWidth="10" defaultRowHeight="16" x14ac:dyDescent="0.2"/>
  <sheetData>
    <row r="3" spans="2:5" x14ac:dyDescent="0.2">
      <c r="B3" s="1" t="s">
        <v>0</v>
      </c>
      <c r="C3" s="1"/>
    </row>
    <row r="4" spans="2:5" x14ac:dyDescent="0.2">
      <c r="B4" s="1"/>
      <c r="C4" s="1"/>
    </row>
    <row r="7" spans="2:5" x14ac:dyDescent="0.2">
      <c r="B7" t="s">
        <v>1</v>
      </c>
    </row>
    <row r="8" spans="2:5" x14ac:dyDescent="0.2">
      <c r="C8" t="s">
        <v>25</v>
      </c>
      <c r="D8" t="s">
        <v>26</v>
      </c>
      <c r="E8" t="s">
        <v>27</v>
      </c>
    </row>
    <row r="13" spans="2:5" x14ac:dyDescent="0.2">
      <c r="B13" s="2" t="s">
        <v>2</v>
      </c>
      <c r="C13" s="2" t="s">
        <v>3</v>
      </c>
      <c r="D13" s="2" t="s">
        <v>4</v>
      </c>
      <c r="E13" s="2" t="s">
        <v>5</v>
      </c>
    </row>
    <row r="14" spans="2:5" x14ac:dyDescent="0.2">
      <c r="B14" s="4">
        <v>1201</v>
      </c>
      <c r="C14" s="4" t="s">
        <v>6</v>
      </c>
      <c r="D14" s="4" t="s">
        <v>7</v>
      </c>
      <c r="E14" s="4" t="s">
        <v>8</v>
      </c>
    </row>
    <row r="15" spans="2:5" x14ac:dyDescent="0.2">
      <c r="B15" s="4">
        <v>1202</v>
      </c>
      <c r="C15" s="4" t="s">
        <v>9</v>
      </c>
      <c r="D15" s="4" t="s">
        <v>10</v>
      </c>
      <c r="E15" s="4" t="s">
        <v>11</v>
      </c>
    </row>
    <row r="16" spans="2:5" x14ac:dyDescent="0.2">
      <c r="B16" s="4">
        <v>1203</v>
      </c>
      <c r="C16" s="4" t="s">
        <v>12</v>
      </c>
      <c r="D16" s="4" t="s">
        <v>13</v>
      </c>
      <c r="E16" s="4" t="s">
        <v>14</v>
      </c>
    </row>
    <row r="17" spans="1:8" x14ac:dyDescent="0.2">
      <c r="B17" s="4">
        <v>1204</v>
      </c>
      <c r="C17" s="4" t="s">
        <v>15</v>
      </c>
      <c r="D17" s="4" t="s">
        <v>16</v>
      </c>
      <c r="E17" s="4" t="s">
        <v>17</v>
      </c>
    </row>
    <row r="18" spans="1:8" x14ac:dyDescent="0.2">
      <c r="B18" s="4">
        <v>1205</v>
      </c>
      <c r="C18" s="4" t="s">
        <v>18</v>
      </c>
      <c r="D18" s="4" t="s">
        <v>19</v>
      </c>
      <c r="E18" s="4" t="s">
        <v>20</v>
      </c>
    </row>
    <row r="19" spans="1:8" x14ac:dyDescent="0.2">
      <c r="B19" s="4">
        <v>1206</v>
      </c>
      <c r="C19" s="4" t="s">
        <v>21</v>
      </c>
      <c r="D19" s="4" t="s">
        <v>22</v>
      </c>
      <c r="E19" s="4" t="s">
        <v>23</v>
      </c>
    </row>
    <row r="22" spans="1:8" x14ac:dyDescent="0.2">
      <c r="A22" s="5"/>
      <c r="B22" s="5"/>
      <c r="C22" s="5"/>
      <c r="D22" s="5"/>
      <c r="E22" s="5"/>
      <c r="F22" s="5"/>
      <c r="G22" s="5"/>
      <c r="H22" s="5"/>
    </row>
    <row r="25" spans="1:8" x14ac:dyDescent="0.2">
      <c r="B25" t="s">
        <v>28</v>
      </c>
      <c r="D25" s="7" t="s">
        <v>32</v>
      </c>
    </row>
    <row r="26" spans="1:8" x14ac:dyDescent="0.2">
      <c r="D26" s="8"/>
    </row>
    <row r="27" spans="1:8" x14ac:dyDescent="0.2">
      <c r="B27" t="s">
        <v>29</v>
      </c>
      <c r="D27" s="8" t="s">
        <v>33</v>
      </c>
    </row>
    <row r="28" spans="1:8" x14ac:dyDescent="0.2">
      <c r="D28" s="8"/>
    </row>
    <row r="29" spans="1:8" x14ac:dyDescent="0.2">
      <c r="B29" t="s">
        <v>30</v>
      </c>
      <c r="D29" s="8" t="s">
        <v>34</v>
      </c>
    </row>
    <row r="30" spans="1:8" x14ac:dyDescent="0.2">
      <c r="D30" s="8"/>
    </row>
    <row r="31" spans="1:8" x14ac:dyDescent="0.2">
      <c r="B31" t="s">
        <v>31</v>
      </c>
      <c r="D31" s="8" t="s">
        <v>35</v>
      </c>
    </row>
    <row r="34" spans="1:8" x14ac:dyDescent="0.2">
      <c r="A34" s="5"/>
      <c r="B34" s="5"/>
      <c r="C34" s="5"/>
      <c r="D34" s="5"/>
      <c r="E34" s="5"/>
      <c r="F34" s="5"/>
      <c r="G34" s="5"/>
      <c r="H34" s="5"/>
    </row>
    <row r="37" spans="1:8" x14ac:dyDescent="0.2">
      <c r="B37" s="6" t="s">
        <v>42</v>
      </c>
      <c r="C37" s="6"/>
      <c r="D37" s="6" t="s">
        <v>43</v>
      </c>
      <c r="E37" s="6"/>
    </row>
    <row r="38" spans="1:8" x14ac:dyDescent="0.2">
      <c r="B38" s="6"/>
      <c r="C38" s="6"/>
      <c r="D38" s="6"/>
      <c r="E38" s="6"/>
    </row>
    <row r="39" spans="1:8" x14ac:dyDescent="0.2">
      <c r="B39" s="6" t="s">
        <v>44</v>
      </c>
      <c r="C39" s="6"/>
      <c r="D39" s="10" t="s">
        <v>45</v>
      </c>
      <c r="E39" s="6"/>
    </row>
    <row r="40" spans="1:8" x14ac:dyDescent="0.2">
      <c r="B40" s="6"/>
      <c r="C40" s="6"/>
      <c r="D40" s="6"/>
      <c r="E40" s="6"/>
    </row>
    <row r="41" spans="1:8" x14ac:dyDescent="0.2">
      <c r="B41" s="6" t="s">
        <v>46</v>
      </c>
      <c r="C41" s="6"/>
      <c r="D41" s="6"/>
      <c r="E41" s="6"/>
    </row>
    <row r="45" spans="1:8" x14ac:dyDescent="0.2">
      <c r="C45" t="s">
        <v>52</v>
      </c>
    </row>
    <row r="47" spans="1:8" x14ac:dyDescent="0.2">
      <c r="C47" t="s">
        <v>53</v>
      </c>
      <c r="E47" t="s">
        <v>54</v>
      </c>
      <c r="G47" t="s">
        <v>56</v>
      </c>
    </row>
    <row r="49" spans="5:7" x14ac:dyDescent="0.2">
      <c r="E49" t="s">
        <v>55</v>
      </c>
      <c r="G49" t="s">
        <v>57</v>
      </c>
    </row>
    <row r="51" spans="5:7" x14ac:dyDescent="0.2">
      <c r="E51" t="s">
        <v>58</v>
      </c>
      <c r="G51" t="s">
        <v>59</v>
      </c>
    </row>
  </sheetData>
  <mergeCells count="1">
    <mergeCell ref="B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E457-22DF-9747-AD20-78C7AEE7861F}">
  <dimension ref="A6:H136"/>
  <sheetViews>
    <sheetView tabSelected="1" topLeftCell="C127" zoomScale="228" workbookViewId="0">
      <selection activeCell="E138" sqref="E138"/>
    </sheetView>
  </sheetViews>
  <sheetFormatPr baseColWidth="10" defaultRowHeight="16" x14ac:dyDescent="0.2"/>
  <cols>
    <col min="4" max="4" width="26.83203125" customWidth="1"/>
    <col min="5" max="5" width="26" bestFit="1" customWidth="1"/>
  </cols>
  <sheetData>
    <row r="6" spans="2:4" x14ac:dyDescent="0.2">
      <c r="B6" t="s">
        <v>36</v>
      </c>
    </row>
    <row r="7" spans="2:4" x14ac:dyDescent="0.2">
      <c r="C7">
        <f>ROW()</f>
        <v>7</v>
      </c>
      <c r="D7" t="str">
        <f ca="1">_xlfn.FORMULATEXT(C7)</f>
        <v>=ROW()</v>
      </c>
    </row>
    <row r="8" spans="2:4" x14ac:dyDescent="0.2">
      <c r="C8">
        <f>ROW(C7)</f>
        <v>7</v>
      </c>
      <c r="D8" t="str">
        <f ca="1">_xlfn.FORMULATEXT(C8)</f>
        <v>=ROW(C7)</v>
      </c>
    </row>
    <row r="9" spans="2:4" x14ac:dyDescent="0.2">
      <c r="C9">
        <f>ROW(B6)</f>
        <v>6</v>
      </c>
      <c r="D9" t="str">
        <f ca="1">_xlfn.FORMULATEXT(C9)</f>
        <v>=ROW(B6)</v>
      </c>
    </row>
    <row r="12" spans="2:4" x14ac:dyDescent="0.2">
      <c r="C12">
        <f>COLUMN()</f>
        <v>3</v>
      </c>
      <c r="D12" t="str">
        <f ca="1">_xlfn.FORMULATEXT(C12)</f>
        <v>=COLUMN()</v>
      </c>
    </row>
    <row r="13" spans="2:4" x14ac:dyDescent="0.2">
      <c r="C13">
        <f>COLUMN(Z12)</f>
        <v>26</v>
      </c>
      <c r="D13" t="str">
        <f ca="1">_xlfn.FORMULATEXT(C13)</f>
        <v>=COLUMN(Z12)</v>
      </c>
    </row>
    <row r="14" spans="2:4" x14ac:dyDescent="0.2">
      <c r="C14">
        <f>COLUMN(B11)</f>
        <v>2</v>
      </c>
      <c r="D14" t="str">
        <f ca="1">_xlfn.FORMULATEXT(C14)</f>
        <v>=COLUMN(B11)</v>
      </c>
    </row>
    <row r="15" spans="2:4" x14ac:dyDescent="0.2">
      <c r="C15">
        <f>COLUMN(AX453)</f>
        <v>50</v>
      </c>
      <c r="D15" t="str">
        <f ca="1">_xlfn.FORMULATEXT(C15)</f>
        <v>=COLUMN(AX453)</v>
      </c>
    </row>
    <row r="17" spans="1:7" x14ac:dyDescent="0.2">
      <c r="A17" s="5"/>
      <c r="B17" s="5"/>
      <c r="C17" s="5"/>
      <c r="D17" s="5"/>
      <c r="E17" s="5"/>
      <c r="F17" s="5"/>
      <c r="G17" s="5"/>
    </row>
    <row r="19" spans="1:7" x14ac:dyDescent="0.2">
      <c r="C19">
        <f>ROWS(F20:G22)</f>
        <v>3</v>
      </c>
      <c r="D19" t="str">
        <f ca="1">_xlfn.FORMULATEXT(C19)</f>
        <v>=ROWS(F20:G22)</v>
      </c>
    </row>
    <row r="20" spans="1:7" x14ac:dyDescent="0.2">
      <c r="F20" s="9" t="s">
        <v>36</v>
      </c>
      <c r="G20" s="9" t="s">
        <v>37</v>
      </c>
    </row>
    <row r="21" spans="1:7" x14ac:dyDescent="0.2">
      <c r="C21">
        <f>COLUMNS(F20:G22)</f>
        <v>2</v>
      </c>
      <c r="D21" t="str">
        <f ca="1">_xlfn.FORMULATEXT(C21)</f>
        <v>=COLUMNS(F20:G22)</v>
      </c>
      <c r="F21" s="9" t="s">
        <v>38</v>
      </c>
      <c r="G21" s="9" t="s">
        <v>39</v>
      </c>
    </row>
    <row r="22" spans="1:7" x14ac:dyDescent="0.2">
      <c r="F22" s="9" t="s">
        <v>40</v>
      </c>
      <c r="G22" s="9" t="s">
        <v>41</v>
      </c>
    </row>
    <row r="24" spans="1:7" x14ac:dyDescent="0.2">
      <c r="A24" s="5"/>
      <c r="B24" s="5"/>
      <c r="C24" s="5"/>
      <c r="D24" s="5"/>
      <c r="E24" s="5"/>
      <c r="F24" s="5"/>
      <c r="G24" s="5"/>
    </row>
    <row r="26" spans="1:7" x14ac:dyDescent="0.2">
      <c r="B26" s="11" t="s">
        <v>47</v>
      </c>
      <c r="D26" t="str">
        <f>INDEX(B26:B30,4)</f>
        <v>Orange</v>
      </c>
      <c r="E26" t="str">
        <f ca="1">_xlfn.FORMULATEXT(D26)</f>
        <v>=INDEX(B26:B30,4)</v>
      </c>
    </row>
    <row r="27" spans="1:7" x14ac:dyDescent="0.2">
      <c r="B27" s="11" t="s">
        <v>48</v>
      </c>
    </row>
    <row r="28" spans="1:7" x14ac:dyDescent="0.2">
      <c r="B28" s="11" t="s">
        <v>49</v>
      </c>
    </row>
    <row r="29" spans="1:7" x14ac:dyDescent="0.2">
      <c r="B29" s="11" t="s">
        <v>50</v>
      </c>
    </row>
    <row r="30" spans="1:7" x14ac:dyDescent="0.2">
      <c r="B30" s="11" t="s">
        <v>51</v>
      </c>
    </row>
    <row r="33" spans="1:7" x14ac:dyDescent="0.2">
      <c r="B33" s="11" t="s">
        <v>47</v>
      </c>
      <c r="C33" s="11" t="s">
        <v>48</v>
      </c>
      <c r="D33" s="11" t="s">
        <v>49</v>
      </c>
      <c r="E33" s="11" t="s">
        <v>50</v>
      </c>
      <c r="F33" s="11" t="s">
        <v>51</v>
      </c>
    </row>
    <row r="35" spans="1:7" x14ac:dyDescent="0.2">
      <c r="B35" t="str">
        <f>INDEX(B33:F33,1)</f>
        <v>Mango</v>
      </c>
      <c r="C35" t="str">
        <f ca="1">_xlfn.FORMULATEXT(B35)</f>
        <v>=INDEX(B33:F33,1)</v>
      </c>
    </row>
    <row r="38" spans="1:7" x14ac:dyDescent="0.2">
      <c r="B38" s="2" t="s">
        <v>2</v>
      </c>
      <c r="C38" s="2" t="s">
        <v>3</v>
      </c>
      <c r="D38" s="2" t="s">
        <v>4</v>
      </c>
      <c r="E38" s="2" t="s">
        <v>5</v>
      </c>
    </row>
    <row r="39" spans="1:7" x14ac:dyDescent="0.2">
      <c r="B39" s="4">
        <v>1201</v>
      </c>
      <c r="C39" s="4" t="s">
        <v>6</v>
      </c>
      <c r="D39" s="4" t="s">
        <v>7</v>
      </c>
      <c r="E39" s="4" t="s">
        <v>8</v>
      </c>
      <c r="G39" t="str">
        <f>INDEX(B39:E44,4,3)</f>
        <v>MBA HR</v>
      </c>
    </row>
    <row r="40" spans="1:7" x14ac:dyDescent="0.2">
      <c r="B40" s="4">
        <v>1202</v>
      </c>
      <c r="C40" s="4" t="s">
        <v>9</v>
      </c>
      <c r="D40" s="4" t="s">
        <v>10</v>
      </c>
      <c r="E40" s="4" t="s">
        <v>11</v>
      </c>
    </row>
    <row r="41" spans="1:7" x14ac:dyDescent="0.2">
      <c r="B41" s="4">
        <v>1203</v>
      </c>
      <c r="C41" s="4" t="s">
        <v>12</v>
      </c>
      <c r="D41" s="4" t="s">
        <v>13</v>
      </c>
      <c r="E41" s="4" t="s">
        <v>14</v>
      </c>
      <c r="G41" t="str">
        <f ca="1">_xlfn.FORMULATEXT(G39)</f>
        <v>=INDEX(B39:E44,4,3)</v>
      </c>
    </row>
    <row r="42" spans="1:7" x14ac:dyDescent="0.2">
      <c r="B42" s="4">
        <v>1204</v>
      </c>
      <c r="C42" s="4" t="s">
        <v>15</v>
      </c>
      <c r="D42" s="4" t="s">
        <v>16</v>
      </c>
      <c r="E42" s="4" t="s">
        <v>17</v>
      </c>
    </row>
    <row r="43" spans="1:7" x14ac:dyDescent="0.2">
      <c r="B43" s="4">
        <v>1205</v>
      </c>
      <c r="C43" s="4" t="s">
        <v>18</v>
      </c>
      <c r="D43" s="4" t="s">
        <v>19</v>
      </c>
      <c r="E43" s="4" t="s">
        <v>20</v>
      </c>
    </row>
    <row r="44" spans="1:7" x14ac:dyDescent="0.2">
      <c r="B44" s="4">
        <v>1206</v>
      </c>
      <c r="C44" s="4" t="s">
        <v>21</v>
      </c>
      <c r="D44" s="4" t="s">
        <v>22</v>
      </c>
      <c r="E44" s="4" t="s">
        <v>23</v>
      </c>
    </row>
    <row r="47" spans="1:7" x14ac:dyDescent="0.2">
      <c r="A47" s="5"/>
      <c r="B47" s="5"/>
      <c r="C47" s="5"/>
      <c r="D47" s="5"/>
      <c r="E47" s="5"/>
      <c r="F47" s="5"/>
      <c r="G47" s="5"/>
    </row>
    <row r="50" spans="2:6" x14ac:dyDescent="0.2">
      <c r="B50" t="s">
        <v>44</v>
      </c>
    </row>
    <row r="53" spans="2:6" x14ac:dyDescent="0.2">
      <c r="B53" s="11" t="s">
        <v>47</v>
      </c>
      <c r="C53" s="11" t="s">
        <v>48</v>
      </c>
      <c r="D53" s="11" t="s">
        <v>49</v>
      </c>
      <c r="E53" s="11" t="s">
        <v>50</v>
      </c>
      <c r="F53" s="11" t="s">
        <v>51</v>
      </c>
    </row>
    <row r="56" spans="2:6" x14ac:dyDescent="0.2">
      <c r="B56">
        <f>MATCH("Litchi",B53:F53,0)</f>
        <v>5</v>
      </c>
      <c r="E56">
        <f>MATCH("Banana",B53:F53,0)</f>
        <v>2</v>
      </c>
    </row>
    <row r="58" spans="2:6" x14ac:dyDescent="0.2">
      <c r="B58" t="str">
        <f ca="1">_xlfn.FORMULATEXT(B56)</f>
        <v>=MATCH("Litchi",B53:F53,0)</v>
      </c>
      <c r="E58" t="str">
        <f ca="1">_xlfn.FORMULATEXT(E56)</f>
        <v>=MATCH("Banana",B53:F53,0)</v>
      </c>
    </row>
    <row r="61" spans="2:6" x14ac:dyDescent="0.2">
      <c r="B61" s="12" t="s">
        <v>3</v>
      </c>
      <c r="C61" s="12" t="s">
        <v>60</v>
      </c>
    </row>
    <row r="62" spans="2:6" x14ac:dyDescent="0.2">
      <c r="B62" s="4" t="s">
        <v>6</v>
      </c>
      <c r="C62" s="3">
        <v>10226</v>
      </c>
      <c r="E62" t="s">
        <v>61</v>
      </c>
    </row>
    <row r="63" spans="2:6" x14ac:dyDescent="0.2">
      <c r="B63" s="4" t="s">
        <v>9</v>
      </c>
      <c r="C63" s="3">
        <v>13777</v>
      </c>
    </row>
    <row r="64" spans="2:6" x14ac:dyDescent="0.2">
      <c r="B64" s="4" t="s">
        <v>12</v>
      </c>
      <c r="C64" s="3">
        <v>17709</v>
      </c>
      <c r="E64">
        <f>MATCH(15000,C62:C66,1)</f>
        <v>2</v>
      </c>
      <c r="F64" t="str">
        <f ca="1">_xlfn.FORMULATEXT(E64)</f>
        <v>=MATCH(15000,C62:C66,1)</v>
      </c>
    </row>
    <row r="65" spans="2:6" x14ac:dyDescent="0.2">
      <c r="B65" s="4" t="s">
        <v>15</v>
      </c>
      <c r="C65" s="3">
        <v>43308</v>
      </c>
    </row>
    <row r="66" spans="2:6" x14ac:dyDescent="0.2">
      <c r="B66" s="4" t="s">
        <v>18</v>
      </c>
      <c r="C66" s="3">
        <v>51894</v>
      </c>
    </row>
    <row r="69" spans="2:6" ht="51" x14ac:dyDescent="0.2">
      <c r="B69" s="13" t="s">
        <v>62</v>
      </c>
      <c r="D69" s="14" t="s">
        <v>63</v>
      </c>
      <c r="E69" s="15" t="s">
        <v>64</v>
      </c>
    </row>
    <row r="74" spans="2:6" x14ac:dyDescent="0.2">
      <c r="B74" s="12" t="s">
        <v>3</v>
      </c>
      <c r="C74" s="12" t="s">
        <v>60</v>
      </c>
    </row>
    <row r="75" spans="2:6" x14ac:dyDescent="0.2">
      <c r="B75" s="3" t="s">
        <v>18</v>
      </c>
      <c r="C75" s="3">
        <v>51894</v>
      </c>
    </row>
    <row r="76" spans="2:6" x14ac:dyDescent="0.2">
      <c r="B76" s="3" t="s">
        <v>15</v>
      </c>
      <c r="C76" s="3">
        <v>43308</v>
      </c>
      <c r="E76" t="s">
        <v>68</v>
      </c>
    </row>
    <row r="77" spans="2:6" x14ac:dyDescent="0.2">
      <c r="B77" s="3" t="s">
        <v>12</v>
      </c>
      <c r="C77" s="3">
        <v>17709</v>
      </c>
      <c r="E77" t="s">
        <v>69</v>
      </c>
    </row>
    <row r="78" spans="2:6" x14ac:dyDescent="0.2">
      <c r="B78" s="3" t="s">
        <v>9</v>
      </c>
      <c r="C78" s="3">
        <v>13777</v>
      </c>
    </row>
    <row r="79" spans="2:6" x14ac:dyDescent="0.2">
      <c r="B79" s="3" t="s">
        <v>6</v>
      </c>
      <c r="C79" s="3">
        <v>10226</v>
      </c>
      <c r="E79">
        <f>MATCH(15000,C75:C79,-1)</f>
        <v>3</v>
      </c>
      <c r="F79" t="str">
        <f ca="1">_xlfn.FORMULATEXT(E79)</f>
        <v>=MATCH(15000,C75:C79,-1)</v>
      </c>
    </row>
    <row r="83" spans="1:8" ht="51" x14ac:dyDescent="0.2">
      <c r="B83" s="13" t="s">
        <v>65</v>
      </c>
      <c r="D83" s="14" t="s">
        <v>66</v>
      </c>
      <c r="E83" s="15" t="s">
        <v>67</v>
      </c>
    </row>
    <row r="86" spans="1:8" x14ac:dyDescent="0.2">
      <c r="A86" s="5"/>
      <c r="B86" s="5"/>
      <c r="C86" s="5"/>
      <c r="D86" s="5"/>
      <c r="E86" s="5"/>
      <c r="F86" s="5"/>
      <c r="G86" s="5"/>
      <c r="H86" s="5"/>
    </row>
    <row r="88" spans="1:8" x14ac:dyDescent="0.2">
      <c r="B88" s="16" t="s">
        <v>70</v>
      </c>
      <c r="C88" s="16"/>
    </row>
    <row r="89" spans="1:8" x14ac:dyDescent="0.2">
      <c r="B89" s="16"/>
      <c r="C89" s="16"/>
    </row>
    <row r="93" spans="1:8" x14ac:dyDescent="0.2">
      <c r="C93" s="8"/>
      <c r="D93" s="17" t="s">
        <v>71</v>
      </c>
      <c r="E93" s="17" t="s">
        <v>72</v>
      </c>
      <c r="F93" s="17" t="s">
        <v>73</v>
      </c>
    </row>
    <row r="94" spans="1:8" x14ac:dyDescent="0.2">
      <c r="C94" s="17" t="s">
        <v>74</v>
      </c>
      <c r="D94" s="8">
        <v>2</v>
      </c>
      <c r="E94" s="8">
        <v>10</v>
      </c>
      <c r="F94" s="8">
        <v>15</v>
      </c>
    </row>
    <row r="95" spans="1:8" x14ac:dyDescent="0.2">
      <c r="C95" s="17" t="s">
        <v>75</v>
      </c>
      <c r="D95" s="8">
        <v>10</v>
      </c>
      <c r="E95" s="8">
        <v>12</v>
      </c>
      <c r="F95" s="8">
        <v>17</v>
      </c>
    </row>
    <row r="96" spans="1:8" x14ac:dyDescent="0.2">
      <c r="C96" s="17" t="s">
        <v>76</v>
      </c>
      <c r="D96" s="8">
        <v>20</v>
      </c>
      <c r="E96" s="8">
        <v>40</v>
      </c>
      <c r="F96" s="8">
        <v>30</v>
      </c>
    </row>
    <row r="97" spans="2:6" x14ac:dyDescent="0.2">
      <c r="C97" s="17" t="s">
        <v>77</v>
      </c>
      <c r="D97" s="8">
        <v>6</v>
      </c>
      <c r="E97" s="8">
        <v>4</v>
      </c>
      <c r="F97" s="8">
        <v>8</v>
      </c>
    </row>
    <row r="98" spans="2:6" x14ac:dyDescent="0.2">
      <c r="C98" s="17" t="s">
        <v>78</v>
      </c>
      <c r="D98" s="8">
        <v>2</v>
      </c>
      <c r="E98" s="8">
        <v>3</v>
      </c>
      <c r="F98" s="8">
        <v>5</v>
      </c>
    </row>
    <row r="103" spans="2:6" x14ac:dyDescent="0.2">
      <c r="B103" s="12" t="s">
        <v>79</v>
      </c>
      <c r="C103" s="3" t="s">
        <v>72</v>
      </c>
      <c r="D103">
        <f>MATCH(C103,D93:F93,0)</f>
        <v>2</v>
      </c>
    </row>
    <row r="104" spans="2:6" x14ac:dyDescent="0.2">
      <c r="B104" s="12" t="s">
        <v>80</v>
      </c>
      <c r="C104" s="3" t="s">
        <v>74</v>
      </c>
      <c r="D104">
        <f>MATCH(C104,C94:C98,0)</f>
        <v>1</v>
      </c>
    </row>
    <row r="105" spans="2:6" x14ac:dyDescent="0.2">
      <c r="B105" s="12" t="s">
        <v>81</v>
      </c>
      <c r="C105" s="3">
        <f>INDEX(D94:F98,MATCH(C104,C94:C98,0),MATCH(C103,D93:F93,0))</f>
        <v>10</v>
      </c>
      <c r="D105" t="str">
        <f ca="1">_xlfn.FORMULATEXT(C105)</f>
        <v>=INDEX(D94:F98,MATCH(C104,C94:C98,0),MATCH(C103,D93:F93,0))</v>
      </c>
    </row>
    <row r="124" spans="3:6" x14ac:dyDescent="0.2">
      <c r="C124" s="2" t="s">
        <v>2</v>
      </c>
      <c r="D124" s="2" t="s">
        <v>3</v>
      </c>
      <c r="E124" s="2" t="s">
        <v>4</v>
      </c>
      <c r="F124" s="2" t="s">
        <v>5</v>
      </c>
    </row>
    <row r="125" spans="3:6" x14ac:dyDescent="0.2">
      <c r="C125" s="4">
        <v>1201</v>
      </c>
      <c r="D125" s="4" t="s">
        <v>6</v>
      </c>
      <c r="E125" s="4" t="s">
        <v>7</v>
      </c>
      <c r="F125" s="4" t="s">
        <v>8</v>
      </c>
    </row>
    <row r="126" spans="3:6" x14ac:dyDescent="0.2">
      <c r="C126" s="4">
        <v>1202</v>
      </c>
      <c r="D126" s="4" t="s">
        <v>9</v>
      </c>
      <c r="E126" s="4" t="s">
        <v>10</v>
      </c>
      <c r="F126" s="4" t="s">
        <v>11</v>
      </c>
    </row>
    <row r="127" spans="3:6" x14ac:dyDescent="0.2">
      <c r="C127" s="4">
        <v>1203</v>
      </c>
      <c r="D127" s="4" t="s">
        <v>12</v>
      </c>
      <c r="E127" s="4" t="s">
        <v>13</v>
      </c>
      <c r="F127" s="4" t="s">
        <v>14</v>
      </c>
    </row>
    <row r="128" spans="3:6" x14ac:dyDescent="0.2">
      <c r="C128" s="4">
        <v>1204</v>
      </c>
      <c r="D128" s="4" t="s">
        <v>15</v>
      </c>
      <c r="E128" s="4" t="s">
        <v>16</v>
      </c>
      <c r="F128" s="4" t="s">
        <v>17</v>
      </c>
    </row>
    <row r="129" spans="3:6" x14ac:dyDescent="0.2">
      <c r="C129" s="4">
        <v>1205</v>
      </c>
      <c r="D129" s="4" t="s">
        <v>18</v>
      </c>
      <c r="E129" s="4" t="s">
        <v>19</v>
      </c>
      <c r="F129" s="4" t="s">
        <v>20</v>
      </c>
    </row>
    <row r="130" spans="3:6" x14ac:dyDescent="0.2">
      <c r="C130" s="4">
        <v>1206</v>
      </c>
      <c r="D130" s="4" t="s">
        <v>21</v>
      </c>
      <c r="E130" s="4" t="s">
        <v>22</v>
      </c>
      <c r="F130" s="4" t="s">
        <v>23</v>
      </c>
    </row>
    <row r="134" spans="3:6" x14ac:dyDescent="0.2">
      <c r="C134" s="12" t="s">
        <v>24</v>
      </c>
      <c r="D134" s="12" t="s">
        <v>4</v>
      </c>
      <c r="F134" t="s">
        <v>82</v>
      </c>
    </row>
    <row r="135" spans="3:6" x14ac:dyDescent="0.2">
      <c r="C135" s="3">
        <v>1202</v>
      </c>
      <c r="D135" s="3" t="str">
        <f>INDEX(E125:E130,MATCH(C135,C125:C130,0))</f>
        <v>Bsc Chem</v>
      </c>
      <c r="F135" t="s">
        <v>83</v>
      </c>
    </row>
    <row r="136" spans="3:6" x14ac:dyDescent="0.2">
      <c r="D136" t="str">
        <f ca="1">_xlfn.FORMULATEXT(D135)</f>
        <v>=INDEX(E125:E130,MATCH(C135,C125:C130,0))</v>
      </c>
      <c r="F136" t="s">
        <v>84</v>
      </c>
    </row>
  </sheetData>
  <mergeCells count="1">
    <mergeCell ref="B88:C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agenda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2026-09-26T15:31:38Z</dcterms:created>
  <dcterms:modified xsi:type="dcterms:W3CDTF">2026-09-26T17:24:25Z</dcterms:modified>
</cp:coreProperties>
</file>