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tkarsh/Downloads/Accio_excel/Excel-for-DA/"/>
    </mc:Choice>
  </mc:AlternateContent>
  <xr:revisionPtr revIDLastSave="0" documentId="13_ncr:1_{1AA82C9F-D292-4248-A5D5-CD056FDF8FD6}" xr6:coauthVersionLast="47" xr6:coauthVersionMax="47" xr10:uidLastSave="{00000000-0000-0000-0000-000000000000}"/>
  <bookViews>
    <workbookView xWindow="380" yWindow="500" windowWidth="28040" windowHeight="16940" activeTab="1" xr2:uid="{A091CA6C-685B-D949-895C-BFE0F1D82DB6}"/>
  </bookViews>
  <sheets>
    <sheet name="DATE-TIME Func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2" l="1"/>
  <c r="B42" i="1"/>
  <c r="C42" i="1"/>
  <c r="D52" i="2"/>
  <c r="C59" i="2"/>
  <c r="E59" i="2"/>
  <c r="E52" i="2"/>
  <c r="C54" i="2"/>
  <c r="E54" i="2"/>
  <c r="E57" i="2"/>
  <c r="F57" i="2"/>
  <c r="C57" i="2"/>
  <c r="F49" i="2"/>
  <c r="C50" i="2"/>
  <c r="D44" i="2"/>
  <c r="C44" i="2"/>
  <c r="E37" i="2"/>
  <c r="D39" i="2"/>
  <c r="C38" i="2"/>
  <c r="D26" i="2"/>
  <c r="C31" i="2"/>
  <c r="B35" i="2" s="1"/>
  <c r="G12" i="2"/>
  <c r="D24" i="2"/>
  <c r="D22" i="2"/>
  <c r="D20" i="2"/>
  <c r="D18" i="2"/>
  <c r="D16" i="2"/>
  <c r="D14" i="2"/>
  <c r="D12" i="2"/>
</calcChain>
</file>

<file path=xl/sharedStrings.xml><?xml version="1.0" encoding="utf-8"?>
<sst xmlns="http://schemas.openxmlformats.org/spreadsheetml/2006/main" count="46" uniqueCount="43">
  <si>
    <t>Date</t>
  </si>
  <si>
    <t>Excel stores date as a number only</t>
  </si>
  <si>
    <t>Number</t>
  </si>
  <si>
    <t>time</t>
  </si>
  <si>
    <t>Excel Stores time as a Decimal</t>
  </si>
  <si>
    <t>today</t>
  </si>
  <si>
    <t>gives us the date today</t>
  </si>
  <si>
    <t>today()</t>
  </si>
  <si>
    <t>now</t>
  </si>
  <si>
    <t>now()</t>
  </si>
  <si>
    <t>the exact time now</t>
  </si>
  <si>
    <t>day</t>
  </si>
  <si>
    <t>month</t>
  </si>
  <si>
    <t>day it is on the given date</t>
  </si>
  <si>
    <t>month of the given date</t>
  </si>
  <si>
    <t>day()</t>
  </si>
  <si>
    <t>month()</t>
  </si>
  <si>
    <t>year()</t>
  </si>
  <si>
    <t>year</t>
  </si>
  <si>
    <t>give year from a date</t>
  </si>
  <si>
    <t xml:space="preserve">minute </t>
  </si>
  <si>
    <t>second</t>
  </si>
  <si>
    <t>minute()</t>
  </si>
  <si>
    <t>gives minute from date time</t>
  </si>
  <si>
    <t>EOMONTH</t>
  </si>
  <si>
    <t>gives second from date time</t>
  </si>
  <si>
    <t>Returns the serial number of the last day of the month before or after a specified number of months</t>
  </si>
  <si>
    <t>EDATE</t>
  </si>
  <si>
    <t>end of month</t>
  </si>
  <si>
    <t>Workday</t>
  </si>
  <si>
    <t>date</t>
  </si>
  <si>
    <t>to construct a date</t>
  </si>
  <si>
    <t>to construct time</t>
  </si>
  <si>
    <t>calculate workday</t>
  </si>
  <si>
    <t>DAY360</t>
  </si>
  <si>
    <t>days between two dates based on a 360-day year or 30 days a month</t>
  </si>
  <si>
    <t>DAY365</t>
  </si>
  <si>
    <t>DATEDIF</t>
  </si>
  <si>
    <t>hidden</t>
  </si>
  <si>
    <t>DATEVALUE</t>
  </si>
  <si>
    <t>Converts a date in the form of text to a number that represents the date in Microsoft Excel date-time code.</t>
  </si>
  <si>
    <t>DAYS()</t>
  </si>
  <si>
    <t>Timevalue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</si>
</sst>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[$-F400]h:mm:ss\ AM/PM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1" applyNumberFormat="1" applyFont="1"/>
    <xf numFmtId="14" fontId="0" fillId="0" borderId="0" xfId="0" applyNumberFormat="1"/>
    <xf numFmtId="0" fontId="2" fillId="2" borderId="0" xfId="0" applyFont="1" applyFill="1"/>
    <xf numFmtId="169" fontId="2" fillId="2" borderId="0" xfId="0" applyNumberFormat="1" applyFont="1" applyFill="1"/>
    <xf numFmtId="169" fontId="0" fillId="0" borderId="0" xfId="0" applyNumberFormat="1"/>
    <xf numFmtId="14" fontId="0" fillId="3" borderId="0" xfId="0" applyNumberFormat="1" applyFill="1"/>
    <xf numFmtId="22" fontId="0" fillId="0" borderId="0" xfId="0" applyNumberFormat="1"/>
    <xf numFmtId="18" fontId="0" fillId="0" borderId="0" xfId="0" applyNumberFormat="1"/>
    <xf numFmtId="20" fontId="0" fillId="0" borderId="0" xfId="0" applyNumberForma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3ADF3-D582-4D45-A02E-09F04B836631}">
  <dimension ref="A2:E42"/>
  <sheetViews>
    <sheetView zoomScale="234" workbookViewId="0">
      <selection activeCell="C45" sqref="C45"/>
    </sheetView>
  </sheetViews>
  <sheetFormatPr baseColWidth="10" defaultRowHeight="16" x14ac:dyDescent="0.2"/>
  <sheetData>
    <row r="2" spans="1:5" x14ac:dyDescent="0.2">
      <c r="A2" t="s">
        <v>0</v>
      </c>
      <c r="C2" t="s">
        <v>1</v>
      </c>
    </row>
    <row r="4" spans="1:5" x14ac:dyDescent="0.2">
      <c r="A4" t="s">
        <v>3</v>
      </c>
      <c r="B4" s="1"/>
      <c r="C4" t="s">
        <v>4</v>
      </c>
      <c r="E4" s="2"/>
    </row>
    <row r="6" spans="1:5" x14ac:dyDescent="0.2">
      <c r="A6" t="s">
        <v>5</v>
      </c>
      <c r="B6" s="2"/>
      <c r="C6" t="s">
        <v>6</v>
      </c>
    </row>
    <row r="8" spans="1:5" x14ac:dyDescent="0.2">
      <c r="A8" t="s">
        <v>8</v>
      </c>
      <c r="B8" s="2"/>
      <c r="C8" t="s">
        <v>10</v>
      </c>
    </row>
    <row r="10" spans="1:5" x14ac:dyDescent="0.2">
      <c r="A10" t="s">
        <v>11</v>
      </c>
      <c r="C10" t="s">
        <v>13</v>
      </c>
    </row>
    <row r="12" spans="1:5" x14ac:dyDescent="0.2">
      <c r="A12" t="s">
        <v>12</v>
      </c>
      <c r="C12" t="s">
        <v>14</v>
      </c>
    </row>
    <row r="14" spans="1:5" x14ac:dyDescent="0.2">
      <c r="A14" t="s">
        <v>18</v>
      </c>
      <c r="C14" t="s">
        <v>19</v>
      </c>
    </row>
    <row r="16" spans="1:5" x14ac:dyDescent="0.2">
      <c r="A16" t="s">
        <v>20</v>
      </c>
      <c r="C16" t="s">
        <v>23</v>
      </c>
    </row>
    <row r="18" spans="1:3" x14ac:dyDescent="0.2">
      <c r="A18" t="s">
        <v>21</v>
      </c>
      <c r="C18" t="s">
        <v>25</v>
      </c>
    </row>
    <row r="20" spans="1:3" x14ac:dyDescent="0.2">
      <c r="A20" t="s">
        <v>24</v>
      </c>
      <c r="C20" t="s">
        <v>26</v>
      </c>
    </row>
    <row r="22" spans="1:3" x14ac:dyDescent="0.2">
      <c r="A22" t="s">
        <v>27</v>
      </c>
      <c r="C22" t="s">
        <v>28</v>
      </c>
    </row>
    <row r="24" spans="1:3" x14ac:dyDescent="0.2">
      <c r="A24" t="s">
        <v>29</v>
      </c>
      <c r="C24" t="s">
        <v>33</v>
      </c>
    </row>
    <row r="26" spans="1:3" x14ac:dyDescent="0.2">
      <c r="A26" t="s">
        <v>30</v>
      </c>
      <c r="C26" t="s">
        <v>31</v>
      </c>
    </row>
    <row r="28" spans="1:3" x14ac:dyDescent="0.2">
      <c r="A28" t="s">
        <v>3</v>
      </c>
      <c r="C28" t="s">
        <v>32</v>
      </c>
    </row>
    <row r="30" spans="1:3" x14ac:dyDescent="0.2">
      <c r="A30" t="s">
        <v>34</v>
      </c>
      <c r="C30" t="s">
        <v>35</v>
      </c>
    </row>
    <row r="31" spans="1:3" x14ac:dyDescent="0.2">
      <c r="A31" t="s">
        <v>41</v>
      </c>
    </row>
    <row r="32" spans="1:3" x14ac:dyDescent="0.2">
      <c r="A32" t="s">
        <v>36</v>
      </c>
    </row>
    <row r="34" spans="1:3" x14ac:dyDescent="0.2">
      <c r="A34" t="s">
        <v>37</v>
      </c>
      <c r="C34" t="s">
        <v>38</v>
      </c>
    </row>
    <row r="36" spans="1:3" x14ac:dyDescent="0.2">
      <c r="A36" t="s">
        <v>39</v>
      </c>
      <c r="C36" t="s">
        <v>40</v>
      </c>
    </row>
    <row r="38" spans="1:3" x14ac:dyDescent="0.2">
      <c r="A38" t="s">
        <v>42</v>
      </c>
    </row>
    <row r="42" spans="1:3" x14ac:dyDescent="0.2">
      <c r="B42">
        <f>DATEVALUE("18-12-25")</f>
        <v>46009</v>
      </c>
      <c r="C42" s="2">
        <f>DATEVALUE("18-12-25")</f>
        <v>46009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6A625-6BEB-C940-B813-67D82857C4AF}">
  <dimension ref="B3:G59"/>
  <sheetViews>
    <sheetView tabSelected="1" topLeftCell="D1" zoomScale="165" workbookViewId="0">
      <selection activeCell="F8" sqref="F8"/>
    </sheetView>
  </sheetViews>
  <sheetFormatPr baseColWidth="10" defaultRowHeight="16" x14ac:dyDescent="0.2"/>
  <cols>
    <col min="4" max="4" width="15.33203125" bestFit="1" customWidth="1"/>
  </cols>
  <sheetData>
    <row r="3" spans="2:7" x14ac:dyDescent="0.2">
      <c r="B3" t="s">
        <v>2</v>
      </c>
      <c r="C3" t="s">
        <v>0</v>
      </c>
      <c r="F3" s="4">
        <v>43980.25</v>
      </c>
      <c r="G3" s="3">
        <v>43980.25</v>
      </c>
    </row>
    <row r="4" spans="2:7" x14ac:dyDescent="0.2">
      <c r="B4">
        <v>1</v>
      </c>
      <c r="C4" s="2">
        <v>1</v>
      </c>
      <c r="F4" s="5"/>
    </row>
    <row r="5" spans="2:7" x14ac:dyDescent="0.2">
      <c r="C5" s="2"/>
      <c r="F5" s="5"/>
    </row>
    <row r="6" spans="2:7" x14ac:dyDescent="0.2">
      <c r="B6">
        <v>2958465</v>
      </c>
      <c r="C6" s="2">
        <v>2958465</v>
      </c>
      <c r="F6" s="4">
        <v>43980.786</v>
      </c>
      <c r="G6" s="3">
        <v>43980.799599999998</v>
      </c>
    </row>
    <row r="8" spans="2:7" x14ac:dyDescent="0.2">
      <c r="B8">
        <v>0</v>
      </c>
      <c r="C8" s="6">
        <v>0</v>
      </c>
      <c r="F8">
        <f>MINUTE(F6)</f>
        <v>51</v>
      </c>
    </row>
    <row r="12" spans="2:7" x14ac:dyDescent="0.2">
      <c r="B12" t="s">
        <v>7</v>
      </c>
      <c r="D12" s="2">
        <f ca="1">TODAY()</f>
        <v>46009</v>
      </c>
      <c r="G12" s="2">
        <f ca="1">TODAY()</f>
        <v>46009</v>
      </c>
    </row>
    <row r="14" spans="2:7" x14ac:dyDescent="0.2">
      <c r="B14" t="s">
        <v>9</v>
      </c>
      <c r="D14" s="7">
        <f ca="1">NOW()</f>
        <v>46009.942569560182</v>
      </c>
    </row>
    <row r="16" spans="2:7" x14ac:dyDescent="0.2">
      <c r="B16" t="s">
        <v>15</v>
      </c>
      <c r="D16">
        <f>DAY(G3)</f>
        <v>29</v>
      </c>
    </row>
    <row r="18" spans="2:4" x14ac:dyDescent="0.2">
      <c r="B18" t="s">
        <v>16</v>
      </c>
      <c r="D18">
        <f>MONTH(G6)</f>
        <v>5</v>
      </c>
    </row>
    <row r="20" spans="2:4" x14ac:dyDescent="0.2">
      <c r="B20" t="s">
        <v>17</v>
      </c>
      <c r="D20">
        <f>YEAR(B4)</f>
        <v>1900</v>
      </c>
    </row>
    <row r="22" spans="2:4" x14ac:dyDescent="0.2">
      <c r="B22" t="s">
        <v>22</v>
      </c>
      <c r="D22">
        <f>MINUTE(G6)</f>
        <v>11</v>
      </c>
    </row>
    <row r="24" spans="2:4" x14ac:dyDescent="0.2">
      <c r="B24" t="s">
        <v>21</v>
      </c>
      <c r="D24">
        <f>SECOND(G6)</f>
        <v>25</v>
      </c>
    </row>
    <row r="26" spans="2:4" x14ac:dyDescent="0.2">
      <c r="D26" s="2">
        <f ca="1">EOMONTH(TODAY(),2)</f>
        <v>46081</v>
      </c>
    </row>
    <row r="31" spans="2:4" x14ac:dyDescent="0.2">
      <c r="C31" s="2">
        <f ca="1">EDATE(TODAY(),2)</f>
        <v>46071</v>
      </c>
    </row>
    <row r="35" spans="2:5" x14ac:dyDescent="0.2">
      <c r="B35" s="2">
        <f ca="1">WORKDAY(C31,5,1)</f>
        <v>46078</v>
      </c>
    </row>
    <row r="37" spans="2:5" x14ac:dyDescent="0.2">
      <c r="E37">
        <f>WEEKDAY(G6)</f>
        <v>6</v>
      </c>
    </row>
    <row r="38" spans="2:5" x14ac:dyDescent="0.2">
      <c r="C38" s="2">
        <f>DATE(2024,11,14)</f>
        <v>45610</v>
      </c>
    </row>
    <row r="39" spans="2:5" x14ac:dyDescent="0.2">
      <c r="D39" s="8">
        <f>TIME(23,34,23)</f>
        <v>0.98221064814814818</v>
      </c>
    </row>
    <row r="44" spans="2:5" x14ac:dyDescent="0.2">
      <c r="C44">
        <f>DAYS360(C4,C6,TRUE)</f>
        <v>2915999</v>
      </c>
      <c r="D44" s="2">
        <f>DAYS360(C4,C6,TRUE)</f>
        <v>2915999</v>
      </c>
    </row>
    <row r="46" spans="2:5" x14ac:dyDescent="0.2">
      <c r="C46" s="2">
        <v>1</v>
      </c>
      <c r="D46" s="2">
        <v>770</v>
      </c>
    </row>
    <row r="49" spans="3:6" x14ac:dyDescent="0.2">
      <c r="F49">
        <f>DATEDIF(C46,D46,"YD")</f>
        <v>38</v>
      </c>
    </row>
    <row r="50" spans="3:6" x14ac:dyDescent="0.2">
      <c r="C50">
        <f>_xlfn.DAYS(D46,C46)</f>
        <v>769</v>
      </c>
    </row>
    <row r="52" spans="3:6" x14ac:dyDescent="0.2">
      <c r="C52" s="2">
        <v>45840</v>
      </c>
      <c r="D52" t="str">
        <f>TEXT(C52,"dddd")</f>
        <v>Wednesday</v>
      </c>
      <c r="E52" t="e">
        <f>DATEVALUE(F54)</f>
        <v>#VALUE!</v>
      </c>
    </row>
    <row r="54" spans="3:6" x14ac:dyDescent="0.2">
      <c r="C54" t="str">
        <f>"02 june 2025"</f>
        <v>02 june 2025</v>
      </c>
      <c r="E54">
        <f>DATEVALUE(C54)</f>
        <v>45810</v>
      </c>
      <c r="F54" s="2">
        <v>45810</v>
      </c>
    </row>
    <row r="57" spans="3:6" x14ac:dyDescent="0.2">
      <c r="C57" s="9" t="str">
        <f>"22:30"</f>
        <v>22:30</v>
      </c>
      <c r="E57">
        <f>TIMEVALUE(C57)</f>
        <v>0.9375</v>
      </c>
      <c r="F57">
        <f>22.5/24</f>
        <v>0.9375</v>
      </c>
    </row>
    <row r="59" spans="3:6" x14ac:dyDescent="0.2">
      <c r="C59" t="str">
        <f>"10:00 PM"</f>
        <v>10:00 PM</v>
      </c>
      <c r="E59">
        <f>TIMEVALUE(C59)</f>
        <v>0.91666666666666663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DATE-TIME Func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Utkarsh Sahu</dc:creator>
  <cp:lastModifiedBy>Utkarsh Sahu</cp:lastModifiedBy>
  <dcterms:created xsi:type="dcterms:W3CDTF">2025-12-18T15:57:13Z</dcterms:created>
  <dcterms:modified xsi:type="dcterms:W3CDTF">2025-12-18T17:09:53Z</dcterms:modified>
</cp:coreProperties>
</file>