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8B99A366-6DD6-4443-9052-9A32E4CF0B36}" xr6:coauthVersionLast="47" xr6:coauthVersionMax="47" xr10:uidLastSave="{00000000-0000-0000-0000-000000000000}"/>
  <bookViews>
    <workbookView xWindow="0" yWindow="600" windowWidth="28420" windowHeight="17400" activeTab="1" xr2:uid="{15615266-A384-194A-99CB-881D453A75A3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9" i="2" l="1"/>
  <c r="D209" i="2" s="1"/>
  <c r="D192" i="2"/>
  <c r="B195" i="2" s="1"/>
  <c r="D179" i="2"/>
  <c r="B182" i="2" s="1"/>
  <c r="D168" i="2"/>
  <c r="B162" i="2" s="1"/>
  <c r="D162" i="2"/>
  <c r="D135" i="2"/>
  <c r="B130" i="2" s="1"/>
  <c r="B113" i="2"/>
  <c r="B99" i="2"/>
  <c r="B74" i="2"/>
  <c r="B72" i="2"/>
  <c r="D74" i="2"/>
  <c r="D72" i="2"/>
  <c r="B82" i="2"/>
  <c r="B78" i="2"/>
  <c r="B80" i="2"/>
  <c r="D62" i="2"/>
  <c r="B40" i="2"/>
  <c r="B62" i="2"/>
  <c r="C20" i="2"/>
  <c r="D55" i="2"/>
  <c r="B55" i="2"/>
  <c r="B46" i="2"/>
  <c r="D46" i="2"/>
  <c r="D49" i="2"/>
  <c r="B49" i="2"/>
  <c r="G18" i="2"/>
  <c r="B37" i="2"/>
  <c r="C22" i="2"/>
  <c r="C24" i="2"/>
  <c r="B3" i="2"/>
  <c r="B6" i="2"/>
  <c r="D6" i="2"/>
  <c r="D3" i="2"/>
  <c r="F40" i="2" l="1"/>
  <c r="D40" i="2"/>
</calcChain>
</file>

<file path=xl/sharedStrings.xml><?xml version="1.0" encoding="utf-8"?>
<sst xmlns="http://schemas.openxmlformats.org/spreadsheetml/2006/main" count="68" uniqueCount="45">
  <si>
    <t>Date Time funcs</t>
  </si>
  <si>
    <t>TODAY</t>
  </si>
  <si>
    <t>NOW</t>
  </si>
  <si>
    <t>DAY</t>
  </si>
  <si>
    <t>MONTH</t>
  </si>
  <si>
    <t>YEAR</t>
  </si>
  <si>
    <t>HOUR</t>
  </si>
  <si>
    <t>MINUTE</t>
  </si>
  <si>
    <t>TODAY's Date</t>
  </si>
  <si>
    <t>Time right now</t>
  </si>
  <si>
    <t>excracts the YEAR part from the date ( serial num )</t>
  </si>
  <si>
    <t>excracts the MONTH part from the date ( serial num )</t>
  </si>
  <si>
    <t>excracts the DAY part from the date ( serial num )</t>
  </si>
  <si>
    <t>DATE</t>
  </si>
  <si>
    <t>excracts the HOUR part from the TIME ( serial num )</t>
  </si>
  <si>
    <t>excracts the MINUTE part from the TIME ( serial num )</t>
  </si>
  <si>
    <t>SECONDS</t>
  </si>
  <si>
    <t>excracts the SECOND part from the TIME ( serial num )</t>
  </si>
  <si>
    <t>MIN</t>
  </si>
  <si>
    <t>SEC</t>
  </si>
  <si>
    <t>TIMEVALUE</t>
  </si>
  <si>
    <t>TIME</t>
  </si>
  <si>
    <t>DATEVALUE</t>
  </si>
  <si>
    <t>To get the serial num for the time part</t>
  </si>
  <si>
    <t>to get the date number in serial num</t>
  </si>
  <si>
    <t>CONSTRUCT the date using day, month and year</t>
  </si>
  <si>
    <t>CONSTRUCT the Time using hour, min and sec</t>
  </si>
  <si>
    <t>EDATE</t>
  </si>
  <si>
    <t xml:space="preserve">RETURN SERIALNUM and only add the months, </t>
  </si>
  <si>
    <t>EOMONTH</t>
  </si>
  <si>
    <t>RETURN serial num of the LAST DAY OF THAT MONTH after adding the months given in input</t>
  </si>
  <si>
    <t>WEEKDAY</t>
  </si>
  <si>
    <t>TELL THE DAY ( of week ) as per the date , LIKE MONDAY, TUES, etc ( convention)</t>
  </si>
  <si>
    <t>WEEkNUM</t>
  </si>
  <si>
    <t>TELLS the WEEK num In that year, numerically ( refer the actual calander)</t>
  </si>
  <si>
    <t>WEEKNUM</t>
  </si>
  <si>
    <t>https://support.microsoft.com/en-us/office/weeknum-function-e5c43a03-b4ab-426c-b411-b18c13c75340</t>
  </si>
  <si>
    <t>DATEDIF</t>
  </si>
  <si>
    <t>START</t>
  </si>
  <si>
    <t>END</t>
  </si>
  <si>
    <t>DAYS</t>
  </si>
  <si>
    <t>DAYS360</t>
  </si>
  <si>
    <t>YEARFRAC</t>
  </si>
  <si>
    <t>YEAR FRACTION</t>
  </si>
  <si>
    <t>WORKDAY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</si>
</sst>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56082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2" borderId="0" xfId="0" applyFill="1"/>
    <xf numFmtId="0" fontId="1" fillId="3" borderId="0" xfId="0" applyFont="1" applyFill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  <xf numFmtId="18" fontId="0" fillId="0" borderId="0" xfId="0" applyNumberFormat="1"/>
    <xf numFmtId="0" fontId="2" fillId="0" borderId="0" xfId="1"/>
    <xf numFmtId="1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236985</xdr:colOff>
      <xdr:row>77</xdr:row>
      <xdr:rowOff>18230</xdr:rowOff>
    </xdr:from>
    <xdr:to>
      <xdr:col>6</xdr:col>
      <xdr:colOff>249564</xdr:colOff>
      <xdr:row>90</xdr:row>
      <xdr:rowOff>91088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6685D-9A13-6B53-65B4-40E66430B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99569" y="15458756"/>
          <a:ext cx="2832100" cy="2679700"/>
        </a:xfrm>
        <a:prstGeom prst="rect">
          <a:avLst/>
        </a:prstGeom>
      </xdr:spPr>
    </xdr:pic>
    <xdr:clientData/>
  </xdr:twoCellAnchor>
  <xdr:twoCellAnchor editAs="oneCell">
    <xdr:from>
      <xdr:col>2</xdr:col>
      <xdr:colOff>75748</xdr:colOff>
      <xdr:row>79</xdr:row>
      <xdr:rowOff>106061</xdr:rowOff>
    </xdr:from>
    <xdr:to>
      <xdr:col>3</xdr:col>
      <xdr:colOff>774656</xdr:colOff>
      <xdr:row>88</xdr:row>
      <xdr:rowOff>120764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4DE98AC-632E-678A-A893-8B5505ADEB74}"/>
                </a:ext>
              </a:extLst>
            </xdr14:cNvPr>
            <xdr14:cNvContentPartPr/>
          </xdr14:nvContentPartPr>
          <xdr14:nvPr macro=""/>
          <xdr14:xfrm>
            <a:off x="2311920" y="15947640"/>
            <a:ext cx="1525320" cy="181944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4DE98AC-632E-678A-A893-8B5505ADEB74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305800" y="15941520"/>
              <a:ext cx="1537560" cy="183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170143</xdr:colOff>
      <xdr:row>98</xdr:row>
      <xdr:rowOff>38304</xdr:rowOff>
    </xdr:from>
    <xdr:to>
      <xdr:col>6</xdr:col>
      <xdr:colOff>620293</xdr:colOff>
      <xdr:row>104</xdr:row>
      <xdr:rowOff>169063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ECA7A46-2034-4B30-383F-FCB4B76D3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32727" y="19689883"/>
          <a:ext cx="3269671" cy="1333917"/>
        </a:xfrm>
        <a:prstGeom prst="rect">
          <a:avLst/>
        </a:prstGeom>
      </xdr:spPr>
    </xdr:pic>
    <xdr:clientData/>
  </xdr:twoCellAnchor>
  <xdr:twoCellAnchor editAs="oneCell">
    <xdr:from>
      <xdr:col>2</xdr:col>
      <xdr:colOff>572226</xdr:colOff>
      <xdr:row>111</xdr:row>
      <xdr:rowOff>66841</xdr:rowOff>
    </xdr:from>
    <xdr:to>
      <xdr:col>6</xdr:col>
      <xdr:colOff>322301</xdr:colOff>
      <xdr:row>122</xdr:row>
      <xdr:rowOff>58030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1D9AA08-37AE-4E5C-F59D-3B8035FD2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808398" y="22325262"/>
          <a:ext cx="3396008" cy="2196979"/>
        </a:xfrm>
        <a:prstGeom prst="rect">
          <a:avLst/>
        </a:prstGeom>
      </xdr:spPr>
    </xdr:pic>
    <xdr:clientData/>
  </xdr:twoCellAnchor>
  <xdr:twoCellAnchor editAs="oneCell">
    <xdr:from>
      <xdr:col>1</xdr:col>
      <xdr:colOff>28150</xdr:colOff>
      <xdr:row>136</xdr:row>
      <xdr:rowOff>109378</xdr:rowOff>
    </xdr:from>
    <xdr:to>
      <xdr:col>5</xdr:col>
      <xdr:colOff>396493</xdr:colOff>
      <xdr:row>155</xdr:row>
      <xdr:rowOff>71218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227A805-DAE6-69F6-7F1F-AC86FA150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4561" y="27380957"/>
          <a:ext cx="4597626" cy="3771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200</xdr:row>
      <xdr:rowOff>0</xdr:rowOff>
    </xdr:from>
    <xdr:to>
      <xdr:col>8</xdr:col>
      <xdr:colOff>175066</xdr:colOff>
      <xdr:row>214</xdr:row>
      <xdr:rowOff>12031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770825A-C5BF-5763-C770-7FFF247F1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55694" y="40105263"/>
          <a:ext cx="2654300" cy="2819400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08T16:25:05.64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5 24575,'33'-2'0,"47"0"0,-14 2 0,7 0 0,16 0 0,2 1 0,2 3 0,-3 2 0,-12 2 0,-6 3 0,-18 2 0,-6 4 0,16 20 0,-28 2 0,-15 10 0,-6 18 0,-1 27 0,-6-36 0,0 1 0,0 6 0,0 1 0,0 4 0,0 0 0,1-1 0,-1 1 0,-1 4 0,1 1 0,-1 7 0,1 2 0,0 6 0,-1 3 0,-1-27 0,0 1 0,-1 1-163,1 2 0,1 0 0,-1 0 163,1 0 0,0-1 0,0 0 0,0 0 0,1 0 0,0-1 0,0 0 0,0-1 0,1 1 0,0-2 0,1 1 0,1-1 0,5 32 0,0-1 0,1-7 0,0-1 0,-1-10 0,0-2 0,-1-8 0,-1-3 0,-1-4 0,0-2 0,0-1 0,-1 1 0,1 3 0,1 1 0,1 3 0,0 0 244,2 6 1,0 0-245,1 1 0,0-1 0,-1-3 0,-1 0 0,-1-6 0,-2 0 0,-1-8 0,-1-1 0,-2-3 0,0-1 0,7 44 0,-4-8 0,-1-9 0,-3-14 0,-2-16 0,-1-16 0,-2-13 0,-1-6 0,0-7 0,1-2 0,-1-2 0,2-3 0,-1-1 0,2-6 0,7-4 0,35-1 0,11 5 0,12 4 0,-4 2 0,6 2 0,2 2-222,10 1 1,2 2 0,0 1 221,-1 0 0,-1 2 0,-4 1 0,16 4 0,-9 0 0,-27-2 0,-8-2 0,11 2 0,-37-7 0,-11-3 0,-1 0 0,5 1 664,10-1-664,9 0 0,7-1 0,2 0 0,-8 0 0,-10 0 0,-7 0 0,-5 0 0,0 0 0,1 0 0,0 1 0,-2 0 0,-1 1 0,-2 1 0,2-2 0,7 0 0,9-1 0,5 0 0,1 0 0,-6 0 0,-6 0 0,-6 0 0,-1 0 0,3-1 0,1-2 0,2 0 0,-4-3 0,-2-1 0,-2-2 0,0-3 0,2-2 0,3-1 0,3-1 0,5 0 0,3-3 0,3 0 0,2 0 0,-3 1 0,-3 1 0,-5 1 0,-6 2 0,-3 3 0,-4 2 0,-4 2 0,-2 2 0,-4 1 0,-4 2 0,-4 1 0,-1 1 0,-1 0 0,0 0 0,1 0 0,-1 0 0,3-1 0,-1 0 0,1 0 0,1 0 0,0 0 0,-1-1 0,1 0 0,0-1 0,-1 1 0,1-2 0,-1-1 0,0-1 0,2-1 0,1 1 0,-1 1 0,1 1 0,-2 1 0,0 1 0,0 0 0,0 0 0,3 0 0,1 0 0,4 1 0,3 1 0,2 0 0,2 1 0,-1 1 0,0 2 0,-1 2 0,1 0 0,0-1 0,-1-1 0,0-1 0,-1-1 0,1 0 0,-2 0 0,-1 0 0,-2 1 0,-1-1 0,-1 2 0,-1 1 0,-1 1 0,0 2 0,-1 1 0,-1 0 0,-2 0 0,-3 1 0,-2 2 0,-2 2 0,-1 0 0,-1 0 0,2-1 0,1 0 0,2-1 0,1-1 0,0 0 0,1-3 0,3-3 0,0-2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support.microsoft.com/en-us/office/weeknum-function-e5c43a03-b4ab-426c-b411-b18c13c7534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B90A9-889B-2A4E-AB6A-6C0A15BDBE21}">
  <dimension ref="B4:F44"/>
  <sheetViews>
    <sheetView topLeftCell="A32" zoomScale="176" workbookViewId="0">
      <selection activeCell="B44" sqref="B44"/>
    </sheetView>
  </sheetViews>
  <sheetFormatPr baseColWidth="10" defaultRowHeight="16" x14ac:dyDescent="0.2"/>
  <sheetData>
    <row r="4" spans="2:4" x14ac:dyDescent="0.2">
      <c r="C4" t="s">
        <v>0</v>
      </c>
    </row>
    <row r="7" spans="2:4" x14ac:dyDescent="0.2">
      <c r="B7" t="s">
        <v>1</v>
      </c>
      <c r="D7" t="s">
        <v>8</v>
      </c>
    </row>
    <row r="8" spans="2:4" x14ac:dyDescent="0.2">
      <c r="C8" s="1"/>
    </row>
    <row r="9" spans="2:4" x14ac:dyDescent="0.2">
      <c r="B9" t="s">
        <v>2</v>
      </c>
      <c r="D9" t="s">
        <v>9</v>
      </c>
    </row>
    <row r="12" spans="2:4" x14ac:dyDescent="0.2">
      <c r="B12" s="4" t="s">
        <v>5</v>
      </c>
      <c r="C12" s="5"/>
      <c r="D12" s="5" t="s">
        <v>10</v>
      </c>
    </row>
    <row r="13" spans="2:4" x14ac:dyDescent="0.2">
      <c r="B13" s="4"/>
      <c r="C13" s="5"/>
      <c r="D13" s="5"/>
    </row>
    <row r="14" spans="2:4" x14ac:dyDescent="0.2">
      <c r="B14" s="4" t="s">
        <v>4</v>
      </c>
      <c r="C14" s="5"/>
      <c r="D14" s="5" t="s">
        <v>11</v>
      </c>
    </row>
    <row r="15" spans="2:4" x14ac:dyDescent="0.2">
      <c r="B15" s="4"/>
      <c r="C15" s="5"/>
      <c r="D15" s="5"/>
    </row>
    <row r="16" spans="2:4" x14ac:dyDescent="0.2">
      <c r="B16" s="4" t="s">
        <v>3</v>
      </c>
      <c r="C16" s="5"/>
      <c r="D16" s="5" t="s">
        <v>12</v>
      </c>
    </row>
    <row r="18" spans="2:5" x14ac:dyDescent="0.2">
      <c r="B18" s="4" t="s">
        <v>6</v>
      </c>
      <c r="C18" s="5"/>
      <c r="D18" s="5" t="s">
        <v>14</v>
      </c>
      <c r="E18" s="5"/>
    </row>
    <row r="19" spans="2:5" x14ac:dyDescent="0.2">
      <c r="B19" s="4"/>
      <c r="C19" s="5"/>
      <c r="D19" s="5"/>
      <c r="E19" s="5"/>
    </row>
    <row r="20" spans="2:5" x14ac:dyDescent="0.2">
      <c r="B20" s="4" t="s">
        <v>7</v>
      </c>
      <c r="C20" s="5"/>
      <c r="D20" s="5" t="s">
        <v>15</v>
      </c>
      <c r="E20" s="5"/>
    </row>
    <row r="21" spans="2:5" x14ac:dyDescent="0.2">
      <c r="B21" s="4"/>
      <c r="C21" s="5"/>
      <c r="D21" s="5"/>
      <c r="E21" s="5"/>
    </row>
    <row r="22" spans="2:5" x14ac:dyDescent="0.2">
      <c r="B22" s="4" t="s">
        <v>16</v>
      </c>
      <c r="C22" s="5"/>
      <c r="D22" s="5" t="s">
        <v>17</v>
      </c>
      <c r="E22" s="5"/>
    </row>
    <row r="25" spans="2:5" x14ac:dyDescent="0.2">
      <c r="B25" t="s">
        <v>20</v>
      </c>
      <c r="D25" t="s">
        <v>23</v>
      </c>
    </row>
    <row r="27" spans="2:5" x14ac:dyDescent="0.2">
      <c r="B27" t="s">
        <v>22</v>
      </c>
      <c r="D27" t="s">
        <v>24</v>
      </c>
    </row>
    <row r="30" spans="2:5" x14ac:dyDescent="0.2">
      <c r="B30" s="4" t="s">
        <v>13</v>
      </c>
      <c r="C30" s="5"/>
      <c r="D30" s="5" t="s">
        <v>25</v>
      </c>
      <c r="E30" s="5"/>
    </row>
    <row r="31" spans="2:5" x14ac:dyDescent="0.2">
      <c r="B31" s="4"/>
      <c r="C31" s="5"/>
      <c r="D31" s="5"/>
      <c r="E31" s="5"/>
    </row>
    <row r="32" spans="2:5" x14ac:dyDescent="0.2">
      <c r="B32" s="4" t="s">
        <v>21</v>
      </c>
      <c r="C32" s="5"/>
      <c r="D32" s="5" t="s">
        <v>26</v>
      </c>
      <c r="E32" s="5"/>
    </row>
    <row r="33" spans="2:6" x14ac:dyDescent="0.2">
      <c r="B33" s="5"/>
      <c r="C33" s="5"/>
      <c r="D33" s="5"/>
      <c r="E33" s="5"/>
    </row>
    <row r="36" spans="2:6" x14ac:dyDescent="0.2">
      <c r="B36" s="4" t="s">
        <v>27</v>
      </c>
      <c r="C36" s="5"/>
      <c r="D36" s="5" t="s">
        <v>28</v>
      </c>
      <c r="E36" s="5"/>
      <c r="F36" s="5"/>
    </row>
    <row r="37" spans="2:6" x14ac:dyDescent="0.2">
      <c r="B37" s="4"/>
      <c r="C37" s="5"/>
      <c r="D37" s="5"/>
      <c r="E37" s="5"/>
      <c r="F37" s="5"/>
    </row>
    <row r="38" spans="2:6" x14ac:dyDescent="0.2">
      <c r="B38" s="4" t="s">
        <v>29</v>
      </c>
      <c r="C38" s="5"/>
      <c r="D38" s="5" t="s">
        <v>30</v>
      </c>
      <c r="E38" s="5"/>
      <c r="F38" s="5"/>
    </row>
    <row r="42" spans="2:6" x14ac:dyDescent="0.2">
      <c r="B42" s="5" t="s">
        <v>31</v>
      </c>
      <c r="C42" s="5"/>
      <c r="D42" s="5" t="s">
        <v>32</v>
      </c>
      <c r="E42" s="5"/>
      <c r="F42" s="5"/>
    </row>
    <row r="43" spans="2:6" x14ac:dyDescent="0.2">
      <c r="B43" s="5"/>
      <c r="C43" s="5"/>
      <c r="D43" s="5"/>
      <c r="E43" s="5"/>
      <c r="F43" s="5"/>
    </row>
    <row r="44" spans="2:6" x14ac:dyDescent="0.2">
      <c r="B44" s="5" t="s">
        <v>33</v>
      </c>
      <c r="C44" s="5"/>
      <c r="D44" s="5" t="s">
        <v>34</v>
      </c>
      <c r="E44" s="5"/>
      <c r="F4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274F0-79E0-004C-8413-45D9BAEF4B08}">
  <dimension ref="A3:H209"/>
  <sheetViews>
    <sheetView tabSelected="1" topLeftCell="A201" zoomScale="209" workbookViewId="0">
      <selection activeCell="B210" sqref="B210"/>
    </sheetView>
  </sheetViews>
  <sheetFormatPr baseColWidth="10" defaultRowHeight="16" x14ac:dyDescent="0.2"/>
  <cols>
    <col min="2" max="2" width="18.5" customWidth="1"/>
    <col min="4" max="4" width="15.33203125" bestFit="1" customWidth="1"/>
  </cols>
  <sheetData>
    <row r="3" spans="1:6" x14ac:dyDescent="0.2">
      <c r="B3" s="1">
        <f ca="1">TODAY()</f>
        <v>46089</v>
      </c>
      <c r="D3" t="str">
        <f>"=TODAY()"</f>
        <v>=TODAY()</v>
      </c>
    </row>
    <row r="6" spans="1:6" x14ac:dyDescent="0.2">
      <c r="B6" s="2">
        <f ca="1">NOW()</f>
        <v>46089.939572800926</v>
      </c>
      <c r="D6" t="str">
        <f>"=NOW()"</f>
        <v>=NOW()</v>
      </c>
    </row>
    <row r="9" spans="1:6" x14ac:dyDescent="0.2">
      <c r="A9" s="3"/>
      <c r="B9" s="3"/>
      <c r="C9" s="3"/>
      <c r="D9" s="3"/>
      <c r="E9" s="3"/>
      <c r="F9" s="3"/>
    </row>
    <row r="11" spans="1:6" x14ac:dyDescent="0.2">
      <c r="B11" s="4" t="s">
        <v>5</v>
      </c>
      <c r="C11" s="5"/>
      <c r="D11" s="5" t="s">
        <v>10</v>
      </c>
      <c r="E11" s="5"/>
      <c r="F11" s="5"/>
    </row>
    <row r="12" spans="1:6" x14ac:dyDescent="0.2">
      <c r="B12" s="4"/>
      <c r="C12" s="5"/>
      <c r="D12" s="5"/>
      <c r="E12" s="5"/>
      <c r="F12" s="5"/>
    </row>
    <row r="13" spans="1:6" x14ac:dyDescent="0.2">
      <c r="B13" s="4" t="s">
        <v>4</v>
      </c>
      <c r="C13" s="5"/>
      <c r="D13" s="5" t="s">
        <v>11</v>
      </c>
      <c r="E13" s="5"/>
      <c r="F13" s="5"/>
    </row>
    <row r="14" spans="1:6" x14ac:dyDescent="0.2">
      <c r="B14" s="4"/>
      <c r="C14" s="5"/>
      <c r="D14" s="5"/>
      <c r="E14" s="5"/>
      <c r="F14" s="5"/>
    </row>
    <row r="15" spans="1:6" x14ac:dyDescent="0.2">
      <c r="B15" s="4" t="s">
        <v>3</v>
      </c>
      <c r="C15" s="5"/>
      <c r="D15" s="5" t="s">
        <v>12</v>
      </c>
      <c r="E15" s="5"/>
      <c r="F15" s="5"/>
    </row>
    <row r="18" spans="2:7" x14ac:dyDescent="0.2">
      <c r="B18" s="1">
        <v>46058</v>
      </c>
      <c r="D18" s="6">
        <v>46055</v>
      </c>
      <c r="G18">
        <f>DATEVALUE("08/03/2026")</f>
        <v>46089</v>
      </c>
    </row>
    <row r="20" spans="2:7" x14ac:dyDescent="0.2">
      <c r="B20" t="s">
        <v>5</v>
      </c>
      <c r="C20">
        <f>YEAR(B18)</f>
        <v>2026</v>
      </c>
      <c r="D20" s="6"/>
    </row>
    <row r="22" spans="2:7" x14ac:dyDescent="0.2">
      <c r="B22" t="s">
        <v>4</v>
      </c>
      <c r="C22">
        <f>MONTH(46055)</f>
        <v>2</v>
      </c>
    </row>
    <row r="24" spans="2:7" x14ac:dyDescent="0.2">
      <c r="B24" t="s">
        <v>13</v>
      </c>
      <c r="C24">
        <f>DAY(B18)</f>
        <v>5</v>
      </c>
    </row>
    <row r="27" spans="2:7" x14ac:dyDescent="0.2">
      <c r="B27" s="3"/>
      <c r="C27" s="3"/>
      <c r="D27" s="3"/>
      <c r="E27" s="3"/>
    </row>
    <row r="29" spans="2:7" x14ac:dyDescent="0.2">
      <c r="B29" s="4" t="s">
        <v>6</v>
      </c>
      <c r="C29" s="5"/>
      <c r="D29" s="5" t="s">
        <v>14</v>
      </c>
      <c r="E29" s="5"/>
      <c r="F29" s="5"/>
    </row>
    <row r="30" spans="2:7" x14ac:dyDescent="0.2">
      <c r="B30" s="4"/>
      <c r="C30" s="5"/>
      <c r="D30" s="5"/>
      <c r="E30" s="5"/>
      <c r="F30" s="5"/>
    </row>
    <row r="31" spans="2:7" x14ac:dyDescent="0.2">
      <c r="B31" s="4" t="s">
        <v>7</v>
      </c>
      <c r="C31" s="5"/>
      <c r="D31" s="5" t="s">
        <v>15</v>
      </c>
      <c r="E31" s="5"/>
      <c r="F31" s="5"/>
    </row>
    <row r="32" spans="2:7" x14ac:dyDescent="0.2">
      <c r="B32" s="4"/>
      <c r="C32" s="5"/>
      <c r="D32" s="5"/>
      <c r="E32" s="5"/>
      <c r="F32" s="5"/>
    </row>
    <row r="33" spans="2:6" x14ac:dyDescent="0.2">
      <c r="B33" s="4" t="s">
        <v>16</v>
      </c>
      <c r="C33" s="5"/>
      <c r="D33" s="5" t="s">
        <v>17</v>
      </c>
      <c r="E33" s="5"/>
      <c r="F33" s="5"/>
    </row>
    <row r="37" spans="2:6" x14ac:dyDescent="0.2">
      <c r="B37" s="2">
        <f ca="1">NOW()</f>
        <v>46089.939572800926</v>
      </c>
      <c r="D37" s="7">
        <v>46089.75</v>
      </c>
    </row>
    <row r="39" spans="2:6" x14ac:dyDescent="0.2">
      <c r="B39" t="s">
        <v>6</v>
      </c>
      <c r="D39" t="s">
        <v>18</v>
      </c>
      <c r="F39" t="s">
        <v>19</v>
      </c>
    </row>
    <row r="40" spans="2:6" x14ac:dyDescent="0.2">
      <c r="B40">
        <f>HOUR(46089.9)</f>
        <v>21</v>
      </c>
      <c r="D40">
        <f ca="1">MINUTE(B37)</f>
        <v>32</v>
      </c>
      <c r="F40">
        <f ca="1">SECOND(B37)</f>
        <v>59</v>
      </c>
    </row>
    <row r="43" spans="2:6" x14ac:dyDescent="0.2">
      <c r="B43" s="3"/>
      <c r="C43" s="3"/>
      <c r="D43" s="3"/>
      <c r="E43" s="3"/>
      <c r="F43" s="3"/>
    </row>
    <row r="46" spans="2:6" x14ac:dyDescent="0.2">
      <c r="B46">
        <f>TIMEVALUE("08/03/2026 09:15")</f>
        <v>0.38541666666424135</v>
      </c>
      <c r="D46" t="str">
        <f>"=TIMEVALUE('03/03/2026 09:15')"</f>
        <v>=TIMEVALUE('03/03/2026 09:15')</v>
      </c>
    </row>
    <row r="49" spans="2:6" x14ac:dyDescent="0.2">
      <c r="B49">
        <f>DATEVALUE("08/03/2026 08:15")</f>
        <v>46089</v>
      </c>
      <c r="D49" t="str">
        <f>"=DATEVALUE('08/03/2026 08:15')"</f>
        <v>=DATEVALUE('08/03/2026 08:15')</v>
      </c>
    </row>
    <row r="52" spans="2:6" x14ac:dyDescent="0.2">
      <c r="B52" s="3"/>
      <c r="C52" s="3"/>
      <c r="D52" s="3"/>
      <c r="E52" s="3"/>
      <c r="F52" s="3"/>
    </row>
    <row r="55" spans="2:6" x14ac:dyDescent="0.2">
      <c r="B55" s="1">
        <f>DATE(2026,3,10)</f>
        <v>46091</v>
      </c>
      <c r="D55" t="str">
        <f>"=DATE(2026,3,10)"</f>
        <v>=DATE(2026,3,10)</v>
      </c>
    </row>
    <row r="59" spans="2:6" x14ac:dyDescent="0.2">
      <c r="B59" s="3"/>
      <c r="C59" s="3"/>
      <c r="D59" s="3"/>
      <c r="E59" s="3"/>
      <c r="F59" s="3"/>
    </row>
    <row r="62" spans="2:6" x14ac:dyDescent="0.2">
      <c r="B62" s="8">
        <f>TIME(22,15,35)</f>
        <v>0.92748842592592595</v>
      </c>
      <c r="D62" t="str">
        <f>"=TIME(22,15,35)"</f>
        <v>=TIME(22,15,35)</v>
      </c>
    </row>
    <row r="69" spans="2:6" x14ac:dyDescent="0.2">
      <c r="B69" s="3"/>
      <c r="C69" s="3"/>
      <c r="D69" s="3"/>
      <c r="E69" s="3"/>
      <c r="F69" s="3"/>
    </row>
    <row r="72" spans="2:6" x14ac:dyDescent="0.2">
      <c r="B72" s="1">
        <f ca="1">EDATE(TODAY(),3)</f>
        <v>46181</v>
      </c>
      <c r="D72" s="1">
        <f ca="1">EDATE(TODAY(),-4)</f>
        <v>45969</v>
      </c>
    </row>
    <row r="74" spans="2:6" x14ac:dyDescent="0.2">
      <c r="B74" t="str">
        <f>"=EDATE(TODAY(),3)"</f>
        <v>=EDATE(TODAY(),3)</v>
      </c>
      <c r="D74" t="str">
        <f>"=EDATE(TODAY(),-4)"</f>
        <v>=EDATE(TODAY(),-4)</v>
      </c>
    </row>
    <row r="76" spans="2:6" x14ac:dyDescent="0.2">
      <c r="B76" s="3"/>
      <c r="C76" s="3"/>
      <c r="D76" s="3"/>
      <c r="E76" s="3"/>
      <c r="F76" s="3"/>
    </row>
    <row r="78" spans="2:6" x14ac:dyDescent="0.2">
      <c r="B78">
        <f ca="1">EOMONTH(TODAY(),3)</f>
        <v>46203</v>
      </c>
    </row>
    <row r="80" spans="2:6" x14ac:dyDescent="0.2">
      <c r="B80" s="1">
        <f ca="1">EOMONTH(TODAY(),3.8)</f>
        <v>46203</v>
      </c>
    </row>
    <row r="82" spans="2:8" x14ac:dyDescent="0.2">
      <c r="B82" t="str">
        <f>"=EOMONTH(TODAY(),3)"</f>
        <v>=EOMONTH(TODAY(),3)</v>
      </c>
    </row>
    <row r="94" spans="2:8" x14ac:dyDescent="0.2">
      <c r="B94" s="3"/>
      <c r="C94" s="3"/>
      <c r="D94" s="3"/>
      <c r="E94" s="3"/>
      <c r="F94" s="3"/>
      <c r="G94" s="3"/>
      <c r="H94" s="3"/>
    </row>
    <row r="97" spans="2:7" x14ac:dyDescent="0.2">
      <c r="B97" t="s">
        <v>31</v>
      </c>
    </row>
    <row r="99" spans="2:7" x14ac:dyDescent="0.2">
      <c r="B99">
        <f ca="1">WEEKDAY(TODAY(),11)</f>
        <v>7</v>
      </c>
    </row>
    <row r="107" spans="2:7" x14ac:dyDescent="0.2">
      <c r="B107" s="3"/>
      <c r="C107" s="3"/>
      <c r="D107" s="3"/>
      <c r="E107" s="3"/>
      <c r="F107" s="3"/>
      <c r="G107" s="3"/>
    </row>
    <row r="110" spans="2:7" x14ac:dyDescent="0.2">
      <c r="B110" t="s">
        <v>35</v>
      </c>
    </row>
    <row r="111" spans="2:7" x14ac:dyDescent="0.2">
      <c r="D111" s="1">
        <v>44230</v>
      </c>
    </row>
    <row r="113" spans="1:6" x14ac:dyDescent="0.2">
      <c r="B113">
        <f>WEEKNUM(D111,1)</f>
        <v>6</v>
      </c>
    </row>
    <row r="118" spans="1:6" x14ac:dyDescent="0.2">
      <c r="B118" s="9" t="s">
        <v>36</v>
      </c>
    </row>
    <row r="125" spans="1:6" x14ac:dyDescent="0.2">
      <c r="A125" s="3"/>
      <c r="B125" s="3"/>
      <c r="C125" s="3"/>
      <c r="D125" s="3"/>
      <c r="E125" s="3"/>
      <c r="F125" s="3"/>
    </row>
    <row r="128" spans="1:6" x14ac:dyDescent="0.2">
      <c r="B128" t="s">
        <v>37</v>
      </c>
    </row>
    <row r="130" spans="2:4" x14ac:dyDescent="0.2">
      <c r="B130">
        <f ca="1">DATEDIF(B135,D135,"YD")</f>
        <v>33</v>
      </c>
    </row>
    <row r="134" spans="2:4" x14ac:dyDescent="0.2">
      <c r="B134" t="s">
        <v>38</v>
      </c>
      <c r="D134" t="s">
        <v>39</v>
      </c>
    </row>
    <row r="135" spans="2:4" x14ac:dyDescent="0.2">
      <c r="B135" s="1">
        <v>44230</v>
      </c>
      <c r="D135" s="1">
        <f ca="1">TODAY()</f>
        <v>46089</v>
      </c>
    </row>
    <row r="159" spans="1:6" x14ac:dyDescent="0.2">
      <c r="A159" s="3"/>
      <c r="B159" s="3"/>
      <c r="C159" s="3"/>
      <c r="D159" s="3"/>
      <c r="E159" s="3"/>
      <c r="F159" s="3"/>
    </row>
    <row r="161" spans="2:5" x14ac:dyDescent="0.2">
      <c r="B161" t="s">
        <v>40</v>
      </c>
    </row>
    <row r="162" spans="2:5" x14ac:dyDescent="0.2">
      <c r="B162">
        <f ca="1">_xlfn.DAYS(D168,B168)</f>
        <v>33</v>
      </c>
      <c r="D162" t="str">
        <f>"=DAYS(D168,B168)"</f>
        <v>=DAYS(D168,B168)</v>
      </c>
    </row>
    <row r="167" spans="2:5" x14ac:dyDescent="0.2">
      <c r="B167" t="s">
        <v>38</v>
      </c>
      <c r="D167" t="s">
        <v>39</v>
      </c>
    </row>
    <row r="168" spans="2:5" x14ac:dyDescent="0.2">
      <c r="B168" s="1">
        <v>46056</v>
      </c>
      <c r="D168" s="1">
        <f ca="1">TODAY()</f>
        <v>46089</v>
      </c>
    </row>
    <row r="172" spans="2:5" x14ac:dyDescent="0.2">
      <c r="B172" s="3"/>
      <c r="C172" s="3"/>
      <c r="D172" s="3"/>
      <c r="E172" s="3"/>
    </row>
    <row r="175" spans="2:5" x14ac:dyDescent="0.2">
      <c r="B175" t="s">
        <v>41</v>
      </c>
    </row>
    <row r="178" spans="1:8" x14ac:dyDescent="0.2">
      <c r="B178" t="s">
        <v>38</v>
      </c>
      <c r="D178" t="s">
        <v>39</v>
      </c>
    </row>
    <row r="179" spans="1:8" x14ac:dyDescent="0.2">
      <c r="B179" s="1">
        <v>46056</v>
      </c>
      <c r="D179" s="1">
        <f ca="1">TODAY()</f>
        <v>46089</v>
      </c>
    </row>
    <row r="182" spans="1:8" x14ac:dyDescent="0.2">
      <c r="B182">
        <f ca="1">DAYS360(B179,D179)</f>
        <v>35</v>
      </c>
    </row>
    <row r="185" spans="1:8" x14ac:dyDescent="0.2">
      <c r="A185" s="3"/>
      <c r="B185" s="3"/>
      <c r="C185" s="3"/>
      <c r="D185" s="3"/>
      <c r="E185" s="3"/>
      <c r="F185" s="3"/>
      <c r="G185" s="3"/>
      <c r="H185" s="3"/>
    </row>
    <row r="189" spans="1:8" x14ac:dyDescent="0.2">
      <c r="B189" t="s">
        <v>42</v>
      </c>
      <c r="D189" t="s">
        <v>43</v>
      </c>
    </row>
    <row r="191" spans="1:8" x14ac:dyDescent="0.2">
      <c r="B191" t="s">
        <v>38</v>
      </c>
      <c r="D191" t="s">
        <v>39</v>
      </c>
    </row>
    <row r="192" spans="1:8" x14ac:dyDescent="0.2">
      <c r="B192" s="1">
        <v>45660</v>
      </c>
      <c r="D192" s="1">
        <f ca="1">TODAY()</f>
        <v>46089</v>
      </c>
    </row>
    <row r="195" spans="2:7" x14ac:dyDescent="0.2">
      <c r="B195">
        <f ca="1">YEARFRAC(B192,D192)</f>
        <v>1.1805555555555556</v>
      </c>
    </row>
    <row r="197" spans="2:7" x14ac:dyDescent="0.2">
      <c r="B197" s="3"/>
      <c r="C197" s="3"/>
      <c r="D197" s="3"/>
      <c r="E197" s="3"/>
      <c r="F197" s="3"/>
      <c r="G197" s="3"/>
    </row>
    <row r="198" spans="2:7" x14ac:dyDescent="0.2">
      <c r="B198" s="3"/>
      <c r="C198" s="3"/>
      <c r="D198" s="3"/>
      <c r="E198" s="3"/>
      <c r="F198" s="3"/>
      <c r="G198" s="3"/>
    </row>
    <row r="202" spans="2:7" x14ac:dyDescent="0.2">
      <c r="B202" t="s">
        <v>44</v>
      </c>
    </row>
    <row r="204" spans="2:7" x14ac:dyDescent="0.2">
      <c r="D204" s="1">
        <v>46035</v>
      </c>
    </row>
    <row r="205" spans="2:7" x14ac:dyDescent="0.2">
      <c r="B205" s="10">
        <v>46030</v>
      </c>
      <c r="C205" s="5"/>
      <c r="D205" s="10">
        <v>46036</v>
      </c>
    </row>
    <row r="209" spans="2:4" x14ac:dyDescent="0.2">
      <c r="B209">
        <f>WORKDAY(B205,5,D204:D205)</f>
        <v>46041</v>
      </c>
      <c r="D209" s="1">
        <f>B209</f>
        <v>46041</v>
      </c>
    </row>
  </sheetData>
  <hyperlinks>
    <hyperlink ref="B118" r:id="rId1" xr:uid="{242DC2A0-DBE5-1043-B35B-E6424E7B3B31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2026-03-08T15:40:45Z</dcterms:created>
  <dcterms:modified xsi:type="dcterms:W3CDTF">2026-03-08T17:12:47Z</dcterms:modified>
</cp:coreProperties>
</file>