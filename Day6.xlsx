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drawings/drawing2.xml" ContentType="application/vnd.openxmlformats-officedocument.drawing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1876289E-4ECB-DD42-B597-726C1BD6C8FF}" xr6:coauthVersionLast="47" xr6:coauthVersionMax="47" xr10:uidLastSave="{00000000-0000-0000-0000-000000000000}"/>
  <bookViews>
    <workbookView xWindow="0" yWindow="620" windowWidth="28420" windowHeight="17400" activeTab="3" xr2:uid="{153C5096-2AF6-744A-A6D3-34BD6510552E}"/>
  </bookViews>
  <sheets>
    <sheet name="agenda" sheetId="1" r:id="rId1"/>
    <sheet name="Sheet2" sheetId="2" r:id="rId2"/>
    <sheet name="Sheet3" sheetId="3" r:id="rId3"/>
    <sheet name="Sheet4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7" i="3" l="1"/>
  <c r="K14" i="4"/>
  <c r="H10" i="4"/>
  <c r="H12" i="4"/>
  <c r="D135" i="3"/>
  <c r="D133" i="3"/>
  <c r="D131" i="3"/>
  <c r="D129" i="3"/>
  <c r="K89" i="3"/>
  <c r="K90" i="3"/>
  <c r="K91" i="3"/>
  <c r="K92" i="3"/>
  <c r="K93" i="3"/>
  <c r="K94" i="3"/>
  <c r="K95" i="3"/>
  <c r="K88" i="3"/>
  <c r="J89" i="3"/>
  <c r="J90" i="3"/>
  <c r="J91" i="3"/>
  <c r="J92" i="3"/>
  <c r="J93" i="3"/>
  <c r="J94" i="3"/>
  <c r="J95" i="3"/>
  <c r="J88" i="3"/>
  <c r="C118" i="3"/>
  <c r="C117" i="3"/>
  <c r="B118" i="3"/>
  <c r="B117" i="3"/>
  <c r="D105" i="3"/>
  <c r="D106" i="3"/>
  <c r="D107" i="3"/>
  <c r="D104" i="3"/>
  <c r="B104" i="3"/>
  <c r="D92" i="3"/>
  <c r="B92" i="3"/>
  <c r="D93" i="3"/>
  <c r="D94" i="3"/>
  <c r="D95" i="3"/>
  <c r="C53" i="3"/>
  <c r="B43" i="3"/>
  <c r="C47" i="3" s="1"/>
  <c r="D43" i="3" a="1"/>
  <c r="D43" i="3" s="1"/>
  <c r="F44" i="3" s="1"/>
  <c r="F32" i="3"/>
  <c r="F33" i="3"/>
  <c r="F34" i="3"/>
  <c r="F35" i="3"/>
  <c r="F36" i="3"/>
  <c r="F37" i="3"/>
  <c r="D32" i="3"/>
  <c r="D33" i="3"/>
  <c r="D34" i="3"/>
  <c r="D35" i="3"/>
  <c r="D36" i="3"/>
  <c r="D37" i="3"/>
  <c r="B8" i="3"/>
  <c r="B7" i="3"/>
  <c r="B6" i="3"/>
  <c r="B5" i="3"/>
  <c r="B4" i="3"/>
  <c r="B3" i="3"/>
  <c r="D12" i="2"/>
  <c r="D5" i="2"/>
  <c r="D6" i="2"/>
  <c r="D7" i="2"/>
  <c r="D8" i="2"/>
  <c r="D9" i="2"/>
  <c r="D4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<sst xmlns="http://schemas.openxmlformats.org/spreadsheetml/2006/main" count="131" uniqueCount="104">
  <si>
    <t>RANK</t>
  </si>
  <si>
    <t>PERCENTILE.exc</t>
  </si>
  <si>
    <t>PERCENTILE.inc</t>
  </si>
  <si>
    <t>DEMO name 1</t>
  </si>
  <si>
    <t>Demo name 2</t>
  </si>
  <si>
    <t>DEMO name 3</t>
  </si>
  <si>
    <t>DEMO name 4</t>
  </si>
  <si>
    <t>DEMO name 5</t>
  </si>
  <si>
    <t>DEMO name 6</t>
  </si>
  <si>
    <t>Salary</t>
  </si>
  <si>
    <t>Emp</t>
  </si>
  <si>
    <t>EXCLUDE 0th %ile and 100%ile</t>
  </si>
  <si>
    <t>Include 0th %ile and 100%ile</t>
  </si>
  <si>
    <t>LOGICALs</t>
  </si>
  <si>
    <t>What is logical ??</t>
  </si>
  <si>
    <t>COMPUTERs only understand 0 and 1</t>
  </si>
  <si>
    <t>anything ( any expression or formula ) that returns True ( = 1) or False (=0)</t>
  </si>
  <si>
    <t>Not eql</t>
  </si>
  <si>
    <t>grt than</t>
  </si>
  <si>
    <t>eql</t>
  </si>
  <si>
    <t>less than eql</t>
  </si>
  <si>
    <t xml:space="preserve">less than </t>
  </si>
  <si>
    <t>Grt than eql</t>
  </si>
  <si>
    <t>IF</t>
  </si>
  <si>
    <t>CONDITIONAL STATEMENT</t>
  </si>
  <si>
    <t xml:space="preserve">Anything that returns 0 or 1 </t>
  </si>
  <si>
    <t>Value we want to return when condition is true</t>
  </si>
  <si>
    <t>Value we want to return when condition is false</t>
  </si>
  <si>
    <t>salary less than 20K</t>
  </si>
  <si>
    <t>Any num when divided by 2 gives 0 as remainder is even else odd</t>
  </si>
  <si>
    <t>IFERROR</t>
  </si>
  <si>
    <t>to write a personalised error message when error comes</t>
  </si>
  <si>
    <t>Demo name 10</t>
  </si>
  <si>
    <t xml:space="preserve">IFNA </t>
  </si>
  <si>
    <t>message for the not available cells</t>
  </si>
  <si>
    <t>AND</t>
  </si>
  <si>
    <t>OR</t>
  </si>
  <si>
    <t>NOT</t>
  </si>
  <si>
    <t>IT is supposed to return true when all conditions are TRUE</t>
  </si>
  <si>
    <t>CONDITION 1</t>
  </si>
  <si>
    <t>CONDITION 2</t>
  </si>
  <si>
    <t>CONDITION 3</t>
  </si>
  <si>
    <t>CONDITION 1 and CONDITION 2 and CONDITION 3</t>
  </si>
  <si>
    <t xml:space="preserve">TRUE </t>
  </si>
  <si>
    <t>Any ( atleast one ) condition must be true</t>
  </si>
  <si>
    <t>CONDITION 1 OR CONDITION 2 OR CONDITION 3</t>
  </si>
  <si>
    <t>REVERSE the outcome</t>
  </si>
  <si>
    <t>COND1</t>
  </si>
  <si>
    <t>COND2</t>
  </si>
  <si>
    <t>Cond</t>
  </si>
  <si>
    <t xml:space="preserve">Not </t>
  </si>
  <si>
    <t>if it is not starting with s</t>
  </si>
  <si>
    <t>Shyaam</t>
  </si>
  <si>
    <t>Cond 1</t>
  </si>
  <si>
    <t>Cond 2</t>
  </si>
  <si>
    <t>Cond 3</t>
  </si>
  <si>
    <t>isodd</t>
  </si>
  <si>
    <t>iseven</t>
  </si>
  <si>
    <t>checks if num is odd</t>
  </si>
  <si>
    <t>check if num is eve</t>
  </si>
  <si>
    <t>isformula</t>
  </si>
  <si>
    <t>isnumber</t>
  </si>
  <si>
    <t>istext</t>
  </si>
  <si>
    <t>is reference</t>
  </si>
  <si>
    <t>Basics of lookup</t>
  </si>
  <si>
    <t>What is lookup??</t>
  </si>
  <si>
    <t>Student Id</t>
  </si>
  <si>
    <t>Name</t>
  </si>
  <si>
    <t>Course</t>
  </si>
  <si>
    <t>Phn Num</t>
  </si>
  <si>
    <t>Jennifer</t>
  </si>
  <si>
    <t>Bsc Phy</t>
  </si>
  <si>
    <t>Fake num 1</t>
  </si>
  <si>
    <t>Bsc Chem</t>
  </si>
  <si>
    <t>Fake num 2</t>
  </si>
  <si>
    <t>Meena</t>
  </si>
  <si>
    <t>Ba History</t>
  </si>
  <si>
    <t>Fake num 3</t>
  </si>
  <si>
    <t>Arjun</t>
  </si>
  <si>
    <t>MBA HR</t>
  </si>
  <si>
    <t>Fake num 4</t>
  </si>
  <si>
    <t>Dolly</t>
  </si>
  <si>
    <t>Ba Soci</t>
  </si>
  <si>
    <t>Fake num 5</t>
  </si>
  <si>
    <t>Sonam</t>
  </si>
  <si>
    <t>MBA Ops</t>
  </si>
  <si>
    <t>Fake num 6</t>
  </si>
  <si>
    <t>VLOOKUP</t>
  </si>
  <si>
    <t>HLOOKUP</t>
  </si>
  <si>
    <t>XLOOKUP</t>
  </si>
  <si>
    <t xml:space="preserve">ROW </t>
  </si>
  <si>
    <t>ROWS</t>
  </si>
  <si>
    <t>COLUMNS</t>
  </si>
  <si>
    <t>COLUMN</t>
  </si>
  <si>
    <t>TO GET ROW NUMBER OF THAT CELL if refrence is given else current row number</t>
  </si>
  <si>
    <t xml:space="preserve">GIVES number of rows in the array </t>
  </si>
  <si>
    <t>TO GET COLUMN NUMBER OF THAT CELL if refrence is given else current COLUMN number</t>
  </si>
  <si>
    <t>GIVES number of Columns in the array</t>
  </si>
  <si>
    <t>INDEX</t>
  </si>
  <si>
    <t>Helps in finding VALUE in array at particular ROW number and column number</t>
  </si>
  <si>
    <t>MATCH</t>
  </si>
  <si>
    <t>ROW / CoL number of the value in the lookup array</t>
  </si>
  <si>
    <t>INDEX+MATCH</t>
  </si>
  <si>
    <t>Find some value in a array based on sum conditions ( LOOKUP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</si>
</sst>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3" fillId="0" borderId="0" xfId="0" applyFont="1"/>
    <xf numFmtId="0" fontId="3" fillId="6" borderId="0" xfId="0" applyFont="1" applyFill="1"/>
    <xf numFmtId="0" fontId="0" fillId="6" borderId="0" xfId="0" applyFill="1"/>
    <xf numFmtId="0" fontId="2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ustomXml" Target="../ink/ink6.xml"/><Relationship Id="rId13" Type="http://schemas.openxmlformats.org/officeDocument/2006/relationships/customXml" Target="../ink/ink8.xm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12" Type="http://schemas.openxmlformats.org/officeDocument/2006/relationships/image" Target="../media/image9.png"/><Relationship Id="rId2" Type="http://schemas.openxmlformats.org/officeDocument/2006/relationships/image" Target="../media/image3.png"/><Relationship Id="rId1" Type="http://schemas.openxmlformats.org/officeDocument/2006/relationships/customXml" Target="../ink/ink3.xml"/><Relationship Id="rId6" Type="http://schemas.openxmlformats.org/officeDocument/2006/relationships/customXml" Target="../ink/ink5.xml"/><Relationship Id="rId11" Type="http://schemas.openxmlformats.org/officeDocument/2006/relationships/image" Target="../media/image8.png"/><Relationship Id="rId5" Type="http://schemas.openxmlformats.org/officeDocument/2006/relationships/image" Target="../media/image5.png"/><Relationship Id="rId10" Type="http://schemas.openxmlformats.org/officeDocument/2006/relationships/customXml" Target="../ink/ink7.xml"/><Relationship Id="rId4" Type="http://schemas.openxmlformats.org/officeDocument/2006/relationships/customXml" Target="../ink/ink4.xml"/><Relationship Id="rId9" Type="http://schemas.openxmlformats.org/officeDocument/2006/relationships/image" Target="../media/image7.png"/><Relationship Id="rId1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537351</xdr:colOff>
      <xdr:row>4</xdr:row>
      <xdr:rowOff>94882</xdr:rowOff>
    </xdr:from>
    <xdr:to>
      <xdr:col>8</xdr:col>
      <xdr:colOff>540591</xdr:colOff>
      <xdr:row>5</xdr:row>
      <xdr:rowOff>37063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16FD9856-891C-D61A-AB6E-558D48CF4036}"/>
                </a:ext>
              </a:extLst>
            </xdr14:cNvPr>
            <xdr14:cNvContentPartPr/>
          </xdr14:nvContentPartPr>
          <xdr14:nvPr macro=""/>
          <xdr14:xfrm>
            <a:off x="7278120" y="906480"/>
            <a:ext cx="3240" cy="145080"/>
          </xdr14:xfrm>
        </xdr:contentPart>
      </mc:Choice>
      <mc:Fallback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16FD9856-891C-D61A-AB6E-558D48CF403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272000" y="900360"/>
              <a:ext cx="15480" cy="157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300605</xdr:colOff>
      <xdr:row>4</xdr:row>
      <xdr:rowOff>27562</xdr:rowOff>
    </xdr:from>
    <xdr:to>
      <xdr:col>11</xdr:col>
      <xdr:colOff>180749</xdr:colOff>
      <xdr:row>6</xdr:row>
      <xdr:rowOff>198484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1B0FD3C1-CF3D-FC81-A058-70650D497CCA}"/>
                </a:ext>
              </a:extLst>
            </xdr14:cNvPr>
            <xdr14:cNvContentPartPr/>
          </xdr14:nvContentPartPr>
          <xdr14:nvPr macro=""/>
          <xdr14:xfrm>
            <a:off x="5388120" y="839160"/>
            <a:ext cx="4013280" cy="57672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1B0FD3C1-CF3D-FC81-A058-70650D497CCA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5381999" y="833040"/>
              <a:ext cx="4025521" cy="5889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394329</xdr:colOff>
      <xdr:row>12</xdr:row>
      <xdr:rowOff>129371</xdr:rowOff>
    </xdr:from>
    <xdr:to>
      <xdr:col>6</xdr:col>
      <xdr:colOff>682034</xdr:colOff>
      <xdr:row>16</xdr:row>
      <xdr:rowOff>200455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8AC994D6-D691-A179-21F7-9735AEF49244}"/>
                </a:ext>
              </a:extLst>
            </xdr14:cNvPr>
            <xdr14:cNvContentPartPr/>
          </xdr14:nvContentPartPr>
          <xdr14:nvPr macro=""/>
          <xdr14:xfrm>
            <a:off x="3703320" y="2576160"/>
            <a:ext cx="1942200" cy="88668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8AC994D6-D691-A179-21F7-9735AEF49244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697199" y="2570040"/>
              <a:ext cx="1954442" cy="89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535963</xdr:colOff>
      <xdr:row>14</xdr:row>
      <xdr:rowOff>203383</xdr:rowOff>
    </xdr:from>
    <xdr:to>
      <xdr:col>3</xdr:col>
      <xdr:colOff>739744</xdr:colOff>
      <xdr:row>19</xdr:row>
      <xdr:rowOff>188169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A0DCA753-7BB5-1586-77E2-A042E15C2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5963" y="3057970"/>
          <a:ext cx="2685524" cy="1004282"/>
        </a:xfrm>
        <a:prstGeom prst="rect">
          <a:avLst/>
        </a:prstGeom>
      </xdr:spPr>
    </xdr:pic>
    <xdr:clientData/>
  </xdr:twoCellAnchor>
  <xdr:twoCellAnchor editAs="oneCell">
    <xdr:from>
      <xdr:col>1</xdr:col>
      <xdr:colOff>286952</xdr:colOff>
      <xdr:row>18</xdr:row>
      <xdr:rowOff>28457</xdr:rowOff>
    </xdr:from>
    <xdr:to>
      <xdr:col>1</xdr:col>
      <xdr:colOff>387752</xdr:colOff>
      <xdr:row>20</xdr:row>
      <xdr:rowOff>118898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3A3114F3-850C-D7F2-C572-523006E46CAC}"/>
                </a:ext>
              </a:extLst>
            </xdr14:cNvPr>
            <xdr14:cNvContentPartPr/>
          </xdr14:nvContentPartPr>
          <xdr14:nvPr macro=""/>
          <xdr14:xfrm>
            <a:off x="1114200" y="3698640"/>
            <a:ext cx="100800" cy="498240"/>
          </xdr14:xfrm>
        </xdr:contentPart>
      </mc:Choice>
      <mc:Fallback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3A3114F3-850C-D7F2-C572-523006E46CAC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8080" y="3692520"/>
              <a:ext cx="113040" cy="51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63425</xdr:colOff>
      <xdr:row>18</xdr:row>
      <xdr:rowOff>112697</xdr:rowOff>
    </xdr:from>
    <xdr:to>
      <xdr:col>2</xdr:col>
      <xdr:colOff>207065</xdr:colOff>
      <xdr:row>23</xdr:row>
      <xdr:rowOff>41801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70120D37-205F-701F-D7F4-1FE5B8E50C11}"/>
                </a:ext>
              </a:extLst>
            </xdr14:cNvPr>
            <xdr14:cNvContentPartPr/>
          </xdr14:nvContentPartPr>
          <xdr14:nvPr macro=""/>
          <xdr14:xfrm>
            <a:off x="1717920" y="3782880"/>
            <a:ext cx="143640" cy="94860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70120D37-205F-701F-D7F4-1FE5B8E50C11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1711800" y="3776760"/>
              <a:ext cx="155880" cy="96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8017</xdr:colOff>
      <xdr:row>18</xdr:row>
      <xdr:rowOff>100817</xdr:rowOff>
    </xdr:from>
    <xdr:to>
      <xdr:col>3</xdr:col>
      <xdr:colOff>127177</xdr:colOff>
      <xdr:row>25</xdr:row>
      <xdr:rowOff>128283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A8BD7830-1739-6DC3-8217-15D9A5063E45}"/>
                </a:ext>
              </a:extLst>
            </xdr14:cNvPr>
            <xdr14:cNvContentPartPr/>
          </xdr14:nvContentPartPr>
          <xdr14:nvPr macro=""/>
          <xdr14:xfrm>
            <a:off x="2489760" y="3771000"/>
            <a:ext cx="119160" cy="145476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A8BD7830-1739-6DC3-8217-15D9A5063E45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2483640" y="3764880"/>
              <a:ext cx="131400" cy="146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259952</xdr:colOff>
      <xdr:row>22</xdr:row>
      <xdr:rowOff>112500</xdr:rowOff>
    </xdr:from>
    <xdr:to>
      <xdr:col>3</xdr:col>
      <xdr:colOff>180097</xdr:colOff>
      <xdr:row>29</xdr:row>
      <xdr:rowOff>106487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78C2271F-1B72-1E37-92DB-DFC8FEB19D63}"/>
                </a:ext>
              </a:extLst>
            </xdr14:cNvPr>
            <xdr14:cNvContentPartPr/>
          </xdr14:nvContentPartPr>
          <xdr14:nvPr macro=""/>
          <xdr14:xfrm>
            <a:off x="1087200" y="4598280"/>
            <a:ext cx="1574640" cy="1421280"/>
          </xdr14:xfrm>
        </xdr:contentPart>
      </mc:Choice>
      <mc:Fallback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78C2271F-1B72-1E37-92DB-DFC8FEB19D63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1081080" y="4592160"/>
              <a:ext cx="1586880" cy="143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122339</xdr:colOff>
      <xdr:row>82</xdr:row>
      <xdr:rowOff>110721</xdr:rowOff>
    </xdr:from>
    <xdr:to>
      <xdr:col>5</xdr:col>
      <xdr:colOff>399408</xdr:colOff>
      <xdr:row>87</xdr:row>
      <xdr:rowOff>115697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1A1BEF9-6F61-82D5-8A62-F3A30DF0B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776834" y="16830446"/>
          <a:ext cx="2758813" cy="1024471"/>
        </a:xfrm>
        <a:prstGeom prst="rect">
          <a:avLst/>
        </a:prstGeom>
      </xdr:spPr>
    </xdr:pic>
    <xdr:clientData/>
  </xdr:twoCellAnchor>
  <xdr:twoCellAnchor editAs="oneCell">
    <xdr:from>
      <xdr:col>2</xdr:col>
      <xdr:colOff>694865</xdr:colOff>
      <xdr:row>85</xdr:row>
      <xdr:rowOff>127138</xdr:rowOff>
    </xdr:from>
    <xdr:to>
      <xdr:col>4</xdr:col>
      <xdr:colOff>304689</xdr:colOff>
      <xdr:row>89</xdr:row>
      <xdr:rowOff>582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95CE1C33-B1B1-0B32-2FB8-6D3EDAED2328}"/>
                </a:ext>
              </a:extLst>
            </xdr14:cNvPr>
            <xdr14:cNvContentPartPr/>
          </xdr14:nvContentPartPr>
          <xdr14:nvPr macro=""/>
          <xdr14:xfrm>
            <a:off x="2349360" y="17458560"/>
            <a:ext cx="1264320" cy="689040"/>
          </xdr14:xfrm>
        </xdr:contentPart>
      </mc:Choice>
      <mc:Fallback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95CE1C33-B1B1-0B32-2FB8-6D3EDAED2328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343240" y="17452440"/>
              <a:ext cx="1276560" cy="7012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5:45:08.52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1 24575,'0'18'0,"0"11"0,0 12 0,0 2 0,0 3 0,0-19 0,0-5 0,0-14 0,0-3 0,0 0 0,0 0 0,0 3 0,0 0 0,0 4 0,0 8 0,0-5 0,0 4 0,0-7 0,0-1 0,1 0 0,0-1 0,1-2 0,-1-1 0,0-1 0,0-3 0,0 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5:44:47.11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0 665 24575,'57'-3'0,"3"1"0,18 0 0,14-2 0,-21 0 0,10-1 0,8-1 0,6 0 0,4 0 0,5-1 0,1 1 0,0-1-757,-20 2 1,2 0 0,2 0 0,2 0 0,3-1 0,1 1-1,1 0 1,2-1 0,1 1 0,1-1 0,0 1 0,1-1-1,1 1 669,-13 0 0,2 0 1,1 0-1,1 0 0,1 0 1,0 0-1,2 0 1,0 0-1,0 0 0,1 0 1,1 0-1,-1 0 0,1 0 1,0 0-1,-1 0 1,1 1-1,-1-1-32,-1 1 0,1-1 0,0 1 1,1 0-1,0-1 0,1 1 1,-1 0-1,1-1 0,0 1 1,0 0-1,-1 0 0,0 1 1,0-1-1,-1 0 0,-1 1 1,0 0-1,-2 0 0,0 0 120,7 0 0,1 0 0,-2 0 0,1 1 0,-2 0 0,1 0 0,-2 0 0,0 0 0,-1 1 0,0-1 0,-1 1 0,-1-1 0,-1 1 0,-1-1 0,-1 1 2,10-1 0,-2 1 0,-1 0 0,0-1 1,-2 1-1,0 0 0,-2 0 0,0 0 1,-1 1-1,-1-1 0,0 0 0,-1 1-2,8-1 0,0 1 0,0 0 0,0 0 0,-2 0 0,-2 0 0,-2 0 0,-4 1 0,-3-1 0,-4 0-126,11 0 1,-5 0-1,-4 0 1,-3 0 0,-2 0-1,0 0 126,8 0 0,1 0 0,-3 0 0,-7 0 0,-12 0 1555,7 0 0,-15 0-1555,3 0 0,-37 0 0,-15 0 0</inkml:trace>
  <inkml:trace contextRef="#ctx0" brushRef="#br0" timeOffset="715">10229 1 24575,'0'10'0,"0"27"0,0 32 0,0-19 0,0 3 0,0 11 0,0 1 0,0-7 0,0-4 0,0 32 0,0-44 0,0-26 0</inkml:trace>
  <inkml:trace contextRef="#ctx0" brushRef="#br0" timeOffset="2048">9846 644 24575,'0'11'0,"0"9"0,0 12 0,0 11 0,0 9 0,0-6 0,0-12 0,3-17 0,3-13 0,8-12 0,12-7 0,9-5 0,6-1 0,-1 2 0,-6 5 0,-9 2 0,-7 1 0,-9-3 0,-4-8 0,-3-3 0,-2 2 0,-2 5 0,-2 8 0,-1 6 0,0 7 0,-4 37 0,1-2 0,-3 24 0,4-14 0,3 4 0,3 1 0,1 0 0,0-8 0,0-11 0,2-8 0,-1-8 0,1-7 0,-1-7 0,0-3 0</inkml:trace>
  <inkml:trace contextRef="#ctx0" brushRef="#br0" timeOffset="3581">10466 776 24575,'-12'0'0,"-10"0"0,-10 0 0,-3 0 0,6 0 0,12 1 0,7 1 0,7 5 0,2 5 0,0 9 0,1 16 0,0-4 0,0 6 0,1-13 0,3-6 0,4-5 0,5-5 0,7-5 0,4-2 0,2-5 0,2-2 0,-2-1 0,-3 0 0,-3 4 0,-7 11 0,-4 5 0,-4 7 0,-2 5 0,-3-1 0,-1 0 0,-1-1 0,-4-6 0,-5-3 0,-6-6 0,-17-5 0,8-3 0,-11-2 0,16 2 0,3 0 0,2 3 0,7-2 0,3-1 0</inkml:trace>
  <inkml:trace contextRef="#ctx0" brushRef="#br0" timeOffset="4565">10676 842 24575,'0'12'0,"0"1"0,0 3 0,0 5 0,0 1 0,0 8 0,0 17 0,0-13 0,0 6 0,0-28 0,0-4 0</inkml:trace>
  <inkml:trace contextRef="#ctx0" brushRef="#br0" timeOffset="5848">10814 838 24575,'0'16'0,"0"3"0,0 2 0,0 2 0,0-2 0,0-3 0,0-3 0,0-3 0,0-3 0,0-3 0,0 0 0,1-3 0,2 1 0,3 0 0,4-2 0,5 0 0,6-2 0,6 0 0,4 0 0,0 0 0,-7 0 0,-5 1 0,-5 2 0,-2 3 0,0 2 0,2 4 0,4 4 0,2 3 0,-1-1 0,-4-4 0,-4-5 0,-6-5 0,0-2 0</inkml:trace>
  <inkml:trace contextRef="#ctx0" brushRef="#br0" timeOffset="7381">393 575 24575,'0'19'0,"0"3"0,0 2 0,0 6 0,0 15 0,0 6 0,0 4 0,0-6 0,0-15 0,-2-16 0,2-9 0,-2-9 0</inkml:trace>
  <inkml:trace contextRef="#ctx0" brushRef="#br0" timeOffset="8198">30 1181 24575,'0'17'0,"0"11"0,0 23 0,0 19 0,0 4 0,0-1 0,0-21 0,0-18 0,0-18 0,0-10 0</inkml:trace>
  <inkml:trace contextRef="#ctx0" brushRef="#br0" timeOffset="9581">329 1216 24575,'0'8'0,"0"3"0,0 6 0,0 3 0,0 1 0,0-2 0,0-1 0,3 0 0,4 2 0,5 0 0,8 2 0,5-3 0,1-2 0,-2-3 0,-5-3 0,3-4 0,-3-3 0,5-8 0,-5-8 0,-1-4 0,-3-1 0,-4 3 0,-5 2 0,-2-6 0,-3-5 0,-2-10 0,-3-3 0,-8 3 0,-9 6 0,-6 9 0,-5 7 0,-5 6 0,11 4 0,-2 1 0,15 0 0,3 0 0,5 0 0,2 0 0</inkml:trace>
  <inkml:trace contextRef="#ctx0" brushRef="#br0" timeOffset="10481">779 1123 24575,'-3'-1'0,"2"3"0,-1 5 0,2 11 0,0 2 0,0 7 0,0 3 0,0 2 0,0 7 0,0-1 0,0-3 0,0-5 0,0-9 0,0-6 0,0-7 0,0-4 0</inkml:trace>
  <inkml:trace contextRef="#ctx0" brushRef="#br0" timeOffset="11914">1101 1111 24575,'-19'3'0,"-2"4"0,-1 4 0,4 1 0,9-3 0,5-3 0,3-3 0,1 1 0,0-1 0,0 2 0,0 0 0,0 1 0,0 1 0,1 0 0,5 0 0,8 0 0,10 3 0,9 5 0,4 3 0,-2 3 0,-6-1 0,-8-4 0,-7-2 0,-6-6 0,-4-3 0,-2-3 0</inkml:trace>
  <inkml:trace contextRef="#ctx0" brushRef="#br0" timeOffset="42811">5224 896 24575,'-12'0'0,"-12"0"0,-15 0 0,-15 0 0,-45 0 0,35 0 0,-16 0 0,55 0 0,14 0 0,7 0 0</inkml:trace>
  <inkml:trace contextRef="#ctx0" brushRef="#br0" timeOffset="43927">4812 896 24575,'0'13'0,"0"-2"0,0 10 0,0-3 0,0 1 0,0-2 0,0-3 0,0-4 0,2-2 0,0-4 0,3-2 0,5-6 0,2-5 0,3-5 0,2-5 0,2-1 0,1-1 0,-1 3 0,-2 3 0,-5 6 0,-3 5 0,0 7 0,2 9 0,7 19 0,3 14 0,1 5 0,-5-2 0,-9-13 0,-4-8 0,-15 3 0,-3-8 0,-11 6 0,-1-9 0,-2-1 0,-7 0 0,-6 0 0,-2-4 0,3-5 0,12-5 0,12-7-1696,9-6 0,5 3 0,0-1 0</inkml:trace>
  <inkml:trace contextRef="#ctx0" brushRef="#br0" timeOffset="45144">5301 947 24575,'2'-2'0,"0"2"0,-1 4 0,-1 3 0,0 2 0,0 3 0,0 0 0,0 1 0,0-3 0,1-3 0,2-1 0,3 1 0,5 2 0,4-2 0,19-2 0,-1-3 0,12-2 0,-8-1 0,-2-5 0,-5-6 0,-6-4 0,-4-11 0,-11 9 0,-2-6 0,-20 9 0,-9 2 0,-15 0 0,-6 4 0,-14 3 0,19 4 0,0 2 0,29 0 0,4 0 0</inkml:trace>
  <inkml:trace contextRef="#ctx0" brushRef="#br0" timeOffset="45944">6089 799 24575,'3'11'0,"-1"41"0,-2 8 0,-1 21 0,0 7 0,-1-27 0,-1-1 0,1 19 0,-2-5 0,-2 2 0,2-40 0,3-40 0,1 0 0,1-15 0</inkml:trace>
  <inkml:trace contextRef="#ctx0" brushRef="#br0" timeOffset="46477">5882 1065 24575,'0'0'0</inkml:trace>
  <inkml:trace contextRef="#ctx0" brushRef="#br0" timeOffset="47193">6354 1245 24575,'0'0'0</inkml:trace>
  <inkml:trace contextRef="#ctx0" brushRef="#br0" timeOffset="47943">6400 1104 24575,'2'5'0,"1"2"0,-3 6 0,0 0 0,0-1 0,0 2 0,4 0 0,4 0 0,1-1 0,1-4 0,-4-5 0,-3-2 0,-2-4 0</inkml:trace>
  <inkml:trace contextRef="#ctx0" brushRef="#br0" timeOffset="48560">6393 974 24575,'-2'-2'0,"1"1"0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5:59:37.18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1593 223 24575,'1'-8'0,"10"-6"0,19-17 0,32-10 0,-13 17 0,7 2 0,23-1 0,6 5 0,-20 7 0,2 2 0,3 3-460,16-1 0,3 2 0,3 2 460,-16 2 0,3 1 0,0 1 0,0 2 0,1 2 0,0 1 0,-1 2 0,1 2 0,0 1 0,0 1 0,-1 2 0,-3 1 0,12 7 0,-4 1 0,-4 2 0,-12-1 0,-3 2 0,-4 1 0,17 10 0,-7 2 0,-13-2 0,-5 2 0,-5 2 0,-5 2 0,-5-1 0,-5 2 0,-2 0 0,-4 0 1380,15 38-1380,-17-15 0,-12-12 0,-25-7 0,-29 3 0,4-20 0,-7 0 0,-14 5 0,-5-1 0,-10 3 0,-4-3 0,-5 0 0,-2-3 0,0-3 0,0-3 0,2-3 0,1-2 0,3-4 0,1-2 0,0-1 0,0-2 0,-3-1 0,1-2 0,1-2 0,1-1 0,4-2 0,3-1 0,4-1 0,1-1 0,6-1 0,2-1 0,2 0 0,1-3 0,0-1 0,1-2 0,2-3 0,2-1 0,-2-2 0,1-2 0,0-1 0,2 0 0,-41-16 0,9-1 0,12 2 0,5-5 0,-3-6 0,0-4 0,1-5 0,8 4 0,12 5 0,10 4 0,7 2 0,6 1 0,2-5 0,3 0 0,2 0 0,3 4 0,5 5 0,3 5 0,3 5 0,1 3 0,0 0 0,0-1 0,2-2 0,4-2 0,4 0 0,4 0 0,4-1 0,2 2 0,0 1 0,2 1 0,-2 4 0,1 0 0,-2 3 0,8-5 0,9-4 0,2-2 0,6-2 0,-12 6 0,7-2 0,-17 9 0,3 1 0,-17 8 0,-1 4 0,-4-1 0,-1 1 0</inkml:trace>
  <inkml:trace contextRef="#ctx0" brushRef="#br0" timeOffset="2082">1799 1263 24575,'-34'5'0,"-38"21"0,9 6 0,-12 9 0,2 1 0,9-5 0,2 1 0,-3 3 0,0 1 0,-4 4 0,0 1 0,6-2 0,4-1 0,4-1 0,-1 1 0,-9 8 0,0 2 0,4-3 0,-4 3 0,3-2 0,-10 10 0,5-4 0,1 2 0,16-15 0,16-14 0,13-15 0,11-26 0,14-32 0,3-6 0,11-27 0,-5 34 0,-2 1 0,-5 22 0,-2-1 0,-1 8 0,1-2 0,-2 11 0,0 7 0,0 9 0,-3 30 0,-2-6 0,-4 18 0,-5-2 0,2-16 0,-1 5 0,5-16 0,0 3 0,1-10 0,0 3 0,2-8 0,2-12 0,2-3 0,4-16 0,3-4 0,3 1 0,8 4 0,-3 8 0,9 3 0,1 4 0,6 3 0,2 3 0,-1 2 0,-4 2 0,-5-3 0,-7-3 0,-8-2 0,-3-2 0</inkml:trace>
  <inkml:trace contextRef="#ctx0" brushRef="#br0" timeOffset="4316">3994 1312 24575,'81'41'0,"1"-4"0,6 2 0,-14-6 0,2 0 0,-11-4 0,3 1 0,-5-2 0,-5-1 0,-4 0 0,6 6 0,-4 0 0,15 12 0,8 6 0,-50-29 0,-11-8 0,-10-8 0,-6-3 0,-5-2 0,-4-1 0,-3 0 0,-2 0 0,-2 0 0,-2-1 0,-3-2 0,-1-2 0,0-3 0,-2 0 0,0 0 0,-7 0 0,-4 2 0,-2 3 0,3 1 0,7 1 0,10 1 0,8-1 0,9-1 0,11 2 0,9-1 0,8 4 0,3 5 0,0 6 0,-3 5 0,-3 0 0,-6-4 0,-4-2 0,-3-4 0,-4-3 0,-1-2 0,-2-2 0,-2-2 0,-1-1 0,0-2 0,0-3 0,1-3 0,1-3 0,0-1 0,2-1 0,0-2 0,0-1 0,-1 0 0,-1 1 0,-1-1 0,-1-1 0,1-1 0,-1 0 0,0 2 0,-3 4 0,0 5 0,-3 2 0,2 3 0,-2 0 0</inkml:trace>
  <inkml:trace contextRef="#ctx0" brushRef="#br0" timeOffset="5766">2266 462 24575,'-14'0'0,"-8"0"0,-31 0 0,15 0 0,-12 0 0,25 8 0,9 2 0,-3 8 0,9 3 0,0 1 0,3 2 0,1 10 0,1-8 0,3-1 0,2-14 0,4-7 0,4 0 0,12 6 0,4 1 0,7 1 0,-3-3 0,-2-4 0,-5-2 0,-4-4 0,-4-4 0,-5-2 0,-2-1 0,-4 3 0,-1 2 0</inkml:trace>
  <inkml:trace contextRef="#ctx0" brushRef="#br0" timeOffset="7015">2406 660 24575,'-2'-2'0,"0"0"0,0 2 0,-1 2 0,2 5 0,0 6 0,0 5 0,1 1 0,0-1 0,1-4 0,3 0 0,4 0 0,4-2 0,4-1 0,5-4 0,4-3 0,0-3 0,-4-5 0,-5-3 0,-4-5 0,-5-1 0,-3-2 0,-3-2 0,-1-1 0,-3-1 0,-3 3 0,-3 3 0,-5 4 0,-1 5 0,-1 2 0,0 2 0,0 0 0,5 0 0,4 1 0,2 0 0,5-1 0,-1 1 0</inkml:trace>
  <inkml:trace contextRef="#ctx0" brushRef="#br0" timeOffset="8415">2592 660 24575,'0'9'0,"0"0"0,0 0 0,0 0 0,0-2 0,0-1 0,0 0 0,0 0 0,0 1 0,0-1 0,1-4 0,2-7 0,2-12 0,2-10 0,3-3 0,2-2 0,0 3 0,-1 8 0,1 6 0,-3 7 0,-1 4 0,4 3 0,2 9 0,4 12 0,3 18 0,3 16 0,3 6 0,-1-3 0,-5-12 0,-7-13 0,-5-11 0,-5-11 0,-2-5 0,-2-5 0</inkml:trace>
  <inkml:trace contextRef="#ctx0" brushRef="#br0" timeOffset="9665">1 1119 24575,'27'8'0,"19"16"0,18 13 0,12 10 0,-9-6 0,-19-13 0,-20-14 0,-17-11 0,-13-14 0,1 5 0,-4-4 0</inkml:trace>
  <inkml:trace contextRef="#ctx0" brushRef="#br0" timeOffset="10432">438 1072 24575,'0'55'0,"0"0"0,0 32 0,0 5 0,0-9 0,0-1 0,0 11 0,0-15 0,0-38 0,0-20 0,0-17 0</inkml:trace>
  <inkml:trace contextRef="#ctx0" brushRef="#br0" timeOffset="12215">4963 1144 24575,'-4'-3'0,"1"12"0,1 22 0,2 40 0,0 16 0,0 8 0,0-18 0,0-35 0,0-17 0,0-26 0,0-16 0,0-10 0,0-9 0,0-6 0,0-1 0,0 0 0,0 3 0,0 3 0,0 8 0,2 6 0,3 12 0,1 4 0,4 8 0,8 5 0,20 8 0,18 9 0,18 5 0,0 0 0,-15-5 0,-17-6 0,-18-7 0,-13-4 0,-3-3 0,-4-3 0,0-1 0,-1-4 0,-2-7 0,0-7 0,-1-15 0,0-21 0,-1-38 0,0 35 0,-2-3 0,0-4 0,0-1 0,-1 7 0,-1 2 0,-3-23 0,3 34 0,2 26 0,-1 22 0,3 0 0,-1 5 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6:00:17.46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127 0 24575,'0'7'0,"0"9"0,0 14 0,0 20 0,0 22 0,0 4 0,0 4 0,0-5 0,0-5 0,0 2 0,0-2 0,0 4 0,0 1 0,0 3 0,0-3 0,0-4 0,0-10 0,0-9 0,0-12 0,0-11 0,0-10 0,0-8 0,0-4 0,0-2 0,0-1 0,0 0 0,0 1 0,0 5 0,0 6 0,-1 6 0,-1 2 0,1-1 0,-1-3 0,1-5 0,-1-5 0,0-5 0,0-3 0,-3-1 0,0-1 0,-2 0 0,0 0 0,0 0 0,-1-1 0,1-1 0,-2-1 0,0 0 0,1-1 0,-1 1 0,2-3 0,-1 1 0,2-1 0,0-1 0,1 2 0,4 1 0,3 1 0,4 1 0,3 3 0,2 3 0,3 2 0,2 3 0,-1 0 0,-2-2 0,-3 0 0,-1-1 0,0-2 0,0 0 0,0-1 0,-1-2 0,0-1 0,-1 0 0,-1 0 0,-1 0 0,0 0 0,0 0 0,0 0 0,-1 0 0,0 0 0,1-1 0,1-4 0,4-5 0,1-4 0,2-3 0,0 1 0,-2 3 0,-2 3 0,-3 2 0,-2 4 0,-2-2 0,-2 4 0,0-1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6:00:30.99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234 3 24575,'4'-3'0,"-1"9"0,-1 12 0,-2 20 0,0 27 0,0 30 0,0-34 0,0 4 0,0 12 0,0 3 0,0 9 0,0 2 0,-1-25 0,0 1 0,-1 1 0,0 1 0,-1 0 0,0 1 0,-2 1 0,0 1 0,-1 1-225,-1 4 1,0 1 0,-1-1 224,0-5 0,1 0 0,0-2 0,-3 27 0,0-4 0,2-15 0,1-5 0,-2 26 0,4-27 0,3-27 0,2-23 0,-1-10 673,0-7-673,-1-3 0,0-2 0,0-2 0,-1-4 0,-3-1 0,-4-2 0,-6-1 0,-8-11 0,0-9 0,4-2 0,12 8 0,10 16 0,11 17 0,4 9 0,6 9 0,1 3 0,-3-2 0,12 19 0,-6-3 0,11 19 0,-2 4 0,-10-22 0,-4-5 0,-10-29 0,-6-14 0,7-21 0,-4-3 0,6-17 0,3-4 0,-4 18 0,1-2 0,-8 22 0,-4 1 0,-1 1 0,-1-10 0,-1 10 0,0-2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6:00:46.40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12 0 24575,'0'75'0,"0"-21"0,0 4 0,0 22 0,0 6 0,0-21 0,0 2 0,0 3-878,0 13 0,0 3 0,0 1 878,0 2 0,0 2 0,0 0 0,0 1 0,0 0 0,0 1 0,0 2 0,0 0 0,0 0 0,0-6 0,0 0 0,0-1 0,0 1 0,0 0 0,0-1-10,1 0 1,-1-1 0,1-2 9,1-7 0,0-1 0,1-2 0,2 25 0,2-4 315,0-15 1,1-3-316,0-12 0,0-4 0,5 32 0,-4-29 1315,-4-23-1315,-3-22 716,1-4-716,1 9 0,2 24 0,2 23 0,2 25 0,-6-46 0,0 0 0,3 44 0,-2-13 0,-2-25 0,-2-19 0,0-17 0,-2-15 0,-6-12 0,-6-15 0,-7-10 0,-4-6 0,3 1 0,-3-4 0,10 13 0,-2-1 0,11 13 0,2 3 0,2 6 0,1 7 0,0 8 0,17 28 0,3-1 0,8 8 0,2-1 0,-3-5 0,14 16 0,-35-49 0,0-3 0,3-2 0,5-11 0,4-2 0,3-11 0,-1 1 0,-1-1 0,-1 2 0,-3 5 0,-4 6 0,-4 6 0,-4 3 0,-3 1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6:02:05.90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359 0 24575,'-12'14'0,"-16"20"0,-20 29 0,17-22 0,-1 2 0,-3 4 0,1 0 0,-23 35 0,16-19 0,16-21 0,15-16 0,6-2 0,3 10 0,1 27 0,0 33 0,0-34 0,1 3 0,1 5 0,3 2 0,1-1 0,4-1 0,2-4 0,3 0 0,3-4 0,4-1 0,3 3 0,3-1 0,2-2 0,1-2 0,1-2 0,1-2 0,-1-5 0,-1-3 0,25 24 0,0-5 0,3-5 0,7 2 0,5 1 0,6-2 0,-36-30 0,0-2 0,41 23 0,-38-26 0,1-1 0,0-2 0,0-1 0,1-2 0,1 0 0,6 1 0,1-1 0,5-1 0,1-1 0,8 2 0,2 0 0,4 0 0,2-1 0,2 1 0,1 0 0,1 0 0,0 0 0,-1 0 0,0 1 0,2 2 0,0 0 0,-1 2 0,-1-1 0,-5 0 0,-3 0 0,-5-1 0,-3-1 0,-3-1 0,-3 1 0,-5-1 0,-1 0 0,-2-1 0,-1 0 0,39 16 0,-13-4 0,-9-3 0,-6-3 0,-4 1 0,5 7 0,10 4 0,4 4 0,-2 0 0,-8-3 0,-5 3 0,-1 5 0,-1 6 0,0 6 0,-3 0 0,-7-4 0,-10-10 0,-11-10 0,-7-5 0,0 4 0,2 6 0,0 5 0,-3-3 0,-4-10 0,-6-12 0,-6-10 0,-7-9 0,-8-5 0,-3-4 0,-1-2 0,2 4 0,3 3 0,2 2 0,1 2 0,1 0 0,1 0 0,1 0 0,2 1 0,-1 1 0,0-1 0,-1 1 0,-2-1 0,2 0 0,0-1 0,1 0 0,2 1 0,0 0 0,1 2 0,1 0 0,1 1 0,2-1 0,3 0 0,4 1 0,4-1 0,2 0 0,2 0 0,-1-2 0,0 0 0,-1-1 0,-3 0 0,-2 0 0,-1 0 0,0 0 0,-1 0 0,-2 0 0,-1 0 0,-2 0 0,0 0 0,1 0 0,-1 0 0,1-1 0,2-3 0,0-4 0,1-6 0,1-4 0,1-5 0,-1-2 0,2-2 0,1-1 0,0 3 0,-1 7 0,-1 8 0,-1 5 0,-5 4 0,0 1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2-24T16:31:00.22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182 15 24575,'2'7'0,"0"4"0,-2 11 0,0 16 0,0 19 0,0 21 0,0 20 0,0-43 0,0 1 0,0 5 0,0 1 0,0 2 0,0 1 0,0 5 0,0 2 0,0 5 0,-1 1 0,-1 3 0,0-1 0,-2-2 0,-1-1 0,-1-9 0,-1-3 0,1-12 0,0-4 0,-4 25 0,4-27 0,3-21 0,0-14 0,-1-7 0,0-4 0,-4-6 0,-3-8 0,-2-9 0,-2-8 0,1-3 0,1 1 0,2 1 0,1 4 0,1 3 0,4 6 0,1 6 0,2 7 0,1 11 0,1 10 0,6 11 0,4 7 0,4 5 0,2-2 0,-1-4 0,-1-7 0,-3-8 0,-1-5 0,-2-3 0,-3-4 0,0-1 0,-2-2 0,0 0 0,0 0 0,0-1 0,2-1 0,0-1 0,0 0 0,1 0 0,1 0 0,0-2 0,4-3 0,3-7 0,5-6 0,5-6 0,7-6 0,1-5 0,0-2 0,-1 1 0,-7 5 0,-3 7 0,-6 5-1696,-7 6 0,-3 6 0,-3 3 0</inkml:trace>
  <inkml:trace contextRef="#ctx0" brushRef="#br0" timeOffset="2150">1303 0 24575,'0'7'0,"0"4"0,0 13 0,0 23 0,0 44 0,0-30 0,0 6 0,0 12 0,0 5 0,0 9 0,0 2 0,0 0 0,0 1 0,0 0 0,0-2 0,0-7 0,0-4 0,0-12 0,0-5 0,0-12 0,0-5 0,0 24 0,0-24 0,0-18 0,0-11 0,0-7 0,0-6 0,0-1 0,0-2 0,0 0 0,-1-1 0,-1 0 0,-2-1 0,-3-1 0,-3 0 0,-6-6 0,-4-10 0,-5-12 0,1-10 0,3 0 0,6 7 0,6 9 0,3 10 0,6 12 0,7 15 0,6 13 0,4 8 0,1-3 0,-3-6 0,-2-8 0,-3-7 0,2 2 0,2 9 0,5 12 0,3 11 0,-4-2 0,-2-8 0,-5-12 0,-5-12 0,0-8 0,-2-2 0,0-3 0,0 1 0,0-2 0,0 0 0,2-2 0,1-3 0,1-3 0,3-4 0,5-4 0,4-5 0,5-5 0,2-1 0,-1 1 0,-4 3 0,-5 5 0,-3 4 0,-4 4 0,-3 2 0,-3 1 0,-2 3 0,-1 2 0</inkml:trace>
  <inkml:trace contextRef="#ctx0" brushRef="#br0" timeOffset="3733">2244 294 24575,'18'0'0,"15"0"0,16 0 0,11 0 0,-2 0 0,2 0 0,12 0 0,20 0 0,-36 0 0,2 0 0,7-1 0,1-2 0,-1 0 0,-1-1 0,-6-1 0,-1-1 0,39-5 0,-25 3 0,-17 3 0,-16 1 0,-10 1 0,-8 2 0,-6-1 0,-3 1 0,-6-1 0,-5 2 0,-5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6B9DF-1B8E-F845-B8E3-FA7F502314C2}">
  <dimension ref="A4:I35"/>
  <sheetViews>
    <sheetView topLeftCell="A22" zoomScale="167" workbookViewId="0">
      <selection activeCell="B36" sqref="B36"/>
    </sheetView>
  </sheetViews>
  <sheetFormatPr baseColWidth="10" defaultRowHeight="16" x14ac:dyDescent="0.2"/>
  <sheetData>
    <row r="4" spans="2:8" x14ac:dyDescent="0.2">
      <c r="B4" t="s">
        <v>0</v>
      </c>
    </row>
    <row r="6" spans="2:8" x14ac:dyDescent="0.2">
      <c r="B6" t="s">
        <v>1</v>
      </c>
    </row>
    <row r="8" spans="2:8" x14ac:dyDescent="0.2">
      <c r="B8" t="s">
        <v>2</v>
      </c>
    </row>
    <row r="10" spans="2:8" x14ac:dyDescent="0.2">
      <c r="B10" s="1"/>
      <c r="C10" s="1"/>
      <c r="D10" s="1"/>
      <c r="E10" s="1"/>
      <c r="F10" s="1"/>
      <c r="G10" s="1"/>
      <c r="H10" s="1"/>
    </row>
    <row r="12" spans="2:8" x14ac:dyDescent="0.2">
      <c r="B12" t="s">
        <v>13</v>
      </c>
    </row>
    <row r="14" spans="2:8" x14ac:dyDescent="0.2">
      <c r="B14" t="s">
        <v>14</v>
      </c>
      <c r="D14" t="s">
        <v>15</v>
      </c>
    </row>
    <row r="17" spans="1:9" x14ac:dyDescent="0.2">
      <c r="B17" t="s">
        <v>16</v>
      </c>
    </row>
    <row r="21" spans="1:9" x14ac:dyDescent="0.2">
      <c r="B21" s="1"/>
      <c r="C21" s="1"/>
      <c r="D21" s="1"/>
      <c r="E21" s="1"/>
      <c r="F21" s="1"/>
      <c r="G21" s="1"/>
    </row>
    <row r="24" spans="1:9" x14ac:dyDescent="0.2">
      <c r="B24" t="s">
        <v>35</v>
      </c>
    </row>
    <row r="26" spans="1:9" x14ac:dyDescent="0.2">
      <c r="B26" t="s">
        <v>36</v>
      </c>
    </row>
    <row r="28" spans="1:9" x14ac:dyDescent="0.2">
      <c r="B28" t="s">
        <v>37</v>
      </c>
    </row>
    <row r="32" spans="1:9" x14ac:dyDescent="0.2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2">
      <c r="A33" s="4"/>
      <c r="B33" s="4"/>
      <c r="C33" s="4"/>
      <c r="D33" s="4"/>
      <c r="E33" s="4"/>
      <c r="F33" s="4"/>
      <c r="G33" s="4"/>
      <c r="H33" s="4"/>
      <c r="I33" s="4"/>
    </row>
    <row r="35" spans="1:9" x14ac:dyDescent="0.2">
      <c r="B35" t="s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D1BF4-B892-4141-A42C-F2E383B12719}">
  <dimension ref="B3:G20"/>
  <sheetViews>
    <sheetView zoomScale="169" workbookViewId="0">
      <selection activeCell="C4" sqref="C4"/>
    </sheetView>
  </sheetViews>
  <sheetFormatPr baseColWidth="10" defaultRowHeight="16" x14ac:dyDescent="0.2"/>
  <cols>
    <col min="2" max="2" width="12.5" bestFit="1" customWidth="1"/>
  </cols>
  <sheetData>
    <row r="3" spans="2:4" x14ac:dyDescent="0.2">
      <c r="B3" t="s">
        <v>10</v>
      </c>
      <c r="C3" t="s">
        <v>9</v>
      </c>
      <c r="D3" t="s">
        <v>0</v>
      </c>
    </row>
    <row r="4" spans="2:4" x14ac:dyDescent="0.2">
      <c r="B4" t="s">
        <v>3</v>
      </c>
      <c r="C4">
        <v>12000</v>
      </c>
      <c r="D4">
        <f>RANK(C4,$C$4:$C$9,0)</f>
        <v>5</v>
      </c>
    </row>
    <row r="5" spans="2:4" x14ac:dyDescent="0.2">
      <c r="B5" t="s">
        <v>4</v>
      </c>
      <c r="C5">
        <v>15000</v>
      </c>
      <c r="D5">
        <f t="shared" ref="D5:D9" si="0">RANK(C5,$C$4:$C$9,0)</f>
        <v>4</v>
      </c>
    </row>
    <row r="6" spans="2:4" x14ac:dyDescent="0.2">
      <c r="B6" t="s">
        <v>5</v>
      </c>
      <c r="C6">
        <v>10000</v>
      </c>
      <c r="D6">
        <f t="shared" si="0"/>
        <v>6</v>
      </c>
    </row>
    <row r="7" spans="2:4" x14ac:dyDescent="0.2">
      <c r="B7" t="s">
        <v>6</v>
      </c>
      <c r="C7">
        <v>45000</v>
      </c>
      <c r="D7">
        <f t="shared" si="0"/>
        <v>1</v>
      </c>
    </row>
    <row r="8" spans="2:4" x14ac:dyDescent="0.2">
      <c r="B8" t="s">
        <v>7</v>
      </c>
      <c r="C8">
        <v>30000</v>
      </c>
      <c r="D8">
        <f t="shared" si="0"/>
        <v>2</v>
      </c>
    </row>
    <row r="9" spans="2:4" x14ac:dyDescent="0.2">
      <c r="B9" t="s">
        <v>8</v>
      </c>
      <c r="C9">
        <v>22000</v>
      </c>
      <c r="D9">
        <f t="shared" si="0"/>
        <v>3</v>
      </c>
    </row>
    <row r="12" spans="2:4" x14ac:dyDescent="0.2">
      <c r="D12">
        <f>PERCENTRANK(C4:C9,C7)</f>
        <v>1</v>
      </c>
    </row>
    <row r="15" spans="2:4" x14ac:dyDescent="0.2">
      <c r="B15" t="s">
        <v>1</v>
      </c>
      <c r="D15" t="s">
        <v>11</v>
      </c>
    </row>
    <row r="17" spans="2:7" x14ac:dyDescent="0.2">
      <c r="B17" t="s">
        <v>2</v>
      </c>
      <c r="D17" t="s">
        <v>12</v>
      </c>
    </row>
    <row r="20" spans="2:7" x14ac:dyDescent="0.2">
      <c r="B20" s="1"/>
      <c r="C20" s="1"/>
      <c r="D20" s="1"/>
      <c r="E20" s="1"/>
      <c r="F20" s="1"/>
      <c r="G20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1FCD3-B85F-9843-94BC-310CDAEE964E}">
  <dimension ref="A3:K138"/>
  <sheetViews>
    <sheetView topLeftCell="A50" zoomScale="218" workbookViewId="0">
      <selection activeCell="B57" sqref="B57"/>
    </sheetView>
  </sheetViews>
  <sheetFormatPr baseColWidth="10" defaultRowHeight="16" x14ac:dyDescent="0.2"/>
  <sheetData>
    <row r="3" spans="2:6" x14ac:dyDescent="0.2">
      <c r="B3" t="str">
        <f>"&lt;"</f>
        <v>&lt;</v>
      </c>
      <c r="C3" t="s">
        <v>21</v>
      </c>
    </row>
    <row r="4" spans="2:6" x14ac:dyDescent="0.2">
      <c r="B4" t="str">
        <f>"&lt;="</f>
        <v>&lt;=</v>
      </c>
      <c r="C4" t="s">
        <v>20</v>
      </c>
    </row>
    <row r="5" spans="2:6" x14ac:dyDescent="0.2">
      <c r="B5" t="str">
        <f>"="</f>
        <v>=</v>
      </c>
      <c r="C5" t="s">
        <v>19</v>
      </c>
    </row>
    <row r="6" spans="2:6" x14ac:dyDescent="0.2">
      <c r="B6" t="str">
        <f>"&gt;"</f>
        <v>&gt;</v>
      </c>
      <c r="C6" t="s">
        <v>18</v>
      </c>
    </row>
    <row r="7" spans="2:6" x14ac:dyDescent="0.2">
      <c r="B7" t="str">
        <f>"&gt;="</f>
        <v>&gt;=</v>
      </c>
      <c r="C7" t="s">
        <v>22</v>
      </c>
    </row>
    <row r="8" spans="2:6" x14ac:dyDescent="0.2">
      <c r="B8" t="str">
        <f>"&lt;&gt;"</f>
        <v>&lt;&gt;</v>
      </c>
      <c r="C8" t="s">
        <v>17</v>
      </c>
    </row>
    <row r="10" spans="2:6" x14ac:dyDescent="0.2">
      <c r="B10" s="1"/>
      <c r="C10" s="1"/>
      <c r="D10" s="1"/>
      <c r="E10" s="1"/>
      <c r="F10" s="1"/>
    </row>
    <row r="13" spans="2:6" x14ac:dyDescent="0.2">
      <c r="B13" t="s">
        <v>23</v>
      </c>
    </row>
    <row r="15" spans="2:6" x14ac:dyDescent="0.2">
      <c r="B15" t="s">
        <v>24</v>
      </c>
    </row>
    <row r="22" spans="2:8" x14ac:dyDescent="0.2">
      <c r="B22" t="s">
        <v>25</v>
      </c>
    </row>
    <row r="24" spans="2:8" x14ac:dyDescent="0.2">
      <c r="C24" t="s">
        <v>26</v>
      </c>
    </row>
    <row r="26" spans="2:8" x14ac:dyDescent="0.2">
      <c r="H26" t="s">
        <v>29</v>
      </c>
    </row>
    <row r="27" spans="2:8" x14ac:dyDescent="0.2">
      <c r="D27" t="s">
        <v>27</v>
      </c>
    </row>
    <row r="31" spans="2:8" x14ac:dyDescent="0.2">
      <c r="B31" t="s">
        <v>10</v>
      </c>
      <c r="C31" t="s">
        <v>9</v>
      </c>
      <c r="D31" t="s">
        <v>28</v>
      </c>
    </row>
    <row r="32" spans="2:8" x14ac:dyDescent="0.2">
      <c r="B32" t="s">
        <v>3</v>
      </c>
      <c r="C32">
        <v>12000</v>
      </c>
      <c r="D32" t="b">
        <f>C32&lt;20000</f>
        <v>1</v>
      </c>
      <c r="F32" t="str">
        <f>IF(C32&lt;20000,"Less than req","More , no changes")</f>
        <v>Less than req</v>
      </c>
    </row>
    <row r="33" spans="2:7" x14ac:dyDescent="0.2">
      <c r="B33" t="s">
        <v>4</v>
      </c>
      <c r="C33">
        <v>15000</v>
      </c>
      <c r="D33" t="b">
        <f t="shared" ref="D33:D37" si="0">C33&lt;20000</f>
        <v>1</v>
      </c>
      <c r="F33" t="str">
        <f t="shared" ref="F33:F37" si="1">IF(C33&lt;20000,"Less than req","More , no changes")</f>
        <v>Less than req</v>
      </c>
    </row>
    <row r="34" spans="2:7" x14ac:dyDescent="0.2">
      <c r="B34" t="s">
        <v>5</v>
      </c>
      <c r="C34">
        <v>10000</v>
      </c>
      <c r="D34" t="b">
        <f t="shared" si="0"/>
        <v>1</v>
      </c>
      <c r="F34" t="str">
        <f t="shared" si="1"/>
        <v>Less than req</v>
      </c>
    </row>
    <row r="35" spans="2:7" x14ac:dyDescent="0.2">
      <c r="B35" t="s">
        <v>6</v>
      </c>
      <c r="C35">
        <v>45000</v>
      </c>
      <c r="D35" t="b">
        <f t="shared" si="0"/>
        <v>0</v>
      </c>
      <c r="F35" t="str">
        <f t="shared" si="1"/>
        <v>More , no changes</v>
      </c>
    </row>
    <row r="36" spans="2:7" x14ac:dyDescent="0.2">
      <c r="B36" t="s">
        <v>7</v>
      </c>
      <c r="C36">
        <v>30000</v>
      </c>
      <c r="D36" t="b">
        <f t="shared" si="0"/>
        <v>0</v>
      </c>
      <c r="F36" t="str">
        <f t="shared" si="1"/>
        <v>More , no changes</v>
      </c>
    </row>
    <row r="37" spans="2:7" x14ac:dyDescent="0.2">
      <c r="B37" t="s">
        <v>8</v>
      </c>
      <c r="C37">
        <v>22000</v>
      </c>
      <c r="D37" t="b">
        <f t="shared" si="0"/>
        <v>0</v>
      </c>
      <c r="F37" t="str">
        <f t="shared" si="1"/>
        <v>More , no changes</v>
      </c>
    </row>
    <row r="39" spans="2:7" x14ac:dyDescent="0.2">
      <c r="B39" s="1"/>
      <c r="C39" s="1"/>
      <c r="D39" s="1"/>
      <c r="E39" s="1"/>
      <c r="F39" s="1"/>
      <c r="G39" s="1"/>
    </row>
    <row r="40" spans="2:7" x14ac:dyDescent="0.2">
      <c r="B40" s="1"/>
      <c r="C40" s="1"/>
      <c r="D40" s="1"/>
      <c r="E40" s="1"/>
      <c r="F40" s="1"/>
      <c r="G40" s="1"/>
    </row>
    <row r="41" spans="2:7" x14ac:dyDescent="0.2">
      <c r="B41" t="s">
        <v>30</v>
      </c>
      <c r="D41" t="s">
        <v>31</v>
      </c>
    </row>
    <row r="43" spans="2:7" x14ac:dyDescent="0.2">
      <c r="B43" t="e">
        <f>10/0</f>
        <v>#DIV/0!</v>
      </c>
      <c r="D43" t="e" cm="1">
        <f t="array" ref="D43">IFER</f>
        <v>#NAME?</v>
      </c>
    </row>
    <row r="44" spans="2:7" x14ac:dyDescent="0.2">
      <c r="F44" t="str">
        <f>IFERROR(D43,"Some error occurred:)")</f>
        <v>Some error occurred:)</v>
      </c>
    </row>
    <row r="47" spans="2:7" x14ac:dyDescent="0.2">
      <c r="C47" t="str">
        <f>IFERROR(B43," No division by 0 allowed")</f>
        <v xml:space="preserve"> No division by 0 allowed</v>
      </c>
    </row>
    <row r="53" spans="1:8" x14ac:dyDescent="0.2">
      <c r="C53" t="e">
        <f>E49/F49*H47</f>
        <v>#DIV/0!</v>
      </c>
    </row>
    <row r="54" spans="1:8" x14ac:dyDescent="0.2">
      <c r="A54" s="1"/>
      <c r="B54" s="1"/>
      <c r="C54" s="1"/>
      <c r="D54" s="1"/>
      <c r="E54" s="1"/>
      <c r="F54" s="1"/>
      <c r="G54" s="1"/>
    </row>
    <row r="56" spans="1:8" x14ac:dyDescent="0.2">
      <c r="D56" t="s">
        <v>32</v>
      </c>
    </row>
    <row r="57" spans="1:8" x14ac:dyDescent="0.2">
      <c r="B57" t="str">
        <f>_xlfn.IFNA(VLOOKUP(D56,Sheet2!B4:C9,2,FALSE),"NOT IN THE EMPLOYEE LIST")</f>
        <v>NOT IN THE EMPLOYEE LIST</v>
      </c>
    </row>
    <row r="60" spans="1:8" x14ac:dyDescent="0.2">
      <c r="B60" t="s">
        <v>33</v>
      </c>
      <c r="D60" t="s">
        <v>34</v>
      </c>
    </row>
    <row r="64" spans="1:8" x14ac:dyDescent="0.2">
      <c r="A64" s="1"/>
      <c r="B64" s="1"/>
      <c r="C64" s="1"/>
      <c r="D64" s="1"/>
      <c r="E64" s="1"/>
      <c r="F64" s="1"/>
      <c r="G64" s="1"/>
      <c r="H64" s="1"/>
    </row>
    <row r="67" spans="2:10" x14ac:dyDescent="0.2">
      <c r="B67" t="s">
        <v>35</v>
      </c>
      <c r="D67" t="s">
        <v>38</v>
      </c>
    </row>
    <row r="69" spans="2:10" x14ac:dyDescent="0.2">
      <c r="B69" t="s">
        <v>36</v>
      </c>
      <c r="D69" t="s">
        <v>44</v>
      </c>
    </row>
    <row r="71" spans="2:10" x14ac:dyDescent="0.2">
      <c r="B71" t="s">
        <v>37</v>
      </c>
      <c r="D71" t="s">
        <v>46</v>
      </c>
    </row>
    <row r="76" spans="2:10" x14ac:dyDescent="0.2">
      <c r="C76" t="s">
        <v>39</v>
      </c>
    </row>
    <row r="78" spans="2:10" x14ac:dyDescent="0.2">
      <c r="C78" t="s">
        <v>40</v>
      </c>
      <c r="E78" t="s">
        <v>42</v>
      </c>
      <c r="J78" t="s">
        <v>43</v>
      </c>
    </row>
    <row r="80" spans="2:10" x14ac:dyDescent="0.2">
      <c r="C80" t="s">
        <v>41</v>
      </c>
    </row>
    <row r="81" spans="2:11" x14ac:dyDescent="0.2">
      <c r="E81" t="s">
        <v>45</v>
      </c>
    </row>
    <row r="85" spans="2:11" x14ac:dyDescent="0.2">
      <c r="B85" t="s">
        <v>35</v>
      </c>
    </row>
    <row r="87" spans="2:11" x14ac:dyDescent="0.2">
      <c r="G87" t="s">
        <v>53</v>
      </c>
      <c r="H87" t="s">
        <v>54</v>
      </c>
      <c r="I87" t="s">
        <v>55</v>
      </c>
      <c r="J87" t="s">
        <v>35</v>
      </c>
      <c r="K87" t="s">
        <v>36</v>
      </c>
    </row>
    <row r="88" spans="2:11" x14ac:dyDescent="0.2">
      <c r="G88">
        <v>1</v>
      </c>
      <c r="H88">
        <v>1</v>
      </c>
      <c r="I88">
        <v>1</v>
      </c>
      <c r="J88" s="3" t="b">
        <f>AND(G88:I88)</f>
        <v>1</v>
      </c>
      <c r="K88" t="b">
        <f>OR(G88:I88)</f>
        <v>1</v>
      </c>
    </row>
    <row r="89" spans="2:11" x14ac:dyDescent="0.2">
      <c r="G89">
        <v>1</v>
      </c>
      <c r="H89">
        <v>1</v>
      </c>
      <c r="I89">
        <v>0</v>
      </c>
      <c r="J89" t="b">
        <f t="shared" ref="J89:J95" si="2">AND(G89:I89)</f>
        <v>0</v>
      </c>
      <c r="K89" t="b">
        <f t="shared" ref="K89:K95" si="3">OR(G89:I89)</f>
        <v>1</v>
      </c>
    </row>
    <row r="90" spans="2:11" x14ac:dyDescent="0.2">
      <c r="G90">
        <v>1</v>
      </c>
      <c r="H90">
        <v>0</v>
      </c>
      <c r="I90">
        <v>1</v>
      </c>
      <c r="J90" t="b">
        <f t="shared" si="2"/>
        <v>0</v>
      </c>
      <c r="K90" t="b">
        <f t="shared" si="3"/>
        <v>1</v>
      </c>
    </row>
    <row r="91" spans="2:11" x14ac:dyDescent="0.2">
      <c r="B91" t="s">
        <v>47</v>
      </c>
      <c r="C91" t="s">
        <v>48</v>
      </c>
      <c r="D91" t="s">
        <v>35</v>
      </c>
      <c r="G91">
        <v>1</v>
      </c>
      <c r="H91">
        <v>0</v>
      </c>
      <c r="I91">
        <v>0</v>
      </c>
      <c r="J91" t="b">
        <f t="shared" si="2"/>
        <v>0</v>
      </c>
      <c r="K91" t="b">
        <f t="shared" si="3"/>
        <v>1</v>
      </c>
    </row>
    <row r="92" spans="2:11" x14ac:dyDescent="0.2">
      <c r="B92" s="3" t="b">
        <f>TRUE</f>
        <v>1</v>
      </c>
      <c r="C92" s="3">
        <v>1</v>
      </c>
      <c r="D92" s="3" t="b">
        <f>AND(B92,C92)</f>
        <v>1</v>
      </c>
      <c r="G92">
        <v>0</v>
      </c>
      <c r="H92">
        <v>1</v>
      </c>
      <c r="I92">
        <v>1</v>
      </c>
      <c r="J92" t="b">
        <f t="shared" si="2"/>
        <v>0</v>
      </c>
      <c r="K92" t="b">
        <f t="shared" si="3"/>
        <v>1</v>
      </c>
    </row>
    <row r="93" spans="2:11" x14ac:dyDescent="0.2">
      <c r="B93" s="2">
        <v>1</v>
      </c>
      <c r="C93" s="2">
        <v>0</v>
      </c>
      <c r="D93" s="2" t="b">
        <f t="shared" ref="D93:D95" si="4">AND(B93,C93)</f>
        <v>0</v>
      </c>
      <c r="G93">
        <v>0</v>
      </c>
      <c r="H93">
        <v>1</v>
      </c>
      <c r="I93">
        <v>0</v>
      </c>
      <c r="J93" t="b">
        <f t="shared" si="2"/>
        <v>0</v>
      </c>
      <c r="K93" t="b">
        <f t="shared" si="3"/>
        <v>1</v>
      </c>
    </row>
    <row r="94" spans="2:11" x14ac:dyDescent="0.2">
      <c r="B94" s="2">
        <v>0</v>
      </c>
      <c r="C94" s="2">
        <v>1</v>
      </c>
      <c r="D94" s="2" t="b">
        <f t="shared" si="4"/>
        <v>0</v>
      </c>
      <c r="G94">
        <v>0</v>
      </c>
      <c r="H94">
        <v>0</v>
      </c>
      <c r="I94">
        <v>1</v>
      </c>
      <c r="J94" t="b">
        <f t="shared" si="2"/>
        <v>0</v>
      </c>
      <c r="K94" t="b">
        <f t="shared" si="3"/>
        <v>1</v>
      </c>
    </row>
    <row r="95" spans="2:11" x14ac:dyDescent="0.2">
      <c r="B95" s="2">
        <v>0</v>
      </c>
      <c r="C95" s="2">
        <v>0</v>
      </c>
      <c r="D95" s="2" t="b">
        <f t="shared" si="4"/>
        <v>0</v>
      </c>
      <c r="G95">
        <v>0</v>
      </c>
      <c r="H95">
        <v>0</v>
      </c>
      <c r="I95">
        <v>0</v>
      </c>
      <c r="J95" t="b">
        <f t="shared" si="2"/>
        <v>0</v>
      </c>
      <c r="K95" s="2" t="b">
        <f t="shared" si="3"/>
        <v>0</v>
      </c>
    </row>
    <row r="99" spans="1:6" x14ac:dyDescent="0.2">
      <c r="B99" s="1"/>
      <c r="C99" s="1"/>
      <c r="D99" s="1"/>
      <c r="E99" s="1"/>
    </row>
    <row r="101" spans="1:6" x14ac:dyDescent="0.2">
      <c r="B101" t="s">
        <v>36</v>
      </c>
    </row>
    <row r="103" spans="1:6" x14ac:dyDescent="0.2">
      <c r="B103" t="s">
        <v>47</v>
      </c>
      <c r="C103" t="s">
        <v>48</v>
      </c>
      <c r="D103" t="s">
        <v>36</v>
      </c>
    </row>
    <row r="104" spans="1:6" x14ac:dyDescent="0.2">
      <c r="B104" s="3" t="b">
        <f>TRUE</f>
        <v>1</v>
      </c>
      <c r="C104" s="3">
        <v>1</v>
      </c>
      <c r="D104" s="3" t="b">
        <f>OR(B104,C104)</f>
        <v>1</v>
      </c>
    </row>
    <row r="105" spans="1:6" x14ac:dyDescent="0.2">
      <c r="B105" s="3">
        <v>1</v>
      </c>
      <c r="C105" s="3">
        <v>0</v>
      </c>
      <c r="D105" s="3" t="b">
        <f t="shared" ref="D105:D107" si="5">OR(B105,C105)</f>
        <v>1</v>
      </c>
    </row>
    <row r="106" spans="1:6" x14ac:dyDescent="0.2">
      <c r="B106" s="3">
        <v>0</v>
      </c>
      <c r="C106" s="3">
        <v>1</v>
      </c>
      <c r="D106" s="3" t="b">
        <f t="shared" si="5"/>
        <v>1</v>
      </c>
    </row>
    <row r="107" spans="1:6" x14ac:dyDescent="0.2">
      <c r="B107" s="2">
        <v>0</v>
      </c>
      <c r="C107" s="2">
        <v>0</v>
      </c>
      <c r="D107" s="2" t="b">
        <f t="shared" si="5"/>
        <v>0</v>
      </c>
    </row>
    <row r="111" spans="1:6" x14ac:dyDescent="0.2">
      <c r="A111" s="4"/>
      <c r="B111" s="4"/>
      <c r="C111" s="4"/>
      <c r="D111" s="4"/>
      <c r="E111" s="4"/>
      <c r="F111" s="4"/>
    </row>
    <row r="114" spans="1:9" x14ac:dyDescent="0.2">
      <c r="B114" t="s">
        <v>37</v>
      </c>
    </row>
    <row r="116" spans="1:9" x14ac:dyDescent="0.2">
      <c r="B116" t="s">
        <v>49</v>
      </c>
      <c r="C116" t="s">
        <v>50</v>
      </c>
    </row>
    <row r="117" spans="1:9" x14ac:dyDescent="0.2">
      <c r="B117" t="b">
        <f>TRUE</f>
        <v>1</v>
      </c>
      <c r="C117" t="b">
        <f>NOT(B117)</f>
        <v>0</v>
      </c>
      <c r="F117" t="s">
        <v>51</v>
      </c>
    </row>
    <row r="118" spans="1:9" x14ac:dyDescent="0.2">
      <c r="B118" t="b">
        <f>FALSE</f>
        <v>0</v>
      </c>
      <c r="C118" t="b">
        <f>NOT(B118)</f>
        <v>1</v>
      </c>
    </row>
    <row r="122" spans="1:9" x14ac:dyDescent="0.2">
      <c r="A122" s="4"/>
      <c r="B122" s="4"/>
      <c r="C122" s="4"/>
      <c r="D122" s="4"/>
      <c r="E122" s="4"/>
      <c r="F122" s="4"/>
      <c r="G122" s="4"/>
    </row>
    <row r="125" spans="1:9" x14ac:dyDescent="0.2">
      <c r="B125" t="s">
        <v>56</v>
      </c>
      <c r="D125" t="s">
        <v>58</v>
      </c>
    </row>
    <row r="127" spans="1:9" x14ac:dyDescent="0.2">
      <c r="B127" t="s">
        <v>57</v>
      </c>
      <c r="D127" t="s">
        <v>59</v>
      </c>
      <c r="G127">
        <v>10</v>
      </c>
      <c r="H127">
        <v>20</v>
      </c>
      <c r="I127">
        <v>4</v>
      </c>
    </row>
    <row r="129" spans="1:8" x14ac:dyDescent="0.2">
      <c r="B129" t="s">
        <v>60</v>
      </c>
      <c r="D129" t="str">
        <f>"=ISFORMULA()"</f>
        <v>=ISFORMULA()</v>
      </c>
    </row>
    <row r="131" spans="1:8" x14ac:dyDescent="0.2">
      <c r="B131" t="s">
        <v>61</v>
      </c>
      <c r="D131" t="str">
        <f>"=ISNUMBER()"</f>
        <v>=ISNUMBER()</v>
      </c>
    </row>
    <row r="133" spans="1:8" x14ac:dyDescent="0.2">
      <c r="B133" t="s">
        <v>62</v>
      </c>
      <c r="D133" t="str">
        <f>"=ISTEXT()"</f>
        <v>=ISTEXT()</v>
      </c>
    </row>
    <row r="135" spans="1:8" x14ac:dyDescent="0.2">
      <c r="B135" t="s">
        <v>63</v>
      </c>
      <c r="D135" t="str">
        <f>"=ISREF()"</f>
        <v>=ISREF()</v>
      </c>
    </row>
    <row r="138" spans="1:8" x14ac:dyDescent="0.2">
      <c r="A138" s="4"/>
      <c r="B138" s="4"/>
      <c r="C138" s="4"/>
      <c r="D138" s="4"/>
      <c r="E138" s="4"/>
      <c r="F138" s="4"/>
      <c r="G138" s="4"/>
      <c r="H138" s="4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F083F-D949-A649-BA74-4FC8A0419922}">
  <dimension ref="B4:L53"/>
  <sheetViews>
    <sheetView tabSelected="1" topLeftCell="A43" zoomScale="200" workbookViewId="0">
      <selection activeCell="E58" sqref="E58"/>
    </sheetView>
  </sheetViews>
  <sheetFormatPr baseColWidth="10" defaultRowHeight="16" x14ac:dyDescent="0.2"/>
  <sheetData>
    <row r="4" spans="2:12" x14ac:dyDescent="0.2">
      <c r="B4" t="s">
        <v>65</v>
      </c>
    </row>
    <row r="6" spans="2:12" x14ac:dyDescent="0.2">
      <c r="L6">
        <v>1</v>
      </c>
    </row>
    <row r="7" spans="2:12" x14ac:dyDescent="0.2">
      <c r="L7">
        <v>2</v>
      </c>
    </row>
    <row r="8" spans="2:12" x14ac:dyDescent="0.2">
      <c r="B8" s="5" t="s">
        <v>66</v>
      </c>
      <c r="C8" s="5" t="s">
        <v>67</v>
      </c>
      <c r="D8" s="5" t="s">
        <v>68</v>
      </c>
      <c r="E8" s="5" t="s">
        <v>69</v>
      </c>
      <c r="L8">
        <v>4</v>
      </c>
    </row>
    <row r="9" spans="2:12" x14ac:dyDescent="0.2">
      <c r="B9" s="5">
        <v>1201</v>
      </c>
      <c r="C9" s="5" t="s">
        <v>70</v>
      </c>
      <c r="D9" s="5" t="s">
        <v>71</v>
      </c>
      <c r="E9" s="5" t="s">
        <v>72</v>
      </c>
      <c r="L9">
        <v>5</v>
      </c>
    </row>
    <row r="10" spans="2:12" x14ac:dyDescent="0.2">
      <c r="B10" s="5">
        <v>1202</v>
      </c>
      <c r="C10" s="5" t="s">
        <v>52</v>
      </c>
      <c r="D10" s="5" t="s">
        <v>73</v>
      </c>
      <c r="E10" s="5" t="s">
        <v>74</v>
      </c>
      <c r="H10">
        <f>MATCH("Meena",C8:C14,0)</f>
        <v>4</v>
      </c>
      <c r="L10">
        <v>7</v>
      </c>
    </row>
    <row r="11" spans="2:12" x14ac:dyDescent="0.2">
      <c r="B11" s="5">
        <v>1203</v>
      </c>
      <c r="C11" s="5" t="s">
        <v>75</v>
      </c>
      <c r="D11" s="5" t="s">
        <v>76</v>
      </c>
      <c r="E11" s="5" t="s">
        <v>77</v>
      </c>
    </row>
    <row r="12" spans="2:12" x14ac:dyDescent="0.2">
      <c r="B12" s="5">
        <v>1204</v>
      </c>
      <c r="C12" s="5" t="s">
        <v>78</v>
      </c>
      <c r="D12" s="5" t="s">
        <v>79</v>
      </c>
      <c r="E12" s="5" t="s">
        <v>80</v>
      </c>
      <c r="H12">
        <f>MATCH("Meena",B11:E11,0)</f>
        <v>2</v>
      </c>
    </row>
    <row r="13" spans="2:12" x14ac:dyDescent="0.2">
      <c r="B13" s="5">
        <v>1205</v>
      </c>
      <c r="C13" s="5" t="s">
        <v>81</v>
      </c>
      <c r="D13" s="5" t="s">
        <v>82</v>
      </c>
      <c r="E13" s="5" t="s">
        <v>83</v>
      </c>
    </row>
    <row r="14" spans="2:12" x14ac:dyDescent="0.2">
      <c r="B14" s="5">
        <v>1206</v>
      </c>
      <c r="C14" s="5" t="s">
        <v>84</v>
      </c>
      <c r="D14" s="5" t="s">
        <v>85</v>
      </c>
      <c r="E14" s="5" t="s">
        <v>86</v>
      </c>
      <c r="K14">
        <f>MATCH(6,L6:L10)</f>
        <v>4</v>
      </c>
    </row>
    <row r="19" spans="2:6" x14ac:dyDescent="0.2">
      <c r="C19" t="s">
        <v>67</v>
      </c>
      <c r="D19" t="s">
        <v>68</v>
      </c>
      <c r="E19" t="s">
        <v>69</v>
      </c>
    </row>
    <row r="20" spans="2:6" x14ac:dyDescent="0.2">
      <c r="C20" t="s">
        <v>70</v>
      </c>
    </row>
    <row r="24" spans="2:6" x14ac:dyDescent="0.2">
      <c r="B24" s="4"/>
      <c r="C24" s="4"/>
      <c r="D24" s="4"/>
      <c r="E24" s="4"/>
      <c r="F24" s="4"/>
    </row>
    <row r="27" spans="2:6" x14ac:dyDescent="0.2">
      <c r="B27" t="s">
        <v>87</v>
      </c>
    </row>
    <row r="28" spans="2:6" x14ac:dyDescent="0.2">
      <c r="B28" t="s">
        <v>88</v>
      </c>
    </row>
    <row r="30" spans="2:6" x14ac:dyDescent="0.2">
      <c r="B30" t="s">
        <v>89</v>
      </c>
    </row>
    <row r="33" spans="2:9" x14ac:dyDescent="0.2">
      <c r="B33" s="4"/>
      <c r="C33" s="4"/>
      <c r="D33" s="4"/>
      <c r="E33" s="4"/>
      <c r="F33" s="4"/>
    </row>
    <row r="36" spans="2:9" x14ac:dyDescent="0.2">
      <c r="B36" s="7" t="s">
        <v>90</v>
      </c>
      <c r="C36" s="6"/>
      <c r="D36" s="6" t="s">
        <v>94</v>
      </c>
      <c r="E36" s="6"/>
    </row>
    <row r="37" spans="2:9" x14ac:dyDescent="0.2">
      <c r="B37" s="6"/>
      <c r="C37" s="6"/>
      <c r="D37" s="6"/>
      <c r="E37" s="6"/>
    </row>
    <row r="38" spans="2:9" x14ac:dyDescent="0.2">
      <c r="B38" s="6" t="s">
        <v>91</v>
      </c>
      <c r="C38" s="6"/>
      <c r="D38" s="6" t="s">
        <v>95</v>
      </c>
      <c r="E38" s="6"/>
    </row>
    <row r="39" spans="2:9" x14ac:dyDescent="0.2">
      <c r="B39" s="6"/>
      <c r="C39" s="6"/>
      <c r="D39" s="6"/>
      <c r="E39" s="6"/>
    </row>
    <row r="40" spans="2:9" x14ac:dyDescent="0.2">
      <c r="B40" s="7" t="s">
        <v>93</v>
      </c>
      <c r="C40" s="6"/>
      <c r="D40" s="6" t="s">
        <v>96</v>
      </c>
      <c r="E40" s="6"/>
    </row>
    <row r="41" spans="2:9" x14ac:dyDescent="0.2">
      <c r="B41" s="6"/>
      <c r="C41" s="6"/>
      <c r="D41" s="6"/>
      <c r="E41" s="6"/>
    </row>
    <row r="42" spans="2:9" x14ac:dyDescent="0.2">
      <c r="B42" s="5" t="s">
        <v>92</v>
      </c>
      <c r="C42" s="5"/>
      <c r="D42" s="5" t="s">
        <v>97</v>
      </c>
      <c r="E42" s="5"/>
    </row>
    <row r="46" spans="2:9" x14ac:dyDescent="0.2">
      <c r="B46" s="8"/>
      <c r="C46" s="8"/>
      <c r="D46" s="8"/>
      <c r="E46" s="8"/>
      <c r="F46" s="8"/>
      <c r="G46" s="8"/>
      <c r="H46" s="8"/>
      <c r="I46" s="8"/>
    </row>
    <row r="49" spans="2:7" x14ac:dyDescent="0.2">
      <c r="B49" s="9" t="s">
        <v>98</v>
      </c>
      <c r="C49" s="9"/>
      <c r="D49" s="9" t="s">
        <v>99</v>
      </c>
      <c r="E49" s="9"/>
      <c r="F49" s="9"/>
      <c r="G49" s="9"/>
    </row>
    <row r="50" spans="2:7" x14ac:dyDescent="0.2">
      <c r="B50" s="9"/>
      <c r="C50" s="9"/>
      <c r="D50" s="9"/>
      <c r="E50" s="9"/>
      <c r="F50" s="9"/>
      <c r="G50" s="9"/>
    </row>
    <row r="51" spans="2:7" x14ac:dyDescent="0.2">
      <c r="B51" s="9" t="s">
        <v>100</v>
      </c>
      <c r="C51" s="9"/>
      <c r="D51" s="9" t="s">
        <v>101</v>
      </c>
      <c r="E51" s="9"/>
      <c r="F51" s="9"/>
      <c r="G51" s="9"/>
    </row>
    <row r="52" spans="2:7" x14ac:dyDescent="0.2">
      <c r="B52" s="9"/>
      <c r="C52" s="9"/>
      <c r="D52" s="9"/>
      <c r="E52" s="9"/>
      <c r="F52" s="9"/>
      <c r="G52" s="9"/>
    </row>
    <row r="53" spans="2:7" x14ac:dyDescent="0.2">
      <c r="B53" t="s">
        <v>102</v>
      </c>
      <c r="D53" t="s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2026-02-24T15:33:35Z</dcterms:created>
  <dcterms:modified xsi:type="dcterms:W3CDTF">2026-02-24T17:27:13Z</dcterms:modified>
</cp:coreProperties>
</file>