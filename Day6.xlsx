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drawings/drawing2.xml" ContentType="application/vnd.openxmlformats-officedocument.drawing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01B91E52-56F0-534E-84EE-4BFB0581125B}" xr6:coauthVersionLast="47" xr6:coauthVersionMax="47" xr10:uidLastSave="{00000000-0000-0000-0000-000000000000}"/>
  <bookViews>
    <workbookView xWindow="20" yWindow="600" windowWidth="28800" windowHeight="17400" activeTab="1" xr2:uid="{D06398F0-DC7C-7441-B701-E4F5935E2D22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4" i="2" l="1"/>
  <c r="E116" i="2" s="1"/>
  <c r="E113" i="2"/>
  <c r="E112" i="2"/>
  <c r="G86" i="2"/>
  <c r="G87" i="2"/>
  <c r="G88" i="2"/>
  <c r="G89" i="2"/>
  <c r="G85" i="2"/>
  <c r="F89" i="2"/>
  <c r="F88" i="2"/>
  <c r="F87" i="2"/>
  <c r="F86" i="2"/>
  <c r="F85" i="2"/>
  <c r="G31" i="2"/>
  <c r="G30" i="2"/>
  <c r="E34" i="2"/>
  <c r="E35" i="2"/>
  <c r="D35" i="2"/>
  <c r="D34" i="2"/>
  <c r="E31" i="2"/>
  <c r="D31" i="2"/>
  <c r="E30" i="2"/>
  <c r="D30" i="2"/>
  <c r="E4" i="2"/>
  <c r="E7" i="2" a="1"/>
  <c r="F6" i="2"/>
  <c r="E6" i="2"/>
  <c r="F7" i="2"/>
  <c r="F20" i="2"/>
  <c r="F18" i="2"/>
  <c r="F4" i="2"/>
  <c r="F5" i="2"/>
  <c r="E5" i="2"/>
  <c r="E3" i="2"/>
  <c r="F3" i="2"/>
  <c r="E119" i="2" l="1"/>
  <c r="E11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<sst xmlns="http://schemas.openxmlformats.org/spreadsheetml/2006/main" count="61" uniqueCount="55">
  <si>
    <t>STATISTICS</t>
  </si>
  <si>
    <t>1) Measures of Central Tendency</t>
  </si>
  <si>
    <t>Group representative but for Datasets</t>
  </si>
  <si>
    <t>MEAN</t>
  </si>
  <si>
    <t>MEDIAN</t>
  </si>
  <si>
    <t>MODE</t>
  </si>
  <si>
    <t>(arithmetic mean &amp; AVG)</t>
  </si>
  <si>
    <t>TYPES of analytics</t>
  </si>
  <si>
    <t>1) Descreptive Analytics</t>
  </si>
  <si>
    <t>2) Diagnostic</t>
  </si>
  <si>
    <t>3) Predictive</t>
  </si>
  <si>
    <t>4) Precreptive</t>
  </si>
  <si>
    <t>Middle value of the data in sorted order</t>
  </si>
  <si>
    <t>Most repeated value</t>
  </si>
  <si>
    <t xml:space="preserve">2) MEDIAN </t>
  </si>
  <si>
    <t>Middle value if we have odd number of observations</t>
  </si>
  <si>
    <t>average of middle two if we have even number of Observation</t>
  </si>
  <si>
    <t>p1</t>
  </si>
  <si>
    <t>p2</t>
  </si>
  <si>
    <t>p3</t>
  </si>
  <si>
    <t>p4</t>
  </si>
  <si>
    <t>p5</t>
  </si>
  <si>
    <t>Value with max frequency</t>
  </si>
  <si>
    <t>Most repeated Values</t>
  </si>
  <si>
    <t>3)  MODE</t>
  </si>
  <si>
    <t>VARIANCE and STANDARD DEV</t>
  </si>
  <si>
    <t>₹</t>
  </si>
  <si>
    <t>std dev is sqrt of var</t>
  </si>
  <si>
    <t>Pop</t>
  </si>
  <si>
    <t>actual data / bigger data</t>
  </si>
  <si>
    <t>sample</t>
  </si>
  <si>
    <t>subset data / smaller data</t>
  </si>
  <si>
    <t>OUTLIER</t>
  </si>
  <si>
    <t>RANGE</t>
  </si>
  <si>
    <t>MAX - Min</t>
  </si>
  <si>
    <t>QUARTILES</t>
  </si>
  <si>
    <t>QUARTER</t>
  </si>
  <si>
    <t>Min</t>
  </si>
  <si>
    <t>Max</t>
  </si>
  <si>
    <t>1st Quartile</t>
  </si>
  <si>
    <t>2nd Quartile</t>
  </si>
  <si>
    <t>3rd Quartile</t>
  </si>
  <si>
    <t>Border between QUARTERs</t>
  </si>
  <si>
    <t xml:space="preserve">IQR </t>
  </si>
  <si>
    <t>q3 - q1</t>
  </si>
  <si>
    <t>Q1 - 1.5 * IQR</t>
  </si>
  <si>
    <t>Q3 + 1.5 * IQR</t>
  </si>
  <si>
    <t>&lt;</t>
  </si>
  <si>
    <t>&gt;</t>
  </si>
  <si>
    <t>Q1</t>
  </si>
  <si>
    <t>Q2</t>
  </si>
  <si>
    <t>Q3</t>
  </si>
  <si>
    <t>IQR</t>
  </si>
  <si>
    <t>LB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</si>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</sst>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18" Type="http://schemas.openxmlformats.org/officeDocument/2006/relationships/customXml" Target="../ink/ink10.xml"/><Relationship Id="rId3" Type="http://schemas.openxmlformats.org/officeDocument/2006/relationships/customXml" Target="../ink/ink2.xml"/><Relationship Id="rId21" Type="http://schemas.openxmlformats.org/officeDocument/2006/relationships/image" Target="../media/image10.png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20" Type="http://schemas.openxmlformats.org/officeDocument/2006/relationships/customXml" Target="../ink/ink11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image" Target="../media/image5.png"/><Relationship Id="rId19" Type="http://schemas.openxmlformats.org/officeDocument/2006/relationships/image" Target="../media/image9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Relationship Id="rId22" Type="http://schemas.openxmlformats.org/officeDocument/2006/relationships/image" Target="../media/image11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8.xml"/><Relationship Id="rId18" Type="http://schemas.openxmlformats.org/officeDocument/2006/relationships/image" Target="../media/image20.png"/><Relationship Id="rId26" Type="http://schemas.openxmlformats.org/officeDocument/2006/relationships/image" Target="../media/image24.png"/><Relationship Id="rId39" Type="http://schemas.openxmlformats.org/officeDocument/2006/relationships/customXml" Target="../ink/ink31.xml"/><Relationship Id="rId21" Type="http://schemas.openxmlformats.org/officeDocument/2006/relationships/customXml" Target="../ink/ink22.xml"/><Relationship Id="rId34" Type="http://schemas.openxmlformats.org/officeDocument/2006/relationships/image" Target="../media/image28.png"/><Relationship Id="rId42" Type="http://schemas.openxmlformats.org/officeDocument/2006/relationships/image" Target="../media/image32.png"/><Relationship Id="rId47" Type="http://schemas.openxmlformats.org/officeDocument/2006/relationships/customXml" Target="../ink/ink35.xml"/><Relationship Id="rId50" Type="http://schemas.openxmlformats.org/officeDocument/2006/relationships/image" Target="../media/image36.png"/><Relationship Id="rId55" Type="http://schemas.openxmlformats.org/officeDocument/2006/relationships/customXml" Target="../ink/ink39.xml"/><Relationship Id="rId7" Type="http://schemas.openxmlformats.org/officeDocument/2006/relationships/customXml" Target="../ink/ink15.xml"/><Relationship Id="rId2" Type="http://schemas.openxmlformats.org/officeDocument/2006/relationships/image" Target="../media/image12.png"/><Relationship Id="rId16" Type="http://schemas.openxmlformats.org/officeDocument/2006/relationships/image" Target="../media/image19.png"/><Relationship Id="rId29" Type="http://schemas.openxmlformats.org/officeDocument/2006/relationships/customXml" Target="../ink/ink26.xml"/><Relationship Id="rId11" Type="http://schemas.openxmlformats.org/officeDocument/2006/relationships/customXml" Target="../ink/ink17.xml"/><Relationship Id="rId24" Type="http://schemas.openxmlformats.org/officeDocument/2006/relationships/image" Target="../media/image23.png"/><Relationship Id="rId32" Type="http://schemas.openxmlformats.org/officeDocument/2006/relationships/image" Target="../media/image27.png"/><Relationship Id="rId37" Type="http://schemas.openxmlformats.org/officeDocument/2006/relationships/customXml" Target="../ink/ink30.xml"/><Relationship Id="rId40" Type="http://schemas.openxmlformats.org/officeDocument/2006/relationships/image" Target="../media/image31.png"/><Relationship Id="rId45" Type="http://schemas.openxmlformats.org/officeDocument/2006/relationships/customXml" Target="../ink/ink34.xml"/><Relationship Id="rId53" Type="http://schemas.openxmlformats.org/officeDocument/2006/relationships/customXml" Target="../ink/ink38.xml"/><Relationship Id="rId5" Type="http://schemas.openxmlformats.org/officeDocument/2006/relationships/customXml" Target="../ink/ink14.xml"/><Relationship Id="rId19" Type="http://schemas.openxmlformats.org/officeDocument/2006/relationships/customXml" Target="../ink/ink21.xml"/><Relationship Id="rId4" Type="http://schemas.openxmlformats.org/officeDocument/2006/relationships/image" Target="../media/image13.png"/><Relationship Id="rId9" Type="http://schemas.openxmlformats.org/officeDocument/2006/relationships/customXml" Target="../ink/ink16.xml"/><Relationship Id="rId14" Type="http://schemas.openxmlformats.org/officeDocument/2006/relationships/image" Target="../media/image18.png"/><Relationship Id="rId22" Type="http://schemas.openxmlformats.org/officeDocument/2006/relationships/image" Target="../media/image22.png"/><Relationship Id="rId27" Type="http://schemas.openxmlformats.org/officeDocument/2006/relationships/customXml" Target="../ink/ink25.xml"/><Relationship Id="rId30" Type="http://schemas.openxmlformats.org/officeDocument/2006/relationships/image" Target="../media/image26.png"/><Relationship Id="rId35" Type="http://schemas.openxmlformats.org/officeDocument/2006/relationships/customXml" Target="../ink/ink29.xml"/><Relationship Id="rId43" Type="http://schemas.openxmlformats.org/officeDocument/2006/relationships/customXml" Target="../ink/ink33.xml"/><Relationship Id="rId48" Type="http://schemas.openxmlformats.org/officeDocument/2006/relationships/image" Target="../media/image35.png"/><Relationship Id="rId56" Type="http://schemas.openxmlformats.org/officeDocument/2006/relationships/image" Target="../media/image39.png"/><Relationship Id="rId8" Type="http://schemas.openxmlformats.org/officeDocument/2006/relationships/image" Target="../media/image15.png"/><Relationship Id="rId51" Type="http://schemas.openxmlformats.org/officeDocument/2006/relationships/customXml" Target="../ink/ink37.xml"/><Relationship Id="rId3" Type="http://schemas.openxmlformats.org/officeDocument/2006/relationships/customXml" Target="../ink/ink13.xml"/><Relationship Id="rId12" Type="http://schemas.openxmlformats.org/officeDocument/2006/relationships/image" Target="../media/image17.png"/><Relationship Id="rId17" Type="http://schemas.openxmlformats.org/officeDocument/2006/relationships/customXml" Target="../ink/ink20.xml"/><Relationship Id="rId25" Type="http://schemas.openxmlformats.org/officeDocument/2006/relationships/customXml" Target="../ink/ink24.xml"/><Relationship Id="rId33" Type="http://schemas.openxmlformats.org/officeDocument/2006/relationships/customXml" Target="../ink/ink28.xml"/><Relationship Id="rId38" Type="http://schemas.openxmlformats.org/officeDocument/2006/relationships/image" Target="../media/image30.png"/><Relationship Id="rId46" Type="http://schemas.openxmlformats.org/officeDocument/2006/relationships/image" Target="../media/image34.png"/><Relationship Id="rId20" Type="http://schemas.openxmlformats.org/officeDocument/2006/relationships/image" Target="../media/image21.png"/><Relationship Id="rId41" Type="http://schemas.openxmlformats.org/officeDocument/2006/relationships/customXml" Target="../ink/ink32.xml"/><Relationship Id="rId54" Type="http://schemas.openxmlformats.org/officeDocument/2006/relationships/image" Target="../media/image38.png"/><Relationship Id="rId1" Type="http://schemas.openxmlformats.org/officeDocument/2006/relationships/customXml" Target="../ink/ink12.xml"/><Relationship Id="rId6" Type="http://schemas.openxmlformats.org/officeDocument/2006/relationships/image" Target="../media/image14.png"/><Relationship Id="rId15" Type="http://schemas.openxmlformats.org/officeDocument/2006/relationships/customXml" Target="../ink/ink19.xml"/><Relationship Id="rId23" Type="http://schemas.openxmlformats.org/officeDocument/2006/relationships/customXml" Target="../ink/ink23.xml"/><Relationship Id="rId28" Type="http://schemas.openxmlformats.org/officeDocument/2006/relationships/image" Target="../media/image25.png"/><Relationship Id="rId36" Type="http://schemas.openxmlformats.org/officeDocument/2006/relationships/image" Target="../media/image29.png"/><Relationship Id="rId49" Type="http://schemas.openxmlformats.org/officeDocument/2006/relationships/customXml" Target="../ink/ink36.xml"/><Relationship Id="rId57" Type="http://schemas.openxmlformats.org/officeDocument/2006/relationships/image" Target="../media/image40.jpeg"/><Relationship Id="rId10" Type="http://schemas.openxmlformats.org/officeDocument/2006/relationships/image" Target="../media/image16.png"/><Relationship Id="rId31" Type="http://schemas.openxmlformats.org/officeDocument/2006/relationships/customXml" Target="../ink/ink27.xml"/><Relationship Id="rId44" Type="http://schemas.openxmlformats.org/officeDocument/2006/relationships/image" Target="../media/image33.png"/><Relationship Id="rId5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132800</xdr:colOff>
      <xdr:row>32</xdr:row>
      <xdr:rowOff>75997</xdr:rowOff>
    </xdr:from>
    <xdr:to>
      <xdr:col>2</xdr:col>
      <xdr:colOff>345560</xdr:colOff>
      <xdr:row>33</xdr:row>
      <xdr:rowOff>101243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FA2AEE1-7EE6-B779-BF3A-FA0073C1769E}"/>
                </a:ext>
              </a:extLst>
            </xdr14:cNvPr>
            <xdr14:cNvContentPartPr/>
          </xdr14:nvContentPartPr>
          <xdr14:nvPr macro=""/>
          <xdr14:xfrm>
            <a:off x="1783800" y="6640920"/>
            <a:ext cx="212760" cy="23040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FA2AEE1-7EE6-B779-BF3A-FA0073C1769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7680" y="6634800"/>
              <a:ext cx="22500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675680</xdr:colOff>
      <xdr:row>32</xdr:row>
      <xdr:rowOff>10477</xdr:rowOff>
    </xdr:from>
    <xdr:to>
      <xdr:col>3</xdr:col>
      <xdr:colOff>810660</xdr:colOff>
      <xdr:row>33</xdr:row>
      <xdr:rowOff>88643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8862DA9-BA14-186A-5CAE-CD70D45DF001}"/>
                </a:ext>
              </a:extLst>
            </xdr14:cNvPr>
            <xdr14:cNvContentPartPr/>
          </xdr14:nvContentPartPr>
          <xdr14:nvPr macro=""/>
          <xdr14:xfrm>
            <a:off x="2326680" y="6575400"/>
            <a:ext cx="960480" cy="2833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8862DA9-BA14-186A-5CAE-CD70D45DF00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20558" y="6569280"/>
              <a:ext cx="972725" cy="29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379720</xdr:colOff>
      <xdr:row>31</xdr:row>
      <xdr:rowOff>147591</xdr:rowOff>
    </xdr:from>
    <xdr:to>
      <xdr:col>4</xdr:col>
      <xdr:colOff>561520</xdr:colOff>
      <xdr:row>32</xdr:row>
      <xdr:rowOff>153757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AEF136F-2007-EA0E-3A92-90C58E9CDE55}"/>
                </a:ext>
              </a:extLst>
            </xdr14:cNvPr>
            <xdr14:cNvContentPartPr/>
          </xdr14:nvContentPartPr>
          <xdr14:nvPr macro=""/>
          <xdr14:xfrm>
            <a:off x="3681720" y="6507360"/>
            <a:ext cx="181800" cy="2113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AEF136F-2007-EA0E-3A92-90C58E9CDE5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75600" y="6501240"/>
              <a:ext cx="19404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612260</xdr:colOff>
      <xdr:row>32</xdr:row>
      <xdr:rowOff>32077</xdr:rowOff>
    </xdr:from>
    <xdr:to>
      <xdr:col>5</xdr:col>
      <xdr:colOff>612620</xdr:colOff>
      <xdr:row>32</xdr:row>
      <xdr:rowOff>32437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D2C50F1-4EAA-2F35-CF80-346EAA93E63D}"/>
                </a:ext>
              </a:extLst>
            </xdr14:cNvPr>
            <xdr14:cNvContentPartPr/>
          </xdr14:nvContentPartPr>
          <xdr14:nvPr macro=""/>
          <xdr14:xfrm>
            <a:off x="4739760" y="6597000"/>
            <a:ext cx="360" cy="36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D2C50F1-4EAA-2F35-CF80-346EAA93E63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733640" y="6590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790100</xdr:colOff>
      <xdr:row>32</xdr:row>
      <xdr:rowOff>31357</xdr:rowOff>
    </xdr:from>
    <xdr:to>
      <xdr:col>5</xdr:col>
      <xdr:colOff>792620</xdr:colOff>
      <xdr:row>32</xdr:row>
      <xdr:rowOff>31717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25E8C5C-F304-2F08-3DB7-FB40EA1C9B90}"/>
                </a:ext>
              </a:extLst>
            </xdr14:cNvPr>
            <xdr14:cNvContentPartPr/>
          </xdr14:nvContentPartPr>
          <xdr14:nvPr macro=""/>
          <xdr14:xfrm>
            <a:off x="4917600" y="6596280"/>
            <a:ext cx="2520" cy="3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425E8C5C-F304-2F08-3DB7-FB40EA1C9B9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911480" y="6590160"/>
              <a:ext cx="14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158280</xdr:colOff>
      <xdr:row>32</xdr:row>
      <xdr:rowOff>31357</xdr:rowOff>
    </xdr:from>
    <xdr:to>
      <xdr:col>6</xdr:col>
      <xdr:colOff>158640</xdr:colOff>
      <xdr:row>32</xdr:row>
      <xdr:rowOff>31717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D88DEC2-C88B-7BAA-ED2E-F3C93C564204}"/>
                </a:ext>
              </a:extLst>
            </xdr14:cNvPr>
            <xdr14:cNvContentPartPr/>
          </xdr14:nvContentPartPr>
          <xdr14:nvPr macro=""/>
          <xdr14:xfrm>
            <a:off x="5111280" y="6596280"/>
            <a:ext cx="360" cy="3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D88DEC2-C88B-7BAA-ED2E-F3C93C56420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105160" y="6590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485880</xdr:colOff>
      <xdr:row>31</xdr:row>
      <xdr:rowOff>54351</xdr:rowOff>
    </xdr:from>
    <xdr:to>
      <xdr:col>6</xdr:col>
      <xdr:colOff>709440</xdr:colOff>
      <xdr:row>32</xdr:row>
      <xdr:rowOff>4357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47B1810-C329-1B0E-512C-2F91A7D2E64D}"/>
                </a:ext>
              </a:extLst>
            </xdr14:cNvPr>
            <xdr14:cNvContentPartPr/>
          </xdr14:nvContentPartPr>
          <xdr14:nvPr macro=""/>
          <xdr14:xfrm>
            <a:off x="5438880" y="6414120"/>
            <a:ext cx="223560" cy="15516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47B1810-C329-1B0E-512C-2F91A7D2E64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432760" y="6408000"/>
              <a:ext cx="23580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164060</xdr:colOff>
      <xdr:row>31</xdr:row>
      <xdr:rowOff>78831</xdr:rowOff>
    </xdr:from>
    <xdr:to>
      <xdr:col>5</xdr:col>
      <xdr:colOff>440900</xdr:colOff>
      <xdr:row>32</xdr:row>
      <xdr:rowOff>100477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08EF466F-5C6B-CFC7-ABCD-7DF5CB30D61D}"/>
                </a:ext>
              </a:extLst>
            </xdr14:cNvPr>
            <xdr14:cNvContentPartPr/>
          </xdr14:nvContentPartPr>
          <xdr14:nvPr macro=""/>
          <xdr14:xfrm>
            <a:off x="4291560" y="6438600"/>
            <a:ext cx="276840" cy="22680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08EF466F-5C6B-CFC7-ABCD-7DF5CB30D61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285440" y="6432470"/>
              <a:ext cx="289080" cy="2390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706600</xdr:colOff>
      <xdr:row>31</xdr:row>
      <xdr:rowOff>122031</xdr:rowOff>
    </xdr:from>
    <xdr:to>
      <xdr:col>4</xdr:col>
      <xdr:colOff>789400</xdr:colOff>
      <xdr:row>31</xdr:row>
      <xdr:rowOff>196191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EFBB79FA-78FC-AC7B-6A11-7DAF41EC1A30}"/>
                </a:ext>
              </a:extLst>
            </xdr14:cNvPr>
            <xdr14:cNvContentPartPr/>
          </xdr14:nvContentPartPr>
          <xdr14:nvPr macro=""/>
          <xdr14:xfrm>
            <a:off x="4008600" y="6481800"/>
            <a:ext cx="82800" cy="7416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EFBB79FA-78FC-AC7B-6A11-7DAF41EC1A3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002480" y="6475680"/>
              <a:ext cx="9504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461800</xdr:colOff>
      <xdr:row>32</xdr:row>
      <xdr:rowOff>198397</xdr:rowOff>
    </xdr:from>
    <xdr:to>
      <xdr:col>7</xdr:col>
      <xdr:colOff>84100</xdr:colOff>
      <xdr:row>33</xdr:row>
      <xdr:rowOff>14483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4272605-1EC6-A6B2-079F-1F59836943E0}"/>
                </a:ext>
              </a:extLst>
            </xdr14:cNvPr>
            <xdr14:cNvContentPartPr/>
          </xdr14:nvContentPartPr>
          <xdr14:nvPr macro=""/>
          <xdr14:xfrm>
            <a:off x="3763800" y="6763320"/>
            <a:ext cx="2098800" cy="2124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E4272605-1EC6-A6B2-079F-1F59836943E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757680" y="6757200"/>
              <a:ext cx="211104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313820</xdr:colOff>
      <xdr:row>33</xdr:row>
      <xdr:rowOff>178283</xdr:rowOff>
    </xdr:from>
    <xdr:to>
      <xdr:col>5</xdr:col>
      <xdr:colOff>478340</xdr:colOff>
      <xdr:row>34</xdr:row>
      <xdr:rowOff>69249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891ADFB-40A6-8944-473B-3AB0CE7B7184}"/>
                </a:ext>
              </a:extLst>
            </xdr14:cNvPr>
            <xdr14:cNvContentPartPr/>
          </xdr14:nvContentPartPr>
          <xdr14:nvPr macro=""/>
          <xdr14:xfrm>
            <a:off x="4441320" y="6948360"/>
            <a:ext cx="164520" cy="9612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891ADFB-40A6-8944-473B-3AB0CE7B718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435200" y="6942240"/>
              <a:ext cx="17676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63308</xdr:colOff>
      <xdr:row>54</xdr:row>
      <xdr:rowOff>73269</xdr:rowOff>
    </xdr:from>
    <xdr:to>
      <xdr:col>5</xdr:col>
      <xdr:colOff>286240</xdr:colOff>
      <xdr:row>61</xdr:row>
      <xdr:rowOff>12701</xdr:rowOff>
    </xdr:to>
    <xdr:pic>
      <xdr:nvPicPr>
        <xdr:cNvPr id="47" name="Picture 46" descr="How to Calculate Variance in Excel">
          <a:extLst>
            <a:ext uri="{FF2B5EF4-FFF2-40B4-BE49-F238E27FC236}">
              <a16:creationId xmlns:a16="http://schemas.microsoft.com/office/drawing/2014/main" id="{74531D30-1CBC-DA8C-9141-78ECC18E8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308" y="11151577"/>
          <a:ext cx="2699432" cy="1375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427037</xdr:colOff>
      <xdr:row>43</xdr:row>
      <xdr:rowOff>194904</xdr:rowOff>
    </xdr:from>
    <xdr:to>
      <xdr:col>4</xdr:col>
      <xdr:colOff>146828</xdr:colOff>
      <xdr:row>52</xdr:row>
      <xdr:rowOff>18074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2B679A3B-2766-B027-A1BE-BF259DE05F90}"/>
                </a:ext>
              </a:extLst>
            </xdr14:cNvPr>
            <xdr14:cNvContentPartPr/>
          </xdr14:nvContentPartPr>
          <xdr14:nvPr macro=""/>
          <xdr14:xfrm>
            <a:off x="1254240" y="8982720"/>
            <a:ext cx="2201400" cy="166248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2B679A3B-2766-B027-A1BE-BF259DE05F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48120" y="8976600"/>
              <a:ext cx="2213640" cy="167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14991</xdr:colOff>
      <xdr:row>46</xdr:row>
      <xdr:rowOff>83640</xdr:rowOff>
    </xdr:from>
    <xdr:to>
      <xdr:col>3</xdr:col>
      <xdr:colOff>423591</xdr:colOff>
      <xdr:row>48</xdr:row>
      <xdr:rowOff>89985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ACE12AB-51AE-5D1F-1C02-B0AD834BE12E}"/>
                </a:ext>
              </a:extLst>
            </xdr14:cNvPr>
            <xdr14:cNvContentPartPr/>
          </xdr14:nvContentPartPr>
          <xdr14:nvPr macro=""/>
          <xdr14:xfrm>
            <a:off x="2496600" y="9484560"/>
            <a:ext cx="408600" cy="41508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ACE12AB-51AE-5D1F-1C02-B0AD834BE12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487960" y="9475560"/>
              <a:ext cx="426240" cy="43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770837</xdr:colOff>
      <xdr:row>45</xdr:row>
      <xdr:rowOff>70928</xdr:rowOff>
    </xdr:from>
    <xdr:to>
      <xdr:col>2</xdr:col>
      <xdr:colOff>220114</xdr:colOff>
      <xdr:row>46</xdr:row>
      <xdr:rowOff>133320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FC276D14-4326-E429-E319-840D1F7D9860}"/>
                </a:ext>
              </a:extLst>
            </xdr14:cNvPr>
            <xdr14:cNvContentPartPr/>
          </xdr14:nvContentPartPr>
          <xdr14:nvPr macro=""/>
          <xdr14:xfrm>
            <a:off x="1598040" y="9267480"/>
            <a:ext cx="276480" cy="26676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FC276D14-4326-E429-E319-840D1F7D986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9400" y="9258480"/>
              <a:ext cx="29412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176631</xdr:colOff>
      <xdr:row>47</xdr:row>
      <xdr:rowOff>146393</xdr:rowOff>
    </xdr:from>
    <xdr:to>
      <xdr:col>3</xdr:col>
      <xdr:colOff>238911</xdr:colOff>
      <xdr:row>48</xdr:row>
      <xdr:rowOff>32025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F56E1106-3BE0-3776-771E-3454CFFDED28}"/>
                </a:ext>
              </a:extLst>
            </xdr14:cNvPr>
            <xdr14:cNvContentPartPr/>
          </xdr14:nvContentPartPr>
          <xdr14:nvPr macro=""/>
          <xdr14:xfrm>
            <a:off x="2658240" y="9751680"/>
            <a:ext cx="62280" cy="9000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F56E1106-3BE0-3776-771E-3454CFFDED2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649240" y="9743040"/>
              <a:ext cx="7992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671477</xdr:colOff>
      <xdr:row>55</xdr:row>
      <xdr:rowOff>92930</xdr:rowOff>
    </xdr:from>
    <xdr:to>
      <xdr:col>2</xdr:col>
      <xdr:colOff>705754</xdr:colOff>
      <xdr:row>59</xdr:row>
      <xdr:rowOff>80419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FF2F879A-71EA-0D5D-F6BA-DA8BAAF54891}"/>
                </a:ext>
              </a:extLst>
            </xdr14:cNvPr>
            <xdr14:cNvContentPartPr/>
          </xdr14:nvContentPartPr>
          <xdr14:nvPr macro=""/>
          <xdr14:xfrm>
            <a:off x="1498680" y="11333160"/>
            <a:ext cx="861480" cy="80496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FF2F879A-71EA-0D5D-F6BA-DA8BAAF5489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492560" y="11327040"/>
              <a:ext cx="873720" cy="81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583868</xdr:colOff>
      <xdr:row>56</xdr:row>
      <xdr:rowOff>146682</xdr:rowOff>
    </xdr:from>
    <xdr:to>
      <xdr:col>5</xdr:col>
      <xdr:colOff>94345</xdr:colOff>
      <xdr:row>58</xdr:row>
      <xdr:rowOff>26667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94D3BC00-D019-7649-908C-6FBC4DC9E74F}"/>
                </a:ext>
              </a:extLst>
            </xdr14:cNvPr>
            <xdr14:cNvContentPartPr/>
          </xdr14:nvContentPartPr>
          <xdr14:nvPr macro=""/>
          <xdr14:xfrm>
            <a:off x="3892680" y="11591280"/>
            <a:ext cx="337680" cy="28872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94D3BC00-D019-7649-908C-6FBC4DC9E74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886560" y="11585160"/>
              <a:ext cx="34992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623674</xdr:colOff>
      <xdr:row>53</xdr:row>
      <xdr:rowOff>70026</xdr:rowOff>
    </xdr:from>
    <xdr:to>
      <xdr:col>4</xdr:col>
      <xdr:colOff>519788</xdr:colOff>
      <xdr:row>56</xdr:row>
      <xdr:rowOff>26082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D9A06FC-EFC2-101E-D0F5-288A162A9E40}"/>
                </a:ext>
              </a:extLst>
            </xdr14:cNvPr>
            <xdr14:cNvContentPartPr/>
          </xdr14:nvContentPartPr>
          <xdr14:nvPr macro=""/>
          <xdr14:xfrm>
            <a:off x="2278080" y="10901520"/>
            <a:ext cx="1550520" cy="56916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0D9A06FC-EFC2-101E-D0F5-288A162A9E4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269440" y="10892520"/>
              <a:ext cx="1568160" cy="58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313508</xdr:colOff>
      <xdr:row>52</xdr:row>
      <xdr:rowOff>128594</xdr:rowOff>
    </xdr:from>
    <xdr:to>
      <xdr:col>5</xdr:col>
      <xdr:colOff>387385</xdr:colOff>
      <xdr:row>54</xdr:row>
      <xdr:rowOff>94258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0B8E52D-FA50-40C2-2E8B-FD4FF352B3F8}"/>
                </a:ext>
              </a:extLst>
            </xdr14:cNvPr>
            <xdr14:cNvContentPartPr/>
          </xdr14:nvContentPartPr>
          <xdr14:nvPr macro=""/>
          <xdr14:xfrm>
            <a:off x="3622320" y="10755720"/>
            <a:ext cx="901080" cy="37440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0B8E52D-FA50-40C2-2E8B-FD4FF352B3F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613677" y="10747080"/>
              <a:ext cx="918727" cy="39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168865</xdr:colOff>
      <xdr:row>57</xdr:row>
      <xdr:rowOff>18634</xdr:rowOff>
    </xdr:from>
    <xdr:to>
      <xdr:col>5</xdr:col>
      <xdr:colOff>455425</xdr:colOff>
      <xdr:row>58</xdr:row>
      <xdr:rowOff>27027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3476D59-12F3-2005-D284-349A6529AA5B}"/>
                </a:ext>
              </a:extLst>
            </xdr14:cNvPr>
            <xdr14:cNvContentPartPr/>
          </xdr14:nvContentPartPr>
          <xdr14:nvPr macro=""/>
          <xdr14:xfrm>
            <a:off x="4304880" y="11667600"/>
            <a:ext cx="286560" cy="21276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E3476D59-12F3-2005-D284-349A6529AA5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298760" y="11661480"/>
              <a:ext cx="29880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806194</xdr:colOff>
      <xdr:row>58</xdr:row>
      <xdr:rowOff>82827</xdr:rowOff>
    </xdr:from>
    <xdr:to>
      <xdr:col>4</xdr:col>
      <xdr:colOff>642908</xdr:colOff>
      <xdr:row>60</xdr:row>
      <xdr:rowOff>166211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975100B8-A565-8B1A-5B80-BE30D31B9A32}"/>
                </a:ext>
              </a:extLst>
            </xdr14:cNvPr>
            <xdr14:cNvContentPartPr/>
          </xdr14:nvContentPartPr>
          <xdr14:nvPr macro=""/>
          <xdr14:xfrm>
            <a:off x="2460600" y="11936160"/>
            <a:ext cx="1491120" cy="49212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975100B8-A565-8B1A-5B80-BE30D31B9A3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454480" y="11930040"/>
              <a:ext cx="1503360" cy="50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94191</xdr:colOff>
      <xdr:row>60</xdr:row>
      <xdr:rowOff>118331</xdr:rowOff>
    </xdr:from>
    <xdr:to>
      <xdr:col>4</xdr:col>
      <xdr:colOff>737588</xdr:colOff>
      <xdr:row>61</xdr:row>
      <xdr:rowOff>163443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DBA895CD-5688-9A9D-47DF-864EFEF369E9}"/>
                </a:ext>
              </a:extLst>
            </xdr14:cNvPr>
            <xdr14:cNvContentPartPr/>
          </xdr14:nvContentPartPr>
          <xdr14:nvPr macro=""/>
          <xdr14:xfrm>
            <a:off x="2575800" y="12380400"/>
            <a:ext cx="1470600" cy="24948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DBA895CD-5688-9A9D-47DF-864EFEF369E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569681" y="12374289"/>
              <a:ext cx="1482837" cy="2617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16791</xdr:colOff>
      <xdr:row>75</xdr:row>
      <xdr:rowOff>149174</xdr:rowOff>
    </xdr:from>
    <xdr:to>
      <xdr:col>6</xdr:col>
      <xdr:colOff>532542</xdr:colOff>
      <xdr:row>77</xdr:row>
      <xdr:rowOff>105478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65030C75-9EB4-FB13-09E0-8F86165726C8}"/>
                </a:ext>
              </a:extLst>
            </xdr14:cNvPr>
            <xdr14:cNvContentPartPr/>
          </xdr14:nvContentPartPr>
          <xdr14:nvPr macro=""/>
          <xdr14:xfrm>
            <a:off x="2498400" y="15476760"/>
            <a:ext cx="2997360" cy="36504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65030C75-9EB4-FB13-09E0-8F86165726C8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492280" y="15470640"/>
              <a:ext cx="3009600" cy="37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104991</xdr:colOff>
      <xdr:row>76</xdr:row>
      <xdr:rowOff>31206</xdr:rowOff>
    </xdr:from>
    <xdr:to>
      <xdr:col>3</xdr:col>
      <xdr:colOff>752991</xdr:colOff>
      <xdr:row>76</xdr:row>
      <xdr:rowOff>57126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C01A49F7-4919-9303-B775-1B3845AD26E2}"/>
                </a:ext>
              </a:extLst>
            </xdr14:cNvPr>
            <xdr14:cNvContentPartPr/>
          </xdr14:nvContentPartPr>
          <xdr14:nvPr macro=""/>
          <xdr14:xfrm>
            <a:off x="2586600" y="15563160"/>
            <a:ext cx="648000" cy="2592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C01A49F7-4919-9303-B775-1B3845AD26E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532600" y="15455160"/>
              <a:ext cx="75564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60788</xdr:colOff>
      <xdr:row>76</xdr:row>
      <xdr:rowOff>47406</xdr:rowOff>
    </xdr:from>
    <xdr:to>
      <xdr:col>4</xdr:col>
      <xdr:colOff>823268</xdr:colOff>
      <xdr:row>76</xdr:row>
      <xdr:rowOff>92046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B5507D0A-E7B1-3FD6-FB87-E6A5D0ECE0BA}"/>
                </a:ext>
              </a:extLst>
            </xdr14:cNvPr>
            <xdr14:cNvContentPartPr/>
          </xdr14:nvContentPartPr>
          <xdr14:nvPr macro=""/>
          <xdr14:xfrm>
            <a:off x="3369600" y="15579360"/>
            <a:ext cx="762480" cy="4464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B5507D0A-E7B1-3FD6-FB87-E6A5D0ECE0B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315960" y="15471360"/>
              <a:ext cx="87012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104065</xdr:colOff>
      <xdr:row>76</xdr:row>
      <xdr:rowOff>76566</xdr:rowOff>
    </xdr:from>
    <xdr:to>
      <xdr:col>5</xdr:col>
      <xdr:colOff>749545</xdr:colOff>
      <xdr:row>76</xdr:row>
      <xdr:rowOff>87366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5A17431C-CDB7-8C1D-5050-1DFE9B57A122}"/>
                </a:ext>
              </a:extLst>
            </xdr14:cNvPr>
            <xdr14:cNvContentPartPr/>
          </xdr14:nvContentPartPr>
          <xdr14:nvPr macro=""/>
          <xdr14:xfrm>
            <a:off x="4240080" y="15608520"/>
            <a:ext cx="645480" cy="1080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5A17431C-CDB7-8C1D-5050-1DFE9B57A12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186080" y="15500880"/>
              <a:ext cx="75312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39702</xdr:colOff>
      <xdr:row>76</xdr:row>
      <xdr:rowOff>116886</xdr:rowOff>
    </xdr:from>
    <xdr:to>
      <xdr:col>6</xdr:col>
      <xdr:colOff>532182</xdr:colOff>
      <xdr:row>76</xdr:row>
      <xdr:rowOff>121926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E8185DC7-D71B-3937-2D21-3680EEBBF415}"/>
                </a:ext>
              </a:extLst>
            </xdr14:cNvPr>
            <xdr14:cNvContentPartPr/>
          </xdr14:nvContentPartPr>
          <xdr14:nvPr macro=""/>
          <xdr14:xfrm>
            <a:off x="5002920" y="15648840"/>
            <a:ext cx="492480" cy="504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E8185DC7-D71B-3937-2D21-3680EEBBF41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948920" y="15540840"/>
              <a:ext cx="60012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2751</xdr:colOff>
      <xdr:row>75</xdr:row>
      <xdr:rowOff>14174</xdr:rowOff>
    </xdr:from>
    <xdr:to>
      <xdr:col>3</xdr:col>
      <xdr:colOff>11751</xdr:colOff>
      <xdr:row>77</xdr:row>
      <xdr:rowOff>186478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1CE42E55-E3CB-C7B3-88E6-9867B619CB69}"/>
                </a:ext>
              </a:extLst>
            </xdr14:cNvPr>
            <xdr14:cNvContentPartPr/>
          </xdr14:nvContentPartPr>
          <xdr14:nvPr macro=""/>
          <xdr14:xfrm>
            <a:off x="2484360" y="15341760"/>
            <a:ext cx="9000" cy="58104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1CE42E55-E3CB-C7B3-88E6-9867B619CB6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2478240" y="15335640"/>
              <a:ext cx="21240" cy="59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814859</xdr:colOff>
      <xdr:row>85</xdr:row>
      <xdr:rowOff>3416</xdr:rowOff>
    </xdr:from>
    <xdr:to>
      <xdr:col>8</xdr:col>
      <xdr:colOff>76935</xdr:colOff>
      <xdr:row>85</xdr:row>
      <xdr:rowOff>3776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2FD0AD6B-62F1-7152-F598-F69088DB2CFA}"/>
                </a:ext>
              </a:extLst>
            </xdr14:cNvPr>
            <xdr14:cNvContentPartPr/>
          </xdr14:nvContentPartPr>
          <xdr14:nvPr macro=""/>
          <xdr14:xfrm>
            <a:off x="6605280" y="17374680"/>
            <a:ext cx="89280" cy="36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2FD0AD6B-62F1-7152-F598-F69088DB2CFA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599160" y="17368560"/>
              <a:ext cx="1015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811311</xdr:colOff>
      <xdr:row>74</xdr:row>
      <xdr:rowOff>148702</xdr:rowOff>
    </xdr:from>
    <xdr:to>
      <xdr:col>3</xdr:col>
      <xdr:colOff>811671</xdr:colOff>
      <xdr:row>78</xdr:row>
      <xdr:rowOff>1190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E19E4796-9B09-B607-4FAE-387C9FC12752}"/>
                </a:ext>
              </a:extLst>
            </xdr14:cNvPr>
            <xdr14:cNvContentPartPr/>
          </xdr14:nvContentPartPr>
          <xdr14:nvPr macro=""/>
          <xdr14:xfrm>
            <a:off x="3292920" y="15271920"/>
            <a:ext cx="360" cy="66996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E19E4796-9B09-B607-4FAE-387C9FC1275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286800" y="15265800"/>
              <a:ext cx="12600" cy="68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553911</xdr:colOff>
      <xdr:row>84</xdr:row>
      <xdr:rowOff>83223</xdr:rowOff>
    </xdr:from>
    <xdr:to>
      <xdr:col>4</xdr:col>
      <xdr:colOff>7868</xdr:colOff>
      <xdr:row>85</xdr:row>
      <xdr:rowOff>116456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29AE94E2-4631-4543-4A89-6AC8C495F275}"/>
                </a:ext>
              </a:extLst>
            </xdr14:cNvPr>
            <xdr14:cNvContentPartPr/>
          </xdr14:nvContentPartPr>
          <xdr14:nvPr macro=""/>
          <xdr14:xfrm>
            <a:off x="3035520" y="17250120"/>
            <a:ext cx="281160" cy="23760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29AE94E2-4631-4543-4A89-6AC8C495F275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029400" y="17244000"/>
              <a:ext cx="29340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24865</xdr:colOff>
      <xdr:row>74</xdr:row>
      <xdr:rowOff>88222</xdr:rowOff>
    </xdr:from>
    <xdr:to>
      <xdr:col>5</xdr:col>
      <xdr:colOff>32785</xdr:colOff>
      <xdr:row>78</xdr:row>
      <xdr:rowOff>43310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2E3C9611-BD7B-E92B-0360-EEC6CD131544}"/>
                </a:ext>
              </a:extLst>
            </xdr14:cNvPr>
            <xdr14:cNvContentPartPr/>
          </xdr14:nvContentPartPr>
          <xdr14:nvPr macro=""/>
          <xdr14:xfrm>
            <a:off x="4160880" y="15211440"/>
            <a:ext cx="7920" cy="77256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2E3C9611-BD7B-E92B-0360-EEC6CD131544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154760" y="15205320"/>
              <a:ext cx="20160" cy="78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539871</xdr:colOff>
      <xdr:row>85</xdr:row>
      <xdr:rowOff>151016</xdr:rowOff>
    </xdr:from>
    <xdr:to>
      <xdr:col>3</xdr:col>
      <xdr:colOff>801951</xdr:colOff>
      <xdr:row>86</xdr:row>
      <xdr:rowOff>147168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86D3472E-B81E-5343-4900-3C0A3B84209B}"/>
                </a:ext>
              </a:extLst>
            </xdr14:cNvPr>
            <xdr14:cNvContentPartPr/>
          </xdr14:nvContentPartPr>
          <xdr14:nvPr macro=""/>
          <xdr14:xfrm>
            <a:off x="3021480" y="17522280"/>
            <a:ext cx="262080" cy="200520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86D3472E-B81E-5343-4900-3C0A3B84209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015360" y="17516160"/>
              <a:ext cx="27432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814345</xdr:colOff>
      <xdr:row>75</xdr:row>
      <xdr:rowOff>45494</xdr:rowOff>
    </xdr:from>
    <xdr:to>
      <xdr:col>5</xdr:col>
      <xdr:colOff>814705</xdr:colOff>
      <xdr:row>77</xdr:row>
      <xdr:rowOff>131758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04654900-6286-A912-23B9-BA8CA9DF293D}"/>
                </a:ext>
              </a:extLst>
            </xdr14:cNvPr>
            <xdr14:cNvContentPartPr/>
          </xdr14:nvContentPartPr>
          <xdr14:nvPr macro=""/>
          <xdr14:xfrm>
            <a:off x="4950360" y="15373080"/>
            <a:ext cx="360" cy="49500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04654900-6286-A912-23B9-BA8CA9DF293D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944240" y="15366960"/>
              <a:ext cx="12600" cy="50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596751</xdr:colOff>
      <xdr:row>86</xdr:row>
      <xdr:rowOff>54648</xdr:rowOff>
    </xdr:from>
    <xdr:to>
      <xdr:col>4</xdr:col>
      <xdr:colOff>86348</xdr:colOff>
      <xdr:row>87</xdr:row>
      <xdr:rowOff>135040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146FCDDE-EE96-3B66-B537-B17A7742476B}"/>
                </a:ext>
              </a:extLst>
            </xdr14:cNvPr>
            <xdr14:cNvContentPartPr/>
          </xdr14:nvContentPartPr>
          <xdr14:nvPr macro=""/>
          <xdr14:xfrm>
            <a:off x="3078360" y="17630280"/>
            <a:ext cx="316800" cy="284760"/>
          </xdr14:xfrm>
        </xdr:contentPart>
      </mc:Choice>
      <mc:Fallback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146FCDDE-EE96-3B66-B537-B17A7742476B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072240" y="17624160"/>
              <a:ext cx="329040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582582</xdr:colOff>
      <xdr:row>75</xdr:row>
      <xdr:rowOff>72134</xdr:rowOff>
    </xdr:from>
    <xdr:to>
      <xdr:col>6</xdr:col>
      <xdr:colOff>582942</xdr:colOff>
      <xdr:row>77</xdr:row>
      <xdr:rowOff>93958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ED453C1-E2FA-C08E-2697-C8ED587EA509}"/>
                </a:ext>
              </a:extLst>
            </xdr14:cNvPr>
            <xdr14:cNvContentPartPr/>
          </xdr14:nvContentPartPr>
          <xdr14:nvPr macro=""/>
          <xdr14:xfrm>
            <a:off x="5545800" y="15399720"/>
            <a:ext cx="360" cy="430560"/>
          </xdr14:xfrm>
        </xdr:contentPart>
      </mc:Choice>
      <mc:Fallback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FED453C1-E2FA-C08E-2697-C8ED587EA50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539680" y="15393600"/>
              <a:ext cx="12600" cy="44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587624</xdr:colOff>
      <xdr:row>86</xdr:row>
      <xdr:rowOff>133721</xdr:rowOff>
    </xdr:from>
    <xdr:to>
      <xdr:col>4</xdr:col>
      <xdr:colOff>240301</xdr:colOff>
      <xdr:row>89</xdr:row>
      <xdr:rowOff>12737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CF4E6923-B610-133B-83C5-EF345491C82E}"/>
                </a:ext>
              </a:extLst>
            </xdr14:cNvPr>
            <xdr14:cNvContentPartPr/>
          </xdr14:nvContentPartPr>
          <xdr14:nvPr macro=""/>
          <xdr14:xfrm>
            <a:off x="3069233" y="17709353"/>
            <a:ext cx="479880" cy="49212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CF4E6923-B610-133B-83C5-EF345491C82E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063113" y="17703233"/>
              <a:ext cx="492120" cy="50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635708</xdr:colOff>
      <xdr:row>3</xdr:row>
      <xdr:rowOff>196537</xdr:rowOff>
    </xdr:from>
    <xdr:to>
      <xdr:col>5</xdr:col>
      <xdr:colOff>758905</xdr:colOff>
      <xdr:row>3</xdr:row>
      <xdr:rowOff>202657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D8B3EBB8-CA60-6E84-8DE1-6C0B774528BE}"/>
                </a:ext>
              </a:extLst>
            </xdr14:cNvPr>
            <xdr14:cNvContentPartPr/>
          </xdr14:nvContentPartPr>
          <xdr14:nvPr macro=""/>
          <xdr14:xfrm>
            <a:off x="3944520" y="809640"/>
            <a:ext cx="950400" cy="612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D8B3EBB8-CA60-6E84-8DE1-6C0B774528BE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938400" y="803520"/>
              <a:ext cx="96264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483428</xdr:colOff>
      <xdr:row>90</xdr:row>
      <xdr:rowOff>30617</xdr:rowOff>
    </xdr:from>
    <xdr:to>
      <xdr:col>4</xdr:col>
      <xdr:colOff>483788</xdr:colOff>
      <xdr:row>90</xdr:row>
      <xdr:rowOff>30977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14E13D12-3A1B-3966-066C-B5DFB06AAEE9}"/>
                </a:ext>
              </a:extLst>
            </xdr14:cNvPr>
            <xdr14:cNvContentPartPr/>
          </xdr14:nvContentPartPr>
          <xdr14:nvPr macro=""/>
          <xdr14:xfrm>
            <a:off x="3792240" y="18423720"/>
            <a:ext cx="360" cy="36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14E13D12-3A1B-3966-066C-B5DFB06AAEE9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786120" y="18417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404844</xdr:colOff>
      <xdr:row>90</xdr:row>
      <xdr:rowOff>136246</xdr:rowOff>
    </xdr:from>
    <xdr:to>
      <xdr:col>7</xdr:col>
      <xdr:colOff>62719</xdr:colOff>
      <xdr:row>96</xdr:row>
      <xdr:rowOff>88657</xdr:rowOff>
    </xdr:to>
    <xdr:pic>
      <xdr:nvPicPr>
        <xdr:cNvPr id="132" name="Picture 131" descr="Reading a Box and Whisker Plot">
          <a:extLst>
            <a:ext uri="{FF2B5EF4-FFF2-40B4-BE49-F238E27FC236}">
              <a16:creationId xmlns:a16="http://schemas.microsoft.com/office/drawing/2014/main" id="{61B2A7E0-D409-CF6E-D91A-1555EDD7E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3656" y="18529349"/>
          <a:ext cx="2139484" cy="1178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14.80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293 28 24575,'0'8'0,"0"12"0,0 24 0,0 14 0,0 5 0,0-12 0,0-22 0,0-15 0,0-10 0</inkml:trace>
  <inkml:trace contextRef="#ctx0" brushRef="#br0" timeOffset="1801">451 0 24575,'-10'0'0,"-3"0"0,-8 0 0,-4 0 0,-4 0 0,-1 0 0,-3 0 0,-1 0 0,3 0 0,5 0 0,6 2 0,2 4 0,1 3 0,2 4 0,1 1 0,1 4 0,0 1 0,-2 4 0,1 0 0,2-3 0,2 1 0,2 4 0,0 9 0,0 9 0,2 6 0,0 2 0,4-3 0,6-4 0,9-4 0,8-2 0,6-5 0,2-6 0,0-8 0,4-7 0,5-6 0,7-4 0,4-4 0,3-6 0,-2-5 0,-6-4 0,-8-2 0,-11 2 0,-8 3 0,-7 2 0,-4 1 0,-1-3 0,1-5 0,2-9 0,3-6 0,0-6 0,-1 0 0,-3 6 0,-4 9 0,-2 9 0,-1 3 0,-1-1 0,-3-5 0,-5-5 0,-6-1 0,-3 0 0,-4 0 0,-1 4 0,-2 1 0,2 4 0,2 5 0,2 3 0,2 4 0,0 1 0,-1 0 0,2 1 0,4 0 0,6 1 0,4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18.804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13 196 24575,'0'29'0,"0"15"0,0 25 0,0 20 0,0 5 0,0-5 0,0-16 0,0-21 0,0-17 0,0-19 0,0-16 0,0-10 0,0-10 0,0-12 0,0-12 0,0-18 0,-2-17 0,1-6 0,-2-2 0,0 9 0,1 18 0,1 16 0,1 20 0,0 14 0,4 13 0,9 10 0,13 12 0,14 6 0,8 4 0,0 1 0,-8-8 0,-10-7 0,-12-10 0,-8-7 0,-4-2 0,-3-4 0,2-6 0,7-11 0,9-17 0,11-14 0,6-8 0,2 1 0,-6 8 0,-6 12 0,-8 13 0,-8 11 0,-6 7 0,-3 6 0,-1 4 0,3 11 0,5 14 0,11 20 0,7 14 0,5 11 0,0 1 0,-8-10 0,-6-16 0,-8-17 0,-6-15 0,-2-7 0,-3-5 0,0 0 0,0-1 0,0 0 0,0 0 0,0-1 0,0 1 0,1 4 0,2 8 0,3 8 0,2 6 0,-1-4 0,-2-7 0,-2-7 0,-2-5 0,-1-4 0,0-5 0,0 1 0,0-3 0</inkml:trace>
  <inkml:trace contextRef="#ctx0" brushRef="#br0" timeOffset="1399">937 458 24575,'5'-2'0,"6"1"0,4 1 0,4 0 0,0 0 0,-6 0 0,-4-2 0,-3-1 0,-2-3 0,-1-4 0,-2-1 0,-1-2 0,-2-2 0,-1-2 0,-5-1 0,-3 2 0,-3 4 0,-1 5 0,-1 3 0,3 3 0,3 1 0,2 2 0,3 2 0,1 2 0,0 3 0,1 1 0,-1 4 0,0 3 0,-1 5 0,-2 9 0,0 9 0,-1 8 0,3 0 0,3-9 0,1-14 0,2-13 0,2-7 0,6-4 0,7-1 0,7 0 0,7 0 0,1 0 0,-2 0 0,-6 0 0,-5-1 0,-6 0 0,-5-2 0,-2 0 0,-4 1 0,0 1 0</inkml:trace>
  <inkml:trace contextRef="#ctx0" brushRef="#br0" timeOffset="4199">1371 460 24575,'2'-5'0,"0"0"0,-3 1 0,-2-1 0,-7-1 0,-7 0 0,-2 0 0,1 2 0,4 2 0,5 2 0,2 5 0,3 3 0,1 3 0,2 4 0,-1 0 0,1 1 0,0 1 0,1 3 0,0 3 0,0 1 0,0-1 0,1-4 0,3-4 0,4-6 0,5-3 0,6-4 0,4-2 0,1-1 0,0-3 0,-4-3 0,-5-1 0,-5-1 0,-3 1 0,-3-2 0,-2 0 0,-1-1 0,0 2 0,0 0 0,0 2 0,-1 1 0,0 5 0,0 5 0,0 5 0,0 5 0,0 1 0,0 1 0,1 1 0,3-1 0,7 2 0,5-3 0,5-3 0,2-3 0,-1-5 0,-2-5 0,-3-6 0,-4-4 0,-3-6 0,-1-4 0,4-6 0,2-8 0,2-4 0,-1 1 0,-4 8 0,-5 9 0,-3 10 0,-3 7 0,-1 8 0,0 5 0,0 4 0,0 2 0,0 1 0,0 1 0,2 4 0,1 3 0,3 5 0,2-1 0,0-4 0,-3-7 0,-3-6 0,-1-5 0,-1-2 0,2-2 0,0-2 0,0-3 0,1-4 0,0-5 0,0-2 0,1-1 0,2-1 0,2-1 0,6-2 0,5 0 0,2 2 0,2 2 0,-3 6 0,-1 4 0,-4 2 0,-1 3 0,-1 1 0,0 1 0,1 3 0,0 4 0,0 4 0,-2 2 0,-1 0 0,-3 0 0,-1-1 0,-1-1 0,-2-2 0,-2-1 0,-1-4 0,0-2 0,-1-2 0</inkml:trace>
  <inkml:trace contextRef="#ctx0" brushRef="#br0" timeOffset="4982">2441 275 24575,'32'0'0,"1"0"0,5 0 0,-4 0 0,-8 0 0,-9 0 0,-8 0 0,-7 0 0</inkml:trace>
  <inkml:trace contextRef="#ctx0" brushRef="#br0" timeOffset="5999">2422 495 24575,'10'0'0,"11"0"0,18 0 0,8 0 0,4 0 0,-10 0 0,-19 0 0,-8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25.93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0 104 24575,'12'2'0,"12"13"0,19 19 0,9 13 0,-1 2 0,-12-9 0,-16-14 0,-8-10 0,-8-7 0,-2-3 0,1-1 0,0 0 0,1-1 0,-3-1 0,-2-2 0</inkml:trace>
  <inkml:trace contextRef="#ctx0" brushRef="#br0" timeOffset="833">256 0 24575,'-3'14'0,"-5"9"0,-5 12 0,-7 6 0,-4 1 0,-1-1 0,0-2 0,3-5 0,4-7 0,5-8 0,5-7 0,4-6 0,2-2 0</inkml:trace>
  <inkml:trace contextRef="#ctx0" brushRef="#br0" timeOffset="1817">503 341 24575,'0'33'0,"0"2"0,0 6 0,0-2 0,0-4 0,0-9 0,0-9 0,0-6 0,1-6 0,-1-2 0,1-2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33.03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33.43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1 24575,'3'0'0,"-1"0"0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33.95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34.88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0 108 24575,'19'14'0,"7"10"0,11 13 0,4 6 0,-1-2 0,-9-8 0,-12-13 0,-6-7 0,-7-8 0,-4-3 0</inkml:trace>
  <inkml:trace contextRef="#ctx0" brushRef="#br0" timeOffset="800">199 1 24575,'-5'2'0,"-4"10"0,-6 12 0,-4 12 0,1 4 0,3-1 0,6-6 0,4-6 0,3-6 0,2-8 0,0-5 0,-2-4 0,1-1 0,-2-1 0,1-1 0,1 0 0</inkml:trace>
  <inkml:trace contextRef="#ctx0" brushRef="#br0" timeOffset="2216">388 260 24575,'0'21'0,"0"5"0,0 0 0,0-6 0,0-12 0,0-13 0,0-8 0,0-5 0,0-2 0,1-3 0,3 0 0,5 0 0,7 0 0,6 2 0,3 4 0,-2 5 0,-5 6 0,-6 3 0,-4 3 0,-2 4 0,-1 3 0,1 5 0,2 4 0,0 5 0,3 5 0,1 4 0,1 1 0,-2-3 0,-4-7 0,-3-6 0,-3-3 0,-1 0 0,0 1 0,0-1 0,1-3 0,0-4 0,-1-2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30.36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6 68 24575,'21'44'0,"13"16"0,12 8 0,-2-4 0,-10-18 0,-14-21 0,-9-11 0,-6-9 0,-5-4 0</inkml:trace>
  <inkml:trace contextRef="#ctx0" brushRef="#br0" timeOffset="850">221 1 24575,'-6'10'0,"-7"9"0,-5 11 0,-5 8 0,0 1 0,0-1 0,0-2 0,5-8 0,6-7 0,7-10 0,4-6 0,0-2 0,-1-1 0,0 0 0,-1 1 0,-3 4 0,-4 2 0,-1 3 0,1 0 0,3-3 0,5-4 0,1-3 0</inkml:trace>
  <inkml:trace contextRef="#ctx0" brushRef="#br0" timeOffset="2134">433 345 24575,'11'0'0,"7"0"0,3 0 0,2 0 0,-3 1 0,-4 3 0,-4 5 0,-5 7 0,-3 8 0,-4 7 0,-5 6 0,-7 7 0,-5-1 0,-4-9 0,2-10 0,4-13 0,2-7 0,1-2 0,1-4 0,2-2 0,2-4 0,4-5 0,2-2 0,2 2 0,3 3 0,5 2 0,5 2 0,4 3 0,4 1 0,7 2 0,8 0 0,9 3 0,3 2 0,-3 3 0,-10 1 0,-13-2 0,-13-3 0,-5-2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28.93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129 0 24575,'0'17'0,"0"14"0,0 8 0,0 5 0,0-7 0,0-15 0,0-11 0,0-7 0</inkml:trace>
  <inkml:trace contextRef="#ctx0" brushRef="#br0" timeOffset="584">0 201 24575,'12'0'0,"5"0"0,9 0 0,4 0 0,1 0 0,-2 0 0,-4 0 0,-3 0 0,-5 0 0,-5 0 0,-6 0 0,-4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38.552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59 24575,'14'-2'0,"36"1"0,0 0 0,8 2 0,30-1 0,11 0-980,-14 0 0,6 0 0,2 0 980,-13 0 0,3 0 0,0 0 0,2 0-406,6 0 0,1 0 0,0 0 0,1 0 406,1 0 0,1 0 0,0 0 0,-1 0 0,-2 0 0,-1 0 0,-1 0 0,0 0 0,-2 0 0,-1 0 0,-1 0 0,-1 0 37,-7 0 0,-1 0 0,-1 0 0,-1 0-37,19 0 0,-1 0 0,-2 0 0,-6 0 0,-2 0 0,-2 0-79,-8 0 0,-1 0 0,-1 0 79,29-1 0,-2 0 0,-14-1 0,-3 1 637,-6-1 1,-3 0-638,-5-1 0,-1 1 1010,-1 0 0,-1 0-1010,2 1 0,-1 1 528,3-1 0,0 0-528,0 1 0,1 0 151,-1 0 0,0 0-151,-3 0 0,-1 0 0,-5 0 0,0 0 0,-3 0 0,-1 0 0,-2 0 0,-1 0 0,-1 0 0,0 0 0,47-2 0,-8-1 0,-6-2 0,-12-1 0,-13 1 0,-18 1 0,-17 3 0,-12-1 0,-6 1 0,-3-1 0,-2 0 0,-2 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5:56:40.30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66 24575,'5'17'0,"4"6"0,5 6 0,0 2 0,-4-8 0,-4-4 0,-4-6 0,-2-5 0,0-2 0,0-3 0,0-14 0,1-2 0,1-13 0,5 1 0,6-5 0,8-1 0,8 0 0,5 4 0,4 7 0,-1 6 0,-4 7 0,-7 4 0,-8 3 0,-4 5 0,-3 5 0,1 6 0,1 5 0,1 6 0,1 4 0,0 5 0,-2 0 0,-1-4 0,-4-10 0,-4-7 0,-1-7 0,-2-4 0,0-2 0,0-1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6:45:07.8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195 1459 24575,'2'-13'0,"12"-22"0,23-39 0,-1 12 0,7-6 0,-7 14 0,3-2 0,2 0-368,5-6 1,4-1 0,1 1 367,3 0 0,2-1 0,1 3 0,-2 6 0,0 1 0,1 2 42,-2 4 1,1 1-1,1 3-42,22-12 0,2 6 0,-3 7 0,1 5 0,3 3 0,5 5 0,-21 11 0,3 1 0,1 2-247,5 0 0,1 2 1,2 2 246,8 1 0,1 1 0,2 2 0,5 2 0,1 1 0,0 1 0,0 2 0,1 1 0,1 1-384,1 3 0,1 1 0,-2 2 384,-4 1 0,-1 2 0,0 3 0,2 3 0,-1 4 0,0 1 0,-4 3 0,-2 2 0,0 3 0,1 2 0,0 2 0,-1 2 0,6 5 0,-1 1 0,-1 2 0,-7-1 0,-1 0 0,-1 1 0,-3 1 0,0 0 0,-3 0 89,-7-1 1,-2-1 0,-4 3-90,-8-4 0,-3 1 0,-2 3 0,2 5 0,-2 3 0,-2 2 0,0 1 0,-2 2 0,-2 2 0,0 2 0,-1 1 0,-1 1 0,-1 2 0,-1 1 0,-2 0 0,-3-2 0,-2 0 0,-1 0 0,-2 3 0,-2 0 0,-2 0 0,-2-2 0,-3 0 0,-2-1 0,3 26 0,-4-2 65,-5-11 0,-3-3-65,-3-9 0,-3-3 355,-2-8 1,-4-3-356,-17 45 612,1-48 1,-5 0-613,-10 4 0,-5-1 266,-7 5 0,-4 1-266,-4 3 0,-4 0 0,-10 3 0,-4 0-297,16-19 0,-4-1 0,-2-1 297,-12 5 0,-4-2 0,-4 1-453,11-9 1,-2-1 0,-2 0 0,-1 1 452,-5 0 0,-2 1 0,0 0 0,0-1 0,1 0 0,0 0 0,1 0 0,1-1 0,5-2 0,0-1 0,2 0 0,2-1-218,-13 5 0,2-1 0,3-3 218,10-6 0,2-2 0,0-3 0,-25 5 0,1-5 0,8-7 0,2-4 389,4-4 1,1-4-390,4-4 0,1-3 911,1-4 0,1-4-911,-1-3 0,0-4 376,-1-3 1,0-2-377,-3-2 0,0-1 0,0-1 0,1-1 0,2 0 0,1-1 0,5 0 0,2-1 0,5 0 0,1 0 0,3-1 0,0-1 0,-1-2 0,1-1 0,0 0 0,1 0 0,2 0 0,1 0 0,6 1 0,1 1 0,-28-26 0,9 2 0,3 0 0,3-1 0,0-3 0,2-2 0,3-1 0,-3-5 0,-1-2 0,-4-5 0,28 36 0,-1-2 0,-1-1 0,0-2 0,-1-3 0,1-1 0,-1-3 0,0-1 0,1-4 0,0-3 0,0-5 0,1-3 0,0-5 0,2-2 0,1 0 0,2-1 0,4 8 0,1 1 0,5 8 0,1 3 0,3 6 0,1 3 0,-6-38 0,4 5 0,2 1 0,3 3 0,1-1 0,3 2 0,2 7 0,0 9 0,2 12 0,0 16 0,0 13 0,1 9 0,3 6 0,0 1 0,3 2 0,-1 0 0,1 0 0,0 0 0,0 0 0,2 0 0,-1 0 0,1 0 0,2 0 0,0 0 0,1 0 0,-1 0 0,0 0 0,-1 1 0,1 1 0,-2 0 0,1 0 0,-2-1 0,-1 1 0,0-1 0,-1 0 0,-2 1 0,-1-1 0,-3 0 0,-10 0 0,-15-3 0,11 2 0,-5-2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6:45:13.517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127 42 24575,'25'-4'0,"13"-3"0,18-1 0,20-2 0,13 2 0,0 4 0,-3 3 0,-7 1 0,-2 8 0,0 11 0,-6 11 0,-7 10 0,-14 1 0,-11-2 0,-10-1 0,-8 0 0,-6 3 0,-4 6 0,-2 6 0,-4 3 0,-3 2 0,-6 2 0,-7 2 0,-10 4 0,-11 5 0,-6 0 0,-8 2 0,-4-7 0,-3-9 0,-2-10 0,4-17 0,-3-8 0,-6-9 0,-13-7 0,-13-8 0,-6-11 0,5-10 0,15-6 0,19-2 0,14-1 0,11-4 0,6-8 0,2-7 0,1-6 0,1-3 0,2 1 0,4 2 0,3 3 0,2 2 0,4-2 0,1 2 0,1 1 0,1 6 0,1 7 0,2 8 0,2 5 0,2 7 0,2 3 0,1 2 0,2 1 0,1-3 0,4-2 0,4-5 0,3-2 0,1 0 0,-2 2 0,-4 5 0,-5 5 0,-4 5 0,-3 4 0,-4 2 0,-1 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6:46:28.115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264 215 24575,'0'24'0,"0"16"0,0 22 0,0 12 0,0 3 0,0-7 0,0-13 0,0-10 0,0-15 0,0-11 0,0-9 0,1-6 0,-1-3 0,1-2 0</inkml:trace>
  <inkml:trace contextRef="#ctx0" brushRef="#br0" timeOffset="1716">1 245 24575,'0'-11'0,"4"1"0,7-4 0,12-5 0,15-5 0,15-6 0,9-1 0,14-2 0,3 5 0,0 6 0,-1 7 0,-12 9 0,-5 4 0,-11 2 0,-13 1 0,-12 1 0,-11 1 0,-7 3 0,-4 0 0,-2 1 0,-1 3 0,0 4 0,0 7 0,0 8 0,-3 9 0,-1 4 0,-4 3 0,-1-6 0,0-6 0,-3-1 0,-4 1 0,-5 3 0,-5-1 0,-4-5 0,-3-5 0,-5-4 0,-3-4 0,-3-4 0,2-2 0,6-4 0,8-2 0,9-3 0,7 0 0,5-2 0,4-1 0,4-1 0,0 1 0,0-1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6:46:33.798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167 1 24575,'-15'0'0,"-6"0"0,-5 0 0,-4 0 0,2 1 0,7 2 0,7 1 0,7 3 0,3-1 0,3 1 0,1 1 0,0-1 0,0 0 0,1-1 0,0-1 0,2-2 0,2-2 0,4 0 0,3-1 0,3 2 0,5 1 0,3 3 0,-1 1 0,-2 1 0,-3-1 0,-5-1 0,-5 0 0,-3 0 0,-3 1 0,-1 0 0,0 1 0,0 1 0,-1 1 0,-1 2 0,-2 2 0,-3-2 0,-1-1 0,0-1 0,-2-1 0,-1-1 0,0-1 0,-1-3 0,1-1 0,-1-2 0,1-1 0,2 0 0,1 0 0,1 0 0,1 0 0,2-1 0,1 0 0,2-2 0,1-2 0,0-1 0,0 1 0,0 1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03:14.14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105 806 24575,'0'-23'0,"0"-17"0,0-21 0,5-18 0,11-7 0,12 2 0,12 11 0,10 6 0,11 6 0,6 8 0,8 2 0,6 10 0,1 10 0,7 6 0,5 9 0,1 7 0,5 5 0,-49 3 0,1 1 0,0 0 0,0 0 0,3 0 0,0 0 0,4 2 0,1 1 0,3 2 0,1 2 0,1 3 0,0 2 0,-3 2 0,-2 2 0,-6 1 0,-3 2 0,30 17 0,-15 1 0,-18 2 0,-7 7 0,-3 14 0,0 21 0,-18-32 0,-1 3 0,2 5 0,-2 3 0,-1 3 0,-2-1 0,-2-3 0,-1-1 0,-4-4 0,-1-2 0,1 40 0,-5-14 0,-2-5 0,-3-7 0,-4 4 0,-7 6 0,-7 1 0,-8 1 0,-4-6 0,-10 2 0,-10 3 0,-8-3 0,-7-4 0,-2-8 0,-7-6 0,-3-9 0,-5-7 0,2-8 0,2-10 0,-6-6 0,1-8 0,-6-4 0,-1-4 0,0-5 0,-4-8 0,-1-9 0,47 7 0,-1-2 0,1-2 0,0-1 0,3-2 0,0-1 0,2-2 0,1-2 0,-36-28 0,10-3 0,3-7 0,8-5 0,5-7 0,2-9 0,7-1 0,23 40 0,0 0 0,2 0 0,1 0 0,-14-41 0,5 5 0,7 9 0,7 7 0,4 6 0,4 8 0,3 8 0,1 9 0,1 5 0,2 1 0,1 0 0,4-3 0,2 0 0,2 3 0,-2 4 0,0 7 0,-1 6 0,0 4 0,-1 4 0,-2 3 0,-2 8-1696,-6 7 0,1-4 0,-2 1 0</inkml:trace>
  <inkml:trace contextRef="#ctx0" brushRef="#br0" timeOffset="2066">841 785 24575,'-2'7'0,"1"16"0,1 23 0,0 16 0,0 10 0,0-5 0,0-12 0,0-12 0,0-13 0,0-7 0,0-6 0,0-4 0,0-5 0,0-8 0,0-9 0,0-10 0,0-10 0,0-3 0,0-3 0,0 3 0,0 4 0,0 4 0,2 3 0,1-1 0,1-2 0,1-4 0,-1 1 0,1 2 0,-1 3 0,0 7 0,-2 4 0,0 3 0,0 2 0,0-1 0,1 0 0,1-2 0,2-1 0,1-4 0,2-4 0,2-2 0,4 0 0,3 2 0,3 4 0,1 2 0,0 4 0,0 4 0,1 2 0,1 4 0,0 6 0,-2 6 0,-4 5 0,-4 1 0,-6-1 0,-4-2 0,-2-1 0,-2-1 0,-4 0 0,-2-1 0,-4 1 0,-3-2 0,-1-1 0,-1-1 0,0-2 0,0-1 0,2-2 0,2-2 0,2-2 0,2-2 0,1 0 0,-1-1 0,1 0 0,0-1 0,-1 0 0,-2 1 0,-3 0 0,-1 1 0,-1 0 0,1 0 0,1 0 0,3 0 0,2 0 0,-5 0 0,8 0 0,-5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03:19.0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450 158 24575,'-17'0'0,"-2"0"0,-4 0 0,-1 2 0,2 4 0,3 5 0,2 3 0,2 1 0,4 0 0,2-3 0,5-2 0,3 0 0,0 0 0,1 1 0,1 1 0,1 0 0,2-2 0,5-2 0,3-3 0,5-3 0,3-2 0,1 0 0,2 0 0,-1 0 0,-1 0 0,0 2 0,-1 1 0,-4 3 0,-2 3 0,-4 2 0,-3 1 0,-3-1 0,-2 1 0,-4 0 0,-2-1 0,-4 0 0,-3 0 0,-4-1 0,-3 2 0,-1-1 0,0-2 0,0-2 0,4-2 0,2-4 0,3 0 0,4-1 0,2-3 0,1-3 0,1-2 0,1 1 0,0 2 0</inkml:trace>
  <inkml:trace contextRef="#ctx0" brushRef="#br0" timeOffset="2567">575 52 24575,'-7'-4'0,"-7"-3"0,-7-1 0,-7-1 0,-4 2 0,0 1 0,-2 1 0,3 1 0,1 2 0,2 2 0,1 2 0,0 1 0,-2 3 0,0 3 0,0 1 0,2 0 0,3 0 0,4 0 0,4 0 0,2 1 0,5 0 0,3 1 0,2 0 0,1 0 0,0 2 0,-1 3 0,-1 5 0,-3 4 0,0 2 0,0 3 0,1-2 0,2-2 0,2-2 0,1-3 0,2 1 0,0 0 0,0 0 0,2 3 0,2 1 0,5 5 0,4 4 0,5 4 0,5 1 0,3-3 0,-1-6 0,0-9 0,1-6 0,6-4 0,5-2 0,2-1 0,0-2 0,-2-2 0,1-3 0,3-3 0,4 0 0,4-3 0,0-8 0,1-6 0,-4-8 0,-1-5 0,1-5 0,-1-4 0,-3 0 0,-8 1 0,-9 7 0,-10 5 0,-7 6 0,-5 3 0,-2 0 0,-1 0 0,-2-2 0,-2-1 0,-2-1 0,-5 3 0,-3 0 0,-1 1 0,-2 0 0,-1-2 0,-4-4 0,-4-4 0,-3-5 0,-2 0 0,1 3 0,4 4 0,4 8 0,4 6 0,4 4 0,4 3 0,1 2 0,2 2 0,-1 0 0,1-1 0,0-1 0,-1-1 0,1 0 0,-1 0 0,-2-1 0,-2-1 0,0-2 0,1 1 0,2 1 0,4 2 0,3 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03:26.20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1350 24575,'0'-22'0,"5"-17"0,12-23 0,18-22 0,-8 35 0,3 0 0,4-2 0,3 0 0,3-1 0,1 2 0,-1 2 0,0 2 0,-3 3 0,-1 1 0,-2 3 0,-1 1 0,28-33 0,-1 6 0,2 6 0,3 7 0,4 9 0,11 5 0,11 6 0,-40 17 0,1 2 0,3 1 0,2 1 0,3 1 0,0 1 0,1 0 0,-1 2 0,1 2 0,0 0 0,-1 2 0,0 0 0,-2 2 0,0 0 0,0 1 0,0 0 0,-3-1 0,0 2 0,-2-1 0,0 1 0,0 2 0,-2 2 0,0 2 0,0 1 0,-1 2 0,-1 1 0,1 3 0,0 0 0,-2 1 0,0 1 0,42 18 0,-44-13 0,0 2 0,-2 2 0,0 1 0,1 2 0,0 2 0,2 2 0,1 2 0,1 2 0,0 1 0,1 1 0,-2 1 0,-1-2 0,-2 0 0,-5-4 0,-2-2 0,23 20 0,-11-8 0,-2-1 0,0 3 0,2 5 0,-1 1 0,-6-3 0,-3-3 0,-5-6 0,-2-2 0,0-1 0,-1-2 0,-5-5 0,-6-5 0,-4-3 0,0 1 0,4 6 0,5 7 0,1 1 0,-3-4 0,-8-8 0,-5-9 0,-5-6 0,-3-3 0,0-2 0,-3-1 0,-5-4 0,-4-3 0,-5-4 0,-2-3 0,0-1 0,2-2 0,1 2 0,4 1 0,2 2 0,2 2 0,0-1 0,-1 1 0,1 0 0,-1 0 0,-2 1 0,-5 0 0,-6 1 0,-6-1 0,-1 1 0,5 2 0,8 1 0,6 2 0,3 2 0,4 5 0,4 4 0,4 4 0,5 1 0,1-1 0,2-1 0,0-3 0,-2-2 0,-1-2 0,1-1 0,-1-1 0,-2-1 0,1-1 0,-3 0 0,0-1 0,-1 0 0,0 0 0,1-1 0,2 2 0,0-1 0,2 2 0,0-1 0,-2 0 0,0 0 0,-3-2 0,0 0 0,-2 0 0,0-1 0,0 0 0,-2 0 0,1 0 0,0 0 0,1-4 0,0-3 0,2-8 0,0-4 0,-1-4 0,-2-4 0,0-3 0,0-4 0,0-2 0,0 1 0,1 6 0,-1 8 0,-1 8 0,-1 4 0,-2 3 0,-1 4 0,1 0 0</inkml:trace>
  <inkml:trace contextRef="#ctx0" brushRef="#br0" timeOffset="2633">3448 0 24575,'-12'0'0,"-1"2"0,0 5 0,-1 5 0,3 4 0,2 3 0,2-1 0,2-1 0,2-2 0,2-3 0,0-2 0,1-1 0,0-1 0,1-2 0,0-1 0,3-2 0,2 0 0,2-1 0,2 0 0,3-1 0,5-1 0,3 0 0,1 0 0,1 0 0,-4 0 0,-2 0 0,-3 1 0,-3 2 0,0 4 0,-1 4 0,-1 4 0,0 3 0,-3 1 0,-3 1 0,-2-1 0,-2-1 0,-3-2 0,-5-1 0,-6-2 0,-3-3 0,-3-4 0,-2-2 0,3-3 0,1-1 0,5-2 0,4-2 0,2-3 0,3-3 0,3 4 0,1 1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03:50.825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234 593 24575,'-16'-2'0,"-8"0"0,-12 2 0,-6-3 0,2-1 0,8 0 0,10 2 0,9 3 0,7 4 0,4 5 0,2 4 0,0 3 0,0 0 0,0-3 0,0-1 0,1-4 0,1 0 0,3 0 0,4 0 0,4 0 0,2 2 0,3-1 0,2 1 0,1-2 0,1-2 0,-1-2 0,2-3 0,-1-3 0,0 0 0,-4-2 0,-3-3 0,-2-1 0,-3 0 0,-1-1 0,-1 1 0,-1 0 0,-2-1 0,-2 0 0,-1-1 0,-1-1 0,-1 0 0,0 0 0,0 4 0,0 3 0,-2 12 0,-1 3 0,-1 7 0,-1 0 0,2-1 0,1-1 0,1-2 0,1-2 0,3-3 0,6 0 0,12-1 0,15 1 0,12 0 0,6 0 0,-3 0 0,-7-2 0,-13-3 0,-12-2 0,-10-1 0,-5-2 0</inkml:trace>
  <inkml:trace contextRef="#ctx0" brushRef="#br0" timeOffset="1850">576 651 24575,'0'8'0,"0"4"0,0 2 0,0 3 0,1-1 0,0-3 0,1-2 0,0-3 0,1-1 0,-1 1 0,0-2 0,0 0 0,0-2 0,0-2 0,0-2 0,2 0 0,0-3 0,1-4 0,2-4 0,0-4 0,2-1 0,2 0 0,0 0 0,1 2 0,0 3 0,-1 3 0,-1 3 0,0 3 0,-3 0 0,-1 5 0,0 6 0,0 6 0,-1 5 0,1-1 0,-2-2 0,-2-5 0,0-3 0,-1-4 0,2-3 0,2-2 0,0-3 0,2-4 0,1-3 0,1-3 0,2 1 0,0-1 0,-1 2 0,0 3 0,0 1 0,0 3 0,0 3 0,0 0 0,2 2 0,1 4 0,2 5 0,0 7 0,0 5 0,-2 0 0,-3-1 0,-3-5 0,-3-4 0,-2-4 0,-1-4 0,-1-2 0</inkml:trace>
  <inkml:trace contextRef="#ctx0" brushRef="#br0" timeOffset="4600">1040 309 24575,'0'19'0,"0"9"0,0 10 0,0 8 0,0 2 0,0-5 0,0-3 0,-1 0 0,2 0 0,2 2 0,2 0 0,3-2 0,-1-3 0,-2-5 0,-2-6 0,0-7 0,-2-6 0,0-7 0,-1-5 0,0-6 0,0-6 0,0-5 0,0-4 0,0-1 0,0 0 0,0 0 0,0 0 0,1 1 0,2-2 0,3-2 0,5-1 0,2 0 0,4 2 0,2 5 0,3 3 0,4 6 0,2 3 0,3 4 0,2 1 0,1 4 0,-3 4 0,-7 5 0,-8 3 0,-7-1 0,-6-1 0,-2-2 0,-4 0 0,-3-2 0,-5 0 0,-5 0 0,-2-2 0,-2-1 0,-1-1 0,-1-3 0,-1-1 0,0 0 0,1-1 0,3 0 0,5 0 0,6 0 0,6 0 0,12 0 0,3 0 0,10 0 0,5 2 0,7 2 0,9 1 0,7 0 0,2-1 0,0-2 0,-7-1 0,-6-7 0,-7-7 0,-6-11 0,-3-14 0,-1-17 0,-1-21 0,-1-19 0,-13 44 0,0-1 0,1-47 0,-5 14 0,-3 21 0,-4 21 0,-3 19 0,-4 13 0,-2 8 0,1 2 0,1 2 0,1 5 0,2 5 0,2 5 0,1 4 0,1 2 0,0 0 0,0 4 0,2 9 0,0 14 0,1 13 0,1 9 0,4 4 0,6-5 0,5-9 0,4-14 0,-2-14 0,1-12 0,0-7 0,0-7 0,0-3 0,-2-2 0,-1-2 0,0-1 0,0 0 0,0-2 0,-4-1 0,-6 2 0,-2 0 0</inkml:trace>
  <inkml:trace contextRef="#ctx0" brushRef="#br0" timeOffset="5450">1976 438 24575,'0'23'0,"0"3"0,0 2 0,0-1 0,0-7 0,0-7 0,0-7 0,0-3 0</inkml:trace>
  <inkml:trace contextRef="#ctx0" brushRef="#br0" timeOffset="6116">1988 292 24575,'0'0'0</inkml:trace>
  <inkml:trace contextRef="#ctx0" brushRef="#br0" timeOffset="9450">2049 417 24575,'0'15'0,"2"0"0,1 6 0,1-1 0,1-2 0,-2 0 0,-1-3 0,-2 0 0,0-1 0,0-1 0,0-2 0,0-2 0,0-2 0,0-1 0,0-2 0,0-2 0,1-14 0,0 0 0,3-10 0,0 8 0,2 3 0,0 5 0,-1 1 0,2 3 0,-2 1 0,1 1 0,1 1 0,1 3 0,2 3 0,1 4 0,-1 4 0,0 1 0,-3 1 0,-1-1 0,-3-3 0,-3-2 0,0-3 0,0-3 0,2 1 0,2-1 0,5 3 0,7 1 0,7 2 0,4 0 0,0-2 0,-1-3 0,-3-3 0,-1-5 0,0-5 0,-1-8 0,-1-6 0,-1-4 0,-3 1 0,-4 3 0,-4 5 0,-4 3 0,-3 5 0,-1 3 0,-3 0 0,-2 1 0,-2 0 0,-3 0 0,0-1 0,-3 1 0,0-1 0,-1 1 0,-1 2 0,0 2 0,-3 0 0,1 0 0,-1 0 0,2 0 0,3 2 0,4 1 0,3 4 0,4 2 0,1 2 0,1 2 0,1 0 0,2 0 0,3-2 0,3-2 0,3-4 0,2-2 0,2-2 0,1-1 0,0 0 0,-1-1 0,-4-2 0,-2-1 0,-2-2 0,0-2 0,-1-2 0,-1-1 0,0 0 0,-3-1 0,-2 3 0,0 3 0,-3 3 0,-2 5 0,-1 6 0,0 4 0,0 5 0,2 4 0,2 5 0,1 6 0,1 9 0,4 10 0,4 7 0,3 1 0,-2-6 0,-4-13 0,-3-11 0,-3-11 0,-1-7 0,-1-4 0,-4-4 0,-4-1 0,-3-1 0,0-1 0,-1-2 0,2-1 0,1-3 0,1-1 0,-1-1 0,1 0 0,3-2 0,2-1 0,3-2 0,3-1 0,4-1 0,4 1 0,6 1 0,4 2 0,-1 5 0,-1 3 0,-2 1 0,-1 1 0,-3 0 0,-1 0 0,-3 1 0,-1 0 0,-2 0 0,-2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04:50.22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0 246 24575,'30'0'0,"23"0"0,27 0 0,13 0 0,-2 0 0,-18 0 0,-19 0 0,-18 0 0,-15 0 0,-12 0 0,-8-1 0,-7 0 0,-7-3 0,-10-6 0,-8-8 0,-9-9 0,-9-10 0,0-4 0,3 2 0,12 8 0,11 11 0,12 9 0,10 7 0,7 2 0,5 3 0,6 2 0,9 7 0,15 10 0,23 16 0,-20-9 0,1 1 0,3 4 0,0 0 0,-2 0 0,-2 0 0,25 19 0,-28-16 0,-19-12 0,-14-10 0,-8-4 0,-6-2 0,-5 1 0,-6 0 0,-2 0 0,-2-1 0,-1 3 0,-4 6 0,-6 7 0,-1 6 0,1 1 0,6-4 0,9-6 0,9-11 0,5-4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04:57.05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4141 1 24575,'-1'12'0,"-3"12"0,-7 18 0,-8 15 0,-11 7 0,-8 5 0,-9 2 0,-8 0 0,-3 3 0,-3-6 0,-4 1 0,-6-2 0,32-33 0,-2-2 0,-3 1 0,-3 0 0,-2-1 0,-2 0 0,-5 1 0,-1 0 0,-4 0 0,-1-1 0,-1-1 0,-1-1 0,0-1 0,0-2 0,0-2 0,0-2 0,2-2 0,-1-2 0,-1-1 0,2-2 0,2-2 0,2-1 0,3-2 0,1 0 0,2-2 0,0 0 0,-46 5 0,4-1 0,6-4 0,10-4 0,3-2 0,6-2 0,7-1 0,5 0 0,3 0 0,-3-3 0,-1-5 0,-2-3 0,1-4 0,0-1 0,-1-2 0,0-1 0,-1-3 0,-5-5 0,-5-8 0,-6-8 0,-2-5 0,2-3 0,3 1 0,12 2 0,7 0 0,10 3 0,6 1 0,3 2 0,2 0 0,1 0 0,2 3 0,1 4 0,3 5 0,1 3 0,2 2 0,2 1 0,2 2 0,2 3 0,3 4 0,4 6 0,2 5 0,3 2 0,1 4 0,0 4 0,1 5 0,-1 9 0,1 6 0,-1 5 0,0 6 0,0 0 0,-1 2 0,0-1 0,1-4 0,0-6 0,1-8 0,1-6 0,1-6 0,0-6 0,1-7 0,0-9 0,1-11 0,1-9 0,1-3 0,1 1 0,0 3 0,0 3 0,0 0 0,2 2 0,0 4 0,0 3 0,1 6 0,0 2 0,0 1 0,0 1 0,0 0 0,-1 2 0,1 2 0,-2 3 0,2 2 0,-1 1 0,0 1 0,0-1 0,1 1 0,0 0 0,2 0 0,5 0 0,4 0 0,7 0 0,5 0 0,1 0 0,1 0 0,-2 0 0,-2 0 0,-4 0 0,-4 1 0,-4 0 0,-6 1 0,-5-1 0,-2-1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05:01.0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336 243 24575,'-20'0'0,"-7"0"0,-10 0 0,-5 0 0,2 0 0,6 0 0,7 2 0,4 5 0,5 5 0,2 6 0,4 5 0,2 5 0,2 7 0,1 5 0,0 4 0,2-2 0,2-4 0,4-8 0,6-8 0,10-6 0,19-3 0,19-2 0,13-2 0,11-4 0,0-1 0,-8-2 0,-11-1 0,-20 1 0,-15-1 0,-15-1 0,-5 0 0</inkml:trace>
  <inkml:trace contextRef="#ctx0" brushRef="#br0" timeOffset="1916">619 555 24575,'1'-3'0,"4"6"0,6 3 0,6 6 0,7 0 0,5-1 0,5-4 0,3-3 0,1-3 0,-3-1 0,-6-1 0,-7-2 0,-8-5 0,-6-2 0,-6-3 0,-7-1 0,-8-1 0,-11 2 0,-11 1 0,-6 1 0,-2 3 0,3 3 0,8 3 0,9 2 0,8 3 0,7 1 0,4 2 0,3 1 0,1-1 0,4-1 0,5-2 0,8-2 0,7-1 0,5-2 0,5-3 0,3-5 0,2-2 0,2-3 0,-2 3 0,0 2 0,-3 5 0,-4 2 0,-6 3 0,-8 3 0,-7 4 0,-5 4 0,-3 4 0,-2 0 0,-1-1 0,0-2 0,1-4 0,1-3 0,3-7 0,4-6 0,4-6 0,6-3 0,7 0 0,8 2 0,7 4 0,1 4 0,-2 4 0,-9 7 0,-5 7 0,-8 10 0,-4 7 0,-5 0 0,-3-3 0,-4-7 0,-1-6 0,-1-3 0,0-4 0,-1-1 0,1-2 0,-1-1 0</inkml:trace>
  <inkml:trace contextRef="#ctx0" brushRef="#br0" timeOffset="4666">1537 550 24575,'-8'-2'0,"-5"1"0,-5 1 0,1 0 0,4 0 0,6 4 0,6 4 0,5 3 0,5 2 0,6 2 0,8-1 0,10 3 0,9 0 0,10-2 0,2-3 0,1-7 0,-5-6 0,-7-9 0,-9-9 0,-12-10 0,-4-17 0,-7-17 0,-4-19 0,-3-8 0,-8 8 0,-5 14 0,-5 22 0,-2 20 0,2 15 0,5 10 0,3 8 0,3 9 0,2 9 0,1 7 0,3 7 0,7 7 0,12 11 0,13 7 0,11 2 0,5-5 0,0-14 0,-4-17 0,-9-14 0,-9-12 0,-8-9 0,-8-10 0,-5-13 0,-4-12 0,-2-8 0,-2 0 0,0 9 0,-1 12 0,0 16 0,0 15 0,0 13 0,1 10 0,0 10 0,2 6 0,6 3 0,8 0 0,8-8 0,7-9 0,-1-10 0,-3-8 0,-2-8 0,-2-16 0,2-25 0,1-27 0,-2-21 0,-5-3 0,-7 13 0,-5 24 0,-5 21 0,-4 18 0,-1 11 0,1 3 0,0 5 0,2 5 0,9 7 0,19 10 0,24 17 0,-15-15 0,4 3 0,1 2 0,1 1 0,-3 0 0,-1 0 0,23 25 0,-24-17 0,-16-13 0,-14-13 0,-11-8 0,-7-5 0,-6-4 0,-4-4 0,2-5 0,6-4 0,6-3 0,4 0 0,4 0 0,2 1 0,4 1 0,4-1 0,3 0 0,0 1 0,1-3 0,-1-2 0,1-5 0,-1-8 0,-2-7 0,-4-5 0,-5 2 0,-2 8 0,-2 11 0,0 11 0,0 11 0,0 10 0,0 13 0,1 11 0,4 10 0,6 3 0,3-6 0,0-10 0,-5-13 0,-4-8 0,-1 1 0,4 10 0,-4-11 0,3 7 0</inkml:trace>
  <inkml:trace contextRef="#ctx0" brushRef="#br0" timeOffset="5199">3001 0 24575,'0'0'0</inkml:trace>
  <inkml:trace contextRef="#ctx0" brushRef="#br0" timeOffset="7449">3384 399 24575,'-2'-7'0,"1"4"0,0 2 0,1 7 0,0 3 0,1 3 0,4 2 0,4 0 0,7-1 0,5 0 0,4-1 0,0-2 0,-2-2 0,-4-3 0,-3-3 0,-4-2 0,-3-3 0,-4-3 0,-1-5 0,-2-4 0,-2-4 0,-2-1 0,-3 2 0,-6 2 0,-9 3 0,-7 1 0,-6 0 0,1 2 0,3 3 0,9 4 0,5 2 0,6 1 0,3 2 0,3 2 0,2 3 0,1 4 0,1 0 0,3-2 0,5-2 0,3-3 0,5-1 0,1-2 0,-1-3 0,-1-2 0,-2-3 0,-1-2 0,-3 0 0,0-1 0,-1 3 0,0 0 0,2 2 0,1 1 0,2 2 0,-1 1 0,0 1 0,1 0 0,5 4 0,6 9 0,7 9 0,3 10 0,1 5 0,-2 4 0,-5-2 0,-8-6 0,-7-10 0,-8-9 0,-4-8 0,-4-6 0,-2-7 0,0-5 0,1-3 0,2-1 0,1 0 0,0 0 0,2 1 0,2 1 0,4 1 0,1 3 0,1 4 0,-2 3 0,4 4 0,8 10 0,11 9 0,8 10 0,0 5 0,-7-7 0,-11-6 0,-9-7 0,-9-6 0,-2-2 0,-1-4 0,0-1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5:48.61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1 287 24575,'12'0'0,"36"0"0,5 0 0,10 0 0,1 0 0,9 0 0,5 0-1718,4 0 0,6 0 0,4 0 0,4 0 1718,-17 0 0,2 0 0,2 0 0,2 0 0,2 0 0,1 0-378,-4 0 0,2 0 1,2 0-1,1 0 0,0 0 1,2 0-1,0 0 378,-5 0 0,1 0 0,1 0 0,0 0 0,2 0 0,-1 0 0,1 0 0,0 0 0,3 0 0,1 0 0,0 0 0,0 0 0,1 0 0,0 0 0,-1 0 0,-1 0 0,-2 0 0,0 0 0,0-1 0,0 1 0,-1 0 0,0 0 0,0 0 0,0 1 0,10 0 0,1 0 0,-1 0 0,-1 1 0,0 0 0,0 0 0,-2 1 0,-4-1 0,-2 2 0,1-1 0,-2 1 0,0-1 0,-1 2 0,-1-1-55,7 1 1,-2 1 0,0-1 0,-1 1 0,0 1-1,-1-1 55,-2 0 0,-1 1 0,1-1 0,-2 1 0,0 0 0,-3-1-226,8 0 1,-1 0 0,-2 0 0,-2 0 0,0-1 225,11 0 0,-1 0 0,-2-1 0,-3 0 401,-12-1 1,-2 0-1,-2 0 1,-3-1-402,7 0 0,-4 0 0,-3-1 1681,18 0 0,-8 0-1681,-23 0 0,-5-1 2967,25 1-2967,-30 1 2066,-20 1-2066,-13 0 0,-9-2 0,-5 0 0</inkml:trace>
  <inkml:trace contextRef="#ctx0" brushRef="#br0" timeOffset="1749">17 118 24575,'0'34'0,"0"6"0,0 12 0,0-2 0,0-13 0,0-10 0,0-11 0,0-7 0,0-2 0,0-1 0,0-1 0,0 4 0,0 3 0,0 6 0,0 4 0,0-3 0,0-3 0,0-6 0,0-4 0,0-3 0,0-1 0</inkml:trace>
  <inkml:trace contextRef="#ctx0" brushRef="#br0" timeOffset="2649">860 33 24575,'0'32'0,"0"20"0,0 22 0,0 21 0,0-45 0,0 0 0,0 45 0,0-13 0,0-20 0,0-22 0,0-19 0,0-12 0</inkml:trace>
  <inkml:trace contextRef="#ctx0" brushRef="#br0" timeOffset="3482">1574 119 24575,'0'42'0,"0"18"0,0 25 0,0 8 0,0-6 0,0-15 0,0-21 0,0-23 0,0-13 0</inkml:trace>
  <inkml:trace contextRef="#ctx0" brushRef="#br0" timeOffset="5282">2317 1 24575,'0'21'0,"0"25"0,0 31 0,0-27 0,0 3 0,0 0 0,0 0 0,0 38 0,0-23 0,0-24 0,0-16 0,0-16 0,0-8 0</inkml:trace>
  <inkml:trace contextRef="#ctx0" brushRef="#br0" timeOffset="6732">3205 43 24575,'0'45'0,"0"30"0,0-21 0,0 3 0,0 6 0,0-1 0,0-6 0,0-2 0,0 29 0,0-31 0,0-27 0,0-16 0</inkml:trace>
  <inkml:trace contextRef="#ctx0" brushRef="#br0" timeOffset="7632">3938 84 24575,'0'38'0,"0"26"0,0 36 0,0-44 0,0 1 0,0-4 0,0-2 0,0 33 0,0-30 0,0-19 0,0-18 0,0-12 0</inkml:trace>
  <inkml:trace contextRef="#ctx0" brushRef="#br0" timeOffset="8399">4655 139 24575,'0'61'0,"0"-12"0,0 4 0,0 18 0,0 3 0,0 4 0,0-1 0,0-11 0,0-4 0,0 21 0,0-44 0,0-21 0</inkml:trace>
  <inkml:trace contextRef="#ctx0" brushRef="#br0" timeOffset="9166">5285 272 24575,'0'18'0,"0"23"0,0 29 0,0 16 0,0-4 0,0-24 0,0-26 0,0-19 0,0-9 0</inkml:trace>
  <inkml:trace contextRef="#ctx0" brushRef="#br0" timeOffset="9882">6005 221 24575,'0'24'0,"0"14"0,0 17 0,0 4 0,0-11 0,0-17 0,0-15 0,0-11 0,0-3 0</inkml:trace>
  <inkml:trace contextRef="#ctx0" brushRef="#br0" timeOffset="10749">6783 272 24575,'0'44'0,"0"4"0,0 10 0,0-7 0,0-23 0,0-12 0</inkml:trace>
  <inkml:trace contextRef="#ctx0" brushRef="#br0" timeOffset="11432">7269 318 24575,'0'21'0,"0"18"0,0 25 0,0 11 0,0-4 0,0-18 0,0-28 0,0-13 0</inkml:trace>
  <inkml:trace contextRef="#ctx0" brushRef="#br0" timeOffset="12349">7780 363 24575,'0'52'0,"0"38"0,1-29 0,0 3 0,0 6 0,1-1 0,0-10 0,0-5 0,1 23 0,-2-37 0,0-25 0</inkml:trace>
  <inkml:trace contextRef="#ctx0" brushRef="#br0" timeOffset="13732">8325 319 24575,'0'13'0,"0"20"0,0 29 0,0 16 0,0 4 0,0-14 0,0-23 0,0-17 0,0-14 0,0-9 0,0-3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9T17:16:06.48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72,'69'0,"-6"0,-14 0,3 0,5 0,5 0,3 0,3 0,0 0,-2-1,-4 0,-7 0,-3-1,-4 0,-3-1,-5 0,-5 0,-6 0,-4 0,-1 0,4-2,5 0,6-1,7-1,5 0,4 1,2 1,-7 2,-6 2,-10-1,-9 2,-4 0,-3 0,0 0,-1 0,-1 0,3 0,-5 0,3 0,0 0,-2 0,5 0,-3 0,1 0,-3 0,3 0,-4 0,2 0,-3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9T17:16:11.234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1 0,'57'0,"1"0,-10 0,12 0,8 0,10 0,5 0,4 0,2 0,1 1,-1 3,-3 2,-8 3,-14 0,-13-2,-12-3,-12-1,-5-1,-5 0,0 0,1 0,-2-1,0 1,-1 0,8 2,-3-1,8 0,-7-1,-3-1,-5 0,11 1,1-2,17 1,-1 0,-1 2,-5 0,-6 0,-5-1,-2 0,0 0,3 2,2-1,-1 0,0-1,-3 0,-5 0,-4-1,4 1,-4 0,9 1,-2 0,-1 0,-2-1,-5-1,4 0,1-1,9 0,-3 0,-3 0,-6 0,-6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9T17:16:15.634"/>
    </inkml:context>
    <inkml:brush xml:id="br0">
      <inkml:brushProperty name="width" value="0.3" units="cm"/>
      <inkml:brushProperty name="height" value="0.6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0 1,'52'0,"-1"0,5 0,0 0,43 0,-46 0,-1 0,39 0,-13 0,-6 0,-12 0,2 0,-3 0,1 0,0 0,-2 0,1 0,0 0,2 0,0 0,8 0,-2 0,-3 1,-10 0,-18 2,-11-1,-12-1,9 1,5-1,13 3,-1-1,-7 1,-9 0,-9-3,-5 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9T17:16:20.084"/>
    </inkml:context>
    <inkml:brush xml:id="br0">
      <inkml:brushProperty name="width" value="0.3" units="cm"/>
      <inkml:brushProperty name="height" value="0.6" units="cm"/>
      <inkml:brushProperty name="color" value="#EF0C4D"/>
      <inkml:brushProperty name="tip" value="rectangle"/>
      <inkml:brushProperty name="rasterOp" value="maskPen"/>
    </inkml:brush>
  </inkml:definitions>
  <inkml:trace contextRef="#ctx0" brushRef="#br0">0 4,'98'-2,"-47"1,-1 1,2-1,0 2,2-1,1 0,-2 0,-1 0,46 0,-4 0,1 0,0 0,-2 0,-10 1,-12 0,-9 0,-11 2,-11-2,-10 0,-9 1,-10-1,-4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31.2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24575,'0'14'0,"0"10"0,0 15 0,0 14 0,0 9 0,0 6 0,0 7 0,0 8 0,0 8 0,0 0 0,0-4 0,0-3 0,0-3 0,0 0 0,0-5 0,0-4 0,0-1 0,0-1 0,0 0 0,0-3 0,0-9 0,0-9 0,0-8 0,0-9 0,0-5 0,0-6 0,0-7 0,0-5 0,0-6 0,0-3 0,1-3 0,0 0 0,2 0 0,-1 1 0,-1 0 0,1 0 0,-1-1 0,0 0 0,1 2 0,1 0 0,0 0 0,-1 1 0,0 0 0,-2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35.2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24575,'16'0'0,"16"0"0,18 0 0,6 0 0,-6 0 0,-22 0 0,-13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38.0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24575,'0'21'0,"0"20"0,0 24 0,0 22 0,0-38 0,0 2 0,0 2 0,0 0 0,0-1 0,0 1 0,0 0 0,0 0 0,0 45 0,0-5 0,0-9 0,0-8 0,0-3 0,0 2 0,0 3 0,0 1 0,0 2 0,0-4 0,0-2 0,0-3 0,0-4 0,0-6 0,0-9 0,0-13 0,0-14 0,0-12 0,0-9 0,0-5 0,0-5 0,0 0 0,0-2 0,0 4 0,0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41.1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0 562 24575,'0'-3'0,"1"6"0,4 9 0,6 9 0,3 2 0,0-3 0,-4-7 0,-5-7 0,0-4 0,0-1 0,10-10 0,18-14 0,26-24 0,-19 14 0,2-4 0,6-5 0,1-3 0,3-3 0,-1-1 0,-3 3 0,-2 0 0,-4 4 0,-2 2 0,22-24 0,-20 20 0,-16 17 0,-15 15 0,-7 7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44.0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24575,'0'25'0,"0"27"0,0 42 0,0-32 0,0 3 0,0 4 0,0 2 0,0-3 0,0-1 0,0-5 0,0-1 0,0-5 0,0 0 0,0-1 0,0 1 0,0-2 0,0 1 0,0-1 0,0 0 0,0 2 0,0-1 0,0-3 0,0-2 0,0 44 0,0-9 0,0-12 0,0-2 0,3 2 0,1 0 0,0-1 0,0-6 0,-1-13 0,-2-13 0,0-13 0,0-7 0,-1-4 0,0-4 0,0-1 0,0-5 0,0-3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46.2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0 419 24575,'21'20'0,"2"4"0,2 4 0,-3-3 0,-6-8 0,-5-5 0,-3-5 0,0-3 0,2-4 0,3 0 0,9-5 0,11-11 0,14-15 0,14-18 0,-24 16 0,-1-2 0,3-5 0,-2 0 0,1-3 0,-2 1 0,-2 2 0,-3 1 0,19-22 0,-14 17 0,-15 20 0,-12 14 0,-6 7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48.2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24575,'0'71'0,"0"-16"0,0 8 0,0 24 0,0 8 0,0-23 0,0 2 0,0-1 0,0-4 0,0-1 0,0-3 0,0 22 0,0-4 0,0-18 0,0-4 0,0 30 0,0-21 0,0-17 0,0-17 0,0-15 0,0-10 0,0-9 0,0-1 0,0-3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49.8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3 788 24575,'-2'-2'0,"1"1"0,5 3 0,1 0 0,5 0 0,8-8 0,13-13 0,25-22 0,-16 8 0,5-5 0,8-8 0,4-4 0,6-6 0,1-2 0,-1 0 0,-1-1 0,-8 6 0,-3 2 0,-9 6 0,-3 3 0,16-20 0,-20 22 0,-14 18 0,-13 13 0,-5 6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52.5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24575,'0'38'0,"0"25"0,0-15 0,0 5 0,0 13 0,0 4 0,0 8 0,0 1 0,0 1 0,0-1 0,0-8 0,0-3 0,0-8 0,0-3 0,0 32 0,0-23 0,0-16 0,0-17 0,0-12 0,0-6 0,0-8 0,0-2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6:54.4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1313 24575,'1'16'0,"2"-2"0,1 0 0,5-4 0,12-13 0,29-26 0,-4-5 0,4-9 0,20-21 0,5-9-539,-13 11 1,2-4-1,1-3 539,-13 13 0,0-1 0,0-2 0,-1 2 0,16-19 0,-2 1 0,-1 2-41,-8 8 0,-1 1 0,-3 4 41,8-10 0,-6 6 0,-15 19 0,-6 6 0,5-4 0,-22 26 0,-11 14 401,-4 4 0,-1 1 1,0 0-1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18:04.1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16 24575,'44'0'0,"30"0"0,20 0 0,-24 0 0,6 0 0,5 0 0,1 0-665,-5 0 0,3 0 1,1 0-1,1 0 1,-1 0 664,18 0 0,0 0 0,-2 0 0,-4 0 0,7 0 0,-5 0 0,-10 0 521,0 0 1,-13 0-522,6 0 545,-42 0-545,-26 0 0,8 0 0,13 0 1735,24 0-1735,26-3 0,9 0 0,1-1 0,-3 0 0,-8 3 0,-9 0 0,-11 1 0,-15 0 0,-16 0 0,-11 0 0,-11 0 0,-3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9T17:21:30.7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7935-10B6-744A-986D-C8E6C4407FE2}">
  <dimension ref="A3:I80"/>
  <sheetViews>
    <sheetView topLeftCell="A76" zoomScale="260" workbookViewId="0">
      <selection activeCell="B82" sqref="B82"/>
    </sheetView>
  </sheetViews>
  <sheetFormatPr baseColWidth="10" defaultRowHeight="16" x14ac:dyDescent="0.2"/>
  <sheetData>
    <row r="3" spans="2:3" x14ac:dyDescent="0.2">
      <c r="B3" s="1" t="s">
        <v>0</v>
      </c>
      <c r="C3" s="1"/>
    </row>
    <row r="4" spans="2:3" x14ac:dyDescent="0.2">
      <c r="B4" s="1"/>
      <c r="C4" s="1"/>
    </row>
    <row r="7" spans="2:3" x14ac:dyDescent="0.2">
      <c r="B7" t="s">
        <v>7</v>
      </c>
    </row>
    <row r="10" spans="2:3" x14ac:dyDescent="0.2">
      <c r="B10" t="s">
        <v>8</v>
      </c>
    </row>
    <row r="11" spans="2:3" x14ac:dyDescent="0.2">
      <c r="B11" t="s">
        <v>9</v>
      </c>
    </row>
    <row r="12" spans="2:3" x14ac:dyDescent="0.2">
      <c r="B12" t="s">
        <v>10</v>
      </c>
    </row>
    <row r="13" spans="2:3" x14ac:dyDescent="0.2">
      <c r="B13" t="s">
        <v>11</v>
      </c>
    </row>
    <row r="21" spans="3:7" x14ac:dyDescent="0.2">
      <c r="C21" t="s">
        <v>1</v>
      </c>
    </row>
    <row r="23" spans="3:7" x14ac:dyDescent="0.2">
      <c r="C23" t="s">
        <v>2</v>
      </c>
    </row>
    <row r="26" spans="3:7" x14ac:dyDescent="0.2">
      <c r="C26" t="s">
        <v>3</v>
      </c>
      <c r="D26" t="s">
        <v>6</v>
      </c>
    </row>
    <row r="28" spans="3:7" x14ac:dyDescent="0.2">
      <c r="C28" t="s">
        <v>4</v>
      </c>
      <c r="G28" t="s">
        <v>12</v>
      </c>
    </row>
    <row r="30" spans="3:7" x14ac:dyDescent="0.2">
      <c r="C30" t="s">
        <v>5</v>
      </c>
      <c r="G30" t="s">
        <v>13</v>
      </c>
    </row>
    <row r="37" spans="2:9" x14ac:dyDescent="0.2">
      <c r="C37" t="s">
        <v>14</v>
      </c>
      <c r="E37" t="s">
        <v>15</v>
      </c>
    </row>
    <row r="39" spans="2:9" x14ac:dyDescent="0.2">
      <c r="E39" t="s">
        <v>16</v>
      </c>
    </row>
    <row r="43" spans="2:9" x14ac:dyDescent="0.2">
      <c r="C43" t="s">
        <v>24</v>
      </c>
      <c r="E43" t="s">
        <v>22</v>
      </c>
    </row>
    <row r="45" spans="2:9" x14ac:dyDescent="0.2">
      <c r="E45" t="s">
        <v>23</v>
      </c>
    </row>
    <row r="48" spans="2:9" x14ac:dyDescent="0.2">
      <c r="B48" s="3"/>
      <c r="C48" s="3"/>
      <c r="D48" s="3"/>
      <c r="E48" s="3"/>
      <c r="F48" s="3"/>
      <c r="G48" s="3"/>
      <c r="H48" s="3"/>
      <c r="I48" s="3"/>
    </row>
    <row r="52" spans="3:3" x14ac:dyDescent="0.2">
      <c r="C52" t="s">
        <v>25</v>
      </c>
    </row>
    <row r="66" spans="1:7" x14ac:dyDescent="0.2">
      <c r="C66" t="s">
        <v>27</v>
      </c>
    </row>
    <row r="69" spans="1:7" x14ac:dyDescent="0.2">
      <c r="A69" s="3"/>
      <c r="B69" s="3"/>
      <c r="C69" s="3"/>
      <c r="D69" s="3"/>
      <c r="E69" s="3"/>
      <c r="F69" s="3"/>
      <c r="G69" s="3"/>
    </row>
    <row r="72" spans="1:7" x14ac:dyDescent="0.2">
      <c r="B72" t="s">
        <v>28</v>
      </c>
      <c r="D72" t="s">
        <v>29</v>
      </c>
    </row>
    <row r="74" spans="1:7" x14ac:dyDescent="0.2">
      <c r="B74" t="s">
        <v>30</v>
      </c>
      <c r="D74" t="s">
        <v>31</v>
      </c>
    </row>
    <row r="77" spans="1:7" x14ac:dyDescent="0.2">
      <c r="A77" s="3"/>
      <c r="B77" s="3"/>
      <c r="C77" s="3"/>
      <c r="D77" s="3"/>
      <c r="E77" s="3"/>
      <c r="F77" s="3"/>
      <c r="G77" s="3"/>
    </row>
    <row r="80" spans="1:7" x14ac:dyDescent="0.2">
      <c r="B80" t="s">
        <v>32</v>
      </c>
    </row>
  </sheetData>
  <mergeCells count="1">
    <mergeCell ref="B3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9A13-BF0C-6F46-A53B-FB40BA3D19F3}">
  <dimension ref="A3:H119"/>
  <sheetViews>
    <sheetView tabSelected="1" topLeftCell="A109" zoomScale="261" workbookViewId="0">
      <selection activeCell="C115" sqref="C115"/>
    </sheetView>
  </sheetViews>
  <sheetFormatPr baseColWidth="10" defaultRowHeight="16" x14ac:dyDescent="0.2"/>
  <sheetData>
    <row r="3" spans="1:8" x14ac:dyDescent="0.2">
      <c r="B3" s="2">
        <v>35</v>
      </c>
      <c r="D3" t="s">
        <v>3</v>
      </c>
      <c r="E3">
        <f>AVERAGE(B3:B12)</f>
        <v>34.700000000000003</v>
      </c>
      <c r="F3" t="str">
        <f ca="1">_xlfn.FORMULATEXT(E3)</f>
        <v>=AVERAGE(B3:B12)</v>
      </c>
    </row>
    <row r="4" spans="1:8" x14ac:dyDescent="0.2">
      <c r="B4" s="2">
        <v>8</v>
      </c>
      <c r="D4" t="s">
        <v>4</v>
      </c>
      <c r="E4">
        <f>MEDIAN(B3:B12)</f>
        <v>35</v>
      </c>
      <c r="F4" t="str">
        <f t="shared" ref="F4:F7" ca="1" si="0">_xlfn.FORMULATEXT(E4)</f>
        <v>=MEDIAN(B3:B12)</v>
      </c>
    </row>
    <row r="5" spans="1:8" x14ac:dyDescent="0.2">
      <c r="B5" s="2">
        <v>61</v>
      </c>
      <c r="D5" t="s">
        <v>5</v>
      </c>
      <c r="E5">
        <f>MODE(B3:B12)</f>
        <v>35</v>
      </c>
      <c r="F5" t="str">
        <f t="shared" ca="1" si="0"/>
        <v>=MODE(B3:B12)</v>
      </c>
    </row>
    <row r="6" spans="1:8" x14ac:dyDescent="0.2">
      <c r="B6" s="2">
        <v>18</v>
      </c>
      <c r="E6">
        <f>_xlfn.MODE.SNGL(B3:B12)</f>
        <v>35</v>
      </c>
      <c r="F6" t="str">
        <f t="shared" ca="1" si="0"/>
        <v>=MODE.SNGL(B3:B12)</v>
      </c>
    </row>
    <row r="7" spans="1:8" x14ac:dyDescent="0.2">
      <c r="B7" s="2">
        <v>19</v>
      </c>
      <c r="E7" cm="1">
        <f t="array" ref="E7:E8">_xlfn.MODE.MULT(B3:B12)</f>
        <v>35</v>
      </c>
      <c r="F7" t="str">
        <f ca="1">_xlfn.FORMULATEXT(E7)</f>
        <v>=MODE.MULT(B3:B12)</v>
      </c>
    </row>
    <row r="8" spans="1:8" x14ac:dyDescent="0.2">
      <c r="B8" s="2">
        <v>44</v>
      </c>
      <c r="E8">
        <v>8</v>
      </c>
    </row>
    <row r="9" spans="1:8" x14ac:dyDescent="0.2">
      <c r="B9" s="2">
        <v>35</v>
      </c>
    </row>
    <row r="10" spans="1:8" x14ac:dyDescent="0.2">
      <c r="B10" s="2">
        <v>8</v>
      </c>
    </row>
    <row r="11" spans="1:8" x14ac:dyDescent="0.2">
      <c r="B11" s="2">
        <v>49</v>
      </c>
    </row>
    <row r="12" spans="1:8" x14ac:dyDescent="0.2">
      <c r="B12" s="2">
        <v>70</v>
      </c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7" spans="1:8" x14ac:dyDescent="0.2">
      <c r="C17" t="s">
        <v>17</v>
      </c>
      <c r="D17">
        <v>100000000</v>
      </c>
    </row>
    <row r="18" spans="1:8" x14ac:dyDescent="0.2">
      <c r="C18" t="s">
        <v>18</v>
      </c>
      <c r="D18">
        <v>30000</v>
      </c>
      <c r="F18">
        <f>AVERAGE(D17:D21)</f>
        <v>20023000</v>
      </c>
    </row>
    <row r="19" spans="1:8" x14ac:dyDescent="0.2">
      <c r="C19" t="s">
        <v>19</v>
      </c>
      <c r="D19">
        <v>25000</v>
      </c>
    </row>
    <row r="20" spans="1:8" x14ac:dyDescent="0.2">
      <c r="C20" t="s">
        <v>20</v>
      </c>
      <c r="D20">
        <v>0</v>
      </c>
      <c r="F20">
        <f>MEDIAN(D17:D21)</f>
        <v>30000</v>
      </c>
    </row>
    <row r="21" spans="1:8" x14ac:dyDescent="0.2">
      <c r="C21" t="s">
        <v>21</v>
      </c>
      <c r="D21">
        <v>60000</v>
      </c>
    </row>
    <row r="24" spans="1:8" x14ac:dyDescent="0.2">
      <c r="A24" s="3"/>
      <c r="B24" s="3"/>
      <c r="C24" s="3"/>
      <c r="D24" s="3"/>
      <c r="E24" s="3"/>
      <c r="F24" s="3"/>
      <c r="G24" s="3"/>
      <c r="H24" s="3"/>
    </row>
    <row r="27" spans="1:8" x14ac:dyDescent="0.2">
      <c r="B27" t="s">
        <v>25</v>
      </c>
    </row>
    <row r="29" spans="1:8" x14ac:dyDescent="0.2">
      <c r="B29" t="s">
        <v>26</v>
      </c>
    </row>
    <row r="30" spans="1:8" x14ac:dyDescent="0.2">
      <c r="B30" s="2">
        <v>35</v>
      </c>
      <c r="D30">
        <f>_xlfn.VAR.P(B30:B39)</f>
        <v>418.01</v>
      </c>
      <c r="E30" t="str">
        <f ca="1">_xlfn.FORMULATEXT(D30)</f>
        <v>=VAR.P(B30:B39)</v>
      </c>
      <c r="G30">
        <f>SQRT(D30)</f>
        <v>20.445292856792246</v>
      </c>
    </row>
    <row r="31" spans="1:8" x14ac:dyDescent="0.2">
      <c r="B31" s="2">
        <v>8</v>
      </c>
      <c r="D31" s="3">
        <f>_xlfn.VAR.S(B30:B39)</f>
        <v>464.45555555555558</v>
      </c>
      <c r="E31" s="3" t="str">
        <f ca="1">_xlfn.FORMULATEXT(D31)</f>
        <v>=VAR.S(B30:B39)</v>
      </c>
      <c r="G31">
        <f>SQRT(D31)</f>
        <v>21.551230952211419</v>
      </c>
    </row>
    <row r="32" spans="1:8" x14ac:dyDescent="0.2">
      <c r="B32" s="2">
        <v>61</v>
      </c>
    </row>
    <row r="33" spans="1:8" x14ac:dyDescent="0.2">
      <c r="B33" s="2">
        <v>18</v>
      </c>
    </row>
    <row r="34" spans="1:8" x14ac:dyDescent="0.2">
      <c r="B34" s="2">
        <v>19</v>
      </c>
      <c r="D34">
        <f>_xlfn.STDEV.P(B30:B39)</f>
        <v>20.445292856792246</v>
      </c>
      <c r="E34" t="str">
        <f t="shared" ref="E32:E35" ca="1" si="1">_xlfn.FORMULATEXT(D34)</f>
        <v>=STDEV.P(B30:B39)</v>
      </c>
    </row>
    <row r="35" spans="1:8" x14ac:dyDescent="0.2">
      <c r="B35" s="2">
        <v>44</v>
      </c>
      <c r="D35">
        <f>_xlfn.STDEV.S(B30:B39)</f>
        <v>21.551230952211419</v>
      </c>
      <c r="E35" t="str">
        <f t="shared" ca="1" si="1"/>
        <v>=STDEV.S(B30:B39)</v>
      </c>
    </row>
    <row r="36" spans="1:8" x14ac:dyDescent="0.2">
      <c r="B36" s="2">
        <v>35</v>
      </c>
    </row>
    <row r="37" spans="1:8" x14ac:dyDescent="0.2">
      <c r="B37" s="2">
        <v>8</v>
      </c>
    </row>
    <row r="38" spans="1:8" x14ac:dyDescent="0.2">
      <c r="B38" s="2">
        <v>49</v>
      </c>
    </row>
    <row r="39" spans="1:8" x14ac:dyDescent="0.2">
      <c r="B39" s="2">
        <v>70</v>
      </c>
    </row>
    <row r="44" spans="1:8" x14ac:dyDescent="0.2">
      <c r="A44" s="3"/>
      <c r="B44" s="3"/>
      <c r="C44" s="3"/>
      <c r="D44" s="3"/>
      <c r="E44" s="3"/>
      <c r="F44" s="3"/>
      <c r="G44" s="3"/>
      <c r="H44" s="3"/>
    </row>
    <row r="66" spans="1:8" x14ac:dyDescent="0.2">
      <c r="A66" s="3"/>
      <c r="B66" s="3"/>
      <c r="C66" s="3"/>
      <c r="D66" s="3"/>
      <c r="E66" s="3"/>
      <c r="F66" s="3"/>
      <c r="G66" s="3"/>
      <c r="H66" s="3"/>
    </row>
    <row r="70" spans="1:8" x14ac:dyDescent="0.2">
      <c r="B70" t="s">
        <v>33</v>
      </c>
      <c r="D70" t="s">
        <v>34</v>
      </c>
    </row>
    <row r="73" spans="1:8" x14ac:dyDescent="0.2">
      <c r="A73" s="3"/>
      <c r="B73" s="3"/>
      <c r="C73" s="3"/>
      <c r="D73" s="3"/>
      <c r="E73" s="3"/>
      <c r="F73" s="3"/>
      <c r="G73" s="3"/>
      <c r="H73" s="3"/>
    </row>
    <row r="76" spans="1:8" x14ac:dyDescent="0.2">
      <c r="B76" t="s">
        <v>35</v>
      </c>
    </row>
    <row r="78" spans="1:8" x14ac:dyDescent="0.2">
      <c r="B78" t="s">
        <v>36</v>
      </c>
    </row>
    <row r="82" spans="2:7" x14ac:dyDescent="0.2">
      <c r="B82" s="2">
        <v>8</v>
      </c>
    </row>
    <row r="83" spans="2:7" x14ac:dyDescent="0.2">
      <c r="B83" s="2">
        <v>8</v>
      </c>
      <c r="D83" t="s">
        <v>35</v>
      </c>
      <c r="F83" t="s">
        <v>42</v>
      </c>
    </row>
    <row r="84" spans="2:7" x14ac:dyDescent="0.2">
      <c r="B84" s="2">
        <v>18</v>
      </c>
    </row>
    <row r="85" spans="2:7" x14ac:dyDescent="0.2">
      <c r="B85" s="2">
        <v>19</v>
      </c>
      <c r="E85" t="s">
        <v>37</v>
      </c>
      <c r="F85">
        <f>QUARTILE($B$82:$B$91,0)</f>
        <v>8</v>
      </c>
      <c r="G85" t="str">
        <f ca="1">_xlfn.FORMULATEXT(F85)</f>
        <v>=QUARTILE($B$82:$B$91,0)</v>
      </c>
    </row>
    <row r="86" spans="2:7" x14ac:dyDescent="0.2">
      <c r="B86" s="2">
        <v>35</v>
      </c>
      <c r="E86" t="s">
        <v>39</v>
      </c>
      <c r="F86">
        <f>QUARTILE($B$82:$B$91,1)</f>
        <v>18.25</v>
      </c>
      <c r="G86" t="str">
        <f t="shared" ref="G86:G89" ca="1" si="2">_xlfn.FORMULATEXT(F86)</f>
        <v>=QUARTILE($B$82:$B$91,1)</v>
      </c>
    </row>
    <row r="87" spans="2:7" x14ac:dyDescent="0.2">
      <c r="B87" s="2">
        <v>35</v>
      </c>
      <c r="E87" t="s">
        <v>40</v>
      </c>
      <c r="F87">
        <f>QUARTILE($B$82:$B$91,2)</f>
        <v>35</v>
      </c>
      <c r="G87" t="str">
        <f t="shared" ca="1" si="2"/>
        <v>=QUARTILE($B$82:$B$91,2)</v>
      </c>
    </row>
    <row r="88" spans="2:7" x14ac:dyDescent="0.2">
      <c r="B88" s="2">
        <v>44</v>
      </c>
      <c r="E88" t="s">
        <v>41</v>
      </c>
      <c r="F88">
        <f>QUARTILE($B$82:$B$91,3)</f>
        <v>47.75</v>
      </c>
      <c r="G88" t="str">
        <f t="shared" ca="1" si="2"/>
        <v>=QUARTILE($B$82:$B$91,3)</v>
      </c>
    </row>
    <row r="89" spans="2:7" x14ac:dyDescent="0.2">
      <c r="B89" s="2">
        <v>49</v>
      </c>
      <c r="E89" t="s">
        <v>38</v>
      </c>
      <c r="F89">
        <f>QUARTILE($B$82:$B$91,4)</f>
        <v>70</v>
      </c>
      <c r="G89" t="str">
        <f t="shared" ca="1" si="2"/>
        <v>=QUARTILE($B$82:$B$91,4)</v>
      </c>
    </row>
    <row r="90" spans="2:7" x14ac:dyDescent="0.2">
      <c r="B90" s="2">
        <v>61</v>
      </c>
    </row>
    <row r="91" spans="2:7" x14ac:dyDescent="0.2">
      <c r="B91" s="2">
        <v>70</v>
      </c>
    </row>
    <row r="100" spans="2:6" x14ac:dyDescent="0.2">
      <c r="D100" t="s">
        <v>43</v>
      </c>
      <c r="E100" t="s">
        <v>44</v>
      </c>
    </row>
    <row r="102" spans="2:6" x14ac:dyDescent="0.2">
      <c r="D102" t="s">
        <v>32</v>
      </c>
    </row>
    <row r="104" spans="2:6" x14ac:dyDescent="0.2">
      <c r="E104" t="s">
        <v>47</v>
      </c>
      <c r="F104" t="s">
        <v>45</v>
      </c>
    </row>
    <row r="106" spans="2:6" x14ac:dyDescent="0.2">
      <c r="E106" t="s">
        <v>48</v>
      </c>
      <c r="F106" t="s">
        <v>46</v>
      </c>
    </row>
    <row r="110" spans="2:6" x14ac:dyDescent="0.2">
      <c r="B110" s="2">
        <v>-800</v>
      </c>
    </row>
    <row r="111" spans="2:6" x14ac:dyDescent="0.2">
      <c r="B111" s="2">
        <v>8</v>
      </c>
    </row>
    <row r="112" spans="2:6" x14ac:dyDescent="0.2">
      <c r="B112" s="2">
        <v>18</v>
      </c>
      <c r="D112" t="s">
        <v>49</v>
      </c>
      <c r="E112">
        <f>QUARTILE($B$110:$B$119,1)</f>
        <v>18.25</v>
      </c>
    </row>
    <row r="113" spans="2:5" x14ac:dyDescent="0.2">
      <c r="B113" s="2">
        <v>19</v>
      </c>
      <c r="D113" t="s">
        <v>50</v>
      </c>
      <c r="E113">
        <f>QUARTILE($B$110:$B$119,2)</f>
        <v>35</v>
      </c>
    </row>
    <row r="114" spans="2:5" x14ac:dyDescent="0.2">
      <c r="B114" s="2">
        <v>35</v>
      </c>
      <c r="D114" t="s">
        <v>51</v>
      </c>
      <c r="E114">
        <f>QUARTILE($B$110:$B$119,3)</f>
        <v>58</v>
      </c>
    </row>
    <row r="115" spans="2:5" x14ac:dyDescent="0.2">
      <c r="B115" s="2">
        <v>35</v>
      </c>
    </row>
    <row r="116" spans="2:5" x14ac:dyDescent="0.2">
      <c r="B116" s="2">
        <v>4004</v>
      </c>
      <c r="D116" s="3" t="s">
        <v>52</v>
      </c>
      <c r="E116" s="3">
        <f>E114-E112</f>
        <v>39.75</v>
      </c>
    </row>
    <row r="117" spans="2:5" x14ac:dyDescent="0.2">
      <c r="B117" s="2">
        <v>49</v>
      </c>
    </row>
    <row r="118" spans="2:5" x14ac:dyDescent="0.2">
      <c r="B118" s="2">
        <v>61</v>
      </c>
      <c r="D118" t="s">
        <v>53</v>
      </c>
      <c r="E118">
        <f>E112-1.5*E116</f>
        <v>-41.375</v>
      </c>
    </row>
    <row r="119" spans="2:5" x14ac:dyDescent="0.2">
      <c r="B119" s="2">
        <v>7000</v>
      </c>
      <c r="D119" t="s">
        <v>54</v>
      </c>
      <c r="E119">
        <f>E114+1.5*E116</f>
        <v>117.625</v>
      </c>
    </row>
  </sheetData>
  <conditionalFormatting sqref="B110:B119">
    <cfRule type="cellIs" dxfId="0" priority="1" operator="notBetween">
      <formula>$E$118</formula>
      <formula>$E$119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2026-06-29T15:36:36Z</dcterms:created>
  <dcterms:modified xsi:type="dcterms:W3CDTF">2026-06-29T17:39:48Z</dcterms:modified>
</cp:coreProperties>
</file>