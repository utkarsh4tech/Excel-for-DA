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utkarsh/Downloads/Accio_excel/Excel-for-DA/"/>
    </mc:Choice>
  </mc:AlternateContent>
  <xr:revisionPtr revIDLastSave="0" documentId="13_ncr:1_{A063A02C-E812-6340-801E-215C27507A84}" xr6:coauthVersionLast="47" xr6:coauthVersionMax="47" xr10:uidLastSave="{00000000-0000-0000-0000-000000000000}"/>
  <bookViews>
    <workbookView xWindow="0" yWindow="600" windowWidth="28800" windowHeight="17400" xr2:uid="{DF5E43C1-B11A-5D4D-937D-5D73400E2B15}"/>
  </bookViews>
  <sheets>
    <sheet name="EPILOGUE" sheetId="1" r:id="rId1"/>
    <sheet name="genAI" sheetId="2" r:id="rId2"/>
    <sheet name="Sheet3" sheetId="3" r:id="rId3"/>
  </sheets>
  <definedNames>
    <definedName name="_xleta.SHEET" hidden="1" xlm="1">#NAME?</definedName>
    <definedName name="_xlnm.Print_Area" localSheetId="1">genAI!$B$3:$H$46</definedName>
    <definedName name="solver_eng" localSheetId="0" hidden="1">1</definedName>
    <definedName name="solver_lin" localSheetId="0" hidden="1">2</definedName>
    <definedName name="solver_neg" localSheetId="0" hidden="1">1</definedName>
    <definedName name="solver_num" localSheetId="0" hidden="1">0</definedName>
    <definedName name="solver_opt" localSheetId="0" hidden="1">EPILOGUE!$B$11</definedName>
    <definedName name="solver_typ" localSheetId="0" hidden="1">1</definedName>
    <definedName name="solver_val" localSheetId="0" hidden="1">0</definedName>
    <definedName name="solver_ver" localSheetId="0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5" i="2" l="1"/>
  <c r="C45" i="2"/>
  <c r="G19" i="2"/>
  <c r="D8" i="2"/>
  <c r="D9" i="2" s="1"/>
</calcChain>
</file>

<file path=xl/sharedStrings.xml><?xml version="1.0" encoding="utf-8"?>
<sst xmlns="http://schemas.openxmlformats.org/spreadsheetml/2006/main" count="107" uniqueCount="100">
  <si>
    <t>EPILOGUE</t>
  </si>
  <si>
    <t>Excel Fundamentals (Part 1)</t>
  </si>
  <si>
    <t>1) Excel Overview 
2) Roles Overview
3) Entering text/numbers/dates and AutoFill
4) Workbook and Worksheet</t>
  </si>
  <si>
    <t>Excel Fundamentals (Part 2)</t>
  </si>
  <si>
    <t>1) Cell Referencing and its Types
2) Active Cell
3) Formula Bar and Formulaes
4) Tables and other formatting</t>
  </si>
  <si>
    <t>Excel Fundamentals (Part 3)</t>
  </si>
  <si>
    <t>1) Different Data Types and their formatting
2) Basic Arithmetic (+,-,*,/,^, etc)
3) Flash-fill</t>
  </si>
  <si>
    <t>Arithmetic &amp; Statistical Functions (Part 1)</t>
  </si>
  <si>
    <t>1) SUM
2) COUNT, COUNTA, COUNTBLANK
3) AVERAGE
4) MOD 
5) UNIQUE</t>
  </si>
  <si>
    <t>Arithmetic &amp; Statistical Functions (Part 2)</t>
  </si>
  <si>
    <t>1) SUMIF/SUMIFS
2) COUNTIF/COUNTIFS
3) AVERAGEIF/AVERAGEIFS
4) SUMPRODUCT (intro use-cases)
5) LARGE/SMALL
6) RANK
7) MAX/MIN</t>
  </si>
  <si>
    <t>Advanced Statistics (part 1)</t>
  </si>
  <si>
    <t>1) Measures of Central Tendencies ( MEAN, MEDIAN, MODE )
2) Variance &amp; Standard Deviation
3) Percentiles &amp; Quartiles
4) Inter-Quartile Range and Outlier Detection</t>
  </si>
  <si>
    <t>Advanced Statistics (part 2)</t>
  </si>
  <si>
    <t>1) Intro to Data Analysis Toolpak
2) A/B Testing (only Usage/Application and Interpretation of results)
3) Intro Linear Regression (only Usage/Application and Interpretation of results)</t>
  </si>
  <si>
    <t>Logical Functions</t>
  </si>
  <si>
    <t>Date-Time Functions</t>
  </si>
  <si>
    <t>1) DATE/YEAR/MONTH/DAY
2) HOUR/MINUTE/SECOND
3) TODAY/NOW
4) WEEKDAY/NETWORKDAYS/EOMONTH/EDATE
5) DATEDIF
6) TIMEVALUE/DATEVALUE
7) WEEKDAY/WEEKNUM</t>
  </si>
  <si>
    <t>Text Functions</t>
  </si>
  <si>
    <t>1) LEFT/RIGHT/MID
2) LEN
3) PROPER/UPPER/LOWER
4) FIND/SEARCH
5) REPLACE/SUBSTITUTE
6) TEXT function</t>
  </si>
  <si>
    <t>1) What is Boolean in Excel (TRUE/FALSE)
2) IF/ IFERROR
3) AND/OR/NOT
4) ISBLANK/ISNUMBER/ISTEXT/ISODD/ISEVEN etc…</t>
  </si>
  <si>
    <t>Lookup &amp; Reference (Part 1)</t>
  </si>
  <si>
    <t>1) What do we mean by Lookup
2) ROW/ROWS &amp; COLUMN/COLUMNS
3) MATCH
4) INDEX
5) INDEX+MATCH basics</t>
  </si>
  <si>
    <t>Lookup &amp; Reference (Part 2)</t>
  </si>
  <si>
    <t>1) VLOOKUP
2) HLOOKUP
3) XLOOKUP 
4) Pros of XLOOKUP over VLOOKUP/HLOOKUP</t>
  </si>
  <si>
    <t>Pivot Tables</t>
  </si>
  <si>
    <t>1) Why we need Pivot Tables
2) Create/format pivots
3) Grouping
4) Calculated fields
5) Pivot charts - Slicers,Timeline</t>
  </si>
  <si>
    <t>Power Query</t>
  </si>
  <si>
    <t>1) ETL and EDA introduction
2) Different file formats for DATA
3) Power Query
4) Change types, Remove columns, Handle nulls, Filter/sort</t>
  </si>
  <si>
    <t>IMPORTANT 
FOR 
MOCK</t>
  </si>
  <si>
    <t>CASE STUDY - Application of Excel</t>
  </si>
  <si>
    <t>1) Practice on Actual Dataset
2) Questions Solving practice involving interpretation of
business questions/requirements and their solution in excel
3) Developing Thinking process for these questions</t>
  </si>
  <si>
    <t>Exploratory Data Analysis</t>
  </si>
  <si>
    <t>1) KPIs, Metrics, OKRs
2) Different Industries and Their KPIs
3) Using Pivot Tables for KPIs
4) Practice on sample Dataset</t>
  </si>
  <si>
    <t>Guestimates Approaches</t>
  </si>
  <si>
    <t>1) Top Down approach
2) Bottom UP approach
3) Examples and Practice Questions</t>
  </si>
  <si>
    <t>Data Validation</t>
  </si>
  <si>
    <t>1) Data Validation
2) How to apply Data Validation for different data types
3) Custom Formula for Data Validation</t>
  </si>
  <si>
    <t>Data Visualization (Part 1)</t>
  </si>
  <si>
    <t>1) Purpose of Visualisation and How its done in Excel
2) CORE CHARTS and their application
3) Pie, Bar, Line, Scatter, Box-Plot, etc
4) Basic chart elements</t>
  </si>
  <si>
    <t>Data Visualization (Part 2)</t>
  </si>
  <si>
    <t>1) Combo, Radar, Tree Map, Sunburst, Waterfall, Funnel, Box &amp; Whisker
2) Handling gaps/missing data</t>
  </si>
  <si>
    <t>Dashboarding (part 1)</t>
  </si>
  <si>
    <t>1) What is a Dashboard
2) Layout / Visual Heirarchy of Dashboard
3) Process of Buidling a Dashboard in Excel</t>
  </si>
  <si>
    <t>Dashboarding (part 2)</t>
  </si>
  <si>
    <t>1) Sample Dashboard
2) Building dashboard for a real time dataset</t>
  </si>
  <si>
    <t>1) Automation
2) Macros
3) Recording and running Macros
4) Shortcut Keys</t>
  </si>
  <si>
    <t>Macros</t>
  </si>
  <si>
    <t>Topics to Explore:</t>
  </si>
  <si>
    <t>1) Take a dataset from Kaggle / google data and create some project / do analysis.</t>
  </si>
  <si>
    <t>2) Improve the project / dashboard basis some final state evry month or two.</t>
  </si>
  <si>
    <t>3) stem bg: learn sophesticated models / stats in excel</t>
  </si>
  <si>
    <t xml:space="preserve">4) keep prcaticing. Consistency &gt;&gt;&gt;&gt; </t>
  </si>
  <si>
    <t>INVOICE for Service</t>
  </si>
  <si>
    <t>Invoice Date:</t>
  </si>
  <si>
    <t>Due Date:</t>
  </si>
  <si>
    <t>Due Days</t>
  </si>
  <si>
    <t>To:</t>
  </si>
  <si>
    <t>Address Line One</t>
  </si>
  <si>
    <t>Address Line Two</t>
  </si>
  <si>
    <t>City, State</t>
  </si>
  <si>
    <t>Country - PIN</t>
  </si>
  <si>
    <t>NAME</t>
  </si>
  <si>
    <t>Pawan Kumar</t>
  </si>
  <si>
    <t>ABC Apartment, Near XYZ nagar</t>
  </si>
  <si>
    <t>Next To PQR market</t>
  </si>
  <si>
    <t>City</t>
  </si>
  <si>
    <t>Lucknow</t>
  </si>
  <si>
    <t>D:D</t>
  </si>
  <si>
    <t>State</t>
  </si>
  <si>
    <t>Uttar Pradesh</t>
  </si>
  <si>
    <t>Pin Code</t>
  </si>
  <si>
    <t>Lucknow, Uttar Pradesh</t>
  </si>
  <si>
    <t>India - 400324</t>
  </si>
  <si>
    <t>S. No</t>
  </si>
  <si>
    <t>Product</t>
  </si>
  <si>
    <t>Qts</t>
  </si>
  <si>
    <t>Price</t>
  </si>
  <si>
    <t>Total</t>
  </si>
  <si>
    <t>XYZ</t>
  </si>
  <si>
    <t>GST IN:</t>
  </si>
  <si>
    <t>Payment Method:</t>
  </si>
  <si>
    <t>UPI</t>
  </si>
  <si>
    <t>Paypal</t>
  </si>
  <si>
    <t>WISE</t>
  </si>
  <si>
    <t>Phn Num</t>
  </si>
  <si>
    <t>Email</t>
  </si>
  <si>
    <t>Instagram</t>
  </si>
  <si>
    <t>Acc No:…..</t>
  </si>
  <si>
    <t>Bank Name….</t>
  </si>
  <si>
    <t>Branch…..</t>
  </si>
  <si>
    <t>Country</t>
  </si>
  <si>
    <t>Print + Save PDF</t>
  </si>
  <si>
    <t>https://www.exceldemy.com/excel-print-to-pdf-macro-button/</t>
  </si>
  <si>
    <t>Assign macro: SaveSheetAsPDF_NoPrinter</t>
  </si>
  <si>
    <t>TO DO:</t>
  </si>
  <si>
    <t>Format properly</t>
  </si>
  <si>
    <t>add customers &amp; products from separate sheet &amp; fill rest info using Lookup</t>
  </si>
  <si>
    <t>2 nd butto &amp; Macro for cleaning the template</t>
  </si>
  <si>
    <t>Save the invoices by Invoice  Num &amp;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</si>
</sst>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sz val="10"/>
      <color theme="1"/>
      <name val="Arial"/>
      <family val="2"/>
    </font>
    <font>
      <b/>
      <sz val="12"/>
      <color theme="1"/>
      <name val="Aptos Narrow"/>
      <scheme val="minor"/>
    </font>
    <font>
      <b/>
      <sz val="14"/>
      <color theme="1"/>
      <name val="Zapfino"/>
      <family val="4"/>
    </font>
    <font>
      <b/>
      <sz val="12"/>
      <color theme="1"/>
      <name val="Times New Roman"/>
      <family val="1"/>
    </font>
    <font>
      <b/>
      <sz val="12"/>
      <color rgb="FFFFFFFF"/>
      <name val="Aptos Narrow"/>
      <family val="2"/>
      <scheme val="minor"/>
    </font>
    <font>
      <i/>
      <sz val="9"/>
      <color rgb="FF666666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1D233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1D2330"/>
      </left>
      <right style="medium">
        <color rgb="FF1D2330"/>
      </right>
      <top style="medium">
        <color rgb="FF1D2330"/>
      </top>
      <bottom style="medium">
        <color rgb="FF1D2330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2" borderId="1" xfId="0" applyFont="1" applyFill="1" applyBorder="1"/>
    <xf numFmtId="0" fontId="2" fillId="2" borderId="1" xfId="0" applyFont="1" applyFill="1" applyBorder="1" applyAlignment="1">
      <alignment wrapText="1"/>
    </xf>
    <xf numFmtId="0" fontId="2" fillId="3" borderId="1" xfId="0" applyFont="1" applyFill="1" applyBorder="1"/>
    <xf numFmtId="0" fontId="2" fillId="3" borderId="1" xfId="0" applyFont="1" applyFill="1" applyBorder="1" applyAlignment="1">
      <alignment wrapText="1"/>
    </xf>
    <xf numFmtId="0" fontId="2" fillId="4" borderId="1" xfId="0" applyFont="1" applyFill="1" applyBorder="1"/>
    <xf numFmtId="0" fontId="2" fillId="4" borderId="1" xfId="0" applyFont="1" applyFill="1" applyBorder="1" applyAlignment="1">
      <alignment wrapText="1"/>
    </xf>
    <xf numFmtId="0" fontId="2" fillId="5" borderId="2" xfId="0" applyFont="1" applyFill="1" applyBorder="1"/>
    <xf numFmtId="0" fontId="2" fillId="5" borderId="3" xfId="0" applyFont="1" applyFill="1" applyBorder="1" applyAlignment="1">
      <alignment wrapText="1"/>
    </xf>
    <xf numFmtId="0" fontId="2" fillId="5" borderId="4" xfId="0" applyFont="1" applyFill="1" applyBorder="1"/>
    <xf numFmtId="0" fontId="2" fillId="5" borderId="5" xfId="0" applyFont="1" applyFill="1" applyBorder="1" applyAlignment="1">
      <alignment wrapText="1"/>
    </xf>
    <xf numFmtId="0" fontId="2" fillId="5" borderId="6" xfId="0" applyFont="1" applyFill="1" applyBorder="1"/>
    <xf numFmtId="0" fontId="2" fillId="5" borderId="7" xfId="0" applyFont="1" applyFill="1" applyBorder="1" applyAlignment="1">
      <alignment wrapText="1"/>
    </xf>
    <xf numFmtId="0" fontId="2" fillId="6" borderId="1" xfId="0" applyFont="1" applyFill="1" applyBorder="1"/>
    <xf numFmtId="0" fontId="2" fillId="6" borderId="1" xfId="0" applyFont="1" applyFill="1" applyBorder="1" applyAlignment="1">
      <alignment wrapText="1"/>
    </xf>
    <xf numFmtId="0" fontId="2" fillId="7" borderId="1" xfId="0" applyFont="1" applyFill="1" applyBorder="1"/>
    <xf numFmtId="0" fontId="2" fillId="7" borderId="1" xfId="0" applyFont="1" applyFill="1" applyBorder="1" applyAlignment="1">
      <alignment wrapText="1"/>
    </xf>
    <xf numFmtId="0" fontId="0" fillId="8" borderId="8" xfId="0" applyFill="1" applyBorder="1"/>
    <xf numFmtId="0" fontId="0" fillId="8" borderId="9" xfId="0" applyFill="1" applyBorder="1"/>
    <xf numFmtId="0" fontId="0" fillId="8" borderId="10" xfId="0" applyFill="1" applyBorder="1"/>
    <xf numFmtId="0" fontId="0" fillId="8" borderId="11" xfId="0" applyFill="1" applyBorder="1"/>
    <xf numFmtId="0" fontId="0" fillId="8" borderId="0" xfId="0" applyFill="1"/>
    <xf numFmtId="0" fontId="0" fillId="8" borderId="12" xfId="0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5" fillId="8" borderId="11" xfId="0" applyFont="1" applyFill="1" applyBorder="1"/>
    <xf numFmtId="0" fontId="0" fillId="8" borderId="1" xfId="0" applyFill="1" applyBorder="1"/>
    <xf numFmtId="0" fontId="0" fillId="0" borderId="1" xfId="0" applyBorder="1"/>
    <xf numFmtId="0" fontId="5" fillId="8" borderId="0" xfId="0" applyFont="1" applyFill="1"/>
    <xf numFmtId="14" fontId="0" fillId="8" borderId="0" xfId="0" applyNumberFormat="1" applyFill="1" applyAlignment="1">
      <alignment horizontal="left"/>
    </xf>
    <xf numFmtId="0" fontId="0" fillId="9" borderId="11" xfId="0" applyFill="1" applyBorder="1"/>
    <xf numFmtId="0" fontId="0" fillId="9" borderId="0" xfId="0" applyFill="1"/>
    <xf numFmtId="0" fontId="0" fillId="9" borderId="12" xfId="0" applyFill="1" applyBorder="1"/>
    <xf numFmtId="0" fontId="4" fillId="9" borderId="13" xfId="0" applyFont="1" applyFill="1" applyBorder="1"/>
    <xf numFmtId="0" fontId="4" fillId="9" borderId="14" xfId="0" applyFont="1" applyFill="1" applyBorder="1"/>
    <xf numFmtId="0" fontId="4" fillId="9" borderId="15" xfId="0" applyFont="1" applyFill="1" applyBorder="1"/>
    <xf numFmtId="0" fontId="4" fillId="8" borderId="8" xfId="0" applyFont="1" applyFill="1" applyBorder="1" applyAlignment="1">
      <alignment horizontal="center" vertical="top"/>
    </xf>
    <xf numFmtId="0" fontId="4" fillId="8" borderId="9" xfId="0" applyFont="1" applyFill="1" applyBorder="1" applyAlignment="1">
      <alignment horizontal="center" vertical="top"/>
    </xf>
    <xf numFmtId="0" fontId="4" fillId="8" borderId="10" xfId="0" applyFont="1" applyFill="1" applyBorder="1" applyAlignment="1">
      <alignment horizontal="center" vertical="top"/>
    </xf>
    <xf numFmtId="0" fontId="4" fillId="8" borderId="11" xfId="0" applyFont="1" applyFill="1" applyBorder="1" applyAlignment="1">
      <alignment horizontal="center" vertical="top"/>
    </xf>
    <xf numFmtId="0" fontId="4" fillId="8" borderId="0" xfId="0" applyFont="1" applyFill="1" applyAlignment="1">
      <alignment horizontal="center" vertical="top"/>
    </xf>
    <xf numFmtId="0" fontId="4" fillId="8" borderId="12" xfId="0" applyFont="1" applyFill="1" applyBorder="1" applyAlignment="1">
      <alignment horizontal="center" vertical="top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8" borderId="0" xfId="0" applyFill="1" applyBorder="1"/>
    <xf numFmtId="0" fontId="6" fillId="10" borderId="16" xfId="0" applyFont="1" applyFill="1" applyBorder="1" applyAlignment="1">
      <alignment horizontal="center"/>
    </xf>
    <xf numFmtId="0" fontId="7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rawpixel.com/search/gold%20logo%20design?sort=curated&amp;page=1" TargetMode="External"/><Relationship Id="rId1" Type="http://schemas.openxmlformats.org/officeDocument/2006/relationships/image" Target="../media/image1.jpeg"/><Relationship Id="rId4" Type="http://schemas.openxmlformats.org/officeDocument/2006/relationships/hyperlink" Target="https://fr.wikipedia.org/wiki/Code_QR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127001</xdr:colOff>
      <xdr:row>2</xdr:row>
      <xdr:rowOff>63501</xdr:rowOff>
    </xdr:from>
    <xdr:to>
      <xdr:col>1</xdr:col>
      <xdr:colOff>641106</xdr:colOff>
      <xdr:row>4</xdr:row>
      <xdr:rowOff>33682</xdr:rowOff>
    </xdr:to>
    <xdr:pic>
      <xdr:nvPicPr>
        <xdr:cNvPr id="3" name="Picture 2" descr="Gold Logo Design Images | Free Photos, PNG Stickers, Wallpapers ...">
          <a:extLst>
            <a:ext uri="{FF2B5EF4-FFF2-40B4-BE49-F238E27FC236}">
              <a16:creationId xmlns:a16="http://schemas.microsoft.com/office/drawing/2014/main" id="{6BFE2DDC-FEB3-8F01-A692-03C53AB45D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609357" y="466482"/>
          <a:ext cx="514105" cy="506847"/>
        </a:xfrm>
        <a:prstGeom prst="ellipse">
          <a:avLst/>
        </a:prstGeom>
      </xdr:spPr>
    </xdr:pic>
    <xdr:clientData/>
  </xdr:twoCellAnchor>
  <xdr:twoCellAnchor editAs="oneCell">
    <xdr:from>
      <xdr:col>1</xdr:col>
      <xdr:colOff>531200</xdr:colOff>
      <xdr:row>37</xdr:row>
      <xdr:rowOff>48846</xdr:rowOff>
    </xdr:from>
    <xdr:to>
      <xdr:col>2</xdr:col>
      <xdr:colOff>689950</xdr:colOff>
      <xdr:row>42</xdr:row>
      <xdr:rowOff>128220</xdr:rowOff>
    </xdr:to>
    <xdr:pic>
      <xdr:nvPicPr>
        <xdr:cNvPr id="5" name="Picture 4" descr="Code QR — Wikipédia">
          <a:extLst>
            <a:ext uri="{FF2B5EF4-FFF2-40B4-BE49-F238E27FC236}">
              <a16:creationId xmlns:a16="http://schemas.microsoft.com/office/drawing/2014/main" id="{663EE7F0-4EE3-8728-1464-B561139CF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1013556" y="7503990"/>
          <a:ext cx="1086827" cy="1086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431800</xdr:colOff>
          <xdr:row>11</xdr:row>
          <xdr:rowOff>88900</xdr:rowOff>
        </xdr:from>
        <xdr:to>
          <xdr:col>12</xdr:col>
          <xdr:colOff>431800</xdr:colOff>
          <xdr:row>13</xdr:row>
          <xdr:rowOff>63500</xdr:rowOff>
        </xdr:to>
        <xdr:sp macro="" textlink="">
          <xdr:nvSpPr>
            <xdr:cNvPr id="1025" name="Button 1" descr="Print_PDF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0689AE1-8459-7381-6F31-91A77AE0D8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  <wetp:taskpane dockstate="right" visibility="0" width="35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49EAC51-E4D2-C149-9F9F-86157FAFC5BE}">
  <we:reference id="wa200010725" version="1.0.0.1" store="en-GB" storeType="OMEX"/>
  <we:alternateReferences>
    <we:reference id="WA200010725" version="1.0.0.1" store="WA200010725" storeType="OMEX"/>
  </we:alternateReferences>
  <we:properties>
    <we:property name="claude.fileId" value="&quot;690d1231-7441-483e-b7d0-4235fc89ae1f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738441BC-22F9-6F45-A3FF-103F52DC7E60}">
  <we:reference id="WA200010215" version="2.0.0.0" store="Omex" storeType="OMEX"/>
  <we:alternateReferences>
    <we:reference id="WA200010215" version="2.0.0.0" store="WA200010215" storeType="OMEX"/>
  </we:alternateReferences>
  <we:properties>
    <we:property name="bps.codex_control.document_id" value="&quot;1220ac35-683f-456d-aa90-f628f552c65d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26264-B325-E940-A4FF-AFD93024865D}">
  <sheetPr codeName="Sheet1"/>
  <dimension ref="B2:E48"/>
  <sheetViews>
    <sheetView tabSelected="1" zoomScale="163" workbookViewId="0">
      <selection activeCell="C5" sqref="C5"/>
    </sheetView>
  </sheetViews>
  <sheetFormatPr baseColWidth="10" defaultRowHeight="16" x14ac:dyDescent="0.2"/>
  <cols>
    <col min="2" max="2" width="33" bestFit="1" customWidth="1"/>
    <col min="3" max="3" width="41.5" customWidth="1"/>
  </cols>
  <sheetData>
    <row r="2" spans="2:3" x14ac:dyDescent="0.2">
      <c r="B2" s="43" t="s">
        <v>0</v>
      </c>
      <c r="C2" s="43"/>
    </row>
    <row r="3" spans="2:3" x14ac:dyDescent="0.2">
      <c r="B3" s="43"/>
      <c r="C3" s="43"/>
    </row>
    <row r="6" spans="2:3" ht="57" x14ac:dyDescent="0.2">
      <c r="B6" s="1" t="s">
        <v>1</v>
      </c>
      <c r="C6" s="2" t="s">
        <v>2</v>
      </c>
    </row>
    <row r="7" spans="2:3" ht="57" x14ac:dyDescent="0.2">
      <c r="B7" s="1" t="s">
        <v>3</v>
      </c>
      <c r="C7" s="2" t="s">
        <v>4</v>
      </c>
    </row>
    <row r="8" spans="2:3" ht="43" x14ac:dyDescent="0.2">
      <c r="B8" s="1" t="s">
        <v>5</v>
      </c>
      <c r="C8" s="2" t="s">
        <v>6</v>
      </c>
    </row>
    <row r="11" spans="2:3" ht="71" x14ac:dyDescent="0.2">
      <c r="B11" s="3" t="s">
        <v>7</v>
      </c>
      <c r="C11" s="4" t="s">
        <v>8</v>
      </c>
    </row>
    <row r="12" spans="2:3" ht="99" x14ac:dyDescent="0.2">
      <c r="B12" s="3" t="s">
        <v>9</v>
      </c>
      <c r="C12" s="4" t="s">
        <v>10</v>
      </c>
    </row>
    <row r="13" spans="2:3" ht="71" x14ac:dyDescent="0.2">
      <c r="B13" s="3" t="s">
        <v>11</v>
      </c>
      <c r="C13" s="4" t="s">
        <v>12</v>
      </c>
    </row>
    <row r="14" spans="2:3" ht="71" x14ac:dyDescent="0.2">
      <c r="B14" s="3" t="s">
        <v>13</v>
      </c>
      <c r="C14" s="4" t="s">
        <v>14</v>
      </c>
    </row>
    <row r="17" spans="2:5" ht="71" x14ac:dyDescent="0.2">
      <c r="B17" s="5" t="s">
        <v>15</v>
      </c>
      <c r="C17" s="6" t="s">
        <v>20</v>
      </c>
    </row>
    <row r="18" spans="2:5" ht="99" x14ac:dyDescent="0.2">
      <c r="B18" s="5" t="s">
        <v>16</v>
      </c>
      <c r="C18" s="6" t="s">
        <v>17</v>
      </c>
    </row>
    <row r="19" spans="2:5" ht="85" x14ac:dyDescent="0.2">
      <c r="B19" s="5" t="s">
        <v>18</v>
      </c>
      <c r="C19" s="6" t="s">
        <v>19</v>
      </c>
    </row>
    <row r="21" spans="2:5" ht="17" thickBot="1" x14ac:dyDescent="0.25"/>
    <row r="22" spans="2:5" ht="71" x14ac:dyDescent="0.2">
      <c r="B22" s="7" t="s">
        <v>21</v>
      </c>
      <c r="C22" s="8" t="s">
        <v>22</v>
      </c>
      <c r="E22" s="44" t="s">
        <v>29</v>
      </c>
    </row>
    <row r="23" spans="2:5" ht="57" x14ac:dyDescent="0.2">
      <c r="B23" s="9" t="s">
        <v>23</v>
      </c>
      <c r="C23" s="10" t="s">
        <v>24</v>
      </c>
      <c r="E23" s="45"/>
    </row>
    <row r="24" spans="2:5" ht="71" x14ac:dyDescent="0.2">
      <c r="B24" s="9" t="s">
        <v>25</v>
      </c>
      <c r="C24" s="10" t="s">
        <v>26</v>
      </c>
      <c r="E24" s="45"/>
    </row>
    <row r="25" spans="2:5" ht="72" thickBot="1" x14ac:dyDescent="0.25">
      <c r="B25" s="11" t="s">
        <v>27</v>
      </c>
      <c r="C25" s="12" t="s">
        <v>28</v>
      </c>
      <c r="E25" s="45"/>
    </row>
    <row r="28" spans="2:5" ht="85" x14ac:dyDescent="0.2">
      <c r="B28" s="13" t="s">
        <v>30</v>
      </c>
      <c r="C28" s="14" t="s">
        <v>31</v>
      </c>
    </row>
    <row r="29" spans="2:5" ht="57" x14ac:dyDescent="0.2">
      <c r="B29" s="13" t="s">
        <v>32</v>
      </c>
      <c r="C29" s="14" t="s">
        <v>33</v>
      </c>
    </row>
    <row r="30" spans="2:5" ht="43" x14ac:dyDescent="0.2">
      <c r="B30" s="13" t="s">
        <v>34</v>
      </c>
      <c r="C30" s="14" t="s">
        <v>35</v>
      </c>
    </row>
    <row r="31" spans="2:5" ht="57" x14ac:dyDescent="0.2">
      <c r="B31" s="13" t="s">
        <v>36</v>
      </c>
      <c r="C31" s="14" t="s">
        <v>37</v>
      </c>
    </row>
    <row r="32" spans="2:5" ht="57" x14ac:dyDescent="0.2">
      <c r="B32" s="13" t="s">
        <v>47</v>
      </c>
      <c r="C32" s="14" t="s">
        <v>46</v>
      </c>
    </row>
    <row r="35" spans="2:3" ht="71" x14ac:dyDescent="0.2">
      <c r="B35" s="15" t="s">
        <v>38</v>
      </c>
      <c r="C35" s="16" t="s">
        <v>39</v>
      </c>
    </row>
    <row r="36" spans="2:3" ht="43" x14ac:dyDescent="0.2">
      <c r="B36" s="15" t="s">
        <v>40</v>
      </c>
      <c r="C36" s="16" t="s">
        <v>41</v>
      </c>
    </row>
    <row r="37" spans="2:3" ht="43" x14ac:dyDescent="0.2">
      <c r="B37" s="15" t="s">
        <v>42</v>
      </c>
      <c r="C37" s="16" t="s">
        <v>43</v>
      </c>
    </row>
    <row r="38" spans="2:3" ht="29" x14ac:dyDescent="0.2">
      <c r="B38" s="15" t="s">
        <v>44</v>
      </c>
      <c r="C38" s="16" t="s">
        <v>45</v>
      </c>
    </row>
    <row r="42" spans="2:3" x14ac:dyDescent="0.2">
      <c r="B42" t="s">
        <v>48</v>
      </c>
    </row>
    <row r="44" spans="2:3" x14ac:dyDescent="0.2">
      <c r="B44" t="s">
        <v>49</v>
      </c>
    </row>
    <row r="45" spans="2:3" x14ac:dyDescent="0.2">
      <c r="B45" t="s">
        <v>50</v>
      </c>
    </row>
    <row r="47" spans="2:3" x14ac:dyDescent="0.2">
      <c r="B47" t="s">
        <v>51</v>
      </c>
    </row>
    <row r="48" spans="2:3" x14ac:dyDescent="0.2">
      <c r="B48" t="s">
        <v>52</v>
      </c>
    </row>
  </sheetData>
  <mergeCells count="2">
    <mergeCell ref="B2:C3"/>
    <mergeCell ref="E22:E25"/>
  </mergeCell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F39A4-697A-BE44-A1DA-972460562008}">
  <sheetPr codeName="Sheet2">
    <pageSetUpPr fitToPage="1"/>
  </sheetPr>
  <dimension ref="B2:L46"/>
  <sheetViews>
    <sheetView showGridLines="0" topLeftCell="A3" zoomScale="95" zoomScaleNormal="95" workbookViewId="0">
      <selection activeCell="L26" sqref="L26"/>
    </sheetView>
  </sheetViews>
  <sheetFormatPr baseColWidth="10" defaultRowHeight="16" x14ac:dyDescent="0.2"/>
  <cols>
    <col min="1" max="1" width="6.33203125" customWidth="1"/>
    <col min="2" max="2" width="12.1640625" customWidth="1"/>
    <col min="3" max="3" width="13.33203125" customWidth="1"/>
    <col min="4" max="4" width="17" customWidth="1"/>
    <col min="8" max="8" width="18.1640625" customWidth="1"/>
    <col min="10" max="10" width="12" bestFit="1" customWidth="1"/>
    <col min="12" max="12" width="20" customWidth="1"/>
  </cols>
  <sheetData>
    <row r="2" spans="2:12" ht="17" thickBot="1" x14ac:dyDescent="0.25"/>
    <row r="3" spans="2:12" ht="24" customHeight="1" thickBot="1" x14ac:dyDescent="0.25">
      <c r="B3" s="37" t="s">
        <v>53</v>
      </c>
      <c r="C3" s="38"/>
      <c r="D3" s="38"/>
      <c r="E3" s="38"/>
      <c r="F3" s="38"/>
      <c r="G3" s="38"/>
      <c r="H3" s="39"/>
      <c r="J3" s="28" t="s">
        <v>56</v>
      </c>
      <c r="L3" s="47" t="s">
        <v>92</v>
      </c>
    </row>
    <row r="4" spans="2:12" ht="18" customHeight="1" x14ac:dyDescent="0.2">
      <c r="B4" s="40"/>
      <c r="C4" s="41"/>
      <c r="D4" s="41"/>
      <c r="E4" s="41"/>
      <c r="F4" s="41"/>
      <c r="G4" s="41"/>
      <c r="H4" s="42"/>
      <c r="J4" s="28">
        <v>30</v>
      </c>
      <c r="L4" s="48" t="s">
        <v>94</v>
      </c>
    </row>
    <row r="5" spans="2:12" ht="16" customHeight="1" x14ac:dyDescent="0.2">
      <c r="B5" s="40"/>
      <c r="C5" s="41"/>
      <c r="D5" s="41"/>
      <c r="E5" s="41"/>
      <c r="F5" s="41"/>
      <c r="G5" s="41"/>
      <c r="H5" s="42"/>
    </row>
    <row r="6" spans="2:12" ht="16" customHeight="1" x14ac:dyDescent="1.7">
      <c r="B6" s="34"/>
      <c r="C6" s="35"/>
      <c r="D6" s="35"/>
      <c r="E6" s="35"/>
      <c r="F6" s="35"/>
      <c r="G6" s="35"/>
      <c r="H6" s="36"/>
    </row>
    <row r="7" spans="2:12" x14ac:dyDescent="0.2">
      <c r="B7" s="17"/>
      <c r="C7" s="18"/>
      <c r="D7" s="18"/>
      <c r="E7" s="18"/>
      <c r="F7" s="18"/>
      <c r="G7" s="18"/>
      <c r="H7" s="19"/>
      <c r="J7" s="28" t="s">
        <v>62</v>
      </c>
    </row>
    <row r="8" spans="2:12" x14ac:dyDescent="0.2">
      <c r="B8" s="26"/>
      <c r="C8" s="29" t="s">
        <v>54</v>
      </c>
      <c r="D8" s="30">
        <f ca="1">TODAY()</f>
        <v>46275</v>
      </c>
      <c r="E8" s="21"/>
      <c r="F8" s="21" t="s">
        <v>57</v>
      </c>
      <c r="G8" s="21"/>
      <c r="H8" s="22"/>
      <c r="J8" s="28" t="s">
        <v>63</v>
      </c>
      <c r="L8" t="s">
        <v>93</v>
      </c>
    </row>
    <row r="9" spans="2:12" x14ac:dyDescent="0.2">
      <c r="B9" s="26"/>
      <c r="C9" s="29" t="s">
        <v>55</v>
      </c>
      <c r="D9" s="30">
        <f ca="1">D8+J4</f>
        <v>46305</v>
      </c>
      <c r="E9" s="21"/>
      <c r="F9" s="21" t="s">
        <v>63</v>
      </c>
      <c r="G9" s="21"/>
      <c r="H9" s="22"/>
    </row>
    <row r="10" spans="2:12" x14ac:dyDescent="0.2">
      <c r="B10" s="20"/>
      <c r="C10" s="21"/>
      <c r="D10" s="21"/>
      <c r="E10" s="21"/>
      <c r="F10" s="21" t="s">
        <v>64</v>
      </c>
      <c r="G10" s="21"/>
      <c r="H10" s="22"/>
      <c r="J10" s="28" t="s">
        <v>58</v>
      </c>
    </row>
    <row r="11" spans="2:12" x14ac:dyDescent="0.2">
      <c r="B11" s="20"/>
      <c r="C11" s="21" t="s">
        <v>80</v>
      </c>
      <c r="D11" s="21"/>
      <c r="E11" s="21"/>
      <c r="F11" s="21" t="s">
        <v>65</v>
      </c>
      <c r="G11" s="21"/>
      <c r="H11" s="22"/>
      <c r="J11" s="28" t="s">
        <v>64</v>
      </c>
    </row>
    <row r="12" spans="2:12" x14ac:dyDescent="0.2">
      <c r="B12" s="20"/>
      <c r="C12" s="21"/>
      <c r="D12" s="21"/>
      <c r="E12" s="21"/>
      <c r="F12" s="21" t="s">
        <v>72</v>
      </c>
      <c r="G12" s="21"/>
      <c r="H12" s="22"/>
    </row>
    <row r="13" spans="2:12" x14ac:dyDescent="0.2">
      <c r="B13" s="20"/>
      <c r="C13" s="21"/>
      <c r="D13" s="21"/>
      <c r="E13" s="21"/>
      <c r="F13" s="21" t="s">
        <v>73</v>
      </c>
      <c r="G13" s="21"/>
      <c r="H13" s="22"/>
      <c r="J13" s="28" t="s">
        <v>59</v>
      </c>
    </row>
    <row r="14" spans="2:12" x14ac:dyDescent="0.2">
      <c r="B14" s="20"/>
      <c r="C14" s="21"/>
      <c r="D14" s="21"/>
      <c r="E14" s="21"/>
      <c r="F14" s="21"/>
      <c r="G14" s="21"/>
      <c r="H14" s="22"/>
      <c r="J14" s="28" t="s">
        <v>65</v>
      </c>
    </row>
    <row r="15" spans="2:12" x14ac:dyDescent="0.2">
      <c r="B15" s="31"/>
      <c r="C15" s="32"/>
      <c r="D15" s="32"/>
      <c r="E15" s="32"/>
      <c r="F15" s="32"/>
      <c r="G15" s="32"/>
      <c r="H15" s="33"/>
    </row>
    <row r="16" spans="2:12" x14ac:dyDescent="0.2">
      <c r="B16" s="20"/>
      <c r="C16" s="21"/>
      <c r="D16" s="21"/>
      <c r="E16" s="21"/>
      <c r="F16" s="21"/>
      <c r="G16" s="21"/>
      <c r="H16" s="22"/>
      <c r="J16" s="28" t="s">
        <v>66</v>
      </c>
    </row>
    <row r="17" spans="2:12" x14ac:dyDescent="0.2">
      <c r="B17" s="20"/>
      <c r="C17" s="21"/>
      <c r="D17" s="21"/>
      <c r="E17" s="21"/>
      <c r="F17" s="21"/>
      <c r="G17" s="21"/>
      <c r="H17" s="22"/>
      <c r="J17" s="28" t="s">
        <v>67</v>
      </c>
      <c r="L17" t="s">
        <v>95</v>
      </c>
    </row>
    <row r="18" spans="2:12" x14ac:dyDescent="0.2">
      <c r="B18" s="20"/>
      <c r="C18" s="27" t="s">
        <v>74</v>
      </c>
      <c r="D18" s="27" t="s">
        <v>75</v>
      </c>
      <c r="E18" s="27" t="s">
        <v>76</v>
      </c>
      <c r="F18" s="27" t="s">
        <v>77</v>
      </c>
      <c r="G18" s="27" t="s">
        <v>78</v>
      </c>
      <c r="H18" s="22"/>
    </row>
    <row r="19" spans="2:12" x14ac:dyDescent="0.2">
      <c r="B19" s="20"/>
      <c r="C19" s="27">
        <v>1</v>
      </c>
      <c r="D19" s="27" t="s">
        <v>79</v>
      </c>
      <c r="E19" s="27">
        <v>2</v>
      </c>
      <c r="F19" s="27">
        <v>3</v>
      </c>
      <c r="G19" s="27">
        <f>IF(E19*F19=0,"",E19*F19)</f>
        <v>6</v>
      </c>
      <c r="H19" s="22"/>
      <c r="J19" s="28" t="s">
        <v>69</v>
      </c>
      <c r="L19" t="s">
        <v>96</v>
      </c>
    </row>
    <row r="20" spans="2:12" x14ac:dyDescent="0.2">
      <c r="B20" s="20"/>
      <c r="C20" s="27"/>
      <c r="D20" s="27"/>
      <c r="E20" s="27"/>
      <c r="F20" s="27"/>
      <c r="G20" s="27"/>
      <c r="H20" s="22"/>
      <c r="J20" s="28" t="s">
        <v>70</v>
      </c>
    </row>
    <row r="21" spans="2:12" x14ac:dyDescent="0.2">
      <c r="B21" s="20"/>
      <c r="C21" s="27"/>
      <c r="D21" s="27"/>
      <c r="E21" s="27"/>
      <c r="F21" s="27"/>
      <c r="G21" s="27"/>
      <c r="H21" s="22"/>
      <c r="L21" t="s">
        <v>97</v>
      </c>
    </row>
    <row r="22" spans="2:12" x14ac:dyDescent="0.2">
      <c r="B22" s="20"/>
      <c r="C22" s="21"/>
      <c r="D22" s="21"/>
      <c r="E22" s="21"/>
      <c r="F22" s="21"/>
      <c r="G22" s="21"/>
      <c r="H22" s="22"/>
      <c r="J22" s="28" t="s">
        <v>71</v>
      </c>
    </row>
    <row r="23" spans="2:12" x14ac:dyDescent="0.2">
      <c r="B23" s="20"/>
      <c r="C23" s="21"/>
      <c r="D23" s="21"/>
      <c r="E23" s="21"/>
      <c r="F23" s="21"/>
      <c r="G23" s="21"/>
      <c r="H23" s="22"/>
      <c r="J23" s="28">
        <v>400324</v>
      </c>
      <c r="L23" t="s">
        <v>98</v>
      </c>
    </row>
    <row r="24" spans="2:12" x14ac:dyDescent="0.2">
      <c r="B24" s="20"/>
      <c r="C24" s="21"/>
      <c r="D24" s="21"/>
      <c r="E24" s="21"/>
      <c r="F24" s="21"/>
      <c r="G24" s="21"/>
      <c r="H24" s="22"/>
    </row>
    <row r="25" spans="2:12" x14ac:dyDescent="0.2">
      <c r="B25" s="20"/>
      <c r="C25" s="21"/>
      <c r="D25" s="21"/>
      <c r="E25" s="21"/>
      <c r="F25" s="21"/>
      <c r="G25" s="21"/>
      <c r="H25" s="22"/>
      <c r="L25" t="s">
        <v>99</v>
      </c>
    </row>
    <row r="26" spans="2:12" x14ac:dyDescent="0.2">
      <c r="B26" s="20"/>
      <c r="C26" s="21"/>
      <c r="D26" s="21"/>
      <c r="E26" s="21"/>
      <c r="F26" s="21"/>
      <c r="G26" s="21"/>
      <c r="H26" s="22"/>
    </row>
    <row r="27" spans="2:12" x14ac:dyDescent="0.2">
      <c r="B27" s="20"/>
      <c r="C27" s="21"/>
      <c r="D27" s="21"/>
      <c r="E27" s="21"/>
      <c r="F27" s="21"/>
      <c r="G27" s="21"/>
      <c r="H27" s="22"/>
    </row>
    <row r="28" spans="2:12" x14ac:dyDescent="0.2">
      <c r="B28" s="20"/>
      <c r="C28" s="21"/>
      <c r="D28" s="21"/>
      <c r="E28" s="21"/>
      <c r="F28" s="21"/>
      <c r="G28" s="21"/>
      <c r="H28" s="22"/>
    </row>
    <row r="29" spans="2:12" x14ac:dyDescent="0.2">
      <c r="B29" s="20"/>
      <c r="C29" s="21"/>
      <c r="D29" s="21"/>
      <c r="E29" s="21"/>
      <c r="F29" s="21"/>
      <c r="G29" s="21"/>
      <c r="H29" s="22"/>
    </row>
    <row r="30" spans="2:12" x14ac:dyDescent="0.2">
      <c r="B30" s="20"/>
      <c r="C30" s="21"/>
      <c r="D30" s="21"/>
      <c r="E30" s="21"/>
      <c r="F30" s="21"/>
      <c r="G30" s="21"/>
      <c r="H30" s="22"/>
    </row>
    <row r="31" spans="2:12" x14ac:dyDescent="0.2">
      <c r="B31" s="20"/>
      <c r="C31" s="21"/>
      <c r="D31" s="21"/>
      <c r="E31" s="21"/>
      <c r="F31" s="21"/>
      <c r="G31" s="21"/>
      <c r="H31" s="22"/>
    </row>
    <row r="32" spans="2:12" x14ac:dyDescent="0.2">
      <c r="B32" s="20"/>
      <c r="C32" s="21"/>
      <c r="D32" s="21"/>
      <c r="E32" s="21"/>
      <c r="F32" s="21"/>
      <c r="G32" s="21"/>
      <c r="H32" s="22"/>
    </row>
    <row r="33" spans="2:8" x14ac:dyDescent="0.2">
      <c r="B33" s="31"/>
      <c r="C33" s="32"/>
      <c r="D33" s="32"/>
      <c r="E33" s="32"/>
      <c r="F33" s="32"/>
      <c r="G33" s="32"/>
      <c r="H33" s="33"/>
    </row>
    <row r="34" spans="2:8" x14ac:dyDescent="0.2">
      <c r="B34" s="20"/>
      <c r="C34" s="21"/>
      <c r="D34" s="21"/>
      <c r="E34" s="21"/>
      <c r="F34" s="21"/>
      <c r="G34" s="21"/>
      <c r="H34" s="22"/>
    </row>
    <row r="35" spans="2:8" x14ac:dyDescent="0.2">
      <c r="B35" s="20"/>
      <c r="C35" s="21"/>
      <c r="D35" s="21"/>
      <c r="E35" s="21"/>
      <c r="F35" s="21"/>
      <c r="G35" s="21"/>
      <c r="H35" s="22"/>
    </row>
    <row r="36" spans="2:8" x14ac:dyDescent="0.2">
      <c r="B36" s="20"/>
      <c r="C36" s="21" t="s">
        <v>81</v>
      </c>
      <c r="D36" s="21"/>
      <c r="E36" s="21"/>
      <c r="F36" s="21"/>
      <c r="G36" s="21"/>
      <c r="H36" s="22"/>
    </row>
    <row r="37" spans="2:8" x14ac:dyDescent="0.2">
      <c r="B37" s="20"/>
      <c r="C37" s="21"/>
      <c r="D37" s="21"/>
      <c r="E37" s="21"/>
      <c r="F37" s="21"/>
      <c r="G37" s="21"/>
      <c r="H37" s="22"/>
    </row>
    <row r="38" spans="2:8" x14ac:dyDescent="0.2">
      <c r="B38" s="20"/>
      <c r="C38" s="21"/>
      <c r="D38" s="21" t="s">
        <v>88</v>
      </c>
      <c r="E38" s="21"/>
      <c r="F38" s="21" t="s">
        <v>83</v>
      </c>
      <c r="G38" s="21"/>
      <c r="H38" s="22"/>
    </row>
    <row r="39" spans="2:8" x14ac:dyDescent="0.2">
      <c r="B39" s="20"/>
      <c r="C39" s="21"/>
      <c r="D39" s="21" t="s">
        <v>89</v>
      </c>
      <c r="E39" s="21"/>
      <c r="F39" s="21" t="s">
        <v>84</v>
      </c>
      <c r="G39" s="21"/>
      <c r="H39" s="22"/>
    </row>
    <row r="40" spans="2:8" x14ac:dyDescent="0.2">
      <c r="B40" s="20"/>
      <c r="C40" s="21"/>
      <c r="D40" s="21" t="s">
        <v>90</v>
      </c>
      <c r="E40" s="21"/>
      <c r="F40" s="21"/>
      <c r="G40" s="21"/>
      <c r="H40" s="22"/>
    </row>
    <row r="41" spans="2:8" x14ac:dyDescent="0.2">
      <c r="B41" s="20"/>
      <c r="C41" s="21"/>
      <c r="D41" s="21" t="s">
        <v>60</v>
      </c>
      <c r="E41" s="21"/>
      <c r="F41" s="21" t="s">
        <v>85</v>
      </c>
      <c r="G41" s="21"/>
      <c r="H41" s="22"/>
    </row>
    <row r="42" spans="2:8" x14ac:dyDescent="0.2">
      <c r="B42" s="20"/>
      <c r="C42" s="21"/>
      <c r="D42" s="21" t="s">
        <v>91</v>
      </c>
      <c r="E42" s="21"/>
      <c r="F42" s="21" t="s">
        <v>86</v>
      </c>
      <c r="G42" s="21"/>
      <c r="H42" s="22"/>
    </row>
    <row r="43" spans="2:8" x14ac:dyDescent="0.2">
      <c r="B43" s="20"/>
      <c r="C43" s="21"/>
      <c r="D43" s="21"/>
      <c r="E43" s="21"/>
      <c r="F43" s="21" t="s">
        <v>87</v>
      </c>
      <c r="G43" s="21"/>
      <c r="H43" s="22"/>
    </row>
    <row r="44" spans="2:8" x14ac:dyDescent="0.2">
      <c r="B44" s="20"/>
      <c r="C44" s="21" t="s">
        <v>82</v>
      </c>
      <c r="D44" s="21"/>
      <c r="E44" s="21"/>
      <c r="F44" s="21"/>
      <c r="G44" s="21"/>
      <c r="H44" s="22"/>
    </row>
    <row r="45" spans="2:8" x14ac:dyDescent="0.2">
      <c r="B45" s="20"/>
      <c r="C45" s="46" t="str">
        <f>IF(D45="","",MAX($C$19:C44)+1)</f>
        <v/>
      </c>
      <c r="D45" s="46"/>
      <c r="E45" s="46"/>
      <c r="F45" s="46"/>
      <c r="G45" s="46" t="str">
        <f>IF(E45*F45=0,"",E45*F45)</f>
        <v/>
      </c>
      <c r="H45" s="22"/>
    </row>
    <row r="46" spans="2:8" x14ac:dyDescent="0.2">
      <c r="B46" s="23"/>
      <c r="C46" s="24"/>
      <c r="D46" s="24"/>
      <c r="E46" s="24"/>
      <c r="F46" s="24"/>
      <c r="G46" s="24"/>
      <c r="H46" s="25"/>
    </row>
  </sheetData>
  <mergeCells count="1">
    <mergeCell ref="B3:H5"/>
  </mergeCells>
  <pageMargins left="0.7" right="0.7" top="0.75" bottom="0.75" header="0.3" footer="0.3"/>
  <pageSetup paperSize="9" scale="88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2.SaveSheetAsPDF_NoPrinter" altText="Print_PDF">
                <anchor moveWithCells="1" sizeWithCells="1">
                  <from>
                    <xdr:col>11</xdr:col>
                    <xdr:colOff>431800</xdr:colOff>
                    <xdr:row>11</xdr:row>
                    <xdr:rowOff>88900</xdr:rowOff>
                  </from>
                  <to>
                    <xdr:col>12</xdr:col>
                    <xdr:colOff>431800</xdr:colOff>
                    <xdr:row>13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F9816-5161-8641-B0A1-9F2CCCB30EE3}">
  <sheetPr codeName="Sheet3"/>
  <dimension ref="B1:H7"/>
  <sheetViews>
    <sheetView topLeftCell="F1" zoomScale="284" workbookViewId="0">
      <selection activeCell="H5" sqref="H5:L10"/>
    </sheetView>
  </sheetViews>
  <sheetFormatPr baseColWidth="10" defaultRowHeight="16" x14ac:dyDescent="0.2"/>
  <cols>
    <col min="4" max="4" width="12" bestFit="1" customWidth="1"/>
  </cols>
  <sheetData>
    <row r="1" spans="2:8" x14ac:dyDescent="0.2">
      <c r="B1" s="21"/>
      <c r="C1" s="21"/>
      <c r="D1" s="21"/>
      <c r="E1" s="21"/>
      <c r="F1" s="21"/>
    </row>
    <row r="4" spans="2:8" x14ac:dyDescent="0.2">
      <c r="D4" t="s">
        <v>63</v>
      </c>
      <c r="E4" t="s">
        <v>64</v>
      </c>
      <c r="F4" t="s">
        <v>65</v>
      </c>
      <c r="G4" t="s">
        <v>60</v>
      </c>
      <c r="H4" t="s">
        <v>61</v>
      </c>
    </row>
    <row r="7" spans="2:8" x14ac:dyDescent="0.2">
      <c r="D7" t="s">
        <v>68</v>
      </c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EPILOGUE</vt:lpstr>
      <vt:lpstr>genAI</vt:lpstr>
      <vt:lpstr>Sheet3</vt:lpstr>
      <vt:lpstr>genAI!Print_Area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UTKARSH SAHU</dc:creator>
  <cp:lastModifiedBy>UTKARSH SAHU</cp:lastModifiedBy>
  <cp:lastPrinted>2026-09-10T17:38:39Z</cp:lastPrinted>
  <dcterms:created xsi:type="dcterms:W3CDTF">2026-09-10T15:33:36Z</dcterms:created>
  <dcterms:modified xsi:type="dcterms:W3CDTF">2026-09-10T17:41:26Z</dcterms:modified>
</cp:coreProperties>
</file>