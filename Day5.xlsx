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0065DEA6-962E-7D4E-861C-0BB6014CB296}" xr6:coauthVersionLast="47" xr6:coauthVersionMax="47" xr10:uidLastSave="{00000000-0000-0000-0000-000000000000}"/>
  <bookViews>
    <workbookView xWindow="0" yWindow="600" windowWidth="28800" windowHeight="17400" xr2:uid="{31EE9B9E-62C9-564D-9DA7-EC843151A419}"/>
  </bookViews>
  <sheets>
    <sheet name="agend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1" i="2" l="1"/>
  <c r="F115" i="2"/>
  <c r="E115" i="2"/>
  <c r="E111" i="2"/>
  <c r="H100" i="2"/>
  <c r="G94" i="2"/>
  <c r="G90" i="2"/>
  <c r="G91" i="2"/>
  <c r="G92" i="2"/>
  <c r="G89" i="2"/>
  <c r="F73" i="2" a="1"/>
  <c r="E85" i="2" s="1"/>
  <c r="F63" i="2"/>
  <c r="F61" i="2"/>
  <c r="D56" i="2"/>
  <c r="D53" i="2"/>
  <c r="G44" i="2"/>
  <c r="F44" i="2"/>
  <c r="G39" i="2"/>
  <c r="F39" i="2"/>
  <c r="E27" i="2"/>
  <c r="F22" i="2"/>
  <c r="D27" i="2"/>
  <c r="E22" i="2"/>
  <c r="F18" i="2"/>
  <c r="E18" i="2"/>
  <c r="H15" i="2"/>
  <c r="G15" i="2"/>
  <c r="H12" i="2"/>
  <c r="G12" i="2"/>
  <c r="H8" i="2"/>
  <c r="G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<sst xmlns="http://schemas.openxmlformats.org/spreadsheetml/2006/main" count="118" uniqueCount="83">
  <si>
    <t>STATE</t>
  </si>
  <si>
    <t>Salary</t>
  </si>
  <si>
    <t>AGE</t>
  </si>
  <si>
    <t>MH</t>
  </si>
  <si>
    <t>UP</t>
  </si>
  <si>
    <t>BH</t>
  </si>
  <si>
    <t>PU</t>
  </si>
  <si>
    <t>TN</t>
  </si>
  <si>
    <t>SUMIF</t>
  </si>
  <si>
    <t>SUMIFS</t>
  </si>
  <si>
    <t>SUM wrt a condition</t>
  </si>
  <si>
    <t>SUM wrt to 1 or More condition</t>
  </si>
  <si>
    <t>SUM of salary for entire data?</t>
  </si>
  <si>
    <t>SUM of salary of people from UP</t>
  </si>
  <si>
    <t xml:space="preserve">RANGE </t>
  </si>
  <si>
    <t>where you want to evaluate the criteria</t>
  </si>
  <si>
    <t>CRITERIA</t>
  </si>
  <si>
    <t xml:space="preserve">The condition </t>
  </si>
  <si>
    <t>SUM_RANGE</t>
  </si>
  <si>
    <t>What you want to add</t>
  </si>
  <si>
    <t>SUM of age of people from MH</t>
  </si>
  <si>
    <t>SUM of salary for people not in TN</t>
  </si>
  <si>
    <t>&lt;&gt;</t>
  </si>
  <si>
    <t>Not Equal to</t>
  </si>
  <si>
    <t>SUM of age of people who are minors ( age &lt;18)</t>
  </si>
  <si>
    <t>if not provided, RANGE is used for addition</t>
  </si>
  <si>
    <t>SUM of salary of people from MH who are minor (age&lt;18)</t>
  </si>
  <si>
    <t>SUM RANGE</t>
  </si>
  <si>
    <t>what we want to add</t>
  </si>
  <si>
    <t>CRITERIA RANGE 1</t>
  </si>
  <si>
    <t>Where to evaluate the criteria</t>
  </si>
  <si>
    <t>what is the condition</t>
  </si>
  <si>
    <t>CRITERIA1</t>
  </si>
  <si>
    <t>ALL THE CRITERIA NEEDS to be SATISFIED</t>
  </si>
  <si>
    <t>only remember SUMIFS</t>
  </si>
  <si>
    <t>Conditional AVERAGE</t>
  </si>
  <si>
    <t>AVERAGE IF</t>
  </si>
  <si>
    <t>AVERAGE IFS</t>
  </si>
  <si>
    <t>AVERAGE Salary of a person from MH</t>
  </si>
  <si>
    <t>AVERAGE of age of people who have salary &gt;4000 and are from UP</t>
  </si>
  <si>
    <t>LARGE and SMALL</t>
  </si>
  <si>
    <t xml:space="preserve">LARGE </t>
  </si>
  <si>
    <t>SMALL</t>
  </si>
  <si>
    <t>nth Largest value in the range</t>
  </si>
  <si>
    <t>nth Smallest value in the range</t>
  </si>
  <si>
    <t xml:space="preserve">MIN </t>
  </si>
  <si>
    <t>MAX</t>
  </si>
  <si>
    <t>SUMPRODUCT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</si>
  <si>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</si>
  <si>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</si>
  <si>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</si>
  <si>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</si>
  <si>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</si>
  <si>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</si>
  <si>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</si>
  <si>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</si>
  <si>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</si>
  <si>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</si>
  <si>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</si>
  <si>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</si>
  <si>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</si>
  <si>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</si>
  <si>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</si>
  <si>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</si>
  <si>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</si>
  <si>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</si>
  <si>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a1*b1*c1 + a2*b2*c2 + ….+ a_n*b_n*c_n</t>
  </si>
  <si>
    <t>SUMPRODUCT ( first range, second range, third range)</t>
  </si>
  <si>
    <t>Qt</t>
  </si>
  <si>
    <t>Price/Unit</t>
  </si>
  <si>
    <t>SUM SQUARE</t>
  </si>
  <si>
    <t>to add sum of Squares</t>
  </si>
  <si>
    <t>MEASURES of central tendency??</t>
  </si>
  <si>
    <t>Group Representatives</t>
  </si>
  <si>
    <t>MEDIAN</t>
  </si>
  <si>
    <t>MODE</t>
  </si>
  <si>
    <t>MEAN (average)</t>
  </si>
  <si>
    <t>Standard Deviation</t>
  </si>
  <si>
    <t>Variance</t>
  </si>
  <si>
    <t>T test</t>
  </si>
  <si>
    <t>Linear regression</t>
  </si>
  <si>
    <t>Hypothesis Testing</t>
  </si>
  <si>
    <t>Sample vs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</si>
</sst>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3" borderId="0" xfId="0" applyFill="1"/>
    <xf numFmtId="0" fontId="0" fillId="0" borderId="1" xfId="0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213804</xdr:colOff>
      <xdr:row>7</xdr:row>
      <xdr:rowOff>55589</xdr:rowOff>
    </xdr:from>
    <xdr:to>
      <xdr:col>4</xdr:col>
      <xdr:colOff>124690</xdr:colOff>
      <xdr:row>11</xdr:row>
      <xdr:rowOff>129608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D7E9F-699D-2E0E-C0BD-F8105C337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090" y="1492357"/>
          <a:ext cx="2386745" cy="895029"/>
        </a:xfrm>
        <a:prstGeom prst="rect">
          <a:avLst/>
        </a:prstGeom>
      </xdr:spPr>
    </xdr:pic>
    <xdr:clientData/>
  </xdr:twoCellAnchor>
  <xdr:twoCellAnchor editAs="oneCell">
    <xdr:from>
      <xdr:col>2</xdr:col>
      <xdr:colOff>67708</xdr:colOff>
      <xdr:row>10</xdr:row>
      <xdr:rowOff>181995</xdr:rowOff>
    </xdr:from>
    <xdr:to>
      <xdr:col>3</xdr:col>
      <xdr:colOff>275981</xdr:colOff>
      <xdr:row>10</xdr:row>
      <xdr:rowOff>203595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12A57CD-98AD-4419-0F7B-AF68EA4ECA7A}"/>
                </a:ext>
              </a:extLst>
            </xdr14:cNvPr>
            <xdr14:cNvContentPartPr/>
          </xdr14:nvContentPartPr>
          <xdr14:nvPr macro=""/>
          <xdr14:xfrm>
            <a:off x="1718280" y="2234520"/>
            <a:ext cx="1033560" cy="216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12A57CD-98AD-4419-0F7B-AF68EA4ECA7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12160" y="2228400"/>
              <a:ext cx="1045800" cy="3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76015</xdr:colOff>
      <xdr:row>10</xdr:row>
      <xdr:rowOff>61035</xdr:rowOff>
    </xdr:from>
    <xdr:to>
      <xdr:col>4</xdr:col>
      <xdr:colOff>425575</xdr:colOff>
      <xdr:row>11</xdr:row>
      <xdr:rowOff>33982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9E754376-0B2B-FA52-BA9C-B47B486D51BD}"/>
                </a:ext>
              </a:extLst>
            </xdr14:cNvPr>
            <xdr14:cNvContentPartPr/>
          </xdr14:nvContentPartPr>
          <xdr14:nvPr macro=""/>
          <xdr14:xfrm>
            <a:off x="3377160" y="2113560"/>
            <a:ext cx="349560" cy="17820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9E754376-0B2B-FA52-BA9C-B47B486D51B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371040" y="2107440"/>
              <a:ext cx="36180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671347</xdr:colOff>
      <xdr:row>27</xdr:row>
      <xdr:rowOff>57272</xdr:rowOff>
    </xdr:from>
    <xdr:to>
      <xdr:col>5</xdr:col>
      <xdr:colOff>256694</xdr:colOff>
      <xdr:row>32</xdr:row>
      <xdr:rowOff>54306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6E3BFC5-ACD3-0DD0-F9D4-1388858F9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347" y="5599090"/>
          <a:ext cx="3711778" cy="102329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15:49:14.97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43 24575,'52'0'0,"28"0"0,-26 0 0,3 0 0,4 0 0,-1 0 0,-6 0 0,-2 0 0,27 0 0,-27 0 0,-20 0 0,-16 0 0,-9 0 0,-5 0 0</inkml:trace>
  <inkml:trace contextRef="#ctx0" brushRef="#br0" timeOffset="1198">832 60 24575,'68'0'0,"17"0"0,-26 0 0,2 0 0,1 0 0,0 0 0,-7 0 0,-1 0 0,32 0 0,-35 0 0,-20 0 0,-18 0 0,-7 0 0,-3 0 0,-1 0 0</inkml:trace>
  <inkml:trace contextRef="#ctx0" brushRef="#br0" timeOffset="2464">1868 0 24575,'8'0'0,"14"0"0,24 0 0,24 0 0,20 0 0,-7 0 0,-6 0 0,-3 0 0,-3 0 0,6 0 0,-11 0 0,-17 0 0,-12 0 0,-8 0 0,-4 0 0,-2 0 0,-5 0 0,-5 0 0,-3 0 0,0 0 0,6 0 0,5 0 0,3 0 0,-3 0 0,-8 0 0,-6 0 0,-4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15:49:20.5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60 0 24575,'-12'0'0,"-1"0"0,-1 0 0,3 0 0,4 1 0,4 2 0,4 8 0,2 13 0,1 15 0,0 10 0,1 7 0,0-4 0,-2-6 0,0-5 0,-2-6 0,1-2 0,-1-2 0,1-7 0,-1-7 0,0-6 0,-1-6 0,2-2 0,1-2 0,3-1 0,3 0 0,8 0 0,11 0 0,9 0 0,4 1 0,-3 2 0,-11 1 0,-14-1 0,-7-1 0</inkml:trace>
  <inkml:trace contextRef="#ctx0" brushRef="#br0" timeOffset="2034">870 10 24575,'15'0'0,"0"0"0,-2 0 0,-2 0 0,-5 0 0,-2 1 0,-2 1 0,-2 1 0,0 3 0,0 3 0,0 3 0,0 3 0,0 2 0,0-1 0,0 0 0,0-1 0,0 4 0,0 8 0,1 15 0,3 10 0,2 8 0,2-4 0,0-14 0,-3-12 0,-2-14 0,-3-8 0,-3-5 0,-4-2 0,-2-1 0,-2-1 0,0 0 0,0-1 0,-1 1 0,-1 0 0,0 1 0,-1 0 0,5 0 0,1 0 0,3 0 0,3 0 0,1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BF51-DEB8-8E44-8979-41D8283B51CC}">
  <dimension ref="A4:G112"/>
  <sheetViews>
    <sheetView tabSelected="1" topLeftCell="A102" zoomScale="297" workbookViewId="0">
      <selection activeCell="F113" sqref="F113"/>
    </sheetView>
  </sheetViews>
  <sheetFormatPr baseColWidth="10" defaultRowHeight="16" x14ac:dyDescent="0.2"/>
  <sheetData>
    <row r="4" spans="2:5" x14ac:dyDescent="0.2">
      <c r="B4" t="s">
        <v>8</v>
      </c>
      <c r="D4" t="s">
        <v>10</v>
      </c>
    </row>
    <row r="6" spans="2:5" x14ac:dyDescent="0.2">
      <c r="B6" t="s">
        <v>9</v>
      </c>
      <c r="D6" t="s">
        <v>11</v>
      </c>
    </row>
    <row r="14" spans="2:5" x14ac:dyDescent="0.2">
      <c r="C14" t="s">
        <v>14</v>
      </c>
      <c r="E14" t="s">
        <v>15</v>
      </c>
    </row>
    <row r="16" spans="2:5" x14ac:dyDescent="0.2">
      <c r="C16" t="s">
        <v>16</v>
      </c>
      <c r="E16" t="s">
        <v>17</v>
      </c>
    </row>
    <row r="18" spans="1:7" x14ac:dyDescent="0.2">
      <c r="C18" t="s">
        <v>18</v>
      </c>
      <c r="E18" t="s">
        <v>19</v>
      </c>
    </row>
    <row r="19" spans="1:7" x14ac:dyDescent="0.2">
      <c r="E19" t="s">
        <v>25</v>
      </c>
    </row>
    <row r="22" spans="1:7" x14ac:dyDescent="0.2">
      <c r="B22" t="s">
        <v>22</v>
      </c>
      <c r="D22" t="s">
        <v>23</v>
      </c>
    </row>
    <row r="26" spans="1:7" x14ac:dyDescent="0.2">
      <c r="A26" s="3"/>
      <c r="B26" s="3"/>
      <c r="C26" s="3"/>
      <c r="D26" s="3"/>
      <c r="E26" s="3"/>
      <c r="F26" s="3"/>
      <c r="G26" s="3"/>
    </row>
    <row r="36" spans="1:7" x14ac:dyDescent="0.2">
      <c r="B36" t="s">
        <v>27</v>
      </c>
      <c r="D36" t="s">
        <v>28</v>
      </c>
    </row>
    <row r="38" spans="1:7" x14ac:dyDescent="0.2">
      <c r="B38" t="s">
        <v>29</v>
      </c>
      <c r="D38" t="s">
        <v>30</v>
      </c>
    </row>
    <row r="40" spans="1:7" x14ac:dyDescent="0.2">
      <c r="B40" t="s">
        <v>32</v>
      </c>
      <c r="D40" t="s">
        <v>31</v>
      </c>
    </row>
    <row r="42" spans="1:7" x14ac:dyDescent="0.2">
      <c r="B42" t="s">
        <v>33</v>
      </c>
    </row>
    <row r="45" spans="1:7" x14ac:dyDescent="0.2">
      <c r="B45" t="s">
        <v>34</v>
      </c>
    </row>
    <row r="47" spans="1:7" x14ac:dyDescent="0.2">
      <c r="A47" s="3"/>
      <c r="B47" s="3"/>
      <c r="C47" s="3"/>
      <c r="D47" s="3"/>
      <c r="E47" s="3"/>
      <c r="F47" s="3"/>
      <c r="G47" s="3"/>
    </row>
    <row r="49" spans="1:7" x14ac:dyDescent="0.2">
      <c r="B49" t="s">
        <v>35</v>
      </c>
    </row>
    <row r="51" spans="1:7" x14ac:dyDescent="0.2">
      <c r="B51" t="s">
        <v>36</v>
      </c>
    </row>
    <row r="53" spans="1:7" x14ac:dyDescent="0.2">
      <c r="B53" t="s">
        <v>37</v>
      </c>
    </row>
    <row r="56" spans="1:7" x14ac:dyDescent="0.2">
      <c r="A56" s="3"/>
      <c r="B56" s="3"/>
      <c r="C56" s="3"/>
      <c r="D56" s="3"/>
      <c r="E56" s="3"/>
      <c r="F56" s="3"/>
      <c r="G56" s="3"/>
    </row>
    <row r="57" spans="1:7" x14ac:dyDescent="0.2">
      <c r="A57" s="3"/>
      <c r="B57" s="3"/>
      <c r="C57" s="3"/>
      <c r="D57" s="3"/>
      <c r="E57" s="3"/>
      <c r="F57" s="3"/>
      <c r="G57" s="3"/>
    </row>
    <row r="60" spans="1:7" x14ac:dyDescent="0.2">
      <c r="B60" t="s">
        <v>40</v>
      </c>
    </row>
    <row r="62" spans="1:7" x14ac:dyDescent="0.2">
      <c r="B62" t="s">
        <v>41</v>
      </c>
      <c r="D62" t="s">
        <v>43</v>
      </c>
    </row>
    <row r="64" spans="1:7" x14ac:dyDescent="0.2">
      <c r="B64" t="s">
        <v>42</v>
      </c>
      <c r="D64" t="s">
        <v>44</v>
      </c>
    </row>
    <row r="68" spans="1:7" x14ac:dyDescent="0.2">
      <c r="A68" s="3"/>
      <c r="B68" s="3"/>
      <c r="C68" s="3"/>
      <c r="D68" s="3"/>
      <c r="E68" s="3"/>
      <c r="F68" s="3"/>
      <c r="G68" s="3"/>
    </row>
    <row r="70" spans="1:7" x14ac:dyDescent="0.2">
      <c r="B70" t="s">
        <v>47</v>
      </c>
    </row>
    <row r="72" spans="1:7" x14ac:dyDescent="0.2">
      <c r="C72" s="4" t="s">
        <v>48</v>
      </c>
      <c r="E72" s="4" t="s">
        <v>54</v>
      </c>
      <c r="G72" s="4" t="s">
        <v>60</v>
      </c>
    </row>
    <row r="73" spans="1:7" x14ac:dyDescent="0.2">
      <c r="C73" s="4" t="s">
        <v>49</v>
      </c>
      <c r="E73" s="4" t="s">
        <v>55</v>
      </c>
      <c r="G73" s="4" t="s">
        <v>61</v>
      </c>
    </row>
    <row r="74" spans="1:7" x14ac:dyDescent="0.2">
      <c r="C74" s="4" t="s">
        <v>50</v>
      </c>
      <c r="E74" s="4" t="s">
        <v>56</v>
      </c>
      <c r="G74" s="4" t="s">
        <v>62</v>
      </c>
    </row>
    <row r="75" spans="1:7" x14ac:dyDescent="0.2">
      <c r="C75" s="4" t="s">
        <v>51</v>
      </c>
      <c r="E75" s="4" t="s">
        <v>57</v>
      </c>
      <c r="G75" s="4" t="s">
        <v>63</v>
      </c>
    </row>
    <row r="76" spans="1:7" x14ac:dyDescent="0.2">
      <c r="C76" s="4" t="s">
        <v>52</v>
      </c>
      <c r="E76" s="4" t="s">
        <v>58</v>
      </c>
      <c r="G76" s="4" t="s">
        <v>64</v>
      </c>
    </row>
    <row r="77" spans="1:7" x14ac:dyDescent="0.2">
      <c r="C77" s="4" t="s">
        <v>53</v>
      </c>
      <c r="E77" s="4" t="s">
        <v>59</v>
      </c>
      <c r="G77" s="4" t="s">
        <v>65</v>
      </c>
    </row>
    <row r="80" spans="1:7" x14ac:dyDescent="0.2">
      <c r="D80" t="s">
        <v>66</v>
      </c>
    </row>
    <row r="82" spans="1:7" x14ac:dyDescent="0.2">
      <c r="D82" t="s">
        <v>67</v>
      </c>
    </row>
    <row r="85" spans="1:7" x14ac:dyDescent="0.2">
      <c r="A85" s="3"/>
      <c r="B85" s="3"/>
      <c r="C85" s="3"/>
      <c r="D85" s="3"/>
      <c r="E85" s="3"/>
      <c r="F85" s="3"/>
      <c r="G85" s="3"/>
    </row>
    <row r="87" spans="1:7" x14ac:dyDescent="0.2">
      <c r="B87" t="s">
        <v>70</v>
      </c>
    </row>
    <row r="89" spans="1:7" x14ac:dyDescent="0.2">
      <c r="B89" t="s">
        <v>71</v>
      </c>
    </row>
    <row r="93" spans="1:7" x14ac:dyDescent="0.2">
      <c r="A93" s="3"/>
      <c r="B93" s="3"/>
      <c r="C93" s="3"/>
      <c r="D93" s="3"/>
      <c r="E93" s="3"/>
      <c r="F93" s="3"/>
      <c r="G93" s="3"/>
    </row>
    <row r="96" spans="1:7" x14ac:dyDescent="0.2">
      <c r="B96" t="s">
        <v>72</v>
      </c>
    </row>
    <row r="98" spans="2:5" x14ac:dyDescent="0.2">
      <c r="B98" t="s">
        <v>73</v>
      </c>
    </row>
    <row r="100" spans="2:5" x14ac:dyDescent="0.2">
      <c r="B100" t="s">
        <v>76</v>
      </c>
    </row>
    <row r="102" spans="2:5" x14ac:dyDescent="0.2">
      <c r="B102" t="s">
        <v>74</v>
      </c>
    </row>
    <row r="104" spans="2:5" x14ac:dyDescent="0.2">
      <c r="B104" t="s">
        <v>75</v>
      </c>
    </row>
    <row r="106" spans="2:5" x14ac:dyDescent="0.2">
      <c r="B106" t="s">
        <v>77</v>
      </c>
      <c r="E106" t="s">
        <v>81</v>
      </c>
    </row>
    <row r="108" spans="2:5" x14ac:dyDescent="0.2">
      <c r="B108" t="s">
        <v>78</v>
      </c>
      <c r="E108" t="s">
        <v>82</v>
      </c>
    </row>
    <row r="110" spans="2:5" x14ac:dyDescent="0.2">
      <c r="B110" t="s">
        <v>79</v>
      </c>
    </row>
    <row r="112" spans="2:5" x14ac:dyDescent="0.2">
      <c r="B112" t="s">
        <v>80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018C-7654-9F45-87C8-3D52BD393718}">
  <dimension ref="A4:K119"/>
  <sheetViews>
    <sheetView topLeftCell="A106" zoomScale="200" workbookViewId="0">
      <selection activeCell="A119" sqref="A119:J119"/>
    </sheetView>
  </sheetViews>
  <sheetFormatPr baseColWidth="10" defaultRowHeight="16" x14ac:dyDescent="0.2"/>
  <sheetData>
    <row r="4" spans="3:8" x14ac:dyDescent="0.2">
      <c r="C4" s="1" t="s">
        <v>0</v>
      </c>
      <c r="D4" s="1" t="s">
        <v>1</v>
      </c>
      <c r="E4" s="1" t="s">
        <v>2</v>
      </c>
    </row>
    <row r="5" spans="3:8" x14ac:dyDescent="0.2">
      <c r="C5" s="2" t="s">
        <v>3</v>
      </c>
      <c r="D5" s="2">
        <v>4000</v>
      </c>
      <c r="E5" s="2">
        <v>17</v>
      </c>
    </row>
    <row r="6" spans="3:8" x14ac:dyDescent="0.2">
      <c r="C6" s="2" t="s">
        <v>4</v>
      </c>
      <c r="D6" s="2">
        <v>5600</v>
      </c>
      <c r="E6" s="2">
        <v>18</v>
      </c>
      <c r="G6" t="s">
        <v>12</v>
      </c>
    </row>
    <row r="7" spans="3:8" x14ac:dyDescent="0.2">
      <c r="C7" s="2" t="s">
        <v>5</v>
      </c>
      <c r="D7" s="2">
        <v>9700</v>
      </c>
      <c r="E7" s="2">
        <v>19</v>
      </c>
    </row>
    <row r="8" spans="3:8" x14ac:dyDescent="0.2">
      <c r="C8" s="2" t="s">
        <v>6</v>
      </c>
      <c r="D8" s="2">
        <v>4000</v>
      </c>
      <c r="E8" s="2">
        <v>20</v>
      </c>
      <c r="G8">
        <f>SUM(D5:D14)</f>
        <v>107300</v>
      </c>
      <c r="H8" t="str">
        <f ca="1">_xlfn.FORMULATEXT(G8)</f>
        <v>=SUM(D5:D14)</v>
      </c>
    </row>
    <row r="9" spans="3:8" x14ac:dyDescent="0.2">
      <c r="C9" s="2" t="s">
        <v>3</v>
      </c>
      <c r="D9" s="2">
        <v>8000</v>
      </c>
      <c r="E9" s="2">
        <v>21</v>
      </c>
    </row>
    <row r="10" spans="3:8" x14ac:dyDescent="0.2">
      <c r="C10" s="2" t="s">
        <v>4</v>
      </c>
      <c r="D10" s="2">
        <v>9000</v>
      </c>
      <c r="E10" s="2">
        <v>17</v>
      </c>
      <c r="G10" t="s">
        <v>13</v>
      </c>
    </row>
    <row r="11" spans="3:8" x14ac:dyDescent="0.2">
      <c r="C11" s="2" t="s">
        <v>5</v>
      </c>
      <c r="D11" s="2">
        <v>15000</v>
      </c>
      <c r="E11" s="2">
        <v>18</v>
      </c>
    </row>
    <row r="12" spans="3:8" x14ac:dyDescent="0.2">
      <c r="C12" s="2" t="s">
        <v>3</v>
      </c>
      <c r="D12" s="2">
        <v>34000</v>
      </c>
      <c r="E12" s="2">
        <v>16</v>
      </c>
      <c r="G12">
        <f>SUMIF(C5:C14,"UP",D5:D14)</f>
        <v>14600</v>
      </c>
      <c r="H12" t="str">
        <f ca="1">_xlfn.FORMULATEXT(G12)</f>
        <v>=SUMIF(C5:C14,"UP",D5:D14)</v>
      </c>
    </row>
    <row r="13" spans="3:8" x14ac:dyDescent="0.2">
      <c r="C13" s="2" t="s">
        <v>7</v>
      </c>
      <c r="D13" s="2">
        <v>9000</v>
      </c>
      <c r="E13" s="2">
        <v>20</v>
      </c>
    </row>
    <row r="14" spans="3:8" x14ac:dyDescent="0.2">
      <c r="C14" s="2" t="s">
        <v>3</v>
      </c>
      <c r="D14" s="2">
        <v>9000</v>
      </c>
      <c r="E14" s="2">
        <v>24</v>
      </c>
      <c r="G14" t="s">
        <v>20</v>
      </c>
    </row>
    <row r="15" spans="3:8" x14ac:dyDescent="0.2">
      <c r="G15">
        <f>SUMIF(C5:C14,"MH",E5:E14)</f>
        <v>78</v>
      </c>
      <c r="H15" t="str">
        <f ca="1">_xlfn.FORMULATEXT(G15)</f>
        <v>=SUMIF(C5:C14,"MH",E5:E14)</v>
      </c>
    </row>
    <row r="17" spans="1:9" x14ac:dyDescent="0.2">
      <c r="E17" t="s">
        <v>21</v>
      </c>
    </row>
    <row r="18" spans="1:9" x14ac:dyDescent="0.2">
      <c r="E18">
        <f>SUMIF(C5:C14,"&lt;&gt;TN",D5:D14)</f>
        <v>98300</v>
      </c>
      <c r="F18" t="str">
        <f ca="1">_xlfn.FORMULATEXT(E18)</f>
        <v>=SUMIF(C5:C14,"&lt;&gt;TN",D5:D14)</v>
      </c>
    </row>
    <row r="20" spans="1:9" x14ac:dyDescent="0.2">
      <c r="E20" t="s">
        <v>24</v>
      </c>
    </row>
    <row r="22" spans="1:9" x14ac:dyDescent="0.2">
      <c r="E22">
        <f>SUMIF(E4:E14,"&lt;18")</f>
        <v>50</v>
      </c>
      <c r="F22" t="str">
        <f ca="1">_xlfn.FORMULATEXT(E22)</f>
        <v>=SUMIF(E4:E14,"&lt;18")</v>
      </c>
    </row>
    <row r="25" spans="1:9" x14ac:dyDescent="0.2">
      <c r="D25" t="s">
        <v>26</v>
      </c>
    </row>
    <row r="27" spans="1:9" x14ac:dyDescent="0.2">
      <c r="D27">
        <f>SUMIFS(D5:D14,C5:C14,"MH",E5:E14,"&lt;18")</f>
        <v>38000</v>
      </c>
      <c r="E27" t="str">
        <f ca="1">_xlfn.FORMULATEXT(D27)</f>
        <v>=SUMIFS(D5:D14,C5:C14,"MH",E5:E14,"&lt;18")</v>
      </c>
    </row>
    <row r="31" spans="1:9" x14ac:dyDescent="0.2">
      <c r="A31" s="3"/>
      <c r="B31" s="3"/>
      <c r="C31" s="3"/>
      <c r="D31" s="3"/>
      <c r="E31" s="3"/>
      <c r="F31" s="3"/>
      <c r="G31" s="3"/>
      <c r="H31" s="3"/>
      <c r="I31" s="3"/>
    </row>
    <row r="35" spans="2:7" x14ac:dyDescent="0.2">
      <c r="B35" s="1" t="s">
        <v>0</v>
      </c>
      <c r="C35" s="1" t="s">
        <v>1</v>
      </c>
      <c r="D35" s="1" t="s">
        <v>2</v>
      </c>
    </row>
    <row r="36" spans="2:7" x14ac:dyDescent="0.2">
      <c r="B36" s="2" t="s">
        <v>3</v>
      </c>
      <c r="C36" s="2">
        <v>4000</v>
      </c>
      <c r="D36" s="2">
        <v>17</v>
      </c>
      <c r="F36" t="s">
        <v>38</v>
      </c>
    </row>
    <row r="37" spans="2:7" x14ac:dyDescent="0.2">
      <c r="B37" s="2" t="s">
        <v>4</v>
      </c>
      <c r="C37" s="2">
        <v>5600</v>
      </c>
      <c r="D37" s="2">
        <v>18</v>
      </c>
    </row>
    <row r="38" spans="2:7" x14ac:dyDescent="0.2">
      <c r="B38" s="2" t="s">
        <v>5</v>
      </c>
      <c r="C38" s="2">
        <v>9700</v>
      </c>
      <c r="D38" s="2">
        <v>19</v>
      </c>
    </row>
    <row r="39" spans="2:7" x14ac:dyDescent="0.2">
      <c r="B39" s="2" t="s">
        <v>6</v>
      </c>
      <c r="C39" s="2">
        <v>4000</v>
      </c>
      <c r="D39" s="2">
        <v>20</v>
      </c>
      <c r="F39">
        <f>AVERAGEIF(B36:B45,"MH",C36:C45)</f>
        <v>13750</v>
      </c>
      <c r="G39" t="str">
        <f ca="1">_xlfn.FORMULATEXT(F39)</f>
        <v>=AVERAGEIF(B36:B45,"MH",C36:C45)</v>
      </c>
    </row>
    <row r="40" spans="2:7" x14ac:dyDescent="0.2">
      <c r="B40" s="2" t="s">
        <v>3</v>
      </c>
      <c r="C40" s="2">
        <v>8000</v>
      </c>
      <c r="D40" s="2">
        <v>21</v>
      </c>
    </row>
    <row r="41" spans="2:7" x14ac:dyDescent="0.2">
      <c r="B41" s="2" t="s">
        <v>4</v>
      </c>
      <c r="C41" s="2">
        <v>9000</v>
      </c>
      <c r="D41" s="2">
        <v>17</v>
      </c>
    </row>
    <row r="42" spans="2:7" x14ac:dyDescent="0.2">
      <c r="B42" s="2" t="s">
        <v>5</v>
      </c>
      <c r="C42" s="2">
        <v>15000</v>
      </c>
      <c r="D42" s="2">
        <v>18</v>
      </c>
      <c r="F42" t="s">
        <v>39</v>
      </c>
    </row>
    <row r="43" spans="2:7" x14ac:dyDescent="0.2">
      <c r="B43" s="2" t="s">
        <v>3</v>
      </c>
      <c r="C43" s="2">
        <v>34000</v>
      </c>
      <c r="D43" s="2">
        <v>16</v>
      </c>
    </row>
    <row r="44" spans="2:7" x14ac:dyDescent="0.2">
      <c r="B44" s="2" t="s">
        <v>7</v>
      </c>
      <c r="C44" s="2">
        <v>9000</v>
      </c>
      <c r="D44" s="2">
        <v>20</v>
      </c>
      <c r="F44">
        <f>AVERAGEIFS(D36:D45,C36:C45,"&gt;4000",B36:B45,"UP")</f>
        <v>17.5</v>
      </c>
      <c r="G44" t="str">
        <f ca="1">_xlfn.FORMULATEXT(F44)</f>
        <v>=AVERAGEIFS(D36:D45,C36:C45,"&gt;4000",B36:B45,"UP")</v>
      </c>
    </row>
    <row r="45" spans="2:7" x14ac:dyDescent="0.2">
      <c r="B45" s="2" t="s">
        <v>3</v>
      </c>
      <c r="C45" s="2">
        <v>9000</v>
      </c>
      <c r="D45" s="2">
        <v>24</v>
      </c>
    </row>
    <row r="49" spans="1:9" x14ac:dyDescent="0.2">
      <c r="A49" s="3"/>
      <c r="B49" s="3"/>
      <c r="C49" s="3"/>
      <c r="D49" s="3"/>
      <c r="E49" s="3"/>
      <c r="F49" s="3"/>
      <c r="G49" s="3"/>
      <c r="H49" s="3"/>
      <c r="I49" s="3"/>
    </row>
    <row r="51" spans="1:9" x14ac:dyDescent="0.2">
      <c r="B51" s="1" t="s">
        <v>1</v>
      </c>
    </row>
    <row r="52" spans="1:9" x14ac:dyDescent="0.2">
      <c r="B52" s="2">
        <v>4000</v>
      </c>
    </row>
    <row r="53" spans="1:9" x14ac:dyDescent="0.2">
      <c r="B53" s="2">
        <v>5600</v>
      </c>
      <c r="D53">
        <f>LARGE(B52:B61,4)</f>
        <v>9000</v>
      </c>
    </row>
    <row r="54" spans="1:9" x14ac:dyDescent="0.2">
      <c r="B54" s="2">
        <v>9700</v>
      </c>
    </row>
    <row r="55" spans="1:9" x14ac:dyDescent="0.2">
      <c r="B55" s="2">
        <v>4000</v>
      </c>
    </row>
    <row r="56" spans="1:9" x14ac:dyDescent="0.2">
      <c r="B56" s="2">
        <v>8000</v>
      </c>
      <c r="D56">
        <f>SMALL(B52:B61,2)</f>
        <v>4000</v>
      </c>
    </row>
    <row r="57" spans="1:9" x14ac:dyDescent="0.2">
      <c r="B57" s="2">
        <v>9000</v>
      </c>
    </row>
    <row r="58" spans="1:9" x14ac:dyDescent="0.2">
      <c r="B58" s="2">
        <v>15000</v>
      </c>
    </row>
    <row r="59" spans="1:9" x14ac:dyDescent="0.2">
      <c r="B59" s="2">
        <v>34000</v>
      </c>
    </row>
    <row r="60" spans="1:9" x14ac:dyDescent="0.2">
      <c r="B60" s="2">
        <v>9000</v>
      </c>
    </row>
    <row r="61" spans="1:9" x14ac:dyDescent="0.2">
      <c r="B61" s="2">
        <v>9000</v>
      </c>
      <c r="D61" t="s">
        <v>45</v>
      </c>
      <c r="F61">
        <f>MIN(B51:B61)</f>
        <v>4000</v>
      </c>
    </row>
    <row r="63" spans="1:9" x14ac:dyDescent="0.2">
      <c r="D63" t="s">
        <v>46</v>
      </c>
      <c r="F63">
        <f>MAX(B51:B61)</f>
        <v>34000</v>
      </c>
    </row>
    <row r="67" spans="1:9" x14ac:dyDescent="0.2">
      <c r="A67" s="3"/>
      <c r="B67" s="3"/>
      <c r="C67" s="3"/>
      <c r="D67" s="3"/>
      <c r="E67" s="3"/>
      <c r="F67" s="3"/>
      <c r="G67" s="3"/>
      <c r="H67" s="3"/>
      <c r="I67" s="3"/>
    </row>
    <row r="70" spans="1:9" x14ac:dyDescent="0.2">
      <c r="B70" t="s">
        <v>47</v>
      </c>
    </row>
    <row r="72" spans="1:9" x14ac:dyDescent="0.2">
      <c r="C72" s="1" t="s">
        <v>0</v>
      </c>
      <c r="D72" s="5" t="s">
        <v>1</v>
      </c>
      <c r="E72" s="5" t="s">
        <v>2</v>
      </c>
    </row>
    <row r="73" spans="1:9" x14ac:dyDescent="0.2">
      <c r="C73" s="6" t="s">
        <v>3</v>
      </c>
      <c r="D73" s="7">
        <v>4000</v>
      </c>
      <c r="E73" s="7">
        <v>17</v>
      </c>
      <c r="F73" cm="1">
        <f t="array" aca="1" ref="F73:F82" ca="1">_xlfn.RANDARRAY(10,1,0,1,0)</f>
        <v>0.93978100971676981</v>
      </c>
    </row>
    <row r="74" spans="1:9" x14ac:dyDescent="0.2">
      <c r="C74" s="6" t="s">
        <v>4</v>
      </c>
      <c r="D74" s="7">
        <v>5600</v>
      </c>
      <c r="E74" s="7">
        <v>18</v>
      </c>
      <c r="F74">
        <f ca="1"/>
        <v>0.72115387667818376</v>
      </c>
    </row>
    <row r="75" spans="1:9" x14ac:dyDescent="0.2">
      <c r="C75" s="6" t="s">
        <v>5</v>
      </c>
      <c r="D75" s="7">
        <v>9700</v>
      </c>
      <c r="E75" s="7">
        <v>19</v>
      </c>
      <c r="F75">
        <f ca="1"/>
        <v>0.4347611557749671</v>
      </c>
    </row>
    <row r="76" spans="1:9" x14ac:dyDescent="0.2">
      <c r="C76" s="6" t="s">
        <v>6</v>
      </c>
      <c r="D76" s="7">
        <v>4000</v>
      </c>
      <c r="E76" s="7">
        <v>20</v>
      </c>
      <c r="F76">
        <f ca="1"/>
        <v>0.64371757927530093</v>
      </c>
    </row>
    <row r="77" spans="1:9" x14ac:dyDescent="0.2">
      <c r="C77" s="6" t="s">
        <v>3</v>
      </c>
      <c r="D77" s="7">
        <v>8000</v>
      </c>
      <c r="E77" s="7">
        <v>21</v>
      </c>
      <c r="F77">
        <f ca="1"/>
        <v>0.9408421713819406</v>
      </c>
    </row>
    <row r="78" spans="1:9" x14ac:dyDescent="0.2">
      <c r="C78" s="6" t="s">
        <v>4</v>
      </c>
      <c r="D78" s="7">
        <v>9000</v>
      </c>
      <c r="E78" s="7">
        <v>17</v>
      </c>
      <c r="F78">
        <f ca="1"/>
        <v>0.71226636681755795</v>
      </c>
    </row>
    <row r="79" spans="1:9" x14ac:dyDescent="0.2">
      <c r="C79" s="6" t="s">
        <v>5</v>
      </c>
      <c r="D79" s="7">
        <v>15000</v>
      </c>
      <c r="E79" s="7">
        <v>18</v>
      </c>
      <c r="F79">
        <f ca="1"/>
        <v>0.54366202457145674</v>
      </c>
    </row>
    <row r="80" spans="1:9" x14ac:dyDescent="0.2">
      <c r="C80" s="6" t="s">
        <v>3</v>
      </c>
      <c r="D80" s="7">
        <v>34000</v>
      </c>
      <c r="E80" s="7">
        <v>16</v>
      </c>
      <c r="F80">
        <f ca="1"/>
        <v>0.55986848585198912</v>
      </c>
    </row>
    <row r="81" spans="3:7" x14ac:dyDescent="0.2">
      <c r="C81" s="6" t="s">
        <v>7</v>
      </c>
      <c r="D81" s="7">
        <v>9000</v>
      </c>
      <c r="E81" s="7">
        <v>20</v>
      </c>
      <c r="F81">
        <f ca="1"/>
        <v>0.92396727781670718</v>
      </c>
    </row>
    <row r="82" spans="3:7" x14ac:dyDescent="0.2">
      <c r="C82" s="6" t="s">
        <v>3</v>
      </c>
      <c r="D82" s="7">
        <v>9000</v>
      </c>
      <c r="E82" s="7">
        <v>24</v>
      </c>
      <c r="F82">
        <f ca="1"/>
        <v>5.8850150181583905E-2</v>
      </c>
    </row>
    <row r="85" spans="3:7" x14ac:dyDescent="0.2">
      <c r="E85">
        <f ca="1">SUMPRODUCT(D73:D82,E73:E82,_xlfn.ANCHORARRAY(F73))</f>
        <v>1165642.491080509</v>
      </c>
    </row>
    <row r="88" spans="3:7" x14ac:dyDescent="0.2">
      <c r="E88" s="4" t="s">
        <v>68</v>
      </c>
      <c r="F88" s="4" t="s">
        <v>69</v>
      </c>
    </row>
    <row r="89" spans="3:7" x14ac:dyDescent="0.2">
      <c r="E89" s="4">
        <v>1</v>
      </c>
      <c r="F89" s="4">
        <v>100</v>
      </c>
      <c r="G89">
        <f>E89*F89</f>
        <v>100</v>
      </c>
    </row>
    <row r="90" spans="3:7" x14ac:dyDescent="0.2">
      <c r="E90" s="4">
        <v>2</v>
      </c>
      <c r="F90" s="4">
        <v>200</v>
      </c>
      <c r="G90">
        <f t="shared" ref="G90:G92" si="0">E90*F90</f>
        <v>400</v>
      </c>
    </row>
    <row r="91" spans="3:7" x14ac:dyDescent="0.2">
      <c r="E91" s="4">
        <v>3</v>
      </c>
      <c r="F91" s="4">
        <v>150</v>
      </c>
      <c r="G91">
        <f t="shared" si="0"/>
        <v>450</v>
      </c>
    </row>
    <row r="92" spans="3:7" x14ac:dyDescent="0.2">
      <c r="E92" s="4">
        <v>4</v>
      </c>
      <c r="F92" s="4">
        <v>80</v>
      </c>
      <c r="G92">
        <f t="shared" si="0"/>
        <v>320</v>
      </c>
    </row>
    <row r="94" spans="3:7" x14ac:dyDescent="0.2">
      <c r="G94">
        <f>SUM(G89:G92)</f>
        <v>1270</v>
      </c>
    </row>
    <row r="98" spans="1:11" x14ac:dyDescent="0.2">
      <c r="E98" s="4" t="s">
        <v>68</v>
      </c>
      <c r="F98" s="4" t="s">
        <v>69</v>
      </c>
    </row>
    <row r="99" spans="1:11" x14ac:dyDescent="0.2">
      <c r="E99" s="4">
        <v>1</v>
      </c>
      <c r="F99" s="4">
        <v>100</v>
      </c>
    </row>
    <row r="100" spans="1:11" x14ac:dyDescent="0.2">
      <c r="E100" s="4">
        <v>2</v>
      </c>
      <c r="F100" s="4">
        <v>200</v>
      </c>
      <c r="H100">
        <f>SUMPRODUCT(E99:E102,F99:F102)</f>
        <v>1270</v>
      </c>
    </row>
    <row r="101" spans="1:11" x14ac:dyDescent="0.2">
      <c r="E101" s="4">
        <v>3</v>
      </c>
      <c r="F101" s="4">
        <v>150</v>
      </c>
    </row>
    <row r="102" spans="1:11" x14ac:dyDescent="0.2">
      <c r="E102" s="4">
        <v>4</v>
      </c>
      <c r="F102" s="4">
        <v>80</v>
      </c>
    </row>
    <row r="105" spans="1:1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9" spans="1:11" x14ac:dyDescent="0.2">
      <c r="C109">
        <v>1</v>
      </c>
    </row>
    <row r="110" spans="1:11" x14ac:dyDescent="0.2">
      <c r="C110">
        <v>2</v>
      </c>
    </row>
    <row r="111" spans="1:11" x14ac:dyDescent="0.2">
      <c r="C111">
        <v>3</v>
      </c>
      <c r="E111">
        <f>SUMSQ(C109:C118)</f>
        <v>55</v>
      </c>
      <c r="F111" t="str">
        <f ca="1">_xlfn.FORMULATEXT(E111)</f>
        <v>=SUMSQ(C109:C118)</v>
      </c>
    </row>
    <row r="112" spans="1:11" x14ac:dyDescent="0.2">
      <c r="C112">
        <v>4</v>
      </c>
    </row>
    <row r="113" spans="1:10" x14ac:dyDescent="0.2">
      <c r="C113">
        <v>5</v>
      </c>
    </row>
    <row r="115" spans="1:10" x14ac:dyDescent="0.2">
      <c r="E115">
        <f>1^2+2^2+3^2+4^2+5^2</f>
        <v>55</v>
      </c>
      <c r="F115" t="str">
        <f ca="1">_xlfn.FORMULATEXT(E115)</f>
        <v>=1^2+2^2+3^2+4^2+5^2</v>
      </c>
    </row>
    <row r="119" spans="1:10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2026-06-27T15:37:37Z</dcterms:created>
  <dcterms:modified xsi:type="dcterms:W3CDTF">2026-06-27T17:31:16Z</dcterms:modified>
</cp:coreProperties>
</file>