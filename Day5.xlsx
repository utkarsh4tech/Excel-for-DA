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ink/ink38.xml" ContentType="application/inkml+xml"/>
  <Override PartName="/xl/ink/ink39.xml" ContentType="application/inkml+xml"/>
  <Override PartName="/xl/ink/ink40.xml" ContentType="application/inkml+xml"/>
  <Override PartName="/xl/ink/ink41.xml" ContentType="application/inkml+xml"/>
  <Override PartName="/xl/ink/ink42.xml" ContentType="application/inkml+xml"/>
  <Override PartName="/xl/ink/ink43.xml" ContentType="application/inkml+xml"/>
  <Override PartName="/xl/ink/ink44.xml" ContentType="application/inkml+xml"/>
  <Override PartName="/xl/ink/ink45.xml" ContentType="application/inkml+xml"/>
  <Override PartName="/xl/ink/ink46.xml" ContentType="application/inkml+xml"/>
  <Override PartName="/xl/ink/ink47.xml" ContentType="application/inkml+xml"/>
  <Override PartName="/xl/ink/ink48.xml" ContentType="application/inkml+xml"/>
  <Override PartName="/xl/ink/ink49.xml" ContentType="application/inkml+xml"/>
  <Override PartName="/xl/ink/ink50.xml" ContentType="application/inkml+xml"/>
  <Override PartName="/xl/ink/ink51.xml" ContentType="application/inkml+xml"/>
  <Override PartName="/xl/ink/ink52.xml" ContentType="application/inkml+xml"/>
  <Override PartName="/xl/ink/ink53.xml" ContentType="application/inkml+xml"/>
  <Override PartName="/xl/ink/ink54.xml" ContentType="application/inkml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ink/ink55.xml" ContentType="application/inkml+xml"/>
  <Override PartName="/xl/ink/ink56.xml" ContentType="application/inkml+xml"/>
  <Override PartName="/xl/ink/ink57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D0C867BD-146D-EF43-BA65-C07C40B9D9D9}" xr6:coauthVersionLast="47" xr6:coauthVersionMax="47" xr10:uidLastSave="{00000000-0000-0000-0000-000000000000}"/>
  <bookViews>
    <workbookView xWindow="380" yWindow="600" windowWidth="28040" windowHeight="16660" activeTab="2" xr2:uid="{5583B0FB-F0AD-0840-B249-2364FEB32A37}"/>
  </bookViews>
  <sheets>
    <sheet name="agenda" sheetId="1" r:id="rId1"/>
    <sheet name="CONDITIONALs" sheetId="2" r:id="rId2"/>
    <sheet name="SUM_PROD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3" l="1" a="1"/>
  <c r="E2" i="3" s="1"/>
  <c r="D9" i="3" a="1"/>
  <c r="D9" i="3" s="1"/>
  <c r="J13" i="3"/>
  <c r="K10" i="3"/>
  <c r="K6" i="3"/>
  <c r="K8" i="3"/>
  <c r="K7" i="3"/>
  <c r="P72" i="1" a="1"/>
  <c r="P72" i="1" s="1"/>
  <c r="B72" i="2"/>
  <c r="B73" i="2"/>
  <c r="E13" i="2"/>
  <c r="B51" i="2"/>
  <c r="B33" i="2"/>
  <c r="E5" i="2"/>
  <c r="E80" i="1"/>
  <c r="E79" i="1"/>
  <c r="E77" i="1"/>
  <c r="G75" i="1"/>
  <c r="G70" i="1" a="1"/>
  <c r="G70" i="1" s="1"/>
  <c r="E75" i="1"/>
  <c r="E7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<sst xmlns="http://schemas.openxmlformats.org/spreadsheetml/2006/main" count="72" uniqueCount="54">
  <si>
    <t>MEASURE OF CENTRAL TENDENCIES</t>
  </si>
  <si>
    <t>MEAN / AVERAGE</t>
  </si>
  <si>
    <t>AVERAGEIF</t>
  </si>
  <si>
    <t>AVERAGEIFS</t>
  </si>
  <si>
    <t xml:space="preserve">SUM </t>
  </si>
  <si>
    <t>SUMIF</t>
  </si>
  <si>
    <t>SUMIFS</t>
  </si>
  <si>
    <t>( STATS )</t>
  </si>
  <si>
    <t xml:space="preserve">MEAN </t>
  </si>
  <si>
    <t>MEDIAN</t>
  </si>
  <si>
    <t>MODE</t>
  </si>
  <si>
    <t>CONDITIONAL AVERAGES SUMS</t>
  </si>
  <si>
    <t>SUM</t>
  </si>
  <si>
    <t>Product</t>
  </si>
  <si>
    <t>STATE</t>
  </si>
  <si>
    <t>Salary</t>
  </si>
  <si>
    <t>AGE</t>
  </si>
  <si>
    <t>MH</t>
  </si>
  <si>
    <t>UP</t>
  </si>
  <si>
    <t>BH</t>
  </si>
  <si>
    <t>PU</t>
  </si>
  <si>
    <t>TN</t>
  </si>
  <si>
    <t>AVERAGE SALARY</t>
  </si>
  <si>
    <t>AVERAGE SALARY &lt;=18</t>
  </si>
  <si>
    <t>AVERAGEIF takes 3 args ( 2 are needed, 3rd is optional)</t>
  </si>
  <si>
    <t>RANGE is used to check the criteria</t>
  </si>
  <si>
    <t>CRITERIA is the condition which we want to use</t>
  </si>
  <si>
    <t>AVERAGE_RANGE is used for average calculation , if we omit the 3rd input, excel uses the first RANGE FOR AVERAGE Calc</t>
  </si>
  <si>
    <t>AVERAGE IF</t>
  </si>
  <si>
    <t>AVERGAGE INCOME OF PEOPLE IN MH who are &gt;= 18 but &lt;=30</t>
  </si>
  <si>
    <t>AVERAGE_RANGE is mandatory</t>
  </si>
  <si>
    <t>CRITERIA_RANGE and CRITERIA occurs in pair</t>
  </si>
  <si>
    <t>( 1 is min, no limit on upper side)</t>
  </si>
  <si>
    <t>SUM of INCOME OF PEOPLE IN MH who are &gt;= 18 but &lt;=30</t>
  </si>
  <si>
    <t>SUM_RANGE is mandatory</t>
  </si>
  <si>
    <t>SUMIF takes 3 args ( 2 are needed, 3rd is optional)</t>
  </si>
  <si>
    <t>SUM_RANGE is used for average calculation , if we omit the 3rd input, excel uses the first RANGE FOR AVERAGE Calc</t>
  </si>
  <si>
    <t>AVG</t>
  </si>
  <si>
    <t>DATA FOR MODE</t>
  </si>
  <si>
    <t>Apple</t>
  </si>
  <si>
    <t>Electronics</t>
  </si>
  <si>
    <t>Android</t>
  </si>
  <si>
    <t>Food</t>
  </si>
  <si>
    <t>Washing machine</t>
  </si>
  <si>
    <t>Utility</t>
  </si>
  <si>
    <t>TV</t>
  </si>
  <si>
    <t>Brand</t>
  </si>
  <si>
    <t>Type</t>
  </si>
  <si>
    <t>Price</t>
  </si>
  <si>
    <t>SUM OF PRICE</t>
  </si>
  <si>
    <t>Qt</t>
  </si>
  <si>
    <t>Price/Unit</t>
  </si>
  <si>
    <t>SUM TOTAL</t>
  </si>
  <si>
    <t>SUMPRODUCT multiplies all the input array and then adds the results from the array received after multiplication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</si>
</sst>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rgb="FF000000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0" fillId="3" borderId="0" xfId="0" applyFill="1"/>
    <xf numFmtId="0" fontId="2" fillId="0" borderId="0" xfId="0" applyFont="1"/>
    <xf numFmtId="0" fontId="1" fillId="0" borderId="0" xfId="0" applyFont="1"/>
    <xf numFmtId="0" fontId="2" fillId="4" borderId="0" xfId="0" applyFont="1" applyFill="1"/>
    <xf numFmtId="0" fontId="0" fillId="5" borderId="0" xfId="0" applyFill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21" Type="http://schemas.openxmlformats.org/officeDocument/2006/relationships/customXml" Target="../ink/ink11.xml"/><Relationship Id="rId42" Type="http://schemas.openxmlformats.org/officeDocument/2006/relationships/image" Target="../media/image21.png"/><Relationship Id="rId47" Type="http://schemas.openxmlformats.org/officeDocument/2006/relationships/customXml" Target="../ink/ink24.xml"/><Relationship Id="rId63" Type="http://schemas.openxmlformats.org/officeDocument/2006/relationships/customXml" Target="../ink/ink32.xml"/><Relationship Id="rId68" Type="http://schemas.openxmlformats.org/officeDocument/2006/relationships/image" Target="../media/image34.png"/><Relationship Id="rId84" Type="http://schemas.openxmlformats.org/officeDocument/2006/relationships/image" Target="../media/image42.png"/><Relationship Id="rId89" Type="http://schemas.openxmlformats.org/officeDocument/2006/relationships/customXml" Target="../ink/ink45.xml"/><Relationship Id="rId16" Type="http://schemas.openxmlformats.org/officeDocument/2006/relationships/image" Target="../media/image8.png"/><Relationship Id="rId107" Type="http://schemas.openxmlformats.org/officeDocument/2006/relationships/customXml" Target="../ink/ink54.xml"/><Relationship Id="rId11" Type="http://schemas.openxmlformats.org/officeDocument/2006/relationships/customXml" Target="../ink/ink6.xml"/><Relationship Id="rId32" Type="http://schemas.openxmlformats.org/officeDocument/2006/relationships/image" Target="../media/image16.png"/><Relationship Id="rId37" Type="http://schemas.openxmlformats.org/officeDocument/2006/relationships/customXml" Target="../ink/ink19.xml"/><Relationship Id="rId53" Type="http://schemas.openxmlformats.org/officeDocument/2006/relationships/customXml" Target="../ink/ink27.xml"/><Relationship Id="rId58" Type="http://schemas.openxmlformats.org/officeDocument/2006/relationships/image" Target="../media/image29.png"/><Relationship Id="rId74" Type="http://schemas.openxmlformats.org/officeDocument/2006/relationships/image" Target="../media/image37.png"/><Relationship Id="rId79" Type="http://schemas.openxmlformats.org/officeDocument/2006/relationships/customXml" Target="../ink/ink40.xml"/><Relationship Id="rId102" Type="http://schemas.openxmlformats.org/officeDocument/2006/relationships/image" Target="../media/image51.png"/><Relationship Id="rId5" Type="http://schemas.openxmlformats.org/officeDocument/2006/relationships/customXml" Target="../ink/ink3.xml"/><Relationship Id="rId90" Type="http://schemas.openxmlformats.org/officeDocument/2006/relationships/image" Target="../media/image45.png"/><Relationship Id="rId95" Type="http://schemas.openxmlformats.org/officeDocument/2006/relationships/customXml" Target="../ink/ink48.xml"/><Relationship Id="rId22" Type="http://schemas.openxmlformats.org/officeDocument/2006/relationships/image" Target="../media/image11.png"/><Relationship Id="rId27" Type="http://schemas.openxmlformats.org/officeDocument/2006/relationships/customXml" Target="../ink/ink14.xml"/><Relationship Id="rId43" Type="http://schemas.openxmlformats.org/officeDocument/2006/relationships/customXml" Target="../ink/ink22.xml"/><Relationship Id="rId48" Type="http://schemas.openxmlformats.org/officeDocument/2006/relationships/image" Target="../media/image24.png"/><Relationship Id="rId64" Type="http://schemas.openxmlformats.org/officeDocument/2006/relationships/image" Target="../media/image32.png"/><Relationship Id="rId69" Type="http://schemas.openxmlformats.org/officeDocument/2006/relationships/customXml" Target="../ink/ink35.xml"/><Relationship Id="rId80" Type="http://schemas.openxmlformats.org/officeDocument/2006/relationships/image" Target="../media/image40.png"/><Relationship Id="rId85" Type="http://schemas.openxmlformats.org/officeDocument/2006/relationships/customXml" Target="../ink/ink43.xml"/><Relationship Id="rId12" Type="http://schemas.openxmlformats.org/officeDocument/2006/relationships/image" Target="../media/image6.png"/><Relationship Id="rId17" Type="http://schemas.openxmlformats.org/officeDocument/2006/relationships/customXml" Target="../ink/ink9.xml"/><Relationship Id="rId33" Type="http://schemas.openxmlformats.org/officeDocument/2006/relationships/customXml" Target="../ink/ink17.xml"/><Relationship Id="rId38" Type="http://schemas.openxmlformats.org/officeDocument/2006/relationships/image" Target="../media/image19.png"/><Relationship Id="rId59" Type="http://schemas.openxmlformats.org/officeDocument/2006/relationships/customXml" Target="../ink/ink30.xml"/><Relationship Id="rId103" Type="http://schemas.openxmlformats.org/officeDocument/2006/relationships/customXml" Target="../ink/ink52.xml"/><Relationship Id="rId108" Type="http://schemas.openxmlformats.org/officeDocument/2006/relationships/image" Target="../media/image54.png"/><Relationship Id="rId20" Type="http://schemas.openxmlformats.org/officeDocument/2006/relationships/image" Target="../media/image10.png"/><Relationship Id="rId41" Type="http://schemas.openxmlformats.org/officeDocument/2006/relationships/customXml" Target="../ink/ink21.xml"/><Relationship Id="rId54" Type="http://schemas.openxmlformats.org/officeDocument/2006/relationships/image" Target="../media/image27.png"/><Relationship Id="rId62" Type="http://schemas.openxmlformats.org/officeDocument/2006/relationships/image" Target="../media/image31.png"/><Relationship Id="rId70" Type="http://schemas.openxmlformats.org/officeDocument/2006/relationships/image" Target="../media/image35.png"/><Relationship Id="rId75" Type="http://schemas.openxmlformats.org/officeDocument/2006/relationships/customXml" Target="../ink/ink38.xml"/><Relationship Id="rId83" Type="http://schemas.openxmlformats.org/officeDocument/2006/relationships/customXml" Target="../ink/ink42.xml"/><Relationship Id="rId88" Type="http://schemas.openxmlformats.org/officeDocument/2006/relationships/image" Target="../media/image44.png"/><Relationship Id="rId91" Type="http://schemas.openxmlformats.org/officeDocument/2006/relationships/customXml" Target="../ink/ink46.xml"/><Relationship Id="rId96" Type="http://schemas.openxmlformats.org/officeDocument/2006/relationships/image" Target="../media/image48.png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15" Type="http://schemas.openxmlformats.org/officeDocument/2006/relationships/customXml" Target="../ink/ink8.xml"/><Relationship Id="rId23" Type="http://schemas.openxmlformats.org/officeDocument/2006/relationships/customXml" Target="../ink/ink12.xm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49" Type="http://schemas.openxmlformats.org/officeDocument/2006/relationships/customXml" Target="../ink/ink25.xml"/><Relationship Id="rId57" Type="http://schemas.openxmlformats.org/officeDocument/2006/relationships/customXml" Target="../ink/ink29.xml"/><Relationship Id="rId106" Type="http://schemas.openxmlformats.org/officeDocument/2006/relationships/image" Target="../media/image53.png"/><Relationship Id="rId10" Type="http://schemas.openxmlformats.org/officeDocument/2006/relationships/image" Target="../media/image5.png"/><Relationship Id="rId31" Type="http://schemas.openxmlformats.org/officeDocument/2006/relationships/customXml" Target="../ink/ink16.xml"/><Relationship Id="rId44" Type="http://schemas.openxmlformats.org/officeDocument/2006/relationships/image" Target="../media/image22.png"/><Relationship Id="rId52" Type="http://schemas.openxmlformats.org/officeDocument/2006/relationships/image" Target="../media/image26.png"/><Relationship Id="rId60" Type="http://schemas.openxmlformats.org/officeDocument/2006/relationships/image" Target="../media/image30.png"/><Relationship Id="rId65" Type="http://schemas.openxmlformats.org/officeDocument/2006/relationships/customXml" Target="../ink/ink33.xml"/><Relationship Id="rId73" Type="http://schemas.openxmlformats.org/officeDocument/2006/relationships/customXml" Target="../ink/ink37.xml"/><Relationship Id="rId78" Type="http://schemas.openxmlformats.org/officeDocument/2006/relationships/image" Target="../media/image39.png"/><Relationship Id="rId81" Type="http://schemas.openxmlformats.org/officeDocument/2006/relationships/customXml" Target="../ink/ink41.xml"/><Relationship Id="rId86" Type="http://schemas.openxmlformats.org/officeDocument/2006/relationships/image" Target="../media/image43.png"/><Relationship Id="rId94" Type="http://schemas.openxmlformats.org/officeDocument/2006/relationships/image" Target="../media/image47.png"/><Relationship Id="rId99" Type="http://schemas.openxmlformats.org/officeDocument/2006/relationships/customXml" Target="../ink/ink50.xml"/><Relationship Id="rId101" Type="http://schemas.openxmlformats.org/officeDocument/2006/relationships/customXml" Target="../ink/ink51.xml"/><Relationship Id="rId4" Type="http://schemas.openxmlformats.org/officeDocument/2006/relationships/image" Target="../media/image2.png"/><Relationship Id="rId9" Type="http://schemas.openxmlformats.org/officeDocument/2006/relationships/customXml" Target="../ink/ink5.xml"/><Relationship Id="rId13" Type="http://schemas.openxmlformats.org/officeDocument/2006/relationships/customXml" Target="../ink/ink7.xml"/><Relationship Id="rId18" Type="http://schemas.openxmlformats.org/officeDocument/2006/relationships/image" Target="../media/image9.png"/><Relationship Id="rId39" Type="http://schemas.openxmlformats.org/officeDocument/2006/relationships/customXml" Target="../ink/ink20.xm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customXml" Target="../ink/ink28.xml"/><Relationship Id="rId76" Type="http://schemas.openxmlformats.org/officeDocument/2006/relationships/image" Target="../media/image38.png"/><Relationship Id="rId97" Type="http://schemas.openxmlformats.org/officeDocument/2006/relationships/customXml" Target="../ink/ink49.xml"/><Relationship Id="rId104" Type="http://schemas.openxmlformats.org/officeDocument/2006/relationships/image" Target="../media/image52.png"/><Relationship Id="rId7" Type="http://schemas.openxmlformats.org/officeDocument/2006/relationships/customXml" Target="../ink/ink4.xml"/><Relationship Id="rId71" Type="http://schemas.openxmlformats.org/officeDocument/2006/relationships/customXml" Target="../ink/ink36.xml"/><Relationship Id="rId92" Type="http://schemas.openxmlformats.org/officeDocument/2006/relationships/image" Target="../media/image46.png"/><Relationship Id="rId2" Type="http://schemas.openxmlformats.org/officeDocument/2006/relationships/image" Target="../media/image1.png"/><Relationship Id="rId29" Type="http://schemas.openxmlformats.org/officeDocument/2006/relationships/customXml" Target="../ink/ink15.xm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customXml" Target="../ink/ink23.xml"/><Relationship Id="rId66" Type="http://schemas.openxmlformats.org/officeDocument/2006/relationships/image" Target="../media/image33.png"/><Relationship Id="rId87" Type="http://schemas.openxmlformats.org/officeDocument/2006/relationships/customXml" Target="../ink/ink44.xml"/><Relationship Id="rId61" Type="http://schemas.openxmlformats.org/officeDocument/2006/relationships/customXml" Target="../ink/ink31.xml"/><Relationship Id="rId82" Type="http://schemas.openxmlformats.org/officeDocument/2006/relationships/image" Target="../media/image41.png"/><Relationship Id="rId19" Type="http://schemas.openxmlformats.org/officeDocument/2006/relationships/customXml" Target="../ink/ink10.xm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customXml" Target="../ink/ink18.xml"/><Relationship Id="rId56" Type="http://schemas.openxmlformats.org/officeDocument/2006/relationships/image" Target="../media/image28.png"/><Relationship Id="rId77" Type="http://schemas.openxmlformats.org/officeDocument/2006/relationships/customXml" Target="../ink/ink39.xml"/><Relationship Id="rId100" Type="http://schemas.openxmlformats.org/officeDocument/2006/relationships/image" Target="../media/image50.png"/><Relationship Id="rId105" Type="http://schemas.openxmlformats.org/officeDocument/2006/relationships/customXml" Target="../ink/ink53.xml"/><Relationship Id="rId8" Type="http://schemas.openxmlformats.org/officeDocument/2006/relationships/image" Target="../media/image4.png"/><Relationship Id="rId51" Type="http://schemas.openxmlformats.org/officeDocument/2006/relationships/customXml" Target="../ink/ink26.xml"/><Relationship Id="rId72" Type="http://schemas.openxmlformats.org/officeDocument/2006/relationships/image" Target="../media/image36.png"/><Relationship Id="rId93" Type="http://schemas.openxmlformats.org/officeDocument/2006/relationships/customXml" Target="../ink/ink47.xml"/><Relationship Id="rId98" Type="http://schemas.openxmlformats.org/officeDocument/2006/relationships/image" Target="../media/image49.png"/><Relationship Id="rId3" Type="http://schemas.openxmlformats.org/officeDocument/2006/relationships/customXml" Target="../ink/ink2.xml"/><Relationship Id="rId25" Type="http://schemas.openxmlformats.org/officeDocument/2006/relationships/customXml" Target="../ink/ink13.xml"/><Relationship Id="rId46" Type="http://schemas.openxmlformats.org/officeDocument/2006/relationships/image" Target="../media/image23.png"/><Relationship Id="rId67" Type="http://schemas.openxmlformats.org/officeDocument/2006/relationships/customXml" Target="../ink/ink3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56.png"/><Relationship Id="rId1" Type="http://schemas.openxmlformats.org/officeDocument/2006/relationships/image" Target="../media/image5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8.png"/><Relationship Id="rId7" Type="http://schemas.openxmlformats.org/officeDocument/2006/relationships/image" Target="../media/image60.png"/><Relationship Id="rId2" Type="http://schemas.openxmlformats.org/officeDocument/2006/relationships/customXml" Target="../ink/ink55.xml"/><Relationship Id="rId1" Type="http://schemas.openxmlformats.org/officeDocument/2006/relationships/image" Target="../media/image57.png"/><Relationship Id="rId6" Type="http://schemas.openxmlformats.org/officeDocument/2006/relationships/customXml" Target="../ink/ink57.xml"/><Relationship Id="rId5" Type="http://schemas.openxmlformats.org/officeDocument/2006/relationships/image" Target="../media/image59.png"/><Relationship Id="rId4" Type="http://schemas.openxmlformats.org/officeDocument/2006/relationships/customXml" Target="../ink/ink5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144328</xdr:colOff>
      <xdr:row>19</xdr:row>
      <xdr:rowOff>89237</xdr:rowOff>
    </xdr:from>
    <xdr:to>
      <xdr:col>5</xdr:col>
      <xdr:colOff>689859</xdr:colOff>
      <xdr:row>22</xdr:row>
      <xdr:rowOff>79567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81F59A46-8CDE-3DBA-EC7B-7528EE43AC88}"/>
                </a:ext>
              </a:extLst>
            </xdr14:cNvPr>
            <xdr14:cNvContentPartPr/>
          </xdr14:nvContentPartPr>
          <xdr14:nvPr macro=""/>
          <xdr14:xfrm>
            <a:off x="1801440" y="3960360"/>
            <a:ext cx="3031200" cy="601560"/>
          </xdr14:xfrm>
        </xdr:contentPart>
      </mc:Choice>
      <mc:Fallback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81F59A46-8CDE-3DBA-EC7B-7528EE43AC88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3838" y="3952782"/>
              <a:ext cx="3046403" cy="61671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437368</xdr:colOff>
      <xdr:row>27</xdr:row>
      <xdr:rowOff>169290</xdr:rowOff>
    </xdr:from>
    <xdr:to>
      <xdr:col>3</xdr:col>
      <xdr:colOff>41172</xdr:colOff>
      <xdr:row>28</xdr:row>
      <xdr:rowOff>178667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29" name="Ink 28">
              <a:extLst>
                <a:ext uri="{FF2B5EF4-FFF2-40B4-BE49-F238E27FC236}">
                  <a16:creationId xmlns:a16="http://schemas.microsoft.com/office/drawing/2014/main" id="{73325091-7127-4587-B1B7-5F9E9BE4BF9B}"/>
                </a:ext>
              </a:extLst>
            </xdr14:cNvPr>
            <xdr14:cNvContentPartPr/>
          </xdr14:nvContentPartPr>
          <xdr14:nvPr macro=""/>
          <xdr14:xfrm>
            <a:off x="2094480" y="5670360"/>
            <a:ext cx="432360" cy="213120"/>
          </xdr14:xfrm>
        </xdr:contentPart>
      </mc:Choice>
      <mc:Fallback>
        <xdr:pic>
          <xdr:nvPicPr>
            <xdr:cNvPr id="29" name="Ink 28">
              <a:extLst>
                <a:ext uri="{FF2B5EF4-FFF2-40B4-BE49-F238E27FC236}">
                  <a16:creationId xmlns:a16="http://schemas.microsoft.com/office/drawing/2014/main" id="{73325091-7127-4587-B1B7-5F9E9BE4BF9B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086920" y="5662800"/>
              <a:ext cx="447480" cy="228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450328</xdr:colOff>
      <xdr:row>29</xdr:row>
      <xdr:rowOff>131524</xdr:rowOff>
    </xdr:from>
    <xdr:to>
      <xdr:col>3</xdr:col>
      <xdr:colOff>96252</xdr:colOff>
      <xdr:row>30</xdr:row>
      <xdr:rowOff>171141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30" name="Ink 29">
              <a:extLst>
                <a:ext uri="{FF2B5EF4-FFF2-40B4-BE49-F238E27FC236}">
                  <a16:creationId xmlns:a16="http://schemas.microsoft.com/office/drawing/2014/main" id="{AC76BB13-570D-B28B-6697-10FD95CEF3C3}"/>
                </a:ext>
              </a:extLst>
            </xdr14:cNvPr>
            <xdr14:cNvContentPartPr/>
          </xdr14:nvContentPartPr>
          <xdr14:nvPr macro=""/>
          <xdr14:xfrm>
            <a:off x="2107440" y="6040080"/>
            <a:ext cx="474480" cy="243360"/>
          </xdr14:xfrm>
        </xdr:contentPart>
      </mc:Choice>
      <mc:Fallback>
        <xdr:pic>
          <xdr:nvPicPr>
            <xdr:cNvPr id="30" name="Ink 29">
              <a:extLst>
                <a:ext uri="{FF2B5EF4-FFF2-40B4-BE49-F238E27FC236}">
                  <a16:creationId xmlns:a16="http://schemas.microsoft.com/office/drawing/2014/main" id="{AC76BB13-570D-B28B-6697-10FD95CEF3C3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099880" y="6032520"/>
              <a:ext cx="489240" cy="258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432688</xdr:colOff>
      <xdr:row>25</xdr:row>
      <xdr:rowOff>184017</xdr:rowOff>
    </xdr:from>
    <xdr:to>
      <xdr:col>3</xdr:col>
      <xdr:colOff>55572</xdr:colOff>
      <xdr:row>27</xdr:row>
      <xdr:rowOff>41490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31" name="Ink 30">
              <a:extLst>
                <a:ext uri="{FF2B5EF4-FFF2-40B4-BE49-F238E27FC236}">
                  <a16:creationId xmlns:a16="http://schemas.microsoft.com/office/drawing/2014/main" id="{766277A0-7462-7382-BBE6-9BD45281BC71}"/>
                </a:ext>
              </a:extLst>
            </xdr14:cNvPr>
            <xdr14:cNvContentPartPr/>
          </xdr14:nvContentPartPr>
          <xdr14:nvPr macro=""/>
          <xdr14:xfrm>
            <a:off x="2089800" y="5277600"/>
            <a:ext cx="451440" cy="264960"/>
          </xdr14:xfrm>
        </xdr:contentPart>
      </mc:Choice>
      <mc:Fallback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766277A0-7462-7382-BBE6-9BD45281BC71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2082240" y="5270040"/>
              <a:ext cx="466560" cy="280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154048</xdr:colOff>
      <xdr:row>22</xdr:row>
      <xdr:rowOff>127447</xdr:rowOff>
    </xdr:from>
    <xdr:to>
      <xdr:col>6</xdr:col>
      <xdr:colOff>170543</xdr:colOff>
      <xdr:row>24</xdr:row>
      <xdr:rowOff>38200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32" name="Ink 31">
              <a:extLst>
                <a:ext uri="{FF2B5EF4-FFF2-40B4-BE49-F238E27FC236}">
                  <a16:creationId xmlns:a16="http://schemas.microsoft.com/office/drawing/2014/main" id="{CFAE13CD-43BF-4372-70C7-4AD4F4C6C2A7}"/>
                </a:ext>
              </a:extLst>
            </xdr14:cNvPr>
            <xdr14:cNvContentPartPr/>
          </xdr14:nvContentPartPr>
          <xdr14:nvPr macro=""/>
          <xdr14:xfrm>
            <a:off x="1811160" y="4609800"/>
            <a:ext cx="3330720" cy="318240"/>
          </xdr14:xfrm>
        </xdr:contentPart>
      </mc:Choice>
      <mc:Fallback>
        <xdr:pic>
          <xdr:nvPicPr>
            <xdr:cNvPr id="32" name="Ink 31">
              <a:extLst>
                <a:ext uri="{FF2B5EF4-FFF2-40B4-BE49-F238E27FC236}">
                  <a16:creationId xmlns:a16="http://schemas.microsoft.com/office/drawing/2014/main" id="{CFAE13CD-43BF-4372-70C7-4AD4F4C6C2A7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803586" y="4602383"/>
              <a:ext cx="3345868" cy="33307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438612</xdr:colOff>
      <xdr:row>29</xdr:row>
      <xdr:rowOff>125044</xdr:rowOff>
    </xdr:from>
    <xdr:to>
      <xdr:col>4</xdr:col>
      <xdr:colOff>337975</xdr:colOff>
      <xdr:row>30</xdr:row>
      <xdr:rowOff>146301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42" name="Ink 41">
              <a:extLst>
                <a:ext uri="{FF2B5EF4-FFF2-40B4-BE49-F238E27FC236}">
                  <a16:creationId xmlns:a16="http://schemas.microsoft.com/office/drawing/2014/main" id="{B2BDDED4-CC38-4158-CF56-33D06DAA2E00}"/>
                </a:ext>
              </a:extLst>
            </xdr14:cNvPr>
            <xdr14:cNvContentPartPr/>
          </xdr14:nvContentPartPr>
          <xdr14:nvPr macro=""/>
          <xdr14:xfrm>
            <a:off x="2924280" y="6033600"/>
            <a:ext cx="727920" cy="225000"/>
          </xdr14:xfrm>
        </xdr:contentPart>
      </mc:Choice>
      <mc:Fallback>
        <xdr:pic>
          <xdr:nvPicPr>
            <xdr:cNvPr id="42" name="Ink 41">
              <a:extLst>
                <a:ext uri="{FF2B5EF4-FFF2-40B4-BE49-F238E27FC236}">
                  <a16:creationId xmlns:a16="http://schemas.microsoft.com/office/drawing/2014/main" id="{B2BDDED4-CC38-4158-CF56-33D06DAA2E00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2916724" y="6026040"/>
              <a:ext cx="743033" cy="240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415572</xdr:colOff>
      <xdr:row>27</xdr:row>
      <xdr:rowOff>134370</xdr:rowOff>
    </xdr:from>
    <xdr:to>
      <xdr:col>4</xdr:col>
      <xdr:colOff>768175</xdr:colOff>
      <xdr:row>28</xdr:row>
      <xdr:rowOff>186947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43" name="Ink 42">
              <a:extLst>
                <a:ext uri="{FF2B5EF4-FFF2-40B4-BE49-F238E27FC236}">
                  <a16:creationId xmlns:a16="http://schemas.microsoft.com/office/drawing/2014/main" id="{DB7887E1-9B92-2E91-424A-BC64CE88724A}"/>
                </a:ext>
              </a:extLst>
            </xdr14:cNvPr>
            <xdr14:cNvContentPartPr/>
          </xdr14:nvContentPartPr>
          <xdr14:nvPr macro=""/>
          <xdr14:xfrm>
            <a:off x="2901240" y="5635440"/>
            <a:ext cx="1181160" cy="256320"/>
          </xdr14:xfrm>
        </xdr:contentPart>
      </mc:Choice>
      <mc:Fallback>
        <xdr:pic>
          <xdr:nvPicPr>
            <xdr:cNvPr id="43" name="Ink 42">
              <a:extLst>
                <a:ext uri="{FF2B5EF4-FFF2-40B4-BE49-F238E27FC236}">
                  <a16:creationId xmlns:a16="http://schemas.microsoft.com/office/drawing/2014/main" id="{DB7887E1-9B92-2E91-424A-BC64CE88724A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2893680" y="5627880"/>
              <a:ext cx="1196280" cy="271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280212</xdr:colOff>
      <xdr:row>25</xdr:row>
      <xdr:rowOff>146217</xdr:rowOff>
    </xdr:from>
    <xdr:to>
      <xdr:col>4</xdr:col>
      <xdr:colOff>287215</xdr:colOff>
      <xdr:row>27</xdr:row>
      <xdr:rowOff>29610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44" name="Ink 43">
              <a:extLst>
                <a:ext uri="{FF2B5EF4-FFF2-40B4-BE49-F238E27FC236}">
                  <a16:creationId xmlns:a16="http://schemas.microsoft.com/office/drawing/2014/main" id="{E47FBB9C-4FD6-DFD6-2901-DAB2E1F1EE9C}"/>
                </a:ext>
              </a:extLst>
            </xdr14:cNvPr>
            <xdr14:cNvContentPartPr/>
          </xdr14:nvContentPartPr>
          <xdr14:nvPr macro=""/>
          <xdr14:xfrm>
            <a:off x="2765880" y="5239800"/>
            <a:ext cx="835560" cy="290880"/>
          </xdr14:xfrm>
        </xdr:contentPart>
      </mc:Choice>
      <mc:Fallback>
        <xdr:pic>
          <xdr:nvPicPr>
            <xdr:cNvPr id="44" name="Ink 43">
              <a:extLst>
                <a:ext uri="{FF2B5EF4-FFF2-40B4-BE49-F238E27FC236}">
                  <a16:creationId xmlns:a16="http://schemas.microsoft.com/office/drawing/2014/main" id="{E47FBB9C-4FD6-DFD6-2901-DAB2E1F1EE9C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2758323" y="5232249"/>
              <a:ext cx="850673" cy="30598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69219</xdr:colOff>
      <xdr:row>25</xdr:row>
      <xdr:rowOff>154497</xdr:rowOff>
    </xdr:from>
    <xdr:to>
      <xdr:col>5</xdr:col>
      <xdr:colOff>366939</xdr:colOff>
      <xdr:row>29</xdr:row>
      <xdr:rowOff>164284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">
          <xdr14:nvContentPartPr>
            <xdr14:cNvPr id="45" name="Ink 44">
              <a:extLst>
                <a:ext uri="{FF2B5EF4-FFF2-40B4-BE49-F238E27FC236}">
                  <a16:creationId xmlns:a16="http://schemas.microsoft.com/office/drawing/2014/main" id="{BFA03C69-C0AE-D6ED-E022-BEF3048F3806}"/>
                </a:ext>
              </a:extLst>
            </xdr14:cNvPr>
            <xdr14:cNvContentPartPr/>
          </xdr14:nvContentPartPr>
          <xdr14:nvPr macro=""/>
          <xdr14:xfrm>
            <a:off x="4212000" y="5248080"/>
            <a:ext cx="297720" cy="824760"/>
          </xdr14:xfrm>
        </xdr:contentPart>
      </mc:Choice>
      <mc:Fallback>
        <xdr:pic>
          <xdr:nvPicPr>
            <xdr:cNvPr id="45" name="Ink 44">
              <a:extLst>
                <a:ext uri="{FF2B5EF4-FFF2-40B4-BE49-F238E27FC236}">
                  <a16:creationId xmlns:a16="http://schemas.microsoft.com/office/drawing/2014/main" id="{BFA03C69-C0AE-D6ED-E022-BEF3048F3806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4204440" y="5240520"/>
              <a:ext cx="312840" cy="839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771775</xdr:colOff>
      <xdr:row>26</xdr:row>
      <xdr:rowOff>11954</xdr:rowOff>
    </xdr:from>
    <xdr:to>
      <xdr:col>5</xdr:col>
      <xdr:colOff>729459</xdr:colOff>
      <xdr:row>26</xdr:row>
      <xdr:rowOff>167474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">
          <xdr14:nvContentPartPr>
            <xdr14:cNvPr id="46" name="Ink 45">
              <a:extLst>
                <a:ext uri="{FF2B5EF4-FFF2-40B4-BE49-F238E27FC236}">
                  <a16:creationId xmlns:a16="http://schemas.microsoft.com/office/drawing/2014/main" id="{6140D3A8-5916-F835-43C4-8A92356FF523}"/>
                </a:ext>
              </a:extLst>
            </xdr14:cNvPr>
            <xdr14:cNvContentPartPr/>
          </xdr14:nvContentPartPr>
          <xdr14:nvPr macro=""/>
          <xdr14:xfrm>
            <a:off x="4086000" y="5309280"/>
            <a:ext cx="786240" cy="155520"/>
          </xdr14:xfrm>
        </xdr:contentPart>
      </mc:Choice>
      <mc:Fallback>
        <xdr:pic>
          <xdr:nvPicPr>
            <xdr:cNvPr id="46" name="Ink 45">
              <a:extLst>
                <a:ext uri="{FF2B5EF4-FFF2-40B4-BE49-F238E27FC236}">
                  <a16:creationId xmlns:a16="http://schemas.microsoft.com/office/drawing/2014/main" id="{6140D3A8-5916-F835-43C4-8A92356FF523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4078440" y="5301720"/>
              <a:ext cx="801360" cy="170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342263</xdr:colOff>
      <xdr:row>25</xdr:row>
      <xdr:rowOff>182217</xdr:rowOff>
    </xdr:from>
    <xdr:to>
      <xdr:col>8</xdr:col>
      <xdr:colOff>768471</xdr:colOff>
      <xdr:row>27</xdr:row>
      <xdr:rowOff>10530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">
          <xdr14:nvContentPartPr>
            <xdr14:cNvPr id="65" name="Ink 64">
              <a:extLst>
                <a:ext uri="{FF2B5EF4-FFF2-40B4-BE49-F238E27FC236}">
                  <a16:creationId xmlns:a16="http://schemas.microsoft.com/office/drawing/2014/main" id="{196D1185-12B4-D3C0-6A55-CCED52F75E31}"/>
                </a:ext>
              </a:extLst>
            </xdr14:cNvPr>
            <xdr14:cNvContentPartPr/>
          </xdr14:nvContentPartPr>
          <xdr14:nvPr macro=""/>
          <xdr14:xfrm>
            <a:off x="5313600" y="5275800"/>
            <a:ext cx="2083320" cy="235800"/>
          </xdr14:xfrm>
        </xdr:contentPart>
      </mc:Choice>
      <mc:Fallback>
        <xdr:pic>
          <xdr:nvPicPr>
            <xdr:cNvPr id="65" name="Ink 64">
              <a:extLst>
                <a:ext uri="{FF2B5EF4-FFF2-40B4-BE49-F238E27FC236}">
                  <a16:creationId xmlns:a16="http://schemas.microsoft.com/office/drawing/2014/main" id="{196D1185-12B4-D3C0-6A55-CCED52F75E31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5306041" y="5268252"/>
              <a:ext cx="2098437" cy="25089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408928</xdr:colOff>
      <xdr:row>33</xdr:row>
      <xdr:rowOff>37631</xdr:rowOff>
    </xdr:from>
    <xdr:to>
      <xdr:col>4</xdr:col>
      <xdr:colOff>21175</xdr:colOff>
      <xdr:row>35</xdr:row>
      <xdr:rowOff>584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">
          <xdr14:nvContentPartPr>
            <xdr14:cNvPr id="73" name="Ink 72">
              <a:extLst>
                <a:ext uri="{FF2B5EF4-FFF2-40B4-BE49-F238E27FC236}">
                  <a16:creationId xmlns:a16="http://schemas.microsoft.com/office/drawing/2014/main" id="{8A19C0BB-EE6D-03D9-A117-75898058F5E9}"/>
                </a:ext>
              </a:extLst>
            </xdr14:cNvPr>
            <xdr14:cNvContentPartPr/>
          </xdr14:nvContentPartPr>
          <xdr14:nvPr macro=""/>
          <xdr14:xfrm>
            <a:off x="2066040" y="6761160"/>
            <a:ext cx="1269360" cy="370440"/>
          </xdr14:xfrm>
        </xdr:contentPart>
      </mc:Choice>
      <mc:Fallback>
        <xdr:pic>
          <xdr:nvPicPr>
            <xdr:cNvPr id="73" name="Ink 72">
              <a:extLst>
                <a:ext uri="{FF2B5EF4-FFF2-40B4-BE49-F238E27FC236}">
                  <a16:creationId xmlns:a16="http://schemas.microsoft.com/office/drawing/2014/main" id="{8A19C0BB-EE6D-03D9-A117-75898058F5E9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2058480" y="6753600"/>
              <a:ext cx="1284480" cy="385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173195</xdr:colOff>
      <xdr:row>25</xdr:row>
      <xdr:rowOff>125337</xdr:rowOff>
    </xdr:from>
    <xdr:to>
      <xdr:col>10</xdr:col>
      <xdr:colOff>250399</xdr:colOff>
      <xdr:row>27</xdr:row>
      <xdr:rowOff>83250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">
          <xdr14:nvContentPartPr>
            <xdr14:cNvPr id="74" name="Ink 73">
              <a:extLst>
                <a:ext uri="{FF2B5EF4-FFF2-40B4-BE49-F238E27FC236}">
                  <a16:creationId xmlns:a16="http://schemas.microsoft.com/office/drawing/2014/main" id="{05B6EA6D-49BF-0232-3382-6B540FCA8005}"/>
                </a:ext>
              </a:extLst>
            </xdr14:cNvPr>
            <xdr14:cNvContentPartPr/>
          </xdr14:nvContentPartPr>
          <xdr14:nvPr macro=""/>
          <xdr14:xfrm>
            <a:off x="7630200" y="5218920"/>
            <a:ext cx="905760" cy="365400"/>
          </xdr14:xfrm>
        </xdr:contentPart>
      </mc:Choice>
      <mc:Fallback>
        <xdr:pic>
          <xdr:nvPicPr>
            <xdr:cNvPr id="74" name="Ink 73">
              <a:extLst>
                <a:ext uri="{FF2B5EF4-FFF2-40B4-BE49-F238E27FC236}">
                  <a16:creationId xmlns:a16="http://schemas.microsoft.com/office/drawing/2014/main" id="{05B6EA6D-49BF-0232-3382-6B540FCA8005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7622640" y="5211360"/>
              <a:ext cx="920880" cy="380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270884</xdr:colOff>
      <xdr:row>28</xdr:row>
      <xdr:rowOff>61307</xdr:rowOff>
    </xdr:from>
    <xdr:to>
      <xdr:col>1</xdr:col>
      <xdr:colOff>816284</xdr:colOff>
      <xdr:row>29</xdr:row>
      <xdr:rowOff>1564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7">
          <xdr14:nvContentPartPr>
            <xdr14:cNvPr id="84" name="Ink 83">
              <a:extLst>
                <a:ext uri="{FF2B5EF4-FFF2-40B4-BE49-F238E27FC236}">
                  <a16:creationId xmlns:a16="http://schemas.microsoft.com/office/drawing/2014/main" id="{D2F6D9FB-EA26-9E95-2328-CC94A41E3543}"/>
                </a:ext>
              </a:extLst>
            </xdr14:cNvPr>
            <xdr14:cNvContentPartPr/>
          </xdr14:nvContentPartPr>
          <xdr14:nvPr macro=""/>
          <xdr14:xfrm>
            <a:off x="1099440" y="5766120"/>
            <a:ext cx="545400" cy="144000"/>
          </xdr14:xfrm>
        </xdr:contentPart>
      </mc:Choice>
      <mc:Fallback>
        <xdr:pic>
          <xdr:nvPicPr>
            <xdr:cNvPr id="84" name="Ink 83">
              <a:extLst>
                <a:ext uri="{FF2B5EF4-FFF2-40B4-BE49-F238E27FC236}">
                  <a16:creationId xmlns:a16="http://schemas.microsoft.com/office/drawing/2014/main" id="{D2F6D9FB-EA26-9E95-2328-CC94A41E3543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1091880" y="5758560"/>
              <a:ext cx="560160" cy="159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187004</xdr:colOff>
      <xdr:row>26</xdr:row>
      <xdr:rowOff>118514</xdr:rowOff>
    </xdr:from>
    <xdr:to>
      <xdr:col>1</xdr:col>
      <xdr:colOff>721964</xdr:colOff>
      <xdr:row>27</xdr:row>
      <xdr:rowOff>101970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9">
          <xdr14:nvContentPartPr>
            <xdr14:cNvPr id="85" name="Ink 84">
              <a:extLst>
                <a:ext uri="{FF2B5EF4-FFF2-40B4-BE49-F238E27FC236}">
                  <a16:creationId xmlns:a16="http://schemas.microsoft.com/office/drawing/2014/main" id="{2FF20880-FABF-AE05-8F8A-527D450109F8}"/>
                </a:ext>
              </a:extLst>
            </xdr14:cNvPr>
            <xdr14:cNvContentPartPr/>
          </xdr14:nvContentPartPr>
          <xdr14:nvPr macro=""/>
          <xdr14:xfrm>
            <a:off x="1015560" y="5415840"/>
            <a:ext cx="534960" cy="187200"/>
          </xdr14:xfrm>
        </xdr:contentPart>
      </mc:Choice>
      <mc:Fallback>
        <xdr:pic>
          <xdr:nvPicPr>
            <xdr:cNvPr id="85" name="Ink 84">
              <a:extLst>
                <a:ext uri="{FF2B5EF4-FFF2-40B4-BE49-F238E27FC236}">
                  <a16:creationId xmlns:a16="http://schemas.microsoft.com/office/drawing/2014/main" id="{2FF20880-FABF-AE05-8F8A-527D450109F8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1008360" y="5408280"/>
              <a:ext cx="550080" cy="202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723240</xdr:colOff>
      <xdr:row>29</xdr:row>
      <xdr:rowOff>62404</xdr:rowOff>
    </xdr:from>
    <xdr:to>
      <xdr:col>2</xdr:col>
      <xdr:colOff>240808</xdr:colOff>
      <xdr:row>31</xdr:row>
      <xdr:rowOff>96277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1">
          <xdr14:nvContentPartPr>
            <xdr14:cNvPr id="97" name="Ink 96">
              <a:extLst>
                <a:ext uri="{FF2B5EF4-FFF2-40B4-BE49-F238E27FC236}">
                  <a16:creationId xmlns:a16="http://schemas.microsoft.com/office/drawing/2014/main" id="{B5D98FEF-7843-54EE-CA4B-4835672A91E6}"/>
                </a:ext>
              </a:extLst>
            </xdr14:cNvPr>
            <xdr14:cNvContentPartPr/>
          </xdr14:nvContentPartPr>
          <xdr14:nvPr macro=""/>
          <xdr14:xfrm>
            <a:off x="723240" y="5970960"/>
            <a:ext cx="1174680" cy="441360"/>
          </xdr14:xfrm>
        </xdr:contentPart>
      </mc:Choice>
      <mc:Fallback>
        <xdr:pic>
          <xdr:nvPicPr>
            <xdr:cNvPr id="97" name="Ink 96">
              <a:extLst>
                <a:ext uri="{FF2B5EF4-FFF2-40B4-BE49-F238E27FC236}">
                  <a16:creationId xmlns:a16="http://schemas.microsoft.com/office/drawing/2014/main" id="{B5D98FEF-7843-54EE-CA4B-4835672A91E6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715680" y="5963400"/>
              <a:ext cx="1189800" cy="456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735644</xdr:colOff>
      <xdr:row>36</xdr:row>
      <xdr:rowOff>961</xdr:rowOff>
    </xdr:from>
    <xdr:to>
      <xdr:col>4</xdr:col>
      <xdr:colOff>76975</xdr:colOff>
      <xdr:row>40</xdr:row>
      <xdr:rowOff>114067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3">
          <xdr14:nvContentPartPr>
            <xdr14:cNvPr id="111" name="Ink 110">
              <a:extLst>
                <a:ext uri="{FF2B5EF4-FFF2-40B4-BE49-F238E27FC236}">
                  <a16:creationId xmlns:a16="http://schemas.microsoft.com/office/drawing/2014/main" id="{225AEEB4-F798-5EF8-4BFA-C17617CFD815}"/>
                </a:ext>
              </a:extLst>
            </xdr14:cNvPr>
            <xdr14:cNvContentPartPr/>
          </xdr14:nvContentPartPr>
          <xdr14:nvPr macro=""/>
          <xdr14:xfrm>
            <a:off x="1564200" y="7335720"/>
            <a:ext cx="1827000" cy="928080"/>
          </xdr14:xfrm>
        </xdr:contentPart>
      </mc:Choice>
      <mc:Fallback>
        <xdr:pic>
          <xdr:nvPicPr>
            <xdr:cNvPr id="111" name="Ink 110">
              <a:extLst>
                <a:ext uri="{FF2B5EF4-FFF2-40B4-BE49-F238E27FC236}">
                  <a16:creationId xmlns:a16="http://schemas.microsoft.com/office/drawing/2014/main" id="{225AEEB4-F798-5EF8-4BFA-C17617CFD815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1556571" y="7328142"/>
              <a:ext cx="1842258" cy="94323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214299</xdr:colOff>
      <xdr:row>32</xdr:row>
      <xdr:rowOff>138054</xdr:rowOff>
    </xdr:from>
    <xdr:to>
      <xdr:col>6</xdr:col>
      <xdr:colOff>519743</xdr:colOff>
      <xdr:row>34</xdr:row>
      <xdr:rowOff>200367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5">
          <xdr14:nvContentPartPr>
            <xdr14:cNvPr id="119" name="Ink 118">
              <a:extLst>
                <a:ext uri="{FF2B5EF4-FFF2-40B4-BE49-F238E27FC236}">
                  <a16:creationId xmlns:a16="http://schemas.microsoft.com/office/drawing/2014/main" id="{446E188B-106D-E7B6-76BA-245311A5AEF6}"/>
                </a:ext>
              </a:extLst>
            </xdr14:cNvPr>
            <xdr14:cNvContentPartPr/>
          </xdr14:nvContentPartPr>
          <xdr14:nvPr macro=""/>
          <xdr14:xfrm>
            <a:off x="4357080" y="6657840"/>
            <a:ext cx="1134000" cy="469800"/>
          </xdr14:xfrm>
        </xdr:contentPart>
      </mc:Choice>
      <mc:Fallback>
        <xdr:pic>
          <xdr:nvPicPr>
            <xdr:cNvPr id="119" name="Ink 118">
              <a:extLst>
                <a:ext uri="{FF2B5EF4-FFF2-40B4-BE49-F238E27FC236}">
                  <a16:creationId xmlns:a16="http://schemas.microsoft.com/office/drawing/2014/main" id="{446E188B-106D-E7B6-76BA-245311A5AEF6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4349520" y="6650286"/>
              <a:ext cx="1149120" cy="48490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651699</xdr:colOff>
      <xdr:row>35</xdr:row>
      <xdr:rowOff>121904</xdr:rowOff>
    </xdr:from>
    <xdr:to>
      <xdr:col>6</xdr:col>
      <xdr:colOff>71903</xdr:colOff>
      <xdr:row>36</xdr:row>
      <xdr:rowOff>134161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7">
          <xdr14:nvContentPartPr>
            <xdr14:cNvPr id="120" name="Ink 119">
              <a:extLst>
                <a:ext uri="{FF2B5EF4-FFF2-40B4-BE49-F238E27FC236}">
                  <a16:creationId xmlns:a16="http://schemas.microsoft.com/office/drawing/2014/main" id="{D9E7F2C7-01C6-2B15-13F6-6B9F33CB0D2F}"/>
                </a:ext>
              </a:extLst>
            </xdr14:cNvPr>
            <xdr14:cNvContentPartPr/>
          </xdr14:nvContentPartPr>
          <xdr14:nvPr macro=""/>
          <xdr14:xfrm>
            <a:off x="4794480" y="7252920"/>
            <a:ext cx="248760" cy="216000"/>
          </xdr14:xfrm>
        </xdr:contentPart>
      </mc:Choice>
      <mc:Fallback>
        <xdr:pic>
          <xdr:nvPicPr>
            <xdr:cNvPr id="120" name="Ink 119">
              <a:extLst>
                <a:ext uri="{FF2B5EF4-FFF2-40B4-BE49-F238E27FC236}">
                  <a16:creationId xmlns:a16="http://schemas.microsoft.com/office/drawing/2014/main" id="{D9E7F2C7-01C6-2B15-13F6-6B9F33CB0D2F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4786920" y="7245360"/>
              <a:ext cx="263880" cy="231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487867</xdr:colOff>
      <xdr:row>33</xdr:row>
      <xdr:rowOff>22511</xdr:rowOff>
    </xdr:from>
    <xdr:to>
      <xdr:col>10</xdr:col>
      <xdr:colOff>722</xdr:colOff>
      <xdr:row>35</xdr:row>
      <xdr:rowOff>181304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9">
          <xdr14:nvContentPartPr>
            <xdr14:cNvPr id="136" name="Ink 135">
              <a:extLst>
                <a:ext uri="{FF2B5EF4-FFF2-40B4-BE49-F238E27FC236}">
                  <a16:creationId xmlns:a16="http://schemas.microsoft.com/office/drawing/2014/main" id="{F0BA5E24-5903-855A-BD5E-5DE91F44E785}"/>
                </a:ext>
              </a:extLst>
            </xdr14:cNvPr>
            <xdr14:cNvContentPartPr/>
          </xdr14:nvContentPartPr>
          <xdr14:nvPr macro=""/>
          <xdr14:xfrm>
            <a:off x="6287760" y="6746040"/>
            <a:ext cx="1994040" cy="566280"/>
          </xdr14:xfrm>
        </xdr:contentPart>
      </mc:Choice>
      <mc:Fallback>
        <xdr:pic>
          <xdr:nvPicPr>
            <xdr:cNvPr id="136" name="Ink 135">
              <a:extLst>
                <a:ext uri="{FF2B5EF4-FFF2-40B4-BE49-F238E27FC236}">
                  <a16:creationId xmlns:a16="http://schemas.microsoft.com/office/drawing/2014/main" id="{F0BA5E24-5903-855A-BD5E-5DE91F44E785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6280200" y="6738480"/>
              <a:ext cx="2009160" cy="581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803423</xdr:colOff>
      <xdr:row>34</xdr:row>
      <xdr:rowOff>32607</xdr:rowOff>
    </xdr:from>
    <xdr:to>
      <xdr:col>7</xdr:col>
      <xdr:colOff>198067</xdr:colOff>
      <xdr:row>34</xdr:row>
      <xdr:rowOff>108567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1">
          <xdr14:nvContentPartPr>
            <xdr14:cNvPr id="137" name="Ink 136">
              <a:extLst>
                <a:ext uri="{FF2B5EF4-FFF2-40B4-BE49-F238E27FC236}">
                  <a16:creationId xmlns:a16="http://schemas.microsoft.com/office/drawing/2014/main" id="{ABF230E3-9826-D4E1-342E-71A404C481BE}"/>
                </a:ext>
              </a:extLst>
            </xdr14:cNvPr>
            <xdr14:cNvContentPartPr/>
          </xdr14:nvContentPartPr>
          <xdr14:nvPr macro=""/>
          <xdr14:xfrm>
            <a:off x="5774760" y="6959880"/>
            <a:ext cx="223200" cy="75960"/>
          </xdr14:xfrm>
        </xdr:contentPart>
      </mc:Choice>
      <mc:Fallback>
        <xdr:pic>
          <xdr:nvPicPr>
            <xdr:cNvPr id="137" name="Ink 136">
              <a:extLst>
                <a:ext uri="{FF2B5EF4-FFF2-40B4-BE49-F238E27FC236}">
                  <a16:creationId xmlns:a16="http://schemas.microsoft.com/office/drawing/2014/main" id="{ABF230E3-9826-D4E1-342E-71A404C481BE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5767188" y="6952356"/>
              <a:ext cx="238344" cy="9100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607124</xdr:colOff>
      <xdr:row>41</xdr:row>
      <xdr:rowOff>164124</xdr:rowOff>
    </xdr:from>
    <xdr:to>
      <xdr:col>3</xdr:col>
      <xdr:colOff>558132</xdr:colOff>
      <xdr:row>43</xdr:row>
      <xdr:rowOff>57597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3">
          <xdr14:nvContentPartPr>
            <xdr14:cNvPr id="144" name="Ink 143">
              <a:extLst>
                <a:ext uri="{FF2B5EF4-FFF2-40B4-BE49-F238E27FC236}">
                  <a16:creationId xmlns:a16="http://schemas.microsoft.com/office/drawing/2014/main" id="{CF108366-9ECA-0FA2-A569-68CC40D7DBDD}"/>
                </a:ext>
              </a:extLst>
            </xdr14:cNvPr>
            <xdr14:cNvContentPartPr/>
          </xdr14:nvContentPartPr>
          <xdr14:nvPr macro=""/>
          <xdr14:xfrm>
            <a:off x="1435680" y="8517600"/>
            <a:ext cx="1608120" cy="300960"/>
          </xdr14:xfrm>
        </xdr:contentPart>
      </mc:Choice>
      <mc:Fallback>
        <xdr:pic>
          <xdr:nvPicPr>
            <xdr:cNvPr id="144" name="Ink 143">
              <a:extLst>
                <a:ext uri="{FF2B5EF4-FFF2-40B4-BE49-F238E27FC236}">
                  <a16:creationId xmlns:a16="http://schemas.microsoft.com/office/drawing/2014/main" id="{CF108366-9ECA-0FA2-A569-68CC40D7DBDD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1428120" y="8510049"/>
              <a:ext cx="1623240" cy="31606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339808</xdr:colOff>
      <xdr:row>43</xdr:row>
      <xdr:rowOff>89637</xdr:rowOff>
    </xdr:from>
    <xdr:to>
      <xdr:col>3</xdr:col>
      <xdr:colOff>74292</xdr:colOff>
      <xdr:row>43</xdr:row>
      <xdr:rowOff>132117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5">
          <xdr14:nvContentPartPr>
            <xdr14:cNvPr id="145" name="Ink 144">
              <a:extLst>
                <a:ext uri="{FF2B5EF4-FFF2-40B4-BE49-F238E27FC236}">
                  <a16:creationId xmlns:a16="http://schemas.microsoft.com/office/drawing/2014/main" id="{5FA547BD-DF59-2D08-8D94-72593FAE7D54}"/>
                </a:ext>
              </a:extLst>
            </xdr14:cNvPr>
            <xdr14:cNvContentPartPr/>
          </xdr14:nvContentPartPr>
          <xdr14:nvPr macro=""/>
          <xdr14:xfrm>
            <a:off x="1996920" y="8850600"/>
            <a:ext cx="563040" cy="42480"/>
          </xdr14:xfrm>
        </xdr:contentPart>
      </mc:Choice>
      <mc:Fallback>
        <xdr:pic>
          <xdr:nvPicPr>
            <xdr:cNvPr id="145" name="Ink 144">
              <a:extLst>
                <a:ext uri="{FF2B5EF4-FFF2-40B4-BE49-F238E27FC236}">
                  <a16:creationId xmlns:a16="http://schemas.microsoft.com/office/drawing/2014/main" id="{5FA547BD-DF59-2D08-8D94-72593FAE7D54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1989360" y="8843040"/>
              <a:ext cx="578160" cy="57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250855</xdr:colOff>
      <xdr:row>41</xdr:row>
      <xdr:rowOff>55764</xdr:rowOff>
    </xdr:from>
    <xdr:to>
      <xdr:col>8</xdr:col>
      <xdr:colOff>178791</xdr:colOff>
      <xdr:row>43</xdr:row>
      <xdr:rowOff>116277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7">
          <xdr14:nvContentPartPr>
            <xdr14:cNvPr id="158" name="Ink 157">
              <a:extLst>
                <a:ext uri="{FF2B5EF4-FFF2-40B4-BE49-F238E27FC236}">
                  <a16:creationId xmlns:a16="http://schemas.microsoft.com/office/drawing/2014/main" id="{EF4AFCCE-4C19-1872-474E-360F8794FD92}"/>
                </a:ext>
              </a:extLst>
            </xdr14:cNvPr>
            <xdr14:cNvContentPartPr/>
          </xdr14:nvContentPartPr>
          <xdr14:nvPr macro=""/>
          <xdr14:xfrm>
            <a:off x="3565080" y="8409240"/>
            <a:ext cx="3242160" cy="468000"/>
          </xdr14:xfrm>
        </xdr:contentPart>
      </mc:Choice>
      <mc:Fallback>
        <xdr:pic>
          <xdr:nvPicPr>
            <xdr:cNvPr id="158" name="Ink 157">
              <a:extLst>
                <a:ext uri="{FF2B5EF4-FFF2-40B4-BE49-F238E27FC236}">
                  <a16:creationId xmlns:a16="http://schemas.microsoft.com/office/drawing/2014/main" id="{EF4AFCCE-4C19-1872-474E-360F8794FD92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3557506" y="8401778"/>
              <a:ext cx="3257309" cy="48292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187888</xdr:colOff>
      <xdr:row>50</xdr:row>
      <xdr:rowOff>61674</xdr:rowOff>
    </xdr:from>
    <xdr:to>
      <xdr:col>2</xdr:col>
      <xdr:colOff>454288</xdr:colOff>
      <xdr:row>51</xdr:row>
      <xdr:rowOff>32891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9">
          <xdr14:nvContentPartPr>
            <xdr14:cNvPr id="170" name="Ink 169">
              <a:extLst>
                <a:ext uri="{FF2B5EF4-FFF2-40B4-BE49-F238E27FC236}">
                  <a16:creationId xmlns:a16="http://schemas.microsoft.com/office/drawing/2014/main" id="{BB710616-9615-2D52-1B3D-9DF5425BB0F1}"/>
                </a:ext>
              </a:extLst>
            </xdr14:cNvPr>
            <xdr14:cNvContentPartPr/>
          </xdr14:nvContentPartPr>
          <xdr14:nvPr macro=""/>
          <xdr14:xfrm>
            <a:off x="1845000" y="10248840"/>
            <a:ext cx="266400" cy="174960"/>
          </xdr14:xfrm>
        </xdr:contentPart>
      </mc:Choice>
      <mc:Fallback>
        <xdr:pic>
          <xdr:nvPicPr>
            <xdr:cNvPr id="170" name="Ink 169">
              <a:extLst>
                <a:ext uri="{FF2B5EF4-FFF2-40B4-BE49-F238E27FC236}">
                  <a16:creationId xmlns:a16="http://schemas.microsoft.com/office/drawing/2014/main" id="{BB710616-9615-2D52-1B3D-9DF5425BB0F1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1837440" y="10241280"/>
              <a:ext cx="281520" cy="190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815008</xdr:colOff>
      <xdr:row>49</xdr:row>
      <xdr:rowOff>197378</xdr:rowOff>
    </xdr:from>
    <xdr:to>
      <xdr:col>5</xdr:col>
      <xdr:colOff>657459</xdr:colOff>
      <xdr:row>51</xdr:row>
      <xdr:rowOff>53411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1">
          <xdr14:nvContentPartPr>
            <xdr14:cNvPr id="176" name="Ink 175">
              <a:extLst>
                <a:ext uri="{FF2B5EF4-FFF2-40B4-BE49-F238E27FC236}">
                  <a16:creationId xmlns:a16="http://schemas.microsoft.com/office/drawing/2014/main" id="{66E9245C-3FCA-FAE0-DD26-281F0292B2E4}"/>
                </a:ext>
              </a:extLst>
            </xdr14:cNvPr>
            <xdr14:cNvContentPartPr/>
          </xdr14:nvContentPartPr>
          <xdr14:nvPr macro=""/>
          <xdr14:xfrm>
            <a:off x="2472120" y="10180800"/>
            <a:ext cx="2328120" cy="263520"/>
          </xdr14:xfrm>
        </xdr:contentPart>
      </mc:Choice>
      <mc:Fallback>
        <xdr:pic>
          <xdr:nvPicPr>
            <xdr:cNvPr id="176" name="Ink 175">
              <a:extLst>
                <a:ext uri="{FF2B5EF4-FFF2-40B4-BE49-F238E27FC236}">
                  <a16:creationId xmlns:a16="http://schemas.microsoft.com/office/drawing/2014/main" id="{66E9245C-3FCA-FAE0-DD26-281F0292B2E4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2464507" y="10173209"/>
              <a:ext cx="2342983" cy="27870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2848</xdr:colOff>
      <xdr:row>44</xdr:row>
      <xdr:rowOff>29534</xdr:rowOff>
    </xdr:from>
    <xdr:to>
      <xdr:col>4</xdr:col>
      <xdr:colOff>122695</xdr:colOff>
      <xdr:row>48</xdr:row>
      <xdr:rowOff>78201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3">
          <xdr14:nvContentPartPr>
            <xdr14:cNvPr id="177" name="Ink 176">
              <a:extLst>
                <a:ext uri="{FF2B5EF4-FFF2-40B4-BE49-F238E27FC236}">
                  <a16:creationId xmlns:a16="http://schemas.microsoft.com/office/drawing/2014/main" id="{8C1F53A2-346D-0651-E349-65BD83B9932F}"/>
                </a:ext>
              </a:extLst>
            </xdr14:cNvPr>
            <xdr14:cNvContentPartPr/>
          </xdr14:nvContentPartPr>
          <xdr14:nvPr macro=""/>
          <xdr14:xfrm>
            <a:off x="1659960" y="8994240"/>
            <a:ext cx="1776960" cy="863640"/>
          </xdr14:xfrm>
        </xdr:contentPart>
      </mc:Choice>
      <mc:Fallback>
        <xdr:pic>
          <xdr:nvPicPr>
            <xdr:cNvPr id="177" name="Ink 176">
              <a:extLst>
                <a:ext uri="{FF2B5EF4-FFF2-40B4-BE49-F238E27FC236}">
                  <a16:creationId xmlns:a16="http://schemas.microsoft.com/office/drawing/2014/main" id="{8C1F53A2-346D-0651-E349-65BD83B9932F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1652402" y="8986677"/>
              <a:ext cx="1792077" cy="87876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353128</xdr:colOff>
      <xdr:row>48</xdr:row>
      <xdr:rowOff>129321</xdr:rowOff>
    </xdr:from>
    <xdr:to>
      <xdr:col>5</xdr:col>
      <xdr:colOff>444699</xdr:colOff>
      <xdr:row>49</xdr:row>
      <xdr:rowOff>143018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5">
          <xdr14:nvContentPartPr>
            <xdr14:cNvPr id="178" name="Ink 177">
              <a:extLst>
                <a:ext uri="{FF2B5EF4-FFF2-40B4-BE49-F238E27FC236}">
                  <a16:creationId xmlns:a16="http://schemas.microsoft.com/office/drawing/2014/main" id="{A21B1090-B9D3-BA01-7B70-EDA6806B283B}"/>
                </a:ext>
              </a:extLst>
            </xdr14:cNvPr>
            <xdr14:cNvContentPartPr/>
          </xdr14:nvContentPartPr>
          <xdr14:nvPr macro=""/>
          <xdr14:xfrm>
            <a:off x="2010240" y="9909000"/>
            <a:ext cx="2577240" cy="217440"/>
          </xdr14:xfrm>
        </xdr:contentPart>
      </mc:Choice>
      <mc:Fallback>
        <xdr:pic>
          <xdr:nvPicPr>
            <xdr:cNvPr id="178" name="Ink 177">
              <a:extLst>
                <a:ext uri="{FF2B5EF4-FFF2-40B4-BE49-F238E27FC236}">
                  <a16:creationId xmlns:a16="http://schemas.microsoft.com/office/drawing/2014/main" id="{A21B1090-B9D3-BA01-7B70-EDA6806B283B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2002631" y="9901427"/>
              <a:ext cx="2592095" cy="23258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522492</xdr:colOff>
      <xdr:row>47</xdr:row>
      <xdr:rowOff>121024</xdr:rowOff>
    </xdr:from>
    <xdr:to>
      <xdr:col>4</xdr:col>
      <xdr:colOff>448495</xdr:colOff>
      <xdr:row>48</xdr:row>
      <xdr:rowOff>184041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7">
          <xdr14:nvContentPartPr>
            <xdr14:cNvPr id="179" name="Ink 178">
              <a:extLst>
                <a:ext uri="{FF2B5EF4-FFF2-40B4-BE49-F238E27FC236}">
                  <a16:creationId xmlns:a16="http://schemas.microsoft.com/office/drawing/2014/main" id="{3519CD4D-FF85-9BF9-2D93-31340E761EBD}"/>
                </a:ext>
              </a:extLst>
            </xdr14:cNvPr>
            <xdr14:cNvContentPartPr/>
          </xdr14:nvContentPartPr>
          <xdr14:nvPr macro=""/>
          <xdr14:xfrm>
            <a:off x="3008160" y="9696960"/>
            <a:ext cx="754560" cy="266760"/>
          </xdr14:xfrm>
        </xdr:contentPart>
      </mc:Choice>
      <mc:Fallback>
        <xdr:pic>
          <xdr:nvPicPr>
            <xdr:cNvPr id="179" name="Ink 178">
              <a:extLst>
                <a:ext uri="{FF2B5EF4-FFF2-40B4-BE49-F238E27FC236}">
                  <a16:creationId xmlns:a16="http://schemas.microsoft.com/office/drawing/2014/main" id="{3519CD4D-FF85-9BF9-2D93-31340E761EBD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3000600" y="9689400"/>
              <a:ext cx="769680" cy="281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522132</xdr:colOff>
      <xdr:row>49</xdr:row>
      <xdr:rowOff>63818</xdr:rowOff>
    </xdr:from>
    <xdr:to>
      <xdr:col>4</xdr:col>
      <xdr:colOff>580975</xdr:colOff>
      <xdr:row>52</xdr:row>
      <xdr:rowOff>181948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9">
          <xdr14:nvContentPartPr>
            <xdr14:cNvPr id="184" name="Ink 183">
              <a:extLst>
                <a:ext uri="{FF2B5EF4-FFF2-40B4-BE49-F238E27FC236}">
                  <a16:creationId xmlns:a16="http://schemas.microsoft.com/office/drawing/2014/main" id="{3A57C0BE-4A14-69F8-F243-002931075E87}"/>
                </a:ext>
              </a:extLst>
            </xdr14:cNvPr>
            <xdr14:cNvContentPartPr/>
          </xdr14:nvContentPartPr>
          <xdr14:nvPr macro=""/>
          <xdr14:xfrm>
            <a:off x="3007800" y="10047240"/>
            <a:ext cx="887400" cy="729360"/>
          </xdr14:xfrm>
        </xdr:contentPart>
      </mc:Choice>
      <mc:Fallback>
        <xdr:pic>
          <xdr:nvPicPr>
            <xdr:cNvPr id="184" name="Ink 183">
              <a:extLst>
                <a:ext uri="{FF2B5EF4-FFF2-40B4-BE49-F238E27FC236}">
                  <a16:creationId xmlns:a16="http://schemas.microsoft.com/office/drawing/2014/main" id="{3A57C0BE-4A14-69F8-F243-002931075E87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3000240" y="10040036"/>
              <a:ext cx="902520" cy="74448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235768</xdr:colOff>
      <xdr:row>53</xdr:row>
      <xdr:rowOff>202484</xdr:rowOff>
    </xdr:from>
    <xdr:to>
      <xdr:col>6</xdr:col>
      <xdr:colOff>339383</xdr:colOff>
      <xdr:row>55</xdr:row>
      <xdr:rowOff>80478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1">
          <xdr14:nvContentPartPr>
            <xdr14:cNvPr id="192" name="Ink 191">
              <a:extLst>
                <a:ext uri="{FF2B5EF4-FFF2-40B4-BE49-F238E27FC236}">
                  <a16:creationId xmlns:a16="http://schemas.microsoft.com/office/drawing/2014/main" id="{04A3B8E8-4686-ED37-EAF9-77CFCDC17047}"/>
                </a:ext>
              </a:extLst>
            </xdr14:cNvPr>
            <xdr14:cNvContentPartPr/>
          </xdr14:nvContentPartPr>
          <xdr14:nvPr macro=""/>
          <xdr14:xfrm>
            <a:off x="1892880" y="11000880"/>
            <a:ext cx="3417840" cy="285480"/>
          </xdr14:xfrm>
        </xdr:contentPart>
      </mc:Choice>
      <mc:Fallback>
        <xdr:pic>
          <xdr:nvPicPr>
            <xdr:cNvPr id="192" name="Ink 191">
              <a:extLst>
                <a:ext uri="{FF2B5EF4-FFF2-40B4-BE49-F238E27FC236}">
                  <a16:creationId xmlns:a16="http://schemas.microsoft.com/office/drawing/2014/main" id="{04A3B8E8-4686-ED37-EAF9-77CFCDC17047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1885306" y="10993479"/>
              <a:ext cx="3432626" cy="30028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603000</xdr:colOff>
      <xdr:row>54</xdr:row>
      <xdr:rowOff>48061</xdr:rowOff>
    </xdr:from>
    <xdr:to>
      <xdr:col>1</xdr:col>
      <xdr:colOff>503444</xdr:colOff>
      <xdr:row>55</xdr:row>
      <xdr:rowOff>39798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3">
          <xdr14:nvContentPartPr>
            <xdr14:cNvPr id="200" name="Ink 199">
              <a:extLst>
                <a:ext uri="{FF2B5EF4-FFF2-40B4-BE49-F238E27FC236}">
                  <a16:creationId xmlns:a16="http://schemas.microsoft.com/office/drawing/2014/main" id="{64E7E226-7BFE-C6A8-C698-00BDE8FE301C}"/>
                </a:ext>
              </a:extLst>
            </xdr14:cNvPr>
            <xdr14:cNvContentPartPr/>
          </xdr14:nvContentPartPr>
          <xdr14:nvPr macro=""/>
          <xdr14:xfrm>
            <a:off x="603000" y="11050200"/>
            <a:ext cx="729000" cy="195480"/>
          </xdr14:xfrm>
        </xdr:contentPart>
      </mc:Choice>
      <mc:Fallback>
        <xdr:pic>
          <xdr:nvPicPr>
            <xdr:cNvPr id="200" name="Ink 199">
              <a:extLst>
                <a:ext uri="{FF2B5EF4-FFF2-40B4-BE49-F238E27FC236}">
                  <a16:creationId xmlns:a16="http://schemas.microsoft.com/office/drawing/2014/main" id="{64E7E226-7BFE-C6A8-C698-00BDE8FE301C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595440" y="11042640"/>
              <a:ext cx="744120" cy="21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532768</xdr:colOff>
      <xdr:row>53</xdr:row>
      <xdr:rowOff>101324</xdr:rowOff>
    </xdr:from>
    <xdr:to>
      <xdr:col>5</xdr:col>
      <xdr:colOff>226179</xdr:colOff>
      <xdr:row>56</xdr:row>
      <xdr:rowOff>95254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5">
          <xdr14:nvContentPartPr>
            <xdr14:cNvPr id="204" name="Ink 203">
              <a:extLst>
                <a:ext uri="{FF2B5EF4-FFF2-40B4-BE49-F238E27FC236}">
                  <a16:creationId xmlns:a16="http://schemas.microsoft.com/office/drawing/2014/main" id="{FE4D3E8B-304E-24EA-8C2C-1869AF5CB547}"/>
                </a:ext>
              </a:extLst>
            </xdr14:cNvPr>
            <xdr14:cNvContentPartPr/>
          </xdr14:nvContentPartPr>
          <xdr14:nvPr macro=""/>
          <xdr14:xfrm>
            <a:off x="2189880" y="10899720"/>
            <a:ext cx="2179080" cy="605160"/>
          </xdr14:xfrm>
        </xdr:contentPart>
      </mc:Choice>
      <mc:Fallback>
        <xdr:pic>
          <xdr:nvPicPr>
            <xdr:cNvPr id="204" name="Ink 203">
              <a:extLst>
                <a:ext uri="{FF2B5EF4-FFF2-40B4-BE49-F238E27FC236}">
                  <a16:creationId xmlns:a16="http://schemas.microsoft.com/office/drawing/2014/main" id="{FE4D3E8B-304E-24EA-8C2C-1869AF5CB547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2182262" y="10892142"/>
              <a:ext cx="2194316" cy="62031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320368</xdr:colOff>
      <xdr:row>50</xdr:row>
      <xdr:rowOff>193794</xdr:rowOff>
    </xdr:from>
    <xdr:to>
      <xdr:col>5</xdr:col>
      <xdr:colOff>589059</xdr:colOff>
      <xdr:row>52</xdr:row>
      <xdr:rowOff>156748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7">
          <xdr14:nvContentPartPr>
            <xdr14:cNvPr id="205" name="Ink 204">
              <a:extLst>
                <a:ext uri="{FF2B5EF4-FFF2-40B4-BE49-F238E27FC236}">
                  <a16:creationId xmlns:a16="http://schemas.microsoft.com/office/drawing/2014/main" id="{D17512A3-D263-78FE-597E-117F1EE8F597}"/>
                </a:ext>
              </a:extLst>
            </xdr14:cNvPr>
            <xdr14:cNvContentPartPr/>
          </xdr14:nvContentPartPr>
          <xdr14:nvPr macro=""/>
          <xdr14:xfrm>
            <a:off x="1977480" y="10380960"/>
            <a:ext cx="2754360" cy="370440"/>
          </xdr14:xfrm>
        </xdr:contentPart>
      </mc:Choice>
      <mc:Fallback>
        <xdr:pic>
          <xdr:nvPicPr>
            <xdr:cNvPr id="205" name="Ink 204">
              <a:extLst>
                <a:ext uri="{FF2B5EF4-FFF2-40B4-BE49-F238E27FC236}">
                  <a16:creationId xmlns:a16="http://schemas.microsoft.com/office/drawing/2014/main" id="{D17512A3-D263-78FE-597E-117F1EE8F597}"/>
                </a:ext>
              </a:extLst>
            </xdr:cNvPr>
            <xdr:cNvPicPr/>
          </xdr:nvPicPr>
          <xdr:blipFill>
            <a:blip xmlns:r="http://schemas.openxmlformats.org/officeDocument/2006/relationships" r:embed="rId68"/>
            <a:stretch>
              <a:fillRect/>
            </a:stretch>
          </xdr:blipFill>
          <xdr:spPr>
            <a:xfrm>
              <a:off x="1969874" y="10373378"/>
              <a:ext cx="2769571" cy="38524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605880</xdr:colOff>
      <xdr:row>49</xdr:row>
      <xdr:rowOff>130778</xdr:rowOff>
    </xdr:from>
    <xdr:to>
      <xdr:col>1</xdr:col>
      <xdr:colOff>418844</xdr:colOff>
      <xdr:row>51</xdr:row>
      <xdr:rowOff>134771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9">
          <xdr14:nvContentPartPr>
            <xdr14:cNvPr id="206" name="Ink 205">
              <a:extLst>
                <a:ext uri="{FF2B5EF4-FFF2-40B4-BE49-F238E27FC236}">
                  <a16:creationId xmlns:a16="http://schemas.microsoft.com/office/drawing/2014/main" id="{323E1464-D323-3F37-BA34-0E7BDBD6733F}"/>
                </a:ext>
              </a:extLst>
            </xdr14:cNvPr>
            <xdr14:cNvContentPartPr/>
          </xdr14:nvContentPartPr>
          <xdr14:nvPr macro=""/>
          <xdr14:xfrm>
            <a:off x="605880" y="10114200"/>
            <a:ext cx="641520" cy="411480"/>
          </xdr14:xfrm>
        </xdr:contentPart>
      </mc:Choice>
      <mc:Fallback>
        <xdr:pic>
          <xdr:nvPicPr>
            <xdr:cNvPr id="206" name="Ink 205">
              <a:extLst>
                <a:ext uri="{FF2B5EF4-FFF2-40B4-BE49-F238E27FC236}">
                  <a16:creationId xmlns:a16="http://schemas.microsoft.com/office/drawing/2014/main" id="{323E1464-D323-3F37-BA34-0E7BDBD6733F}"/>
                </a:ext>
              </a:extLst>
            </xdr:cNvPr>
            <xdr:cNvPicPr/>
          </xdr:nvPicPr>
          <xdr:blipFill>
            <a:blip xmlns:r="http://schemas.openxmlformats.org/officeDocument/2006/relationships" r:embed="rId70"/>
            <a:stretch>
              <a:fillRect/>
            </a:stretch>
          </xdr:blipFill>
          <xdr:spPr>
            <a:xfrm>
              <a:off x="598316" y="10106640"/>
              <a:ext cx="656648" cy="426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441231</xdr:colOff>
      <xdr:row>49</xdr:row>
      <xdr:rowOff>134738</xdr:rowOff>
    </xdr:from>
    <xdr:to>
      <xdr:col>10</xdr:col>
      <xdr:colOff>314839</xdr:colOff>
      <xdr:row>51</xdr:row>
      <xdr:rowOff>69971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1">
          <xdr14:nvContentPartPr>
            <xdr14:cNvPr id="239" name="Ink 238">
              <a:extLst>
                <a:ext uri="{FF2B5EF4-FFF2-40B4-BE49-F238E27FC236}">
                  <a16:creationId xmlns:a16="http://schemas.microsoft.com/office/drawing/2014/main" id="{1966DB08-7045-39D3-2605-6838FC0C5007}"/>
                </a:ext>
              </a:extLst>
            </xdr14:cNvPr>
            <xdr14:cNvContentPartPr/>
          </xdr14:nvContentPartPr>
          <xdr14:nvPr macro=""/>
          <xdr14:xfrm>
            <a:off x="7069680" y="10118160"/>
            <a:ext cx="1530720" cy="342720"/>
          </xdr14:xfrm>
        </xdr:contentPart>
      </mc:Choice>
      <mc:Fallback>
        <xdr:pic>
          <xdr:nvPicPr>
            <xdr:cNvPr id="239" name="Ink 238">
              <a:extLst>
                <a:ext uri="{FF2B5EF4-FFF2-40B4-BE49-F238E27FC236}">
                  <a16:creationId xmlns:a16="http://schemas.microsoft.com/office/drawing/2014/main" id="{1966DB08-7045-39D3-2605-6838FC0C5007}"/>
                </a:ext>
              </a:extLst>
            </xdr:cNvPr>
            <xdr:cNvPicPr/>
          </xdr:nvPicPr>
          <xdr:blipFill>
            <a:blip xmlns:r="http://schemas.openxmlformats.org/officeDocument/2006/relationships" r:embed="rId72"/>
            <a:stretch>
              <a:fillRect/>
            </a:stretch>
          </xdr:blipFill>
          <xdr:spPr>
            <a:xfrm>
              <a:off x="7062120" y="10110960"/>
              <a:ext cx="1545840" cy="357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59303</xdr:colOff>
      <xdr:row>49</xdr:row>
      <xdr:rowOff>123218</xdr:rowOff>
    </xdr:from>
    <xdr:to>
      <xdr:col>8</xdr:col>
      <xdr:colOff>144951</xdr:colOff>
      <xdr:row>51</xdr:row>
      <xdr:rowOff>154571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3">
          <xdr14:nvContentPartPr>
            <xdr14:cNvPr id="240" name="Ink 239">
              <a:extLst>
                <a:ext uri="{FF2B5EF4-FFF2-40B4-BE49-F238E27FC236}">
                  <a16:creationId xmlns:a16="http://schemas.microsoft.com/office/drawing/2014/main" id="{CC94CCC0-4230-F1A7-8434-6A2F013B932C}"/>
                </a:ext>
              </a:extLst>
            </xdr14:cNvPr>
            <xdr14:cNvContentPartPr/>
          </xdr14:nvContentPartPr>
          <xdr14:nvPr macro=""/>
          <xdr14:xfrm>
            <a:off x="5030640" y="10106640"/>
            <a:ext cx="1742760" cy="438840"/>
          </xdr14:xfrm>
        </xdr:contentPart>
      </mc:Choice>
      <mc:Fallback>
        <xdr:pic>
          <xdr:nvPicPr>
            <xdr:cNvPr id="240" name="Ink 239">
              <a:extLst>
                <a:ext uri="{FF2B5EF4-FFF2-40B4-BE49-F238E27FC236}">
                  <a16:creationId xmlns:a16="http://schemas.microsoft.com/office/drawing/2014/main" id="{CC94CCC0-4230-F1A7-8434-6A2F013B932C}"/>
                </a:ext>
              </a:extLst>
            </xdr:cNvPr>
            <xdr:cNvPicPr/>
          </xdr:nvPicPr>
          <xdr:blipFill>
            <a:blip xmlns:r="http://schemas.openxmlformats.org/officeDocument/2006/relationships" r:embed="rId74"/>
            <a:stretch>
              <a:fillRect/>
            </a:stretch>
          </xdr:blipFill>
          <xdr:spPr>
            <a:xfrm>
              <a:off x="5023080" y="10099086"/>
              <a:ext cx="1757880" cy="45358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119327</xdr:colOff>
      <xdr:row>60</xdr:row>
      <xdr:rowOff>109704</xdr:rowOff>
    </xdr:from>
    <xdr:to>
      <xdr:col>4</xdr:col>
      <xdr:colOff>96814</xdr:colOff>
      <xdr:row>63</xdr:row>
      <xdr:rowOff>108079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5">
          <xdr14:nvContentPartPr>
            <xdr14:cNvPr id="257" name="Ink 256">
              <a:extLst>
                <a:ext uri="{FF2B5EF4-FFF2-40B4-BE49-F238E27FC236}">
                  <a16:creationId xmlns:a16="http://schemas.microsoft.com/office/drawing/2014/main" id="{73F426D7-1E9A-DB52-E78B-AF06EF3B3975}"/>
                </a:ext>
              </a:extLst>
            </xdr14:cNvPr>
            <xdr14:cNvContentPartPr/>
          </xdr14:nvContentPartPr>
          <xdr14:nvPr macro=""/>
          <xdr14:xfrm>
            <a:off x="1769400" y="12346200"/>
            <a:ext cx="1627560" cy="610200"/>
          </xdr14:xfrm>
        </xdr:contentPart>
      </mc:Choice>
      <mc:Fallback>
        <xdr:pic>
          <xdr:nvPicPr>
            <xdr:cNvPr id="257" name="Ink 256">
              <a:extLst>
                <a:ext uri="{FF2B5EF4-FFF2-40B4-BE49-F238E27FC236}">
                  <a16:creationId xmlns:a16="http://schemas.microsoft.com/office/drawing/2014/main" id="{73F426D7-1E9A-DB52-E78B-AF06EF3B3975}"/>
                </a:ext>
              </a:extLst>
            </xdr:cNvPr>
            <xdr:cNvPicPr/>
          </xdr:nvPicPr>
          <xdr:blipFill>
            <a:blip xmlns:r="http://schemas.openxmlformats.org/officeDocument/2006/relationships" r:embed="rId76"/>
            <a:stretch>
              <a:fillRect/>
            </a:stretch>
          </xdr:blipFill>
          <xdr:spPr>
            <a:xfrm>
              <a:off x="1761840" y="12338640"/>
              <a:ext cx="1642680" cy="625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311734</xdr:colOff>
      <xdr:row>59</xdr:row>
      <xdr:rowOff>98725</xdr:rowOff>
    </xdr:from>
    <xdr:to>
      <xdr:col>5</xdr:col>
      <xdr:colOff>393538</xdr:colOff>
      <xdr:row>61</xdr:row>
      <xdr:rowOff>42562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7">
          <xdr14:nvContentPartPr>
            <xdr14:cNvPr id="276" name="Ink 275">
              <a:extLst>
                <a:ext uri="{FF2B5EF4-FFF2-40B4-BE49-F238E27FC236}">
                  <a16:creationId xmlns:a16="http://schemas.microsoft.com/office/drawing/2014/main" id="{8F88BA50-23F6-E36C-550E-2F73C46777FC}"/>
                </a:ext>
              </a:extLst>
            </xdr14:cNvPr>
            <xdr14:cNvContentPartPr/>
          </xdr14:nvContentPartPr>
          <xdr14:nvPr macro=""/>
          <xdr14:xfrm>
            <a:off x="3611880" y="12131280"/>
            <a:ext cx="906840" cy="351720"/>
          </xdr14:xfrm>
        </xdr:contentPart>
      </mc:Choice>
      <mc:Fallback>
        <xdr:pic>
          <xdr:nvPicPr>
            <xdr:cNvPr id="276" name="Ink 275">
              <a:extLst>
                <a:ext uri="{FF2B5EF4-FFF2-40B4-BE49-F238E27FC236}">
                  <a16:creationId xmlns:a16="http://schemas.microsoft.com/office/drawing/2014/main" id="{8F88BA50-23F6-E36C-550E-2F73C46777FC}"/>
                </a:ext>
              </a:extLst>
            </xdr:cNvPr>
            <xdr:cNvPicPr/>
          </xdr:nvPicPr>
          <xdr:blipFill>
            <a:blip xmlns:r="http://schemas.openxmlformats.org/officeDocument/2006/relationships" r:embed="rId78"/>
            <a:stretch>
              <a:fillRect/>
            </a:stretch>
          </xdr:blipFill>
          <xdr:spPr>
            <a:xfrm>
              <a:off x="3604320" y="12123720"/>
              <a:ext cx="921960" cy="366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332698</xdr:colOff>
      <xdr:row>60</xdr:row>
      <xdr:rowOff>178824</xdr:rowOff>
    </xdr:from>
    <xdr:to>
      <xdr:col>6</xdr:col>
      <xdr:colOff>351141</xdr:colOff>
      <xdr:row>61</xdr:row>
      <xdr:rowOff>72442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9">
          <xdr14:nvContentPartPr>
            <xdr14:cNvPr id="283" name="Ink 282">
              <a:extLst>
                <a:ext uri="{FF2B5EF4-FFF2-40B4-BE49-F238E27FC236}">
                  <a16:creationId xmlns:a16="http://schemas.microsoft.com/office/drawing/2014/main" id="{7CD835B0-F542-2755-BFDF-CF683B5400DB}"/>
                </a:ext>
              </a:extLst>
            </xdr14:cNvPr>
            <xdr14:cNvContentPartPr/>
          </xdr14:nvContentPartPr>
          <xdr14:nvPr macro=""/>
          <xdr14:xfrm>
            <a:off x="4457880" y="12415320"/>
            <a:ext cx="843480" cy="97560"/>
          </xdr14:xfrm>
        </xdr:contentPart>
      </mc:Choice>
      <mc:Fallback>
        <xdr:pic>
          <xdr:nvPicPr>
            <xdr:cNvPr id="283" name="Ink 282">
              <a:extLst>
                <a:ext uri="{FF2B5EF4-FFF2-40B4-BE49-F238E27FC236}">
                  <a16:creationId xmlns:a16="http://schemas.microsoft.com/office/drawing/2014/main" id="{7CD835B0-F542-2755-BFDF-CF683B5400DB}"/>
                </a:ext>
              </a:extLst>
            </xdr:cNvPr>
            <xdr:cNvPicPr/>
          </xdr:nvPicPr>
          <xdr:blipFill>
            <a:blip xmlns:r="http://schemas.openxmlformats.org/officeDocument/2006/relationships" r:embed="rId80"/>
            <a:stretch>
              <a:fillRect/>
            </a:stretch>
          </xdr:blipFill>
          <xdr:spPr>
            <a:xfrm>
              <a:off x="4450320" y="12407760"/>
              <a:ext cx="858600" cy="112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623578</xdr:colOff>
      <xdr:row>52</xdr:row>
      <xdr:rowOff>179428</xdr:rowOff>
    </xdr:from>
    <xdr:to>
      <xdr:col>9</xdr:col>
      <xdr:colOff>810395</xdr:colOff>
      <xdr:row>60</xdr:row>
      <xdr:rowOff>28344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1">
          <xdr14:nvContentPartPr>
            <xdr14:cNvPr id="284" name="Ink 283">
              <a:extLst>
                <a:ext uri="{FF2B5EF4-FFF2-40B4-BE49-F238E27FC236}">
                  <a16:creationId xmlns:a16="http://schemas.microsoft.com/office/drawing/2014/main" id="{9842FE0D-8348-5BD2-A840-0E701FEBDBB7}"/>
                </a:ext>
              </a:extLst>
            </xdr14:cNvPr>
            <xdr14:cNvContentPartPr/>
          </xdr14:nvContentPartPr>
          <xdr14:nvPr macro=""/>
          <xdr14:xfrm>
            <a:off x="4748760" y="10784392"/>
            <a:ext cx="3486963" cy="1480448"/>
          </xdr14:xfrm>
        </xdr:contentPart>
      </mc:Choice>
      <mc:Fallback>
        <xdr:pic>
          <xdr:nvPicPr>
            <xdr:cNvPr id="284" name="Ink 283">
              <a:extLst>
                <a:ext uri="{FF2B5EF4-FFF2-40B4-BE49-F238E27FC236}">
                  <a16:creationId xmlns:a16="http://schemas.microsoft.com/office/drawing/2014/main" id="{9842FE0D-8348-5BD2-A840-0E701FEBDBB7}"/>
                </a:ext>
              </a:extLst>
            </xdr:cNvPr>
            <xdr:cNvPicPr/>
          </xdr:nvPicPr>
          <xdr:blipFill>
            <a:blip xmlns:r="http://schemas.openxmlformats.org/officeDocument/2006/relationships" r:embed="rId82"/>
            <a:stretch>
              <a:fillRect/>
            </a:stretch>
          </xdr:blipFill>
          <xdr:spPr>
            <a:xfrm>
              <a:off x="4741217" y="10776945"/>
              <a:ext cx="3501690" cy="149534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531778</xdr:colOff>
      <xdr:row>27</xdr:row>
      <xdr:rowOff>159257</xdr:rowOff>
    </xdr:from>
    <xdr:to>
      <xdr:col>7</xdr:col>
      <xdr:colOff>276345</xdr:colOff>
      <xdr:row>29</xdr:row>
      <xdr:rowOff>129013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3">
          <xdr14:nvContentPartPr>
            <xdr14:cNvPr id="289" name="Ink 288">
              <a:extLst>
                <a:ext uri="{FF2B5EF4-FFF2-40B4-BE49-F238E27FC236}">
                  <a16:creationId xmlns:a16="http://schemas.microsoft.com/office/drawing/2014/main" id="{38B1B078-36E7-7F48-C363-7365A3BB2063}"/>
                </a:ext>
              </a:extLst>
            </xdr14:cNvPr>
            <xdr14:cNvContentPartPr/>
          </xdr14:nvContentPartPr>
          <xdr14:nvPr macro=""/>
          <xdr14:xfrm>
            <a:off x="4656960" y="5665680"/>
            <a:ext cx="1394640" cy="377640"/>
          </xdr14:xfrm>
        </xdr:contentPart>
      </mc:Choice>
      <mc:Fallback>
        <xdr:pic>
          <xdr:nvPicPr>
            <xdr:cNvPr id="289" name="Ink 288">
              <a:extLst>
                <a:ext uri="{FF2B5EF4-FFF2-40B4-BE49-F238E27FC236}">
                  <a16:creationId xmlns:a16="http://schemas.microsoft.com/office/drawing/2014/main" id="{38B1B078-36E7-7F48-C363-7365A3BB2063}"/>
                </a:ext>
              </a:extLst>
            </xdr:cNvPr>
            <xdr:cNvPicPr/>
          </xdr:nvPicPr>
          <xdr:blipFill>
            <a:blip xmlns:r="http://schemas.openxmlformats.org/officeDocument/2006/relationships" r:embed="rId84"/>
            <a:stretch>
              <a:fillRect/>
            </a:stretch>
          </xdr:blipFill>
          <xdr:spPr>
            <a:xfrm>
              <a:off x="4649398" y="5658120"/>
              <a:ext cx="1409764" cy="392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724545</xdr:colOff>
      <xdr:row>28</xdr:row>
      <xdr:rowOff>2115</xdr:rowOff>
    </xdr:from>
    <xdr:to>
      <xdr:col>8</xdr:col>
      <xdr:colOff>481628</xdr:colOff>
      <xdr:row>28</xdr:row>
      <xdr:rowOff>196875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5">
          <xdr14:nvContentPartPr>
            <xdr14:cNvPr id="292" name="Ink 291">
              <a:extLst>
                <a:ext uri="{FF2B5EF4-FFF2-40B4-BE49-F238E27FC236}">
                  <a16:creationId xmlns:a16="http://schemas.microsoft.com/office/drawing/2014/main" id="{4D3F92F3-6826-3E40-8627-AE3E16B43935}"/>
                </a:ext>
              </a:extLst>
            </xdr14:cNvPr>
            <xdr14:cNvContentPartPr/>
          </xdr14:nvContentPartPr>
          <xdr14:nvPr macro=""/>
          <xdr14:xfrm>
            <a:off x="6499800" y="5712480"/>
            <a:ext cx="582120" cy="194760"/>
          </xdr14:xfrm>
        </xdr:contentPart>
      </mc:Choice>
      <mc:Fallback>
        <xdr:pic>
          <xdr:nvPicPr>
            <xdr:cNvPr id="292" name="Ink 291">
              <a:extLst>
                <a:ext uri="{FF2B5EF4-FFF2-40B4-BE49-F238E27FC236}">
                  <a16:creationId xmlns:a16="http://schemas.microsoft.com/office/drawing/2014/main" id="{4D3F92F3-6826-3E40-8627-AE3E16B43935}"/>
                </a:ext>
              </a:extLst>
            </xdr:cNvPr>
            <xdr:cNvPicPr/>
          </xdr:nvPicPr>
          <xdr:blipFill>
            <a:blip xmlns:r="http://schemas.openxmlformats.org/officeDocument/2006/relationships" r:embed="rId86"/>
            <a:stretch>
              <a:fillRect/>
            </a:stretch>
          </xdr:blipFill>
          <xdr:spPr>
            <a:xfrm>
              <a:off x="6492240" y="5704920"/>
              <a:ext cx="597240" cy="209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37555</xdr:colOff>
      <xdr:row>28</xdr:row>
      <xdr:rowOff>1395</xdr:rowOff>
    </xdr:from>
    <xdr:to>
      <xdr:col>11</xdr:col>
      <xdr:colOff>221959</xdr:colOff>
      <xdr:row>28</xdr:row>
      <xdr:rowOff>192555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7">
          <xdr14:nvContentPartPr>
            <xdr14:cNvPr id="297" name="Ink 296">
              <a:extLst>
                <a:ext uri="{FF2B5EF4-FFF2-40B4-BE49-F238E27FC236}">
                  <a16:creationId xmlns:a16="http://schemas.microsoft.com/office/drawing/2014/main" id="{CF24D649-F843-0C70-BA6B-F26E164D9083}"/>
                </a:ext>
              </a:extLst>
            </xdr14:cNvPr>
            <xdr14:cNvContentPartPr/>
          </xdr14:nvContentPartPr>
          <xdr14:nvPr macro=""/>
          <xdr14:xfrm>
            <a:off x="8287920" y="5711760"/>
            <a:ext cx="1009440" cy="191160"/>
          </xdr14:xfrm>
        </xdr:contentPart>
      </mc:Choice>
      <mc:Fallback>
        <xdr:pic>
          <xdr:nvPicPr>
            <xdr:cNvPr id="297" name="Ink 296">
              <a:extLst>
                <a:ext uri="{FF2B5EF4-FFF2-40B4-BE49-F238E27FC236}">
                  <a16:creationId xmlns:a16="http://schemas.microsoft.com/office/drawing/2014/main" id="{CF24D649-F843-0C70-BA6B-F26E164D9083}"/>
                </a:ext>
              </a:extLst>
            </xdr:cNvPr>
            <xdr:cNvPicPr/>
          </xdr:nvPicPr>
          <xdr:blipFill>
            <a:blip xmlns:r="http://schemas.openxmlformats.org/officeDocument/2006/relationships" r:embed="rId88"/>
            <a:stretch>
              <a:fillRect/>
            </a:stretch>
          </xdr:blipFill>
          <xdr:spPr>
            <a:xfrm>
              <a:off x="8280357" y="5704214"/>
              <a:ext cx="1024565" cy="20589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769988</xdr:colOff>
      <xdr:row>28</xdr:row>
      <xdr:rowOff>18675</xdr:rowOff>
    </xdr:from>
    <xdr:to>
      <xdr:col>9</xdr:col>
      <xdr:colOff>582872</xdr:colOff>
      <xdr:row>28</xdr:row>
      <xdr:rowOff>187155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9">
          <xdr14:nvContentPartPr>
            <xdr14:cNvPr id="298" name="Ink 297">
              <a:extLst>
                <a:ext uri="{FF2B5EF4-FFF2-40B4-BE49-F238E27FC236}">
                  <a16:creationId xmlns:a16="http://schemas.microsoft.com/office/drawing/2014/main" id="{A096D207-BF4B-BF44-E6C9-7C83DF9F5E4D}"/>
                </a:ext>
              </a:extLst>
            </xdr14:cNvPr>
            <xdr14:cNvContentPartPr/>
          </xdr14:nvContentPartPr>
          <xdr14:nvPr macro=""/>
          <xdr14:xfrm>
            <a:off x="7370280" y="5729040"/>
            <a:ext cx="637920" cy="168480"/>
          </xdr14:xfrm>
        </xdr:contentPart>
      </mc:Choice>
      <mc:Fallback>
        <xdr:pic>
          <xdr:nvPicPr>
            <xdr:cNvPr id="298" name="Ink 297">
              <a:extLst>
                <a:ext uri="{FF2B5EF4-FFF2-40B4-BE49-F238E27FC236}">
                  <a16:creationId xmlns:a16="http://schemas.microsoft.com/office/drawing/2014/main" id="{A096D207-BF4B-BF44-E6C9-7C83DF9F5E4D}"/>
                </a:ext>
              </a:extLst>
            </xdr:cNvPr>
            <xdr:cNvPicPr/>
          </xdr:nvPicPr>
          <xdr:blipFill>
            <a:blip xmlns:r="http://schemas.openxmlformats.org/officeDocument/2006/relationships" r:embed="rId90"/>
            <a:stretch>
              <a:fillRect/>
            </a:stretch>
          </xdr:blipFill>
          <xdr:spPr>
            <a:xfrm>
              <a:off x="7362720" y="5721480"/>
              <a:ext cx="653040" cy="183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533661</xdr:colOff>
      <xdr:row>29</xdr:row>
      <xdr:rowOff>14173</xdr:rowOff>
    </xdr:from>
    <xdr:to>
      <xdr:col>7</xdr:col>
      <xdr:colOff>617985</xdr:colOff>
      <xdr:row>30</xdr:row>
      <xdr:rowOff>148632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1">
          <xdr14:nvContentPartPr>
            <xdr14:cNvPr id="306" name="Ink 305">
              <a:extLst>
                <a:ext uri="{FF2B5EF4-FFF2-40B4-BE49-F238E27FC236}">
                  <a16:creationId xmlns:a16="http://schemas.microsoft.com/office/drawing/2014/main" id="{35B2FE5D-D1C3-D56E-D09A-57E510FF8ADC}"/>
                </a:ext>
              </a:extLst>
            </xdr14:cNvPr>
            <xdr14:cNvContentPartPr/>
          </xdr14:nvContentPartPr>
          <xdr14:nvPr macro=""/>
          <xdr14:xfrm>
            <a:off x="5483880" y="5928480"/>
            <a:ext cx="909360" cy="338400"/>
          </xdr14:xfrm>
        </xdr:contentPart>
      </mc:Choice>
      <mc:Fallback>
        <xdr:pic>
          <xdr:nvPicPr>
            <xdr:cNvPr id="306" name="Ink 305">
              <a:extLst>
                <a:ext uri="{FF2B5EF4-FFF2-40B4-BE49-F238E27FC236}">
                  <a16:creationId xmlns:a16="http://schemas.microsoft.com/office/drawing/2014/main" id="{35B2FE5D-D1C3-D56E-D09A-57E510FF8ADC}"/>
                </a:ext>
              </a:extLst>
            </xdr:cNvPr>
            <xdr:cNvPicPr/>
          </xdr:nvPicPr>
          <xdr:blipFill>
            <a:blip xmlns:r="http://schemas.openxmlformats.org/officeDocument/2006/relationships" r:embed="rId92"/>
            <a:stretch>
              <a:fillRect/>
            </a:stretch>
          </xdr:blipFill>
          <xdr:spPr>
            <a:xfrm>
              <a:off x="5476320" y="5920920"/>
              <a:ext cx="924480" cy="353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607680</xdr:colOff>
      <xdr:row>63</xdr:row>
      <xdr:rowOff>182530</xdr:rowOff>
    </xdr:from>
    <xdr:to>
      <xdr:col>5</xdr:col>
      <xdr:colOff>21075</xdr:colOff>
      <xdr:row>68</xdr:row>
      <xdr:rowOff>113337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3">
          <xdr14:nvContentPartPr>
            <xdr14:cNvPr id="351" name="Ink 350">
              <a:extLst>
                <a:ext uri="{FF2B5EF4-FFF2-40B4-BE49-F238E27FC236}">
                  <a16:creationId xmlns:a16="http://schemas.microsoft.com/office/drawing/2014/main" id="{9E675D45-C48F-FCBC-625B-F4A01FCE7F1E}"/>
                </a:ext>
              </a:extLst>
            </xdr14:cNvPr>
            <xdr14:cNvContentPartPr/>
          </xdr14:nvContentPartPr>
          <xdr14:nvPr macro=""/>
          <xdr14:xfrm>
            <a:off x="607680" y="12993120"/>
            <a:ext cx="3533760" cy="947520"/>
          </xdr14:xfrm>
        </xdr:contentPart>
      </mc:Choice>
      <mc:Fallback>
        <xdr:pic>
          <xdr:nvPicPr>
            <xdr:cNvPr id="351" name="Ink 350">
              <a:extLst>
                <a:ext uri="{FF2B5EF4-FFF2-40B4-BE49-F238E27FC236}">
                  <a16:creationId xmlns:a16="http://schemas.microsoft.com/office/drawing/2014/main" id="{9E675D45-C48F-FCBC-625B-F4A01FCE7F1E}"/>
                </a:ext>
              </a:extLst>
            </xdr:cNvPr>
            <xdr:cNvPicPr/>
          </xdr:nvPicPr>
          <xdr:blipFill>
            <a:blip xmlns:r="http://schemas.openxmlformats.org/officeDocument/2006/relationships" r:embed="rId94"/>
            <a:stretch>
              <a:fillRect/>
            </a:stretch>
          </xdr:blipFill>
          <xdr:spPr>
            <a:xfrm>
              <a:off x="600151" y="12985695"/>
              <a:ext cx="3548817" cy="96236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188300</xdr:colOff>
      <xdr:row>70</xdr:row>
      <xdr:rowOff>162627</xdr:rowOff>
    </xdr:from>
    <xdr:to>
      <xdr:col>6</xdr:col>
      <xdr:colOff>560180</xdr:colOff>
      <xdr:row>71</xdr:row>
      <xdr:rowOff>112483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5">
          <xdr14:nvContentPartPr>
            <xdr14:cNvPr id="354" name="Ink 353">
              <a:extLst>
                <a:ext uri="{FF2B5EF4-FFF2-40B4-BE49-F238E27FC236}">
                  <a16:creationId xmlns:a16="http://schemas.microsoft.com/office/drawing/2014/main" id="{849D2F26-F070-9BBE-4BFB-0978A3B2488B}"/>
                </a:ext>
              </a:extLst>
            </xdr14:cNvPr>
            <xdr14:cNvContentPartPr/>
          </xdr14:nvContentPartPr>
          <xdr14:nvPr macro=""/>
          <xdr14:xfrm>
            <a:off x="5150160" y="14634720"/>
            <a:ext cx="371880" cy="156600"/>
          </xdr14:xfrm>
        </xdr:contentPart>
      </mc:Choice>
      <mc:Fallback>
        <xdr:pic>
          <xdr:nvPicPr>
            <xdr:cNvPr id="354" name="Ink 353">
              <a:extLst>
                <a:ext uri="{FF2B5EF4-FFF2-40B4-BE49-F238E27FC236}">
                  <a16:creationId xmlns:a16="http://schemas.microsoft.com/office/drawing/2014/main" id="{849D2F26-F070-9BBE-4BFB-0978A3B2488B}"/>
                </a:ext>
              </a:extLst>
            </xdr:cNvPr>
            <xdr:cNvPicPr/>
          </xdr:nvPicPr>
          <xdr:blipFill>
            <a:blip xmlns:r="http://schemas.openxmlformats.org/officeDocument/2006/relationships" r:embed="rId96"/>
            <a:stretch>
              <a:fillRect/>
            </a:stretch>
          </xdr:blipFill>
          <xdr:spPr>
            <a:xfrm>
              <a:off x="5142600" y="14627160"/>
              <a:ext cx="386640" cy="171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192923</xdr:colOff>
      <xdr:row>70</xdr:row>
      <xdr:rowOff>156867</xdr:rowOff>
    </xdr:from>
    <xdr:to>
      <xdr:col>7</xdr:col>
      <xdr:colOff>493883</xdr:colOff>
      <xdr:row>71</xdr:row>
      <xdr:rowOff>140563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7">
          <xdr14:nvContentPartPr>
            <xdr14:cNvPr id="370" name="Ink 369">
              <a:extLst>
                <a:ext uri="{FF2B5EF4-FFF2-40B4-BE49-F238E27FC236}">
                  <a16:creationId xmlns:a16="http://schemas.microsoft.com/office/drawing/2014/main" id="{52372746-184D-5E05-8EBC-C9F75E131934}"/>
                </a:ext>
              </a:extLst>
            </xdr14:cNvPr>
            <xdr14:cNvContentPartPr/>
          </xdr14:nvContentPartPr>
          <xdr14:nvPr macro=""/>
          <xdr14:xfrm>
            <a:off x="5981760" y="14628960"/>
            <a:ext cx="300960" cy="190440"/>
          </xdr14:xfrm>
        </xdr:contentPart>
      </mc:Choice>
      <mc:Fallback>
        <xdr:pic>
          <xdr:nvPicPr>
            <xdr:cNvPr id="370" name="Ink 369">
              <a:extLst>
                <a:ext uri="{FF2B5EF4-FFF2-40B4-BE49-F238E27FC236}">
                  <a16:creationId xmlns:a16="http://schemas.microsoft.com/office/drawing/2014/main" id="{52372746-184D-5E05-8EBC-C9F75E131934}"/>
                </a:ext>
              </a:extLst>
            </xdr:cNvPr>
            <xdr:cNvPicPr/>
          </xdr:nvPicPr>
          <xdr:blipFill>
            <a:blip xmlns:r="http://schemas.openxmlformats.org/officeDocument/2006/relationships" r:embed="rId98"/>
            <a:stretch>
              <a:fillRect/>
            </a:stretch>
          </xdr:blipFill>
          <xdr:spPr>
            <a:xfrm>
              <a:off x="5974191" y="14621414"/>
              <a:ext cx="316098" cy="20517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108266</xdr:colOff>
      <xdr:row>70</xdr:row>
      <xdr:rowOff>23307</xdr:rowOff>
    </xdr:from>
    <xdr:to>
      <xdr:col>9</xdr:col>
      <xdr:colOff>659729</xdr:colOff>
      <xdr:row>72</xdr:row>
      <xdr:rowOff>87539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9">
          <xdr14:nvContentPartPr>
            <xdr14:cNvPr id="385" name="Ink 384">
              <a:extLst>
                <a:ext uri="{FF2B5EF4-FFF2-40B4-BE49-F238E27FC236}">
                  <a16:creationId xmlns:a16="http://schemas.microsoft.com/office/drawing/2014/main" id="{4D5EBA70-715D-9F59-B971-49EF36D221D6}"/>
                </a:ext>
              </a:extLst>
            </xdr14:cNvPr>
            <xdr14:cNvContentPartPr/>
          </xdr14:nvContentPartPr>
          <xdr14:nvPr macro=""/>
          <xdr14:xfrm>
            <a:off x="6724080" y="14495400"/>
            <a:ext cx="1378440" cy="477720"/>
          </xdr14:xfrm>
        </xdr:contentPart>
      </mc:Choice>
      <mc:Fallback>
        <xdr:pic>
          <xdr:nvPicPr>
            <xdr:cNvPr id="385" name="Ink 384">
              <a:extLst>
                <a:ext uri="{FF2B5EF4-FFF2-40B4-BE49-F238E27FC236}">
                  <a16:creationId xmlns:a16="http://schemas.microsoft.com/office/drawing/2014/main" id="{4D5EBA70-715D-9F59-B971-49EF36D221D6}"/>
                </a:ext>
              </a:extLst>
            </xdr:cNvPr>
            <xdr:cNvPicPr/>
          </xdr:nvPicPr>
          <xdr:blipFill>
            <a:blip xmlns:r="http://schemas.openxmlformats.org/officeDocument/2006/relationships" r:embed="rId100"/>
            <a:stretch>
              <a:fillRect/>
            </a:stretch>
          </xdr:blipFill>
          <xdr:spPr>
            <a:xfrm>
              <a:off x="6716520" y="14487840"/>
              <a:ext cx="1393560" cy="492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184226</xdr:colOff>
      <xdr:row>70</xdr:row>
      <xdr:rowOff>95667</xdr:rowOff>
    </xdr:from>
    <xdr:to>
      <xdr:col>11</xdr:col>
      <xdr:colOff>485016</xdr:colOff>
      <xdr:row>74</xdr:row>
      <xdr:rowOff>148530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1">
          <xdr14:nvContentPartPr>
            <xdr14:cNvPr id="386" name="Ink 385">
              <a:extLst>
                <a:ext uri="{FF2B5EF4-FFF2-40B4-BE49-F238E27FC236}">
                  <a16:creationId xmlns:a16="http://schemas.microsoft.com/office/drawing/2014/main" id="{1F2920FD-4CC4-6B00-20D9-1B33D1802346}"/>
                </a:ext>
              </a:extLst>
            </xdr14:cNvPr>
            <xdr14:cNvContentPartPr/>
          </xdr14:nvContentPartPr>
          <xdr14:nvPr macro=""/>
          <xdr14:xfrm>
            <a:off x="6800040" y="14567760"/>
            <a:ext cx="2781720" cy="879840"/>
          </xdr14:xfrm>
        </xdr:contentPart>
      </mc:Choice>
      <mc:Fallback>
        <xdr:pic>
          <xdr:nvPicPr>
            <xdr:cNvPr id="386" name="Ink 385">
              <a:extLst>
                <a:ext uri="{FF2B5EF4-FFF2-40B4-BE49-F238E27FC236}">
                  <a16:creationId xmlns:a16="http://schemas.microsoft.com/office/drawing/2014/main" id="{1F2920FD-4CC4-6B00-20D9-1B33D1802346}"/>
                </a:ext>
              </a:extLst>
            </xdr:cNvPr>
            <xdr:cNvPicPr/>
          </xdr:nvPicPr>
          <xdr:blipFill>
            <a:blip xmlns:r="http://schemas.openxmlformats.org/officeDocument/2006/relationships" r:embed="rId102"/>
            <a:stretch>
              <a:fillRect/>
            </a:stretch>
          </xdr:blipFill>
          <xdr:spPr>
            <a:xfrm>
              <a:off x="6792480" y="14560203"/>
              <a:ext cx="2796480" cy="89495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590230</xdr:colOff>
      <xdr:row>75</xdr:row>
      <xdr:rowOff>205306</xdr:rowOff>
    </xdr:from>
    <xdr:to>
      <xdr:col>3</xdr:col>
      <xdr:colOff>754390</xdr:colOff>
      <xdr:row>79</xdr:row>
      <xdr:rowOff>153769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3">
          <xdr14:nvContentPartPr>
            <xdr14:cNvPr id="387" name="Ink 386">
              <a:extLst>
                <a:ext uri="{FF2B5EF4-FFF2-40B4-BE49-F238E27FC236}">
                  <a16:creationId xmlns:a16="http://schemas.microsoft.com/office/drawing/2014/main" id="{2F7F8394-5620-5C7A-DD2B-FB6E95E53C81}"/>
                </a:ext>
              </a:extLst>
            </xdr14:cNvPr>
            <xdr14:cNvContentPartPr/>
          </xdr14:nvContentPartPr>
          <xdr14:nvPr macro=""/>
          <xdr14:xfrm>
            <a:off x="3071160" y="15711120"/>
            <a:ext cx="164160" cy="775440"/>
          </xdr14:xfrm>
        </xdr:contentPart>
      </mc:Choice>
      <mc:Fallback>
        <xdr:pic>
          <xdr:nvPicPr>
            <xdr:cNvPr id="387" name="Ink 386">
              <a:extLst>
                <a:ext uri="{FF2B5EF4-FFF2-40B4-BE49-F238E27FC236}">
                  <a16:creationId xmlns:a16="http://schemas.microsoft.com/office/drawing/2014/main" id="{2F7F8394-5620-5C7A-DD2B-FB6E95E53C81}"/>
                </a:ext>
              </a:extLst>
            </xdr:cNvPr>
            <xdr:cNvPicPr/>
          </xdr:nvPicPr>
          <xdr:blipFill>
            <a:blip xmlns:r="http://schemas.openxmlformats.org/officeDocument/2006/relationships" r:embed="rId104"/>
            <a:stretch>
              <a:fillRect/>
            </a:stretch>
          </xdr:blipFill>
          <xdr:spPr>
            <a:xfrm>
              <a:off x="3063600" y="15703560"/>
              <a:ext cx="179280" cy="790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731407</xdr:colOff>
      <xdr:row>74</xdr:row>
      <xdr:rowOff>74370</xdr:rowOff>
    </xdr:from>
    <xdr:to>
      <xdr:col>3</xdr:col>
      <xdr:colOff>499150</xdr:colOff>
      <xdr:row>75</xdr:row>
      <xdr:rowOff>34666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5">
          <xdr14:nvContentPartPr>
            <xdr14:cNvPr id="388" name="Ink 387">
              <a:extLst>
                <a:ext uri="{FF2B5EF4-FFF2-40B4-BE49-F238E27FC236}">
                  <a16:creationId xmlns:a16="http://schemas.microsoft.com/office/drawing/2014/main" id="{E278DF63-6E8D-7AEC-1F38-59D75E672943}"/>
                </a:ext>
              </a:extLst>
            </xdr14:cNvPr>
            <xdr14:cNvContentPartPr/>
          </xdr14:nvContentPartPr>
          <xdr14:nvPr macro=""/>
          <xdr14:xfrm>
            <a:off x="2385360" y="15373440"/>
            <a:ext cx="594720" cy="167040"/>
          </xdr14:xfrm>
        </xdr:contentPart>
      </mc:Choice>
      <mc:Fallback>
        <xdr:pic>
          <xdr:nvPicPr>
            <xdr:cNvPr id="388" name="Ink 387">
              <a:extLst>
                <a:ext uri="{FF2B5EF4-FFF2-40B4-BE49-F238E27FC236}">
                  <a16:creationId xmlns:a16="http://schemas.microsoft.com/office/drawing/2014/main" id="{E278DF63-6E8D-7AEC-1F38-59D75E672943}"/>
                </a:ext>
              </a:extLst>
            </xdr:cNvPr>
            <xdr:cNvPicPr/>
          </xdr:nvPicPr>
          <xdr:blipFill>
            <a:blip xmlns:r="http://schemas.openxmlformats.org/officeDocument/2006/relationships" r:embed="rId106"/>
            <a:stretch>
              <a:fillRect/>
            </a:stretch>
          </xdr:blipFill>
          <xdr:spPr>
            <a:xfrm>
              <a:off x="2377800" y="15365880"/>
              <a:ext cx="609840" cy="182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753007</xdr:colOff>
      <xdr:row>72</xdr:row>
      <xdr:rowOff>2579</xdr:rowOff>
    </xdr:from>
    <xdr:to>
      <xdr:col>3</xdr:col>
      <xdr:colOff>482230</xdr:colOff>
      <xdr:row>73</xdr:row>
      <xdr:rowOff>25874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7">
          <xdr14:nvContentPartPr>
            <xdr14:cNvPr id="389" name="Ink 388">
              <a:extLst>
                <a:ext uri="{FF2B5EF4-FFF2-40B4-BE49-F238E27FC236}">
                  <a16:creationId xmlns:a16="http://schemas.microsoft.com/office/drawing/2014/main" id="{7D329B45-9F74-7F8F-CEA3-6011D0F8A497}"/>
                </a:ext>
              </a:extLst>
            </xdr14:cNvPr>
            <xdr14:cNvContentPartPr/>
          </xdr14:nvContentPartPr>
          <xdr14:nvPr macro=""/>
          <xdr14:xfrm>
            <a:off x="2406960" y="14888160"/>
            <a:ext cx="556200" cy="230040"/>
          </xdr14:xfrm>
        </xdr:contentPart>
      </mc:Choice>
      <mc:Fallback>
        <xdr:pic>
          <xdr:nvPicPr>
            <xdr:cNvPr id="389" name="Ink 388">
              <a:extLst>
                <a:ext uri="{FF2B5EF4-FFF2-40B4-BE49-F238E27FC236}">
                  <a16:creationId xmlns:a16="http://schemas.microsoft.com/office/drawing/2014/main" id="{7D329B45-9F74-7F8F-CEA3-6011D0F8A497}"/>
                </a:ext>
              </a:extLst>
            </xdr:cNvPr>
            <xdr:cNvPicPr/>
          </xdr:nvPicPr>
          <xdr:blipFill>
            <a:blip xmlns:r="http://schemas.openxmlformats.org/officeDocument/2006/relationships" r:embed="rId108"/>
            <a:stretch>
              <a:fillRect/>
            </a:stretch>
          </xdr:blipFill>
          <xdr:spPr>
            <a:xfrm>
              <a:off x="2399400" y="14880600"/>
              <a:ext cx="571320" cy="2451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517734</xdr:colOff>
      <xdr:row>13</xdr:row>
      <xdr:rowOff>82592</xdr:rowOff>
    </xdr:from>
    <xdr:to>
      <xdr:col>4</xdr:col>
      <xdr:colOff>618848</xdr:colOff>
      <xdr:row>16</xdr:row>
      <xdr:rowOff>68100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618B4A-2C6D-E279-1460-8DB7EBF43A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7734" y="2728794"/>
          <a:ext cx="3411079" cy="596170"/>
        </a:xfrm>
        <a:prstGeom prst="rect">
          <a:avLst/>
        </a:prstGeom>
      </xdr:spPr>
    </xdr:pic>
    <xdr:clientData/>
  </xdr:twoCellAnchor>
  <xdr:twoCellAnchor editAs="oneCell">
    <xdr:from>
      <xdr:col>0</xdr:col>
      <xdr:colOff>791098</xdr:colOff>
      <xdr:row>33</xdr:row>
      <xdr:rowOff>114300</xdr:rowOff>
    </xdr:from>
    <xdr:to>
      <xdr:col>7</xdr:col>
      <xdr:colOff>522151</xdr:colOff>
      <xdr:row>36</xdr:row>
      <xdr:rowOff>114300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9694F10-DFEC-C1E3-2888-EED1E7D093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1098" y="6819900"/>
          <a:ext cx="5509553" cy="6096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6</xdr:col>
      <xdr:colOff>202659</xdr:colOff>
      <xdr:row>19</xdr:row>
      <xdr:rowOff>167262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5051ED-47D1-0408-F87B-2BADF4D4D6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68670" y="3039894"/>
          <a:ext cx="4445000" cy="977900"/>
        </a:xfrm>
        <a:prstGeom prst="rect">
          <a:avLst/>
        </a:prstGeom>
      </xdr:spPr>
    </xdr:pic>
    <xdr:clientData/>
  </xdr:twoCellAnchor>
  <xdr:twoCellAnchor editAs="oneCell">
    <xdr:from>
      <xdr:col>8</xdr:col>
      <xdr:colOff>243651</xdr:colOff>
      <xdr:row>5</xdr:row>
      <xdr:rowOff>45102</xdr:rowOff>
    </xdr:from>
    <xdr:to>
      <xdr:col>8</xdr:col>
      <xdr:colOff>391251</xdr:colOff>
      <xdr:row>8</xdr:row>
      <xdr:rowOff>72883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698D508F-145A-439C-7901-7C261DB6C936}"/>
                </a:ext>
              </a:extLst>
            </xdr14:cNvPr>
            <xdr14:cNvContentPartPr/>
          </xdr14:nvContentPartPr>
          <xdr14:nvPr macro=""/>
          <xdr14:xfrm>
            <a:off x="7302960" y="1058400"/>
            <a:ext cx="147600" cy="635760"/>
          </xdr14:xfrm>
        </xdr:contentPart>
      </mc:Choice>
      <mc:Fallback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698D508F-145A-439C-7901-7C261DB6C936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7298640" y="1054080"/>
              <a:ext cx="156240" cy="644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741891</xdr:colOff>
      <xdr:row>4</xdr:row>
      <xdr:rowOff>180802</xdr:rowOff>
    </xdr:from>
    <xdr:to>
      <xdr:col>9</xdr:col>
      <xdr:colOff>434703</xdr:colOff>
      <xdr:row>8</xdr:row>
      <xdr:rowOff>63883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9949C9F7-8492-F399-56D4-35257651A09A}"/>
                </a:ext>
              </a:extLst>
            </xdr14:cNvPr>
            <xdr14:cNvContentPartPr/>
          </xdr14:nvContentPartPr>
          <xdr14:nvPr macro=""/>
          <xdr14:xfrm>
            <a:off x="7801200" y="991440"/>
            <a:ext cx="516960" cy="693720"/>
          </xdr14:xfrm>
        </xdr:contentPart>
      </mc:Choice>
      <mc:Fallback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9949C9F7-8492-F399-56D4-35257651A09A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7796880" y="987120"/>
              <a:ext cx="525600" cy="702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807727</xdr:colOff>
      <xdr:row>4</xdr:row>
      <xdr:rowOff>173962</xdr:rowOff>
    </xdr:from>
    <xdr:to>
      <xdr:col>11</xdr:col>
      <xdr:colOff>141509</xdr:colOff>
      <xdr:row>8</xdr:row>
      <xdr:rowOff>107083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BB8B6C0D-E759-D1F2-5D44-FDAF2D6FDAA2}"/>
                </a:ext>
              </a:extLst>
            </xdr14:cNvPr>
            <xdr14:cNvContentPartPr/>
          </xdr14:nvContentPartPr>
          <xdr14:nvPr macro=""/>
          <xdr14:xfrm>
            <a:off x="8691184" y="984600"/>
            <a:ext cx="982080" cy="743760"/>
          </xdr14:xfrm>
        </xdr:contentPart>
      </mc:Choice>
      <mc:Fallback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BB8B6C0D-E759-D1F2-5D44-FDAF2D6FDAA2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8686866" y="980280"/>
              <a:ext cx="990717" cy="7524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1:36.439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353 296 10771,'-5'-38'6386,"-17"8"-4767,-30 18-539,-25 29-631,34 6 1,2 8 45,2 10 0,6 8-1,9 5 1,10 3-135,12 5 0,12-1-181,15-9 1,11-7-135,10-10 0,8-9-540,9-12 1,3-11-1305,-3-6 0,-1-7-1080,-4-4 1,-4-3 2878,24-16 0,-35 11 0,-24 7 0</inkml:trace>
  <inkml:trace contextRef="#ctx0" brushRef="#br0" timeOffset="1032">827 550 9332,'-14'-7'8365,"-1"2"-7646,2 5-539,10 16-180,15 5-180,12 4 1,24-15 269,-5-22 449,2-20 181,-28-14 89,-29 1-179,-31 16-90,-21 29-181,-4 33-269,17 29-629,32 18-1710,45-4-629,42-17 1753,-21-41 1,5-10 674,2-10 0,0-9 405,-6-8 1,-3-6 1932,25-33 1081,-28 6 269,-16 8-90,-13 21-2608,-4 15-90,-5 26-361,1 22-898,-1 15 449,0-12 0,-1-9 180,6-53 180,2-20 90,7-36 180,3 1 540,0 22-360,10 35-271,0 41-269,18 31-809,7 14-270,8-8 269,2-29 630,-8-41 900,-14-50 89,-26 7 1,-8-8 404,-5-6 1,-7-3-361,-5 0 1,-7 3-450,-3 12 0,-5 9-315,-30-3 0,8 54 0,21 50 0,23-7 0,10 6-90,5 6 0,5 2-3149,5 3 1,3-1 495,-4-11 0,-1-4 2743,11 19 0,-16-35 0,-11-21 0</inkml:trace>
  <inkml:trace contextRef="#ctx0" brushRef="#br0" timeOffset="1266">1575 429 9242,'-29'-10'9830,"10"4"-3919,19-14-5911,36 2-2069,14-1 0,7 1-944,0 6 0,3 2 3013,8 0 0,-3 2 0,3 3 0,-30 8 0</inkml:trace>
  <inkml:trace contextRef="#ctx0" brushRef="#br0" timeOffset="2182">2266 473 8162,'-29'8'9830,"2"-1"-6167,-2-1-3304,18 2 91,29 15-270,12 18-90,9 11 0,-10 11 90,-19-15-180,-19-10 0,-27-28 0,-1-22-360,1-34-1799,39-17 360,11 6-629,29 6 179,9 37 1889,0 12 810,4 13 4047,-9 5 1170,-19-7-4587,-8 2-631,-24-5-89,-15 5-810,-8 21-809,7-1-360,8 17 450,27-23 809,14-18 540,7-30 899,-1-20 270,-10-1 91,-8 10-901,-7 33-359,-3 23-270,10 23-809,17 2-91,27-17 451,27-37 494,-40-13 0,-3-11 269,-2-15 1,-8-8 495,-10-8 0,-9-3-91,-9 0 1,-10 1-226,-5 11 1,-6 7 495,-22-1-540,5 63-1170,15 71-1709,18-19 1,7 6-1080,7 9 0,5-1 3598,4-12 0,0-5 0,9 16 0,-9-50 0</inkml:trace>
  <inkml:trace contextRef="#ctx0" brushRef="#br0" timeOffset="2666">3649 263 9152,'-16'0'9830,"1"1"-6798,31 2-1592,37-5-1395,-3-1 0,6-1-1665,7-1 1,1-2-540,1 1 1,-2 0-2250,-10 1 1,-5 2 4407,14-1 0,-28 3 0,-26 1 0</inkml:trace>
  <inkml:trace contextRef="#ctx0" brushRef="#br0" timeOffset="2866">4157 260 10051,'-18'2'8635,"2"1"-4947,-1 7-2159,11 18-809,7 41-1980,4-16 1,4 7-720,0 12 1,2 2-631,1 0 1,2-3 2608,-2-15 0,0-6 0,3 6 0,-6-38 0</inkml:trace>
  <inkml:trace contextRef="#ctx0" brushRef="#br0" timeOffset="3232">4320 793 8252,'5'-27'8096,"1"3"-7287,10 16-719,10 2 0,12 4 90,15-13 450,-17-12 179,-10-18 450,-38-1-179,-32 12-1,-22 31-449,-4 37-360,19 30-1709,41 17-1980,55-3 990,-5-47 1,8-8-765,10-8 0,0-8 3193,23-6 0,-25-12 0,-46 6 0</inkml:trace>
  <inkml:trace contextRef="#ctx0" brushRef="#br0" timeOffset="3566">4775 784 9062,'10'-37'8005,"-8"1"-3867,-1-10-3329,4 32-539,2 15 0,14 28-540,-3 0-90,-2-5 91,1-22 179,2-27 90,4-14 449,13-19 451,-7 25-450,8 12-630,-9 46-3328,-7 24-990,-4 15 4498,-1-3 0,-10-30 0,5-11 0</inkml:trace>
  <inkml:trace contextRef="#ctx0" brushRef="#br0" timeOffset="4199">5601 602 10411,'-17'-66'9830,"-9"24"-8236,-31 26-875,-5 60-809,14 17-360,28-12 1,11 2-811,28 33 631,15-26 359,32-40 810,2-83-361,-38 22 1,-4-6 315,1-29 0,-8-6 764,-12 9 0,-4 2-719,-1 8 0,-3 5 539,-9-25-89,-8 86-541,3 52-449,9 3 0,4 7-585,6 13 1,7 3-406,7-2 1,7-3 89,6-9 1,9-9 449,3-19 1,5-13 359,4-17 0,0-13 270,-3-15 0,-6-11 629,-5-6 1,-9-6 1258,1-48-628,-32 15-631,-15 30-719,-10 37-1889,8 40-3418,7 33-719,20 18 5936,10-14 0,-3-24 0,-2-25 0</inkml:trace>
  <inkml:trace contextRef="#ctx0" brushRef="#br0" timeOffset="4616">6280 655 9332,'5'-29'9830,"-2"-3"-3470,-1-1-5280,22 32-810,2 31-1080,15 32-809,-9 5-1889,-12-15 3058,-7-28 180,-5-29 1,2-30 359,2-12 449,6-7 271,9 10-360,7 18-1,4 30-449,-9 31-2248,-9 25-3509,-8 6 5757,2-13 0,-7-24 0,3-16 0</inkml:trace>
  <inkml:trace contextRef="#ctx0" brushRef="#br0" timeOffset="5332">6988 603 10321,'15'-55'9830,"-17"15"-7967,-20 25-963,-10 35-1440,4 35-1079,24 22 360,23-1 629,19-14 900,9-35 899,4-40 361,-5-34 179,-8-15-630,-10 5-989,-10 28-90,-3 31-900,3 24-629,10 9 540,12-11 719,8-24 180,1-24 360,-8-15 809,-11 1 181,2 24 89,15 42-990,-10 18 1,1 11-270,5 13 0,-1 9-210,-6-3 0,-1 6 0,-5-1 60,-9-15 0,-4-2 1,-2 1 59,-1 5 0,-4 0 0,-8-6 45,-13-2 0,-14-11-1,-15-15 1,-10-14 225,-17-19 0,-5-16-45,-4-15 0,4-15-135,9-10 0,14-9-270,24-10 0,21-3-900,23 2 1,17 3-540,7 6 0,10 6-1619,17 0 0,1 8 3238,-18 18 0,-3 5 0,30-16 0,-45 29 0</inkml:trace>
  <inkml:trace contextRef="#ctx0" brushRef="#br0" timeOffset="5699">8307 651 8072,'-12'-25'9830,"-34"-35"-8494,10 18 1,-4-4-618,-4-4 1,-1-4-90,-3-8 0,8-1-495,21 15 0,7 1-45,13-43-1,73 31 541,12 54-225,-37 14 0,-3 11-91,-8 29 1,-11 11-495,-12-8 0,-7 5-1754,-5 20 1,-5 3-1575,-5-9 0,-1-2 3508,2-5 0,1-3 0,-4 18 0,8-38 0</inkml:trace>
  <inkml:trace contextRef="#ctx0" brushRef="#br0" timeOffset="5815">8373 1093 12300,'-17'9'7016,"2"-3"-13852,-19-10 6836,15-4 0,1 2 0,14 2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4:15.432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25 331 10051,'-25'2'9830,"46"-6"-3559,39-4-6406,1 2 0,9-1-945,17 0 1,5 0-540,2 2 0,0 0 45,-2 0 0,-3 1 270,-18 1 0,-7 0-675,23-1 989,-32-4 1170,-26-8 1259,-12-10 990,-17-18-180,-11 3 1708,-24-12-539,-5 22-1619,-2 5-359,0 11-1440,20 11 0,13 16 0,37 25 0,30 22-135,-17-23 0,1 1 90,-2-3 0,-3-1-45,17 30-1259,-36-9-5038,-53 17-1978,-15-14 8365,-7 1 0,24-30 0,23-16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4:16.348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48 336 9781,'-18'-14'8905,"4"3"-3148,-1 0-3148,38-1-1260,42 3-1214,2 2 0,9 1-135,18 1 0,4 2-990,-29 1 1,1 1-1,-1 1-1664,26 0 1,-5 2 449,-20 1 1,-6 1-2834,19 2 3238,-37-3 1439,-28-15 2069,-24-16 630,-9-6 2608,-29-22-810,3 14-539,-5-2-449,8 11-3149,16 16 0,15 10 0,50 32 0,36 23 0,-24-13 0,2 4 0,-2 1 0,-4 1 0,-11-1 0,-9 0 0,-4 33-2114,-41-27 0,-13 0-4632,-29 26 1830,20-33 1,0-4 4741,-5 2 1,25-22 0,12-11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4:14.348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16 303 11490,'-15'0'9830,"15"1"-8056,13-1-605,77-3-854,-23 0 0,7-1-825,-8 0 0,5 1 1,0-1-811,0 1 1,1 0 0,-2 0-1110,26-2 1,-6 0 2428,-19-1 0,-8 1 0,6-1 0,-33-2 0</inkml:trace>
  <inkml:trace contextRef="#ctx0" brushRef="#br0" timeOffset="350">1032 41 7803,'-33'-11'9830,"-9"2"-5718,-15-4-2134,14 6 1,12 14-1079,45 16-630,35 26-225,-1-15 0,4 2-90,4 4 0,0 1 135,-3 1 0,-5 2-90,3 37-810,-56 2-3597,-50-4 1663,17-42 1,-4-2 2743,-37 23 0,34-29 0,20-12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3:06.153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214 232 9691,'-4'5'6657,"-16"17"-6298,-28 26-179,-9 11-90,6-7 630,17-24 359,38-50 91,26-41-91,17-24-449,-1 7 89,-7 14-449,-21 37-180,4 18-90,-4 54 90,13 33-90,-15-29 0,1 4-45,6 9 0,1 0 45,10 23 180,-3-7-90,-23-24-180,-29-28 180,-13 1 450,-29-15 179,16-6 1170,4-3-1259,42-10-540,19 2-3059,53-11-1168,-4 9 224,-16 2 0,0 1 3913,14 0 0,-14 2 0,-30 3 0</inkml:trace>
  <inkml:trace contextRef="#ctx0" brushRef="#br0" timeOffset="2033">1909 351 7892,'-11'-8'4498,"-1"5"-3958,4 7 179,-1 5 451,0 34-181,1 12-359,5 27-271,16-3-269,35-16 0,37-38-45,-26-30 0,2-12 90,-5-11 0,-5-12 45,-7-12 0,-12-8-45,-19-7 0,-15-3 45,-12 2 0,-12 2-91,-9 7 1,-6 7-45,1 15 0,-4 9-45,-7 12 0,1 9 90,-11 16 360,19 23 540,82 38-631,-10-26 1,5 1-135,8 6 0,0 4 45,-2 8 0,-7 1-405,-12-10 0,-4-1-675,-1 2 1,-1 0-1845,-3-3 1,2-4 2653,19 12 0,-12-13 0,1-31 0</inkml:trace>
  <inkml:trace contextRef="#ctx0" brushRef="#br0" timeOffset="3299">2613 532 8972,'-8'-22'8545,"-3"0"-7196,-3 7-1169,0 25 270,8 29-450,19 29-270,12-10 180,27-12 360,9-55 360,-8-19 809,-1-33 270,-27 8-1349,-9 14-270,-8 26-2249,-6 54-360,7 5-629,22 35 450,47-37 1978,13-20 675,-28-25 0,-3-12 1304,23-31 360,-27-13 180,-50 6-539,-33 21-721,-17 26-269,4 29-450,22 22-359,27 9 179,26-8 270,17-24 719,3-29 541,-11-27-1,-16-5-629,-10-2-2249,-10 37-2969,1 21 1440,2 22 1979,12-1 1619,13-30 1889,9-26 1079,0-22-360,-11-1 720,-10 4-2879,-5 30-629,-3 14-809,0 21-91,-2 0 540,6-20 270,10-25 270,6-21 270,0-2 179,-1 10-359,-1 33-450,-2 17-810,7 18-359,5-6 629,9-23 990,4-39 539,-9-56-90,-30 21 1,-8-7 224,-6-7 1,-6 0-720,-3 4 0,-5 6-405,-17-24 0,3 69 0,11 62-180,18 57-2834,4-36 1,4 2 134,2-3 1,1-2 2878,12 30 0,-14-44 0,-6-26 0</inkml:trace>
  <inkml:trace contextRef="#ctx0" brushRef="#br0" timeOffset="3549">4246 476 9781,'-33'-32'7556,"5"4"-7286,8 5-90,34 3 0,31 6 90,30 7 899,6 13 180,-7 16-629,-16 15-810,-18 11-4408,-17 6-5216,-12 0 9714,-7-15 0,-3-15 0,0-17 0</inkml:trace>
  <inkml:trace contextRef="#ctx0" brushRef="#br0" timeOffset="3690">4564 301 7982,'-5'-28'944,"1"3"1,3 16 0,0 1-1</inkml:trace>
  <inkml:trace contextRef="#ctx0" brushRef="#br0" timeOffset="4066">5002 214 9781,'-11'-31'9830,"0"5"-8146,-1 14 385,1 25-270,6 60-2969,6 25-584,1-38 0,1 2-2699,3 7 1,0-3 4452,3 11 0,-2-12 0,-5-50 0</inkml:trace>
  <inkml:trace contextRef="#ctx0" brushRef="#br0" timeOffset="4349">4920 652 10591,'-29'-35'7466,"9"10"-7376,28-10 269,47 7-179,7 1 900,26 9 809,-31 29-900,-13 12-629,-7 26-3598,-12 14-540,-6-3 3778,-5 0 0,-8-34 0,-5-9 0</inkml:trace>
  <inkml:trace contextRef="#ctx0" brushRef="#br0" timeOffset="4499">5123 313 9781,'-18'-27'-719,"3"6"719,16 23 0,-3-4 0,8 12 0</inkml:trace>
  <inkml:trace contextRef="#ctx0" brushRef="#br0" timeOffset="5049">5323 482 20215,'15'11'1350,"-3"0"-541,7 31-629,-2 4-540,9 18 1,-3-10 359,-2-25-90,9-39 90,-2-25 0,6-18 179,-12 14-89,1 21-90,-11 23-269,12 9-91,-1-3 180,8-14 180,0-25 270,-9-21 809,-16-5 90,-24 17 451,-20 35-451,-7 39-629,11 27-2160,28 7-3507,31-9-2608,27-21 7735,-1-20 0,-14-14 0,-18-8 0</inkml:trace>
  <inkml:trace contextRef="#ctx0" brushRef="#br0" timeOffset="5949">7058 191 16528,'8'13'4137,"9"24"-3417,12 23-406,-7-16 1,5 4-225,4 3 0,4-1 0,-1-6 0,3-5 270,35 10 899,-12-49-269,-18-43-630,-22-38-450,-20-1-4498,-15-2-2518,1 40 720,7 28 6386,8 19 0,5 13 0,-2-10 0</inkml:trace>
  <inkml:trace contextRef="#ctx0" brushRef="#br0" timeOffset="7033">7889 490 12210,'13'-31'8005,"-23"-8"-7195,-17 8-540,-18 15-270,-9 54-360,25 19 90,13 15 0,36-16 540,21-41 270,-1-20 1529,6-38-1709,-25 10 269,3-9-539,-9 46-270,2 6-809,10 33-720,14-3 1349,2-15 270,18-36 270,-12-71-90,-28 32 0,-4-5 449,-1-23 1,-6-2 89,-8 14 1,-3 4-270,-5-28 0,-25 55-270,7 90-90,7 24-405,19-13 0,9 3-225,10-8 1,5-3 359,-2-10 0,3-7 91,40 12 358,-13-69 541,1-37 539,-14-17 360,-15 5-1259,-12 56-270,-4 31-270,4 41-90,10-9 270,13-25 180,10-38 360,5-38 449,-9-12-179,-10 3-720,-12 32-90,-8 34-450,3 23-449,8 8 449,14-15 360,8-30 180,-2-34 1079,-14-22 1,-20 2-1170,-20 25 0,-9 39 0,2 37 0,20 25-6926,36 5-1979,31-14 8905,0-26 0,-17-19 0,-30-14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4:39.48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46 289 8882,'-10'-19'9830,"1"7"-8686,1 6-425,-1 25-179,3 18-360,2 19-90,4-4 0,4-2-90,1-38 0,2-30 180,-2-42 539,-1-25 181,-4-2-451,-1 19 1,-2 22-270,15 37 0,6 27-90,19 23-90,8 9 90,9-13 0,3-28 0,-4-33 539,-11-19 1350,-8-15-809,-13 14-1170,-6 11 0,-1 40 0,-2 34-3688,5 31-630,0-13 1,4 2-271,1-15 1,1-2 4587,20 40 0,-11-49 0,-24-31 0</inkml:trace>
  <inkml:trace contextRef="#ctx0" brushRef="#br0" timeOffset="317">743 514 9152,'35'-24'8545,"-13"5"-4497,-4-13-1890,-17 13-1348,-5 1-360,-7 43-630,11 13-1080,7 30 91,23-15 989,6-24 90,5-35 1080,-11-40-541,-14-12-89,-22-23-899,-31 20-2250,-4 24-7042,-14 35 8893,30 20 0,5 6 1,21-13-1</inkml:trace>
  <inkml:trace contextRef="#ctx0" brushRef="#br0" timeOffset="1000">1406 448 8612,'41'-40'9830,"-20"-5"-7247,-30-8-1504,-26 19-629,-15 24-90,-10 46-180,14 29-180,17 20-90,41 2 0,21-30-90,34-28 180,6-66 0,-11-23 0,-32 6 0,-7-7 405,-13 3 0,-7 0 269,-3-4 1,-5 1-271,-2 9 1,-4 4 135,-11-15 270,-5 53-451,14 53-269,16 15 0,9 8-135,3-8 0,6 0-315,14 16 1,9-8 44,0-28 0,4-11 225,36 0 90,6-56 900,-40-41 539,-18-17-1169,-36 7-270,-29 39 0,-15 48 0,7 50 0,31 35-2654,19-41 1,11-3-7178,41 29 9747,0-35 1,-19-26 0,-22-18-1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4:37.49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5 430 10501,'0'-21'9830,"-3"37"-8956,2 19-604,0 40-180,7 1 90,1-12-180,-1-37 0,-3-29 0,-6-73 45,1 25 0,0-4 89,1-15 1,0-1 0,1 6 0,3 3 1125,9-25-721,12 55-89,15 56-180,20 52-270,-23-27 0,1 1 45,0-1 0,0-3 45,25 20 0,-2-52-90,-19-54 359,0-44 316,-26 34 0,-4-1 314,3-34-179,-6 27-810,2 51 0,0 38 0,11 48-2654,-8-25 1,2 3-586,3 6 1,5-3 719,1-6 1,4-7 1169,35 13 3508,-3-51 2158,-11-37-449,-20-12-2339,-16 6-1169,-6 30-360,3 16-540,6 16 270,9-7 270,2-28 180,-8-20 630,-11-29-1,-23-2-359,-21 18-360,-12 36-899,3 39-2340,23 29-538,39 6 538,48-14 2384,-16-38 1,7-9 1169,13-12 0,3-11 539,-1-8 1,-4-7 359,-7-5 0,-9-5 1035,11-38-810,-60 17-540,-39 23-449,-25 31-270,-3 34-180,20 24-90,38 13-900,43-6 91,32-24 539,19-39 270,-7-49 45,-44 6 0,-8-7 449,-6-7 1,-7-2 314,-7 0 1,-6 3 90,-6-30 89,-10 34-359,-3 58-270,10 31-315,9 28 0,8 10-45,5-6 0,4 1-135,4 10 0,4-3-90,3-15 0,3-13 135,17-15 90,-5-32 450,-12-69 1169,-17-1-899,-4-7-720,-8 32 0,1 31 0,-1 35-6117,5 37 720,-1 6 5397,1 5 0,-6-39 0,0-14 0</inkml:trace>
  <inkml:trace contextRef="#ctx0" brushRef="#br0" timeOffset="283">2022 379 8162,'-12'-53'9445,"-2"10"-8815,0 20-451,1 17-268,10 10 178,22-10 1171,-1-10 719,10-35-90,-32-22-1530,-13 10-2967,-35 14-2339,9 59-4228,3 29 9175,24 10 0,19 1 0,4-15 0</inkml:trace>
  <inkml:trace contextRef="#ctx0" brushRef="#br0" timeOffset="1067">2412 530 10951,'22'-38'9830,"-13"-7"-6977,-17-8-1504,-28 15-1079,-3 27-1,-17 43-269,17 35-90,15 20-449,26 1-91,35-28 450,6-37 90,13-43 90,-19-31 360,-6-5-450,-12 2-1079,-11 39-1710,-4 25-629,5 26 990,4 1 1618,25-16 1710,0-27 989,7-23 1529,-11-13-1169,-10 1 629,-8 12-1349,4 20-449,-3 29-630,9 18-810,-2 13-450,-1-8 720,-2-21 1,5-36 179,-4-23 359,7-21 991,1 5 269,7 20-1529,8 28-90,7 34-540,-2 26-6206,-3 10-1799,-4-11 8545,-7-24 0,-14-16 0,-7-15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4:34.41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23 399 8252,'6'-39'6926,"-1"4"-4947,0 5-270,-3 9-1439,0 20 540,-2 32-451,-1 40-269,1-21 0,-1 2-90,1 2 0,0-1 90,2 37 0,0-35-90,-3-36 0,-4-49 0,-6-44 0,5 23 0,1-4 135,-1-3 0,2 0 45,0 7 0,2 2 360,1-25-91,5 34-89,16 35-90,11 36-270,22 27 90,7 12 0,1-11 0,-1-28-90,-3-44 90,3-50 134,-30 16 1,-3-4 495,-1-1 0,-4-1 449,14-38 90,-14 32-1079,-6 36 720,0 39-900,1 49 0,-7-12 0,-1 6-135,1 5 0,-1 2-2924,0 0 1,-1-2-180,0-12 0,1-4 3238,7 15 0,-7-31 0,-2-21 0</inkml:trace>
  <inkml:trace contextRef="#ctx0" brushRef="#br0" timeOffset="783">880 504 9871,'-7'-14'9625,"-1"8"-9355,7 16 0,10 16-180,18 10-1,7-5 1,17-20 0,-9-31 720,-4-27-91,-25-17 91,-28 4-450,-25 24-180,-19 36-90,-1 39 0,15 19-2429,29 33-1889,49-16 1440,34-2 1708,-5-49 1,7-11 1079,-7-11 0,-1-6 540,3-4 0,-4-7 674,-12-12 0,-8-5 855,-5-25-360,-21-11-630,-27 21-629,-22 18-270,-1 35-90,-3 22-90,16 21 0,19-3-450,25-8 270,13-21 90,11-21 810,-6-15-90,-10-4 1798,-10-1-2158,-10 12-1169,5 25-3599,-4 16 271,5 21 4227,7 1 0,-10-25 0,3-7 0</inkml:trace>
  <inkml:trace contextRef="#ctx0" brushRef="#br0" timeOffset="1133">1704 727 9781,'18'-60'9830,"-2"8"-5807,-3 3-1145,7 17-1439,5 21-719,4 40-720,-8 15 0,-1 24 0,-9-21 0,9-20 0,9-34 0,9-25 0,0-10 0,-4 16 0,-7 29 0,-4 27-3418,5 19-4768,12 0 8186,15-18 0,-1-16 0,4-16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4:42.64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212 305 9602,'-22'-55'7735,"9"-5"-7105,21-8 359,31 2-179,25 19-1,15 38 1,-5 58-541,-46-1 1,-10 11-90,-8 28 0,-11 12-276,-6-17 1,-6 4 0,-1 1 95,-1 3 0,-2 0 0,1 0 0,2-1 0,1 0 0,5-6-135,5 9 0,13-12 90,11-29 0,11-16-45,57-31 135,-41-24 0,-3-11-45,-4-4 0,-5-2 0,6-26 90,-36 28 286,-17 42-376,2 45 0,11 0 0,6 8-90,7 15 0,2 4 90,4 10 0,-3 2 0,-3 0 0,-11 0 180,-13-5 0,-15-4-90,-18-9 0,-15-9-990,-17-10 1,-10-13-1350,-10-16 1,-3-15 2248,4-17 0,8-8 0,29 5 0,9-4 0,-17-19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5:53.59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1 326 10051,'0'-11'6477,"13"-3"-5668,12 1 450,56-7-989,-25 11 0,7 3-180,27-1 0,11 4-422,-16 6 0,6 2 0,1 1 122,6 1 0,1 0 1,2 1-129,-22-2 1,1 0 0,0-1-1,-2-2-202,20-1 1,-2-2-1,-4-4 140,-15-1 0,-5-2 1,-3-3 39,15-5 0,-8-5 225,-25 2 0,-8-3 45,4-20 450,-28 0 809,-19 2 1387,-12 6-578,-7 9-808,1 10-181,-1 6-899,7 8 0,21 17 0,12 12-90,20 22 90,-4 6-270,-18 5-1799,-29-1-2248,-23-4-3239,-5-10 7466,8-16 0,18-16 0,9-11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5:55.19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48 427 7982,'-7'-20'7196,"0"0"-5127,2 9-1619,-1 8 180,0 37-361,-2 34-269,3 10 90,1 2-90,7-50 90,1-36 0,3-57 405,-2 2 0,-1-5-1,0 10 1,-1-1-135,1-10 0,0 5 359,1 1-539,6 30 90,10 44-180,23 67-630,-21-37 1,1 3-1170,8 18 0,1-1-720,-7-18 0,-1-3 2429,18 29 0,-18-34 0,-14-22 0</inkml:trace>
  <inkml:trace contextRef="#ctx0" brushRef="#br0" timeOffset="567">91 448 9691,'-24'-51'6117,"24"4"-5757,35 13 359,39 18-449,-23 17 0,3 7-135,5 3 0,-1 4 0,-1 3 0,-4 3 135,27 25-91,-42 2-89,-37-3-180,-30-16 90,-15-34 0,3-39 0,19-26 0,26-9 0,31 20 0,21 32 0,15 41 0,-2 35 90,-11 23-180,-21 5-809,-18-15-1979,-16-14 1978,-11-28-809,-7-31 360,3-29-180,7-41 1529,9-7 0,1 28 0,-1 17 0</inkml:trace>
  <inkml:trace contextRef="#ctx0" brushRef="#br0" timeOffset="783">716 115 8882,'-6'-37'-1709,"4"14"1709,7 6 0,-1 13 0,5 11 0</inkml:trace>
  <inkml:trace contextRef="#ctx0" brushRef="#br0" timeOffset="1567">952 349 10231,'-5'-11'6566,"6"9"-6656,6 4 90,3 6 0,3 3 90,-4-4 180,-2 3-180,0-1-90,-3-10-90,-1-3 90,-7-25 0,-2-8 0,-5-9 90,-2-8 180,0 13 0,3 10 1709,2 7-1709,4 26 359,4 19 1,9 48-540,13 18-585,-8-38 0,4 1-2159,11 0 1,5-6 2653,31 7 0,-13-11 0,-16-31 0</inkml:trace>
  <inkml:trace contextRef="#ctx0" brushRef="#br0" timeOffset="1767">1022 394 7623,'-31'-5'6566,"10"1"-6206,5-13-1620,59-5-4856,13-4 6116,14 5 0,-31 11 0,-27 8 0</inkml:trace>
  <inkml:trace contextRef="#ctx0" brushRef="#br0" timeOffset="3333">1226 255 8612,'2'-15'7556,"4"25"-6387,7 20-629,6 27-180,10 33-270,-7-17-1,0 1-89,-13-32 0,-18-34 0,1-28 0,2-28 0,24-14 0,22 8 90,14 24-180,3 35-359,-3 29-2430,-7 18-5036,-7 4 7915,-15-18 0,-8-14 0,-13-20 0</inkml:trace>
  <inkml:trace contextRef="#ctx0" brushRef="#br0" timeOffset="4317">1823 448 10231,'-32'-23'5757,"9"7"-5307,10 17 269,15 20-89,10 21-450,2 0-90,0 3-90,-8-21 0,1-18 0,-1-20 180,7-30 539,1 6 181,9-5-541,5 33-179,-1 19-90,-3 10-90,-5 18 0,-9-11-90,7-5 180,11-36-90,0-9 90,7-19 450,-10 13-450,3 25 0,-2 17-810,8 29-359,-5-2-90,10 2 809,9-38 630,-4-16 809,2-38 0,-28-12-719,-15 11-270,-21 17-90,-6 49 0,9 13-450,22 25-269,38-12 179,31-16 540,-25-24 0,1-11 270,-1-9 0,-4-11 224,-5-11 1,-9-9 584,-10-4 1,-10-3 224,-8 1 0,-9 2 585,-20-31-1259,-14 48-360,-1 50-1709,12 46-4138,23 34 2653,11-42 1,5 0 2923,22 39 0,-11-38 0,-6-23 0</inkml:trace>
  <inkml:trace contextRef="#ctx0" brushRef="#br0" timeOffset="4550">2808 452 9332,'-10'-31'6926,"0"0"-4588,9-21-2158,18 16 540,22 8-1,14 34-449,1 32-90,-10 20-2069,-14 11-2518,-17-9 4407,-12-10 0,-3-27 0,-1-8 0</inkml:trace>
  <inkml:trace contextRef="#ctx0" brushRef="#br0" timeOffset="4666">2994 271 10141,'-5'-28'292,"9"2"1,-3 16-1,6 2 1</inkml:trace>
  <inkml:trace contextRef="#ctx0" brushRef="#br0" timeOffset="4933">3354 300 12930,'-8'-19'8635,"-11"6"-8276,-14 18 541,0 25-540,9 28-540,21 21-2339,23 3-899,20-12-809,15-23 4227,8-27 0,-27-12 0,-5-11 0</inkml:trace>
  <inkml:trace contextRef="#ctx0" brushRef="#br0" timeOffset="6300">3938 358 7803,'-14'-24'9830,"0"0"-6258,1 3-2763,3 14 361,9 47-720,5 30-361,1-19 1,0 2 0,7 44-90,-3-32 0,-9-75 0,-5-52 0,2 12 0,-1-6 0,2-8 0,0 2 0,1-25 360,3 19-90,12 53-270,12 53 90,17 29-180,-6-10 0,3 1-45,-7-15 0,0-4 90,1 3 0,2-10 45,28-29 0,-26-40 90,7-18 90,-15-10 810,-13 28-811,0 15-179,-6 40-269,3 15-361,1 14-449,8-6 809,3-22 90,7-24 360,-1-31 269,-11-6-269,-14-8-180,-28 31 0,-4 14-629,-13 34-2699,22 27 1349,14-2 360,29 1 989,28-43 810,-2-18 629,10-31 1080,-22-6-899,-14 10-810,-8 14 269,-13 42-449,-2-4 0,0 24 0,0-27 90,4-5 180,9-30 630,3-11 809,7-13-630,-7 16-359,18 23-1800,-9 27-4407,16 20 5487,-8 8 0,-15-21 0,-8-8 0</inkml:trace>
  <inkml:trace contextRef="#ctx0" brushRef="#br0" timeOffset="7616">5489 311 10501,'26'-7'3058,"5"4"-9444,36 3 6386,-23 4 0,-16 1 0,-19-2 0</inkml:trace>
  <inkml:trace contextRef="#ctx0" brushRef="#br0" timeOffset="7783">5500 501 8432,'-54'21'7736,"31"-16"-11784,64-20 1979,35-12 1218,-26 12 1,1 1 0,31-5 0,-18 7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7:20.31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127 152 14369,'-5'17'1619,"0"-1"-810,-3 41-539,0 30-180,5-21 0,0 4-90,2 1 0,2 0 90,0-7 0,2-4 540,2 21-540,-8-43 179,-7-54 181,-10-55 0,10 16 0,0-4 44,1-6 1,0 0-45,2 3 0,2 3 539,-5-38-89,4 24-91,1 27-269,14 34-270,13 52-90,19 39-180,-17-30 0,1 0 44,1-3 1,4-5-45,31 7 0,17-51-45,-32-21 1,-1-11 44,4-13 0,-4-6 0,-3-4 0,-5-2 224,-8 7 1,-5 1 585,6-24 629,-15 33-1169,-5 28 90,-5 45-360,3 49 0,-4-16 0,0 7-3463,2 16 0,1 5-135,3 8 0,2-1 3202,1-12 0,1-6 0,-1-17 1,1-7-1,11 11 0</inkml:trace>
  <inkml:trace contextRef="#ctx0" brushRef="#br0" timeOffset="1133">1021 919 9332,'-7'-41'9830,"-2"3"-9496,6 22-154,14 10-180,20 13 90,18-11 359,5-22 541,-8-24 449,-21-16-539,-27 3-541,-29 22-269,-24 38-90,-11 45-1619,17 29-2069,37 19 270,69-15 2249,-2-47 0,9-11 764,17-11 0,3-12 1124,-3-8 1,-5-10 494,-10-4 1,-9-7 1483,5-34-899,-47 6-809,-29 19-541,-26 26-179,8 33-180,5 28-809,28 16-181,20-1 361,14-19 449,5-25 449,-4-30 1170,-10-12 720,-6-10-630,-11 12-1349,-1 17-90,-4 22-270,6 40-2159,2 8-179,4 7 809,1-20 1259,6-44 1079,-5-22 1620,11-51-540,-9 5-989,3-4 809,8 22-720,2 33-359,8 16-270,8 42-180,-9 8-180,-1 5 0,-6-16 0,3-44 90,-2-20 90,17-42-90,-17 14 270,1-2-270,-11 38 0,-5 28 0,3 36-6747,5 40 1261,4-11 5486,13-3 0,-21-46 0,-1-18 0</inkml:trace>
  <inkml:trace contextRef="#ctx0" brushRef="#br0" timeOffset="1350">3201 649 10951,'-16'-20'9830,"5"7"-7787,3-8-3752,34 8-1889,8-1-6233,35 4 9702,-27 6 1,-5 1 0,-28 3 0</inkml:trace>
  <inkml:trace contextRef="#ctx0" brushRef="#br0" timeOffset="1550">3315 766 10321,'-24'15'9830,"10"-6"-7877,4 0-3122,45-12-3328,21-5 4497,28-7 0,-36 7 0,-12-1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6:17.673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105 438 8882,'-11'-9'7286,"-5"18"-7106,-9 22 90,1 20-91,6 6 91,8-16 450,12-16 359,9-45-449,7-28-46,-3-11 1,0-7-90,-1 2 0,0-1 89,1-4 1,0 1-91,-2 12 1,0 7 225,0-2-630,3 23 180,-3 57-180,8 31-270,1 28-1619,-8-28 0,0 0-2609,12 36 361,2 0 4047,-3-34 0,-12-36 0,-3-9 0</inkml:trace>
  <inkml:trace contextRef="#ctx0" brushRef="#br0" timeOffset="1500">100 518 7803,'-31'-29'6026,"14"-8"-4857,38-6-899,20 3 270,20 8 719,13 14-269,-22 14 269,10 12-360,-20 29-629,-9 10-180,-6 26 0,-13-20 90,0 3-180,-1-36 0,7-30 0,7-34 90,4-19-90,0 8 0,-9 25 90,-1 35-180,4 30 0,7 7 180,19 0-90,11-33 0,-8-17 90,-2-34 450,-35-17-360,-18 8-1,-32 9-268,-23 55-1,8 15-900,13 39-629,52-6 630,33-7 629,39-27 315,-32-27 0,2-9 360,-1-8 0,-1-6 44,-6-4 1,-5-4 270,6-33-270,-48 12-270,-37 20-1,-26 33-178,-7 38-361,13 31-630,27 10 181,32-11 449,25-30 360,13-33 270,2-27 180,-6-17 270,-8-2-451,-9 6 1,-9 12-270,-2 13 90,-5 11 630,2 5 2158,-3-5-2608,-4-4-90,2 1 0,-2 5 0,6 20-90,-1 12 0,0 15 0,-6-2 0,-6 1 0,-9-18 90,-6-23-90,-2-35 0,13-42-270,15 18 0,6-1-989,5-2 0,4 2-1035,5 4 0,4 4 2294,31-12 0,-29 30 0,-4 15 0</inkml:trace>
  <inkml:trace contextRef="#ctx0" brushRef="#br0" timeOffset="2516">1868 449 11760,'-45'-16'7016,"1"2"-6206,-10 1-540,1 21-90,6 24-180,16 20-180,27 3 180,30-12 0,21-29 449,7-30 631,-8-24 179,-10-7-809,-15 11-360,-7 20-360,-11 33-270,3 16-449,7 12 629,15-12 270,15-23 270,1-27 90,-9-15-90,-19-12-180,-31 19-90,-17 21 0,-13 27-90,12 17 90,22-5 0,27-17 90,20-20 90,9-9-90,2 7 0,-3 17 180,-1 35-90,-13 8-90,-8 32 90,-25-1 180,-10-8-91,-10-19-179,0-47-359,18-43 179,20-57 135,5 27 0,4-2 90,3-4 0,0 1 180,-2 9 0,-2 4 134,3-6-89,-29 39-90,-14 32-90,-9 24-180,12 14-719,22 3-1080,37-5-900,13-17-2608,14-8 5397,-15-12 0,-27-6 0,-13-1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7:57.79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7 124 9422,'-3'22'9830,"-1"14"-8237,6 37-1413,-1-7 0,1-4-180,0-45 90,0-39 450,-3-47 179,-1-25-269,0 0-180,1 18 90,10 32-1,14 44-269,24 49 0,-11-6 0,4 3-90,6 1 0,2-1 45,1-6 0,1-7-45,39-4 0,-28-42 0,-37-36-90,-48-25-1259,-39 1-4138,-15 12 1439,18 30 4048,29 29 0,24 4 0,9 8 0</inkml:trace>
  <inkml:trace contextRef="#ctx0" brushRef="#br0" timeOffset="666">549 87 9242,'14'2'9264,"-1"3"-7644,-4 3-991,-3 6 91,1 6-360,4 7-181,9 7-179,9 1 90,10-14-90,9-23 90,1-23 540,-9-10-90,-8-3-181,-13 13-359,-2 12 0,2 17 90,3 20 0,5 9 450,2-2-180,0-20 359,-2-25-449,-4-22-90,-5-6-90,-4 1 0,0 35-90,-4 17 0,4 24 90,3-5-90,10-28 630,10-23 269,3-19-449,-3 5-360,-2 24-2519,-1 26-3957,5 21 6386,10 14 0,-25-24 0,3-4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7:55.78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113 167 4438,'0'-13'9830,"-4"25"-7875,0 20-1415,2 35 106,5 15-376,4-1 1231,0-20-1501,-8-31 946,-10-48-857,-12-42 361,-7-30-90,2-1-90,7 17-180,16 35 270,13 30 179,29 42-269,23 33-180,-20-23 0,3 2-45,1-1 0,0-3 45,-3-8 0,0-9 90,29-11 90,-21-45-180,-23-44-90,-24 24 0,-8-3-45,-5 0 0,-6 2-945,-3 4 1,-3 6-3868,-19-9 4857,6 40 0,19 12 0,6 9 0</inkml:trace>
  <inkml:trace contextRef="#ctx0" brushRef="#br0" timeOffset="883">620 268 11760,'-17'0'6297,"2"11"-5938,9 20 1,11 11 90,18 8 90,14-20 449,10-26 91,-2-29 719,-11-21-360,-17-5-900,-11 11-1168,-8 32-2070,6 26-1888,6 26 89,16 3 1800,10-12 3058,6-23 1889,0-25 629,-10-20 180,-10-4 1709,-8-2-4047,-4 23 90,4 25-451,0 23-179,3 18-90,-8-12-90,3-20 0,1-39 0,5-23 0,1-17 0,-5 13 90,4 10-90,0 31 90,3 12-90,3 13 90,3-2-90,-5-9 0,14-18 270,-19 1 0,8-5-180,-15 9-2159,7 9-3418,2 9 5487,15 8 0,-18-5 0,4-3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7:59.98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41 645 9512,'-3'11'7555,"1"3"-7015,4 61-360,3-17 0,3 29 989,-1-36-1079,-5-51 180,-8-63 134,0 5 1,-1-6 0,-1-5 0,0 0-90,1 9 0,0 3 314,-4-25-449,18 55 90,19 52-135,13 32 0,4 10-90,-11-18 0,2 0 0,21 26 0,4-9 45,15-18-180,13-20 90,-14-53 90,-26-44-135,-34 20 0,-8-4-405,-10-1 0,-7 0-3328,-26-30-3957,-4 33 7735,9 33 0,17 14 0,10 6 0</inkml:trace>
  <inkml:trace contextRef="#ctx0" brushRef="#br0" timeOffset="750">618 611 11311,'-7'14'5576,"0"-1"-2427,-1 4-2880,5 9 451,8 12-450,18 7-90,19-7-180,14-21 0,7-36 90,-9-29 719,-16-17-449,-19 4-360,-15 22-270,-5 27-1259,4 30-810,8 17 990,10 2 809,22-20 990,0-27 1079,8-16 450,-15-5-1349,-10 14 539,-2 16-629,-2 19-270,2 15-90,-4 9-90,-4-2-90,3-21 899,6-32 720,6-28-719,-3-8-361,-1 7-449,-11 27-90,5 18 0,1 23 0,-1 3-360,3 6-1798,-10-17-1620,3-7-450,-8-14 4228,10-10 0,-13 5 0,4-1 0</inkml:trace>
  <inkml:trace contextRef="#ctx0" brushRef="#br0" timeOffset="1050">2060 272 7803,'-4'-52'9830,"0"7"-5269,-1-4-3032,-5 46 630,-5 69-1619,0 0 0,-1 12-451,0-7 1,-1 6 0,-1-2-780,2-5 1,-1 0 0,-1 0-2190,-3 9 1,-1 1 0,2-8 2878,2-10 0,2-7 0,-10 32 0,21-62 0</inkml:trace>
  <inkml:trace contextRef="#ctx0" brushRef="#br0" timeOffset="1433">2273 344 7803,'-26'-39'7645,"10"16"-2248,-15-16-4407,37 23 179,16-2-450,51 2-2428,17 5-1439,-3 4-2249,-10 8 5397,-27 0 0,-24 0 0,-7-1 0</inkml:trace>
  <inkml:trace contextRef="#ctx0" brushRef="#br0" timeOffset="1649">2540 229 9332,'-31'8'8995,"2"1"-7017,-3 10-1258,12 16-270,7 38-1530,7 9-1124,6-25 1,4 2-6612,14 30 7967,-2-25 0,3-28 0,-12-32 0</inkml:trace>
  <inkml:trace contextRef="#ctx0" brushRef="#br0" timeOffset="1983">2683 666 7713,'4'-21'9830,"-1"5"-9046,0-7-605,5 12 1,10 1-90,18-4 0,5-9 0,1-17 630,-23-11-91,-27 5-359,-28 21-180,-18 35 0,5 32-360,22 18-2788,42 1-3328,39-12 6386,2-22 0,-10-14 0,-27-12 0</inkml:trace>
  <inkml:trace contextRef="#ctx0" brushRef="#br0" timeOffset="2266">3072 546 7892,'15'-32'9535,"-5"3"-8546,1-5-719,7 16-180,6 13-90,15 6 630,-7-1 2968,3-2-3238,-29-3-90,-12 8-181,-26 8-1573,-12 12 0,-5 8-2339,2 0 1,0 2 3822,-3 2 0,4-1 0,-11 11 0,42-29 0</inkml:trace>
  <inkml:trace contextRef="#ctx0" brushRef="#br0" timeOffset="6832">2591 215 15718,'-14'-14'4497,"1"2"-4137,-4 8 0,5 4 1529,-33 35-900,9 18-494,3-1 0,3 7-91,10 3 1,6 0-270,5-4 0,8-2-225,12 0 0,13-8-4677,52 8 1079,5-25-1228,-28-28 1,-3-7 4854,1-9 0,-7-5 1,-36 12-1</inkml:trace>
  <inkml:trace contextRef="#ctx0" brushRef="#br0" timeOffset="7532">2905 541 8612,'-9'-17'7826,"-5"1"-4948,-20-6-2608,-5 11 359,-13 11-179,4 33-270,8 28-90,17 18-90,25-3 0,28-32 90,21-43 270,6-41 1349,-8-25 450,-16-4-1620,-16 20-89,-7 17-360,-5 29 0,8 44-180,6 6 0,16 23 90,9-40 0,6-42 90,-2-52-90,-27 12 0,-6-7 90,-3-6 0,-6-4 269,-6-2 1,-6 0 270,-3 11 0,-4 3-450,-15-27-180,-8 49 0,19 59 0,11 57 0,13-20 0,6 4 0,3 5 0,2 0-3553,2-4 0,2-5-4093,19 27 7646,-5-45 0,-15-25 0,-7-19 0</inkml:trace>
  <inkml:trace contextRef="#ctx0" brushRef="#br0" timeOffset="7716">3190 499 7443,'-35'-13'7465,"6"4"-3867,-8-1-3058,34 15-1799,20-2 1259,35 6 0,-22-7 0,3-2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8:22.99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20 264 9691,'-12'-12'6657,"4"-10"-5938,9-18 720,17-4-269,24-2-541,18 19-179,11 22-180,1 29-180,-16 24 0,-21 20 0,-30 4 270,-26-8-91,-13-19-179,-16-30 0,17-35-90,10-27 90,34-26-90,37-12 0,-13 45 0,4 4 90,1 4 0,1 4 450,34-5 180,-22 24 359,-16 11-270,-17 15-359,-18 11-270,-11 5-90,-14 19-810,5 0-2068,1 10-3328,21 12 89,19-18 6027,7-5 0,-4-27 0,-13-16 0</inkml:trace>
  <inkml:trace contextRef="#ctx0" brushRef="#br0" timeOffset="216">836 441 12300,'6'-29'9830,"-3"4"-8147,-7 32-5910,1 26-990,3 20-1979,3 9 6348,2-23 0,-2-18 0,-2-15 0</inkml:trace>
  <inkml:trace contextRef="#ctx0" brushRef="#br0" timeOffset="1099">1409 358 8342,'-16'-19'7106,"-7"-12"-4138,-6-19-2518,8 3 90,16-6 0,33 23-360,7 13 89,24 23-89,-9 34-90,-13 8 0,-11 26-90,-24-12 0,-7-2-180,-4-21 90,-2-22-90,15-45 180,14-21 0,19-30 0,15-1 0,-2 13 90,-11 18 360,-16 22-90,-18 37-180,-12 21-180,-7 34-720,2 11-449,13-2 89,14-17 631,13-26 359,9-27 450,3-20 269,2-12 541,1 0 89,1 10-270,-5 21-89,-8 26-630,-12 20-270,-11 8-450,-5-6-540,-1-16-1708,3-14 899,4-12-2878,19-10 4677,3-5 0,-3 0 0,-9 1 0</inkml:trace>
  <inkml:trace contextRef="#ctx0" brushRef="#br0" timeOffset="1299">2668 384 10681,'-11'-10'2159,"1"0"-7826,8 0 5667,6 3 0,2 2 0,1 3 0</inkml:trace>
  <inkml:trace contextRef="#ctx0" brushRef="#br0" timeOffset="1449">2915 331 12840,'17'-12'-1417,"1"0"0,-8 8 1,-1 1-1</inkml:trace>
  <inkml:trace contextRef="#ctx0" brushRef="#br0" timeOffset="1582">3247 334 3993,'12'4'427,"-1"2"0,-6-3 1,-1 1-1</inkml:trace>
  <inkml:trace contextRef="#ctx0" brushRef="#br0" timeOffset="2566">3890 284 11850,'-30'-17'6477,"10"-6"-5128,24-12-180,20 2-90,26 6-269,9 26-540,5 31-630,-10 33-539,-17 19 359,-22 5 270,-22-17 180,-11-26 0,-13-23 90,6-29-90,14-24 180,25-14-90,22-8 90,3 17 0,6 2 180,35-22-225,-37 26 0,0 3 944,20-12-539,-35 28-90,-15 14 0,-21 41-1979,-4 22-630,3 19 540,13-34 0,7-2 0,21 14 1439,12-14 1709,10-55 1349,-15-24 181,-3-11 1348,-13 1-1348,-11 17-2969,10 24 0,-10 17 0,10 33 0,-9 1 0,0-1-360,13-47 270,-6-17 540,16-45-450,-1 8 0,-6 14 0,12 15 0,-9 45-5037,-7 8-4794,-8 37 9815,-17-18 0,-3-10 0,1-23 0</inkml:trace>
  <inkml:trace contextRef="#ctx0" brushRef="#br0" timeOffset="3982">487 912 14099,'-8'9'2698,"4"8"-1079,25 46-449,23 19-811,-5-26 1,7-1-180,12-3 0,6-7-90,5-7 0,4-9-45,2-10 0,0-11 45,-3-11 0,-2-8 135,-3-8 0,-4-7 179,-3-3 1,-2-4 0,-7 0 0,-2-1 44,-1 3 1,1 1 45,5 2 0,2 4-136,9 1 1,3 5-45,9 5 0,3 5-135,0 7 0,0 8-90,-5 8 0,-3 8-45,-8 5 0,-5 5-90,-9 0 0,-5 2 135,25 25-90,-21-16-180,-18-16 90,-7-17 0,6-26 90,12-24 0,16-18 0,18-6 45,-28 32 0,4 3 45,7 3 0,6 4 0,11 4-1,4 7-44,11 8 0,2 8-45,3 9 0,0 6 0,-30-4 0,-1 2 0,0 1 0,25 7 0,-2-1 0,-6-5 0,-3-5-45,-7-7 0,-1-5 90,-6-6 0,-1-4 0,-5-4 0,-3-4 0,-5-4 0,-4-3 135,27-29-450,-22-11-2788,-28-2-3418,-25 2 6476,-26 13 0,9 20 0,-6 16 0</inkml:trace>
  <inkml:trace contextRef="#ctx0" brushRef="#br0" timeOffset="4666">1909 1992 10771,'-19'-31'9830,"2"14"-9226,4 30-154,10 24-181,6 28-179,4-4 540,-1-3-270,-11-46 90,0-11 809,-12-53-270,2-1-179,0-6 179,4 5 91,20 25-990,24 29-90,35 42 0,-24-9 0,2 2 0,4 2 0,0-3 0,39 9 0,-16-45 0,-18-44 0,-22-37 0,-26 31 0,-6-2 0,-14-44-1440,-18 3-8391,6 44 7373,8 23 0,11 20 1,9 16-1</inkml:trace>
  <inkml:trace contextRef="#ctx0" brushRef="#br0" timeOffset="5199">2953 1843 12210,'-15'-30'9535,"2"9"-5937,-28 7-2519,14 40-809,-2 18-360,37 55-540,26-19 180,18-3 181,26-56 448,-21-40 361,7-53-45,-47 19 0,-10-4-316,-2 1 1,-9 0-45,-11-5 0,-12 6-180,-12 23 0,-6 9 45,-33-2-90,-2 44 90,66 36 90,26 9 180,12-17 0,6 3 45,2 4 0,0 0-315,-3-3 0,-1 2-450,1 9 0,-2 3-3508,-5-2 1,-3 0 449,0-9 0,-1-2 3508,0 0 0,-2-7 0,1-8 0,-7-21 0</inkml:trace>
  <inkml:trace contextRef="#ctx0" brushRef="#br0" timeOffset="5516">3445 1892 9332,'-7'-69'9830,"-2"11"-321,-2 43-9509,1 57 0,3 13 0,2 10 0,2 5 0,2 2 0,4 1 0,4-4-900,5-15 1,6-8-5218,32 8 1080,11-43-3508,1-36 8545,-23 0 0,-13 0 0,-21 18 0</inkml:trace>
  <inkml:trace contextRef="#ctx0" brushRef="#br0" timeOffset="5682">3544 2049 11311,'-56'0'4857,"11"-4"-5667,47-3-4407,25-8 5217,7 1 0,-1 2 0,-16 7 0</inkml:trace>
  <inkml:trace contextRef="#ctx0" brushRef="#br0" timeOffset="5799">3776 1960 10051,'19'-1'2361,"-15"1"0,-4 1 1,-14 3-1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8:30.97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38 18 10141,'-12'-6'9715,"-1"0"-4768,1 1-3598,21 4 540,29 5-1574,8 1 0,8 1-315,-1-1 0,4 0-720,22 2 0,1-3-1889,-5-2 1,-3-1 1124,-11 0 0,-2-1-3373,40 1 4857,-68 12 0,-15-7 0,-18 7 0</inkml:trace>
  <inkml:trace contextRef="#ctx0" brushRef="#br0" timeOffset="617">278 110 8342,'-40'-11'9715,"6"3"-6927,6 2-1169,8 6-719,14 8 449,13 17-270,31 12-719,37 15-270,-24-25 0,4-1-90,3-2 0,0 0 45,-6-5 0,-3-1 225,21 8-180,-28-1 90,-36 10-1,-24 10-89,-35 21-90,18-29 0,-4 0 45,-1 1 0,-2 1-45,4-4 0,1-1 720,-19 18-90,23-10-630,40-10 0,36-5 0,50-5 0,-33-16 0,4-2 0,4 0 0,0 0-3463,-4-1 0,0 1-90,-8-1 0,-2 2 3553,33 2 0,-39-3 0,-20-2 0</inkml:trace>
  <inkml:trace contextRef="#ctx0" brushRef="#br0" timeOffset="983">1813 402 12390,'7'-6'9830,"5"9"-4459,37 31-6630,22 19-1125,-23-17 1,2 3-181,-2-1 1,-2 0 2563,28 26 0,-38-29 0,-17-16 0</inkml:trace>
  <inkml:trace contextRef="#ctx0" brushRef="#br0" timeOffset="1250">2160 385 10501,'-40'-35'9830,"0"9"-6977,-1 15-65,3 26-1439,-6 37-1124,14-9 0,-2 6-1260,-2 7 1,-1 1-1844,1 2 0,3-1-2038,9-9 1,4-3 4179,5 10 1,12-27-1,4-21 1</inkml:trace>
  <inkml:trace contextRef="#ctx0" brushRef="#br0" timeOffset="1600">2697 666 5753,'7'1'9830,"-8"26"0,-1 4-8873,-1 31-946,10-5-2889,5-7-2141,11-2-1007,4-30 6256,8-17 0,-13-3 1,-4-10-1</inkml:trace>
  <inkml:trace contextRef="#ctx0" brushRef="#br0" timeOffset="1917">2841 494 10141,'-37'-16'7196,"2"4"-6926,1 2-270,21 0 720,31-6 359,2 2 1529,9-12 181,-39 3-2429,-6 5-4318,-35 7-2159,11 25 6117,1 13 0,22-6 0,9-3 0</inkml:trace>
  <inkml:trace contextRef="#ctx0" brushRef="#br0" timeOffset="2417">732 1271 9781,'-24'4'9715,"6"-1"-8546,10 3 990,41 3 180,50 0-1395,3-6 1,14-3-563,-30-2 0,4-1 0,3 0 1,3-2-633,14 0 0,5-1 0,1-1 0,1 1 250,-15 1 0,1-1 0,0 0 0,-1 1 0,-2 0 0,9-1 0,-1 1 0,-3 0 0,-4 0-8,10 2 1,-4 0 0,-7 0 7,4 2 0,-9 0-315,-24 1 1,-6-1-4004,26-2 4318,-39-1 0,-12 1 0,-18 2 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8:34.76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151 184 14369,'-27'21'4947,"5"23"-4767,7 49-270,10-7-135,5-34 0,1-4 45,3 1 360,-7-26 630,-11-55 359,-11-48-630,12 28 1,1-3 45,2-2 0,3 1 1034,5-34-720,23 40 1,26 46-540,36 49-270,-29-7-1,2 5-224,4 2 1,-1-1-46,-4-4 0,-2-4 180,31 7 540,-22-38 899,-20-40-1259,-28-43-180,-22 25 0,-10-1 0,-11-2 0,-6 4-3239,-7 6 1,-4 8-6593,-38-3 8533,30 31 1,27 14-1,21 3 1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8:37.51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50 226 10591,'-31'-29'8725,"13"-1"-7915,35 7 359,25 20-270,27 28-359,-7 34-360,-19 17-90,-26 4 0,-24-9-90,-18-16-270,-5-19 90,-3-26 0,16-30 90,12-29 90,20-15 45,9 16 0,7-1-45,30-27 45,-26 36 0,0 3 675,20-10 359,-28 25-899,-12 16 360,-34 37-630,-5 19-1259,-9 16-3869,20 14 91,27-19 5127,15-2 0,-6-30 0,-3-16 0</inkml:trace>
  <inkml:trace contextRef="#ctx0" brushRef="#br0" timeOffset="200">597 492 9152,'12'-10'9830,"-3"-14"-7337,-3 8 115,-6-11-539,-3 14-1709,4 10-450,6 24-4677,3 30 899,3 8 3868,2 10 0,-9-38 0,4-7 0</inkml:trace>
  <inkml:trace contextRef="#ctx0" brushRef="#br0" timeOffset="433">987 242 9062,'-26'-38'9830,"10"21"-3469,-1 12-6271,15 36-2519,9 20-1889,5 16-899,1 10 5217,-2-15 0,-4-25 0,-4-19 0</inkml:trace>
  <inkml:trace contextRef="#ctx0" brushRef="#br0" timeOffset="600">943 514 10141,'-52'-24'8365,"12"4"-8095,17-2-2069,34 5-4407,29-2 6206,5 8 0,-11 5 0,-18 5 0</inkml:trace>
  <inkml:trace contextRef="#ctx0" brushRef="#br0" timeOffset="1467">1381 246 13110,'-41'-25'7735,"14"-1"-7015,22 7 539,27 3-90,28 12-539,24 14-90,10 15-181,-7 9-269,-25 6-180,-36 15-359,-28-9-811,-17 6 361,2-22 89,3-21 630,27-29 270,17-26 810,20-15 449,5-1 360,-8 12 990,-14 21-2699,-14 38 0,-14 22-180,-5 32-3238,3 4-810,18-5 1889,24-17 1440,20-26 1349,5-24 1079,-12-13 270,-16-7-810,-16 8-359,-5 1 899,8 10 180,0 9 0,6 16-989,-10 13-720,-12 12 0,-7-3-900,-4 1-1349,4-16-3507,16-5 1978,12-21-5037,19-11 8815,-10-2 0,-7-1 0,-19 11 0</inkml:trace>
  <inkml:trace contextRef="#ctx0" brushRef="#br0" timeOffset="1766">2914 98 12390,'-14'-14'9830,"-9"17"-6887,9 22-4922,-1 27-2699,15 16-2338,12 6 7016,1-16 0,-2-22 0,-7-22 0</inkml:trace>
  <inkml:trace contextRef="#ctx0" brushRef="#br0" timeOffset="1967">2803 378 8252,'-20'-15'9830,"-2"-2"-7966,2 1-2674,30-1-3058,31 12-4227,38-2 7247,-17 5 0,-12-1 0,-37 2 0</inkml:trace>
  <inkml:trace contextRef="#ctx0" brushRef="#br0" timeOffset="2100">3310 283 7803,'37'-1'7375,"-11"-1"-12592,-1 1 5217,-8-1 0,-9 2 0,0-1 0</inkml:trace>
  <inkml:trace contextRef="#ctx0" brushRef="#br0" timeOffset="2233">3618 322 9062,'14'1'4677,"-1"-4"-9174,2-1 2428,8-6 1006,-7 4 0,2 0 0,-12 5 0</inkml:trace>
  <inkml:trace contextRef="#ctx0" brushRef="#br0" timeOffset="2350">3945 307 8702,'14'-1'720,"-2"-3"-720,5-3 0,-11 2 0,4 0 0</inkml:trace>
  <inkml:trace contextRef="#ctx0" brushRef="#br0" timeOffset="3500">4547 184 8972,'-21'-35'9830,"5"5"-4729,12-11-4651,30 21 270,25 12-181,17 25-269,-1 18-180,-16 14-270,-25 7-180,-27-3-539,-23-7-1170,-8-16 1619,9-21 91,18-17 89,29-26 360,22-15 180,17-15 719,8-6 540,-8 8 2069,-14 12-2788,-48 42-810,-11 26 0,-27 39-360,13 10-3238,20 2-360,24-13 1979,24-20 1260,16-29 809,0-26 989,-17-11 720,-17-8 0,-18 11-989,-7 5-1170,-5 16-1799,-6 14-2788,-4 19 539,2 12 2070,10 1 2877,14-11 1260,12-21 1260,3-18 359,0-15-450,-4-2 2069,0 5-2608,7 14-2429,2 17 0,3 17 0,-9 12 0,-11-6 0,-7-3 0,-4-27 0,2-2 0,10-20 0,3 5 0,3 4-3059,-7 19-2158,-13 24-539,-8 25 5756,-11 19 0,7-28 0,1-9 0</inkml:trace>
  <inkml:trace contextRef="#ctx0" brushRef="#br0" timeOffset="4183">800 873 9781,'-36'13'7286,"9"-3"-6746,22 7 1529,30-6-450,68 2-990,-24-13 1,11-3-226,-11-1 1,8-2 0,5-2 0,2 0-529,-3-1 1,3 0 0,2-2-1,2 1 1,1-1 168,-8 2 0,2-1 0,1 0 0,0 0 0,1 1 0,0-1-30,4 0 0,0 0 0,1 0 0,0 0 0,-2 0 0,-2 1 3,7 0 0,-2 1 0,-2 0 0,-1 0 0,-1 0 4,11 0 1,-1-1-1,-3 2 1,-2-1-75,-10 2 1,-1 0-1,-3 0 1,-3 1 260,11-1 1,-3 1 0,-4 1 15,17 0 0,-6 1-180,-18 3 0,-6 1-225,-12 3 0,-5 0-5846,28 6 6363,-25-1 0,-22-3 1,-21-4-1</inkml:trace>
  <inkml:trace contextRef="#ctx0" brushRef="#br0" timeOffset="4816">2347 1208 12120,'-34'47'9715,"9"10"-8636,18 10-629,4 5-1,0-5-89,-1-23 0,-4-33 270,-1-39-91,-2-34 451,10-20 539,12-3-1079,6 19-450,19 28 0,6 43 0,29 34 0,-23-6 0,0 2 0,-6-5 0,1-2 0,5-1 0,-1-7 0,13-16 0,-6-29 0,-16-33 0,-26-26 0,-24 9-2879,-40-1-4317,-20 34 7196,-10 17 0,31 14 0,19 14 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48:36.41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128 2 9512,'-67'3'9830,"19"-1"-8327,36 0-1863,42-4-1304,22 1 0,9-1-3252,-1 1 1,-1 1 4884,3-2 0,-5 1 1,8 3-1,-52-1 1</inkml:trace>
  <inkml:trace contextRef="#ctx0" brushRef="#br0" timeOffset="183">419 203 9242,'-43'5'9830,"15"-2"-9676,24-9-3122,50-10-6117,40-6 9085,-12 5 0,-18 8 0,-43 8 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1:22.98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118 490 7533,'-36'-2'9174,"5"2"-6385,-6-1-2429,23 7 359,40 3-539,29 2-810,9-7 1,8-3-810,-3-2 0,2-3 179,8 0 1,1-3-180,-6-3 0,-5-3 719,13-6 1889,-8-10 181,-59 0 359,-20 1 899,-34-4 181,-17 5-1800,10 8 0,-6 0-989,53 23 90,20 16-90,41 29 0,-5-2 90,-6 7-450,-55 12-1349,-18-10-3508,-28 25 5217,14-35 0,12-16 0,19-20 0</inkml:trace>
  <inkml:trace contextRef="#ctx0" brushRef="#br0" timeOffset="1067">1723 405 14549,'-14'17'8815,"5"19"-8545,8 30 539,4 16-449,4-2 180,-2-15-540,-5-39 179,-4-29 361,-16-72-90,5 26 0,-1-2 359,-3-12 1,-1 0-765,1 8 0,0 4-45,-7-20 0,10 32 0,23 44 0,23 35 0,28 32 0,-24-33 0,2-2 0,32 24 0,-13-35 0,-12-40 0,-4-45 0,0-29 0,-6-4 0,-7 17 0,-12 35 0,7 32 0,-4 34 0,12 33-3059,-5 28-314,-12-38 0,1 0-2204,15 44 1530,8-23 4856,8-37 2070,-6-29 1528,-9-27-1888,-18 0-271,-7-2-89,-7 11-2069,2 13-630,14 14-1259,14 5 1170,19-7 539,6-25 899,-8-28 900,-19-19 0,-30-3-449,-29 16-721,-26 35-1348,-5 42-3599,20 33-1258,43 18-3599,54-15 9265,0-23 0,-2-23 0,-35-19 0</inkml:trace>
  <inkml:trace contextRef="#ctx0" brushRef="#br0" timeOffset="1617">2805 540 9422,'27'-49'4915,"0"1"0,2-20-2332,-27-9 115,-38 53-1349,-13 36-899,1 33-1439,25 29-1170,41 4 360,36-21 1259,26-41 900,1-60 224,-45-1 1,-8-9 359,-4-11 1,-7-3 224,-8 2 1,-5 1 179,-5-34-629,-11 49-720,3 69 0,10 51-675,6-12 0,4 4 180,7 0 1,5-3 269,0-9 0,6-8 315,27 0 540,-10-42 1439,-8-32-2069,-16-3 0,0 30-1350,-9 25-5486,1 32 6836,-4 7 0,-5-29 0,-1-7 0</inkml:trace>
  <inkml:trace contextRef="#ctx0" brushRef="#br0" timeOffset="1750">3428 246 9691,'-24'-38'3149,"0"16"-8816,4 24 5667,9 10 0,11 10 0,3-15 0</inkml:trace>
  <inkml:trace contextRef="#ctx0" brushRef="#br0" timeOffset="2117">3876 437 13469,'-22'-40'9830,"-4"12"-9136,-31 11 206,4 47-1170,15 13-899,26 34-181,42-14 1081,3-20 538,24-23 1440,-20-38 0,1-6-899,-13-4-360,-3 13-1530,-7 20-4137,8 19-2968,-5 20 8185,-3-3 0,-6-12 0,-5-18 0</inkml:trace>
  <inkml:trace contextRef="#ctx0" brushRef="#br0" timeOffset="2517">4125 604 14009,'2'-30'9830,"0"4"-7787,3 13-1503,1 9-90,8 25-900,-5 15-360,3 15 541,-5-14 179,12-22 90,-1-34 0,10-21 179,-4-14 271,-1 9 360,7 13-271,5 35-269,-4 24-1709,-3 33-3508,-12 13-1260,-4 3 6207,-2-23 0,-3-20 0,-4-23 0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1:39.980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12 47 11311,'-11'4'9624,"13"2"-9084,6-3 179,35-1 1,20-2-450,36-2-180,-43 1 0,2 0-45,4 0 0,1 0-45,1-1 0,-1-1 0,-2 1 0,-1-1 0,-3 0 0,-1-1 0,-4 1 0,-1 0 0,39-3 0,-12 1 0,-18 0 90,-10 1-90,-13 2 0,2 0 0,0 1 0,3 0 90,-1 0-90,-10 0 0,-6 0 0,-8-1 89,-2 1-178,-13 1 89,-27 4 0,-21 5-90,-33 5 0,-11 3 0,37-8 0,-2 1 45,-8-1 0,-1 0 0,4-2 0,-1 0 45,-15-1 0,-1-1 0,16-2 0,1-2 45,-8 1 0,3-2 0,12 0 0,4-1 135,-33-1 0,17 0-180,23 2 89,10 1-89,15 0 540,0 0-90,32 4-180,31-4-180,6 0 0,7-2-45,13-3 0,3-1-45,10-2 0,0 1 0,-4-1 0,-2 1 0,-5 0 0,-3 1 45,-10 0 0,-3 0-45,-7 1 0,-2-1 0,7 0 0,-2 1 0,35-3 0,2 0 89,-22 4 271,-23 0-360,-25 2 0,-39 4 0,-24 1 0,-53 5 0,0 0 0,38-5 0,-3 0-45,-20-1 0,-1 1 90,9-2 0,0 1-45,-7-1 0,1 0 225,7 0 0,5 0-45,-17-2-180,17 0-990,31 0-2787,18-1-1350,25-3 5127,25-7 0,11-1 0,13-4 0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1:52.029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1 761 20935,'17'12'3238,"35"-3"-3013,12-8 0,10-2-315,0 0 0,5-1-630,-7 0 1,4-1-1,-2-1-1439,24-3 1,-6 0 853,-14 0 1,-5 0-45,-6-1 0,-8-1 0,0-4 2338,-30-4 630,-30-6-270,-22 0 810,-20-7 629,-9 3-809,4 4-539,-6 2-541,23 9-719,36 16-90,31 15-180,40 26 0,-35-16 0,-1 1 90,27 36 0,-34 3 0,-39-3-360,-35-1-3418,-18-13-6053,4-18 8983,23-25 0,19-8 1,14-8-1</inkml:trace>
  <inkml:trace contextRef="#ctx0" brushRef="#br0" timeOffset="500">2097 509 9242,'-6'-65'9830,"-20"10"-8057,-33 21-783,-24 31-361,-1 35-269,29 26-270,53 19-90,54 3 0,-12-41 0,3-2 0,1-3 0,-1-2 90,27 23 180,-29-7 269,-37-1-179,-47 4-180,-45-8-360,34-27 0,-1-6-1529,1-6 0,4-7-3058,-16-21-3868,50-16 8635,20 9 0,15 8 0,-11 17 0</inkml:trace>
  <inkml:trace contextRef="#ctx0" brushRef="#br0" timeOffset="1433">2175 738 10231,'30'85'3276,"0"0"1,-3-19 0,5-20-244,37-50-2224,-21-50-89,-27-30-270,-43-3-1,-36 18-269,-24 38-1079,2 43-3329,30 31-989,44 10 1259,54-8 3419,34-25 1618,-32-21 1,1-9 629,-3-8 0,-3-5 1259,30-31-629,-20 5-1260,-8 24-449,-2 29-361,3 33-358,-5 21-1,-11 9 90,-18-6-90,-17-20 90,-17-24-180,-9-30-360,5-23-180,20-18 271,25-10 269,22-4 90,10 1 90,-3 5 90,-10 4 0,-17 7 989,-15-15 180,-12 19 360,-12-3 180,-10 45-359,3 29-1440,4 30 0,22 41-270,10-39 0,6 0-1439,-2-6 0,6-3-1754,11 3 0,6-10-3193,20-13 6656,-2-17 0,-26-15 0,-22-2 0</inkml:trace>
  <inkml:trace contextRef="#ctx0" brushRef="#br0" timeOffset="1666">2880 414 8882,'-36'-2'9830,"-4"3"-8776,34 5-1234,21-1-2968,68 3 3148,-13-8 0,0-1 0,16 1 0,7-4 0</inkml:trace>
  <inkml:trace contextRef="#ctx0" brushRef="#br0" timeOffset="1949">4128 299 10321,'-47'-44'9830,"-14"9"-6258,-20 43-2312,5 27-766,30 14 1,9 14-540,15 8 0,12 7-2339,9 15 1,15 0-1710,18-7 1,11-9 3413,-2-20 1,3-9-1,29 3 1,-41-43 0</inkml:trace>
  <inkml:trace contextRef="#ctx0" brushRef="#br0" timeOffset="2816">4925 494 10411,'-7'-6'7106,"-7"35"-6207,-6 30-359,-9 35-360,2-3 270,4-17 629,18-74 630,16-61-450,-1-1 1,2-7-181,2-7 1,-1 1-496,-3 8 1,1 5-135,15-23-450,9 56 0,21 58 0,-20 10 0,-1 11-2384,3 12 0,-2 4-1169,-1 7 0,-3 0 3553,-6-8 0,-4-5 0,4 9 0,-13-31 0</inkml:trace>
  <inkml:trace contextRef="#ctx0" brushRef="#br0" timeOffset="3233">5093 803 10411,'-44'-28'5217,"26"-10"-4767,49-4-270,47-11 0,-28 29 0,1 2 2248,40-16-2068,-51 19 0,-26 13-180,-13 26 0,25 15-180,22 18 0,-11-17 0,0 0 89,20 24-89,-14 1 0,-46-27-989,-34-15-2519,-20-16 3508,-2-11 0,25 2 0,15-1 0</inkml:trace>
  <inkml:trace contextRef="#ctx0" brushRef="#br0" timeOffset="3833">6057 583 10681,'-20'-12'7106,"-11"5"-4678,-28 23-1528,6 15-91,-9 41-269,36 18-450,22-2-1439,45-1-765,2-61 0,8-9 405,-2-3 0,3-6 1709,11-9 0,-5-5 0,-4-2 0,-16-2 0</inkml:trace>
  <inkml:trace contextRef="#ctx0" brushRef="#br0" timeOffset="4349">7172 58 9422,'11'-44'9830,"-12"31"-7427,-5 19-2224,-11 39 1,-5 20 150,1-5 0,-1 7 0,-2 3-400,-4 16 1,-3 4-1,1 1-290,-2 2 1,1 0-1,0-3-1020,6-11 1,0-3 0,4-6 1406,2 3 1,4-9 0,0 6 0,16-42 0</inkml:trace>
  <inkml:trace contextRef="#ctx0" brushRef="#br0" timeOffset="4849">7270 635 10141,'3'-47'9355,"-4"25"-8006,-6 39-899,-1 52-720,6-17 0,2 3-540,2 5 1,2-2-180,7 37 629,1-33 720,-12-67 989,-19-66-495,4 13 1,-1-4 179,-3-5 1,-1 0-226,2 10 1,4 5-360,8-13-271,37 39-89,53 42-90,-25 7 0,3 6-45,2 7 0,-4 3 0,-9 1 0,-9 2-44,-4 31-1800,-58-9-2609,-44-12-2608,-19-11 7106,20-17 0,25-12 0,32-9 0</inkml:trace>
  <inkml:trace contextRef="#ctx0" brushRef="#br0" timeOffset="5549">7734 891 10051,'41'-34'9805,"-12"9"-9535,-10 14-1,-10 27-179,6 14-90,8 10 0,11-16 0,5-28 90,-8-34 270,-21-24 0,-28-4 0,-31 17-1,-22 35-179,-7 39-180,19 34-989,38 20-2969,52-2 1979,7-43 0,11-9 765,14-10 0,6-10 1124,5-9 0,0-10 854,-5-9 1,-5-7 314,-14-3 1,-9-4 1169,-1-33-181,-41 14-1078,-21 19-540,-15 21-181,18 32-179,21 19 0,28 28-90,13-2 0,8 11 0,-24-23 0,-15-6-449,-46-16-2790,-15-11-6475,-9-4 8866,19-9 0,21-2 0,13-4 0</inkml:trace>
  <inkml:trace contextRef="#ctx0" brushRef="#br0" timeOffset="5999">8683 89 11400,'8'-34'7466,"14"31"-7151,8 36 0,2 18 0,2 14 0,-1 7-226,7 18 1,-3 5-330,-16-24 0,-4 2 1,-3-5-1021,-2 3 1,-6-2-3657,-9 16 1,-7-7 4899,-10-9 0,-7-11 1,18-47-1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2:23.792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10 143 9602,'-6'-29'7375,"3"-1"-5126,16-11-1889,22 12 539,25 15-269,12 36-270,-5 30-270,-17 25 90,-23 9-180,-32 2 90,-29-10-180,-16-19 90,-1-36-90,23-45 180,30-42 179,22-21 181,13-2 270,0 17 89,-9 21 1980,-7 14-1800,-9 33-539,2 27-1799,4 28-4048,13 21 0,14-6 809,13-11 2610,7-23 3866,-6-28 1710,-15-17 2249,-16-16-2249,-17 6-4228,-5 12-2788,-1 30-1889,4 17 5307,3 14 0,-3-22 0,-1-11 0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2:24.676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67 297 9512,'-36'-62'9714,"10"8"-8005,21-4-630,23 26 361,45 21-901,8 47-449,-30-9 0,-3 7 0,-3 14 0,-7 4 0,0 32-90,-17 1-90,-40-19-809,-8-34 449,-7-16-450,20-48 361,36-45 449,14-3 90,3 27 0,6 3 539,18-3-179,-1 12 270,-11 46-540,-32 27-270,-3 17-1349,-17 19-540,5-5-540,12 0 451,22-12 1978,5-23 1079,22-19 1350,-3-19-1619,-9-1 899,2-1-360,-19 14-179,1 8-91,-6 14-359,-10 12-270,-7 6-360,-1 1-2249,8-8-719,19-14-6773,22-15 8719,-9-9 1,-5-3 0,-27 3 0</inkml:trace>
  <inkml:trace contextRef="#ctx0" brushRef="#br0" timeOffset="1133">1765 81 12120,'1'-30'6386,"15"4"-4946,20 11-541,11 21-539,0 35-90,-16 28-270,-18 19 90,-18-4-360,-12-19 270,-2-32 0,8-40 0,19-37 90,23-28 180,19-10 269,4 8 271,-9 19 359,-10 16-719,-28 44-270,-6 21-90,-13 45-1170,9 14-1348,20 5 269,24-15 720,26-27 719,15-36 720,-4-29 1260,-15-19 808,-21-3-1258,-19 10 809,-9 6-360,-4 14-809,1 6-270,-2 14-900,-6 10-629,-2 3 719,1 5 540,16-21 180,22 2 90,20-5 270,8 13 629,-11 22 810,-28 17-539,-43 1-1890,-46-16-4407,-31-29-1620,-1-29 6567,30-18 0,33 10 0,25 3 0</inkml:trace>
  <inkml:trace contextRef="#ctx0" brushRef="#br0" timeOffset="2200">3519 198 11940,'-8'-26'7916,"28"-5"-7107,22 13 540,24 9-629,-6 20-180,-14 37-360,-30 9-180,-13 11 0,-20-10-360,1-25 270,-1-19 90,34-52 899,12-26 361,17-17 718,1-1-1168,-21 34-360,-6 8-360,-14 33-90,-15 42-540,1 10-1169,4 47 630,23-26 539,16-5 270,32-37 720,-14-27 1349,12-21 270,-26-7-2069,-11 14 0,-5 25-360,-4 14-540,13 14 630,7-17 810,7-13 450,-8-15-990,-3-19 0,-18 9 0,-1 5-1080,-2 39-5756,5 11 6836,18 37 0,-18-39 0,5 5 0</inkml:trace>
  <inkml:trace contextRef="#ctx0" brushRef="#br0" timeOffset="3116">5151 201 8252,'-14'-29'9265,"1"-6"-6836,3-14-1710,21 9 181,27 24-1,22 35-449,6 41-270,-16 23-270,-28 12-90,-26-13-270,-12-25-89,-5-29 359,17-42 90,26-42 180,5 12 0,4-4 359,7-5 1,3 1 314,-2 4 1,-1 3 854,16-17-180,-24 28-449,-30 45-720,-11 24-1170,-8 36-1978,13 10-1080,25-1 1260,28-17 1528,22-24 1080,6-28 1799,-15-18 900,-14-11 89,-24 3-2068,6 21-450,2 14-90,13 25-90,0 8 180,-14 6-90,-26-2 0,-34-12-1709,-30-22-3239,-13-31-4973,9-40 8585,27 8 0,21-4 0,17 33 0</inkml:trace>
  <inkml:trace contextRef="#ctx0" brushRef="#br0" timeOffset="3266">5974 275 16977,'14'-12'3059,"27"-4"-5218,29-4-2757,-15 6 1,2-1 3633,32-8 1,-4 0 0,-49 13 0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2:05.128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2109 38 8792,'3'-18'9830,"-2"1"-6707,-2 15-1864,-7 52-719,-6 37-406,5-21 1,1 3-135,0-6 0,1-2 90,2-8 0,0-6-90,0 7-90,-12-37 180,-1-36 180,-12-19 989,3-6-629,2 11-180,5 18 179,8 24 1,16 27-360,18 26-180,20 10-90,9-9 90,7-34 0,-6-37-90,-7-29-1529,-14-5-4318,-9 0 5847,-7 14 0,-7 11 0,-1 8 0</inkml:trace>
  <inkml:trace contextRef="#ctx0" brushRef="#br0" timeOffset="450">2290 183 11131,'-6'-13'8185,"-2"3"-6836,-6 16-539,1 13 89,0 30-449,3 25-450,5-3-270,2 10-2338,3-31-2160,-2-23 4768,0-17 0,-1-16 0,1 0 0</inkml:trace>
  <inkml:trace contextRef="#ctx0" brushRef="#br0" timeOffset="2466">20 1483 8612,'-2'-17'9085,"0"2"-7826,1 13-989,6 31 180,3 25-360,4 31 0,-2-1 90,-3-17-180,-5-35 629,-5-55-89,-8-54-181,5 28 1,0-5 270,-2-21 0,0 0-361,3 19 1,1 2-45,-1-1 0,2 6 675,3-1-361,18 40 1,15 34-360,32 35-90,5 11-45,-21-27 0,2-6 45,31-5-90,3-27 360,-16-71 989,-28-9-989,-7-9-360,-20 23 0,-8 41 0,0 39 0,5 72-1530,-4-31 1,2 3-1259,0 6 0,2 0-1215,3-7 0,1-7 4003,8 6 0,-6-22 0,-7-30 0</inkml:trace>
  <inkml:trace contextRef="#ctx0" brushRef="#br0" timeOffset="2649">936 1524 8882,'6'-22'9804,"-3"13"-10793,3 59-2339,-3-3 3328,2 26 0,-2-41 0,0-5 0</inkml:trace>
  <inkml:trace contextRef="#ctx0" brushRef="#br0" timeOffset="2799">937 1468 8612,'-27'-47'4857,"-1"7"-7555,-4-4 1079,18 28-360,14 17 1979,12 11 0,-6-7 0,-1-1 0</inkml:trace>
  <inkml:trace contextRef="#ctx0" brushRef="#br0" timeOffset="3983">1113 1504 10861,'26'-21'7555,"-10"-6"-5845,-17-7-901,-22 14-449,-9 37-180,-2 44-180,17 28 0,24 1-180,26-35 180,19-52-90,6-65 405,-31 5 0,-5-8 539,-4-8 1,-5-2-136,-5 3 1,-6 3-181,-11-28-359,-8 64-270,0 64-2608,13 62 224,10-30 1,8 1 314,10 1 0,10-7 1169,7-14 1,9-14 1079,9-20 0,3-18 944,-5-15 1,-5-13 404,-4-9 0,-9-7-180,-15 4 1,-12-1 359,-20-27-630,-34 41-449,-23 54-270,5 51-270,36-20 0,8 4-405,11 3 0,9-2-494,32 32 359,23-46 270,11-62 315,-34-17 0,-6-13 225,-3-16 0,-6-7 225,-5-9 0,-6-2 134,-6 7 1,-6 3-271,-2 14 1,-4 8-270,-13-1 90,1 61-180,11 67 0,11-9 0,5 6-360,5 9 1,5 0-91,3-1 0,6-5 45,-2-19 1,6-13 134,33-13 180,-3-65 630,-8-37 629,-18-12-629,-19 16-361,-20 33 1,-7 50-360,1 40-269,18 32-1,29-4 270,23-34 90,21-51 270,-9-49 720,-15-26 359,-27 2-720,-24 14-359,-16 53-1259,-3 39-4408,5 47 5487,19 18 0,-2-36 0,7-17 0</inkml:trace>
  <inkml:trace contextRef="#ctx0" brushRef="#br0" timeOffset="4433">2864 1055 8972,'-11'0'9534,"7"22"-7645,20 53-1574,0-25 0,2 1-225,5 9 0,3-2 0,5-3 0,1-8 270,19-7 719,-3-34 360,-13-85-1169,-22-16-990,-9 40 1,-2 1-4588,-6-24-4524,8 45 9635,4 22 0,1 12 1,-2 5-1</inkml:trace>
  <inkml:trace contextRef="#ctx0" brushRef="#br0" timeOffset="5366">3334 1242 16348,'-10'-9'3778,"-12"9"-3599,-3 14 91,-10 27-180,15 24-180,11-5 0,16-2 90,24-45 0,-6-20 90,9-22 90,-11-10-90,-6 20-90,2 12 0,-1 25-90,5 5 90,12-21 90,-3-19 0,4-45 180,-25 12 0,-6-5 404,0 4 1,-3-1-91,-5-10 1,-4 5-45,-11 0-450,-14 55 0,8 72-360,16-10 0,5 7-180,9 8 1,9-1 269,8-8 0,7-6 90,2-17 0,3-11 90,35-14 0,-11-55 450,-18-28-90,-12-7-181,-16 21-179,-5 31 0,-2 46-899,3 14-180,10 14 449,7-22 360,14-31 450,-9-33 719,1-32 1080,-16-9-1079,-9 15-630,-13 36-90,-5 61-1440,2 37-314,12-23 0,11-1-855,16-7 1,11-7 2428,14-11 0,6-10 0,-10-7 0,0-7 0,-1-10 0,1 0 0</inkml:trace>
  <inkml:trace contextRef="#ctx0" brushRef="#br0" timeOffset="6375">4603 1270 7083,'6'12'9830,"4"5"-9226,9 25-514,-2-16 90,13-26 809,-15-29 91,-5-23-91,-38-4 90,-43 23-269,-19 31-450,34 23 0,7 12-360,8 40-1530,46 20-1258,44-50 0,18-11 2788,-1-11 0,2-8 0,-2-2 0,-3-5 0,29-17 0</inkml:trace>
  <inkml:trace contextRef="#ctx0" brushRef="#br0" timeOffset="7849">279 2315 8342,'-12'-20'5847,"3"6"-5038,6 5-719,16 24 720,21 19-450,30 8-270,28-13 89,-38-23 1,1-6 45,0-5 0,-2-4 315,37-13 179,-18 3 361,-7 7-450,8 8-271,15 12-269,-39 1 0,1 1-90,4 3 0,0-1 45,-2-2 0,0-3-45,3-7 0,1-8 0,1-10 0,-1-7 0,2-5 0,-2-4 45,-4-2 0,-1 0 315,33-17-90,-15 26-90,-3 22-180,5 14 90,8 2-90,12-8 45,-39-11 0,2-6-45,2-6 0,0-4 44,-1-5 1,-2-1-90,-8 1 1,-2 1 133,21-16-89,-13 20 0,-2 19 0,12 18 0,19 13 0,-32-12 0,2-2 0,4-3 0,2-6 0,5-8 0,0-9 0,3-10 0,-1-7 45,1-4 0,-1-2-45,-2 0 0,-1 3 45,-7 8 0,0 7-45,-3 8 0,-1 6 0,48 13 0,-48 0 0,0 2 0,48 12 0,-4-8 0,-10-12-90,-16-7 90,-8-4 0,-1 8-809,9 8-2339,15 8-2159,3 1 5307,-10-7 0,-31-3 0,-17-7 0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2:32.725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17 355 10051,'-16'-1'6387,"15"3"-5398,46 1-450,7-1 1,12-1-300,5-1 0,9-1 0,4-1-495,-7 0 0,5-2 1,1 0-1,3 0 322,9-1 1,3-1-1,1 1 1,0-1-50,-15 1 0,0-1 0,0 1 0,0 0 0,-1 0 27,15 0 0,-1 1 0,-1 0 0,0 0-23,-4 1 1,0 0-1,-1 0 1,-1 1-36,-8 0 0,0 1 1,-2 0-1,0 0 13,21-1 0,-1 0 0,0 0 0,-6 1 0,0-1 0,-2 1 30,-3-1 0,0 0 0,-2 0-30,-4 0 0,-1 1 0,0-1 30,-5 0 0,-1 0 0,0 0-89,0 0 0,1 1 1,-1-1 88,0 1 0,1 0 0,0 0-30,4-1 0,1 1 0,-1-2 0,0 1 0,0-1 0,-2 0 0,-4 0 0,-2-1 0,0 0 0,28-2 0,-3 1 44,-14 0 1,-3 1-45,-3 1 0,-1 0-45,-5 1 1,0 1 564,1 2 0,0 1-520,2 1 0,-1 1 268,1 2 0,-1 1-268,-3 1 0,0 0 149,-6-1 1,-2 1-150,-8-2 0,-3-1 0,29 4 0,-21-4 0,-17-2 0,-4-2 0,-3-2 0,-6 0 0,-2 0 90,-11-1-90,11 2 0,2 0 0,12 3 0,-1-1 0,-7-1 0,-7 0 0,-7 0 0,-1-1 0,-1-1 90,0-1 360,0-11-360,-8 0 180,-8-17 899,-16-5 450,-12-5-270,-7 0 1080,-13 2-2069,12 12-360,2 5 0,26 20 0,32 19 0,24 22 0,21 22 0,-34-26 0,-1 0 0,20 36 0,-25-6 0,-33-15-2519,-66 14-1439,22-37 1,-5-1 3957,-7 2 0,2-2 0,-20 5 0,41-19 0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2:37.175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86 365 12930,'-8'-18'3957,"-11"1"-3327,-8 17-180,-4 18-180,31 22-91,52 27-179,-8-30 0,4-2 90,5-2 0,-1 0 0,21 23 0,-65-12-90,-60-12-989,-38-17-990,-2-21 540,33-23 809,57-14 720,41-5 1709,18 6 540,-5 14-1350,-21 17 270,-11 20-719,-4 21-360,9 8-180,17 0 0,11-20 90,4-24-90,-17-22 0,-28-17 0,-30-1-90,-16 11-450,-13 18 1,11 20 449,18 13 90,38-1 0,37 1 0,23-7 0,2 0 90,-13 2-180,-20 7 90,-21 8 90,-19 6-180,-17-6-90,-10-20 180,8-31-90,19-35 90,28-23 45,-11 38 0,4 1 315,31-35 989,-11 18 540,-14 17-630,-17 16-809,-13 19-90,-7 29-450,-3 21-2339,3 21-1709,1 8-1259,0-4 3778,-1-19 2519,-4-22 1708,-8-39-359,-3-12-1619,-4-13-360,21 8-270,25 12-450,23 10 90,17 7 450,0-3 1439,-11-11-180,-22-15-809,-25-1-180,-36 9-360,-11 30-630,-5 23-1619,29 20 91,38 3 629,42-11 809,23-22 1350,10-28 539,-15-30-180,-26-19-359,-36-6-360,-35 11-90,-23 24-180,0 34-810,19 31-899,30 17 900,32-11 1708,15-36 720,-2-38-450,-29-13 1,-8-8 1079,-3-44-1350,-12 42 1,-6 4 1438,-16-8-1258,5 73-1080,11 47-2654,22 12 1,13 6-316,8-9 1,10-5 2968,12 4 0,4-10 0,-13-26 0,-1-10 0,36-8 0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2:44.99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132 219 7892,'-55'-20'7646,"9"3"-4318,16 7-2608,34 3-450,3 3 359,77-9-494,-32 6 0,6-1-90,28-3 0,7-1 0,-3 1 0,2 0-45,-21 3 0,2-1 0,-4 2 45,8-1 0,-4 0-45,2 0 0,-5 1 989,13-1 451,-28 2-631,-21 2-269,-9-1-180,-8 1-91,-2-1-179,6 6 180,1 14 90,7 25-180,4 35-135,-16-26 0,0 5-90,0 10 0,0 4-45,0 5 0,-2 2 45,0 3 0,-1 1 0,-1-2 0,-1-1 45,-2-9 0,0-2 0,-3-12 0,0-3 0,2 18 0,-3-18-90,-3-22 0,-2-3 90,-5-13 0,-21 1 0,-17-2-90,-34 5 90,-20 4 0,37-8 0,-3 0-45,-5 1 0,-2 1 45,-4 0 0,0 1 0,1 0 0,2-1 45,6 0 0,4-2-180,8-1 0,3-2 46,-25-1-91,22-17 90,17-28 0,8-45 90,15 23 0,2-6 0,-3-15 0,0-3 0,-1-3 0,0-1 45,-1-2 0,0 2-45,3 10 0,0 4 45,3 9 0,1 4 135,-2-24 89,3 24-89,3 23 90,1 7 0,1 7-1889,1 6 1619,-1 0 0,1 8 0,0 2 0</inkml:trace>
  <inkml:trace contextRef="#ctx0" brushRef="#br0" timeOffset="1801">155 1576 13020,'0'17'4047,"2"17"-3327,1 17-360,1 25-180,1 9-91,0-10 451,0-11-180,-12-65 180,-4-33 359,-10-63-315,13 42 1,2-1 135,1 5 0,2 2 89,11-18-449,14 47-90,20 46-180,24 35-225,-27-24 0,1-2-405,37 26-89,10-22 449,-23-34 180,-3-20 629,-13-46 990,-18 2-539,-6-10-810,-11 30-90,-6 50-720,1 23-630,3 14 1,5 6-540,24 36 1394,-17-41 1,6-6 44,36 1 899,-19-48 91,-5-20 89,-24-31-449,-25 9-270,-6 4-90,-23 24-450,19 30-1259,3 26-179,42 18 1168,12-9 450,26-17 1260,-8-48-271,-16-12-89,-24-26-270,-46 19-271,-12 16-628,-18 36-2340,33 43 91,25 4-540,54 9 2069,30-43 1933,-30-27 1,0-10 584,-3-11 0,-5-10 450,-6-13 0,-8-4-179,2-33-361,-31-2-449,-26 51-271,-12 35-539,-3 51-1079,21 32-450,30 10 629,27-28 1080,19-49 1080,-1-63-586,-32-2 1,-5-8 269,-4-5 1,-4-2-1,-5 2 1,-2 3-315,-5-13-90,-9 60-450,5 47-1080,6 39-629,16 8 270,13-10 1079,3-25 1080,3-35 2068,-4-32-269,-5-14-1080,-10 1-1259,-2 35-5037,-7 27-4768,8 28 8777,-7-6 0,-1-20 0,-5-22 0</inkml:trace>
  <inkml:trace contextRef="#ctx0" brushRef="#br0" timeOffset="1934">1913 1687 7892,'-27'-41'1199,"8"9"1,13 29-1</inkml:trace>
  <inkml:trace contextRef="#ctx0" brushRef="#br0" timeOffset="2350">2303 1702 15088,'-37'7'5307,"0"10"-5666,-18 22-1620,22-2 719,25-5 1081,27-25 1438,10-16 900,6-20-91,-10-2 91,-2 2-1349,5 19-630,1 17-90,2 14-630,-5 10-3328,-6-5 1349,-4-6-269,-3-5-5667,0-2 8455,-2-2 0,-2-1 0,-5-5 0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3:04.505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110 401 10321,'-14'-3'5847,"-13"-15"-4138,2-16-540,-6-21-629,19-10-180,17 2 89,25 15-359,18 31 0,15 35 0,-3 24-180,-7 16 0,-21 2-180,-19 1 1,-14-11-91,-14-9 270,-5-28 90,4-21 0,10-21 0,30-36 0,17-2 0,12-6 450,-2 12 179,-18 33-539,-15 26 90,-14 48-270,-3 18-360,8 11-539,28-10 629,11-33 360,8-15 1259,1-35 900,-23-5-540,-6-3-269,-16 11-1530,-4 30-2249,1 9-4587,14 52 7016,5-13 0,-5-7 0,-5-28 0</inkml:trace>
  <inkml:trace contextRef="#ctx0" brushRef="#br0" timeOffset="867">1892 300 9602,'-63'-46'7915,"15"11"-6386,-15-13-809,49-2-181,27 4-89,47-8-180,18 33-180,10 31-90,-18 42 0,-23 32 0,-35-33 0,-8 2 0,-7 0 0,-3-1-180,-12 31 90,-2-27 0,15-61 270,19-37 90,14-35 0,14-6 179,0 13 901,-11 23-1080,-6 24-91,-18 39-358,-3 30-901,-2 26-359,10 6 180,15-13 629,15-24 540,8-26 450,-5-18 449,-5-8-359,-15 6 450,1 11 269,-6 27-359,-4 16-541,-5 20-269,-4-2-1709,9-10-2788,25-23-2069,51-36 6566,5-19 0,-43 4 0,-2-1 0,25-12 0</inkml:trace>
  <inkml:trace contextRef="#ctx0" brushRef="#br0" timeOffset="1834">3704 330 9691,'-53'-36'8995,"13"-8"-6746,18-17-2069,41 1 90,35 14 0,16 31-180,-8 35-90,-18 33 90,-26 22-90,-24 13-540,-12-8-90,-2-24 360,18-54 270,27-54 540,17-34-135,-18 40 0,0 2 584,12-24 90,-11 24-899,-18 56-629,-1 29-1620,7 51-90,21 2 720,20-23 1169,10-40 1169,-9-39 900,-17-21-269,-14-13-361,-13 7-989,1 9 0,17 12-90,3 26-90,12 22 90,-14 21-270,-12 7-720,-10-8 360,-6-16 271,2-15 269,9-7 809,2-3 361,8 7-1,-12 9-90,-18 9-2338,-36 10-4228,-35-5-4344,-15-18 9298,21-14 0,27-15 0,36-1 0</inkml:trace>
  <inkml:trace contextRef="#ctx0" brushRef="#br0" timeOffset="2750">5205 285 9512,'-34'-34'8005,"16"-4"-6116,49 2-1080,34 6-539,20 11-90,-31 25 0,-4 9-90,10 29 0,-12 18 0,-52 15 90,-15-31-180,-8-5 0,18-67 90,37-34 0,14-25 269,-9 37 1,2 5 540,6-3-181,-5 34 1,-30 61-540,0 26-540,2 13-809,27-11 719,8-41 360,24-26 1080,-9-42 179,-15 0-180,-11-4-899,-22 33-450,0 25-449,12 18 179,32 4 810,8-26 1259,28-31 990,-26-18-1889,-16 3-540,-15 39-6477,-12 44-1528,6 26 8005,0 7 0,-9-39 0,-7-24 0</inkml:trace>
  <inkml:trace contextRef="#ctx0" brushRef="#br0" timeOffset="3467">7034 329 9691,'-51'-66'8725,"10"4"-7285,17-1-631,39 11-449,39 14 0,23 23 359,-2 32-269,-25 31-180,-30 25-180,-27 13-360,-11-4-539,0-17 89,21-29 630,21-48 1169,18-28 1170,2-20-180,-11 8-990,-16 19-629,-12 33-450,0 26-989,6 32-900,22 16-90,15-4 1079,8-14 1080,-5-18 1349,-14-7-179,-18 5 89,-18 9-630,-16 6-719,-17-5-3958,-13-20-2878,-2-27-3058,9-37 9804,18 4 0,13-2 0,8 26 0</inkml:trace>
  <inkml:trace contextRef="#ctx0" brushRef="#br0" timeOffset="3600">7446 438 8972,'7'-26'9830,"12"2"-10665,14-4-514,23 6 1349,24 2 0,-17 5 0,6-3 0</inkml:trace>
  <inkml:trace contextRef="#ctx0" brushRef="#br0" timeOffset="4650">8622 117 10681,'-29'-17'8545,"13"-12"-8185,28 0 629,36 7-449,32 34-270,6 39-225,-49-13 0,-6 6 45,1 50 0,-35-9-180,-21-28 0,-2-30-90,17-56 180,33-43 270,-2 22 0,3-2 179,2 3 1,0 2 1169,14-16-1529,-24 41 270,-22 39-180,-13 34-540,-3 24-1349,19 12-270,37-10 900,31-27 809,18-35 1079,-6-32 2070,-24-12-2519,-39 19-271,-12 22-1977,-4 30 89,26 8 1079,24-11 2159,2-18 2069,-12-16-719,-42-18-1620,-44 16-5487,-36 17-5513,8 30 8106,24-5 0,37-8 1,17-29-1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3:33.41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75 206 14639,'-7'3'1889,"6"1"-1799,18 22-1,17-2-89,13-9 90,7-23 0,-14-30 270,-31-25 0,-34-4 0,-29 24 0,-18 41-271,7 47 1,20 31 0,38 11-90,41-11 0,40-23 0,-4-32 90,14-39 0,-35-26 180,-6-12-90,-15 7-180,-9 23 90,0 23 90,5 21-90,4 13-180,1 0 270,4-8-180,-6-28 90,2-24 0,-7-20 0,-5-1 90,-5 17-91,8 25 1,8 24-90,18 13 90,8-1 0,5-19 0,-8-23 360,-21-20 0,-26-7-270,-20 10-90,-20 27-270,14 27-450,12 26-719,33 6 449,27-18 541,21-33 269,4-33 719,-8-15 271,-20 5-630,-19 17 89,-7 24-89,-2 14-180,4 12 0,0-1 360,7-23 1259,1-32-270,10-31-90,3-6-269,11 15-721,10 36-628,12 40-2025,-33 7 0,-2 9-2204,6 18 1,-2 5 4497,-2 0 0,-3-1 0,-6-6 0,-1-4 0,18 21 0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3:17.97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2520 87 10861,'3'18'7555,"2"6"-7015,2 27 0,2 13-315,1 8 0,0 6-165,-1-9 0,1 5 0,0 0-480,1 3 0,1 0 0,-1-2-600,-1-6 1,0-2 0,0-3-1725,2 18 1,0-8 2743,1 12 0,-7-42 0,-6-37 0</inkml:trace>
  <inkml:trace contextRef="#ctx0" brushRef="#br0" timeOffset="1566">2629 189 7533,'-24'-11'9830,"21"5"-8417,18 6-333,54 2-451,24-6-449,-31 0 0,9-2 0,0 0-150,-1 1 0,1-1 0,1 0-148,11 0 1,1-1-1,1 0 148,-2 2 0,1 1 0,0 0-30,1 0 0,1 0 0,-1-1 0,-7 1 0,-2 0 0,4 0 0,-5 0 0,3-1 0,0 1 0,-5 0 0,3 1 0,-4 1 0,0 0 0,4 0 0,1 0 0,-2 2-26,-4 2 0,-1 1 0,-4 0 26,9-1 0,-2 0 0,3 0 0,1-2 0,-5-4 0,-3-2 0,-18 0 0,-1-1 0,1 0 0,-3-1 619,22-3-439,-35 5 171,-2 1-171,-19 3 0,1-1 270,-2 6 180,-3 14-271,-2 17-179,-4 37-90,-1 0-90,-1-22 0,-1 3 0,1 4 0,-1 0 0,1-6 0,-1 1 0,0 11 0,0 0-90,-3 37 90,-2-19 0,-9-6-90,-12-29 90,-26-2 0,-38-2-135,12-17 1,-8-2-1,6 0 0,-6-1-164,0 0 1,-7 0 0,1 1 268,4 0 0,1-1 0,-2 1 7,15-4 1,-2 0 0,0 1 0,0-2 22,-21 5 0,1-1 0,2-3-72,13-3 0,1-2 0,2-2 102,9-3 0,1-2 0,3-2-30,-21-2 0,3-2 0,9-4 0,4-1 0,10-1 0,3-1 0,-40-6 0,27 3 705,9 3-705,18 3 135,0 2-135,13 1 0,-2 3 0,4 4-90,-5 3 90,-3 5 0,0-2 90,-6 0-90,-3-4 0,-1-2-2788,4-4-7043,10-1 8202,20-7 1,5 4-1,12-4 1</inkml:trace>
  <inkml:trace contextRef="#ctx0" brushRef="#br0" timeOffset="18531">1889 1438 8072,'-26'-5'-480,"15"1"1,-7 4-1</inkml:trace>
  <inkml:trace contextRef="#ctx0" brushRef="#br0" timeOffset="18681">844 1626 6094,'-47'-4'-60,"8"-1"0,-12 0 0</inkml:trace>
  <inkml:trace contextRef="#ctx0" brushRef="#br0" timeOffset="18831">171 1642 7353,'-51'10'202,"-2"1"0,15-4 1,9 0-1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3:25.803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2772 618 10681,'-14'4'5307,"-8"0"-4588,-10-3-89,-13-1-315,-6-3 0,-9 1-270,-24 2 0,-10 2-183,17-1 0,-5 1 0,-5 1 205,3 1 1,-6 1-1,-1 1 1,4-1 142,-13 0 0,2 1 0,-1-1-76,17-1 1,-2 0 0,2-1 0,3-1-15,-2-1 0,3-1 0,3-1 105,-24-1 0,6-2-29,25 1 1,4-2 73,9 1 0,5 0 180,-11-1-181,13 1 271,8 0-270,13 0 290,-2-1-200,0-3-360,13 2 0,2-12 90,16-4 0,6-12 90,3 8 89,-1 1 181,-5 12-360,-11 18-90,-8 16 90,-28 45-90,8-12 0,-1 5-45,4-8 0,1 2 180,-7 8 0,10-1 405,26 7-361,32-30-1078,21-29 0,13-11-2609,17-8 0,3-4-1215,-1 2 1,-2 0 4722,-10 1 0,-6 2 0,10 7 0,-36 4 0</inkml:trace>
  <inkml:trace contextRef="#ctx0" brushRef="#br0" timeOffset="967">5283 429 7353,'-27'-5'9175,"11"1"-6567,19-3-2428,53 0 180,16 0 0,16 0-271,-3-1 1,7 1 0,5-2-455,-10 2 1,2-2 0,3 1-1,0-1 347,-13 2 0,1-1 0,1 0 0,-1 1 0,-2-1-252,8-1 0,-1-1 1,-3 1-1,-4 0 103,10-2 0,-3 1 1,-8 0-14,4-2 0,-9 1 0,15-7 180,-36 1 90,-29 4 720,-17-10 1446,-23-1-1086,-16-6 600,-13 0-151,6 8-1079,4 4-360,15 7-270,28 13-450,43 20 315,-4-2 0,4 2 45,9 5 1,0 2 89,-5-3 0,-6 2-450,1 27-1979,-80 4 360,-12-24 1,-10-3 2158,-12 5 0,0-5 0,18-9 0,5-4 0,-15 7 0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3:21.68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167 892 11940,'-6'-23'6476,"-6"0"-4766,-8-6-451,-4 7-899,-9 18 269,3 28-179,-1 30 0,21 25-180,40 5-270,35-17-90,-20-42 0,4-10 135,2-11 0,-1-11 584,34-32 271,-27-32-630,-43-17-270,-49 10-1260,-34 25-2428,-14 33-2608,13 31-540,33 13 5988,23-3 0,16-7 0,2-10 0</inkml:trace>
  <inkml:trace contextRef="#ctx0" brushRef="#br0" timeOffset="467">792 702 10231,'9'-21'8725,"-8"8"-7915,-28 19 179,0 22-179,-10 48-540,31 6-181,18 10-89,48-21 0,7-51 360,9-32 315,-41-31 0,-9-15 179,-9-4 1,-8-5-91,0-10 1,-7-2 134,-10 2 1,-5 6-900,-9-21 0,0 26 0,9 68-810,14 47-3597,7 30 1258,4-26 1,5 1 3148,7-6 0,2-4 0,3 17 0,7-22 0</inkml:trace>
  <inkml:trace contextRef="#ctx0" brushRef="#br0" timeOffset="917">1395 603 9152,'10'-36'9830,"-6"0"-4729,-5-6-4741,-11 19 450,-1 26-271,-3 51-494,15-5 0,5 3-315,10 47-270,4-44 1,8-8-181,33-10 720,-3-34 450,-4-64-90,-41-8 0,-11-10 44,0 5 1,-4-3 134,-5 11 1,-2-3 0,-2 4 90,-6-7 0,-2 7-630,4 12 0,0 6 0,-12-15 0,24 56 0,24 50 0,1 5 0,5 8-585,7 14 0,3 4-4331,3 9 1,-1-2 4848,-6-13 1,-2-6-1,8 14 1,-20-39-1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3:58.65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27 360 9242,'-4'-16'8185,"-1"3"-6386,0 25-1619,2 16 360,4 58-450,3-1-1,-1-34 1,0-2 0,1 9 180,-3-51-90,-4-51 180,0-18 0,-1-8 89,1 10 1,0 0-180,0-5 0,0 5 360,0-3-361,10 72-179,7 16 0,29 50 0,0-19-90,4-4 0,9-46 90,-26-22-90,13-17 540,-19 3-270,-4 27-90,4 25-180,10 33 0,0-6-90,20-9 90,2-44 0,-12-4 539,2-19 181,-27 28-540,-1 15-810,-5 25-6566,-3 20 7196,-3-11 0,-1-12 0,-4-23 0</inkml:trace>
  <inkml:trace contextRef="#ctx0" brushRef="#br0" timeOffset="117">682 346 7623,'-26'-46'-450,"8"18"450,3 10 0,9 15 0,10 9 0</inkml:trace>
  <inkml:trace contextRef="#ctx0" brushRef="#br0" timeOffset="767">1219 370 5520,'0'-29'8276,"-19"5"-4523,-19-3-3573,-25 35 925,-7 44-1016,40-5 1,8 5 128,7-3 1,8 1-264,13 5 0,13-6 990,33-5-945,23-45 0,-37-28 0,-3-13 0,-1-18 0,-6-7 405,-6-9 0,-7-2-45,-6 4 0,-5 5 359,-12-29-89,-16 64-360,7 75-180,10 13 0,6 10-46,8 17 1,7 3-135,7 5 1,7-3-361,3-12 0,7-11 225,-3-21 0,4-16 45,34-37 135,-42-25 0,-8-13 45,-1-15 0,-7-6 315,-5-4 0,-6 0-90,-5 10 0,-3 5-45,-11-15-90,-16 67-270,0 75-1574,15-7 0,4 8-675,6 9 1,8 2 494,12-4 0,9-6 1934,4-21 0,3-7 0,16 6 0,-11-36 0</inkml:trace>
  <inkml:trace contextRef="#ctx0" brushRef="#br0" timeOffset="1417">1978 704 7803,'24'-59'7915,"-12"-6"-5037,-14-12-2518,-29 16 720,-32 37-451,-28 65-494,43 6 0,6 11-90,5 8 0,11 4-495,14 2 1,14-4-361,39 18 540,31-60 360,-30-47 0,-2-17 135,0-21 0,-5-11-90,-2-18 0,-6-7-45,-7-1 0,-6-1 89,-7 5 1,-7 4-90,-5 18 0,-8 7 450,-24-11-270,-15 80 0,7 75-136,27-15 1,7 8-90,8 12 0,7 2-315,8-4 1,7-3-181,7-5 0,7-7 90,1-19 1,6-10 89,48-3 180,-5-66 270,-48-6 0,-6-9 314,-7-6 1,-6-2 674,-9-43-539,-14 36-90,-15 49-1620,13 42-3777,8 38 4857,39 16 0,-4-23 0,17-8 0</inkml:trace>
  <inkml:trace contextRef="#ctx0" brushRef="#br0" timeOffset="1884">2954 311 7323,'-7'-23'8725,"0"6"-6180,1 29-1915,14 36 42,13 49-582,-6-45 0,1 0 104,1-2 0,2-5 256,17 3 1281,1-58-1281,2-69-360,-21 21 0,-3-4-540,-2-3 0,-2 2-5936,-1-32 2068,-11 53 4318,-5 43 0,0 5 0,3 11 0</inkml:trace>
  <inkml:trace contextRef="#ctx0" brushRef="#br0" timeOffset="2717">3441 478 2807,'14'-17'9804,"-13"-16"-5679,-10-5-4035,-22 5 1141,-11 33-1051,-1 33 349,10 24-799,22 5 1900,17-15-1630,24-29 89,6-32 451,4-15 0,-3-8-360,-13 21 0,-4 20-90,0 28-180,3 3 90,8-9 0,5-36-90,3-51 135,-20 7 0,-2-7 0,-3-6 0,-3-3 0,-4 2 0,-5 3 44,-10-21-89,-13 62 0,0 64 90,11 56-90,12-32 0,6 1 0,4-2 0,5-3 0,24 31 0,9-52 0,-2-46 0,-2-33-90,-15 0 90,-8 3-89,-12 29 89,-2 21-540,3 8 270,22 6 90,14-14 90,16-8 90,-3 0-899,-16 14-3599,-16 18 4498,-15 16 0,-9-20 0,-2-5 0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3:53.63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69 506 8252,'-30'1'7016,"8"0"-5666,6 4-631,37 6 181,67 11-721,-6-4 1,9-1-600,-20-5 1,2 0-1,1-1-210,3 0 1,0-1-1,-4-3 180,15-1 1,-8-8 269,-25-5 0,-11-9 899,-10-34 631,-56-19-91,-26 4 360,-25-1-1349,30 33-180,28 8 90,89 44-180,-24 2 0,2 5 0,9 6 0,-4 7 0,-11 14 0,-16 6 45,-24-8 0,-12 2-225,-8 2 0,-10-1-2159,-15-1 1,-5-6 2338,-14 8 0,10-16 0,38-31 0</inkml:trace>
  <inkml:trace contextRef="#ctx0" brushRef="#br0" timeOffset="483">1927 296 9512,'4'2'9084,"0"6"-7195,15 47-1349,-4 1-180,6 39-2969,-5-1-989,-5-11 3598,-3-8 0,-6-45 0,-1-12 0</inkml:trace>
  <inkml:trace contextRef="#ctx0" brushRef="#br0" timeOffset="900">1755 379 9062,'-21'-39'7106,"2"1"-6117,27 14-179,64 33-720,-25 4 0,4 6-45,29 19 0,2 9 0,-12 3 0,-6 4-45,-3 4 0,-8 3 224,-13-5 1,-11 0 225,-6 38-180,-42-16-450,-35-16-3058,-17-22-5667,6-36 8905,27-11 0,21-13 0,17 13 0</inkml:trace>
  <inkml:trace contextRef="#ctx0" brushRef="#br0" timeOffset="1083">2516 615 12030,'27'-1'7736,"1"14"-8546,6 24-89,-2 20-5668,-2 11 6567,-10-14 0,-9-18 0,-8-23 0</inkml:trace>
  <inkml:trace contextRef="#ctx0" brushRef="#br0" timeOffset="1233">2553 495 8522,'-28'-31'-1349,"12"5"-66,20 20 0,1 1 0,4 6 0</inkml:trace>
  <inkml:trace contextRef="#ctx0" brushRef="#br0" timeOffset="1500">2710 542 9512,'10'12'6746,"12"10"-5757,6 12-539,16 22-270,-1 6 0,-9 0 359,-17-7-539,-15-39 90,7-47-450,6-15 1,4-8-1350,6-8 0,3-1 1709,6-3 0,-1 5 0,6-5 0,-15 34 0</inkml:trace>
  <inkml:trace contextRef="#ctx0" brushRef="#br0" timeOffset="3200">3400 627 15088,'8'-12'2159,"2"-10"-1349,-5-6-451,-9-5-179,-24 14-90,-17 38-90,4 23-449,14 36-2430,52-8-2518,49-19 4549,14-27 0,3-25 0,-28-11 0</inkml:trace>
  <inkml:trace contextRef="#ctx0" brushRef="#br0" timeOffset="3600">3896 627 8612,'-41'-54'7646,"-1"28"-7286,-1 60-271,30 25 1,44 6-359,38-20 224,-19-37 0,2-14 45,2-20 0,-5-14 359,-5-20 1,-10-10 225,-8-17 0,-11-3 134,-11 3 1,-8 2-271,-6 12 1,-6 9 360,-18-6-361,3 73-269,14 75-630,19-12 1,7 7-1395,6 8 0,4 0-405,4-4 1,2-4 89,-4-21 0,-1-6 1311,6 9 0,-16-36 0,-8-13 0</inkml:trace>
  <inkml:trace contextRef="#ctx0" brushRef="#br0" timeOffset="4233">4245 710 8342,'-62'-50'5217,"2"1"-4227,8 1-631,31 0-179,58 9-90,47-12-45,-28 22 0,2 0 270,-4-2 0,-4-2 494,18-35-89,-40 13-180,-33 14-91,-21 48-179,2 46-225,16-1 0,5 7-45,8 11 0,6 0 45,2-2 0,5-3-45,0-11 0,3-9 90,17 1-90,-6-46 90,-6-29-180,-10-2 90,-4 7 0,6 29 0,1 16 0,9 16 90,3 13-90,-4-19 0,-2-6 450,2-11-270,-13 1 270,5 24-91,-15 13-269,-21 29 0,-25 4-2159,-15-8-3058,1-34 5127,24-48 0,20-23 0,18-18 0</inkml:trace>
</inkml:ink>
</file>

<file path=xl/ink/ink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7:41.56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53 539 8522,'-4'-21'9830,"0"5"-8506,5 8 565,3 38-1080,4 22-539,1 22-90,-1 9 0,-2-21-180,-4-27 0,-8-47 0,-10-61 270,-2-24 584,6 27 1,2-1 134,-2-27-629,3 11 90,14 48-180,10 48-181,13 20-89,27 52 0,-1-13 90,8 0 90,-3-48-90,-21-30 180,3-34 630,-18-22-900,-7 7 0,-5 4 0,-6 50 0,0 19 0,4 40-8006,9 27 630,5 1 6528,4-1 0,-5-34 0,-4-16 0</inkml:trace>
  <inkml:trace contextRef="#ctx0" brushRef="#br0" timeOffset="1084">732 729 10501,'-13'-14'9830,"2"4"-8326,4 9-1055,14 11-539,8 1-90,21 0 90,3-19 810,-2-16 449,-16-16-89,-27-5-451,-27 12-359,-28 26-180,-7 32-629,15 26-2520,37 16-539,52-3 1440,39-17 1798,-21-36 0,4-10 675,1-9 0,-2-9 674,-4-7 0,-5-4 990,19-35-629,-42 8-451,-36 17-449,-23 26-360,-9 30-180,9 26-1259,24 13 269,28-8 720,19-25 900,9-34 1079,-8-26 990,-10-10-1530,-12 5-2518,-6 34-2699,-3 22-359,2 29 1079,-2-4 2788,11-13 2699,1-28 1349,7-23 0,-5-17-270,-5 3-269,-2 4-1800,2 24-449,1 19-630,2 23-90,-4 10-90,-6-10 180,7-25-90,-1-28 360,12-25-180,3-3-90,0 12 0,9 29 0,-8 33 0,3 26-6297,-5 14-3237,5-6 9534,-3-23 0,-8-17 0,-10-16 0</inkml:trace>
  <inkml:trace contextRef="#ctx0" brushRef="#br0" timeOffset="1317">2118 566 8882,'-30'-1'9830,"11"0"-7517,13-6-3482,25 1-4318,37-5 5487,-2 5 0,-9 2 0,-21 3 0</inkml:trace>
  <inkml:trace contextRef="#ctx0" brushRef="#br0" timeOffset="1483">2236 614 8432,'-30'22'9830,"10"-8"-5628,18-4-5551,23-9-3598,21-2 4947,8-3 0,-20 4 0,-7-2 0</inkml:trace>
  <inkml:trace contextRef="#ctx0" brushRef="#br0" timeOffset="2000">3322 3 12120,'-10'-1'9830,"17"-1"-4998,23 7-5552,17-2-4137,39 9 90,-18-4-540,-2-1 5307,-27-4 0,-26-2 0,-5 0 0</inkml:trace>
  <inkml:trace contextRef="#ctx0" brushRef="#br0" timeOffset="2583">3405 33 8432,'-19'0'9830,"3"2"-3019,12 3-5462,3 0 360,18 16-1169,10 7-540,23 19 0,10 4 0,0-2 0,-9-10 0,-19-12 0,-16-6 0,-19-6 0,-16 7 0,-17 7 0,-9 8 0,-2 6 0,7-2 0,13-7 0,11-3 0,25-8 0,24-9 0,28-6 0,12-7-3149,3 0-4496,-9 1 7645,-6-2 0,-28 0 0,-8-3 0</inkml:trace>
  <inkml:trace contextRef="#ctx0" brushRef="#br0" timeOffset="3333">4014 403 9422,'-31'-29'9830,"5"-1"-6078,6-7-3392,26 6 809,26 15-90,20 24-89,6 26-540,-8 18-271,-17 8 1,-19-2-90,-19-7-90,-14-9-449,-3-14-91,0-25 90,15-27 270,11-27 450,18-18 630,8 0 89,1 10-359,-6 21-630,-10 16 0,-14 29 0,-4 17 0,-2 25 0,5 6-1979,15-3 809,15-17 1440,11-28 1439,3-29-539,-6-17-1170,-11 0 0,-12 9 0,-4 31 0,-4 20 0,4 23 0,0 9-5757,1-3-4074,1-9 9680,-3-15 0,-4-13 1,-4-9-1</inkml:trace>
  <inkml:trace contextRef="#ctx0" brushRef="#br0" timeOffset="3516">4472 281 10501,'-7'-13'6566,"-3"0"-6566,-2 3 0,4 3 0,4 6 0</inkml:trace>
  <inkml:trace contextRef="#ctx0" brushRef="#br0" timeOffset="3950">3262 1081 11311,'34'-3'9830,"33"0"-8314,-19 1 0,8 1-887,12-2 1,10 0 0,-2-1-630,20-1 0,1 0-660,-19 0 1,2 1-1,-3-1-1634,12 0 1,-8 0-316,-25 2 1,-6 0 2608,29 1 0,-46 1 0,-21 2 0</inkml:trace>
  <inkml:trace contextRef="#ctx0" brushRef="#br0" timeOffset="5017">3952 1444 17697,'0'10'2159,"0"0"-630,-3 13 450,1 14-1080,1 17-539,2 7 90,1-9 359,-9-49 630,1-38-89,-7-43-1350,7-10 0,8 15 0,13 27 0,16 35 0,22 47 0,12 34 0,-28-27 0,0 0 0,32 28 0,-6-33 0,-10-43 0,-19-43 0,-24-37 0,-26-9 0,-23 6-360,-4 28-9471,10 26 0,15 23 9462,14 10 0,4 7 0,2-4 0</inkml:trace>
</inkml:ink>
</file>

<file path=xl/ink/ink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8:18.16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743 383 9691,'8'-8'9830,"-19"11"-8236,-42 27-874,-22 17-451,9-4 1,-4 3-540,13-7 1,1 1-1306,-5 4 1,3-2-3733,-20 15 5307,25-20 0,30-21 0,11-11 0</inkml:trace>
  <inkml:trace contextRef="#ctx0" brushRef="#br0" timeOffset="334">106 662 8612,'7'-11'9830,"1"-2"-7967,-5 13-1323,-11 20-360,-17 31-90,-8 14 0,-1 2 270,11-16 269,23-9-359,29-20-1079,31-5-3419,22-14 4228,15-8 0,-31-1 0,-7-2 0</inkml:trace>
  <inkml:trace contextRef="#ctx0" brushRef="#br0" timeOffset="1035">1598 358 8882,'7'-30'9830,"-2"9"-7427,-4 14-424,-3 20-990,-1 31-539,3 6-180,2 10 180,3-16-360,-1-25-1,2-37 361,6-52 180,-3 21-1,1-3 136,0-5 0,1 1-765,8-33 0,-7 31 0,0 37 0,3 30 0,7 36 0,3 16-4588,6 26-359,-7-24-4884,7 8 9298,-16-38 0,-2-8 0,-11-19 0</inkml:trace>
  <inkml:trace contextRef="#ctx0" brushRef="#br0" timeOffset="1218">1694 463 9422,'-18'-25'9444,"22"-2"-9714,53-19-2338,8 10-630,15 1 3238,-26 18 0,-29 12 0,-8 2 0</inkml:trace>
  <inkml:trace contextRef="#ctx0" brushRef="#br0" timeOffset="1736">1931 403 10411,'-8'6'7646,"10"2"-6747,21-7-269,28-12-1,5-13-89,16-37-180,-33-6 449,-11-10 181,-29 7-91,-14 22-809,0 23 180,2 43-180,20 46-360,13 19 180,-1-36 0,7-5 0,39 1 90,1-33 0,-24-34 0,-4-13 0,8-45 270,-9-10-180,-34 15 0,-20 48-180,-11 32-3867,-2 45-721,14 11 4678,22 12 0,9-32 0,9-7 0</inkml:trace>
</inkml:ink>
</file>

<file path=xl/ink/ink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8:29.17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123 164 10411,'5'-13'9715,"-12"-3"-9356,-14-6 181,-10 10-450,-3 22 0,9 21-180,15 14 90,21 0 0,20-13 0,12-25 180,2-29 809,-7-19-89,-10-7-540,-12 8-91,-2 17-179,5 28-180,4 14-269,6 15 179,-5-5 0,-5-9 90,-8-13 90,-6-22 0,1-5 0,10-18 0,9 18 0,9 8 0,16 28 0,-5 7 0,4 5 90,-11-15-90,-17-19 90,-9-16 0,-22-18 0,-13 6-90,-8 8 0,-1 34 0,16 17-2339,17 34-2878,41-10-3418,29-3 7787,0-24 0,-1-21 0,-30-4 0</inkml:trace>
  <inkml:trace contextRef="#ctx0" brushRef="#br0" timeOffset="1084">1315 132 7557,'-11'-22'8186,"3"-2"-5880,3-11-237,14 3-152,15 13-568,21 31-884,-4 19-375,3 32-36,-21-6-953,-7-5 809,-8-27 0,4-35 90,-1-15 0,8-22 90,-1 18 0,12 9-180,0 20-180,14 9 270,-10 0 0,2-10 180,-19-12 180,-11-19 89,-21 6-359,-15 2 0,-6 24-90,7 19-180,18 17-269,21 8 269,19-2 90,12-16 180,4-23 180,-4-22-180,-4-12-90,-9 3 0,4 12-90,-5 23 90,5 16-270,-6 13 0,-8 1 180,-10-8 90,-15-15-270,-11-18-1799,1-17-1349,15-12 540,22-5 1799,18 6 2068,10 8 1350,-5 8-1620,-14 7-359,-9 2-2968,-5 6-5038,0 4 7646,1 1 0,-7 1 0,-4-3 0</inkml:trace>
  <inkml:trace contextRef="#ctx0" brushRef="#br0" timeOffset="1284">2343 71 8252,'-6'-2'869,"3"0"1,1 5 0</inkml:trace>
</inkml:ink>
</file>

<file path=xl/ink/ink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5:54:03.41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2207 801 9332,'-19'-21'9804,"1"3"-8545,29-2-719,34 6-405,3 6 0,6 2-810,14-1 1,1 0-721,2 0 1,-1 0 90,-4 0 0,-4-2 44,32-10 1081,-37-4 1438,-33-20 630,-40 3-180,-29-6-900,-9 17-359,7 14-270,43 17-90,57 20-90,19 17 0,-28-13 0,-5 5 0,-3 37-720,-51 6-1978,-23-9 2698,-9-8 0,22-32 0,13-10 0</inkml:trace>
  <inkml:trace contextRef="#ctx0" brushRef="#br0" timeOffset="434">3702 728 11221,'13'-1'6206,"-5"17"-5756,-2 15-180,-3 35-1,3 12-179,0-19 0,3-35-90,-8-113 45,0 33 0,-1-6 135,-2-29 0,0-3 494,0 19 1,1 5 765,1-28-631,8 54 360,20 108-989,10 28-495,-8-11 1,2 5-2610,-1-8 1,0-4-1,-4-11 1,-2-6 2075,14 23 0,-25-56 0,-10-20 0</inkml:trace>
  <inkml:trace contextRef="#ctx0" brushRef="#br0" timeOffset="1184">3960 873 9512,'-72'-46'7195,"22"11"-7195,44 13 180,47 13-90,41 9 90,10 10 180,-7 8 270,-20 5-450,-19 0-91,-18-7 91,-7-5-90,-1-20-90,1-18 90,9-18 270,-3 0-270,-1 29-90,-4 38-1259,5 31-90,17 9 449,19-19 450,19-29 1170,-4-39 899,-15-26-540,-31-13-719,-27 13-180,-30 28-720,3 29-989,3 35 450,24 4 719,13 6 540,8-14 270,5 0-270,3 28 44,-12-10 1,-2 7 405,3 11 0,-2 3 179,-3 1 1,-5-1-406,-5-13 1,-11-8-315,-32-1-2788,-51-62-496,39-16 1,3-7 3193,3-2 0,4-1 0,-4-17 0,34 30 0</inkml:trace>
  <inkml:trace contextRef="#ctx0" brushRef="#br0" timeOffset="1834">5827 789 10771,'-12'-44'6386,"-8"12"-4677,-24 19-1169,16 39-180,17 44-315,22-20 0,10 2-90,6 3 0,5-2-45,1-7 0,4-8 0,31-5 90,-21-67 0,-33-19 0,-13-15 0,-7 1 0,-8-6 0,-2-1-91,-2 0 0,-2 0 0,-2 0 121,-2-2 0,-2 0 0,5 5-30,0-6 0,12 9 0,34-16 180,63 69-45,-21 45 0,-2 21-45,-3 19 0,-9 15-60,-19-11 0,-5 7 0,-7 1-101,-9 2 0,-7 1 0,-1 1-169,-3-1 0,-1 0 1,-1-1-271,1-10 0,1-1 0,0-4 237,2 16 1,1-8 722,-4 23 539,-23-63 360,-24-50-629,-12-37-900,10-21-3017,33-14-1719,30 34 1,7 1 4028,16-22 1,23-2 0,-28 41 0</inkml:trace>
  <inkml:trace contextRef="#ctx0" brushRef="#br0" timeOffset="2684">6999 355 11221,'6'-7'8095,"2"16"-7645,7 32-1,1 28-269,3 15-90,-3-3 0,-5-27-90,-3-36 0,-8-55 0,-1-34 90,-1-22-90,3 9 0,7 25 180,1 26 90,20 25-180,-1 23-90,16 14 90,-5 2-90,0-12 90,1-28 629,1-24-89,-6-8-270,-7 5-180,-5 29-90,-10 26-90,10 29-360,1 6 180,7-4 90,18-20 270,-10-23 629,9-10-359,-23-5-90,3 8-270,-17 21-4408,2 18-5513,-6 10 9005,-2-10 1,-2-16 0,-1-17 0</inkml:trace>
  <inkml:trace contextRef="#ctx0" brushRef="#br0" timeOffset="2817">7834 283 10141,'9'1'-742,"-3"-2"0,5 10 0,-6-6 0</inkml:trace>
  <inkml:trace contextRef="#ctx0" brushRef="#br0" timeOffset="4083">8210 384 10951,'23'-5'7286,"-14"-7"-7107,-33 7 451,-16 13-360,-13 28-270,14 23-900,19 12-89,27-7 539,24-26 360,14-34 720,2-41-90,-7-36-450,-24 25 0,-4-3-45,-3-7 0,-3-2 269,-3 3 1,-2 0 225,-4-43-180,-2 35-1,-6 31 271,3 45-270,-1 32-180,5 32-1080,5-6 1,4 6-1125,5-8 0,3 1 540,4 9 0,9-3-270,17-10 0,9-10 1349,-5-21 0,3-8 855,4-1 0,2-11 2248,39-35-89,-40-23-720,-12-14 179,-43-10-1078,-27 26-630,-18 12 0,-20 53-630,24 30-900,12 19-539,53 7 1350,20-48 988,15-25 271,-3-73-676,-31-5 1,-5-9-45,0 3 0,-3-3 120,-5 14 0,-2-3 0,-3 6-31,-1 7 1,-5 7 180,-19-14 90,-13 85-270,-8 53-180,26-25 0,5 5-405,9 23 0,9 2-270,11-13 1,7-4 134,5 5 0,8-8 135,16-15 0,6-14 225,-10-20 1,-1-10 313,7-11 1,-5-12 135,-14-13 0,-9-7-45,-6-7 0,-8-3-91,-9-1 1,-9 2 45,-23-28-180,-24 47 0,-2 66-630,20 49-495,28-25 1,11 1 404,11-5 1,9-4 359,37 17 1620,6-49 359,-16-41 269,-21-17-1798,-24 39-3328,-2 32-4138,16 60 6438,18-10 0,10-13 0,-7-30 0</inkml:trace>
  <inkml:trace contextRef="#ctx0" brushRef="#br0" timeOffset="5950">4258 2337 9332,'-22'-43'8455,"11"-11"-8095,26 14 629,30 11-449,33 45-405,-34 10 0,-3 10-90,-1 9 0,-6 6-45,-8 1 0,-9 1 90,-11 43-90,-30-28 0,-20-31 89,1-39-89,21-40-89,40-38 44,7 31 0,7 0 90,9-3 0,3 3-45,0 7 0,0 3 0,31-20 449,-29 26-179,-21 22 540,-30 40-91,-9 27-359,-10 33-270,8 6-450,19-7-1349,29-25 540,34-31 719,24-32 360,1-22 990,-19-14-91,-32 8 900,-23-6-989,-15 18-450,-5-6-180,1 10-90,9 4 0,12 2 0,20-1 0,4 2-90,2 3 90,-19 18 90,-21 18-180,-17 10 180,-6 0-90,10-16-90,32-22 90,26-11 0,29-5-90,-3 11 90,-17 12 359,-29 24 1,-39-1-90,-39 6-810,-36-20-1259,32-18 0,-2-4-855,3-6 1,3-2 2653,-18-13 0,32 4 0,28 7 0</inkml:trace>
  <inkml:trace contextRef="#ctx0" brushRef="#br0" timeOffset="6283">5881 2106 9691,'-11'-31'9830,"2"11"-7786,-2 24-965,10 33-629,10 41-2969,12 18 45,-7-46 1,0-1 2473,14 36 0,-12-39 0,-6-19 0</inkml:trace>
  <inkml:trace contextRef="#ctx0" brushRef="#br0" timeOffset="6433">5899 2481 11670,'-21'-22'5127,"10"0"-5666,30-15-3329,29 0 3868,23-4 0,-8 13 0,-13 10 0</inkml:trace>
  <inkml:trace contextRef="#ctx0" brushRef="#br0" timeOffset="7300">6406 2219 10141,'-32'-35'6746,"-3"0"-6566,1-1 0,14-1 90,22 0 270,26 4-270,21 9 179,13 19 181,-3 26-270,-13 27-180,-22 23-180,-20 6 90,-15-6-90,-6-20 0,1-22-90,7-47 90,20-36 0,2 8 0,3-5 90,4 1 0,1 2 269,18-34 271,-15 34-450,-15 50 0,-7 33-90,1 35 0,3 4-90,22 6 0,0-35 0,26-18 0,-10-45 90,5-20 89,-16-3 91,-14 10-270,-8 25 90,-5 23-90,4 15 90,5 8-90,1-13 180,14-23 720,-10-14-181,8-13-989,-13 33-3058,-3 19-1619,-2 39 4947,0 3 0,-4-28 0,-1-13 0</inkml:trace>
  <inkml:trace contextRef="#ctx0" brushRef="#br0" timeOffset="7766">4666 3397 9602,'-6'-7'9714,"12"-2"-6656,66-30-2923,12 5 0,17-1-498,-35 13 1,5 1 0,3-1 0,3 2 429,14-2 1,5 1 0,2 1-1,-3 2-45,-5 4 1,-1 1-1,-1 1 1,-1 3-40,-3 1 0,-1 3 1,-2 0-1,-3 1 47,8-1 0,-3 2 0,-3-1 13,-10 0 1,-2 0-1,-3-1-1122,13-2 0,-6-2-1530,-18 2 1,-6 0 2608,10-3 0,-29 4 0,-21 5 0</inkml:trace>
  <inkml:trace contextRef="#ctx0" brushRef="#br0" timeOffset="8266">6254 3508 7982,'1'69'4915,"0"-1"0,51-27-3848,-75 38 0,2-10-1067,81-67 0,-1-11 0,6-3-180,-1-2 0,2-2-585,12-2 1,-1-1-406,-14 4 1,-3 1-1755,-4 2 1,-6 2 2923,6 0 0,-25 7 0,-20 2 0</inkml:trace>
  <inkml:trace contextRef="#ctx0" brushRef="#br0" timeOffset="10666">5760 3476 10501,'-3'-14'7466,"4"1"-7017,13-1 181,35-6-225,3 6 0,6 3-270,-5 1 0,1 2-1,18 1 1,-1 7-45,17 16-90,-11 18 0,-29 14 0,-26 15-90,-23-1 90,-16 0 0,-19-6 90,-9-8-90,1-9 90,-7-4 180,13-13 450,1-4 269,14-3-359,12-3-91,26-3-179,30-2-270,39-6-45,-23-4 0,3-2-45,8-3 0,2-2-90,0-2 0,-2-1-900,-8-2 1,-3 0-2339,31-14-1709,-31 6 5037,-25 7 0,-22 9 0,-8 3 0</inkml:trace>
  <inkml:trace contextRef="#ctx0" brushRef="#br0" timeOffset="13183">4545 2095 7803,'-11'-4'7285,"-4"-2"-6655,-62-21-495,23 13 0,-6 1-45,-20-2 0,-5 2-90,-6 3 0,0 2 90,11 5 0,4 1 45,14 3 0,6 0 134,-20 0 1,33 0 270,8 1 359,14 20-179,1 22 269,8 43-629,10-22 0,4 7-90,3 17 0,2 7-255,-1-17 0,1 3 0,1 1 75,1 4 0,0 2 0,2 0-60,2 7 0,1 1 0,2-1 0,0-10 0,1-1 0,3-1 0,0-5 0,4-1 0,3-5 0,3-7 0,5-4 0,1-6-30,11 6 0,7-10-540,21-7 1,9-13-841,-17-20 1,3-8 0,3 0-360,12 0 0,3-1 0,3 0 1442,-13-2 1,3-1 0,0 0 0,-5 0 0,6 1 0,-5 0-1,0-1 1,-6 0 0,-1-1 0,1 1 0</inkml:trace>
  <inkml:trace contextRef="#ctx0" brushRef="#br0" timeOffset="13883">7523 2230 8522,'-8'-46'5487,"11"3"-4228,32-19-629,10 15 719,13-3 90,-13 20-449,-16 10 89,-6 13 180,-6 34-359,12 49-675,-9-11 0,2 9 74,-4-11 1,2 4 0,1 3-394,2 12 1,0 3 0,0 3 182,-3-14 1,-1 2 0,0 1 0,-1-1-30,5 22 0,-2-1 0,-1 1 0,-1 1 0,-1-1 0,-3-4-14,-4-20 0,-3-4 1,-3-3-47,-1 21 0,-10-9-585,-11-23 1,-12-10-2160,-28-14 1,-13-12-945,-10-12 0,-4-8 3688,0-4 0,3-4 0,14-2 0,7 0 0,-6-3 0</inkml:trace>
  <inkml:trace contextRef="#ctx0" brushRef="#br0" timeOffset="260142">17 3958 8432,'-8'-14'7916,"0"-3"-5398,8-12-2338,12 5 900,17 8-271,13 18-269,2 21-270,-9 19-91,-15 9-89,-18 2-90,-18-11 0,-5-12 0,-5-16-90,20-24 90,17-16 0,19-15 0,14-7 90,1 2 1350,-5 6 1348,-11 11-1169,-28 29-809,-9 18-810,-11 29 0,11 9-990,18 4-5126,17-13-451,19-17 6567,5-24 0,-7-12 0,-7-7 0</inkml:trace>
  <inkml:trace contextRef="#ctx0" brushRef="#br0" timeOffset="261201">756 3982 10141,'1'-12'9445,"2"5"-9085,14 15 899,13 22-989,3 8 0,12 16-180,-14-18-1,-1-4-89,-10-19 0,3-28-89,-6-7-3240,7-24 3329,-11 14 0,-5 7 0,-4 14 0</inkml:trace>
  <inkml:trace contextRef="#ctx0" brushRef="#br0" timeOffset="262776">577 3665 8702,'-18'3'1169,"-15"12"-989,-21 17 180,-14 11-180,1 1 0,14-9 809,18-11 1,14 0 269,5 10-539,4 18-361,7 8-269,10-3 90,17-22 900,15-31 269,0-32-90,-16-21-629,-30-1-360,-36 23-270,-15 27-270,-8 41-540,35 8 181,29 13 449,40-27 450,19-26 629,-7-29 1,-22-20-631,-26 3-179,-37 15-1979,1 29-3418,4 20 5307,33 5 0,5-8 0,11-13 0</inkml:trace>
  <inkml:trace contextRef="#ctx0" brushRef="#br0" timeOffset="263494">1210 4000 10771,'-15'-21'7016,"-22"2"-6656,-8 14-91,-8 7-89,11 17-270,25 14 0,13 0 1,26 2 89,9-29 0,8-13 539,1-24 451,-10-5-361,-6-5 1,-11 6 90,-6 0 179,-4 9-899,-1 4-8005,-2 5 4227,-3 13 3778,1 4 0,-1 4 0,1 1 0</inkml:trace>
  <inkml:trace contextRef="#ctx0" brushRef="#br0" timeOffset="264761">1336 3964 10231,'2'-10'4947,"-2"1"-3418,-6-5-539,-3 3-810,-3 3 90,-3 12-90,2 14-91,1 8-89,4 3 0,7-1 0,3-9 0,7-1 360,-1-13 540,3-1-271,-2-6-359,-1-1-270,1 1 0,0 2 0,3 0 90,4-3-90,6-11 0,0-14 0,0-21 360,-8-14 450,-7-4 269,-6 6-809,-3 22-180,-7 24 90,2 32-180,3 30-90,13 28-450,16 8 0,13-8 360,8-28 270,1-36 630,-5-35 1079,-12-20 90,-11-3-810,-11 5-899,-6 40-450,2 12-539,3 29 269,4-5 270,9-14 270,2-24 270,4-20 360,-3-12-271,-6 4-359,-5 17 90,2 25-359,0 15-271,7 11 270,-2-10 180,10-18 0,-2-21 90,2-12-90,3-14 90,-8 13 90,13 6 0,-10 23 0,5 16 180,-11 12-90,-12 3-270,-15-4-5757,-33-6-3984,-19-13 8045,3-4 0,-1-6 1,28-2-1</inkml:trace>
</inkml:ink>
</file>

<file path=xl/ink/ink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6:08:55.93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159 157 7713,'-4'-19'8095,"-6"0"-5397,-9 5-1618,-15 29 359,-8 42-540,8 30-674,22-33 0,9 1-945,10-4 1,11-4-3778,46 25 4497,-14-51 0,4-9 0,26-4 0,4-21 0</inkml:trace>
  <inkml:trace contextRef="#ctx0" brushRef="#br0" timeOffset="601">696 297 13919,'-11'-1'4497,"1"4"-3237,3 25-721,6 13-269,8 20-180,8 2 0,3-10 0,-3-18-180,-24-47 90,-18-45 0,6 10 0,-1-5-45,2-3 0,3 0 45,1-38 0,25 29 0,24 31 270,19 29 270,6 24 449,-8 17-179,-24 7-450,-32 3-1440,-28-2-3777,-11-9 4857,7-10 0,16-14 0,15-8 0</inkml:trace>
  <inkml:trace contextRef="#ctx0" brushRef="#br0" timeOffset="3583">866 319 10051,'11'-11'9830,"0"5"-8956,17 11-334,3 18-360,10 18 0,-9 6-90,-11-6 0,-12-13-180,-17-30 0,3-21 0,0-20 90,16-4 0,11 9 0,3 15 0,9 11 0,2 9 0,-8 3 180,-2 2-180,-23-3 90,-18 5-180,-6 10 90,-9 15 0,16 14-90,18 4-180,21-9-90,23-16 180,19-21 90,-3-10 90,3-10 0,-32 3 0,-6 2 90,-15 2-90,-7 3 0,-1-3-90,-5 3 180,-3-1-90,0 1 0,-1 0 0,2 0 0,-2-1 0,1-6 0,0 2 0,0-2 0,0 5 0,0 2 90,-1 1-90,1 0 0,-1 0 0,0 0 0,0 0 0,1-1 90,-1-14 270,3-2 809,2-24 810,3 2-810,1-2-719,-3 17-360,-4 25 90,-2 44-180,0 14 0,1 10 45,2 22 0,2 5-45,2 11 0,4 1-45,3 0 0,5-5-90,2-19 0,4-7-135,-1-13 0,2-7 1,15 16 89,-10-46 0,-27-51 180,-30-50-45,3 31 0,-5 0 45,-3-1 0,-2 3-90,-24-21-90,20 32-270,23 17-449,32 1 449,23-4 180,28-25 180,3-23 90,-39 28 0,-4-2 180,-6-1 0,-5 0 450,-4-33-450,-12 24-91,-6 21 91,-5 37 0,6 43-135,3 3 0,2 6 0,5 13 0,3 4-45,1 5 0,3 0 0,2-10 0,1-5-45,-1-10 0,2-5-674,11 17 179,-8-28 450,-7-29 0,-20-38 360,-12-27 90,-14-13-90,1 7-360,10 24-450,18 13-629,20 10 449,17-3 450,11-3 180,-2-7 720,-11-3-270,-14 1-270,-12 11-1,-13 14-178,-1 18-271,3 8-450,9 4 91,11-4 539,9-11 270,0-12 809,1-11 1,-5-2-361,-1 6-89,8 19-270,-1 15-90,7 15 0,-8-4 0,-6-8-90,-16-15 0,-5-22-90,-4-14 0,5-9 0,10 2 0,6 15 90,6 9 90,7 9 0,3 1 90,1-4 629,-9-8-89,-16-7 269,-24 1-629,-11 15-540,-6 19-2968,13 23-1709,19 12 1349,20-5 719,37-6 3599,9-29 1259,9-18 1978,-5-42-1258,-28-2-1260,-11-3-90,-29 17-1079,-13 44-180,-8 20-990,8 28-809,13 0-270,22-4 1620,5-32 269,3-19 449,-7-55 181,-15-1 0,-5-5 134,0 7 1,-1 0 179,-5-13 1,-3 5 1033,-7 7-1438,-3 40-810,5 60-2878,12 8 0,7 8 899,1-3 0,5 2 2249,14 17 0,3-6 0,10 0 0,13-8 0</inkml:trace>
  <inkml:trace contextRef="#ctx0" brushRef="#br0" timeOffset="4700">3036 550 11311,'-8'-54'8815,"-15"6"-8726,-8 36 91,-3 14-90,16 41-629,21 0-631,21 15 361,11-24 719,-3-18 90,-6-30 360,-23-41-181,-9 2 1,-14-10 0,2 39-90,2 22-180,14 22-270,13 13-179,12 0 359,10-13 90,4-19 360,2-22 449,-2-10 181,-2 0-360,-3 15-181,-2 16-179,1 19-90,-10 0 0,2 5-270,3-24 180,-1-6-90,9-21 0,-12 0 90,-2-1 0,-7 16 0,2 10 0,1 11 0,3 5 0,-2-6-90,-7-9 90,-17-13 90,-8 0-180,-8 0 0,5 15-629,14 14-810,15 5 629,12-2 1890,6-10 899,-2-10-450,-2-3-810,1 10-179,4 15-270,5 16-360,-3 11 180,-10-11 90,-9-23 0,-5-34-1169,6-29-2879,8-13-5873,8 4 9680,-8 23 0,-7 16 1,-11 16-1</inkml:trace>
</inkml:ink>
</file>

<file path=xl/ink/ink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6:09:03.99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27 91 11131,'-5'-18'7106,"1"1"-6747,0 27 1171,1 16-901,0 22-179,0 35-360,1-8-90,2 12 0,0-22 0,2-19 0,2-13 0,-1-22 0,0-28 0,-2-20 0,-4-60 0,-1 2 0,1 42 0,1 0 0,0-38 0,1 40 0,5 8 180,9 40 180,17 34-181,16 37-134,-18-25 0,0 1 45,27 36 0,-13-27 0,-2-41-90,-15-32 0,3-55 0,-14 5 0,-2-11 1439,-6 34-1079,1 33 989,3 26-629,9 39-540,1 15-1080,3 8-4137,2-6-2069,2-14 7106,-1-14 0,-8-16 0,-8-17 0</inkml:trace>
  <inkml:trace contextRef="#ctx0" brushRef="#br0" timeOffset="1016">636 397 9691,'-6'-21'6297,"-1"3"-5398,1 21-629,5 8-90,11 9-90,23-4 0,3-12-90,14-23 720,-14-27-181,-13-2-89,-20-12 0,-31 35-360,-8 23 0,-12 36-90,19 18-990,24 13-1708,36-7 1079,30-14 1079,15-23 1439,-2-29 721,-17-34-721,-26-2-269,-22-10-450,-20 30-90,-10 17-1,0 23-89,8 19-989,15 6-1530,19-3 721,12-15 1348,6-21 1169,0-26 721,-6-16 89,-8-4-360,-9 15-449,0 18-181,-3 22-269,6 11-90,-1 5-90,-5-7 0,1-9 270,-1-24 629,4-10 270,2-12 271,0 9-721,1 15-179,1 18-450,-1 15-180,3 7 0,2-3 0,0-9 0,10-10 0,-5-8 0,2 0-1709,-7 5-3598,-7 8-1080,-2 8 6387,-4-1 0,-5-6 0,-2-7 0</inkml:trace>
</inkml:ink>
</file>

<file path=xl/ink/ink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6:09:12.12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1 263 8702,'1'5'9830,"1"5"-7517,6 38-1503,8 12-451,14 11-359,17-15 0,15-38-90,2-38 180,-12-27 360,-20-9 90,-19 8-270,-9 17-180,0 20-180,6 22-180,8 7 0,6 4 90,13-15 90,-8-13 90,2-9 0,-12-6-90,-7 4 90,-3 6 0,5 15-180,5 14-179,12 5 179,7-8 180,1-15 90,-8-20 539,-16-14 181,-21-2-360,-21 10 179,-11 25-359,2 27-810,16 20-3058,27 7-629,34-11-1800,45-21 6027,-3-18 0,2-13 0,-30-1 0</inkml:trace>
  <inkml:trace contextRef="#ctx0" brushRef="#br0" timeOffset="1900">1423 225 7982,'4'-15'7916,"-4"-3"-7017,-2-12 1080,-3-8-180,-2-5 180,1 1 270,0 11-1530,2 23 361,5 28-361,3 43-449,4 11-225,-2-25 0,1 1-225,7 28-180,-1-22-89,9-37 179,0-44 180,8-20 90,11-17 0,-4 24 90,2 17-180,0 42-360,-3 16-449,8 7-1,20-11 630,-2-26 270,2-14 540,-16-29-90,-30 4-90,-18-10-91,-23 25-179,-15 19-269,-2 23-991,13 18 1,22-8 89,25-6 631,15-29 539,-1-9 989,1-18 450,-17 5-180,-2-2-1079,-6 14 0,4 17-180,-2 10-180,8 13-270,-1-8 270,6-10 90,0-18-90,0-17 270,-4-9 90,-5 2 540,0 12-720,-4 18 0,5 15-180,2 10-450,8 1-90,8-8 360,4-16 181,0-17 178,-6-12 181,-8-4-270,-10 15-270,-4 13 91,4 12-271,13-5 270,11-10 270,3-11 450,-12-4 539,-27-2 180,-30 17-179,-29 18-1080,-2 25-360,20 15-4677,52-1-1260,50-21 6297,30-23 0,-19-12 0,-13-10 0</inkml:trace>
</inkml:ink>
</file>

<file path=xl/ink/ink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6:09:09.963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0 224 8522,'5'-20'8275,"-1"6"-6116,0-7-1619,-10 34-90,1 24-270,4 31-180,16 14 0,22-18 89,20-29 1,14-42 0,-4-36 630,-15-13 629,-22 3-539,-19 18-361,-12 38-269,5 18-180,14 19 0,22-11 0,23-24 180,-1-30 90,-17-29 90,-35-17-270,-38 4-1709,-24 20-3238,-6 34-4974,19 30 8652,18 2 0,17 0 1,5-14-1</inkml:trace>
  <inkml:trace contextRef="#ctx0" brushRef="#br0" timeOffset="1216">717 33 9332,'-2'-14'9084,"0"0"-8544,4 10 1079,6 26-989,4 25-405,-2 6 0,1 4-135,-3-7 0,0 0-90,0 4 0,-1-3-360,2 13 360,1-54 0,1-21 90,14-44 180,-1 7 449,5 4 1,1 37-360,-6 25-360,6 16-360,6 10-720,17-11 631,1-17 179,21-36 360,-36-16 809,-11-28 450,-50 14-899,-12 16-180,-22 25-1709,23 38-1440,18 6-1438,37 10 179,35-23 3689,3-14 2158,11-28 2068,-25-18-1438,-15 6 2069,-12-4-3149,-12 41-719,-1 10-451,0 33-808,-2-9 179,-1-4 450,5-31 90,5-26 360,14-20 540,17-10-91,7 15-449,6 26-3149,-9 31-3867,-8 23 6656,-14 6 0,-11-18 0,-9-11 0</inkml:trace>
</inkml:ink>
</file>

<file path=xl/ink/ink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6:09:16.14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208 569 9332,'-47'-21'9084,"-6"12"-8724,-3 31 990,15 29-631,30 35-359,44 6-315,1-49 0,9-9-45,11-11 0,5-12 45,4-11 0,-1-12 0,-4-10 0,-7-8-45,13-44 270,-64-22 224,-23 50 1,-12 3 134,-9 2 1,-8 8-315,-3 14 0,-1 12-270,5 15 0,4 9-2294,-17 39-2158,42 14-2429,56-15 6836,15-21 0,10-17 0,-17-15 0</inkml:trace>
  <inkml:trace contextRef="#ctx0" brushRef="#br0" timeOffset="749">611 573 9422,'-4'-14'9830,"-2"15"-6978,2 18-2312,5 33-450,14 23-540,13-6-269,14-23 539,5-42 180,-5-39 899,-11-24 1260,-15-3-630,-10 16-989,-8 30 89,3 41-449,6 28-719,12 17-181,9-11-89,22-25 629,-2-40 450,2-36 719,-22-38 630,-24-18-899,-20 3-720,-9 25 0,-4 36 0,7 40 0,11 39 0,14 21-270,8-15 0,4 0-7376,14 24 1170,4-4 6476,-8-43 0,-14-18 0,-3-10 0</inkml:trace>
  <inkml:trace contextRef="#ctx0" brushRef="#br0" timeOffset="949">1007 663 8792,'-34'-8'9830,"3"2"-5898,19 2-3662,22-5-1439,48-17-3239,3-1-1259,9-3 5667,-35 15 0,-20 10 0,-11 4 0</inkml:trace>
  <inkml:trace contextRef="#ctx0" brushRef="#br0" timeOffset="1549">1155 768 11670,'-11'20'8276,"11"0"-7197,20-4-809,8-9-180,29-22 90,7-33-90,-9-10-45,-27 13 0,-8-6 1304,-17-49-270,-12 16-269,-19 6 719,-3 57-900,3 25 1,4 40-360,23 22-450,20 12-719,23-8-720,10-22 629,3-28 540,-9-31 900,-15-22 1349,-15-13 270,-13 1-1619,-6 15-450,-4 26 0,6 26-720,1 23-6926,9 9 7646,3-3 0,-5-22 0,-1-11 0</inkml:trace>
  <inkml:trace contextRef="#ctx0" brushRef="#br0" timeOffset="1682">1601 531 10141,'-22'-41'1034,"2"8"1,6 14-1,6 11 1</inkml:trace>
  <inkml:trace contextRef="#ctx0" brushRef="#br0" timeOffset="2349">1712 515 9691,'7'4'9830,"-1"1"-8236,-1 2-1954,6 9-1799,5-3 1440,10 0 449,1-16 1169,-7-17 271,-15-12-271,-18-4-179,-17 11-450,-7 18-90,5 24-540,19 17-989,23 11-1,20-3 631,10-11 539,0-19 180,-8-22 450,-7-17 629,-4-8 270,6 0-269,8 13-181,8 19-269,0 21-360,-10 16-91,-12 9 811,-17-3-91,-16-14-449,-10-20-90,-1-26-810,9-27-2878,15-16-2429,13-3 5757,11 12 0,-10 26 0,-1 13 0</inkml:trace>
  <inkml:trace contextRef="#ctx0" brushRef="#br0" timeOffset="2649">2404 40 8432,'-6'-19'9830,"1"6"-5448,5 5-2853,14 33 630,17 47-1754,-11-8-1,-1 8-809,-1 8 1,-3 3-1845,-4 9 1,-6 0-811,-9-14 1,-6-5 3058,-3-15 0,-3-7 0,-16 15 0,0-33 0</inkml:trace>
</inkml:ink>
</file>

<file path=xl/ink/ink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6:16:05.323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324 156 9512,'-9'0'8635,"-4"0"-6387,8-8-1978,11-8 630,21-6-271,16 5-269,11 19-90,-8 22 0,-11 16 90,-21 10-1,-20 3-89,-12-7-180,-5-13-180,5-23 90,13-19 0,13-12 0,15 3 0,10 11 90,6 18 90,0 19 899,-7 15 1080,-13 6-1079,-20-2-1080,-23-11 0,-22-16-3778,-21-23-2788,-2-20-3265,10-12 8652,25 8 0,19 7 1,14 15-1</inkml:trace>
  <inkml:trace contextRef="#ctx0" brushRef="#br0" timeOffset="300">662 24 9062,'73'31'9830,"-2"15"-6078,-9 33-4382,-20 13-2338,-28 5-2519,-37-9 5487,-28-24 0,0-23 0,-2-22 0</inkml:trace>
  <inkml:trace contextRef="#ctx0" brushRef="#br0" timeOffset="616">209 95 9152,'-1'-35'8635,"0"12"-4587,-19-14-1710,-17 44-899,-15 19-405,18 15 1,6 10-675,9 2 0,8 3-270,5 10 0,13 0-2159,27-2 0,13-7-1529,0-15 0,4-7 3598,11-2 0,0-10 0,13-8 0,-21-12 0</inkml:trace>
  <inkml:trace contextRef="#ctx0" brushRef="#br0" timeOffset="1633">1879 334 9062,'-2'-13'9624,"-2"7"-8095,0 9-449,3 25-451,8 29-449,2-2 0,6 7 270,-5-28-360,-5-17 0,-8-32 180,-15-49 449,2 0 181,-5-19-91,11 36-629,7 19 630,14 22-181,25 39-449,8 5-90,24 15 0,-10-28 0,5-23 0,-11-32-90,-12-29 810,-17-15-720,-13 4-90,-8 14 0,-4 32 0,0 30 0,3 37 0,8 37 0,-1-31 0,2 3 0,1 5 0,2-1-1530,1-5 1,0-2-5936,11 32-2366,-4-25 9545,-8-25 0,-6-17 1,-6-12-1</inkml:trace>
  <inkml:trace contextRef="#ctx0" brushRef="#br0" timeOffset="2016">2499 527 9691,'-15'-14'9830,"5"21"-5538,15 21-5011,11 14 179,11-9 360,7-16 900,1-26 1259,-9-25 0,-13-21-810,-22-7-899,-20 11-2069,-20 25-3688,-6 31-360,14 21 5847,21 6 0,15-12 0,12-8 0</inkml:trace>
  <inkml:trace contextRef="#ctx0" brushRef="#br0" timeOffset="2733">2871 464 10321,'-29'-72'9830,"-3"21"-4459,-3 55-5191,5 33-180,13 24-90,19 14-809,21-11-270,13-23 539,9-36 360,2-45 540,-5-40 179,-24 26 1,-5-3 315,-3-1 0,-5 2 764,-5-42-450,-14 33-449,-9 42-540,2 45-90,9 45 0,19 31 0,5-43 0,4-1-315,4-5 0,4-5-1124,28 16 719,4-40 540,-5-37 360,-15-19 1979,-14-24-1529,-20 12-630,-12 5 0,-10 32 0,-5 32 0,9 31 0,18 24-5487,21-2-1529,26-16 7016,5-32 0,-8-18 0,-8-15 0</inkml:trace>
  <inkml:trace contextRef="#ctx0" brushRef="#br0" timeOffset="2933">3526 242 9691,'-16'-10'9830,"4"3"-16781,1 1 6951,8 8 0,1-3 0,2 4 0</inkml:trace>
  <inkml:trace contextRef="#ctx0" brushRef="#br0" timeOffset="3083">3590 539 11490,'-17'18'1034,"3"-5"1,3-4-1,4-5 1</inkml:trace>
  <inkml:trace contextRef="#ctx0" brushRef="#br0" timeOffset="4150">4238 892 14908,'-13'-8'3868,"2"4"-2608,8 11 269,5 18-180,8 18-540,6 16-359,2 3-270,-2-9 0,-4-15-990,-5-15-6206,-2-9 4138,-2-12 2878,0-9 0,-1 1 0,-1-3 0</inkml:trace>
  <inkml:trace contextRef="#ctx0" brushRef="#br0" timeOffset="4733">4506 931 8072,'0'-34'9715,"-1"10"-7287,1 1-1348,-4 28 269,-6 26-809,-9 33-270,-7 26-1440,-4 6-2338,6-20-4137,9-27 7645,14-30 0,1-14 0,6-8 0</inkml:trace>
  <inkml:trace contextRef="#ctx0" brushRef="#br0" timeOffset="5933">4655 1126 8612,'-2'-36'9830,"-8"16"-7157,-18 27-2673,-2 23 0,15 3-180,8 2 0,24-5 180,8-20 0,6-8 450,2-22-90,-11 1-90,-4 1-1,-5 16-269,-5 10 0,4 8-180,0 1 1,4-6 89,4-14 90,5-29 0,-5-13 90,-2-38 719,-17-14 181,-6 16-361,-11 4 181,-5 59-361,3 27-179,4 50-270,23 37-629,10-5-181,17 3 270,-1-53 271,4-28 269,-4-39 0,-6-26 719,-7-8-179,-11 10 90,-6 21-451,-4 30-89,0 17-90,4 19-180,9 0 91,11-11 89,9-21 0,0-23 179,-6-16 631,-10-6-360,-10 10-450,-3 30-90,2 17-360,7 18 0,11-9 270,14-19 90,6-23 180,-5-18 360,-13-9 270,-20 2 539,-14 15-629,-13 18-630,3 28 0,4 23-2969,20 16-4406,16-1 7375,17-16 0,-16-20 0,0-14 0</inkml:trace>
  <inkml:trace contextRef="#ctx0" brushRef="#br0" timeOffset="6699">6125 910 10771,'-5'-5'9830,"3"9"-4099,6 10-5191,6 17-810,9 5-540,6-2 1,7-16 539,4-22 360,-4-17 719,-5-9-269,-12 7-450,-5 17 0,-3 20-90,9 14-270,12 4 90,12-10 180,7-20 450,-10-20 180,-19-19-361,-31-8-359,-25 6-2608,-12 14-2339,8 19-360,25 20 5397,36 1 0,-5-2 0,12-7 0</inkml:trace>
  <inkml:trace contextRef="#ctx0" brushRef="#br0" timeOffset="6866">6600 919 8882,'14'-8'9830,"-4"3"-3919,-1 0-5731,-6 18-900,1 8-3507,-1 18-271,1-1 4498,1-4 0,-2-18 0,0-5 0</inkml:trace>
  <inkml:trace contextRef="#ctx0" brushRef="#br0" timeOffset="6999">6658 929 8432,'-29'-52'427,"7"14"0,0 2 1,13 22-1</inkml:trace>
  <inkml:trace contextRef="#ctx0" brushRef="#br0" timeOffset="7233">6680 694 10861,'-3'-2'9830,"5"28"-7427,1 12-2673,9 48-1799,-1-17-1889,4 19-2968,-5-35 6926,-3-14 0,-3-21 0,-2-14 0</inkml:trace>
  <inkml:trace contextRef="#ctx0" brushRef="#br0" timeOffset="7666">6741 1088 9152,'-17'-46'3958,"-2"-1"-3329,5 8-539,5 2 0,12 9 360,13 6 629,3 10 540,7 11 180,-3 20-1259,-4 7-180,-2 17-360,-8-2-180,-3-11-360,-2-4 360,3-33 810,8-21 809,19-23 540,6 4-90,6 18-1080,-4 36-1438,-8 29-4139,-6 16-5063,-12 4 9028,-8-20 0,-6-14 1,-2-18-1</inkml:trace>
  <inkml:trace contextRef="#ctx0" brushRef="#br0" timeOffset="8383">7595 805 8612,'-2'-32'9445,"2"12"-7017,15 15-899,5 35-719,10 27-630,-5 13-630,-7-8-359,-5-15 629,-2-27 0,6-27 180,9-22 450,5-8 629,-2 8 180,3 21-539,-7 21-540,3 16-450,-5 6-180,0-6 270,4-16 90,4-19 90,-1-12 180,-5-3 360,-7 4-360,-2 14-450,-1 9-3058,0 12-2249,-4 3 5577,-2 0 0,-6-11 0,-1-3 0</inkml:trace>
  <inkml:trace contextRef="#ctx0" brushRef="#br0" timeOffset="8516">8174 883 10051,'-19'-30'-629,"6"10"629,6 18 0,4 3 0,7 7 0</inkml:trace>
  <inkml:trace contextRef="#ctx0" brushRef="#br0" timeOffset="8883">8310 947 7509,'13'-2'9830,"-7"-3"-6413,-3 1-2877,-12 3 82,-4 10-802,0 11-496,9 12 316,10 12 503,12 10-143,6 3 360,-2 2 809,-5-5 540,-10-5-629,-14-8-1440,-18-11-3958,-19-19-3507,-9-28 7825,13-12 0,11-9 0,19 9 0</inkml:trace>
  <inkml:trace contextRef="#ctx0" brushRef="#br0" timeOffset="9333">8473 759 12930,'-9'3'7465,"5"-1"-6295,2 38-271,8 0-629,3 17-450,1-9-450,-3-17 361,2-21 89,3-25 90,11-12 360,7-6 719,3 10-359,-7 17-630,-5 26-3778,-12 11-3958,-2 14 7736,-4-12 0,-2-11 0,2-14 0</inkml:trace>
  <inkml:trace contextRef="#ctx0" brushRef="#br0" timeOffset="10299">9165 749 7353,'-6'-39'8905,"-6"0"-5757,-7 0-2788,-4 20 809,2 33-539,7 42-451,12-7 1,2 6-90,4 15 0,1 2-45,2 3 0,0-2 0,0-5 0,-2-5 225,2 27 0,-4-35-900,-9-24-2068,-12-28-1800,-10-25-3327,-5-30 6977,10 9 0,8-4 0,11 25 0</inkml:trace>
  <inkml:trace contextRef="#ctx0" brushRef="#br0" timeOffset="11432">9051 965 9512,'17'-17'7555,"7"5"-6026,11 5-719,8 7-450,1 8-180,-7 6-630,-13 4-360,-12-3 451,-12-9 269,3-13 90,0-7 0,9-1 179,7 6-179,5 8 90,8 2-90,4 1 0,1-3 360,-9-4 450,-10-6-360,-19-5-181,-13 5-269,-11 9-629,3 21-1260,17 12-90,32 3 989,25-12 1350,19-19 1439,-5-19 450,-14-14-360,-19-2-540,-15 6-719,-9 8-540,-13 11-360,-5 15-810,-6 12 1,4 11 360,10 0 719,10-10 539,8-12-179,-3-7 989,1-4-359,-4 16-451,1 16-359,-1 32-360,-7 27-45,-4-37 1,0-1-496,-4 47 360,-2-24 360,3-34 270,-6-26 0,-3-22-180,-7-13-810,1-10-719,8-6 270,13-6 539,11 2-179,6 4-91,0 11 360,-3 6-359,-2 4-2339,-2 2 3238,-1 0 0,-6 7 0,-2 0 0</inkml:trace>
  <inkml:trace contextRef="#ctx0" brushRef="#br0" timeOffset="16882">5824 1851 9691,'-9'-20'9625,"9"25"-9355,15 41 449,11 37-584,-8-33 0,1 0 45,21 31 90,6-37 450,5-55-271,-10-50-269,-10-31-450,-21-6-1529,-14 18-1439,-4 34-2788,3 38 6026,6 21 0,5 14 0,5-2 0</inkml:trace>
  <inkml:trace contextRef="#ctx0" brushRef="#br0" timeOffset="17865">6306 2041 10951,'-10'-51'9830,"-1"25"-7697,-24 5-2403,9 45-450,8 14-449,18 14 809,15-21 540,10-10 720,0-27 809,-7-16 270,-4-15-450,-7 13-1080,3 6 1,-1 35-900,5 13-449,5 7-630,11-7 989,1-26 450,2-16-90,-8-58 180,-18-27 135,-5 40 0,-2-2 315,-5 1 0,-1 7 89,-8 2 1,-1 38-180,4 65-585,12-5 0,4 4-450,2 1 1,3 1-765,10 10 0,3-4 629,12 6 630,8-21 810,-17-58 359,-7-18 720,-7-26 450,-11 10-1889,-1 19-180,-1 28-720,9 36-539,5 2-720,17 6 540,11-27 1169,-2-15 90,-2-31 1529,-21-31 0,-9 5 900,-12-6-900,-5 43-809,1 32-630,7 41-4588,22 29-809,7-13 5397,18-15 0,-25-40 0,1-10 0</inkml:trace>
  <inkml:trace contextRef="#ctx0" brushRef="#br0" timeOffset="18582">6967 2071 11490,'-9'-7'5847,"5"5"-5847,23 4-360,2-1 90,15-2 270,-14-7 540,-7-13 989,-14-2 270,-12-4 90,-15 13-180,-10 27-989,7 25-1080,16 24-2968,30 5-990,26-16-1708,16-24 6026,-9-21 0,-18-9 0,-19-1 0</inkml:trace>
  <inkml:trace contextRef="#ctx0" brushRef="#br0" timeOffset="18732">7340 2127 15358,'-8'6'90,"-3"-2"0,7-3 0,-3-1 0</inkml:trace>
  <inkml:trace contextRef="#ctx0" brushRef="#br0" timeOffset="15749">3292 2074 9242,'-14'-15'6566,"7"0"-5756,15 11-91,14 15-449,6 17-90,-1 15-270,-8 2-90,-5-9 90,-4-18 90,-2-20 90,-4-20 90,-6-13 450,-6 0 89,-12 4-539,3 22-180,-5 24-180,17 17-450,10 8-989,36-5 360,17-25 809,13-14 450,2-31 450,-30-4 0,-14-6 629,-35-1-539,-10 12-360,-7 0-180,5 13-180,6 14-90,7 5 0,16 4 180,6-10 360,6-6 1169,-5-20 990,-8 9-1080,2 35-629,0 39-540,1 14 0,1 10-135,1 7 0,0 3-45,3 3 0,-1-1-90,-1-10 0,-1-6-450,6 18 180,-9-41-449,-15-58 404,-6-36 0,-2-12 360,2 8 0,1-2 0,-3-25 0,4 2-45,9-3 90,13 25 0,9 31-90,8 26 90,-8 13 0,-11 21 0,-24 7 90,-13 4-180,-7-5-1079,7-15 539,18-14-269,21-17 449,21-13 180,12-14 360,-2-6 720,-11 1 989,-18 5-990,-10 12 1,-14 16-540,1 21-990,2 17-2338,16 6-1350,15-7 1710,14-17 2248,15-23 1170,1-22 719,-8-18 720,-18-7-270,-26 7-450,-19 16-540,-9 20-539,-2 20-270,10 15-630,16 9-89,13 0 359,5-9 450,4-12 359,-5-12-89,-1-5-450,-5 1 0,2 5-540,0 4 1,6 1 359,6-9 180,-3-12 180,-2-21-180,-14-30 719,-12-24 720,-7-1-179,-2 20-1,-4 48-629,8 51-810,9 41-1889,22 19-90,18-4 1080,11-26 629,1-35 810,-10-33 1079,-13-23 540,-18-10 360,-14 7-720,-13 23-1350,4 26-3597,4 25-2608,15 10 5936,7-6 0,-3-16 0,-3-16 0</inkml:trace>
  <inkml:trace contextRef="#ctx0" brushRef="#br0" timeOffset="15965">4379 2059 9602,'-15'-10'5396,"28"2"-13221,42 16 7825,-7-4 0,3 1 0,-28-2 0</inkml:trace>
  <inkml:trace contextRef="#ctx0" brushRef="#br0" timeOffset="16365">4743 2080 10141,'13'-3'9625,"-9"-2"-9176,-18 3 631,-8 8-540,-7 18-900,12 12-1439,16 8-270,14-11-270,22-14 2159,-2-29 720,-1-18 629,-17-56 540,-19-10-855,-1 41 1,-2 0 1394,-11-32 989,3 49-1978,4 31-1890,7 70-5397,13 25 1111,-1-33 1,1-1 4089,10 20 1,-1-27 0,-7-27 0</inkml:trace>
  <inkml:trace contextRef="#ctx0" brushRef="#br0" timeOffset="12549">1253 1921 10501,'-14'-17'9830,"5"17"-9496,13 32 656,9 36-631,2 4-179,3 10-90,-8-31-90,-3-16 0,-8-37 0,-8-49 0,-7-41 225,6 36 0,0-1 585,-7-42 449,5 31-540,12 38-179,15 36-360,18 35-180,17 26-540,12 11 270,-2-18 181,-2-36 89,-12-46 89,-15-38 451,-12-12 899,-11 3-629,-5 27-720,-6 30-810,-1 42-3417,1 34-1530,10 28 810,16-5 539,11-23 3470,-6-32 0,-9-23 0,-14-8 0</inkml:trace>
  <inkml:trace contextRef="#ctx0" brushRef="#br0" timeOffset="12865">1744 2159 8792,'65'51'9445,"-6"-19"-8906,-19-46 721,-13-22-361,-17-22-179,-22-4-181,-17 12-898,-14 30-1980,5 37-1799,17 24-1349,27 9 5487,15-15 0,1-13 0,-10-17 0</inkml:trace>
  <inkml:trace contextRef="#ctx0" brushRef="#br0" timeOffset="13349">1950 2173 9961,'23'-16'7826,"4"-4"-6927,-8 11-269,10 4-450,-2 16-90,-1 13-90,-7 8 0,-12 3 90,-13-4-270,-7-9-630,-4-11 361,8-11-361,11-15 540,10-8 270,11-14 720,0-6 539,-4-10 450,-7-7 990,-8 0 988,-6 7-2247,-2 20-1440,-4 31 0,8 36 0,4 35-5307,12 15-2159,8 0 7466,0-24 0,-9-28 0,-5-19 0</inkml:trace>
  <inkml:trace contextRef="#ctx0" brushRef="#br0" timeOffset="13532">2225 2214 9781,'-46'-74'6027,"10"17"-6027,81 28 0,-27 18 0,5 1 0</inkml:trace>
</inkml:ink>
</file>

<file path=xl/ink/ink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6:25:49.614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123 19 11131,'-17'0'4587,"0"-2"-3957,14-3-271,15-2 271,23 3 180,16 5 89,8 11-89,-6 14-271,-17 20-359,-26 17-90,-36 14 0,-28-3 0,-17-11 450,-1-21 809,14-20-360,22-15 990,12-9-719,28-12 179,23 1-1169,31-1-270,22 10-1619,12 9-4318,2 3 630,1-2 5307,-5-9 0,-39 1 0,-15-5 0</inkml:trace>
  <inkml:trace contextRef="#ctx0" brushRef="#br0" timeOffset="348">844 178 9602,'-24'-36'9830,"-9"16"-5808,10 43-2853,2 21-809,21 18-270,25 4-270,24-7 90,13-21 180,4-31 1079,-11-35 90,-23-35-719,-36-22-360,-43 7-990,-29 24-4766,-9 40-2880,19 34 8456,30 4 0,21-1 0,13-16 0</inkml:trace>
</inkml:ink>
</file>

<file path=xl/ink/ink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6:25:51.129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66 74 8702,'-14'1'9830,"5"-12"-7787,26-11-1413,10-3-90,31 8-91,-5 26-269,-7 21-90,-19 11 0,-18 13-90,-11-11 0,-2-8-90,6-13 90,19-13 0,19 0 90,9 5 180,0 14 1529,-22 13 180,-31 11-1080,-46 5-539,-35-10-585,33-30 0,-2-7-3103,-44-11-3238,25-21-90,34-9 6656,33 3 0,9 13 0,10 6 0</inkml:trace>
  <inkml:trace contextRef="#ctx0" brushRef="#br0" timeOffset="400">503 315 14729,'9'16'9830,"9"17"-9226,7 18-874,21 6 0,4-18 90,20-21 270,-17-33 540,-3-30-181,-39-28-269,-40-8-90,-32 15-2159,-19 34-3957,9 41 6026,24 17 0,20 13 0,19-9 0</inkml:trace>
</inkml:ink>
</file>

<file path=xl/ink/ink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6:26:18.427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7 382 8072,'-5'-12'4768,"3"-4"-2430,17-1-2068,35-5 270,9 7 0,15 1-241,8-1 1,12 1 0,6-1-649,-25 4 0,2 0 1,4 0-1,2 0 1,1 0 392,0 1 1,3-1 0,1 1 0,2 1 0,1-1 0,-1 2-30,2-1 0,2 2 0,0 0 0,0 0 0,-1 1 0,-1 1-15,-4 1 0,1 1 0,-1 0 0,-2 2 0,-1-1 0,-2 2 28,2 0 1,-2 1 0,-2 1-1,-2 0 1,-5 1 1,24 1 0,-6 2 0,-9 0 419,0 1 1,-11-1 810,19-5-271,-23-11 1,-13-10 1750,-13-3-2020,-6 0-151,-16 9-659,-1 2 90,-8 4 0,1 6 0,0 10 90,3 16 0,3 28 90,7 40-180,-10-27 0,-1 6 0,1 12 0,-1 4 45,-2 4 0,-2 1-45,-2-6 0,-4-2 0,-4-11 0,-3-3 0,-2-10 0,-4-4 0,-21 28 0,-24-28 0,-33-26-90,20-22 0,-8-6 30,10-1 0,-5-1 0,-2 0-192,-12 0 1,-4 0 0,-3 1 183,13 0 1,-2 0-1,-1 1 1,-1 0-202,-5 1 0,0-1 0,-2 2 1,0-1 223,-4 0 0,-1 0 0,0 0 0,1 0 45,3 0 0,1-1 0,0 1 0,0-1-23,4 0 1,0 0-1,1-1 1,2 1 22,-13-1 0,2 0 0,3-1-18,10 0 0,2 0 1,4 0-28,-20-2 0,5 0 45,19-2 0,5 0 0,12 0 0,5 0 608,-20-4-608,19 2 839,20 3-839,5 1 166,6 1-76,-10 0-1,8 0 91,-6-1-180,11-11 0,3-19 90,2-32-90,6 15 0,1-5 0,1-8 0,1-3 0,0-5 0,2 1-45,0 3 0,0 3-225,2 7 1,0 3-2610,3-23-3327,1 16 6206,0 30 0,-2 10 0,-1 14 0</inkml:trace>
</inkml:ink>
</file>

<file path=xl/ink/ink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6:25:55.662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6732 202 9062,'-18'-16'9830,"4"5"-5808,-1 5-1234,4 30-1618,-1 21-1170,-2 32-5757,5 8-2878,9-2 7787,8-27 0,2-24 0,-2-23 0</inkml:trace>
  <inkml:trace contextRef="#ctx0" brushRef="#br0" timeOffset="450">6951 342 11850,'-5'-46'9715,"7"1"-8366,15 5-629,13 19-361,11 31-179,-11 15-90,-9 23-90,-16-8-90,1 0 90,8-10 0,9-7 0,10 1 180,-3 3 720,-9 3 179,-26 10-629,-30-6-720,-34-1-6206,-9-18 629,13-17-1169,44-21 6168,22 0 0,18 0 0,-11 16 0</inkml:trace>
  <inkml:trace contextRef="#ctx0" brushRef="#br0" timeOffset="767">7265 362 9512,'50'-32'9830,"-7"11"-3110,-38 27-6090,1 25-360,3 16-1170,17 15 270,24-8 361,28-29 808,11-38 1350,-15-36-809,-43-27-1080,-69-7-135,-6 45 0,-8 6-3598,-7 5 0,-2 8-1183,2 11 1,5 6 3084,-10 6 0,31 8 1,28-7-1</inkml:trace>
  <inkml:trace contextRef="#ctx0" brushRef="#br0" timeOffset="-999">4533 205 16258,'-5'-5'8995,"0"8"-8546,-2 10 541,-1 25-630,3 19-5398,6 32 721,7-6-2429,18-4 6746,-6-47 0,0-11 0,-14-19 0</inkml:trace>
  <inkml:trace contextRef="#ctx0" brushRef="#br0" timeOffset="-333">4725 533 9152,'6'-75'9830,"-2"18"-5718,-20 39-3572,9 21-1,8 35-359,28 8-270,8 2 0,26-23 180,-4-48 0,-13-16 180,-17-33-90,-45 13-90,-24 12-810,-14 33-2698,12 27-270,35 27 990,44-7 1798,44-6 1619,-31-25 1,1-7 2249,44-18 629,-22-16-1529,-35 7-181,-21 2-898,-27 30-630,3 25-270,3 16-360,24 9 90,29-23 90,15-28 360,2-28 359,-20-22-179,-37-8-270,-52 6-540,-35 24-4677,-17 27-4228,24 23 8417,36 13 0,25-15 0,16-3 0</inkml:trace>
  <inkml:trace contextRef="#ctx0" brushRef="#br0" timeOffset="-2100">2537 157 10681,'-7'-17'9534,"-15"12"-7285,-21 24-360,-13 43-1394,29-18 0,4 5-316,7 7 1,9 1-90,11-3 0,10-5 0,40 20 0,24-38 630,0-43 539,-19-32-629,-36-12-630,-41 6 0,-30 23-2519,-11 26-3957,14 19 449,30 17 6027,31-12 0,1-3 0,4-15 0</inkml:trace>
  <inkml:trace contextRef="#ctx0" brushRef="#br0" timeOffset="-1750">2765 481 8162,'30'-43'4915,"0"0"0,10-31 2076,-63 72-6811,-4 22 359,6 33-269,39 20-360,45-9 90,-15-41 0,5-10 90,4-10 0,-1-10 539,-4-10 1,-6-9 360,8-41-630,-54-12-360,-54 12-1350,-31 24-2203,34 36 0,0 10 3553,-32 24 0,34-4 0,23 3 0</inkml:trace>
  <inkml:trace contextRef="#ctx0" brushRef="#br0" timeOffset="-3366">410 249 13649,'-6'-23'8995,"-5"23"-7376,4 29-809,3 32-271,17 13-179,24-8-90,24-28-90,22-47 809,4-38-359,-48 15 0,-3-3-630,13-22 0,-21 17 0,-22 36 0,-5 28 0,-5 31-2159,3 15-7646,13 26 9805,12-28 0,-7-13 0,2-31 0</inkml:trace>
  <inkml:trace contextRef="#ctx0" brushRef="#br0" timeOffset="-3033">1041 613 8522,'10'-51'9830,"-7"-12"-6078,-8 15-1773,-10 31-1259,16 36-450,7 32-90,45 1-90,15-35 179,15-20 675,-37-21 1,-6-9 135,4-36-990,-20-10-90,-65 18-270,-11 37-6296,-36 31 6566,24 47 0,20-19 0,18 9 0</inkml:trace>
  <inkml:trace contextRef="#ctx0" brushRef="#br0" timeOffset="14216">121 393 10591,'-6'-12'8095,"1"1"-7195,-2 10-630,3 18 359,-2 18 91,-1 30-180,-5 24-450,0-4-1,-2 11 1,4-26-90,2-21-90,2-3 90,4-28 90,6 10-90,29-8 0,19-1 45,1-11 0,9-4 0,28-2 0,6-3-45,-1-1 0,5 0-184,-11-1 0,7-1 0,-3 1 244,-9-1 0,-3 1 0,3-1-30,10 1 0,1 0 0,1 1 60,-2-1 0,0 2 0,0 0-30,-4 0 0,-1 1 0,-2 0-134,-4 1 1,-2-1 0,-1 1 103,-6 0 0,0-1 0,-3 0-30,22 0 0,-4-1 0,-11-1 0,-3-1 0,-14 0 0,-4-2 360,33-4 530,-19-3-710,-13-6 331,-7-7-421,-4-10 0,-3-11 0,-2-10 0,1-12 90,1-6 180,-1-2 179,-4 0 1,-9 9-180,-10 12-270,-6 3 0,-9 10 90,-4-3-90,-12-2-90,-17 6 0,-31-1 0,13 23 0,-7 4-45,-18-1 0,-7 4-15,13 5 0,-4 2 0,-3 0-195,-14 2 0,-4 2 0,-4 1 232,12 1 1,-3 1 0,-2 0-1,1 1-231,2 0 1,-1 0-1,0 1 1,0 0 230,-4 0 1,0 1 0,1-1-1,2 1-7,-15-1 0,4 1 0,1-1-77,10-1 1,1-1-1,1-1 107,6 0 0,2-2 0,1 1-46,-21-3 1,4-1 90,9 1 0,4 0 251,12 0 1,5 0-297,-28 0 861,19 0-951,23 1 375,11 2-555,8 1-1797,1 8-3061,-11 12 5128,6 9 0,4-8 0,19-4 0</inkml:trace>
  <inkml:trace contextRef="#ctx0" brushRef="#br0" timeOffset="14749">1677 481 7148,'2'-17'9830,"0"-1"-4981,6 25-4309,4 21-1597,9 35-2720,5 14-931,2 0 4708,-7-19 0,-8-24 0,-7-20 0</inkml:trace>
  <inkml:trace contextRef="#ctx0" brushRef="#br0" timeOffset="14915">1679 733 8252,'-39'-15'8545,"14"4"-7915,4-3 180,64-4-1350,6 5-1709,5 4 0,4 4 2249,16 3 0,-14 3 0,-33 1 0</inkml:trace>
  <inkml:trace contextRef="#ctx0" brushRef="#br0" timeOffset="15449">1698 1313 13199,'-13'-48'6567,"24"3"-6387,39 22 89,5 13 91,11 24-90,-32 32 0,-18 6 629,-30 20 1260,-25-10-810,6-16 1620,-7 0-2789,31-27-180,27-1 0,30-18-6747,41-15 1800,-11-3 4947,-1-5 0,-46 15 0,-10 2 0</inkml:trace>
  <inkml:trace contextRef="#ctx0" brushRef="#br0" timeOffset="15915">656 1257 9691,'-9'-13'9830,"44"-3"-8629,14 2 1,14 2-543,5 2 1,9 0 0,5 2-938,-3 0 1,4 0 0,4 1-1,2 0 404,-8 1 0,2 0 0,2 1 0,0 0 0,0 0-72,0 0 0,1 1 0,0 0 0,-1 0 0,-1 0-54,11 0 0,0 0 0,-4 0 0,-3 1 170,7-1 0,-4 1 0,-7 0-305,7 1 0,-11 0-193,15 1-9503,-43 1 9343,-34 6 0,-10-5 0,-11 5 0</inkml:trace>
  <inkml:trace contextRef="#ctx0" brushRef="#br0" timeOffset="17332">3493 1339 23274,'0'24'1349,"3"20"-2069,8 14-4407,8 26-4704,5 5 9388,-7-28 0,-6-24 0,-8-30 0</inkml:trace>
  <inkml:trace contextRef="#ctx0" brushRef="#br0" timeOffset="17982">3803 1610 8792,'-11'-16'8725,"-6"-4"-5757,-11-1-1439,-4 9-629,2 21-1800,54 54 271,4-24 539,13-7 0,7-12 809,10-37 181,-5-21-180,-42-43-451,-35 11-359,-17-1-2158,-9 35-2160,23 45 1800,29 9 179,51 17 3688,21-26 810,12-13 1709,-11-34-1799,-36 10 1169,-4-16-2878,-33 52-450,8 16-899,11 35 629,12-14 360,29-23 630,-4-51-450,-19-12-1080,-29-22-4407,-62 24 0,-24 23 4549,-20 25 0,24 16 0,12 2 0</inkml:trace>
  <inkml:trace contextRef="#ctx0" brushRef="#br0" timeOffset="18182">3571 1838 8432,'-13'15'9830,"-2"4"-5448,18 0-2673,40-7-1889,22-12-2699,21-13 1,7-4 135,-32 8 0,0-1 2743,22-5 0,-7 3 0,-16 5 0,-32 6 0</inkml:trace>
  <inkml:trace contextRef="#ctx0" brushRef="#br0" timeOffset="18549">4132 2038 12570,'-8'16'6566,"9"-4"-5127,24-1-269,-1 6-361,-6 14 1,-18 16-451,-15 10 91,-5 3-90,7-8 0,8-1-270,16-16-1619,34-18-1889,37-32 1574,-13-6 0,7-5-2744,13-6 1,-1-1 4587,-19 8 0,-2 1 0,-3 3 0,-7 4 0,-9 2 0</inkml:trace>
  <inkml:trace contextRef="#ctx0" brushRef="#br0" timeOffset="18748">4960 1920 9394,'-24'-4'6746,"42"-10"-9882,14-2 3136,49-9 0,-29 12 0,-9 2 0</inkml:trace>
  <inkml:trace contextRef="#ctx0" brushRef="#br0" timeOffset="18915">5117 1935 10501,'-51'27'2968,"50"-18"-9264,36-21 6296,19-7 0,6-6 0,-28 12 0</inkml:trace>
  <inkml:trace contextRef="#ctx0" brushRef="#br0" timeOffset="19498">5456 1812 10411,'48'-35'9830,"-14"7"-4549,-29 18-4741,-3 14-90,10 20-90,24 17-360,18 18-360,4 11 0,-15 2-719,-31-7-450,-37-24-1,-34-30-1078,-16-39 179,11-36 720,35-28 1304,33 39 1,10 1 673,7 4 1,7 4 1350,40-23 718,-3 36-359,-11 42-810,-9 38-629,-5 32-1080,-18-34 1,1-1-1170,32 30 989,13-40 1710,4-60-1,-38-12 0,-6-9-269,-8-9 0,-12-4-631,-16-5 1,-14 5-1574,-14 9 0,-14 10-3432,-36 8 1,-5 11 4289,34 9 1,2 5 0,-19 5 0,7 6 0,19 3 0</inkml:trace>
</inkml:ink>
</file>

<file path=xl/ink/ink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6:29:47.828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441 79 9781,'-44'-30'6297,"-7"3"-4948,-12 6-360,-4 20 1,-1 33-360,10 27-91,23 25-404,33-34 0,12 1-45,11 5 0,9 1-45,9 4 0,4 0 0,1 0 0,-1-1 0,-6-5 0,-4 1 45,-11-5 0,-9 0 0,-18 44 0,-28-18 179,-3-39 1,-6-8-90,-35-6-90,-9-31 90,29-37 180,23-9 1349,21-3-1079,11 37-91,4 24 541,1 74-811,-3-19 1,-1 5-180,-1 13 0,0 6-60,0-10 0,1 5 0,3-2-60,1-10 0,3-1 0,1 0-60,6 35 0,7-5-900,10-18 1,10-14-2114,3-29 0,5-10-1305,41-1 1530,-17-29 2030,-21-27 0,-37 20 0,3-6 0</inkml:trace>
</inkml:ink>
</file>

<file path=xl/ink/ink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6:29:49.295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1 283 8252,'0'-23'8366,"16"-6"-5848,19-6-1439,33 5-719,-16 20 0,5 5-180,24 1 0,6 3-495,11 3 0,4 1-435,-30-1 1,1 1-1,-1 0-419,27 1 0,-3 0-46,-10-2 1,-4 0 359,-11-2 1,-5-2 404,-9 0 1,-5-1 1708,23-6 0,-35-1-359,-26-1 1079,-34-9 359,-15-4-89,-16-7-990,6 6-449,6 3-720,28 12 0,37 9-90,31 19-90,27 21 0,-11 18 90,-25 13-900,-35 3-2338,-42 3-1799,-34-13 5037,-11-21 0,23-20 0,20-19 0</inkml:trace>
</inkml:ink>
</file>

<file path=xl/ink/ink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6:29:50.128"/>
    </inkml:context>
    <inkml:brush xml:id="br0">
      <inkml:brushProperty name="width" value="0.04286" units="cm"/>
      <inkml:brushProperty name="height" value="0.04286" units="cm"/>
      <inkml:brushProperty name="color" value="#F6630D"/>
    </inkml:brush>
  </inkml:definitions>
  <inkml:trace contextRef="#ctx0" brushRef="#br0">91 304 12210,'-49'-6'8185,"12"2"-7915,33 0 450,53 0-540,11-1 0,10 0-180,25-2 0,7 1-447,-24 1 1,2 1 0,0 1-214,-1-1 1,0 1-1,-3 1-375,23 1 1,-5 1 154,-19 0 1,-6 1 294,-16 0 1,-4-2 44,23-5 990,-24-9 0,-23-5 539,-27-13 1569,-33-5-579,-19-2-90,-17 2 90,10 14-990,5 6-449,18 8-450,17 11 0,29 16-90,37 15-90,36 14 0,-32-21 0,2 0-45,0 0 0,-2 0 135,28 24-90,-38 9-2159,-47 14-2518,-34 14 4767,15-40 0,-1-3 0,-9 10 0,18-17 0</inkml:trace>
</inkml:ink>
</file>

<file path=xl/ink/ink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7:29:09.675"/>
    </inkml:context>
    <inkml:brush xml:id="br0">
      <inkml:brushProperty name="width" value="0.025" units="cm"/>
      <inkml:brushProperty name="height" value="0.025" units="cm"/>
      <inkml:brushProperty name="color" value="#F6630D"/>
    </inkml:brush>
  </inkml:definitions>
  <inkml:trace contextRef="#ctx0" brushRef="#br0">317 10 24575,'-5'-5'0,"-5"3"0,-15-1 0,-17 3 0,-49 0 0,33 0 0,-12 1 0,57 2 0,10 7 0,11 10 0,13 26 0,0 11 0,5 39 0,-19-14 0,-5 16 0,0-1 0,0-11 0,0 0 0,0 4-313,-2-1 0,0 7 0,0-2 0,0-5 313,0-2 0,0-4 0,0-6 0,0 9 0,0-8 0,0-22 0,0-6 0,0 13 0,1-34 0,3-18 0,3-6 0,5-4 1252,6-1-1252,4-3 0,8-5 0,3-6 0,0-4 0,-2 0 0,-5 3 0,-4 2 0,-3 3 0,-4 3 0,-4 1 0,-1 0 0,-3 2 0,-1 0 0,-1 1 0,-2 1 0,-1 0 0</inkml:trace>
</inkml:ink>
</file>

<file path=xl/ink/ink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7:29:11.258"/>
    </inkml:context>
    <inkml:brush xml:id="br0">
      <inkml:brushProperty name="width" value="0.025" units="cm"/>
      <inkml:brushProperty name="height" value="0.025" units="cm"/>
      <inkml:brushProperty name="color" value="#F6630D"/>
    </inkml:brush>
  </inkml:definitions>
  <inkml:trace contextRef="#ctx0" brushRef="#br0">180 209 24575,'0'11'0,"-3"14"0,-2 19 0,-1 35 0,3-24 0,1 4 0,1 15 0,1 5 0,1 9 0,3 2 0,0-2 0,1-2 0,2-6 0,0 0 0,3 7 0,-1-5 0,-4-30 0,0-3 0,0 8 0,-1-6 0,-4-9 0,0-10 0,0-7 0,0-1 0,0 6 0,0 9 0,-1 6 0,-1 0 0,-1-9 0,0-11 0,0-10 0,-2-5 0,-2-3 0,-5-1 0,-4 0 0,-6-1 0,-4-1 0,-2-1 0,0-1 0,4-2 0,6 0 0,5 0 0,5 0 0,4-4 0,2 2 0,2-1 0</inkml:trace>
  <inkml:trace contextRef="#ctx0" brushRef="#br0" timeOffset="1666">1036 0 24575,'0'8'0,"3"3"0,3 4 0,3 4 0,2 1 0,-1-1 0,1 1 0,1 13 0,-2 19 0,-3 28 0,-4-28 0,-2 2 0,-1 8 0,0 2 0,0 5 0,0 2 0,0-1 0,0-1 0,0-1 0,0-1 0,0-5 0,0-3 0,1 40 0,2-25 0,0-27 0,1-22 0,-2-11 0,0-3 0,-1 3 0,1 5 0,0 7 0,1 13 0,0 16 0,-2 11 0,2 1 0,-2-12 0,1-19 0,1-14 0,1-11 0,3-7 0,2-4 0,3-1 0,1-1 0,5-2 0,9-2 0,9-1 0,6 1 0,-2-1 0,-7 1 0,-10 0 0,-11 3 0,-8-1 0,-4 4 0,-3-1 0</inkml:trace>
  <inkml:trace contextRef="#ctx0" brushRef="#br0" timeOffset="5716">24 434 24575,'64'0'0,"19"0"0,-27 0 0,5 0 0,10 0 0,1 0 0,-1 0 0,2 0 0,11 0 0,-4 0 0,17 0 0,-11 0 0,-63 0 0,-11 0 0,-3 0 0,6 0 0,3 0 0,4 0 0,0 0 0,-4 0 0,-6-1 0,-8-1 0,-5-1 0,-6-2 0,-3-2 0,-3-2 0,-1-1 0,-2-1 0,-1 0 0,0 1 0,2 3 0,-4-1 0,5 4 0,-2 0 0,10 2 0,4 1 0,10 3 0,10 5 0,6 5 0,7 5 0,0 2 0,-3-2 0,-6-2 0,-7-4 0,-6-1 0,-3-2 0,-3-2 0,-2-1 0,-5 1 0,-25 15 0,3-1 0,-24 13 0,-2 3 0,16-11 0,-3 4 0,27-19 0,7-5 0,4-4 0</inkml:trace>
  <inkml:trace contextRef="#ctx0" brushRef="#br0" timeOffset="8032">141 899 24575,'9'0'0,"7"0"0,6 0 0,10 0 0,14 0 0,28 0 0,-22 0 0,6 0 0,15 0 0,2 2 0,5 0 0,-1 2 0,-5 0 0,-3 1 0,-14 1 0,-6-1 0,13 4 0,-29-5 0,-21-3 0,-11 0 0,-8-1 0,-6-1 0,-2-1 0,-4-2 0,-11-10 0,6 3 0,-8-7 0,3 0 0,10 5 0,-3-3 0,14 8 0,6 5 0,6 4 0,7 5 0,4 1 0,2 1 0,2-2 0,1 1 0,-1 0 0,0 2 0,-8 0 0,-3-1 0,-8-1 0,-2 1 0,0 3 0,0 2 0,-1-1 0,0 0 0,-3-2 0,-3 0 0,-8 5 0,0-2 0,-9 5 0,-10 2 0,8-5 0,-5 2 0,16-8 0,4-4 0,6-2 0,3-3 0</inkml:trace>
  <inkml:trace contextRef="#ctx0" brushRef="#br0" timeOffset="10266">109 1516 24575,'8'0'0,"20"0"0,18 0 0,19 0 0,12 0 0,1 0 0,2 0 0,-2 0 0,2 0 0,-9 0 0,-5 0 0,-15 0 0,-18 0 0,-14 0 0,-10-1 0,-5 0 0,-16-8 0,-2 0 0,-14-8 0,1 0 0,-3-1 0,1 0 0,1 1 0,1 4 0,5 2 0,4 4 0,9 4 0,8 1 0,10 3 0,16 3 0,6 3 0,8 8 0,-2 5 0,-7 1 0,-4-1 0,-8-4 0,-4-3 0,-4-3 0,-1-1 0,-4-4 0,-2 0 0,-2 0 0,-1 0 0,0 2 0,0-1 0,0 2 0,-5 1 0,-5 0 0,-6 5 0,-6 0 0,-4 3 0,-5 3 0,-2-1 0,2-1 0,6-4 0,6-3 0,5-2 0,7-4 0,2-2 0</inkml:trace>
</inkml:ink>
</file>

<file path=xl/ink/ink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0T17:29:14.774"/>
    </inkml:context>
    <inkml:brush xml:id="br0">
      <inkml:brushProperty name="width" value="0.025" units="cm"/>
      <inkml:brushProperty name="height" value="0.025" units="cm"/>
      <inkml:brushProperty name="color" value="#F6630D"/>
    </inkml:brush>
  </inkml:definitions>
  <inkml:trace contextRef="#ctx0" brushRef="#br0">110 0 24575,'-2'5'0,"0"11"0,2 26 0,1 40 0,5-14 0,2 5 0,2 8 0,1 2 0,2 1 0,1-2 0,-1-9 0,0-4 0,2 27 0,-4-20 0,-5-20 0,-3-10 0,-1-2 0,1 14 0,5 19 0,3 19 0,-5-40 0,1-1 0,0-2 0,0-2 0,3 33 0,-3-21 0,-5-25 0,-2-17 0,0-9 0,-1-6 0,-6 1 0,-8-1 0,-9 3 0,-7 0 0,-4-2 0,4-1 0,2-2 0,5 0 0,-1 3 0,5 0 0,-2 2 0,8-3 0,3-3 0,4-2 0,5-6 0,0 3 0,4-4 0</inkml:trace>
  <inkml:trace contextRef="#ctx0" brushRef="#br0" timeOffset="18849">1461 147 24575,'-33'0'0,"-44"0"0,14 0 0,-6 0 0,-13 0 0,-2 0 0,2 0 0,2 0 0,9 0 0,6 0 0,-1 1 0,23 3 0,47 12 0,8 9 0,2 15 0,0 16 0,-5 18 0,-6-22 0,-2 5 0,0 8 0,0 3 0,-1 12 0,-1 3 0,-1 9 0,-1 3 0,0-27 0,0 1 0,0 0 0,0-1 0,-1 1 0,0-1 0,-3 30 0,0-3 0,2-13 0,1-5 0,0-19 0,0-5 0,0 22 0,2-39 0,1-18 0,2-10 0,1-4 0,5-2 0,11-2 0,24 2 0,26 5 0,-1 4 0,2 1 0,-19-3 0,-1 1 0,10 3 0,-5 0 0,-12-3 0,-19-5 0,-11-4 0,-3-1 0,-4 0 0,-1 0 0,-2-3 0,-1 2 0,0-1 0</inkml:trace>
  <inkml:trace contextRef="#ctx0" brushRef="#br0" timeOffset="20615">2375 158 24575,'4'-8'0,"10"4"0,14 0 0,18 4 0,15 0 0,0 0 0,-5 0 0,-16 0 0,-16 0 0,-11 1 0,-7 5 0,-9 5 0,-6 9 0,-6 21 0,4 26 0,2 13 0,2 6 0,2 8 0,1-2 0,1 7 0,1-1-277,1-10 1,1-1-1,1-3 277,-1-5 0,0-2 0,0-3 0,0 16 0,0-8 0,0-24 0,0-8 0,0 18 0,0-32 0,-1-17 0,-2-9 830,-1-2-830,-2-3 0,-2-1 0,-4 0 0,-6 1 0,-9-1 0,-9 0 0,-2-2 0,-2 0 0,2 1 0,-5 0 0,-18 5 0,13 0 0,-3 3 0,-9 2 0,-3 1 0,-5 3 0,0 0 0,6-1 0,3-1 0,-21 7 0,31-10 0,31-6 0,13-6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7DCE9-97FC-1446-88E8-8BBBEED1C496}">
  <dimension ref="B4:P89"/>
  <sheetViews>
    <sheetView topLeftCell="A75" zoomScale="172" workbookViewId="0">
      <selection activeCell="P76" sqref="P76"/>
    </sheetView>
  </sheetViews>
  <sheetFormatPr baseColWidth="10" defaultRowHeight="16" x14ac:dyDescent="0.2"/>
  <sheetData>
    <row r="4" spans="2:6" x14ac:dyDescent="0.2">
      <c r="B4" t="s">
        <v>0</v>
      </c>
      <c r="F4" t="s">
        <v>7</v>
      </c>
    </row>
    <row r="6" spans="2:6" x14ac:dyDescent="0.2">
      <c r="B6" t="s">
        <v>1</v>
      </c>
    </row>
    <row r="8" spans="2:6" x14ac:dyDescent="0.2">
      <c r="B8" t="s">
        <v>2</v>
      </c>
    </row>
    <row r="10" spans="2:6" x14ac:dyDescent="0.2">
      <c r="B10" t="s">
        <v>3</v>
      </c>
    </row>
    <row r="12" spans="2:6" x14ac:dyDescent="0.2">
      <c r="B12" t="s">
        <v>4</v>
      </c>
    </row>
    <row r="14" spans="2:6" x14ac:dyDescent="0.2">
      <c r="B14" t="s">
        <v>5</v>
      </c>
    </row>
    <row r="16" spans="2:6" x14ac:dyDescent="0.2">
      <c r="B16" t="s">
        <v>6</v>
      </c>
    </row>
    <row r="18" spans="2:4" x14ac:dyDescent="0.2">
      <c r="B18" t="s">
        <v>12</v>
      </c>
      <c r="D18" t="s">
        <v>13</v>
      </c>
    </row>
    <row r="69" spans="3:16" x14ac:dyDescent="0.2">
      <c r="N69" t="s">
        <v>38</v>
      </c>
    </row>
    <row r="70" spans="3:16" x14ac:dyDescent="0.2">
      <c r="G70" t="str" cm="1">
        <f t="array" ref="G70:L70">_xlfn.TEXTSPLIT("30,130,20,40,60,100",",")</f>
        <v>30</v>
      </c>
      <c r="H70" t="str">
        <v>130</v>
      </c>
      <c r="I70" t="str">
        <v>20</v>
      </c>
      <c r="J70" t="str">
        <v>40</v>
      </c>
      <c r="K70" t="str">
        <v>60</v>
      </c>
      <c r="L70" t="str">
        <v>100</v>
      </c>
    </row>
    <row r="71" spans="3:16" x14ac:dyDescent="0.2">
      <c r="N71">
        <v>1</v>
      </c>
    </row>
    <row r="72" spans="3:16" x14ac:dyDescent="0.2">
      <c r="N72">
        <v>3</v>
      </c>
      <c r="P72" cm="1">
        <f t="array" ref="P72:P73">_xlfn.MODE.MULT(N71:N81)</f>
        <v>2</v>
      </c>
    </row>
    <row r="73" spans="3:16" x14ac:dyDescent="0.2">
      <c r="C73" s="2" t="s">
        <v>8</v>
      </c>
      <c r="E73" t="str">
        <f>"AVERAGE()"</f>
        <v>AVERAGE()</v>
      </c>
      <c r="N73">
        <v>4</v>
      </c>
      <c r="P73">
        <v>6</v>
      </c>
    </row>
    <row r="74" spans="3:16" x14ac:dyDescent="0.2">
      <c r="C74" s="2"/>
      <c r="M74">
        <v>6</v>
      </c>
      <c r="N74">
        <v>2</v>
      </c>
    </row>
    <row r="75" spans="3:16" x14ac:dyDescent="0.2">
      <c r="C75" s="2" t="s">
        <v>9</v>
      </c>
      <c r="E75" t="str">
        <f>"MEDIAN()"</f>
        <v>MEDIAN()</v>
      </c>
      <c r="G75">
        <f>MEDIAN(30,130,20,40,60,100)</f>
        <v>50</v>
      </c>
      <c r="M75">
        <v>6</v>
      </c>
      <c r="N75">
        <v>2</v>
      </c>
    </row>
    <row r="76" spans="3:16" x14ac:dyDescent="0.2">
      <c r="C76" s="2"/>
      <c r="M76">
        <v>6</v>
      </c>
      <c r="N76">
        <v>2</v>
      </c>
    </row>
    <row r="77" spans="3:16" x14ac:dyDescent="0.2">
      <c r="C77" s="2" t="s">
        <v>10</v>
      </c>
      <c r="E77" t="str">
        <f>"MODE()"</f>
        <v>MODE()</v>
      </c>
      <c r="M77">
        <v>6</v>
      </c>
      <c r="N77">
        <v>2</v>
      </c>
    </row>
    <row r="78" spans="3:16" x14ac:dyDescent="0.2">
      <c r="N78">
        <v>6</v>
      </c>
    </row>
    <row r="79" spans="3:16" x14ac:dyDescent="0.2">
      <c r="E79" t="str">
        <f>"MODE.MULT()"</f>
        <v>MODE.MULT()</v>
      </c>
      <c r="N79">
        <v>6</v>
      </c>
    </row>
    <row r="80" spans="3:16" x14ac:dyDescent="0.2">
      <c r="E80" t="str">
        <f>"MODE.SNGL()"</f>
        <v>MODE.SNGL()</v>
      </c>
      <c r="N80">
        <v>6</v>
      </c>
    </row>
    <row r="81" spans="2:14" x14ac:dyDescent="0.2">
      <c r="N81">
        <v>6</v>
      </c>
    </row>
    <row r="84" spans="2:14" x14ac:dyDescent="0.2">
      <c r="B84" s="1"/>
      <c r="C84" s="1"/>
      <c r="D84" s="1"/>
      <c r="E84" s="1"/>
      <c r="F84" s="1"/>
      <c r="G84" s="1"/>
      <c r="H84" s="1"/>
      <c r="I84" s="1"/>
    </row>
    <row r="86" spans="2:14" x14ac:dyDescent="0.2">
      <c r="C86" t="s">
        <v>11</v>
      </c>
    </row>
    <row r="89" spans="2:14" x14ac:dyDescent="0.2">
      <c r="C89" t="s">
        <v>28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C63FA-A677-7740-BEFE-4215D046981C}">
  <dimension ref="A1:H76"/>
  <sheetViews>
    <sheetView topLeftCell="A28" zoomScale="200" workbookViewId="0">
      <selection activeCell="E32" sqref="E32"/>
    </sheetView>
  </sheetViews>
  <sheetFormatPr baseColWidth="10" defaultRowHeight="16" x14ac:dyDescent="0.2"/>
  <sheetData>
    <row r="1" spans="1:5" x14ac:dyDescent="0.2">
      <c r="A1" s="3" t="s">
        <v>14</v>
      </c>
      <c r="B1" s="3" t="s">
        <v>15</v>
      </c>
      <c r="C1" s="3" t="s">
        <v>16</v>
      </c>
    </row>
    <row r="2" spans="1:5" x14ac:dyDescent="0.2">
      <c r="A2" s="3" t="s">
        <v>17</v>
      </c>
      <c r="B2" s="3">
        <v>4000</v>
      </c>
      <c r="C2" s="3">
        <v>17</v>
      </c>
    </row>
    <row r="3" spans="1:5" x14ac:dyDescent="0.2">
      <c r="A3" s="3" t="s">
        <v>18</v>
      </c>
      <c r="B3" s="3">
        <v>5600</v>
      </c>
      <c r="C3" s="3">
        <v>18</v>
      </c>
      <c r="E3" t="s">
        <v>22</v>
      </c>
    </row>
    <row r="4" spans="1:5" x14ac:dyDescent="0.2">
      <c r="A4" s="5" t="s">
        <v>19</v>
      </c>
      <c r="B4" s="5">
        <v>9700</v>
      </c>
      <c r="C4" s="5">
        <v>19</v>
      </c>
    </row>
    <row r="5" spans="1:5" x14ac:dyDescent="0.2">
      <c r="A5" s="5" t="s">
        <v>20</v>
      </c>
      <c r="B5" s="5">
        <v>4000</v>
      </c>
      <c r="C5" s="5">
        <v>20</v>
      </c>
      <c r="E5">
        <f>AVERAGE(B2:B11)</f>
        <v>10730</v>
      </c>
    </row>
    <row r="6" spans="1:5" x14ac:dyDescent="0.2">
      <c r="A6" s="5" t="s">
        <v>17</v>
      </c>
      <c r="B6" s="5">
        <v>8000</v>
      </c>
      <c r="C6" s="5">
        <v>21</v>
      </c>
    </row>
    <row r="7" spans="1:5" x14ac:dyDescent="0.2">
      <c r="A7" s="3" t="s">
        <v>18</v>
      </c>
      <c r="B7" s="3">
        <v>9000</v>
      </c>
      <c r="C7" s="3">
        <v>17</v>
      </c>
    </row>
    <row r="8" spans="1:5" x14ac:dyDescent="0.2">
      <c r="A8" s="3" t="s">
        <v>19</v>
      </c>
      <c r="B8" s="3">
        <v>15000</v>
      </c>
      <c r="C8" s="3">
        <v>18</v>
      </c>
      <c r="D8" s="4"/>
      <c r="E8" t="s">
        <v>23</v>
      </c>
    </row>
    <row r="9" spans="1:5" x14ac:dyDescent="0.2">
      <c r="A9" s="3" t="s">
        <v>17</v>
      </c>
      <c r="B9" s="3">
        <v>34000</v>
      </c>
      <c r="C9" s="3">
        <v>16</v>
      </c>
    </row>
    <row r="10" spans="1:5" x14ac:dyDescent="0.2">
      <c r="A10" s="5" t="s">
        <v>21</v>
      </c>
      <c r="B10" s="5">
        <v>9000</v>
      </c>
      <c r="C10" s="5">
        <v>20</v>
      </c>
    </row>
    <row r="11" spans="1:5" x14ac:dyDescent="0.2">
      <c r="A11" s="5" t="s">
        <v>17</v>
      </c>
      <c r="B11" s="5">
        <v>9000</v>
      </c>
      <c r="C11" s="5">
        <v>24</v>
      </c>
    </row>
    <row r="13" spans="1:5" x14ac:dyDescent="0.2">
      <c r="E13">
        <f>AVERAGEIF(C2:C11,"&lt;=18",B2:B11)</f>
        <v>13520</v>
      </c>
    </row>
    <row r="18" spans="1:7" x14ac:dyDescent="0.2">
      <c r="B18" t="s">
        <v>24</v>
      </c>
    </row>
    <row r="20" spans="1:7" x14ac:dyDescent="0.2">
      <c r="B20" t="s">
        <v>25</v>
      </c>
    </row>
    <row r="22" spans="1:7" x14ac:dyDescent="0.2">
      <c r="B22" t="s">
        <v>26</v>
      </c>
    </row>
    <row r="24" spans="1:7" x14ac:dyDescent="0.2">
      <c r="B24" t="s">
        <v>27</v>
      </c>
    </row>
    <row r="27" spans="1:7" x14ac:dyDescent="0.2">
      <c r="A27" s="6"/>
      <c r="B27" s="6"/>
      <c r="C27" s="6"/>
      <c r="D27" s="6"/>
      <c r="E27" s="6"/>
      <c r="F27" s="6"/>
      <c r="G27" s="6"/>
    </row>
    <row r="30" spans="1:7" x14ac:dyDescent="0.2">
      <c r="B30" t="s">
        <v>29</v>
      </c>
    </row>
    <row r="33" spans="1:7" x14ac:dyDescent="0.2">
      <c r="B33">
        <f>AVERAGEIFS(B2:B11,A2:A11,"MH",C2:C11,"&gt;=18",C2:C11,"&lt;=30")</f>
        <v>8500</v>
      </c>
    </row>
    <row r="38" spans="1:7" x14ac:dyDescent="0.2">
      <c r="B38" t="s">
        <v>3</v>
      </c>
    </row>
    <row r="40" spans="1:7" x14ac:dyDescent="0.2">
      <c r="B40" t="s">
        <v>30</v>
      </c>
    </row>
    <row r="42" spans="1:7" x14ac:dyDescent="0.2">
      <c r="B42" t="s">
        <v>31</v>
      </c>
      <c r="F42" t="s">
        <v>32</v>
      </c>
    </row>
    <row r="45" spans="1:7" x14ac:dyDescent="0.2">
      <c r="A45" s="6"/>
      <c r="B45" s="6"/>
      <c r="C45" s="6"/>
      <c r="D45" s="6"/>
      <c r="E45" s="6"/>
      <c r="F45" s="6"/>
      <c r="G45" s="6"/>
    </row>
    <row r="48" spans="1:7" x14ac:dyDescent="0.2">
      <c r="B48" t="s">
        <v>33</v>
      </c>
    </row>
    <row r="51" spans="2:7" x14ac:dyDescent="0.2">
      <c r="B51">
        <f>SUMIFS(B2:B11,A2:A11,"MH",C2:C11,"&gt;=18",C2:C11,"&lt;=30")</f>
        <v>17000</v>
      </c>
    </row>
    <row r="53" spans="2:7" x14ac:dyDescent="0.2">
      <c r="C53" t="s">
        <v>6</v>
      </c>
    </row>
    <row r="55" spans="2:7" x14ac:dyDescent="0.2">
      <c r="C55" t="s">
        <v>34</v>
      </c>
    </row>
    <row r="57" spans="2:7" x14ac:dyDescent="0.2">
      <c r="C57" t="s">
        <v>31</v>
      </c>
      <c r="G57" t="s">
        <v>32</v>
      </c>
    </row>
    <row r="62" spans="2:7" x14ac:dyDescent="0.2">
      <c r="B62" t="s">
        <v>35</v>
      </c>
    </row>
    <row r="64" spans="2:7" x14ac:dyDescent="0.2">
      <c r="B64" t="s">
        <v>25</v>
      </c>
    </row>
    <row r="66" spans="1:8" x14ac:dyDescent="0.2">
      <c r="B66" t="s">
        <v>26</v>
      </c>
    </row>
    <row r="68" spans="1:8" x14ac:dyDescent="0.2">
      <c r="B68" t="s">
        <v>36</v>
      </c>
    </row>
    <row r="70" spans="1:8" x14ac:dyDescent="0.2">
      <c r="A70" s="6"/>
      <c r="B70" s="6"/>
      <c r="C70" s="6"/>
      <c r="D70" s="6"/>
      <c r="E70" s="6"/>
      <c r="F70" s="6"/>
      <c r="G70" s="6"/>
      <c r="H70" s="6"/>
    </row>
    <row r="72" spans="1:8" x14ac:dyDescent="0.2">
      <c r="A72" t="s">
        <v>12</v>
      </c>
      <c r="B72">
        <f>SUMIF(C2:C11,"&lt;=18",B2:B11)</f>
        <v>67600</v>
      </c>
    </row>
    <row r="73" spans="1:8" x14ac:dyDescent="0.2">
      <c r="A73" t="s">
        <v>37</v>
      </c>
      <c r="B73">
        <f>AVERAGEIF(C2:C11,"&lt;=18",B2:B11)</f>
        <v>13520</v>
      </c>
    </row>
    <row r="76" spans="1:8" x14ac:dyDescent="0.2">
      <c r="A76" s="6"/>
      <c r="B76" s="6"/>
      <c r="C76" s="6"/>
      <c r="D76" s="6"/>
      <c r="E76" s="6"/>
      <c r="F76" s="6"/>
      <c r="G76" s="6"/>
      <c r="H76" s="6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7730E-5917-164A-9B16-7A7A6B5A11D8}">
  <dimension ref="A1:K24"/>
  <sheetViews>
    <sheetView tabSelected="1" zoomScale="188" workbookViewId="0">
      <selection activeCell="D10" sqref="D10"/>
    </sheetView>
  </sheetViews>
  <sheetFormatPr baseColWidth="10" defaultRowHeight="16" x14ac:dyDescent="0.2"/>
  <cols>
    <col min="1" max="1" width="15.33203125" bestFit="1" customWidth="1"/>
    <col min="2" max="2" width="10.33203125" bestFit="1" customWidth="1"/>
    <col min="3" max="3" width="12.83203125" style="7" bestFit="1" customWidth="1"/>
  </cols>
  <sheetData>
    <row r="1" spans="1:11" x14ac:dyDescent="0.2">
      <c r="A1" t="s">
        <v>46</v>
      </c>
      <c r="B1" t="s">
        <v>47</v>
      </c>
      <c r="C1" s="7" t="s">
        <v>48</v>
      </c>
    </row>
    <row r="2" spans="1:11" x14ac:dyDescent="0.2">
      <c r="A2" t="s">
        <v>39</v>
      </c>
      <c r="B2" t="s">
        <v>40</v>
      </c>
      <c r="C2" s="7">
        <v>2000</v>
      </c>
      <c r="E2" t="b" cm="1">
        <f t="array" ref="E2:E6">(A2:A6=D8)</f>
        <v>0</v>
      </c>
    </row>
    <row r="3" spans="1:11" x14ac:dyDescent="0.2">
      <c r="A3" t="s">
        <v>41</v>
      </c>
      <c r="B3" t="s">
        <v>40</v>
      </c>
      <c r="C3" s="7">
        <v>25870</v>
      </c>
      <c r="E3" t="b">
        <v>0</v>
      </c>
    </row>
    <row r="4" spans="1:11" x14ac:dyDescent="0.2">
      <c r="A4" t="s">
        <v>39</v>
      </c>
      <c r="B4" t="s">
        <v>42</v>
      </c>
      <c r="C4" s="7">
        <v>50000</v>
      </c>
      <c r="E4" t="b">
        <v>0</v>
      </c>
    </row>
    <row r="5" spans="1:11" x14ac:dyDescent="0.2">
      <c r="A5" t="s">
        <v>43</v>
      </c>
      <c r="B5" t="s">
        <v>44</v>
      </c>
      <c r="C5" s="7">
        <v>80</v>
      </c>
      <c r="E5" t="b">
        <v>0</v>
      </c>
      <c r="I5" t="s">
        <v>50</v>
      </c>
      <c r="J5" t="s">
        <v>51</v>
      </c>
      <c r="K5" t="s">
        <v>48</v>
      </c>
    </row>
    <row r="6" spans="1:11" x14ac:dyDescent="0.2">
      <c r="A6" t="s">
        <v>45</v>
      </c>
      <c r="B6" t="s">
        <v>44</v>
      </c>
      <c r="C6" s="7">
        <v>600</v>
      </c>
      <c r="E6" t="b">
        <v>1</v>
      </c>
      <c r="I6">
        <v>2</v>
      </c>
      <c r="J6">
        <v>400</v>
      </c>
      <c r="K6">
        <f>I6*J6</f>
        <v>800</v>
      </c>
    </row>
    <row r="7" spans="1:11" x14ac:dyDescent="0.2">
      <c r="I7">
        <v>3</v>
      </c>
      <c r="J7">
        <v>300</v>
      </c>
      <c r="K7">
        <f>I7*J7</f>
        <v>900</v>
      </c>
    </row>
    <row r="8" spans="1:11" x14ac:dyDescent="0.2">
      <c r="D8" t="s">
        <v>45</v>
      </c>
      <c r="E8" t="s">
        <v>44</v>
      </c>
      <c r="I8">
        <v>6</v>
      </c>
      <c r="J8">
        <v>200</v>
      </c>
      <c r="K8">
        <f>I8*J8</f>
        <v>1200</v>
      </c>
    </row>
    <row r="9" spans="1:11" x14ac:dyDescent="0.2">
      <c r="C9" s="7" t="s">
        <v>49</v>
      </c>
      <c r="D9" cm="1">
        <f t="array" ref="D9">SUMPRODUCT((A2:A6=D8)*(B2:B6=E8)*C2:C6)</f>
        <v>600</v>
      </c>
    </row>
    <row r="10" spans="1:11" x14ac:dyDescent="0.2">
      <c r="I10" t="s">
        <v>52</v>
      </c>
      <c r="K10">
        <f>SUM(K6:K8)</f>
        <v>2900</v>
      </c>
    </row>
    <row r="13" spans="1:11" x14ac:dyDescent="0.2">
      <c r="J13">
        <f>SUMPRODUCT(I6:I8,J6:J8)</f>
        <v>2900</v>
      </c>
    </row>
    <row r="24" spans="2:2" x14ac:dyDescent="0.2">
      <c r="B24" t="s">
        <v>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agenda</vt:lpstr>
      <vt:lpstr>CONDITIONALs</vt:lpstr>
      <vt:lpstr>SUM_PROD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2026-01-10T15:35:57Z</dcterms:created>
  <dcterms:modified xsi:type="dcterms:W3CDTF">2026-01-10T17:39:28Z</dcterms:modified>
</cp:coreProperties>
</file>