
<file path=[Content_Types].xml><?xml version="1.0" encoding="utf-8"?>
<Types xmlns="http://schemas.openxmlformats.org/package/2006/content-types"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E023FD71-3839-8841-813B-EB4F8C41755A}" xr6:coauthVersionLast="47" xr6:coauthVersionMax="47" xr10:uidLastSave="{00000000-0000-0000-0000-000000000000}"/>
  <bookViews>
    <workbookView xWindow="0" yWindow="600" windowWidth="28800" windowHeight="17400" activeTab="2" xr2:uid="{50D09512-B9FD-DD40-A3B5-9F8508CBE3BD}"/>
  </bookViews>
  <sheets>
    <sheet name="agenda" sheetId="1" r:id="rId1"/>
    <sheet name="TEXT" sheetId="2" r:id="rId2"/>
    <sheet name="text_funs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3" i="3" l="1"/>
  <c r="C90" i="3"/>
  <c r="B76" i="3"/>
  <c r="B74" i="3"/>
  <c r="B72" i="3"/>
  <c r="B58" i="3"/>
  <c r="B56" i="3"/>
  <c r="B54" i="3"/>
  <c r="B29" i="3"/>
  <c r="B31" i="3" s="1"/>
  <c r="D29" i="3"/>
  <c r="B18" i="3"/>
  <c r="B15" i="3"/>
  <c r="G4" i="3"/>
  <c r="G3" i="3"/>
  <c r="B105" i="2"/>
  <c r="D105" i="2" s="1"/>
  <c r="C92" i="2"/>
  <c r="B82" i="2"/>
  <c r="H82" i="2" s="1"/>
  <c r="B85" i="2"/>
  <c r="E85" i="2" s="1"/>
  <c r="B75" i="2"/>
  <c r="B78" i="2" s="1"/>
  <c r="B62" i="2"/>
  <c r="E59" i="2"/>
  <c r="D48" i="2"/>
  <c r="D51" i="2"/>
  <c r="F39" i="2"/>
  <c r="F40" i="2"/>
  <c r="F38" i="2"/>
  <c r="D39" i="2"/>
  <c r="D40" i="2"/>
  <c r="D38" i="2"/>
  <c r="G19" i="2"/>
  <c r="G20" i="2"/>
  <c r="G21" i="2"/>
  <c r="G22" i="2"/>
  <c r="E76" i="3"/>
  <c r="E74" i="3"/>
  <c r="E72" i="3"/>
  <c r="D56" i="3"/>
  <c r="D54" i="3"/>
  <c r="B77" i="2"/>
  <c r="B64" i="2"/>
  <c r="G15" i="2"/>
  <c r="D31" i="3" l="1"/>
  <c r="E82" i="2"/>
  <c r="G82" i="2"/>
  <c r="D82" i="2"/>
  <c r="F82" i="2"/>
  <c r="H85" i="2"/>
  <c r="D85" i="2"/>
  <c r="G85" i="2"/>
  <c r="F85" i="2"/>
</calcChain>
</file>

<file path=xl/sharedStrings.xml><?xml version="1.0" encoding="utf-8"?>
<sst xmlns="http://schemas.openxmlformats.org/spreadsheetml/2006/main" count="70" uniqueCount="69">
  <si>
    <t>TEXT FUNCTIONS</t>
  </si>
  <si>
    <t>TEXT :</t>
  </si>
  <si>
    <t>any combination of characters ( which is inside double quotes)</t>
  </si>
  <si>
    <t>TEXT()</t>
  </si>
  <si>
    <t>FORMATTING different things in different way as text</t>
  </si>
  <si>
    <t>VALUE:</t>
  </si>
  <si>
    <t>FORMAT_TEXT:</t>
  </si>
  <si>
    <t>The text we want to format ( i/p)</t>
  </si>
  <si>
    <t xml:space="preserve">The way we want to format the text </t>
  </si>
  <si>
    <t>WHAT</t>
  </si>
  <si>
    <t>HOW</t>
  </si>
  <si>
    <t>LEADING ( LEFT ) ZEROS</t>
  </si>
  <si>
    <t>WITHOUT FORMATTING</t>
  </si>
  <si>
    <t>TEXT</t>
  </si>
  <si>
    <t>CURRENCY</t>
  </si>
  <si>
    <t>1K</t>
  </si>
  <si>
    <t>for thousands</t>
  </si>
  <si>
    <t>for Million</t>
  </si>
  <si>
    <t>#,##0.00, \K</t>
  </si>
  <si>
    <t>#,##0.00,, \M</t>
  </si>
  <si>
    <t>Phn Num formatting</t>
  </si>
  <si>
    <t>(+91) XXXXX XXXXX</t>
  </si>
  <si>
    <t>(+1) XXX-XXX-XXXX</t>
  </si>
  <si>
    <t>Perc Formatting</t>
  </si>
  <si>
    <t>CONCAT()</t>
  </si>
  <si>
    <t>To combine two or more strings</t>
  </si>
  <si>
    <t>Fname</t>
  </si>
  <si>
    <t>Lname</t>
  </si>
  <si>
    <t xml:space="preserve">Utkarsh </t>
  </si>
  <si>
    <t>Sahu</t>
  </si>
  <si>
    <t>Virendra</t>
  </si>
  <si>
    <t xml:space="preserve"> Singh</t>
  </si>
  <si>
    <t>dd</t>
  </si>
  <si>
    <t>ddd</t>
  </si>
  <si>
    <t>dddd</t>
  </si>
  <si>
    <t>mm</t>
  </si>
  <si>
    <t>mmm</t>
  </si>
  <si>
    <t>mmmm</t>
  </si>
  <si>
    <t>yy</t>
  </si>
  <si>
    <t>yyy</t>
  </si>
  <si>
    <t>yyyy</t>
  </si>
  <si>
    <t>DATE</t>
  </si>
  <si>
    <t>%</t>
  </si>
  <si>
    <t>My Results were announced on &lt;DATE&gt; and I secure &lt;%&gt;</t>
  </si>
  <si>
    <t>My Results were announced on 21/04/2026 and I secure 90%</t>
  </si>
  <si>
    <t>DATE formatting</t>
  </si>
  <si>
    <t xml:space="preserve"> Time formatting</t>
  </si>
  <si>
    <t>Join 2 or more strings</t>
  </si>
  <si>
    <t>&amp;</t>
  </si>
  <si>
    <t>char()</t>
  </si>
  <si>
    <t>TRIM()</t>
  </si>
  <si>
    <t>remove extra spaces</t>
  </si>
  <si>
    <t>LEN()</t>
  </si>
  <si>
    <t>Counts the length of text OR counts number of characters inside the string</t>
  </si>
  <si>
    <t>LEFT()</t>
  </si>
  <si>
    <t>To get "n"chars from left of string</t>
  </si>
  <si>
    <t>To get "n"chars from RIGHT of string</t>
  </si>
  <si>
    <t>RIGHT()</t>
  </si>
  <si>
    <t>MID()</t>
  </si>
  <si>
    <t>To get "n"chars from some other starting point inside string</t>
  </si>
  <si>
    <t>my name is utkarsh</t>
  </si>
  <si>
    <t>UPPER</t>
  </si>
  <si>
    <t>LOWER</t>
  </si>
  <si>
    <t>PROPER</t>
  </si>
  <si>
    <t>UtkAegf jkku KhgDShh</t>
  </si>
  <si>
    <t>EXACT()</t>
  </si>
  <si>
    <t>to check if two strings are exactly equal</t>
  </si>
  <si>
    <t>Utkarsh</t>
  </si>
  <si>
    <t>utkarsh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</si>
</sst>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22"/>
      <color theme="1"/>
      <name val="Aptos Narrow (Body)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0" fontId="4" fillId="0" borderId="0" xfId="0" applyFont="1"/>
    <xf numFmtId="0" fontId="2" fillId="3" borderId="0" xfId="0" applyFont="1" applyFill="1"/>
    <xf numFmtId="43" fontId="0" fillId="0" borderId="0" xfId="1" applyFont="1"/>
    <xf numFmtId="0" fontId="4" fillId="3" borderId="0" xfId="0" applyFont="1" applyFill="1"/>
    <xf numFmtId="1" fontId="4" fillId="0" borderId="0" xfId="0" applyNumberFormat="1" applyFont="1"/>
    <xf numFmtId="9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4" fillId="4" borderId="0" xfId="0" applyFont="1" applyFill="1"/>
    <xf numFmtId="14" fontId="0" fillId="4" borderId="0" xfId="0" applyNumberFormat="1" applyFill="1"/>
    <xf numFmtId="9" fontId="0" fillId="4" borderId="0" xfId="0" applyNumberFormat="1" applyFill="1"/>
    <xf numFmtId="2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ustomXml" Target="../ink/ink4.xml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2" Type="http://schemas.openxmlformats.org/officeDocument/2006/relationships/customXml" Target="../ink/ink1.xml"/><Relationship Id="rId1" Type="http://schemas.openxmlformats.org/officeDocument/2006/relationships/image" Target="../media/image2.gif"/><Relationship Id="rId6" Type="http://schemas.openxmlformats.org/officeDocument/2006/relationships/customXml" Target="../ink/ink3.xm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0" Type="http://schemas.openxmlformats.org/officeDocument/2006/relationships/customXml" Target="../ink/ink5.xml"/><Relationship Id="rId4" Type="http://schemas.openxmlformats.org/officeDocument/2006/relationships/customXml" Target="../ink/ink2.xml"/><Relationship Id="rId9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791256</xdr:colOff>
      <xdr:row>0</xdr:row>
      <xdr:rowOff>179529</xdr:rowOff>
    </xdr:from>
    <xdr:to>
      <xdr:col>4</xdr:col>
      <xdr:colOff>105522</xdr:colOff>
      <xdr:row>6</xdr:row>
      <xdr:rowOff>123875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A8968-6F77-5407-F208-9E1870D8B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1256" y="179529"/>
          <a:ext cx="3263900" cy="1181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455792</xdr:colOff>
      <xdr:row>7</xdr:row>
      <xdr:rowOff>158750</xdr:rowOff>
    </xdr:from>
    <xdr:to>
      <xdr:col>5</xdr:col>
      <xdr:colOff>594272</xdr:colOff>
      <xdr:row>17</xdr:row>
      <xdr:rowOff>137948</xdr:rowOff>
    </xdr:to>
    <xdr:pic>
      <xdr:nvPicPr>
        <xdr:cNvPr id="2" name="Picture 1" descr="ASCII Conversion Chart">
          <a:extLst>
            <a:ext uri="{FF2B5EF4-FFF2-40B4-BE49-F238E27FC236}">
              <a16:creationId xmlns:a16="http://schemas.microsoft.com/office/drawing/2014/main" id="{960DAE4D-F880-E525-6FB3-ABC65BB26A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08982" y="1576552"/>
          <a:ext cx="2618264" cy="20046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85838</xdr:colOff>
      <xdr:row>51</xdr:row>
      <xdr:rowOff>9964</xdr:rowOff>
    </xdr:from>
    <xdr:to>
      <xdr:col>2</xdr:col>
      <xdr:colOff>374918</xdr:colOff>
      <xdr:row>52</xdr:row>
      <xdr:rowOff>14373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A04DA8B3-6059-F23A-07F9-396512C5F1B2}"/>
                </a:ext>
              </a:extLst>
            </xdr14:cNvPr>
            <xdr14:cNvContentPartPr/>
          </xdr14:nvContentPartPr>
          <xdr14:nvPr macro=""/>
          <xdr14:xfrm>
            <a:off x="1732320" y="10250280"/>
            <a:ext cx="289080" cy="20520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A04DA8B3-6059-F23A-07F9-396512C5F1B2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726200" y="10244160"/>
              <a:ext cx="301320" cy="21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64519</xdr:colOff>
      <xdr:row>51</xdr:row>
      <xdr:rowOff>14284</xdr:rowOff>
    </xdr:from>
    <xdr:to>
      <xdr:col>1</xdr:col>
      <xdr:colOff>66319</xdr:colOff>
      <xdr:row>51</xdr:row>
      <xdr:rowOff>15364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94192602-F7B1-18F5-5E43-0A8791CE6239}"/>
                </a:ext>
              </a:extLst>
            </xdr14:cNvPr>
            <xdr14:cNvContentPartPr/>
          </xdr14:nvContentPartPr>
          <xdr14:nvPr macro=""/>
          <xdr14:xfrm>
            <a:off x="887760" y="10254600"/>
            <a:ext cx="1800" cy="108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94192602-F7B1-18F5-5E43-0A8791CE6239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881640" y="10248480"/>
              <a:ext cx="14040" cy="1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169279</xdr:colOff>
      <xdr:row>51</xdr:row>
      <xdr:rowOff>13564</xdr:rowOff>
    </xdr:from>
    <xdr:to>
      <xdr:col>1</xdr:col>
      <xdr:colOff>260719</xdr:colOff>
      <xdr:row>51</xdr:row>
      <xdr:rowOff>19684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CDC2D61C-05A1-39FD-DB19-7DFAC5D21290}"/>
                </a:ext>
              </a:extLst>
            </xdr14:cNvPr>
            <xdr14:cNvContentPartPr/>
          </xdr14:nvContentPartPr>
          <xdr14:nvPr macro=""/>
          <xdr14:xfrm>
            <a:off x="992520" y="10253880"/>
            <a:ext cx="91440" cy="612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CDC2D61C-05A1-39FD-DB19-7DFAC5D2129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986400" y="10247377"/>
              <a:ext cx="103680" cy="191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297079</xdr:colOff>
      <xdr:row>51</xdr:row>
      <xdr:rowOff>12484</xdr:rowOff>
    </xdr:from>
    <xdr:to>
      <xdr:col>1</xdr:col>
      <xdr:colOff>584359</xdr:colOff>
      <xdr:row>52</xdr:row>
      <xdr:rowOff>38133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7A4BBCB2-E84C-DB01-493E-90110CAF61E9}"/>
                </a:ext>
              </a:extLst>
            </xdr14:cNvPr>
            <xdr14:cNvContentPartPr/>
          </xdr14:nvContentPartPr>
          <xdr14:nvPr macro=""/>
          <xdr14:xfrm>
            <a:off x="1120320" y="10252800"/>
            <a:ext cx="287280" cy="22644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7A4BBCB2-E84C-DB01-493E-90110CAF61E9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1114200" y="10246680"/>
              <a:ext cx="299520" cy="23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520920</xdr:colOff>
      <xdr:row>51</xdr:row>
      <xdr:rowOff>187084</xdr:rowOff>
    </xdr:from>
    <xdr:to>
      <xdr:col>1</xdr:col>
      <xdr:colOff>479959</xdr:colOff>
      <xdr:row>58</xdr:row>
      <xdr:rowOff>98070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A0754CB3-A5BA-19FA-5307-42DF4342EC21}"/>
                </a:ext>
              </a:extLst>
            </xdr14:cNvPr>
            <xdr14:cNvContentPartPr/>
          </xdr14:nvContentPartPr>
          <xdr14:nvPr macro=""/>
          <xdr14:xfrm>
            <a:off x="520920" y="10427400"/>
            <a:ext cx="782280" cy="131652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A0754CB3-A5BA-19FA-5307-42DF4342EC21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514800" y="10421280"/>
              <a:ext cx="794520" cy="13287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21T17:02:13.68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705 31 24575,'0'0'0</inkml:trace>
  <inkml:trace contextRef="#ctx0" brushRef="#br0" timeOffset="615">509 36 24575,'0'0'0</inkml:trace>
  <inkml:trace contextRef="#ctx0" brushRef="#br0" timeOffset="1181">295 53 24575,'0'0'0</inkml:trace>
  <inkml:trace contextRef="#ctx0" brushRef="#br0" timeOffset="1765">181 50 24575,'0'0'0</inkml:trace>
  <inkml:trace contextRef="#ctx0" brushRef="#br0" timeOffset="6031">144 565 24575,'77'0'0,"20"0"0,-37 0 0,1 0 0,0 0 0,-3 0 0,33 0 0,-27 0 0,-24 0 0,-18 0 0,-12 0 0,-5 1 0,-2 1 0,-2-1 0,-1-5 0,0-8 0,1-9 0,0-8 0,1-3 0,0-1 0,0 3 0,-1 4 0,-1 5 0,0 6 0,0 3 0,-1 1 0,-1-1 0,-1-5 0,-2-10 0,2-10 0,1-12 0,0-4 0,1 5 0,-1 11 0,0 14 0,-1 11 0,0 6 0,-1 4 0,0 2 0,0 0 0,0 0 0,0 1 0,-2 2 0,-3 1 0,-1 1 0,-4 0 0,-2 0 0,-1-2 0,-2 1 0,-2-2 0,-3-1 0,-3 0 0,-1-1 0,2 0 0,3 1 0,3 1 0,1 2 0,0 2 0,-2-1 0,-1-1 0,1-2 0,1-1 0,2-1 0,3 0 0,2 0 0,2 0 0,2 0 0,0 0 0,1 0 0,1 0 0,1 0 0,-1-1 0,1-1 0,0-1 0,-1-1 0,1 1 0,0 0 0,-1 1 0,1 1 0,-1-1 0,-1 0 0,1 0 0,-1 2 0,1-1 0,-1 0 0,1 0 0,-2 0 0,0 1 0,-2 0 0,-1 0 0,0 0 0,0 0 0,-1 1 0,-1 2 0,0 1 0,0 1 0,2-1 0,2-1 0,3-1 0,2 1 0,0 1 0,1 2 0,1 0 0,0 1 0,1 2 0,1 1 0,1 0 0,0 0 0,0-1 0,0 0 0,0-2 0,0 1 0,0-1 0,0-1 0,0 1 0,0-1 0,0 0 0,0 0 0,0-1 0,0 0 0,0 0 0,0 0 0,0 0 0,0 3 0,0 4 0,0 2 0,0 1 0,0 0 0,0-2 0,0-2 0,0-2 0,0-1 0,0-1 0,0-2 0,0-1 0,0-1 0,0 1 0,0 0 0,0 1 0,0 1 0,0 3 0,0 5 0,0 2 0,0 1 0,1-2 0,1-4 0,0-2 0,-1-2 0,1 0 0,0-2 0,0 0 0,-1-1 0,1 0 0,0 1 0,0-1 0,1 1 0,-1-1 0,1 0 0,0 0 0,0 0 0,2-1 0,-1 2 0,1-2 0,0 1 0,1-1 0,1-1 0,-2 0 0,1-1 0,0 0 0,0 1 0,1 1 0,1 1 0,-2-1 0,0 0 0,-1 0 0,-2-2 0,0 0 0,-1-1 0,-1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21T17:03:08.26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 0 24575,'-2'1'0,"0"0"0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21T17:03:08.81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4 24575,'0'0'0</inkml:trace>
  <inkml:trace contextRef="#ctx0" brushRef="#br0" timeOffset="750">111 1 24575,'0'0'0</inkml:trace>
  <inkml:trace contextRef="#ctx0" brushRef="#br0" timeOffset="1417">254 16 24575,'0'0'0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21T17:03:17.100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231 39 24575,'-2'-4'0,"-2"2"0,-8 1 0,-8 1 0,-7 0 0,-4 0 0,2 0 0,6 0 0,7 0 0,6 0 0,4 0 0,3 3 0,1 1 0,2 3 0,0 2 0,0 2 0,0 0 0,0 1 0,0 0 0,0 0 0,0 0 0,0 0 0,-1 1 0,-2 0 0,0 0 0,0-1 0,-1-2 0,2 0 0,-1 0 0,0 1 0,0 1 0,0 0 0,-1 0 0,2 0 0,-1 0 0,1 1 0,-1-2 0,1 0 0,1-1 0,0-1 0,1-1 0,0 1 0,0-2 0,0 0 0,0-2 0,0 1 0,0 0 0,0 1 0,0 0 0,0 0 0,0 4 0,0 5 0,0 5 0,0 4 0,0-2 0,0-4 0,0-5 0,0-6 0,1-4 0,2-2 0,1-1 0,1-1 0,1-1 0,0-2 0,1 0 0,2-2 0,3 2 0,2 1 0,1 1 0,-1 1 0,-2 0 0,-1 0 0,-1 0 0,-2 0 0,-1 0 0,2 0 0,2 0 0,2 1 0,1 1 0,1 1 0,-1 0 0,-2 0 0,-3 0 0,1 0 0,0 1 0,4 1 0,5 2 0,5 0 0,4 2 0,-1-1 0,-6-2 0,-3-1 0,-4-1 0,1-1 0,4 1 0,4 0 0,0-1 0,-1-1 0,-5-1 0,-5-1 0,-2 0 0,-2 0 0,2 0 0,2 0 0,2 0 0,3 0 0,1 0 0,3 0 0,-2 0 0,-2 0 0,-5 0 0,-3 0 0,-2 0 0,-1-1 0,-2-1 0,0-1 0,0 0 0,0-2 0,2 0 0,-1 0 0,1 1 0,-1-2 0,-2-2 0,1-3 0,-2-2 0,-1-2 0,1 1 0,-1 0 0,1 0 0,0 0 0,-1 2 0,1 2 0,-1 2 0,0 0 0,-1 1 0,0-2 0,0 1 0,0-1 0,0 1 0,0 1 0,0 1 0,0 0 0,0 1 0,0-2 0,0 1 0,0-2 0,0 1 0,0-1 0,0 2 0,0-1 0,0 1 0,0 0 0,0-1 0,0 1 0,0 1 0,0 1 0,0 1 0,0 0 0,0 0 0,0-2 0,0-2 0,0-2 0,0-3 0,0-2 0,0-2 0,0 2 0,0 3 0,0 3 0,0 2 0,-2 3 0,-1 1 0,0 0 0,-2 0 0,0-1 0,-2-1 0,-2-1 0,-1-1 0,-2 1 0,-3 0 0,-4-2 0,-3 0 0,-6-1 0,-4-1 0,-4-2 0,-4-1 0,-1 0 0,0 0 0,3 1 0,4 1 0,4 1 0,5 0 0,2 1 0,2-1 0,2 1 0,2 2 0,2 2 0,4 2 0,3 0 0,3 1 0,0 1 0,2 2 0,0-2 0,2 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21T17:03:22.099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2173 1 24575,'-10'0'0,"-10"0"0,-25 0 0,-35 0 0,24-1 0,-5 2 0,-14 0 0,-2 1 0,-8 4 0,-1 2 0,-4 5 0,0 4 0,0 5 0,0 4 0,2 4 0,1 3 0,3 2 0,2 0 0,7 0 0,3-1 0,7-1 0,3 0 0,10-3 0,3 1 0,6-2 0,3 1 0,-34 33 0,10 2 0,3 9 0,8 7 0,28-36 0,2 1 0,2 5 0,2 1 0,2 5 0,2 2 0,2 2 0,2 1 0,3 1 0,2 1 0,2-1 0,1 0 0,2-4 0,0 1 0,1-2 0,0 0 0,2 1 0,1-1 0,2 3 0,3 1 0,4 2 0,2-1 0,2-1 0,2-1 0,1-4 0,0-2 0,-1-6 0,1-2 0,17 37 0,-2-10 0,0-8 0,-1-5 0,3 4 0,5 4 0,9 4 0,6-4 0,3-8 0,2-5 0,2-4 0,4 1 0,4 1 0,8 0 0,-2-4 0,-6-9 0,-16-12 0,-20-12 0,-15-8 0,-10-6 0,-6-4 0,-4-3 0,-6-3 0,-6-1 0,-6-1 0,-1-1 0,1 2 0,3 2 0,3 0 0,1 2 0,0 0 0,2 0 0,0 0 0,1 1 0,-3 0 0,-2-2 0,-3-2 0,-1-3 0,-1-3 0,3 0 0,4 1 0,5 2 0,4 1 0,1 3 0,3 2 0,2 2 0,4 1 0,3 1 0,4 0 0,4 0 0,9 0 0,8 0 0,10-3 0,4-2 0,-4-2 0,-8 0 0,-12 1 0,-9 4 0,-8 1 0,-7 2 0,-6 6 0,-6 7 0,-5 6 0,-6 5 0,-5 6 0,-7 4 0,-7 4 0,-6 4 0,-3 2 0,-3 1 0,2-5 0,6-7 0,11-10 0,10-8 0,8-7 0,7-5 0,5-6 0,6-7 0,3-5 0,2-1 0,0 2 0,-1 5 0,-1 4 0,-1 2 0,0 2 0,-1-1 0,1-2 0,1-1 0,0-3 0,4-1 0,5-5 0,5-4 0,5-4 0,2-3 0,0-1 0,1-3 0,0 0 0,-2 1 0,-6 5 0,-5 7 0,-6 4 0,-3 4 0,-3 1 0,-2 2 0,-2 1 0,-3 0 0,-4 1 0,-6-1 0,-4-1 0,1-1 0,2-2 0,4 1 0,3-1 0,0 2 0,3 1 0,-1 1 0,1 1 0,-1 2 0,1 0 0,0 4 0,-1 3 0,0 4 0,1 2 0,0-1 0,1-2 0,1-2 0,-1-2 0,1-2 0,2-4 0,1-5 0,2-4 0,5-1 0,3 1 0,4 4 0,4 1 0,3 3 0,5 1 0,5 0 0,1 0 0,-3 0 0,-6 0 0,-8 0 0,-6 1 0,-4 1 0,-3 2 0,-2 3 0,-2 5 0,-6 3 0,-5 1 0,-4 0 0,-2-1 0,1-4 0,2 0 0,3-3 0,3-3 0,2-2 0,2-4 0,3-3 0,3-5 0,5-5 0,4-3 0,2-1 0,2 1 0,-2 3 0,-1 2 0,-1 2 0,-3 3 0,-3 1 0,-1 3 0,-2 1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CB0BC-81F4-C94F-AD5C-B257F4F9C3B1}">
  <dimension ref="B2:H17"/>
  <sheetViews>
    <sheetView topLeftCell="A7" zoomScale="225" workbookViewId="0">
      <selection activeCell="C17" sqref="C17"/>
    </sheetView>
  </sheetViews>
  <sheetFormatPr baseColWidth="10" defaultRowHeight="16" x14ac:dyDescent="0.2"/>
  <sheetData>
    <row r="2" spans="2:8" x14ac:dyDescent="0.2">
      <c r="B2" s="2" t="s">
        <v>0</v>
      </c>
      <c r="C2" s="1"/>
      <c r="D2" s="1"/>
      <c r="E2" s="1"/>
    </row>
    <row r="3" spans="2:8" x14ac:dyDescent="0.2">
      <c r="B3" s="1"/>
      <c r="C3" s="1"/>
      <c r="D3" s="1"/>
      <c r="E3" s="1"/>
    </row>
    <row r="7" spans="2:8" x14ac:dyDescent="0.2">
      <c r="C7" t="s">
        <v>1</v>
      </c>
      <c r="D7" t="s">
        <v>2</v>
      </c>
    </row>
    <row r="10" spans="2:8" x14ac:dyDescent="0.2">
      <c r="B10" s="3"/>
      <c r="C10" s="3"/>
      <c r="D10" s="3"/>
      <c r="E10" s="3"/>
      <c r="F10" s="3"/>
      <c r="G10" s="3"/>
      <c r="H10" s="3"/>
    </row>
    <row r="13" spans="2:8" x14ac:dyDescent="0.2">
      <c r="B13" s="4"/>
      <c r="C13" s="4"/>
      <c r="D13" s="4"/>
      <c r="E13" s="4"/>
      <c r="F13" s="4"/>
      <c r="G13" s="4"/>
    </row>
    <row r="14" spans="2:8" x14ac:dyDescent="0.2">
      <c r="B14" s="4"/>
      <c r="C14" s="4" t="s">
        <v>3</v>
      </c>
      <c r="D14" s="4"/>
      <c r="E14" s="4" t="s">
        <v>4</v>
      </c>
      <c r="F14" s="4"/>
      <c r="G14" s="4"/>
    </row>
    <row r="15" spans="2:8" x14ac:dyDescent="0.2">
      <c r="B15" s="4"/>
      <c r="C15" s="4"/>
      <c r="D15" s="4"/>
      <c r="E15" s="4"/>
      <c r="F15" s="4"/>
      <c r="G15" s="4"/>
    </row>
    <row r="17" spans="3:5" x14ac:dyDescent="0.2">
      <c r="C17" t="s">
        <v>24</v>
      </c>
      <c r="E17" t="s">
        <v>25</v>
      </c>
    </row>
  </sheetData>
  <mergeCells count="1">
    <mergeCell ref="B2: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F65B-857D-714C-835F-41BA11AA9B04}">
  <dimension ref="A9:N109"/>
  <sheetViews>
    <sheetView topLeftCell="A70" zoomScale="191" workbookViewId="0">
      <selection activeCell="H10" sqref="H10"/>
    </sheetView>
  </sheetViews>
  <sheetFormatPr baseColWidth="10" defaultRowHeight="16" x14ac:dyDescent="0.2"/>
  <cols>
    <col min="2" max="2" width="15.5" bestFit="1" customWidth="1"/>
    <col min="3" max="3" width="14.6640625" bestFit="1" customWidth="1"/>
  </cols>
  <sheetData>
    <row r="9" spans="1:10" x14ac:dyDescent="0.2">
      <c r="C9" t="s">
        <v>5</v>
      </c>
      <c r="E9" t="s">
        <v>7</v>
      </c>
      <c r="I9" t="s">
        <v>9</v>
      </c>
    </row>
    <row r="10" spans="1:10" x14ac:dyDescent="0.2">
      <c r="C10" t="s">
        <v>6</v>
      </c>
      <c r="E10" t="s">
        <v>8</v>
      </c>
      <c r="I10" t="s">
        <v>10</v>
      </c>
    </row>
    <row r="13" spans="1:10" x14ac:dyDescent="0.2">
      <c r="A13" s="3"/>
      <c r="B13" s="3"/>
      <c r="C13" s="3"/>
      <c r="D13" s="3"/>
      <c r="E13" s="3"/>
      <c r="F13" s="3"/>
      <c r="G13" s="3"/>
      <c r="H13" s="3"/>
      <c r="I13" s="3"/>
      <c r="J13" s="3"/>
    </row>
    <row r="15" spans="1:10" x14ac:dyDescent="0.2">
      <c r="B15" s="5" t="s">
        <v>11</v>
      </c>
      <c r="C15" s="3"/>
      <c r="G15" t="str">
        <f ca="1">_xlfn.FORMULATEXT(G19)</f>
        <v>=TEXT(B19,"000000")</v>
      </c>
    </row>
    <row r="18" spans="1:9" x14ac:dyDescent="0.2">
      <c r="B18" s="4" t="s">
        <v>13</v>
      </c>
      <c r="C18" s="4"/>
      <c r="D18" s="4" t="s">
        <v>12</v>
      </c>
    </row>
    <row r="19" spans="1:9" x14ac:dyDescent="0.2">
      <c r="B19" s="4">
        <v>1</v>
      </c>
      <c r="C19" s="4"/>
      <c r="D19" s="4">
        <v>1</v>
      </c>
      <c r="G19" t="str">
        <f>TEXT(B19,"000000")</f>
        <v>000001</v>
      </c>
    </row>
    <row r="20" spans="1:9" x14ac:dyDescent="0.2">
      <c r="B20" s="4">
        <v>12</v>
      </c>
      <c r="C20" s="4"/>
      <c r="D20" s="4">
        <v>12</v>
      </c>
      <c r="G20" t="str">
        <f t="shared" ref="G20:G23" si="0">TEXT(B20,"000000")</f>
        <v>000012</v>
      </c>
    </row>
    <row r="21" spans="1:9" x14ac:dyDescent="0.2">
      <c r="B21" s="4">
        <v>156</v>
      </c>
      <c r="C21" s="4"/>
      <c r="D21" s="4">
        <v>156</v>
      </c>
      <c r="G21" t="str">
        <f t="shared" si="0"/>
        <v>000156</v>
      </c>
    </row>
    <row r="22" spans="1:9" x14ac:dyDescent="0.2">
      <c r="B22" s="4">
        <v>19082</v>
      </c>
      <c r="C22" s="4"/>
      <c r="D22" s="4">
        <v>19082</v>
      </c>
      <c r="G22" t="str">
        <f t="shared" si="0"/>
        <v>019082</v>
      </c>
    </row>
    <row r="26" spans="1:9" x14ac:dyDescent="0.2">
      <c r="A26" s="3"/>
      <c r="B26" s="3"/>
      <c r="C26" s="3"/>
      <c r="D26" s="3"/>
      <c r="E26" s="3"/>
      <c r="F26" s="3"/>
      <c r="G26" s="3"/>
      <c r="H26" s="3"/>
      <c r="I26" s="3"/>
    </row>
    <row r="29" spans="1:9" x14ac:dyDescent="0.2">
      <c r="B29" s="5" t="s">
        <v>14</v>
      </c>
    </row>
    <row r="32" spans="1:9" x14ac:dyDescent="0.2">
      <c r="C32" s="6">
        <v>1000</v>
      </c>
      <c r="E32" t="s">
        <v>15</v>
      </c>
    </row>
    <row r="34" spans="2:8" x14ac:dyDescent="0.2">
      <c r="C34" s="4"/>
      <c r="D34" s="7" t="s">
        <v>16</v>
      </c>
      <c r="E34" s="4"/>
      <c r="F34" s="7" t="s">
        <v>17</v>
      </c>
    </row>
    <row r="35" spans="2:8" x14ac:dyDescent="0.2">
      <c r="C35" s="4"/>
      <c r="D35" s="7" t="s">
        <v>18</v>
      </c>
      <c r="E35" s="4"/>
      <c r="F35" s="7" t="s">
        <v>19</v>
      </c>
    </row>
    <row r="36" spans="2:8" x14ac:dyDescent="0.2">
      <c r="C36" s="4"/>
      <c r="D36" s="4"/>
      <c r="E36" s="4"/>
      <c r="F36" s="4"/>
    </row>
    <row r="37" spans="2:8" x14ac:dyDescent="0.2">
      <c r="C37" s="4"/>
      <c r="D37" s="4"/>
      <c r="E37" s="4"/>
      <c r="F37" s="4"/>
    </row>
    <row r="38" spans="2:8" x14ac:dyDescent="0.2">
      <c r="C38" s="4">
        <v>100000</v>
      </c>
      <c r="D38" s="4" t="str">
        <f>TEXT(C38,$D$35)</f>
        <v>100.00 K</v>
      </c>
      <c r="E38" s="4"/>
      <c r="F38" s="4" t="str">
        <f>TEXT(C38,$F$35)</f>
        <v>0.10 M</v>
      </c>
    </row>
    <row r="39" spans="2:8" x14ac:dyDescent="0.2">
      <c r="C39" s="4">
        <v>173737</v>
      </c>
      <c r="D39" s="4" t="str">
        <f t="shared" ref="D39:D40" si="1">TEXT(C39,$D$35)</f>
        <v>173.74 K</v>
      </c>
      <c r="E39" s="4"/>
      <c r="F39" s="4" t="str">
        <f t="shared" ref="F39:F40" si="2">TEXT(C39,$F$35)</f>
        <v>0.17 M</v>
      </c>
    </row>
    <row r="40" spans="2:8" x14ac:dyDescent="0.2">
      <c r="C40" s="4">
        <v>1734464737</v>
      </c>
      <c r="D40" s="4" t="str">
        <f t="shared" si="1"/>
        <v>17,34,464.74 K</v>
      </c>
      <c r="E40" s="4"/>
      <c r="F40" s="4" t="str">
        <f t="shared" si="2"/>
        <v>1,734.46 M</v>
      </c>
    </row>
    <row r="42" spans="2:8" x14ac:dyDescent="0.2">
      <c r="B42" s="3"/>
      <c r="C42" s="3"/>
      <c r="D42" s="3"/>
      <c r="E42" s="3"/>
      <c r="F42" s="3"/>
      <c r="G42" s="3"/>
      <c r="H42" s="3"/>
    </row>
    <row r="45" spans="2:8" x14ac:dyDescent="0.2">
      <c r="B45" s="5" t="s">
        <v>20</v>
      </c>
      <c r="C45" s="3"/>
    </row>
    <row r="47" spans="2:8" x14ac:dyDescent="0.2">
      <c r="D47" t="s">
        <v>21</v>
      </c>
    </row>
    <row r="48" spans="2:8" x14ac:dyDescent="0.2">
      <c r="B48" s="8">
        <v>9263792773</v>
      </c>
      <c r="D48" t="str">
        <f>TEXT(B48,"(+91) ##### #####")</f>
        <v>(+91) 92637 92773</v>
      </c>
    </row>
    <row r="50" spans="1:9" x14ac:dyDescent="0.2">
      <c r="D50" t="s">
        <v>22</v>
      </c>
    </row>
    <row r="51" spans="1:9" x14ac:dyDescent="0.2">
      <c r="B51" s="4">
        <v>9263792773</v>
      </c>
      <c r="D51" t="str">
        <f>TEXT(B51,"(+1) ###-###-####")</f>
        <v>(+1) 926-379-2773</v>
      </c>
    </row>
    <row r="54" spans="1:9" x14ac:dyDescent="0.2">
      <c r="B54" s="3"/>
      <c r="C54" s="3"/>
      <c r="D54" s="3"/>
      <c r="E54" s="3"/>
      <c r="F54" s="3"/>
      <c r="G54" s="3"/>
      <c r="H54" s="3"/>
      <c r="I54" s="3"/>
    </row>
    <row r="56" spans="1:9" x14ac:dyDescent="0.2">
      <c r="A56" s="4"/>
      <c r="B56" s="4"/>
      <c r="C56" s="4"/>
      <c r="D56" s="4"/>
    </row>
    <row r="57" spans="1:9" x14ac:dyDescent="0.2">
      <c r="A57" s="4"/>
      <c r="B57" s="5" t="s">
        <v>23</v>
      </c>
      <c r="C57" s="5"/>
      <c r="D57" s="4"/>
    </row>
    <row r="59" spans="1:9" x14ac:dyDescent="0.2">
      <c r="B59">
        <v>0.05</v>
      </c>
      <c r="C59" s="9">
        <v>0.05</v>
      </c>
      <c r="E59" t="str">
        <f>TEXT(B59,"0.00%")</f>
        <v>5.00%</v>
      </c>
      <c r="G59" t="s">
        <v>26</v>
      </c>
      <c r="H59" t="s">
        <v>27</v>
      </c>
    </row>
    <row r="60" spans="1:9" x14ac:dyDescent="0.2">
      <c r="G60" t="s">
        <v>30</v>
      </c>
      <c r="H60" t="s">
        <v>31</v>
      </c>
    </row>
    <row r="62" spans="1:9" x14ac:dyDescent="0.2">
      <c r="B62" t="str">
        <f>_xlfn.CONCAT("My % score is ",TEXT(B59,"0.00%"))</f>
        <v>My % score is 5.00%</v>
      </c>
    </row>
    <row r="64" spans="1:9" x14ac:dyDescent="0.2">
      <c r="B64" t="str">
        <f ca="1">_xlfn.FORMULATEXT(B62)</f>
        <v>=CONCAT("My % score is ",TEXT(B59,"0.00%"))</v>
      </c>
    </row>
    <row r="68" spans="1:8" x14ac:dyDescent="0.2">
      <c r="B68" s="3"/>
      <c r="C68" s="3"/>
      <c r="D68" s="3"/>
      <c r="E68" s="3"/>
      <c r="F68" s="3"/>
      <c r="G68" s="3"/>
      <c r="H68" s="3"/>
    </row>
    <row r="71" spans="1:8" x14ac:dyDescent="0.2">
      <c r="A71" s="4"/>
      <c r="B71" s="4"/>
      <c r="C71" s="4"/>
      <c r="D71" s="4"/>
    </row>
    <row r="72" spans="1:8" x14ac:dyDescent="0.2">
      <c r="A72" s="4"/>
      <c r="B72" s="5" t="s">
        <v>45</v>
      </c>
      <c r="C72" s="5"/>
      <c r="D72" s="4"/>
    </row>
    <row r="73" spans="1:8" x14ac:dyDescent="0.2">
      <c r="A73" s="4"/>
      <c r="B73" s="4"/>
      <c r="C73" s="4"/>
      <c r="D73" s="4"/>
    </row>
    <row r="75" spans="1:8" x14ac:dyDescent="0.2">
      <c r="B75" s="10">
        <f ca="1">TODAY()</f>
        <v>46133</v>
      </c>
    </row>
    <row r="77" spans="1:8" x14ac:dyDescent="0.2">
      <c r="B77" t="str">
        <f ca="1">_xlfn.FORMULATEXT(B78)</f>
        <v>=CONCAT("Today the date is ",TEXT(B75,"dd / mm / yyyy"))</v>
      </c>
    </row>
    <row r="78" spans="1:8" x14ac:dyDescent="0.2">
      <c r="B78" t="str">
        <f ca="1">_xlfn.CONCAT("Today the date is ",TEXT(B75,"dd / mm / yyyy"))</f>
        <v>Today the date is 21 / 04 / 2026</v>
      </c>
    </row>
    <row r="81" spans="2:8" x14ac:dyDescent="0.2">
      <c r="B81" s="4"/>
      <c r="C81" s="4"/>
      <c r="D81" s="12" t="s">
        <v>32</v>
      </c>
      <c r="E81" s="12"/>
      <c r="F81" s="12" t="s">
        <v>33</v>
      </c>
      <c r="G81" s="12"/>
      <c r="H81" s="12" t="s">
        <v>34</v>
      </c>
    </row>
    <row r="82" spans="2:8" x14ac:dyDescent="0.2">
      <c r="B82" s="11">
        <f ca="1">TODAY()</f>
        <v>46133</v>
      </c>
      <c r="C82" s="4"/>
      <c r="D82" s="4" t="str">
        <f ca="1">TEXT($B$82,D$81)</f>
        <v>21</v>
      </c>
      <c r="E82" s="4" t="str">
        <f t="shared" ref="E82:H82" ca="1" si="3">TEXT($B$82,E$81)</f>
        <v/>
      </c>
      <c r="F82" s="4" t="str">
        <f ca="1">TEXT($B$82,F$81)</f>
        <v>Tue</v>
      </c>
      <c r="G82" s="4" t="str">
        <f t="shared" ca="1" si="3"/>
        <v/>
      </c>
      <c r="H82" s="4" t="str">
        <f ca="1">TEXT($B$82,H$81)</f>
        <v>Tuesday</v>
      </c>
    </row>
    <row r="83" spans="2:8" x14ac:dyDescent="0.2">
      <c r="B83" s="4"/>
      <c r="C83" s="4"/>
      <c r="D83" s="4"/>
      <c r="E83" s="4"/>
      <c r="F83" s="4"/>
      <c r="G83" s="4"/>
      <c r="H83" s="4"/>
    </row>
    <row r="84" spans="2:8" x14ac:dyDescent="0.2">
      <c r="B84" s="4"/>
      <c r="C84" s="4"/>
      <c r="D84" s="12" t="s">
        <v>35</v>
      </c>
      <c r="E84" s="12"/>
      <c r="F84" s="12" t="s">
        <v>36</v>
      </c>
      <c r="G84" s="12"/>
      <c r="H84" s="12" t="s">
        <v>37</v>
      </c>
    </row>
    <row r="85" spans="2:8" x14ac:dyDescent="0.2">
      <c r="B85" s="11">
        <f ca="1">TODAY()</f>
        <v>46133</v>
      </c>
      <c r="C85" s="4"/>
      <c r="D85" s="4" t="str">
        <f ca="1">TEXT($B$85,D$84)</f>
        <v>04</v>
      </c>
      <c r="E85" s="4" t="str">
        <f t="shared" ref="E85:H85" ca="1" si="4">TEXT($B$85,E$84)</f>
        <v/>
      </c>
      <c r="F85" s="4" t="str">
        <f t="shared" ca="1" si="4"/>
        <v>Apr</v>
      </c>
      <c r="G85" s="4" t="str">
        <f t="shared" ca="1" si="4"/>
        <v/>
      </c>
      <c r="H85" s="4" t="str">
        <f t="shared" ca="1" si="4"/>
        <v>April</v>
      </c>
    </row>
    <row r="86" spans="2:8" x14ac:dyDescent="0.2">
      <c r="B86" s="4"/>
      <c r="C86" s="4"/>
      <c r="D86" s="4"/>
      <c r="E86" s="4"/>
      <c r="F86" s="4"/>
      <c r="G86" s="4"/>
      <c r="H86" s="4"/>
    </row>
    <row r="87" spans="2:8" x14ac:dyDescent="0.2">
      <c r="B87" s="4"/>
      <c r="C87" s="4"/>
      <c r="D87" s="12" t="s">
        <v>38</v>
      </c>
      <c r="E87" s="12"/>
      <c r="F87" s="12" t="s">
        <v>39</v>
      </c>
      <c r="G87" s="12"/>
      <c r="H87" s="12" t="s">
        <v>40</v>
      </c>
    </row>
    <row r="88" spans="2:8" x14ac:dyDescent="0.2">
      <c r="B88" s="11">
        <v>46124</v>
      </c>
      <c r="C88" s="4"/>
      <c r="D88" s="4">
        <v>26</v>
      </c>
      <c r="E88" s="4"/>
      <c r="F88" s="4">
        <v>2026</v>
      </c>
      <c r="G88" s="4"/>
      <c r="H88" s="4">
        <v>2026</v>
      </c>
    </row>
    <row r="89" spans="2:8" x14ac:dyDescent="0.2">
      <c r="B89" s="4"/>
      <c r="C89" s="4"/>
      <c r="D89" s="4"/>
      <c r="E89" s="4"/>
      <c r="F89" s="4"/>
      <c r="G89" s="4"/>
      <c r="H89" s="4"/>
    </row>
    <row r="91" spans="2:8" x14ac:dyDescent="0.2">
      <c r="C91" t="s">
        <v>41</v>
      </c>
      <c r="D91" t="s">
        <v>42</v>
      </c>
    </row>
    <row r="92" spans="2:8" x14ac:dyDescent="0.2">
      <c r="C92" s="13">
        <f ca="1">TODAY()</f>
        <v>46133</v>
      </c>
      <c r="D92" s="14">
        <v>0.9</v>
      </c>
    </row>
    <row r="95" spans="2:8" x14ac:dyDescent="0.2">
      <c r="B95" t="s">
        <v>43</v>
      </c>
    </row>
    <row r="97" spans="1:14" x14ac:dyDescent="0.2">
      <c r="B97" t="s">
        <v>44</v>
      </c>
    </row>
    <row r="100" spans="1:14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2" spans="1:14" x14ac:dyDescent="0.2">
      <c r="B102" s="5" t="s">
        <v>46</v>
      </c>
    </row>
    <row r="105" spans="1:14" x14ac:dyDescent="0.2">
      <c r="B105" s="15">
        <f ca="1">NOW()</f>
        <v>46133.947012731478</v>
      </c>
      <c r="D105" t="str">
        <f ca="1">TEXT(B105," hh : mm : ss")</f>
        <v xml:space="preserve"> 22 : 43 : 42</v>
      </c>
    </row>
    <row r="109" spans="1:14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736D3-4CC1-A741-A4B2-0F5838C4EFB2}">
  <dimension ref="A2:H93"/>
  <sheetViews>
    <sheetView tabSelected="1" topLeftCell="A84" zoomScale="253" workbookViewId="0">
      <selection activeCell="B93" sqref="B93"/>
    </sheetView>
  </sheetViews>
  <sheetFormatPr baseColWidth="10" defaultRowHeight="16" x14ac:dyDescent="0.2"/>
  <sheetData>
    <row r="2" spans="1:7" x14ac:dyDescent="0.2">
      <c r="D2" t="s">
        <v>28</v>
      </c>
      <c r="E2" t="s">
        <v>29</v>
      </c>
    </row>
    <row r="3" spans="1:7" x14ac:dyDescent="0.2">
      <c r="B3" t="s">
        <v>24</v>
      </c>
      <c r="G3" t="str">
        <f>_xlfn.CONCAT(D2,E2)</f>
        <v>Utkarsh Sahu</v>
      </c>
    </row>
    <row r="4" spans="1:7" x14ac:dyDescent="0.2">
      <c r="G4" t="str">
        <f>D2&amp;E2</f>
        <v>Utkarsh Sahu</v>
      </c>
    </row>
    <row r="6" spans="1:7" x14ac:dyDescent="0.2">
      <c r="C6" t="s">
        <v>47</v>
      </c>
      <c r="F6" t="s">
        <v>48</v>
      </c>
    </row>
    <row r="8" spans="1:7" x14ac:dyDescent="0.2">
      <c r="A8" s="3"/>
      <c r="B8" s="3"/>
      <c r="C8" s="3"/>
      <c r="D8" s="3"/>
      <c r="E8" s="3"/>
      <c r="F8" s="3"/>
      <c r="G8" s="3"/>
    </row>
    <row r="10" spans="1:7" x14ac:dyDescent="0.2">
      <c r="B10" s="4" t="s">
        <v>49</v>
      </c>
    </row>
    <row r="15" spans="1:7" x14ac:dyDescent="0.2">
      <c r="B15" t="str">
        <f>CHAR(65)</f>
        <v>A</v>
      </c>
    </row>
    <row r="18" spans="2:7" x14ac:dyDescent="0.2">
      <c r="B18" t="str">
        <f>CHAR(125)</f>
        <v>}</v>
      </c>
    </row>
    <row r="21" spans="2:7" x14ac:dyDescent="0.2">
      <c r="B21" s="3"/>
      <c r="C21" s="3"/>
      <c r="D21" s="3"/>
      <c r="E21" s="3"/>
      <c r="F21" s="3"/>
      <c r="G21" s="3"/>
    </row>
    <row r="24" spans="2:7" x14ac:dyDescent="0.2">
      <c r="B24" t="s">
        <v>50</v>
      </c>
    </row>
    <row r="26" spans="2:7" x14ac:dyDescent="0.2">
      <c r="C26" t="s">
        <v>51</v>
      </c>
    </row>
    <row r="29" spans="2:7" x14ac:dyDescent="0.2">
      <c r="B29" t="str">
        <f>"    Utkarsh    "</f>
        <v xml:space="preserve">    Utkarsh    </v>
      </c>
      <c r="D29" t="str">
        <f>TRIM(B29)</f>
        <v>Utkarsh</v>
      </c>
    </row>
    <row r="31" spans="2:7" x14ac:dyDescent="0.2">
      <c r="B31">
        <f>LEN(B29)</f>
        <v>15</v>
      </c>
      <c r="D31">
        <f>LEN(D29)</f>
        <v>7</v>
      </c>
    </row>
    <row r="35" spans="1:8" x14ac:dyDescent="0.2">
      <c r="A35" s="3"/>
      <c r="B35" s="3"/>
      <c r="C35" s="3"/>
      <c r="D35" s="3"/>
      <c r="E35" s="3"/>
      <c r="F35" s="3"/>
      <c r="G35" s="3"/>
      <c r="H35" s="3"/>
    </row>
    <row r="37" spans="1:8" x14ac:dyDescent="0.2">
      <c r="B37" t="s">
        <v>52</v>
      </c>
    </row>
    <row r="39" spans="1:8" x14ac:dyDescent="0.2">
      <c r="C39" t="s">
        <v>53</v>
      </c>
    </row>
    <row r="42" spans="1:8" x14ac:dyDescent="0.2">
      <c r="A42" s="3"/>
      <c r="B42" s="3"/>
      <c r="C42" s="3"/>
      <c r="D42" s="3"/>
      <c r="E42" s="3"/>
      <c r="F42" s="3"/>
      <c r="G42" s="3"/>
      <c r="H42" s="3"/>
    </row>
    <row r="45" spans="1:8" x14ac:dyDescent="0.2">
      <c r="B45" s="4" t="s">
        <v>54</v>
      </c>
      <c r="C45" s="4"/>
      <c r="D45" s="4" t="s">
        <v>55</v>
      </c>
      <c r="E45" s="4"/>
      <c r="F45" s="4"/>
    </row>
    <row r="46" spans="1:8" x14ac:dyDescent="0.2">
      <c r="B46" s="4"/>
      <c r="C46" s="4"/>
      <c r="D46" s="4"/>
      <c r="E46" s="4"/>
      <c r="F46" s="4"/>
    </row>
    <row r="47" spans="1:8" x14ac:dyDescent="0.2">
      <c r="B47" s="4" t="s">
        <v>57</v>
      </c>
      <c r="C47" s="4"/>
      <c r="D47" s="4" t="s">
        <v>56</v>
      </c>
      <c r="E47" s="4"/>
      <c r="F47" s="4"/>
    </row>
    <row r="48" spans="1:8" x14ac:dyDescent="0.2">
      <c r="B48" s="4"/>
      <c r="C48" s="4"/>
      <c r="D48" s="4"/>
      <c r="E48" s="4"/>
      <c r="F48" s="4"/>
    </row>
    <row r="49" spans="1:8" x14ac:dyDescent="0.2">
      <c r="B49" s="4" t="s">
        <v>58</v>
      </c>
      <c r="C49" s="4"/>
      <c r="D49" s="4" t="s">
        <v>59</v>
      </c>
      <c r="E49" s="4"/>
      <c r="F49" s="4"/>
    </row>
    <row r="52" spans="1:8" x14ac:dyDescent="0.2">
      <c r="B52" t="s">
        <v>60</v>
      </c>
    </row>
    <row r="54" spans="1:8" x14ac:dyDescent="0.2">
      <c r="B54" t="str">
        <f>LEFT(B52,4)</f>
        <v>my n</v>
      </c>
      <c r="D54" t="str">
        <f ca="1">_xlfn.FORMULATEXT(B54)</f>
        <v>=LEFT(B52,4)</v>
      </c>
    </row>
    <row r="56" spans="1:8" x14ac:dyDescent="0.2">
      <c r="B56" t="str">
        <f>RIGHT(B52,4)</f>
        <v>arsh</v>
      </c>
      <c r="D56" t="str">
        <f t="shared" ref="D56" ca="1" si="0">_xlfn.FORMULATEXT(B56)</f>
        <v>=RIGHT(B52,4)</v>
      </c>
    </row>
    <row r="58" spans="1:8" x14ac:dyDescent="0.2">
      <c r="B58" t="str">
        <f>MID(B52,5,3)</f>
        <v>ame</v>
      </c>
    </row>
    <row r="61" spans="1:8" x14ac:dyDescent="0.2">
      <c r="A61" s="3"/>
      <c r="B61" s="3"/>
      <c r="C61" s="3"/>
      <c r="D61" s="3"/>
      <c r="E61" s="3"/>
      <c r="F61" s="3"/>
      <c r="G61" s="3"/>
      <c r="H61" s="3"/>
    </row>
    <row r="63" spans="1:8" x14ac:dyDescent="0.2">
      <c r="B63" s="4" t="s">
        <v>61</v>
      </c>
      <c r="C63" s="4"/>
    </row>
    <row r="64" spans="1:8" x14ac:dyDescent="0.2">
      <c r="B64" s="4"/>
      <c r="C64" s="4"/>
    </row>
    <row r="65" spans="1:7" x14ac:dyDescent="0.2">
      <c r="B65" s="4" t="s">
        <v>62</v>
      </c>
      <c r="C65" s="4"/>
    </row>
    <row r="66" spans="1:7" x14ac:dyDescent="0.2">
      <c r="B66" s="4"/>
      <c r="C66" s="4"/>
    </row>
    <row r="67" spans="1:7" x14ac:dyDescent="0.2">
      <c r="B67" s="4" t="s">
        <v>63</v>
      </c>
      <c r="C67" s="4"/>
    </row>
    <row r="70" spans="1:7" x14ac:dyDescent="0.2">
      <c r="B70" t="s">
        <v>64</v>
      </c>
    </row>
    <row r="72" spans="1:7" x14ac:dyDescent="0.2">
      <c r="B72" t="str">
        <f>LOWER(B70)</f>
        <v>utkaegf jkku khgdshh</v>
      </c>
      <c r="E72" t="str">
        <f ca="1">_xlfn.FORMULATEXT(B72)</f>
        <v>=LOWER(B70)</v>
      </c>
    </row>
    <row r="74" spans="1:7" x14ac:dyDescent="0.2">
      <c r="B74" t="str">
        <f>UPPER(B70)</f>
        <v>UTKAEGF JKKU KHGDSHH</v>
      </c>
      <c r="E74" t="str">
        <f t="shared" ref="E74:E76" ca="1" si="1">_xlfn.FORMULATEXT(B74)</f>
        <v>=UPPER(B70)</v>
      </c>
    </row>
    <row r="76" spans="1:7" x14ac:dyDescent="0.2">
      <c r="B76" t="str">
        <f>PROPER(B70)</f>
        <v>Utkaegf Jkku Khgdshh</v>
      </c>
      <c r="E76" t="str">
        <f t="shared" ca="1" si="1"/>
        <v>=PROPER(B70)</v>
      </c>
    </row>
    <row r="80" spans="1:7" x14ac:dyDescent="0.2">
      <c r="A80" s="3"/>
      <c r="B80" s="3"/>
      <c r="C80" s="3"/>
      <c r="D80" s="3"/>
      <c r="E80" s="3"/>
      <c r="F80" s="3"/>
      <c r="G80" s="3"/>
    </row>
    <row r="83" spans="2:4" x14ac:dyDescent="0.2">
      <c r="B83" s="4" t="s">
        <v>65</v>
      </c>
    </row>
    <row r="85" spans="2:4" x14ac:dyDescent="0.2">
      <c r="D85" t="s">
        <v>66</v>
      </c>
    </row>
    <row r="88" spans="2:4" x14ac:dyDescent="0.2">
      <c r="B88" t="s">
        <v>67</v>
      </c>
      <c r="D88" t="s">
        <v>68</v>
      </c>
    </row>
    <row r="90" spans="2:4" x14ac:dyDescent="0.2">
      <c r="C90" t="b">
        <f>(B88=D88)</f>
        <v>1</v>
      </c>
    </row>
    <row r="93" spans="2:4" x14ac:dyDescent="0.2">
      <c r="C93" t="b">
        <f>EXACT(B88,D88)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agenda</vt:lpstr>
      <vt:lpstr>TEXT</vt:lpstr>
      <vt:lpstr>text_funs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2026-04-21T15:36:01Z</dcterms:created>
  <dcterms:modified xsi:type="dcterms:W3CDTF">2026-04-21T17:16:37Z</dcterms:modified>
</cp:coreProperties>
</file>