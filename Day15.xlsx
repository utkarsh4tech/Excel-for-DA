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5EB9CA12-3415-1042-957B-23D7F59FDBBB}" xr6:coauthVersionLast="47" xr6:coauthVersionMax="47" xr10:uidLastSave="{00000000-0000-0000-0000-000000000000}"/>
  <bookViews>
    <workbookView xWindow="360" yWindow="500" windowWidth="28040" windowHeight="16940" activeTab="2" xr2:uid="{FCF33CD7-AAFF-DE4C-BE1C-6B01C5E9D180}"/>
  </bookViews>
  <sheets>
    <sheet name="Sheet1" sheetId="1" r:id="rId1"/>
    <sheet name="Sheet2" sheetId="2" r:id="rId2"/>
    <sheet name="Text Func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3" l="1"/>
  <c r="D40" i="3"/>
  <c r="H33" i="3"/>
  <c r="H37" i="3"/>
  <c r="H35" i="3"/>
  <c r="A22" i="3"/>
  <c r="B10" i="3"/>
  <c r="B6" i="3"/>
  <c r="E1" i="3"/>
  <c r="E4" i="3"/>
  <c r="G4" i="3" s="1"/>
  <c r="B4" i="3"/>
  <c r="I4" i="2" a="1"/>
  <c r="I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<sst xmlns="http://schemas.openxmlformats.org/spreadsheetml/2006/main" count="62" uniqueCount="50">
  <si>
    <t>Validation…</t>
  </si>
  <si>
    <t xml:space="preserve">pivot </t>
  </si>
  <si>
    <t>Name</t>
  </si>
  <si>
    <t>Age</t>
  </si>
  <si>
    <t>course</t>
  </si>
  <si>
    <t>Maths 1</t>
  </si>
  <si>
    <t>Stats 2</t>
  </si>
  <si>
    <t>Shyaam</t>
  </si>
  <si>
    <t>Ram</t>
  </si>
  <si>
    <t>Reena</t>
  </si>
  <si>
    <t>Student Id</t>
  </si>
  <si>
    <t>Course</t>
  </si>
  <si>
    <t>Phn Num</t>
  </si>
  <si>
    <t>Salary</t>
  </si>
  <si>
    <t>Jennifer</t>
  </si>
  <si>
    <t>Bsc Physics</t>
  </si>
  <si>
    <t>Fake num 1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</si>
  <si>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</si>
  <si>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</si>
  <si>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</si>
  <si>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</si>
  <si>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</si>
  <si>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</si>
  <si>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</si>
  <si>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</si>
  <si>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</si>
  <si>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</si>
  <si>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</si>
  <si>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</si>
  <si>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</si>
  <si>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</si>
  <si>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Student ID</t>
  </si>
  <si>
    <t>LEFT</t>
  </si>
  <si>
    <t>TRIM</t>
  </si>
  <si>
    <t>LEN</t>
  </si>
  <si>
    <t>Length calculation</t>
  </si>
  <si>
    <t>Number of char inside a String / TEXT</t>
  </si>
  <si>
    <t>RiGHT</t>
  </si>
  <si>
    <t>MID</t>
  </si>
  <si>
    <t>ABCDEF GHIJKL</t>
  </si>
  <si>
    <t>CASE</t>
  </si>
  <si>
    <t xml:space="preserve">UPPER CASE  </t>
  </si>
  <si>
    <t>Capital letters</t>
  </si>
  <si>
    <t>LOWER case</t>
  </si>
  <si>
    <t>Small letters</t>
  </si>
  <si>
    <t>ABC</t>
  </si>
  <si>
    <t>abc</t>
  </si>
  <si>
    <t>Proper Case</t>
  </si>
  <si>
    <t>Starting of each word is capital</t>
  </si>
  <si>
    <t>My name is utk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</si>
</sst>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image" Target="../media/image11.png"/><Relationship Id="rId26" Type="http://schemas.openxmlformats.org/officeDocument/2006/relationships/image" Target="../media/image15.png"/><Relationship Id="rId39" Type="http://schemas.openxmlformats.org/officeDocument/2006/relationships/customXml" Target="../ink/ink20.xml"/><Relationship Id="rId21" Type="http://schemas.openxmlformats.org/officeDocument/2006/relationships/customXml" Target="../ink/ink11.xml"/><Relationship Id="rId34" Type="http://schemas.openxmlformats.org/officeDocument/2006/relationships/image" Target="../media/image19.png"/><Relationship Id="rId42" Type="http://schemas.openxmlformats.org/officeDocument/2006/relationships/image" Target="../media/image23.png"/><Relationship Id="rId7" Type="http://schemas.openxmlformats.org/officeDocument/2006/relationships/customXml" Target="../ink/ink4.xml"/><Relationship Id="rId2" Type="http://schemas.openxmlformats.org/officeDocument/2006/relationships/image" Target="../media/image3.pn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29" Type="http://schemas.openxmlformats.org/officeDocument/2006/relationships/customXml" Target="../ink/ink15.xml"/><Relationship Id="rId41" Type="http://schemas.openxmlformats.org/officeDocument/2006/relationships/customXml" Target="../ink/ink21.xml"/><Relationship Id="rId1" Type="http://schemas.openxmlformats.org/officeDocument/2006/relationships/customXml" Target="../ink/ink1.xml"/><Relationship Id="rId6" Type="http://schemas.openxmlformats.org/officeDocument/2006/relationships/image" Target="../media/image5.png"/><Relationship Id="rId11" Type="http://schemas.openxmlformats.org/officeDocument/2006/relationships/customXml" Target="../ink/ink6.xml"/><Relationship Id="rId24" Type="http://schemas.openxmlformats.org/officeDocument/2006/relationships/image" Target="../media/image14.png"/><Relationship Id="rId32" Type="http://schemas.openxmlformats.org/officeDocument/2006/relationships/image" Target="../media/image18.png"/><Relationship Id="rId37" Type="http://schemas.openxmlformats.org/officeDocument/2006/relationships/customXml" Target="../ink/ink19.xml"/><Relationship Id="rId40" Type="http://schemas.openxmlformats.org/officeDocument/2006/relationships/image" Target="../media/image22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6.png"/><Relationship Id="rId36" Type="http://schemas.openxmlformats.org/officeDocument/2006/relationships/image" Target="../media/image20.png"/><Relationship Id="rId10" Type="http://schemas.openxmlformats.org/officeDocument/2006/relationships/image" Target="../media/image7.png"/><Relationship Id="rId19" Type="http://schemas.openxmlformats.org/officeDocument/2006/relationships/customXml" Target="../ink/ink10.xml"/><Relationship Id="rId31" Type="http://schemas.openxmlformats.org/officeDocument/2006/relationships/customXml" Target="../ink/ink16.xml"/><Relationship Id="rId44" Type="http://schemas.openxmlformats.org/officeDocument/2006/relationships/image" Target="../media/image24.png"/><Relationship Id="rId4" Type="http://schemas.openxmlformats.org/officeDocument/2006/relationships/image" Target="../media/image4.png"/><Relationship Id="rId9" Type="http://schemas.openxmlformats.org/officeDocument/2006/relationships/customXml" Target="../ink/ink5.xml"/><Relationship Id="rId14" Type="http://schemas.openxmlformats.org/officeDocument/2006/relationships/image" Target="../media/image9.png"/><Relationship Id="rId22" Type="http://schemas.openxmlformats.org/officeDocument/2006/relationships/image" Target="../media/image13.png"/><Relationship Id="rId27" Type="http://schemas.openxmlformats.org/officeDocument/2006/relationships/customXml" Target="../ink/ink14.xml"/><Relationship Id="rId30" Type="http://schemas.openxmlformats.org/officeDocument/2006/relationships/image" Target="../media/image17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8" Type="http://schemas.openxmlformats.org/officeDocument/2006/relationships/image" Target="../media/image6.png"/><Relationship Id="rId3" Type="http://schemas.openxmlformats.org/officeDocument/2006/relationships/customXml" Target="../ink/ink2.xml"/><Relationship Id="rId12" Type="http://schemas.openxmlformats.org/officeDocument/2006/relationships/image" Target="../media/image8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2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20478</xdr:colOff>
      <xdr:row>8</xdr:row>
      <xdr:rowOff>185505</xdr:rowOff>
    </xdr:from>
    <xdr:to>
      <xdr:col>8</xdr:col>
      <xdr:colOff>356311</xdr:colOff>
      <xdr:row>20</xdr:row>
      <xdr:rowOff>197346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3996B9-CA8B-7BC0-2544-F97FF92BC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8568" y="1783707"/>
          <a:ext cx="2818754" cy="24091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366766</xdr:colOff>
      <xdr:row>9</xdr:row>
      <xdr:rowOff>6186</xdr:rowOff>
    </xdr:from>
    <xdr:to>
      <xdr:col>9</xdr:col>
      <xdr:colOff>240642</xdr:colOff>
      <xdr:row>14</xdr:row>
      <xdr:rowOff>102914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864DFB-55AA-A229-A084-3B518074A3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46550" y="1829074"/>
          <a:ext cx="4833445" cy="1109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519040</xdr:colOff>
      <xdr:row>10</xdr:row>
      <xdr:rowOff>200203</xdr:rowOff>
    </xdr:from>
    <xdr:to>
      <xdr:col>3</xdr:col>
      <xdr:colOff>562240</xdr:colOff>
      <xdr:row>11</xdr:row>
      <xdr:rowOff>110747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98380F71-DF39-F53A-2E5F-69430491DB8E}"/>
                </a:ext>
              </a:extLst>
            </xdr14:cNvPr>
            <xdr14:cNvContentPartPr/>
          </xdr14:nvContentPartPr>
          <xdr14:nvPr macro=""/>
          <xdr14:xfrm>
            <a:off x="2993760" y="2217960"/>
            <a:ext cx="43200" cy="112320"/>
          </xdr14:xfrm>
        </xdr:contentPart>
      </mc:Choice>
      <mc:Fallback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98380F71-DF39-F53A-2E5F-69430491DB8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6200" y="2210400"/>
              <a:ext cx="58320" cy="12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481307</xdr:colOff>
      <xdr:row>10</xdr:row>
      <xdr:rowOff>115963</xdr:rowOff>
    </xdr:from>
    <xdr:to>
      <xdr:col>5</xdr:col>
      <xdr:colOff>608027</xdr:colOff>
      <xdr:row>11</xdr:row>
      <xdr:rowOff>41627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98" name="Ink 97">
              <a:extLst>
                <a:ext uri="{FF2B5EF4-FFF2-40B4-BE49-F238E27FC236}">
                  <a16:creationId xmlns:a16="http://schemas.microsoft.com/office/drawing/2014/main" id="{5D1794D5-B876-A4A0-A1CE-84FFA3E26872}"/>
                </a:ext>
              </a:extLst>
            </xdr14:cNvPr>
            <xdr14:cNvContentPartPr/>
          </xdr14:nvContentPartPr>
          <xdr14:nvPr macro=""/>
          <xdr14:xfrm>
            <a:off x="4605840" y="2133720"/>
            <a:ext cx="126720" cy="127440"/>
          </xdr14:xfrm>
        </xdr:contentPart>
      </mc:Choice>
      <mc:Fallback>
        <xdr:pic>
          <xdr:nvPicPr>
            <xdr:cNvPr id="98" name="Ink 97">
              <a:extLst>
                <a:ext uri="{FF2B5EF4-FFF2-40B4-BE49-F238E27FC236}">
                  <a16:creationId xmlns:a16="http://schemas.microsoft.com/office/drawing/2014/main" id="{5D1794D5-B876-A4A0-A1CE-84FFA3E2687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598280" y="2126160"/>
              <a:ext cx="14184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113747</xdr:colOff>
      <xdr:row>10</xdr:row>
      <xdr:rowOff>198043</xdr:rowOff>
    </xdr:from>
    <xdr:to>
      <xdr:col>5</xdr:col>
      <xdr:colOff>313547</xdr:colOff>
      <xdr:row>11</xdr:row>
      <xdr:rowOff>133067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99" name="Ink 98">
              <a:extLst>
                <a:ext uri="{FF2B5EF4-FFF2-40B4-BE49-F238E27FC236}">
                  <a16:creationId xmlns:a16="http://schemas.microsoft.com/office/drawing/2014/main" id="{ED4464D3-2E73-B581-8E7F-693948B2A75F}"/>
                </a:ext>
              </a:extLst>
            </xdr14:cNvPr>
            <xdr14:cNvContentPartPr/>
          </xdr14:nvContentPartPr>
          <xdr14:nvPr macro=""/>
          <xdr14:xfrm>
            <a:off x="4238280" y="2215800"/>
            <a:ext cx="199800" cy="136800"/>
          </xdr14:xfrm>
        </xdr:contentPart>
      </mc:Choice>
      <mc:Fallback>
        <xdr:pic>
          <xdr:nvPicPr>
            <xdr:cNvPr id="99" name="Ink 98">
              <a:extLst>
                <a:ext uri="{FF2B5EF4-FFF2-40B4-BE49-F238E27FC236}">
                  <a16:creationId xmlns:a16="http://schemas.microsoft.com/office/drawing/2014/main" id="{ED4464D3-2E73-B581-8E7F-693948B2A75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230720" y="2208240"/>
              <a:ext cx="214920" cy="151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733960</xdr:colOff>
      <xdr:row>10</xdr:row>
      <xdr:rowOff>168163</xdr:rowOff>
    </xdr:from>
    <xdr:to>
      <xdr:col>4</xdr:col>
      <xdr:colOff>629054</xdr:colOff>
      <xdr:row>11</xdr:row>
      <xdr:rowOff>109667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1029AC1B-C894-3EEB-88A7-C342B8397621}"/>
                </a:ext>
              </a:extLst>
            </xdr14:cNvPr>
            <xdr14:cNvContentPartPr/>
          </xdr14:nvContentPartPr>
          <xdr14:nvPr macro=""/>
          <xdr14:xfrm>
            <a:off x="3208680" y="2185920"/>
            <a:ext cx="720000" cy="143280"/>
          </xdr14:xfrm>
        </xdr:contentPart>
      </mc:Choice>
      <mc:Fallback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1029AC1B-C894-3EEB-88A7-C342B8397621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201120" y="2178360"/>
              <a:ext cx="735120" cy="15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525947</xdr:colOff>
      <xdr:row>9</xdr:row>
      <xdr:rowOff>39459</xdr:rowOff>
    </xdr:from>
    <xdr:to>
      <xdr:col>5</xdr:col>
      <xdr:colOff>532067</xdr:colOff>
      <xdr:row>9</xdr:row>
      <xdr:rowOff>189939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01" name="Ink 100">
              <a:extLst>
                <a:ext uri="{FF2B5EF4-FFF2-40B4-BE49-F238E27FC236}">
                  <a16:creationId xmlns:a16="http://schemas.microsoft.com/office/drawing/2014/main" id="{EAA42950-BC51-CBA0-C534-5B31E44418DB}"/>
                </a:ext>
              </a:extLst>
            </xdr14:cNvPr>
            <xdr14:cNvContentPartPr/>
          </xdr14:nvContentPartPr>
          <xdr14:nvPr macro=""/>
          <xdr14:xfrm>
            <a:off x="4650480" y="1855440"/>
            <a:ext cx="6120" cy="150480"/>
          </xdr14:xfrm>
        </xdr:contentPart>
      </mc:Choice>
      <mc:Fallback>
        <xdr:pic>
          <xdr:nvPicPr>
            <xdr:cNvPr id="101" name="Ink 100">
              <a:extLst>
                <a:ext uri="{FF2B5EF4-FFF2-40B4-BE49-F238E27FC236}">
                  <a16:creationId xmlns:a16="http://schemas.microsoft.com/office/drawing/2014/main" id="{EAA42950-BC51-CBA0-C534-5B31E44418D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642920" y="1847880"/>
              <a:ext cx="2124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127067</xdr:colOff>
      <xdr:row>9</xdr:row>
      <xdr:rowOff>95259</xdr:rowOff>
    </xdr:from>
    <xdr:to>
      <xdr:col>5</xdr:col>
      <xdr:colOff>310307</xdr:colOff>
      <xdr:row>10</xdr:row>
      <xdr:rowOff>403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02" name="Ink 101">
              <a:extLst>
                <a:ext uri="{FF2B5EF4-FFF2-40B4-BE49-F238E27FC236}">
                  <a16:creationId xmlns:a16="http://schemas.microsoft.com/office/drawing/2014/main" id="{AA95EC3E-1FAF-EFC7-C5B7-E1E9E3581B38}"/>
                </a:ext>
              </a:extLst>
            </xdr14:cNvPr>
            <xdr14:cNvContentPartPr/>
          </xdr14:nvContentPartPr>
          <xdr14:nvPr macro=""/>
          <xdr14:xfrm>
            <a:off x="4251600" y="1911240"/>
            <a:ext cx="183240" cy="106920"/>
          </xdr14:xfrm>
        </xdr:contentPart>
      </mc:Choice>
      <mc:Fallback>
        <xdr:pic>
          <xdr:nvPicPr>
            <xdr:cNvPr id="102" name="Ink 101">
              <a:extLst>
                <a:ext uri="{FF2B5EF4-FFF2-40B4-BE49-F238E27FC236}">
                  <a16:creationId xmlns:a16="http://schemas.microsoft.com/office/drawing/2014/main" id="{AA95EC3E-1FAF-EFC7-C5B7-E1E9E3581B3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244040" y="1903680"/>
              <a:ext cx="198360" cy="12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626174</xdr:colOff>
      <xdr:row>9</xdr:row>
      <xdr:rowOff>74379</xdr:rowOff>
    </xdr:from>
    <xdr:to>
      <xdr:col>4</xdr:col>
      <xdr:colOff>729494</xdr:colOff>
      <xdr:row>10</xdr:row>
      <xdr:rowOff>33523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03" name="Ink 102">
              <a:extLst>
                <a:ext uri="{FF2B5EF4-FFF2-40B4-BE49-F238E27FC236}">
                  <a16:creationId xmlns:a16="http://schemas.microsoft.com/office/drawing/2014/main" id="{0AA203C2-5362-CD82-3C50-988C2832B477}"/>
                </a:ext>
              </a:extLst>
            </xdr14:cNvPr>
            <xdr14:cNvContentPartPr/>
          </xdr14:nvContentPartPr>
          <xdr14:nvPr macro=""/>
          <xdr14:xfrm>
            <a:off x="3925800" y="1890360"/>
            <a:ext cx="103320" cy="160920"/>
          </xdr14:xfrm>
        </xdr:contentPart>
      </mc:Choice>
      <mc:Fallback>
        <xdr:pic>
          <xdr:nvPicPr>
            <xdr:cNvPr id="103" name="Ink 102">
              <a:extLst>
                <a:ext uri="{FF2B5EF4-FFF2-40B4-BE49-F238E27FC236}">
                  <a16:creationId xmlns:a16="http://schemas.microsoft.com/office/drawing/2014/main" id="{0AA203C2-5362-CD82-3C50-988C2832B47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918240" y="1882800"/>
              <a:ext cx="118440" cy="176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222254</xdr:colOff>
      <xdr:row>9</xdr:row>
      <xdr:rowOff>79419</xdr:rowOff>
    </xdr:from>
    <xdr:to>
      <xdr:col>4</xdr:col>
      <xdr:colOff>355454</xdr:colOff>
      <xdr:row>10</xdr:row>
      <xdr:rowOff>11923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04" name="Ink 103">
              <a:extLst>
                <a:ext uri="{FF2B5EF4-FFF2-40B4-BE49-F238E27FC236}">
                  <a16:creationId xmlns:a16="http://schemas.microsoft.com/office/drawing/2014/main" id="{12A77DC1-6641-EADD-123E-DB4A85BD1913}"/>
                </a:ext>
              </a:extLst>
            </xdr14:cNvPr>
            <xdr14:cNvContentPartPr/>
          </xdr14:nvContentPartPr>
          <xdr14:nvPr macro=""/>
          <xdr14:xfrm>
            <a:off x="3521880" y="1895400"/>
            <a:ext cx="133200" cy="134280"/>
          </xdr14:xfrm>
        </xdr:contentPart>
      </mc:Choice>
      <mc:Fallback>
        <xdr:pic>
          <xdr:nvPicPr>
            <xdr:cNvPr id="104" name="Ink 103">
              <a:extLst>
                <a:ext uri="{FF2B5EF4-FFF2-40B4-BE49-F238E27FC236}">
                  <a16:creationId xmlns:a16="http://schemas.microsoft.com/office/drawing/2014/main" id="{12A77DC1-6641-EADD-123E-DB4A85BD1913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514320" y="1887840"/>
              <a:ext cx="147960" cy="14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422920</xdr:colOff>
      <xdr:row>9</xdr:row>
      <xdr:rowOff>119379</xdr:rowOff>
    </xdr:from>
    <xdr:to>
      <xdr:col>3</xdr:col>
      <xdr:colOff>521560</xdr:colOff>
      <xdr:row>10</xdr:row>
      <xdr:rowOff>75643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59DE1657-D0B7-FE41-A014-BF394D958509}"/>
                </a:ext>
              </a:extLst>
            </xdr14:cNvPr>
            <xdr14:cNvContentPartPr/>
          </xdr14:nvContentPartPr>
          <xdr14:nvPr macro=""/>
          <xdr14:xfrm>
            <a:off x="2897640" y="1935360"/>
            <a:ext cx="98640" cy="158040"/>
          </xdr14:xfrm>
        </xdr:contentPart>
      </mc:Choice>
      <mc:Fallback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59DE1657-D0B7-FE41-A014-BF394D958509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890440" y="1927800"/>
              <a:ext cx="113400" cy="17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724600</xdr:colOff>
      <xdr:row>9</xdr:row>
      <xdr:rowOff>113619</xdr:rowOff>
    </xdr:from>
    <xdr:to>
      <xdr:col>4</xdr:col>
      <xdr:colOff>10214</xdr:colOff>
      <xdr:row>10</xdr:row>
      <xdr:rowOff>60163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01841734-D75E-27FA-E9F7-7C5C5444913A}"/>
                </a:ext>
              </a:extLst>
            </xdr14:cNvPr>
            <xdr14:cNvContentPartPr/>
          </xdr14:nvContentPartPr>
          <xdr14:nvPr macro=""/>
          <xdr14:xfrm>
            <a:off x="3199320" y="1929600"/>
            <a:ext cx="110520" cy="14832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01841734-D75E-27FA-E9F7-7C5C5444913A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191760" y="1922040"/>
              <a:ext cx="125640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215920</xdr:colOff>
      <xdr:row>10</xdr:row>
      <xdr:rowOff>142603</xdr:rowOff>
    </xdr:from>
    <xdr:to>
      <xdr:col>5</xdr:col>
      <xdr:colOff>747347</xdr:colOff>
      <xdr:row>16</xdr:row>
      <xdr:rowOff>59829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9" name="Ink 128">
              <a:extLst>
                <a:ext uri="{FF2B5EF4-FFF2-40B4-BE49-F238E27FC236}">
                  <a16:creationId xmlns:a16="http://schemas.microsoft.com/office/drawing/2014/main" id="{8FA82F8E-BFD8-9235-0E9A-E056888DC6F1}"/>
                </a:ext>
              </a:extLst>
            </xdr14:cNvPr>
            <xdr14:cNvContentPartPr/>
          </xdr14:nvContentPartPr>
          <xdr14:nvPr macro=""/>
          <xdr14:xfrm>
            <a:off x="2690640" y="2160360"/>
            <a:ext cx="2181240" cy="1127880"/>
          </xdr14:xfrm>
        </xdr:contentPart>
      </mc:Choice>
      <mc:Fallback>
        <xdr:pic>
          <xdr:nvPicPr>
            <xdr:cNvPr id="129" name="Ink 128">
              <a:extLst>
                <a:ext uri="{FF2B5EF4-FFF2-40B4-BE49-F238E27FC236}">
                  <a16:creationId xmlns:a16="http://schemas.microsoft.com/office/drawing/2014/main" id="{8FA82F8E-BFD8-9235-0E9A-E056888DC6F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680200" y="2149920"/>
              <a:ext cx="2202480" cy="114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1427</xdr:colOff>
      <xdr:row>13</xdr:row>
      <xdr:rowOff>5636</xdr:rowOff>
    </xdr:from>
    <xdr:to>
      <xdr:col>6</xdr:col>
      <xdr:colOff>119721</xdr:colOff>
      <xdr:row>13</xdr:row>
      <xdr:rowOff>190316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5360170A-2715-1CCC-CEFB-347DB81D38E2}"/>
                </a:ext>
              </a:extLst>
            </xdr14:cNvPr>
            <xdr14:cNvContentPartPr/>
          </xdr14:nvContentPartPr>
          <xdr14:nvPr macro=""/>
          <xdr14:xfrm>
            <a:off x="4125960" y="2628720"/>
            <a:ext cx="943200" cy="184680"/>
          </xdr14:xfrm>
        </xdr:contentPart>
      </mc:Choice>
      <mc:Fallback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5360170A-2715-1CCC-CEFB-347DB81D38E2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4115160" y="2617920"/>
              <a:ext cx="964440" cy="20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52907</xdr:colOff>
      <xdr:row>8</xdr:row>
      <xdr:rowOff>197314</xdr:rowOff>
    </xdr:from>
    <xdr:to>
      <xdr:col>5</xdr:col>
      <xdr:colOff>707387</xdr:colOff>
      <xdr:row>10</xdr:row>
      <xdr:rowOff>120643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A59931C0-3B5A-829E-956A-78AC4E170768}"/>
                </a:ext>
              </a:extLst>
            </xdr14:cNvPr>
            <xdr14:cNvContentPartPr/>
          </xdr14:nvContentPartPr>
          <xdr14:nvPr macro=""/>
          <xdr14:xfrm>
            <a:off x="4177440" y="1811520"/>
            <a:ext cx="654480" cy="326880"/>
          </xdr14:xfrm>
        </xdr:contentPart>
      </mc:Choice>
      <mc:Fallback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A59931C0-3B5A-829E-956A-78AC4E1707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4167000" y="1800720"/>
              <a:ext cx="675720" cy="34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506361</xdr:colOff>
      <xdr:row>16</xdr:row>
      <xdr:rowOff>185109</xdr:rowOff>
    </xdr:from>
    <xdr:to>
      <xdr:col>7</xdr:col>
      <xdr:colOff>154854</xdr:colOff>
      <xdr:row>18</xdr:row>
      <xdr:rowOff>85397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1BB338D4-2B5D-2E33-D73F-7A45EB760677}"/>
                </a:ext>
              </a:extLst>
            </xdr14:cNvPr>
            <xdr14:cNvContentPartPr/>
          </xdr14:nvContentPartPr>
          <xdr14:nvPr macro=""/>
          <xdr14:xfrm>
            <a:off x="5455800" y="3413520"/>
            <a:ext cx="473400" cy="303840"/>
          </xdr14:xfrm>
        </xdr:contentPart>
      </mc:Choice>
      <mc:Fallback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1BB338D4-2B5D-2E33-D73F-7A45EB760677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5445360" y="3402733"/>
              <a:ext cx="494640" cy="3250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397720</xdr:colOff>
      <xdr:row>16</xdr:row>
      <xdr:rowOff>147669</xdr:rowOff>
    </xdr:from>
    <xdr:to>
      <xdr:col>6</xdr:col>
      <xdr:colOff>291801</xdr:colOff>
      <xdr:row>19</xdr:row>
      <xdr:rowOff>34462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BD24C789-0B37-5D88-C2C1-E784F4BA2394}"/>
                </a:ext>
              </a:extLst>
            </xdr14:cNvPr>
            <xdr14:cNvContentPartPr/>
          </xdr14:nvContentPartPr>
          <xdr14:nvPr macro=""/>
          <xdr14:xfrm>
            <a:off x="2872440" y="3376080"/>
            <a:ext cx="2368800" cy="492120"/>
          </xdr14:xfrm>
        </xdr:contentPart>
      </mc:Choice>
      <mc:Fallback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BD24C789-0B37-5D88-C2C1-E784F4BA2394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861998" y="3365640"/>
              <a:ext cx="2390043" cy="513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380867</xdr:colOff>
      <xdr:row>14</xdr:row>
      <xdr:rowOff>108060</xdr:rowOff>
    </xdr:from>
    <xdr:to>
      <xdr:col>6</xdr:col>
      <xdr:colOff>311961</xdr:colOff>
      <xdr:row>15</xdr:row>
      <xdr:rowOff>166564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B35A3EDF-EC31-C9C2-3173-B8723C62651A}"/>
                </a:ext>
              </a:extLst>
            </xdr14:cNvPr>
            <xdr14:cNvContentPartPr/>
          </xdr14:nvContentPartPr>
          <xdr14:nvPr macro=""/>
          <xdr14:xfrm>
            <a:off x="4505400" y="2932920"/>
            <a:ext cx="756000" cy="260280"/>
          </xdr14:xfrm>
        </xdr:contentPart>
      </mc:Choice>
      <mc:Fallback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B35A3EDF-EC31-C9C2-3173-B8723C62651A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494600" y="2922120"/>
              <a:ext cx="777240" cy="28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362800</xdr:colOff>
      <xdr:row>21</xdr:row>
      <xdr:rowOff>90990</xdr:rowOff>
    </xdr:from>
    <xdr:to>
      <xdr:col>8</xdr:col>
      <xdr:colOff>33748</xdr:colOff>
      <xdr:row>22</xdr:row>
      <xdr:rowOff>200255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91C2E2C7-0453-EE8B-1C59-1B9706C1E070}"/>
                </a:ext>
              </a:extLst>
            </xdr14:cNvPr>
            <xdr14:cNvContentPartPr/>
          </xdr14:nvContentPartPr>
          <xdr14:nvPr macro=""/>
          <xdr14:xfrm>
            <a:off x="2837520" y="4328280"/>
            <a:ext cx="3795480" cy="311040"/>
          </xdr14:xfrm>
        </xdr:contentPart>
      </mc:Choice>
      <mc:Fallback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91C2E2C7-0453-EE8B-1C59-1B9706C1E070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826720" y="4317840"/>
              <a:ext cx="3816720" cy="33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408160</xdr:colOff>
      <xdr:row>24</xdr:row>
      <xdr:rowOff>45823</xdr:rowOff>
    </xdr:from>
    <xdr:to>
      <xdr:col>4</xdr:col>
      <xdr:colOff>724094</xdr:colOff>
      <xdr:row>25</xdr:row>
      <xdr:rowOff>185327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932D3F5C-6049-343F-BB6C-FA61646D8F23}"/>
                </a:ext>
              </a:extLst>
            </xdr14:cNvPr>
            <xdr14:cNvContentPartPr/>
          </xdr14:nvContentPartPr>
          <xdr14:nvPr macro=""/>
          <xdr14:xfrm>
            <a:off x="2882880" y="4888440"/>
            <a:ext cx="1140840" cy="341280"/>
          </xdr14:xfrm>
        </xdr:contentPart>
      </mc:Choice>
      <mc:Fallback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932D3F5C-6049-343F-BB6C-FA61646D8F23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2872080" y="4877640"/>
              <a:ext cx="1162080" cy="36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806534</xdr:colOff>
      <xdr:row>24</xdr:row>
      <xdr:rowOff>6943</xdr:rowOff>
    </xdr:from>
    <xdr:to>
      <xdr:col>6</xdr:col>
      <xdr:colOff>524001</xdr:colOff>
      <xdr:row>26</xdr:row>
      <xdr:rowOff>36472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94" name="Ink 193">
              <a:extLst>
                <a:ext uri="{FF2B5EF4-FFF2-40B4-BE49-F238E27FC236}">
                  <a16:creationId xmlns:a16="http://schemas.microsoft.com/office/drawing/2014/main" id="{2D9EDBA5-F7F3-E1C2-6CAD-B8C5A489BC97}"/>
                </a:ext>
              </a:extLst>
            </xdr14:cNvPr>
            <xdr14:cNvContentPartPr/>
          </xdr14:nvContentPartPr>
          <xdr14:nvPr macro=""/>
          <xdr14:xfrm>
            <a:off x="4106160" y="4849560"/>
            <a:ext cx="1367280" cy="433080"/>
          </xdr14:xfrm>
        </xdr:contentPart>
      </mc:Choice>
      <mc:Fallback>
        <xdr:pic>
          <xdr:nvPicPr>
            <xdr:cNvPr id="194" name="Ink 193">
              <a:extLst>
                <a:ext uri="{FF2B5EF4-FFF2-40B4-BE49-F238E27FC236}">
                  <a16:creationId xmlns:a16="http://schemas.microsoft.com/office/drawing/2014/main" id="{2D9EDBA5-F7F3-E1C2-6CAD-B8C5A489BC9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095720" y="4838769"/>
              <a:ext cx="1388520" cy="4543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380440</xdr:colOff>
      <xdr:row>20</xdr:row>
      <xdr:rowOff>87206</xdr:rowOff>
    </xdr:from>
    <xdr:to>
      <xdr:col>3</xdr:col>
      <xdr:colOff>413920</xdr:colOff>
      <xdr:row>21</xdr:row>
      <xdr:rowOff>24030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95" name="Ink 194">
              <a:extLst>
                <a:ext uri="{FF2B5EF4-FFF2-40B4-BE49-F238E27FC236}">
                  <a16:creationId xmlns:a16="http://schemas.microsoft.com/office/drawing/2014/main" id="{78BDC56A-3659-6970-CE51-A14CDD29B5D3}"/>
                </a:ext>
              </a:extLst>
            </xdr14:cNvPr>
            <xdr14:cNvContentPartPr/>
          </xdr14:nvContentPartPr>
          <xdr14:nvPr macro=""/>
          <xdr14:xfrm>
            <a:off x="2855160" y="4122720"/>
            <a:ext cx="33480" cy="138600"/>
          </xdr14:xfrm>
        </xdr:contentPart>
      </mc:Choice>
      <mc:Fallback>
        <xdr:pic>
          <xdr:nvPicPr>
            <xdr:cNvPr id="195" name="Ink 194">
              <a:extLst>
                <a:ext uri="{FF2B5EF4-FFF2-40B4-BE49-F238E27FC236}">
                  <a16:creationId xmlns:a16="http://schemas.microsoft.com/office/drawing/2014/main" id="{78BDC56A-3659-6970-CE51-A14CDD29B5D3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847600" y="4115160"/>
              <a:ext cx="48600" cy="15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505214</xdr:colOff>
      <xdr:row>18</xdr:row>
      <xdr:rowOff>189797</xdr:rowOff>
    </xdr:from>
    <xdr:to>
      <xdr:col>8</xdr:col>
      <xdr:colOff>42028</xdr:colOff>
      <xdr:row>24</xdr:row>
      <xdr:rowOff>38623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19" name="Ink 218">
              <a:extLst>
                <a:ext uri="{FF2B5EF4-FFF2-40B4-BE49-F238E27FC236}">
                  <a16:creationId xmlns:a16="http://schemas.microsoft.com/office/drawing/2014/main" id="{19FAAD95-C33A-AD19-18F2-459AC431C884}"/>
                </a:ext>
              </a:extLst>
            </xdr14:cNvPr>
            <xdr14:cNvContentPartPr/>
          </xdr14:nvContentPartPr>
          <xdr14:nvPr macro=""/>
          <xdr14:xfrm>
            <a:off x="3804840" y="3821760"/>
            <a:ext cx="2836440" cy="1059480"/>
          </xdr14:xfrm>
        </xdr:contentPart>
      </mc:Choice>
      <mc:Fallback>
        <xdr:pic>
          <xdr:nvPicPr>
            <xdr:cNvPr id="219" name="Ink 218">
              <a:extLst>
                <a:ext uri="{FF2B5EF4-FFF2-40B4-BE49-F238E27FC236}">
                  <a16:creationId xmlns:a16="http://schemas.microsoft.com/office/drawing/2014/main" id="{19FAAD95-C33A-AD19-18F2-459AC431C884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797279" y="3814200"/>
              <a:ext cx="2851562" cy="107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692920</xdr:colOff>
      <xdr:row>20</xdr:row>
      <xdr:rowOff>73526</xdr:rowOff>
    </xdr:from>
    <xdr:to>
      <xdr:col>4</xdr:col>
      <xdr:colOff>288494</xdr:colOff>
      <xdr:row>21</xdr:row>
      <xdr:rowOff>100710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20" name="Ink 219">
              <a:extLst>
                <a:ext uri="{FF2B5EF4-FFF2-40B4-BE49-F238E27FC236}">
                  <a16:creationId xmlns:a16="http://schemas.microsoft.com/office/drawing/2014/main" id="{BB5C7D30-FBBF-6EAE-5ED3-A64780E66ABD}"/>
                </a:ext>
              </a:extLst>
            </xdr14:cNvPr>
            <xdr14:cNvContentPartPr/>
          </xdr14:nvContentPartPr>
          <xdr14:nvPr macro=""/>
          <xdr14:xfrm>
            <a:off x="3167640" y="4109040"/>
            <a:ext cx="420480" cy="228960"/>
          </xdr14:xfrm>
        </xdr:contentPart>
      </mc:Choice>
      <mc:Fallback>
        <xdr:pic>
          <xdr:nvPicPr>
            <xdr:cNvPr id="220" name="Ink 219">
              <a:extLst>
                <a:ext uri="{FF2B5EF4-FFF2-40B4-BE49-F238E27FC236}">
                  <a16:creationId xmlns:a16="http://schemas.microsoft.com/office/drawing/2014/main" id="{BB5C7D30-FBBF-6EAE-5ED3-A64780E66ABD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160074" y="4101480"/>
              <a:ext cx="435613" cy="244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07.886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0 69 9152,'3'-13'6746,"0"-1"-5397,1-1 360,-1 2 540,1 0-1440,0 12-89,0 5-360,2 13-90,-3-2 0,0 3-91,0-5 1,0 0-90,0 2 90,2 6-90,0-4 90,5 18-90,2-1-90,-2-3-90,4 5-270,-8-23 360,1 5 0,-4-11 0,-1-3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1.12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150 17 10321,'3'-11'9625,"-8"8"-8996,1 1 1,-7 9-4342,2 1 4971,-7 8 51,3-2-951,-5 6 1,5-3 360,-12 24-630,13-17 0,-8 19 0,15-25 3392,3-1-3482,6 14 0,1-11 90,24 20-90,-3-25 0,22 5 89,-5-18 271,4-4 450,-2-5 179,-5-2-89,-8-3-720,-12 2-180,-7-3 0,-20-1 0,-8 0 0,-16 0-1350,-16 6-179,13 5-4048,-21 6 3958,32 1-2069,-18 5 3688,10 5 0,12-7 0,-1 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0.448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173 60 8972,'1'-12'7915,"-6"5"-6925,-3 3-181,-6 7-269,2 6-90,0 4-90,4 3-181,5 3-89,2-3 0,4 0 0,4 2 0,-1-3 0,7 11 0,-1-5 90,3 6 90,-1-1 629,-1-3-89,-2-4 269,-3-3-719,-3-1 0,-5-5-180,-4 1 0,-6-4-180,-3 0 90,-3-2-90,-4-2-450,-7-2 90,6-1-1079,-8-3 270,14 1-990,-7-4-450,10 2-449,-4-5-3688,8 0 6746,5-5 0,1 6 0,4 1 0</inkml:trace>
  <inkml:trace contextRef="#ctx0" brushRef="#br0" timeOffset="260">114 93 9422,'-7'-14'7285,"1"2"-4676,0 2-1710,10 2-269,4 3-450,11 1 0,-2 3 0,1 0-90,-4 1 0,0-1-90,2 1-990,32-3 361,-23 1-1890,42-3 1530,-44 3-1260,23-3-2159,-6 0 1800,-5 0 1760,6-1 0,-28 4 0,-2 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08.573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8 208 7803,'-5'-11'6026,"2"-2"-4857,4 0-629,3-4 0,2 4 0,1 1-181,0 3 91,1 0-90,1 1 269,7-3-359,-2 4 720,32-3-810,-25 8 179,39 10-269,-42 0 90,18 18-180,-26-13 90,4 19-90,-12-17 0,0 9 0,-9-1 90,-2 1-90,-1 0 0,-1-4 180,2-7 450,-3 5 899,3-3-810,6 1-269,9-10 0,10-3-360,4-4 0,-2 0 0,6-3-90,-8 2 0,4-2-180,-5 2-1259,12-3-720,-4 3-1349,19-3 2069,-19 3-2879,10 0-359,-17 2 4677,5 0 0,-14-1 0,-1 1 0</inkml:trace>
  <inkml:trace contextRef="#ctx0" brushRef="#br0" timeOffset="670">939 184 7713,'-9'-11'5486,"2"0"-4046,5-1-811,5-3 1,2 3-90,4-1 449,-1 4-179,12-7-451,-7 7-89,9-4 0,-10 8 180,0 1-90,3 1-91,0 2-89,2 4 0,-5 5-180,-5 6 0,-7 3 90,-3-2-90,-2 1-90,0-6 0,-2 5 90,1-1-90,0 3 90,5-1 0,5-2-90,4-3 180,7-1-90,1-2 0,1 0 90,10 4-90,-12-5 180,15 10-90,-18-9 360,9 10-180,-13-7-180,-3 7 0,-8-4-90,-3-2 90,-4-3-90,1-3 0,-2-2 0,-1 1 0,-9-1-450,-6 0-540,-8-1-1528,-11-4 1349,15 1-4138,-14-5 5307,28 2 0,-3 0 0,15 1 0</inkml:trace>
  <inkml:trace contextRef="#ctx0" brushRef="#br0" timeOffset="1379">1675 56 8882,'-4'-12'6746,"1"-3"-4587,1 2 809,0-1-2338,-1 13-1,-1 5-359,0 14 0,1-2-90,1 0 0,-1-4 0,2 0-90,-1 0 90,0 0 0,0 14-90,0-8-1,1 10-89,4-15 90,5-2-90,5-5 0,0-2 0,3-2 0,9 0 0,-8-1 0,22 1 0,-20-2 0,23-2 0,-24 1 0,23-5 0,-25 2 180,13-3-90,-14 1 180,2-2 90,-4 0 90,-3 0 449,-3 0-809,-4 10-90,-2 3 0,-5 13-540,1 1-809,-1 1-1259,2 1 179,0 1-449,2 0-1530,1 0 4408,2-2 0,-1-9 0,0-3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4.575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 0 12030,'3'17'2249,"1"3"-1889,-2-3-1,-1 1 1,1-4 0,-1 0 540,0 16-721,0-10 181,-1 19-180,0-21 0,-1 13 0,1-7-90,-1 6-90,0-3 0,1-4-360,-1-3-1439,1-2-1709,-1-4 3508,-3-2 0,2-5 0,-2-3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5.52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3 144 9602,'-2'-14'5127,"2"0"-4588,2-4 1,2 4 0,1 0-91,1 3 1,0 1-90,1 0 0,1 0 269,6-1 91,7 1 0,15 5-630,-9 3 179,8 10-179,-21 0 0,6 6 90,-7 2 0,1 17-180,-7-12 0,-5 15 90,-4-22-90,-9 20 90,5-19 540,-7 16-1,6-18-89,-2 3 90,2-4 89,0-1-629,9-3-90,7-4 0,5-2 0,4-4-180,-1-1-90,0 0-2878,30-5 2159,-20 4-2879,39-6 2339,-41 7-5667,18-2 7196,-23 3 0,-3 0 0,-10 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6.20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65 182 8522,'-5'-16'5847,"-1"-1"-4408,2 1-270,1-1-629,3-2 0,2 4-91,3 1-89,0 3 0,2 2-90,2-1 0,0 1-90,1 1 0,0 1-1,0 2 1,3-1 0,1 3-90,2 4-90,-4 5 90,-5 8-90,-6 5 0,-3-2 0,-2 1 0,0-4 0,-7 12 0,1 3-90,-1-1 90,3 5 0,8-15 0,3 6 0,3-10 0,10 5 0,-5-9 90,18 12-90,-15-13 180,17 11 0,-19-12 270,6 4 269,-9-3-269,-2-1-90,-3 3-270,-8 0 0,-4-2 90,-12 1-270,5-5-540,-15 3-989,1-3-360,-8 0 720,7-2-4678,-13-1 1080,21-3 4857,-10-1 0,23 1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7.22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61 122 8522,'-2'-13'3328,"-1"1"-2338,1 0-1,0 0 720,-1 1-180,0-4 810,-3-5-900,0 4-1169,-5 6 0,5 10 90,-1 9-1,3 3 541,0 23-810,2-13 90,3 26-90,3-28 0,9 20 0,-4-21-90,11 14 90,-9-20-90,17 3 89,-4-12 91,11-4 90,-9-7 720,13-15-91,-14 4 180,10-8-539,-16 10 450,-2 0-990,-6 6 0,0-1 0,-1 8 0,-6 7 0,-1 10-720,-3 4-359,0-1-2070,2 8 1171,0-10 448,1 6-1798,1 2-1349,0 3-360,0 0 5037,-1-2 0,-2-15 0,0-1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8.54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74 89 7623,'6'-12'3418,"-1"0"-1529,-1 1-270,0-3-360,-2 0 360,-2 0-630,-6 4-629,-5 8 0,-1 5 0,0 5-90,3 2 0,-1 1-91,1 2 91,1 2 180,-4 22-270,7 0 0,10 46-180,3-37 90,26 33-90,-16-54 0,12 10 0,-5-19 90,8-4 180,-5-4 1619,18-13-1530,-31-2 1,10-8-90,-20 5 539,-5-16-629,-2 11-90,-17-16-360,-1 22-89,-6-2-271,3 9-269,6 4-2789,-13 7 2428,11-1-5936,-25 25 7196,25-10 0,-4 4 0,15-15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17.77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69 54 11490,'-14'-9'5937,"2"5"-5127,8 12-451,4 5-89,5 1 270,6 5-360,-3-6 90,4 4-90,-3-4 179,4 8-179,-3-6 360,9 19-90,-7-11 629,5 16-359,-9-18-271,-1 6-179,-8-12 0,-4 4-180,-2-5 90,-10 2-180,6-8 0,-11 3-630,7-6-629,-5-1-720,4-3-90,1-2-89,3-2-91,3-5 180,3-3-2968,4-13 5037,3 3 0,1 2 0,0 9 0</inkml:trace>
  <inkml:trace contextRef="#ctx0" brushRef="#br0" timeOffset="201">29 208 7623,'-3'-18'4047,"-1"0"-2697,-2 2-181,0 0 270,1 3-270,0-1-719,6 1-180,3 1-180,4 2 90,2 3-90,0 2-90,0 0 90,2 1-900,24-5 360,-14 3-2698,43-7 2159,-40 8-1890,25-5 361,-32 6 2518,4-1 0,-14 2 0,-3 2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03.789"/>
    </inkml:context>
    <inkml:brush xml:id="br0">
      <inkml:brushProperty name="width" value="0.06" units="cm"/>
      <inkml:brushProperty name="height" value="0.06" units="cm"/>
      <inkml:brushProperty name="color" value="#00A0D7"/>
    </inkml:brush>
  </inkml:definitions>
  <inkml:trace contextRef="#ctx0" brushRef="#br0">5631 815 11580,'-3'7'7556,"3"-4"-7196,2 19 359,4 0-449,0-2-90,3 8 270,6 13-360,-5-14 0,5 15-90,-6-19 90,1 9 0,1 0-90,1 5 0,-4-11 90,0 0-90,-3-11 0,-6-6 0,-1-7 0,-12-18 0,4 0 0,-9-18 0,6 8 180,-17-37 89,16 28 181,-12-32 90,13 25 90,1-10-451,5 14 451,6-15-540,4 27 180,20-36-270,-8 38 0,26-22-90,-7 28-1079,26-2 449,-18 11-1259,17 2 1080,-32 8-2519,23 5 719,-18 1-3957,9 6 6656,-18-4 0,-11-2 0,-7-4 0</inkml:trace>
  <inkml:trace contextRef="#ctx0" brushRef="#br0" timeOffset="200">5695 905 11400,'-22'-1'7286,"3"0"-5307,4-1-1619,10-3-450,12 1-180,7 0-1756,17 1 1037,-8 2-1757,22 0 1307,-17 1-1349,11-1-1800,-14 1 4588,-1-1 0,-11 0 0,-3 1 0</inkml:trace>
  <inkml:trace contextRef="#ctx0" brushRef="#br0" timeOffset="-681">4858 970 7892,'7'-16'3508,"-1"0"-2608,-1 1-1,-1-1-89,-2 0-90,0 1 2608,-17-23-2429,-2 23-449,-9-14 809,-17 38-899,18 1 360,-25 18 449,9 11-809,8-7 449,-6 26-629,27-33 270,1 39-450,14-38 0,26 33-180,-7-38-180,18 9-1079,0-14-2609,30-4 2879,-18-2-1440,25-7 990,-48-5-4497,18-6 5268,-21 1 0,-3 1 0,-13 3 0</inkml:trace>
  <inkml:trace contextRef="#ctx0" brushRef="#br0" timeOffset="-480">4780 1065 9062,'-19'-3'4227,"1"0"-2877,2 1-181,1-1-90,1 1 630,2-1 450,-2 1-2069,28-1-630,-7 1-1169,38 0 540,-14 0 1169,29-3 0,5 0 0,-4-1 0,2 0 0,-1 0 0</inkml:trace>
  <inkml:trace contextRef="#ctx0" brushRef="#br0" timeOffset="-1417">3475 801 8882,'-7'-14'6566,"1"2"-2968,-2-1-2429,-1 8-719,1 9 0,2 7-180,1 6 90,4-2-91,-1 2 181,1 11-90,2 15-450,0-5-1079,2 29 449,-1-36-2338,5 32 1799,-4-38-4228,5 22 5487,-5-30 0,2 4 0,-4-17 0</inkml:trace>
  <inkml:trace contextRef="#ctx0" brushRef="#br0" timeOffset="-1083">3384 829 8252,'-11'-20'3868,"1"1"-2878,0-1-91,2 3 0,0 0 1,3 2-180,0 1 359,3 1-359,1-3-181,5 3-359,8 2-90,2 8 180,33 21-180,16 22-90,-1-2 0,-12-1 0,-5 0 0,-6-3 0,5 8 0,-3 0 0,-14-11 0,21 29 90,-37-41 0,0 17 0,-9-18 90,-13 21-90,0-23 0,-33 22-90,18-22-900,-43 19-539,27-17 449,-9 3-359,20-9-90,13-5-1170,3-2 2609,2 0 0,6-3 0,2-1 0</inkml:trace>
  <inkml:trace contextRef="#ctx0" brushRef="#br0" timeOffset="24083">3933 2431 8432,'9'-11'2879,"-2"2"-2250,4-1 1,-1 4-90,0-1 449,6-2-539,-3 3 1079,13-1-1169,-9 8 269,8 3-359,-11 5 540,0 14-541,-9-8 631,-5 34-720,-6-26 450,-17 39-451,8-36 1,-8 15 0,9-20 0,2-1 0,1-1 270,-2 5-270,5-6 719,1 13-629,6-17 180,8 11-270,2-17-90,4 1 179,18-6-1888,30-9 720,-15 4-1080,24-9 810,-48 7-2789,22-4 1349,-21 4 2609,17-4 0,-29 6 0,2-1 0</inkml:trace>
  <inkml:trace contextRef="#ctx0" brushRef="#br0" timeOffset="24506">4543 2319 7353,'-5'-16'3328,"0"1"-1709,2 2 90,1-1 630,1-1 269,-1-1-1079,3 2-719,5 5-360,6 6-1,2 5 91,2 3 539,15 11-899,-9-4 360,33 28-540,-29-18 90,12 16 0,-15-6-360,-5 3-629,-3 12-3599,-21 29 3059,-4-27-180,-14 20-2879,-6-24 4498,-6 2 0,-1-2 0,0-4 0</inkml:trace>
  <inkml:trace contextRef="#ctx0" brushRef="#br0" timeOffset="19066">233 2390 8612,'1'-21'4767,"-1"2"-2968,0 2-180,0 0 270,-1 3-1439,-1 13-270,0 7 0,0 9 0,1 2 90,1-3-180,-1 9 89,2 10-179,-2-5 180,2 18-90,-1-26 90,0 22-90,-1-24 0,-1 13 0,0-13 0,-1 4-90,0-3 90,0-3 270,1-1 269,-1-2 271,1 1-181,2-3-359,5-1-90,6-2-180,7-4 0,-1-1 0,0-3-90,-2 1 90,7-2-90,-3 1-810,25-2 271,-22 1-2070,19-2 810,-21 2-360,4 0-359,-2 0-990,-2 0 3508,-2-2 0,-8 2 0,-2-1 0</inkml:trace>
  <inkml:trace contextRef="#ctx0" brushRef="#br0" timeOffset="19566">694 2598 10321,'-7'-11'4947,"-1"2"-4677,0 0-360,11 5 90,2 0 0,8 2 0,-2-2 90,-2-3 90,-1-2 270,-1-3 269,-1-3 91,-2-2 89,-2-2-179,-4 0-270,-3 0 179,-1 6-89,-4-1 0,-2 7-180,-5 3-1,1 3-89,-1 5 0,4 2 90,0 1-90,-1 1 269,-6 8 631,-12 32-1080,12-19 0,-5 22 0,23-33-1,6 16 1,7-4-269,11 10-91,-1-16-1169,24 0 629,-19-14-1978,34 2 1888,-33-10-2248,27-3 1889,-31-2-3329,23-9 1620,-28 4 2968,9-4 0,-20 8 0,-2 0 0</inkml:trace>
  <inkml:trace contextRef="#ctx0" brushRef="#br0" timeOffset="19784">726 2599 8342,'-17'-1'3148,"-1"0"-2248,1 2-91,1-1-89,-1 1 1259,-10 0-810,8 1-1079,4 5-90,13-4-90,14 3-180,2-4-719,11-2 179,-3-1-2518,34-2 1439,-24-1 1889,31-3 0,-45 4 0,6-1 0</inkml:trace>
  <inkml:trace contextRef="#ctx0" brushRef="#br0" timeOffset="20238">1300 2231 8162,'-8'-9'3149,"-1"0"-2250,1 2-89,-1 1-1,0 0-89,0 1 629,-1 1-180,-4 2-629,-1 3 1079,-7 11-1169,8 0 899,-4 38-1169,14-22 90,1 41-180,8-33 180,14 55-181,-7-41-44,3 9 0,1-1 45,-4-10-45,1 4 0,-1-3 45,-4-11 270,1 38-270,-8-48 270,-10 30-270,-5-29-90,-4 6 90,-10-9-180,9-14-630,-27 7 180,21-13-899,-25 2-450,17-11-539,-9-6 1079,11-2-1,4-3-4946,9-5 6296,6 3 0,2 1 0,7 9 0</inkml:trace>
  <inkml:trace contextRef="#ctx0" brushRef="#br0" timeOffset="20402">1007 2688 10861,'-1'-16'4407,"0"0"-4137,5 3-90,2 2-180,6 3-90,1 3-270,6-1-179,2 1-811,17-4 451,-7 1-900,25-5 1799,2-3 0,-22 6 0,2-2 0</inkml:trace>
  <inkml:trace contextRef="#ctx0" brushRef="#br0" timeOffset="20642">1478 2459 8252,'11'-12'2699,"-1"-1"-1890,-2 1-89,-2 0 629,-2 0-180,-1-3-179,-4 0-1,-2-1-89,-4 2 989,-1 5-990,-3 7-449,3 8 0,0 4-1,4 6 1,3-2 0,0 3 539,1 21-809,0-11 360,3 53-450,-1-45 0,3 48-270,-3-54-809,2 22-1170,-2-22-2788,2 9-630,-1-9 5577,-1-3 0,0-16 0,-2-4 0</inkml:trace>
  <inkml:trace contextRef="#ctx0" brushRef="#br0" timeOffset="20881">1411 2621 10321,'-8'-8'8006,"8"-3"-7647,5 3-179,6 0 0,5 2 0,-4 2-90,2 0-180,1 0-180,1 0-2068,24-5 449,-9 1-2519,29-6 1260,-30 7 3148,4-2 0,-24 6 0,-2 1 0</inkml:trace>
  <inkml:trace contextRef="#ctx0" brushRef="#br0" timeOffset="21169">2117 2272 9691,'-5'-19'5757,"0"5"-4677,-8 2-91,3 7-179,-5 1 89,2 3-179,-2 2-91,0 3 810,-8 7 1350,-20 33-2160,14-13-89,-10 23 360,21-13-631,6-9 361,-2 35-540,9-31 0,2 17 0,7-13-1889,17 25 720,-6-21-3509,28 24 3149,-24-49-180,13 6-90,-14-17-1529,1-2 3238,7-2 0,-14-3 0,5 0 0</inkml:trace>
  <inkml:trace contextRef="#ctx0" brushRef="#br0" timeOffset="22451">2451 2373 9062,'1'-13'9354,"-2"0"-8454,1 12-270,1 4-450,3 15-1,0-2 1,1 2-90,0-3 0,-1 2 0,5 11-180,-2-5-1169,9 29 0,-4-15-1260,7 23 1530,-8-28 89,-1 0 1,-5-18-1080,-1-2 1979,0 0 0,-2-7 0,1 1 0</inkml:trace>
  <inkml:trace contextRef="#ctx0" brushRef="#br0" timeOffset="22883">2445 2527 8612,'-8'-17'3148,"1"0"-2338,2 0-1,0 1-89,2 0-90,0-1-1,3 1-89,1-1 449,5-5 451,15-11-901,0 7 1,13-2-360,-14 19 270,9 7-181,-10 7-179,8 6 0,-12 1-90,-2 1 0,-6-2 90,0 1-90,2 7 0,0 1 0,2 7-90,-1-1 0,-1-1 0,1-2 90,-1-6 0,1-1-90,2-1 90,-1-4 0,17 11 0,-12-11 0,28 18 90,-28-18 0,15 10 90,-21-14-90,-2 3-90,-11 3 90,-3-4-90,-22 9-90,11-9-449,-23 10-541,6-3-1708,-16 6 1528,17-7-6565,-6 1 7825,22-12 0,4 1 0,6-4 0</inkml:trace>
  <inkml:trace contextRef="#ctx0" brushRef="#br0" timeOffset="23237">2892 2466 8972,'4'-14'3958,"-1"1"-2339,1-3 180,-1 1-450,2 0-719,3 9-271,1 9 91,-1 6-90,-1 5 180,-1 6-361,-1-3 451,1 15-180,0-5 0,1 8 89,-1-1-89,1-2-180,-1-3-90,0-4 0,-2-7 0,2 1-90,5-4-90,6 0-360,4-4-180,4-7-180,-8-3-1168,6-4-271,-4-2-270,6-2 1080,-4 1-5667,13-4 6168,-16 5 0,4-1 0,-15 4 0</inkml:trace>
  <inkml:trace contextRef="#ctx0" brushRef="#br0" timeOffset="23420">3488 2722 9691,'4'10'8995,"-3"-1"-8095,-5 7-630,-2-1 0,0-1-91,0 1 1,1-3-90,-1 0-360,-3 7-89,2-3-3329,-11 25-5397,0-3 9085,1 0 0,5-12 0,9-21 0</inkml:trace>
  <inkml:trace contextRef="#ctx0" brushRef="#br0" timeOffset="-1713">2698 819 7803,'-4'-12'3687,"0"0"-8447,0 2 5569,-2 0 1410,-1 1-690,-5-1 50,2 3-410,-4 0-180,-9 10-89,1 8-180,-11 14-361,11 1 3303,0 5-3032,6 2-450,5-6 90,-1 7 179,7-1-179,4 3-90,4 11 0,12 6-270,-1-18-630,25 13 181,-18-31-721,24 6-539,-12-18-539,9-3-630,-1-6-2969,-4-4 5937,-9-1 0,-11 3 0,-10 2 0</inkml:trace>
  <inkml:trace contextRef="#ctx0" brushRef="#br0" timeOffset="-3200">780 947 10321,'9'4'6566,"-4"3"-6116,-3 4-90,-4 3 0,-1-2-180,-1 2-3303,1 1 3303,-1 2 90,-3 18-90,-1 21-90,1-10-90,-1 24 0,6-47 90,-2 24-90,2-27 0,-2-4 90,3-15 3302,-3-14-3392,3-3 0,-1-3 0,4-46 0,1 25 180,8-52 0,-3 50 359,13-37-359,-10 43 450,12-33-450,-15 46 180,11-22-180,-12 28 719,11-12-449,-5 19 89,11 6-359,-9 8 180,9 18-180,-12-4 0,16 29-90,-14-19 0,20 39-90,-19-36-450,16 37 0,-19-38-2248,14 32 1708,-16-36-2338,9 27 1979,-12-32-3778,3 15 5127,-7-17 0,0-5 0,-3-4 0</inkml:trace>
  <inkml:trace contextRef="#ctx0" brushRef="#br0" timeOffset="-2998">842 1233 8612,'-7'-8'3418,"0"-1"-1529,2 1-270,0-5-539,4-1-631,3-4-179,5 4 0,3 2-90,1 4-90,3 0-90,13-2-180,-3 2-180,12-2-2158,27-1 1258,-21 5-5126,42-5 6386,-44 6 0,-4 1 0,-20 2 0</inkml:trace>
  <inkml:trace contextRef="#ctx0" brushRef="#br0" timeOffset="-2780">1507 934 11940,'-10'-2'6476,"5"6"-6296,6 10 0,2 2 90,2 5-270,-1-4-90,1 6-180,-1-6-1529,7 19 900,-4-12-1170,7 21-1439,-5-17 3508,2 5 0,-6-15 0,-1-6 0</inkml:trace>
  <inkml:trace contextRef="#ctx0" brushRef="#br0" timeOffset="-2314">1538 1016 8252,'-7'-22'3238,"0"1"-2338,0 0-91,0 0 1,2-1-90,0 2-91,0 0 900,2-14-1259,3 13 630,6-22-630,1 27 539,18-11-629,-12 20 0,11 0 0,-11 8-90,1 2 0,0 1 90,5 6-1,1 5-89,4 5 0,-3 4 0,4 16-90,-12-15 0,6 15 0,-12-25-90,8 14 0,-6-15-89,14 20 179,-13-20 0,9 9-90,-9-10 90,1 3-90,1 4 180,-3 1-90,-3 0 90,-4 0 89,-7 5-89,0-10 90,-8 7 90,-5-7-270,2-4-180,-23 5-90,22-11-269,-14 1-2340,7-10-359,6-2 720,-3-4 2518,9-1 0,9 6 0,1-1 0</inkml:trace>
  <inkml:trace contextRef="#ctx0" brushRef="#br0" timeOffset="28018">578 1364 11221,'0'2'4047,"-2"-1"-3777,11 17 90,-6-6 0,1 2-90,-1 0-1,-1 1 1,1 0 360,0 15-270,1 2-270,-1 1 90,1 7-91,-2-24 1,5 24 0,-1-21 0,5 10-90,-3-16 90,6-1 0,-4-6 90,14 3-90,-9-6 180,26-1-180,-19-2 90,43-9-90,-30 4-45,14-4 0,1-1-45,0 1 45,27-5 0,1-1-45,-18 5 0,7-2 0,-4 1 0,-22 5-90,22-3 90,-18 2 0,-3 2 90,-8 0-90,-14 3 0,-1 0 0,11-1 0,-12 2 0,19-2 0,-18 3 0,5 0 0,-6 0 0,-4 0 0,2 1 0,-3 0 0,-1 1 0,0 0 0,0 0 0,0 1 0,1 0-90,-1 0 180,1-1 0,-1 1-90,1-1 0,-2-3 0,-1-2 0,0-4 0,2-5 0,-2 2 0,1-4 0,-4 6-90,0-2 90,6-11 0,-6 6 0,8-17 0,-6 4 0,5-21 0,-6 15 0,4-26 0,-9 35 90,4-24-90,-5 15 0,0-10 0,-2-4 0,-2-29 0,0 28 0,-2-15 0,0 26 0,-2-6 0,-1-1 0,-2-6 0,3 24 0,0-2 0,3 15 0,0 1 0,0 0 0,-1-7 0,1 4-90,-2-17 90,3 9 0,0-5 90,1 8-90,0 6 0,0-17 0,-1 8 0,0-14 0,-3 0 0,2 14 0,-4-21 0,3 27-90,-5-23 180,4 23-180,-3-11 90,2 15 0,1 0 0,-7-10 0,4 9 0,-7-12 0,0 6 0,2 4 0,-2-2 0,6 8-90,0 3 180,-3 1-180,-2 3 90,-4 3 0,2 1 0,-1 1 0,-5 0 0,4 0 0,-8 1 0,6-1 0,-3 1 0,-27 1 0,-15 0-90,-14 1 90,-3-1 0,16-1 0,-14 0 0,27 1-90,-21 0 90,24 1 0,-29 4 0,25-1 0,-21 6 0,41-7 0,-32 8 0,33-7 0,-39 7 0,32-7 0,-16 1 0,16-4 0,5-1 0,9-2 0,-2 0 0,9-1 0,-4 1 0,4-2 0,1 1-90,2 0 90,1 0 0,2 3 0,4 3 0,1 6 0,3 4 0,2 0 0,0 1 0,2-2-90,-1 8 180,3 5-90,-1 12 0,2-6 90,1 25-90,0-14 90,1 22-90,0-11 0,0 0 90,-1-1-90,0-1 90,-1-14 90,0 15-1,-2-19 1,1 14-90,-1-19 180,0 13-180,0-21 450,-1 40-450,1-38 269,-1 34-179,1-41-90,0 10 90,1-9-90,-1 1 0,0 5 0,0-2 0,1-1 0,0-1-90,1 0 0,-1-2 90,1-1-90,1 5 90,0-7-90,-1 5 90,1-9-90,-1 1 90,0-1-90,1 0 0,0 0 0,0 0 0,0-1 0,1 0 90,0-1-90,1 2 0,1 0 0,0 1 0,0 0 0,0-1 0,0-1-9831,-1-1 9455,-2-11 0,-1 3 1,-2-8-1</inkml:trace>
  <inkml:trace contextRef="#ctx0" brushRef="#br0" timeOffset="29686">1 2007 9152,'6'-11'3598,"3"1"-3059,2 4 1,4 0-90,-2 1 0,2 1-1,3 0 1,3-1 989,45-5-1169,-25 4 45,14-1 0,1 0-135,-9 1 89,45-3 1,-24 3-135,-16 2 0,0 0-45,25-1 0,-12 1 0,-2 0 0,-4 0 0,9 0 0,0 0 0,-9 1-45,-3-1 0,2 1 45,18-1 0,-6 2 0,2 1-90,17-1 0,-30 2 0,-1 0 90,11 2 0,2-1-90,17 1 89,-35-1 1,-2 0-90,18 0 90,-11-1 0,-2-1 0,-7 0 0,4 0 0,0 0-90,-9-1 90,50-2-90,-57 3 90,31-3-90,-37 3 0,35-3 0,-36 2 90,36-3-90,-43 4 0,18-3 0,-18 1 0,-1 1 0,1 0 0,0-1 0,-5 1 0,4 0 0,-9 1 180,0-1-90,-1 0-90,-9-5 90,-5-1-90,-8-2 0,0 0 0,-4-3 0,3 3 0,-9-9 0,7 7 0,-9-9 90,9 8 0,-11-14-90,12 13 359,-11-14-269,12 14 0,-4-5 90,7 8-90,7 2-90,9 8 0,4 1 0,5 5 0,6 5 0,6 4 0,12 6 0,-6-1 0,17 10 0,-25-13 0,23 17 0,-29-16 90,6 9-90,-16-6 90,-10 1-90,-6-4-90,-22 11-270,-2-6-899,-19 12 450,12-11-5218,-46 31 3418,45-30 1930,-6 4 1,2 0 0,11-8 0,-8 5-1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44.805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2619 298 12840,'-6'-2'8815,"-1"2"-8546,-13-1-89,2 2 0,4-1 0,-2 1-90,-2 0 0,-1-1 180,-35 2-270,22-2 90,-55 1-90,49-2 0,-40 0 0,22 0 0,-34-1 0,29 1 0,-23-1 0,44 1 0,-58-2 0,49 2 0,-7 0 0,0-1 0,12 2 0,-13-2 0,-1 1 0,8 0 0,-37-1-90,32 2 90,-17-1 0,12 1 0,-21-1 0,46 1 90,-39-1-90,36 0 0,-57-2 0,57 2-90,-39-1 90,49 1 0,-48 0 0,44 1 0,-45 1 0,54 0 0,-11 0 0,11 0 90,7 0-90,-9 0 0,1 0 0,3 0 0,-2 0 0,8-1 0,0-1 0,-2 1 0,-1-1 0,1 1 0,0-1 0,2 0 450,1 1 179,1-2-539,6-5-90,5-3 0,5-3 90,3 0 0,3-3-90,-1 3 90,3-5 90,3-1 90,4-8-270,-2 5 270,5-7 89,-6 8 91,1-3-180,-1 4 90,-5 5-360,-11 12 90,-3 6-90,-7 6 90,-5 7-90,5-5 0,-4 6 90,-4 3-90,-5 6 0,0 0 90,-17 18-90,20-22 0,-23 28-90,22-25 180,-7 12-90,15-17 90,3 2-90,7-5 0,5 8 0,2-9-1080,17 10 271,-8-16-1440,20 10-360,-1-11 181,14 2 989,-3-3-7826,27 1 8417,-31-5 0,24 2 0,-28-3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48.758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1817 67 7443,'1'-9'6926,"-6"5"-6387,-8 2-179,-5 4-90,-1 2 0,-1 0-90,0 1-90,0 1 0,4-2 0,2 0 0,2 0-90,0-1 90,-3 1 90,-10 1 359,-42 1-359,19-2 0,-9-4 0,0-1 0,6-2-45,-6-3 0,0 1-45,6-2-1,-2-1 1,1-1 0,9 1 0,-40-8-90,52 9 90,-18-3-90,30 6 0,-14-3 0,18 4 0,-22-4 0,17 5 0,-13-1 0,14 2 0,-16 2 0,15 0 0,-27 2 0,27-2 0,-19 2 0,15-2 0,1 0 0,3 0 0,2-1 90,0 0-90,-4 0 0,1 0-90,0-1 90,1 1 0,-1 0 0,0 1 0,1 0 0,1 1 0,1 0 0,1 0 0,2 0 0,0 1 0,0 0 0,1 0-90,-1 1 90,0 0 0,0 2 0,1 1 0,0 3 0,3-2 0,1 1 0,0 4 0,3-3 0,-2 6 90,4-4-90,-4 17 0,2-1 90,-1 30 0,5-25 0,2 11 0,2-24-90,0 0 90,0 1 90,2 8-90,0-7 0,2 19 90,2-7 0,9 31-180,-6-25 90,13 28-90,-14-45 0,7 12 90,-4-14 89,2-1-89,5 4 180,17 0-270,-13-10 0,10 0 90,-9-9-90,5-3 90,9 0 0,23-4-90,-23 1 0,14-1 90,-22 3-90,3 1 0,8 2 0,-1 3 0,0 0 0,0 1 90,1-1-90,-9-2 0,-1-1 0,-9-3 0,0 0 0,1-1 0,1 0 0,12-2 0,4 0 0,-1 1 0,19-4 0,-27 2 0,39-7 0,-40 4 0,40-14 0,-38 9 90,52-22 0,-49 19 180,33-17 0,-37 16 179,6-6-89,-3-1 0,-3-2 90,-3-3-91,-3-3 1,-2-3 180,-2-3-180,-3 0-90,-3 0-1,-3 0 91,-2-12-360,-4 18 90,-1-13-90,-5 27 0,-1-9-180,-2 6-269,-5-3-721,-6 3-1258,-7 4-181,-8 4-809,-6 6-5127,-5 3 8545,8 4 0,12 0 0,11-1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53.75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318 516 8792,'7'-19'4138,"-2"-1"-3239,-3 1 1,-2 1 89,-2-2 0,-2 2-89,-1 0-3393,-2 0 3213,-1 1 359,-7-4 1170,-28 6-1799,13 6 809,-39 24-809,42 3-90,-15 19 89,22-12-89,3 4 0,3-1 0,2 2-90,2 0 89,4-1 181,6 24-360,2-21-180,31 51-270,-12-52-1979,47 30 1080,-35-45 1593,32 3-1683,-32-15-4318,49-9 2788,-44 0 2789,39-10 0,-61 10 0,5-3 0</inkml:trace>
  <inkml:trace contextRef="#ctx0" brushRef="#br0" timeOffset="212">366 616 8432,'-27'-6'7286,"11"3"-5037,-11-3-1080,17 2-1079,8-2-360,12-1-180,8 2-179,4 0-181,-1 1-179,1 0-270,2 1-91,1-1-1078,1 1 2428,11-3 0,-19 3 0,5 0 0</inkml:trace>
  <inkml:trace contextRef="#ctx0" brushRef="#br0" timeOffset="670">839 416 9062,'6'-12'9265,"-1"0"-4858,0-3-3148,3 8-809,-1 7-90,2 7-90,-2 6-90,-1-1-1,0 1 1,0 1-90,0 1 270,7 24-360,-5-18 0,10 39 0,-12-39 0,7 26 0,-8-31-90,3 10 0,-6-13 90,-1 1 90,-6-9-90,-6-6 0,-1-7 0,0-2-90,2-1 90,-13-21 90,7 9-90,-19-43 90,20 32-90,-8-29 90,15 32 0,1-6 90,8-13 0,12-6-90,6-10 0,15 6-90,-6 25 0,1 7 0,18 0 0,-17 12-540,41-11-3598,-6 15 2969,-13 3-2519,12 6 2159,-49 6-2789,7 3 4318,-13 3 0,-4-5 0,-1 3 0</inkml:trace>
  <inkml:trace contextRef="#ctx0" brushRef="#br0" timeOffset="881">997 308 11850,'-21'1'8815,"4"-2"-8455,16 0 180,4-1-360,23 0-180,-7 0-180,10 0-90,-7-1-270,2 0-1888,16-2-1080,0 0-4138,5-1 7646,-9 3 0,-21 1 0,-5 2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39.992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2696 80 10951,'-26'-2'3688,"6"1"-8539,2 6 6380,0 9 509,4-1-1588,-4 8 859,7-2-409,-8 31-720,8-16 180,-3 49-270,12-45-90,3 20 0,4-26-90,2 0-180,2-1-90,2-2-989,8 11 539,-3-11-2338,24 24 2069,-17-28-4678,33 18 5757,-28-29 0,3 1 0,-21-12 0</inkml:trace>
  <inkml:trace contextRef="#ctx0" brushRef="#br0" timeOffset="900">3218 378 8612,'-8'-10'3688,"0"1"-1529,-2 2-990,0 5-269,2 3-541,2 12-89,6 0 0,2 5-90,1-2-90,2 1 90,0 3-90,4 12-90,9 26-180,-5-17-270,9 21-180,-10-34-359,3 8 359,-5-13 540,-3-14 0,-8-20 1,-3-12 89,-2-7 0,2 1 89,0-4 181,0-22 270,2-6 0,2-16-270,2 17-1,1 8 631,2-3-181,0 6-539,0-1 180,0 10-90,-3 20-270,-4 12 90,1 5-90,-4 15 0,4 1 0,1 0 0,0 7 90,4 9-90,-2-5 0,5 9 0,-1-11 0,2 6 0,0 0 90,2 7-90,-4-12 0,1 9 0,-4-14 90,0 12-90,-5-8 0,0 0 0,-5-9 0,-4-1 0,-3 1 90,-7 2-90,-1-1-90,-2-2-90,5-4 90,0-4 0,9-8 90,5-4 0,8-5 0,3 3-90,3-1 90,3 1 0,0 2-90,11-5 90,-8 5 0,7-1 0,2 2 90,34 1 0,-23 3 0,33 10-90,-50 0 0,9 6 0,-10 2 90,-1 3 0,1 6-90,-6 16 0,-6-15 0,-5 10 0,-5-21 0,-12 10-180,-11 1 0,1-2-719,-12-3-631,13-12 541,0-1-180,3-3 1169,-2-3 0,15-1 0,-6-1 0</inkml:trace>
  <inkml:trace contextRef="#ctx0" brushRef="#br0" timeOffset="1348">3717 658 8432,'38'-23'8096,"2"7"-7647,-27 19 1,3 7-90,-12 4-90,-4 4-180,-3-2 179,-2-1-89,-1-3 180,-5 5-270,3-5 270,-13 14-270,11-13 180,-12 12-180,11-13 90,-3 4-90,7-6-90,9-3 0,6-5 0,6-2 89,2-4-178,3-1-181,-3 0-720,11-4 361,-10 4-2070,21-5 540,-10 4-1169,16-1 450,-15 5 2878,-1 0 0,-17 2 0,-2 1 0</inkml:trace>
  <inkml:trace contextRef="#ctx0" brushRef="#br0" timeOffset="1630">4569 859 10411,'-33'25'7106,"-1"7"-7286,24-14-180,-5 9-89,4-6-181,-2 1-180,0 2 1,0 0-3239,-13 18 990,10-16 3058,-9 11 0,18-27 0,1-3 0</inkml:trace>
  <inkml:trace contextRef="#ctx0" brushRef="#br0" timeOffset="2081">4735 300 8612,'0'-17'4767,"1"1"-3597,2-2-181,4 4-179,4 3-540,6 5-1,-2 5 1,1 5-180,-4 3 90,2 1 0,0 2 180,10 17-180,-9-8 89,11 33-179,-19-27 180,0 47-180,-9-42 90,-6 43-90,2-47 90,-7 30-180,7-34 90,-5 17 90,6-16 0,1-1-180,3 2 90,8-5-270,6-1-630,9-5-359,7-9-540,6-5 629,-4-1-6655,50-9 7735,-38 6 0,40-7 0,-42 5 0</inkml:trace>
  <inkml:trace contextRef="#ctx0" brushRef="#br0" timeOffset="2350">5533 48 8252,'-9'-15'3508,"1"2"-1979,1 3 1170,-2 1-2159,5 10-91,2 2-89,5 10 0,5 2-90,2 4 0,2 5-91,3 5-89,0 3 180,10 21-270,-11 1 0,0 1-270,4 17-225,-10-8 1,-5-4-226,-10-16-2158,-22 47-450,-4-29 3253,6-17 0,-1-3 1,-16 10-1,-1-9 0</inkml:trace>
  <inkml:trace contextRef="#ctx0" brushRef="#br0" timeOffset="-1634">129 590 7443,'-13'-6'2968,"1"-1"-2068,1 2 539,1-1-270,-3-1-269,1 0 988,0-1-1258,0 7-360,7 8-90,1 4 90,6 5-180,0 0 90,1 2-91,1 2 91,6 35-180,-3-22 90,9 48-90,-10-50 0,6 30 90,-7-38-90,3 15-90,-5-20 90,-1-11 0,-3-8 0,-2-15-90,0-1 90,-3-17 0,2 4 0,-6-49 0,7 33 0,0-9 0,2 1 0,1 5-45,3-2 0,1 1 45,0 10 0,12-40 0,-7 51 0,15-25 0,-12 36 0,10-8 0,-5 21 0,8 8 0,-8 4 90,1 7-90,-10-1 90,-2 1-90,-1 3 0,-2 1 0,-3 13 0,-1-5 0,-18 49 0,6-39 0,-21 42-90,14-49 90,-23 26 0,20-30 90,-23 21-180,29-31 0,-13 12 270,19-19-180,5 1 90,11-7 0,18 0 0,-7 1-90,5 3 0,-8 0 0,1 0 0,0 2 0,2 1 0,1 1-90,1 0 180,1 0-90,1 1-90,20 7 90,-13-6-90,15 4 0,-22-10-90,17 1 90,-15-5-89,17-1 89,-16-6 0,11-13 180,-15 5-90,7-17 269,-18 15 1,3-7 90,-6 7 90,0 2-540,1 11 90,-1 6-270,2 14-90,-3-1-179,2 2-181,-2-4-179,1 0-5038,10 21 2429,-6-16 3508,8 14 0,-13-27 0,0-1 0</inkml:trace>
  <inkml:trace contextRef="#ctx0" brushRef="#br0" timeOffset="-1485">694 645 6993,'-5'-14'1349,"0"1"-1349,0 3 0,-2-1 0,4 6 0,-1 1 0</inkml:trace>
  <inkml:trace contextRef="#ctx0" brushRef="#br0" timeOffset="-449">937 803 9512,'10'-8'6116,"-4"-3"-5126,-6 2-721,-7 2-179,-4 7 0,-1 4-90,2 6 90,2-1-90,1 2 0,-3 8 0,1 4 0,-2 7 0,3-5-90,3 4 90,4-9-90,10 7 90,2-11 0,10-2 0,-6-10 90,6 0 0,-1 1 90,7 5-90,-6-1 0,1 3 90,0 4-90,-5-2 180,13 21 359,-6 14-539,-5-10 180,-7 23-180,-14-42 0,-7 16 0,1-22 0,-13 8-90,8-14 0,-18-5 0,12-15-180,-8-14 0,10-13 90,6 3 0,4-3-90,6-3 180,1 11-90,2-10 0,5 4 90,3-2 0,1 1 90,15-26-180,-12 32 180,25-52-90,-25 52 90,11-21 90,-13 25 0,-1 3 270,1-2 0,-1 7-270,0 10-1,-1 9-179,2 10 0,-5 2 90,3 8 0,-2-1-90,1 7-90,-2 1 90,-1 2 0,-2 9 0,-2-11 0,1 3-90,-1-14 180,4-13-90,2-5 0,1-7 90,0 0-90,-2 2 0,7-5 0,-5 4 90,8-3-90,-4 6 90,6 2-90,2 3 90,3 3-180,-5 1 90,10 5 0,-13-3 0,18 5 0,-19-5 90,17 3-90,-14-8 90,12-8-90,-13-1 90,5-18-90,-12 8 0,10-42 0,-7 4 90,7-36 0,-8 28 450,3-22-360,-8 46 359,3-29-3751,-8 47 3392,0-10 180,-2 15-270,-4 12-90,1 4 90,-2 14-90,4 5 0,0 3-540,4 51-180,-1-28 2583,6 53-2852,-2-56-4228,10 50 3688,-9-50 1529,10 42 0,-14-64 0,2 7 0</inkml:trace>
  <inkml:trace contextRef="#ctx0" brushRef="#br0" timeOffset="-279">1722 575 9152,'-6'-14'2968,"0"0"-2338,1 2 449,0 1-359,1-3-450,2-1-213,2 1 33,4 1-180,9 1-180,-1 4-899,16-5-450,4 4 719,1 0-809,3 2-539,-7 1 2248,3 1 0,5-1 0,2 0 0</inkml:trace>
  <inkml:trace contextRef="#ctx0" brushRef="#br0" timeOffset="13417">6210 782 8252,'-12'-6'4048,"-1"0"-2969,1 1-179,0-1-1,0 1 720,1 0-539,-2-2-181,3 0-719,4-3 180,17-1-270,2 2-270,29-4 0,-18 6-180,27-5-89,-8 1 89,14-3 180,-3-1 90,-5-2 90,-17 5 270,1-7 269,-18 4-89,-4-14-180,-12 10 720,-24-17-811,12 22 1,-14-11-90,16 17 270,-9-8-270,18 14-90,-7-5-90,20 15 90,4 3 90,-3-1-180,10 7 90,-8-5 90,11 12-90,-13-10 90,9 16-90,-15-11 0,-1 8 0,-6-9-360,-9 8-90,4-12-2428,-18 21 1889,14-21-4138,-14 17 5127,16-20 0,-2 1 0,7-8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0:51.590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15 571 9062,'-11'-2'5936,"7"-3"-5666,8-1 0,7 0-90,5 0-90,0 2-3302,1 1 3302,4-1-270,52-3-450,6 0 270,12 0-315,-28 3 1,-5 0 404,-11 1-179,49-3 359,-68 4 180,16-2 539,-27-1-449,-4-6 90,-10 2 4201,-20-12-4111,3 9 450,-18-13-360,14 12 989,-20-16-1169,22 16 449,-14-14-539,29 18-180,3 3 90,9 7-90,5 9 90,-2 1-90,10 10 0,-4-2 0,17 16 0,-16-13 0,22 31 0,-26-29-630,11 32 181,-25-36-541,-3 16 360,-3-19-2158,-7 15-540,6-17 3328,-4 10 0,6-18 0,1 0 0</inkml:trace>
  <inkml:trace contextRef="#ctx0" brushRef="#br0" timeOffset="450">1178 367 9512,'9'-16'3687,"0"1"-2787,-3 1-1,0 2 810,-2 2 1350,1-1-2699,-7 11-91,0 2-89,-6 12 0,2 0 0,0 2-90,-3 13 0,-4 13-90,3-7 0,0 5 0,5-22 0,0 5-90,1-6-90,-1 2-180,1-5 360,1-15-90,1 0 90,2-14 0,4-2 0,3-15 0,0 4 0,17-45 90,-10 34 360,21-44-270,-20 53 270,14-24 629,-16 33-449,5-4-360,-5 18-1,-2 6 361,3 13-360,-6 0 0,7 20-90,-1 7-180,3 17-360,0 7-630,-2 0-1168,-1-2-1,0-5-450,-1-5-359,-1-7-3778,0-7 6746,-3-13 0,-3-10 0,-4-9 0</inkml:trace>
  <inkml:trace contextRef="#ctx0" brushRef="#br0" timeOffset="601">1396 604 8432,'-13'-11'3688,"0"-1"-2698,1 2-181,0 0 1,1 1-181,1 0-89,2 0 180,0 1-271,4-8-629,4 7-269,5-7-901,12 8 361,-3 2-90,9-2-1170,-3 3-1349,2 0 3598,2-1 0,-11 3 0,-2 0 0</inkml:trace>
  <inkml:trace contextRef="#ctx0" brushRef="#br0" timeOffset="1216">1743 239 8612,'2'-14'9804,"-1"2"-9174,0 10-450,1 8 90,-1 11 90,7 16-270,-4-15 0,8 26-90,-6-25 179,8 26-179,-8-24 180,4 9-180,-12-26 0,0-5 0,-5-11 0,1-1 0,1-1 90,0-3-90,0-1 180,2-1-90,0-2 90,2-1 360,5-24-270,0 16 719,12-38-629,-6 39 269,12-27-449,-11 35 450,11-15-90,-11 23-181,6 1-179,-8 16-90,-4 10 0,-4 2 90,-4 10-90,0-9-90,-5 20 90,4-17-180,-3 23 90,6-25 0,6 16 0,1-21 0,17 10 0,-10-14 0,22 8 0,-18-10 0,22 11 0,-23-9 90,15 13 90,-19-11 360,7 17-360,-16-10-91,1 4 1,-8-4-90,-2-6 90,-2 1-90,-3 1 90,-9 6-899,-18 9 89,5-5-3597,-32 14 2878,36-22-1980,-25 12-6115,24-11 9534,2-1 0,11-5 0,11-7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7:41.21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234 71 14998,'-6'15'3149,"1"-3"-2610,-3 7 1,1-2 0,-1 3-180,-1 4-1,-2 3-89,-1 3-90,-2 3 270,-17 50-360,14-36-45,-2 9 0,2-2-45,6-18 90,-10 37 0,14-47-90,-5 17 0,7-26-360,-3 15-2069,4-16 2069,2-4 91,3-13-1,6-13 180,-4 2-90,2-2-90,0-8-90,1-1-179,0-7-1081,-1 2 181,-2 3-450,-3 2 1889,-1-7 0,-1 16 0,0-3 0</inkml:trace>
  <inkml:trace contextRef="#ctx0" brushRef="#br0" timeOffset="493">351 123 8522,'3'-13'4947,"0"-2"-3597,0 1 808,1-1 271,0 0 809,-2 2-1979,-1 11-719,-1 9 0,-2 9-91,2 5-179,0-2 0,0 2 0,1 2 270,6 54-540,-4-36-180,7 51-180,-5-60-989,4 21 269,-3-23-2607,8 28 2517,-5-31-2698,10 27 2519,-10-34 1349,6 12 0,-11-24 0,1 1 0</inkml:trace>
  <inkml:trace contextRef="#ctx0" brushRef="#br0" timeOffset="730">215 564 8162,'-16'-6'4138,"1"0"-2879,0 1-89,3 0 629,-1 1-270,-1-1 809,2 0-1978,9-4-90,4 4 0,13-3-90,0 5-90,5-2 90,2 1-1,4-1-89,18-2-1619,23-3 540,-10 1-2789,35-4-450,-41 6 4228,20-3 0,-40 6 0,-7 0 0</inkml:trace>
  <inkml:trace contextRef="#ctx0" brushRef="#br0" timeOffset="993">1240 312 11490,'-2'-14'8815,"3"26"-8635,0-5 0,2 23-90,1-12 0,0 2-270,2 1-899,2 14-540,2 3 629,-1 1-5126,8 27 2428,-10-37 3688,6 20 0,-11-40 0,0-1 0</inkml:trace>
  <inkml:trace contextRef="#ctx0" brushRef="#br0" timeOffset="1480">1291 428 7892,'-16'-36'4228,"1"3"-3059,-1 2 1,1 2-181,1 1 1,1 0-181,1 0-89,1 3 719,2-17-270,14-4-899,-2 7-90,14 6 0,-4 24 0,3 3 180,26 9-270,-18 1 89,31 25-179,-37-10 0,10 24 0,-20-21 90,-3 37-90,-5-33 0,-5 35 0,1-40 0,-3 13 0,4-16 0,2 2 0,5-6 0,6-4 0,2-5 0,16 0 0,-12-2 0,27 5 0,-24-4 0,19 6-90,-21-4 90,16 13 90,-19-10 540,9 19-450,-22-12 90,-4 7-180,-6-7 0,-4-2 0,-9 0-90,1-4-90,-8 4-270,5-6-270,-3 0-2428,-24 1 1889,19-4-8662,-40-5 9545,48-5 0,-11-2 1,29 4-1</inkml:trace>
  <inkml:trace contextRef="#ctx0" brushRef="#br0" timeOffset="1848">2198 202 9152,'6'-14'3688,"-1"0"-2699,-2 1 1080,-1 1-540,-1-5-809,-5 2-181,-1 1 541,-10 4-631,2 8 541,-18 6-630,7 4 2068,-50 40-1798,37-19-136,-3 6 1,2 1-225,11-2 630,-18 36-541,25-25-89,3 27-180,18-35 0,33 15-90,-8-32-1799,49 12 540,-38-24-2249,35 3 1979,-40-10 1529,56-8 0,-61 5 0,32-7 0</inkml:trace>
  <inkml:trace contextRef="#ctx0" brushRef="#br0" timeOffset="2263">2925 243 8612,'-10'-8'3508,"0"1"-2429,1 0-89,0 0-1,0 1 451,0 0-1,-2-1-180,1 3-90,-3 2-809,2 8 90,3 2 0,1 6-1,5-1-89,0 1-90,1 4-90,1 0 0,2 2-90,0 2-90,7 26-540,-2-15-2248,11 45 269,-7-31-449,7 19 179,-9-30 2789,2 1 0,-8-25 0,2 2 0</inkml:trace>
  <inkml:trace contextRef="#ctx0" brushRef="#br0" timeOffset="2592">2743 287 9691,'-9'-50'4812,"0"1"1,8 14-4633,1-48-90,23 83 0,3 2 0,8 5-90,4 3 90,4 4-90,20 11 90,-14-4-90,12 8 0,4 11 0,-27-15 0,17 12 90,-35-19 179,7 13-179,-13-12 180,0 24-180,-14-24-90,-15 20 90,-10-10-630,-18 14-89,4-10-2250,-33 22 1440,34-28-2654,-4 3 1,0-2 3244,9-5 0,-8 4 0,31-20 0</inkml:trace>
  <inkml:trace contextRef="#ctx0" brushRef="#br0" timeOffset="3145">3772 371 7533,'2'-16'3598,"0"0"-2699,-1 2 1,0-2-91,-2 1-89,-1 0-91,-2 1-89,-1 0-2763,-7-4 2763,1 5 539,-15-4 181,-10 13-900,4 4 539,-29 27-539,35-5 989,-32 56-989,40-40 270,-7 54-451,25-57 91,23 43-270,-1-47 3482,33 26-3842,-22-36-3238,56 9 2429,-49-21-1349,44 2-541,-43-14-3237,8-5 6296,-14-1 0,-15 2 0,-13 4 0</inkml:trace>
  <inkml:trace contextRef="#ctx0" brushRef="#br0" timeOffset="3328">3680 555 8702,'-20'-4'3688,"2"0"-2699,2 0-179,1 1 359,2 0 360,-2-2-1349,10-3 0,3 2-90,12-2 0,4 5-270,4-1-270,5 1-2068,35-1-4588,13-1 6258,2 0 0,-21 2 0,-36 2 0</inkml:trace>
  <inkml:trace contextRef="#ctx0" brushRef="#br0" timeOffset="3745">4271 348 7713,'-3'-14'8095,"-1"1"-6746,-3 10-449,0 6-451,3 9-89,3 2 270,4 10-450,1-8 0,2 6 90,5 14-181,-3-13 91,11 38-180,-10-37 90,7 27-90,-11-35 90,4 9-90,-9-25 0,-1 0 0,-5-14 0,-6-9 0,2 2 0,-9-23 0,7 14 0,-11-41 0,14 34 0,-6-32 90,11 30 270,6-20-270,3 20 90,18-20-180,-9 35 90,28-24-90,-20 31 0,25-12 0,-22 20-1080,38-1 361,-33 8-2429,42 8 1888,-48 0-2697,21 9 3957,-24-2 0,-4-4 0,-6-2 0</inkml:trace>
  <inkml:trace contextRef="#ctx0" brushRef="#br0" timeOffset="3909">4421 289 9062,'-21'0'3418,"2"0"-2519,2-1-89,2 1 269,1-1 1,-2-1-900,11-2-270,3 0-90,12 0-3148,32 2 1079,-17 1 2249,34 2 0,-44-1 0,5 1 0</inkml:trace>
  <inkml:trace contextRef="#ctx0" brushRef="#br0" timeOffset="5686">4956 785 7443,'-17'-4'5397,"1"0"-3329,1 0-1348,12 0-540,9 2 90,10-1-180,6 3 90,0 0-90,3 1 0,7-1 89,3 0-89,33-1 45,9-2 0,4 0-90,-30 1 0,1 0-45,28-2 0,-4 0 0,-8-1 90,4 0-90,-15 0 0,-7 1 0,-23 2 0,-9 0 90,7 0-90,-22 3 0,-1-1 0,-16 2 0,-11 1 0,2-1 0,-44 6 0,26-4 0,-12 2 0,-3 0 0,5 0 0,-48 5 0,53-7 0,-26 3 0,20-3 450,-19 0-360,29-2 90,-6 0-90,30-2 1169,-15 1-989,31-4-90,-8 1-90,25-3 90,0 3-91,2 0 1,4 1 0,21-2 90,39 0-180,-12 1 0,-12 1 0,0-1 90,20 2-90,-15-1 0,-1-1 0,10 2 0,-17-1 0,-7 0 0,-17 0 0,24-1 0,-34 1 90,13-1-90,-16 1-90,1 0-9624,-2-2 9714,-10-4 0,0 4 0,-7-3 0</inkml:trace>
  <inkml:trace contextRef="#ctx0" brushRef="#br0" timeOffset="6495">6654 165 7982,'11'-15'3688,"-1"0"-2698,-1 0-91,-1 0 1,-2 1-181,-1-1-89,-2 1-90,-3 1 89,-1 1 181,-7-4 539,-22 1-719,-16 11-360,-2 4 269,-19 28-359,31-5 0,-12 21 0,1 4-90,6-1-45,0 7 0,5 2 45,18 2 0,7 15-90,26-3 0,36 2 0,-6-26 90,35-5-180,-19-33 180,1-4 0,-4-10 539,2-11-179,-15 2 989,33-19-899,-43 16 90,13-10 629,-25 11-90,-2 1-269,0-3-900,-5 5 0,-3 9 0,-7 8 0,-2 19 0,-4-4 0,1 9 0,1-2 0,-1-5 0,2 6-900,2 3-1888,2 3-1170,4 9 540,2-2-1709,-1-3 5127,1-4 0,-6-15 0,-2-5 0</inkml:trace>
  <inkml:trace contextRef="#ctx0" brushRef="#br0" timeOffset="6760">7407 275 8792,'2'-23'3418,"-2"2"-8089,1 2 5571,-3 2-181,1 1 1320,-1 2-960,-1 1 2029,-1 0-2388,-4 9-270,0 15-270,0 4 3301,4 13-3301,1 5-90,2-6 0,1 11-90,1 6 90,-1-10-270,1 11-719,0-2-540,0 2 539,0-3-2518,1 10 2159,-2-29 1259,0 18 0,-1-31 0,1 3 0</inkml:trace>
  <inkml:trace contextRef="#ctx0" brushRef="#br0" timeOffset="7132">7340 616 9512,'-8'-14'5756,"-1"0"-4676,0 2-271,0 2-539,6-1-90,8 2-90,4 0 0,7 1-90,-1 2 90,3-1-3482,2 0 3482,1 0-90,12-4 90,46-17-90,-30 11 90,37-18-90,-61 20 180,14-20 179,-21 15 4113,13-22-3933,-19 19-179,1-2 1889,-5 8-1979,-7 20 0,0-1-90,-5 15-1,0-2 181,-3 21-360,3-10 180,-6 30-180,5-26 0,-5 36-90,4-20-360,-1 10-359,3-16-630,2-14 269,0-2-1888,2 7-1889,1-1 4947,3 2 0,-2-14 0,1-6 0</inkml:trace>
  <inkml:trace contextRef="#ctx0" brushRef="#br0" timeOffset="7778">8371 381 8252,'-11'-11'3059,"0"1"-2160,0 0 810,-4-1-1079,4 3 1888,-8-7 810,8 8-2968,5-5-180,12 7-90,7-1 0,6 3-90,-2 0 90,2 0 0,13-2-360,-6 1-1889,39-3 1440,-35 4-541,28-1 271,-40 3-360,14 2 1259,-20 4 360,1 2-1,-19 5-89,-3-4 0,-2 2 270,-1 2-270,3-2 90,-8 17-180,10-11 90,-4 26-180,8-22 90,2 20-1,1-22 181,0 28-180,-1-25 0,-1 21-90,-1-26 270,-8 12-180,4-14 180,-14 12-90,10-16 269,-15 9 1,14-13 0,-10 5-180,9-5 180,-1 1 719,1-1-989,15-2-90,6-2 0,9-3-90,3-2 0,-3-1-1529,29-6 539,-14 4-2878,53-12 2249,-45 8 1619,48-13 0,-64 17 0,14-6 0</inkml:trace>
  <inkml:trace contextRef="#ctx0" brushRef="#br0" timeOffset="8294">9036 243 8882,'-12'-14'4407,"0"1"-8808,2 2 5661,0 0 1228,0 1-1679,2 1 1220,0 0-680,3-6-1169,11 5-90,2-3 3482,11 8-3482,-2 2 0,3 2 0,11 0-90,-8 0 90,17 1-90,-19 0-720,19 1 271,-17-1 89,8 1 180,-12 1 180,-7 3 0,-7 5-90,-5 6 180,-4 0-180,-1 1 90,0 5 0,0-4 0,-5 31 0,6-21-90,-7 42 90,7-37 0,-5 39 0,6-42 90,-5 31 90,5-37 629,-7 27-539,5-32 180,-7 14-180,5-24-180,-8 3 90,-2-7-90,-14-3-90,7-3-720,-21-7 1,25 4-1080,-19-6-810,18 2-5936,-2-3 8545,8-2 0,7 6 0,6 0 0</inkml:trace>
  <inkml:trace contextRef="#ctx0" brushRef="#br0" timeOffset="8548">9310 271 9062,'5'-10'5757,"2"-2"-900,-2 2-3778,0 6-629,-1 11-90,-1 6-1,0 6-89,0-3 0,1 2 90,3 13 0,7 34-360,-4-17-180,0 2 0,0-1-450,-1-10-2248,8 42 1619,-9-48-1710,3 21-1168,-6-27 4137,0-3 0,-2-10 0,-2-10 0</inkml:trace>
  <inkml:trace contextRef="#ctx0" brushRef="#br0" timeOffset="8876">9692 430 7892,'5'-16'3778,"0"2"-2968,0 2 719,-1 1 270,0-2-450,0 2-1079,-4 6 0,-2 5-90,-5 8 90,-1 2-180,-4 2 0,-1 1-1,-4 3 1,-10 9 540,-20 17-540,14-12 360,-13 13 89,29-22 1,0 2-360,8 0-90,7-2 0,4-6-90,5-1 0,0-6 90,2 0-90,8 2-1619,11 0 629,-3-1-2698,25 0 2159,-25-5-4677,25 2 6206,-22-4 0,-4 0 0,-12-2 0</inkml:trace>
  <inkml:trace contextRef="#ctx0" brushRef="#br0" timeOffset="9380">10123 216 8612,'-6'-11'6296,"1"0"-5126,0 1-720,7 8-91,1 3-89,7 8 270,-1 2-180,-1 3-90,-2-1 89,-1 1-179,-1-3 720,-1 16-720,-2-8 809,-4 44-809,0-33-90,-4 24 90,1-18 90,0 8-180,2-7 179,1 9-89,4-26-90,2 4 180,8 2-180,13 0-90,-4-3 0,16-5 0,-8-16-90,36-5-90,-25 0-629,25-4 89,-42 4-89,3-1-181,-10 2-4227,8-1 5217,-6 1 0,0 0 0,-9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7:57.027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74 155 8792,'-14'-8'5487,"0"1"-4318,3 6-629,0 7 90,6 4-1,-1 5-89,4 0-90,-1 4-91,1 3 1,0 2 360,0 18-450,1-6 89,0 30-89,2-6 0,5 33-270,-1-29 90,9 31-90,-7-58 270,11 38-90,-12-51 809,7 19-899,-9-43 0,-2 2-90,-2-20 90,-2 0-90,0-4 90,-4-60-90,3 30 0,-2-47 0,5 29 90,0 0-90,1-12 90,1 16-90,0 13 90,0 5 90,-1 15 359,2 4-449,6 18 90,-1 9-90,5 8 0,4 11 0,5 7 0,11 13-90,4 5 90,3 2-90,-8-10 0,14 8 90,-16-19 90,26 6 0,-27-20 270,19-12-271,-29-6-89,8-8 0,-13 3 180,14-30-90,-13 19 270,16-30 89,-18 26 1,3-5-180,-3 7 270,-2 2-630,-1 16 0,-2 5 0,-1 14 0,1 21 0,-2-8 0,5 31 0,-4-23-540,6 28-1529,-2-8-1169,6 16 180,0-1-3149,8 16 3689,-10-34-1350,3 8 3868,-12-39 0,-2-8 0,-1-2 0</inkml:trace>
  <inkml:trace contextRef="#ctx0" brushRef="#br0" timeOffset="579">966 383 8612,'-5'-19'4048,"-1"1"-2969,1 3-89,-1-1 89,1 2-180,0 1-179,0 0-180,1 2 359,0-1-179,2-2-450,7-1 269,14-5-179,17 5-360,-2 4 180,31 7-180,-33 4 0,41 3 0,-43-2 90,36 4-90,-44-4 0,18 2 0,-25-1 0,1 1 0,-9 8 0,-5 3 0,-5 4 0,-2 5 0,2-6 0,-1 5 0,2-3-90,-3 19 90,3-13 0,-5 46 0,5-40 0,-4 30 0,4-39 90,-4 20-90,3-22 0,-9 17 0,5-23 90,-12 8-90,5-17 90,-8 1 540,2-10 89,2-2 181,2-4-91,3 0 91,3-1-541,4-1-269,11 3-90,8 3-359,15 5-91,-1 2-270,6 2-89,-1-1-361,1 1-2338,40 0 2159,-27 0-1530,6-2 1,0 1-1439,-11-2 4317,22 1 0,-47-2 0,-3 1 0</inkml:trace>
  <inkml:trace contextRef="#ctx0" brushRef="#br0" timeOffset="827">2048 405 8342,'-1'-15'3328,"-2"-1"-2428,0 3 89,-1 0-89,-1 1 89,-1 1 1979,-5-10-629,3 9-1529,-5 0-1,7 25-539,1 2 180,3 23-270,2 1-180,0 30-270,1-18-1799,2 36 1170,-1-49-1260,4 31 989,-3-39-8364,2 27 9534,-3-31 0,1 6 0,-3-24 0</inkml:trace>
  <inkml:trace contextRef="#ctx0" brushRef="#br0" timeOffset="1183">1934 423 7623,'-16'-39'3688,"0"2"-2699,-1 2-5750,0 3 5751,1 2 4106,-17-27-4106,14 24 499,-2-21-1399,23 41 0,12 5 90,20 21-180,-2 1 3482,18 10-3482,25 17 0,-17-8-400,-9-4 1,-1 0 399,5 4-69,23 17 69,-34-21 0,33 29 0,-35-22 90,12 28-90,-34-34 0,-12 14 0,-14-26 90,-13 15-90,-8-3 0,-31 21 0,16-15-630,-1-3 1,1-2-1,10-9 524,-21 16-2053,32-24-5772,4-2 7931,-2-2 0,9-4 0,6-5 0</inkml:trace>
  <inkml:trace contextRef="#ctx0" brushRef="#br0" timeOffset="1464">2903 50 9602,'1'-17'7105,"-4"2"-6025,-7 3-91,-4 6-4431,-2 9 4252,0 5 859,0 3-860,-2 5 1620,-20 36-1889,14-14-91,-11 26 181,22-7 0,6-1-540,0 4 0,8 17 0,6-2-270,10-24-180,14 24-1079,7-29-810,8-4-270,19 1-3237,29-12 3057,-36-17 2699,25-10 0,-65-6 0,5-1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8:05.807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73 395 9602,'-3'-17'8814,"0"2"-8184,-2 14 0,1 1 269,-1 14-629,4 9 180,0 7-360,2 28-360,1-16-1259,10 42 809,-4-45-2518,16 50 1889,-10-51-2429,11 27 3778,-9-32 0,-4-8 0,-4-10 0</inkml:trace>
  <inkml:trace contextRef="#ctx0" brushRef="#br0" timeOffset="450">102 663 9152,'-16'-32'3598,"0"0"-2429,1-1 0,0 1-89,3 1-91,0 0-179,3 1-91,3 2 990,6-22-1259,3 20 1079,31-43-1259,-14 48 90,28-16-180,-28 34 90,18 9-270,-18 5 90,9 7-90,-15-1 0,-1 2 0,-2 2 0,4 14-90,-6-10-90,7 23 180,-10-25-270,8 20 180,-6-24 0,11 19 0,-10-19 90,16 26 0,-14-23 0,9 21 0,-13-23 90,4 27 0,-7-22 450,-4 36-360,-3-37 269,-12 23-359,3-27 180,-15 11-180,6-12-450,-42 14-179,32-17-3329,-46 7 1259,55-17-629,-14-5 719,32-10-1708,4-1 4227,8-6 0,5 2 0,3-3 0</inkml:trace>
  <inkml:trace contextRef="#ctx0" brushRef="#br0" timeOffset="650">586 406 9691,'3'-17'5847,"-1"1"-3238,-1-2-541,-2 1 1261,-2-1-2700,-1 16-89,2 5-270,1 14-90,4 1-180,2 4-270,1 4-1169,7 17-1620,4 10 1,2 4 1619,4 12-720,0-4 0,0-5-3022,-6-21 5181,7 8 0,-8-18 0,2-1 0</inkml:trace>
  <inkml:trace contextRef="#ctx0" brushRef="#br0" timeOffset="870">1277 866 9691,'5'-12'9830,"0"1"-6527,-8 6-2763,1 6-91,-6 10-179,2 2-3482,0 3 2852,-5 12-89,2-5-1260,-9 24-1350,2 5 1710,2-9-4318,0 20 5667,10-35 0,1 0 0,2-16 0</inkml:trace>
  <inkml:trace contextRef="#ctx0" brushRef="#br0" timeOffset="1248">1775 605 9512,'-3'-17'4587,"0"-1"-3238,-3 3 0,-1 1-179,-3 0-91,1 1-89,-2 1-181,0 1 1080,-1 1-1079,-6-4-1,4 6-719,1 5-90,11 7-90,12 14-90,2-4 0,6 6 0,-3-4-449,23 27 539,-16-20 0,26 33 180,-33-37 270,12 20-180,-19-24 899,4 17-449,-10-16-181,-1 6-179,-7-7-90,-3-3-540,-6-4 0,-4-2-179,1-4-2609,-14-2 2068,14 0-3957,-25-7 3688,27 2-5847,-16-13 7196,24 7 0,-1-2 0,7 7 0</inkml:trace>
  <inkml:trace contextRef="#ctx0" brushRef="#br0" timeOffset="1400">1749 393 8342,'2'-43'7016,"-1"18"-6206,0-15-181,-1 24-179,0 0 180,3-5-360,1 5-540,14-11-180,-4 15-2248,33-7 1348,-19 14 1350,47 4 0,-34 4 0,23 4 0</inkml:trace>
  <inkml:trace contextRef="#ctx0" brushRef="#br0" timeOffset="1616">2665 411 9602,'6'14'5936,"-2"3"-4856,-5-5-91,-1 4-90,-2-4-179,1 2-90,-1 1-181,0 3 1,-1 3-90,0 2-180,-1 5 90,-1 1-720,-13 46-2788,-5 10 1888,11-36 1,0 0-2788,-12 36 4137,13-37 0,6-23 0,3-9 0</inkml:trace>
  <inkml:trace contextRef="#ctx0" brushRef="#br0" timeOffset="2033">2946 452 9152,'0'-22'4857,"-2"2"-3598,-2 2-89,-1 2-91,0 2 0,-2 1-179,1 1 989,-3-1-540,0 2-809,-1 5-360,3 12-90,3 5-450,4 15-540,5 3-269,4 9 359,6 1 271,4-3 179,4-8 180,4-9 270,4-10 0,-5-7 0,0-6 180,1-9-180,-4 1 90,7-7 269,0-3 91,-1-2 0,6-4 359,-5 4 540,-5 7-449,-3 6-271,0 12 1,-5 12-630,-4 1 0,-6 6-360,-3 1-3058,2 22 1709,-2-10-990,2 27 1170,-2-30-180,2 11-180,1-11 1799,7 23 0,-7-30 0,3 13 0</inkml:trace>
  <inkml:trace contextRef="#ctx0" brushRef="#br0" timeOffset="2317">3643 354 9691,'6'-48'3778,"1"1"-2608,-2 4-1,1 4-90,0 4 1,0 4-271,0 3-89,0 4 2158,10-11-2518,-3 26 0,5-6-180,-5 31 359,2 32-359,-3 8-90,-3 1 0,-3 2-180,-1 19-198,-6-17 0,-1-2 18,-3 1-675,-5 1 1,-2 3-675,-14 31 495,7-33 0,-2 0-630,-3-7 0,-2-4-5352,-29 33 6283,6-19 0,-11-7 1,11-18-1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8:09.87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28 24 10411,'2'-13'9804,"-5"4"-8994,-1 7-540,-4 9 0,3 3 89,1 3-179,2-1 0,0 1 0,0 10-2159,4 35 1170,-1-20-2699,14 45 1979,-4-53 1529,22 28 0,-22-42 0,8 8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8:11.12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26 1016 9062,'2'-18'4227,"-1"1"-8538,-1 2 5661,-1 1 2307,-1 0-1858,0-2 1939,-1 3-2659,-4 4-719,2 13-90,-1 5 3392,4 9-3482,2-5-90,1 3-540,6 15 180,-1-10-899,16 25 899,-9-27-270,17 14 360,-17-23 180,18-1 90,-18-9 450,15-11-90,-11-2 359,9-9-629,-11 7 90,0 0 0,-6 6 180,0 3-361,3 3-268,-3 8-181,0 7-989,-3 8-900,-1 4 0,1 6-719,4 5 2968,17 19 0,-14-28 0,8 8 0</inkml:trace>
  <inkml:trace contextRef="#ctx0" brushRef="#br0" timeOffset="380">902 1023 9242,'-7'-15'3418,"0"0"-2339,-2 3 1,-1 0-91,0 1-90,-2 1-89,0 2-180,-1 1-91,1 2 181,0 0-90,-4 3-1,0 11-539,6 4 0,5 13 0,12 2-90,1-4 0,1 1 0,-1-7 0,0 2 90,0-1-90,1 0 0,2 5 90,-3-6 90,3 3 180,-5-8 269,0-1 900,-2-1 720,2 2-900,-3 0-809,-5 0-270,-7-5-360,-9-4-270,1-3-180,-2-2-269,5 0-1890,-5-1 811,4 0-4499,-10-2 6387,11-1 0,1 1 0,8 1 0</inkml:trace>
  <inkml:trace contextRef="#ctx0" brushRef="#br0" timeOffset="830">809 1106 9871,'5'-10'4228,"-1"-1"-3149,0 1-89,-1-1-91,1 1-89,0-1-271,1 2-89,0 0 0,1 0-180,8-2-1619,20-4-91,0 4-449,18-1 1080,-20 9-1260,26 1 1619,-27 2-269,43-3 809,-43 2 989,30-5-449,-39 2 1259,14-4 359,-20 3 631,0-2-1620,-12 5-719,-7 6 179,-6 3 1,0 3-90,3 0 719,-4 13-1079,5-8 179,-5 25-449,7-20-539,1 26 269,4-26-1079,10 28 899,-2-27-899,27 24 1259,-19-30 449,22 8 1,-19-21 630,4-4-1,-5-7 630,-6-9-1349,-7-1 0,-11-8-540,-4 11-719,-11-2 89,6 11-3777,-20-2 2698,15 7 1979,-22 4 0,29-1 0,-7 3 0</inkml:trace>
  <inkml:trace contextRef="#ctx0" brushRef="#br0" timeOffset="1260">2422 1117 12210,'-2'-16'7196,"1"2"-6387,4 1-539,6 2 0,2 5 0,7 1-180,-2 3 90,5 1 90,31 1-90,1 1-90,12 2 359,-4 3-89,-29-1-360,12 6 0,-29-6 0,1 1 0</inkml:trace>
  <inkml:trace contextRef="#ctx0" brushRef="#br0" timeOffset="1626">3581 1173 28221,'1'17'0,"1"-4"-180,1 2-90,1-4-90,-1-1-89,1 0-721,4 5 721,-2-3-1800,13 12 2249,-7-11-540,12 9 90,-12-13 2091,9 6 1,-13-11 0,2 2 0</inkml:trace>
  <inkml:trace contextRef="#ctx0" brushRef="#br0" timeOffset="1742">3757 1231 18327,'-8'-10'0,"0"0"-90,-2 1 0,0-1-180,-2 1-90,-1-1-270,1 1-179,-2 0-181,1 0-6925,-12-6 7915,9 6 0,-2-2 0,13 8 0</inkml:trace>
  <inkml:trace contextRef="#ctx0" brushRef="#br0" timeOffset="2195">2831 992 7263,'-9'-8'3058,"1"0"-2158,-1 1-181,0-1 91,1 1-91,-1 0 541,1 0-361,-3-3 1,2 0-541,3-5-179,10 1 0,5 1-90,7 3 0,1 4 0,3 0 0,4 1-90,2 1 180,14 1 0,-9 3 90,20 5-91,-22 1 1171,30 18-901,-36-10 361,20 25-90,-35 1-541,0-6-358,-13 21-91,1-33-1619,-7 29 989,6-28-2518,-1 26 2069,4-29-5397,3 15 6746,0-17 0,1-5 0,-2-4 0</inkml:trace>
  <inkml:trace contextRef="#ctx0" brushRef="#br0" timeOffset="2350">3075 1290 8162,'4'-78'6836,"6"13"-8095,24 60-180,1 0-630,1 0-989,0 0 3058,0 0 0,3 0 0,1 1 0</inkml:trace>
  <inkml:trace contextRef="#ctx0" brushRef="#br0" timeOffset="2812">3747 1017 10591,'0'-10'8005,"-3"6"-7015,-9 5-720,0 7 0,2 1 89,2 2-89,3 3-180,4 4-90,0 0 0,3 0 0,1-5-90,0 0-360,10 17 360,-5-13-269,16 23 179,-13-27 0,17 13 180,-16-18 540,16 2-181,-17-14-179,3-7 0,-12-4 90,-12-22-180,0 13 0,-27-43-90,17 34 90,-29-42-90,31 46 0,-15-29 0,25 37-90,7-20 90,9 25 0,28-14 0,-13 21 0,33-4 0,-30 12 0,23 6-90,-19 7 90,6 9-90,-6 6-720,-3 14 181,-11-12-2250,4 24 1530,-13-30-6836,13 32 8185,-8-31 0,10 16 0,-5-19 0</inkml:trace>
  <inkml:trace contextRef="#ctx0" brushRef="#br0" timeOffset="3298">4588 1038 8162,'-4'-17'3598,"0"-1"-2608,-1 1-91,0 0-4161,-1 0 4252,-2 0 769,0 0 129,-14-12-1438,7 13 450,-27-12-630,22 22-91,-14-1 3303,15 9-3302,-25 14-180,21-5-629,-20 28 359,36-22-540,8 21 630,6-25-359,22 9 539,-14-15-90,18-1 90,-16-7 539,26-10-359,-22 4 270,26-11-270,-30 12 0,14-3-180,-17 8 180,22 11-90,-19-3-90,18 15 0,-17-1-90,6 9 180,-6-3 270,10 28-91,-16-29 811,9 32-91,-16-40-179,-4 16-630,-4-22 0,-6 5-720,-15-11-809,-1-1 449,-6-1-3867,-6-1 4767,18-2 0,-2 1 0,14-2 0</inkml:trace>
  <inkml:trace contextRef="#ctx0" brushRef="#br0" timeOffset="3526">5274 1016 8342,'12'-12'4408,"-1"1"-3239,-2 1-90,0 1 1080,-2 1 180,3 0-810,-1 3-989,1 7-181,-2 9-538,-4 10-91,-2-2-180,-3 2-180,1-5-989,-1 8-360,1 4-1798,5 14 1528,-1-13 2249,7 7 0,-7-27 0,2 3 0</inkml:trace>
  <inkml:trace contextRef="#ctx0" brushRef="#br0" timeOffset="3836">5531 1190 9152,'6'-13'3508,"-1"-1"-2429,-1 1 990,-2-1-270,-2-4-540,-2 0-359,-2-3-1,-3 6-719,-4 7-180,3 9-450,1 9 91,6 5-1,3-1 0,3 1 0,0-6 0,1 0 91,2-1 89,1 1-180,10 2 1439,12-7-179,-1-1 449,11-20-1079,-24 4 0,3-9 179,-14 4-179,-2-3-270,-3-5-450,-5 1-1528,-3 3-6657,-1 4 8635,7 5 0,-1 6 0,5 4 0</inkml:trace>
  <inkml:trace contextRef="#ctx0" brushRef="#br0" timeOffset="4062">6183 864 9332,'10'-10'3867,"0"0"-2697,-2 1 1079,0 1-540,1-1-360,1 3-720,2 3-179,-1 4-90,0 5 989,11 32-1529,-11-18-719,10 33 179,-16-33-3867,9 36 2878,-7-30-990,6 22 1851,-5-24 0,-5-13 0,2 3 0</inkml:trace>
  <inkml:trace contextRef="#ctx0" brushRef="#br0" timeOffset="4259">6495 1078 9242,'2'-14'3598,"1"1"-1350,-1 2-359,0-5-270,0 2-359,2-1-1080,1 12-450,-1 7-810,0 11-269,-3 5-540,1 9 720,-1-8 0,0 4-181,1-12-539,0 0 1889,3 2 0,-3-7 0,2 0 0</inkml:trace>
  <inkml:trace contextRef="#ctx0" brushRef="#br0" timeOffset="4526">6955 950 8432,'1'-16'5757,"0"0"-3958,-1-2 719,-1 1-2158,-6 11-180,0 6-90,-3 8 0,3 5 0,3-2-540,-3 11 0,3-8-1259,-5 21 810,5-19-2519,-2 12 3418,2-11 0,1-5 0,1-3 0</inkml:trace>
  <inkml:trace contextRef="#ctx0" brushRef="#br0" timeOffset="5293">7059 937 8072,'4'-15'3598,"0"1"-2698,1 1-91,0-1-89,1 1-90,0 0-91,2 0-89,0 1 0,1 2 359,10-5-449,-7 7-180,11-3 90,-11 10-180,1 4 0,-4 7 0,-8 14-90,-3-5 90,-15 29-90,8-27 90,-11 21-180,12-27-90,-7 14-360,7-13-449,-1 6-361,8-9-89,7-3 180,6-5 359,14-5 541,-6-3-91,20-9 540,-21 4 899,23-12-449,-25 11 449,13-7 1,-18 9-181,4-4-359,-5 3 180,0 0-450,1 5-90,-4 4-90,1 6-270,-2 4-360,0 4-359,4 6 539,-3-7-719,12 12 899,-9-16-90,13 7 360,-10-11 360,16-2-90,-13-4 449,16-6 91,-10-4-91,9-6-269,-8 2 809,11-12-449,-13 9-180,8-7-361,-13 10 721,6-6-810,-11 10-90,7-5-90,-8 7 0,1 5 0,-4 6-90,-2 5 90,-6 6 0,-2-1 0,-2 1 0,-1 1-90,2-3-360,-5 18 90,3-12-269,-1 12-181,3-12-1079,1-2 360,2 1 0,2-4 0,2 1 0,3-3 359,4 0 91,-1-2 1079,2 0 0,-7-6 0,-1 0 0</inkml:trace>
  <inkml:trace contextRef="#ctx0" brushRef="#br0" timeOffset="8616">669 591 9152,'-1'-15'4857,"-1"2"-3958,-1 1 721,-1 2-1261,1 9 1,0 4 0,1 12-90,1 2-90,1 5-90,-1-4 90,1 1 89,0-5 1,1 0 0,-1 2 180,2 7-270,-1-4 0,1 7 179,1 1-179,0-5 270,9 37-360,-5-31 180,12 42-270,-11-44 90,7 21 0,-8-26 0,3 12 180,-2-6-1,4 23-269,-4-19 90,2 18 0,-7-30 0,3 13-90,-1-6 0,5 18 0,-3-18 0,2 7 0,-3-14 0,3 5 0,-3-4 0,2 7 0,-3-11 0,0 5 0,-1-1 0,2 7 90,-3-7-90,1 5 0,-2-8 0,0 2 0,-2 0 0,0 1 0,-1 1 0,-1 1 0,0 0 0,-1 1 0,1-5 0,0 4 0,1-4 0,-1 6 0,1 0 0,0 1 0,1 1 0,0-5 0,0-2 0,0 14 0,0-14 0,1 25 0,-1-27 0,1 13 0,0-10 0,-1 4 0,2 0 0,-2-1 90,1 0-180,0 0 180,0 0-90,0 0 0,0 0 0,0 0 90,1-1 90,-1 0-90,2 0 0,-1-5 0,1 3 90,1 5-90,1-2 0,0 6 0,-1-13 0,0 3-1,-1-3-89,1 5 90,0 0 0,0 1-90,1-1 90,-1 0 0,1-1 0,-1 0 0,1-1 0,-1-2-90,0 0-360,0-3-899,0 0-1260,-1 0-629,0 1 810,1-1-1,2-3-2878,4-3 5217,5-6 0,-7-1 0,1-2 0</inkml:trace>
  <inkml:trace contextRef="#ctx0" brushRef="#br0" timeOffset="11332">1058 2402 11850,'0'-5'1889,"4"1"-1709,12-2-90,-1 2 0,2 0 0,2 0 0,-4 1-90,5-1 90,-5 2 0,18-1-90,-14 1 0,17-2 90,-20 3 90,2 1-90,-13 4-90,-8 1 89,-8 2-89,-5 0 90,3-2-90,-2 0 90,0 0 180,-21 8-270,16-7 90,-19 7-90,24-7 90,-2 0-90,12 1-809,9-3-721,9 0-1618,4-3 3148,2 0 0,-8-1 0,-2 0 0</inkml:trace>
  <inkml:trace contextRef="#ctx0" brushRef="#br0" timeOffset="12059">1621 2561 8342,'-7'-10'5307,"0"-1"-4857,3 1 0,4 0-270,7 0-1,2 5-89,5 0 0,-1 1 0,1 1 0,3 0 90,32-4-180,-20 3 0,40-7 90,-43 8 270,20-4-90,-27 3-180,-4-2 0,-21 4 0,-9-1 0,-6 4 0,4 0-1,-1 0 1,-15 2 0,12-1-90,-15 2 0,21-1 0,-4 0 0,16 5 0,7-3 0,8 2 0,13-6 0,-8-1 0,19-1 0,-17 0 90,18-2-270,-22 2-359,-4 2-361,-14 1-539,-11 5-450,0 2-2968,1 2 4857,4 1 0,5-5 0,2-2 0</inkml:trace>
  <inkml:trace contextRef="#ctx0" brushRef="#br0" timeOffset="12735">2598 2614 7263,'-14'-3'1979,"1"0"-810,0 1-180,-4-1 541,1 0-1440,11-1 0,5 2-1,16 0-89,2 3 90,4 0-90,4 1 0,5-1 90,59 4-90,-36-3 0,3 1 0,0 0 0,-10-1 45,5 0 0,-1 1-45,-6 0 180,40 2 180,-62-3-180,-9-1 0,-16-2 0,-18 0-90,2-1 539,-34-3-539,15 1 360,-57-6-360,50 5 90,-33-2-180,46 4 90,-11 1 0,20 1-90,12 5 0,10-1 0,30 5 0,10-3 0,20 2 0,11 0 0,-1-1 0,-16-2 90,9-1-90,-29-3-180,6-1-270,-28-2-539,-12 2-541,-11 0 1530,-2 4 0,6-1 0,2-1 0</inkml:trace>
  <inkml:trace contextRef="#ctx0" brushRef="#br0" timeOffset="15860">4196 2592 7892,'-18'-5'3149,"0"0"-2430,1 0-89,0 1 90,0 0-91,2 1 1,1-1 179,1 1 361,-1 0-1080,15 0-90,1 1 90,16 1-90,0 2 90,2-2-90,2 2 0,3-1 0,0 0 89,2 0-89,0 0 270,16-2 360,-4 0-270,-1-1-90,-13-3-91,-22 0 271,-17-6-270,-3 3 90,-41-8-90,23 9 180,-54-7-270,39 8 0,-20-1-90,33 5 90,3 4-90,24 7 0,0-1 0,25 6-90,11-3 90,2-1 0,28 4 0,-25-7 0,40 4 90,-32-7 89,15 0-89,-25-2 450,4-4-360,-14 1 0,4-3-180,-14-4 0,-2 0 0,-1 0 0,4 1 0,4 3 0,1-2 0,0 0 0,-3-1 0,-1 0 0,-3 1 90,0-2-180,7-12 90,-6 5 0,9-20 0,-9 15 0,10-42 0,-10 30 0,10-58 0,-13 53 0,2-40 0,-5 22-90,-2-34 90,-1 28 0,-6-25 0,2 46 0,-8-43 0,4 29 0,-4-23 0,4 32 0,0-15 0,2 18-90,-3-19 90,0 12 0,-2 2 0,2 11 0,-8-16 0,3 18 0,-6-15 0,2 13 0,2 3 0,3 9 0,-3-10 0,8 17 0,-9-25 0,8 17 0,-4-14 0,5 14 0,-4-16 0,5 19-90,-9-31 90,6 19 0,-5-14 0,6 17 0,-5-12 0,5 13 0,-5-13 0,5 16 0,-5-10 0,8 18-90,-9-20 90,7 19 0,-3-8 0,4 12 0,-2 0 0,1 5 0,-13-10 0,8 10 0,-18-7 0,18 14 0,-8-2 0,2 3 0,-12-2 0,5 2-90,-28-4 180,27 5-90,-28-3 0,13 2 0,-40-5 0,31 4 0,-34-3 0,48 4 0,-29-1 0,9 0 0,5 2 0,-1 1 0,-13-1 0,-21 1 0,33 4 0,-36 2 0,25 0 45,6-1 0,4 0-45,12-1 0,-24 2 0,12-2 0,-6 0 0,-4 1 0,-10 1 0,0 0 0,5 1 0,2-1 0,0 0 0,-4 2 90,-5 1-90,-22 2 0,40-3 0,2 0 0,-20 2 0,25-2 0,1-1 90,-11 2-90,-19 1 0,3 1 0,26-3 0,0-1 0,-19 3 45,16-1 0,3-1-45,1 1 0,-12 2 0,5-2 45,2 1 0,-1 0 45,-11 1-90,15-2 0,4 0 0,12-1 0,-1 1 0,-7 1 0,-5 3 0,18-5 0,-25 7 0,35-8 0,-28 6 0,32-7 0,-22 5 0,23-5 0,-22 4 0,22-4 0,-9 2 0,7-1 0,-3-1 90,1 2-90,-1-2 0,9-1-90,-1 0 90,12 2 0,2 0 0,10 4 0,0 1 0,0 3 0,-1-3 0,3 5 0,-5-5 0,10 15 0,-7-11 0,13 20 0,-12-17 0,19 30 0,-19-25 0,15 26 0,-17-28 0,11 27 0,-11-22 90,13 35-90,-12-33 0,12 36 0,-12-34 0,16 46 0,-15-43 0,12 36 0,-13-41 0,13 36 0,-11-32 0,19 45 0,-18-44 90,15 29-180,-16-33 180,14 26-90,-13-27 0,16 34 0,-18-34 0,17 43 90,-18-43-90,11 32 0,-13-37 0,8 24 90,-4-13-90,2 6 0,0-1 0,2 2 0,-2-7 0,14 29 0,-15-36 0,19 35 0,-19-38 0,18 28 0,-17-29 0,12 21 0,-14-23 0,17 31 0,-16-27 0,17 33 0,-20-37 0,12 24 0,-13-25 0,6 10 0,-1-2 0,-1-2 0,5 10 0,-4-6 0,-3-7 0,2 4 0,-1-1 0,2 5 0,-4-6 0,1-2 0,-6-9 0,1 3 0,-1-1 0,-1-1 0,-1 0 0,-1-1 0,-2 1 0,1 0 89,0 1-89,2-3 0,4-4 0,4-3 0,8-5 0,-2-2 0,9-3 90,-8 1-180,8-2 180,5-2-90,28-6 0,-9 2 0,37-6 0,-18 5 0,24 0 0,5 1 0,-33 8 0,-1 1 0,25-1 0,-24 4 0,0 0-363,22 3 363,-33-1 0,2 0 0,-4 0 0,2 0 0,6 1 0,-3-1 0,21 0-92,21-1 92,-54-1 90,47-3-90,-28 1-45,-11-1 0,-1 0 45,6 0 0,16-1 90,-29 1-90,35-2 0,-34 2-90,28-2 180,-47 3 270,20 0-360,-2 0 0,-8 1 95,21 1-95,-17 1 0,-1 0 0,-5 1 0,-8-1 90,21 2-90,-14-2 0,31 3 0,-39-3 90,32 2-90,-33-2 0,31 0 0,-32-1 0,25-1 90,-30 0-90,14-2 0,-16 0 0,3-2-180,-4 0-629,-2-1-2249,-3-1-1170,-5-2-2698,-5-1 6926,-4-2 0,-1 6 0,0 1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3T17:08:10.29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101 277 7982,'-18'-17'3778,"-1"1"-8539,3 0 6470,-3-8 600,7 6-1410,0-5 680,9 7-859,2 0 449,6-5-719,2 5 3752,10-5-3933,-4 12 451,20 3-630,-18 9 180,20 23-180,-26-10 0,5 16 180,-14-6 359,-6 9-449,0-3 720,-13 23-810,10-33 359,-8 20-359,13-23-90,4 3-360,8-5-2068,18-3 1528,-4-6-179,11-4-1620,5-3 2699,41-6 0,-37 4 0,20-4 0</inkml:trace>
  <inkml:trace contextRef="#ctx0" brushRef="#br0" timeOffset="429">1025 195 8162,'-12'-14'4318,"-1"1"-3059,-1-2 0,0 1 1,0 0-181,2 0-179,1 1-91,2 0 1350,1-14-1799,6 13 719,6-14-629,7 20-180,4 1-90,1 8-180,-3 4 90,-1 4-1,-2 7-89,-4-3 0,2 7-89,-3 3-271,1 12 180,-2-7-270,2 13 180,-2-22-719,7 19 629,0-12-90,13 20 360,-9-19 0,8 10 180,-9-13 270,0 3 630,-3 0-181,-4-4-539,-6-1 180,-7-3-270,-2-5-270,-17 4-630,1-6-989,-12 7-630,6-5-3957,4-1 6296,6-3 0,10-4 0,5-3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2AC41-DD58-434B-8374-46D046F46140}">
  <dimension ref="B2:D20"/>
  <sheetViews>
    <sheetView topLeftCell="A9" zoomScale="178" workbookViewId="0">
      <selection activeCell="E6" sqref="E6"/>
    </sheetView>
  </sheetViews>
  <sheetFormatPr baseColWidth="10" defaultRowHeight="16" x14ac:dyDescent="0.2"/>
  <cols>
    <col min="2" max="2" width="12.1640625" bestFit="1" customWidth="1"/>
  </cols>
  <sheetData>
    <row r="2" spans="2:4" x14ac:dyDescent="0.2">
      <c r="B2" t="s">
        <v>0</v>
      </c>
      <c r="D2" t="s">
        <v>1</v>
      </c>
    </row>
    <row r="5" spans="2:4" x14ac:dyDescent="0.2">
      <c r="B5" t="s">
        <v>2</v>
      </c>
      <c r="C5" t="s">
        <v>3</v>
      </c>
      <c r="D5" t="s">
        <v>4</v>
      </c>
    </row>
    <row r="6" spans="2:4" x14ac:dyDescent="0.2">
      <c r="B6">
        <v>9</v>
      </c>
      <c r="C6">
        <v>24</v>
      </c>
      <c r="D6" t="s">
        <v>6</v>
      </c>
    </row>
    <row r="7" spans="2:4" x14ac:dyDescent="0.2">
      <c r="B7">
        <v>5</v>
      </c>
      <c r="C7">
        <v>20</v>
      </c>
      <c r="D7" t="s">
        <v>6</v>
      </c>
    </row>
    <row r="8" spans="2:4" x14ac:dyDescent="0.2">
      <c r="B8">
        <v>7</v>
      </c>
      <c r="D8" t="s">
        <v>6</v>
      </c>
    </row>
    <row r="9" spans="2:4" x14ac:dyDescent="0.2">
      <c r="B9">
        <v>7</v>
      </c>
      <c r="D9" t="s">
        <v>5</v>
      </c>
    </row>
    <row r="13" spans="2:4" x14ac:dyDescent="0.2">
      <c r="B13" t="s">
        <v>2</v>
      </c>
      <c r="C13" t="s">
        <v>3</v>
      </c>
    </row>
    <row r="14" spans="2:4" x14ac:dyDescent="0.2">
      <c r="B14" t="s">
        <v>7</v>
      </c>
      <c r="C14">
        <v>23</v>
      </c>
    </row>
    <row r="15" spans="2:4" x14ac:dyDescent="0.2">
      <c r="B15" t="s">
        <v>8</v>
      </c>
      <c r="C15">
        <v>22</v>
      </c>
    </row>
    <row r="16" spans="2:4" x14ac:dyDescent="0.2">
      <c r="B16" t="s">
        <v>9</v>
      </c>
      <c r="C16">
        <v>22</v>
      </c>
    </row>
    <row r="17" spans="2:3" x14ac:dyDescent="0.2">
      <c r="B17" t="s">
        <v>8</v>
      </c>
      <c r="C17">
        <v>22</v>
      </c>
    </row>
    <row r="18" spans="2:3" x14ac:dyDescent="0.2">
      <c r="B18" t="s">
        <v>7</v>
      </c>
      <c r="C18">
        <v>23</v>
      </c>
    </row>
    <row r="19" spans="2:3" x14ac:dyDescent="0.2">
      <c r="B19" t="s">
        <v>7</v>
      </c>
      <c r="C19">
        <v>23</v>
      </c>
    </row>
    <row r="20" spans="2:3" x14ac:dyDescent="0.2">
      <c r="B20" t="s">
        <v>8</v>
      </c>
      <c r="C20">
        <v>22</v>
      </c>
    </row>
  </sheetData>
  <dataValidations count="4">
    <dataValidation type="whole" allowBlank="1" showInputMessage="1" showErrorMessage="1" errorTitle="Not Eligible" promptTitle="Age Info" prompt="Enter you age if you are in b/w 18-25" sqref="C7:C11" xr:uid="{DA206987-B145-3548-8344-24CE674009D3}">
      <formula1>18</formula1>
      <formula2>25</formula2>
    </dataValidation>
    <dataValidation type="whole" allowBlank="1" showInputMessage="1" showErrorMessage="1" errorTitle="Not Eligible" error="You are not in b/w 18-25_x000a_" promptTitle="Age Info" prompt="Enter you age if you are in b/w 18-25" sqref="C6" xr:uid="{1AAB4512-7EAB-924A-A78E-A2B3E3AA7545}">
      <formula1>18</formula1>
      <formula2>25</formula2>
    </dataValidation>
    <dataValidation type="custom" allowBlank="1" showInputMessage="1" showErrorMessage="1" sqref="C14:C20" xr:uid="{890439E7-6321-4041-B2C9-2DC398121910}">
      <formula1>SUM(C14:C20)&lt;1000</formula1>
    </dataValidation>
    <dataValidation type="custom" allowBlank="1" showInputMessage="1" showErrorMessage="1" sqref="B6:B10" xr:uid="{7E8FD8C2-B227-5F44-80E1-44F2FDC9FECE}">
      <formula1>ISNUMBER(B6)*ISODD(B6)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7827AA-624B-EE44-AD50-6CD0B25F9604}">
          <x14:formula1>
            <xm:f>Sheet2!$F$9:$F$12</xm:f>
          </x14:formula1>
          <xm:sqref>D6:D10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13B9C-90B2-A74D-B2D7-1E7D7D2916B4}">
  <dimension ref="A1:J7"/>
  <sheetViews>
    <sheetView topLeftCell="B1" zoomScale="232" workbookViewId="0">
      <selection activeCell="I7" sqref="I7"/>
    </sheetView>
  </sheetViews>
  <sheetFormatPr baseColWidth="10" defaultRowHeight="16" x14ac:dyDescent="0.2"/>
  <sheetData>
    <row r="1" spans="1:10" x14ac:dyDescent="0.2">
      <c r="A1" s="1" t="s">
        <v>10</v>
      </c>
      <c r="B1" s="1" t="s">
        <v>2</v>
      </c>
      <c r="C1" s="1" t="s">
        <v>11</v>
      </c>
      <c r="D1" s="1" t="s">
        <v>12</v>
      </c>
      <c r="E1" s="1" t="s">
        <v>13</v>
      </c>
    </row>
    <row r="2" spans="1:10" x14ac:dyDescent="0.2">
      <c r="A2" s="2">
        <v>1201</v>
      </c>
      <c r="B2" s="2" t="s">
        <v>14</v>
      </c>
      <c r="C2" s="2" t="s">
        <v>15</v>
      </c>
      <c r="D2" s="2" t="s">
        <v>16</v>
      </c>
      <c r="E2">
        <v>25000</v>
      </c>
    </row>
    <row r="3" spans="1:10" x14ac:dyDescent="0.2">
      <c r="A3" s="2">
        <v>1202</v>
      </c>
      <c r="B3" s="2" t="s">
        <v>7</v>
      </c>
      <c r="C3" s="2" t="s">
        <v>17</v>
      </c>
      <c r="D3" s="2" t="s">
        <v>18</v>
      </c>
      <c r="E3">
        <v>30000</v>
      </c>
      <c r="G3" t="s">
        <v>31</v>
      </c>
      <c r="I3" s="2" t="s">
        <v>11</v>
      </c>
      <c r="J3" s="2" t="s">
        <v>13</v>
      </c>
    </row>
    <row r="4" spans="1:10" x14ac:dyDescent="0.2">
      <c r="A4" s="2">
        <v>1203</v>
      </c>
      <c r="B4" s="2" t="s">
        <v>19</v>
      </c>
      <c r="C4" s="2" t="s">
        <v>20</v>
      </c>
      <c r="D4" s="2" t="s">
        <v>21</v>
      </c>
      <c r="E4">
        <v>15000</v>
      </c>
      <c r="G4">
        <v>1204</v>
      </c>
      <c r="I4" t="str" cm="1">
        <f t="array" ref="I4:J4">_xlfn.XLOOKUP(G4,A2:A7,C2:D7,,0,1)</f>
        <v>MBA HR</v>
      </c>
      <c r="J4" t="str">
        <v>Fake num 4</v>
      </c>
    </row>
    <row r="5" spans="1:10" x14ac:dyDescent="0.2">
      <c r="A5" s="2">
        <v>1204</v>
      </c>
      <c r="B5" s="2" t="s">
        <v>22</v>
      </c>
      <c r="C5" s="2" t="s">
        <v>23</v>
      </c>
      <c r="D5" s="2" t="s">
        <v>24</v>
      </c>
      <c r="E5">
        <v>40000</v>
      </c>
    </row>
    <row r="6" spans="1:10" x14ac:dyDescent="0.2">
      <c r="A6" s="2">
        <v>1205</v>
      </c>
      <c r="B6" s="2" t="s">
        <v>25</v>
      </c>
      <c r="C6" s="2" t="s">
        <v>26</v>
      </c>
      <c r="D6" s="2" t="s">
        <v>27</v>
      </c>
      <c r="E6">
        <v>80000</v>
      </c>
    </row>
    <row r="7" spans="1:10" x14ac:dyDescent="0.2">
      <c r="A7" s="2">
        <v>1206</v>
      </c>
      <c r="B7" s="2" t="s">
        <v>28</v>
      </c>
      <c r="C7" s="2" t="s">
        <v>29</v>
      </c>
      <c r="D7" s="2" t="s">
        <v>30</v>
      </c>
      <c r="E7">
        <v>75000</v>
      </c>
    </row>
  </sheetData>
  <dataValidations count="1">
    <dataValidation type="list" allowBlank="1" showInputMessage="1" showErrorMessage="1" sqref="G4" xr:uid="{D19E4C34-7DD3-0B49-826B-445013DD054D}">
      <formula1>$A$2:$A$7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F0CFA-7D61-5A4B-8A78-4E62975FBBFC}">
  <dimension ref="A1:H43"/>
  <sheetViews>
    <sheetView tabSelected="1" topLeftCell="A7" zoomScale="214" workbookViewId="0">
      <selection activeCell="C12" sqref="C12"/>
    </sheetView>
  </sheetViews>
  <sheetFormatPr baseColWidth="10" defaultRowHeight="16" x14ac:dyDescent="0.2"/>
  <sheetData>
    <row r="1" spans="2:7" x14ac:dyDescent="0.2">
      <c r="B1" t="s">
        <v>39</v>
      </c>
      <c r="E1">
        <f>LEN(B1)</f>
        <v>13</v>
      </c>
    </row>
    <row r="3" spans="2:7" x14ac:dyDescent="0.2">
      <c r="B3" t="s">
        <v>32</v>
      </c>
      <c r="E3" t="s">
        <v>33</v>
      </c>
    </row>
    <row r="4" spans="2:7" x14ac:dyDescent="0.2">
      <c r="B4" t="str">
        <f>LEFT(TRIM(B1),7)</f>
        <v xml:space="preserve">ABCDEF </v>
      </c>
      <c r="E4" t="str">
        <f>TRIM(B1)</f>
        <v>ABCDEF GHIJKL</v>
      </c>
      <c r="G4">
        <f>LEN(E4)</f>
        <v>13</v>
      </c>
    </row>
    <row r="5" spans="2:7" x14ac:dyDescent="0.2">
      <c r="B5" t="s">
        <v>37</v>
      </c>
    </row>
    <row r="6" spans="2:7" x14ac:dyDescent="0.2">
      <c r="B6" t="str">
        <f>RIGHT(B1,4)</f>
        <v>IJKL</v>
      </c>
      <c r="E6" t="s">
        <v>34</v>
      </c>
    </row>
    <row r="7" spans="2:7" x14ac:dyDescent="0.2">
      <c r="E7" t="s">
        <v>35</v>
      </c>
    </row>
    <row r="8" spans="2:7" x14ac:dyDescent="0.2">
      <c r="B8" t="s">
        <v>38</v>
      </c>
    </row>
    <row r="9" spans="2:7" x14ac:dyDescent="0.2">
      <c r="E9" t="s">
        <v>36</v>
      </c>
    </row>
    <row r="10" spans="2:7" x14ac:dyDescent="0.2">
      <c r="B10" t="str">
        <f>MID(TRIM(B1),5,4)</f>
        <v>EF G</v>
      </c>
    </row>
    <row r="22" spans="1:4" x14ac:dyDescent="0.2">
      <c r="A22" t="str">
        <f>MID("TRUE TO MY FAITH",6,5)</f>
        <v>TO MY</v>
      </c>
    </row>
    <row r="29" spans="1:4" x14ac:dyDescent="0.2">
      <c r="D29" t="s">
        <v>49</v>
      </c>
    </row>
    <row r="31" spans="1:4" x14ac:dyDescent="0.2">
      <c r="B31" t="s">
        <v>40</v>
      </c>
    </row>
    <row r="33" spans="2:8" x14ac:dyDescent="0.2">
      <c r="B33" t="s">
        <v>41</v>
      </c>
      <c r="D33" t="s">
        <v>42</v>
      </c>
      <c r="F33" t="s">
        <v>45</v>
      </c>
      <c r="H33" t="str">
        <f>UPPER(D29)</f>
        <v>MY NAME IS UTK</v>
      </c>
    </row>
    <row r="35" spans="2:8" x14ac:dyDescent="0.2">
      <c r="B35" t="s">
        <v>43</v>
      </c>
      <c r="D35" t="s">
        <v>44</v>
      </c>
      <c r="F35" t="s">
        <v>46</v>
      </c>
      <c r="H35" t="str">
        <f>LOWER(D29)</f>
        <v>my name is utk</v>
      </c>
    </row>
    <row r="37" spans="2:8" x14ac:dyDescent="0.2">
      <c r="B37" t="s">
        <v>47</v>
      </c>
      <c r="D37" t="s">
        <v>48</v>
      </c>
      <c r="H37" t="str">
        <f>PROPER(D29)</f>
        <v>My Name Is Utk</v>
      </c>
    </row>
    <row r="40" spans="2:8" x14ac:dyDescent="0.2">
      <c r="D40" t="str">
        <f>PROPER(UPPER(LOWER("NAMe IS RAAM")))</f>
        <v>Name Is Raam</v>
      </c>
    </row>
    <row r="43" spans="2:8" x14ac:dyDescent="0.2">
      <c r="D43" t="str">
        <f>LEFT(UPPER("MY name is KHAN"),4)</f>
        <v>MY N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Text Func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2025-12-13T15:36:58Z</dcterms:created>
  <dcterms:modified xsi:type="dcterms:W3CDTF">2025-12-13T18:39:28Z</dcterms:modified>
</cp:coreProperties>
</file>