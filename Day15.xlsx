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8CA00625-BCC7-3947-BA11-7DD7FA076874}" xr6:coauthVersionLast="47" xr6:coauthVersionMax="47" xr10:uidLastSave="{00000000-0000-0000-0000-000000000000}"/>
  <bookViews>
    <workbookView xWindow="0" yWindow="600" windowWidth="28800" windowHeight="17400" activeTab="2" xr2:uid="{58946555-FDE9-D941-B7EC-64A8E3FDA042}"/>
  </bookViews>
  <sheets>
    <sheet name="agenda" sheetId="1" r:id="rId1"/>
    <sheet name="TEXT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3" l="1"/>
  <c r="E80" i="3"/>
  <c r="D82" i="3"/>
  <c r="D80" i="3"/>
  <c r="D65" i="3"/>
  <c r="C61" i="3"/>
  <c r="E57" i="3"/>
  <c r="G36" i="3"/>
  <c r="G40" i="3"/>
  <c r="G34" i="3"/>
  <c r="E40" i="3"/>
  <c r="E36" i="3"/>
  <c r="E34" i="3"/>
  <c r="E28" i="3"/>
  <c r="E24" i="3"/>
  <c r="C12" i="3"/>
  <c r="C14" i="3" s="1"/>
  <c r="F14" i="3"/>
  <c r="F12" i="3"/>
  <c r="C8" i="3"/>
  <c r="C101" i="2"/>
  <c r="C104" i="2" s="1"/>
  <c r="D95" i="2"/>
  <c r="B89" i="2"/>
  <c r="D93" i="2" s="1"/>
  <c r="D80" i="2"/>
  <c r="D73" i="2"/>
  <c r="D78" i="2"/>
  <c r="D76" i="2"/>
  <c r="D71" i="2"/>
  <c r="B76" i="2"/>
  <c r="H59" i="2"/>
  <c r="F60" i="2"/>
  <c r="F61" i="2"/>
  <c r="F62" i="2"/>
  <c r="F59" i="2"/>
  <c r="D57" i="2"/>
  <c r="D59" i="2"/>
  <c r="D60" i="2"/>
  <c r="D61" i="2"/>
  <c r="D62" i="2"/>
  <c r="E47" i="2"/>
  <c r="E48" i="2"/>
  <c r="E46" i="2"/>
  <c r="C47" i="2"/>
  <c r="C48" i="2"/>
  <c r="C46" i="2"/>
  <c r="F16" i="2"/>
  <c r="F19" i="2"/>
  <c r="F20" i="2"/>
  <c r="F21" i="2"/>
  <c r="F18" i="2"/>
  <c r="E14" i="3" l="1"/>
  <c r="E12" i="3"/>
  <c r="D91" i="2"/>
</calcChain>
</file>

<file path=xl/sharedStrings.xml><?xml version="1.0" encoding="utf-8"?>
<sst xmlns="http://schemas.openxmlformats.org/spreadsheetml/2006/main" count="50" uniqueCount="47">
  <si>
    <t>TEXT function</t>
  </si>
  <si>
    <t>TEXT is a valid combination of char.</t>
  </si>
  <si>
    <t>TEXT()</t>
  </si>
  <si>
    <t>to format a given (i/p) sentence to a particular format</t>
  </si>
  <si>
    <t xml:space="preserve">VALUE ----&gt; THIS is the I/P </t>
  </si>
  <si>
    <t>FORMAT_TEXT ---&gt; is the format in which we want to see</t>
  </si>
  <si>
    <t>1) Leading Zeros</t>
  </si>
  <si>
    <t>CURRENCY</t>
  </si>
  <si>
    <t>K --&gt; Thousand</t>
  </si>
  <si>
    <t>M --&gt; million</t>
  </si>
  <si>
    <t>1K</t>
  </si>
  <si>
    <t>Thousands</t>
  </si>
  <si>
    <t>Million</t>
  </si>
  <si>
    <t>K</t>
  </si>
  <si>
    <t>M</t>
  </si>
  <si>
    <t>#,##0.00, \K</t>
  </si>
  <si>
    <t>#,##0.00,, \M</t>
  </si>
  <si>
    <t>Phn Num formatting</t>
  </si>
  <si>
    <t>% Formatting</t>
  </si>
  <si>
    <t>DATE Formatting</t>
  </si>
  <si>
    <t xml:space="preserve">My DOB is </t>
  </si>
  <si>
    <t>LEN</t>
  </si>
  <si>
    <t>Is to calculate the length</t>
  </si>
  <si>
    <t>Utkarsh Sahu</t>
  </si>
  <si>
    <t>TRIM</t>
  </si>
  <si>
    <t>to remove extra space</t>
  </si>
  <si>
    <t>CONCAT</t>
  </si>
  <si>
    <t>to join</t>
  </si>
  <si>
    <t>dkb2dkd</t>
  </si>
  <si>
    <t xml:space="preserve">String 1 </t>
  </si>
  <si>
    <t xml:space="preserve">sjsjs </t>
  </si>
  <si>
    <t>UPPER</t>
  </si>
  <si>
    <t>LOWER</t>
  </si>
  <si>
    <t>PROPER</t>
  </si>
  <si>
    <t>hhhsSHHSHS221</t>
  </si>
  <si>
    <t>The name is utkarsh</t>
  </si>
  <si>
    <t>LEFT</t>
  </si>
  <si>
    <t>RIGHT</t>
  </si>
  <si>
    <t>MID</t>
  </si>
  <si>
    <t>To extract chars from left side</t>
  </si>
  <si>
    <t>To extract chars from Right side</t>
  </si>
  <si>
    <t>after a given point</t>
  </si>
  <si>
    <t>My name is Utkarsh</t>
  </si>
  <si>
    <t>Utkarsh</t>
  </si>
  <si>
    <t>utkarsh</t>
  </si>
  <si>
    <t xml:space="preserve">CONTENT </t>
  </si>
  <si>
    <t>EXACTLY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</si>
</sst>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₹&quot;* #,##0.00_);_(&quot;₹&quot;* \(#,##0.00\);_(&quot;₹&quot;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1" fillId="3" borderId="0" xfId="0" applyFont="1" applyFill="1"/>
    <xf numFmtId="44" fontId="2" fillId="0" borderId="0" xfId="0" applyNumberFormat="1" applyFont="1"/>
    <xf numFmtId="0" fontId="0" fillId="4" borderId="0" xfId="0" applyFill="1"/>
    <xf numFmtId="0" fontId="2" fillId="4" borderId="0" xfId="0" applyFont="1" applyFill="1"/>
    <xf numFmtId="9" fontId="0" fillId="0" borderId="0" xfId="0" applyNumberFormat="1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4.png"/><Relationship Id="rId4" Type="http://schemas.openxmlformats.org/officeDocument/2006/relationships/customXml" Target="../ink/ink2.xm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810529</xdr:colOff>
      <xdr:row>6</xdr:row>
      <xdr:rowOff>103613</xdr:rowOff>
    </xdr:from>
    <xdr:to>
      <xdr:col>3</xdr:col>
      <xdr:colOff>271761</xdr:colOff>
      <xdr:row>11</xdr:row>
      <xdr:rowOff>188743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3281B6-BC81-6B25-6C10-A4FD7C93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0529" y="1311662"/>
          <a:ext cx="2280012" cy="10918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597052</xdr:colOff>
      <xdr:row>66</xdr:row>
      <xdr:rowOff>70837</xdr:rowOff>
    </xdr:from>
    <xdr:to>
      <xdr:col>6</xdr:col>
      <xdr:colOff>448447</xdr:colOff>
      <xdr:row>71</xdr:row>
      <xdr:rowOff>201885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5ED410-2CB7-B404-915C-94C4CBE4D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793" y="13428606"/>
          <a:ext cx="3975100" cy="1143000"/>
        </a:xfrm>
        <a:prstGeom prst="rect">
          <a:avLst/>
        </a:prstGeom>
      </xdr:spPr>
    </xdr:pic>
    <xdr:clientData/>
  </xdr:twoCellAnchor>
  <xdr:twoCellAnchor editAs="oneCell">
    <xdr:from>
      <xdr:col>1</xdr:col>
      <xdr:colOff>700219</xdr:colOff>
      <xdr:row>62</xdr:row>
      <xdr:rowOff>12193</xdr:rowOff>
    </xdr:from>
    <xdr:to>
      <xdr:col>3</xdr:col>
      <xdr:colOff>617817</xdr:colOff>
      <xdr:row>68</xdr:row>
      <xdr:rowOff>153970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B433D4B-4A1C-708F-66FA-8B282C7D2E14}"/>
                </a:ext>
              </a:extLst>
            </xdr14:cNvPr>
            <xdr14:cNvContentPartPr/>
          </xdr14:nvContentPartPr>
          <xdr14:nvPr macro=""/>
          <xdr14:xfrm>
            <a:off x="1524960" y="12560400"/>
            <a:ext cx="1567080" cy="1356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B433D4B-4A1C-708F-66FA-8B282C7D2E1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18840" y="12554280"/>
              <a:ext cx="1579320" cy="13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395716</xdr:colOff>
      <xdr:row>68</xdr:row>
      <xdr:rowOff>96370</xdr:rowOff>
    </xdr:from>
    <xdr:to>
      <xdr:col>4</xdr:col>
      <xdr:colOff>511996</xdr:colOff>
      <xdr:row>68</xdr:row>
      <xdr:rowOff>127330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0D47251F-B20C-F4E8-DBC8-ACA40B0C4EE4}"/>
                </a:ext>
              </a:extLst>
            </xdr14:cNvPr>
            <xdr14:cNvContentPartPr/>
          </xdr14:nvContentPartPr>
          <xdr14:nvPr macro=""/>
          <xdr14:xfrm>
            <a:off x="3694680" y="13858920"/>
            <a:ext cx="116280" cy="309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D47251F-B20C-F4E8-DBC8-ACA40B0C4EE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688560" y="13852800"/>
              <a:ext cx="12852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741259</xdr:colOff>
      <xdr:row>55</xdr:row>
      <xdr:rowOff>149126</xdr:rowOff>
    </xdr:from>
    <xdr:to>
      <xdr:col>2</xdr:col>
      <xdr:colOff>307118</xdr:colOff>
      <xdr:row>62</xdr:row>
      <xdr:rowOff>147553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8D734EC-8C9D-96FC-0953-7DB22AE69409}"/>
                </a:ext>
              </a:extLst>
            </xdr14:cNvPr>
            <xdr14:cNvContentPartPr/>
          </xdr14:nvContentPartPr>
          <xdr14:nvPr macro=""/>
          <xdr14:xfrm>
            <a:off x="1566000" y="11280600"/>
            <a:ext cx="390600" cy="14151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8D734EC-8C9D-96FC-0953-7DB22AE6940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59880" y="11274478"/>
              <a:ext cx="402840" cy="14274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276518</xdr:colOff>
      <xdr:row>56</xdr:row>
      <xdr:rowOff>38895</xdr:rowOff>
    </xdr:from>
    <xdr:to>
      <xdr:col>2</xdr:col>
      <xdr:colOff>735878</xdr:colOff>
      <xdr:row>57</xdr:row>
      <xdr:rowOff>50345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49063A2-CBDC-B24C-82C5-2D9806F87947}"/>
                </a:ext>
              </a:extLst>
            </xdr14:cNvPr>
            <xdr14:cNvContentPartPr/>
          </xdr14:nvContentPartPr>
          <xdr14:nvPr macro=""/>
          <xdr14:xfrm>
            <a:off x="1926000" y="11372760"/>
            <a:ext cx="459360" cy="21384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49063A2-CBDC-B24C-82C5-2D9806F8794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916993" y="11364120"/>
              <a:ext cx="477014" cy="231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17:26:46.9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4352 3767 24575,'-2'-47'0,"-8"-20"0,-13-23 0,7 41 0,-5 0 0,-5 1 0,-4 1 0,-6-2 0,-4 2 0,-6-2 0,-3 1 0,-3 2 0,-2 1 0,1 5 0,-1 3 0,2 7 0,-1 5 0,2 4 0,0 3 0,-3 4 0,-2 1 0,-7 2 0,-3 0 0,-5 0 0,-2 0 0,-8-2 0,-2-1 0,-6-2 0,0-2 0,-2-2 0,-2-3-251,25 6 0,-2-1 1,0-1 250,-5-2 0,0-1 0,-1-1 0,-2-1 0,1-1 0,-1 0 0,2 0 0,1 0 0,2 0 0,-23-9 0,4 1 0,9 2 0,3 0 0,10 3 0,3 0 0,5 0 0,2-2 0,-1-3 0,1-1 0,0-3 0,1-1 0,1 0 0,1-1 376,3 3 0,1 1-376,5 2 0,3 0 0,-34-27 0,5-4 0,8-3 0,8-1 0,0-9 0,29 36 0,1-2 0,-2-5 0,1-1 0,1-2 0,1 0 0,3 1 0,0 0 0,-15-40 0,10 16 0,8 14 0,8 10 0,5-3 0,5-16 0,6-26 0,1 39 0,3 0 0,3-3 0,2 2 0,1 3 0,2 4 0,14-26 0,-6 24 0,-8 22 0,-5 16 0,-2 6 0,5-2 0,9-7 0,13-10 0,8-3 0,-2 3 0,-7 6 0,-13 10 0,-9 6 0,-6 4 0,-3 1 0,-2 0 0,-8 0 0,5 0 0,-5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17:26:54.3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123 26 24575,'-18'0'0,"-2"0"0,-8 0 0,2 0 0,6 0 0,10 0 0,15 0 0,14-3 0,18-1 0,16-1 0,7 0 0,-2 2 0,-14 1 0,-16 0 0,-14 1 0,-10 0 0,-27 3 0,-3 5 0,-21 4 0,4 4 0,2 0 0,2-1 0,8-4 0,9-3 0,8-4 0,9-2 0,2-1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17:26:50.53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534 834 24575,'-6'23'0,"-13"33"0,4-9 0,-1 6 0,-6 17 0,-1 6 0,-1 5 0,0 3 0,0 5 0,2-1 0,1-1 0,1-1 0,4-9 0,2-3 0,2-8 0,1-3 0,1 33 0,5-17 0,1-4 0,-3 15 0,3-39 0,-1 1 0,-1 4 0,-1 1 0,1-1 0,0-1 0,-6 41 0,2-6 0,1-10 0,0-2 0,0 1 0,0-1 0,1 2 0,-1-2 0,-1-5 0,0 0 0,1-3 0,-1-4 0,2-5 0,1-11 0,0-9 0,4-10 0,-1-10 0,2-7 0,1-4 0,-1 0 0,-1 6 0,-2 4 0,-1 3 0,1-4 0,2-4 0,1-7 0,0-2 0,1-3 0,-1 0 0,1 1 0,-2 2 0,1-3 0,0 1 0</inkml:trace>
  <inkml:trace contextRef="#ctx0" brushRef="#br0" timeOffset="1883">540 927 24575,'-1'-4'0,"-4"2"0,-6 1 0,-6 4 0,-10 12 0,-10 12 0,-9 11 0,-9 8 0,1-1 0,8-8 0,13-11 0,14-11 0,12-9 0,5-6 0,3-6 0,6-8 0,7-8 0,9-7 0,5-5 0,0 0 0,-4 4 0,-4 6 0,-5 4 0,-4 4 0,0 1 0,0 1 0,2 0 0,2 1 0,-2 1 0,-1 2 0,3 0 0,6-7 0,6-4 0,0-2 0,-5 6 0,-7 7 0,-5 5 0,-4 4 0,-1 1 0,-2 2 0,-1 0 0,0 3 0,0 1 0,1 2 0,4 6 0,11 9 0,18 18 0,24 21 0,-23-23 0,1 2 0,0 2 0,0 0 0,-3-2 0,-3 0 0,16 25 0,-17-19 0,-13-16 0,-10-12 0,-5-8 0,-2-4 0,-4-4 0,2-2 0,-1-1 0</inkml:trace>
  <inkml:trace contextRef="#ctx0" brushRef="#br0" timeOffset="10217">959 0 24575,'0'5'0,"0"4"0,0 3 0,0 2 0,-1 2 0,-1-3 0,0-2 0,-1-1 0,0 0 0,1-1 0,0-1 0,-1-1 0,1 1 0,0-2 0,1 1 0,1-1 0,0 1 0,0-1 0,0 0 0,0-2 0,2-1 0,2-1 0,6-1 0,5-1 0,3-1 0,3 0 0,-2-1 0,-3 0 0,-3 1 0,-4-1 0,-3 1 0,-2-1 0,-2-2 0,-1 0 0,-1-1 0,-1-1 0,1-1 0,-3-1 0,1 1 0,-1 3 0,2 5 0,0 4 0,1 6 0,0 2 0,0 0 0,0-1 0,0 1 0,0-2 0,0 0 0,0-1 0,0-1 0,0-1 0,-1 0 0,0-1 0,-2 1 0,-1 0 0,1 1 0,1-3 0,2-2 0,0-3 0</inkml:trace>
  <inkml:trace contextRef="#ctx0" brushRef="#br0" timeOffset="12450">923 674 24575,'-3'0'0,"1"0"0,1 0 0,-1 0 0,-3 0 0,-3 0 0,-5 0 0,-2 1 0,-2 1 0,2 1 0,2 1 0,7-1 0,11-1 0,10-2 0,8-2 0,0 0 0,-2 0 0,-4 0 0,-5 2 0,-2 0 0,-4 0 0,-1 0 0,-1 0 0,0 0 0,-1 0 0,1 0 0,0 0 0,0 0 0,1 0 0,0 0 0,0 0 0,2 0 0,-1 0 0,2 0 0,-1 0 0,1 0 0,-1 0 0,1 0 0,-1 0 0,1 0 0,-2-1 0,0-1 0,-2 0 0,-2-2 0,0 1 0,-2-1 0,0-1 0,-1 1 0,1 0 0,-2 1 0,0-1 0,1 1 0,-2 1 0,2 1 0,-1 1 0</inkml:trace>
  <inkml:trace contextRef="#ctx0" brushRef="#br0" timeOffset="14767">912 252 24575,'-4'0'0,"1"0"0,-1 0 0,1 0 0,0 0 0,-1 0 0,1 1 0,1 1 0,1 3 0,1 1 0,0 2 0,0-1 0,0 1 0,0-1 0,0 2 0,0 2 0,1 3 0,0 3 0,0 2 0,0 2 0,-1 1 0,0 1 0,2 0 0,-1-2 0,0-2 0,-1-3 0,0-3 0,0-2 0,0-1 0,0 1 0,0-1 0,0 1 0,0-2 0,0 0 0,0-1 0,0-2 0,0-1 0,0-1 0,0-1 0,0 1 0,0-1 0,0 1 0,0-1 0,0 1 0,0 0 0,0 1 0,0 1 0,0 1 0,0 0 0,0-2 0,0 0 0,0-3 0,0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7-14T17:27:08.587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0 593 24575,'14'0'0,"-1"0"0,-4 0 0,0 0 0,-1 0 0,-1 0 0,-3 0 0,-1 0 0</inkml:trace>
  <inkml:trace contextRef="#ctx0" brushRef="#br0" timeOffset="1449">180 586 24575,'7'0'0,"1"0"0,-2 0 0,-1 0 0,0 0 0,-1 0 0,-1 0 0,0 0 0,-2 0 0</inkml:trace>
  <inkml:trace contextRef="#ctx0" brushRef="#br0" timeOffset="2333">390 586 24575,'13'0'0,"3"0"0,-2 0 0,-2 0 0,-7 0 0,-3 0 0,-2 0 0</inkml:trace>
  <inkml:trace contextRef="#ctx0" brushRef="#br0" timeOffset="3199">618 573 24575,'11'0'0,"-5"0"0,-1 0 0</inkml:trace>
  <inkml:trace contextRef="#ctx0" brushRef="#br0" timeOffset="4333">758 592 24575,'22'0'0,"-1"0"0,2 0 0,-5 0 0,-4 0 0,-7 0 0,-5 0 0,-1 0 0,-3 0 0</inkml:trace>
  <inkml:trace contextRef="#ctx0" brushRef="#br0" timeOffset="5283">910 592 24575,'15'0'0,"2"0"0,2 0 0,-4 0 0,-2 0 0,-7 0 0,-3 0 0</inkml:trace>
  <inkml:trace contextRef="#ctx0" brushRef="#br0" timeOffset="6300">1069 588 24575,'8'0'0,"-1"0"0,-3 0 0,-1 0 0,1 0 0,1 0 0,3-1 0,3-1 0,3 0 0,0 0 0,-2 0 0,-5 0 0,-4 2 0,-2 0 0</inkml:trace>
  <inkml:trace contextRef="#ctx0" brushRef="#br0" timeOffset="8216">1106 1 24575,'7'0'0,"0"0"0,-2 0 0,0 0 0,-1 0 0,-1 0 0,0 1 0,1 0 0,0 1 0,1 1 0,1 2 0,1 2 0,0 0 0,1 0 0,-2 1 0,0-1 0,-2 1 0,-1 0 0,-1 1 0,1 2 0,-1 2 0,0 1 0,0 3 0,0 1 0,0 1 0,2 2 0,1 1 0,2 2 0,1 1 0,0-1 0,-1-1 0,-3-3 0,0-2 0,-1-2 0,-1 0 0,0-1 0,0 0 0,0 0 0,-1-2 0,0-2 0,-1-1 0,0-1 0,-3 0 0,-4 0 0,-3 1 0,-5-1 0,-2 2 0,-3-1 0,-1-1 0,-1-2 0,2-1 0,3-2 0,4-1 0,4-1 0,3-1 0,3-1 0,1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3BAE3-61AC-FD4D-BFCB-6D8AA6970FD2}">
  <dimension ref="A3:F12"/>
  <sheetViews>
    <sheetView topLeftCell="A5" zoomScale="325" workbookViewId="0">
      <selection activeCell="B14" sqref="B14"/>
    </sheetView>
  </sheetViews>
  <sheetFormatPr baseColWidth="10" defaultRowHeight="16" x14ac:dyDescent="0.2"/>
  <sheetData>
    <row r="3" spans="1:6" x14ac:dyDescent="0.2">
      <c r="B3" s="11" t="s">
        <v>0</v>
      </c>
      <c r="C3" s="11"/>
    </row>
    <row r="4" spans="1:6" x14ac:dyDescent="0.2">
      <c r="B4" s="11"/>
      <c r="C4" s="11"/>
    </row>
    <row r="8" spans="1:6" x14ac:dyDescent="0.2">
      <c r="B8" t="s">
        <v>1</v>
      </c>
    </row>
    <row r="10" spans="1:6" x14ac:dyDescent="0.2">
      <c r="A10" s="1"/>
      <c r="B10" s="1"/>
      <c r="C10" s="1"/>
      <c r="D10" s="1"/>
      <c r="E10" s="1"/>
      <c r="F10" s="1"/>
    </row>
    <row r="12" spans="1:6" x14ac:dyDescent="0.2">
      <c r="B12" t="s">
        <v>2</v>
      </c>
    </row>
  </sheetData>
  <mergeCells count="1">
    <mergeCell ref="B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92C0-503B-D741-9E72-6999D6D11756}">
  <dimension ref="A3:I108"/>
  <sheetViews>
    <sheetView topLeftCell="A92" zoomScale="246" workbookViewId="0">
      <selection activeCell="C110" sqref="C110"/>
    </sheetView>
  </sheetViews>
  <sheetFormatPr baseColWidth="10" defaultRowHeight="16" x14ac:dyDescent="0.2"/>
  <cols>
    <col min="3" max="3" width="15.33203125" bestFit="1" customWidth="1"/>
    <col min="5" max="5" width="18.33203125" bestFit="1" customWidth="1"/>
  </cols>
  <sheetData>
    <row r="3" spans="1:9" x14ac:dyDescent="0.2">
      <c r="B3" s="11" t="s">
        <v>2</v>
      </c>
      <c r="C3" s="11"/>
    </row>
    <row r="4" spans="1:9" x14ac:dyDescent="0.2">
      <c r="B4" s="11"/>
      <c r="C4" s="11"/>
      <c r="E4" t="s">
        <v>3</v>
      </c>
    </row>
    <row r="8" spans="1:9" x14ac:dyDescent="0.2">
      <c r="E8" t="s">
        <v>4</v>
      </c>
    </row>
    <row r="10" spans="1:9" x14ac:dyDescent="0.2">
      <c r="E10" t="s">
        <v>5</v>
      </c>
    </row>
    <row r="14" spans="1:9" x14ac:dyDescent="0.2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">
      <c r="B15" t="s">
        <v>6</v>
      </c>
    </row>
    <row r="16" spans="1:9" x14ac:dyDescent="0.2">
      <c r="F16" t="str">
        <f ca="1">_xlfn.FORMULATEXT(F18)</f>
        <v>=TEXT(C18,"00000")</v>
      </c>
    </row>
    <row r="18" spans="1:9" x14ac:dyDescent="0.2">
      <c r="C18" s="2">
        <v>1</v>
      </c>
      <c r="F18" s="3" t="str">
        <f>TEXT(C18,"00000")</f>
        <v>00001</v>
      </c>
    </row>
    <row r="19" spans="1:9" x14ac:dyDescent="0.2">
      <c r="C19" s="2">
        <v>12</v>
      </c>
      <c r="F19" s="3" t="str">
        <f t="shared" ref="F19:F21" si="0">TEXT(C19,"00000")</f>
        <v>00012</v>
      </c>
    </row>
    <row r="20" spans="1:9" x14ac:dyDescent="0.2">
      <c r="C20" s="2">
        <v>156</v>
      </c>
      <c r="F20" s="3" t="str">
        <f t="shared" si="0"/>
        <v>00156</v>
      </c>
    </row>
    <row r="21" spans="1:9" x14ac:dyDescent="0.2">
      <c r="C21" s="2">
        <v>19082</v>
      </c>
      <c r="F21" s="3" t="str">
        <f t="shared" si="0"/>
        <v>19082</v>
      </c>
    </row>
    <row r="22" spans="1:9" x14ac:dyDescent="0.2">
      <c r="C22" s="2"/>
    </row>
    <row r="23" spans="1:9" x14ac:dyDescent="0.2">
      <c r="C23" s="2"/>
    </row>
    <row r="25" spans="1:9" x14ac:dyDescent="0.2">
      <c r="A25" s="1"/>
      <c r="B25" s="1"/>
      <c r="C25" s="1"/>
      <c r="D25" s="1"/>
      <c r="E25" s="1"/>
      <c r="F25" s="1"/>
      <c r="G25" s="1"/>
      <c r="H25" s="1"/>
      <c r="I25" s="1"/>
    </row>
    <row r="28" spans="1:9" x14ac:dyDescent="0.2">
      <c r="B28" s="4" t="s">
        <v>7</v>
      </c>
    </row>
    <row r="31" spans="1:9" x14ac:dyDescent="0.2">
      <c r="C31" s="2">
        <v>100000</v>
      </c>
      <c r="E31" s="5">
        <v>100000</v>
      </c>
    </row>
    <row r="32" spans="1:9" x14ac:dyDescent="0.2">
      <c r="C32" s="2">
        <v>173737</v>
      </c>
      <c r="E32" s="5">
        <v>173737</v>
      </c>
    </row>
    <row r="33" spans="1:5" x14ac:dyDescent="0.2">
      <c r="C33" s="2">
        <v>1734464737</v>
      </c>
      <c r="E33" s="5">
        <v>1734464737</v>
      </c>
    </row>
    <row r="37" spans="1:5" x14ac:dyDescent="0.2">
      <c r="C37" t="s">
        <v>8</v>
      </c>
      <c r="E37">
        <v>1000</v>
      </c>
    </row>
    <row r="38" spans="1:5" x14ac:dyDescent="0.2">
      <c r="E38" t="s">
        <v>10</v>
      </c>
    </row>
    <row r="39" spans="1:5" x14ac:dyDescent="0.2">
      <c r="C39" t="s">
        <v>9</v>
      </c>
    </row>
    <row r="42" spans="1:5" x14ac:dyDescent="0.2">
      <c r="C42" t="s">
        <v>11</v>
      </c>
      <c r="E42" t="s">
        <v>12</v>
      </c>
    </row>
    <row r="43" spans="1:5" x14ac:dyDescent="0.2">
      <c r="C43" t="s">
        <v>13</v>
      </c>
      <c r="E43" t="s">
        <v>14</v>
      </c>
    </row>
    <row r="44" spans="1:5" x14ac:dyDescent="0.2">
      <c r="C44" s="6" t="s">
        <v>15</v>
      </c>
      <c r="E44" s="7" t="s">
        <v>16</v>
      </c>
    </row>
    <row r="46" spans="1:5" x14ac:dyDescent="0.2">
      <c r="A46" s="2">
        <v>100000</v>
      </c>
      <c r="C46" t="str">
        <f>TEXT(A46,$C$44)</f>
        <v>100.00 K</v>
      </c>
      <c r="E46" t="str">
        <f>TEXT(A46,$E$44)</f>
        <v>0.10 M</v>
      </c>
    </row>
    <row r="47" spans="1:5" x14ac:dyDescent="0.2">
      <c r="A47" s="2">
        <v>173737</v>
      </c>
      <c r="C47" t="str">
        <f t="shared" ref="C47:C48" si="1">TEXT(A47,$C$44)</f>
        <v>173.74 K</v>
      </c>
      <c r="E47" t="str">
        <f t="shared" ref="E47:E48" si="2">TEXT(A47,$E$44)</f>
        <v>0.17 M</v>
      </c>
    </row>
    <row r="48" spans="1:5" x14ac:dyDescent="0.2">
      <c r="A48" s="2">
        <v>1734464737</v>
      </c>
      <c r="C48" t="str">
        <f t="shared" si="1"/>
        <v>17,34,464.74 K</v>
      </c>
      <c r="E48" t="str">
        <f t="shared" si="2"/>
        <v>1,734.46 M</v>
      </c>
    </row>
    <row r="51" spans="1:8" x14ac:dyDescent="0.2">
      <c r="A51" s="1"/>
      <c r="B51" s="1"/>
      <c r="C51" s="1"/>
      <c r="D51" s="1"/>
      <c r="E51" s="1"/>
      <c r="F51" s="1"/>
      <c r="G51" s="1"/>
    </row>
    <row r="55" spans="1:8" x14ac:dyDescent="0.2">
      <c r="B55" s="4" t="s">
        <v>17</v>
      </c>
      <c r="C55" s="1"/>
    </row>
    <row r="57" spans="1:8" x14ac:dyDescent="0.2">
      <c r="D57" t="str">
        <f ca="1">_xlfn.FORMULATEXT(D59)</f>
        <v>=TEXT(B59," (+91) ### ### ####")</v>
      </c>
    </row>
    <row r="59" spans="1:8" x14ac:dyDescent="0.2">
      <c r="B59">
        <v>1234512345</v>
      </c>
      <c r="D59" t="str">
        <f>TEXT(B59," (+91) ### ### ####")</f>
        <v xml:space="preserve"> (+91) 123 451 2345</v>
      </c>
      <c r="F59" t="str">
        <f>TEXT(B59,"+1 ## ## ## ####")</f>
        <v>+1 12 34 51 2345</v>
      </c>
      <c r="H59" t="str">
        <f ca="1">_xlfn.FORMULATEXT(F59)</f>
        <v>=TEXT(B59,"+1 ## ## ## ####")</v>
      </c>
    </row>
    <row r="60" spans="1:8" x14ac:dyDescent="0.2">
      <c r="B60">
        <v>1234512345</v>
      </c>
      <c r="D60" t="str">
        <f t="shared" ref="D60:D62" si="3">TEXT(B60," (+91) ##### #####")</f>
        <v xml:space="preserve"> (+91) 12345 12345</v>
      </c>
      <c r="F60" t="str">
        <f t="shared" ref="F60:F62" si="4">TEXT(B60,"+1 ## ## ## ####")</f>
        <v>+1 12 34 51 2345</v>
      </c>
    </row>
    <row r="61" spans="1:8" x14ac:dyDescent="0.2">
      <c r="B61">
        <v>1234512345</v>
      </c>
      <c r="D61" t="str">
        <f t="shared" si="3"/>
        <v xml:space="preserve"> (+91) 12345 12345</v>
      </c>
      <c r="F61" t="str">
        <f t="shared" si="4"/>
        <v>+1 12 34 51 2345</v>
      </c>
    </row>
    <row r="62" spans="1:8" x14ac:dyDescent="0.2">
      <c r="B62">
        <v>1234512345</v>
      </c>
      <c r="D62" t="str">
        <f t="shared" si="3"/>
        <v xml:space="preserve"> (+91) 12345 12345</v>
      </c>
      <c r="F62" t="str">
        <f t="shared" si="4"/>
        <v>+1 12 34 51 2345</v>
      </c>
    </row>
    <row r="65" spans="1:6" x14ac:dyDescent="0.2">
      <c r="A65" s="1"/>
      <c r="B65" s="1"/>
      <c r="C65" s="1"/>
      <c r="D65" s="1"/>
      <c r="E65" s="1"/>
      <c r="F65" s="1"/>
    </row>
    <row r="68" spans="1:6" x14ac:dyDescent="0.2">
      <c r="B68" s="1" t="s">
        <v>18</v>
      </c>
    </row>
    <row r="71" spans="1:6" x14ac:dyDescent="0.2">
      <c r="B71" s="8">
        <v>0.05</v>
      </c>
      <c r="D71" t="str">
        <f>TEXT(B71,"0.00 %")</f>
        <v>5.00 %</v>
      </c>
    </row>
    <row r="73" spans="1:6" x14ac:dyDescent="0.2">
      <c r="B73">
        <v>1.4999999999999999E-2</v>
      </c>
      <c r="D73" t="str">
        <f>TEXT(1-B73,"0.0000 %")</f>
        <v>98.5000 %</v>
      </c>
    </row>
    <row r="76" spans="1:6" x14ac:dyDescent="0.2">
      <c r="B76" t="str">
        <f>"My name is " &amp;B71</f>
        <v>My name is 0.05</v>
      </c>
      <c r="D76" t="str">
        <f>"My name is " &amp; TEXT(B71,"0.00 %")</f>
        <v>My name is 5.00 %</v>
      </c>
    </row>
    <row r="78" spans="1:6" x14ac:dyDescent="0.2">
      <c r="D78" t="str">
        <f ca="1">_xlfn.FORMULATEXT(D76)</f>
        <v>="My name is " &amp; TEXT(B71,"0.00 %")</v>
      </c>
    </row>
    <row r="80" spans="1:6" x14ac:dyDescent="0.2">
      <c r="D80" t="str">
        <f>_xlfn.CONCAT("My name is ",TEXT(B71,"0.0000 %"))</f>
        <v>My name is 5.0000 %</v>
      </c>
    </row>
    <row r="83" spans="1:6" x14ac:dyDescent="0.2">
      <c r="A83" s="1"/>
      <c r="B83" s="1"/>
      <c r="C83" s="1"/>
      <c r="D83" s="1"/>
      <c r="E83" s="1"/>
      <c r="F83" s="1"/>
    </row>
    <row r="86" spans="1:6" x14ac:dyDescent="0.2">
      <c r="B86" s="1" t="s">
        <v>19</v>
      </c>
    </row>
    <row r="89" spans="1:6" x14ac:dyDescent="0.2">
      <c r="B89" s="9">
        <f ca="1">TODAY()</f>
        <v>46217</v>
      </c>
    </row>
    <row r="91" spans="1:6" x14ac:dyDescent="0.2">
      <c r="D91" t="str">
        <f ca="1">_xlfn.CONCAT(B92,B89)</f>
        <v>My DOB is 46217</v>
      </c>
    </row>
    <row r="92" spans="1:6" x14ac:dyDescent="0.2">
      <c r="B92" t="s">
        <v>20</v>
      </c>
    </row>
    <row r="93" spans="1:6" x14ac:dyDescent="0.2">
      <c r="D93" t="str">
        <f ca="1">_xlfn.CONCAT(B92,TEXT(B89,"yyyy"))</f>
        <v>My DOB is 2026</v>
      </c>
    </row>
    <row r="95" spans="1:6" x14ac:dyDescent="0.2">
      <c r="D95" t="str">
        <f ca="1">_xlfn.FORMULATEXT(D93)</f>
        <v>=CONCAT(B92,TEXT(B89,"yyyy"))</v>
      </c>
    </row>
    <row r="98" spans="1:6" x14ac:dyDescent="0.2">
      <c r="A98" s="1"/>
      <c r="B98" s="1"/>
      <c r="C98" s="1"/>
      <c r="D98" s="1"/>
      <c r="E98" s="1"/>
      <c r="F98" s="1"/>
    </row>
    <row r="101" spans="1:6" x14ac:dyDescent="0.2">
      <c r="C101" s="10">
        <f ca="1">NOW()</f>
        <v>46217.964959143515</v>
      </c>
    </row>
    <row r="104" spans="1:6" x14ac:dyDescent="0.2">
      <c r="C104" t="str">
        <f ca="1">TEXT(C101,"ss - mm + hh")</f>
        <v>32 - 09 + 23</v>
      </c>
    </row>
    <row r="108" spans="1:6" x14ac:dyDescent="0.2">
      <c r="A108" s="1"/>
      <c r="B108" s="1"/>
      <c r="C108" s="1"/>
      <c r="D108" s="1"/>
      <c r="E108" s="1"/>
    </row>
  </sheetData>
  <mergeCells count="1">
    <mergeCell ref="B3:C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C997-76BA-8345-8E2A-DD9877DB693B}">
  <dimension ref="A3:H82"/>
  <sheetViews>
    <sheetView tabSelected="1" topLeftCell="A74" zoomScale="251" workbookViewId="0">
      <selection activeCell="D83" sqref="D83"/>
    </sheetView>
  </sheetViews>
  <sheetFormatPr baseColWidth="10" defaultRowHeight="16" x14ac:dyDescent="0.2"/>
  <sheetData>
    <row r="3" spans="3:6" x14ac:dyDescent="0.2">
      <c r="C3" t="s">
        <v>21</v>
      </c>
    </row>
    <row r="5" spans="3:6" x14ac:dyDescent="0.2">
      <c r="C5" t="s">
        <v>22</v>
      </c>
    </row>
    <row r="7" spans="3:6" x14ac:dyDescent="0.2">
      <c r="C7" t="s">
        <v>23</v>
      </c>
    </row>
    <row r="8" spans="3:6" x14ac:dyDescent="0.2">
      <c r="C8">
        <f>LEN(C7)</f>
        <v>12</v>
      </c>
    </row>
    <row r="10" spans="3:6" x14ac:dyDescent="0.2">
      <c r="C10" t="s">
        <v>24</v>
      </c>
      <c r="E10" t="s">
        <v>25</v>
      </c>
    </row>
    <row r="12" spans="3:6" x14ac:dyDescent="0.2">
      <c r="C12" t="str">
        <f>"    Utkarsh_Sahu "</f>
        <v xml:space="preserve">    Utkarsh_Sahu </v>
      </c>
      <c r="E12">
        <f>LEN(C12)</f>
        <v>17</v>
      </c>
      <c r="F12" t="str">
        <f ca="1">_xlfn.FORMULATEXT(E12)</f>
        <v>=LEN(C12)</v>
      </c>
    </row>
    <row r="14" spans="3:6" x14ac:dyDescent="0.2">
      <c r="C14" t="str">
        <f>TRIM(C12)</f>
        <v>Utkarsh_Sahu</v>
      </c>
      <c r="E14">
        <f>LEN(TRIM(C12))</f>
        <v>12</v>
      </c>
      <c r="F14" t="str">
        <f ca="1">_xlfn.FORMULATEXT(E14)</f>
        <v>=LEN(TRIM(C12))</v>
      </c>
    </row>
    <row r="17" spans="2:8" x14ac:dyDescent="0.2">
      <c r="B17" s="1"/>
      <c r="C17" s="1"/>
      <c r="D17" s="1"/>
      <c r="E17" s="1"/>
    </row>
    <row r="19" spans="2:8" x14ac:dyDescent="0.2">
      <c r="C19" t="s">
        <v>26</v>
      </c>
      <c r="E19" t="s">
        <v>27</v>
      </c>
    </row>
    <row r="22" spans="2:8" x14ac:dyDescent="0.2">
      <c r="C22" t="s">
        <v>29</v>
      </c>
    </row>
    <row r="24" spans="2:8" x14ac:dyDescent="0.2">
      <c r="C24" t="s">
        <v>30</v>
      </c>
      <c r="E24" t="str">
        <f>C22&amp;C24&amp;C26&amp;C28</f>
        <v>String 1 sjsjs Utkarsh Sahudkb2dkd</v>
      </c>
    </row>
    <row r="26" spans="2:8" x14ac:dyDescent="0.2">
      <c r="C26" t="s">
        <v>23</v>
      </c>
    </row>
    <row r="28" spans="2:8" x14ac:dyDescent="0.2">
      <c r="C28" t="s">
        <v>28</v>
      </c>
      <c r="E28" t="str">
        <f>_xlfn.CONCAT(C22,C24,C26,C28)</f>
        <v>String 1 sjsjs Utkarsh Sahudkb2dkd</v>
      </c>
    </row>
    <row r="31" spans="2:8" x14ac:dyDescent="0.2">
      <c r="B31" s="1"/>
      <c r="C31" s="1"/>
      <c r="D31" s="1"/>
      <c r="E31" s="1"/>
      <c r="F31" s="1"/>
      <c r="G31" s="1"/>
      <c r="H31" s="1"/>
    </row>
    <row r="34" spans="1:8" x14ac:dyDescent="0.2">
      <c r="C34" t="s">
        <v>31</v>
      </c>
      <c r="E34" t="str">
        <f>UPPER(A36)</f>
        <v>HHHSSHHSHS221</v>
      </c>
      <c r="G34" t="str">
        <f ca="1">_xlfn.FORMULATEXT(E34)</f>
        <v>=UPPER(A36)</v>
      </c>
    </row>
    <row r="36" spans="1:8" x14ac:dyDescent="0.2">
      <c r="A36" t="s">
        <v>34</v>
      </c>
      <c r="C36" t="s">
        <v>32</v>
      </c>
      <c r="E36" t="str">
        <f>LOWER(A36)</f>
        <v>hhhsshhshs221</v>
      </c>
      <c r="G36" t="str">
        <f t="shared" ref="G36:G40" ca="1" si="0">_xlfn.FORMULATEXT(E36)</f>
        <v>=LOWER(A36)</v>
      </c>
    </row>
    <row r="38" spans="1:8" x14ac:dyDescent="0.2">
      <c r="C38" t="s">
        <v>33</v>
      </c>
    </row>
    <row r="40" spans="1:8" x14ac:dyDescent="0.2">
      <c r="E40" t="str">
        <f>PROPER(C42)</f>
        <v>The Name Is Utkarsh</v>
      </c>
      <c r="G40" t="str">
        <f t="shared" ca="1" si="0"/>
        <v>=PROPER(C42)</v>
      </c>
    </row>
    <row r="42" spans="1:8" x14ac:dyDescent="0.2">
      <c r="C42" t="s">
        <v>35</v>
      </c>
    </row>
    <row r="45" spans="1:8" x14ac:dyDescent="0.2">
      <c r="B45" s="1"/>
      <c r="C45" s="1"/>
      <c r="D45" s="1"/>
      <c r="E45" s="1"/>
      <c r="F45" s="1"/>
      <c r="G45" s="1"/>
      <c r="H45" s="1"/>
    </row>
    <row r="48" spans="1:8" x14ac:dyDescent="0.2">
      <c r="C48" t="s">
        <v>36</v>
      </c>
      <c r="E48" t="s">
        <v>39</v>
      </c>
    </row>
    <row r="50" spans="3:5" x14ac:dyDescent="0.2">
      <c r="C50" t="s">
        <v>37</v>
      </c>
      <c r="E50" t="s">
        <v>40</v>
      </c>
    </row>
    <row r="52" spans="3:5" x14ac:dyDescent="0.2">
      <c r="C52" t="s">
        <v>38</v>
      </c>
      <c r="E52" t="s">
        <v>41</v>
      </c>
    </row>
    <row r="57" spans="3:5" x14ac:dyDescent="0.2">
      <c r="C57" t="s">
        <v>42</v>
      </c>
      <c r="E57" t="str">
        <f>LEFT(C57,7)</f>
        <v>My name</v>
      </c>
    </row>
    <row r="61" spans="3:5" x14ac:dyDescent="0.2">
      <c r="C61" t="str">
        <f>LEFT("Utkarsh sissssns eueiud ekiec",10)</f>
        <v>Utkarsh si</v>
      </c>
    </row>
    <row r="63" spans="3:5" x14ac:dyDescent="0.2">
      <c r="C63" t="s">
        <v>38</v>
      </c>
    </row>
    <row r="65" spans="2:5" x14ac:dyDescent="0.2">
      <c r="D65" t="str">
        <f>MID(C57,4,7)</f>
        <v>name is</v>
      </c>
    </row>
    <row r="78" spans="2:5" x14ac:dyDescent="0.2">
      <c r="C78" t="s">
        <v>43</v>
      </c>
      <c r="E78" t="s">
        <v>44</v>
      </c>
    </row>
    <row r="80" spans="2:5" x14ac:dyDescent="0.2">
      <c r="B80" t="s">
        <v>45</v>
      </c>
      <c r="D80" t="b">
        <f>(C78=E78)</f>
        <v>1</v>
      </c>
      <c r="E80" t="str">
        <f ca="1">_xlfn.FORMULATEXT(D80)</f>
        <v>=(C78=E78)</v>
      </c>
    </row>
    <row r="82" spans="2:5" x14ac:dyDescent="0.2">
      <c r="B82" t="s">
        <v>46</v>
      </c>
      <c r="D82" t="b">
        <f>EXACT(C78,E78)</f>
        <v>0</v>
      </c>
      <c r="E82" t="str">
        <f ca="1">_xlfn.FORMULATEXT(D82)</f>
        <v>=EXACT(C78,E78)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TEXT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2026-07-14T15:38:27Z</dcterms:created>
  <dcterms:modified xsi:type="dcterms:W3CDTF">2026-07-14T17:39:34Z</dcterms:modified>
</cp:coreProperties>
</file>