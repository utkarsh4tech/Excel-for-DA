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8_{1290F2F5-B90A-624F-9B37-67B318A1FA4A}" xr6:coauthVersionLast="47" xr6:coauthVersionMax="47" xr10:uidLastSave="{00000000-0000-0000-0000-000000000000}"/>
  <bookViews>
    <workbookView xWindow="0" yWindow="600" windowWidth="38400" windowHeight="21000" activeTab="1" xr2:uid="{35B5F2F3-020D-2640-BD95-55ED81A378FB}"/>
  </bookViews>
  <sheets>
    <sheet name="agenda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5" i="2" l="1" a="1"/>
  <c r="G160" i="2"/>
  <c r="G158" i="2" a="1"/>
  <c r="C158" i="2" a="1"/>
  <c r="H139" i="2" a="1"/>
  <c r="I145" i="2"/>
  <c r="H137" i="2"/>
  <c r="D123" i="2"/>
  <c r="C124" i="2"/>
  <c r="C125" i="2"/>
  <c r="C126" i="2"/>
  <c r="C127" i="2"/>
  <c r="C123" i="2"/>
  <c r="D124" i="2"/>
  <c r="D125" i="2"/>
  <c r="D126" i="2"/>
  <c r="D127" i="2"/>
  <c r="F113" i="2"/>
  <c r="D113" i="2"/>
  <c r="F112" i="2"/>
  <c r="D112" i="2"/>
  <c r="F101" i="2"/>
  <c r="D101" i="2"/>
  <c r="F100" i="2"/>
  <c r="D100" i="2"/>
  <c r="F83" i="2"/>
  <c r="G91" i="2"/>
  <c r="G89" i="2"/>
  <c r="F91" i="2" a="1"/>
  <c r="F89" i="2"/>
  <c r="F84" i="2"/>
  <c r="F85" i="2"/>
  <c r="F86" i="2"/>
  <c r="F87" i="2"/>
  <c r="F77" i="2"/>
  <c r="G77" i="2"/>
  <c r="F76" i="2"/>
  <c r="G76" i="2"/>
  <c r="B59" i="2"/>
  <c r="B58" i="2"/>
  <c r="B53" i="2"/>
  <c r="B54" i="2"/>
  <c r="B29" i="2"/>
  <c r="B28" i="2"/>
  <c r="B24" i="2"/>
  <c r="B25" i="2"/>
  <c r="B21" i="2"/>
  <c r="B20" i="2"/>
  <c r="H145" i="2" l="1"/>
  <c r="C165" i="2"/>
  <c r="G158" i="2"/>
  <c r="C158" i="2"/>
  <c r="H139" i="2"/>
  <c r="F9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<sst xmlns="http://schemas.openxmlformats.org/spreadsheetml/2006/main" count="114" uniqueCount="69">
  <si>
    <t>Conditional Aggregation</t>
  </si>
  <si>
    <t>SUMIF</t>
  </si>
  <si>
    <t>SUMIFS</t>
  </si>
  <si>
    <t>AVERAGEIF</t>
  </si>
  <si>
    <t>AVERAGEIFS</t>
  </si>
  <si>
    <t>STATE</t>
  </si>
  <si>
    <t>Salary</t>
  </si>
  <si>
    <t>AGE</t>
  </si>
  <si>
    <t>MH</t>
  </si>
  <si>
    <t>UP</t>
  </si>
  <si>
    <t>BH</t>
  </si>
  <si>
    <t>PU</t>
  </si>
  <si>
    <t>TN</t>
  </si>
  <si>
    <t>SUM only when the condition is true ( =1 )</t>
  </si>
  <si>
    <t>SUM only when ALL conditions are true ( &gt;=1 )</t>
  </si>
  <si>
    <t>AVERAGE only when the condition is true ( =1 )</t>
  </si>
  <si>
    <t>AVERAGE only when ALL conditions are true ( &gt;=1 )</t>
  </si>
  <si>
    <t>RANGE</t>
  </si>
  <si>
    <t>CRITERIA</t>
  </si>
  <si>
    <t>SUM_RANGE</t>
  </si>
  <si>
    <t>The range(column) where the criteria is evaluated</t>
  </si>
  <si>
    <t>the condition we want to check</t>
  </si>
  <si>
    <t>Optional -- The range we want to SUM , if not given then RANGE is used</t>
  </si>
  <si>
    <t>What is SUM of salaries in UP</t>
  </si>
  <si>
    <t>What is SUM of salaries in MH for minor (age&lt;18)</t>
  </si>
  <si>
    <t xml:space="preserve">The range we want to SUM </t>
  </si>
  <si>
    <t>CR_RANGE_1</t>
  </si>
  <si>
    <t>CRITERIA_1</t>
  </si>
  <si>
    <t>…</t>
  </si>
  <si>
    <t>CR_RANGE_n</t>
  </si>
  <si>
    <t>CRITERIA_n</t>
  </si>
  <si>
    <t>SUM of age of people &gt;=18 but &lt;=25</t>
  </si>
  <si>
    <t>What is avg salary in UP</t>
  </si>
  <si>
    <t>AVERAGE IF(s) = SUM IF(s) / COUNT IF(s)</t>
  </si>
  <si>
    <t>What is AVG age of people &lt;=22</t>
  </si>
  <si>
    <t>AVG_RANGE</t>
  </si>
  <si>
    <t>Optional -- The range we want to AVG , if not given then RANGE is used</t>
  </si>
  <si>
    <t xml:space="preserve">The range we want to AVG\ </t>
  </si>
  <si>
    <t>The range(column) where the criteria 1 is evaluated</t>
  </si>
  <si>
    <t>the condition1 we want to check</t>
  </si>
  <si>
    <t>The range(column) where the criteria n is evaluated</t>
  </si>
  <si>
    <t>the nth condition we want to check</t>
  </si>
  <si>
    <t>SUMPRODUCT</t>
  </si>
  <si>
    <t>RANK</t>
  </si>
  <si>
    <t>MIN/MAX</t>
  </si>
  <si>
    <t>LARGE/SMALL</t>
  </si>
  <si>
    <t>Y = 2 X1 + 4 X2 - 6 X3</t>
  </si>
  <si>
    <t>X1</t>
  </si>
  <si>
    <t>X2</t>
  </si>
  <si>
    <t>X3</t>
  </si>
  <si>
    <t>Y</t>
  </si>
  <si>
    <t>Y = w1*x1 + w2*x2 + w3*x3</t>
  </si>
  <si>
    <t>Qts</t>
  </si>
  <si>
    <t>Price/Unit</t>
  </si>
  <si>
    <t>Disc</t>
  </si>
  <si>
    <t>Amt</t>
  </si>
  <si>
    <t>Grand TOTAL</t>
  </si>
  <si>
    <t>MAX and MIN</t>
  </si>
  <si>
    <t>Maximum</t>
  </si>
  <si>
    <t>Minimum</t>
  </si>
  <si>
    <t>LARGE and SMALL</t>
  </si>
  <si>
    <t>Nth Largest</t>
  </si>
  <si>
    <t>Nth Smallest</t>
  </si>
  <si>
    <t>2nd Largest</t>
  </si>
  <si>
    <t>2nd smallest</t>
  </si>
  <si>
    <t>Descd</t>
  </si>
  <si>
    <t>Ascd</t>
  </si>
  <si>
    <t>FILTERS</t>
  </si>
  <si>
    <t>CHOOSEROWS &amp; CHOOSECOLS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</si>
</sst>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20"/>
      <color theme="1"/>
      <name val="Aptos Narrow (Body)"/>
    </font>
    <font>
      <sz val="12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22"/>
      <color theme="1"/>
      <name val="Aptos Narrow (Body)"/>
    </font>
    <font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5" fillId="0" borderId="1" xfId="0" applyFont="1" applyBorder="1"/>
    <xf numFmtId="0" fontId="5" fillId="0" borderId="0" xfId="0" applyFont="1"/>
    <xf numFmtId="0" fontId="3" fillId="0" borderId="0" xfId="0" applyFont="1"/>
    <xf numFmtId="0" fontId="5" fillId="0" borderId="2" xfId="0" applyFont="1" applyBorder="1"/>
    <xf numFmtId="0" fontId="5" fillId="0" borderId="3" xfId="0" applyFont="1" applyBorder="1"/>
    <xf numFmtId="0" fontId="5" fillId="2" borderId="4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0" fillId="3" borderId="0" xfId="0" applyFill="1"/>
    <xf numFmtId="0" fontId="5" fillId="4" borderId="0" xfId="0" applyFont="1" applyFill="1"/>
    <xf numFmtId="0" fontId="5" fillId="5" borderId="0" xfId="0" applyFont="1" applyFill="1"/>
    <xf numFmtId="0" fontId="2" fillId="6" borderId="10" xfId="0" applyFont="1" applyFill="1" applyBorder="1"/>
    <xf numFmtId="0" fontId="2" fillId="6" borderId="11" xfId="0" applyFont="1" applyFill="1" applyBorder="1"/>
    <xf numFmtId="0" fontId="2" fillId="6" borderId="0" xfId="0" applyFont="1" applyFill="1"/>
    <xf numFmtId="9" fontId="0" fillId="0" borderId="0" xfId="1" applyFont="1"/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2">
    <cellStyle name="Normal" xfId="0" builtinId="0"/>
    <cellStyle name="Per cent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000000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solid">
          <fgColor rgb="FF000000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789298</xdr:colOff>
      <xdr:row>6</xdr:row>
      <xdr:rowOff>60247</xdr:rowOff>
    </xdr:from>
    <xdr:to>
      <xdr:col>10</xdr:col>
      <xdr:colOff>503252</xdr:colOff>
      <xdr:row>9</xdr:row>
      <xdr:rowOff>95310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F5F73D-F64F-1A47-D04E-74E9DACA3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3644" y="1270901"/>
          <a:ext cx="2188673" cy="640390"/>
        </a:xfrm>
        <a:prstGeom prst="rect">
          <a:avLst/>
        </a:prstGeom>
      </xdr:spPr>
    </xdr:pic>
    <xdr:clientData/>
  </xdr:twoCellAnchor>
  <xdr:twoCellAnchor editAs="oneCell">
    <xdr:from>
      <xdr:col>7</xdr:col>
      <xdr:colOff>795232</xdr:colOff>
      <xdr:row>20</xdr:row>
      <xdr:rowOff>160572</xdr:rowOff>
    </xdr:from>
    <xdr:to>
      <xdr:col>10</xdr:col>
      <xdr:colOff>799148</xdr:colOff>
      <xdr:row>25</xdr:row>
      <xdr:rowOff>24925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582065-C551-B58D-F30C-EFDFCE196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69578" y="4196086"/>
          <a:ext cx="2478635" cy="873232"/>
        </a:xfrm>
        <a:prstGeom prst="rect">
          <a:avLst/>
        </a:prstGeom>
      </xdr:spPr>
    </xdr:pic>
    <xdr:clientData/>
  </xdr:twoCellAnchor>
  <xdr:twoCellAnchor editAs="oneCell">
    <xdr:from>
      <xdr:col>7</xdr:col>
      <xdr:colOff>824906</xdr:colOff>
      <xdr:row>41</xdr:row>
      <xdr:rowOff>194459</xdr:rowOff>
    </xdr:from>
    <xdr:to>
      <xdr:col>10</xdr:col>
      <xdr:colOff>822176</xdr:colOff>
      <xdr:row>44</xdr:row>
      <xdr:rowOff>198570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55AD72-D214-C57A-36E0-1265922AB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99252" y="8467263"/>
          <a:ext cx="2471989" cy="609438"/>
        </a:xfrm>
        <a:prstGeom prst="rect">
          <a:avLst/>
        </a:prstGeom>
      </xdr:spPr>
    </xdr:pic>
    <xdr:clientData/>
  </xdr:twoCellAnchor>
  <xdr:twoCellAnchor editAs="oneCell">
    <xdr:from>
      <xdr:col>7</xdr:col>
      <xdr:colOff>789299</xdr:colOff>
      <xdr:row>52</xdr:row>
      <xdr:rowOff>47364</xdr:rowOff>
    </xdr:from>
    <xdr:to>
      <xdr:col>11</xdr:col>
      <xdr:colOff>187889</xdr:colOff>
      <xdr:row>55</xdr:row>
      <xdr:rowOff>149670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FCD875C-AF11-D35A-ACC1-3915E5E2C1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63645" y="10539700"/>
          <a:ext cx="2698216" cy="70763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FC6A8B-61F5-5947-AEE6-75ABD8618E55}" name="salary_data" displayName="salary_data" ref="B5:D15" totalsRowShown="0" headerRowDxfId="13" headerRowBorderDxfId="12" tableBorderDxfId="11" totalsRowBorderDxfId="10">
  <autoFilter ref="B5:D15" xr:uid="{9BFC6A8B-61F5-5947-AEE6-75ABD8618E55}"/>
  <tableColumns count="3">
    <tableColumn id="1" xr3:uid="{E784B0DC-C086-0D4B-84F8-33B8391FE849}" name="STATE" dataDxfId="9"/>
    <tableColumn id="2" xr3:uid="{02F1682F-C2B8-8947-97CB-8B66DCC41FC0}" name="Salary" dataDxfId="8"/>
    <tableColumn id="3" xr3:uid="{84DAAFEC-30E5-2A41-A5DD-9169A890A2C0}" name="AGE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0A57DB-9310-A340-A71E-C5D93B2D4DB7}" name="salary_data3" displayName="salary_data3" ref="B39:D49" totalsRowShown="0" headerRowDxfId="6" headerRowBorderDxfId="5" tableBorderDxfId="4" totalsRowBorderDxfId="3">
  <autoFilter ref="B39:D49" xr:uid="{630A57DB-9310-A340-A71E-C5D93B2D4DB7}"/>
  <tableColumns count="3">
    <tableColumn id="1" xr3:uid="{6EE1BCA6-255F-BC4C-B225-EA6F0445F43F}" name="STATE" dataDxfId="2"/>
    <tableColumn id="2" xr3:uid="{F899095F-B195-4C40-AEA7-02D7C33B11D1}" name="Salary" dataDxfId="1"/>
    <tableColumn id="3" xr3:uid="{46C1151B-8AA8-CA45-A067-B0B5341965B1}" name="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816A-027C-AE44-8042-17C2009CC151}">
  <dimension ref="A5:K29"/>
  <sheetViews>
    <sheetView topLeftCell="A8" zoomScale="200" workbookViewId="0">
      <selection activeCell="B29" sqref="B29:C29"/>
    </sheetView>
  </sheetViews>
  <sheetFormatPr baseColWidth="10" defaultRowHeight="16" x14ac:dyDescent="0.2"/>
  <sheetData>
    <row r="5" spans="2:4" x14ac:dyDescent="0.2">
      <c r="B5" s="20" t="s">
        <v>0</v>
      </c>
      <c r="C5" s="21"/>
      <c r="D5" s="21"/>
    </row>
    <row r="6" spans="2:4" x14ac:dyDescent="0.2">
      <c r="B6" s="21"/>
      <c r="C6" s="21"/>
      <c r="D6" s="21"/>
    </row>
    <row r="7" spans="2:4" x14ac:dyDescent="0.2">
      <c r="B7" s="21"/>
      <c r="C7" s="21"/>
      <c r="D7" s="21"/>
    </row>
    <row r="10" spans="2:4" x14ac:dyDescent="0.2">
      <c r="B10" s="13" t="s">
        <v>1</v>
      </c>
      <c r="C10" s="2"/>
      <c r="D10" s="3" t="s">
        <v>13</v>
      </c>
    </row>
    <row r="11" spans="2:4" x14ac:dyDescent="0.2">
      <c r="B11" s="2"/>
      <c r="C11" s="2"/>
      <c r="D11" s="3"/>
    </row>
    <row r="12" spans="2:4" x14ac:dyDescent="0.2">
      <c r="B12" s="14" t="s">
        <v>2</v>
      </c>
      <c r="C12" s="2"/>
      <c r="D12" s="3" t="s">
        <v>14</v>
      </c>
    </row>
    <row r="14" spans="2:4" x14ac:dyDescent="0.2">
      <c r="B14" s="13" t="s">
        <v>3</v>
      </c>
      <c r="C14" s="2"/>
      <c r="D14" s="3" t="s">
        <v>15</v>
      </c>
    </row>
    <row r="15" spans="2:4" x14ac:dyDescent="0.2">
      <c r="B15" s="2"/>
      <c r="C15" s="2"/>
      <c r="D15" s="3"/>
    </row>
    <row r="16" spans="2:4" x14ac:dyDescent="0.2">
      <c r="B16" s="14" t="s">
        <v>4</v>
      </c>
      <c r="C16" s="2"/>
      <c r="D16" s="3" t="s">
        <v>16</v>
      </c>
    </row>
    <row r="20" spans="1:11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3" spans="1:11" x14ac:dyDescent="0.2">
      <c r="B23" t="s">
        <v>42</v>
      </c>
    </row>
    <row r="25" spans="1:11" x14ac:dyDescent="0.2">
      <c r="B25" t="s">
        <v>45</v>
      </c>
    </row>
    <row r="27" spans="1:11" x14ac:dyDescent="0.2">
      <c r="B27" t="s">
        <v>43</v>
      </c>
    </row>
    <row r="29" spans="1:11" x14ac:dyDescent="0.2">
      <c r="B29" t="s">
        <v>44</v>
      </c>
    </row>
  </sheetData>
  <mergeCells count="1">
    <mergeCell ref="B5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8E3FA-04E2-5643-BEB9-76EAD05800C6}">
  <dimension ref="A5:P168"/>
  <sheetViews>
    <sheetView tabSelected="1" topLeftCell="A147" zoomScale="214" workbookViewId="0">
      <selection activeCell="D158" sqref="D158"/>
    </sheetView>
  </sheetViews>
  <sheetFormatPr baseColWidth="10" defaultRowHeight="16" x14ac:dyDescent="0.2"/>
  <sheetData>
    <row r="5" spans="2:11" x14ac:dyDescent="0.2">
      <c r="B5" s="6" t="s">
        <v>5</v>
      </c>
      <c r="C5" s="7" t="s">
        <v>6</v>
      </c>
      <c r="D5" s="8" t="s">
        <v>7</v>
      </c>
    </row>
    <row r="6" spans="2:11" x14ac:dyDescent="0.2">
      <c r="B6" s="4" t="s">
        <v>8</v>
      </c>
      <c r="C6" s="1">
        <v>4000</v>
      </c>
      <c r="D6" s="5">
        <v>17</v>
      </c>
    </row>
    <row r="7" spans="2:11" x14ac:dyDescent="0.2">
      <c r="B7" s="4" t="s">
        <v>9</v>
      </c>
      <c r="C7" s="1">
        <v>5600</v>
      </c>
      <c r="D7" s="5">
        <v>18</v>
      </c>
    </row>
    <row r="8" spans="2:11" x14ac:dyDescent="0.2">
      <c r="B8" s="4" t="s">
        <v>10</v>
      </c>
      <c r="C8" s="1">
        <v>9700</v>
      </c>
      <c r="D8" s="5">
        <v>19</v>
      </c>
    </row>
    <row r="9" spans="2:11" x14ac:dyDescent="0.2">
      <c r="B9" s="4" t="s">
        <v>11</v>
      </c>
      <c r="C9" s="1">
        <v>4000</v>
      </c>
      <c r="D9" s="5">
        <v>20</v>
      </c>
    </row>
    <row r="10" spans="2:11" x14ac:dyDescent="0.2">
      <c r="B10" s="4" t="s">
        <v>8</v>
      </c>
      <c r="C10" s="1">
        <v>8000</v>
      </c>
      <c r="D10" s="5">
        <v>21</v>
      </c>
    </row>
    <row r="11" spans="2:11" x14ac:dyDescent="0.2">
      <c r="B11" s="4" t="s">
        <v>9</v>
      </c>
      <c r="C11" s="1">
        <v>9000</v>
      </c>
      <c r="D11" s="5">
        <v>17</v>
      </c>
    </row>
    <row r="12" spans="2:11" x14ac:dyDescent="0.2">
      <c r="B12" s="4" t="s">
        <v>10</v>
      </c>
      <c r="C12" s="1">
        <v>15000</v>
      </c>
      <c r="D12" s="5">
        <v>18</v>
      </c>
      <c r="I12" t="s">
        <v>17</v>
      </c>
      <c r="K12" t="s">
        <v>20</v>
      </c>
    </row>
    <row r="13" spans="2:11" x14ac:dyDescent="0.2">
      <c r="B13" s="4" t="s">
        <v>8</v>
      </c>
      <c r="C13" s="1">
        <v>34000</v>
      </c>
      <c r="D13" s="5">
        <v>16</v>
      </c>
      <c r="I13" t="s">
        <v>18</v>
      </c>
      <c r="K13" t="s">
        <v>21</v>
      </c>
    </row>
    <row r="14" spans="2:11" x14ac:dyDescent="0.2">
      <c r="B14" s="4" t="s">
        <v>12</v>
      </c>
      <c r="C14" s="1">
        <v>9000</v>
      </c>
      <c r="D14" s="5">
        <v>20</v>
      </c>
      <c r="I14" t="s">
        <v>19</v>
      </c>
      <c r="K14" t="s">
        <v>22</v>
      </c>
    </row>
    <row r="15" spans="2:11" x14ac:dyDescent="0.2">
      <c r="B15" s="9" t="s">
        <v>8</v>
      </c>
      <c r="C15" s="10">
        <v>9000</v>
      </c>
      <c r="D15" s="11">
        <v>24</v>
      </c>
    </row>
    <row r="18" spans="2:11" x14ac:dyDescent="0.2">
      <c r="B18" t="s">
        <v>23</v>
      </c>
    </row>
    <row r="20" spans="2:11" x14ac:dyDescent="0.2">
      <c r="B20">
        <f>SUMIF(salary_data[STATE],"UP",salary_data[Salary])</f>
        <v>14600</v>
      </c>
    </row>
    <row r="21" spans="2:11" x14ac:dyDescent="0.2">
      <c r="B21" t="str">
        <f ca="1">_xlfn.FORMULATEXT(B20)</f>
        <v>=SUMIF(salary_data[STATE],"UP",salary_data[Salary])</v>
      </c>
    </row>
    <row r="23" spans="2:11" x14ac:dyDescent="0.2">
      <c r="B23" t="s">
        <v>24</v>
      </c>
    </row>
    <row r="24" spans="2:11" x14ac:dyDescent="0.2">
      <c r="B24">
        <f>SUMIFS(salary_data[Salary],salary_data[STATE],"MH",salary_data[AGE],"&lt;18")</f>
        <v>38000</v>
      </c>
    </row>
    <row r="25" spans="2:11" x14ac:dyDescent="0.2">
      <c r="B25" t="str">
        <f ca="1">_xlfn.FORMULATEXT(B24)</f>
        <v>=SUMIFS(salary_data[Salary],salary_data[STATE],"MH",salary_data[AGE],"&lt;18")</v>
      </c>
    </row>
    <row r="27" spans="2:11" x14ac:dyDescent="0.2">
      <c r="B27" t="s">
        <v>31</v>
      </c>
      <c r="I27" t="s">
        <v>19</v>
      </c>
      <c r="K27" t="s">
        <v>25</v>
      </c>
    </row>
    <row r="28" spans="2:11" x14ac:dyDescent="0.2">
      <c r="B28">
        <f>SUMIFS(salary_data[AGE],salary_data[AGE],"&gt;=18",salary_data[AGE],"&lt;=25")</f>
        <v>140</v>
      </c>
    </row>
    <row r="29" spans="2:11" x14ac:dyDescent="0.2">
      <c r="B29" t="str">
        <f ca="1">_xlfn.FORMULATEXT(B28)</f>
        <v>=SUMIFS(salary_data[AGE],salary_data[AGE],"&gt;=18",salary_data[AGE],"&lt;=25")</v>
      </c>
      <c r="I29" t="s">
        <v>26</v>
      </c>
      <c r="K29" t="s">
        <v>38</v>
      </c>
    </row>
    <row r="30" spans="2:11" x14ac:dyDescent="0.2">
      <c r="I30" t="s">
        <v>27</v>
      </c>
      <c r="K30" t="s">
        <v>39</v>
      </c>
    </row>
    <row r="31" spans="2:11" x14ac:dyDescent="0.2">
      <c r="I31" t="s">
        <v>28</v>
      </c>
    </row>
    <row r="32" spans="2:11" x14ac:dyDescent="0.2">
      <c r="I32" t="s">
        <v>29</v>
      </c>
      <c r="K32" t="s">
        <v>40</v>
      </c>
    </row>
    <row r="33" spans="1:15" x14ac:dyDescent="0.2">
      <c r="I33" t="s">
        <v>30</v>
      </c>
      <c r="K33" t="s">
        <v>41</v>
      </c>
    </row>
    <row r="35" spans="1:15" x14ac:dyDescent="0.2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</row>
    <row r="36" spans="1:15" x14ac:dyDescent="0.2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</row>
    <row r="39" spans="1:15" x14ac:dyDescent="0.2">
      <c r="B39" s="6" t="s">
        <v>5</v>
      </c>
      <c r="C39" s="7" t="s">
        <v>6</v>
      </c>
      <c r="D39" s="8" t="s">
        <v>7</v>
      </c>
    </row>
    <row r="40" spans="1:15" x14ac:dyDescent="0.2">
      <c r="B40" s="4" t="s">
        <v>8</v>
      </c>
      <c r="C40" s="1">
        <v>4000</v>
      </c>
      <c r="D40" s="5">
        <v>17</v>
      </c>
    </row>
    <row r="41" spans="1:15" x14ac:dyDescent="0.2">
      <c r="B41" s="4" t="s">
        <v>9</v>
      </c>
      <c r="C41" s="1">
        <v>5600</v>
      </c>
      <c r="D41" s="5">
        <v>18</v>
      </c>
      <c r="G41" t="s">
        <v>33</v>
      </c>
    </row>
    <row r="42" spans="1:15" x14ac:dyDescent="0.2">
      <c r="B42" s="4" t="s">
        <v>10</v>
      </c>
      <c r="C42" s="1">
        <v>9700</v>
      </c>
      <c r="D42" s="5">
        <v>19</v>
      </c>
    </row>
    <row r="43" spans="1:15" x14ac:dyDescent="0.2">
      <c r="B43" s="4" t="s">
        <v>11</v>
      </c>
      <c r="C43" s="1">
        <v>4000</v>
      </c>
      <c r="D43" s="5">
        <v>20</v>
      </c>
    </row>
    <row r="44" spans="1:15" x14ac:dyDescent="0.2">
      <c r="B44" s="4" t="s">
        <v>8</v>
      </c>
      <c r="C44" s="1">
        <v>8000</v>
      </c>
      <c r="D44" s="5">
        <v>21</v>
      </c>
    </row>
    <row r="45" spans="1:15" x14ac:dyDescent="0.2">
      <c r="B45" s="4" t="s">
        <v>9</v>
      </c>
      <c r="C45" s="1">
        <v>9000</v>
      </c>
      <c r="D45" s="5">
        <v>17</v>
      </c>
    </row>
    <row r="46" spans="1:15" x14ac:dyDescent="0.2">
      <c r="B46" s="4" t="s">
        <v>10</v>
      </c>
      <c r="C46" s="1">
        <v>15000</v>
      </c>
      <c r="D46" s="5">
        <v>18</v>
      </c>
    </row>
    <row r="47" spans="1:15" x14ac:dyDescent="0.2">
      <c r="B47" s="4" t="s">
        <v>8</v>
      </c>
      <c r="C47" s="1">
        <v>34000</v>
      </c>
      <c r="D47" s="5">
        <v>16</v>
      </c>
    </row>
    <row r="48" spans="1:15" x14ac:dyDescent="0.2">
      <c r="B48" s="4" t="s">
        <v>12</v>
      </c>
      <c r="C48" s="1">
        <v>9000</v>
      </c>
      <c r="D48" s="5">
        <v>20</v>
      </c>
      <c r="I48" t="s">
        <v>17</v>
      </c>
      <c r="K48" t="s">
        <v>20</v>
      </c>
    </row>
    <row r="49" spans="2:11" x14ac:dyDescent="0.2">
      <c r="B49" s="9" t="s">
        <v>8</v>
      </c>
      <c r="C49" s="10">
        <v>9000</v>
      </c>
      <c r="D49" s="11">
        <v>24</v>
      </c>
      <c r="I49" t="s">
        <v>18</v>
      </c>
      <c r="K49" t="s">
        <v>21</v>
      </c>
    </row>
    <row r="50" spans="2:11" x14ac:dyDescent="0.2">
      <c r="I50" t="s">
        <v>35</v>
      </c>
      <c r="K50" t="s">
        <v>36</v>
      </c>
    </row>
    <row r="52" spans="2:11" x14ac:dyDescent="0.2">
      <c r="B52" t="s">
        <v>32</v>
      </c>
    </row>
    <row r="53" spans="2:11" x14ac:dyDescent="0.2">
      <c r="B53">
        <f>AVERAGEIF(salary_data[STATE],"UP",salary_data[Salary])</f>
        <v>7300</v>
      </c>
    </row>
    <row r="54" spans="2:11" x14ac:dyDescent="0.2">
      <c r="B54" t="str">
        <f ca="1">_xlfn.FORMULATEXT(B53)</f>
        <v>=AVERAGEIF(salary_data[STATE],"UP",salary_data[Salary])</v>
      </c>
    </row>
    <row r="57" spans="2:11" x14ac:dyDescent="0.2">
      <c r="B57" t="s">
        <v>34</v>
      </c>
      <c r="I57" t="s">
        <v>35</v>
      </c>
      <c r="K57" t="s">
        <v>37</v>
      </c>
    </row>
    <row r="58" spans="2:11" x14ac:dyDescent="0.2">
      <c r="B58">
        <f>AVERAGEIF(salary_data3[AGE],"&lt;=22")</f>
        <v>18.444444444444443</v>
      </c>
    </row>
    <row r="59" spans="2:11" x14ac:dyDescent="0.2">
      <c r="B59" t="str">
        <f ca="1">_xlfn.FORMULATEXT(B58)</f>
        <v>=AVERAGEIF(salary_data3[AGE],"&lt;=22")</v>
      </c>
      <c r="I59" t="s">
        <v>26</v>
      </c>
      <c r="K59" t="s">
        <v>38</v>
      </c>
    </row>
    <row r="60" spans="2:11" x14ac:dyDescent="0.2">
      <c r="I60" t="s">
        <v>27</v>
      </c>
      <c r="K60" t="s">
        <v>39</v>
      </c>
    </row>
    <row r="61" spans="2:11" x14ac:dyDescent="0.2">
      <c r="I61" t="s">
        <v>28</v>
      </c>
    </row>
    <row r="62" spans="2:11" x14ac:dyDescent="0.2">
      <c r="I62" t="s">
        <v>29</v>
      </c>
      <c r="K62" t="s">
        <v>40</v>
      </c>
    </row>
    <row r="63" spans="2:11" x14ac:dyDescent="0.2">
      <c r="I63" t="s">
        <v>30</v>
      </c>
      <c r="K63" t="s">
        <v>41</v>
      </c>
    </row>
    <row r="67" spans="1:16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9" spans="1:16" x14ac:dyDescent="0.2">
      <c r="B69" s="20" t="s">
        <v>42</v>
      </c>
      <c r="C69" s="21"/>
    </row>
    <row r="70" spans="1:16" x14ac:dyDescent="0.2">
      <c r="B70" s="21"/>
      <c r="C70" s="21"/>
      <c r="E70" t="s">
        <v>51</v>
      </c>
    </row>
    <row r="71" spans="1:16" x14ac:dyDescent="0.2">
      <c r="E71" t="s">
        <v>46</v>
      </c>
    </row>
    <row r="73" spans="1:16" x14ac:dyDescent="0.2">
      <c r="C73">
        <v>2</v>
      </c>
      <c r="D73">
        <v>4</v>
      </c>
      <c r="E73">
        <v>-6</v>
      </c>
    </row>
    <row r="75" spans="1:16" x14ac:dyDescent="0.2">
      <c r="C75" t="s">
        <v>47</v>
      </c>
      <c r="D75" t="s">
        <v>48</v>
      </c>
      <c r="E75" t="s">
        <v>49</v>
      </c>
      <c r="F75" t="s">
        <v>50</v>
      </c>
    </row>
    <row r="76" spans="1:16" x14ac:dyDescent="0.2">
      <c r="C76">
        <v>12</v>
      </c>
      <c r="D76">
        <v>22</v>
      </c>
      <c r="E76">
        <v>15</v>
      </c>
      <c r="F76">
        <f xml:space="preserve"> 2*C76 + 4*D76 - 6*E76</f>
        <v>22</v>
      </c>
      <c r="G76" t="str">
        <f ca="1">_xlfn.FORMULATEXT(F76)</f>
        <v>= 2*C76 + 4*D76 - 6*E76</v>
      </c>
    </row>
    <row r="77" spans="1:16" x14ac:dyDescent="0.2">
      <c r="F77">
        <f>SUMPRODUCT(C73:E73,C76:E76)</f>
        <v>22</v>
      </c>
      <c r="G77" t="str">
        <f ca="1">_xlfn.FORMULATEXT(F77)</f>
        <v>=SUMPRODUCT(C73:E73,C76:E76)</v>
      </c>
    </row>
    <row r="82" spans="1:13" x14ac:dyDescent="0.2">
      <c r="C82" s="15" t="s">
        <v>52</v>
      </c>
      <c r="D82" s="16" t="s">
        <v>53</v>
      </c>
      <c r="E82" s="16" t="s">
        <v>54</v>
      </c>
      <c r="F82" s="17" t="s">
        <v>55</v>
      </c>
    </row>
    <row r="83" spans="1:13" x14ac:dyDescent="0.2">
      <c r="C83">
        <v>2</v>
      </c>
      <c r="D83">
        <v>30</v>
      </c>
      <c r="E83" s="18">
        <v>0.05</v>
      </c>
      <c r="F83">
        <f>C83*D83*(1-E83)</f>
        <v>57</v>
      </c>
    </row>
    <row r="84" spans="1:13" x14ac:dyDescent="0.2">
      <c r="C84">
        <v>4</v>
      </c>
      <c r="D84">
        <v>100</v>
      </c>
      <c r="E84" s="18">
        <v>0</v>
      </c>
      <c r="F84">
        <f>C84*D84*(1-E84)</f>
        <v>400</v>
      </c>
    </row>
    <row r="85" spans="1:13" x14ac:dyDescent="0.2">
      <c r="C85">
        <v>5</v>
      </c>
      <c r="D85">
        <v>320</v>
      </c>
      <c r="E85" s="18">
        <v>0.1</v>
      </c>
      <c r="F85">
        <f>C85*D85*(1-E85)</f>
        <v>1440</v>
      </c>
    </row>
    <row r="86" spans="1:13" x14ac:dyDescent="0.2">
      <c r="C86">
        <v>8</v>
      </c>
      <c r="D86">
        <v>20</v>
      </c>
      <c r="E86" s="18">
        <v>0.15</v>
      </c>
      <c r="F86">
        <f>C86*D86*(1-E86)</f>
        <v>136</v>
      </c>
    </row>
    <row r="87" spans="1:13" x14ac:dyDescent="0.2">
      <c r="C87">
        <v>10</v>
      </c>
      <c r="D87">
        <v>450</v>
      </c>
      <c r="E87" s="18">
        <v>0</v>
      </c>
      <c r="F87">
        <f>C87*D87*(1-E87)</f>
        <v>4500</v>
      </c>
    </row>
    <row r="89" spans="1:13" x14ac:dyDescent="0.2">
      <c r="E89" t="s">
        <v>56</v>
      </c>
      <c r="F89">
        <f>SUM(F83:F87)</f>
        <v>6533</v>
      </c>
      <c r="G89" t="str">
        <f ca="1">_xlfn.FORMULATEXT(F89)</f>
        <v>=SUM(F83:F87)</v>
      </c>
    </row>
    <row r="91" spans="1:13" x14ac:dyDescent="0.2">
      <c r="F91" cm="1">
        <f t="array" ref="F91">SUMPRODUCT(C83:C87,D83:D87,1-E83:E87)</f>
        <v>6533</v>
      </c>
      <c r="G91" t="str">
        <f ca="1">_xlfn.FORMULATEXT(F91)</f>
        <v>=SUMPRODUCT(C83:C87,D83:D87,1-E83:E87)</v>
      </c>
    </row>
    <row r="94" spans="1:13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</row>
    <row r="96" spans="1:13" x14ac:dyDescent="0.2">
      <c r="B96" s="20" t="s">
        <v>57</v>
      </c>
      <c r="C96" s="21"/>
      <c r="G96" s="18"/>
    </row>
    <row r="97" spans="1:13" x14ac:dyDescent="0.2">
      <c r="B97" s="21"/>
      <c r="C97" s="21"/>
      <c r="G97" s="18"/>
    </row>
    <row r="98" spans="1:13" x14ac:dyDescent="0.2">
      <c r="G98" s="18"/>
    </row>
    <row r="99" spans="1:13" x14ac:dyDescent="0.2">
      <c r="B99">
        <v>30</v>
      </c>
      <c r="D99" t="s">
        <v>58</v>
      </c>
      <c r="F99" t="s">
        <v>59</v>
      </c>
      <c r="G99" s="18"/>
    </row>
    <row r="100" spans="1:13" x14ac:dyDescent="0.2">
      <c r="B100">
        <v>100</v>
      </c>
      <c r="D100">
        <f>MAX(B99:B103)</f>
        <v>450</v>
      </c>
      <c r="F100">
        <f>MIN(B99:B103)</f>
        <v>20</v>
      </c>
      <c r="G100" s="18"/>
    </row>
    <row r="101" spans="1:13" x14ac:dyDescent="0.2">
      <c r="B101">
        <v>320</v>
      </c>
      <c r="D101" t="str">
        <f ca="1">_xlfn.FORMULATEXT(D100)</f>
        <v>=MAX(B99:B103)</v>
      </c>
      <c r="F101" t="str">
        <f ca="1">_xlfn.FORMULATEXT(F100)</f>
        <v>=MIN(B99:B103)</v>
      </c>
    </row>
    <row r="102" spans="1:13" x14ac:dyDescent="0.2">
      <c r="B102">
        <v>20</v>
      </c>
    </row>
    <row r="103" spans="1:13" x14ac:dyDescent="0.2">
      <c r="B103">
        <v>450</v>
      </c>
    </row>
    <row r="106" spans="1:13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</row>
    <row r="108" spans="1:13" x14ac:dyDescent="0.2">
      <c r="B108" s="22" t="s">
        <v>60</v>
      </c>
      <c r="C108" s="22"/>
    </row>
    <row r="109" spans="1:13" x14ac:dyDescent="0.2">
      <c r="B109" s="22"/>
      <c r="C109" s="22"/>
    </row>
    <row r="111" spans="1:13" x14ac:dyDescent="0.2">
      <c r="B111">
        <v>30</v>
      </c>
      <c r="D111" t="s">
        <v>61</v>
      </c>
      <c r="F111" t="s">
        <v>62</v>
      </c>
    </row>
    <row r="112" spans="1:13" x14ac:dyDescent="0.2">
      <c r="B112">
        <v>100</v>
      </c>
      <c r="D112">
        <f>LARGE(B111:B115,2)</f>
        <v>320</v>
      </c>
      <c r="F112">
        <f>SMALL(B111:B115,2)</f>
        <v>30</v>
      </c>
    </row>
    <row r="113" spans="1:13" x14ac:dyDescent="0.2">
      <c r="B113">
        <v>320</v>
      </c>
      <c r="D113" t="str">
        <f ca="1">_xlfn.FORMULATEXT(D112)</f>
        <v>=LARGE(B111:B115,2)</v>
      </c>
      <c r="F113" t="str">
        <f ca="1">_xlfn.FORMULATEXT(F112)</f>
        <v>=SMALL(B111:B115,2)</v>
      </c>
    </row>
    <row r="114" spans="1:13" x14ac:dyDescent="0.2">
      <c r="B114">
        <v>20</v>
      </c>
      <c r="D114" t="s">
        <v>63</v>
      </c>
      <c r="F114" t="s">
        <v>64</v>
      </c>
    </row>
    <row r="115" spans="1:13" x14ac:dyDescent="0.2">
      <c r="B115">
        <v>450</v>
      </c>
    </row>
    <row r="117" spans="1:13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</row>
    <row r="119" spans="1:13" x14ac:dyDescent="0.2">
      <c r="B119" s="23" t="s">
        <v>43</v>
      </c>
      <c r="C119" s="23"/>
    </row>
    <row r="120" spans="1:13" x14ac:dyDescent="0.2">
      <c r="B120" s="23"/>
      <c r="C120" s="23"/>
    </row>
    <row r="122" spans="1:13" x14ac:dyDescent="0.2">
      <c r="C122" s="12" t="s">
        <v>65</v>
      </c>
      <c r="D122" t="s">
        <v>66</v>
      </c>
    </row>
    <row r="123" spans="1:13" x14ac:dyDescent="0.2">
      <c r="B123">
        <v>30</v>
      </c>
      <c r="C123">
        <f>RANK(B123,$B$123:$B$127)</f>
        <v>4</v>
      </c>
      <c r="D123">
        <f>RANK(B123,$B$123:$B$127,1)</f>
        <v>2</v>
      </c>
    </row>
    <row r="124" spans="1:13" x14ac:dyDescent="0.2">
      <c r="B124">
        <v>100</v>
      </c>
      <c r="C124">
        <f>RANK(B124,$B$123:$B$127)</f>
        <v>3</v>
      </c>
      <c r="D124">
        <f>RANK(B124,$B$123:$B$127,1)</f>
        <v>3</v>
      </c>
    </row>
    <row r="125" spans="1:13" x14ac:dyDescent="0.2">
      <c r="B125">
        <v>320</v>
      </c>
      <c r="C125">
        <f>RANK(B125,$B$123:$B$127)</f>
        <v>2</v>
      </c>
      <c r="D125">
        <f>RANK(B125,$B$123:$B$127,1)</f>
        <v>4</v>
      </c>
    </row>
    <row r="126" spans="1:13" x14ac:dyDescent="0.2">
      <c r="B126">
        <v>20</v>
      </c>
      <c r="C126">
        <f>RANK(B126,$B$123:$B$127)</f>
        <v>5</v>
      </c>
      <c r="D126">
        <f>RANK(B126,$B$123:$B$127,1)</f>
        <v>1</v>
      </c>
    </row>
    <row r="127" spans="1:13" x14ac:dyDescent="0.2">
      <c r="B127">
        <v>450</v>
      </c>
      <c r="C127">
        <f>RANK(B127,$B$123:$B$127)</f>
        <v>1</v>
      </c>
      <c r="D127">
        <f>RANK(B127,$B$123:$B$127,1)</f>
        <v>5</v>
      </c>
    </row>
    <row r="130" spans="1:13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</row>
    <row r="133" spans="1:13" x14ac:dyDescent="0.2">
      <c r="B133" s="24" t="s">
        <v>67</v>
      </c>
      <c r="C133" s="21"/>
    </row>
    <row r="134" spans="1:13" x14ac:dyDescent="0.2">
      <c r="B134" s="21"/>
      <c r="C134" s="21"/>
    </row>
    <row r="137" spans="1:13" x14ac:dyDescent="0.2">
      <c r="H137" t="str">
        <f ca="1">_xlfn.FORMULATEXT(H139)</f>
        <v>=FILTER(C138:E147,C138:C147="MH")</v>
      </c>
    </row>
    <row r="138" spans="1:13" x14ac:dyDescent="0.2">
      <c r="C138" t="s">
        <v>8</v>
      </c>
      <c r="D138">
        <v>4000</v>
      </c>
      <c r="E138">
        <v>17</v>
      </c>
    </row>
    <row r="139" spans="1:13" x14ac:dyDescent="0.2">
      <c r="C139" t="s">
        <v>9</v>
      </c>
      <c r="D139">
        <v>5600</v>
      </c>
      <c r="E139">
        <v>18</v>
      </c>
      <c r="H139" t="str" cm="1">
        <f t="array" ref="H139:J142">_xlfn._xlws.FILTER(C138:E147,C138:C147="MH")</f>
        <v>MH</v>
      </c>
      <c r="I139">
        <v>4000</v>
      </c>
      <c r="J139">
        <v>17</v>
      </c>
    </row>
    <row r="140" spans="1:13" x14ac:dyDescent="0.2">
      <c r="C140" t="s">
        <v>10</v>
      </c>
      <c r="D140">
        <v>9700</v>
      </c>
      <c r="E140">
        <v>19</v>
      </c>
      <c r="H140" t="str">
        <v>MH</v>
      </c>
      <c r="I140">
        <v>8000</v>
      </c>
      <c r="J140">
        <v>21</v>
      </c>
    </row>
    <row r="141" spans="1:13" x14ac:dyDescent="0.2">
      <c r="C141" t="s">
        <v>11</v>
      </c>
      <c r="D141">
        <v>4000</v>
      </c>
      <c r="E141">
        <v>20</v>
      </c>
      <c r="H141" t="str">
        <v>MH</v>
      </c>
      <c r="I141">
        <v>34000</v>
      </c>
      <c r="J141">
        <v>16</v>
      </c>
    </row>
    <row r="142" spans="1:13" x14ac:dyDescent="0.2">
      <c r="C142" t="s">
        <v>8</v>
      </c>
      <c r="D142">
        <v>8000</v>
      </c>
      <c r="E142">
        <v>21</v>
      </c>
      <c r="H142" t="str">
        <v>MH</v>
      </c>
      <c r="I142">
        <v>9000</v>
      </c>
      <c r="J142">
        <v>24</v>
      </c>
    </row>
    <row r="143" spans="1:13" x14ac:dyDescent="0.2">
      <c r="C143" t="s">
        <v>9</v>
      </c>
      <c r="D143">
        <v>9000</v>
      </c>
      <c r="E143">
        <v>17</v>
      </c>
    </row>
    <row r="144" spans="1:13" x14ac:dyDescent="0.2">
      <c r="C144" t="s">
        <v>10</v>
      </c>
      <c r="D144">
        <v>15000</v>
      </c>
      <c r="E144">
        <v>18</v>
      </c>
    </row>
    <row r="145" spans="1:13" x14ac:dyDescent="0.2">
      <c r="C145" t="s">
        <v>8</v>
      </c>
      <c r="D145">
        <v>34000</v>
      </c>
      <c r="E145">
        <v>16</v>
      </c>
      <c r="H145">
        <f>MAX(I139:I142)</f>
        <v>34000</v>
      </c>
      <c r="I145" t="str">
        <f ca="1">_xlfn.FORMULATEXT(H145)</f>
        <v>=MAX(I139:I142)</v>
      </c>
    </row>
    <row r="146" spans="1:13" x14ac:dyDescent="0.2">
      <c r="C146" t="s">
        <v>12</v>
      </c>
      <c r="D146">
        <v>9000</v>
      </c>
      <c r="E146">
        <v>20</v>
      </c>
    </row>
    <row r="147" spans="1:13" x14ac:dyDescent="0.2">
      <c r="C147" t="s">
        <v>8</v>
      </c>
      <c r="D147">
        <v>9000</v>
      </c>
      <c r="E147">
        <v>24</v>
      </c>
    </row>
    <row r="151" spans="1:13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</row>
    <row r="153" spans="1:13" ht="16" customHeight="1" x14ac:dyDescent="0.2">
      <c r="B153" s="19" t="s">
        <v>68</v>
      </c>
      <c r="C153" s="19"/>
      <c r="D153" s="19"/>
      <c r="E153" s="19"/>
    </row>
    <row r="154" spans="1:13" x14ac:dyDescent="0.2">
      <c r="B154" s="19"/>
      <c r="C154" s="19"/>
      <c r="D154" s="19"/>
      <c r="E154" s="19"/>
    </row>
    <row r="158" spans="1:13" x14ac:dyDescent="0.2">
      <c r="C158" t="str" cm="1">
        <f t="array" ref="C158:E161">_xlfn._xlws.FILTER(C138:E147,C138:C147="MH")</f>
        <v>MH</v>
      </c>
      <c r="D158">
        <v>4000</v>
      </c>
      <c r="E158">
        <v>17</v>
      </c>
      <c r="G158" cm="1">
        <f t="array" ref="G158">MAX(_xlfn.CHOOSECOLS(_xlfn._xlws.FILTER(C138:E147,C138:C147="MH"),{2}))</f>
        <v>34000</v>
      </c>
    </row>
    <row r="159" spans="1:13" x14ac:dyDescent="0.2">
      <c r="C159" t="str">
        <v>MH</v>
      </c>
      <c r="D159">
        <v>8000</v>
      </c>
      <c r="E159">
        <v>21</v>
      </c>
    </row>
    <row r="160" spans="1:13" x14ac:dyDescent="0.2">
      <c r="C160" t="str">
        <v>MH</v>
      </c>
      <c r="D160">
        <v>34000</v>
      </c>
      <c r="E160">
        <v>16</v>
      </c>
      <c r="G160" t="str">
        <f ca="1">_xlfn.FORMULATEXT(G158)</f>
        <v>=MAX(CHOOSECOLS(FILTER(C138:E147,C138:C147="MH"),{2}))</v>
      </c>
    </row>
    <row r="161" spans="3:5" x14ac:dyDescent="0.2">
      <c r="C161" t="str">
        <v>MH</v>
      </c>
      <c r="D161">
        <v>9000</v>
      </c>
      <c r="E161">
        <v>24</v>
      </c>
    </row>
    <row r="165" spans="3:5" x14ac:dyDescent="0.2">
      <c r="C165" t="str" cm="1">
        <f t="array" ref="C165:E168">_xlfn.CHOOSEROWS(C138:E147,{1,7,3,5})</f>
        <v>MH</v>
      </c>
      <c r="D165">
        <v>4000</v>
      </c>
      <c r="E165">
        <v>17</v>
      </c>
    </row>
    <row r="166" spans="3:5" x14ac:dyDescent="0.2">
      <c r="C166" t="str">
        <v>BH</v>
      </c>
      <c r="D166">
        <v>15000</v>
      </c>
      <c r="E166">
        <v>18</v>
      </c>
    </row>
    <row r="167" spans="3:5" x14ac:dyDescent="0.2">
      <c r="C167" t="str">
        <v>BH</v>
      </c>
      <c r="D167">
        <v>9700</v>
      </c>
      <c r="E167">
        <v>19</v>
      </c>
    </row>
    <row r="168" spans="3:5" x14ac:dyDescent="0.2">
      <c r="C168" t="str">
        <v>MH</v>
      </c>
      <c r="D168">
        <v>8000</v>
      </c>
      <c r="E168">
        <v>21</v>
      </c>
    </row>
  </sheetData>
  <mergeCells count="6">
    <mergeCell ref="B153:E154"/>
    <mergeCell ref="B69:C70"/>
    <mergeCell ref="B96:C97"/>
    <mergeCell ref="B108:C109"/>
    <mergeCell ref="B119:C120"/>
    <mergeCell ref="B133:C134"/>
  </mergeCell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2026-05-16T15:35:09Z</dcterms:created>
  <dcterms:modified xsi:type="dcterms:W3CDTF">2026-05-22T13:36:58Z</dcterms:modified>
</cp:coreProperties>
</file>