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ink/ink195.xml" ContentType="application/inkml+xml"/>
  <Override PartName="/xl/ink/ink196.xml" ContentType="application/inkml+xml"/>
  <Override PartName="/xl/ink/ink197.xml" ContentType="application/inkml+xml"/>
  <Override PartName="/xl/ink/ink198.xml" ContentType="application/inkml+xml"/>
  <Override PartName="/xl/ink/ink199.xml" ContentType="application/inkml+xml"/>
  <Override PartName="/xl/ink/ink200.xml" ContentType="application/inkml+xml"/>
  <Override PartName="/xl/ink/ink201.xml" ContentType="application/inkml+xml"/>
  <Override PartName="/xl/ink/ink202.xml" ContentType="application/inkml+xml"/>
  <Override PartName="/xl/ink/ink203.xml" ContentType="application/inkml+xml"/>
  <Override PartName="/xl/ink/ink204.xml" ContentType="application/inkml+xml"/>
  <Override PartName="/xl/ink/ink205.xml" ContentType="application/inkml+xml"/>
  <Override PartName="/xl/ink/ink206.xml" ContentType="application/inkml+xml"/>
  <Override PartName="/xl/ink/ink207.xml" ContentType="application/inkml+xml"/>
  <Override PartName="/xl/ink/ink208.xml" ContentType="application/inkml+xml"/>
  <Override PartName="/xl/ink/ink209.xml" ContentType="application/inkml+xml"/>
  <Override PartName="/xl/ink/ink210.xml" ContentType="application/inkml+xml"/>
  <Override PartName="/xl/ink/ink211.xml" ContentType="application/inkml+xml"/>
  <Override PartName="/xl/ink/ink212.xml" ContentType="application/inkml+xml"/>
  <Override PartName="/xl/ink/ink213.xml" ContentType="application/inkml+xml"/>
  <Override PartName="/xl/ink/ink214.xml" ContentType="application/inkml+xml"/>
  <Override PartName="/xl/ink/ink215.xml" ContentType="application/inkml+xml"/>
  <Override PartName="/xl/ink/ink216.xml" ContentType="application/inkml+xml"/>
  <Override PartName="/xl/ink/ink217.xml" ContentType="application/inkml+xml"/>
  <Override PartName="/xl/ink/ink218.xml" ContentType="application/inkml+xml"/>
  <Override PartName="/xl/drawings/drawing2.xml" ContentType="application/vnd.openxmlformats-officedocument.drawing+xml"/>
  <Override PartName="/xl/ink/ink219.xml" ContentType="application/inkml+xml"/>
  <Override PartName="/xl/ink/ink220.xml" ContentType="application/inkml+xml"/>
  <Override PartName="/xl/ink/ink221.xml" ContentType="application/inkml+xml"/>
  <Override PartName="/xl/ink/ink222.xml" ContentType="application/inkml+xml"/>
  <Override PartName="/xl/ink/ink223.xml" ContentType="application/inkml+xml"/>
  <Override PartName="/xl/ink/ink224.xml" ContentType="application/inkml+xml"/>
  <Override PartName="/xl/ink/ink225.xml" ContentType="application/inkml+xml"/>
  <Override PartName="/xl/ink/ink226.xml" ContentType="application/inkml+xml"/>
  <Override PartName="/xl/ink/ink227.xml" ContentType="application/inkml+xml"/>
  <Override PartName="/xl/ink/ink228.xml" ContentType="application/inkml+xml"/>
  <Override PartName="/xl/ink/ink229.xml" ContentType="application/inkml+xml"/>
  <Override PartName="/xl/ink/ink230.xml" ContentType="application/inkml+xml"/>
  <Override PartName="/xl/ink/ink231.xml" ContentType="application/inkml+xml"/>
  <Override PartName="/xl/ink/ink232.xml" ContentType="application/inkml+xml"/>
  <Override PartName="/xl/ink/ink233.xml" ContentType="application/inkml+xml"/>
  <Override PartName="/xl/ink/ink234.xml" ContentType="application/inkml+xml"/>
  <Override PartName="/xl/ink/ink235.xml" ContentType="application/inkml+xml"/>
  <Override PartName="/xl/ink/ink236.xml" ContentType="application/inkml+xml"/>
  <Override PartName="/xl/ink/ink237.xml" ContentType="application/inkml+xml"/>
  <Override PartName="/xl/ink/ink238.xml" ContentType="application/inkml+xml"/>
  <Override PartName="/xl/ink/ink239.xml" ContentType="application/inkml+xml"/>
  <Override PartName="/xl/ink/ink240.xml" ContentType="application/inkml+xml"/>
  <Override PartName="/xl/ink/ink24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372D276C-8155-FE4F-957F-35EE5C1F8E0E}" xr6:coauthVersionLast="47" xr6:coauthVersionMax="47" xr10:uidLastSave="{00000000-0000-0000-0000-000000000000}"/>
  <bookViews>
    <workbookView xWindow="380" yWindow="500" windowWidth="28040" windowHeight="16940" activeTab="2" xr2:uid="{E3A03DAF-CB68-EB4B-8DC5-514B5210BE30}"/>
  </bookViews>
  <sheets>
    <sheet name="Sheet1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3" l="1"/>
  <c r="K114" i="1"/>
  <c r="K112" i="1"/>
  <c r="C88" i="1"/>
  <c r="C91" i="1"/>
  <c r="C86" i="1"/>
  <c r="C93" i="1"/>
  <c r="B93" i="1"/>
  <c r="B91" i="1"/>
  <c r="J79" i="1"/>
  <c r="B86" i="1"/>
  <c r="C84" i="1"/>
  <c r="B84" i="1"/>
  <c r="C10" i="2"/>
  <c r="C28" i="2"/>
  <c r="E28" i="2"/>
  <c r="E24" i="2"/>
  <c r="D24" i="2"/>
  <c r="E26" i="2"/>
  <c r="D26" i="2"/>
  <c r="E19" i="2"/>
  <c r="E17" i="2"/>
  <c r="F17" i="2"/>
  <c r="D17" i="2"/>
  <c r="F19" i="2"/>
  <c r="F18" i="2"/>
  <c r="E18" i="2"/>
  <c r="D16" i="2"/>
  <c r="D20" i="2"/>
  <c r="D19" i="2"/>
  <c r="D18" i="2"/>
  <c r="B13" i="2"/>
  <c r="D5" i="2"/>
  <c r="D4" i="2"/>
  <c r="D3" i="2"/>
  <c r="D2" i="2"/>
  <c r="D1" i="2"/>
  <c r="F38" i="1"/>
  <c r="F33" i="1"/>
  <c r="D6" i="2" l="1"/>
  <c r="D21" i="2"/>
  <c r="H34" i="1"/>
  <c r="H40" i="1" s="1"/>
  <c r="H37" i="1" l="1"/>
</calcChain>
</file>

<file path=xl/sharedStrings.xml><?xml version="1.0" encoding="utf-8"?>
<sst xmlns="http://schemas.openxmlformats.org/spreadsheetml/2006/main" count="63" uniqueCount="54">
  <si>
    <t>MEAN</t>
  </si>
  <si>
    <t>MEDIAN</t>
  </si>
  <si>
    <t>MODE</t>
  </si>
  <si>
    <t>OUTLIER</t>
  </si>
  <si>
    <t>IQR</t>
  </si>
  <si>
    <t>Q3</t>
  </si>
  <si>
    <t>Q1</t>
  </si>
  <si>
    <t>smaller than</t>
  </si>
  <si>
    <t>greater than</t>
  </si>
  <si>
    <t>Min</t>
  </si>
  <si>
    <t>Max</t>
  </si>
  <si>
    <t>Q1 (25%ile)</t>
  </si>
  <si>
    <t>Q2 50%ile</t>
  </si>
  <si>
    <t>Q3 75%ile</t>
  </si>
  <si>
    <t>QUARTILE</t>
  </si>
  <si>
    <t>to find particular Qurtile , 0 - mIn, 1 - Q1 (25%ile)….3-Q3(75%ile).. 4- MAX (100%ile)</t>
  </si>
  <si>
    <t>Percentile</t>
  </si>
  <si>
    <t>To find value at particular %ile ( general form of QURATILE)</t>
  </si>
  <si>
    <t>QUARTILE EXC</t>
  </si>
  <si>
    <t>QUARTILE INC</t>
  </si>
  <si>
    <t>EXCLUSIVE</t>
  </si>
  <si>
    <t>INCLUSIVE</t>
  </si>
  <si>
    <t xml:space="preserve">it is excluding value at 0 and 1 </t>
  </si>
  <si>
    <t xml:space="preserve">it is Including value at 0 and 1 </t>
  </si>
  <si>
    <t>INC</t>
  </si>
  <si>
    <t>PERCENTILE EXC</t>
  </si>
  <si>
    <t>PERCENTILE INC</t>
  </si>
  <si>
    <t>it is excluding value at 0 (0%ile) and 1 (100%ile)</t>
  </si>
  <si>
    <t>22??</t>
  </si>
  <si>
    <t>RANK</t>
  </si>
  <si>
    <t>RANK OF NUMBER IN AN ARRAY ( by default Desc Order Rank)</t>
  </si>
  <si>
    <t>23???</t>
  </si>
  <si>
    <t>LARGE</t>
  </si>
  <si>
    <t>Kth Largest VALUE</t>
  </si>
  <si>
    <t>SMALL</t>
  </si>
  <si>
    <t>Kth Smallest VALUE</t>
  </si>
  <si>
    <t>VARIANCE??</t>
  </si>
  <si>
    <t>Variance</t>
  </si>
  <si>
    <t>METRIC to measure the variaty / change in dataset, SPREAD of dataset</t>
  </si>
  <si>
    <t>Standard Dev</t>
  </si>
  <si>
    <t>Sqrt of VARiance ( in the same UNIT as the original DATA)</t>
  </si>
  <si>
    <t>Central limit Theorem, Weak law of Large Numbers, Chebhsev Inequality</t>
  </si>
  <si>
    <t>POPULATION AND SAMPLE??</t>
  </si>
  <si>
    <t xml:space="preserve">.p </t>
  </si>
  <si>
    <t>refers POPULATION</t>
  </si>
  <si>
    <t>.s</t>
  </si>
  <si>
    <t>refers SAMPLES</t>
  </si>
  <si>
    <t xml:space="preserve">SAMPLE </t>
  </si>
  <si>
    <t>we have (n-1) in Denm of VARIANCE</t>
  </si>
  <si>
    <t>POP</t>
  </si>
  <si>
    <t>we have (n) in Denm of VARIANCE</t>
  </si>
  <si>
    <t>HIGHER than POP</t>
  </si>
  <si>
    <t>LOWER than POP</t>
  </si>
  <si>
    <t>Higher becoz accomodates unseen value from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</si>
</sst>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9.xml"/><Relationship Id="rId299" Type="http://schemas.openxmlformats.org/officeDocument/2006/relationships/customXml" Target="../ink/ink150.xml"/><Relationship Id="rId21" Type="http://schemas.openxmlformats.org/officeDocument/2006/relationships/customXml" Target="../ink/ink11.xml"/><Relationship Id="rId63" Type="http://schemas.openxmlformats.org/officeDocument/2006/relationships/customXml" Target="../ink/ink32.xml"/><Relationship Id="rId159" Type="http://schemas.openxmlformats.org/officeDocument/2006/relationships/customXml" Target="../ink/ink80.xml"/><Relationship Id="rId324" Type="http://schemas.openxmlformats.org/officeDocument/2006/relationships/image" Target="../media/image162.png"/><Relationship Id="rId366" Type="http://schemas.openxmlformats.org/officeDocument/2006/relationships/image" Target="../media/image183.png"/><Relationship Id="rId170" Type="http://schemas.openxmlformats.org/officeDocument/2006/relationships/image" Target="../media/image85.png"/><Relationship Id="rId226" Type="http://schemas.openxmlformats.org/officeDocument/2006/relationships/image" Target="../media/image113.png"/><Relationship Id="rId433" Type="http://schemas.openxmlformats.org/officeDocument/2006/relationships/customXml" Target="../ink/ink217.xml"/><Relationship Id="rId268" Type="http://schemas.openxmlformats.org/officeDocument/2006/relationships/image" Target="../media/image134.png"/><Relationship Id="rId32" Type="http://schemas.openxmlformats.org/officeDocument/2006/relationships/image" Target="../media/image16.png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335" Type="http://schemas.openxmlformats.org/officeDocument/2006/relationships/customXml" Target="../ink/ink168.xml"/><Relationship Id="rId377" Type="http://schemas.openxmlformats.org/officeDocument/2006/relationships/customXml" Target="../ink/ink189.xml"/><Relationship Id="rId5" Type="http://schemas.openxmlformats.org/officeDocument/2006/relationships/customXml" Target="../ink/ink3.xml"/><Relationship Id="rId181" Type="http://schemas.openxmlformats.org/officeDocument/2006/relationships/customXml" Target="../ink/ink91.xml"/><Relationship Id="rId237" Type="http://schemas.openxmlformats.org/officeDocument/2006/relationships/customXml" Target="../ink/ink119.xml"/><Relationship Id="rId402" Type="http://schemas.openxmlformats.org/officeDocument/2006/relationships/image" Target="../media/image201.png"/><Relationship Id="rId279" Type="http://schemas.openxmlformats.org/officeDocument/2006/relationships/customXml" Target="../ink/ink140.xml"/><Relationship Id="rId43" Type="http://schemas.openxmlformats.org/officeDocument/2006/relationships/customXml" Target="../ink/ink22.xml"/><Relationship Id="rId139" Type="http://schemas.openxmlformats.org/officeDocument/2006/relationships/customXml" Target="../ink/ink70.xml"/><Relationship Id="rId290" Type="http://schemas.openxmlformats.org/officeDocument/2006/relationships/image" Target="../media/image145.png"/><Relationship Id="rId304" Type="http://schemas.openxmlformats.org/officeDocument/2006/relationships/image" Target="../media/image152.png"/><Relationship Id="rId346" Type="http://schemas.openxmlformats.org/officeDocument/2006/relationships/image" Target="../media/image173.png"/><Relationship Id="rId388" Type="http://schemas.openxmlformats.org/officeDocument/2006/relationships/image" Target="../media/image194.png"/><Relationship Id="rId85" Type="http://schemas.openxmlformats.org/officeDocument/2006/relationships/customXml" Target="../ink/ink43.xml"/><Relationship Id="rId150" Type="http://schemas.openxmlformats.org/officeDocument/2006/relationships/image" Target="../media/image75.png"/><Relationship Id="rId192" Type="http://schemas.openxmlformats.org/officeDocument/2006/relationships/image" Target="../media/image96.png"/><Relationship Id="rId206" Type="http://schemas.openxmlformats.org/officeDocument/2006/relationships/image" Target="../media/image103.png"/><Relationship Id="rId413" Type="http://schemas.openxmlformats.org/officeDocument/2006/relationships/customXml" Target="../ink/ink207.xml"/><Relationship Id="rId248" Type="http://schemas.openxmlformats.org/officeDocument/2006/relationships/image" Target="../media/image124.png"/><Relationship Id="rId12" Type="http://schemas.openxmlformats.org/officeDocument/2006/relationships/image" Target="../media/image6.png"/><Relationship Id="rId108" Type="http://schemas.openxmlformats.org/officeDocument/2006/relationships/image" Target="../media/image54.png"/><Relationship Id="rId315" Type="http://schemas.openxmlformats.org/officeDocument/2006/relationships/customXml" Target="../ink/ink158.xml"/><Relationship Id="rId357" Type="http://schemas.openxmlformats.org/officeDocument/2006/relationships/customXml" Target="../ink/ink179.xml"/><Relationship Id="rId54" Type="http://schemas.openxmlformats.org/officeDocument/2006/relationships/image" Target="../media/image27.png"/><Relationship Id="rId96" Type="http://schemas.openxmlformats.org/officeDocument/2006/relationships/image" Target="../media/image48.png"/><Relationship Id="rId161" Type="http://schemas.openxmlformats.org/officeDocument/2006/relationships/customXml" Target="../ink/ink81.xml"/><Relationship Id="rId217" Type="http://schemas.openxmlformats.org/officeDocument/2006/relationships/customXml" Target="../ink/ink109.xml"/><Relationship Id="rId399" Type="http://schemas.openxmlformats.org/officeDocument/2006/relationships/customXml" Target="../ink/ink200.xml"/><Relationship Id="rId259" Type="http://schemas.openxmlformats.org/officeDocument/2006/relationships/customXml" Target="../ink/ink130.xml"/><Relationship Id="rId424" Type="http://schemas.openxmlformats.org/officeDocument/2006/relationships/image" Target="../media/image212.png"/><Relationship Id="rId23" Type="http://schemas.openxmlformats.org/officeDocument/2006/relationships/customXml" Target="../ink/ink12.xml"/><Relationship Id="rId119" Type="http://schemas.openxmlformats.org/officeDocument/2006/relationships/customXml" Target="../ink/ink60.xml"/><Relationship Id="rId270" Type="http://schemas.openxmlformats.org/officeDocument/2006/relationships/image" Target="../media/image135.png"/><Relationship Id="rId326" Type="http://schemas.openxmlformats.org/officeDocument/2006/relationships/image" Target="../media/image163.png"/><Relationship Id="rId65" Type="http://schemas.openxmlformats.org/officeDocument/2006/relationships/customXml" Target="../ink/ink33.xml"/><Relationship Id="rId130" Type="http://schemas.openxmlformats.org/officeDocument/2006/relationships/image" Target="../media/image65.png"/><Relationship Id="rId368" Type="http://schemas.openxmlformats.org/officeDocument/2006/relationships/image" Target="../media/image184.png"/><Relationship Id="rId172" Type="http://schemas.openxmlformats.org/officeDocument/2006/relationships/image" Target="../media/image86.png"/><Relationship Id="rId228" Type="http://schemas.openxmlformats.org/officeDocument/2006/relationships/image" Target="../media/image114.png"/><Relationship Id="rId435" Type="http://schemas.openxmlformats.org/officeDocument/2006/relationships/customXml" Target="../ink/ink218.xml"/><Relationship Id="rId281" Type="http://schemas.openxmlformats.org/officeDocument/2006/relationships/customXml" Target="../ink/ink141.xml"/><Relationship Id="rId337" Type="http://schemas.openxmlformats.org/officeDocument/2006/relationships/customXml" Target="../ink/ink169.xml"/><Relationship Id="rId34" Type="http://schemas.openxmlformats.org/officeDocument/2006/relationships/image" Target="../media/image17.png"/><Relationship Id="rId76" Type="http://schemas.openxmlformats.org/officeDocument/2006/relationships/image" Target="../media/image38.png"/><Relationship Id="rId141" Type="http://schemas.openxmlformats.org/officeDocument/2006/relationships/customXml" Target="../ink/ink71.xml"/><Relationship Id="rId379" Type="http://schemas.openxmlformats.org/officeDocument/2006/relationships/customXml" Target="../ink/ink190.xml"/><Relationship Id="rId7" Type="http://schemas.openxmlformats.org/officeDocument/2006/relationships/customXml" Target="../ink/ink4.xml"/><Relationship Id="rId183" Type="http://schemas.openxmlformats.org/officeDocument/2006/relationships/customXml" Target="../ink/ink92.xml"/><Relationship Id="rId239" Type="http://schemas.openxmlformats.org/officeDocument/2006/relationships/customXml" Target="../ink/ink120.xml"/><Relationship Id="rId390" Type="http://schemas.openxmlformats.org/officeDocument/2006/relationships/image" Target="../media/image195.png"/><Relationship Id="rId404" Type="http://schemas.openxmlformats.org/officeDocument/2006/relationships/image" Target="../media/image202.png"/><Relationship Id="rId250" Type="http://schemas.openxmlformats.org/officeDocument/2006/relationships/image" Target="../media/image125.png"/><Relationship Id="rId292" Type="http://schemas.openxmlformats.org/officeDocument/2006/relationships/image" Target="../media/image146.png"/><Relationship Id="rId306" Type="http://schemas.openxmlformats.org/officeDocument/2006/relationships/image" Target="../media/image153.png"/><Relationship Id="rId45" Type="http://schemas.openxmlformats.org/officeDocument/2006/relationships/customXml" Target="../ink/ink23.xml"/><Relationship Id="rId87" Type="http://schemas.openxmlformats.org/officeDocument/2006/relationships/customXml" Target="../ink/ink44.xml"/><Relationship Id="rId110" Type="http://schemas.openxmlformats.org/officeDocument/2006/relationships/image" Target="../media/image55.png"/><Relationship Id="rId348" Type="http://schemas.openxmlformats.org/officeDocument/2006/relationships/image" Target="../media/image174.png"/><Relationship Id="rId152" Type="http://schemas.openxmlformats.org/officeDocument/2006/relationships/image" Target="../media/image76.png"/><Relationship Id="rId194" Type="http://schemas.openxmlformats.org/officeDocument/2006/relationships/image" Target="../media/image97.png"/><Relationship Id="rId208" Type="http://schemas.openxmlformats.org/officeDocument/2006/relationships/image" Target="../media/image104.png"/><Relationship Id="rId415" Type="http://schemas.openxmlformats.org/officeDocument/2006/relationships/customXml" Target="../ink/ink208.xml"/><Relationship Id="rId261" Type="http://schemas.openxmlformats.org/officeDocument/2006/relationships/customXml" Target="../ink/ink131.xml"/><Relationship Id="rId14" Type="http://schemas.openxmlformats.org/officeDocument/2006/relationships/image" Target="../media/image7.png"/><Relationship Id="rId56" Type="http://schemas.openxmlformats.org/officeDocument/2006/relationships/image" Target="../media/image28.png"/><Relationship Id="rId317" Type="http://schemas.openxmlformats.org/officeDocument/2006/relationships/customXml" Target="../ink/ink159.xml"/><Relationship Id="rId359" Type="http://schemas.openxmlformats.org/officeDocument/2006/relationships/customXml" Target="../ink/ink180.xml"/><Relationship Id="rId98" Type="http://schemas.openxmlformats.org/officeDocument/2006/relationships/image" Target="../media/image49.png"/><Relationship Id="rId121" Type="http://schemas.openxmlformats.org/officeDocument/2006/relationships/customXml" Target="../ink/ink61.xml"/><Relationship Id="rId163" Type="http://schemas.openxmlformats.org/officeDocument/2006/relationships/customXml" Target="../ink/ink82.xml"/><Relationship Id="rId219" Type="http://schemas.openxmlformats.org/officeDocument/2006/relationships/customXml" Target="../ink/ink110.xml"/><Relationship Id="rId370" Type="http://schemas.openxmlformats.org/officeDocument/2006/relationships/image" Target="../media/image185.png"/><Relationship Id="rId426" Type="http://schemas.openxmlformats.org/officeDocument/2006/relationships/image" Target="../media/image213.png"/><Relationship Id="rId230" Type="http://schemas.openxmlformats.org/officeDocument/2006/relationships/image" Target="../media/image115.png"/><Relationship Id="rId25" Type="http://schemas.openxmlformats.org/officeDocument/2006/relationships/customXml" Target="../ink/ink13.xml"/><Relationship Id="rId67" Type="http://schemas.openxmlformats.org/officeDocument/2006/relationships/customXml" Target="../ink/ink34.xml"/><Relationship Id="rId272" Type="http://schemas.openxmlformats.org/officeDocument/2006/relationships/image" Target="../media/image136.png"/><Relationship Id="rId328" Type="http://schemas.openxmlformats.org/officeDocument/2006/relationships/image" Target="../media/image164.png"/><Relationship Id="rId132" Type="http://schemas.openxmlformats.org/officeDocument/2006/relationships/image" Target="../media/image66.png"/><Relationship Id="rId174" Type="http://schemas.openxmlformats.org/officeDocument/2006/relationships/image" Target="../media/image87.png"/><Relationship Id="rId381" Type="http://schemas.openxmlformats.org/officeDocument/2006/relationships/customXml" Target="../ink/ink191.xml"/><Relationship Id="rId241" Type="http://schemas.openxmlformats.org/officeDocument/2006/relationships/customXml" Target="../ink/ink121.xml"/><Relationship Id="rId36" Type="http://schemas.openxmlformats.org/officeDocument/2006/relationships/image" Target="../media/image18.png"/><Relationship Id="rId283" Type="http://schemas.openxmlformats.org/officeDocument/2006/relationships/customXml" Target="../ink/ink142.xml"/><Relationship Id="rId339" Type="http://schemas.openxmlformats.org/officeDocument/2006/relationships/customXml" Target="../ink/ink170.xml"/><Relationship Id="rId78" Type="http://schemas.openxmlformats.org/officeDocument/2006/relationships/image" Target="../media/image39.png"/><Relationship Id="rId101" Type="http://schemas.openxmlformats.org/officeDocument/2006/relationships/customXml" Target="../ink/ink51.xml"/><Relationship Id="rId143" Type="http://schemas.openxmlformats.org/officeDocument/2006/relationships/customXml" Target="../ink/ink72.xml"/><Relationship Id="rId185" Type="http://schemas.openxmlformats.org/officeDocument/2006/relationships/customXml" Target="../ink/ink93.xml"/><Relationship Id="rId350" Type="http://schemas.openxmlformats.org/officeDocument/2006/relationships/image" Target="../media/image175.png"/><Relationship Id="rId406" Type="http://schemas.openxmlformats.org/officeDocument/2006/relationships/image" Target="../media/image203.png"/><Relationship Id="rId9" Type="http://schemas.openxmlformats.org/officeDocument/2006/relationships/customXml" Target="../ink/ink5.xml"/><Relationship Id="rId210" Type="http://schemas.openxmlformats.org/officeDocument/2006/relationships/image" Target="../media/image105.png"/><Relationship Id="rId392" Type="http://schemas.openxmlformats.org/officeDocument/2006/relationships/image" Target="../media/image196.png"/><Relationship Id="rId252" Type="http://schemas.openxmlformats.org/officeDocument/2006/relationships/image" Target="../media/image126.png"/><Relationship Id="rId294" Type="http://schemas.openxmlformats.org/officeDocument/2006/relationships/image" Target="../media/image147.png"/><Relationship Id="rId308" Type="http://schemas.openxmlformats.org/officeDocument/2006/relationships/image" Target="../media/image154.png"/><Relationship Id="rId47" Type="http://schemas.openxmlformats.org/officeDocument/2006/relationships/customXml" Target="../ink/ink24.xml"/><Relationship Id="rId89" Type="http://schemas.openxmlformats.org/officeDocument/2006/relationships/customXml" Target="../ink/ink45.xml"/><Relationship Id="rId112" Type="http://schemas.openxmlformats.org/officeDocument/2006/relationships/image" Target="../media/image56.png"/><Relationship Id="rId154" Type="http://schemas.openxmlformats.org/officeDocument/2006/relationships/image" Target="../media/image77.png"/><Relationship Id="rId361" Type="http://schemas.openxmlformats.org/officeDocument/2006/relationships/customXml" Target="../ink/ink181.xml"/><Relationship Id="rId196" Type="http://schemas.openxmlformats.org/officeDocument/2006/relationships/image" Target="../media/image98.png"/><Relationship Id="rId417" Type="http://schemas.openxmlformats.org/officeDocument/2006/relationships/customXml" Target="../ink/ink209.xml"/><Relationship Id="rId16" Type="http://schemas.openxmlformats.org/officeDocument/2006/relationships/image" Target="../media/image8.png"/><Relationship Id="rId221" Type="http://schemas.openxmlformats.org/officeDocument/2006/relationships/customXml" Target="../ink/ink111.xml"/><Relationship Id="rId263" Type="http://schemas.openxmlformats.org/officeDocument/2006/relationships/customXml" Target="../ink/ink132.xml"/><Relationship Id="rId319" Type="http://schemas.openxmlformats.org/officeDocument/2006/relationships/customXml" Target="../ink/ink160.xml"/><Relationship Id="rId58" Type="http://schemas.openxmlformats.org/officeDocument/2006/relationships/image" Target="../media/image29.png"/><Relationship Id="rId123" Type="http://schemas.openxmlformats.org/officeDocument/2006/relationships/customXml" Target="../ink/ink62.xml"/><Relationship Id="rId330" Type="http://schemas.openxmlformats.org/officeDocument/2006/relationships/image" Target="../media/image165.png"/><Relationship Id="rId165" Type="http://schemas.openxmlformats.org/officeDocument/2006/relationships/customXml" Target="../ink/ink83.xml"/><Relationship Id="rId372" Type="http://schemas.openxmlformats.org/officeDocument/2006/relationships/image" Target="../media/image186.png"/><Relationship Id="rId428" Type="http://schemas.openxmlformats.org/officeDocument/2006/relationships/image" Target="../media/image214.png"/><Relationship Id="rId232" Type="http://schemas.openxmlformats.org/officeDocument/2006/relationships/image" Target="../media/image116.png"/><Relationship Id="rId274" Type="http://schemas.openxmlformats.org/officeDocument/2006/relationships/image" Target="../media/image137.png"/><Relationship Id="rId27" Type="http://schemas.openxmlformats.org/officeDocument/2006/relationships/customXml" Target="../ink/ink14.xml"/><Relationship Id="rId69" Type="http://schemas.openxmlformats.org/officeDocument/2006/relationships/customXml" Target="../ink/ink35.xm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76" Type="http://schemas.openxmlformats.org/officeDocument/2006/relationships/image" Target="../media/image88.png"/><Relationship Id="rId341" Type="http://schemas.openxmlformats.org/officeDocument/2006/relationships/customXml" Target="../ink/ink171.xml"/><Relationship Id="rId383" Type="http://schemas.openxmlformats.org/officeDocument/2006/relationships/customXml" Target="../ink/ink192.xml"/><Relationship Id="rId201" Type="http://schemas.openxmlformats.org/officeDocument/2006/relationships/customXml" Target="../ink/ink101.xml"/><Relationship Id="rId243" Type="http://schemas.openxmlformats.org/officeDocument/2006/relationships/customXml" Target="../ink/ink122.xml"/><Relationship Id="rId285" Type="http://schemas.openxmlformats.org/officeDocument/2006/relationships/customXml" Target="../ink/ink143.xml"/><Relationship Id="rId38" Type="http://schemas.openxmlformats.org/officeDocument/2006/relationships/image" Target="../media/image19.png"/><Relationship Id="rId103" Type="http://schemas.openxmlformats.org/officeDocument/2006/relationships/customXml" Target="../ink/ink52.xml"/><Relationship Id="rId310" Type="http://schemas.openxmlformats.org/officeDocument/2006/relationships/image" Target="../media/image155.png"/><Relationship Id="rId91" Type="http://schemas.openxmlformats.org/officeDocument/2006/relationships/customXml" Target="../ink/ink46.xml"/><Relationship Id="rId145" Type="http://schemas.openxmlformats.org/officeDocument/2006/relationships/customXml" Target="../ink/ink73.xml"/><Relationship Id="rId187" Type="http://schemas.openxmlformats.org/officeDocument/2006/relationships/customXml" Target="../ink/ink94.xml"/><Relationship Id="rId352" Type="http://schemas.openxmlformats.org/officeDocument/2006/relationships/image" Target="../media/image176.png"/><Relationship Id="rId394" Type="http://schemas.openxmlformats.org/officeDocument/2006/relationships/image" Target="../media/image197.png"/><Relationship Id="rId408" Type="http://schemas.openxmlformats.org/officeDocument/2006/relationships/image" Target="../media/image204.png"/><Relationship Id="rId212" Type="http://schemas.openxmlformats.org/officeDocument/2006/relationships/image" Target="../media/image106.png"/><Relationship Id="rId254" Type="http://schemas.openxmlformats.org/officeDocument/2006/relationships/image" Target="../media/image127.png"/><Relationship Id="rId28" Type="http://schemas.openxmlformats.org/officeDocument/2006/relationships/image" Target="../media/image14.png"/><Relationship Id="rId49" Type="http://schemas.openxmlformats.org/officeDocument/2006/relationships/customXml" Target="../ink/ink25.xml"/><Relationship Id="rId114" Type="http://schemas.openxmlformats.org/officeDocument/2006/relationships/image" Target="../media/image57.png"/><Relationship Id="rId275" Type="http://schemas.openxmlformats.org/officeDocument/2006/relationships/customXml" Target="../ink/ink138.xml"/><Relationship Id="rId296" Type="http://schemas.openxmlformats.org/officeDocument/2006/relationships/image" Target="../media/image148.png"/><Relationship Id="rId300" Type="http://schemas.openxmlformats.org/officeDocument/2006/relationships/image" Target="../media/image150.png"/><Relationship Id="rId60" Type="http://schemas.openxmlformats.org/officeDocument/2006/relationships/image" Target="../media/image30.png"/><Relationship Id="rId81" Type="http://schemas.openxmlformats.org/officeDocument/2006/relationships/customXml" Target="../ink/ink41.xml"/><Relationship Id="rId135" Type="http://schemas.openxmlformats.org/officeDocument/2006/relationships/customXml" Target="../ink/ink68.xml"/><Relationship Id="rId156" Type="http://schemas.openxmlformats.org/officeDocument/2006/relationships/image" Target="../media/image78.png"/><Relationship Id="rId177" Type="http://schemas.openxmlformats.org/officeDocument/2006/relationships/customXml" Target="../ink/ink89.xml"/><Relationship Id="rId198" Type="http://schemas.openxmlformats.org/officeDocument/2006/relationships/image" Target="../media/image99.png"/><Relationship Id="rId321" Type="http://schemas.openxmlformats.org/officeDocument/2006/relationships/customXml" Target="../ink/ink161.xml"/><Relationship Id="rId342" Type="http://schemas.openxmlformats.org/officeDocument/2006/relationships/image" Target="../media/image171.png"/><Relationship Id="rId363" Type="http://schemas.openxmlformats.org/officeDocument/2006/relationships/customXml" Target="../ink/ink182.xml"/><Relationship Id="rId384" Type="http://schemas.openxmlformats.org/officeDocument/2006/relationships/image" Target="../media/image192.png"/><Relationship Id="rId419" Type="http://schemas.openxmlformats.org/officeDocument/2006/relationships/customXml" Target="../ink/ink210.xml"/><Relationship Id="rId202" Type="http://schemas.openxmlformats.org/officeDocument/2006/relationships/image" Target="../media/image101.png"/><Relationship Id="rId223" Type="http://schemas.openxmlformats.org/officeDocument/2006/relationships/customXml" Target="../ink/ink112.xml"/><Relationship Id="rId244" Type="http://schemas.openxmlformats.org/officeDocument/2006/relationships/image" Target="../media/image122.png"/><Relationship Id="rId430" Type="http://schemas.openxmlformats.org/officeDocument/2006/relationships/image" Target="../media/image215.png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265" Type="http://schemas.openxmlformats.org/officeDocument/2006/relationships/customXml" Target="../ink/ink133.xml"/><Relationship Id="rId286" Type="http://schemas.openxmlformats.org/officeDocument/2006/relationships/image" Target="../media/image143.png"/><Relationship Id="rId50" Type="http://schemas.openxmlformats.org/officeDocument/2006/relationships/image" Target="../media/image25.png"/><Relationship Id="rId104" Type="http://schemas.openxmlformats.org/officeDocument/2006/relationships/image" Target="../media/image52.png"/><Relationship Id="rId125" Type="http://schemas.openxmlformats.org/officeDocument/2006/relationships/customXml" Target="../ink/ink63.xml"/><Relationship Id="rId146" Type="http://schemas.openxmlformats.org/officeDocument/2006/relationships/image" Target="../media/image73.png"/><Relationship Id="rId167" Type="http://schemas.openxmlformats.org/officeDocument/2006/relationships/customXml" Target="../ink/ink84.xml"/><Relationship Id="rId188" Type="http://schemas.openxmlformats.org/officeDocument/2006/relationships/image" Target="../media/image94.png"/><Relationship Id="rId311" Type="http://schemas.openxmlformats.org/officeDocument/2006/relationships/customXml" Target="../ink/ink156.xml"/><Relationship Id="rId332" Type="http://schemas.openxmlformats.org/officeDocument/2006/relationships/image" Target="../media/image166.png"/><Relationship Id="rId353" Type="http://schemas.openxmlformats.org/officeDocument/2006/relationships/customXml" Target="../ink/ink177.xml"/><Relationship Id="rId374" Type="http://schemas.openxmlformats.org/officeDocument/2006/relationships/image" Target="../media/image187.png"/><Relationship Id="rId395" Type="http://schemas.openxmlformats.org/officeDocument/2006/relationships/customXml" Target="../ink/ink198.xml"/><Relationship Id="rId409" Type="http://schemas.openxmlformats.org/officeDocument/2006/relationships/customXml" Target="../ink/ink205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213" Type="http://schemas.openxmlformats.org/officeDocument/2006/relationships/customXml" Target="../ink/ink107.xml"/><Relationship Id="rId234" Type="http://schemas.openxmlformats.org/officeDocument/2006/relationships/image" Target="../media/image117.png"/><Relationship Id="rId420" Type="http://schemas.openxmlformats.org/officeDocument/2006/relationships/image" Target="../media/image210.png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55" Type="http://schemas.openxmlformats.org/officeDocument/2006/relationships/customXml" Target="../ink/ink128.xml"/><Relationship Id="rId276" Type="http://schemas.openxmlformats.org/officeDocument/2006/relationships/image" Target="../media/image138.png"/><Relationship Id="rId297" Type="http://schemas.openxmlformats.org/officeDocument/2006/relationships/customXml" Target="../ink/ink149.xml"/><Relationship Id="rId40" Type="http://schemas.openxmlformats.org/officeDocument/2006/relationships/image" Target="../media/image20.png"/><Relationship Id="rId115" Type="http://schemas.openxmlformats.org/officeDocument/2006/relationships/customXml" Target="../ink/ink58.xml"/><Relationship Id="rId136" Type="http://schemas.openxmlformats.org/officeDocument/2006/relationships/image" Target="../media/image68.png"/><Relationship Id="rId157" Type="http://schemas.openxmlformats.org/officeDocument/2006/relationships/customXml" Target="../ink/ink79.xml"/><Relationship Id="rId178" Type="http://schemas.openxmlformats.org/officeDocument/2006/relationships/image" Target="../media/image89.png"/><Relationship Id="rId301" Type="http://schemas.openxmlformats.org/officeDocument/2006/relationships/customXml" Target="../ink/ink151.xml"/><Relationship Id="rId322" Type="http://schemas.openxmlformats.org/officeDocument/2006/relationships/image" Target="../media/image161.png"/><Relationship Id="rId343" Type="http://schemas.openxmlformats.org/officeDocument/2006/relationships/customXml" Target="../ink/ink172.xml"/><Relationship Id="rId364" Type="http://schemas.openxmlformats.org/officeDocument/2006/relationships/image" Target="../media/image182.png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99" Type="http://schemas.openxmlformats.org/officeDocument/2006/relationships/customXml" Target="../ink/ink100.xml"/><Relationship Id="rId203" Type="http://schemas.openxmlformats.org/officeDocument/2006/relationships/customXml" Target="../ink/ink102.xml"/><Relationship Id="rId385" Type="http://schemas.openxmlformats.org/officeDocument/2006/relationships/customXml" Target="../ink/ink193.xml"/><Relationship Id="rId19" Type="http://schemas.openxmlformats.org/officeDocument/2006/relationships/customXml" Target="../ink/ink10.xml"/><Relationship Id="rId224" Type="http://schemas.openxmlformats.org/officeDocument/2006/relationships/image" Target="../media/image112.png"/><Relationship Id="rId245" Type="http://schemas.openxmlformats.org/officeDocument/2006/relationships/customXml" Target="../ink/ink123.xml"/><Relationship Id="rId266" Type="http://schemas.openxmlformats.org/officeDocument/2006/relationships/image" Target="../media/image133.png"/><Relationship Id="rId287" Type="http://schemas.openxmlformats.org/officeDocument/2006/relationships/customXml" Target="../ink/ink144.xml"/><Relationship Id="rId410" Type="http://schemas.openxmlformats.org/officeDocument/2006/relationships/image" Target="../media/image205.png"/><Relationship Id="rId431" Type="http://schemas.openxmlformats.org/officeDocument/2006/relationships/customXml" Target="../ink/ink216.xml"/><Relationship Id="rId30" Type="http://schemas.openxmlformats.org/officeDocument/2006/relationships/image" Target="../media/image15.png"/><Relationship Id="rId105" Type="http://schemas.openxmlformats.org/officeDocument/2006/relationships/customXml" Target="../ink/ink53.xml"/><Relationship Id="rId126" Type="http://schemas.openxmlformats.org/officeDocument/2006/relationships/image" Target="../media/image63.png"/><Relationship Id="rId147" Type="http://schemas.openxmlformats.org/officeDocument/2006/relationships/customXml" Target="../ink/ink74.xml"/><Relationship Id="rId168" Type="http://schemas.openxmlformats.org/officeDocument/2006/relationships/image" Target="../media/image84.png"/><Relationship Id="rId312" Type="http://schemas.openxmlformats.org/officeDocument/2006/relationships/image" Target="../media/image156.png"/><Relationship Id="rId333" Type="http://schemas.openxmlformats.org/officeDocument/2006/relationships/customXml" Target="../ink/ink167.xml"/><Relationship Id="rId354" Type="http://schemas.openxmlformats.org/officeDocument/2006/relationships/image" Target="../media/image177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189" Type="http://schemas.openxmlformats.org/officeDocument/2006/relationships/customXml" Target="../ink/ink95.xml"/><Relationship Id="rId375" Type="http://schemas.openxmlformats.org/officeDocument/2006/relationships/customXml" Target="../ink/ink188.xml"/><Relationship Id="rId396" Type="http://schemas.openxmlformats.org/officeDocument/2006/relationships/image" Target="../media/image198.png"/><Relationship Id="rId3" Type="http://schemas.openxmlformats.org/officeDocument/2006/relationships/customXml" Target="../ink/ink2.xml"/><Relationship Id="rId214" Type="http://schemas.openxmlformats.org/officeDocument/2006/relationships/image" Target="../media/image107.png"/><Relationship Id="rId235" Type="http://schemas.openxmlformats.org/officeDocument/2006/relationships/customXml" Target="../ink/ink118.xml"/><Relationship Id="rId256" Type="http://schemas.openxmlformats.org/officeDocument/2006/relationships/image" Target="../media/image128.png"/><Relationship Id="rId277" Type="http://schemas.openxmlformats.org/officeDocument/2006/relationships/customXml" Target="../ink/ink139.xml"/><Relationship Id="rId298" Type="http://schemas.openxmlformats.org/officeDocument/2006/relationships/image" Target="../media/image149.png"/><Relationship Id="rId400" Type="http://schemas.openxmlformats.org/officeDocument/2006/relationships/image" Target="../media/image200.png"/><Relationship Id="rId421" Type="http://schemas.openxmlformats.org/officeDocument/2006/relationships/customXml" Target="../ink/ink211.xml"/><Relationship Id="rId116" Type="http://schemas.openxmlformats.org/officeDocument/2006/relationships/image" Target="../media/image58.png"/><Relationship Id="rId137" Type="http://schemas.openxmlformats.org/officeDocument/2006/relationships/customXml" Target="../ink/ink69.xml"/><Relationship Id="rId158" Type="http://schemas.openxmlformats.org/officeDocument/2006/relationships/image" Target="../media/image79.png"/><Relationship Id="rId302" Type="http://schemas.openxmlformats.org/officeDocument/2006/relationships/image" Target="../media/image151.png"/><Relationship Id="rId323" Type="http://schemas.openxmlformats.org/officeDocument/2006/relationships/customXml" Target="../ink/ink162.xml"/><Relationship Id="rId344" Type="http://schemas.openxmlformats.org/officeDocument/2006/relationships/image" Target="../media/image172.png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62" Type="http://schemas.openxmlformats.org/officeDocument/2006/relationships/image" Target="../media/image31.png"/><Relationship Id="rId83" Type="http://schemas.openxmlformats.org/officeDocument/2006/relationships/customXml" Target="../ink/ink42.xml"/><Relationship Id="rId179" Type="http://schemas.openxmlformats.org/officeDocument/2006/relationships/customXml" Target="../ink/ink90.xml"/><Relationship Id="rId365" Type="http://schemas.openxmlformats.org/officeDocument/2006/relationships/customXml" Target="../ink/ink183.xml"/><Relationship Id="rId386" Type="http://schemas.openxmlformats.org/officeDocument/2006/relationships/image" Target="../media/image193.png"/><Relationship Id="rId190" Type="http://schemas.openxmlformats.org/officeDocument/2006/relationships/image" Target="../media/image95.png"/><Relationship Id="rId204" Type="http://schemas.openxmlformats.org/officeDocument/2006/relationships/image" Target="../media/image102.png"/><Relationship Id="rId225" Type="http://schemas.openxmlformats.org/officeDocument/2006/relationships/customXml" Target="../ink/ink113.xml"/><Relationship Id="rId246" Type="http://schemas.openxmlformats.org/officeDocument/2006/relationships/image" Target="../media/image123.png"/><Relationship Id="rId267" Type="http://schemas.openxmlformats.org/officeDocument/2006/relationships/customXml" Target="../ink/ink134.xml"/><Relationship Id="rId288" Type="http://schemas.openxmlformats.org/officeDocument/2006/relationships/image" Target="../media/image144.png"/><Relationship Id="rId411" Type="http://schemas.openxmlformats.org/officeDocument/2006/relationships/customXml" Target="../ink/ink206.xml"/><Relationship Id="rId432" Type="http://schemas.openxmlformats.org/officeDocument/2006/relationships/image" Target="../media/image216.png"/><Relationship Id="rId106" Type="http://schemas.openxmlformats.org/officeDocument/2006/relationships/image" Target="../media/image53.png"/><Relationship Id="rId127" Type="http://schemas.openxmlformats.org/officeDocument/2006/relationships/customXml" Target="../ink/ink64.xml"/><Relationship Id="rId313" Type="http://schemas.openxmlformats.org/officeDocument/2006/relationships/customXml" Target="../ink/ink157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52" Type="http://schemas.openxmlformats.org/officeDocument/2006/relationships/image" Target="../media/image26.png"/><Relationship Id="rId73" Type="http://schemas.openxmlformats.org/officeDocument/2006/relationships/customXml" Target="../ink/ink37.xml"/><Relationship Id="rId94" Type="http://schemas.openxmlformats.org/officeDocument/2006/relationships/image" Target="../media/image47.png"/><Relationship Id="rId148" Type="http://schemas.openxmlformats.org/officeDocument/2006/relationships/image" Target="../media/image74.png"/><Relationship Id="rId169" Type="http://schemas.openxmlformats.org/officeDocument/2006/relationships/customXml" Target="../ink/ink85.xml"/><Relationship Id="rId334" Type="http://schemas.openxmlformats.org/officeDocument/2006/relationships/image" Target="../media/image167.png"/><Relationship Id="rId355" Type="http://schemas.openxmlformats.org/officeDocument/2006/relationships/customXml" Target="../ink/ink178.xml"/><Relationship Id="rId376" Type="http://schemas.openxmlformats.org/officeDocument/2006/relationships/image" Target="../media/image188.png"/><Relationship Id="rId397" Type="http://schemas.openxmlformats.org/officeDocument/2006/relationships/customXml" Target="../ink/ink199.xml"/><Relationship Id="rId4" Type="http://schemas.openxmlformats.org/officeDocument/2006/relationships/image" Target="../media/image2.png"/><Relationship Id="rId180" Type="http://schemas.openxmlformats.org/officeDocument/2006/relationships/image" Target="../media/image90.png"/><Relationship Id="rId215" Type="http://schemas.openxmlformats.org/officeDocument/2006/relationships/customXml" Target="../ink/ink108.xml"/><Relationship Id="rId236" Type="http://schemas.openxmlformats.org/officeDocument/2006/relationships/image" Target="../media/image118.png"/><Relationship Id="rId257" Type="http://schemas.openxmlformats.org/officeDocument/2006/relationships/customXml" Target="../ink/ink129.xml"/><Relationship Id="rId278" Type="http://schemas.openxmlformats.org/officeDocument/2006/relationships/image" Target="../media/image139.png"/><Relationship Id="rId401" Type="http://schemas.openxmlformats.org/officeDocument/2006/relationships/customXml" Target="../ink/ink201.xml"/><Relationship Id="rId422" Type="http://schemas.openxmlformats.org/officeDocument/2006/relationships/image" Target="../media/image211.png"/><Relationship Id="rId303" Type="http://schemas.openxmlformats.org/officeDocument/2006/relationships/customXml" Target="../ink/ink152.xml"/><Relationship Id="rId42" Type="http://schemas.openxmlformats.org/officeDocument/2006/relationships/image" Target="../media/image21.png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345" Type="http://schemas.openxmlformats.org/officeDocument/2006/relationships/customXml" Target="../ink/ink173.xml"/><Relationship Id="rId387" Type="http://schemas.openxmlformats.org/officeDocument/2006/relationships/customXml" Target="../ink/ink194.xml"/><Relationship Id="rId191" Type="http://schemas.openxmlformats.org/officeDocument/2006/relationships/customXml" Target="../ink/ink96.xml"/><Relationship Id="rId205" Type="http://schemas.openxmlformats.org/officeDocument/2006/relationships/customXml" Target="../ink/ink103.xml"/><Relationship Id="rId247" Type="http://schemas.openxmlformats.org/officeDocument/2006/relationships/customXml" Target="../ink/ink124.xml"/><Relationship Id="rId412" Type="http://schemas.openxmlformats.org/officeDocument/2006/relationships/image" Target="../media/image206.png"/><Relationship Id="rId107" Type="http://schemas.openxmlformats.org/officeDocument/2006/relationships/customXml" Target="../ink/ink54.xml"/><Relationship Id="rId289" Type="http://schemas.openxmlformats.org/officeDocument/2006/relationships/customXml" Target="../ink/ink145.xml"/><Relationship Id="rId11" Type="http://schemas.openxmlformats.org/officeDocument/2006/relationships/customXml" Target="../ink/ink6.xml"/><Relationship Id="rId53" Type="http://schemas.openxmlformats.org/officeDocument/2006/relationships/customXml" Target="../ink/ink27.xml"/><Relationship Id="rId149" Type="http://schemas.openxmlformats.org/officeDocument/2006/relationships/customXml" Target="../ink/ink75.xml"/><Relationship Id="rId314" Type="http://schemas.openxmlformats.org/officeDocument/2006/relationships/image" Target="../media/image157.png"/><Relationship Id="rId356" Type="http://schemas.openxmlformats.org/officeDocument/2006/relationships/image" Target="../media/image178.png"/><Relationship Id="rId398" Type="http://schemas.openxmlformats.org/officeDocument/2006/relationships/image" Target="../media/image199.png"/><Relationship Id="rId95" Type="http://schemas.openxmlformats.org/officeDocument/2006/relationships/customXml" Target="../ink/ink48.xml"/><Relationship Id="rId160" Type="http://schemas.openxmlformats.org/officeDocument/2006/relationships/image" Target="../media/image80.png"/><Relationship Id="rId216" Type="http://schemas.openxmlformats.org/officeDocument/2006/relationships/image" Target="../media/image108.png"/><Relationship Id="rId423" Type="http://schemas.openxmlformats.org/officeDocument/2006/relationships/customXml" Target="../ink/ink212.xml"/><Relationship Id="rId258" Type="http://schemas.openxmlformats.org/officeDocument/2006/relationships/image" Target="../media/image129.png"/><Relationship Id="rId22" Type="http://schemas.openxmlformats.org/officeDocument/2006/relationships/image" Target="../media/image11.png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325" Type="http://schemas.openxmlformats.org/officeDocument/2006/relationships/customXml" Target="../ink/ink163.xml"/><Relationship Id="rId367" Type="http://schemas.openxmlformats.org/officeDocument/2006/relationships/customXml" Target="../ink/ink184.xml"/><Relationship Id="rId171" Type="http://schemas.openxmlformats.org/officeDocument/2006/relationships/customXml" Target="../ink/ink86.xml"/><Relationship Id="rId227" Type="http://schemas.openxmlformats.org/officeDocument/2006/relationships/customXml" Target="../ink/ink114.xml"/><Relationship Id="rId269" Type="http://schemas.openxmlformats.org/officeDocument/2006/relationships/customXml" Target="../ink/ink135.xml"/><Relationship Id="rId434" Type="http://schemas.openxmlformats.org/officeDocument/2006/relationships/image" Target="../media/image217.png"/><Relationship Id="rId33" Type="http://schemas.openxmlformats.org/officeDocument/2006/relationships/customXml" Target="../ink/ink17.xml"/><Relationship Id="rId129" Type="http://schemas.openxmlformats.org/officeDocument/2006/relationships/customXml" Target="../ink/ink65.xml"/><Relationship Id="rId280" Type="http://schemas.openxmlformats.org/officeDocument/2006/relationships/image" Target="../media/image140.png"/><Relationship Id="rId336" Type="http://schemas.openxmlformats.org/officeDocument/2006/relationships/image" Target="../media/image168.png"/><Relationship Id="rId75" Type="http://schemas.openxmlformats.org/officeDocument/2006/relationships/customXml" Target="../ink/ink38.xml"/><Relationship Id="rId140" Type="http://schemas.openxmlformats.org/officeDocument/2006/relationships/image" Target="../media/image70.png"/><Relationship Id="rId182" Type="http://schemas.openxmlformats.org/officeDocument/2006/relationships/image" Target="../media/image91.png"/><Relationship Id="rId378" Type="http://schemas.openxmlformats.org/officeDocument/2006/relationships/image" Target="../media/image189.png"/><Relationship Id="rId403" Type="http://schemas.openxmlformats.org/officeDocument/2006/relationships/customXml" Target="../ink/ink202.xml"/><Relationship Id="rId6" Type="http://schemas.openxmlformats.org/officeDocument/2006/relationships/image" Target="../media/image3.png"/><Relationship Id="rId238" Type="http://schemas.openxmlformats.org/officeDocument/2006/relationships/image" Target="../media/image119.png"/><Relationship Id="rId291" Type="http://schemas.openxmlformats.org/officeDocument/2006/relationships/customXml" Target="../ink/ink146.xml"/><Relationship Id="rId305" Type="http://schemas.openxmlformats.org/officeDocument/2006/relationships/customXml" Target="../ink/ink153.xml"/><Relationship Id="rId347" Type="http://schemas.openxmlformats.org/officeDocument/2006/relationships/customXml" Target="../ink/ink174.xml"/><Relationship Id="rId44" Type="http://schemas.openxmlformats.org/officeDocument/2006/relationships/image" Target="../media/image22.png"/><Relationship Id="rId86" Type="http://schemas.openxmlformats.org/officeDocument/2006/relationships/image" Target="../media/image43.png"/><Relationship Id="rId151" Type="http://schemas.openxmlformats.org/officeDocument/2006/relationships/customXml" Target="../ink/ink76.xml"/><Relationship Id="rId389" Type="http://schemas.openxmlformats.org/officeDocument/2006/relationships/customXml" Target="../ink/ink195.xml"/><Relationship Id="rId193" Type="http://schemas.openxmlformats.org/officeDocument/2006/relationships/customXml" Target="../ink/ink97.xml"/><Relationship Id="rId207" Type="http://schemas.openxmlformats.org/officeDocument/2006/relationships/customXml" Target="../ink/ink104.xml"/><Relationship Id="rId249" Type="http://schemas.openxmlformats.org/officeDocument/2006/relationships/customXml" Target="../ink/ink125.xml"/><Relationship Id="rId414" Type="http://schemas.openxmlformats.org/officeDocument/2006/relationships/image" Target="../media/image207.png"/><Relationship Id="rId13" Type="http://schemas.openxmlformats.org/officeDocument/2006/relationships/customXml" Target="../ink/ink7.xml"/><Relationship Id="rId109" Type="http://schemas.openxmlformats.org/officeDocument/2006/relationships/customXml" Target="../ink/ink55.xml"/><Relationship Id="rId260" Type="http://schemas.openxmlformats.org/officeDocument/2006/relationships/image" Target="../media/image130.png"/><Relationship Id="rId316" Type="http://schemas.openxmlformats.org/officeDocument/2006/relationships/image" Target="../media/image158.png"/><Relationship Id="rId55" Type="http://schemas.openxmlformats.org/officeDocument/2006/relationships/customXml" Target="../ink/ink28.xml"/><Relationship Id="rId97" Type="http://schemas.openxmlformats.org/officeDocument/2006/relationships/customXml" Target="../ink/ink49.xml"/><Relationship Id="rId120" Type="http://schemas.openxmlformats.org/officeDocument/2006/relationships/image" Target="../media/image60.png"/><Relationship Id="rId358" Type="http://schemas.openxmlformats.org/officeDocument/2006/relationships/image" Target="../media/image179.png"/><Relationship Id="rId162" Type="http://schemas.openxmlformats.org/officeDocument/2006/relationships/image" Target="../media/image81.png"/><Relationship Id="rId218" Type="http://schemas.openxmlformats.org/officeDocument/2006/relationships/image" Target="../media/image109.png"/><Relationship Id="rId425" Type="http://schemas.openxmlformats.org/officeDocument/2006/relationships/customXml" Target="../ink/ink213.xml"/><Relationship Id="rId271" Type="http://schemas.openxmlformats.org/officeDocument/2006/relationships/customXml" Target="../ink/ink136.xml"/><Relationship Id="rId24" Type="http://schemas.openxmlformats.org/officeDocument/2006/relationships/image" Target="../media/image12.png"/><Relationship Id="rId66" Type="http://schemas.openxmlformats.org/officeDocument/2006/relationships/image" Target="../media/image33.png"/><Relationship Id="rId131" Type="http://schemas.openxmlformats.org/officeDocument/2006/relationships/customXml" Target="../ink/ink66.xml"/><Relationship Id="rId327" Type="http://schemas.openxmlformats.org/officeDocument/2006/relationships/customXml" Target="../ink/ink164.xml"/><Relationship Id="rId369" Type="http://schemas.openxmlformats.org/officeDocument/2006/relationships/customXml" Target="../ink/ink185.xml"/><Relationship Id="rId173" Type="http://schemas.openxmlformats.org/officeDocument/2006/relationships/customXml" Target="../ink/ink87.xml"/><Relationship Id="rId229" Type="http://schemas.openxmlformats.org/officeDocument/2006/relationships/customXml" Target="../ink/ink115.xml"/><Relationship Id="rId380" Type="http://schemas.openxmlformats.org/officeDocument/2006/relationships/image" Target="../media/image190.png"/><Relationship Id="rId436" Type="http://schemas.openxmlformats.org/officeDocument/2006/relationships/image" Target="../media/image218.png"/><Relationship Id="rId240" Type="http://schemas.openxmlformats.org/officeDocument/2006/relationships/image" Target="../media/image120.png"/><Relationship Id="rId35" Type="http://schemas.openxmlformats.org/officeDocument/2006/relationships/customXml" Target="../ink/ink18.xml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282" Type="http://schemas.openxmlformats.org/officeDocument/2006/relationships/image" Target="../media/image141.png"/><Relationship Id="rId338" Type="http://schemas.openxmlformats.org/officeDocument/2006/relationships/image" Target="../media/image169.png"/><Relationship Id="rId8" Type="http://schemas.openxmlformats.org/officeDocument/2006/relationships/image" Target="../media/image4.png"/><Relationship Id="rId142" Type="http://schemas.openxmlformats.org/officeDocument/2006/relationships/image" Target="../media/image71.png"/><Relationship Id="rId184" Type="http://schemas.openxmlformats.org/officeDocument/2006/relationships/image" Target="../media/image92.png"/><Relationship Id="rId391" Type="http://schemas.openxmlformats.org/officeDocument/2006/relationships/customXml" Target="../ink/ink196.xml"/><Relationship Id="rId405" Type="http://schemas.openxmlformats.org/officeDocument/2006/relationships/customXml" Target="../ink/ink203.xml"/><Relationship Id="rId251" Type="http://schemas.openxmlformats.org/officeDocument/2006/relationships/customXml" Target="../ink/ink126.xml"/><Relationship Id="rId46" Type="http://schemas.openxmlformats.org/officeDocument/2006/relationships/image" Target="../media/image23.png"/><Relationship Id="rId293" Type="http://schemas.openxmlformats.org/officeDocument/2006/relationships/customXml" Target="../ink/ink147.xml"/><Relationship Id="rId307" Type="http://schemas.openxmlformats.org/officeDocument/2006/relationships/customXml" Target="../ink/ink154.xml"/><Relationship Id="rId349" Type="http://schemas.openxmlformats.org/officeDocument/2006/relationships/customXml" Target="../ink/ink175.xml"/><Relationship Id="rId88" Type="http://schemas.openxmlformats.org/officeDocument/2006/relationships/image" Target="../media/image44.png"/><Relationship Id="rId111" Type="http://schemas.openxmlformats.org/officeDocument/2006/relationships/customXml" Target="../ink/ink56.xml"/><Relationship Id="rId153" Type="http://schemas.openxmlformats.org/officeDocument/2006/relationships/customXml" Target="../ink/ink77.xml"/><Relationship Id="rId195" Type="http://schemas.openxmlformats.org/officeDocument/2006/relationships/customXml" Target="../ink/ink98.xml"/><Relationship Id="rId209" Type="http://schemas.openxmlformats.org/officeDocument/2006/relationships/customXml" Target="../ink/ink105.xml"/><Relationship Id="rId360" Type="http://schemas.openxmlformats.org/officeDocument/2006/relationships/image" Target="../media/image180.png"/><Relationship Id="rId416" Type="http://schemas.openxmlformats.org/officeDocument/2006/relationships/image" Target="../media/image208.png"/><Relationship Id="rId220" Type="http://schemas.openxmlformats.org/officeDocument/2006/relationships/image" Target="../media/image110.png"/><Relationship Id="rId15" Type="http://schemas.openxmlformats.org/officeDocument/2006/relationships/customXml" Target="../ink/ink8.xml"/><Relationship Id="rId57" Type="http://schemas.openxmlformats.org/officeDocument/2006/relationships/customXml" Target="../ink/ink29.xml"/><Relationship Id="rId262" Type="http://schemas.openxmlformats.org/officeDocument/2006/relationships/image" Target="../media/image131.png"/><Relationship Id="rId318" Type="http://schemas.openxmlformats.org/officeDocument/2006/relationships/image" Target="../media/image159.png"/><Relationship Id="rId99" Type="http://schemas.openxmlformats.org/officeDocument/2006/relationships/customXml" Target="../ink/ink50.xml"/><Relationship Id="rId122" Type="http://schemas.openxmlformats.org/officeDocument/2006/relationships/image" Target="../media/image61.png"/><Relationship Id="rId164" Type="http://schemas.openxmlformats.org/officeDocument/2006/relationships/image" Target="../media/image82.png"/><Relationship Id="rId371" Type="http://schemas.openxmlformats.org/officeDocument/2006/relationships/customXml" Target="../ink/ink186.xml"/><Relationship Id="rId427" Type="http://schemas.openxmlformats.org/officeDocument/2006/relationships/customXml" Target="../ink/ink214.xml"/><Relationship Id="rId26" Type="http://schemas.openxmlformats.org/officeDocument/2006/relationships/image" Target="../media/image13.png"/><Relationship Id="rId231" Type="http://schemas.openxmlformats.org/officeDocument/2006/relationships/customXml" Target="../ink/ink116.xml"/><Relationship Id="rId273" Type="http://schemas.openxmlformats.org/officeDocument/2006/relationships/customXml" Target="../ink/ink137.xml"/><Relationship Id="rId329" Type="http://schemas.openxmlformats.org/officeDocument/2006/relationships/customXml" Target="../ink/ink165.xml"/><Relationship Id="rId68" Type="http://schemas.openxmlformats.org/officeDocument/2006/relationships/image" Target="../media/image34.png"/><Relationship Id="rId133" Type="http://schemas.openxmlformats.org/officeDocument/2006/relationships/customXml" Target="../ink/ink67.xml"/><Relationship Id="rId175" Type="http://schemas.openxmlformats.org/officeDocument/2006/relationships/customXml" Target="../ink/ink88.xml"/><Relationship Id="rId340" Type="http://schemas.openxmlformats.org/officeDocument/2006/relationships/image" Target="../media/image170.png"/><Relationship Id="rId200" Type="http://schemas.openxmlformats.org/officeDocument/2006/relationships/image" Target="../media/image100.png"/><Relationship Id="rId382" Type="http://schemas.openxmlformats.org/officeDocument/2006/relationships/image" Target="../media/image191.png"/><Relationship Id="rId242" Type="http://schemas.openxmlformats.org/officeDocument/2006/relationships/image" Target="../media/image121.png"/><Relationship Id="rId284" Type="http://schemas.openxmlformats.org/officeDocument/2006/relationships/image" Target="../media/image142.png"/><Relationship Id="rId37" Type="http://schemas.openxmlformats.org/officeDocument/2006/relationships/customXml" Target="../ink/ink19.xml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144" Type="http://schemas.openxmlformats.org/officeDocument/2006/relationships/image" Target="../media/image72.png"/><Relationship Id="rId90" Type="http://schemas.openxmlformats.org/officeDocument/2006/relationships/image" Target="../media/image45.png"/><Relationship Id="rId186" Type="http://schemas.openxmlformats.org/officeDocument/2006/relationships/image" Target="../media/image93.png"/><Relationship Id="rId351" Type="http://schemas.openxmlformats.org/officeDocument/2006/relationships/customXml" Target="../ink/ink176.xml"/><Relationship Id="rId393" Type="http://schemas.openxmlformats.org/officeDocument/2006/relationships/customXml" Target="../ink/ink197.xml"/><Relationship Id="rId407" Type="http://schemas.openxmlformats.org/officeDocument/2006/relationships/customXml" Target="../ink/ink204.xml"/><Relationship Id="rId211" Type="http://schemas.openxmlformats.org/officeDocument/2006/relationships/customXml" Target="../ink/ink106.xml"/><Relationship Id="rId253" Type="http://schemas.openxmlformats.org/officeDocument/2006/relationships/customXml" Target="../ink/ink127.xml"/><Relationship Id="rId295" Type="http://schemas.openxmlformats.org/officeDocument/2006/relationships/customXml" Target="../ink/ink148.xml"/><Relationship Id="rId309" Type="http://schemas.openxmlformats.org/officeDocument/2006/relationships/customXml" Target="../ink/ink155.xml"/><Relationship Id="rId48" Type="http://schemas.openxmlformats.org/officeDocument/2006/relationships/image" Target="../media/image24.png"/><Relationship Id="rId113" Type="http://schemas.openxmlformats.org/officeDocument/2006/relationships/customXml" Target="../ink/ink57.xml"/><Relationship Id="rId320" Type="http://schemas.openxmlformats.org/officeDocument/2006/relationships/image" Target="../media/image160.png"/><Relationship Id="rId155" Type="http://schemas.openxmlformats.org/officeDocument/2006/relationships/customXml" Target="../ink/ink78.xml"/><Relationship Id="rId197" Type="http://schemas.openxmlformats.org/officeDocument/2006/relationships/customXml" Target="../ink/ink99.xml"/><Relationship Id="rId362" Type="http://schemas.openxmlformats.org/officeDocument/2006/relationships/image" Target="../media/image181.png"/><Relationship Id="rId418" Type="http://schemas.openxmlformats.org/officeDocument/2006/relationships/image" Target="../media/image209.png"/><Relationship Id="rId222" Type="http://schemas.openxmlformats.org/officeDocument/2006/relationships/image" Target="../media/image111.png"/><Relationship Id="rId264" Type="http://schemas.openxmlformats.org/officeDocument/2006/relationships/image" Target="../media/image132.png"/><Relationship Id="rId17" Type="http://schemas.openxmlformats.org/officeDocument/2006/relationships/customXml" Target="../ink/ink9.xml"/><Relationship Id="rId59" Type="http://schemas.openxmlformats.org/officeDocument/2006/relationships/customXml" Target="../ink/ink30.xml"/><Relationship Id="rId124" Type="http://schemas.openxmlformats.org/officeDocument/2006/relationships/image" Target="../media/image62.png"/><Relationship Id="rId70" Type="http://schemas.openxmlformats.org/officeDocument/2006/relationships/image" Target="../media/image35.png"/><Relationship Id="rId166" Type="http://schemas.openxmlformats.org/officeDocument/2006/relationships/image" Target="../media/image83.png"/><Relationship Id="rId331" Type="http://schemas.openxmlformats.org/officeDocument/2006/relationships/customXml" Target="../ink/ink166.xml"/><Relationship Id="rId373" Type="http://schemas.openxmlformats.org/officeDocument/2006/relationships/customXml" Target="../ink/ink187.xml"/><Relationship Id="rId429" Type="http://schemas.openxmlformats.org/officeDocument/2006/relationships/customXml" Target="../ink/ink215.xml"/><Relationship Id="rId1" Type="http://schemas.openxmlformats.org/officeDocument/2006/relationships/customXml" Target="../ink/ink1.xml"/><Relationship Id="rId233" Type="http://schemas.openxmlformats.org/officeDocument/2006/relationships/customXml" Target="../ink/ink117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ustomXml" Target="../ink/ink225.xml"/><Relationship Id="rId18" Type="http://schemas.openxmlformats.org/officeDocument/2006/relationships/image" Target="../media/image227.png"/><Relationship Id="rId26" Type="http://schemas.openxmlformats.org/officeDocument/2006/relationships/image" Target="../media/image231.png"/><Relationship Id="rId39" Type="http://schemas.openxmlformats.org/officeDocument/2006/relationships/customXml" Target="../ink/ink238.xml"/><Relationship Id="rId21" Type="http://schemas.openxmlformats.org/officeDocument/2006/relationships/customXml" Target="../ink/ink229.xml"/><Relationship Id="rId34" Type="http://schemas.openxmlformats.org/officeDocument/2006/relationships/image" Target="../media/image235.png"/><Relationship Id="rId42" Type="http://schemas.openxmlformats.org/officeDocument/2006/relationships/image" Target="../media/image239.png"/><Relationship Id="rId7" Type="http://schemas.openxmlformats.org/officeDocument/2006/relationships/customXml" Target="../ink/ink222.xml"/><Relationship Id="rId2" Type="http://schemas.openxmlformats.org/officeDocument/2006/relationships/image" Target="../media/image219.png"/><Relationship Id="rId16" Type="http://schemas.openxmlformats.org/officeDocument/2006/relationships/image" Target="../media/image226.png"/><Relationship Id="rId29" Type="http://schemas.openxmlformats.org/officeDocument/2006/relationships/customXml" Target="../ink/ink233.xml"/><Relationship Id="rId1" Type="http://schemas.openxmlformats.org/officeDocument/2006/relationships/customXml" Target="../ink/ink219.xml"/><Relationship Id="rId6" Type="http://schemas.openxmlformats.org/officeDocument/2006/relationships/image" Target="../media/image221.png"/><Relationship Id="rId11" Type="http://schemas.openxmlformats.org/officeDocument/2006/relationships/customXml" Target="../ink/ink224.xml"/><Relationship Id="rId24" Type="http://schemas.openxmlformats.org/officeDocument/2006/relationships/image" Target="../media/image230.png"/><Relationship Id="rId32" Type="http://schemas.openxmlformats.org/officeDocument/2006/relationships/image" Target="../media/image234.png"/><Relationship Id="rId37" Type="http://schemas.openxmlformats.org/officeDocument/2006/relationships/customXml" Target="../ink/ink237.xml"/><Relationship Id="rId40" Type="http://schemas.openxmlformats.org/officeDocument/2006/relationships/image" Target="../media/image238.png"/><Relationship Id="rId45" Type="http://schemas.openxmlformats.org/officeDocument/2006/relationships/customXml" Target="../ink/ink241.xml"/><Relationship Id="rId5" Type="http://schemas.openxmlformats.org/officeDocument/2006/relationships/customXml" Target="../ink/ink221.xml"/><Relationship Id="rId15" Type="http://schemas.openxmlformats.org/officeDocument/2006/relationships/customXml" Target="../ink/ink226.xml"/><Relationship Id="rId23" Type="http://schemas.openxmlformats.org/officeDocument/2006/relationships/customXml" Target="../ink/ink230.xml"/><Relationship Id="rId28" Type="http://schemas.openxmlformats.org/officeDocument/2006/relationships/image" Target="../media/image232.png"/><Relationship Id="rId36" Type="http://schemas.openxmlformats.org/officeDocument/2006/relationships/image" Target="../media/image236.png"/><Relationship Id="rId10" Type="http://schemas.openxmlformats.org/officeDocument/2006/relationships/image" Target="../media/image223.png"/><Relationship Id="rId19" Type="http://schemas.openxmlformats.org/officeDocument/2006/relationships/customXml" Target="../ink/ink228.xml"/><Relationship Id="rId31" Type="http://schemas.openxmlformats.org/officeDocument/2006/relationships/customXml" Target="../ink/ink234.xml"/><Relationship Id="rId44" Type="http://schemas.openxmlformats.org/officeDocument/2006/relationships/image" Target="../media/image240.png"/><Relationship Id="rId4" Type="http://schemas.openxmlformats.org/officeDocument/2006/relationships/image" Target="../media/image220.png"/><Relationship Id="rId9" Type="http://schemas.openxmlformats.org/officeDocument/2006/relationships/customXml" Target="../ink/ink223.xml"/><Relationship Id="rId14" Type="http://schemas.openxmlformats.org/officeDocument/2006/relationships/image" Target="../media/image225.png"/><Relationship Id="rId22" Type="http://schemas.openxmlformats.org/officeDocument/2006/relationships/image" Target="../media/image229.png"/><Relationship Id="rId27" Type="http://schemas.openxmlformats.org/officeDocument/2006/relationships/customXml" Target="../ink/ink232.xml"/><Relationship Id="rId30" Type="http://schemas.openxmlformats.org/officeDocument/2006/relationships/image" Target="../media/image233.png"/><Relationship Id="rId35" Type="http://schemas.openxmlformats.org/officeDocument/2006/relationships/customXml" Target="../ink/ink236.xml"/><Relationship Id="rId43" Type="http://schemas.openxmlformats.org/officeDocument/2006/relationships/customXml" Target="../ink/ink240.xml"/><Relationship Id="rId8" Type="http://schemas.openxmlformats.org/officeDocument/2006/relationships/image" Target="../media/image222.png"/><Relationship Id="rId3" Type="http://schemas.openxmlformats.org/officeDocument/2006/relationships/customXml" Target="../ink/ink220.xml"/><Relationship Id="rId12" Type="http://schemas.openxmlformats.org/officeDocument/2006/relationships/image" Target="../media/image224.png"/><Relationship Id="rId17" Type="http://schemas.openxmlformats.org/officeDocument/2006/relationships/customXml" Target="../ink/ink227.xml"/><Relationship Id="rId25" Type="http://schemas.openxmlformats.org/officeDocument/2006/relationships/customXml" Target="../ink/ink231.xml"/><Relationship Id="rId33" Type="http://schemas.openxmlformats.org/officeDocument/2006/relationships/customXml" Target="../ink/ink235.xml"/><Relationship Id="rId38" Type="http://schemas.openxmlformats.org/officeDocument/2006/relationships/image" Target="../media/image237.png"/><Relationship Id="rId46" Type="http://schemas.openxmlformats.org/officeDocument/2006/relationships/image" Target="../media/image241.png"/><Relationship Id="rId20" Type="http://schemas.openxmlformats.org/officeDocument/2006/relationships/image" Target="../media/image228.png"/><Relationship Id="rId41" Type="http://schemas.openxmlformats.org/officeDocument/2006/relationships/customXml" Target="../ink/ink2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407668</xdr:colOff>
      <xdr:row>12</xdr:row>
      <xdr:rowOff>99009</xdr:rowOff>
    </xdr:from>
    <xdr:to>
      <xdr:col>4</xdr:col>
      <xdr:colOff>180953</xdr:colOff>
      <xdr:row>15</xdr:row>
      <xdr:rowOff>26831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4185CE2A-93A7-CF54-B2D2-2C2768A32DEB}"/>
                </a:ext>
              </a:extLst>
            </xdr14:cNvPr>
            <xdr14:cNvContentPartPr/>
          </xdr14:nvContentPartPr>
          <xdr14:nvPr macro=""/>
          <xdr14:xfrm>
            <a:off x="1235520" y="2526120"/>
            <a:ext cx="2256840" cy="53460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4185CE2A-93A7-CF54-B2D2-2C2768A32DE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25080" y="2515680"/>
              <a:ext cx="2278080" cy="55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108593</xdr:colOff>
      <xdr:row>9</xdr:row>
      <xdr:rowOff>4867</xdr:rowOff>
    </xdr:from>
    <xdr:to>
      <xdr:col>5</xdr:col>
      <xdr:colOff>463341</xdr:colOff>
      <xdr:row>11</xdr:row>
      <xdr:rowOff>66548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5FFF129C-6E93-BE9A-B24E-1115C013BC10}"/>
                </a:ext>
              </a:extLst>
            </xdr14:cNvPr>
            <xdr14:cNvContentPartPr/>
          </xdr14:nvContentPartPr>
          <xdr14:nvPr macro=""/>
          <xdr14:xfrm>
            <a:off x="3420000" y="1825200"/>
            <a:ext cx="1182600" cy="46620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5FFF129C-6E93-BE9A-B24E-1115C013BC1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409557" y="1814400"/>
              <a:ext cx="1203846" cy="48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776901</xdr:colOff>
      <xdr:row>9</xdr:row>
      <xdr:rowOff>5947</xdr:rowOff>
    </xdr:from>
    <xdr:to>
      <xdr:col>6</xdr:col>
      <xdr:colOff>602089</xdr:colOff>
      <xdr:row>10</xdr:row>
      <xdr:rowOff>127327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5AC6A0C9-4D36-68CE-6A01-C80882D202F4}"/>
                </a:ext>
              </a:extLst>
            </xdr14:cNvPr>
            <xdr14:cNvContentPartPr/>
          </xdr14:nvContentPartPr>
          <xdr14:nvPr macro=""/>
          <xdr14:xfrm>
            <a:off x="4916160" y="1826280"/>
            <a:ext cx="653040" cy="32364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5AC6A0C9-4D36-68CE-6A01-C80882D202F4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905720" y="1815840"/>
              <a:ext cx="674280" cy="34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240988</xdr:colOff>
      <xdr:row>9</xdr:row>
      <xdr:rowOff>60307</xdr:rowOff>
    </xdr:from>
    <xdr:to>
      <xdr:col>3</xdr:col>
      <xdr:colOff>623604</xdr:colOff>
      <xdr:row>10</xdr:row>
      <xdr:rowOff>131287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97286572-C8F3-083A-0925-EBFC1102200C}"/>
                </a:ext>
              </a:extLst>
            </xdr14:cNvPr>
            <xdr14:cNvContentPartPr/>
          </xdr14:nvContentPartPr>
          <xdr14:nvPr macro=""/>
          <xdr14:xfrm>
            <a:off x="1068840" y="1880640"/>
            <a:ext cx="2038320" cy="27324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97286572-C8F3-083A-0925-EBFC1102200C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058040" y="1869854"/>
              <a:ext cx="2059560" cy="294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518908</xdr:colOff>
      <xdr:row>16</xdr:row>
      <xdr:rowOff>30852</xdr:rowOff>
    </xdr:from>
    <xdr:to>
      <xdr:col>5</xdr:col>
      <xdr:colOff>754581</xdr:colOff>
      <xdr:row>20</xdr:row>
      <xdr:rowOff>31095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1DF3988D-424E-AAFB-702F-813EA7026B33}"/>
                </a:ext>
              </a:extLst>
            </xdr14:cNvPr>
            <xdr14:cNvContentPartPr/>
          </xdr14:nvContentPartPr>
          <xdr14:nvPr macro=""/>
          <xdr14:xfrm>
            <a:off x="1346760" y="3267000"/>
            <a:ext cx="3547080" cy="80928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1DF3988D-424E-AAFB-702F-813EA7026B33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336320" y="3256200"/>
              <a:ext cx="3568320" cy="83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283256</xdr:colOff>
      <xdr:row>24</xdr:row>
      <xdr:rowOff>60498</xdr:rowOff>
    </xdr:from>
    <xdr:to>
      <xdr:col>2</xdr:col>
      <xdr:colOff>820376</xdr:colOff>
      <xdr:row>25</xdr:row>
      <xdr:rowOff>112399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A411B4FB-AE15-9ABC-FDC6-76F6AD4977BA}"/>
                </a:ext>
              </a:extLst>
            </xdr14:cNvPr>
            <xdr14:cNvContentPartPr/>
          </xdr14:nvContentPartPr>
          <xdr14:nvPr macro=""/>
          <xdr14:xfrm>
            <a:off x="1938960" y="4914720"/>
            <a:ext cx="537120" cy="25416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A411B4FB-AE15-9ABC-FDC6-76F6AD4977B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931400" y="4907160"/>
              <a:ext cx="552240" cy="269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63953</xdr:colOff>
      <xdr:row>26</xdr:row>
      <xdr:rowOff>160339</xdr:rowOff>
    </xdr:from>
    <xdr:to>
      <xdr:col>5</xdr:col>
      <xdr:colOff>205941</xdr:colOff>
      <xdr:row>27</xdr:row>
      <xdr:rowOff>179480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17" name="Ink 116">
              <a:extLst>
                <a:ext uri="{FF2B5EF4-FFF2-40B4-BE49-F238E27FC236}">
                  <a16:creationId xmlns:a16="http://schemas.microsoft.com/office/drawing/2014/main" id="{7FBCA5BA-142E-0F89-44B5-ABD789E543B9}"/>
                </a:ext>
              </a:extLst>
            </xdr14:cNvPr>
            <xdr14:cNvContentPartPr/>
          </xdr14:nvContentPartPr>
          <xdr14:nvPr macro=""/>
          <xdr14:xfrm>
            <a:off x="3375360" y="5419080"/>
            <a:ext cx="969840" cy="221400"/>
          </xdr14:xfrm>
        </xdr:contentPart>
      </mc:Choice>
      <mc:Fallback>
        <xdr:pic>
          <xdr:nvPicPr>
            <xdr:cNvPr id="117" name="Ink 116">
              <a:extLst>
                <a:ext uri="{FF2B5EF4-FFF2-40B4-BE49-F238E27FC236}">
                  <a16:creationId xmlns:a16="http://schemas.microsoft.com/office/drawing/2014/main" id="{7FBCA5BA-142E-0F89-44B5-ABD789E543B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367800" y="5411520"/>
              <a:ext cx="984600" cy="23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219896</xdr:colOff>
      <xdr:row>26</xdr:row>
      <xdr:rowOff>196699</xdr:rowOff>
    </xdr:from>
    <xdr:to>
      <xdr:col>3</xdr:col>
      <xdr:colOff>622524</xdr:colOff>
      <xdr:row>28</xdr:row>
      <xdr:rowOff>51021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4D2468A8-0DAF-CA7D-3D91-202328BC9547}"/>
                </a:ext>
              </a:extLst>
            </xdr14:cNvPr>
            <xdr14:cNvContentPartPr/>
          </xdr14:nvContentPartPr>
          <xdr14:nvPr macro=""/>
          <xdr14:xfrm>
            <a:off x="1875600" y="5455440"/>
            <a:ext cx="1230480" cy="258840"/>
          </xdr14:xfrm>
        </xdr:contentPart>
      </mc:Choice>
      <mc:Fallback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4D2468A8-0DAF-CA7D-3D91-202328BC954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868040" y="5447880"/>
              <a:ext cx="1245600" cy="27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499616</xdr:colOff>
      <xdr:row>19</xdr:row>
      <xdr:rowOff>97274</xdr:rowOff>
    </xdr:from>
    <xdr:to>
      <xdr:col>5</xdr:col>
      <xdr:colOff>238341</xdr:colOff>
      <xdr:row>21</xdr:row>
      <xdr:rowOff>151396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4F23A1A5-7764-499A-AA46-023259435118}"/>
                </a:ext>
              </a:extLst>
            </xdr14:cNvPr>
            <xdr14:cNvContentPartPr/>
          </xdr14:nvContentPartPr>
          <xdr14:nvPr macro=""/>
          <xdr14:xfrm>
            <a:off x="2155320" y="3940200"/>
            <a:ext cx="2222280" cy="458640"/>
          </xdr14:xfrm>
        </xdr:contentPart>
      </mc:Choice>
      <mc:Fallback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4F23A1A5-7764-499A-AA46-02325943511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147760" y="3932640"/>
              <a:ext cx="2237400" cy="47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146604</xdr:colOff>
      <xdr:row>2</xdr:row>
      <xdr:rowOff>118561</xdr:rowOff>
    </xdr:from>
    <xdr:to>
      <xdr:col>6</xdr:col>
      <xdr:colOff>129049</xdr:colOff>
      <xdr:row>4</xdr:row>
      <xdr:rowOff>157563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773BDD8D-5229-04F0-EE30-DFAF026154B8}"/>
                </a:ext>
              </a:extLst>
            </xdr14:cNvPr>
            <xdr14:cNvContentPartPr/>
          </xdr14:nvContentPartPr>
          <xdr14:nvPr macro=""/>
          <xdr14:xfrm>
            <a:off x="2630160" y="523080"/>
            <a:ext cx="2466000" cy="443520"/>
          </xdr14:xfrm>
        </xdr:contentPart>
      </mc:Choice>
      <mc:Fallback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773BDD8D-5229-04F0-EE30-DFAF026154B8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622601" y="515526"/>
              <a:ext cx="2481118" cy="4586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823764</xdr:colOff>
      <xdr:row>16</xdr:row>
      <xdr:rowOff>102852</xdr:rowOff>
    </xdr:from>
    <xdr:to>
      <xdr:col>4</xdr:col>
      <xdr:colOff>178433</xdr:colOff>
      <xdr:row>19</xdr:row>
      <xdr:rowOff>148754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2B4FF476-9AFA-BA3A-4EA2-8303F8535DFC}"/>
                </a:ext>
              </a:extLst>
            </xdr14:cNvPr>
            <xdr14:cNvContentPartPr/>
          </xdr14:nvContentPartPr>
          <xdr14:nvPr macro=""/>
          <xdr14:xfrm>
            <a:off x="3307320" y="3339000"/>
            <a:ext cx="182520" cy="652680"/>
          </xdr14:xfrm>
        </xdr:contentPart>
      </mc:Choice>
      <mc:Fallback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2B4FF476-9AFA-BA3A-4EA2-8303F8535DFC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296520" y="3328560"/>
              <a:ext cx="203760" cy="67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55884</xdr:colOff>
      <xdr:row>30</xdr:row>
      <xdr:rowOff>72382</xdr:rowOff>
    </xdr:from>
    <xdr:to>
      <xdr:col>3</xdr:col>
      <xdr:colOff>459084</xdr:colOff>
      <xdr:row>30</xdr:row>
      <xdr:rowOff>196222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F50C21B4-5679-5D29-0FE5-D24EF44742D5}"/>
                </a:ext>
              </a:extLst>
            </xdr14:cNvPr>
            <xdr14:cNvContentPartPr/>
          </xdr14:nvContentPartPr>
          <xdr14:nvPr macro=""/>
          <xdr14:xfrm>
            <a:off x="2539440" y="6140160"/>
            <a:ext cx="403200" cy="12384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F50C21B4-5679-5D29-0FE5-D24EF44742D5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528640" y="6129360"/>
              <a:ext cx="424440" cy="14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83244</xdr:colOff>
      <xdr:row>32</xdr:row>
      <xdr:rowOff>78624</xdr:rowOff>
    </xdr:from>
    <xdr:to>
      <xdr:col>3</xdr:col>
      <xdr:colOff>678324</xdr:colOff>
      <xdr:row>33</xdr:row>
      <xdr:rowOff>49524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92730463-580D-D0CA-34D5-646AFA1A9B89}"/>
                </a:ext>
              </a:extLst>
            </xdr14:cNvPr>
            <xdr14:cNvContentPartPr/>
          </xdr14:nvContentPartPr>
          <xdr14:nvPr macro=""/>
          <xdr14:xfrm>
            <a:off x="2566800" y="6550920"/>
            <a:ext cx="595080" cy="17316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92730463-580D-D0CA-34D5-646AFA1A9B89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56000" y="6540120"/>
              <a:ext cx="616320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167696</xdr:colOff>
      <xdr:row>34</xdr:row>
      <xdr:rowOff>189625</xdr:rowOff>
    </xdr:from>
    <xdr:to>
      <xdr:col>3</xdr:col>
      <xdr:colOff>797844</xdr:colOff>
      <xdr:row>36</xdr:row>
      <xdr:rowOff>180747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167" name="Ink 166">
              <a:extLst>
                <a:ext uri="{FF2B5EF4-FFF2-40B4-BE49-F238E27FC236}">
                  <a16:creationId xmlns:a16="http://schemas.microsoft.com/office/drawing/2014/main" id="{F988E7E1-1C28-B27D-FFBB-2EC5671BEA27}"/>
                </a:ext>
              </a:extLst>
            </xdr14:cNvPr>
            <xdr14:cNvContentPartPr/>
          </xdr14:nvContentPartPr>
          <xdr14:nvPr macro=""/>
          <xdr14:xfrm>
            <a:off x="1823400" y="7066440"/>
            <a:ext cx="1458000" cy="395640"/>
          </xdr14:xfrm>
        </xdr:contentPart>
      </mc:Choice>
      <mc:Fallback>
        <xdr:pic>
          <xdr:nvPicPr>
            <xdr:cNvPr id="167" name="Ink 166">
              <a:extLst>
                <a:ext uri="{FF2B5EF4-FFF2-40B4-BE49-F238E27FC236}">
                  <a16:creationId xmlns:a16="http://schemas.microsoft.com/office/drawing/2014/main" id="{F988E7E1-1C28-B27D-FFBB-2EC5671BEA27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12600" y="7055640"/>
              <a:ext cx="1479240" cy="41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102833</xdr:colOff>
      <xdr:row>29</xdr:row>
      <xdr:rowOff>65481</xdr:rowOff>
    </xdr:from>
    <xdr:to>
      <xdr:col>4</xdr:col>
      <xdr:colOff>587033</xdr:colOff>
      <xdr:row>33</xdr:row>
      <xdr:rowOff>83004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7B431BC2-8BF0-339D-08DE-99C3CD6742BB}"/>
                </a:ext>
              </a:extLst>
            </xdr14:cNvPr>
            <xdr14:cNvContentPartPr/>
          </xdr14:nvContentPartPr>
          <xdr14:nvPr macro=""/>
          <xdr14:xfrm>
            <a:off x="3414240" y="5931000"/>
            <a:ext cx="484200" cy="826560"/>
          </xdr14:xfrm>
        </xdr:contentPart>
      </mc:Choice>
      <mc:Fallback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7B431BC2-8BF0-339D-08DE-99C3CD6742B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3403792" y="5920200"/>
              <a:ext cx="505456" cy="84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276988</xdr:colOff>
      <xdr:row>31</xdr:row>
      <xdr:rowOff>187283</xdr:rowOff>
    </xdr:from>
    <xdr:to>
      <xdr:col>2</xdr:col>
      <xdr:colOff>687896</xdr:colOff>
      <xdr:row>33</xdr:row>
      <xdr:rowOff>77604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8D1A00EE-A8DC-13FE-E784-DB83401E97AD}"/>
                </a:ext>
              </a:extLst>
            </xdr14:cNvPr>
            <xdr14:cNvContentPartPr/>
          </xdr14:nvContentPartPr>
          <xdr14:nvPr macro=""/>
          <xdr14:xfrm>
            <a:off x="1104840" y="6457320"/>
            <a:ext cx="1238760" cy="294840"/>
          </xdr14:xfrm>
        </xdr:contentPart>
      </mc:Choice>
      <mc:Fallback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8D1A00EE-A8DC-13FE-E784-DB83401E97AD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094040" y="6446880"/>
              <a:ext cx="1260000" cy="31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268348</xdr:colOff>
      <xdr:row>29</xdr:row>
      <xdr:rowOff>105801</xdr:rowOff>
    </xdr:from>
    <xdr:to>
      <xdr:col>2</xdr:col>
      <xdr:colOff>542816</xdr:colOff>
      <xdr:row>30</xdr:row>
      <xdr:rowOff>200902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87210976-D322-4FFA-E706-B253C9BE0BDA}"/>
                </a:ext>
              </a:extLst>
            </xdr14:cNvPr>
            <xdr14:cNvContentPartPr/>
          </xdr14:nvContentPartPr>
          <xdr14:nvPr macro=""/>
          <xdr14:xfrm>
            <a:off x="1096200" y="5971320"/>
            <a:ext cx="1102320" cy="297360"/>
          </xdr14:xfrm>
        </xdr:contentPart>
      </mc:Choice>
      <mc:Fallback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87210976-D322-4FFA-E706-B253C9BE0BDA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085396" y="5960533"/>
              <a:ext cx="1123567" cy="3185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237176</xdr:colOff>
      <xdr:row>37</xdr:row>
      <xdr:rowOff>11607</xdr:rowOff>
    </xdr:from>
    <xdr:to>
      <xdr:col>5</xdr:col>
      <xdr:colOff>11541</xdr:colOff>
      <xdr:row>41</xdr:row>
      <xdr:rowOff>137130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114AECE9-78B0-4D9A-256E-63C2013186D2}"/>
                </a:ext>
              </a:extLst>
            </xdr14:cNvPr>
            <xdr14:cNvContentPartPr/>
          </xdr14:nvContentPartPr>
          <xdr14:nvPr macro=""/>
          <xdr14:xfrm>
            <a:off x="1892880" y="7495200"/>
            <a:ext cx="2257920" cy="934560"/>
          </xdr14:xfrm>
        </xdr:contentPart>
      </mc:Choice>
      <mc:Fallback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114AECE9-78B0-4D9A-256E-63C2013186D2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885320" y="7487640"/>
              <a:ext cx="2273040" cy="94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116788</xdr:colOff>
      <xdr:row>14</xdr:row>
      <xdr:rowOff>195250</xdr:rowOff>
    </xdr:from>
    <xdr:to>
      <xdr:col>5</xdr:col>
      <xdr:colOff>192981</xdr:colOff>
      <xdr:row>23</xdr:row>
      <xdr:rowOff>59357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202" name="Ink 201">
              <a:extLst>
                <a:ext uri="{FF2B5EF4-FFF2-40B4-BE49-F238E27FC236}">
                  <a16:creationId xmlns:a16="http://schemas.microsoft.com/office/drawing/2014/main" id="{9957CC1E-BFF3-1B4D-9C6D-C70E6D0DCB13}"/>
                </a:ext>
              </a:extLst>
            </xdr14:cNvPr>
            <xdr14:cNvContentPartPr/>
          </xdr14:nvContentPartPr>
          <xdr14:nvPr macro=""/>
          <xdr14:xfrm>
            <a:off x="944640" y="3026880"/>
            <a:ext cx="3387600" cy="1684440"/>
          </xdr14:xfrm>
        </xdr:contentPart>
      </mc:Choice>
      <mc:Fallback>
        <xdr:pic>
          <xdr:nvPicPr>
            <xdr:cNvPr id="202" name="Ink 201">
              <a:extLst>
                <a:ext uri="{FF2B5EF4-FFF2-40B4-BE49-F238E27FC236}">
                  <a16:creationId xmlns:a16="http://schemas.microsoft.com/office/drawing/2014/main" id="{9957CC1E-BFF3-1B4D-9C6D-C70E6D0DCB13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937080" y="3019320"/>
              <a:ext cx="3402360" cy="169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493496</xdr:colOff>
      <xdr:row>14</xdr:row>
      <xdr:rowOff>139450</xdr:rowOff>
    </xdr:from>
    <xdr:to>
      <xdr:col>5</xdr:col>
      <xdr:colOff>239421</xdr:colOff>
      <xdr:row>16</xdr:row>
      <xdr:rowOff>136332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208" name="Ink 207">
              <a:extLst>
                <a:ext uri="{FF2B5EF4-FFF2-40B4-BE49-F238E27FC236}">
                  <a16:creationId xmlns:a16="http://schemas.microsoft.com/office/drawing/2014/main" id="{B8221FA8-CE35-E79D-14C0-1E3E07FAFB8A}"/>
                </a:ext>
              </a:extLst>
            </xdr14:cNvPr>
            <xdr14:cNvContentPartPr/>
          </xdr14:nvContentPartPr>
          <xdr14:nvPr macro=""/>
          <xdr14:xfrm>
            <a:off x="2149200" y="2971080"/>
            <a:ext cx="2229480" cy="401400"/>
          </xdr14:xfrm>
        </xdr:contentPart>
      </mc:Choice>
      <mc:Fallback>
        <xdr:pic>
          <xdr:nvPicPr>
            <xdr:cNvPr id="208" name="Ink 207">
              <a:extLst>
                <a:ext uri="{FF2B5EF4-FFF2-40B4-BE49-F238E27FC236}">
                  <a16:creationId xmlns:a16="http://schemas.microsoft.com/office/drawing/2014/main" id="{B8221FA8-CE35-E79D-14C0-1E3E07FAFB8A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141640" y="2963520"/>
              <a:ext cx="2244240" cy="41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818936</xdr:colOff>
      <xdr:row>35</xdr:row>
      <xdr:rowOff>60086</xdr:rowOff>
    </xdr:from>
    <xdr:to>
      <xdr:col>3</xdr:col>
      <xdr:colOff>149484</xdr:colOff>
      <xdr:row>37</xdr:row>
      <xdr:rowOff>79647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12" name="Ink 211">
              <a:extLst>
                <a:ext uri="{FF2B5EF4-FFF2-40B4-BE49-F238E27FC236}">
                  <a16:creationId xmlns:a16="http://schemas.microsoft.com/office/drawing/2014/main" id="{91206852-C1BD-DFFE-4C4F-3D9D434784F8}"/>
                </a:ext>
              </a:extLst>
            </xdr14:cNvPr>
            <xdr14:cNvContentPartPr/>
          </xdr14:nvContentPartPr>
          <xdr14:nvPr macro=""/>
          <xdr14:xfrm>
            <a:off x="2474640" y="7139160"/>
            <a:ext cx="158400" cy="424080"/>
          </xdr14:xfrm>
        </xdr:contentPart>
      </mc:Choice>
      <mc:Fallback>
        <xdr:pic>
          <xdr:nvPicPr>
            <xdr:cNvPr id="212" name="Ink 211">
              <a:extLst>
                <a:ext uri="{FF2B5EF4-FFF2-40B4-BE49-F238E27FC236}">
                  <a16:creationId xmlns:a16="http://schemas.microsoft.com/office/drawing/2014/main" id="{91206852-C1BD-DFFE-4C4F-3D9D434784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7080" y="7131600"/>
              <a:ext cx="173520" cy="43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431936</xdr:colOff>
      <xdr:row>34</xdr:row>
      <xdr:rowOff>147505</xdr:rowOff>
    </xdr:from>
    <xdr:to>
      <xdr:col>3</xdr:col>
      <xdr:colOff>262884</xdr:colOff>
      <xdr:row>35</xdr:row>
      <xdr:rowOff>70166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213" name="Ink 212">
              <a:extLst>
                <a:ext uri="{FF2B5EF4-FFF2-40B4-BE49-F238E27FC236}">
                  <a16:creationId xmlns:a16="http://schemas.microsoft.com/office/drawing/2014/main" id="{B98071E9-FE91-A3BD-BB3D-8E25C81A3903}"/>
                </a:ext>
              </a:extLst>
            </xdr14:cNvPr>
            <xdr14:cNvContentPartPr/>
          </xdr14:nvContentPartPr>
          <xdr14:nvPr macro=""/>
          <xdr14:xfrm>
            <a:off x="2087640" y="7024320"/>
            <a:ext cx="658800" cy="124920"/>
          </xdr14:xfrm>
        </xdr:contentPart>
      </mc:Choice>
      <mc:Fallback>
        <xdr:pic>
          <xdr:nvPicPr>
            <xdr:cNvPr id="213" name="Ink 212">
              <a:extLst>
                <a:ext uri="{FF2B5EF4-FFF2-40B4-BE49-F238E27FC236}">
                  <a16:creationId xmlns:a16="http://schemas.microsoft.com/office/drawing/2014/main" id="{B98071E9-FE91-A3BD-BB3D-8E25C81A3903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2080080" y="7016760"/>
              <a:ext cx="673920" cy="14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603148</xdr:colOff>
      <xdr:row>36</xdr:row>
      <xdr:rowOff>74547</xdr:rowOff>
    </xdr:from>
    <xdr:to>
      <xdr:col>2</xdr:col>
      <xdr:colOff>100736</xdr:colOff>
      <xdr:row>37</xdr:row>
      <xdr:rowOff>8727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58EF82BC-95D5-74B1-B1AF-C7D12A2AD827}"/>
                </a:ext>
              </a:extLst>
            </xdr14:cNvPr>
            <xdr14:cNvContentPartPr/>
          </xdr14:nvContentPartPr>
          <xdr14:nvPr macro=""/>
          <xdr14:xfrm>
            <a:off x="1431000" y="7355880"/>
            <a:ext cx="325440" cy="13644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58EF82BC-95D5-74B1-B1AF-C7D12A2AD827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423440" y="7348320"/>
              <a:ext cx="340200" cy="15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97073</xdr:colOff>
      <xdr:row>35</xdr:row>
      <xdr:rowOff>14006</xdr:rowOff>
    </xdr:from>
    <xdr:to>
      <xdr:col>4</xdr:col>
      <xdr:colOff>457433</xdr:colOff>
      <xdr:row>35</xdr:row>
      <xdr:rowOff>106526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215" name="Ink 214">
              <a:extLst>
                <a:ext uri="{FF2B5EF4-FFF2-40B4-BE49-F238E27FC236}">
                  <a16:creationId xmlns:a16="http://schemas.microsoft.com/office/drawing/2014/main" id="{9E99FEC6-92E1-2616-658F-A5D2F0AB8FEE}"/>
                </a:ext>
              </a:extLst>
            </xdr14:cNvPr>
            <xdr14:cNvContentPartPr/>
          </xdr14:nvContentPartPr>
          <xdr14:nvPr macro=""/>
          <xdr14:xfrm>
            <a:off x="3408480" y="7093080"/>
            <a:ext cx="360360" cy="92520"/>
          </xdr14:xfrm>
        </xdr:contentPart>
      </mc:Choice>
      <mc:Fallback>
        <xdr:pic>
          <xdr:nvPicPr>
            <xdr:cNvPr id="215" name="Ink 214">
              <a:extLst>
                <a:ext uri="{FF2B5EF4-FFF2-40B4-BE49-F238E27FC236}">
                  <a16:creationId xmlns:a16="http://schemas.microsoft.com/office/drawing/2014/main" id="{9E99FEC6-92E1-2616-658F-A5D2F0AB8FE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400920" y="7085880"/>
              <a:ext cx="375480" cy="10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348416</xdr:colOff>
      <xdr:row>42</xdr:row>
      <xdr:rowOff>79231</xdr:rowOff>
    </xdr:from>
    <xdr:to>
      <xdr:col>3</xdr:col>
      <xdr:colOff>699924</xdr:colOff>
      <xdr:row>44</xdr:row>
      <xdr:rowOff>30033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222" name="Ink 221">
              <a:extLst>
                <a:ext uri="{FF2B5EF4-FFF2-40B4-BE49-F238E27FC236}">
                  <a16:creationId xmlns:a16="http://schemas.microsoft.com/office/drawing/2014/main" id="{9736E721-7717-CF4C-C7B0-A9D23C00CA8B}"/>
                </a:ext>
              </a:extLst>
            </xdr14:cNvPr>
            <xdr14:cNvContentPartPr/>
          </xdr14:nvContentPartPr>
          <xdr14:nvPr macro=""/>
          <xdr14:xfrm>
            <a:off x="2004120" y="8574120"/>
            <a:ext cx="1179360" cy="355320"/>
          </xdr14:xfrm>
        </xdr:contentPart>
      </mc:Choice>
      <mc:Fallback>
        <xdr:pic>
          <xdr:nvPicPr>
            <xdr:cNvPr id="222" name="Ink 221">
              <a:extLst>
                <a:ext uri="{FF2B5EF4-FFF2-40B4-BE49-F238E27FC236}">
                  <a16:creationId xmlns:a16="http://schemas.microsoft.com/office/drawing/2014/main" id="{9736E721-7717-CF4C-C7B0-A9D23C00CA8B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996560" y="8566560"/>
              <a:ext cx="1194480" cy="370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511284</xdr:colOff>
      <xdr:row>24</xdr:row>
      <xdr:rowOff>153018</xdr:rowOff>
    </xdr:from>
    <xdr:to>
      <xdr:col>6</xdr:col>
      <xdr:colOff>328129</xdr:colOff>
      <xdr:row>25</xdr:row>
      <xdr:rowOff>56239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223" name="Ink 222">
              <a:extLst>
                <a:ext uri="{FF2B5EF4-FFF2-40B4-BE49-F238E27FC236}">
                  <a16:creationId xmlns:a16="http://schemas.microsoft.com/office/drawing/2014/main" id="{0A5E17DA-E232-E93A-ABB5-5D8B9C0C83F1}"/>
                </a:ext>
              </a:extLst>
            </xdr14:cNvPr>
            <xdr14:cNvContentPartPr/>
          </xdr14:nvContentPartPr>
          <xdr14:nvPr macro=""/>
          <xdr14:xfrm>
            <a:off x="2994840" y="5007240"/>
            <a:ext cx="2300400" cy="105480"/>
          </xdr14:xfrm>
        </xdr:contentPart>
      </mc:Choice>
      <mc:Fallback>
        <xdr:pic>
          <xdr:nvPicPr>
            <xdr:cNvPr id="223" name="Ink 222">
              <a:extLst>
                <a:ext uri="{FF2B5EF4-FFF2-40B4-BE49-F238E27FC236}">
                  <a16:creationId xmlns:a16="http://schemas.microsoft.com/office/drawing/2014/main" id="{0A5E17DA-E232-E93A-ABB5-5D8B9C0C83F1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987280" y="4999680"/>
              <a:ext cx="2315520" cy="12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313433</xdr:colOff>
      <xdr:row>24</xdr:row>
      <xdr:rowOff>116658</xdr:rowOff>
    </xdr:from>
    <xdr:to>
      <xdr:col>4</xdr:col>
      <xdr:colOff>558593</xdr:colOff>
      <xdr:row>26</xdr:row>
      <xdr:rowOff>143059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232" name="Ink 231">
              <a:extLst>
                <a:ext uri="{FF2B5EF4-FFF2-40B4-BE49-F238E27FC236}">
                  <a16:creationId xmlns:a16="http://schemas.microsoft.com/office/drawing/2014/main" id="{657C58D3-1DF5-15CC-DE04-72ECA50A6BF7}"/>
                </a:ext>
              </a:extLst>
            </xdr14:cNvPr>
            <xdr14:cNvContentPartPr/>
          </xdr14:nvContentPartPr>
          <xdr14:nvPr macro=""/>
          <xdr14:xfrm>
            <a:off x="3624840" y="4970880"/>
            <a:ext cx="245160" cy="430920"/>
          </xdr14:xfrm>
        </xdr:contentPart>
      </mc:Choice>
      <mc:Fallback>
        <xdr:pic>
          <xdr:nvPicPr>
            <xdr:cNvPr id="232" name="Ink 231">
              <a:extLst>
                <a:ext uri="{FF2B5EF4-FFF2-40B4-BE49-F238E27FC236}">
                  <a16:creationId xmlns:a16="http://schemas.microsoft.com/office/drawing/2014/main" id="{657C58D3-1DF5-15CC-DE04-72ECA50A6BF7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617280" y="4963320"/>
              <a:ext cx="260280" cy="44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350809</xdr:colOff>
      <xdr:row>24</xdr:row>
      <xdr:rowOff>86778</xdr:rowOff>
    </xdr:from>
    <xdr:to>
      <xdr:col>6</xdr:col>
      <xdr:colOff>533689</xdr:colOff>
      <xdr:row>25</xdr:row>
      <xdr:rowOff>162439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233" name="Ink 232">
              <a:extLst>
                <a:ext uri="{FF2B5EF4-FFF2-40B4-BE49-F238E27FC236}">
                  <a16:creationId xmlns:a16="http://schemas.microsoft.com/office/drawing/2014/main" id="{999883F5-4E6A-5DE6-F6D4-CA81B00D44C3}"/>
                </a:ext>
              </a:extLst>
            </xdr14:cNvPr>
            <xdr14:cNvContentPartPr/>
          </xdr14:nvContentPartPr>
          <xdr14:nvPr macro=""/>
          <xdr14:xfrm>
            <a:off x="5317920" y="4941000"/>
            <a:ext cx="182880" cy="277920"/>
          </xdr14:xfrm>
        </xdr:contentPart>
      </mc:Choice>
      <mc:Fallback>
        <xdr:pic>
          <xdr:nvPicPr>
            <xdr:cNvPr id="233" name="Ink 232">
              <a:extLst>
                <a:ext uri="{FF2B5EF4-FFF2-40B4-BE49-F238E27FC236}">
                  <a16:creationId xmlns:a16="http://schemas.microsoft.com/office/drawing/2014/main" id="{999883F5-4E6A-5DE6-F6D4-CA81B00D44C3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310345" y="4933430"/>
              <a:ext cx="198030" cy="293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405084</xdr:colOff>
      <xdr:row>25</xdr:row>
      <xdr:rowOff>9799</xdr:rowOff>
    </xdr:from>
    <xdr:to>
      <xdr:col>3</xdr:col>
      <xdr:colOff>528924</xdr:colOff>
      <xdr:row>26</xdr:row>
      <xdr:rowOff>67099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234" name="Ink 233">
              <a:extLst>
                <a:ext uri="{FF2B5EF4-FFF2-40B4-BE49-F238E27FC236}">
                  <a16:creationId xmlns:a16="http://schemas.microsoft.com/office/drawing/2014/main" id="{CA85AF13-F969-986C-EDED-57DD6A72AE58}"/>
                </a:ext>
              </a:extLst>
            </xdr14:cNvPr>
            <xdr14:cNvContentPartPr/>
          </xdr14:nvContentPartPr>
          <xdr14:nvPr macro=""/>
          <xdr14:xfrm>
            <a:off x="2888640" y="5066280"/>
            <a:ext cx="123840" cy="259560"/>
          </xdr14:xfrm>
        </xdr:contentPart>
      </mc:Choice>
      <mc:Fallback>
        <xdr:pic>
          <xdr:nvPicPr>
            <xdr:cNvPr id="234" name="Ink 233">
              <a:extLst>
                <a:ext uri="{FF2B5EF4-FFF2-40B4-BE49-F238E27FC236}">
                  <a16:creationId xmlns:a16="http://schemas.microsoft.com/office/drawing/2014/main" id="{CA85AF13-F969-986C-EDED-57DD6A72AE58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2881080" y="5058730"/>
              <a:ext cx="138960" cy="2746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93261</xdr:colOff>
      <xdr:row>24</xdr:row>
      <xdr:rowOff>107658</xdr:rowOff>
    </xdr:from>
    <xdr:to>
      <xdr:col>6</xdr:col>
      <xdr:colOff>150289</xdr:colOff>
      <xdr:row>27</xdr:row>
      <xdr:rowOff>52400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247" name="Ink 246">
              <a:extLst>
                <a:ext uri="{FF2B5EF4-FFF2-40B4-BE49-F238E27FC236}">
                  <a16:creationId xmlns:a16="http://schemas.microsoft.com/office/drawing/2014/main" id="{D583EEFC-603F-8407-1BF3-143AA8D4FEE0}"/>
                </a:ext>
              </a:extLst>
            </xdr14:cNvPr>
            <xdr14:cNvContentPartPr/>
          </xdr14:nvContentPartPr>
          <xdr14:nvPr macro=""/>
          <xdr14:xfrm>
            <a:off x="4232520" y="4961880"/>
            <a:ext cx="884880" cy="551520"/>
          </xdr14:xfrm>
        </xdr:contentPart>
      </mc:Choice>
      <mc:Fallback>
        <xdr:pic>
          <xdr:nvPicPr>
            <xdr:cNvPr id="247" name="Ink 246">
              <a:extLst>
                <a:ext uri="{FF2B5EF4-FFF2-40B4-BE49-F238E27FC236}">
                  <a16:creationId xmlns:a16="http://schemas.microsoft.com/office/drawing/2014/main" id="{D583EEFC-603F-8407-1BF3-143AA8D4FEE0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224960" y="4954315"/>
              <a:ext cx="900000" cy="5666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280673</xdr:colOff>
      <xdr:row>27</xdr:row>
      <xdr:rowOff>179480</xdr:rowOff>
    </xdr:from>
    <xdr:to>
      <xdr:col>4</xdr:col>
      <xdr:colOff>689633</xdr:colOff>
      <xdr:row>28</xdr:row>
      <xdr:rowOff>144261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287" name="Ink 286">
              <a:extLst>
                <a:ext uri="{FF2B5EF4-FFF2-40B4-BE49-F238E27FC236}">
                  <a16:creationId xmlns:a16="http://schemas.microsoft.com/office/drawing/2014/main" id="{83092BF1-BEFD-292B-1F74-C82E23DFBD15}"/>
                </a:ext>
              </a:extLst>
            </xdr14:cNvPr>
            <xdr14:cNvContentPartPr/>
          </xdr14:nvContentPartPr>
          <xdr14:nvPr macro=""/>
          <xdr14:xfrm>
            <a:off x="3592080" y="5640480"/>
            <a:ext cx="408960" cy="167040"/>
          </xdr14:xfrm>
        </xdr:contentPart>
      </mc:Choice>
      <mc:Fallback>
        <xdr:pic>
          <xdr:nvPicPr>
            <xdr:cNvPr id="287" name="Ink 286">
              <a:extLst>
                <a:ext uri="{FF2B5EF4-FFF2-40B4-BE49-F238E27FC236}">
                  <a16:creationId xmlns:a16="http://schemas.microsoft.com/office/drawing/2014/main" id="{83092BF1-BEFD-292B-1F74-C82E23DFBD15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581289" y="5630040"/>
              <a:ext cx="430181" cy="18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216381</xdr:colOff>
      <xdr:row>27</xdr:row>
      <xdr:rowOff>175520</xdr:rowOff>
    </xdr:from>
    <xdr:to>
      <xdr:col>5</xdr:col>
      <xdr:colOff>533181</xdr:colOff>
      <xdr:row>29</xdr:row>
      <xdr:rowOff>88161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288" name="Ink 287">
              <a:extLst>
                <a:ext uri="{FF2B5EF4-FFF2-40B4-BE49-F238E27FC236}">
                  <a16:creationId xmlns:a16="http://schemas.microsoft.com/office/drawing/2014/main" id="{F3450ED4-6FB5-B695-60D6-631C859C1DF1}"/>
                </a:ext>
              </a:extLst>
            </xdr14:cNvPr>
            <xdr14:cNvContentPartPr/>
          </xdr14:nvContentPartPr>
          <xdr14:nvPr macro=""/>
          <xdr14:xfrm>
            <a:off x="4355640" y="5636520"/>
            <a:ext cx="316800" cy="317160"/>
          </xdr14:xfrm>
        </xdr:contentPart>
      </mc:Choice>
      <mc:Fallback>
        <xdr:pic>
          <xdr:nvPicPr>
            <xdr:cNvPr id="288" name="Ink 287">
              <a:extLst>
                <a:ext uri="{FF2B5EF4-FFF2-40B4-BE49-F238E27FC236}">
                  <a16:creationId xmlns:a16="http://schemas.microsoft.com/office/drawing/2014/main" id="{F3450ED4-6FB5-B695-60D6-631C859C1DF1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4344840" y="5626080"/>
              <a:ext cx="338040" cy="33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791661</xdr:colOff>
      <xdr:row>26</xdr:row>
      <xdr:rowOff>176899</xdr:rowOff>
    </xdr:from>
    <xdr:to>
      <xdr:col>6</xdr:col>
      <xdr:colOff>650689</xdr:colOff>
      <xdr:row>28</xdr:row>
      <xdr:rowOff>91341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289" name="Ink 288">
              <a:extLst>
                <a:ext uri="{FF2B5EF4-FFF2-40B4-BE49-F238E27FC236}">
                  <a16:creationId xmlns:a16="http://schemas.microsoft.com/office/drawing/2014/main" id="{604D84AB-340F-DB6C-4CF6-E49BEC0A2154}"/>
                </a:ext>
              </a:extLst>
            </xdr14:cNvPr>
            <xdr14:cNvContentPartPr/>
          </xdr14:nvContentPartPr>
          <xdr14:nvPr macro=""/>
          <xdr14:xfrm>
            <a:off x="4930920" y="5435640"/>
            <a:ext cx="686880" cy="318960"/>
          </xdr14:xfrm>
        </xdr:contentPart>
      </mc:Choice>
      <mc:Fallback>
        <xdr:pic>
          <xdr:nvPicPr>
            <xdr:cNvPr id="289" name="Ink 288">
              <a:extLst>
                <a:ext uri="{FF2B5EF4-FFF2-40B4-BE49-F238E27FC236}">
                  <a16:creationId xmlns:a16="http://schemas.microsoft.com/office/drawing/2014/main" id="{604D84AB-340F-DB6C-4CF6-E49BEC0A2154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920120" y="5424852"/>
              <a:ext cx="708120" cy="3401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531444</xdr:colOff>
      <xdr:row>22</xdr:row>
      <xdr:rowOff>103216</xdr:rowOff>
    </xdr:from>
    <xdr:to>
      <xdr:col>6</xdr:col>
      <xdr:colOff>364129</xdr:colOff>
      <xdr:row>24</xdr:row>
      <xdr:rowOff>187218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889AA535-6404-CB0C-7783-CA7C26D42EF9}"/>
                </a:ext>
              </a:extLst>
            </xdr14:cNvPr>
            <xdr14:cNvContentPartPr/>
          </xdr14:nvContentPartPr>
          <xdr14:nvPr macro=""/>
          <xdr14:xfrm>
            <a:off x="3015000" y="4552920"/>
            <a:ext cx="2316240" cy="488520"/>
          </xdr14:xfrm>
        </xdr:contentPart>
      </mc:Choice>
      <mc:Fallback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889AA535-6404-CB0C-7783-CA7C26D42EF9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3004202" y="4542120"/>
              <a:ext cx="2337477" cy="50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327833</xdr:colOff>
      <xdr:row>24</xdr:row>
      <xdr:rowOff>134298</xdr:rowOff>
    </xdr:from>
    <xdr:to>
      <xdr:col>4</xdr:col>
      <xdr:colOff>368873</xdr:colOff>
      <xdr:row>25</xdr:row>
      <xdr:rowOff>166039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9">
          <xdr14:nvContentPartPr>
            <xdr14:cNvPr id="291" name="Ink 290">
              <a:extLst>
                <a:ext uri="{FF2B5EF4-FFF2-40B4-BE49-F238E27FC236}">
                  <a16:creationId xmlns:a16="http://schemas.microsoft.com/office/drawing/2014/main" id="{10E5AF98-F356-5C3D-F53E-3017F5BBE87E}"/>
                </a:ext>
              </a:extLst>
            </xdr14:cNvPr>
            <xdr14:cNvContentPartPr/>
          </xdr14:nvContentPartPr>
          <xdr14:nvPr macro=""/>
          <xdr14:xfrm>
            <a:off x="3639240" y="4988520"/>
            <a:ext cx="41040" cy="234000"/>
          </xdr14:xfrm>
        </xdr:contentPart>
      </mc:Choice>
      <mc:Fallback>
        <xdr:pic>
          <xdr:nvPicPr>
            <xdr:cNvPr id="291" name="Ink 290">
              <a:extLst>
                <a:ext uri="{FF2B5EF4-FFF2-40B4-BE49-F238E27FC236}">
                  <a16:creationId xmlns:a16="http://schemas.microsoft.com/office/drawing/2014/main" id="{10E5AF98-F356-5C3D-F53E-3017F5BBE87E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608640" y="4957920"/>
              <a:ext cx="102600" cy="29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119541</xdr:colOff>
      <xdr:row>24</xdr:row>
      <xdr:rowOff>111618</xdr:rowOff>
    </xdr:from>
    <xdr:to>
      <xdr:col>5</xdr:col>
      <xdr:colOff>150141</xdr:colOff>
      <xdr:row>25</xdr:row>
      <xdr:rowOff>138679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1">
          <xdr14:nvContentPartPr>
            <xdr14:cNvPr id="292" name="Ink 291">
              <a:extLst>
                <a:ext uri="{FF2B5EF4-FFF2-40B4-BE49-F238E27FC236}">
                  <a16:creationId xmlns:a16="http://schemas.microsoft.com/office/drawing/2014/main" id="{1CA5093E-0361-387B-5D93-8D727A7F8115}"/>
                </a:ext>
              </a:extLst>
            </xdr14:cNvPr>
            <xdr14:cNvContentPartPr/>
          </xdr14:nvContentPartPr>
          <xdr14:nvPr macro=""/>
          <xdr14:xfrm>
            <a:off x="4258800" y="4965840"/>
            <a:ext cx="30600" cy="229320"/>
          </xdr14:xfrm>
        </xdr:contentPart>
      </mc:Choice>
      <mc:Fallback>
        <xdr:pic>
          <xdr:nvPicPr>
            <xdr:cNvPr id="292" name="Ink 291">
              <a:extLst>
                <a:ext uri="{FF2B5EF4-FFF2-40B4-BE49-F238E27FC236}">
                  <a16:creationId xmlns:a16="http://schemas.microsoft.com/office/drawing/2014/main" id="{1CA5093E-0361-387B-5D93-8D727A7F8115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228200" y="4934880"/>
              <a:ext cx="91800" cy="29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726501</xdr:colOff>
      <xdr:row>24</xdr:row>
      <xdr:rowOff>55458</xdr:rowOff>
    </xdr:from>
    <xdr:to>
      <xdr:col>5</xdr:col>
      <xdr:colOff>773301</xdr:colOff>
      <xdr:row>25</xdr:row>
      <xdr:rowOff>69559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3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791F47B1-E883-D52C-AA34-12DDDC95767B}"/>
                </a:ext>
              </a:extLst>
            </xdr14:cNvPr>
            <xdr14:cNvContentPartPr/>
          </xdr14:nvContentPartPr>
          <xdr14:nvPr macro=""/>
          <xdr14:xfrm>
            <a:off x="4865760" y="4909680"/>
            <a:ext cx="46800" cy="216360"/>
          </xdr14:xfrm>
        </xdr:contentPart>
      </mc:Choice>
      <mc:Fallback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791F47B1-E883-D52C-AA34-12DDDC95767B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835160" y="4879080"/>
              <a:ext cx="10836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704244</xdr:colOff>
      <xdr:row>24</xdr:row>
      <xdr:rowOff>52578</xdr:rowOff>
    </xdr:from>
    <xdr:to>
      <xdr:col>3</xdr:col>
      <xdr:colOff>819804</xdr:colOff>
      <xdr:row>24</xdr:row>
      <xdr:rowOff>121698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294" name="Ink 293">
              <a:extLst>
                <a:ext uri="{FF2B5EF4-FFF2-40B4-BE49-F238E27FC236}">
                  <a16:creationId xmlns:a16="http://schemas.microsoft.com/office/drawing/2014/main" id="{E44070A0-3CC5-9C4F-30FB-C415C2213E25}"/>
                </a:ext>
              </a:extLst>
            </xdr14:cNvPr>
            <xdr14:cNvContentPartPr/>
          </xdr14:nvContentPartPr>
          <xdr14:nvPr macro=""/>
          <xdr14:xfrm>
            <a:off x="3187800" y="4906800"/>
            <a:ext cx="115560" cy="69120"/>
          </xdr14:xfrm>
        </xdr:contentPart>
      </mc:Choice>
      <mc:Fallback>
        <xdr:pic>
          <xdr:nvPicPr>
            <xdr:cNvPr id="294" name="Ink 293">
              <a:extLst>
                <a:ext uri="{FF2B5EF4-FFF2-40B4-BE49-F238E27FC236}">
                  <a16:creationId xmlns:a16="http://schemas.microsoft.com/office/drawing/2014/main" id="{E44070A0-3CC5-9C4F-30FB-C415C2213E25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57200" y="4876200"/>
              <a:ext cx="176760" cy="130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669833</xdr:colOff>
      <xdr:row>24</xdr:row>
      <xdr:rowOff>35658</xdr:rowOff>
    </xdr:from>
    <xdr:to>
      <xdr:col>4</xdr:col>
      <xdr:colOff>725273</xdr:colOff>
      <xdr:row>24</xdr:row>
      <xdr:rowOff>89298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37C1987D-C941-6A56-C596-83A4672C1292}"/>
                </a:ext>
              </a:extLst>
            </xdr14:cNvPr>
            <xdr14:cNvContentPartPr/>
          </xdr14:nvContentPartPr>
          <xdr14:nvPr macro=""/>
          <xdr14:xfrm>
            <a:off x="3981240" y="4889880"/>
            <a:ext cx="55440" cy="53640"/>
          </xdr14:xfrm>
        </xdr:contentPart>
      </mc:Choice>
      <mc:Fallback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37C1987D-C941-6A56-C596-83A4672C1292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950280" y="4859280"/>
              <a:ext cx="116640" cy="11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492501</xdr:colOff>
      <xdr:row>24</xdr:row>
      <xdr:rowOff>34218</xdr:rowOff>
    </xdr:from>
    <xdr:to>
      <xdr:col>5</xdr:col>
      <xdr:colOff>563781</xdr:colOff>
      <xdr:row>24</xdr:row>
      <xdr:rowOff>70218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296" name="Ink 295">
              <a:extLst>
                <a:ext uri="{FF2B5EF4-FFF2-40B4-BE49-F238E27FC236}">
                  <a16:creationId xmlns:a16="http://schemas.microsoft.com/office/drawing/2014/main" id="{5AF45821-9E6D-F99C-C293-ED32461255EF}"/>
                </a:ext>
              </a:extLst>
            </xdr14:cNvPr>
            <xdr14:cNvContentPartPr/>
          </xdr14:nvContentPartPr>
          <xdr14:nvPr macro=""/>
          <xdr14:xfrm>
            <a:off x="4631760" y="4888440"/>
            <a:ext cx="71280" cy="36000"/>
          </xdr14:xfrm>
        </xdr:contentPart>
      </mc:Choice>
      <mc:Fallback>
        <xdr:pic>
          <xdr:nvPicPr>
            <xdr:cNvPr id="296" name="Ink 295">
              <a:extLst>
                <a:ext uri="{FF2B5EF4-FFF2-40B4-BE49-F238E27FC236}">
                  <a16:creationId xmlns:a16="http://schemas.microsoft.com/office/drawing/2014/main" id="{5AF45821-9E6D-F99C-C293-ED32461255EF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601160" y="4857840"/>
              <a:ext cx="132480" cy="9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6289</xdr:colOff>
      <xdr:row>23</xdr:row>
      <xdr:rowOff>184637</xdr:rowOff>
    </xdr:from>
    <xdr:to>
      <xdr:col>6</xdr:col>
      <xdr:colOff>59569</xdr:colOff>
      <xdr:row>24</xdr:row>
      <xdr:rowOff>6498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1">
          <xdr14:nvContentPartPr>
            <xdr14:cNvPr id="297" name="Ink 296">
              <a:extLst>
                <a:ext uri="{FF2B5EF4-FFF2-40B4-BE49-F238E27FC236}">
                  <a16:creationId xmlns:a16="http://schemas.microsoft.com/office/drawing/2014/main" id="{83D68BB0-ED40-DA96-8050-75EC82F867E7}"/>
                </a:ext>
              </a:extLst>
            </xdr14:cNvPr>
            <xdr14:cNvContentPartPr/>
          </xdr14:nvContentPartPr>
          <xdr14:nvPr macro=""/>
          <xdr14:xfrm>
            <a:off x="4973400" y="4836600"/>
            <a:ext cx="53280" cy="24120"/>
          </xdr14:xfrm>
        </xdr:contentPart>
      </mc:Choice>
      <mc:Fallback>
        <xdr:pic>
          <xdr:nvPicPr>
            <xdr:cNvPr id="297" name="Ink 296">
              <a:extLst>
                <a:ext uri="{FF2B5EF4-FFF2-40B4-BE49-F238E27FC236}">
                  <a16:creationId xmlns:a16="http://schemas.microsoft.com/office/drawing/2014/main" id="{83D68BB0-ED40-DA96-8050-75EC82F867E7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942800" y="4806000"/>
              <a:ext cx="114480" cy="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674873</xdr:colOff>
      <xdr:row>45</xdr:row>
      <xdr:rowOff>23973</xdr:rowOff>
    </xdr:from>
    <xdr:to>
      <xdr:col>5</xdr:col>
      <xdr:colOff>108741</xdr:colOff>
      <xdr:row>46</xdr:row>
      <xdr:rowOff>28714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3">
          <xdr14:nvContentPartPr>
            <xdr14:cNvPr id="311" name="Ink 310">
              <a:extLst>
                <a:ext uri="{FF2B5EF4-FFF2-40B4-BE49-F238E27FC236}">
                  <a16:creationId xmlns:a16="http://schemas.microsoft.com/office/drawing/2014/main" id="{FCC642C9-FF32-54DA-2008-B592A49DB996}"/>
                </a:ext>
              </a:extLst>
            </xdr14:cNvPr>
            <xdr14:cNvContentPartPr/>
          </xdr14:nvContentPartPr>
          <xdr14:nvPr macro=""/>
          <xdr14:xfrm>
            <a:off x="3986280" y="9125640"/>
            <a:ext cx="261720" cy="207000"/>
          </xdr14:xfrm>
        </xdr:contentPart>
      </mc:Choice>
      <mc:Fallback>
        <xdr:pic>
          <xdr:nvPicPr>
            <xdr:cNvPr id="311" name="Ink 310">
              <a:extLst>
                <a:ext uri="{FF2B5EF4-FFF2-40B4-BE49-F238E27FC236}">
                  <a16:creationId xmlns:a16="http://schemas.microsoft.com/office/drawing/2014/main" id="{FCC642C9-FF32-54DA-2008-B592A49DB996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3975480" y="9115200"/>
              <a:ext cx="28296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120684</xdr:colOff>
      <xdr:row>46</xdr:row>
      <xdr:rowOff>185314</xdr:rowOff>
    </xdr:from>
    <xdr:to>
      <xdr:col>4</xdr:col>
      <xdr:colOff>395513</xdr:colOff>
      <xdr:row>49</xdr:row>
      <xdr:rowOff>91896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5">
          <xdr14:nvContentPartPr>
            <xdr14:cNvPr id="319" name="Ink 318">
              <a:extLst>
                <a:ext uri="{FF2B5EF4-FFF2-40B4-BE49-F238E27FC236}">
                  <a16:creationId xmlns:a16="http://schemas.microsoft.com/office/drawing/2014/main" id="{96DD4A02-8BF4-93CB-2616-7115BC271D3D}"/>
                </a:ext>
              </a:extLst>
            </xdr14:cNvPr>
            <xdr14:cNvContentPartPr/>
          </xdr14:nvContentPartPr>
          <xdr14:nvPr macro=""/>
          <xdr14:xfrm>
            <a:off x="2604240" y="9489240"/>
            <a:ext cx="1102680" cy="513360"/>
          </xdr14:xfrm>
        </xdr:contentPart>
      </mc:Choice>
      <mc:Fallback>
        <xdr:pic>
          <xdr:nvPicPr>
            <xdr:cNvPr id="319" name="Ink 318">
              <a:extLst>
                <a:ext uri="{FF2B5EF4-FFF2-40B4-BE49-F238E27FC236}">
                  <a16:creationId xmlns:a16="http://schemas.microsoft.com/office/drawing/2014/main" id="{96DD4A02-8BF4-93CB-2616-7115BC271D3D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2593440" y="9478800"/>
              <a:ext cx="1123920" cy="53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774084</xdr:colOff>
      <xdr:row>44</xdr:row>
      <xdr:rowOff>170073</xdr:rowOff>
    </xdr:from>
    <xdr:to>
      <xdr:col>4</xdr:col>
      <xdr:colOff>408833</xdr:colOff>
      <xdr:row>46</xdr:row>
      <xdr:rowOff>12154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7">
          <xdr14:nvContentPartPr>
            <xdr14:cNvPr id="320" name="Ink 319">
              <a:extLst>
                <a:ext uri="{FF2B5EF4-FFF2-40B4-BE49-F238E27FC236}">
                  <a16:creationId xmlns:a16="http://schemas.microsoft.com/office/drawing/2014/main" id="{4A12C66C-9EA2-54A0-61B9-2E60375E51F2}"/>
                </a:ext>
              </a:extLst>
            </xdr14:cNvPr>
            <xdr14:cNvContentPartPr/>
          </xdr14:nvContentPartPr>
          <xdr14:nvPr macro=""/>
          <xdr14:xfrm>
            <a:off x="3257640" y="9069480"/>
            <a:ext cx="462600" cy="246600"/>
          </xdr14:xfrm>
        </xdr:contentPart>
      </mc:Choice>
      <mc:Fallback>
        <xdr:pic>
          <xdr:nvPicPr>
            <xdr:cNvPr id="320" name="Ink 319">
              <a:extLst>
                <a:ext uri="{FF2B5EF4-FFF2-40B4-BE49-F238E27FC236}">
                  <a16:creationId xmlns:a16="http://schemas.microsoft.com/office/drawing/2014/main" id="{4A12C66C-9EA2-54A0-61B9-2E60375E51F2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3246848" y="9058680"/>
              <a:ext cx="483823" cy="26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652468</xdr:colOff>
      <xdr:row>45</xdr:row>
      <xdr:rowOff>18573</xdr:rowOff>
    </xdr:from>
    <xdr:to>
      <xdr:col>3</xdr:col>
      <xdr:colOff>533244</xdr:colOff>
      <xdr:row>46</xdr:row>
      <xdr:rowOff>87394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9">
          <xdr14:nvContentPartPr>
            <xdr14:cNvPr id="321" name="Ink 320">
              <a:extLst>
                <a:ext uri="{FF2B5EF4-FFF2-40B4-BE49-F238E27FC236}">
                  <a16:creationId xmlns:a16="http://schemas.microsoft.com/office/drawing/2014/main" id="{8110E800-BC1D-A973-26F6-D705053C3121}"/>
                </a:ext>
              </a:extLst>
            </xdr14:cNvPr>
            <xdr14:cNvContentPartPr/>
          </xdr14:nvContentPartPr>
          <xdr14:nvPr macro=""/>
          <xdr14:xfrm>
            <a:off x="1480320" y="9120240"/>
            <a:ext cx="1536480" cy="271080"/>
          </xdr14:xfrm>
        </xdr:contentPart>
      </mc:Choice>
      <mc:Fallback>
        <xdr:pic>
          <xdr:nvPicPr>
            <xdr:cNvPr id="321" name="Ink 320">
              <a:extLst>
                <a:ext uri="{FF2B5EF4-FFF2-40B4-BE49-F238E27FC236}">
                  <a16:creationId xmlns:a16="http://schemas.microsoft.com/office/drawing/2014/main" id="{8110E800-BC1D-A973-26F6-D705053C3121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1469880" y="9109800"/>
              <a:ext cx="1557720" cy="29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711804</xdr:colOff>
      <xdr:row>52</xdr:row>
      <xdr:rowOff>183879</xdr:rowOff>
    </xdr:from>
    <xdr:to>
      <xdr:col>6</xdr:col>
      <xdr:colOff>617209</xdr:colOff>
      <xdr:row>59</xdr:row>
      <xdr:rowOff>138944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1">
          <xdr14:nvContentPartPr>
            <xdr14:cNvPr id="362" name="Ink 361">
              <a:extLst>
                <a:ext uri="{FF2B5EF4-FFF2-40B4-BE49-F238E27FC236}">
                  <a16:creationId xmlns:a16="http://schemas.microsoft.com/office/drawing/2014/main" id="{A0A6504F-A4EC-188D-9E43-079EB7CB4D74}"/>
                </a:ext>
              </a:extLst>
            </xdr14:cNvPr>
            <xdr14:cNvContentPartPr/>
          </xdr14:nvContentPartPr>
          <xdr14:nvPr macro=""/>
          <xdr14:xfrm>
            <a:off x="3195360" y="10701360"/>
            <a:ext cx="2388960" cy="1370880"/>
          </xdr14:xfrm>
        </xdr:contentPart>
      </mc:Choice>
      <mc:Fallback>
        <xdr:pic>
          <xdr:nvPicPr>
            <xdr:cNvPr id="362" name="Ink 361">
              <a:extLst>
                <a:ext uri="{FF2B5EF4-FFF2-40B4-BE49-F238E27FC236}">
                  <a16:creationId xmlns:a16="http://schemas.microsoft.com/office/drawing/2014/main" id="{A0A6504F-A4EC-188D-9E43-079EB7CB4D74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3184560" y="10690917"/>
              <a:ext cx="2410200" cy="13921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694440</xdr:colOff>
      <xdr:row>50</xdr:row>
      <xdr:rowOff>198157</xdr:rowOff>
    </xdr:from>
    <xdr:to>
      <xdr:col>4</xdr:col>
      <xdr:colOff>727793</xdr:colOff>
      <xdr:row>60</xdr:row>
      <xdr:rowOff>115244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3">
          <xdr14:nvContentPartPr>
            <xdr14:cNvPr id="373" name="Ink 372">
              <a:extLst>
                <a:ext uri="{FF2B5EF4-FFF2-40B4-BE49-F238E27FC236}">
                  <a16:creationId xmlns:a16="http://schemas.microsoft.com/office/drawing/2014/main" id="{5706DF2F-78F2-4CB3-604B-0E16BA8EAE8B}"/>
                </a:ext>
              </a:extLst>
            </xdr14:cNvPr>
            <xdr14:cNvContentPartPr/>
          </xdr14:nvContentPartPr>
          <xdr14:nvPr macro=""/>
          <xdr14:xfrm>
            <a:off x="694440" y="10311120"/>
            <a:ext cx="3344760" cy="1939680"/>
          </xdr14:xfrm>
        </xdr:contentPart>
      </mc:Choice>
      <mc:Fallback>
        <xdr:pic>
          <xdr:nvPicPr>
            <xdr:cNvPr id="373" name="Ink 372">
              <a:extLst>
                <a:ext uri="{FF2B5EF4-FFF2-40B4-BE49-F238E27FC236}">
                  <a16:creationId xmlns:a16="http://schemas.microsoft.com/office/drawing/2014/main" id="{5706DF2F-78F2-4CB3-604B-0E16BA8EAE8B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684000" y="10300680"/>
              <a:ext cx="3366000" cy="19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322729</xdr:colOff>
      <xdr:row>24</xdr:row>
      <xdr:rowOff>37098</xdr:rowOff>
    </xdr:from>
    <xdr:to>
      <xdr:col>6</xdr:col>
      <xdr:colOff>338569</xdr:colOff>
      <xdr:row>25</xdr:row>
      <xdr:rowOff>34999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5">
          <xdr14:nvContentPartPr>
            <xdr14:cNvPr id="375" name="Ink 374">
              <a:extLst>
                <a:ext uri="{FF2B5EF4-FFF2-40B4-BE49-F238E27FC236}">
                  <a16:creationId xmlns:a16="http://schemas.microsoft.com/office/drawing/2014/main" id="{6E943C8A-CB2A-FE5C-E31C-02F800814CC4}"/>
                </a:ext>
              </a:extLst>
            </xdr14:cNvPr>
            <xdr14:cNvContentPartPr/>
          </xdr14:nvContentPartPr>
          <xdr14:nvPr macro=""/>
          <xdr14:xfrm>
            <a:off x="5289840" y="4891320"/>
            <a:ext cx="15840" cy="200160"/>
          </xdr14:xfrm>
        </xdr:contentPart>
      </mc:Choice>
      <mc:Fallback>
        <xdr:pic>
          <xdr:nvPicPr>
            <xdr:cNvPr id="375" name="Ink 374">
              <a:extLst>
                <a:ext uri="{FF2B5EF4-FFF2-40B4-BE49-F238E27FC236}">
                  <a16:creationId xmlns:a16="http://schemas.microsoft.com/office/drawing/2014/main" id="{6E943C8A-CB2A-FE5C-E31C-02F800814CC4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5259240" y="4860360"/>
              <a:ext cx="77400" cy="26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82461</xdr:colOff>
      <xdr:row>23</xdr:row>
      <xdr:rowOff>117317</xdr:rowOff>
    </xdr:from>
    <xdr:to>
      <xdr:col>5</xdr:col>
      <xdr:colOff>133941</xdr:colOff>
      <xdr:row>25</xdr:row>
      <xdr:rowOff>162079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7">
          <xdr14:nvContentPartPr>
            <xdr14:cNvPr id="380" name="Ink 379">
              <a:extLst>
                <a:ext uri="{FF2B5EF4-FFF2-40B4-BE49-F238E27FC236}">
                  <a16:creationId xmlns:a16="http://schemas.microsoft.com/office/drawing/2014/main" id="{74A1DF6B-524C-3160-4647-67DFD1CF0A23}"/>
                </a:ext>
              </a:extLst>
            </xdr14:cNvPr>
            <xdr14:cNvContentPartPr/>
          </xdr14:nvContentPartPr>
          <xdr14:nvPr macro=""/>
          <xdr14:xfrm>
            <a:off x="4221720" y="4769280"/>
            <a:ext cx="51480" cy="449280"/>
          </xdr14:xfrm>
        </xdr:contentPart>
      </mc:Choice>
      <mc:Fallback>
        <xdr:pic>
          <xdr:nvPicPr>
            <xdr:cNvPr id="380" name="Ink 379">
              <a:extLst>
                <a:ext uri="{FF2B5EF4-FFF2-40B4-BE49-F238E27FC236}">
                  <a16:creationId xmlns:a16="http://schemas.microsoft.com/office/drawing/2014/main" id="{74A1DF6B-524C-3160-4647-67DFD1CF0A23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190760" y="4738680"/>
              <a:ext cx="113040" cy="51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720021</xdr:colOff>
      <xdr:row>23</xdr:row>
      <xdr:rowOff>91397</xdr:rowOff>
    </xdr:from>
    <xdr:to>
      <xdr:col>5</xdr:col>
      <xdr:colOff>783741</xdr:colOff>
      <xdr:row>25</xdr:row>
      <xdr:rowOff>160279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9">
          <xdr14:nvContentPartPr>
            <xdr14:cNvPr id="381" name="Ink 380">
              <a:extLst>
                <a:ext uri="{FF2B5EF4-FFF2-40B4-BE49-F238E27FC236}">
                  <a16:creationId xmlns:a16="http://schemas.microsoft.com/office/drawing/2014/main" id="{5C70DE52-5A9D-0A5B-D33D-8DB6DBCD419F}"/>
                </a:ext>
              </a:extLst>
            </xdr14:cNvPr>
            <xdr14:cNvContentPartPr/>
          </xdr14:nvContentPartPr>
          <xdr14:nvPr macro=""/>
          <xdr14:xfrm>
            <a:off x="4859280" y="4743360"/>
            <a:ext cx="63720" cy="473400"/>
          </xdr14:xfrm>
        </xdr:contentPart>
      </mc:Choice>
      <mc:Fallback>
        <xdr:pic>
          <xdr:nvPicPr>
            <xdr:cNvPr id="381" name="Ink 380">
              <a:extLst>
                <a:ext uri="{FF2B5EF4-FFF2-40B4-BE49-F238E27FC236}">
                  <a16:creationId xmlns:a16="http://schemas.microsoft.com/office/drawing/2014/main" id="{5C70DE52-5A9D-0A5B-D33D-8DB6DBCD419F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4828680" y="4712400"/>
              <a:ext cx="125280" cy="53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279889</xdr:colOff>
      <xdr:row>23</xdr:row>
      <xdr:rowOff>43157</xdr:rowOff>
    </xdr:from>
    <xdr:to>
      <xdr:col>6</xdr:col>
      <xdr:colOff>310849</xdr:colOff>
      <xdr:row>25</xdr:row>
      <xdr:rowOff>63799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1">
          <xdr14:nvContentPartPr>
            <xdr14:cNvPr id="382" name="Ink 381">
              <a:extLst>
                <a:ext uri="{FF2B5EF4-FFF2-40B4-BE49-F238E27FC236}">
                  <a16:creationId xmlns:a16="http://schemas.microsoft.com/office/drawing/2014/main" id="{9C534DDF-E326-070C-64B5-5E9033C1D1C8}"/>
                </a:ext>
              </a:extLst>
            </xdr14:cNvPr>
            <xdr14:cNvContentPartPr/>
          </xdr14:nvContentPartPr>
          <xdr14:nvPr macro=""/>
          <xdr14:xfrm>
            <a:off x="5247000" y="4695120"/>
            <a:ext cx="30960" cy="425160"/>
          </xdr14:xfrm>
        </xdr:contentPart>
      </mc:Choice>
      <mc:Fallback>
        <xdr:pic>
          <xdr:nvPicPr>
            <xdr:cNvPr id="382" name="Ink 381">
              <a:extLst>
                <a:ext uri="{FF2B5EF4-FFF2-40B4-BE49-F238E27FC236}">
                  <a16:creationId xmlns:a16="http://schemas.microsoft.com/office/drawing/2014/main" id="{9C534DDF-E326-070C-64B5-5E9033C1D1C8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5216400" y="4664520"/>
              <a:ext cx="92520" cy="48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263753</xdr:colOff>
      <xdr:row>23</xdr:row>
      <xdr:rowOff>137837</xdr:rowOff>
    </xdr:from>
    <xdr:to>
      <xdr:col>4</xdr:col>
      <xdr:colOff>381113</xdr:colOff>
      <xdr:row>26</xdr:row>
      <xdr:rowOff>17779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3">
          <xdr14:nvContentPartPr>
            <xdr14:cNvPr id="383" name="Ink 382">
              <a:extLst>
                <a:ext uri="{FF2B5EF4-FFF2-40B4-BE49-F238E27FC236}">
                  <a16:creationId xmlns:a16="http://schemas.microsoft.com/office/drawing/2014/main" id="{3C175BAA-EE6D-FAF0-76B3-6B9B8E23136D}"/>
                </a:ext>
              </a:extLst>
            </xdr14:cNvPr>
            <xdr14:cNvContentPartPr/>
          </xdr14:nvContentPartPr>
          <xdr14:nvPr macro=""/>
          <xdr14:xfrm>
            <a:off x="3575160" y="4789800"/>
            <a:ext cx="117360" cy="486720"/>
          </xdr14:xfrm>
        </xdr:contentPart>
      </mc:Choice>
      <mc:Fallback>
        <xdr:pic>
          <xdr:nvPicPr>
            <xdr:cNvPr id="383" name="Ink 382">
              <a:extLst>
                <a:ext uri="{FF2B5EF4-FFF2-40B4-BE49-F238E27FC236}">
                  <a16:creationId xmlns:a16="http://schemas.microsoft.com/office/drawing/2014/main" id="{3C175BAA-EE6D-FAF0-76B3-6B9B8E23136D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544200" y="4759200"/>
              <a:ext cx="178560" cy="54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424164</xdr:colOff>
      <xdr:row>23</xdr:row>
      <xdr:rowOff>193997</xdr:rowOff>
    </xdr:from>
    <xdr:to>
      <xdr:col>3</xdr:col>
      <xdr:colOff>545844</xdr:colOff>
      <xdr:row>26</xdr:row>
      <xdr:rowOff>17059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5">
          <xdr14:nvContentPartPr>
            <xdr14:cNvPr id="384" name="Ink 383">
              <a:extLst>
                <a:ext uri="{FF2B5EF4-FFF2-40B4-BE49-F238E27FC236}">
                  <a16:creationId xmlns:a16="http://schemas.microsoft.com/office/drawing/2014/main" id="{513D8724-FD29-F880-674C-DAABDEFCB42D}"/>
                </a:ext>
              </a:extLst>
            </xdr14:cNvPr>
            <xdr14:cNvContentPartPr/>
          </xdr14:nvContentPartPr>
          <xdr14:nvPr macro=""/>
          <xdr14:xfrm>
            <a:off x="2907720" y="4845960"/>
            <a:ext cx="121680" cy="429840"/>
          </xdr14:xfrm>
        </xdr:contentPart>
      </mc:Choice>
      <mc:Fallback>
        <xdr:pic>
          <xdr:nvPicPr>
            <xdr:cNvPr id="384" name="Ink 383">
              <a:extLst>
                <a:ext uri="{FF2B5EF4-FFF2-40B4-BE49-F238E27FC236}">
                  <a16:creationId xmlns:a16="http://schemas.microsoft.com/office/drawing/2014/main" id="{513D8724-FD29-F880-674C-DAABDEFCB42D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877120" y="4815334"/>
              <a:ext cx="182880" cy="491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247044</xdr:colOff>
      <xdr:row>24</xdr:row>
      <xdr:rowOff>143298</xdr:rowOff>
    </xdr:from>
    <xdr:to>
      <xdr:col>3</xdr:col>
      <xdr:colOff>357564</xdr:colOff>
      <xdr:row>25</xdr:row>
      <xdr:rowOff>46159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7">
          <xdr14:nvContentPartPr>
            <xdr14:cNvPr id="385" name="Ink 384">
              <a:extLst>
                <a:ext uri="{FF2B5EF4-FFF2-40B4-BE49-F238E27FC236}">
                  <a16:creationId xmlns:a16="http://schemas.microsoft.com/office/drawing/2014/main" id="{C715E160-C412-3297-64AA-E8EBEE05FD7B}"/>
                </a:ext>
              </a:extLst>
            </xdr14:cNvPr>
            <xdr14:cNvContentPartPr/>
          </xdr14:nvContentPartPr>
          <xdr14:nvPr macro=""/>
          <xdr14:xfrm>
            <a:off x="2730600" y="4997520"/>
            <a:ext cx="110520" cy="105120"/>
          </xdr14:xfrm>
        </xdr:contentPart>
      </mc:Choice>
      <mc:Fallback>
        <xdr:pic>
          <xdr:nvPicPr>
            <xdr:cNvPr id="385" name="Ink 384">
              <a:extLst>
                <a:ext uri="{FF2B5EF4-FFF2-40B4-BE49-F238E27FC236}">
                  <a16:creationId xmlns:a16="http://schemas.microsoft.com/office/drawing/2014/main" id="{C715E160-C412-3297-64AA-E8EBEE05FD7B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2699640" y="4966920"/>
              <a:ext cx="172080" cy="16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196433</xdr:colOff>
      <xdr:row>24</xdr:row>
      <xdr:rowOff>3618</xdr:rowOff>
    </xdr:from>
    <xdr:to>
      <xdr:col>4</xdr:col>
      <xdr:colOff>196793</xdr:colOff>
      <xdr:row>24</xdr:row>
      <xdr:rowOff>3978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9">
          <xdr14:nvContentPartPr>
            <xdr14:cNvPr id="386" name="Ink 385">
              <a:extLst>
                <a:ext uri="{FF2B5EF4-FFF2-40B4-BE49-F238E27FC236}">
                  <a16:creationId xmlns:a16="http://schemas.microsoft.com/office/drawing/2014/main" id="{D22DDA1F-6417-8067-49A8-73E3364AFD6A}"/>
                </a:ext>
              </a:extLst>
            </xdr14:cNvPr>
            <xdr14:cNvContentPartPr/>
          </xdr14:nvContentPartPr>
          <xdr14:nvPr macro=""/>
          <xdr14:xfrm>
            <a:off x="3507840" y="4857840"/>
            <a:ext cx="360" cy="360"/>
          </xdr14:xfrm>
        </xdr:contentPart>
      </mc:Choice>
      <mc:Fallback>
        <xdr:pic>
          <xdr:nvPicPr>
            <xdr:cNvPr id="386" name="Ink 385">
              <a:extLst>
                <a:ext uri="{FF2B5EF4-FFF2-40B4-BE49-F238E27FC236}">
                  <a16:creationId xmlns:a16="http://schemas.microsoft.com/office/drawing/2014/main" id="{D22DDA1F-6417-8067-49A8-73E3364AFD6A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3477240" y="4826880"/>
              <a:ext cx="61560" cy="6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822833</xdr:colOff>
      <xdr:row>23</xdr:row>
      <xdr:rowOff>169517</xdr:rowOff>
    </xdr:from>
    <xdr:to>
      <xdr:col>5</xdr:col>
      <xdr:colOff>6501</xdr:colOff>
      <xdr:row>23</xdr:row>
      <xdr:rowOff>171677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11">
          <xdr14:nvContentPartPr>
            <xdr14:cNvPr id="387" name="Ink 386">
              <a:extLst>
                <a:ext uri="{FF2B5EF4-FFF2-40B4-BE49-F238E27FC236}">
                  <a16:creationId xmlns:a16="http://schemas.microsoft.com/office/drawing/2014/main" id="{B2C46035-E27F-000F-B836-1D4A51F6C9AF}"/>
                </a:ext>
              </a:extLst>
            </xdr14:cNvPr>
            <xdr14:cNvContentPartPr/>
          </xdr14:nvContentPartPr>
          <xdr14:nvPr macro=""/>
          <xdr14:xfrm>
            <a:off x="4134240" y="4821480"/>
            <a:ext cx="11520" cy="2160"/>
          </xdr14:xfrm>
        </xdr:contentPart>
      </mc:Choice>
      <mc:Fallback>
        <xdr:pic>
          <xdr:nvPicPr>
            <xdr:cNvPr id="387" name="Ink 386">
              <a:extLst>
                <a:ext uri="{FF2B5EF4-FFF2-40B4-BE49-F238E27FC236}">
                  <a16:creationId xmlns:a16="http://schemas.microsoft.com/office/drawing/2014/main" id="{B2C46035-E27F-000F-B836-1D4A51F6C9AF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03640" y="4790880"/>
              <a:ext cx="72720" cy="6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615981</xdr:colOff>
      <xdr:row>23</xdr:row>
      <xdr:rowOff>154397</xdr:rowOff>
    </xdr:from>
    <xdr:to>
      <xdr:col>5</xdr:col>
      <xdr:colOff>616341</xdr:colOff>
      <xdr:row>23</xdr:row>
      <xdr:rowOff>154757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13">
          <xdr14:nvContentPartPr>
            <xdr14:cNvPr id="388" name="Ink 387">
              <a:extLst>
                <a:ext uri="{FF2B5EF4-FFF2-40B4-BE49-F238E27FC236}">
                  <a16:creationId xmlns:a16="http://schemas.microsoft.com/office/drawing/2014/main" id="{B0610925-B94A-3A47-31DF-51973EBF96EE}"/>
                </a:ext>
              </a:extLst>
            </xdr14:cNvPr>
            <xdr14:cNvContentPartPr/>
          </xdr14:nvContentPartPr>
          <xdr14:nvPr macro=""/>
          <xdr14:xfrm>
            <a:off x="4755240" y="4806360"/>
            <a:ext cx="360" cy="360"/>
          </xdr14:xfrm>
        </xdr:contentPart>
      </mc:Choice>
      <mc:Fallback>
        <xdr:pic>
          <xdr:nvPicPr>
            <xdr:cNvPr id="388" name="Ink 387">
              <a:extLst>
                <a:ext uri="{FF2B5EF4-FFF2-40B4-BE49-F238E27FC236}">
                  <a16:creationId xmlns:a16="http://schemas.microsoft.com/office/drawing/2014/main" id="{B0610925-B94A-3A47-31DF-51973EBF96EE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724640" y="4775760"/>
              <a:ext cx="61560" cy="6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476449</xdr:colOff>
      <xdr:row>23</xdr:row>
      <xdr:rowOff>62957</xdr:rowOff>
    </xdr:from>
    <xdr:to>
      <xdr:col>6</xdr:col>
      <xdr:colOff>584809</xdr:colOff>
      <xdr:row>23</xdr:row>
      <xdr:rowOff>190397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15">
          <xdr14:nvContentPartPr>
            <xdr14:cNvPr id="389" name="Ink 388">
              <a:extLst>
                <a:ext uri="{FF2B5EF4-FFF2-40B4-BE49-F238E27FC236}">
                  <a16:creationId xmlns:a16="http://schemas.microsoft.com/office/drawing/2014/main" id="{F1D67806-B240-5ECD-71AF-E6D11110887A}"/>
                </a:ext>
              </a:extLst>
            </xdr14:cNvPr>
            <xdr14:cNvContentPartPr/>
          </xdr14:nvContentPartPr>
          <xdr14:nvPr macro=""/>
          <xdr14:xfrm>
            <a:off x="5443560" y="4714920"/>
            <a:ext cx="108360" cy="127440"/>
          </xdr14:xfrm>
        </xdr:contentPart>
      </mc:Choice>
      <mc:Fallback>
        <xdr:pic>
          <xdr:nvPicPr>
            <xdr:cNvPr id="389" name="Ink 388">
              <a:extLst>
                <a:ext uri="{FF2B5EF4-FFF2-40B4-BE49-F238E27FC236}">
                  <a16:creationId xmlns:a16="http://schemas.microsoft.com/office/drawing/2014/main" id="{F1D67806-B240-5ECD-71AF-E6D11110887A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5412960" y="4684320"/>
              <a:ext cx="169560" cy="18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457284</xdr:colOff>
      <xdr:row>55</xdr:row>
      <xdr:rowOff>53021</xdr:rowOff>
    </xdr:from>
    <xdr:to>
      <xdr:col>4</xdr:col>
      <xdr:colOff>650033</xdr:colOff>
      <xdr:row>55</xdr:row>
      <xdr:rowOff>179741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390" name="Ink 389">
              <a:extLst>
                <a:ext uri="{FF2B5EF4-FFF2-40B4-BE49-F238E27FC236}">
                  <a16:creationId xmlns:a16="http://schemas.microsoft.com/office/drawing/2014/main" id="{04646915-7580-1DD3-5673-77F73E5CBD44}"/>
                </a:ext>
              </a:extLst>
            </xdr14:cNvPr>
            <xdr14:cNvContentPartPr/>
          </xdr14:nvContentPartPr>
          <xdr14:nvPr macro=""/>
          <xdr14:xfrm>
            <a:off x="2940840" y="11177280"/>
            <a:ext cx="1020600" cy="126720"/>
          </xdr14:xfrm>
        </xdr:contentPart>
      </mc:Choice>
      <mc:Fallback>
        <xdr:pic>
          <xdr:nvPicPr>
            <xdr:cNvPr id="390" name="Ink 389">
              <a:extLst>
                <a:ext uri="{FF2B5EF4-FFF2-40B4-BE49-F238E27FC236}">
                  <a16:creationId xmlns:a16="http://schemas.microsoft.com/office/drawing/2014/main" id="{04646915-7580-1DD3-5673-77F73E5CBD44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2930400" y="11166480"/>
              <a:ext cx="1041840" cy="14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442016</xdr:colOff>
      <xdr:row>55</xdr:row>
      <xdr:rowOff>197381</xdr:rowOff>
    </xdr:from>
    <xdr:to>
      <xdr:col>4</xdr:col>
      <xdr:colOff>813833</xdr:colOff>
      <xdr:row>56</xdr:row>
      <xdr:rowOff>122201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391" name="Ink 390">
              <a:extLst>
                <a:ext uri="{FF2B5EF4-FFF2-40B4-BE49-F238E27FC236}">
                  <a16:creationId xmlns:a16="http://schemas.microsoft.com/office/drawing/2014/main" id="{210A44F3-DE58-31B4-4153-0BE9AE4E5514}"/>
                </a:ext>
              </a:extLst>
            </xdr14:cNvPr>
            <xdr14:cNvContentPartPr/>
          </xdr14:nvContentPartPr>
          <xdr14:nvPr macro=""/>
          <xdr14:xfrm>
            <a:off x="2097720" y="11321640"/>
            <a:ext cx="2027520" cy="127080"/>
          </xdr14:xfrm>
        </xdr:contentPart>
      </mc:Choice>
      <mc:Fallback>
        <xdr:pic>
          <xdr:nvPicPr>
            <xdr:cNvPr id="391" name="Ink 390">
              <a:extLst>
                <a:ext uri="{FF2B5EF4-FFF2-40B4-BE49-F238E27FC236}">
                  <a16:creationId xmlns:a16="http://schemas.microsoft.com/office/drawing/2014/main" id="{210A44F3-DE58-31B4-4153-0BE9AE4E5514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2086920" y="11311200"/>
              <a:ext cx="2048760" cy="14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428696</xdr:colOff>
      <xdr:row>63</xdr:row>
      <xdr:rowOff>196427</xdr:rowOff>
    </xdr:from>
    <xdr:to>
      <xdr:col>2</xdr:col>
      <xdr:colOff>730016</xdr:colOff>
      <xdr:row>64</xdr:row>
      <xdr:rowOff>133847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399" name="Ink 398">
              <a:extLst>
                <a:ext uri="{FF2B5EF4-FFF2-40B4-BE49-F238E27FC236}">
                  <a16:creationId xmlns:a16="http://schemas.microsoft.com/office/drawing/2014/main" id="{239582C5-F185-46EB-2FCD-5293921D5B6A}"/>
                </a:ext>
              </a:extLst>
            </xdr14:cNvPr>
            <xdr14:cNvContentPartPr/>
          </xdr14:nvContentPartPr>
          <xdr14:nvPr macro=""/>
          <xdr14:xfrm>
            <a:off x="2084400" y="12938760"/>
            <a:ext cx="301320" cy="139680"/>
          </xdr14:xfrm>
        </xdr:contentPart>
      </mc:Choice>
      <mc:Fallback>
        <xdr:pic>
          <xdr:nvPicPr>
            <xdr:cNvPr id="399" name="Ink 398">
              <a:extLst>
                <a:ext uri="{FF2B5EF4-FFF2-40B4-BE49-F238E27FC236}">
                  <a16:creationId xmlns:a16="http://schemas.microsoft.com/office/drawing/2014/main" id="{239582C5-F185-46EB-2FCD-5293921D5B6A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2073600" y="12928320"/>
              <a:ext cx="32256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159924</xdr:colOff>
      <xdr:row>63</xdr:row>
      <xdr:rowOff>179507</xdr:rowOff>
    </xdr:from>
    <xdr:to>
      <xdr:col>3</xdr:col>
      <xdr:colOff>315804</xdr:colOff>
      <xdr:row>65</xdr:row>
      <xdr:rowOff>3228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400" name="Ink 399">
              <a:extLst>
                <a:ext uri="{FF2B5EF4-FFF2-40B4-BE49-F238E27FC236}">
                  <a16:creationId xmlns:a16="http://schemas.microsoft.com/office/drawing/2014/main" id="{F6D29A55-7635-D803-B922-9E4AE88AF705}"/>
                </a:ext>
              </a:extLst>
            </xdr14:cNvPr>
            <xdr14:cNvContentPartPr/>
          </xdr14:nvContentPartPr>
          <xdr14:nvPr macro=""/>
          <xdr14:xfrm>
            <a:off x="2643480" y="12921840"/>
            <a:ext cx="155880" cy="228240"/>
          </xdr14:xfrm>
        </xdr:contentPart>
      </mc:Choice>
      <mc:Fallback>
        <xdr:pic>
          <xdr:nvPicPr>
            <xdr:cNvPr id="400" name="Ink 399">
              <a:extLst>
                <a:ext uri="{FF2B5EF4-FFF2-40B4-BE49-F238E27FC236}">
                  <a16:creationId xmlns:a16="http://schemas.microsoft.com/office/drawing/2014/main" id="{F6D29A55-7635-D803-B922-9E4AE88AF705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633040" y="12911400"/>
              <a:ext cx="177120" cy="24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356124</xdr:colOff>
      <xdr:row>63</xdr:row>
      <xdr:rowOff>169067</xdr:rowOff>
    </xdr:from>
    <xdr:to>
      <xdr:col>3</xdr:col>
      <xdr:colOff>537924</xdr:colOff>
      <xdr:row>65</xdr:row>
      <xdr:rowOff>69828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401" name="Ink 400">
              <a:extLst>
                <a:ext uri="{FF2B5EF4-FFF2-40B4-BE49-F238E27FC236}">
                  <a16:creationId xmlns:a16="http://schemas.microsoft.com/office/drawing/2014/main" id="{281D8F58-1826-4575-6C8E-85661D367DCB}"/>
                </a:ext>
              </a:extLst>
            </xdr14:cNvPr>
            <xdr14:cNvContentPartPr/>
          </xdr14:nvContentPartPr>
          <xdr14:nvPr macro=""/>
          <xdr14:xfrm>
            <a:off x="2839680" y="12911400"/>
            <a:ext cx="181800" cy="305280"/>
          </xdr14:xfrm>
        </xdr:contentPart>
      </mc:Choice>
      <mc:Fallback>
        <xdr:pic>
          <xdr:nvPicPr>
            <xdr:cNvPr id="401" name="Ink 400">
              <a:extLst>
                <a:ext uri="{FF2B5EF4-FFF2-40B4-BE49-F238E27FC236}">
                  <a16:creationId xmlns:a16="http://schemas.microsoft.com/office/drawing/2014/main" id="{281D8F58-1826-4575-6C8E-85661D367DCB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2828880" y="12900960"/>
              <a:ext cx="203040" cy="32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561684</xdr:colOff>
      <xdr:row>64</xdr:row>
      <xdr:rowOff>37007</xdr:rowOff>
    </xdr:from>
    <xdr:to>
      <xdr:col>4</xdr:col>
      <xdr:colOff>57473</xdr:colOff>
      <xdr:row>64</xdr:row>
      <xdr:rowOff>163367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402" name="Ink 401">
              <a:extLst>
                <a:ext uri="{FF2B5EF4-FFF2-40B4-BE49-F238E27FC236}">
                  <a16:creationId xmlns:a16="http://schemas.microsoft.com/office/drawing/2014/main" id="{F09E6AE1-F804-324D-A774-139979D85F6A}"/>
                </a:ext>
              </a:extLst>
            </xdr14:cNvPr>
            <xdr14:cNvContentPartPr/>
          </xdr14:nvContentPartPr>
          <xdr14:nvPr macro=""/>
          <xdr14:xfrm>
            <a:off x="3045240" y="12981600"/>
            <a:ext cx="323640" cy="126360"/>
          </xdr14:xfrm>
        </xdr:contentPart>
      </mc:Choice>
      <mc:Fallback>
        <xdr:pic>
          <xdr:nvPicPr>
            <xdr:cNvPr id="402" name="Ink 401">
              <a:extLst>
                <a:ext uri="{FF2B5EF4-FFF2-40B4-BE49-F238E27FC236}">
                  <a16:creationId xmlns:a16="http://schemas.microsoft.com/office/drawing/2014/main" id="{F09E6AE1-F804-324D-A774-139979D85F6A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34440" y="12970800"/>
              <a:ext cx="344880" cy="14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90233</xdr:colOff>
      <xdr:row>63</xdr:row>
      <xdr:rowOff>103907</xdr:rowOff>
    </xdr:from>
    <xdr:to>
      <xdr:col>4</xdr:col>
      <xdr:colOff>241793</xdr:colOff>
      <xdr:row>64</xdr:row>
      <xdr:rowOff>177047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403" name="Ink 402">
              <a:extLst>
                <a:ext uri="{FF2B5EF4-FFF2-40B4-BE49-F238E27FC236}">
                  <a16:creationId xmlns:a16="http://schemas.microsoft.com/office/drawing/2014/main" id="{00CCAA4A-6412-E403-5A21-2B26194D1D73}"/>
                </a:ext>
              </a:extLst>
            </xdr14:cNvPr>
            <xdr14:cNvContentPartPr/>
          </xdr14:nvContentPartPr>
          <xdr14:nvPr macro=""/>
          <xdr14:xfrm>
            <a:off x="3401640" y="12846240"/>
            <a:ext cx="151560" cy="275400"/>
          </xdr14:xfrm>
        </xdr:contentPart>
      </mc:Choice>
      <mc:Fallback>
        <xdr:pic>
          <xdr:nvPicPr>
            <xdr:cNvPr id="403" name="Ink 402">
              <a:extLst>
                <a:ext uri="{FF2B5EF4-FFF2-40B4-BE49-F238E27FC236}">
                  <a16:creationId xmlns:a16="http://schemas.microsoft.com/office/drawing/2014/main" id="{00CCAA4A-6412-E403-5A21-2B26194D1D73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3391200" y="12835800"/>
              <a:ext cx="172800" cy="29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475073</xdr:colOff>
      <xdr:row>63</xdr:row>
      <xdr:rowOff>96707</xdr:rowOff>
    </xdr:from>
    <xdr:to>
      <xdr:col>4</xdr:col>
      <xdr:colOff>647873</xdr:colOff>
      <xdr:row>66</xdr:row>
      <xdr:rowOff>37849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1">
          <xdr14:nvContentPartPr>
            <xdr14:cNvPr id="404" name="Ink 403">
              <a:extLst>
                <a:ext uri="{FF2B5EF4-FFF2-40B4-BE49-F238E27FC236}">
                  <a16:creationId xmlns:a16="http://schemas.microsoft.com/office/drawing/2014/main" id="{FBCBE62C-C128-FFA4-2475-22E7588F0F43}"/>
                </a:ext>
              </a:extLst>
            </xdr14:cNvPr>
            <xdr14:cNvContentPartPr/>
          </xdr14:nvContentPartPr>
          <xdr14:nvPr macro=""/>
          <xdr14:xfrm>
            <a:off x="3786480" y="12839040"/>
            <a:ext cx="172800" cy="547920"/>
          </xdr14:xfrm>
        </xdr:contentPart>
      </mc:Choice>
      <mc:Fallback>
        <xdr:pic>
          <xdr:nvPicPr>
            <xdr:cNvPr id="404" name="Ink 403">
              <a:extLst>
                <a:ext uri="{FF2B5EF4-FFF2-40B4-BE49-F238E27FC236}">
                  <a16:creationId xmlns:a16="http://schemas.microsoft.com/office/drawing/2014/main" id="{FBCBE62C-C128-FFA4-2475-22E7588F0F43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3776040" y="12828600"/>
              <a:ext cx="194040" cy="56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34941</xdr:colOff>
      <xdr:row>63</xdr:row>
      <xdr:rowOff>55667</xdr:rowOff>
    </xdr:from>
    <xdr:to>
      <xdr:col>5</xdr:col>
      <xdr:colOff>279021</xdr:colOff>
      <xdr:row>64</xdr:row>
      <xdr:rowOff>163727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3">
          <xdr14:nvContentPartPr>
            <xdr14:cNvPr id="405" name="Ink 404">
              <a:extLst>
                <a:ext uri="{FF2B5EF4-FFF2-40B4-BE49-F238E27FC236}">
                  <a16:creationId xmlns:a16="http://schemas.microsoft.com/office/drawing/2014/main" id="{7C776B15-FD51-99BD-F3A6-E0B661F765E8}"/>
                </a:ext>
              </a:extLst>
            </xdr14:cNvPr>
            <xdr14:cNvContentPartPr/>
          </xdr14:nvContentPartPr>
          <xdr14:nvPr macro=""/>
          <xdr14:xfrm>
            <a:off x="4174200" y="12798000"/>
            <a:ext cx="244080" cy="310320"/>
          </xdr14:xfrm>
        </xdr:contentPart>
      </mc:Choice>
      <mc:Fallback>
        <xdr:pic>
          <xdr:nvPicPr>
            <xdr:cNvPr id="405" name="Ink 404">
              <a:extLst>
                <a:ext uri="{FF2B5EF4-FFF2-40B4-BE49-F238E27FC236}">
                  <a16:creationId xmlns:a16="http://schemas.microsoft.com/office/drawing/2014/main" id="{7C776B15-FD51-99BD-F3A6-E0B661F765E8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163400" y="12787560"/>
              <a:ext cx="265320" cy="33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261741</xdr:colOff>
      <xdr:row>63</xdr:row>
      <xdr:rowOff>78347</xdr:rowOff>
    </xdr:from>
    <xdr:to>
      <xdr:col>5</xdr:col>
      <xdr:colOff>503301</xdr:colOff>
      <xdr:row>64</xdr:row>
      <xdr:rowOff>125207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406" name="Ink 405">
              <a:extLst>
                <a:ext uri="{FF2B5EF4-FFF2-40B4-BE49-F238E27FC236}">
                  <a16:creationId xmlns:a16="http://schemas.microsoft.com/office/drawing/2014/main" id="{0C6761E5-5866-E853-1DD4-4DF833A4CFD0}"/>
                </a:ext>
              </a:extLst>
            </xdr14:cNvPr>
            <xdr14:cNvContentPartPr/>
          </xdr14:nvContentPartPr>
          <xdr14:nvPr macro=""/>
          <xdr14:xfrm>
            <a:off x="4401000" y="12820680"/>
            <a:ext cx="241560" cy="249120"/>
          </xdr14:xfrm>
        </xdr:contentPart>
      </mc:Choice>
      <mc:Fallback>
        <xdr:pic>
          <xdr:nvPicPr>
            <xdr:cNvPr id="406" name="Ink 405">
              <a:extLst>
                <a:ext uri="{FF2B5EF4-FFF2-40B4-BE49-F238E27FC236}">
                  <a16:creationId xmlns:a16="http://schemas.microsoft.com/office/drawing/2014/main" id="{0C6761E5-5866-E853-1DD4-4DF833A4CFD0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4390200" y="12809880"/>
              <a:ext cx="262800" cy="27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458301</xdr:colOff>
      <xdr:row>63</xdr:row>
      <xdr:rowOff>74747</xdr:rowOff>
    </xdr:from>
    <xdr:to>
      <xdr:col>6</xdr:col>
      <xdr:colOff>212209</xdr:colOff>
      <xdr:row>64</xdr:row>
      <xdr:rowOff>86327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407" name="Ink 406">
              <a:extLst>
                <a:ext uri="{FF2B5EF4-FFF2-40B4-BE49-F238E27FC236}">
                  <a16:creationId xmlns:a16="http://schemas.microsoft.com/office/drawing/2014/main" id="{D37A2363-8B12-4099-9063-31D1690645B3}"/>
                </a:ext>
              </a:extLst>
            </xdr14:cNvPr>
            <xdr14:cNvContentPartPr/>
          </xdr14:nvContentPartPr>
          <xdr14:nvPr macro=""/>
          <xdr14:xfrm>
            <a:off x="4597560" y="12817080"/>
            <a:ext cx="581760" cy="213840"/>
          </xdr14:xfrm>
        </xdr:contentPart>
      </mc:Choice>
      <mc:Fallback>
        <xdr:pic>
          <xdr:nvPicPr>
            <xdr:cNvPr id="407" name="Ink 406">
              <a:extLst>
                <a:ext uri="{FF2B5EF4-FFF2-40B4-BE49-F238E27FC236}">
                  <a16:creationId xmlns:a16="http://schemas.microsoft.com/office/drawing/2014/main" id="{D37A2363-8B12-4099-9063-31D1690645B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4586760" y="12806640"/>
              <a:ext cx="603000" cy="23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113209</xdr:colOff>
      <xdr:row>63</xdr:row>
      <xdr:rowOff>156827</xdr:rowOff>
    </xdr:from>
    <xdr:to>
      <xdr:col>6</xdr:col>
      <xdr:colOff>255049</xdr:colOff>
      <xdr:row>63</xdr:row>
      <xdr:rowOff>187067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408" name="Ink 407">
              <a:extLst>
                <a:ext uri="{FF2B5EF4-FFF2-40B4-BE49-F238E27FC236}">
                  <a16:creationId xmlns:a16="http://schemas.microsoft.com/office/drawing/2014/main" id="{260AB0C5-CB8F-5437-0D51-BA79AE281FFA}"/>
                </a:ext>
              </a:extLst>
            </xdr14:cNvPr>
            <xdr14:cNvContentPartPr/>
          </xdr14:nvContentPartPr>
          <xdr14:nvPr macro=""/>
          <xdr14:xfrm>
            <a:off x="5080320" y="12899160"/>
            <a:ext cx="141840" cy="30240"/>
          </xdr14:xfrm>
        </xdr:contentPart>
      </mc:Choice>
      <mc:Fallback>
        <xdr:pic>
          <xdr:nvPicPr>
            <xdr:cNvPr id="408" name="Ink 407">
              <a:extLst>
                <a:ext uri="{FF2B5EF4-FFF2-40B4-BE49-F238E27FC236}">
                  <a16:creationId xmlns:a16="http://schemas.microsoft.com/office/drawing/2014/main" id="{260AB0C5-CB8F-5437-0D51-BA79AE281FFA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5069880" y="12888360"/>
              <a:ext cx="163080" cy="5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490320</xdr:colOff>
      <xdr:row>67</xdr:row>
      <xdr:rowOff>45830</xdr:rowOff>
    </xdr:from>
    <xdr:to>
      <xdr:col>0</xdr:col>
      <xdr:colOff>800640</xdr:colOff>
      <xdr:row>68</xdr:row>
      <xdr:rowOff>13130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409" name="Ink 408">
              <a:extLst>
                <a:ext uri="{FF2B5EF4-FFF2-40B4-BE49-F238E27FC236}">
                  <a16:creationId xmlns:a16="http://schemas.microsoft.com/office/drawing/2014/main" id="{27F72428-30EF-8F31-EEEB-290A50F46985}"/>
                </a:ext>
              </a:extLst>
            </xdr14:cNvPr>
            <xdr14:cNvContentPartPr/>
          </xdr14:nvContentPartPr>
          <xdr14:nvPr macro=""/>
          <xdr14:xfrm>
            <a:off x="490320" y="13597200"/>
            <a:ext cx="310320" cy="169560"/>
          </xdr14:xfrm>
        </xdr:contentPart>
      </mc:Choice>
      <mc:Fallback>
        <xdr:pic>
          <xdr:nvPicPr>
            <xdr:cNvPr id="409" name="Ink 408">
              <a:extLst>
                <a:ext uri="{FF2B5EF4-FFF2-40B4-BE49-F238E27FC236}">
                  <a16:creationId xmlns:a16="http://schemas.microsoft.com/office/drawing/2014/main" id="{27F72428-30EF-8F31-EEEB-290A50F46985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479880" y="13586760"/>
              <a:ext cx="331560" cy="19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29308</xdr:colOff>
      <xdr:row>67</xdr:row>
      <xdr:rowOff>30350</xdr:rowOff>
    </xdr:from>
    <xdr:to>
      <xdr:col>1</xdr:col>
      <xdr:colOff>152788</xdr:colOff>
      <xdr:row>68</xdr:row>
      <xdr:rowOff>6290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410" name="Ink 409">
              <a:extLst>
                <a:ext uri="{FF2B5EF4-FFF2-40B4-BE49-F238E27FC236}">
                  <a16:creationId xmlns:a16="http://schemas.microsoft.com/office/drawing/2014/main" id="{33FDB5B9-2245-A668-D177-390020A3117A}"/>
                </a:ext>
              </a:extLst>
            </xdr14:cNvPr>
            <xdr14:cNvContentPartPr/>
          </xdr14:nvContentPartPr>
          <xdr14:nvPr macro=""/>
          <xdr14:xfrm>
            <a:off x="857160" y="13581720"/>
            <a:ext cx="123480" cy="178200"/>
          </xdr14:xfrm>
        </xdr:contentPart>
      </mc:Choice>
      <mc:Fallback>
        <xdr:pic>
          <xdr:nvPicPr>
            <xdr:cNvPr id="410" name="Ink 409">
              <a:extLst>
                <a:ext uri="{FF2B5EF4-FFF2-40B4-BE49-F238E27FC236}">
                  <a16:creationId xmlns:a16="http://schemas.microsoft.com/office/drawing/2014/main" id="{33FDB5B9-2245-A668-D177-390020A3117A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46720" y="13570920"/>
              <a:ext cx="144720" cy="19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601920</xdr:colOff>
      <xdr:row>69</xdr:row>
      <xdr:rowOff>21471</xdr:rowOff>
    </xdr:from>
    <xdr:to>
      <xdr:col>0</xdr:col>
      <xdr:colOff>745560</xdr:colOff>
      <xdr:row>69</xdr:row>
      <xdr:rowOff>178071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411" name="Ink 410">
              <a:extLst>
                <a:ext uri="{FF2B5EF4-FFF2-40B4-BE49-F238E27FC236}">
                  <a16:creationId xmlns:a16="http://schemas.microsoft.com/office/drawing/2014/main" id="{E45DC3E9-3DB4-5240-2BAB-B8C9BA07D48F}"/>
                </a:ext>
              </a:extLst>
            </xdr14:cNvPr>
            <xdr14:cNvContentPartPr/>
          </xdr14:nvContentPartPr>
          <xdr14:nvPr macro=""/>
          <xdr14:xfrm>
            <a:off x="601920" y="13977360"/>
            <a:ext cx="143640" cy="156600"/>
          </xdr14:xfrm>
        </xdr:contentPart>
      </mc:Choice>
      <mc:Fallback>
        <xdr:pic>
          <xdr:nvPicPr>
            <xdr:cNvPr id="411" name="Ink 410">
              <a:extLst>
                <a:ext uri="{FF2B5EF4-FFF2-40B4-BE49-F238E27FC236}">
                  <a16:creationId xmlns:a16="http://schemas.microsoft.com/office/drawing/2014/main" id="{E45DC3E9-3DB4-5240-2BAB-B8C9BA07D48F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591120" y="13966920"/>
              <a:ext cx="164880" cy="17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148</xdr:colOff>
      <xdr:row>69</xdr:row>
      <xdr:rowOff>5631</xdr:rowOff>
    </xdr:from>
    <xdr:to>
      <xdr:col>1</xdr:col>
      <xdr:colOff>177268</xdr:colOff>
      <xdr:row>69</xdr:row>
      <xdr:rowOff>175911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412" name="Ink 411">
              <a:extLst>
                <a:ext uri="{FF2B5EF4-FFF2-40B4-BE49-F238E27FC236}">
                  <a16:creationId xmlns:a16="http://schemas.microsoft.com/office/drawing/2014/main" id="{257E6D79-897E-81E8-438B-DA0C9AD2161D}"/>
                </a:ext>
              </a:extLst>
            </xdr14:cNvPr>
            <xdr14:cNvContentPartPr/>
          </xdr14:nvContentPartPr>
          <xdr14:nvPr macro=""/>
          <xdr14:xfrm>
            <a:off x="828000" y="13961520"/>
            <a:ext cx="177120" cy="170280"/>
          </xdr14:xfrm>
        </xdr:contentPart>
      </mc:Choice>
      <mc:Fallback>
        <xdr:pic>
          <xdr:nvPicPr>
            <xdr:cNvPr id="412" name="Ink 411">
              <a:extLst>
                <a:ext uri="{FF2B5EF4-FFF2-40B4-BE49-F238E27FC236}">
                  <a16:creationId xmlns:a16="http://schemas.microsoft.com/office/drawing/2014/main" id="{257E6D79-897E-81E8-438B-DA0C9AD2161D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817560" y="13950720"/>
              <a:ext cx="198360" cy="19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419188</xdr:colOff>
      <xdr:row>67</xdr:row>
      <xdr:rowOff>49070</xdr:rowOff>
    </xdr:from>
    <xdr:to>
      <xdr:col>1</xdr:col>
      <xdr:colOff>426388</xdr:colOff>
      <xdr:row>67</xdr:row>
      <xdr:rowOff>53750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413" name="Ink 412">
              <a:extLst>
                <a:ext uri="{FF2B5EF4-FFF2-40B4-BE49-F238E27FC236}">
                  <a16:creationId xmlns:a16="http://schemas.microsoft.com/office/drawing/2014/main" id="{F7CF9A8B-BEFD-2E33-7682-19051A1A583C}"/>
                </a:ext>
              </a:extLst>
            </xdr14:cNvPr>
            <xdr14:cNvContentPartPr/>
          </xdr14:nvContentPartPr>
          <xdr14:nvPr macro=""/>
          <xdr14:xfrm>
            <a:off x="1247040" y="13600440"/>
            <a:ext cx="7200" cy="4680"/>
          </xdr14:xfrm>
        </xdr:contentPart>
      </mc:Choice>
      <mc:Fallback>
        <xdr:pic>
          <xdr:nvPicPr>
            <xdr:cNvPr id="413" name="Ink 412">
              <a:extLst>
                <a:ext uri="{FF2B5EF4-FFF2-40B4-BE49-F238E27FC236}">
                  <a16:creationId xmlns:a16="http://schemas.microsoft.com/office/drawing/2014/main" id="{F7CF9A8B-BEFD-2E33-7682-19051A1A583C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1236600" y="13589640"/>
              <a:ext cx="2844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437188</xdr:colOff>
      <xdr:row>67</xdr:row>
      <xdr:rowOff>144110</xdr:rowOff>
    </xdr:from>
    <xdr:to>
      <xdr:col>1</xdr:col>
      <xdr:colOff>462388</xdr:colOff>
      <xdr:row>67</xdr:row>
      <xdr:rowOff>150950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414" name="Ink 413">
              <a:extLst>
                <a:ext uri="{FF2B5EF4-FFF2-40B4-BE49-F238E27FC236}">
                  <a16:creationId xmlns:a16="http://schemas.microsoft.com/office/drawing/2014/main" id="{6C7F73C9-9253-0893-8FF4-C8C737ACD51D}"/>
                </a:ext>
              </a:extLst>
            </xdr14:cNvPr>
            <xdr14:cNvContentPartPr/>
          </xdr14:nvContentPartPr>
          <xdr14:nvPr macro=""/>
          <xdr14:xfrm>
            <a:off x="1265040" y="13695480"/>
            <a:ext cx="25200" cy="6840"/>
          </xdr14:xfrm>
        </xdr:contentPart>
      </mc:Choice>
      <mc:Fallback>
        <xdr:pic>
          <xdr:nvPicPr>
            <xdr:cNvPr id="414" name="Ink 413">
              <a:extLst>
                <a:ext uri="{FF2B5EF4-FFF2-40B4-BE49-F238E27FC236}">
                  <a16:creationId xmlns:a16="http://schemas.microsoft.com/office/drawing/2014/main" id="{6C7F73C9-9253-0893-8FF4-C8C737ACD51D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1254240" y="13685040"/>
              <a:ext cx="46440" cy="2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26788</xdr:colOff>
      <xdr:row>67</xdr:row>
      <xdr:rowOff>170030</xdr:rowOff>
    </xdr:from>
    <xdr:to>
      <xdr:col>1</xdr:col>
      <xdr:colOff>193828</xdr:colOff>
      <xdr:row>68</xdr:row>
      <xdr:rowOff>9530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3">
          <xdr14:nvContentPartPr>
            <xdr14:cNvPr id="415" name="Ink 414">
              <a:extLst>
                <a:ext uri="{FF2B5EF4-FFF2-40B4-BE49-F238E27FC236}">
                  <a16:creationId xmlns:a16="http://schemas.microsoft.com/office/drawing/2014/main" id="{FFF90531-52E7-7929-6636-577A308C22DE}"/>
                </a:ext>
              </a:extLst>
            </xdr14:cNvPr>
            <xdr14:cNvContentPartPr/>
          </xdr14:nvContentPartPr>
          <xdr14:nvPr macro=""/>
          <xdr14:xfrm>
            <a:off x="854640" y="13721400"/>
            <a:ext cx="167040" cy="41760"/>
          </xdr14:xfrm>
        </xdr:contentPart>
      </mc:Choice>
      <mc:Fallback>
        <xdr:pic>
          <xdr:nvPicPr>
            <xdr:cNvPr id="415" name="Ink 414">
              <a:extLst>
                <a:ext uri="{FF2B5EF4-FFF2-40B4-BE49-F238E27FC236}">
                  <a16:creationId xmlns:a16="http://schemas.microsoft.com/office/drawing/2014/main" id="{FFF90531-52E7-7929-6636-577A308C22DE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844200" y="13710600"/>
              <a:ext cx="188280" cy="6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117148</xdr:colOff>
      <xdr:row>68</xdr:row>
      <xdr:rowOff>193850</xdr:rowOff>
    </xdr:from>
    <xdr:to>
      <xdr:col>1</xdr:col>
      <xdr:colOff>138388</xdr:colOff>
      <xdr:row>69</xdr:row>
      <xdr:rowOff>133071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5">
          <xdr14:nvContentPartPr>
            <xdr14:cNvPr id="416" name="Ink 415">
              <a:extLst>
                <a:ext uri="{FF2B5EF4-FFF2-40B4-BE49-F238E27FC236}">
                  <a16:creationId xmlns:a16="http://schemas.microsoft.com/office/drawing/2014/main" id="{AB918DB1-54FC-4BD4-5792-D3E6DE958E7E}"/>
                </a:ext>
              </a:extLst>
            </xdr14:cNvPr>
            <xdr14:cNvContentPartPr/>
          </xdr14:nvContentPartPr>
          <xdr14:nvPr macro=""/>
          <xdr14:xfrm>
            <a:off x="945000" y="13947480"/>
            <a:ext cx="21240" cy="141480"/>
          </xdr14:xfrm>
        </xdr:contentPart>
      </mc:Choice>
      <mc:Fallback>
        <xdr:pic>
          <xdr:nvPicPr>
            <xdr:cNvPr id="416" name="Ink 415">
              <a:extLst>
                <a:ext uri="{FF2B5EF4-FFF2-40B4-BE49-F238E27FC236}">
                  <a16:creationId xmlns:a16="http://schemas.microsoft.com/office/drawing/2014/main" id="{AB918DB1-54FC-4BD4-5792-D3E6DE958E7E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934560" y="13936680"/>
              <a:ext cx="42480" cy="16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795960</xdr:colOff>
      <xdr:row>68</xdr:row>
      <xdr:rowOff>170810</xdr:rowOff>
    </xdr:from>
    <xdr:to>
      <xdr:col>1</xdr:col>
      <xdr:colOff>208228</xdr:colOff>
      <xdr:row>69</xdr:row>
      <xdr:rowOff>38031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417" name="Ink 416">
              <a:extLst>
                <a:ext uri="{FF2B5EF4-FFF2-40B4-BE49-F238E27FC236}">
                  <a16:creationId xmlns:a16="http://schemas.microsoft.com/office/drawing/2014/main" id="{1FDA8C06-3368-1EC2-B4B5-F1C08AFAC18F}"/>
                </a:ext>
              </a:extLst>
            </xdr14:cNvPr>
            <xdr14:cNvContentPartPr/>
          </xdr14:nvContentPartPr>
          <xdr14:nvPr macro=""/>
          <xdr14:xfrm>
            <a:off x="795960" y="13924440"/>
            <a:ext cx="240120" cy="69480"/>
          </xdr14:xfrm>
        </xdr:contentPart>
      </mc:Choice>
      <mc:Fallback>
        <xdr:pic>
          <xdr:nvPicPr>
            <xdr:cNvPr id="417" name="Ink 416">
              <a:extLst>
                <a:ext uri="{FF2B5EF4-FFF2-40B4-BE49-F238E27FC236}">
                  <a16:creationId xmlns:a16="http://schemas.microsoft.com/office/drawing/2014/main" id="{1FDA8C06-3368-1EC2-B4B5-F1C08AFAC18F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785520" y="13914000"/>
              <a:ext cx="261360" cy="9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400828</xdr:colOff>
      <xdr:row>69</xdr:row>
      <xdr:rowOff>26511</xdr:rowOff>
    </xdr:from>
    <xdr:to>
      <xdr:col>1</xdr:col>
      <xdr:colOff>423508</xdr:colOff>
      <xdr:row>69</xdr:row>
      <xdr:rowOff>51351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418" name="Ink 417">
              <a:extLst>
                <a:ext uri="{FF2B5EF4-FFF2-40B4-BE49-F238E27FC236}">
                  <a16:creationId xmlns:a16="http://schemas.microsoft.com/office/drawing/2014/main" id="{FBDD475E-E021-26AC-0FC9-C60D9FC449ED}"/>
                </a:ext>
              </a:extLst>
            </xdr14:cNvPr>
            <xdr14:cNvContentPartPr/>
          </xdr14:nvContentPartPr>
          <xdr14:nvPr macro=""/>
          <xdr14:xfrm>
            <a:off x="1228680" y="13982400"/>
            <a:ext cx="22680" cy="24840"/>
          </xdr14:xfrm>
        </xdr:contentPart>
      </mc:Choice>
      <mc:Fallback>
        <xdr:pic>
          <xdr:nvPicPr>
            <xdr:cNvPr id="418" name="Ink 417">
              <a:extLst>
                <a:ext uri="{FF2B5EF4-FFF2-40B4-BE49-F238E27FC236}">
                  <a16:creationId xmlns:a16="http://schemas.microsoft.com/office/drawing/2014/main" id="{FBDD475E-E021-26AC-0FC9-C60D9FC449ED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1217880" y="13971600"/>
              <a:ext cx="43920" cy="4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414148</xdr:colOff>
      <xdr:row>69</xdr:row>
      <xdr:rowOff>158271</xdr:rowOff>
    </xdr:from>
    <xdr:to>
      <xdr:col>1</xdr:col>
      <xdr:colOff>437908</xdr:colOff>
      <xdr:row>69</xdr:row>
      <xdr:rowOff>183831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1">
          <xdr14:nvContentPartPr>
            <xdr14:cNvPr id="419" name="Ink 418">
              <a:extLst>
                <a:ext uri="{FF2B5EF4-FFF2-40B4-BE49-F238E27FC236}">
                  <a16:creationId xmlns:a16="http://schemas.microsoft.com/office/drawing/2014/main" id="{1296E06B-AE1A-1D8C-E6D0-4315A3075CD8}"/>
                </a:ext>
              </a:extLst>
            </xdr14:cNvPr>
            <xdr14:cNvContentPartPr/>
          </xdr14:nvContentPartPr>
          <xdr14:nvPr macro=""/>
          <xdr14:xfrm>
            <a:off x="1242000" y="14114160"/>
            <a:ext cx="23760" cy="25560"/>
          </xdr14:xfrm>
        </xdr:contentPart>
      </mc:Choice>
      <mc:Fallback>
        <xdr:pic>
          <xdr:nvPicPr>
            <xdr:cNvPr id="419" name="Ink 418">
              <a:extLst>
                <a:ext uri="{FF2B5EF4-FFF2-40B4-BE49-F238E27FC236}">
                  <a16:creationId xmlns:a16="http://schemas.microsoft.com/office/drawing/2014/main" id="{1296E06B-AE1A-1D8C-E6D0-4315A3075CD8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1231200" y="14103720"/>
              <a:ext cx="45000" cy="46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465416</xdr:colOff>
      <xdr:row>67</xdr:row>
      <xdr:rowOff>69230</xdr:rowOff>
    </xdr:from>
    <xdr:to>
      <xdr:col>2</xdr:col>
      <xdr:colOff>596096</xdr:colOff>
      <xdr:row>67</xdr:row>
      <xdr:rowOff>172910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3">
          <xdr14:nvContentPartPr>
            <xdr14:cNvPr id="420" name="Ink 419">
              <a:extLst>
                <a:ext uri="{FF2B5EF4-FFF2-40B4-BE49-F238E27FC236}">
                  <a16:creationId xmlns:a16="http://schemas.microsoft.com/office/drawing/2014/main" id="{31FBCAEB-D16A-9C25-8B72-4D55E3755667}"/>
                </a:ext>
              </a:extLst>
            </xdr14:cNvPr>
            <xdr14:cNvContentPartPr/>
          </xdr14:nvContentPartPr>
          <xdr14:nvPr macro=""/>
          <xdr14:xfrm>
            <a:off x="2121120" y="13620600"/>
            <a:ext cx="130680" cy="103680"/>
          </xdr14:xfrm>
        </xdr:contentPart>
      </mc:Choice>
      <mc:Fallback>
        <xdr:pic>
          <xdr:nvPicPr>
            <xdr:cNvPr id="420" name="Ink 419">
              <a:extLst>
                <a:ext uri="{FF2B5EF4-FFF2-40B4-BE49-F238E27FC236}">
                  <a16:creationId xmlns:a16="http://schemas.microsoft.com/office/drawing/2014/main" id="{31FBCAEB-D16A-9C25-8B72-4D55E3755667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2110680" y="13609800"/>
              <a:ext cx="151920" cy="12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636776</xdr:colOff>
      <xdr:row>67</xdr:row>
      <xdr:rowOff>37910</xdr:rowOff>
    </xdr:from>
    <xdr:to>
      <xdr:col>2</xdr:col>
      <xdr:colOff>740456</xdr:colOff>
      <xdr:row>67</xdr:row>
      <xdr:rowOff>193790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5">
          <xdr14:nvContentPartPr>
            <xdr14:cNvPr id="421" name="Ink 420">
              <a:extLst>
                <a:ext uri="{FF2B5EF4-FFF2-40B4-BE49-F238E27FC236}">
                  <a16:creationId xmlns:a16="http://schemas.microsoft.com/office/drawing/2014/main" id="{F8A93D79-A50F-F045-3D97-2190B5D132E9}"/>
                </a:ext>
              </a:extLst>
            </xdr14:cNvPr>
            <xdr14:cNvContentPartPr/>
          </xdr14:nvContentPartPr>
          <xdr14:nvPr macro=""/>
          <xdr14:xfrm>
            <a:off x="2292480" y="13589280"/>
            <a:ext cx="103680" cy="155880"/>
          </xdr14:xfrm>
        </xdr:contentPart>
      </mc:Choice>
      <mc:Fallback>
        <xdr:pic>
          <xdr:nvPicPr>
            <xdr:cNvPr id="421" name="Ink 420">
              <a:extLst>
                <a:ext uri="{FF2B5EF4-FFF2-40B4-BE49-F238E27FC236}">
                  <a16:creationId xmlns:a16="http://schemas.microsoft.com/office/drawing/2014/main" id="{F8A93D79-A50F-F045-3D97-2190B5D132E9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2282040" y="13578840"/>
              <a:ext cx="124920" cy="17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359004</xdr:colOff>
      <xdr:row>66</xdr:row>
      <xdr:rowOff>198409</xdr:rowOff>
    </xdr:from>
    <xdr:to>
      <xdr:col>3</xdr:col>
      <xdr:colOff>487884</xdr:colOff>
      <xdr:row>67</xdr:row>
      <xdr:rowOff>133310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7">
          <xdr14:nvContentPartPr>
            <xdr14:cNvPr id="422" name="Ink 421">
              <a:extLst>
                <a:ext uri="{FF2B5EF4-FFF2-40B4-BE49-F238E27FC236}">
                  <a16:creationId xmlns:a16="http://schemas.microsoft.com/office/drawing/2014/main" id="{0FDFF638-3515-F157-6D83-20B9AC479E71}"/>
                </a:ext>
              </a:extLst>
            </xdr14:cNvPr>
            <xdr14:cNvContentPartPr/>
          </xdr14:nvContentPartPr>
          <xdr14:nvPr macro=""/>
          <xdr14:xfrm>
            <a:off x="2842560" y="13547520"/>
            <a:ext cx="128880" cy="137160"/>
          </xdr14:xfrm>
        </xdr:contentPart>
      </mc:Choice>
      <mc:Fallback>
        <xdr:pic>
          <xdr:nvPicPr>
            <xdr:cNvPr id="422" name="Ink 421">
              <a:extLst>
                <a:ext uri="{FF2B5EF4-FFF2-40B4-BE49-F238E27FC236}">
                  <a16:creationId xmlns:a16="http://schemas.microsoft.com/office/drawing/2014/main" id="{0FDFF638-3515-F157-6D83-20B9AC479E71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2832120" y="13537080"/>
              <a:ext cx="150120" cy="15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563124</xdr:colOff>
      <xdr:row>67</xdr:row>
      <xdr:rowOff>44390</xdr:rowOff>
    </xdr:from>
    <xdr:to>
      <xdr:col>3</xdr:col>
      <xdr:colOff>629364</xdr:colOff>
      <xdr:row>67</xdr:row>
      <xdr:rowOff>148790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9">
          <xdr14:nvContentPartPr>
            <xdr14:cNvPr id="423" name="Ink 422">
              <a:extLst>
                <a:ext uri="{FF2B5EF4-FFF2-40B4-BE49-F238E27FC236}">
                  <a16:creationId xmlns:a16="http://schemas.microsoft.com/office/drawing/2014/main" id="{6F7DD90A-7A93-E1C5-BBAE-E70F09A2F92D}"/>
                </a:ext>
              </a:extLst>
            </xdr14:cNvPr>
            <xdr14:cNvContentPartPr/>
          </xdr14:nvContentPartPr>
          <xdr14:nvPr macro=""/>
          <xdr14:xfrm>
            <a:off x="3046680" y="13595760"/>
            <a:ext cx="66240" cy="104400"/>
          </xdr14:xfrm>
        </xdr:contentPart>
      </mc:Choice>
      <mc:Fallback>
        <xdr:pic>
          <xdr:nvPicPr>
            <xdr:cNvPr id="423" name="Ink 422">
              <a:extLst>
                <a:ext uri="{FF2B5EF4-FFF2-40B4-BE49-F238E27FC236}">
                  <a16:creationId xmlns:a16="http://schemas.microsoft.com/office/drawing/2014/main" id="{6F7DD90A-7A93-E1C5-BBAE-E70F09A2F92D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3036240" y="13584960"/>
              <a:ext cx="87480" cy="12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569604</xdr:colOff>
      <xdr:row>66</xdr:row>
      <xdr:rowOff>193369</xdr:rowOff>
    </xdr:from>
    <xdr:to>
      <xdr:col>3</xdr:col>
      <xdr:colOff>645924</xdr:colOff>
      <xdr:row>67</xdr:row>
      <xdr:rowOff>63470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1">
          <xdr14:nvContentPartPr>
            <xdr14:cNvPr id="424" name="Ink 423">
              <a:extLst>
                <a:ext uri="{FF2B5EF4-FFF2-40B4-BE49-F238E27FC236}">
                  <a16:creationId xmlns:a16="http://schemas.microsoft.com/office/drawing/2014/main" id="{54518D3D-A990-2910-3706-63B24474542B}"/>
                </a:ext>
              </a:extLst>
            </xdr14:cNvPr>
            <xdr14:cNvContentPartPr/>
          </xdr14:nvContentPartPr>
          <xdr14:nvPr macro=""/>
          <xdr14:xfrm>
            <a:off x="3053160" y="13542480"/>
            <a:ext cx="76320" cy="72360"/>
          </xdr14:xfrm>
        </xdr:contentPart>
      </mc:Choice>
      <mc:Fallback>
        <xdr:pic>
          <xdr:nvPicPr>
            <xdr:cNvPr id="424" name="Ink 423">
              <a:extLst>
                <a:ext uri="{FF2B5EF4-FFF2-40B4-BE49-F238E27FC236}">
                  <a16:creationId xmlns:a16="http://schemas.microsoft.com/office/drawing/2014/main" id="{54518D3D-A990-2910-3706-63B24474542B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3042720" y="13532040"/>
              <a:ext cx="97560" cy="9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382553</xdr:colOff>
      <xdr:row>67</xdr:row>
      <xdr:rowOff>66350</xdr:rowOff>
    </xdr:from>
    <xdr:to>
      <xdr:col>4</xdr:col>
      <xdr:colOff>508913</xdr:colOff>
      <xdr:row>67</xdr:row>
      <xdr:rowOff>165350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3">
          <xdr14:nvContentPartPr>
            <xdr14:cNvPr id="425" name="Ink 424">
              <a:extLst>
                <a:ext uri="{FF2B5EF4-FFF2-40B4-BE49-F238E27FC236}">
                  <a16:creationId xmlns:a16="http://schemas.microsoft.com/office/drawing/2014/main" id="{FF4BC6A1-078E-7948-C508-C1FC5816A9CE}"/>
                </a:ext>
              </a:extLst>
            </xdr14:cNvPr>
            <xdr14:cNvContentPartPr/>
          </xdr14:nvContentPartPr>
          <xdr14:nvPr macro=""/>
          <xdr14:xfrm>
            <a:off x="3693960" y="13617720"/>
            <a:ext cx="126360" cy="99000"/>
          </xdr14:xfrm>
        </xdr:contentPart>
      </mc:Choice>
      <mc:Fallback>
        <xdr:pic>
          <xdr:nvPicPr>
            <xdr:cNvPr id="425" name="Ink 424">
              <a:extLst>
                <a:ext uri="{FF2B5EF4-FFF2-40B4-BE49-F238E27FC236}">
                  <a16:creationId xmlns:a16="http://schemas.microsoft.com/office/drawing/2014/main" id="{FF4BC6A1-078E-7948-C508-C1FC5816A9CE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3683160" y="13606920"/>
              <a:ext cx="147600" cy="12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580553</xdr:colOff>
      <xdr:row>67</xdr:row>
      <xdr:rowOff>14870</xdr:rowOff>
    </xdr:from>
    <xdr:to>
      <xdr:col>4</xdr:col>
      <xdr:colOff>733193</xdr:colOff>
      <xdr:row>67</xdr:row>
      <xdr:rowOff>173630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5">
          <xdr14:nvContentPartPr>
            <xdr14:cNvPr id="426" name="Ink 425">
              <a:extLst>
                <a:ext uri="{FF2B5EF4-FFF2-40B4-BE49-F238E27FC236}">
                  <a16:creationId xmlns:a16="http://schemas.microsoft.com/office/drawing/2014/main" id="{845DFBB3-9FEC-617A-F1F5-2E0D72121CCD}"/>
                </a:ext>
              </a:extLst>
            </xdr14:cNvPr>
            <xdr14:cNvContentPartPr/>
          </xdr14:nvContentPartPr>
          <xdr14:nvPr macro=""/>
          <xdr14:xfrm>
            <a:off x="3891960" y="13566240"/>
            <a:ext cx="152640" cy="158760"/>
          </xdr14:xfrm>
        </xdr:contentPart>
      </mc:Choice>
      <mc:Fallback>
        <xdr:pic>
          <xdr:nvPicPr>
            <xdr:cNvPr id="426" name="Ink 425">
              <a:extLst>
                <a:ext uri="{FF2B5EF4-FFF2-40B4-BE49-F238E27FC236}">
                  <a16:creationId xmlns:a16="http://schemas.microsoft.com/office/drawing/2014/main" id="{845DFBB3-9FEC-617A-F1F5-2E0D72121CCD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3881160" y="13555440"/>
              <a:ext cx="173880" cy="18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392061</xdr:colOff>
      <xdr:row>67</xdr:row>
      <xdr:rowOff>53030</xdr:rowOff>
    </xdr:from>
    <xdr:to>
      <xdr:col>5</xdr:col>
      <xdr:colOff>553341</xdr:colOff>
      <xdr:row>67</xdr:row>
      <xdr:rowOff>156710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7">
          <xdr14:nvContentPartPr>
            <xdr14:cNvPr id="427" name="Ink 426">
              <a:extLst>
                <a:ext uri="{FF2B5EF4-FFF2-40B4-BE49-F238E27FC236}">
                  <a16:creationId xmlns:a16="http://schemas.microsoft.com/office/drawing/2014/main" id="{E7B5592B-45F8-8B52-2CA2-E2D2A1E0BE66}"/>
                </a:ext>
              </a:extLst>
            </xdr14:cNvPr>
            <xdr14:cNvContentPartPr/>
          </xdr14:nvContentPartPr>
          <xdr14:nvPr macro=""/>
          <xdr14:xfrm>
            <a:off x="4531320" y="13604400"/>
            <a:ext cx="161280" cy="103680"/>
          </xdr14:xfrm>
        </xdr:contentPart>
      </mc:Choice>
      <mc:Fallback>
        <xdr:pic>
          <xdr:nvPicPr>
            <xdr:cNvPr id="427" name="Ink 426">
              <a:extLst>
                <a:ext uri="{FF2B5EF4-FFF2-40B4-BE49-F238E27FC236}">
                  <a16:creationId xmlns:a16="http://schemas.microsoft.com/office/drawing/2014/main" id="{E7B5592B-45F8-8B52-2CA2-E2D2A1E0BE66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4520880" y="13593960"/>
              <a:ext cx="182520" cy="12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632901</xdr:colOff>
      <xdr:row>67</xdr:row>
      <xdr:rowOff>62030</xdr:rowOff>
    </xdr:from>
    <xdr:to>
      <xdr:col>5</xdr:col>
      <xdr:colOff>714981</xdr:colOff>
      <xdr:row>67</xdr:row>
      <xdr:rowOff>157790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9">
          <xdr14:nvContentPartPr>
            <xdr14:cNvPr id="428" name="Ink 427">
              <a:extLst>
                <a:ext uri="{FF2B5EF4-FFF2-40B4-BE49-F238E27FC236}">
                  <a16:creationId xmlns:a16="http://schemas.microsoft.com/office/drawing/2014/main" id="{31B1DE42-9CAD-38ED-7464-A81882FBBE90}"/>
                </a:ext>
              </a:extLst>
            </xdr14:cNvPr>
            <xdr14:cNvContentPartPr/>
          </xdr14:nvContentPartPr>
          <xdr14:nvPr macro=""/>
          <xdr14:xfrm>
            <a:off x="4772160" y="13613400"/>
            <a:ext cx="82080" cy="95760"/>
          </xdr14:xfrm>
        </xdr:contentPart>
      </mc:Choice>
      <mc:Fallback>
        <xdr:pic>
          <xdr:nvPicPr>
            <xdr:cNvPr id="428" name="Ink 427">
              <a:extLst>
                <a:ext uri="{FF2B5EF4-FFF2-40B4-BE49-F238E27FC236}">
                  <a16:creationId xmlns:a16="http://schemas.microsoft.com/office/drawing/2014/main" id="{31B1DE42-9CAD-38ED-7464-A81882FBBE90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4761720" y="13602600"/>
              <a:ext cx="103320" cy="11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669981</xdr:colOff>
      <xdr:row>67</xdr:row>
      <xdr:rowOff>470</xdr:rowOff>
    </xdr:from>
    <xdr:to>
      <xdr:col>5</xdr:col>
      <xdr:colOff>753501</xdr:colOff>
      <xdr:row>67</xdr:row>
      <xdr:rowOff>55550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1">
          <xdr14:nvContentPartPr>
            <xdr14:cNvPr id="429" name="Ink 428">
              <a:extLst>
                <a:ext uri="{FF2B5EF4-FFF2-40B4-BE49-F238E27FC236}">
                  <a16:creationId xmlns:a16="http://schemas.microsoft.com/office/drawing/2014/main" id="{8172BC8C-7DAD-A3CE-9013-8F142260A869}"/>
                </a:ext>
              </a:extLst>
            </xdr14:cNvPr>
            <xdr14:cNvContentPartPr/>
          </xdr14:nvContentPartPr>
          <xdr14:nvPr macro=""/>
          <xdr14:xfrm>
            <a:off x="4809240" y="13551840"/>
            <a:ext cx="83520" cy="55080"/>
          </xdr14:xfrm>
        </xdr:contentPart>
      </mc:Choice>
      <mc:Fallback>
        <xdr:pic>
          <xdr:nvPicPr>
            <xdr:cNvPr id="429" name="Ink 428">
              <a:extLst>
                <a:ext uri="{FF2B5EF4-FFF2-40B4-BE49-F238E27FC236}">
                  <a16:creationId xmlns:a16="http://schemas.microsoft.com/office/drawing/2014/main" id="{8172BC8C-7DAD-A3CE-9013-8F142260A869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4798440" y="13541400"/>
              <a:ext cx="104760" cy="7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555776</xdr:colOff>
      <xdr:row>69</xdr:row>
      <xdr:rowOff>44151</xdr:rowOff>
    </xdr:from>
    <xdr:to>
      <xdr:col>2</xdr:col>
      <xdr:colOff>635336</xdr:colOff>
      <xdr:row>69</xdr:row>
      <xdr:rowOff>191751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3">
          <xdr14:nvContentPartPr>
            <xdr14:cNvPr id="430" name="Ink 429">
              <a:extLst>
                <a:ext uri="{FF2B5EF4-FFF2-40B4-BE49-F238E27FC236}">
                  <a16:creationId xmlns:a16="http://schemas.microsoft.com/office/drawing/2014/main" id="{50E425FE-C4A8-8158-6E8D-C54D063961B7}"/>
                </a:ext>
              </a:extLst>
            </xdr14:cNvPr>
            <xdr14:cNvContentPartPr/>
          </xdr14:nvContentPartPr>
          <xdr14:nvPr macro=""/>
          <xdr14:xfrm>
            <a:off x="2211480" y="14000040"/>
            <a:ext cx="79560" cy="147600"/>
          </xdr14:xfrm>
        </xdr:contentPart>
      </mc:Choice>
      <mc:Fallback>
        <xdr:pic>
          <xdr:nvPicPr>
            <xdr:cNvPr id="430" name="Ink 429">
              <a:extLst>
                <a:ext uri="{FF2B5EF4-FFF2-40B4-BE49-F238E27FC236}">
                  <a16:creationId xmlns:a16="http://schemas.microsoft.com/office/drawing/2014/main" id="{50E425FE-C4A8-8158-6E8D-C54D063961B7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2201040" y="13989240"/>
              <a:ext cx="100800" cy="16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588536</xdr:colOff>
      <xdr:row>69</xdr:row>
      <xdr:rowOff>23991</xdr:rowOff>
    </xdr:from>
    <xdr:to>
      <xdr:col>2</xdr:col>
      <xdr:colOff>812456</xdr:colOff>
      <xdr:row>69</xdr:row>
      <xdr:rowOff>172311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5">
          <xdr14:nvContentPartPr>
            <xdr14:cNvPr id="431" name="Ink 430">
              <a:extLst>
                <a:ext uri="{FF2B5EF4-FFF2-40B4-BE49-F238E27FC236}">
                  <a16:creationId xmlns:a16="http://schemas.microsoft.com/office/drawing/2014/main" id="{ED1BC7F8-437C-54C7-9889-6D09AD2B61BD}"/>
                </a:ext>
              </a:extLst>
            </xdr14:cNvPr>
            <xdr14:cNvContentPartPr/>
          </xdr14:nvContentPartPr>
          <xdr14:nvPr macro=""/>
          <xdr14:xfrm>
            <a:off x="2244240" y="13979880"/>
            <a:ext cx="223920" cy="148320"/>
          </xdr14:xfrm>
        </xdr:contentPart>
      </mc:Choice>
      <mc:Fallback>
        <xdr:pic>
          <xdr:nvPicPr>
            <xdr:cNvPr id="431" name="Ink 430">
              <a:extLst>
                <a:ext uri="{FF2B5EF4-FFF2-40B4-BE49-F238E27FC236}">
                  <a16:creationId xmlns:a16="http://schemas.microsoft.com/office/drawing/2014/main" id="{ED1BC7F8-437C-54C7-9889-6D09AD2B61BD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2233440" y="13969080"/>
              <a:ext cx="245160" cy="16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407604</xdr:colOff>
      <xdr:row>69</xdr:row>
      <xdr:rowOff>45591</xdr:rowOff>
    </xdr:from>
    <xdr:to>
      <xdr:col>3</xdr:col>
      <xdr:colOff>494364</xdr:colOff>
      <xdr:row>69</xdr:row>
      <xdr:rowOff>155751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7">
          <xdr14:nvContentPartPr>
            <xdr14:cNvPr id="432" name="Ink 431">
              <a:extLst>
                <a:ext uri="{FF2B5EF4-FFF2-40B4-BE49-F238E27FC236}">
                  <a16:creationId xmlns:a16="http://schemas.microsoft.com/office/drawing/2014/main" id="{3FD6F483-037A-C96E-4416-02B0687905A0}"/>
                </a:ext>
              </a:extLst>
            </xdr14:cNvPr>
            <xdr14:cNvContentPartPr/>
          </xdr14:nvContentPartPr>
          <xdr14:nvPr macro=""/>
          <xdr14:xfrm>
            <a:off x="2891160" y="14001480"/>
            <a:ext cx="86760" cy="110160"/>
          </xdr14:xfrm>
        </xdr:contentPart>
      </mc:Choice>
      <mc:Fallback>
        <xdr:pic>
          <xdr:nvPicPr>
            <xdr:cNvPr id="432" name="Ink 431">
              <a:extLst>
                <a:ext uri="{FF2B5EF4-FFF2-40B4-BE49-F238E27FC236}">
                  <a16:creationId xmlns:a16="http://schemas.microsoft.com/office/drawing/2014/main" id="{3FD6F483-037A-C96E-4416-02B0687905A0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2880720" y="13991040"/>
              <a:ext cx="108000" cy="13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581124</xdr:colOff>
      <xdr:row>69</xdr:row>
      <xdr:rowOff>93111</xdr:rowOff>
    </xdr:from>
    <xdr:to>
      <xdr:col>3</xdr:col>
      <xdr:colOff>666084</xdr:colOff>
      <xdr:row>69</xdr:row>
      <xdr:rowOff>187431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9">
          <xdr14:nvContentPartPr>
            <xdr14:cNvPr id="433" name="Ink 432">
              <a:extLst>
                <a:ext uri="{FF2B5EF4-FFF2-40B4-BE49-F238E27FC236}">
                  <a16:creationId xmlns:a16="http://schemas.microsoft.com/office/drawing/2014/main" id="{2C3EE9A5-B271-AD87-C4BA-D2599199D363}"/>
                </a:ext>
              </a:extLst>
            </xdr14:cNvPr>
            <xdr14:cNvContentPartPr/>
          </xdr14:nvContentPartPr>
          <xdr14:nvPr macro=""/>
          <xdr14:xfrm>
            <a:off x="3064680" y="14049000"/>
            <a:ext cx="84960" cy="94320"/>
          </xdr14:xfrm>
        </xdr:contentPart>
      </mc:Choice>
      <mc:Fallback>
        <xdr:pic>
          <xdr:nvPicPr>
            <xdr:cNvPr id="433" name="Ink 432">
              <a:extLst>
                <a:ext uri="{FF2B5EF4-FFF2-40B4-BE49-F238E27FC236}">
                  <a16:creationId xmlns:a16="http://schemas.microsoft.com/office/drawing/2014/main" id="{2C3EE9A5-B271-AD87-C4BA-D2599199D363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3054240" y="14038200"/>
              <a:ext cx="106200" cy="11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611724</xdr:colOff>
      <xdr:row>69</xdr:row>
      <xdr:rowOff>44511</xdr:rowOff>
    </xdr:from>
    <xdr:to>
      <xdr:col>3</xdr:col>
      <xdr:colOff>697404</xdr:colOff>
      <xdr:row>69</xdr:row>
      <xdr:rowOff>98151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1">
          <xdr14:nvContentPartPr>
            <xdr14:cNvPr id="434" name="Ink 433">
              <a:extLst>
                <a:ext uri="{FF2B5EF4-FFF2-40B4-BE49-F238E27FC236}">
                  <a16:creationId xmlns:a16="http://schemas.microsoft.com/office/drawing/2014/main" id="{DC2A24A5-DFF2-B4BB-6B9A-839A59ED5FF0}"/>
                </a:ext>
              </a:extLst>
            </xdr14:cNvPr>
            <xdr14:cNvContentPartPr/>
          </xdr14:nvContentPartPr>
          <xdr14:nvPr macro=""/>
          <xdr14:xfrm>
            <a:off x="3095280" y="14000400"/>
            <a:ext cx="85680" cy="53640"/>
          </xdr14:xfrm>
        </xdr:contentPart>
      </mc:Choice>
      <mc:Fallback>
        <xdr:pic>
          <xdr:nvPicPr>
            <xdr:cNvPr id="434" name="Ink 433">
              <a:extLst>
                <a:ext uri="{FF2B5EF4-FFF2-40B4-BE49-F238E27FC236}">
                  <a16:creationId xmlns:a16="http://schemas.microsoft.com/office/drawing/2014/main" id="{DC2A24A5-DFF2-B4BB-6B9A-839A59ED5FF0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3084480" y="13989960"/>
              <a:ext cx="106920" cy="7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499404</xdr:colOff>
      <xdr:row>69</xdr:row>
      <xdr:rowOff>86631</xdr:rowOff>
    </xdr:from>
    <xdr:to>
      <xdr:col>3</xdr:col>
      <xdr:colOff>526044</xdr:colOff>
      <xdr:row>70</xdr:row>
      <xdr:rowOff>64012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3">
          <xdr14:nvContentPartPr>
            <xdr14:cNvPr id="435" name="Ink 434">
              <a:extLst>
                <a:ext uri="{FF2B5EF4-FFF2-40B4-BE49-F238E27FC236}">
                  <a16:creationId xmlns:a16="http://schemas.microsoft.com/office/drawing/2014/main" id="{FFBB8311-6864-E100-81D7-C52F84E7D0CD}"/>
                </a:ext>
              </a:extLst>
            </xdr14:cNvPr>
            <xdr14:cNvContentPartPr/>
          </xdr14:nvContentPartPr>
          <xdr14:nvPr macro=""/>
          <xdr14:xfrm>
            <a:off x="2982960" y="14042520"/>
            <a:ext cx="26640" cy="179640"/>
          </xdr14:xfrm>
        </xdr:contentPart>
      </mc:Choice>
      <mc:Fallback>
        <xdr:pic>
          <xdr:nvPicPr>
            <xdr:cNvPr id="435" name="Ink 434">
              <a:extLst>
                <a:ext uri="{FF2B5EF4-FFF2-40B4-BE49-F238E27FC236}">
                  <a16:creationId xmlns:a16="http://schemas.microsoft.com/office/drawing/2014/main" id="{FFBB8311-6864-E100-81D7-C52F84E7D0CD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2972160" y="14032080"/>
              <a:ext cx="47880" cy="20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385433</xdr:colOff>
      <xdr:row>69</xdr:row>
      <xdr:rowOff>65031</xdr:rowOff>
    </xdr:from>
    <xdr:to>
      <xdr:col>4</xdr:col>
      <xdr:colOff>517553</xdr:colOff>
      <xdr:row>69</xdr:row>
      <xdr:rowOff>186711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5">
          <xdr14:nvContentPartPr>
            <xdr14:cNvPr id="436" name="Ink 435">
              <a:extLst>
                <a:ext uri="{FF2B5EF4-FFF2-40B4-BE49-F238E27FC236}">
                  <a16:creationId xmlns:a16="http://schemas.microsoft.com/office/drawing/2014/main" id="{2444561E-B7FA-A324-FA84-F18E613EE69F}"/>
                </a:ext>
              </a:extLst>
            </xdr14:cNvPr>
            <xdr14:cNvContentPartPr/>
          </xdr14:nvContentPartPr>
          <xdr14:nvPr macro=""/>
          <xdr14:xfrm>
            <a:off x="3696840" y="14020920"/>
            <a:ext cx="132120" cy="121680"/>
          </xdr14:xfrm>
        </xdr:contentPart>
      </mc:Choice>
      <mc:Fallback>
        <xdr:pic>
          <xdr:nvPicPr>
            <xdr:cNvPr id="436" name="Ink 435">
              <a:extLst>
                <a:ext uri="{FF2B5EF4-FFF2-40B4-BE49-F238E27FC236}">
                  <a16:creationId xmlns:a16="http://schemas.microsoft.com/office/drawing/2014/main" id="{2444561E-B7FA-A324-FA84-F18E613EE69F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3686400" y="14010480"/>
              <a:ext cx="153360" cy="14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575513</xdr:colOff>
      <xdr:row>69</xdr:row>
      <xdr:rowOff>19671</xdr:rowOff>
    </xdr:from>
    <xdr:to>
      <xdr:col>4</xdr:col>
      <xdr:colOff>679913</xdr:colOff>
      <xdr:row>69</xdr:row>
      <xdr:rowOff>165471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7">
          <xdr14:nvContentPartPr>
            <xdr14:cNvPr id="437" name="Ink 436">
              <a:extLst>
                <a:ext uri="{FF2B5EF4-FFF2-40B4-BE49-F238E27FC236}">
                  <a16:creationId xmlns:a16="http://schemas.microsoft.com/office/drawing/2014/main" id="{E064544A-ACF6-8831-5A88-426895EA7BAE}"/>
                </a:ext>
              </a:extLst>
            </xdr14:cNvPr>
            <xdr14:cNvContentPartPr/>
          </xdr14:nvContentPartPr>
          <xdr14:nvPr macro=""/>
          <xdr14:xfrm>
            <a:off x="3886920" y="13975560"/>
            <a:ext cx="104400" cy="145800"/>
          </xdr14:xfrm>
        </xdr:contentPart>
      </mc:Choice>
      <mc:Fallback>
        <xdr:pic>
          <xdr:nvPicPr>
            <xdr:cNvPr id="437" name="Ink 436">
              <a:extLst>
                <a:ext uri="{FF2B5EF4-FFF2-40B4-BE49-F238E27FC236}">
                  <a16:creationId xmlns:a16="http://schemas.microsoft.com/office/drawing/2014/main" id="{E064544A-ACF6-8831-5A88-426895EA7BAE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3876120" y="13964760"/>
              <a:ext cx="125640" cy="16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422301</xdr:colOff>
      <xdr:row>69</xdr:row>
      <xdr:rowOff>26151</xdr:rowOff>
    </xdr:from>
    <xdr:to>
      <xdr:col>5</xdr:col>
      <xdr:colOff>582861</xdr:colOff>
      <xdr:row>69</xdr:row>
      <xdr:rowOff>170151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9">
          <xdr14:nvContentPartPr>
            <xdr14:cNvPr id="438" name="Ink 437">
              <a:extLst>
                <a:ext uri="{FF2B5EF4-FFF2-40B4-BE49-F238E27FC236}">
                  <a16:creationId xmlns:a16="http://schemas.microsoft.com/office/drawing/2014/main" id="{D1001B70-B727-AD44-F8A1-4C429CC275A7}"/>
                </a:ext>
              </a:extLst>
            </xdr14:cNvPr>
            <xdr14:cNvContentPartPr/>
          </xdr14:nvContentPartPr>
          <xdr14:nvPr macro=""/>
          <xdr14:xfrm>
            <a:off x="4561560" y="13982040"/>
            <a:ext cx="160560" cy="144000"/>
          </xdr14:xfrm>
        </xdr:contentPart>
      </mc:Choice>
      <mc:Fallback>
        <xdr:pic>
          <xdr:nvPicPr>
            <xdr:cNvPr id="438" name="Ink 437">
              <a:extLst>
                <a:ext uri="{FF2B5EF4-FFF2-40B4-BE49-F238E27FC236}">
                  <a16:creationId xmlns:a16="http://schemas.microsoft.com/office/drawing/2014/main" id="{D1001B70-B727-AD44-F8A1-4C429CC275A7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4550760" y="13971240"/>
              <a:ext cx="181800" cy="1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625701</xdr:colOff>
      <xdr:row>69</xdr:row>
      <xdr:rowOff>57831</xdr:rowOff>
    </xdr:from>
    <xdr:to>
      <xdr:col>5</xdr:col>
      <xdr:colOff>686901</xdr:colOff>
      <xdr:row>69</xdr:row>
      <xdr:rowOff>182751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1">
          <xdr14:nvContentPartPr>
            <xdr14:cNvPr id="439" name="Ink 438">
              <a:extLst>
                <a:ext uri="{FF2B5EF4-FFF2-40B4-BE49-F238E27FC236}">
                  <a16:creationId xmlns:a16="http://schemas.microsoft.com/office/drawing/2014/main" id="{AE440352-A23F-80B0-CFD2-1EFF57347923}"/>
                </a:ext>
              </a:extLst>
            </xdr14:cNvPr>
            <xdr14:cNvContentPartPr/>
          </xdr14:nvContentPartPr>
          <xdr14:nvPr macro=""/>
          <xdr14:xfrm>
            <a:off x="4764960" y="14013720"/>
            <a:ext cx="61200" cy="124920"/>
          </xdr14:xfrm>
        </xdr:contentPart>
      </mc:Choice>
      <mc:Fallback>
        <xdr:pic>
          <xdr:nvPicPr>
            <xdr:cNvPr id="439" name="Ink 438">
              <a:extLst>
                <a:ext uri="{FF2B5EF4-FFF2-40B4-BE49-F238E27FC236}">
                  <a16:creationId xmlns:a16="http://schemas.microsoft.com/office/drawing/2014/main" id="{AE440352-A23F-80B0-CFD2-1EFF57347923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4754520" y="14002920"/>
              <a:ext cx="82440" cy="14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633261</xdr:colOff>
      <xdr:row>68</xdr:row>
      <xdr:rowOff>193490</xdr:rowOff>
    </xdr:from>
    <xdr:to>
      <xdr:col>5</xdr:col>
      <xdr:colOff>772581</xdr:colOff>
      <xdr:row>69</xdr:row>
      <xdr:rowOff>84471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3">
          <xdr14:nvContentPartPr>
            <xdr14:cNvPr id="440" name="Ink 439">
              <a:extLst>
                <a:ext uri="{FF2B5EF4-FFF2-40B4-BE49-F238E27FC236}">
                  <a16:creationId xmlns:a16="http://schemas.microsoft.com/office/drawing/2014/main" id="{4B6D9729-2B7C-7884-4DCC-0892C885B014}"/>
                </a:ext>
              </a:extLst>
            </xdr14:cNvPr>
            <xdr14:cNvContentPartPr/>
          </xdr14:nvContentPartPr>
          <xdr14:nvPr macro=""/>
          <xdr14:xfrm>
            <a:off x="4772520" y="13947120"/>
            <a:ext cx="139320" cy="93240"/>
          </xdr14:xfrm>
        </xdr:contentPart>
      </mc:Choice>
      <mc:Fallback>
        <xdr:pic>
          <xdr:nvPicPr>
            <xdr:cNvPr id="440" name="Ink 439">
              <a:extLst>
                <a:ext uri="{FF2B5EF4-FFF2-40B4-BE49-F238E27FC236}">
                  <a16:creationId xmlns:a16="http://schemas.microsoft.com/office/drawing/2014/main" id="{4B6D9729-2B7C-7884-4DCC-0892C885B014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4762080" y="13936680"/>
              <a:ext cx="160560" cy="11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176569</xdr:colOff>
      <xdr:row>67</xdr:row>
      <xdr:rowOff>99830</xdr:rowOff>
    </xdr:from>
    <xdr:to>
      <xdr:col>6</xdr:col>
      <xdr:colOff>267289</xdr:colOff>
      <xdr:row>67</xdr:row>
      <xdr:rowOff>104150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5">
          <xdr14:nvContentPartPr>
            <xdr14:cNvPr id="441" name="Ink 440">
              <a:extLst>
                <a:ext uri="{FF2B5EF4-FFF2-40B4-BE49-F238E27FC236}">
                  <a16:creationId xmlns:a16="http://schemas.microsoft.com/office/drawing/2014/main" id="{EFE6A8C5-082C-EF09-9477-1B70FD11A6A4}"/>
                </a:ext>
              </a:extLst>
            </xdr14:cNvPr>
            <xdr14:cNvContentPartPr/>
          </xdr14:nvContentPartPr>
          <xdr14:nvPr macro=""/>
          <xdr14:xfrm>
            <a:off x="5143680" y="13651200"/>
            <a:ext cx="90720" cy="4320"/>
          </xdr14:xfrm>
        </xdr:contentPart>
      </mc:Choice>
      <mc:Fallback>
        <xdr:pic>
          <xdr:nvPicPr>
            <xdr:cNvPr id="441" name="Ink 440">
              <a:extLst>
                <a:ext uri="{FF2B5EF4-FFF2-40B4-BE49-F238E27FC236}">
                  <a16:creationId xmlns:a16="http://schemas.microsoft.com/office/drawing/2014/main" id="{EFE6A8C5-082C-EF09-9477-1B70FD11A6A4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5133240" y="13640760"/>
              <a:ext cx="111960" cy="2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258649</xdr:colOff>
      <xdr:row>67</xdr:row>
      <xdr:rowOff>125750</xdr:rowOff>
    </xdr:from>
    <xdr:to>
      <xdr:col>6</xdr:col>
      <xdr:colOff>307249</xdr:colOff>
      <xdr:row>67</xdr:row>
      <xdr:rowOff>130430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7">
          <xdr14:nvContentPartPr>
            <xdr14:cNvPr id="442" name="Ink 441">
              <a:extLst>
                <a:ext uri="{FF2B5EF4-FFF2-40B4-BE49-F238E27FC236}">
                  <a16:creationId xmlns:a16="http://schemas.microsoft.com/office/drawing/2014/main" id="{DFD72D94-55E3-DFA2-31E9-E424E2B7D411}"/>
                </a:ext>
              </a:extLst>
            </xdr14:cNvPr>
            <xdr14:cNvContentPartPr/>
          </xdr14:nvContentPartPr>
          <xdr14:nvPr macro=""/>
          <xdr14:xfrm>
            <a:off x="5225760" y="13677120"/>
            <a:ext cx="48600" cy="4680"/>
          </xdr14:xfrm>
        </xdr:contentPart>
      </mc:Choice>
      <mc:Fallback>
        <xdr:pic>
          <xdr:nvPicPr>
            <xdr:cNvPr id="442" name="Ink 441">
              <a:extLst>
                <a:ext uri="{FF2B5EF4-FFF2-40B4-BE49-F238E27FC236}">
                  <a16:creationId xmlns:a16="http://schemas.microsoft.com/office/drawing/2014/main" id="{DFD72D94-55E3-DFA2-31E9-E424E2B7D411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5215320" y="13666680"/>
              <a:ext cx="6984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499849</xdr:colOff>
      <xdr:row>65</xdr:row>
      <xdr:rowOff>147228</xdr:rowOff>
    </xdr:from>
    <xdr:to>
      <xdr:col>6</xdr:col>
      <xdr:colOff>616129</xdr:colOff>
      <xdr:row>66</xdr:row>
      <xdr:rowOff>99049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9">
          <xdr14:nvContentPartPr>
            <xdr14:cNvPr id="445" name="Ink 444">
              <a:extLst>
                <a:ext uri="{FF2B5EF4-FFF2-40B4-BE49-F238E27FC236}">
                  <a16:creationId xmlns:a16="http://schemas.microsoft.com/office/drawing/2014/main" id="{EC13CA89-4076-3494-A2B1-DC9B8AA97BA0}"/>
                </a:ext>
              </a:extLst>
            </xdr14:cNvPr>
            <xdr14:cNvContentPartPr/>
          </xdr14:nvContentPartPr>
          <xdr14:nvPr macro=""/>
          <xdr14:xfrm>
            <a:off x="5466960" y="13294080"/>
            <a:ext cx="116280" cy="154080"/>
          </xdr14:xfrm>
        </xdr:contentPart>
      </mc:Choice>
      <mc:Fallback>
        <xdr:pic>
          <xdr:nvPicPr>
            <xdr:cNvPr id="445" name="Ink 444">
              <a:extLst>
                <a:ext uri="{FF2B5EF4-FFF2-40B4-BE49-F238E27FC236}">
                  <a16:creationId xmlns:a16="http://schemas.microsoft.com/office/drawing/2014/main" id="{EC13CA89-4076-3494-A2B1-DC9B8AA97BA0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5456160" y="13283280"/>
              <a:ext cx="137520" cy="17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521809</xdr:colOff>
      <xdr:row>65</xdr:row>
      <xdr:rowOff>191148</xdr:rowOff>
    </xdr:from>
    <xdr:to>
      <xdr:col>7</xdr:col>
      <xdr:colOff>19037</xdr:colOff>
      <xdr:row>66</xdr:row>
      <xdr:rowOff>115609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1">
          <xdr14:nvContentPartPr>
            <xdr14:cNvPr id="446" name="Ink 445">
              <a:extLst>
                <a:ext uri="{FF2B5EF4-FFF2-40B4-BE49-F238E27FC236}">
                  <a16:creationId xmlns:a16="http://schemas.microsoft.com/office/drawing/2014/main" id="{89BC3279-E3C1-2601-6346-6CD7EDEA2B81}"/>
                </a:ext>
              </a:extLst>
            </xdr14:cNvPr>
            <xdr14:cNvContentPartPr/>
          </xdr14:nvContentPartPr>
          <xdr14:nvPr macro=""/>
          <xdr14:xfrm>
            <a:off x="5488920" y="13338000"/>
            <a:ext cx="325080" cy="126720"/>
          </xdr14:xfrm>
        </xdr:contentPart>
      </mc:Choice>
      <mc:Fallback>
        <xdr:pic>
          <xdr:nvPicPr>
            <xdr:cNvPr id="446" name="Ink 445">
              <a:extLst>
                <a:ext uri="{FF2B5EF4-FFF2-40B4-BE49-F238E27FC236}">
                  <a16:creationId xmlns:a16="http://schemas.microsoft.com/office/drawing/2014/main" id="{89BC3279-E3C1-2601-6346-6CD7EDEA2B81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5478120" y="13327560"/>
              <a:ext cx="346320" cy="14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519077</xdr:colOff>
      <xdr:row>65</xdr:row>
      <xdr:rowOff>129588</xdr:rowOff>
    </xdr:from>
    <xdr:to>
      <xdr:col>7</xdr:col>
      <xdr:colOff>593957</xdr:colOff>
      <xdr:row>68</xdr:row>
      <xdr:rowOff>168290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3">
          <xdr14:nvContentPartPr>
            <xdr14:cNvPr id="447" name="Ink 446">
              <a:extLst>
                <a:ext uri="{FF2B5EF4-FFF2-40B4-BE49-F238E27FC236}">
                  <a16:creationId xmlns:a16="http://schemas.microsoft.com/office/drawing/2014/main" id="{FF6130FC-AEA3-96BA-45F2-3FAABC7A5BF2}"/>
                </a:ext>
              </a:extLst>
            </xdr14:cNvPr>
            <xdr14:cNvContentPartPr/>
          </xdr14:nvContentPartPr>
          <xdr14:nvPr macro=""/>
          <xdr14:xfrm>
            <a:off x="6314040" y="13276440"/>
            <a:ext cx="74880" cy="645480"/>
          </xdr14:xfrm>
        </xdr:contentPart>
      </mc:Choice>
      <mc:Fallback>
        <xdr:pic>
          <xdr:nvPicPr>
            <xdr:cNvPr id="447" name="Ink 446">
              <a:extLst>
                <a:ext uri="{FF2B5EF4-FFF2-40B4-BE49-F238E27FC236}">
                  <a16:creationId xmlns:a16="http://schemas.microsoft.com/office/drawing/2014/main" id="{FF6130FC-AEA3-96BA-45F2-3FAABC7A5BF2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6303240" y="13266000"/>
              <a:ext cx="96120" cy="66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549317</xdr:colOff>
      <xdr:row>68</xdr:row>
      <xdr:rowOff>67130</xdr:rowOff>
    </xdr:from>
    <xdr:to>
      <xdr:col>7</xdr:col>
      <xdr:colOff>603317</xdr:colOff>
      <xdr:row>70</xdr:row>
      <xdr:rowOff>183892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5">
          <xdr14:nvContentPartPr>
            <xdr14:cNvPr id="449" name="Ink 448">
              <a:extLst>
                <a:ext uri="{FF2B5EF4-FFF2-40B4-BE49-F238E27FC236}">
                  <a16:creationId xmlns:a16="http://schemas.microsoft.com/office/drawing/2014/main" id="{A67903F8-813F-E970-9D55-1AB85C8F3495}"/>
                </a:ext>
              </a:extLst>
            </xdr14:cNvPr>
            <xdr14:cNvContentPartPr/>
          </xdr14:nvContentPartPr>
          <xdr14:nvPr macro=""/>
          <xdr14:xfrm>
            <a:off x="6344280" y="13820760"/>
            <a:ext cx="54000" cy="521280"/>
          </xdr14:xfrm>
        </xdr:contentPart>
      </mc:Choice>
      <mc:Fallback>
        <xdr:pic>
          <xdr:nvPicPr>
            <xdr:cNvPr id="449" name="Ink 448">
              <a:extLst>
                <a:ext uri="{FF2B5EF4-FFF2-40B4-BE49-F238E27FC236}">
                  <a16:creationId xmlns:a16="http://schemas.microsoft.com/office/drawing/2014/main" id="{A67903F8-813F-E970-9D55-1AB85C8F3495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6333480" y="13809960"/>
              <a:ext cx="75240" cy="54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641160</xdr:colOff>
      <xdr:row>63</xdr:row>
      <xdr:rowOff>71507</xdr:rowOff>
    </xdr:from>
    <xdr:to>
      <xdr:col>2</xdr:col>
      <xdr:colOff>314216</xdr:colOff>
      <xdr:row>65</xdr:row>
      <xdr:rowOff>7908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7">
          <xdr14:nvContentPartPr>
            <xdr14:cNvPr id="454" name="Ink 453">
              <a:extLst>
                <a:ext uri="{FF2B5EF4-FFF2-40B4-BE49-F238E27FC236}">
                  <a16:creationId xmlns:a16="http://schemas.microsoft.com/office/drawing/2014/main" id="{CB4EA59B-DA55-0552-6502-8F313B14C72C}"/>
                </a:ext>
              </a:extLst>
            </xdr14:cNvPr>
            <xdr14:cNvContentPartPr/>
          </xdr14:nvContentPartPr>
          <xdr14:nvPr macro=""/>
          <xdr14:xfrm>
            <a:off x="641160" y="12813840"/>
            <a:ext cx="1328760" cy="340920"/>
          </xdr14:xfrm>
        </xdr:contentPart>
      </mc:Choice>
      <mc:Fallback>
        <xdr:pic>
          <xdr:nvPicPr>
            <xdr:cNvPr id="454" name="Ink 453">
              <a:extLst>
                <a:ext uri="{FF2B5EF4-FFF2-40B4-BE49-F238E27FC236}">
                  <a16:creationId xmlns:a16="http://schemas.microsoft.com/office/drawing/2014/main" id="{CB4EA59B-DA55-0552-6502-8F313B14C72C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630720" y="12803400"/>
              <a:ext cx="1350000" cy="36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765000</xdr:colOff>
      <xdr:row>66</xdr:row>
      <xdr:rowOff>17689</xdr:rowOff>
    </xdr:from>
    <xdr:to>
      <xdr:col>0</xdr:col>
      <xdr:colOff>816480</xdr:colOff>
      <xdr:row>66</xdr:row>
      <xdr:rowOff>157009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9">
          <xdr14:nvContentPartPr>
            <xdr14:cNvPr id="456" name="Ink 455">
              <a:extLst>
                <a:ext uri="{FF2B5EF4-FFF2-40B4-BE49-F238E27FC236}">
                  <a16:creationId xmlns:a16="http://schemas.microsoft.com/office/drawing/2014/main" id="{89E33CAF-4153-147E-F214-439410F30ECF}"/>
                </a:ext>
              </a:extLst>
            </xdr14:cNvPr>
            <xdr14:cNvContentPartPr/>
          </xdr14:nvContentPartPr>
          <xdr14:nvPr macro=""/>
          <xdr14:xfrm>
            <a:off x="765000" y="13366800"/>
            <a:ext cx="51480" cy="139320"/>
          </xdr14:xfrm>
        </xdr:contentPart>
      </mc:Choice>
      <mc:Fallback>
        <xdr:pic>
          <xdr:nvPicPr>
            <xdr:cNvPr id="456" name="Ink 455">
              <a:extLst>
                <a:ext uri="{FF2B5EF4-FFF2-40B4-BE49-F238E27FC236}">
                  <a16:creationId xmlns:a16="http://schemas.microsoft.com/office/drawing/2014/main" id="{89E33CAF-4153-147E-F214-439410F30ECF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754560" y="13356000"/>
              <a:ext cx="72720" cy="16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59548</xdr:colOff>
      <xdr:row>65</xdr:row>
      <xdr:rowOff>188628</xdr:rowOff>
    </xdr:from>
    <xdr:to>
      <xdr:col>1</xdr:col>
      <xdr:colOff>255028</xdr:colOff>
      <xdr:row>66</xdr:row>
      <xdr:rowOff>108409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1">
          <xdr14:nvContentPartPr>
            <xdr14:cNvPr id="457" name="Ink 456">
              <a:extLst>
                <a:ext uri="{FF2B5EF4-FFF2-40B4-BE49-F238E27FC236}">
                  <a16:creationId xmlns:a16="http://schemas.microsoft.com/office/drawing/2014/main" id="{4710EFAD-3DDF-5195-8163-9D67DD1DF285}"/>
                </a:ext>
              </a:extLst>
            </xdr14:cNvPr>
            <xdr14:cNvContentPartPr/>
          </xdr14:nvContentPartPr>
          <xdr14:nvPr macro=""/>
          <xdr14:xfrm>
            <a:off x="887400" y="13335480"/>
            <a:ext cx="195480" cy="122040"/>
          </xdr14:xfrm>
        </xdr:contentPart>
      </mc:Choice>
      <mc:Fallback>
        <xdr:pic>
          <xdr:nvPicPr>
            <xdr:cNvPr id="457" name="Ink 456">
              <a:extLst>
                <a:ext uri="{FF2B5EF4-FFF2-40B4-BE49-F238E27FC236}">
                  <a16:creationId xmlns:a16="http://schemas.microsoft.com/office/drawing/2014/main" id="{4710EFAD-3DDF-5195-8163-9D67DD1DF285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876960" y="13324680"/>
              <a:ext cx="216720" cy="14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293188</xdr:colOff>
      <xdr:row>65</xdr:row>
      <xdr:rowOff>120588</xdr:rowOff>
    </xdr:from>
    <xdr:to>
      <xdr:col>1</xdr:col>
      <xdr:colOff>312988</xdr:colOff>
      <xdr:row>66</xdr:row>
      <xdr:rowOff>98689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3">
          <xdr14:nvContentPartPr>
            <xdr14:cNvPr id="458" name="Ink 457">
              <a:extLst>
                <a:ext uri="{FF2B5EF4-FFF2-40B4-BE49-F238E27FC236}">
                  <a16:creationId xmlns:a16="http://schemas.microsoft.com/office/drawing/2014/main" id="{B538A04B-3A07-442E-154D-39C735D2ED36}"/>
                </a:ext>
              </a:extLst>
            </xdr14:cNvPr>
            <xdr14:cNvContentPartPr/>
          </xdr14:nvContentPartPr>
          <xdr14:nvPr macro=""/>
          <xdr14:xfrm>
            <a:off x="1121040" y="13267440"/>
            <a:ext cx="19800" cy="180360"/>
          </xdr14:xfrm>
        </xdr:contentPart>
      </mc:Choice>
      <mc:Fallback>
        <xdr:pic>
          <xdr:nvPicPr>
            <xdr:cNvPr id="458" name="Ink 457">
              <a:extLst>
                <a:ext uri="{FF2B5EF4-FFF2-40B4-BE49-F238E27FC236}">
                  <a16:creationId xmlns:a16="http://schemas.microsoft.com/office/drawing/2014/main" id="{B538A04B-3A07-442E-154D-39C735D2ED36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1110600" y="13257000"/>
              <a:ext cx="41040" cy="20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328108</xdr:colOff>
      <xdr:row>65</xdr:row>
      <xdr:rowOff>86028</xdr:rowOff>
    </xdr:from>
    <xdr:to>
      <xdr:col>1</xdr:col>
      <xdr:colOff>400108</xdr:colOff>
      <xdr:row>66</xdr:row>
      <xdr:rowOff>149449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5">
          <xdr14:nvContentPartPr>
            <xdr14:cNvPr id="459" name="Ink 458">
              <a:extLst>
                <a:ext uri="{FF2B5EF4-FFF2-40B4-BE49-F238E27FC236}">
                  <a16:creationId xmlns:a16="http://schemas.microsoft.com/office/drawing/2014/main" id="{3D5C53B0-0F37-7DAC-1C1A-6E500BBB0C3E}"/>
                </a:ext>
              </a:extLst>
            </xdr14:cNvPr>
            <xdr14:cNvContentPartPr/>
          </xdr14:nvContentPartPr>
          <xdr14:nvPr macro=""/>
          <xdr14:xfrm>
            <a:off x="1155960" y="13232880"/>
            <a:ext cx="72000" cy="265680"/>
          </xdr14:xfrm>
        </xdr:contentPart>
      </mc:Choice>
      <mc:Fallback>
        <xdr:pic>
          <xdr:nvPicPr>
            <xdr:cNvPr id="459" name="Ink 458">
              <a:extLst>
                <a:ext uri="{FF2B5EF4-FFF2-40B4-BE49-F238E27FC236}">
                  <a16:creationId xmlns:a16="http://schemas.microsoft.com/office/drawing/2014/main" id="{3D5C53B0-0F37-7DAC-1C1A-6E500BBB0C3E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1145160" y="13222080"/>
              <a:ext cx="93240" cy="28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687049</xdr:colOff>
      <xdr:row>66</xdr:row>
      <xdr:rowOff>193369</xdr:rowOff>
    </xdr:from>
    <xdr:to>
      <xdr:col>7</xdr:col>
      <xdr:colOff>9317</xdr:colOff>
      <xdr:row>67</xdr:row>
      <xdr:rowOff>119990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7">
          <xdr14:nvContentPartPr>
            <xdr14:cNvPr id="460" name="Ink 459">
              <a:extLst>
                <a:ext uri="{FF2B5EF4-FFF2-40B4-BE49-F238E27FC236}">
                  <a16:creationId xmlns:a16="http://schemas.microsoft.com/office/drawing/2014/main" id="{C73A0F53-0463-DBE4-F0EE-768E3957A175}"/>
                </a:ext>
              </a:extLst>
            </xdr14:cNvPr>
            <xdr14:cNvContentPartPr/>
          </xdr14:nvContentPartPr>
          <xdr14:nvPr macro=""/>
          <xdr14:xfrm>
            <a:off x="5654160" y="13542480"/>
            <a:ext cx="150120" cy="128880"/>
          </xdr14:xfrm>
        </xdr:contentPart>
      </mc:Choice>
      <mc:Fallback>
        <xdr:pic>
          <xdr:nvPicPr>
            <xdr:cNvPr id="460" name="Ink 459">
              <a:extLst>
                <a:ext uri="{FF2B5EF4-FFF2-40B4-BE49-F238E27FC236}">
                  <a16:creationId xmlns:a16="http://schemas.microsoft.com/office/drawing/2014/main" id="{C73A0F53-0463-DBE4-F0EE-768E3957A175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5643720" y="13531680"/>
              <a:ext cx="171360" cy="150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86717</xdr:colOff>
      <xdr:row>66</xdr:row>
      <xdr:rowOff>160969</xdr:rowOff>
    </xdr:from>
    <xdr:to>
      <xdr:col>7</xdr:col>
      <xdr:colOff>154757</xdr:colOff>
      <xdr:row>67</xdr:row>
      <xdr:rowOff>118190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9">
          <xdr14:nvContentPartPr>
            <xdr14:cNvPr id="461" name="Ink 460">
              <a:extLst>
                <a:ext uri="{FF2B5EF4-FFF2-40B4-BE49-F238E27FC236}">
                  <a16:creationId xmlns:a16="http://schemas.microsoft.com/office/drawing/2014/main" id="{7E762DAD-3036-A22F-9C53-CBD4DAE806CD}"/>
                </a:ext>
              </a:extLst>
            </xdr14:cNvPr>
            <xdr14:cNvContentPartPr/>
          </xdr14:nvContentPartPr>
          <xdr14:nvPr macro=""/>
          <xdr14:xfrm>
            <a:off x="5881680" y="13510080"/>
            <a:ext cx="68040" cy="159480"/>
          </xdr14:xfrm>
        </xdr:contentPart>
      </mc:Choice>
      <mc:Fallback>
        <xdr:pic>
          <xdr:nvPicPr>
            <xdr:cNvPr id="461" name="Ink 460">
              <a:extLst>
                <a:ext uri="{FF2B5EF4-FFF2-40B4-BE49-F238E27FC236}">
                  <a16:creationId xmlns:a16="http://schemas.microsoft.com/office/drawing/2014/main" id="{7E762DAD-3036-A22F-9C53-CBD4DAE806CD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5871240" y="13499280"/>
              <a:ext cx="89280" cy="18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739609</xdr:colOff>
      <xdr:row>69</xdr:row>
      <xdr:rowOff>71871</xdr:rowOff>
    </xdr:from>
    <xdr:to>
      <xdr:col>7</xdr:col>
      <xdr:colOff>36317</xdr:colOff>
      <xdr:row>69</xdr:row>
      <xdr:rowOff>182391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1">
          <xdr14:nvContentPartPr>
            <xdr14:cNvPr id="462" name="Ink 461">
              <a:extLst>
                <a:ext uri="{FF2B5EF4-FFF2-40B4-BE49-F238E27FC236}">
                  <a16:creationId xmlns:a16="http://schemas.microsoft.com/office/drawing/2014/main" id="{29C8BB64-DA42-5110-D540-F2481554D8BB}"/>
                </a:ext>
              </a:extLst>
            </xdr14:cNvPr>
            <xdr14:cNvContentPartPr/>
          </xdr14:nvContentPartPr>
          <xdr14:nvPr macro=""/>
          <xdr14:xfrm>
            <a:off x="5706720" y="14027760"/>
            <a:ext cx="124560" cy="110520"/>
          </xdr14:xfrm>
        </xdr:contentPart>
      </mc:Choice>
      <mc:Fallback>
        <xdr:pic>
          <xdr:nvPicPr>
            <xdr:cNvPr id="462" name="Ink 461">
              <a:extLst>
                <a:ext uri="{FF2B5EF4-FFF2-40B4-BE49-F238E27FC236}">
                  <a16:creationId xmlns:a16="http://schemas.microsoft.com/office/drawing/2014/main" id="{29C8BB64-DA42-5110-D540-F2481554D8BB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5695920" y="14017320"/>
              <a:ext cx="145800" cy="13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86717</xdr:colOff>
      <xdr:row>69</xdr:row>
      <xdr:rowOff>88431</xdr:rowOff>
    </xdr:from>
    <xdr:to>
      <xdr:col>7</xdr:col>
      <xdr:colOff>160877</xdr:colOff>
      <xdr:row>69</xdr:row>
      <xdr:rowOff>182751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3">
          <xdr14:nvContentPartPr>
            <xdr14:cNvPr id="463" name="Ink 462">
              <a:extLst>
                <a:ext uri="{FF2B5EF4-FFF2-40B4-BE49-F238E27FC236}">
                  <a16:creationId xmlns:a16="http://schemas.microsoft.com/office/drawing/2014/main" id="{1AD7D5B7-F2BE-F62A-AAA1-E8AA1542A660}"/>
                </a:ext>
              </a:extLst>
            </xdr14:cNvPr>
            <xdr14:cNvContentPartPr/>
          </xdr14:nvContentPartPr>
          <xdr14:nvPr macro=""/>
          <xdr14:xfrm>
            <a:off x="5881680" y="14044320"/>
            <a:ext cx="74160" cy="94320"/>
          </xdr14:xfrm>
        </xdr:contentPart>
      </mc:Choice>
      <mc:Fallback>
        <xdr:pic>
          <xdr:nvPicPr>
            <xdr:cNvPr id="463" name="Ink 462">
              <a:extLst>
                <a:ext uri="{FF2B5EF4-FFF2-40B4-BE49-F238E27FC236}">
                  <a16:creationId xmlns:a16="http://schemas.microsoft.com/office/drawing/2014/main" id="{1AD7D5B7-F2BE-F62A-AAA1-E8AA1542A660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5870880" y="14033520"/>
              <a:ext cx="95400" cy="11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188957</xdr:colOff>
      <xdr:row>68</xdr:row>
      <xdr:rowOff>140570</xdr:rowOff>
    </xdr:from>
    <xdr:to>
      <xdr:col>7</xdr:col>
      <xdr:colOff>266717</xdr:colOff>
      <xdr:row>69</xdr:row>
      <xdr:rowOff>14631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5">
          <xdr14:nvContentPartPr>
            <xdr14:cNvPr id="464" name="Ink 463">
              <a:extLst>
                <a:ext uri="{FF2B5EF4-FFF2-40B4-BE49-F238E27FC236}">
                  <a16:creationId xmlns:a16="http://schemas.microsoft.com/office/drawing/2014/main" id="{EB896655-28EC-3B65-A3A0-8B473566B958}"/>
                </a:ext>
              </a:extLst>
            </xdr14:cNvPr>
            <xdr14:cNvContentPartPr/>
          </xdr14:nvContentPartPr>
          <xdr14:nvPr macro=""/>
          <xdr14:xfrm>
            <a:off x="5983920" y="13894200"/>
            <a:ext cx="77760" cy="76320"/>
          </xdr14:xfrm>
        </xdr:contentPart>
      </mc:Choice>
      <mc:Fallback>
        <xdr:pic>
          <xdr:nvPicPr>
            <xdr:cNvPr id="464" name="Ink 463">
              <a:extLst>
                <a:ext uri="{FF2B5EF4-FFF2-40B4-BE49-F238E27FC236}">
                  <a16:creationId xmlns:a16="http://schemas.microsoft.com/office/drawing/2014/main" id="{EB896655-28EC-3B65-A3A0-8B473566B958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5973480" y="13883400"/>
              <a:ext cx="99000" cy="9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156917</xdr:colOff>
      <xdr:row>68</xdr:row>
      <xdr:rowOff>171170</xdr:rowOff>
    </xdr:from>
    <xdr:to>
      <xdr:col>7</xdr:col>
      <xdr:colOff>285077</xdr:colOff>
      <xdr:row>69</xdr:row>
      <xdr:rowOff>37311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7">
          <xdr14:nvContentPartPr>
            <xdr14:cNvPr id="465" name="Ink 464">
              <a:extLst>
                <a:ext uri="{FF2B5EF4-FFF2-40B4-BE49-F238E27FC236}">
                  <a16:creationId xmlns:a16="http://schemas.microsoft.com/office/drawing/2014/main" id="{EB08E126-D3B1-B31F-149F-0CF6A2226353}"/>
                </a:ext>
              </a:extLst>
            </xdr14:cNvPr>
            <xdr14:cNvContentPartPr/>
          </xdr14:nvContentPartPr>
          <xdr14:nvPr macro=""/>
          <xdr14:xfrm>
            <a:off x="5951880" y="13924800"/>
            <a:ext cx="128160" cy="68400"/>
          </xdr14:xfrm>
        </xdr:contentPart>
      </mc:Choice>
      <mc:Fallback>
        <xdr:pic>
          <xdr:nvPicPr>
            <xdr:cNvPr id="465" name="Ink 464">
              <a:extLst>
                <a:ext uri="{FF2B5EF4-FFF2-40B4-BE49-F238E27FC236}">
                  <a16:creationId xmlns:a16="http://schemas.microsoft.com/office/drawing/2014/main" id="{EB08E126-D3B1-B31F-149F-0CF6A2226353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5941440" y="13914360"/>
              <a:ext cx="149400" cy="8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78564</xdr:colOff>
      <xdr:row>60</xdr:row>
      <xdr:rowOff>200924</xdr:rowOff>
    </xdr:from>
    <xdr:to>
      <xdr:col>3</xdr:col>
      <xdr:colOff>311844</xdr:colOff>
      <xdr:row>62</xdr:row>
      <xdr:rowOff>101326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9">
          <xdr14:nvContentPartPr>
            <xdr14:cNvPr id="466" name="Ink 465">
              <a:extLst>
                <a:ext uri="{FF2B5EF4-FFF2-40B4-BE49-F238E27FC236}">
                  <a16:creationId xmlns:a16="http://schemas.microsoft.com/office/drawing/2014/main" id="{90901BF6-9670-73F5-57A6-E12E793BD74F}"/>
                </a:ext>
              </a:extLst>
            </xdr14:cNvPr>
            <xdr14:cNvContentPartPr/>
          </xdr14:nvContentPartPr>
          <xdr14:nvPr macro=""/>
          <xdr14:xfrm>
            <a:off x="2562120" y="12336480"/>
            <a:ext cx="233280" cy="304920"/>
          </xdr14:xfrm>
        </xdr:contentPart>
      </mc:Choice>
      <mc:Fallback>
        <xdr:pic>
          <xdr:nvPicPr>
            <xdr:cNvPr id="466" name="Ink 465">
              <a:extLst>
                <a:ext uri="{FF2B5EF4-FFF2-40B4-BE49-F238E27FC236}">
                  <a16:creationId xmlns:a16="http://schemas.microsoft.com/office/drawing/2014/main" id="{90901BF6-9670-73F5-57A6-E12E793BD74F}"/>
                </a:ext>
              </a:extLst>
            </xdr:cNvPr>
            <xdr:cNvPicPr/>
          </xdr:nvPicPr>
          <xdr:blipFill>
            <a:blip xmlns:r="http://schemas.openxmlformats.org/officeDocument/2006/relationships" r:embed="rId240"/>
            <a:stretch>
              <a:fillRect/>
            </a:stretch>
          </xdr:blipFill>
          <xdr:spPr>
            <a:xfrm>
              <a:off x="2551320" y="12326040"/>
              <a:ext cx="254520" cy="32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362244</xdr:colOff>
      <xdr:row>61</xdr:row>
      <xdr:rowOff>135465</xdr:rowOff>
    </xdr:from>
    <xdr:to>
      <xdr:col>4</xdr:col>
      <xdr:colOff>124073</xdr:colOff>
      <xdr:row>62</xdr:row>
      <xdr:rowOff>112486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1">
          <xdr14:nvContentPartPr>
            <xdr14:cNvPr id="467" name="Ink 466">
              <a:extLst>
                <a:ext uri="{FF2B5EF4-FFF2-40B4-BE49-F238E27FC236}">
                  <a16:creationId xmlns:a16="http://schemas.microsoft.com/office/drawing/2014/main" id="{5C7DF525-FB0E-B222-3F42-B47B892DFDC7}"/>
                </a:ext>
              </a:extLst>
            </xdr14:cNvPr>
            <xdr14:cNvContentPartPr/>
          </xdr14:nvContentPartPr>
          <xdr14:nvPr macro=""/>
          <xdr14:xfrm>
            <a:off x="2845800" y="12473280"/>
            <a:ext cx="589680" cy="179280"/>
          </xdr14:xfrm>
        </xdr:contentPart>
      </mc:Choice>
      <mc:Fallback>
        <xdr:pic>
          <xdr:nvPicPr>
            <xdr:cNvPr id="467" name="Ink 466">
              <a:extLst>
                <a:ext uri="{FF2B5EF4-FFF2-40B4-BE49-F238E27FC236}">
                  <a16:creationId xmlns:a16="http://schemas.microsoft.com/office/drawing/2014/main" id="{5C7DF525-FB0E-B222-3F42-B47B892DFDC7}"/>
                </a:ext>
              </a:extLst>
            </xdr:cNvPr>
            <xdr:cNvPicPr/>
          </xdr:nvPicPr>
          <xdr:blipFill>
            <a:blip xmlns:r="http://schemas.openxmlformats.org/officeDocument/2006/relationships" r:embed="rId242"/>
            <a:stretch>
              <a:fillRect/>
            </a:stretch>
          </xdr:blipFill>
          <xdr:spPr>
            <a:xfrm>
              <a:off x="2835360" y="12462840"/>
              <a:ext cx="610920" cy="20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430793</xdr:colOff>
      <xdr:row>60</xdr:row>
      <xdr:rowOff>197684</xdr:rowOff>
    </xdr:from>
    <xdr:to>
      <xdr:col>4</xdr:col>
      <xdr:colOff>625913</xdr:colOff>
      <xdr:row>63</xdr:row>
      <xdr:rowOff>54587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3">
          <xdr14:nvContentPartPr>
            <xdr14:cNvPr id="468" name="Ink 467">
              <a:extLst>
                <a:ext uri="{FF2B5EF4-FFF2-40B4-BE49-F238E27FC236}">
                  <a16:creationId xmlns:a16="http://schemas.microsoft.com/office/drawing/2014/main" id="{C6D32723-3EB9-C5F4-1032-34CAD2FEAFEC}"/>
                </a:ext>
              </a:extLst>
            </xdr14:cNvPr>
            <xdr14:cNvContentPartPr/>
          </xdr14:nvContentPartPr>
          <xdr14:nvPr macro=""/>
          <xdr14:xfrm>
            <a:off x="3742200" y="12333240"/>
            <a:ext cx="195120" cy="463680"/>
          </xdr14:xfrm>
        </xdr:contentPart>
      </mc:Choice>
      <mc:Fallback>
        <xdr:pic>
          <xdr:nvPicPr>
            <xdr:cNvPr id="468" name="Ink 467">
              <a:extLst>
                <a:ext uri="{FF2B5EF4-FFF2-40B4-BE49-F238E27FC236}">
                  <a16:creationId xmlns:a16="http://schemas.microsoft.com/office/drawing/2014/main" id="{C6D32723-3EB9-C5F4-1032-34CAD2FEAFEC}"/>
                </a:ext>
              </a:extLst>
            </xdr:cNvPr>
            <xdr:cNvPicPr/>
          </xdr:nvPicPr>
          <xdr:blipFill>
            <a:blip xmlns:r="http://schemas.openxmlformats.org/officeDocument/2006/relationships" r:embed="rId244"/>
            <a:stretch>
              <a:fillRect/>
            </a:stretch>
          </xdr:blipFill>
          <xdr:spPr>
            <a:xfrm>
              <a:off x="3731760" y="12322800"/>
              <a:ext cx="216360" cy="48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222141</xdr:colOff>
      <xdr:row>60</xdr:row>
      <xdr:rowOff>198404</xdr:rowOff>
    </xdr:from>
    <xdr:to>
      <xdr:col>5</xdr:col>
      <xdr:colOff>376941</xdr:colOff>
      <xdr:row>62</xdr:row>
      <xdr:rowOff>31486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5">
          <xdr14:nvContentPartPr>
            <xdr14:cNvPr id="469" name="Ink 468">
              <a:extLst>
                <a:ext uri="{FF2B5EF4-FFF2-40B4-BE49-F238E27FC236}">
                  <a16:creationId xmlns:a16="http://schemas.microsoft.com/office/drawing/2014/main" id="{AA4A2435-276B-CB2C-1A0C-29B57F491213}"/>
                </a:ext>
              </a:extLst>
            </xdr14:cNvPr>
            <xdr14:cNvContentPartPr/>
          </xdr14:nvContentPartPr>
          <xdr14:nvPr macro=""/>
          <xdr14:xfrm>
            <a:off x="4361400" y="12333960"/>
            <a:ext cx="154800" cy="237600"/>
          </xdr14:xfrm>
        </xdr:contentPart>
      </mc:Choice>
      <mc:Fallback>
        <xdr:pic>
          <xdr:nvPicPr>
            <xdr:cNvPr id="469" name="Ink 468">
              <a:extLst>
                <a:ext uri="{FF2B5EF4-FFF2-40B4-BE49-F238E27FC236}">
                  <a16:creationId xmlns:a16="http://schemas.microsoft.com/office/drawing/2014/main" id="{AA4A2435-276B-CB2C-1A0C-29B57F491213}"/>
                </a:ext>
              </a:extLst>
            </xdr:cNvPr>
            <xdr:cNvPicPr/>
          </xdr:nvPicPr>
          <xdr:blipFill>
            <a:blip xmlns:r="http://schemas.openxmlformats.org/officeDocument/2006/relationships" r:embed="rId246"/>
            <a:stretch>
              <a:fillRect/>
            </a:stretch>
          </xdr:blipFill>
          <xdr:spPr>
            <a:xfrm>
              <a:off x="4350600" y="12323520"/>
              <a:ext cx="176040" cy="25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459381</xdr:colOff>
      <xdr:row>61</xdr:row>
      <xdr:rowOff>73545</xdr:rowOff>
    </xdr:from>
    <xdr:to>
      <xdr:col>5</xdr:col>
      <xdr:colOff>618141</xdr:colOff>
      <xdr:row>61</xdr:row>
      <xdr:rowOff>178305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7">
          <xdr14:nvContentPartPr>
            <xdr14:cNvPr id="470" name="Ink 469">
              <a:extLst>
                <a:ext uri="{FF2B5EF4-FFF2-40B4-BE49-F238E27FC236}">
                  <a16:creationId xmlns:a16="http://schemas.microsoft.com/office/drawing/2014/main" id="{B338E58B-5B14-92DA-7A9A-08DF4F81CBE9}"/>
                </a:ext>
              </a:extLst>
            </xdr14:cNvPr>
            <xdr14:cNvContentPartPr/>
          </xdr14:nvContentPartPr>
          <xdr14:nvPr macro=""/>
          <xdr14:xfrm>
            <a:off x="4598640" y="12411360"/>
            <a:ext cx="158760" cy="104760"/>
          </xdr14:xfrm>
        </xdr:contentPart>
      </mc:Choice>
      <mc:Fallback>
        <xdr:pic>
          <xdr:nvPicPr>
            <xdr:cNvPr id="470" name="Ink 469">
              <a:extLst>
                <a:ext uri="{FF2B5EF4-FFF2-40B4-BE49-F238E27FC236}">
                  <a16:creationId xmlns:a16="http://schemas.microsoft.com/office/drawing/2014/main" id="{B338E58B-5B14-92DA-7A9A-08DF4F81CBE9}"/>
                </a:ext>
              </a:extLst>
            </xdr:cNvPr>
            <xdr:cNvPicPr/>
          </xdr:nvPicPr>
          <xdr:blipFill>
            <a:blip xmlns:r="http://schemas.openxmlformats.org/officeDocument/2006/relationships" r:embed="rId248"/>
            <a:stretch>
              <a:fillRect/>
            </a:stretch>
          </xdr:blipFill>
          <xdr:spPr>
            <a:xfrm>
              <a:off x="4587840" y="12400560"/>
              <a:ext cx="180000" cy="12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639381</xdr:colOff>
      <xdr:row>61</xdr:row>
      <xdr:rowOff>67425</xdr:rowOff>
    </xdr:from>
    <xdr:to>
      <xdr:col>5</xdr:col>
      <xdr:colOff>779061</xdr:colOff>
      <xdr:row>62</xdr:row>
      <xdr:rowOff>7006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9">
          <xdr14:nvContentPartPr>
            <xdr14:cNvPr id="471" name="Ink 470">
              <a:extLst>
                <a:ext uri="{FF2B5EF4-FFF2-40B4-BE49-F238E27FC236}">
                  <a16:creationId xmlns:a16="http://schemas.microsoft.com/office/drawing/2014/main" id="{FA526E09-4645-26FB-4769-0986E78BC3A6}"/>
                </a:ext>
              </a:extLst>
            </xdr14:cNvPr>
            <xdr14:cNvContentPartPr/>
          </xdr14:nvContentPartPr>
          <xdr14:nvPr macro=""/>
          <xdr14:xfrm>
            <a:off x="4778640" y="12405240"/>
            <a:ext cx="139680" cy="141840"/>
          </xdr14:xfrm>
        </xdr:contentPart>
      </mc:Choice>
      <mc:Fallback>
        <xdr:pic>
          <xdr:nvPicPr>
            <xdr:cNvPr id="471" name="Ink 470">
              <a:extLst>
                <a:ext uri="{FF2B5EF4-FFF2-40B4-BE49-F238E27FC236}">
                  <a16:creationId xmlns:a16="http://schemas.microsoft.com/office/drawing/2014/main" id="{FA526E09-4645-26FB-4769-0986E78BC3A6}"/>
                </a:ext>
              </a:extLst>
            </xdr:cNvPr>
            <xdr:cNvPicPr/>
          </xdr:nvPicPr>
          <xdr:blipFill>
            <a:blip xmlns:r="http://schemas.openxmlformats.org/officeDocument/2006/relationships" r:embed="rId250"/>
            <a:stretch>
              <a:fillRect/>
            </a:stretch>
          </xdr:blipFill>
          <xdr:spPr>
            <a:xfrm>
              <a:off x="4767840" y="12394800"/>
              <a:ext cx="160920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4489</xdr:colOff>
      <xdr:row>61</xdr:row>
      <xdr:rowOff>47625</xdr:rowOff>
    </xdr:from>
    <xdr:to>
      <xdr:col>6</xdr:col>
      <xdr:colOff>12049</xdr:colOff>
      <xdr:row>61</xdr:row>
      <xdr:rowOff>171465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1">
          <xdr14:nvContentPartPr>
            <xdr14:cNvPr id="472" name="Ink 471">
              <a:extLst>
                <a:ext uri="{FF2B5EF4-FFF2-40B4-BE49-F238E27FC236}">
                  <a16:creationId xmlns:a16="http://schemas.microsoft.com/office/drawing/2014/main" id="{88C42C83-99E0-2963-A659-3044834AE893}"/>
                </a:ext>
              </a:extLst>
            </xdr14:cNvPr>
            <xdr14:cNvContentPartPr/>
          </xdr14:nvContentPartPr>
          <xdr14:nvPr macro=""/>
          <xdr14:xfrm>
            <a:off x="4971600" y="12385440"/>
            <a:ext cx="7560" cy="123840"/>
          </xdr14:xfrm>
        </xdr:contentPart>
      </mc:Choice>
      <mc:Fallback>
        <xdr:pic>
          <xdr:nvPicPr>
            <xdr:cNvPr id="472" name="Ink 471">
              <a:extLst>
                <a:ext uri="{FF2B5EF4-FFF2-40B4-BE49-F238E27FC236}">
                  <a16:creationId xmlns:a16="http://schemas.microsoft.com/office/drawing/2014/main" id="{88C42C83-99E0-2963-A659-3044834AE893}"/>
                </a:ext>
              </a:extLst>
            </xdr:cNvPr>
            <xdr:cNvPicPr/>
          </xdr:nvPicPr>
          <xdr:blipFill>
            <a:blip xmlns:r="http://schemas.openxmlformats.org/officeDocument/2006/relationships" r:embed="rId252"/>
            <a:stretch>
              <a:fillRect/>
            </a:stretch>
          </xdr:blipFill>
          <xdr:spPr>
            <a:xfrm>
              <a:off x="4961160" y="12375000"/>
              <a:ext cx="28800" cy="14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814341</xdr:colOff>
      <xdr:row>60</xdr:row>
      <xdr:rowOff>133244</xdr:rowOff>
    </xdr:from>
    <xdr:to>
      <xdr:col>5</xdr:col>
      <xdr:colOff>827661</xdr:colOff>
      <xdr:row>60</xdr:row>
      <xdr:rowOff>189764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3">
          <xdr14:nvContentPartPr>
            <xdr14:cNvPr id="473" name="Ink 472">
              <a:extLst>
                <a:ext uri="{FF2B5EF4-FFF2-40B4-BE49-F238E27FC236}">
                  <a16:creationId xmlns:a16="http://schemas.microsoft.com/office/drawing/2014/main" id="{8A315269-FE6B-FA19-EA77-FA0B965574C9}"/>
                </a:ext>
              </a:extLst>
            </xdr14:cNvPr>
            <xdr14:cNvContentPartPr/>
          </xdr14:nvContentPartPr>
          <xdr14:nvPr macro=""/>
          <xdr14:xfrm>
            <a:off x="4953600" y="12268800"/>
            <a:ext cx="13320" cy="56520"/>
          </xdr14:xfrm>
        </xdr:contentPart>
      </mc:Choice>
      <mc:Fallback>
        <xdr:pic>
          <xdr:nvPicPr>
            <xdr:cNvPr id="473" name="Ink 472">
              <a:extLst>
                <a:ext uri="{FF2B5EF4-FFF2-40B4-BE49-F238E27FC236}">
                  <a16:creationId xmlns:a16="http://schemas.microsoft.com/office/drawing/2014/main" id="{8A315269-FE6B-FA19-EA77-FA0B965574C9}"/>
                </a:ext>
              </a:extLst>
            </xdr:cNvPr>
            <xdr:cNvPicPr/>
          </xdr:nvPicPr>
          <xdr:blipFill>
            <a:blip xmlns:r="http://schemas.openxmlformats.org/officeDocument/2006/relationships" r:embed="rId254"/>
            <a:stretch>
              <a:fillRect/>
            </a:stretch>
          </xdr:blipFill>
          <xdr:spPr>
            <a:xfrm>
              <a:off x="4943160" y="12258000"/>
              <a:ext cx="34560" cy="7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72169</xdr:colOff>
      <xdr:row>61</xdr:row>
      <xdr:rowOff>88665</xdr:rowOff>
    </xdr:from>
    <xdr:to>
      <xdr:col>6</xdr:col>
      <xdr:colOff>224809</xdr:colOff>
      <xdr:row>62</xdr:row>
      <xdr:rowOff>20326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5">
          <xdr14:nvContentPartPr>
            <xdr14:cNvPr id="474" name="Ink 473">
              <a:extLst>
                <a:ext uri="{FF2B5EF4-FFF2-40B4-BE49-F238E27FC236}">
                  <a16:creationId xmlns:a16="http://schemas.microsoft.com/office/drawing/2014/main" id="{FF49B808-A5F7-AC80-D55E-82707AC744E2}"/>
                </a:ext>
              </a:extLst>
            </xdr14:cNvPr>
            <xdr14:cNvContentPartPr/>
          </xdr14:nvContentPartPr>
          <xdr14:nvPr macro=""/>
          <xdr14:xfrm>
            <a:off x="5039280" y="12426480"/>
            <a:ext cx="152640" cy="133920"/>
          </xdr14:xfrm>
        </xdr:contentPart>
      </mc:Choice>
      <mc:Fallback>
        <xdr:pic>
          <xdr:nvPicPr>
            <xdr:cNvPr id="474" name="Ink 473">
              <a:extLst>
                <a:ext uri="{FF2B5EF4-FFF2-40B4-BE49-F238E27FC236}">
                  <a16:creationId xmlns:a16="http://schemas.microsoft.com/office/drawing/2014/main" id="{FF49B808-A5F7-AC80-D55E-82707AC744E2}"/>
                </a:ext>
              </a:extLst>
            </xdr:cNvPr>
            <xdr:cNvPicPr/>
          </xdr:nvPicPr>
          <xdr:blipFill>
            <a:blip xmlns:r="http://schemas.openxmlformats.org/officeDocument/2006/relationships" r:embed="rId256"/>
            <a:stretch>
              <a:fillRect/>
            </a:stretch>
          </xdr:blipFill>
          <xdr:spPr>
            <a:xfrm>
              <a:off x="5028480" y="12416040"/>
              <a:ext cx="173880" cy="15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257929</xdr:colOff>
      <xdr:row>60</xdr:row>
      <xdr:rowOff>173204</xdr:rowOff>
    </xdr:from>
    <xdr:to>
      <xdr:col>6</xdr:col>
      <xdr:colOff>297529</xdr:colOff>
      <xdr:row>62</xdr:row>
      <xdr:rowOff>18526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7">
          <xdr14:nvContentPartPr>
            <xdr14:cNvPr id="475" name="Ink 474">
              <a:extLst>
                <a:ext uri="{FF2B5EF4-FFF2-40B4-BE49-F238E27FC236}">
                  <a16:creationId xmlns:a16="http://schemas.microsoft.com/office/drawing/2014/main" id="{69AF4664-E080-EC66-CACE-7B42CDDFB0DF}"/>
                </a:ext>
              </a:extLst>
            </xdr14:cNvPr>
            <xdr14:cNvContentPartPr/>
          </xdr14:nvContentPartPr>
          <xdr14:nvPr macro=""/>
          <xdr14:xfrm>
            <a:off x="5225040" y="12308760"/>
            <a:ext cx="39600" cy="249840"/>
          </xdr14:xfrm>
        </xdr:contentPart>
      </mc:Choice>
      <mc:Fallback>
        <xdr:pic>
          <xdr:nvPicPr>
            <xdr:cNvPr id="475" name="Ink 474">
              <a:extLst>
                <a:ext uri="{FF2B5EF4-FFF2-40B4-BE49-F238E27FC236}">
                  <a16:creationId xmlns:a16="http://schemas.microsoft.com/office/drawing/2014/main" id="{69AF4664-E080-EC66-CACE-7B42CDDFB0DF}"/>
                </a:ext>
              </a:extLst>
            </xdr:cNvPr>
            <xdr:cNvPicPr/>
          </xdr:nvPicPr>
          <xdr:blipFill>
            <a:blip xmlns:r="http://schemas.openxmlformats.org/officeDocument/2006/relationships" r:embed="rId258"/>
            <a:stretch>
              <a:fillRect/>
            </a:stretch>
          </xdr:blipFill>
          <xdr:spPr>
            <a:xfrm>
              <a:off x="5214600" y="12297960"/>
              <a:ext cx="60840" cy="271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273409</xdr:colOff>
      <xdr:row>60</xdr:row>
      <xdr:rowOff>126404</xdr:rowOff>
    </xdr:from>
    <xdr:to>
      <xdr:col>6</xdr:col>
      <xdr:colOff>538369</xdr:colOff>
      <xdr:row>61</xdr:row>
      <xdr:rowOff>192345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9">
          <xdr14:nvContentPartPr>
            <xdr14:cNvPr id="476" name="Ink 475">
              <a:extLst>
                <a:ext uri="{FF2B5EF4-FFF2-40B4-BE49-F238E27FC236}">
                  <a16:creationId xmlns:a16="http://schemas.microsoft.com/office/drawing/2014/main" id="{A772ABC8-8DEE-FDAB-706E-28B2CEB7B554}"/>
                </a:ext>
              </a:extLst>
            </xdr14:cNvPr>
            <xdr14:cNvContentPartPr/>
          </xdr14:nvContentPartPr>
          <xdr14:nvPr macro=""/>
          <xdr14:xfrm>
            <a:off x="5240520" y="12261960"/>
            <a:ext cx="264960" cy="268200"/>
          </xdr14:xfrm>
        </xdr:contentPart>
      </mc:Choice>
      <mc:Fallback>
        <xdr:pic>
          <xdr:nvPicPr>
            <xdr:cNvPr id="476" name="Ink 475">
              <a:extLst>
                <a:ext uri="{FF2B5EF4-FFF2-40B4-BE49-F238E27FC236}">
                  <a16:creationId xmlns:a16="http://schemas.microsoft.com/office/drawing/2014/main" id="{A772ABC8-8DEE-FDAB-706E-28B2CEB7B554}"/>
                </a:ext>
              </a:extLst>
            </xdr:cNvPr>
            <xdr:cNvPicPr/>
          </xdr:nvPicPr>
          <xdr:blipFill>
            <a:blip xmlns:r="http://schemas.openxmlformats.org/officeDocument/2006/relationships" r:embed="rId260"/>
            <a:stretch>
              <a:fillRect/>
            </a:stretch>
          </xdr:blipFill>
          <xdr:spPr>
            <a:xfrm>
              <a:off x="5229720" y="12251160"/>
              <a:ext cx="286200" cy="28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498769</xdr:colOff>
      <xdr:row>61</xdr:row>
      <xdr:rowOff>31425</xdr:rowOff>
    </xdr:from>
    <xdr:to>
      <xdr:col>6</xdr:col>
      <xdr:colOff>693169</xdr:colOff>
      <xdr:row>62</xdr:row>
      <xdr:rowOff>148126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1">
          <xdr14:nvContentPartPr>
            <xdr14:cNvPr id="477" name="Ink 476">
              <a:extLst>
                <a:ext uri="{FF2B5EF4-FFF2-40B4-BE49-F238E27FC236}">
                  <a16:creationId xmlns:a16="http://schemas.microsoft.com/office/drawing/2014/main" id="{FF819853-A170-FD31-B780-76147DCDFC12}"/>
                </a:ext>
              </a:extLst>
            </xdr14:cNvPr>
            <xdr14:cNvContentPartPr/>
          </xdr14:nvContentPartPr>
          <xdr14:nvPr macro=""/>
          <xdr14:xfrm>
            <a:off x="5465880" y="12369240"/>
            <a:ext cx="194400" cy="318960"/>
          </xdr14:xfrm>
        </xdr:contentPart>
      </mc:Choice>
      <mc:Fallback>
        <xdr:pic>
          <xdr:nvPicPr>
            <xdr:cNvPr id="477" name="Ink 476">
              <a:extLst>
                <a:ext uri="{FF2B5EF4-FFF2-40B4-BE49-F238E27FC236}">
                  <a16:creationId xmlns:a16="http://schemas.microsoft.com/office/drawing/2014/main" id="{FF819853-A170-FD31-B780-76147DCDFC12}"/>
                </a:ext>
              </a:extLst>
            </xdr:cNvPr>
            <xdr:cNvPicPr/>
          </xdr:nvPicPr>
          <xdr:blipFill>
            <a:blip xmlns:r="http://schemas.openxmlformats.org/officeDocument/2006/relationships" r:embed="rId262"/>
            <a:stretch>
              <a:fillRect/>
            </a:stretch>
          </xdr:blipFill>
          <xdr:spPr>
            <a:xfrm>
              <a:off x="5455080" y="12358800"/>
              <a:ext cx="215640" cy="34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354536</xdr:colOff>
      <xdr:row>73</xdr:row>
      <xdr:rowOff>108114</xdr:rowOff>
    </xdr:from>
    <xdr:to>
      <xdr:col>2</xdr:col>
      <xdr:colOff>516896</xdr:colOff>
      <xdr:row>74</xdr:row>
      <xdr:rowOff>170095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3">
          <xdr14:nvContentPartPr>
            <xdr14:cNvPr id="478" name="Ink 477">
              <a:extLst>
                <a:ext uri="{FF2B5EF4-FFF2-40B4-BE49-F238E27FC236}">
                  <a16:creationId xmlns:a16="http://schemas.microsoft.com/office/drawing/2014/main" id="{7BFCBFEB-FF79-5CC7-4357-378AAF7D629E}"/>
                </a:ext>
              </a:extLst>
            </xdr14:cNvPr>
            <xdr14:cNvContentPartPr/>
          </xdr14:nvContentPartPr>
          <xdr14:nvPr macro=""/>
          <xdr14:xfrm>
            <a:off x="2010240" y="14873040"/>
            <a:ext cx="162360" cy="264240"/>
          </xdr14:xfrm>
        </xdr:contentPart>
      </mc:Choice>
      <mc:Fallback>
        <xdr:pic>
          <xdr:nvPicPr>
            <xdr:cNvPr id="478" name="Ink 477">
              <a:extLst>
                <a:ext uri="{FF2B5EF4-FFF2-40B4-BE49-F238E27FC236}">
                  <a16:creationId xmlns:a16="http://schemas.microsoft.com/office/drawing/2014/main" id="{7BFCBFEB-FF79-5CC7-4357-378AAF7D629E}"/>
                </a:ext>
              </a:extLst>
            </xdr:cNvPr>
            <xdr:cNvPicPr/>
          </xdr:nvPicPr>
          <xdr:blipFill>
            <a:blip xmlns:r="http://schemas.openxmlformats.org/officeDocument/2006/relationships" r:embed="rId264"/>
            <a:stretch>
              <a:fillRect/>
            </a:stretch>
          </xdr:blipFill>
          <xdr:spPr>
            <a:xfrm>
              <a:off x="1999440" y="14862600"/>
              <a:ext cx="183600" cy="28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568016</xdr:colOff>
      <xdr:row>73</xdr:row>
      <xdr:rowOff>144474</xdr:rowOff>
    </xdr:from>
    <xdr:to>
      <xdr:col>3</xdr:col>
      <xdr:colOff>46884</xdr:colOff>
      <xdr:row>74</xdr:row>
      <xdr:rowOff>136975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5">
          <xdr14:nvContentPartPr>
            <xdr14:cNvPr id="479" name="Ink 478">
              <a:extLst>
                <a:ext uri="{FF2B5EF4-FFF2-40B4-BE49-F238E27FC236}">
                  <a16:creationId xmlns:a16="http://schemas.microsoft.com/office/drawing/2014/main" id="{40967786-B987-E21C-146A-BBA959099363}"/>
                </a:ext>
              </a:extLst>
            </xdr14:cNvPr>
            <xdr14:cNvContentPartPr/>
          </xdr14:nvContentPartPr>
          <xdr14:nvPr macro=""/>
          <xdr14:xfrm>
            <a:off x="2223720" y="14909400"/>
            <a:ext cx="306720" cy="194760"/>
          </xdr14:xfrm>
        </xdr:contentPart>
      </mc:Choice>
      <mc:Fallback>
        <xdr:pic>
          <xdr:nvPicPr>
            <xdr:cNvPr id="479" name="Ink 478">
              <a:extLst>
                <a:ext uri="{FF2B5EF4-FFF2-40B4-BE49-F238E27FC236}">
                  <a16:creationId xmlns:a16="http://schemas.microsoft.com/office/drawing/2014/main" id="{40967786-B987-E21C-146A-BBA959099363}"/>
                </a:ext>
              </a:extLst>
            </xdr:cNvPr>
            <xdr:cNvPicPr/>
          </xdr:nvPicPr>
          <xdr:blipFill>
            <a:blip xmlns:r="http://schemas.openxmlformats.org/officeDocument/2006/relationships" r:embed="rId266"/>
            <a:stretch>
              <a:fillRect/>
            </a:stretch>
          </xdr:blipFill>
          <xdr:spPr>
            <a:xfrm>
              <a:off x="2212920" y="14898600"/>
              <a:ext cx="32796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199884</xdr:colOff>
      <xdr:row>73</xdr:row>
      <xdr:rowOff>141594</xdr:rowOff>
    </xdr:from>
    <xdr:to>
      <xdr:col>3</xdr:col>
      <xdr:colOff>329124</xdr:colOff>
      <xdr:row>73</xdr:row>
      <xdr:rowOff>178674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7">
          <xdr14:nvContentPartPr>
            <xdr14:cNvPr id="480" name="Ink 479">
              <a:extLst>
                <a:ext uri="{FF2B5EF4-FFF2-40B4-BE49-F238E27FC236}">
                  <a16:creationId xmlns:a16="http://schemas.microsoft.com/office/drawing/2014/main" id="{CCC8D22B-6AE7-71B0-87D1-34A6074DE39D}"/>
                </a:ext>
              </a:extLst>
            </xdr14:cNvPr>
            <xdr14:cNvContentPartPr/>
          </xdr14:nvContentPartPr>
          <xdr14:nvPr macro=""/>
          <xdr14:xfrm>
            <a:off x="2683440" y="14906520"/>
            <a:ext cx="129240" cy="37080"/>
          </xdr14:xfrm>
        </xdr:contentPart>
      </mc:Choice>
      <mc:Fallback>
        <xdr:pic>
          <xdr:nvPicPr>
            <xdr:cNvPr id="480" name="Ink 479">
              <a:extLst>
                <a:ext uri="{FF2B5EF4-FFF2-40B4-BE49-F238E27FC236}">
                  <a16:creationId xmlns:a16="http://schemas.microsoft.com/office/drawing/2014/main" id="{CCC8D22B-6AE7-71B0-87D1-34A6074DE39D}"/>
                </a:ext>
              </a:extLst>
            </xdr:cNvPr>
            <xdr:cNvPicPr/>
          </xdr:nvPicPr>
          <xdr:blipFill>
            <a:blip xmlns:r="http://schemas.openxmlformats.org/officeDocument/2006/relationships" r:embed="rId268"/>
            <a:stretch>
              <a:fillRect/>
            </a:stretch>
          </xdr:blipFill>
          <xdr:spPr>
            <a:xfrm>
              <a:off x="2672640" y="14896080"/>
              <a:ext cx="150480" cy="5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297804</xdr:colOff>
      <xdr:row>73</xdr:row>
      <xdr:rowOff>192354</xdr:rowOff>
    </xdr:from>
    <xdr:to>
      <xdr:col>3</xdr:col>
      <xdr:colOff>374484</xdr:colOff>
      <xdr:row>74</xdr:row>
      <xdr:rowOff>2695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9">
          <xdr14:nvContentPartPr>
            <xdr14:cNvPr id="481" name="Ink 480">
              <a:extLst>
                <a:ext uri="{FF2B5EF4-FFF2-40B4-BE49-F238E27FC236}">
                  <a16:creationId xmlns:a16="http://schemas.microsoft.com/office/drawing/2014/main" id="{DC49B034-9703-B112-E3F6-3E924AADD8E5}"/>
                </a:ext>
              </a:extLst>
            </xdr14:cNvPr>
            <xdr14:cNvContentPartPr/>
          </xdr14:nvContentPartPr>
          <xdr14:nvPr macro=""/>
          <xdr14:xfrm>
            <a:off x="2781360" y="14957280"/>
            <a:ext cx="76680" cy="12600"/>
          </xdr14:xfrm>
        </xdr:contentPart>
      </mc:Choice>
      <mc:Fallback>
        <xdr:pic>
          <xdr:nvPicPr>
            <xdr:cNvPr id="481" name="Ink 480">
              <a:extLst>
                <a:ext uri="{FF2B5EF4-FFF2-40B4-BE49-F238E27FC236}">
                  <a16:creationId xmlns:a16="http://schemas.microsoft.com/office/drawing/2014/main" id="{DC49B034-9703-B112-E3F6-3E924AADD8E5}"/>
                </a:ext>
              </a:extLst>
            </xdr:cNvPr>
            <xdr:cNvPicPr/>
          </xdr:nvPicPr>
          <xdr:blipFill>
            <a:blip xmlns:r="http://schemas.openxmlformats.org/officeDocument/2006/relationships" r:embed="rId270"/>
            <a:stretch>
              <a:fillRect/>
            </a:stretch>
          </xdr:blipFill>
          <xdr:spPr>
            <a:xfrm>
              <a:off x="2770920" y="14946480"/>
              <a:ext cx="9792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807924</xdr:colOff>
      <xdr:row>72</xdr:row>
      <xdr:rowOff>185453</xdr:rowOff>
    </xdr:from>
    <xdr:to>
      <xdr:col>4</xdr:col>
      <xdr:colOff>90233</xdr:colOff>
      <xdr:row>75</xdr:row>
      <xdr:rowOff>6356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1">
          <xdr14:nvContentPartPr>
            <xdr14:cNvPr id="482" name="Ink 481">
              <a:extLst>
                <a:ext uri="{FF2B5EF4-FFF2-40B4-BE49-F238E27FC236}">
                  <a16:creationId xmlns:a16="http://schemas.microsoft.com/office/drawing/2014/main" id="{4A094CCA-4EF1-D29C-D9FF-A5C6F90861BC}"/>
                </a:ext>
              </a:extLst>
            </xdr14:cNvPr>
            <xdr14:cNvContentPartPr/>
          </xdr14:nvContentPartPr>
          <xdr14:nvPr macro=""/>
          <xdr14:xfrm>
            <a:off x="3291480" y="14748120"/>
            <a:ext cx="110160" cy="427680"/>
          </xdr14:xfrm>
        </xdr:contentPart>
      </mc:Choice>
      <mc:Fallback>
        <xdr:pic>
          <xdr:nvPicPr>
            <xdr:cNvPr id="482" name="Ink 481">
              <a:extLst>
                <a:ext uri="{FF2B5EF4-FFF2-40B4-BE49-F238E27FC236}">
                  <a16:creationId xmlns:a16="http://schemas.microsoft.com/office/drawing/2014/main" id="{4A094CCA-4EF1-D29C-D9FF-A5C6F90861BC}"/>
                </a:ext>
              </a:extLst>
            </xdr:cNvPr>
            <xdr:cNvPicPr/>
          </xdr:nvPicPr>
          <xdr:blipFill>
            <a:blip xmlns:r="http://schemas.openxmlformats.org/officeDocument/2006/relationships" r:embed="rId272"/>
            <a:stretch>
              <a:fillRect/>
            </a:stretch>
          </xdr:blipFill>
          <xdr:spPr>
            <a:xfrm>
              <a:off x="3280680" y="14737680"/>
              <a:ext cx="131400" cy="44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230633</xdr:colOff>
      <xdr:row>73</xdr:row>
      <xdr:rowOff>82554</xdr:rowOff>
    </xdr:from>
    <xdr:to>
      <xdr:col>4</xdr:col>
      <xdr:colOff>402353</xdr:colOff>
      <xdr:row>74</xdr:row>
      <xdr:rowOff>65695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3">
          <xdr14:nvContentPartPr>
            <xdr14:cNvPr id="483" name="Ink 482">
              <a:extLst>
                <a:ext uri="{FF2B5EF4-FFF2-40B4-BE49-F238E27FC236}">
                  <a16:creationId xmlns:a16="http://schemas.microsoft.com/office/drawing/2014/main" id="{8AA6E6EE-BB48-F12E-1CA3-2EB0D600B95F}"/>
                </a:ext>
              </a:extLst>
            </xdr14:cNvPr>
            <xdr14:cNvContentPartPr/>
          </xdr14:nvContentPartPr>
          <xdr14:nvPr macro=""/>
          <xdr14:xfrm>
            <a:off x="3542040" y="14847480"/>
            <a:ext cx="171720" cy="185400"/>
          </xdr14:xfrm>
        </xdr:contentPart>
      </mc:Choice>
      <mc:Fallback>
        <xdr:pic>
          <xdr:nvPicPr>
            <xdr:cNvPr id="483" name="Ink 482">
              <a:extLst>
                <a:ext uri="{FF2B5EF4-FFF2-40B4-BE49-F238E27FC236}">
                  <a16:creationId xmlns:a16="http://schemas.microsoft.com/office/drawing/2014/main" id="{8AA6E6EE-BB48-F12E-1CA3-2EB0D600B95F}"/>
                </a:ext>
              </a:extLst>
            </xdr:cNvPr>
            <xdr:cNvPicPr/>
          </xdr:nvPicPr>
          <xdr:blipFill>
            <a:blip xmlns:r="http://schemas.openxmlformats.org/officeDocument/2006/relationships" r:embed="rId274"/>
            <a:stretch>
              <a:fillRect/>
            </a:stretch>
          </xdr:blipFill>
          <xdr:spPr>
            <a:xfrm>
              <a:off x="3531600" y="14836680"/>
              <a:ext cx="192960" cy="20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236753</xdr:colOff>
      <xdr:row>73</xdr:row>
      <xdr:rowOff>29634</xdr:rowOff>
    </xdr:from>
    <xdr:to>
      <xdr:col>4</xdr:col>
      <xdr:colOff>351233</xdr:colOff>
      <xdr:row>74</xdr:row>
      <xdr:rowOff>110335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5">
          <xdr14:nvContentPartPr>
            <xdr14:cNvPr id="484" name="Ink 483">
              <a:extLst>
                <a:ext uri="{FF2B5EF4-FFF2-40B4-BE49-F238E27FC236}">
                  <a16:creationId xmlns:a16="http://schemas.microsoft.com/office/drawing/2014/main" id="{E78633D8-64B6-6D24-6970-905CD273F10B}"/>
                </a:ext>
              </a:extLst>
            </xdr14:cNvPr>
            <xdr14:cNvContentPartPr/>
          </xdr14:nvContentPartPr>
          <xdr14:nvPr macro=""/>
          <xdr14:xfrm>
            <a:off x="3548160" y="14794560"/>
            <a:ext cx="114480" cy="282960"/>
          </xdr14:xfrm>
        </xdr:contentPart>
      </mc:Choice>
      <mc:Fallback>
        <xdr:pic>
          <xdr:nvPicPr>
            <xdr:cNvPr id="484" name="Ink 483">
              <a:extLst>
                <a:ext uri="{FF2B5EF4-FFF2-40B4-BE49-F238E27FC236}">
                  <a16:creationId xmlns:a16="http://schemas.microsoft.com/office/drawing/2014/main" id="{E78633D8-64B6-6D24-6970-905CD273F10B}"/>
                </a:ext>
              </a:extLst>
            </xdr:cNvPr>
            <xdr:cNvPicPr/>
          </xdr:nvPicPr>
          <xdr:blipFill>
            <a:blip xmlns:r="http://schemas.openxmlformats.org/officeDocument/2006/relationships" r:embed="rId276"/>
            <a:stretch>
              <a:fillRect/>
            </a:stretch>
          </xdr:blipFill>
          <xdr:spPr>
            <a:xfrm>
              <a:off x="3537720" y="14784120"/>
              <a:ext cx="135720" cy="30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545993</xdr:colOff>
      <xdr:row>73</xdr:row>
      <xdr:rowOff>116754</xdr:rowOff>
    </xdr:from>
    <xdr:to>
      <xdr:col>4</xdr:col>
      <xdr:colOff>697913</xdr:colOff>
      <xdr:row>73</xdr:row>
      <xdr:rowOff>144474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7">
          <xdr14:nvContentPartPr>
            <xdr14:cNvPr id="485" name="Ink 484">
              <a:extLst>
                <a:ext uri="{FF2B5EF4-FFF2-40B4-BE49-F238E27FC236}">
                  <a16:creationId xmlns:a16="http://schemas.microsoft.com/office/drawing/2014/main" id="{CA99AB69-23EF-9276-C243-EF026D03A4D0}"/>
                </a:ext>
              </a:extLst>
            </xdr14:cNvPr>
            <xdr14:cNvContentPartPr/>
          </xdr14:nvContentPartPr>
          <xdr14:nvPr macro=""/>
          <xdr14:xfrm>
            <a:off x="3857400" y="14881680"/>
            <a:ext cx="151920" cy="27720"/>
          </xdr14:xfrm>
        </xdr:contentPart>
      </mc:Choice>
      <mc:Fallback>
        <xdr:pic>
          <xdr:nvPicPr>
            <xdr:cNvPr id="485" name="Ink 484">
              <a:extLst>
                <a:ext uri="{FF2B5EF4-FFF2-40B4-BE49-F238E27FC236}">
                  <a16:creationId xmlns:a16="http://schemas.microsoft.com/office/drawing/2014/main" id="{CA99AB69-23EF-9276-C243-EF026D03A4D0}"/>
                </a:ext>
              </a:extLst>
            </xdr:cNvPr>
            <xdr:cNvPicPr/>
          </xdr:nvPicPr>
          <xdr:blipFill>
            <a:blip xmlns:r="http://schemas.openxmlformats.org/officeDocument/2006/relationships" r:embed="rId278"/>
            <a:stretch>
              <a:fillRect/>
            </a:stretch>
          </xdr:blipFill>
          <xdr:spPr>
            <a:xfrm>
              <a:off x="3846600" y="14871240"/>
              <a:ext cx="173160" cy="4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56181</xdr:colOff>
      <xdr:row>73</xdr:row>
      <xdr:rowOff>23514</xdr:rowOff>
    </xdr:from>
    <xdr:to>
      <xdr:col>5</xdr:col>
      <xdr:colOff>264621</xdr:colOff>
      <xdr:row>73</xdr:row>
      <xdr:rowOff>160314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9">
          <xdr14:nvContentPartPr>
            <xdr14:cNvPr id="486" name="Ink 485">
              <a:extLst>
                <a:ext uri="{FF2B5EF4-FFF2-40B4-BE49-F238E27FC236}">
                  <a16:creationId xmlns:a16="http://schemas.microsoft.com/office/drawing/2014/main" id="{4E57CE40-8F35-FE75-8A4A-AAB91829901F}"/>
                </a:ext>
              </a:extLst>
            </xdr14:cNvPr>
            <xdr14:cNvContentPartPr/>
          </xdr14:nvContentPartPr>
          <xdr14:nvPr macro=""/>
          <xdr14:xfrm>
            <a:off x="4195440" y="14788440"/>
            <a:ext cx="208440" cy="136800"/>
          </xdr14:xfrm>
        </xdr:contentPart>
      </mc:Choice>
      <mc:Fallback>
        <xdr:pic>
          <xdr:nvPicPr>
            <xdr:cNvPr id="486" name="Ink 485">
              <a:extLst>
                <a:ext uri="{FF2B5EF4-FFF2-40B4-BE49-F238E27FC236}">
                  <a16:creationId xmlns:a16="http://schemas.microsoft.com/office/drawing/2014/main" id="{4E57CE40-8F35-FE75-8A4A-AAB91829901F}"/>
                </a:ext>
              </a:extLst>
            </xdr:cNvPr>
            <xdr:cNvPicPr/>
          </xdr:nvPicPr>
          <xdr:blipFill>
            <a:blip xmlns:r="http://schemas.openxmlformats.org/officeDocument/2006/relationships" r:embed="rId280"/>
            <a:stretch>
              <a:fillRect/>
            </a:stretch>
          </xdr:blipFill>
          <xdr:spPr>
            <a:xfrm>
              <a:off x="4185000" y="14777640"/>
              <a:ext cx="229680" cy="15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93261</xdr:colOff>
      <xdr:row>73</xdr:row>
      <xdr:rowOff>24594</xdr:rowOff>
    </xdr:from>
    <xdr:to>
      <xdr:col>5</xdr:col>
      <xdr:colOff>266061</xdr:colOff>
      <xdr:row>74</xdr:row>
      <xdr:rowOff>11335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1">
          <xdr14:nvContentPartPr>
            <xdr14:cNvPr id="487" name="Ink 486">
              <a:extLst>
                <a:ext uri="{FF2B5EF4-FFF2-40B4-BE49-F238E27FC236}">
                  <a16:creationId xmlns:a16="http://schemas.microsoft.com/office/drawing/2014/main" id="{806CAFDA-715C-5064-AD58-62CBC1C6E829}"/>
                </a:ext>
              </a:extLst>
            </xdr14:cNvPr>
            <xdr14:cNvContentPartPr/>
          </xdr14:nvContentPartPr>
          <xdr14:nvPr macro=""/>
          <xdr14:xfrm>
            <a:off x="4232520" y="14789520"/>
            <a:ext cx="172800" cy="189000"/>
          </xdr14:xfrm>
        </xdr:contentPart>
      </mc:Choice>
      <mc:Fallback>
        <xdr:pic>
          <xdr:nvPicPr>
            <xdr:cNvPr id="487" name="Ink 486">
              <a:extLst>
                <a:ext uri="{FF2B5EF4-FFF2-40B4-BE49-F238E27FC236}">
                  <a16:creationId xmlns:a16="http://schemas.microsoft.com/office/drawing/2014/main" id="{806CAFDA-715C-5064-AD58-62CBC1C6E829}"/>
                </a:ext>
              </a:extLst>
            </xdr:cNvPr>
            <xdr:cNvPicPr/>
          </xdr:nvPicPr>
          <xdr:blipFill>
            <a:blip xmlns:r="http://schemas.openxmlformats.org/officeDocument/2006/relationships" r:embed="rId282"/>
            <a:stretch>
              <a:fillRect/>
            </a:stretch>
          </xdr:blipFill>
          <xdr:spPr>
            <a:xfrm>
              <a:off x="4222080" y="14779080"/>
              <a:ext cx="194040" cy="2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815633</xdr:colOff>
      <xdr:row>72</xdr:row>
      <xdr:rowOff>141533</xdr:rowOff>
    </xdr:from>
    <xdr:to>
      <xdr:col>5</xdr:col>
      <xdr:colOff>222501</xdr:colOff>
      <xdr:row>72</xdr:row>
      <xdr:rowOff>168533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3">
          <xdr14:nvContentPartPr>
            <xdr14:cNvPr id="488" name="Ink 487">
              <a:extLst>
                <a:ext uri="{FF2B5EF4-FFF2-40B4-BE49-F238E27FC236}">
                  <a16:creationId xmlns:a16="http://schemas.microsoft.com/office/drawing/2014/main" id="{5BF93E39-6AAE-7679-48EF-58F0BAD0E85E}"/>
                </a:ext>
              </a:extLst>
            </xdr14:cNvPr>
            <xdr14:cNvContentPartPr/>
          </xdr14:nvContentPartPr>
          <xdr14:nvPr macro=""/>
          <xdr14:xfrm>
            <a:off x="4127040" y="14704200"/>
            <a:ext cx="234720" cy="27000"/>
          </xdr14:xfrm>
        </xdr:contentPart>
      </mc:Choice>
      <mc:Fallback>
        <xdr:pic>
          <xdr:nvPicPr>
            <xdr:cNvPr id="488" name="Ink 487">
              <a:extLst>
                <a:ext uri="{FF2B5EF4-FFF2-40B4-BE49-F238E27FC236}">
                  <a16:creationId xmlns:a16="http://schemas.microsoft.com/office/drawing/2014/main" id="{5BF93E39-6AAE-7679-48EF-58F0BAD0E85E}"/>
                </a:ext>
              </a:extLst>
            </xdr:cNvPr>
            <xdr:cNvPicPr/>
          </xdr:nvPicPr>
          <xdr:blipFill>
            <a:blip xmlns:r="http://schemas.openxmlformats.org/officeDocument/2006/relationships" r:embed="rId284"/>
            <a:stretch>
              <a:fillRect/>
            </a:stretch>
          </xdr:blipFill>
          <xdr:spPr>
            <a:xfrm>
              <a:off x="4116240" y="14693760"/>
              <a:ext cx="255960" cy="4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376581</xdr:colOff>
      <xdr:row>72</xdr:row>
      <xdr:rowOff>58373</xdr:rowOff>
    </xdr:from>
    <xdr:to>
      <xdr:col>5</xdr:col>
      <xdr:colOff>468741</xdr:colOff>
      <xdr:row>74</xdr:row>
      <xdr:rowOff>44095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5">
          <xdr14:nvContentPartPr>
            <xdr14:cNvPr id="489" name="Ink 488">
              <a:extLst>
                <a:ext uri="{FF2B5EF4-FFF2-40B4-BE49-F238E27FC236}">
                  <a16:creationId xmlns:a16="http://schemas.microsoft.com/office/drawing/2014/main" id="{01C9214D-9013-C06D-3EC3-5A2216FBA59F}"/>
                </a:ext>
              </a:extLst>
            </xdr14:cNvPr>
            <xdr14:cNvContentPartPr/>
          </xdr14:nvContentPartPr>
          <xdr14:nvPr macro=""/>
          <xdr14:xfrm>
            <a:off x="4515840" y="14621040"/>
            <a:ext cx="92160" cy="390240"/>
          </xdr14:xfrm>
        </xdr:contentPart>
      </mc:Choice>
      <mc:Fallback>
        <xdr:pic>
          <xdr:nvPicPr>
            <xdr:cNvPr id="489" name="Ink 488">
              <a:extLst>
                <a:ext uri="{FF2B5EF4-FFF2-40B4-BE49-F238E27FC236}">
                  <a16:creationId xmlns:a16="http://schemas.microsoft.com/office/drawing/2014/main" id="{01C9214D-9013-C06D-3EC3-5A2216FBA59F}"/>
                </a:ext>
              </a:extLst>
            </xdr:cNvPr>
            <xdr:cNvPicPr/>
          </xdr:nvPicPr>
          <xdr:blipFill>
            <a:blip xmlns:r="http://schemas.openxmlformats.org/officeDocument/2006/relationships" r:embed="rId286"/>
            <a:stretch>
              <a:fillRect/>
            </a:stretch>
          </xdr:blipFill>
          <xdr:spPr>
            <a:xfrm>
              <a:off x="4505040" y="14610600"/>
              <a:ext cx="113400" cy="41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463341</xdr:colOff>
      <xdr:row>71</xdr:row>
      <xdr:rowOff>131753</xdr:rowOff>
    </xdr:from>
    <xdr:to>
      <xdr:col>5</xdr:col>
      <xdr:colOff>721461</xdr:colOff>
      <xdr:row>72</xdr:row>
      <xdr:rowOff>103373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7">
          <xdr14:nvContentPartPr>
            <xdr14:cNvPr id="490" name="Ink 489">
              <a:extLst>
                <a:ext uri="{FF2B5EF4-FFF2-40B4-BE49-F238E27FC236}">
                  <a16:creationId xmlns:a16="http://schemas.microsoft.com/office/drawing/2014/main" id="{712FD530-2C9F-869E-610D-D6E28404C2FB}"/>
                </a:ext>
              </a:extLst>
            </xdr14:cNvPr>
            <xdr14:cNvContentPartPr/>
          </xdr14:nvContentPartPr>
          <xdr14:nvPr macro=""/>
          <xdr14:xfrm>
            <a:off x="4602600" y="14492160"/>
            <a:ext cx="258120" cy="173880"/>
          </xdr14:xfrm>
        </xdr:contentPart>
      </mc:Choice>
      <mc:Fallback>
        <xdr:pic>
          <xdr:nvPicPr>
            <xdr:cNvPr id="490" name="Ink 489">
              <a:extLst>
                <a:ext uri="{FF2B5EF4-FFF2-40B4-BE49-F238E27FC236}">
                  <a16:creationId xmlns:a16="http://schemas.microsoft.com/office/drawing/2014/main" id="{712FD530-2C9F-869E-610D-D6E28404C2FB}"/>
                </a:ext>
              </a:extLst>
            </xdr:cNvPr>
            <xdr:cNvPicPr/>
          </xdr:nvPicPr>
          <xdr:blipFill>
            <a:blip xmlns:r="http://schemas.openxmlformats.org/officeDocument/2006/relationships" r:embed="rId288"/>
            <a:stretch>
              <a:fillRect/>
            </a:stretch>
          </xdr:blipFill>
          <xdr:spPr>
            <a:xfrm>
              <a:off x="4591800" y="14481360"/>
              <a:ext cx="279360" cy="19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422364</xdr:colOff>
      <xdr:row>73</xdr:row>
      <xdr:rowOff>108474</xdr:rowOff>
    </xdr:from>
    <xdr:to>
      <xdr:col>3</xdr:col>
      <xdr:colOff>708564</xdr:colOff>
      <xdr:row>75</xdr:row>
      <xdr:rowOff>48836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9">
          <xdr14:nvContentPartPr>
            <xdr14:cNvPr id="491" name="Ink 490">
              <a:extLst>
                <a:ext uri="{FF2B5EF4-FFF2-40B4-BE49-F238E27FC236}">
                  <a16:creationId xmlns:a16="http://schemas.microsoft.com/office/drawing/2014/main" id="{75F28D53-6758-38CB-23C7-DCB5BFD09B4F}"/>
                </a:ext>
              </a:extLst>
            </xdr14:cNvPr>
            <xdr14:cNvContentPartPr/>
          </xdr14:nvContentPartPr>
          <xdr14:nvPr macro=""/>
          <xdr14:xfrm>
            <a:off x="2905920" y="14873400"/>
            <a:ext cx="286200" cy="344880"/>
          </xdr14:xfrm>
        </xdr:contentPart>
      </mc:Choice>
      <mc:Fallback>
        <xdr:pic>
          <xdr:nvPicPr>
            <xdr:cNvPr id="491" name="Ink 490">
              <a:extLst>
                <a:ext uri="{FF2B5EF4-FFF2-40B4-BE49-F238E27FC236}">
                  <a16:creationId xmlns:a16="http://schemas.microsoft.com/office/drawing/2014/main" id="{75F28D53-6758-38CB-23C7-DCB5BFD09B4F}"/>
                </a:ext>
              </a:extLst>
            </xdr:cNvPr>
            <xdr:cNvPicPr/>
          </xdr:nvPicPr>
          <xdr:blipFill>
            <a:blip xmlns:r="http://schemas.openxmlformats.org/officeDocument/2006/relationships" r:embed="rId290"/>
            <a:stretch>
              <a:fillRect/>
            </a:stretch>
          </xdr:blipFill>
          <xdr:spPr>
            <a:xfrm>
              <a:off x="2895120" y="14862600"/>
              <a:ext cx="307440" cy="36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575004</xdr:colOff>
      <xdr:row>74</xdr:row>
      <xdr:rowOff>123295</xdr:rowOff>
    </xdr:from>
    <xdr:to>
      <xdr:col>5</xdr:col>
      <xdr:colOff>665661</xdr:colOff>
      <xdr:row>76</xdr:row>
      <xdr:rowOff>2816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1">
          <xdr14:nvContentPartPr>
            <xdr14:cNvPr id="492" name="Ink 491">
              <a:extLst>
                <a:ext uri="{FF2B5EF4-FFF2-40B4-BE49-F238E27FC236}">
                  <a16:creationId xmlns:a16="http://schemas.microsoft.com/office/drawing/2014/main" id="{99C9E40C-8D54-D3ED-E464-2361D9A25824}"/>
                </a:ext>
              </a:extLst>
            </xdr14:cNvPr>
            <xdr14:cNvContentPartPr/>
          </xdr14:nvContentPartPr>
          <xdr14:nvPr macro=""/>
          <xdr14:xfrm>
            <a:off x="3058560" y="15090480"/>
            <a:ext cx="1746360" cy="284040"/>
          </xdr14:xfrm>
        </xdr:contentPart>
      </mc:Choice>
      <mc:Fallback>
        <xdr:pic>
          <xdr:nvPicPr>
            <xdr:cNvPr id="492" name="Ink 491">
              <a:extLst>
                <a:ext uri="{FF2B5EF4-FFF2-40B4-BE49-F238E27FC236}">
                  <a16:creationId xmlns:a16="http://schemas.microsoft.com/office/drawing/2014/main" id="{99C9E40C-8D54-D3ED-E464-2361D9A25824}"/>
                </a:ext>
              </a:extLst>
            </xdr:cNvPr>
            <xdr:cNvPicPr/>
          </xdr:nvPicPr>
          <xdr:blipFill>
            <a:blip xmlns:r="http://schemas.openxmlformats.org/officeDocument/2006/relationships" r:embed="rId292"/>
            <a:stretch>
              <a:fillRect/>
            </a:stretch>
          </xdr:blipFill>
          <xdr:spPr>
            <a:xfrm>
              <a:off x="3047760" y="15080040"/>
              <a:ext cx="1767600" cy="30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376433</xdr:colOff>
      <xdr:row>75</xdr:row>
      <xdr:rowOff>83396</xdr:rowOff>
    </xdr:from>
    <xdr:to>
      <xdr:col>4</xdr:col>
      <xdr:colOff>702233</xdr:colOff>
      <xdr:row>76</xdr:row>
      <xdr:rowOff>197576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3">
          <xdr14:nvContentPartPr>
            <xdr14:cNvPr id="493" name="Ink 492">
              <a:extLst>
                <a:ext uri="{FF2B5EF4-FFF2-40B4-BE49-F238E27FC236}">
                  <a16:creationId xmlns:a16="http://schemas.microsoft.com/office/drawing/2014/main" id="{1A036419-52DA-F55A-D44F-A662E5775442}"/>
                </a:ext>
              </a:extLst>
            </xdr14:cNvPr>
            <xdr14:cNvContentPartPr/>
          </xdr14:nvContentPartPr>
          <xdr14:nvPr macro=""/>
          <xdr14:xfrm>
            <a:off x="3687840" y="15252840"/>
            <a:ext cx="325800" cy="316440"/>
          </xdr14:xfrm>
        </xdr:contentPart>
      </mc:Choice>
      <mc:Fallback>
        <xdr:pic>
          <xdr:nvPicPr>
            <xdr:cNvPr id="493" name="Ink 492">
              <a:extLst>
                <a:ext uri="{FF2B5EF4-FFF2-40B4-BE49-F238E27FC236}">
                  <a16:creationId xmlns:a16="http://schemas.microsoft.com/office/drawing/2014/main" id="{1A036419-52DA-F55A-D44F-A662E5775442}"/>
                </a:ext>
              </a:extLst>
            </xdr:cNvPr>
            <xdr:cNvPicPr/>
          </xdr:nvPicPr>
          <xdr:blipFill>
            <a:blip xmlns:r="http://schemas.openxmlformats.org/officeDocument/2006/relationships" r:embed="rId294"/>
            <a:stretch>
              <a:fillRect/>
            </a:stretch>
          </xdr:blipFill>
          <xdr:spPr>
            <a:xfrm>
              <a:off x="3677040" y="15242040"/>
              <a:ext cx="347040" cy="33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435113</xdr:colOff>
      <xdr:row>74</xdr:row>
      <xdr:rowOff>27175</xdr:rowOff>
    </xdr:from>
    <xdr:to>
      <xdr:col>4</xdr:col>
      <xdr:colOff>456353</xdr:colOff>
      <xdr:row>74</xdr:row>
      <xdr:rowOff>106735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5">
          <xdr14:nvContentPartPr>
            <xdr14:cNvPr id="494" name="Ink 493">
              <a:extLst>
                <a:ext uri="{FF2B5EF4-FFF2-40B4-BE49-F238E27FC236}">
                  <a16:creationId xmlns:a16="http://schemas.microsoft.com/office/drawing/2014/main" id="{E0ED3ED1-0772-704C-4F4A-3702094309FD}"/>
                </a:ext>
              </a:extLst>
            </xdr14:cNvPr>
            <xdr14:cNvContentPartPr/>
          </xdr14:nvContentPartPr>
          <xdr14:nvPr macro=""/>
          <xdr14:xfrm>
            <a:off x="3746520" y="14994360"/>
            <a:ext cx="21240" cy="79560"/>
          </xdr14:xfrm>
        </xdr:contentPart>
      </mc:Choice>
      <mc:Fallback>
        <xdr:pic>
          <xdr:nvPicPr>
            <xdr:cNvPr id="494" name="Ink 493">
              <a:extLst>
                <a:ext uri="{FF2B5EF4-FFF2-40B4-BE49-F238E27FC236}">
                  <a16:creationId xmlns:a16="http://schemas.microsoft.com/office/drawing/2014/main" id="{E0ED3ED1-0772-704C-4F4A-3702094309FD}"/>
                </a:ext>
              </a:extLst>
            </xdr:cNvPr>
            <xdr:cNvPicPr/>
          </xdr:nvPicPr>
          <xdr:blipFill>
            <a:blip xmlns:r="http://schemas.openxmlformats.org/officeDocument/2006/relationships" r:embed="rId296"/>
            <a:stretch>
              <a:fillRect/>
            </a:stretch>
          </xdr:blipFill>
          <xdr:spPr>
            <a:xfrm>
              <a:off x="3736080" y="14983920"/>
              <a:ext cx="42480" cy="10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400553</xdr:colOff>
      <xdr:row>73</xdr:row>
      <xdr:rowOff>169674</xdr:rowOff>
    </xdr:from>
    <xdr:to>
      <xdr:col>4</xdr:col>
      <xdr:colOff>432953</xdr:colOff>
      <xdr:row>73</xdr:row>
      <xdr:rowOff>187674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7">
          <xdr14:nvContentPartPr>
            <xdr14:cNvPr id="495" name="Ink 494">
              <a:extLst>
                <a:ext uri="{FF2B5EF4-FFF2-40B4-BE49-F238E27FC236}">
                  <a16:creationId xmlns:a16="http://schemas.microsoft.com/office/drawing/2014/main" id="{382DC085-92A6-366B-F651-5B8E41C6BD31}"/>
                </a:ext>
              </a:extLst>
            </xdr14:cNvPr>
            <xdr14:cNvContentPartPr/>
          </xdr14:nvContentPartPr>
          <xdr14:nvPr macro=""/>
          <xdr14:xfrm>
            <a:off x="3711960" y="14934600"/>
            <a:ext cx="32400" cy="18000"/>
          </xdr14:xfrm>
        </xdr:contentPart>
      </mc:Choice>
      <mc:Fallback>
        <xdr:pic>
          <xdr:nvPicPr>
            <xdr:cNvPr id="495" name="Ink 494">
              <a:extLst>
                <a:ext uri="{FF2B5EF4-FFF2-40B4-BE49-F238E27FC236}">
                  <a16:creationId xmlns:a16="http://schemas.microsoft.com/office/drawing/2014/main" id="{382DC085-92A6-366B-F651-5B8E41C6BD31}"/>
                </a:ext>
              </a:extLst>
            </xdr:cNvPr>
            <xdr:cNvPicPr/>
          </xdr:nvPicPr>
          <xdr:blipFill>
            <a:blip xmlns:r="http://schemas.openxmlformats.org/officeDocument/2006/relationships" r:embed="rId298"/>
            <a:stretch>
              <a:fillRect/>
            </a:stretch>
          </xdr:blipFill>
          <xdr:spPr>
            <a:xfrm>
              <a:off x="3701520" y="14924160"/>
              <a:ext cx="5364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226905</xdr:colOff>
      <xdr:row>66</xdr:row>
      <xdr:rowOff>194809</xdr:rowOff>
    </xdr:from>
    <xdr:to>
      <xdr:col>8</xdr:col>
      <xdr:colOff>268665</xdr:colOff>
      <xdr:row>66</xdr:row>
      <xdr:rowOff>196969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9">
          <xdr14:nvContentPartPr>
            <xdr14:cNvPr id="496" name="Ink 495">
              <a:extLst>
                <a:ext uri="{FF2B5EF4-FFF2-40B4-BE49-F238E27FC236}">
                  <a16:creationId xmlns:a16="http://schemas.microsoft.com/office/drawing/2014/main" id="{B494BB5F-93F6-E4F9-4493-E4C7EB167CDE}"/>
                </a:ext>
              </a:extLst>
            </xdr14:cNvPr>
            <xdr14:cNvContentPartPr/>
          </xdr14:nvContentPartPr>
          <xdr14:nvPr macro=""/>
          <xdr14:xfrm>
            <a:off x="6849720" y="13543920"/>
            <a:ext cx="41760" cy="2160"/>
          </xdr14:xfrm>
        </xdr:contentPart>
      </mc:Choice>
      <mc:Fallback>
        <xdr:pic>
          <xdr:nvPicPr>
            <xdr:cNvPr id="496" name="Ink 495">
              <a:extLst>
                <a:ext uri="{FF2B5EF4-FFF2-40B4-BE49-F238E27FC236}">
                  <a16:creationId xmlns:a16="http://schemas.microsoft.com/office/drawing/2014/main" id="{B494BB5F-93F6-E4F9-4493-E4C7EB167CDE}"/>
                </a:ext>
              </a:extLst>
            </xdr:cNvPr>
            <xdr:cNvPicPr/>
          </xdr:nvPicPr>
          <xdr:blipFill>
            <a:blip xmlns:r="http://schemas.openxmlformats.org/officeDocument/2006/relationships" r:embed="rId300"/>
            <a:stretch>
              <a:fillRect/>
            </a:stretch>
          </xdr:blipFill>
          <xdr:spPr>
            <a:xfrm>
              <a:off x="6838920" y="13533120"/>
              <a:ext cx="63000" cy="2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290985</xdr:colOff>
      <xdr:row>67</xdr:row>
      <xdr:rowOff>12710</xdr:rowOff>
    </xdr:from>
    <xdr:to>
      <xdr:col>8</xdr:col>
      <xdr:colOff>351465</xdr:colOff>
      <xdr:row>67</xdr:row>
      <xdr:rowOff>19550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1">
          <xdr14:nvContentPartPr>
            <xdr14:cNvPr id="497" name="Ink 496">
              <a:extLst>
                <a:ext uri="{FF2B5EF4-FFF2-40B4-BE49-F238E27FC236}">
                  <a16:creationId xmlns:a16="http://schemas.microsoft.com/office/drawing/2014/main" id="{349110D1-12E4-9317-2A2E-F412C178EB64}"/>
                </a:ext>
              </a:extLst>
            </xdr14:cNvPr>
            <xdr14:cNvContentPartPr/>
          </xdr14:nvContentPartPr>
          <xdr14:nvPr macro=""/>
          <xdr14:xfrm>
            <a:off x="6913800" y="13564080"/>
            <a:ext cx="60480" cy="6840"/>
          </xdr14:xfrm>
        </xdr:contentPart>
      </mc:Choice>
      <mc:Fallback>
        <xdr:pic>
          <xdr:nvPicPr>
            <xdr:cNvPr id="497" name="Ink 496">
              <a:extLst>
                <a:ext uri="{FF2B5EF4-FFF2-40B4-BE49-F238E27FC236}">
                  <a16:creationId xmlns:a16="http://schemas.microsoft.com/office/drawing/2014/main" id="{349110D1-12E4-9317-2A2E-F412C178EB64}"/>
                </a:ext>
              </a:extLst>
            </xdr:cNvPr>
            <xdr:cNvPicPr/>
          </xdr:nvPicPr>
          <xdr:blipFill>
            <a:blip xmlns:r="http://schemas.openxmlformats.org/officeDocument/2006/relationships" r:embed="rId302"/>
            <a:stretch>
              <a:fillRect/>
            </a:stretch>
          </xdr:blipFill>
          <xdr:spPr>
            <a:xfrm>
              <a:off x="6903360" y="13553280"/>
              <a:ext cx="81720" cy="2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698145</xdr:colOff>
      <xdr:row>66</xdr:row>
      <xdr:rowOff>123529</xdr:rowOff>
    </xdr:from>
    <xdr:to>
      <xdr:col>9</xdr:col>
      <xdr:colOff>6733</xdr:colOff>
      <xdr:row>67</xdr:row>
      <xdr:rowOff>8390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3">
          <xdr14:nvContentPartPr>
            <xdr14:cNvPr id="498" name="Ink 497">
              <a:extLst>
                <a:ext uri="{FF2B5EF4-FFF2-40B4-BE49-F238E27FC236}">
                  <a16:creationId xmlns:a16="http://schemas.microsoft.com/office/drawing/2014/main" id="{EC64A4AC-65C4-A693-E5D2-215709BA4A51}"/>
                </a:ext>
              </a:extLst>
            </xdr14:cNvPr>
            <xdr14:cNvContentPartPr/>
          </xdr14:nvContentPartPr>
          <xdr14:nvPr macro=""/>
          <xdr14:xfrm>
            <a:off x="7320960" y="13472640"/>
            <a:ext cx="136440" cy="87120"/>
          </xdr14:xfrm>
        </xdr:contentPart>
      </mc:Choice>
      <mc:Fallback>
        <xdr:pic>
          <xdr:nvPicPr>
            <xdr:cNvPr id="498" name="Ink 497">
              <a:extLst>
                <a:ext uri="{FF2B5EF4-FFF2-40B4-BE49-F238E27FC236}">
                  <a16:creationId xmlns:a16="http://schemas.microsoft.com/office/drawing/2014/main" id="{EC64A4AC-65C4-A693-E5D2-215709BA4A51}"/>
                </a:ext>
              </a:extLst>
            </xdr:cNvPr>
            <xdr:cNvPicPr/>
          </xdr:nvPicPr>
          <xdr:blipFill>
            <a:blip xmlns:r="http://schemas.openxmlformats.org/officeDocument/2006/relationships" r:embed="rId304"/>
            <a:stretch>
              <a:fillRect/>
            </a:stretch>
          </xdr:blipFill>
          <xdr:spPr>
            <a:xfrm>
              <a:off x="7310160" y="13462200"/>
              <a:ext cx="157680" cy="10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60733</xdr:colOff>
      <xdr:row>66</xdr:row>
      <xdr:rowOff>157729</xdr:rowOff>
    </xdr:from>
    <xdr:to>
      <xdr:col>9</xdr:col>
      <xdr:colOff>107533</xdr:colOff>
      <xdr:row>67</xdr:row>
      <xdr:rowOff>25670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5">
          <xdr14:nvContentPartPr>
            <xdr14:cNvPr id="499" name="Ink 498">
              <a:extLst>
                <a:ext uri="{FF2B5EF4-FFF2-40B4-BE49-F238E27FC236}">
                  <a16:creationId xmlns:a16="http://schemas.microsoft.com/office/drawing/2014/main" id="{746074B6-EEE3-B47C-B81A-645971F5CA8D}"/>
                </a:ext>
              </a:extLst>
            </xdr14:cNvPr>
            <xdr14:cNvContentPartPr/>
          </xdr14:nvContentPartPr>
          <xdr14:nvPr macro=""/>
          <xdr14:xfrm>
            <a:off x="7511400" y="13506840"/>
            <a:ext cx="46800" cy="70200"/>
          </xdr14:xfrm>
        </xdr:contentPart>
      </mc:Choice>
      <mc:Fallback>
        <xdr:pic>
          <xdr:nvPicPr>
            <xdr:cNvPr id="499" name="Ink 498">
              <a:extLst>
                <a:ext uri="{FF2B5EF4-FFF2-40B4-BE49-F238E27FC236}">
                  <a16:creationId xmlns:a16="http://schemas.microsoft.com/office/drawing/2014/main" id="{746074B6-EEE3-B47C-B81A-645971F5CA8D}"/>
                </a:ext>
              </a:extLst>
            </xdr:cNvPr>
            <xdr:cNvPicPr/>
          </xdr:nvPicPr>
          <xdr:blipFill>
            <a:blip xmlns:r="http://schemas.openxmlformats.org/officeDocument/2006/relationships" r:embed="rId306"/>
            <a:stretch>
              <a:fillRect/>
            </a:stretch>
          </xdr:blipFill>
          <xdr:spPr>
            <a:xfrm>
              <a:off x="7500960" y="13496400"/>
              <a:ext cx="68040" cy="9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66853</xdr:colOff>
      <xdr:row>66</xdr:row>
      <xdr:rowOff>102649</xdr:rowOff>
    </xdr:from>
    <xdr:to>
      <xdr:col>9</xdr:col>
      <xdr:colOff>106453</xdr:colOff>
      <xdr:row>66</xdr:row>
      <xdr:rowOff>133609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7">
          <xdr14:nvContentPartPr>
            <xdr14:cNvPr id="500" name="Ink 499">
              <a:extLst>
                <a:ext uri="{FF2B5EF4-FFF2-40B4-BE49-F238E27FC236}">
                  <a16:creationId xmlns:a16="http://schemas.microsoft.com/office/drawing/2014/main" id="{0FA273E8-0020-68AA-F003-83034E6A0086}"/>
                </a:ext>
              </a:extLst>
            </xdr14:cNvPr>
            <xdr14:cNvContentPartPr/>
          </xdr14:nvContentPartPr>
          <xdr14:nvPr macro=""/>
          <xdr14:xfrm>
            <a:off x="7517520" y="13451760"/>
            <a:ext cx="39600" cy="30960"/>
          </xdr14:xfrm>
        </xdr:contentPart>
      </mc:Choice>
      <mc:Fallback>
        <xdr:pic>
          <xdr:nvPicPr>
            <xdr:cNvPr id="500" name="Ink 499">
              <a:extLst>
                <a:ext uri="{FF2B5EF4-FFF2-40B4-BE49-F238E27FC236}">
                  <a16:creationId xmlns:a16="http://schemas.microsoft.com/office/drawing/2014/main" id="{0FA273E8-0020-68AA-F003-83034E6A0086}"/>
                </a:ext>
              </a:extLst>
            </xdr:cNvPr>
            <xdr:cNvPicPr/>
          </xdr:nvPicPr>
          <xdr:blipFill>
            <a:blip xmlns:r="http://schemas.openxmlformats.org/officeDocument/2006/relationships" r:embed="rId308"/>
            <a:stretch>
              <a:fillRect/>
            </a:stretch>
          </xdr:blipFill>
          <xdr:spPr>
            <a:xfrm>
              <a:off x="7506720" y="13440960"/>
              <a:ext cx="60840" cy="5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211213</xdr:colOff>
      <xdr:row>66</xdr:row>
      <xdr:rowOff>87889</xdr:rowOff>
    </xdr:from>
    <xdr:to>
      <xdr:col>9</xdr:col>
      <xdr:colOff>407773</xdr:colOff>
      <xdr:row>66</xdr:row>
      <xdr:rowOff>170329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9">
          <xdr14:nvContentPartPr>
            <xdr14:cNvPr id="501" name="Ink 500">
              <a:extLst>
                <a:ext uri="{FF2B5EF4-FFF2-40B4-BE49-F238E27FC236}">
                  <a16:creationId xmlns:a16="http://schemas.microsoft.com/office/drawing/2014/main" id="{7E4DA773-87C6-E238-552E-386D0C61BC03}"/>
                </a:ext>
              </a:extLst>
            </xdr14:cNvPr>
            <xdr14:cNvContentPartPr/>
          </xdr14:nvContentPartPr>
          <xdr14:nvPr macro=""/>
          <xdr14:xfrm>
            <a:off x="7661880" y="13437000"/>
            <a:ext cx="196560" cy="82440"/>
          </xdr14:xfrm>
        </xdr:contentPart>
      </mc:Choice>
      <mc:Fallback>
        <xdr:pic>
          <xdr:nvPicPr>
            <xdr:cNvPr id="501" name="Ink 500">
              <a:extLst>
                <a:ext uri="{FF2B5EF4-FFF2-40B4-BE49-F238E27FC236}">
                  <a16:creationId xmlns:a16="http://schemas.microsoft.com/office/drawing/2014/main" id="{7E4DA773-87C6-E238-552E-386D0C61BC03}"/>
                </a:ext>
              </a:extLst>
            </xdr:cNvPr>
            <xdr:cNvPicPr/>
          </xdr:nvPicPr>
          <xdr:blipFill>
            <a:blip xmlns:r="http://schemas.openxmlformats.org/officeDocument/2006/relationships" r:embed="rId310"/>
            <a:stretch>
              <a:fillRect/>
            </a:stretch>
          </xdr:blipFill>
          <xdr:spPr>
            <a:xfrm>
              <a:off x="7651440" y="13426200"/>
              <a:ext cx="217800" cy="10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512173</xdr:colOff>
      <xdr:row>66</xdr:row>
      <xdr:rowOff>75649</xdr:rowOff>
    </xdr:from>
    <xdr:to>
      <xdr:col>9</xdr:col>
      <xdr:colOff>552853</xdr:colOff>
      <xdr:row>67</xdr:row>
      <xdr:rowOff>10550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1">
          <xdr14:nvContentPartPr>
            <xdr14:cNvPr id="502" name="Ink 501">
              <a:extLst>
                <a:ext uri="{FF2B5EF4-FFF2-40B4-BE49-F238E27FC236}">
                  <a16:creationId xmlns:a16="http://schemas.microsoft.com/office/drawing/2014/main" id="{6563B111-40C7-3E82-55FA-4E542B375EE9}"/>
                </a:ext>
              </a:extLst>
            </xdr14:cNvPr>
            <xdr14:cNvContentPartPr/>
          </xdr14:nvContentPartPr>
          <xdr14:nvPr macro=""/>
          <xdr14:xfrm>
            <a:off x="7962840" y="13424760"/>
            <a:ext cx="40680" cy="137160"/>
          </xdr14:xfrm>
        </xdr:contentPart>
      </mc:Choice>
      <mc:Fallback>
        <xdr:pic>
          <xdr:nvPicPr>
            <xdr:cNvPr id="502" name="Ink 501">
              <a:extLst>
                <a:ext uri="{FF2B5EF4-FFF2-40B4-BE49-F238E27FC236}">
                  <a16:creationId xmlns:a16="http://schemas.microsoft.com/office/drawing/2014/main" id="{6563B111-40C7-3E82-55FA-4E542B375EE9}"/>
                </a:ext>
              </a:extLst>
            </xdr:cNvPr>
            <xdr:cNvPicPr/>
          </xdr:nvPicPr>
          <xdr:blipFill>
            <a:blip xmlns:r="http://schemas.openxmlformats.org/officeDocument/2006/relationships" r:embed="rId312"/>
            <a:stretch>
              <a:fillRect/>
            </a:stretch>
          </xdr:blipFill>
          <xdr:spPr>
            <a:xfrm>
              <a:off x="7952400" y="13414320"/>
              <a:ext cx="61920" cy="15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564013</xdr:colOff>
      <xdr:row>66</xdr:row>
      <xdr:rowOff>11209</xdr:rowOff>
    </xdr:from>
    <xdr:to>
      <xdr:col>9</xdr:col>
      <xdr:colOff>631333</xdr:colOff>
      <xdr:row>67</xdr:row>
      <xdr:rowOff>73190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3">
          <xdr14:nvContentPartPr>
            <xdr14:cNvPr id="503" name="Ink 502">
              <a:extLst>
                <a:ext uri="{FF2B5EF4-FFF2-40B4-BE49-F238E27FC236}">
                  <a16:creationId xmlns:a16="http://schemas.microsoft.com/office/drawing/2014/main" id="{D403E59A-086A-2FA4-D7F5-AC7E8C63A96D}"/>
                </a:ext>
              </a:extLst>
            </xdr14:cNvPr>
            <xdr14:cNvContentPartPr/>
          </xdr14:nvContentPartPr>
          <xdr14:nvPr macro=""/>
          <xdr14:xfrm>
            <a:off x="8014680" y="13360320"/>
            <a:ext cx="67320" cy="264240"/>
          </xdr14:xfrm>
        </xdr:contentPart>
      </mc:Choice>
      <mc:Fallback>
        <xdr:pic>
          <xdr:nvPicPr>
            <xdr:cNvPr id="503" name="Ink 502">
              <a:extLst>
                <a:ext uri="{FF2B5EF4-FFF2-40B4-BE49-F238E27FC236}">
                  <a16:creationId xmlns:a16="http://schemas.microsoft.com/office/drawing/2014/main" id="{D403E59A-086A-2FA4-D7F5-AC7E8C63A96D}"/>
                </a:ext>
              </a:extLst>
            </xdr:cNvPr>
            <xdr:cNvPicPr/>
          </xdr:nvPicPr>
          <xdr:blipFill>
            <a:blip xmlns:r="http://schemas.openxmlformats.org/officeDocument/2006/relationships" r:embed="rId314"/>
            <a:stretch>
              <a:fillRect/>
            </a:stretch>
          </xdr:blipFill>
          <xdr:spPr>
            <a:xfrm>
              <a:off x="8004240" y="13349880"/>
              <a:ext cx="88560" cy="28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654225</xdr:colOff>
      <xdr:row>66</xdr:row>
      <xdr:rowOff>50809</xdr:rowOff>
    </xdr:from>
    <xdr:to>
      <xdr:col>9</xdr:col>
      <xdr:colOff>27973</xdr:colOff>
      <xdr:row>67</xdr:row>
      <xdr:rowOff>130430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5">
          <xdr14:nvContentPartPr>
            <xdr14:cNvPr id="504" name="Ink 503">
              <a:extLst>
                <a:ext uri="{FF2B5EF4-FFF2-40B4-BE49-F238E27FC236}">
                  <a16:creationId xmlns:a16="http://schemas.microsoft.com/office/drawing/2014/main" id="{C6EA63C3-7CAD-1375-C209-A207C0D881A8}"/>
                </a:ext>
              </a:extLst>
            </xdr14:cNvPr>
            <xdr14:cNvContentPartPr/>
          </xdr14:nvContentPartPr>
          <xdr14:nvPr macro=""/>
          <xdr14:xfrm>
            <a:off x="7277040" y="13399920"/>
            <a:ext cx="201600" cy="281880"/>
          </xdr14:xfrm>
        </xdr:contentPart>
      </mc:Choice>
      <mc:Fallback>
        <xdr:pic>
          <xdr:nvPicPr>
            <xdr:cNvPr id="504" name="Ink 503">
              <a:extLst>
                <a:ext uri="{FF2B5EF4-FFF2-40B4-BE49-F238E27FC236}">
                  <a16:creationId xmlns:a16="http://schemas.microsoft.com/office/drawing/2014/main" id="{C6EA63C3-7CAD-1375-C209-A207C0D881A8}"/>
                </a:ext>
              </a:extLst>
            </xdr:cNvPr>
            <xdr:cNvPicPr/>
          </xdr:nvPicPr>
          <xdr:blipFill>
            <a:blip xmlns:r="http://schemas.openxmlformats.org/officeDocument/2006/relationships" r:embed="rId316"/>
            <a:stretch>
              <a:fillRect/>
            </a:stretch>
          </xdr:blipFill>
          <xdr:spPr>
            <a:xfrm>
              <a:off x="7266600" y="13389120"/>
              <a:ext cx="222840" cy="30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606133</xdr:colOff>
      <xdr:row>65</xdr:row>
      <xdr:rowOff>100788</xdr:rowOff>
    </xdr:from>
    <xdr:to>
      <xdr:col>9</xdr:col>
      <xdr:colOff>718813</xdr:colOff>
      <xdr:row>65</xdr:row>
      <xdr:rowOff>196188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7">
          <xdr14:nvContentPartPr>
            <xdr14:cNvPr id="505" name="Ink 504">
              <a:extLst>
                <a:ext uri="{FF2B5EF4-FFF2-40B4-BE49-F238E27FC236}">
                  <a16:creationId xmlns:a16="http://schemas.microsoft.com/office/drawing/2014/main" id="{8738E769-2843-C2DB-9B6E-560DD4F18BC4}"/>
                </a:ext>
              </a:extLst>
            </xdr14:cNvPr>
            <xdr14:cNvContentPartPr/>
          </xdr14:nvContentPartPr>
          <xdr14:nvPr macro=""/>
          <xdr14:xfrm>
            <a:off x="8056800" y="13247640"/>
            <a:ext cx="112680" cy="95400"/>
          </xdr14:xfrm>
        </xdr:contentPart>
      </mc:Choice>
      <mc:Fallback>
        <xdr:pic>
          <xdr:nvPicPr>
            <xdr:cNvPr id="505" name="Ink 504">
              <a:extLst>
                <a:ext uri="{FF2B5EF4-FFF2-40B4-BE49-F238E27FC236}">
                  <a16:creationId xmlns:a16="http://schemas.microsoft.com/office/drawing/2014/main" id="{8738E769-2843-C2DB-9B6E-560DD4F18BC4}"/>
                </a:ext>
              </a:extLst>
            </xdr:cNvPr>
            <xdr:cNvPicPr/>
          </xdr:nvPicPr>
          <xdr:blipFill>
            <a:blip xmlns:r="http://schemas.openxmlformats.org/officeDocument/2006/relationships" r:embed="rId318"/>
            <a:stretch>
              <a:fillRect/>
            </a:stretch>
          </xdr:blipFill>
          <xdr:spPr>
            <a:xfrm>
              <a:off x="8046000" y="13237200"/>
              <a:ext cx="133920" cy="11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825373</xdr:colOff>
      <xdr:row>66</xdr:row>
      <xdr:rowOff>98329</xdr:rowOff>
    </xdr:from>
    <xdr:to>
      <xdr:col>10</xdr:col>
      <xdr:colOff>22721</xdr:colOff>
      <xdr:row>66</xdr:row>
      <xdr:rowOff>185089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9">
          <xdr14:nvContentPartPr>
            <xdr14:cNvPr id="506" name="Ink 505">
              <a:extLst>
                <a:ext uri="{FF2B5EF4-FFF2-40B4-BE49-F238E27FC236}">
                  <a16:creationId xmlns:a16="http://schemas.microsoft.com/office/drawing/2014/main" id="{F82B7A35-4660-480D-B3EE-B14161F6EB44}"/>
                </a:ext>
              </a:extLst>
            </xdr14:cNvPr>
            <xdr14:cNvContentPartPr/>
          </xdr14:nvContentPartPr>
          <xdr14:nvPr macro=""/>
          <xdr14:xfrm>
            <a:off x="8276040" y="13447440"/>
            <a:ext cx="25200" cy="86760"/>
          </xdr14:xfrm>
        </xdr:contentPart>
      </mc:Choice>
      <mc:Fallback>
        <xdr:pic>
          <xdr:nvPicPr>
            <xdr:cNvPr id="506" name="Ink 505">
              <a:extLst>
                <a:ext uri="{FF2B5EF4-FFF2-40B4-BE49-F238E27FC236}">
                  <a16:creationId xmlns:a16="http://schemas.microsoft.com/office/drawing/2014/main" id="{F82B7A35-4660-480D-B3EE-B14161F6EB44}"/>
                </a:ext>
              </a:extLst>
            </xdr:cNvPr>
            <xdr:cNvPicPr/>
          </xdr:nvPicPr>
          <xdr:blipFill>
            <a:blip xmlns:r="http://schemas.openxmlformats.org/officeDocument/2006/relationships" r:embed="rId320"/>
            <a:stretch>
              <a:fillRect/>
            </a:stretch>
          </xdr:blipFill>
          <xdr:spPr>
            <a:xfrm>
              <a:off x="8265600" y="13436640"/>
              <a:ext cx="4644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817093</xdr:colOff>
      <xdr:row>66</xdr:row>
      <xdr:rowOff>142249</xdr:rowOff>
    </xdr:from>
    <xdr:to>
      <xdr:col>10</xdr:col>
      <xdr:colOff>44321</xdr:colOff>
      <xdr:row>66</xdr:row>
      <xdr:rowOff>184009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1">
          <xdr14:nvContentPartPr>
            <xdr14:cNvPr id="507" name="Ink 506">
              <a:extLst>
                <a:ext uri="{FF2B5EF4-FFF2-40B4-BE49-F238E27FC236}">
                  <a16:creationId xmlns:a16="http://schemas.microsoft.com/office/drawing/2014/main" id="{935F65D9-C0A5-6ACF-4622-8F7EA456CB05}"/>
                </a:ext>
              </a:extLst>
            </xdr14:cNvPr>
            <xdr14:cNvContentPartPr/>
          </xdr14:nvContentPartPr>
          <xdr14:nvPr macro=""/>
          <xdr14:xfrm>
            <a:off x="8267760" y="13491360"/>
            <a:ext cx="55080" cy="41760"/>
          </xdr14:xfrm>
        </xdr:contentPart>
      </mc:Choice>
      <mc:Fallback>
        <xdr:pic>
          <xdr:nvPicPr>
            <xdr:cNvPr id="507" name="Ink 506">
              <a:extLst>
                <a:ext uri="{FF2B5EF4-FFF2-40B4-BE49-F238E27FC236}">
                  <a16:creationId xmlns:a16="http://schemas.microsoft.com/office/drawing/2014/main" id="{935F65D9-C0A5-6ACF-4622-8F7EA456CB05}"/>
                </a:ext>
              </a:extLst>
            </xdr:cNvPr>
            <xdr:cNvPicPr/>
          </xdr:nvPicPr>
          <xdr:blipFill>
            <a:blip xmlns:r="http://schemas.openxmlformats.org/officeDocument/2006/relationships" r:embed="rId322"/>
            <a:stretch>
              <a:fillRect/>
            </a:stretch>
          </xdr:blipFill>
          <xdr:spPr>
            <a:xfrm>
              <a:off x="8256960" y="13480920"/>
              <a:ext cx="76320" cy="6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164201</xdr:colOff>
      <xdr:row>66</xdr:row>
      <xdr:rowOff>11569</xdr:rowOff>
    </xdr:from>
    <xdr:to>
      <xdr:col>10</xdr:col>
      <xdr:colOff>281561</xdr:colOff>
      <xdr:row>66</xdr:row>
      <xdr:rowOff>71689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3">
          <xdr14:nvContentPartPr>
            <xdr14:cNvPr id="508" name="Ink 507">
              <a:extLst>
                <a:ext uri="{FF2B5EF4-FFF2-40B4-BE49-F238E27FC236}">
                  <a16:creationId xmlns:a16="http://schemas.microsoft.com/office/drawing/2014/main" id="{7C13EC2B-476B-4B48-8394-5C82E444974E}"/>
                </a:ext>
              </a:extLst>
            </xdr14:cNvPr>
            <xdr14:cNvContentPartPr/>
          </xdr14:nvContentPartPr>
          <xdr14:nvPr macro=""/>
          <xdr14:xfrm>
            <a:off x="8442720" y="13360680"/>
            <a:ext cx="117360" cy="60120"/>
          </xdr14:xfrm>
        </xdr:contentPart>
      </mc:Choice>
      <mc:Fallback>
        <xdr:pic>
          <xdr:nvPicPr>
            <xdr:cNvPr id="508" name="Ink 507">
              <a:extLst>
                <a:ext uri="{FF2B5EF4-FFF2-40B4-BE49-F238E27FC236}">
                  <a16:creationId xmlns:a16="http://schemas.microsoft.com/office/drawing/2014/main" id="{7C13EC2B-476B-4B48-8394-5C82E444974E}"/>
                </a:ext>
              </a:extLst>
            </xdr:cNvPr>
            <xdr:cNvPicPr/>
          </xdr:nvPicPr>
          <xdr:blipFill>
            <a:blip xmlns:r="http://schemas.openxmlformats.org/officeDocument/2006/relationships" r:embed="rId324"/>
            <a:stretch>
              <a:fillRect/>
            </a:stretch>
          </xdr:blipFill>
          <xdr:spPr>
            <a:xfrm>
              <a:off x="8432280" y="13350240"/>
              <a:ext cx="138600" cy="8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343841</xdr:colOff>
      <xdr:row>65</xdr:row>
      <xdr:rowOff>188268</xdr:rowOff>
    </xdr:from>
    <xdr:to>
      <xdr:col>10</xdr:col>
      <xdr:colOff>395681</xdr:colOff>
      <xdr:row>66</xdr:row>
      <xdr:rowOff>82849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5">
          <xdr14:nvContentPartPr>
            <xdr14:cNvPr id="509" name="Ink 508">
              <a:extLst>
                <a:ext uri="{FF2B5EF4-FFF2-40B4-BE49-F238E27FC236}">
                  <a16:creationId xmlns:a16="http://schemas.microsoft.com/office/drawing/2014/main" id="{A14150EC-CE28-3DD2-D484-FE085527F8F1}"/>
                </a:ext>
              </a:extLst>
            </xdr14:cNvPr>
            <xdr14:cNvContentPartPr/>
          </xdr14:nvContentPartPr>
          <xdr14:nvPr macro=""/>
          <xdr14:xfrm>
            <a:off x="8622360" y="13335120"/>
            <a:ext cx="51840" cy="96840"/>
          </xdr14:xfrm>
        </xdr:contentPart>
      </mc:Choice>
      <mc:Fallback>
        <xdr:pic>
          <xdr:nvPicPr>
            <xdr:cNvPr id="509" name="Ink 508">
              <a:extLst>
                <a:ext uri="{FF2B5EF4-FFF2-40B4-BE49-F238E27FC236}">
                  <a16:creationId xmlns:a16="http://schemas.microsoft.com/office/drawing/2014/main" id="{A14150EC-CE28-3DD2-D484-FE085527F8F1}"/>
                </a:ext>
              </a:extLst>
            </xdr:cNvPr>
            <xdr:cNvPicPr/>
          </xdr:nvPicPr>
          <xdr:blipFill>
            <a:blip xmlns:r="http://schemas.openxmlformats.org/officeDocument/2006/relationships" r:embed="rId326"/>
            <a:stretch>
              <a:fillRect/>
            </a:stretch>
          </xdr:blipFill>
          <xdr:spPr>
            <a:xfrm>
              <a:off x="8611920" y="13324320"/>
              <a:ext cx="73080" cy="11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363641</xdr:colOff>
      <xdr:row>65</xdr:row>
      <xdr:rowOff>172788</xdr:rowOff>
    </xdr:from>
    <xdr:to>
      <xdr:col>10</xdr:col>
      <xdr:colOff>419441</xdr:colOff>
      <xdr:row>66</xdr:row>
      <xdr:rowOff>8329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7">
          <xdr14:nvContentPartPr>
            <xdr14:cNvPr id="510" name="Ink 509">
              <a:extLst>
                <a:ext uri="{FF2B5EF4-FFF2-40B4-BE49-F238E27FC236}">
                  <a16:creationId xmlns:a16="http://schemas.microsoft.com/office/drawing/2014/main" id="{3FE41362-DA3C-807D-5B63-3FFF1AF01F49}"/>
                </a:ext>
              </a:extLst>
            </xdr14:cNvPr>
            <xdr14:cNvContentPartPr/>
          </xdr14:nvContentPartPr>
          <xdr14:nvPr macro=""/>
          <xdr14:xfrm>
            <a:off x="8642160" y="13319640"/>
            <a:ext cx="55800" cy="37800"/>
          </xdr14:xfrm>
        </xdr:contentPart>
      </mc:Choice>
      <mc:Fallback>
        <xdr:pic>
          <xdr:nvPicPr>
            <xdr:cNvPr id="510" name="Ink 509">
              <a:extLst>
                <a:ext uri="{FF2B5EF4-FFF2-40B4-BE49-F238E27FC236}">
                  <a16:creationId xmlns:a16="http://schemas.microsoft.com/office/drawing/2014/main" id="{3FE41362-DA3C-807D-5B63-3FFF1AF01F49}"/>
                </a:ext>
              </a:extLst>
            </xdr:cNvPr>
            <xdr:cNvPicPr/>
          </xdr:nvPicPr>
          <xdr:blipFill>
            <a:blip xmlns:r="http://schemas.openxmlformats.org/officeDocument/2006/relationships" r:embed="rId328"/>
            <a:stretch>
              <a:fillRect/>
            </a:stretch>
          </xdr:blipFill>
          <xdr:spPr>
            <a:xfrm>
              <a:off x="8631360" y="13308840"/>
              <a:ext cx="77040" cy="5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485321</xdr:colOff>
      <xdr:row>65</xdr:row>
      <xdr:rowOff>165588</xdr:rowOff>
    </xdr:from>
    <xdr:to>
      <xdr:col>10</xdr:col>
      <xdr:colOff>490721</xdr:colOff>
      <xdr:row>65</xdr:row>
      <xdr:rowOff>169908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9">
          <xdr14:nvContentPartPr>
            <xdr14:cNvPr id="511" name="Ink 510">
              <a:extLst>
                <a:ext uri="{FF2B5EF4-FFF2-40B4-BE49-F238E27FC236}">
                  <a16:creationId xmlns:a16="http://schemas.microsoft.com/office/drawing/2014/main" id="{E3F29954-2E61-A50F-FC7B-EA5E09134735}"/>
                </a:ext>
              </a:extLst>
            </xdr14:cNvPr>
            <xdr14:cNvContentPartPr/>
          </xdr14:nvContentPartPr>
          <xdr14:nvPr macro=""/>
          <xdr14:xfrm>
            <a:off x="8763840" y="13312440"/>
            <a:ext cx="5400" cy="4320"/>
          </xdr14:xfrm>
        </xdr:contentPart>
      </mc:Choice>
      <mc:Fallback>
        <xdr:pic>
          <xdr:nvPicPr>
            <xdr:cNvPr id="511" name="Ink 510">
              <a:extLst>
                <a:ext uri="{FF2B5EF4-FFF2-40B4-BE49-F238E27FC236}">
                  <a16:creationId xmlns:a16="http://schemas.microsoft.com/office/drawing/2014/main" id="{E3F29954-2E61-A50F-FC7B-EA5E09134735}"/>
                </a:ext>
              </a:extLst>
            </xdr:cNvPr>
            <xdr:cNvPicPr/>
          </xdr:nvPicPr>
          <xdr:blipFill>
            <a:blip xmlns:r="http://schemas.openxmlformats.org/officeDocument/2006/relationships" r:embed="rId330"/>
            <a:stretch>
              <a:fillRect/>
            </a:stretch>
          </xdr:blipFill>
          <xdr:spPr>
            <a:xfrm>
              <a:off x="8753400" y="13301640"/>
              <a:ext cx="26640" cy="2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533201</xdr:colOff>
      <xdr:row>65</xdr:row>
      <xdr:rowOff>122388</xdr:rowOff>
    </xdr:from>
    <xdr:to>
      <xdr:col>10</xdr:col>
      <xdr:colOff>606281</xdr:colOff>
      <xdr:row>65</xdr:row>
      <xdr:rowOff>191148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1">
          <xdr14:nvContentPartPr>
            <xdr14:cNvPr id="512" name="Ink 511">
              <a:extLst>
                <a:ext uri="{FF2B5EF4-FFF2-40B4-BE49-F238E27FC236}">
                  <a16:creationId xmlns:a16="http://schemas.microsoft.com/office/drawing/2014/main" id="{23AE65AB-5E42-8C56-0983-F6013646709D}"/>
                </a:ext>
              </a:extLst>
            </xdr14:cNvPr>
            <xdr14:cNvContentPartPr/>
          </xdr14:nvContentPartPr>
          <xdr14:nvPr macro=""/>
          <xdr14:xfrm>
            <a:off x="8811720" y="13269240"/>
            <a:ext cx="73080" cy="68760"/>
          </xdr14:xfrm>
        </xdr:contentPart>
      </mc:Choice>
      <mc:Fallback>
        <xdr:pic>
          <xdr:nvPicPr>
            <xdr:cNvPr id="512" name="Ink 511">
              <a:extLst>
                <a:ext uri="{FF2B5EF4-FFF2-40B4-BE49-F238E27FC236}">
                  <a16:creationId xmlns:a16="http://schemas.microsoft.com/office/drawing/2014/main" id="{23AE65AB-5E42-8C56-0983-F6013646709D}"/>
                </a:ext>
              </a:extLst>
            </xdr:cNvPr>
            <xdr:cNvPicPr/>
          </xdr:nvPicPr>
          <xdr:blipFill>
            <a:blip xmlns:r="http://schemas.openxmlformats.org/officeDocument/2006/relationships" r:embed="rId332"/>
            <a:stretch>
              <a:fillRect/>
            </a:stretch>
          </xdr:blipFill>
          <xdr:spPr>
            <a:xfrm>
              <a:off x="8801280" y="13258440"/>
              <a:ext cx="94320" cy="9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674681</xdr:colOff>
      <xdr:row>65</xdr:row>
      <xdr:rowOff>77028</xdr:rowOff>
    </xdr:from>
    <xdr:to>
      <xdr:col>10</xdr:col>
      <xdr:colOff>726521</xdr:colOff>
      <xdr:row>65</xdr:row>
      <xdr:rowOff>173508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3">
          <xdr14:nvContentPartPr>
            <xdr14:cNvPr id="513" name="Ink 512">
              <a:extLst>
                <a:ext uri="{FF2B5EF4-FFF2-40B4-BE49-F238E27FC236}">
                  <a16:creationId xmlns:a16="http://schemas.microsoft.com/office/drawing/2014/main" id="{410A342F-6991-F036-9396-9B841FF7393B}"/>
                </a:ext>
              </a:extLst>
            </xdr14:cNvPr>
            <xdr14:cNvContentPartPr/>
          </xdr14:nvContentPartPr>
          <xdr14:nvPr macro=""/>
          <xdr14:xfrm>
            <a:off x="8953200" y="13223880"/>
            <a:ext cx="51840" cy="96480"/>
          </xdr14:xfrm>
        </xdr:contentPart>
      </mc:Choice>
      <mc:Fallback>
        <xdr:pic>
          <xdr:nvPicPr>
            <xdr:cNvPr id="513" name="Ink 512">
              <a:extLst>
                <a:ext uri="{FF2B5EF4-FFF2-40B4-BE49-F238E27FC236}">
                  <a16:creationId xmlns:a16="http://schemas.microsoft.com/office/drawing/2014/main" id="{410A342F-6991-F036-9396-9B841FF7393B}"/>
                </a:ext>
              </a:extLst>
            </xdr:cNvPr>
            <xdr:cNvPicPr/>
          </xdr:nvPicPr>
          <xdr:blipFill>
            <a:blip xmlns:r="http://schemas.openxmlformats.org/officeDocument/2006/relationships" r:embed="rId334"/>
            <a:stretch>
              <a:fillRect/>
            </a:stretch>
          </xdr:blipFill>
          <xdr:spPr>
            <a:xfrm>
              <a:off x="8942760" y="13213080"/>
              <a:ext cx="73080" cy="11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820588</xdr:colOff>
      <xdr:row>65</xdr:row>
      <xdr:rowOff>73428</xdr:rowOff>
    </xdr:from>
    <xdr:to>
      <xdr:col>8</xdr:col>
      <xdr:colOff>159585</xdr:colOff>
      <xdr:row>71</xdr:row>
      <xdr:rowOff>84953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5">
          <xdr14:nvContentPartPr>
            <xdr14:cNvPr id="516" name="Ink 515">
              <a:extLst>
                <a:ext uri="{FF2B5EF4-FFF2-40B4-BE49-F238E27FC236}">
                  <a16:creationId xmlns:a16="http://schemas.microsoft.com/office/drawing/2014/main" id="{C67BAC85-4CB3-C1F6-FB5D-A82098737593}"/>
                </a:ext>
              </a:extLst>
            </xdr14:cNvPr>
            <xdr14:cNvContentPartPr/>
          </xdr14:nvContentPartPr>
          <xdr14:nvPr macro=""/>
          <xdr14:xfrm>
            <a:off x="1648440" y="13220280"/>
            <a:ext cx="5133960" cy="1225080"/>
          </xdr14:xfrm>
        </xdr:contentPart>
      </mc:Choice>
      <mc:Fallback>
        <xdr:pic>
          <xdr:nvPicPr>
            <xdr:cNvPr id="516" name="Ink 515">
              <a:extLst>
                <a:ext uri="{FF2B5EF4-FFF2-40B4-BE49-F238E27FC236}">
                  <a16:creationId xmlns:a16="http://schemas.microsoft.com/office/drawing/2014/main" id="{C67BAC85-4CB3-C1F6-FB5D-A82098737593}"/>
                </a:ext>
              </a:extLst>
            </xdr:cNvPr>
            <xdr:cNvPicPr/>
          </xdr:nvPicPr>
          <xdr:blipFill>
            <a:blip xmlns:r="http://schemas.openxmlformats.org/officeDocument/2006/relationships" r:embed="rId336"/>
            <a:stretch>
              <a:fillRect/>
            </a:stretch>
          </xdr:blipFill>
          <xdr:spPr>
            <a:xfrm>
              <a:off x="1638000" y="13209840"/>
              <a:ext cx="5155200" cy="124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178813</xdr:colOff>
      <xdr:row>63</xdr:row>
      <xdr:rowOff>180227</xdr:rowOff>
    </xdr:from>
    <xdr:to>
      <xdr:col>11</xdr:col>
      <xdr:colOff>474310</xdr:colOff>
      <xdr:row>68</xdr:row>
      <xdr:rowOff>58850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7">
          <xdr14:nvContentPartPr>
            <xdr14:cNvPr id="526" name="Ink 525">
              <a:extLst>
                <a:ext uri="{FF2B5EF4-FFF2-40B4-BE49-F238E27FC236}">
                  <a16:creationId xmlns:a16="http://schemas.microsoft.com/office/drawing/2014/main" id="{CE91E223-20C5-C340-0C6B-1C85978DD22C}"/>
                </a:ext>
              </a:extLst>
            </xdr14:cNvPr>
            <xdr14:cNvContentPartPr/>
          </xdr14:nvContentPartPr>
          <xdr14:nvPr macro=""/>
          <xdr14:xfrm>
            <a:off x="7629480" y="12922560"/>
            <a:ext cx="1951200" cy="889920"/>
          </xdr14:xfrm>
        </xdr:contentPart>
      </mc:Choice>
      <mc:Fallback>
        <xdr:pic>
          <xdr:nvPicPr>
            <xdr:cNvPr id="526" name="Ink 525">
              <a:extLst>
                <a:ext uri="{FF2B5EF4-FFF2-40B4-BE49-F238E27FC236}">
                  <a16:creationId xmlns:a16="http://schemas.microsoft.com/office/drawing/2014/main" id="{CE91E223-20C5-C340-0C6B-1C85978DD22C}"/>
                </a:ext>
              </a:extLst>
            </xdr:cNvPr>
            <xdr:cNvPicPr/>
          </xdr:nvPicPr>
          <xdr:blipFill>
            <a:blip xmlns:r="http://schemas.openxmlformats.org/officeDocument/2006/relationships" r:embed="rId338"/>
            <a:stretch>
              <a:fillRect/>
            </a:stretch>
          </xdr:blipFill>
          <xdr:spPr>
            <a:xfrm>
              <a:off x="7619040" y="12911760"/>
              <a:ext cx="1972440" cy="911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718157</xdr:colOff>
      <xdr:row>65</xdr:row>
      <xdr:rowOff>81708</xdr:rowOff>
    </xdr:from>
    <xdr:to>
      <xdr:col>8</xdr:col>
      <xdr:colOff>268305</xdr:colOff>
      <xdr:row>67</xdr:row>
      <xdr:rowOff>144830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9">
          <xdr14:nvContentPartPr>
            <xdr14:cNvPr id="537" name="Ink 536">
              <a:extLst>
                <a:ext uri="{FF2B5EF4-FFF2-40B4-BE49-F238E27FC236}">
                  <a16:creationId xmlns:a16="http://schemas.microsoft.com/office/drawing/2014/main" id="{58A49F6D-A0A0-33ED-801E-16E5772BBC07}"/>
                </a:ext>
              </a:extLst>
            </xdr14:cNvPr>
            <xdr14:cNvContentPartPr/>
          </xdr14:nvContentPartPr>
          <xdr14:nvPr macro=""/>
          <xdr14:xfrm>
            <a:off x="6513120" y="13228560"/>
            <a:ext cx="378000" cy="467640"/>
          </xdr14:xfrm>
        </xdr:contentPart>
      </mc:Choice>
      <mc:Fallback>
        <xdr:pic>
          <xdr:nvPicPr>
            <xdr:cNvPr id="537" name="Ink 536">
              <a:extLst>
                <a:ext uri="{FF2B5EF4-FFF2-40B4-BE49-F238E27FC236}">
                  <a16:creationId xmlns:a16="http://schemas.microsoft.com/office/drawing/2014/main" id="{58A49F6D-A0A0-33ED-801E-16E5772BBC07}"/>
                </a:ext>
              </a:extLst>
            </xdr:cNvPr>
            <xdr:cNvPicPr/>
          </xdr:nvPicPr>
          <xdr:blipFill>
            <a:blip xmlns:r="http://schemas.openxmlformats.org/officeDocument/2006/relationships" r:embed="rId340"/>
            <a:stretch>
              <a:fillRect/>
            </a:stretch>
          </xdr:blipFill>
          <xdr:spPr>
            <a:xfrm>
              <a:off x="6502670" y="13218112"/>
              <a:ext cx="399260" cy="4888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350364</xdr:colOff>
      <xdr:row>70</xdr:row>
      <xdr:rowOff>14692</xdr:rowOff>
    </xdr:from>
    <xdr:to>
      <xdr:col>5</xdr:col>
      <xdr:colOff>578181</xdr:colOff>
      <xdr:row>70</xdr:row>
      <xdr:rowOff>157972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1">
          <xdr14:nvContentPartPr>
            <xdr14:cNvPr id="540" name="Ink 539">
              <a:extLst>
                <a:ext uri="{FF2B5EF4-FFF2-40B4-BE49-F238E27FC236}">
                  <a16:creationId xmlns:a16="http://schemas.microsoft.com/office/drawing/2014/main" id="{7B537330-6C74-66B5-4EF9-774C69BF9B46}"/>
                </a:ext>
              </a:extLst>
            </xdr14:cNvPr>
            <xdr14:cNvContentPartPr/>
          </xdr14:nvContentPartPr>
          <xdr14:nvPr macro=""/>
          <xdr14:xfrm>
            <a:off x="2833920" y="14172840"/>
            <a:ext cx="1883520" cy="143280"/>
          </xdr14:xfrm>
        </xdr:contentPart>
      </mc:Choice>
      <mc:Fallback>
        <xdr:pic>
          <xdr:nvPicPr>
            <xdr:cNvPr id="540" name="Ink 539">
              <a:extLst>
                <a:ext uri="{FF2B5EF4-FFF2-40B4-BE49-F238E27FC236}">
                  <a16:creationId xmlns:a16="http://schemas.microsoft.com/office/drawing/2014/main" id="{7B537330-6C74-66B5-4EF9-774C69BF9B46}"/>
                </a:ext>
              </a:extLst>
            </xdr:cNvPr>
            <xdr:cNvPicPr/>
          </xdr:nvPicPr>
          <xdr:blipFill>
            <a:blip xmlns:r="http://schemas.openxmlformats.org/officeDocument/2006/relationships" r:embed="rId342"/>
            <a:stretch>
              <a:fillRect/>
            </a:stretch>
          </xdr:blipFill>
          <xdr:spPr>
            <a:xfrm>
              <a:off x="2823480" y="14162400"/>
              <a:ext cx="1904760" cy="164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352609</xdr:colOff>
      <xdr:row>72</xdr:row>
      <xdr:rowOff>138293</xdr:rowOff>
    </xdr:from>
    <xdr:to>
      <xdr:col>9</xdr:col>
      <xdr:colOff>83053</xdr:colOff>
      <xdr:row>77</xdr:row>
      <xdr:rowOff>44637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3">
          <xdr14:nvContentPartPr>
            <xdr14:cNvPr id="563" name="Ink 562">
              <a:extLst>
                <a:ext uri="{FF2B5EF4-FFF2-40B4-BE49-F238E27FC236}">
                  <a16:creationId xmlns:a16="http://schemas.microsoft.com/office/drawing/2014/main" id="{FA842818-7C3C-C722-8431-BBE1EA7FCDAE}"/>
                </a:ext>
              </a:extLst>
            </xdr14:cNvPr>
            <xdr14:cNvContentPartPr/>
          </xdr14:nvContentPartPr>
          <xdr14:nvPr macro=""/>
          <xdr14:xfrm>
            <a:off x="5319720" y="14700960"/>
            <a:ext cx="2214000" cy="917640"/>
          </xdr14:xfrm>
        </xdr:contentPart>
      </mc:Choice>
      <mc:Fallback>
        <xdr:pic>
          <xdr:nvPicPr>
            <xdr:cNvPr id="563" name="Ink 562">
              <a:extLst>
                <a:ext uri="{FF2B5EF4-FFF2-40B4-BE49-F238E27FC236}">
                  <a16:creationId xmlns:a16="http://schemas.microsoft.com/office/drawing/2014/main" id="{FA842818-7C3C-C722-8431-BBE1EA7FCDAE}"/>
                </a:ext>
              </a:extLst>
            </xdr:cNvPr>
            <xdr:cNvPicPr/>
          </xdr:nvPicPr>
          <xdr:blipFill>
            <a:blip xmlns:r="http://schemas.openxmlformats.org/officeDocument/2006/relationships" r:embed="rId344"/>
            <a:stretch>
              <a:fillRect/>
            </a:stretch>
          </xdr:blipFill>
          <xdr:spPr>
            <a:xfrm>
              <a:off x="5309278" y="14690520"/>
              <a:ext cx="2235243" cy="93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332089</xdr:colOff>
      <xdr:row>78</xdr:row>
      <xdr:rowOff>66298</xdr:rowOff>
    </xdr:from>
    <xdr:to>
      <xdr:col>6</xdr:col>
      <xdr:colOff>547009</xdr:colOff>
      <xdr:row>78</xdr:row>
      <xdr:rowOff>139378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5">
          <xdr14:nvContentPartPr>
            <xdr14:cNvPr id="566" name="Ink 565">
              <a:extLst>
                <a:ext uri="{FF2B5EF4-FFF2-40B4-BE49-F238E27FC236}">
                  <a16:creationId xmlns:a16="http://schemas.microsoft.com/office/drawing/2014/main" id="{84157979-978C-02D7-CC81-B7565D1CDF8B}"/>
                </a:ext>
              </a:extLst>
            </xdr14:cNvPr>
            <xdr14:cNvContentPartPr/>
          </xdr14:nvContentPartPr>
          <xdr14:nvPr macro=""/>
          <xdr14:xfrm>
            <a:off x="5299200" y="15842520"/>
            <a:ext cx="214920" cy="73080"/>
          </xdr14:xfrm>
        </xdr:contentPart>
      </mc:Choice>
      <mc:Fallback>
        <xdr:pic>
          <xdr:nvPicPr>
            <xdr:cNvPr id="566" name="Ink 565">
              <a:extLst>
                <a:ext uri="{FF2B5EF4-FFF2-40B4-BE49-F238E27FC236}">
                  <a16:creationId xmlns:a16="http://schemas.microsoft.com/office/drawing/2014/main" id="{84157979-978C-02D7-CC81-B7565D1CDF8B}"/>
                </a:ext>
              </a:extLst>
            </xdr:cNvPr>
            <xdr:cNvPicPr/>
          </xdr:nvPicPr>
          <xdr:blipFill>
            <a:blip xmlns:r="http://schemas.openxmlformats.org/officeDocument/2006/relationships" r:embed="rId346"/>
            <a:stretch>
              <a:fillRect/>
            </a:stretch>
          </xdr:blipFill>
          <xdr:spPr>
            <a:xfrm>
              <a:off x="5288760" y="15831667"/>
              <a:ext cx="236160" cy="944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254117</xdr:colOff>
      <xdr:row>76</xdr:row>
      <xdr:rowOff>38096</xdr:rowOff>
    </xdr:from>
    <xdr:to>
      <xdr:col>9</xdr:col>
      <xdr:colOff>469693</xdr:colOff>
      <xdr:row>79</xdr:row>
      <xdr:rowOff>3719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7">
          <xdr14:nvContentPartPr>
            <xdr14:cNvPr id="579" name="Ink 578">
              <a:extLst>
                <a:ext uri="{FF2B5EF4-FFF2-40B4-BE49-F238E27FC236}">
                  <a16:creationId xmlns:a16="http://schemas.microsoft.com/office/drawing/2014/main" id="{EEADF19E-844C-E4AB-A140-E0578615955C}"/>
                </a:ext>
              </a:extLst>
            </xdr14:cNvPr>
            <xdr14:cNvContentPartPr/>
          </xdr14:nvContentPartPr>
          <xdr14:nvPr macro=""/>
          <xdr14:xfrm>
            <a:off x="6049080" y="15409800"/>
            <a:ext cx="1871280" cy="572400"/>
          </xdr14:xfrm>
        </xdr:contentPart>
      </mc:Choice>
      <mc:Fallback>
        <xdr:pic>
          <xdr:nvPicPr>
            <xdr:cNvPr id="579" name="Ink 578">
              <a:extLst>
                <a:ext uri="{FF2B5EF4-FFF2-40B4-BE49-F238E27FC236}">
                  <a16:creationId xmlns:a16="http://schemas.microsoft.com/office/drawing/2014/main" id="{EEADF19E-844C-E4AB-A140-E0578615955C}"/>
                </a:ext>
              </a:extLst>
            </xdr:cNvPr>
            <xdr:cNvPicPr/>
          </xdr:nvPicPr>
          <xdr:blipFill>
            <a:blip xmlns:r="http://schemas.openxmlformats.org/officeDocument/2006/relationships" r:embed="rId348"/>
            <a:stretch>
              <a:fillRect/>
            </a:stretch>
          </xdr:blipFill>
          <xdr:spPr>
            <a:xfrm>
              <a:off x="6038638" y="15399360"/>
              <a:ext cx="1892524" cy="59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63508</xdr:colOff>
      <xdr:row>79</xdr:row>
      <xdr:rowOff>100199</xdr:rowOff>
    </xdr:from>
    <xdr:to>
      <xdr:col>1</xdr:col>
      <xdr:colOff>63868</xdr:colOff>
      <xdr:row>79</xdr:row>
      <xdr:rowOff>100559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9">
          <xdr14:nvContentPartPr>
            <xdr14:cNvPr id="580" name="Ink 579">
              <a:extLst>
                <a:ext uri="{FF2B5EF4-FFF2-40B4-BE49-F238E27FC236}">
                  <a16:creationId xmlns:a16="http://schemas.microsoft.com/office/drawing/2014/main" id="{639F81FA-FEF5-08FC-42E7-8F0EE2466B54}"/>
                </a:ext>
              </a:extLst>
            </xdr14:cNvPr>
            <xdr14:cNvContentPartPr/>
          </xdr14:nvContentPartPr>
          <xdr14:nvPr macro=""/>
          <xdr14:xfrm>
            <a:off x="891360" y="16078680"/>
            <a:ext cx="360" cy="360"/>
          </xdr14:xfrm>
        </xdr:contentPart>
      </mc:Choice>
      <mc:Fallback>
        <xdr:pic>
          <xdr:nvPicPr>
            <xdr:cNvPr id="580" name="Ink 579">
              <a:extLst>
                <a:ext uri="{FF2B5EF4-FFF2-40B4-BE49-F238E27FC236}">
                  <a16:creationId xmlns:a16="http://schemas.microsoft.com/office/drawing/2014/main" id="{639F81FA-FEF5-08FC-42E7-8F0EE2466B54}"/>
                </a:ext>
              </a:extLst>
            </xdr:cNvPr>
            <xdr:cNvPicPr/>
          </xdr:nvPicPr>
          <xdr:blipFill>
            <a:blip xmlns:r="http://schemas.openxmlformats.org/officeDocument/2006/relationships" r:embed="rId350"/>
            <a:stretch>
              <a:fillRect/>
            </a:stretch>
          </xdr:blipFill>
          <xdr:spPr>
            <a:xfrm>
              <a:off x="885240" y="16072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293760</xdr:colOff>
      <xdr:row>84</xdr:row>
      <xdr:rowOff>188342</xdr:rowOff>
    </xdr:from>
    <xdr:to>
      <xdr:col>0</xdr:col>
      <xdr:colOff>695160</xdr:colOff>
      <xdr:row>85</xdr:row>
      <xdr:rowOff>166803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1">
          <xdr14:nvContentPartPr>
            <xdr14:cNvPr id="583" name="Ink 582">
              <a:extLst>
                <a:ext uri="{FF2B5EF4-FFF2-40B4-BE49-F238E27FC236}">
                  <a16:creationId xmlns:a16="http://schemas.microsoft.com/office/drawing/2014/main" id="{A677D45C-13FA-56C2-2D54-8D70CA09689E}"/>
                </a:ext>
              </a:extLst>
            </xdr14:cNvPr>
            <xdr14:cNvContentPartPr/>
          </xdr14:nvContentPartPr>
          <xdr14:nvPr macro=""/>
          <xdr14:xfrm>
            <a:off x="293760" y="17178120"/>
            <a:ext cx="401400" cy="180720"/>
          </xdr14:xfrm>
        </xdr:contentPart>
      </mc:Choice>
      <mc:Fallback>
        <xdr:pic>
          <xdr:nvPicPr>
            <xdr:cNvPr id="583" name="Ink 582">
              <a:extLst>
                <a:ext uri="{FF2B5EF4-FFF2-40B4-BE49-F238E27FC236}">
                  <a16:creationId xmlns:a16="http://schemas.microsoft.com/office/drawing/2014/main" id="{A677D45C-13FA-56C2-2D54-8D70CA09689E}"/>
                </a:ext>
              </a:extLst>
            </xdr:cNvPr>
            <xdr:cNvPicPr/>
          </xdr:nvPicPr>
          <xdr:blipFill>
            <a:blip xmlns:r="http://schemas.openxmlformats.org/officeDocument/2006/relationships" r:embed="rId352"/>
            <a:stretch>
              <a:fillRect/>
            </a:stretch>
          </xdr:blipFill>
          <xdr:spPr>
            <a:xfrm>
              <a:off x="282970" y="17167680"/>
              <a:ext cx="422621" cy="20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20753</xdr:colOff>
      <xdr:row>77</xdr:row>
      <xdr:rowOff>120957</xdr:rowOff>
    </xdr:from>
    <xdr:to>
      <xdr:col>5</xdr:col>
      <xdr:colOff>562701</xdr:colOff>
      <xdr:row>83</xdr:row>
      <xdr:rowOff>19081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3">
          <xdr14:nvContentPartPr>
            <xdr14:cNvPr id="595" name="Ink 594">
              <a:extLst>
                <a:ext uri="{FF2B5EF4-FFF2-40B4-BE49-F238E27FC236}">
                  <a16:creationId xmlns:a16="http://schemas.microsoft.com/office/drawing/2014/main" id="{D958867F-3BC1-E21F-05A7-BD473A74FB52}"/>
                </a:ext>
              </a:extLst>
            </xdr14:cNvPr>
            <xdr14:cNvContentPartPr/>
          </xdr14:nvContentPartPr>
          <xdr14:nvPr macro=""/>
          <xdr14:xfrm>
            <a:off x="3332160" y="15694920"/>
            <a:ext cx="1369800" cy="1111680"/>
          </xdr14:xfrm>
        </xdr:contentPart>
      </mc:Choice>
      <mc:Fallback>
        <xdr:pic>
          <xdr:nvPicPr>
            <xdr:cNvPr id="595" name="Ink 594">
              <a:extLst>
                <a:ext uri="{FF2B5EF4-FFF2-40B4-BE49-F238E27FC236}">
                  <a16:creationId xmlns:a16="http://schemas.microsoft.com/office/drawing/2014/main" id="{D958867F-3BC1-E21F-05A7-BD473A74FB52}"/>
                </a:ext>
              </a:extLst>
            </xdr:cNvPr>
            <xdr:cNvPicPr/>
          </xdr:nvPicPr>
          <xdr:blipFill>
            <a:blip xmlns:r="http://schemas.openxmlformats.org/officeDocument/2006/relationships" r:embed="rId354"/>
            <a:stretch>
              <a:fillRect/>
            </a:stretch>
          </xdr:blipFill>
          <xdr:spPr>
            <a:xfrm>
              <a:off x="3321720" y="15684483"/>
              <a:ext cx="1391040" cy="113291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574941</xdr:colOff>
      <xdr:row>82</xdr:row>
      <xdr:rowOff>25141</xdr:rowOff>
    </xdr:from>
    <xdr:to>
      <xdr:col>7</xdr:col>
      <xdr:colOff>4997</xdr:colOff>
      <xdr:row>86</xdr:row>
      <xdr:rowOff>24304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5">
          <xdr14:nvContentPartPr>
            <xdr14:cNvPr id="615" name="Ink 614">
              <a:extLst>
                <a:ext uri="{FF2B5EF4-FFF2-40B4-BE49-F238E27FC236}">
                  <a16:creationId xmlns:a16="http://schemas.microsoft.com/office/drawing/2014/main" id="{41166AAD-88FF-5BB1-CFE1-B14B95D0CA4B}"/>
                </a:ext>
              </a:extLst>
            </xdr14:cNvPr>
            <xdr14:cNvContentPartPr/>
          </xdr14:nvContentPartPr>
          <xdr14:nvPr macro=""/>
          <xdr14:xfrm>
            <a:off x="4714200" y="16610400"/>
            <a:ext cx="1085760" cy="808200"/>
          </xdr14:xfrm>
        </xdr:contentPart>
      </mc:Choice>
      <mc:Fallback>
        <xdr:pic>
          <xdr:nvPicPr>
            <xdr:cNvPr id="615" name="Ink 614">
              <a:extLst>
                <a:ext uri="{FF2B5EF4-FFF2-40B4-BE49-F238E27FC236}">
                  <a16:creationId xmlns:a16="http://schemas.microsoft.com/office/drawing/2014/main" id="{41166AAD-88FF-5BB1-CFE1-B14B95D0CA4B}"/>
                </a:ext>
              </a:extLst>
            </xdr:cNvPr>
            <xdr:cNvPicPr/>
          </xdr:nvPicPr>
          <xdr:blipFill>
            <a:blip xmlns:r="http://schemas.openxmlformats.org/officeDocument/2006/relationships" r:embed="rId356"/>
            <a:stretch>
              <a:fillRect/>
            </a:stretch>
          </xdr:blipFill>
          <xdr:spPr>
            <a:xfrm>
              <a:off x="4703757" y="16599600"/>
              <a:ext cx="1107007" cy="82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497033</xdr:colOff>
      <xdr:row>87</xdr:row>
      <xdr:rowOff>135604</xdr:rowOff>
    </xdr:from>
    <xdr:to>
      <xdr:col>4</xdr:col>
      <xdr:colOff>635633</xdr:colOff>
      <xdr:row>88</xdr:row>
      <xdr:rowOff>15785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7">
          <xdr14:nvContentPartPr>
            <xdr14:cNvPr id="618" name="Ink 617">
              <a:extLst>
                <a:ext uri="{FF2B5EF4-FFF2-40B4-BE49-F238E27FC236}">
                  <a16:creationId xmlns:a16="http://schemas.microsoft.com/office/drawing/2014/main" id="{75F204E9-DEF2-7DAE-94E3-28B72A867FD3}"/>
                </a:ext>
              </a:extLst>
            </xdr14:cNvPr>
            <xdr14:cNvContentPartPr/>
          </xdr14:nvContentPartPr>
          <xdr14:nvPr macro=""/>
          <xdr14:xfrm>
            <a:off x="3808440" y="17732160"/>
            <a:ext cx="138600" cy="82440"/>
          </xdr14:xfrm>
        </xdr:contentPart>
      </mc:Choice>
      <mc:Fallback>
        <xdr:pic>
          <xdr:nvPicPr>
            <xdr:cNvPr id="618" name="Ink 617">
              <a:extLst>
                <a:ext uri="{FF2B5EF4-FFF2-40B4-BE49-F238E27FC236}">
                  <a16:creationId xmlns:a16="http://schemas.microsoft.com/office/drawing/2014/main" id="{75F204E9-DEF2-7DAE-94E3-28B72A867FD3}"/>
                </a:ext>
              </a:extLst>
            </xdr:cNvPr>
            <xdr:cNvPicPr/>
          </xdr:nvPicPr>
          <xdr:blipFill>
            <a:blip xmlns:r="http://schemas.openxmlformats.org/officeDocument/2006/relationships" r:embed="rId358"/>
            <a:stretch>
              <a:fillRect/>
            </a:stretch>
          </xdr:blipFill>
          <xdr:spPr>
            <a:xfrm>
              <a:off x="3797668" y="17721720"/>
              <a:ext cx="159785" cy="10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53089</xdr:colOff>
      <xdr:row>86</xdr:row>
      <xdr:rowOff>89104</xdr:rowOff>
    </xdr:from>
    <xdr:to>
      <xdr:col>6</xdr:col>
      <xdr:colOff>801889</xdr:colOff>
      <xdr:row>87</xdr:row>
      <xdr:rowOff>132364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9">
          <xdr14:nvContentPartPr>
            <xdr14:cNvPr id="621" name="Ink 620">
              <a:extLst>
                <a:ext uri="{FF2B5EF4-FFF2-40B4-BE49-F238E27FC236}">
                  <a16:creationId xmlns:a16="http://schemas.microsoft.com/office/drawing/2014/main" id="{ECEE89D0-A4D6-11AA-5F2E-5CA0EFE913DB}"/>
                </a:ext>
              </a:extLst>
            </xdr14:cNvPr>
            <xdr14:cNvContentPartPr/>
          </xdr14:nvContentPartPr>
          <xdr14:nvPr macro=""/>
          <xdr14:xfrm>
            <a:off x="5020200" y="17483400"/>
            <a:ext cx="748800" cy="245520"/>
          </xdr14:xfrm>
        </xdr:contentPart>
      </mc:Choice>
      <mc:Fallback>
        <xdr:pic>
          <xdr:nvPicPr>
            <xdr:cNvPr id="621" name="Ink 620">
              <a:extLst>
                <a:ext uri="{FF2B5EF4-FFF2-40B4-BE49-F238E27FC236}">
                  <a16:creationId xmlns:a16="http://schemas.microsoft.com/office/drawing/2014/main" id="{ECEE89D0-A4D6-11AA-5F2E-5CA0EFE913DB}"/>
                </a:ext>
              </a:extLst>
            </xdr:cNvPr>
            <xdr:cNvPicPr/>
          </xdr:nvPicPr>
          <xdr:blipFill>
            <a:blip xmlns:r="http://schemas.openxmlformats.org/officeDocument/2006/relationships" r:embed="rId360"/>
            <a:stretch>
              <a:fillRect/>
            </a:stretch>
          </xdr:blipFill>
          <xdr:spPr>
            <a:xfrm>
              <a:off x="5009760" y="17472600"/>
              <a:ext cx="770040" cy="26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717840</xdr:colOff>
      <xdr:row>86</xdr:row>
      <xdr:rowOff>119344</xdr:rowOff>
    </xdr:from>
    <xdr:to>
      <xdr:col>1</xdr:col>
      <xdr:colOff>15268</xdr:colOff>
      <xdr:row>87</xdr:row>
      <xdr:rowOff>89524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1">
          <xdr14:nvContentPartPr>
            <xdr14:cNvPr id="624" name="Ink 623">
              <a:extLst>
                <a:ext uri="{FF2B5EF4-FFF2-40B4-BE49-F238E27FC236}">
                  <a16:creationId xmlns:a16="http://schemas.microsoft.com/office/drawing/2014/main" id="{B5A0197E-0A9C-F532-3C62-7A36AF304443}"/>
                </a:ext>
              </a:extLst>
            </xdr14:cNvPr>
            <xdr14:cNvContentPartPr/>
          </xdr14:nvContentPartPr>
          <xdr14:nvPr macro=""/>
          <xdr14:xfrm>
            <a:off x="717840" y="17513640"/>
            <a:ext cx="125280" cy="172440"/>
          </xdr14:xfrm>
        </xdr:contentPart>
      </mc:Choice>
      <mc:Fallback>
        <xdr:pic>
          <xdr:nvPicPr>
            <xdr:cNvPr id="624" name="Ink 623">
              <a:extLst>
                <a:ext uri="{FF2B5EF4-FFF2-40B4-BE49-F238E27FC236}">
                  <a16:creationId xmlns:a16="http://schemas.microsoft.com/office/drawing/2014/main" id="{B5A0197E-0A9C-F532-3C62-7A36AF304443}"/>
                </a:ext>
              </a:extLst>
            </xdr:cNvPr>
            <xdr:cNvPicPr/>
          </xdr:nvPicPr>
          <xdr:blipFill>
            <a:blip xmlns:r="http://schemas.openxmlformats.org/officeDocument/2006/relationships" r:embed="rId362"/>
            <a:stretch>
              <a:fillRect/>
            </a:stretch>
          </xdr:blipFill>
          <xdr:spPr>
            <a:xfrm>
              <a:off x="707400" y="17502840"/>
              <a:ext cx="146520" cy="19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480748</xdr:colOff>
      <xdr:row>77</xdr:row>
      <xdr:rowOff>47517</xdr:rowOff>
    </xdr:from>
    <xdr:to>
      <xdr:col>1</xdr:col>
      <xdr:colOff>652828</xdr:colOff>
      <xdr:row>77</xdr:row>
      <xdr:rowOff>185397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3">
          <xdr14:nvContentPartPr>
            <xdr14:cNvPr id="625" name="Ink 624">
              <a:extLst>
                <a:ext uri="{FF2B5EF4-FFF2-40B4-BE49-F238E27FC236}">
                  <a16:creationId xmlns:a16="http://schemas.microsoft.com/office/drawing/2014/main" id="{C5DC9CAB-D7A7-CBF6-394C-D6F3E39C8A96}"/>
                </a:ext>
              </a:extLst>
            </xdr14:cNvPr>
            <xdr14:cNvContentPartPr/>
          </xdr14:nvContentPartPr>
          <xdr14:nvPr macro=""/>
          <xdr14:xfrm>
            <a:off x="1308600" y="15621480"/>
            <a:ext cx="172080" cy="137880"/>
          </xdr14:xfrm>
        </xdr:contentPart>
      </mc:Choice>
      <mc:Fallback>
        <xdr:pic>
          <xdr:nvPicPr>
            <xdr:cNvPr id="625" name="Ink 624">
              <a:extLst>
                <a:ext uri="{FF2B5EF4-FFF2-40B4-BE49-F238E27FC236}">
                  <a16:creationId xmlns:a16="http://schemas.microsoft.com/office/drawing/2014/main" id="{C5DC9CAB-D7A7-CBF6-394C-D6F3E39C8A96}"/>
                </a:ext>
              </a:extLst>
            </xdr:cNvPr>
            <xdr:cNvPicPr/>
          </xdr:nvPicPr>
          <xdr:blipFill>
            <a:blip xmlns:r="http://schemas.openxmlformats.org/officeDocument/2006/relationships" r:embed="rId364"/>
            <a:stretch>
              <a:fillRect/>
            </a:stretch>
          </xdr:blipFill>
          <xdr:spPr>
            <a:xfrm>
              <a:off x="1297800" y="15610680"/>
              <a:ext cx="19332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483628</xdr:colOff>
      <xdr:row>77</xdr:row>
      <xdr:rowOff>8997</xdr:rowOff>
    </xdr:from>
    <xdr:to>
      <xdr:col>1</xdr:col>
      <xdr:colOff>658948</xdr:colOff>
      <xdr:row>77</xdr:row>
      <xdr:rowOff>39597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5">
          <xdr14:nvContentPartPr>
            <xdr14:cNvPr id="626" name="Ink 625">
              <a:extLst>
                <a:ext uri="{FF2B5EF4-FFF2-40B4-BE49-F238E27FC236}">
                  <a16:creationId xmlns:a16="http://schemas.microsoft.com/office/drawing/2014/main" id="{9DC34967-3F93-AD56-EFF2-39441B02E4C1}"/>
                </a:ext>
              </a:extLst>
            </xdr14:cNvPr>
            <xdr14:cNvContentPartPr/>
          </xdr14:nvContentPartPr>
          <xdr14:nvPr macro=""/>
          <xdr14:xfrm>
            <a:off x="1311480" y="15582960"/>
            <a:ext cx="175320" cy="30600"/>
          </xdr14:xfrm>
        </xdr:contentPart>
      </mc:Choice>
      <mc:Fallback>
        <xdr:pic>
          <xdr:nvPicPr>
            <xdr:cNvPr id="626" name="Ink 625">
              <a:extLst>
                <a:ext uri="{FF2B5EF4-FFF2-40B4-BE49-F238E27FC236}">
                  <a16:creationId xmlns:a16="http://schemas.microsoft.com/office/drawing/2014/main" id="{9DC34967-3F93-AD56-EFF2-39441B02E4C1}"/>
                </a:ext>
              </a:extLst>
            </xdr:cNvPr>
            <xdr:cNvPicPr/>
          </xdr:nvPicPr>
          <xdr:blipFill>
            <a:blip xmlns:r="http://schemas.openxmlformats.org/officeDocument/2006/relationships" r:embed="rId366"/>
            <a:stretch>
              <a:fillRect/>
            </a:stretch>
          </xdr:blipFill>
          <xdr:spPr>
            <a:xfrm>
              <a:off x="1300680" y="15572520"/>
              <a:ext cx="196560" cy="51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514228</xdr:colOff>
      <xdr:row>77</xdr:row>
      <xdr:rowOff>47157</xdr:rowOff>
    </xdr:from>
    <xdr:to>
      <xdr:col>1</xdr:col>
      <xdr:colOff>675148</xdr:colOff>
      <xdr:row>77</xdr:row>
      <xdr:rowOff>99357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7">
          <xdr14:nvContentPartPr>
            <xdr14:cNvPr id="627" name="Ink 626">
              <a:extLst>
                <a:ext uri="{FF2B5EF4-FFF2-40B4-BE49-F238E27FC236}">
                  <a16:creationId xmlns:a16="http://schemas.microsoft.com/office/drawing/2014/main" id="{7CEA567C-6D4D-B9C2-CDD0-835B5583421C}"/>
                </a:ext>
              </a:extLst>
            </xdr14:cNvPr>
            <xdr14:cNvContentPartPr/>
          </xdr14:nvContentPartPr>
          <xdr14:nvPr macro=""/>
          <xdr14:xfrm>
            <a:off x="1342080" y="15621120"/>
            <a:ext cx="160920" cy="52200"/>
          </xdr14:xfrm>
        </xdr:contentPart>
      </mc:Choice>
      <mc:Fallback>
        <xdr:pic>
          <xdr:nvPicPr>
            <xdr:cNvPr id="627" name="Ink 626">
              <a:extLst>
                <a:ext uri="{FF2B5EF4-FFF2-40B4-BE49-F238E27FC236}">
                  <a16:creationId xmlns:a16="http://schemas.microsoft.com/office/drawing/2014/main" id="{7CEA567C-6D4D-B9C2-CDD0-835B5583421C}"/>
                </a:ext>
              </a:extLst>
            </xdr:cNvPr>
            <xdr:cNvPicPr/>
          </xdr:nvPicPr>
          <xdr:blipFill>
            <a:blip xmlns:r="http://schemas.openxmlformats.org/officeDocument/2006/relationships" r:embed="rId368"/>
            <a:stretch>
              <a:fillRect/>
            </a:stretch>
          </xdr:blipFill>
          <xdr:spPr>
            <a:xfrm>
              <a:off x="1331640" y="15610320"/>
              <a:ext cx="182160" cy="7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176844</xdr:colOff>
      <xdr:row>85</xdr:row>
      <xdr:rowOff>3003</xdr:rowOff>
    </xdr:from>
    <xdr:to>
      <xdr:col>3</xdr:col>
      <xdr:colOff>330564</xdr:colOff>
      <xdr:row>85</xdr:row>
      <xdr:rowOff>148083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9">
          <xdr14:nvContentPartPr>
            <xdr14:cNvPr id="628" name="Ink 627">
              <a:extLst>
                <a:ext uri="{FF2B5EF4-FFF2-40B4-BE49-F238E27FC236}">
                  <a16:creationId xmlns:a16="http://schemas.microsoft.com/office/drawing/2014/main" id="{AF139993-CC97-3FF5-E6B9-681727269A1C}"/>
                </a:ext>
              </a:extLst>
            </xdr14:cNvPr>
            <xdr14:cNvContentPartPr/>
          </xdr14:nvContentPartPr>
          <xdr14:nvPr macro=""/>
          <xdr14:xfrm>
            <a:off x="2660400" y="17195040"/>
            <a:ext cx="153720" cy="145080"/>
          </xdr14:xfrm>
        </xdr:contentPart>
      </mc:Choice>
      <mc:Fallback>
        <xdr:pic>
          <xdr:nvPicPr>
            <xdr:cNvPr id="628" name="Ink 627">
              <a:extLst>
                <a:ext uri="{FF2B5EF4-FFF2-40B4-BE49-F238E27FC236}">
                  <a16:creationId xmlns:a16="http://schemas.microsoft.com/office/drawing/2014/main" id="{AF139993-CC97-3FF5-E6B9-681727269A1C}"/>
                </a:ext>
              </a:extLst>
            </xdr:cNvPr>
            <xdr:cNvPicPr/>
          </xdr:nvPicPr>
          <xdr:blipFill>
            <a:blip xmlns:r="http://schemas.openxmlformats.org/officeDocument/2006/relationships" r:embed="rId370"/>
            <a:stretch>
              <a:fillRect/>
            </a:stretch>
          </xdr:blipFill>
          <xdr:spPr>
            <a:xfrm>
              <a:off x="2649960" y="17184240"/>
              <a:ext cx="174960" cy="16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159204</xdr:colOff>
      <xdr:row>84</xdr:row>
      <xdr:rowOff>198422</xdr:rowOff>
    </xdr:from>
    <xdr:to>
      <xdr:col>3</xdr:col>
      <xdr:colOff>270444</xdr:colOff>
      <xdr:row>85</xdr:row>
      <xdr:rowOff>11283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1">
          <xdr14:nvContentPartPr>
            <xdr14:cNvPr id="629" name="Ink 628">
              <a:extLst>
                <a:ext uri="{FF2B5EF4-FFF2-40B4-BE49-F238E27FC236}">
                  <a16:creationId xmlns:a16="http://schemas.microsoft.com/office/drawing/2014/main" id="{BE21AF65-A5E1-6BE2-A4EB-0AA5E470BB47}"/>
                </a:ext>
              </a:extLst>
            </xdr14:cNvPr>
            <xdr14:cNvContentPartPr/>
          </xdr14:nvContentPartPr>
          <xdr14:nvPr macro=""/>
          <xdr14:xfrm>
            <a:off x="2642760" y="17188200"/>
            <a:ext cx="111240" cy="15120"/>
          </xdr14:xfrm>
        </xdr:contentPart>
      </mc:Choice>
      <mc:Fallback>
        <xdr:pic>
          <xdr:nvPicPr>
            <xdr:cNvPr id="629" name="Ink 628">
              <a:extLst>
                <a:ext uri="{FF2B5EF4-FFF2-40B4-BE49-F238E27FC236}">
                  <a16:creationId xmlns:a16="http://schemas.microsoft.com/office/drawing/2014/main" id="{BE21AF65-A5E1-6BE2-A4EB-0AA5E470BB47}"/>
                </a:ext>
              </a:extLst>
            </xdr:cNvPr>
            <xdr:cNvPicPr/>
          </xdr:nvPicPr>
          <xdr:blipFill>
            <a:blip xmlns:r="http://schemas.openxmlformats.org/officeDocument/2006/relationships" r:embed="rId372"/>
            <a:stretch>
              <a:fillRect/>
            </a:stretch>
          </xdr:blipFill>
          <xdr:spPr>
            <a:xfrm>
              <a:off x="2632320" y="17177760"/>
              <a:ext cx="132480" cy="3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181524</xdr:colOff>
      <xdr:row>85</xdr:row>
      <xdr:rowOff>5883</xdr:rowOff>
    </xdr:from>
    <xdr:to>
      <xdr:col>3</xdr:col>
      <xdr:colOff>384204</xdr:colOff>
      <xdr:row>85</xdr:row>
      <xdr:rowOff>79323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3">
          <xdr14:nvContentPartPr>
            <xdr14:cNvPr id="630" name="Ink 629">
              <a:extLst>
                <a:ext uri="{FF2B5EF4-FFF2-40B4-BE49-F238E27FC236}">
                  <a16:creationId xmlns:a16="http://schemas.microsoft.com/office/drawing/2014/main" id="{D226283B-3070-8DE8-6E01-2302B75610A8}"/>
                </a:ext>
              </a:extLst>
            </xdr14:cNvPr>
            <xdr14:cNvContentPartPr/>
          </xdr14:nvContentPartPr>
          <xdr14:nvPr macro=""/>
          <xdr14:xfrm>
            <a:off x="2665080" y="17197920"/>
            <a:ext cx="202680" cy="73440"/>
          </xdr14:xfrm>
        </xdr:contentPart>
      </mc:Choice>
      <mc:Fallback>
        <xdr:pic>
          <xdr:nvPicPr>
            <xdr:cNvPr id="630" name="Ink 629">
              <a:extLst>
                <a:ext uri="{FF2B5EF4-FFF2-40B4-BE49-F238E27FC236}">
                  <a16:creationId xmlns:a16="http://schemas.microsoft.com/office/drawing/2014/main" id="{D226283B-3070-8DE8-6E01-2302B75610A8}"/>
                </a:ext>
              </a:extLst>
            </xdr:cNvPr>
            <xdr:cNvPicPr/>
          </xdr:nvPicPr>
          <xdr:blipFill>
            <a:blip xmlns:r="http://schemas.openxmlformats.org/officeDocument/2006/relationships" r:embed="rId374"/>
            <a:stretch>
              <a:fillRect/>
            </a:stretch>
          </xdr:blipFill>
          <xdr:spPr>
            <a:xfrm>
              <a:off x="2654280" y="17187120"/>
              <a:ext cx="223920" cy="9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352884</xdr:colOff>
      <xdr:row>84</xdr:row>
      <xdr:rowOff>25622</xdr:rowOff>
    </xdr:from>
    <xdr:to>
      <xdr:col>3</xdr:col>
      <xdr:colOff>536124</xdr:colOff>
      <xdr:row>84</xdr:row>
      <xdr:rowOff>166022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5">
          <xdr14:nvContentPartPr>
            <xdr14:cNvPr id="631" name="Ink 630">
              <a:extLst>
                <a:ext uri="{FF2B5EF4-FFF2-40B4-BE49-F238E27FC236}">
                  <a16:creationId xmlns:a16="http://schemas.microsoft.com/office/drawing/2014/main" id="{E5545776-9D7A-BF18-199D-2DD28DF1B174}"/>
                </a:ext>
              </a:extLst>
            </xdr14:cNvPr>
            <xdr14:cNvContentPartPr/>
          </xdr14:nvContentPartPr>
          <xdr14:nvPr macro=""/>
          <xdr14:xfrm>
            <a:off x="2836440" y="17015400"/>
            <a:ext cx="183240" cy="140400"/>
          </xdr14:xfrm>
        </xdr:contentPart>
      </mc:Choice>
      <mc:Fallback>
        <xdr:pic>
          <xdr:nvPicPr>
            <xdr:cNvPr id="631" name="Ink 630">
              <a:extLst>
                <a:ext uri="{FF2B5EF4-FFF2-40B4-BE49-F238E27FC236}">
                  <a16:creationId xmlns:a16="http://schemas.microsoft.com/office/drawing/2014/main" id="{E5545776-9D7A-BF18-199D-2DD28DF1B174}"/>
                </a:ext>
              </a:extLst>
            </xdr:cNvPr>
            <xdr:cNvPicPr/>
          </xdr:nvPicPr>
          <xdr:blipFill>
            <a:blip xmlns:r="http://schemas.openxmlformats.org/officeDocument/2006/relationships" r:embed="rId376"/>
            <a:stretch>
              <a:fillRect/>
            </a:stretch>
          </xdr:blipFill>
          <xdr:spPr>
            <a:xfrm>
              <a:off x="2826000" y="17004600"/>
              <a:ext cx="204480" cy="161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796616</xdr:colOff>
      <xdr:row>83</xdr:row>
      <xdr:rowOff>114841</xdr:rowOff>
    </xdr:from>
    <xdr:to>
      <xdr:col>3</xdr:col>
      <xdr:colOff>589044</xdr:colOff>
      <xdr:row>86</xdr:row>
      <xdr:rowOff>155704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7">
          <xdr14:nvContentPartPr>
            <xdr14:cNvPr id="632" name="Ink 631">
              <a:extLst>
                <a:ext uri="{FF2B5EF4-FFF2-40B4-BE49-F238E27FC236}">
                  <a16:creationId xmlns:a16="http://schemas.microsoft.com/office/drawing/2014/main" id="{CC056E40-558F-802A-137D-6FA37BD3BE32}"/>
                </a:ext>
              </a:extLst>
            </xdr14:cNvPr>
            <xdr14:cNvContentPartPr/>
          </xdr14:nvContentPartPr>
          <xdr14:nvPr macro=""/>
          <xdr14:xfrm>
            <a:off x="2452320" y="16902360"/>
            <a:ext cx="620280" cy="647640"/>
          </xdr14:xfrm>
        </xdr:contentPart>
      </mc:Choice>
      <mc:Fallback>
        <xdr:pic>
          <xdr:nvPicPr>
            <xdr:cNvPr id="632" name="Ink 631">
              <a:extLst>
                <a:ext uri="{FF2B5EF4-FFF2-40B4-BE49-F238E27FC236}">
                  <a16:creationId xmlns:a16="http://schemas.microsoft.com/office/drawing/2014/main" id="{CC056E40-558F-802A-137D-6FA37BD3BE32}"/>
                </a:ext>
              </a:extLst>
            </xdr:cNvPr>
            <xdr:cNvPicPr/>
          </xdr:nvPicPr>
          <xdr:blipFill>
            <a:blip xmlns:r="http://schemas.openxmlformats.org/officeDocument/2006/relationships" r:embed="rId378"/>
            <a:stretch>
              <a:fillRect/>
            </a:stretch>
          </xdr:blipFill>
          <xdr:spPr>
            <a:xfrm>
              <a:off x="2441880" y="16891920"/>
              <a:ext cx="641520" cy="66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474416</xdr:colOff>
      <xdr:row>77</xdr:row>
      <xdr:rowOff>23037</xdr:rowOff>
    </xdr:from>
    <xdr:to>
      <xdr:col>2</xdr:col>
      <xdr:colOff>682136</xdr:colOff>
      <xdr:row>78</xdr:row>
      <xdr:rowOff>38938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9">
          <xdr14:nvContentPartPr>
            <xdr14:cNvPr id="633" name="Ink 632">
              <a:extLst>
                <a:ext uri="{FF2B5EF4-FFF2-40B4-BE49-F238E27FC236}">
                  <a16:creationId xmlns:a16="http://schemas.microsoft.com/office/drawing/2014/main" id="{897A2CE2-67E8-8419-E988-E30BB15AA732}"/>
                </a:ext>
              </a:extLst>
            </xdr14:cNvPr>
            <xdr14:cNvContentPartPr/>
          </xdr14:nvContentPartPr>
          <xdr14:nvPr macro=""/>
          <xdr14:xfrm>
            <a:off x="2130120" y="15597000"/>
            <a:ext cx="207720" cy="218160"/>
          </xdr14:xfrm>
        </xdr:contentPart>
      </mc:Choice>
      <mc:Fallback>
        <xdr:pic>
          <xdr:nvPicPr>
            <xdr:cNvPr id="633" name="Ink 632">
              <a:extLst>
                <a:ext uri="{FF2B5EF4-FFF2-40B4-BE49-F238E27FC236}">
                  <a16:creationId xmlns:a16="http://schemas.microsoft.com/office/drawing/2014/main" id="{897A2CE2-67E8-8419-E988-E30BB15AA732}"/>
                </a:ext>
              </a:extLst>
            </xdr:cNvPr>
            <xdr:cNvPicPr/>
          </xdr:nvPicPr>
          <xdr:blipFill>
            <a:blip xmlns:r="http://schemas.openxmlformats.org/officeDocument/2006/relationships" r:embed="rId380"/>
            <a:stretch>
              <a:fillRect/>
            </a:stretch>
          </xdr:blipFill>
          <xdr:spPr>
            <a:xfrm>
              <a:off x="2119320" y="15586560"/>
              <a:ext cx="228960" cy="23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687684</xdr:colOff>
      <xdr:row>84</xdr:row>
      <xdr:rowOff>7622</xdr:rowOff>
    </xdr:from>
    <xdr:to>
      <xdr:col>4</xdr:col>
      <xdr:colOff>207233</xdr:colOff>
      <xdr:row>85</xdr:row>
      <xdr:rowOff>178323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1">
          <xdr14:nvContentPartPr>
            <xdr14:cNvPr id="636" name="Ink 635">
              <a:extLst>
                <a:ext uri="{FF2B5EF4-FFF2-40B4-BE49-F238E27FC236}">
                  <a16:creationId xmlns:a16="http://schemas.microsoft.com/office/drawing/2014/main" id="{72CA429F-67E0-D1F7-D8FF-43E76E020E96}"/>
                </a:ext>
              </a:extLst>
            </xdr14:cNvPr>
            <xdr14:cNvContentPartPr/>
          </xdr14:nvContentPartPr>
          <xdr14:nvPr macro=""/>
          <xdr14:xfrm>
            <a:off x="3171240" y="16997400"/>
            <a:ext cx="347400" cy="372960"/>
          </xdr14:xfrm>
        </xdr:contentPart>
      </mc:Choice>
      <mc:Fallback>
        <xdr:pic>
          <xdr:nvPicPr>
            <xdr:cNvPr id="636" name="Ink 635">
              <a:extLst>
                <a:ext uri="{FF2B5EF4-FFF2-40B4-BE49-F238E27FC236}">
                  <a16:creationId xmlns:a16="http://schemas.microsoft.com/office/drawing/2014/main" id="{72CA429F-67E0-D1F7-D8FF-43E76E020E96}"/>
                </a:ext>
              </a:extLst>
            </xdr:cNvPr>
            <xdr:cNvPicPr/>
          </xdr:nvPicPr>
          <xdr:blipFill>
            <a:blip xmlns:r="http://schemas.openxmlformats.org/officeDocument/2006/relationships" r:embed="rId382"/>
            <a:stretch>
              <a:fillRect/>
            </a:stretch>
          </xdr:blipFill>
          <xdr:spPr>
            <a:xfrm>
              <a:off x="3160800" y="16986960"/>
              <a:ext cx="368640" cy="39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193680</xdr:colOff>
      <xdr:row>83</xdr:row>
      <xdr:rowOff>19441</xdr:rowOff>
    </xdr:from>
    <xdr:to>
      <xdr:col>5</xdr:col>
      <xdr:colOff>241581</xdr:colOff>
      <xdr:row>89</xdr:row>
      <xdr:rowOff>169566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3">
          <xdr14:nvContentPartPr>
            <xdr14:cNvPr id="643" name="Ink 642">
              <a:extLst>
                <a:ext uri="{FF2B5EF4-FFF2-40B4-BE49-F238E27FC236}">
                  <a16:creationId xmlns:a16="http://schemas.microsoft.com/office/drawing/2014/main" id="{6032903E-323A-9252-38A0-5F3331BA88EF}"/>
                </a:ext>
              </a:extLst>
            </xdr14:cNvPr>
            <xdr14:cNvContentPartPr/>
          </xdr14:nvContentPartPr>
          <xdr14:nvPr macro=""/>
          <xdr14:xfrm>
            <a:off x="193680" y="16806960"/>
            <a:ext cx="4187160" cy="1363680"/>
          </xdr14:xfrm>
        </xdr:contentPart>
      </mc:Choice>
      <mc:Fallback>
        <xdr:pic>
          <xdr:nvPicPr>
            <xdr:cNvPr id="643" name="Ink 642">
              <a:extLst>
                <a:ext uri="{FF2B5EF4-FFF2-40B4-BE49-F238E27FC236}">
                  <a16:creationId xmlns:a16="http://schemas.microsoft.com/office/drawing/2014/main" id="{6032903E-323A-9252-38A0-5F3331BA88EF}"/>
                </a:ext>
              </a:extLst>
            </xdr:cNvPr>
            <xdr:cNvPicPr/>
          </xdr:nvPicPr>
          <xdr:blipFill>
            <a:blip xmlns:r="http://schemas.openxmlformats.org/officeDocument/2006/relationships" r:embed="rId384"/>
            <a:stretch>
              <a:fillRect/>
            </a:stretch>
          </xdr:blipFill>
          <xdr:spPr>
            <a:xfrm>
              <a:off x="183240" y="16796160"/>
              <a:ext cx="4208400" cy="138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501564</xdr:colOff>
      <xdr:row>79</xdr:row>
      <xdr:rowOff>103799</xdr:rowOff>
    </xdr:from>
    <xdr:to>
      <xdr:col>3</xdr:col>
      <xdr:colOff>688404</xdr:colOff>
      <xdr:row>80</xdr:row>
      <xdr:rowOff>136619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5">
          <xdr14:nvContentPartPr>
            <xdr14:cNvPr id="668" name="Ink 667">
              <a:extLst>
                <a:ext uri="{FF2B5EF4-FFF2-40B4-BE49-F238E27FC236}">
                  <a16:creationId xmlns:a16="http://schemas.microsoft.com/office/drawing/2014/main" id="{34649C13-3907-904D-7FD3-A1E07C8C1CAD}"/>
                </a:ext>
              </a:extLst>
            </xdr14:cNvPr>
            <xdr14:cNvContentPartPr/>
          </xdr14:nvContentPartPr>
          <xdr14:nvPr macro=""/>
          <xdr14:xfrm>
            <a:off x="2985120" y="16082280"/>
            <a:ext cx="186840" cy="235080"/>
          </xdr14:xfrm>
        </xdr:contentPart>
      </mc:Choice>
      <mc:Fallback>
        <xdr:pic>
          <xdr:nvPicPr>
            <xdr:cNvPr id="668" name="Ink 667">
              <a:extLst>
                <a:ext uri="{FF2B5EF4-FFF2-40B4-BE49-F238E27FC236}">
                  <a16:creationId xmlns:a16="http://schemas.microsoft.com/office/drawing/2014/main" id="{34649C13-3907-904D-7FD3-A1E07C8C1CAD}"/>
                </a:ext>
              </a:extLst>
            </xdr:cNvPr>
            <xdr:cNvPicPr/>
          </xdr:nvPicPr>
          <xdr:blipFill>
            <a:blip xmlns:r="http://schemas.openxmlformats.org/officeDocument/2006/relationships" r:embed="rId386"/>
            <a:stretch>
              <a:fillRect/>
            </a:stretch>
          </xdr:blipFill>
          <xdr:spPr>
            <a:xfrm>
              <a:off x="2974680" y="16071840"/>
              <a:ext cx="208080" cy="25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556093</xdr:colOff>
      <xdr:row>89</xdr:row>
      <xdr:rowOff>133130</xdr:rowOff>
    </xdr:from>
    <xdr:to>
      <xdr:col>5</xdr:col>
      <xdr:colOff>729550</xdr:colOff>
      <xdr:row>96</xdr:row>
      <xdr:rowOff>112315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7">
          <xdr14:nvContentPartPr>
            <xdr14:cNvPr id="669" name="Ink 668">
              <a:extLst>
                <a:ext uri="{FF2B5EF4-FFF2-40B4-BE49-F238E27FC236}">
                  <a16:creationId xmlns:a16="http://schemas.microsoft.com/office/drawing/2014/main" id="{F5740685-3B0B-F57E-0787-26ABB5E93AD5}"/>
                </a:ext>
              </a:extLst>
            </xdr14:cNvPr>
            <xdr14:cNvContentPartPr/>
          </xdr14:nvContentPartPr>
          <xdr14:nvPr macro=""/>
          <xdr14:xfrm>
            <a:off x="3039649" y="18134204"/>
            <a:ext cx="1829160" cy="1395000"/>
          </xdr14:xfrm>
        </xdr:contentPart>
      </mc:Choice>
      <mc:Fallback>
        <xdr:pic>
          <xdr:nvPicPr>
            <xdr:cNvPr id="669" name="Ink 668">
              <a:extLst>
                <a:ext uri="{FF2B5EF4-FFF2-40B4-BE49-F238E27FC236}">
                  <a16:creationId xmlns:a16="http://schemas.microsoft.com/office/drawing/2014/main" id="{F5740685-3B0B-F57E-0787-26ABB5E93AD5}"/>
                </a:ext>
              </a:extLst>
            </xdr:cNvPr>
            <xdr:cNvPicPr/>
          </xdr:nvPicPr>
          <xdr:blipFill>
            <a:blip xmlns:r="http://schemas.openxmlformats.org/officeDocument/2006/relationships" r:embed="rId388"/>
            <a:stretch>
              <a:fillRect/>
            </a:stretch>
          </xdr:blipFill>
          <xdr:spPr>
            <a:xfrm>
              <a:off x="3029209" y="18123404"/>
              <a:ext cx="1850400" cy="141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372684</xdr:colOff>
      <xdr:row>79</xdr:row>
      <xdr:rowOff>27479</xdr:rowOff>
    </xdr:from>
    <xdr:to>
      <xdr:col>3</xdr:col>
      <xdr:colOff>762204</xdr:colOff>
      <xdr:row>81</xdr:row>
      <xdr:rowOff>38400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9">
          <xdr14:nvContentPartPr>
            <xdr14:cNvPr id="670" name="Ink 669">
              <a:extLst>
                <a:ext uri="{FF2B5EF4-FFF2-40B4-BE49-F238E27FC236}">
                  <a16:creationId xmlns:a16="http://schemas.microsoft.com/office/drawing/2014/main" id="{9E1D0B3A-49BD-6E3D-C645-E2BA3E09F8CA}"/>
                </a:ext>
              </a:extLst>
            </xdr14:cNvPr>
            <xdr14:cNvContentPartPr/>
          </xdr14:nvContentPartPr>
          <xdr14:nvPr macro=""/>
          <xdr14:xfrm>
            <a:off x="2856240" y="16005960"/>
            <a:ext cx="389520" cy="415440"/>
          </xdr14:xfrm>
        </xdr:contentPart>
      </mc:Choice>
      <mc:Fallback>
        <xdr:pic>
          <xdr:nvPicPr>
            <xdr:cNvPr id="670" name="Ink 669">
              <a:extLst>
                <a:ext uri="{FF2B5EF4-FFF2-40B4-BE49-F238E27FC236}">
                  <a16:creationId xmlns:a16="http://schemas.microsoft.com/office/drawing/2014/main" id="{9E1D0B3A-49BD-6E3D-C645-E2BA3E09F8CA}"/>
                </a:ext>
              </a:extLst>
            </xdr:cNvPr>
            <xdr:cNvPicPr/>
          </xdr:nvPicPr>
          <xdr:blipFill>
            <a:blip xmlns:r="http://schemas.openxmlformats.org/officeDocument/2006/relationships" r:embed="rId390"/>
            <a:stretch>
              <a:fillRect/>
            </a:stretch>
          </xdr:blipFill>
          <xdr:spPr>
            <a:xfrm>
              <a:off x="2845440" y="15995160"/>
              <a:ext cx="410760" cy="43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383400</xdr:colOff>
      <xdr:row>90</xdr:row>
      <xdr:rowOff>41827</xdr:rowOff>
    </xdr:from>
    <xdr:to>
      <xdr:col>0</xdr:col>
      <xdr:colOff>478800</xdr:colOff>
      <xdr:row>91</xdr:row>
      <xdr:rowOff>26047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1">
          <xdr14:nvContentPartPr>
            <xdr14:cNvPr id="671" name="Ink 670">
              <a:extLst>
                <a:ext uri="{FF2B5EF4-FFF2-40B4-BE49-F238E27FC236}">
                  <a16:creationId xmlns:a16="http://schemas.microsoft.com/office/drawing/2014/main" id="{3E500984-766C-6142-6FA4-F43B7D860009}"/>
                </a:ext>
              </a:extLst>
            </xdr14:cNvPr>
            <xdr14:cNvContentPartPr/>
          </xdr14:nvContentPartPr>
          <xdr14:nvPr macro=""/>
          <xdr14:xfrm>
            <a:off x="383400" y="18245160"/>
            <a:ext cx="95400" cy="186480"/>
          </xdr14:xfrm>
        </xdr:contentPart>
      </mc:Choice>
      <mc:Fallback>
        <xdr:pic>
          <xdr:nvPicPr>
            <xdr:cNvPr id="671" name="Ink 670">
              <a:extLst>
                <a:ext uri="{FF2B5EF4-FFF2-40B4-BE49-F238E27FC236}">
                  <a16:creationId xmlns:a16="http://schemas.microsoft.com/office/drawing/2014/main" id="{3E500984-766C-6142-6FA4-F43B7D860009}"/>
                </a:ext>
              </a:extLst>
            </xdr:cNvPr>
            <xdr:cNvPicPr/>
          </xdr:nvPicPr>
          <xdr:blipFill>
            <a:blip xmlns:r="http://schemas.openxmlformats.org/officeDocument/2006/relationships" r:embed="rId392"/>
            <a:stretch>
              <a:fillRect/>
            </a:stretch>
          </xdr:blipFill>
          <xdr:spPr>
            <a:xfrm>
              <a:off x="372960" y="18234720"/>
              <a:ext cx="116640" cy="20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527760</xdr:colOff>
      <xdr:row>90</xdr:row>
      <xdr:rowOff>2587</xdr:rowOff>
    </xdr:from>
    <xdr:to>
      <xdr:col>0</xdr:col>
      <xdr:colOff>552600</xdr:colOff>
      <xdr:row>90</xdr:row>
      <xdr:rowOff>142267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3">
          <xdr14:nvContentPartPr>
            <xdr14:cNvPr id="672" name="Ink 671">
              <a:extLst>
                <a:ext uri="{FF2B5EF4-FFF2-40B4-BE49-F238E27FC236}">
                  <a16:creationId xmlns:a16="http://schemas.microsoft.com/office/drawing/2014/main" id="{1C5743FF-8942-0513-23D1-5D5F44A86BCD}"/>
                </a:ext>
              </a:extLst>
            </xdr14:cNvPr>
            <xdr14:cNvContentPartPr/>
          </xdr14:nvContentPartPr>
          <xdr14:nvPr macro=""/>
          <xdr14:xfrm>
            <a:off x="527760" y="18205920"/>
            <a:ext cx="24840" cy="139680"/>
          </xdr14:xfrm>
        </xdr:contentPart>
      </mc:Choice>
      <mc:Fallback>
        <xdr:pic>
          <xdr:nvPicPr>
            <xdr:cNvPr id="672" name="Ink 671">
              <a:extLst>
                <a:ext uri="{FF2B5EF4-FFF2-40B4-BE49-F238E27FC236}">
                  <a16:creationId xmlns:a16="http://schemas.microsoft.com/office/drawing/2014/main" id="{1C5743FF-8942-0513-23D1-5D5F44A86BCD}"/>
                </a:ext>
              </a:extLst>
            </xdr:cNvPr>
            <xdr:cNvPicPr/>
          </xdr:nvPicPr>
          <xdr:blipFill>
            <a:blip xmlns:r="http://schemas.openxmlformats.org/officeDocument/2006/relationships" r:embed="rId394"/>
            <a:stretch>
              <a:fillRect/>
            </a:stretch>
          </xdr:blipFill>
          <xdr:spPr>
            <a:xfrm>
              <a:off x="517320" y="18195480"/>
              <a:ext cx="4608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488160</xdr:colOff>
      <xdr:row>90</xdr:row>
      <xdr:rowOff>82507</xdr:rowOff>
    </xdr:from>
    <xdr:to>
      <xdr:col>0</xdr:col>
      <xdr:colOff>554760</xdr:colOff>
      <xdr:row>90</xdr:row>
      <xdr:rowOff>143707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5">
          <xdr14:nvContentPartPr>
            <xdr14:cNvPr id="673" name="Ink 672">
              <a:extLst>
                <a:ext uri="{FF2B5EF4-FFF2-40B4-BE49-F238E27FC236}">
                  <a16:creationId xmlns:a16="http://schemas.microsoft.com/office/drawing/2014/main" id="{92CF7279-E337-DC62-727A-BBEBBA8802E9}"/>
                </a:ext>
              </a:extLst>
            </xdr14:cNvPr>
            <xdr14:cNvContentPartPr/>
          </xdr14:nvContentPartPr>
          <xdr14:nvPr macro=""/>
          <xdr14:xfrm>
            <a:off x="488160" y="18285840"/>
            <a:ext cx="66600" cy="61200"/>
          </xdr14:xfrm>
        </xdr:contentPart>
      </mc:Choice>
      <mc:Fallback>
        <xdr:pic>
          <xdr:nvPicPr>
            <xdr:cNvPr id="673" name="Ink 672">
              <a:extLst>
                <a:ext uri="{FF2B5EF4-FFF2-40B4-BE49-F238E27FC236}">
                  <a16:creationId xmlns:a16="http://schemas.microsoft.com/office/drawing/2014/main" id="{92CF7279-E337-DC62-727A-BBEBBA8802E9}"/>
                </a:ext>
              </a:extLst>
            </xdr:cNvPr>
            <xdr:cNvPicPr/>
          </xdr:nvPicPr>
          <xdr:blipFill>
            <a:blip xmlns:r="http://schemas.openxmlformats.org/officeDocument/2006/relationships" r:embed="rId396"/>
            <a:stretch>
              <a:fillRect/>
            </a:stretch>
          </xdr:blipFill>
          <xdr:spPr>
            <a:xfrm>
              <a:off x="477720" y="18275040"/>
              <a:ext cx="87840" cy="8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599040</xdr:colOff>
      <xdr:row>89</xdr:row>
      <xdr:rowOff>122046</xdr:rowOff>
    </xdr:from>
    <xdr:to>
      <xdr:col>0</xdr:col>
      <xdr:colOff>731520</xdr:colOff>
      <xdr:row>90</xdr:row>
      <xdr:rowOff>201307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7">
          <xdr14:nvContentPartPr>
            <xdr14:cNvPr id="674" name="Ink 673">
              <a:extLst>
                <a:ext uri="{FF2B5EF4-FFF2-40B4-BE49-F238E27FC236}">
                  <a16:creationId xmlns:a16="http://schemas.microsoft.com/office/drawing/2014/main" id="{13372633-23D1-9F04-18DB-0AC2A830414D}"/>
                </a:ext>
              </a:extLst>
            </xdr14:cNvPr>
            <xdr14:cNvContentPartPr/>
          </xdr14:nvContentPartPr>
          <xdr14:nvPr macro=""/>
          <xdr14:xfrm>
            <a:off x="599040" y="18123120"/>
            <a:ext cx="132480" cy="281520"/>
          </xdr14:xfrm>
        </xdr:contentPart>
      </mc:Choice>
      <mc:Fallback>
        <xdr:pic>
          <xdr:nvPicPr>
            <xdr:cNvPr id="674" name="Ink 673">
              <a:extLst>
                <a:ext uri="{FF2B5EF4-FFF2-40B4-BE49-F238E27FC236}">
                  <a16:creationId xmlns:a16="http://schemas.microsoft.com/office/drawing/2014/main" id="{13372633-23D1-9F04-18DB-0AC2A830414D}"/>
                </a:ext>
              </a:extLst>
            </xdr:cNvPr>
            <xdr:cNvPicPr/>
          </xdr:nvPicPr>
          <xdr:blipFill>
            <a:blip xmlns:r="http://schemas.openxmlformats.org/officeDocument/2006/relationships" r:embed="rId398"/>
            <a:stretch>
              <a:fillRect/>
            </a:stretch>
          </xdr:blipFill>
          <xdr:spPr>
            <a:xfrm>
              <a:off x="588600" y="18112680"/>
              <a:ext cx="15372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753840</xdr:colOff>
      <xdr:row>90</xdr:row>
      <xdr:rowOff>32107</xdr:rowOff>
    </xdr:from>
    <xdr:to>
      <xdr:col>1</xdr:col>
      <xdr:colOff>111028</xdr:colOff>
      <xdr:row>90</xdr:row>
      <xdr:rowOff>162427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9">
          <xdr14:nvContentPartPr>
            <xdr14:cNvPr id="675" name="Ink 674">
              <a:extLst>
                <a:ext uri="{FF2B5EF4-FFF2-40B4-BE49-F238E27FC236}">
                  <a16:creationId xmlns:a16="http://schemas.microsoft.com/office/drawing/2014/main" id="{DC9AE7D9-43B7-57CD-7B38-E26A65CFE47F}"/>
                </a:ext>
              </a:extLst>
            </xdr14:cNvPr>
            <xdr14:cNvContentPartPr/>
          </xdr14:nvContentPartPr>
          <xdr14:nvPr macro=""/>
          <xdr14:xfrm>
            <a:off x="753840" y="18235440"/>
            <a:ext cx="185040" cy="130320"/>
          </xdr14:xfrm>
        </xdr:contentPart>
      </mc:Choice>
      <mc:Fallback>
        <xdr:pic>
          <xdr:nvPicPr>
            <xdr:cNvPr id="675" name="Ink 674">
              <a:extLst>
                <a:ext uri="{FF2B5EF4-FFF2-40B4-BE49-F238E27FC236}">
                  <a16:creationId xmlns:a16="http://schemas.microsoft.com/office/drawing/2014/main" id="{DC9AE7D9-43B7-57CD-7B38-E26A65CFE47F}"/>
                </a:ext>
              </a:extLst>
            </xdr:cNvPr>
            <xdr:cNvPicPr/>
          </xdr:nvPicPr>
          <xdr:blipFill>
            <a:blip xmlns:r="http://schemas.openxmlformats.org/officeDocument/2006/relationships" r:embed="rId400"/>
            <a:stretch>
              <a:fillRect/>
            </a:stretch>
          </xdr:blipFill>
          <xdr:spPr>
            <a:xfrm>
              <a:off x="743400" y="18225000"/>
              <a:ext cx="206280" cy="15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263520</xdr:colOff>
      <xdr:row>89</xdr:row>
      <xdr:rowOff>131406</xdr:rowOff>
    </xdr:from>
    <xdr:to>
      <xdr:col>1</xdr:col>
      <xdr:colOff>225148</xdr:colOff>
      <xdr:row>92</xdr:row>
      <xdr:rowOff>5948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1">
          <xdr14:nvContentPartPr>
            <xdr14:cNvPr id="676" name="Ink 675">
              <a:extLst>
                <a:ext uri="{FF2B5EF4-FFF2-40B4-BE49-F238E27FC236}">
                  <a16:creationId xmlns:a16="http://schemas.microsoft.com/office/drawing/2014/main" id="{57012BAC-F2B0-9C41-B9CB-7599476DBC02}"/>
                </a:ext>
              </a:extLst>
            </xdr14:cNvPr>
            <xdr14:cNvContentPartPr/>
          </xdr14:nvContentPartPr>
          <xdr14:nvPr macro=""/>
          <xdr14:xfrm>
            <a:off x="263520" y="18132480"/>
            <a:ext cx="789480" cy="481320"/>
          </xdr14:xfrm>
        </xdr:contentPart>
      </mc:Choice>
      <mc:Fallback>
        <xdr:pic>
          <xdr:nvPicPr>
            <xdr:cNvPr id="676" name="Ink 675">
              <a:extLst>
                <a:ext uri="{FF2B5EF4-FFF2-40B4-BE49-F238E27FC236}">
                  <a16:creationId xmlns:a16="http://schemas.microsoft.com/office/drawing/2014/main" id="{57012BAC-F2B0-9C41-B9CB-7599476DBC02}"/>
                </a:ext>
              </a:extLst>
            </xdr:cNvPr>
            <xdr:cNvPicPr/>
          </xdr:nvPicPr>
          <xdr:blipFill>
            <a:blip xmlns:r="http://schemas.openxmlformats.org/officeDocument/2006/relationships" r:embed="rId402"/>
            <a:stretch>
              <a:fillRect/>
            </a:stretch>
          </xdr:blipFill>
          <xdr:spPr>
            <a:xfrm>
              <a:off x="252720" y="18122040"/>
              <a:ext cx="810720" cy="50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588240</xdr:colOff>
      <xdr:row>100</xdr:row>
      <xdr:rowOff>73754</xdr:rowOff>
    </xdr:from>
    <xdr:to>
      <xdr:col>3</xdr:col>
      <xdr:colOff>311124</xdr:colOff>
      <xdr:row>102</xdr:row>
      <xdr:rowOff>81076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3">
          <xdr14:nvContentPartPr>
            <xdr14:cNvPr id="677" name="Ink 676">
              <a:extLst>
                <a:ext uri="{FF2B5EF4-FFF2-40B4-BE49-F238E27FC236}">
                  <a16:creationId xmlns:a16="http://schemas.microsoft.com/office/drawing/2014/main" id="{54E786FF-D974-189A-0079-A52AFAB1C686}"/>
                </a:ext>
              </a:extLst>
            </xdr14:cNvPr>
            <xdr14:cNvContentPartPr/>
          </xdr14:nvContentPartPr>
          <xdr14:nvPr macro=""/>
          <xdr14:xfrm>
            <a:off x="588240" y="20299680"/>
            <a:ext cx="2206440" cy="411840"/>
          </xdr14:xfrm>
        </xdr:contentPart>
      </mc:Choice>
      <mc:Fallback>
        <xdr:pic>
          <xdr:nvPicPr>
            <xdr:cNvPr id="677" name="Ink 676">
              <a:extLst>
                <a:ext uri="{FF2B5EF4-FFF2-40B4-BE49-F238E27FC236}">
                  <a16:creationId xmlns:a16="http://schemas.microsoft.com/office/drawing/2014/main" id="{54E786FF-D974-189A-0079-A52AFAB1C686}"/>
                </a:ext>
              </a:extLst>
            </xdr:cNvPr>
            <xdr:cNvPicPr/>
          </xdr:nvPicPr>
          <xdr:blipFill>
            <a:blip xmlns:r="http://schemas.openxmlformats.org/officeDocument/2006/relationships" r:embed="rId404"/>
            <a:stretch>
              <a:fillRect/>
            </a:stretch>
          </xdr:blipFill>
          <xdr:spPr>
            <a:xfrm>
              <a:off x="577800" y="20289240"/>
              <a:ext cx="2227680" cy="43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768896</xdr:colOff>
      <xdr:row>102</xdr:row>
      <xdr:rowOff>23116</xdr:rowOff>
    </xdr:from>
    <xdr:to>
      <xdr:col>3</xdr:col>
      <xdr:colOff>373764</xdr:colOff>
      <xdr:row>103</xdr:row>
      <xdr:rowOff>196336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5">
          <xdr14:nvContentPartPr>
            <xdr14:cNvPr id="689" name="Ink 688">
              <a:extLst>
                <a:ext uri="{FF2B5EF4-FFF2-40B4-BE49-F238E27FC236}">
                  <a16:creationId xmlns:a16="http://schemas.microsoft.com/office/drawing/2014/main" id="{30819FD0-231A-42B5-5CA1-41D7037D84A2}"/>
                </a:ext>
              </a:extLst>
            </xdr14:cNvPr>
            <xdr14:cNvContentPartPr/>
          </xdr14:nvContentPartPr>
          <xdr14:nvPr macro=""/>
          <xdr14:xfrm>
            <a:off x="2424600" y="20653560"/>
            <a:ext cx="432720" cy="375480"/>
          </xdr14:xfrm>
        </xdr:contentPart>
      </mc:Choice>
      <mc:Fallback>
        <xdr:pic>
          <xdr:nvPicPr>
            <xdr:cNvPr id="689" name="Ink 688">
              <a:extLst>
                <a:ext uri="{FF2B5EF4-FFF2-40B4-BE49-F238E27FC236}">
                  <a16:creationId xmlns:a16="http://schemas.microsoft.com/office/drawing/2014/main" id="{30819FD0-231A-42B5-5CA1-41D7037D84A2}"/>
                </a:ext>
              </a:extLst>
            </xdr:cNvPr>
            <xdr:cNvPicPr/>
          </xdr:nvPicPr>
          <xdr:blipFill>
            <a:blip xmlns:r="http://schemas.openxmlformats.org/officeDocument/2006/relationships" r:embed="rId406"/>
            <a:stretch>
              <a:fillRect/>
            </a:stretch>
          </xdr:blipFill>
          <xdr:spPr>
            <a:xfrm>
              <a:off x="2414160" y="20642760"/>
              <a:ext cx="453960" cy="39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672204</xdr:colOff>
      <xdr:row>102</xdr:row>
      <xdr:rowOff>103036</xdr:rowOff>
    </xdr:from>
    <xdr:to>
      <xdr:col>5</xdr:col>
      <xdr:colOff>267141</xdr:colOff>
      <xdr:row>103</xdr:row>
      <xdr:rowOff>178336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7">
          <xdr14:nvContentPartPr>
            <xdr14:cNvPr id="697" name="Ink 696">
              <a:extLst>
                <a:ext uri="{FF2B5EF4-FFF2-40B4-BE49-F238E27FC236}">
                  <a16:creationId xmlns:a16="http://schemas.microsoft.com/office/drawing/2014/main" id="{8B694214-E59B-0119-7F1D-A1C1E9942B59}"/>
                </a:ext>
              </a:extLst>
            </xdr14:cNvPr>
            <xdr14:cNvContentPartPr/>
          </xdr14:nvContentPartPr>
          <xdr14:nvPr macro=""/>
          <xdr14:xfrm>
            <a:off x="3155760" y="20733480"/>
            <a:ext cx="1250640" cy="277560"/>
          </xdr14:xfrm>
        </xdr:contentPart>
      </mc:Choice>
      <mc:Fallback>
        <xdr:pic>
          <xdr:nvPicPr>
            <xdr:cNvPr id="697" name="Ink 696">
              <a:extLst>
                <a:ext uri="{FF2B5EF4-FFF2-40B4-BE49-F238E27FC236}">
                  <a16:creationId xmlns:a16="http://schemas.microsoft.com/office/drawing/2014/main" id="{8B694214-E59B-0119-7F1D-A1C1E9942B59}"/>
                </a:ext>
              </a:extLst>
            </xdr:cNvPr>
            <xdr:cNvPicPr/>
          </xdr:nvPicPr>
          <xdr:blipFill>
            <a:blip xmlns:r="http://schemas.openxmlformats.org/officeDocument/2006/relationships" r:embed="rId408"/>
            <a:stretch>
              <a:fillRect/>
            </a:stretch>
          </xdr:blipFill>
          <xdr:spPr>
            <a:xfrm>
              <a:off x="3145317" y="20722680"/>
              <a:ext cx="1271886" cy="29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96268</xdr:colOff>
      <xdr:row>102</xdr:row>
      <xdr:rowOff>27796</xdr:rowOff>
    </xdr:from>
    <xdr:to>
      <xdr:col>2</xdr:col>
      <xdr:colOff>440576</xdr:colOff>
      <xdr:row>108</xdr:row>
      <xdr:rowOff>84320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9">
          <xdr14:nvContentPartPr>
            <xdr14:cNvPr id="698" name="Ink 697">
              <a:extLst>
                <a:ext uri="{FF2B5EF4-FFF2-40B4-BE49-F238E27FC236}">
                  <a16:creationId xmlns:a16="http://schemas.microsoft.com/office/drawing/2014/main" id="{6D31EC64-FE09-C61F-9A0C-DB881EAF1DC1}"/>
                </a:ext>
              </a:extLst>
            </xdr14:cNvPr>
            <xdr14:cNvContentPartPr/>
          </xdr14:nvContentPartPr>
          <xdr14:nvPr macro=""/>
          <xdr14:xfrm>
            <a:off x="924120" y="20658240"/>
            <a:ext cx="1172160" cy="1270080"/>
          </xdr14:xfrm>
        </xdr:contentPart>
      </mc:Choice>
      <mc:Fallback>
        <xdr:pic>
          <xdr:nvPicPr>
            <xdr:cNvPr id="698" name="Ink 697">
              <a:extLst>
                <a:ext uri="{FF2B5EF4-FFF2-40B4-BE49-F238E27FC236}">
                  <a16:creationId xmlns:a16="http://schemas.microsoft.com/office/drawing/2014/main" id="{6D31EC64-FE09-C61F-9A0C-DB881EAF1DC1}"/>
                </a:ext>
              </a:extLst>
            </xdr:cNvPr>
            <xdr:cNvPicPr/>
          </xdr:nvPicPr>
          <xdr:blipFill>
            <a:blip xmlns:r="http://schemas.openxmlformats.org/officeDocument/2006/relationships" r:embed="rId410"/>
            <a:stretch>
              <a:fillRect/>
            </a:stretch>
          </xdr:blipFill>
          <xdr:spPr>
            <a:xfrm>
              <a:off x="913677" y="20647800"/>
              <a:ext cx="1193407" cy="129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751404</xdr:colOff>
      <xdr:row>105</xdr:row>
      <xdr:rowOff>31578</xdr:rowOff>
    </xdr:from>
    <xdr:to>
      <xdr:col>4</xdr:col>
      <xdr:colOff>686393</xdr:colOff>
      <xdr:row>106</xdr:row>
      <xdr:rowOff>184999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1">
          <xdr14:nvContentPartPr>
            <xdr14:cNvPr id="703" name="Ink 702">
              <a:extLst>
                <a:ext uri="{FF2B5EF4-FFF2-40B4-BE49-F238E27FC236}">
                  <a16:creationId xmlns:a16="http://schemas.microsoft.com/office/drawing/2014/main" id="{51EAF36B-18C1-CBF1-04A2-6166918A3868}"/>
                </a:ext>
              </a:extLst>
            </xdr14:cNvPr>
            <xdr14:cNvContentPartPr/>
          </xdr14:nvContentPartPr>
          <xdr14:nvPr macro=""/>
          <xdr14:xfrm>
            <a:off x="3234960" y="21268800"/>
            <a:ext cx="762840" cy="355680"/>
          </xdr14:xfrm>
        </xdr:contentPart>
      </mc:Choice>
      <mc:Fallback>
        <xdr:pic>
          <xdr:nvPicPr>
            <xdr:cNvPr id="703" name="Ink 702">
              <a:extLst>
                <a:ext uri="{FF2B5EF4-FFF2-40B4-BE49-F238E27FC236}">
                  <a16:creationId xmlns:a16="http://schemas.microsoft.com/office/drawing/2014/main" id="{51EAF36B-18C1-CBF1-04A2-6166918A3868}"/>
                </a:ext>
              </a:extLst>
            </xdr:cNvPr>
            <xdr:cNvPicPr/>
          </xdr:nvPicPr>
          <xdr:blipFill>
            <a:blip xmlns:r="http://schemas.openxmlformats.org/officeDocument/2006/relationships" r:embed="rId412"/>
            <a:stretch>
              <a:fillRect/>
            </a:stretch>
          </xdr:blipFill>
          <xdr:spPr>
            <a:xfrm>
              <a:off x="3224165" y="21258000"/>
              <a:ext cx="784070" cy="37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623901</xdr:colOff>
      <xdr:row>92</xdr:row>
      <xdr:rowOff>171908</xdr:rowOff>
    </xdr:from>
    <xdr:to>
      <xdr:col>6</xdr:col>
      <xdr:colOff>347209</xdr:colOff>
      <xdr:row>94</xdr:row>
      <xdr:rowOff>69790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3">
          <xdr14:nvContentPartPr>
            <xdr14:cNvPr id="706" name="Ink 705">
              <a:extLst>
                <a:ext uri="{FF2B5EF4-FFF2-40B4-BE49-F238E27FC236}">
                  <a16:creationId xmlns:a16="http://schemas.microsoft.com/office/drawing/2014/main" id="{7579A656-237B-D989-F3A4-86C2F6D474BA}"/>
                </a:ext>
              </a:extLst>
            </xdr14:cNvPr>
            <xdr14:cNvContentPartPr/>
          </xdr14:nvContentPartPr>
          <xdr14:nvPr macro=""/>
          <xdr14:xfrm>
            <a:off x="4763160" y="18779760"/>
            <a:ext cx="551160" cy="302400"/>
          </xdr14:xfrm>
        </xdr:contentPart>
      </mc:Choice>
      <mc:Fallback>
        <xdr:pic>
          <xdr:nvPicPr>
            <xdr:cNvPr id="706" name="Ink 705">
              <a:extLst>
                <a:ext uri="{FF2B5EF4-FFF2-40B4-BE49-F238E27FC236}">
                  <a16:creationId xmlns:a16="http://schemas.microsoft.com/office/drawing/2014/main" id="{7579A656-237B-D989-F3A4-86C2F6D474BA}"/>
                </a:ext>
              </a:extLst>
            </xdr:cNvPr>
            <xdr:cNvPicPr/>
          </xdr:nvPicPr>
          <xdr:blipFill>
            <a:blip xmlns:r="http://schemas.openxmlformats.org/officeDocument/2006/relationships" r:embed="rId414"/>
            <a:stretch>
              <a:fillRect/>
            </a:stretch>
          </xdr:blipFill>
          <xdr:spPr>
            <a:xfrm>
              <a:off x="4752720" y="18768947"/>
              <a:ext cx="572400" cy="32366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201473</xdr:colOff>
      <xdr:row>103</xdr:row>
      <xdr:rowOff>105976</xdr:rowOff>
    </xdr:from>
    <xdr:to>
      <xdr:col>8</xdr:col>
      <xdr:colOff>476025</xdr:colOff>
      <xdr:row>110</xdr:row>
      <xdr:rowOff>22881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5">
          <xdr14:nvContentPartPr>
            <xdr14:cNvPr id="735" name="Ink 734">
              <a:extLst>
                <a:ext uri="{FF2B5EF4-FFF2-40B4-BE49-F238E27FC236}">
                  <a16:creationId xmlns:a16="http://schemas.microsoft.com/office/drawing/2014/main" id="{4CBFECE1-BCCB-3AC3-E161-B9F9D4E2759E}"/>
                </a:ext>
              </a:extLst>
            </xdr14:cNvPr>
            <xdr14:cNvContentPartPr/>
          </xdr14:nvContentPartPr>
          <xdr14:nvPr macro=""/>
          <xdr14:xfrm>
            <a:off x="3512880" y="20938680"/>
            <a:ext cx="3585960" cy="1332720"/>
          </xdr14:xfrm>
        </xdr:contentPart>
      </mc:Choice>
      <mc:Fallback>
        <xdr:pic>
          <xdr:nvPicPr>
            <xdr:cNvPr id="735" name="Ink 734">
              <a:extLst>
                <a:ext uri="{FF2B5EF4-FFF2-40B4-BE49-F238E27FC236}">
                  <a16:creationId xmlns:a16="http://schemas.microsoft.com/office/drawing/2014/main" id="{4CBFECE1-BCCB-3AC3-E161-B9F9D4E2759E}"/>
                </a:ext>
              </a:extLst>
            </xdr:cNvPr>
            <xdr:cNvPicPr/>
          </xdr:nvPicPr>
          <xdr:blipFill>
            <a:blip xmlns:r="http://schemas.openxmlformats.org/officeDocument/2006/relationships" r:embed="rId416"/>
            <a:stretch>
              <a:fillRect/>
            </a:stretch>
          </xdr:blipFill>
          <xdr:spPr>
            <a:xfrm>
              <a:off x="3502439" y="20927880"/>
              <a:ext cx="3607202" cy="135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430793</xdr:colOff>
      <xdr:row>108</xdr:row>
      <xdr:rowOff>91520</xdr:rowOff>
    </xdr:from>
    <xdr:to>
      <xdr:col>8</xdr:col>
      <xdr:colOff>690225</xdr:colOff>
      <xdr:row>114</xdr:row>
      <xdr:rowOff>98364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7">
          <xdr14:nvContentPartPr>
            <xdr14:cNvPr id="764" name="Ink 763">
              <a:extLst>
                <a:ext uri="{FF2B5EF4-FFF2-40B4-BE49-F238E27FC236}">
                  <a16:creationId xmlns:a16="http://schemas.microsoft.com/office/drawing/2014/main" id="{00784228-B649-530A-CA9E-EB0498CF25D0}"/>
                </a:ext>
              </a:extLst>
            </xdr14:cNvPr>
            <xdr14:cNvContentPartPr/>
          </xdr14:nvContentPartPr>
          <xdr14:nvPr macro=""/>
          <xdr14:xfrm>
            <a:off x="3742200" y="21935520"/>
            <a:ext cx="3570840" cy="1220400"/>
          </xdr14:xfrm>
        </xdr:contentPart>
      </mc:Choice>
      <mc:Fallback>
        <xdr:pic>
          <xdr:nvPicPr>
            <xdr:cNvPr id="764" name="Ink 763">
              <a:extLst>
                <a:ext uri="{FF2B5EF4-FFF2-40B4-BE49-F238E27FC236}">
                  <a16:creationId xmlns:a16="http://schemas.microsoft.com/office/drawing/2014/main" id="{00784228-B649-530A-CA9E-EB0498CF25D0}"/>
                </a:ext>
              </a:extLst>
            </xdr:cNvPr>
            <xdr:cNvPicPr/>
          </xdr:nvPicPr>
          <xdr:blipFill>
            <a:blip xmlns:r="http://schemas.openxmlformats.org/officeDocument/2006/relationships" r:embed="rId418"/>
            <a:stretch>
              <a:fillRect/>
            </a:stretch>
          </xdr:blipFill>
          <xdr:spPr>
            <a:xfrm>
              <a:off x="3731400" y="21924720"/>
              <a:ext cx="3592080" cy="1241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446400</xdr:colOff>
      <xdr:row>110</xdr:row>
      <xdr:rowOff>165441</xdr:rowOff>
    </xdr:from>
    <xdr:to>
      <xdr:col>4</xdr:col>
      <xdr:colOff>47033</xdr:colOff>
      <xdr:row>119</xdr:row>
      <xdr:rowOff>18388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9">
          <xdr14:nvContentPartPr>
            <xdr14:cNvPr id="781" name="Ink 780">
              <a:extLst>
                <a:ext uri="{FF2B5EF4-FFF2-40B4-BE49-F238E27FC236}">
                  <a16:creationId xmlns:a16="http://schemas.microsoft.com/office/drawing/2014/main" id="{18E4EBC9-6BAE-1F8A-CBE8-F6A833DB267B}"/>
                </a:ext>
              </a:extLst>
            </xdr14:cNvPr>
            <xdr14:cNvContentPartPr/>
          </xdr14:nvContentPartPr>
          <xdr14:nvPr macro=""/>
          <xdr14:xfrm>
            <a:off x="446400" y="22413960"/>
            <a:ext cx="2912040" cy="1673280"/>
          </xdr14:xfrm>
        </xdr:contentPart>
      </mc:Choice>
      <mc:Fallback>
        <xdr:pic>
          <xdr:nvPicPr>
            <xdr:cNvPr id="781" name="Ink 780">
              <a:extLst>
                <a:ext uri="{FF2B5EF4-FFF2-40B4-BE49-F238E27FC236}">
                  <a16:creationId xmlns:a16="http://schemas.microsoft.com/office/drawing/2014/main" id="{18E4EBC9-6BAE-1F8A-CBE8-F6A833DB267B}"/>
                </a:ext>
              </a:extLst>
            </xdr:cNvPr>
            <xdr:cNvPicPr/>
          </xdr:nvPicPr>
          <xdr:blipFill>
            <a:blip xmlns:r="http://schemas.openxmlformats.org/officeDocument/2006/relationships" r:embed="rId420"/>
            <a:stretch>
              <a:fillRect/>
            </a:stretch>
          </xdr:blipFill>
          <xdr:spPr>
            <a:xfrm>
              <a:off x="438840" y="22406400"/>
              <a:ext cx="2927160" cy="168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539428</xdr:colOff>
      <xdr:row>118</xdr:row>
      <xdr:rowOff>37767</xdr:rowOff>
    </xdr:from>
    <xdr:to>
      <xdr:col>1</xdr:col>
      <xdr:colOff>553108</xdr:colOff>
      <xdr:row>118</xdr:row>
      <xdr:rowOff>59367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1">
          <xdr14:nvContentPartPr>
            <xdr14:cNvPr id="782" name="Ink 781">
              <a:extLst>
                <a:ext uri="{FF2B5EF4-FFF2-40B4-BE49-F238E27FC236}">
                  <a16:creationId xmlns:a16="http://schemas.microsoft.com/office/drawing/2014/main" id="{3B3517C6-A599-83E8-4EEB-2CDB0056E546}"/>
                </a:ext>
              </a:extLst>
            </xdr14:cNvPr>
            <xdr14:cNvContentPartPr/>
          </xdr14:nvContentPartPr>
          <xdr14:nvPr macro=""/>
          <xdr14:xfrm>
            <a:off x="1367280" y="23904360"/>
            <a:ext cx="13680" cy="21600"/>
          </xdr14:xfrm>
        </xdr:contentPart>
      </mc:Choice>
      <mc:Fallback>
        <xdr:pic>
          <xdr:nvPicPr>
            <xdr:cNvPr id="782" name="Ink 781">
              <a:extLst>
                <a:ext uri="{FF2B5EF4-FFF2-40B4-BE49-F238E27FC236}">
                  <a16:creationId xmlns:a16="http://schemas.microsoft.com/office/drawing/2014/main" id="{3B3517C6-A599-83E8-4EEB-2CDB0056E546}"/>
                </a:ext>
              </a:extLst>
            </xdr:cNvPr>
            <xdr:cNvPicPr/>
          </xdr:nvPicPr>
          <xdr:blipFill>
            <a:blip xmlns:r="http://schemas.openxmlformats.org/officeDocument/2006/relationships" r:embed="rId422"/>
            <a:stretch>
              <a:fillRect/>
            </a:stretch>
          </xdr:blipFill>
          <xdr:spPr>
            <a:xfrm>
              <a:off x="1359720" y="23896800"/>
              <a:ext cx="28800" cy="3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94108</xdr:colOff>
      <xdr:row>110</xdr:row>
      <xdr:rowOff>104961</xdr:rowOff>
    </xdr:from>
    <xdr:to>
      <xdr:col>2</xdr:col>
      <xdr:colOff>199016</xdr:colOff>
      <xdr:row>112</xdr:row>
      <xdr:rowOff>187523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3">
          <xdr14:nvContentPartPr>
            <xdr14:cNvPr id="788" name="Ink 787">
              <a:extLst>
                <a:ext uri="{FF2B5EF4-FFF2-40B4-BE49-F238E27FC236}">
                  <a16:creationId xmlns:a16="http://schemas.microsoft.com/office/drawing/2014/main" id="{CAE61D2A-BCBA-A206-AB0A-4BEA0C17F9CB}"/>
                </a:ext>
              </a:extLst>
            </xdr14:cNvPr>
            <xdr14:cNvContentPartPr/>
          </xdr14:nvContentPartPr>
          <xdr14:nvPr macro=""/>
          <xdr14:xfrm>
            <a:off x="921960" y="22353480"/>
            <a:ext cx="932760" cy="487080"/>
          </xdr14:xfrm>
        </xdr:contentPart>
      </mc:Choice>
      <mc:Fallback>
        <xdr:pic>
          <xdr:nvPicPr>
            <xdr:cNvPr id="788" name="Ink 787">
              <a:extLst>
                <a:ext uri="{FF2B5EF4-FFF2-40B4-BE49-F238E27FC236}">
                  <a16:creationId xmlns:a16="http://schemas.microsoft.com/office/drawing/2014/main" id="{CAE61D2A-BCBA-A206-AB0A-4BEA0C17F9CB}"/>
                </a:ext>
              </a:extLst>
            </xdr:cNvPr>
            <xdr:cNvPicPr/>
          </xdr:nvPicPr>
          <xdr:blipFill>
            <a:blip xmlns:r="http://schemas.openxmlformats.org/officeDocument/2006/relationships" r:embed="rId424"/>
            <a:stretch>
              <a:fillRect/>
            </a:stretch>
          </xdr:blipFill>
          <xdr:spPr>
            <a:xfrm>
              <a:off x="914403" y="22345920"/>
              <a:ext cx="947514" cy="50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45148</xdr:colOff>
      <xdr:row>111</xdr:row>
      <xdr:rowOff>105382</xdr:rowOff>
    </xdr:from>
    <xdr:to>
      <xdr:col>4</xdr:col>
      <xdr:colOff>643193</xdr:colOff>
      <xdr:row>121</xdr:row>
      <xdr:rowOff>157470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5">
          <xdr14:nvContentPartPr>
            <xdr14:cNvPr id="792" name="Ink 791">
              <a:extLst>
                <a:ext uri="{FF2B5EF4-FFF2-40B4-BE49-F238E27FC236}">
                  <a16:creationId xmlns:a16="http://schemas.microsoft.com/office/drawing/2014/main" id="{008A647A-6695-8F70-EA94-52CE54F50642}"/>
                </a:ext>
              </a:extLst>
            </xdr14:cNvPr>
            <xdr14:cNvContentPartPr/>
          </xdr14:nvContentPartPr>
          <xdr14:nvPr macro=""/>
          <xdr14:xfrm>
            <a:off x="873000" y="22556160"/>
            <a:ext cx="3081600" cy="2074680"/>
          </xdr14:xfrm>
        </xdr:contentPart>
      </mc:Choice>
      <mc:Fallback>
        <xdr:pic>
          <xdr:nvPicPr>
            <xdr:cNvPr id="792" name="Ink 791">
              <a:extLst>
                <a:ext uri="{FF2B5EF4-FFF2-40B4-BE49-F238E27FC236}">
                  <a16:creationId xmlns:a16="http://schemas.microsoft.com/office/drawing/2014/main" id="{008A647A-6695-8F70-EA94-52CE54F50642}"/>
                </a:ext>
              </a:extLst>
            </xdr:cNvPr>
            <xdr:cNvPicPr/>
          </xdr:nvPicPr>
          <xdr:blipFill>
            <a:blip xmlns:r="http://schemas.openxmlformats.org/officeDocument/2006/relationships" r:embed="rId426"/>
            <a:stretch>
              <a:fillRect/>
            </a:stretch>
          </xdr:blipFill>
          <xdr:spPr>
            <a:xfrm>
              <a:off x="865440" y="22548600"/>
              <a:ext cx="3096720" cy="208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536188</xdr:colOff>
      <xdr:row>117</xdr:row>
      <xdr:rowOff>154347</xdr:rowOff>
    </xdr:from>
    <xdr:to>
      <xdr:col>2</xdr:col>
      <xdr:colOff>66536</xdr:colOff>
      <xdr:row>119</xdr:row>
      <xdr:rowOff>78508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7">
          <xdr14:nvContentPartPr>
            <xdr14:cNvPr id="799" name="Ink 798">
              <a:extLst>
                <a:ext uri="{FF2B5EF4-FFF2-40B4-BE49-F238E27FC236}">
                  <a16:creationId xmlns:a16="http://schemas.microsoft.com/office/drawing/2014/main" id="{5BB14730-CA57-D095-5214-FEAB6D2C2915}"/>
                </a:ext>
              </a:extLst>
            </xdr14:cNvPr>
            <xdr14:cNvContentPartPr/>
          </xdr14:nvContentPartPr>
          <xdr14:nvPr macro=""/>
          <xdr14:xfrm>
            <a:off x="1364040" y="23818680"/>
            <a:ext cx="358200" cy="328680"/>
          </xdr14:xfrm>
        </xdr:contentPart>
      </mc:Choice>
      <mc:Fallback>
        <xdr:pic>
          <xdr:nvPicPr>
            <xdr:cNvPr id="799" name="Ink 798">
              <a:extLst>
                <a:ext uri="{FF2B5EF4-FFF2-40B4-BE49-F238E27FC236}">
                  <a16:creationId xmlns:a16="http://schemas.microsoft.com/office/drawing/2014/main" id="{5BB14730-CA57-D095-5214-FEAB6D2C2915}"/>
                </a:ext>
              </a:extLst>
            </xdr:cNvPr>
            <xdr:cNvPicPr/>
          </xdr:nvPicPr>
          <xdr:blipFill>
            <a:blip xmlns:r="http://schemas.openxmlformats.org/officeDocument/2006/relationships" r:embed="rId428"/>
            <a:stretch>
              <a:fillRect/>
            </a:stretch>
          </xdr:blipFill>
          <xdr:spPr>
            <a:xfrm>
              <a:off x="1353240" y="23807880"/>
              <a:ext cx="379440" cy="349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730228</xdr:colOff>
      <xdr:row>118</xdr:row>
      <xdr:rowOff>169527</xdr:rowOff>
    </xdr:from>
    <xdr:to>
      <xdr:col>2</xdr:col>
      <xdr:colOff>435536</xdr:colOff>
      <xdr:row>121</xdr:row>
      <xdr:rowOff>31110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9">
          <xdr14:nvContentPartPr>
            <xdr14:cNvPr id="805" name="Ink 804">
              <a:extLst>
                <a:ext uri="{FF2B5EF4-FFF2-40B4-BE49-F238E27FC236}">
                  <a16:creationId xmlns:a16="http://schemas.microsoft.com/office/drawing/2014/main" id="{FA543FA1-B9BD-6931-82AE-DE82376CDFEA}"/>
                </a:ext>
              </a:extLst>
            </xdr14:cNvPr>
            <xdr14:cNvContentPartPr/>
          </xdr14:nvContentPartPr>
          <xdr14:nvPr macro=""/>
          <xdr14:xfrm>
            <a:off x="1558080" y="24036120"/>
            <a:ext cx="533160" cy="468360"/>
          </xdr14:xfrm>
        </xdr:contentPart>
      </mc:Choice>
      <mc:Fallback>
        <xdr:pic>
          <xdr:nvPicPr>
            <xdr:cNvPr id="805" name="Ink 804">
              <a:extLst>
                <a:ext uri="{FF2B5EF4-FFF2-40B4-BE49-F238E27FC236}">
                  <a16:creationId xmlns:a16="http://schemas.microsoft.com/office/drawing/2014/main" id="{FA543FA1-B9BD-6931-82AE-DE82376CDFEA}"/>
                </a:ext>
              </a:extLst>
            </xdr:cNvPr>
            <xdr:cNvPicPr/>
          </xdr:nvPicPr>
          <xdr:blipFill>
            <a:blip xmlns:r="http://schemas.openxmlformats.org/officeDocument/2006/relationships" r:embed="rId430"/>
            <a:stretch>
              <a:fillRect/>
            </a:stretch>
          </xdr:blipFill>
          <xdr:spPr>
            <a:xfrm>
              <a:off x="1547280" y="24025320"/>
              <a:ext cx="554400" cy="48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611957</xdr:colOff>
      <xdr:row>111</xdr:row>
      <xdr:rowOff>129862</xdr:rowOff>
    </xdr:from>
    <xdr:to>
      <xdr:col>8</xdr:col>
      <xdr:colOff>597345</xdr:colOff>
      <xdr:row>114</xdr:row>
      <xdr:rowOff>42924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1">
          <xdr14:nvContentPartPr>
            <xdr14:cNvPr id="806" name="Ink 805">
              <a:extLst>
                <a:ext uri="{FF2B5EF4-FFF2-40B4-BE49-F238E27FC236}">
                  <a16:creationId xmlns:a16="http://schemas.microsoft.com/office/drawing/2014/main" id="{1C78FDF4-6CBD-54D7-6C51-054AA5793152}"/>
                </a:ext>
              </a:extLst>
            </xdr14:cNvPr>
            <xdr14:cNvContentPartPr/>
          </xdr14:nvContentPartPr>
          <xdr14:nvPr macro=""/>
          <xdr14:xfrm>
            <a:off x="6406920" y="22580640"/>
            <a:ext cx="813240" cy="519840"/>
          </xdr14:xfrm>
        </xdr:contentPart>
      </mc:Choice>
      <mc:Fallback>
        <xdr:pic>
          <xdr:nvPicPr>
            <xdr:cNvPr id="806" name="Ink 805">
              <a:extLst>
                <a:ext uri="{FF2B5EF4-FFF2-40B4-BE49-F238E27FC236}">
                  <a16:creationId xmlns:a16="http://schemas.microsoft.com/office/drawing/2014/main" id="{1C78FDF4-6CBD-54D7-6C51-054AA5793152}"/>
                </a:ext>
              </a:extLst>
            </xdr:cNvPr>
            <xdr:cNvPicPr/>
          </xdr:nvPicPr>
          <xdr:blipFill>
            <a:blip xmlns:r="http://schemas.openxmlformats.org/officeDocument/2006/relationships" r:embed="rId432"/>
            <a:stretch>
              <a:fillRect/>
            </a:stretch>
          </xdr:blipFill>
          <xdr:spPr>
            <a:xfrm>
              <a:off x="6396480" y="22569840"/>
              <a:ext cx="834480" cy="541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87628</xdr:colOff>
      <xdr:row>115</xdr:row>
      <xdr:rowOff>75025</xdr:rowOff>
    </xdr:from>
    <xdr:to>
      <xdr:col>2</xdr:col>
      <xdr:colOff>25496</xdr:colOff>
      <xdr:row>119</xdr:row>
      <xdr:rowOff>7948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3">
          <xdr14:nvContentPartPr>
            <xdr14:cNvPr id="816" name="Ink 815">
              <a:extLst>
                <a:ext uri="{FF2B5EF4-FFF2-40B4-BE49-F238E27FC236}">
                  <a16:creationId xmlns:a16="http://schemas.microsoft.com/office/drawing/2014/main" id="{2B89F6C3-13FB-8E9B-8C91-8F8AB7D05572}"/>
                </a:ext>
              </a:extLst>
            </xdr14:cNvPr>
            <xdr14:cNvContentPartPr/>
          </xdr14:nvContentPartPr>
          <xdr14:nvPr macro=""/>
          <xdr14:xfrm>
            <a:off x="915480" y="23334840"/>
            <a:ext cx="765720" cy="741960"/>
          </xdr14:xfrm>
        </xdr:contentPart>
      </mc:Choice>
      <mc:Fallback>
        <xdr:pic>
          <xdr:nvPicPr>
            <xdr:cNvPr id="816" name="Ink 815">
              <a:extLst>
                <a:ext uri="{FF2B5EF4-FFF2-40B4-BE49-F238E27FC236}">
                  <a16:creationId xmlns:a16="http://schemas.microsoft.com/office/drawing/2014/main" id="{2B89F6C3-13FB-8E9B-8C91-8F8AB7D05572}"/>
                </a:ext>
              </a:extLst>
            </xdr:cNvPr>
            <xdr:cNvPicPr/>
          </xdr:nvPicPr>
          <xdr:blipFill>
            <a:blip xmlns:r="http://schemas.openxmlformats.org/officeDocument/2006/relationships" r:embed="rId434"/>
            <a:stretch>
              <a:fillRect/>
            </a:stretch>
          </xdr:blipFill>
          <xdr:spPr>
            <a:xfrm>
              <a:off x="905040" y="23324040"/>
              <a:ext cx="786960" cy="76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222268</xdr:colOff>
      <xdr:row>111</xdr:row>
      <xdr:rowOff>175222</xdr:rowOff>
    </xdr:from>
    <xdr:to>
      <xdr:col>2</xdr:col>
      <xdr:colOff>136376</xdr:colOff>
      <xdr:row>113</xdr:row>
      <xdr:rowOff>167784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5">
          <xdr14:nvContentPartPr>
            <xdr14:cNvPr id="817" name="Ink 816">
              <a:extLst>
                <a:ext uri="{FF2B5EF4-FFF2-40B4-BE49-F238E27FC236}">
                  <a16:creationId xmlns:a16="http://schemas.microsoft.com/office/drawing/2014/main" id="{56FC6EC1-5B7E-1E3B-F1E4-DAB773AACD8A}"/>
                </a:ext>
              </a:extLst>
            </xdr14:cNvPr>
            <xdr14:cNvContentPartPr/>
          </xdr14:nvContentPartPr>
          <xdr14:nvPr macro=""/>
          <xdr14:xfrm>
            <a:off x="1050120" y="22626000"/>
            <a:ext cx="741960" cy="397080"/>
          </xdr14:xfrm>
        </xdr:contentPart>
      </mc:Choice>
      <mc:Fallback>
        <xdr:pic>
          <xdr:nvPicPr>
            <xdr:cNvPr id="817" name="Ink 816">
              <a:extLst>
                <a:ext uri="{FF2B5EF4-FFF2-40B4-BE49-F238E27FC236}">
                  <a16:creationId xmlns:a16="http://schemas.microsoft.com/office/drawing/2014/main" id="{56FC6EC1-5B7E-1E3B-F1E4-DAB773AACD8A}"/>
                </a:ext>
              </a:extLst>
            </xdr:cNvPr>
            <xdr:cNvPicPr/>
          </xdr:nvPicPr>
          <xdr:blipFill>
            <a:blip xmlns:r="http://schemas.openxmlformats.org/officeDocument/2006/relationships" r:embed="rId436"/>
            <a:stretch>
              <a:fillRect/>
            </a:stretch>
          </xdr:blipFill>
          <xdr:spPr>
            <a:xfrm>
              <a:off x="1039680" y="22615200"/>
              <a:ext cx="763200" cy="4183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291320</xdr:colOff>
      <xdr:row>6</xdr:row>
      <xdr:rowOff>68042</xdr:rowOff>
    </xdr:from>
    <xdr:to>
      <xdr:col>3</xdr:col>
      <xdr:colOff>370520</xdr:colOff>
      <xdr:row>7</xdr:row>
      <xdr:rowOff>18603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83DE438B-C830-9E1F-0C4D-CDAB917E6627}"/>
                </a:ext>
              </a:extLst>
            </xdr14:cNvPr>
            <xdr14:cNvContentPartPr/>
          </xdr14:nvContentPartPr>
          <xdr14:nvPr macro=""/>
          <xdr14:xfrm>
            <a:off x="2763360" y="1291320"/>
            <a:ext cx="79200" cy="15444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83DE438B-C830-9E1F-0C4D-CDAB917E662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752920" y="1280880"/>
              <a:ext cx="100440" cy="17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477440</xdr:colOff>
      <xdr:row>6</xdr:row>
      <xdr:rowOff>124922</xdr:rowOff>
    </xdr:from>
    <xdr:to>
      <xdr:col>3</xdr:col>
      <xdr:colOff>557720</xdr:colOff>
      <xdr:row>7</xdr:row>
      <xdr:rowOff>27963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E49F7B0C-C464-8573-CCFC-1D9D9E087888}"/>
                </a:ext>
              </a:extLst>
            </xdr14:cNvPr>
            <xdr14:cNvContentPartPr/>
          </xdr14:nvContentPartPr>
          <xdr14:nvPr macro=""/>
          <xdr14:xfrm>
            <a:off x="2949480" y="1348200"/>
            <a:ext cx="80280" cy="10692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E49F7B0C-C464-8573-CCFC-1D9D9E08788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938728" y="1337760"/>
              <a:ext cx="101425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38706</xdr:colOff>
      <xdr:row>5</xdr:row>
      <xdr:rowOff>134762</xdr:rowOff>
    </xdr:from>
    <xdr:to>
      <xdr:col>7</xdr:col>
      <xdr:colOff>219786</xdr:colOff>
      <xdr:row>6</xdr:row>
      <xdr:rowOff>185402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5A1FE5AF-34FC-D624-6FAA-B9090C418B9E}"/>
                </a:ext>
              </a:extLst>
            </xdr14:cNvPr>
            <xdr14:cNvContentPartPr/>
          </xdr14:nvContentPartPr>
          <xdr14:nvPr macro=""/>
          <xdr14:xfrm>
            <a:off x="5806800" y="1154160"/>
            <a:ext cx="181080" cy="25452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5A1FE5AF-34FC-D624-6FAA-B9090C418B9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796000" y="1143360"/>
              <a:ext cx="20232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380240</xdr:colOff>
      <xdr:row>6</xdr:row>
      <xdr:rowOff>97562</xdr:rowOff>
    </xdr:from>
    <xdr:to>
      <xdr:col>4</xdr:col>
      <xdr:colOff>608506</xdr:colOff>
      <xdr:row>7</xdr:row>
      <xdr:rowOff>104283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75D9B4CF-BDA9-4AB8-3991-5C907FB4F1DC}"/>
                </a:ext>
              </a:extLst>
            </xdr14:cNvPr>
            <xdr14:cNvContentPartPr/>
          </xdr14:nvContentPartPr>
          <xdr14:nvPr macro=""/>
          <xdr14:xfrm>
            <a:off x="2852280" y="1320840"/>
            <a:ext cx="1052280" cy="21060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75D9B4CF-BDA9-4AB8-3991-5C907FB4F1DC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841480" y="1310058"/>
              <a:ext cx="1073520" cy="2318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378773</xdr:colOff>
      <xdr:row>6</xdr:row>
      <xdr:rowOff>77762</xdr:rowOff>
    </xdr:from>
    <xdr:to>
      <xdr:col>3</xdr:col>
      <xdr:colOff>64520</xdr:colOff>
      <xdr:row>7</xdr:row>
      <xdr:rowOff>119763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9B8819E8-24D7-1E1F-35A2-FC3ED08DBE5A}"/>
                </a:ext>
              </a:extLst>
            </xdr14:cNvPr>
            <xdr14:cNvContentPartPr/>
          </xdr14:nvContentPartPr>
          <xdr14:nvPr macro=""/>
          <xdr14:xfrm>
            <a:off x="2026800" y="1301040"/>
            <a:ext cx="509760" cy="24588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9B8819E8-24D7-1E1F-35A2-FC3ED08DBE5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016000" y="1290240"/>
              <a:ext cx="531000" cy="26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326240</xdr:colOff>
      <xdr:row>7</xdr:row>
      <xdr:rowOff>113283</xdr:rowOff>
    </xdr:from>
    <xdr:to>
      <xdr:col>3</xdr:col>
      <xdr:colOff>515600</xdr:colOff>
      <xdr:row>7</xdr:row>
      <xdr:rowOff>145683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79DFE9A3-1C6D-5965-6598-ABD198779BA8}"/>
                </a:ext>
              </a:extLst>
            </xdr14:cNvPr>
            <xdr14:cNvContentPartPr/>
          </xdr14:nvContentPartPr>
          <xdr14:nvPr macro=""/>
          <xdr14:xfrm>
            <a:off x="2798280" y="1540440"/>
            <a:ext cx="189360" cy="324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79DFE9A3-1C6D-5965-6598-ABD198779BA8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787480" y="1529640"/>
              <a:ext cx="210600" cy="5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279080</xdr:colOff>
      <xdr:row>8</xdr:row>
      <xdr:rowOff>108843</xdr:rowOff>
    </xdr:from>
    <xdr:to>
      <xdr:col>3</xdr:col>
      <xdr:colOff>589040</xdr:colOff>
      <xdr:row>9</xdr:row>
      <xdr:rowOff>25924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089DF73A-79CF-57FD-F703-CCA54A4B7A1F}"/>
                </a:ext>
              </a:extLst>
            </xdr14:cNvPr>
            <xdr14:cNvContentPartPr/>
          </xdr14:nvContentPartPr>
          <xdr14:nvPr macro=""/>
          <xdr14:xfrm>
            <a:off x="2751120" y="1739880"/>
            <a:ext cx="309960" cy="12096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089DF73A-79CF-57FD-F703-CCA54A4B7A1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740680" y="1729409"/>
              <a:ext cx="331200" cy="1422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390320</xdr:colOff>
      <xdr:row>5</xdr:row>
      <xdr:rowOff>159602</xdr:rowOff>
    </xdr:from>
    <xdr:to>
      <xdr:col>3</xdr:col>
      <xdr:colOff>425960</xdr:colOff>
      <xdr:row>7</xdr:row>
      <xdr:rowOff>188883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B67B8E19-00D0-DC65-8091-57B533E84DA8}"/>
                </a:ext>
              </a:extLst>
            </xdr14:cNvPr>
            <xdr14:cNvContentPartPr/>
          </xdr14:nvContentPartPr>
          <xdr14:nvPr macro=""/>
          <xdr14:xfrm>
            <a:off x="2862360" y="1179000"/>
            <a:ext cx="35640" cy="43704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B67B8E19-00D0-DC65-8091-57B533E84DA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2851668" y="1168560"/>
              <a:ext cx="56668" cy="45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816560</xdr:colOff>
      <xdr:row>1</xdr:row>
      <xdr:rowOff>80160</xdr:rowOff>
    </xdr:from>
    <xdr:to>
      <xdr:col>4</xdr:col>
      <xdr:colOff>153466</xdr:colOff>
      <xdr:row>1</xdr:row>
      <xdr:rowOff>200400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6F936CCA-7601-0BE2-01F9-993301C88897}"/>
                </a:ext>
              </a:extLst>
            </xdr14:cNvPr>
            <xdr14:cNvContentPartPr/>
          </xdr14:nvContentPartPr>
          <xdr14:nvPr macro=""/>
          <xdr14:xfrm>
            <a:off x="3288600" y="284040"/>
            <a:ext cx="160920" cy="12024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6F936CCA-7601-0BE2-01F9-993301C88897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277824" y="273600"/>
              <a:ext cx="182113" cy="14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646280</xdr:colOff>
      <xdr:row>6</xdr:row>
      <xdr:rowOff>4322</xdr:rowOff>
    </xdr:from>
    <xdr:to>
      <xdr:col>4</xdr:col>
      <xdr:colOff>713986</xdr:colOff>
      <xdr:row>8</xdr:row>
      <xdr:rowOff>6963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54" name="Ink 53">
              <a:extLst>
                <a:ext uri="{FF2B5EF4-FFF2-40B4-BE49-F238E27FC236}">
                  <a16:creationId xmlns:a16="http://schemas.microsoft.com/office/drawing/2014/main" id="{ED56408B-8AE7-2947-0B38-8ECF2CC6DDE6}"/>
                </a:ext>
              </a:extLst>
            </xdr14:cNvPr>
            <xdr14:cNvContentPartPr/>
          </xdr14:nvContentPartPr>
          <xdr14:nvPr macro=""/>
          <xdr14:xfrm>
            <a:off x="3118320" y="1227600"/>
            <a:ext cx="891720" cy="410400"/>
          </xdr14:xfrm>
        </xdr:contentPart>
      </mc:Choice>
      <mc:Fallback>
        <xdr:pic>
          <xdr:nvPicPr>
            <xdr:cNvPr id="54" name="Ink 53">
              <a:extLst>
                <a:ext uri="{FF2B5EF4-FFF2-40B4-BE49-F238E27FC236}">
                  <a16:creationId xmlns:a16="http://schemas.microsoft.com/office/drawing/2014/main" id="{ED56408B-8AE7-2947-0B38-8ECF2CC6DDE6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110760" y="1220040"/>
              <a:ext cx="906840" cy="42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611026</xdr:colOff>
      <xdr:row>8</xdr:row>
      <xdr:rowOff>126483</xdr:rowOff>
    </xdr:from>
    <xdr:to>
      <xdr:col>5</xdr:col>
      <xdr:colOff>816253</xdr:colOff>
      <xdr:row>10</xdr:row>
      <xdr:rowOff>183484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CB09EB06-0820-5BC7-01B9-E3C52C47F191}"/>
                </a:ext>
              </a:extLst>
            </xdr14:cNvPr>
            <xdr14:cNvContentPartPr/>
          </xdr14:nvContentPartPr>
          <xdr14:nvPr macro=""/>
          <xdr14:xfrm>
            <a:off x="3907080" y="1757520"/>
            <a:ext cx="1029240" cy="46476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CB09EB06-0820-5BC7-01B9-E3C52C47F19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899520" y="1749960"/>
              <a:ext cx="1044360" cy="47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186640</xdr:colOff>
      <xdr:row>8</xdr:row>
      <xdr:rowOff>71403</xdr:rowOff>
    </xdr:from>
    <xdr:to>
      <xdr:col>6</xdr:col>
      <xdr:colOff>633400</xdr:colOff>
      <xdr:row>9</xdr:row>
      <xdr:rowOff>119164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2CB477E3-2907-55A1-D3CA-4C20F24AF349}"/>
                </a:ext>
              </a:extLst>
            </xdr14:cNvPr>
            <xdr14:cNvContentPartPr/>
          </xdr14:nvContentPartPr>
          <xdr14:nvPr macro=""/>
          <xdr14:xfrm>
            <a:off x="5130720" y="1702440"/>
            <a:ext cx="446760" cy="25164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2CB477E3-2907-55A1-D3CA-4C20F24AF349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5123160" y="1694880"/>
              <a:ext cx="461880" cy="26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100546</xdr:colOff>
      <xdr:row>1</xdr:row>
      <xdr:rowOff>129480</xdr:rowOff>
    </xdr:from>
    <xdr:to>
      <xdr:col>4</xdr:col>
      <xdr:colOff>298906</xdr:colOff>
      <xdr:row>2</xdr:row>
      <xdr:rowOff>124321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B43D1550-8E2A-B2CE-5248-18E23DF086BA}"/>
                </a:ext>
              </a:extLst>
            </xdr14:cNvPr>
            <xdr14:cNvContentPartPr/>
          </xdr14:nvContentPartPr>
          <xdr14:nvPr macro=""/>
          <xdr14:xfrm>
            <a:off x="3396600" y="333360"/>
            <a:ext cx="198360" cy="19872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B43D1550-8E2A-B2CE-5248-18E23DF086BA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389040" y="326160"/>
              <a:ext cx="213480" cy="21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327733</xdr:colOff>
      <xdr:row>5</xdr:row>
      <xdr:rowOff>98762</xdr:rowOff>
    </xdr:from>
    <xdr:to>
      <xdr:col>5</xdr:col>
      <xdr:colOff>403693</xdr:colOff>
      <xdr:row>8</xdr:row>
      <xdr:rowOff>91923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75422816-E4DE-8B25-A76F-D4131080827F}"/>
                </a:ext>
              </a:extLst>
            </xdr14:cNvPr>
            <xdr14:cNvContentPartPr/>
          </xdr14:nvContentPartPr>
          <xdr14:nvPr macro=""/>
          <xdr14:xfrm>
            <a:off x="4447800" y="1118160"/>
            <a:ext cx="75960" cy="60480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75422816-E4DE-8B25-A76F-D4131080827F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440240" y="1110600"/>
              <a:ext cx="91080" cy="619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574973</xdr:colOff>
      <xdr:row>22</xdr:row>
      <xdr:rowOff>62529</xdr:rowOff>
    </xdr:from>
    <xdr:to>
      <xdr:col>3</xdr:col>
      <xdr:colOff>330200</xdr:colOff>
      <xdr:row>23</xdr:row>
      <xdr:rowOff>166449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92976C96-3760-4569-5206-161D65B8211F}"/>
                </a:ext>
              </a:extLst>
            </xdr14:cNvPr>
            <xdr14:cNvContentPartPr/>
          </xdr14:nvContentPartPr>
          <xdr14:nvPr macro=""/>
          <xdr14:xfrm>
            <a:off x="2223000" y="4547880"/>
            <a:ext cx="579240" cy="30780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92976C96-3760-4569-5206-161D65B8211F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215440" y="4540329"/>
              <a:ext cx="594360" cy="322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315493</xdr:colOff>
      <xdr:row>1</xdr:row>
      <xdr:rowOff>92760</xdr:rowOff>
    </xdr:from>
    <xdr:to>
      <xdr:col>7</xdr:col>
      <xdr:colOff>374946</xdr:colOff>
      <xdr:row>5</xdr:row>
      <xdr:rowOff>141242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214E8290-4E95-304A-8C33-77FCF2E0E366}"/>
                </a:ext>
              </a:extLst>
            </xdr14:cNvPr>
            <xdr14:cNvContentPartPr/>
          </xdr14:nvContentPartPr>
          <xdr14:nvPr macro=""/>
          <xdr14:xfrm>
            <a:off x="4435560" y="296640"/>
            <a:ext cx="1707480" cy="864000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214E8290-4E95-304A-8C33-77FCF2E0E366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428000" y="289080"/>
              <a:ext cx="1722600" cy="87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434213</xdr:colOff>
      <xdr:row>5</xdr:row>
      <xdr:rowOff>178682</xdr:rowOff>
    </xdr:from>
    <xdr:to>
      <xdr:col>2</xdr:col>
      <xdr:colOff>459413</xdr:colOff>
      <xdr:row>6</xdr:row>
      <xdr:rowOff>34922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613F554A-244D-5C94-3819-67F2C4775AA7}"/>
                </a:ext>
              </a:extLst>
            </xdr14:cNvPr>
            <xdr14:cNvContentPartPr/>
          </xdr14:nvContentPartPr>
          <xdr14:nvPr macro=""/>
          <xdr14:xfrm>
            <a:off x="2082240" y="1198080"/>
            <a:ext cx="25200" cy="6012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613F554A-244D-5C94-3819-67F2C4775AA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074680" y="1190520"/>
              <a:ext cx="40320" cy="7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380266</xdr:colOff>
      <xdr:row>5</xdr:row>
      <xdr:rowOff>53762</xdr:rowOff>
    </xdr:from>
    <xdr:to>
      <xdr:col>4</xdr:col>
      <xdr:colOff>448306</xdr:colOff>
      <xdr:row>5</xdr:row>
      <xdr:rowOff>163562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A9DF10E9-4038-07A1-AF75-B5E838B0D3E5}"/>
                </a:ext>
              </a:extLst>
            </xdr14:cNvPr>
            <xdr14:cNvContentPartPr/>
          </xdr14:nvContentPartPr>
          <xdr14:nvPr macro=""/>
          <xdr14:xfrm>
            <a:off x="3676320" y="1073160"/>
            <a:ext cx="68040" cy="109800"/>
          </xdr14:xfrm>
        </xdr:contentPart>
      </mc:Choice>
      <mc:Fallback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A9DF10E9-4038-07A1-AF75-B5E838B0D3E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668760" y="1065600"/>
              <a:ext cx="83160" cy="12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794960</xdr:colOff>
      <xdr:row>5</xdr:row>
      <xdr:rowOff>75002</xdr:rowOff>
    </xdr:from>
    <xdr:to>
      <xdr:col>4</xdr:col>
      <xdr:colOff>74986</xdr:colOff>
      <xdr:row>5</xdr:row>
      <xdr:rowOff>200282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99" name="Ink 98">
              <a:extLst>
                <a:ext uri="{FF2B5EF4-FFF2-40B4-BE49-F238E27FC236}">
                  <a16:creationId xmlns:a16="http://schemas.microsoft.com/office/drawing/2014/main" id="{E78CDB3A-B902-72F9-7719-26B4CFD97EF7}"/>
                </a:ext>
              </a:extLst>
            </xdr14:cNvPr>
            <xdr14:cNvContentPartPr/>
          </xdr14:nvContentPartPr>
          <xdr14:nvPr macro=""/>
          <xdr14:xfrm>
            <a:off x="3267000" y="1094400"/>
            <a:ext cx="104040" cy="125280"/>
          </xdr14:xfrm>
        </xdr:contentPart>
      </mc:Choice>
      <mc:Fallback>
        <xdr:pic>
          <xdr:nvPicPr>
            <xdr:cNvPr id="99" name="Ink 98">
              <a:extLst>
                <a:ext uri="{FF2B5EF4-FFF2-40B4-BE49-F238E27FC236}">
                  <a16:creationId xmlns:a16="http://schemas.microsoft.com/office/drawing/2014/main" id="{E78CDB3A-B902-72F9-7719-26B4CFD97EF7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259440" y="1087200"/>
              <a:ext cx="119160" cy="14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678293</xdr:colOff>
      <xdr:row>5</xdr:row>
      <xdr:rowOff>107042</xdr:rowOff>
    </xdr:from>
    <xdr:to>
      <xdr:col>3</xdr:col>
      <xdr:colOff>539720</xdr:colOff>
      <xdr:row>6</xdr:row>
      <xdr:rowOff>30242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00" name="Ink 99">
              <a:extLst>
                <a:ext uri="{FF2B5EF4-FFF2-40B4-BE49-F238E27FC236}">
                  <a16:creationId xmlns:a16="http://schemas.microsoft.com/office/drawing/2014/main" id="{5D15EF7D-5F26-5203-D49B-8477CF407781}"/>
                </a:ext>
              </a:extLst>
            </xdr14:cNvPr>
            <xdr14:cNvContentPartPr/>
          </xdr14:nvContentPartPr>
          <xdr14:nvPr macro=""/>
          <xdr14:xfrm>
            <a:off x="2326320" y="1126440"/>
            <a:ext cx="685440" cy="127080"/>
          </xdr14:xfrm>
        </xdr:contentPart>
      </mc:Choice>
      <mc:Fallback>
        <xdr:pic>
          <xdr:nvPicPr>
            <xdr:cNvPr id="100" name="Ink 99">
              <a:extLst>
                <a:ext uri="{FF2B5EF4-FFF2-40B4-BE49-F238E27FC236}">
                  <a16:creationId xmlns:a16="http://schemas.microsoft.com/office/drawing/2014/main" id="{5D15EF7D-5F26-5203-D49B-8477CF407781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318760" y="1118880"/>
              <a:ext cx="700560" cy="14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580786</xdr:colOff>
      <xdr:row>2</xdr:row>
      <xdr:rowOff>59521</xdr:rowOff>
    </xdr:from>
    <xdr:to>
      <xdr:col>5</xdr:col>
      <xdr:colOff>244573</xdr:colOff>
      <xdr:row>6</xdr:row>
      <xdr:rowOff>67682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105" name="Ink 104">
              <a:extLst>
                <a:ext uri="{FF2B5EF4-FFF2-40B4-BE49-F238E27FC236}">
                  <a16:creationId xmlns:a16="http://schemas.microsoft.com/office/drawing/2014/main" id="{B20CCCF9-DCFB-070A-57DA-0EFDFA0938F4}"/>
                </a:ext>
              </a:extLst>
            </xdr14:cNvPr>
            <xdr14:cNvContentPartPr/>
          </xdr14:nvContentPartPr>
          <xdr14:nvPr macro=""/>
          <xdr14:xfrm>
            <a:off x="3876840" y="467280"/>
            <a:ext cx="487800" cy="823680"/>
          </xdr14:xfrm>
        </xdr:contentPart>
      </mc:Choice>
      <mc:Fallback>
        <xdr:pic>
          <xdr:nvPicPr>
            <xdr:cNvPr id="105" name="Ink 104">
              <a:extLst>
                <a:ext uri="{FF2B5EF4-FFF2-40B4-BE49-F238E27FC236}">
                  <a16:creationId xmlns:a16="http://schemas.microsoft.com/office/drawing/2014/main" id="{B20CCCF9-DCFB-070A-57DA-0EFDFA0938F4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869640" y="459720"/>
              <a:ext cx="502920" cy="83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73266</xdr:colOff>
      <xdr:row>7</xdr:row>
      <xdr:rowOff>139563</xdr:rowOff>
    </xdr:from>
    <xdr:to>
      <xdr:col>7</xdr:col>
      <xdr:colOff>83346</xdr:colOff>
      <xdr:row>8</xdr:row>
      <xdr:rowOff>17763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BA3211BA-E92E-35D0-301F-F724E076A02F}"/>
                </a:ext>
              </a:extLst>
            </xdr14:cNvPr>
            <xdr14:cNvContentPartPr/>
          </xdr14:nvContentPartPr>
          <xdr14:nvPr macro=""/>
          <xdr14:xfrm>
            <a:off x="5841360" y="1566720"/>
            <a:ext cx="10080" cy="82080"/>
          </xdr14:xfrm>
        </xdr:contentPart>
      </mc:Choice>
      <mc:Fallback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BA3211BA-E92E-35D0-301F-F724E076A02F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830560" y="1556280"/>
              <a:ext cx="31320" cy="10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683746</xdr:colOff>
      <xdr:row>5</xdr:row>
      <xdr:rowOff>183722</xdr:rowOff>
    </xdr:from>
    <xdr:to>
      <xdr:col>6</xdr:col>
      <xdr:colOff>649600</xdr:colOff>
      <xdr:row>8</xdr:row>
      <xdr:rowOff>174363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1FD535CD-35A2-449B-3A28-19BCB543F3C9}"/>
                </a:ext>
              </a:extLst>
            </xdr14:cNvPr>
            <xdr14:cNvContentPartPr/>
          </xdr14:nvContentPartPr>
          <xdr14:nvPr macro=""/>
          <xdr14:xfrm>
            <a:off x="3979800" y="1203120"/>
            <a:ext cx="1613880" cy="602280"/>
          </xdr14:xfrm>
        </xdr:contentPart>
      </mc:Choice>
      <mc:Fallback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1FD535CD-35A2-449B-3A28-19BCB543F3C9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969000" y="1192320"/>
              <a:ext cx="1635120" cy="6235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2:08.80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53 7443,'1'-12'3868,"0"-2"-2249,0 2 2878,0-2-4137,1 14 90,0 1-181,3 13 91,-1 0-3054,1 2 2964,0 4-90,1 3 360,12 49-450,-7-29-45,1 13 0,1 0 45,-4-11-90,0 4 0,0 1-90,-1 4-450,2 20-449,-5-23 2603,-2-7-2513,-2-13-2250,0 6 1800,-2-20 1349,0 13 0,0-22 0,0 2 0</inkml:trace>
  <inkml:trace contextRef="#ctx0" brushRef="#br0" timeOffset="317">441 271 7623,'6'-13'3328,"0"1"-1709,-2 2 1979,1 0-3059,-4 9-89,1 2-90,-5 10 0,0 3 179,-4 15-359,1-1 270,-11 47-270,8-29-90,-10 45 90,5-26-180,-6 18 0,4-18 45,2-9 0,-1-1-45,1-4-225,-1 1 0,1-1-764,0-2-361,-2 8-359,4-11-269,2-9-1081,3-8 3059,3-10 0,2-8 0,1-7 0</inkml:trace>
  <inkml:trace contextRef="#ctx0" brushRef="#br0" timeOffset="846">537 856 7623,'3'-10'4677,"0"-3"-2518,0 3 449,0-3-1978,-2 12-360,-2 8 0,-2 7-1,0 4-89,0-2 0,1 1 90,-1 11-90,2 5-90,7 29-90,-1-25 90,10 19-90,-5-37 0,12 7 90,-1-13-90,20-5 90,-10-8-180,41-29 90,-40 11 0,40-32 0,-48 30 540,15-16-271,-23 21 811,7-8-361,-12 13 721,4-5-451,-6 11-629,-2 6 0,-1 4 269,-2 18-539,-3-7 180,2 44-270,-2-31 0,1 37-630,0-23-2608,0 26 1799,-1-24-2789,5 24 2609,-2-44-6386,6 18 8005,-4-28 0,-1-2 0,-2-9 0</inkml:trace>
  <inkml:trace contextRef="#ctx0" brushRef="#br0" timeOffset="1538">1516 803 8522,'-10'-8'3598,"0"1"-2608,1 1-91,0 0-89,1 1 629,1 1 2249,-2-1-2879,9 0-539,6 1 0,7 1 0,7 3-90,-2 0-1,4 0 1,4-1 0,3 1 90,46-2-180,-5-1-45,-15 0 0,0 1-45,19-2 45,-20 1 0,1 0-45,19-1 0,-22 2 0,1-1 0,22-1 0,-7 1 0,-11 0 0,-6 0-180,-10 1-90,-4-1-180,-7 0 1,-4 1 179,-8 0 0,-1-1 0,-6 0 90,1-3 90,-5-2 90,-5-1 0,-4-1 0,-9-5 180,0 3 180,-6-5 180,1 2 359,0 0 1,0 1-1,1 2-179,4 2-360,-1 1-1,4 3-89,0 0-270,8 6 0,4 4 0,6 4 90,2 2-180,-1-2 90,14 11 0,-8-5 0,26 20 0,-16-11-90,11 9 90,-16-12-180,1 8 90,-14-13-539,-1 20-361,-17-12-989,-11 12 900,0-12-3238,-24 11-5038,13-13 9355,-6 3 0,19-14 0,12-6 0</inkml:trace>
  <inkml:trace contextRef="#ctx0" brushRef="#br0" timeOffset="2263">3228 574 8612,'-8'-11'2878,"0"0"-7728,1 2 5659,0 1 1320,1 1-780,0 1 1309,-2 0-1578,-1 4-181,0 4-449,2 8 3392,4 0-3213,2 10-359,2-6 270,5 21-360,-1-15 0,14 29 0,0-20-1,22 14-179,-13-22 90,17-6-90,-12-18 90,11-7-90,1-13 90,2-21-90,-16 7 0,-1-23 90,-21 13-90,-4-20-3392,-8 13 3392,-6-1 0,-22-21 0,-25-3 90,6 3 45,0 35 0,0 8-135,12 15 0,-36-8 0,51 22 0,-10 5 0,20 2 0,-1 10 0,18 4 3482,12 13-3482,13 9 0,10 12 0,-7-9 90,15 31-90,-25-33 0,2 15 0,-3 1 90,-8-9-90,8 47 90,-16-45-180,1 12-90,-1-3-1169,3-3-630,2-7 810,0-12-181,1-9-1528,5-4 269,-1-8-1708,5 0 4317,-2-8 0,-9-3 0,0-2 0</inkml:trace>
  <inkml:trace contextRef="#ctx0" brushRef="#br0" timeOffset="2684">3977 541 8162,'-5'-14'3958,"-1"0"-2968,0 2-1,-1 1 0,1 1 1,-1 1-181,0 1 541,1 1 359,-2 0-900,-1 5-449,0 6-90,2 4-90,3 5 90,2-1-91,2 1 271,3 16-360,2-9 0,12 24 0,-4-24-90,20 17 90,-14-23-90,24 3 90,-15-17-90,20-14 0,-20-1 90,14-29-90,-26 20 540,9-21 269,-14 19 1440,2-12-1170,-6 14-809,-5 1-180,-5 22 0,-3 5 0,-1 9-180,0 10-450,1-4-359,-1 10-271,3-7-3957,3 24 3508,3-15-4857,17 42 1349,-5-43 5127,15 17 0,-9-30 0,3 0 0</inkml:trace>
  <inkml:trace contextRef="#ctx0" brushRef="#br0" timeOffset="3082">4615 748 7713,'10'-16'4227,"-2"-1"-3057,-1-2-1,-2 0 0,-1-1-89,-1 1-91,-3-2-90,-1 2 1,-2-1 1079,-8-13 0,-14 1-1440,-1 3-179,-8 13-270,13 18 90,-11 20-90,12 5-180,-4 16-180,16-1-180,9 0-179,10 0-181,12-3 630,-4-14-89,16-4 179,-20-18 0,15-7 90,-14-13 180,1 1-1,-6-5 361,-6 3-90,-2 4 629,1-8-629,-3 7 270,-1-1-900,0 13-270,1 13-450,0 5-449,3 7-90,0-10-2968,8 13-181,1-6-179,2 3 4767,-1-9 0,-9-10 0,-1 0 0</inkml:trace>
  <inkml:trace contextRef="#ctx0" brushRef="#br0" timeOffset="3428">4865 689 8342,'2'-14'3508,"0"0"-2518,-1 1-91,-2 0 91,0 0-181,0 1 1,-1 1 359,1 0-270,-1-2-269,1 2-540,6 2 180,10 11-180,-1 5 180,10 12-90,-5 4 0,8 17-91,-7-2 1,-4 0 90,-8-6 180,-5-10 270,-3 3-91,-3-6 91,-4-8-360,-3-10 180,-1-9-180,-1-8-1,2-21-179,7-4-180,4-7-269,13-8-361,6 7-719,10-11-990,15-2-449,2 13 1888,-7 11 1,-8 16-3149,-6 8 1350,-10 7 2788,8-4 0,-17 9 0,-2 0 0</inkml:trace>
  <inkml:trace contextRef="#ctx0" brushRef="#br0" timeOffset="3731">5362 237 11041,'-4'-10'9830,"-1"2"-5538,-2 1-2493,-1 4-990,-1 6-89,2 3-540,1 5-180,1-1 0,-1 4 0,1 1 0,-1 2 0,-7 39 0,0 15 0,1 1 0,5 9 0,8-49 0,7 33 0,0-33 0,12 25-1889,9-26-1529,4-4 1529,2-9-4678,19-20 3689,-29-3-1979,17-6 4857,-28 3 0,-6 3 0,-3 1 0</inkml:trace>
  <inkml:trace contextRef="#ctx0" brushRef="#br0" timeOffset="4448">5348 531 8612,'-11'-3'3508,"0"-1"-2249,2 1-179,0-2-810,6-3-91,2 1 1,7-2-90,3 4 0,2 0 0,3-1 0,2 1 0,29-6 0,-12 4 0,20-3 180,-21 7 180,-5 2-1,-4 3-179,-3 3 0,-4 2-90,-2 3 0,-3 2-90,3 7-90,-4-5-180,2 4 0,-2-10 90,1-3 0,0-4 90,0-6 90,-3-2 180,-2-2 90,-4-3 629,-6-7-629,-1 3 539,-10-5-89,-4 11 539,-28 2-1079,14 6-90,-15 5 90,16 10-90,2 5-90,-2 8-90,12 5-360,13 1-270,13 0-269,12 0 269,10-3 180,6-6 1,8-9 359,-13-8 0,13-8 0,-15-7 90,8-5 270,-2-2 89,-5-1-89,-3 3 0,-8 5 180,-3 3-270,-2 5 90,-3 1-1,4 4 181,2 5-90,4 6-180,1 1 90,16 20-180,-11-7-90,6 6 90,-12-8-90,-9-8 0,-2-1 90,-2 4-90,-3-5 89,-6 15-89,-3-18 90,-8 0-90,4-17 0,1-8-90,5-10-539,7-10-1170,11-20-945,14-2 1,5 0-405,9-13 2939,-1 12 1,0 5-1,-8 17 1,6-2-1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1:46.20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240 224 7892,'-9'-2'3508,"-1"2"-2608,-1 0-1,0 2-89,-1 1 89,-1 2-89,-1 2 0,-1 2-91,0 3-89,0 1 809,-10 21-360,6 20-899,1-7 90,13 17-180,14-28 90,15 14-180,-2-17 0,27-1 0,-23-26-90,26-6 90,-2-28 0,-1-8 0,-3-9 180,-14-26-180,-21 33 180,2-38 0,-18 24 359,-21-36-449,6 33-90,-16-10 90,3 38 0,-5 6-3482,-15 2 3392,11 11 0,-12 10 0,23 2-90,-16 8 0,25-3-90,-1 23 90,38 1 3482,-2 5-3392,36 3 90,-6-13 45,-2 0 0,1 1-45,9 6 360,25 25-180,-49-35 180,16 21-1,-14-6 271,12 36-630,-18-29 0,4 26-90,-21-45-450,3 18-2608,-1-2 449,1-1 990,-1-4-8212,6-7 9792,-5-18 1,1 1 0,-6-11 0</inkml:trace>
  <inkml:trace contextRef="#ctx0" brushRef="#br0" timeOffset="1048">836 434 9152,'-8'-9'3508,"1"0"-2699,-1 2 1,2 0 629,-1 1 540,0-1-1080,-1 5-539,2 5-90,3 3 90,3 7-90,1-1 539,8 28-719,-3-16 90,10 31-90,-7-31 90,17 25-90,-12-28-90,16 13 90,-10-26-90,6-6 0,-4-6 90,11-15 0,-17 5 539,16-22-269,-21 20 989,9-19-989,-14 22 180,4-12-1080,-8 27-269,1-5-361,-2 17 1,-1-3 180,1 1-1260,3 6-90,4 0 540,8 4 450,9-3 809,-1-7-269,25-6 899,-9-8 629,16-6 361,-12-6 269,-9-5-720,-12 3 1620,-5-13-810,-13 7-269,-2-10-181,-9 8-269,-7 4-360,0 6 539,-14 1-719,13 9 180,-21 4-180,15 9-180,-6 8 0,12-1-540,4 15-90,11-8-179,4 9 179,8-10 180,4-4 181,-2-6-91,10-6 360,-12-6 0,14-7 90,-16 0 539,11-13-359,-15 11 360,6-11-360,-7 10-1,1-3-269,-1 3-539,0 8-271,-1 2-89,0 7-1,1 1 181,2-1 179,2-2 450,2-4-90,-1-2 180,4-5 0,-6 1 180,2-2 0,-3 1 809,7-6-539,-6 4 540,12-8-451,-8 8 1,9 0-360,-7 5 449,13 9-269,-5 4-90,11 9-90,-5 4-90,-4 4 0,-7-4-90,-2 11 90,-9-11-90,-3 12 0,-6-17-90,-8 0-180,-4-13-270,-5-2-89,-2-6-271,0-6-359,5-6-1080,5-12 1440,8 7-810,8-16 0,7 11-1709,12-14 1349,-6 14 2069,4-2 0,-16 20 0,0 1 0</inkml:trace>
  <inkml:trace contextRef="#ctx0" brushRef="#br0" timeOffset="1365">2100 216 9242,'0'-15'9264,"-1"1"-6475,-1 2-1980,-3 9 990,0 8-899,-1 7-91,2 4 1,1-1 1079,-2 23-1529,2-11-360,-1 45 0,4-35 0,6 46 0,0-45-90,9 28-810,-5-37-3417,12 17 1079,-6-22-1,9 4-1618,-10-17 4857,7-11 0,-15-1 0,4-4 0</inkml:trace>
  <inkml:trace contextRef="#ctx0" brushRef="#br0" timeOffset="1695">2036 483 9332,'2'-7'8365,"4"-1"-8275,19 2-90,-6 2 90,6-2-90,-8 3 90,-2 0 270,6 0-1,-6 0 901,12 1-721,-14 2 361,9 3 89,-10 4-89,1 11-810,-4-3-720,0 20-90,-6-17-2248,4 26 1709,-4-25-4678,6 21 1260,-6-25 4677,3 6 0,-5-16 0,1-1 0</inkml:trace>
  <inkml:trace contextRef="#ctx0" brushRef="#br0" timeOffset="1812">2302 381 8612,'-5'-10'2699,"0"1"-2340,0 1-898,1 1 539,-3-1 0,4 4 0,-1-1 0</inkml:trace>
  <inkml:trace contextRef="#ctx0" brushRef="#br0" timeOffset="2416">2529 712 11490,'-7'7'8366,"0"0"-7647,2 0-449,4 1-90,3-1-90,4-1 0,0 0-180,7 2-630,10 2 361,-3-2 89,5-1-810,18-13 990,-21 1-90,34-26 91,-39 11 89,9-18 0,-14 10 0,-1-4 0,-2-3 0,-1-2 0,-2-2 89,2-36 181,-5 17 90,-1-22 0,-6 30-90,-4 13 180,-3 10-1,0 12 1,-9 12-180,3 14 0,-6 12 179,5 34-359,8-17-90,5 18 90,11-17-360,5 3-269,7 6-1,6-5 0,1-12-89,11-10 539,-14-13 90,5-8-180,-6-19 270,-8 4 90,10-17 449,-11 8 1,2-5 4407,-4 6-4407,-5 15-180,-4 4-1,-3 13-269,-1 1-360,0 2-1259,-1 7-1889,2 2-4857,3 13 809,2-12 7376,5 2 0,-5-19 0,0-2 0</inkml:trace>
  <inkml:trace contextRef="#ctx0" brushRef="#br0" timeOffset="5716">168 1068 7623,'-8'-7'2428,"0"1"-1798,0 0 89,0 2-89,1 0 360,-1 0 269,-1 1-360,-2 2-89,3 4-450,2 7-1,5 0-89,3 4 180,4 5-270,0-4 180,15 24-270,-7-18 0,16 22 0,-3-17 0,22 7-1,-13-14 1,38-10 0,-36-12 360,48-16 0,-24-3-225,-15 4 0,0 0-135,14-5 179,20-8-269,-51 20 90,20-4 0,-24 9 0,13 1-90,-14 3 270,17 5-180,-23 0 90,21 7-180,-20-4 180,35 18-180,-29-11 0,41 21 0,-41-22 90,24 10 0,-16-15 359,24-5-359,-15-5 90,5-11 0,0-3-90,-5-2 0,8-7 0,-1-1-90,-14 6 90,19-12-90,-18 13 0,0 2 0,9 1 90,15 7-180,-24 6 180,30 8-90,-41 0-90,35 9 90,-34-7 0,35 8 0,-34-8 90,34 2-90,-33-6 0,43-5 0,-39 0 0,22-5 0,-14 0 0,24-5 90,-19 5-90,28-3 0,-50 9 0,11 0 0,-10 2 0,9 1 0,-6-1-180,30 3 90,-32-2-180,19 2-1259,-5 2 90,-6 0 629,8 1-2158,6 0 1799,-24-3 1169,34-3 0,-43 0 0,13-3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1:49.72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137 69 10861,'-12'-1'5757,"1"1"-4948,0 4-89,4 1-91,0 3-179,3 1 0,0 3 269,-1 19-449,4 2-630,3 32 1,3-23-1530,13 44 1349,-8-51-719,10 35 629,-12-46-989,6 19 1439,-10-24 360,-3 0 0,-6-18 90,-7-11-90,2-3 449,-9-14-359,3 2 1079,-23-52-1169,21 37 270,-13-46-270,25 51 360,9-45-450,5 43 179,15-34-179,-7 48 180,20-9-180,-17 22 180,25 3 0,-18 18-180,10 13 0,-15-1 90,1 22-180,-14-21 90,-2 28-90,-8-29 90,-11 25-90,3-29 0,-16 20 89,14-25-89,-13 13-89,16-18 89,-5 5 0,11-4-90,5 0 90,3-2-180,16 5-90,2-3 90,13 5 0,-7-4 0,24 3 90,-24-9 0,38 2 90,-29-8 0,15-3 0,-23-1 0,3-8 90,-19 5 0,4-15 180,-16 8 0,-3-8-180,-5 9 180,-11 1-180,6 9 0,-16 3-1,14 5-89,-13 13 0,16-5-89,-5 20-91,12-17-360,7 20 270,3-21-360,15 12 540,-10-18-269,23 4 359,-21-10 180,14-4 89,-18-3 721,8-9-630,-10 6 899,8-11-809,-7 10 179,2-4-269,-2 6-450,1 6-360,-2 5-89,0 3-181,-3 2-1169,0 3 720,-1-2-3059,5 11 1800,-4-11 2428,6 9 0,-7-13 0,1 0 0</inkml:trace>
  <inkml:trace contextRef="#ctx0" brushRef="#br0" timeOffset="880">887 485 9961,'3'-15'8545,"-1"2"-6296,-1-1-450,-1 3-1619,2 9-270,-1 5-270,1 11-269,-1 1 89,1-1 0,1 0 180,2-4 91,1-4 179,4-4 0,0-3 0,1-3 90,-2 0 0,0 0 0,10-7 90,-2 1 90,10-5 89,-10 5 1,1 3-180,-5 6 0,-2 3 0,-1 4-90,-1 2 90,0 2-90,0-1 0,0-1 0,3 0 0,-4-4-90,14 3 90,-11-5 0,18 0 0,-16-3 90,20-9 0,-20 3 180,13-13-180,-18 10 90,3-13-180,-9 11 0,0-4-90,-3 6 90,5 8 0,-2 1 90,6 9 0,-2 0 180,4 10-1,-2-3 451,12 28-540,-10-17 90,10 27-180,-12-25 90,7 39-180,-9-36 0,2 38-90,-7-47 0,-2 10 0,-2-16-270,-3 3 270,0-6-180,-6 6 270,4-11-360,-9 1 1,5-12 179,0-1-630,5-20-269,12-11 719,1 0-540,22-23 721,-9 32-1,13-14-90,10 5 180,-6 8 90,8-6 360,3 2-270,-24 16 359,16-14-179,-24 16 720,15-26-810,-19 22 629,6-23-269,-19 29 179,-4-2-449,-6 10 0,2 5 90,-4 7-180,6 3-450,0 1-270,5 2-269,5-5-8276,33 28 3688,-16-21 5397,26 19 0,-34-30 0,-3-3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1:41.33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41 151 8162,'-14'1'4678,"1"-1"-811,0 0-3237,12-1-90,7 1-360,16-2-3482,0 1 3482,3 1-91,6-2 1,7 1-90,27-3-90,-21 1-449,28 0 179,-45 1-989,26 0 899,-34 1 0,8 0-539,-15 1 2852,2-1-3302,-3 0 1169,-6-1 180,-8 0 270,-9 0 269,-1 1-89,-4-1 540,7 1 179,-8 0 0,3-1-269,-2 1-90,1 1-181,2 1 1,2 2 0,3 5-360,2 4-1,3 0 91,2 8 0,6 16-180,0-11 0,7 30-90,-6-33 0,4 11 90,-2-9-90,-2-7 90,4 14-90,-6-16 0,0 10 90,-6-11-90,-5 3 0,-1-5 0,-15 2 90,9-7 539,-29 6 541,8-6-900,0 0 809,0-3 900,23-2-1799,6-3-90,8 0 0,13-2 0,-2 0-90,2 0 0,1 0-2069,29-6 630,-18 4-2879,40-9 2519,-39 9-6566,22-6 8365,-25 6 0,-4 0 0,-10 3 0</inkml:trace>
  <inkml:trace contextRef="#ctx0" brushRef="#br0" timeOffset="551">875 255 10051,'-7'-13'5847,"-2"2"-4498,-2 2-269,-2 3-721,-3 4 91,4 2-180,-1 3 90,5 2-90,-1 1-1,1 3 181,-4 9 0,1 16-270,2 6 0,8 23-90,5-25 0,13 17-90,1-24 90,9 3-90,4-10 0,10-12 0,-11-10 89,12-14-89,-13-8 0,6-15 90,-7-6-90,-5-18 0,-13 6 0,-6 1 90,-12 4-90,-20-4 90,8 14-90,-21-8-90,23 34 90,-13-3-90,3 8 0,-5 5 90,8 2 0,7 6 0,11-1-89,0 11 89,5-4 89,10 34-89,-2-25 180,12 29-90,-10-31 180,7 14 0,-3-5-180,0 0 0,-2-2 90,1 11-90,-1 0-270,1 5-630,-1 3-6026,6 24 3778,-6-28 3058,9 24 0,-15-55 0,2-1 0</inkml:trace>
  <inkml:trace contextRef="#ctx0" brushRef="#br0" timeOffset="1166">1321 351 8702,'-3'-14'7196,"0"3"-6476,-3 4-91,2 6-179,-1 8 269,1 10-449,2 0-90,0 9 270,5 26-360,-1-19 0,3 22-90,-1-26 90,0-2 0,2 10-90,-2-11 90,5 23 0,-5-28-180,2 11 0,-5-21 90,-5-9 0,0-2 0,-4-11 0,-2-13 0,-5-26 0,3 6 90,0-29 90,10 20 89,5-17 271,10-4-270,3 14-180,0 10 180,2 12-180,-9 21-90,7-6 90,-2 16-90,1 5 0,-1 4 90,-1 12-90,-5 3 90,0 9-90,-4 5 90,-9 22-90,0-21 89,-6 19 1,5-34 990,-6 16-540,7-19-91,-5 11-179,6-15 0,-1 2 0,2-1-90,3-1-90,3-1-90,7-2 0,-1-2-90,7 0-180,-5-3-270,4 3-179,-4-2-2879,13 3 2248,-8-1-4946,26 5 6296,-14-5 0,-2 1 0,-10-4 0</inkml:trace>
  <inkml:trace contextRef="#ctx0" brushRef="#br0" timeOffset="1786">2051 342 8072,'-13'0'7016,"1"0"-4137,-1 1-1260,2 0-1169,11 0-91,3 0 181,12 0-270,15-3-90,-2-1 0,16-1-90,-5 0 90,2-1-91,2 0 91,20-2-449,32-5-1,-27 3-495,-10 1 1,-4 0 314,-22 3-270,28-4 270,-37 5 181,4-2 89,-6 0 0,-1-3 270,-7 0 180,-4-2 269,-7 1 1,-4-1-180,-4 0 0,-1 2-91,-2 0 811,-6-2-1,-1 2 181,-7-4-271,4 4-359,5 2-361,0 1 1,4 1-180,-1 1-90,10 4 0,1 2-90,14 7 0,-4-3-90,18 11 90,-11-6 1,30 20 89,-28-17-90,20 16 90,-26-18 0,8 13 0,-13-12-180,0 13-90,-9-14-3418,-15 20 2339,7-17-5397,-19 19 899,18-24 5847,-6 5 0,11-11 0,2-1 0</inkml:trace>
  <inkml:trace contextRef="#ctx0" brushRef="#br0" timeOffset="3368">3559 118 8612,'-11'3'9830,"0"-1"-7877,11-1-1503,2-1-180,12-2 0,2 0-478,3-1 388,3 0 0,2 0 89,34-2-358,-24 3-1081,41-1 631,-51 2-721,18 1 721,-26 0-1620,11 0 270,-13 0 2367,-6 2-29,-11 0-89,-12 0 90,3 0 90,-1 0 449,0 0-89,3 1 629,-11 4-900,10-1-89,-4 6-360,11 1 90,4 4-180,2-3 90,2 1-90,2 3 89,3 8-89,-1-4 0,3 15-90,-8-21-90,2 14 90,-5-17 0,-9 16-90,2-16 90,-13 11 0,0-13 0,-5 1-90,0-2 90,2-2-89,8-3-541,1 0 180,16-4-719,9-3 539,8-1-629,24-7 539,-12 3-2428,63-15 2339,-48 12 179,33-9-270,-39 9 631,-1-2 538,-6 3 541,-2-4 269,-21 8 271,2-5 898,-5 3 2520,-1-3-4139,0 8-179,-2 10-270,0 3 0,-1 5 0,0-1-90,-2-4-90,2 5 0,-2-1-180,1 0-90,1 2-810,-1-3 991,2-11-1,-1-4 0,1-9 0,0-5 90,1 2-90,0-3 90,4-2 0,2 1 0,5-3 0,1 3 0,3 5 90,1 5 0,2 5 90,2 5-91,1 7 1,0 6-90,-4 1 90,9 17-3482,-14-13 3392,8 11 0,-7-11 0,3-1 90,4-1-90,17-14 90,-6-14-90,14-18 3572,-13-11-3392,-5-9 0,-6-4-90,-10 11 0,-5 1 90,-4-2-90,-3 12 180,-1-20-180,-4 23 449,-3-22-359,0 26 270,-7-17-360,2 28 270,-10 8-270,7 12-1,-3 13 181,5 10 90,1 30-270,4-15 0,4 15 0,10-25-360,12 8 0,-2-8-3058,30 14 2069,-28-36-1170,23 11 1170,-28-20-1619,9-1-990,-6-6 3868,3-3 0,-10 2 0,-3-2 0</inkml:trace>
  <inkml:trace contextRef="#ctx0" brushRef="#br0" timeOffset="4132">4840 213 7982,'-11'-1'4228,"-2"0"-2609,2 0-1349,7 3-180,7-1 90,9 2 0,9-2-90,-6 0 90,5-1-1,-5-1 1,1 1 0,0-2 1080,21-2-901,-16 1 361,20-2-270,-27 3 1439,11 1-630,-8 5-989,0 1 0,-5 4-91,-8-1-89,1 2-180,2 0-179,0-1-91,3-2 180,2-2 0,1-4 180,1-3-90,-2-5 90,0-8 90,-6-2 90,-4-4-90,-4 7 90,-5-1 0,-4 6-90,-6 2 0,2 4 89,-12 10-179,13-1 90,-17 20-90,21-12-90,-5 16 0,15-17-629,10 13 269,-2-14-539,21 12 719,-12-17-360,27 3 450,-22-10 0,26-7 90,-26 0 630,22-12-270,-27 9 989,16-9-899,-21 11 1619,11-3-1529,-11 10-90,3-1 359,1 9 1,6 8-540,-2 0 179,19 19-359,-21-15 90,17 23-90,-22-22-90,5 19 90,-14-23 0,-2 10 0,-6-13 0,-2-2-90,-5-9 90,-2-15-90,3 0-629,1-25 179,7 16-2878,8-35 1979,0 30-5397,18-35 1529,-9 34 5307,12-13 0,-9 18 0,2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2:39.29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766 424 7443,'-1'-18'5217,"1"1"-3328,-1 4 449,0 0-1978,-1 13 90,1 1 0,-1 12-91,2 1 91,0 4-90,0 6 0,0 4 0,0 6 89,2 22-89,0 12-180,1 0-90,-1-12 0,0-2 0,0 4-45,1 6 0,-1-1-45,0-10-135,1-1 0,-1-2-135,-1-12-1079,1 28 629,-2-43-1978,0 12-2879,-1-20 5577,-4-4 0,3-5 0,-2-7 0</inkml:trace>
  <inkml:trace contextRef="#ctx0" brushRef="#br0" timeOffset="2200">713 372 9871,'6'-4'4048,"4"1"-3688,5 3 0,-1 0-91,1 0 1,-3 1 0,2-1-90,2 0 0,3-1 90,1 1 180,52-2-316,-22 0 1,3 0-90,-4 0 0,2 0 0,26-2 0,-4 0-45,-13 0 45,13 0 0,1 0-45,-10 1 0,15-1 0,1 1 0,-8 0 180,16-2 0,2 1 0,-5-2-408,-19 2 1,1-1 362,-10 0 0,-2 0-1323,33-3 1233,-28 3 0,-1-1 45,28-3 0,3 0-920,-26 3 1,9-1 0,-5 1 873,-9 0 1,1 1 15,20-2 0,10-1 0,-12 2-148,-27 2 1,2 0 109,16 0 1,16 0-1,1-1 1,-12 1-50,-2 1 0,-1-1 27,4 1 0,12 0 0,0-1 0,-16 2 0,-15 0 0,-2 0 0,33 0 0,13-1 0,-11 1 0,-23 0 0,0-1 0,8 1 0,13-1 0,0-1 0,-15 2 0,-10-1 0,-2 0 0,28-1 0,13-1 0,-14 1 0,-26 0 0,-1 1 30,27-1 0,11-1 0,-12 1-30,-27 1 0,-1 0 0,12 0 0,8 0 0,-9 0 0,-17 1 0,-3 1 0,34-1 0,2 0 0,-17 0 0,-1 1-45,17 0 0,5 0 75,-22-1 0,3 1 0,0-1-30,1 0 0,1 0 0,-3 0 0,19-1 0,-2 0 0,11-1 0,-7 0 0,-4 1 0,-21 0 0,10 0 0,-9 1 0,26-2 0,1 2 0,-5-1 819,-28 2-819,10 1 0,1-1 0,-4 0 1525,-10 1 1,2 0-1526,24-2 0,-33 1 0,38-1 0,-45 0 389,5 1-119,-1-1 0,-21 0 0,6 1 270,-20 0 730,3 1-820,-2-1-360,-2 2-90,-3 6 90,-3 4-90,-3 3 0,-1 1 0,0-2 0,0 0 90,1 9-90,0 6 89,1 12 1,0 7-90,0 8 90,-1-9-90,-1 2 0,-1 7 0,0-13 0,-1 16 0,0-5 0,-1-14 0,1 9 0,-1-3 90,-2 10-90,1-10 90,-3 28-90,3-45 0,-3 18 0,3-28 180,-7 14 0,0-5 0,-7 12 0,-2-11-90,-4-1 0,-6-2 90,-5-2 0,-8-2-90,-39 5-1,28-11-89,-6-2 0,-1-2 0,0-3 0,-14-1 0,-3 0 0,-6-2-1212,-13-1 0,-2 0 1212,6-2 0,1-1 0,0-1 0,1 0 0,12 0 0,-3-1-272,14 0 0,-4 1 242,-15-1 0,-10 0 0,7 1 30,3-1 0,2 0-224,8 1 0,-3 0 1,3 0 178,-16 0 0,2 1 45,-4 0 0,-4 0 0,18 0 0,-4 0 0,0 0-298,-1 1 1,0-1 0,2 1 297,11 0 0,1-1 0,-5 1-90,-8 0 0,-7 1 0,0-1 0,9 1-193,-14 0 0,2 0 253,7 0 0,-5 0 0,9 0-60,11 0 1,3-1-750,-30 2 1,-2-1 793,20 0 0,-4 0 15,-6-1 0,-9 0 0,14 0 8,25-2 1,2 1 21,-15 0 0,-7-1 0,10 0 0,19 1 0,0-2 28,-14 1 0,-9 0 0,9-1-73,14 1 0,-1 0-45,-20-1 0,-10 1 0,12-1 0,-24 1-45,-1 0 0,-1-1 90,43 1 0,1-1 0,-18 1 0,1 0 1685,-18-1-1685,29 0 0,2 1 45,-2-1 0,-6 1 0,0 1 0,10 0-45,-7 0 0,1 1 45,9 1-45,-6 1 1,0-1 44,10 1 0,-4 0 0,0 0 0,-5 2 0,-25 2-90,34-4 2862,-25 3-2772,36-3 956,-50 3-956,36-3 824,-25 3-824,29-4 0,-22 1 0,34-2 91,-39 1-91,32-1 0,-16 0 0,23-2 0,-13 1 0,24-2 0,-23 0 0,28 1 0,-17-1-90,19 1 90,-5 0-90,7 0 90,3 0 0,0 1 0,9 1 0,5-2 90,6 0-90,2-5 0,0-1 0,-1 0 0,0 0 0,0-2 0,-1 2 0,4-5 0,-5 5 0,7-10 0,-7 7 0,10-15 0,-10 12 0,9-17 0,-9 15 0,7-16 90,-7 13-90,2-8 0,-5 11 90,-1-3 0,-1 5 0,0-2-90,0 2-90,-1 2 90,1-1 0,-1 5 0,-1 1 0</inkml:trace>
  <inkml:trace contextRef="#ctx0" brushRef="#br0" timeOffset="4259">75 1913 8972,'-5'-11'2878,"0"2"-2518,0 0-270,0 3 989,0-2 720,3 0-809,-1-1 89,1 1-269,-3 1-630,-2 5 89,1 4-179,-1 7 0,3 0 0,0 3 0,2-3-90,0 2 90,0-1 0,0 2 0,1 6 90,2 15-180,1-3 90,2 8-90,0-17 0,4 5 0,-5-14 90,5 9-90,-3-10 0,1 1 180,-1-1 0,-1-2 0,-6-4 359,0 0-179,-3-1-180,2 3 0,4 3-180,1 1 0,1-3 90,1 0-90,2 0 0,1-1 0,3 0-90,1-1 90,1-1-360,2-3-629,0 0-720,-1-2-540,1-1 990,0-1-271,-2-1-808,-1 0-1350,-1-1 3688,0 0 0,-4 1 0,-1 1 0</inkml:trace>
  <inkml:trace contextRef="#ctx0" brushRef="#br0" timeOffset="5142">462 2020 8612,'-7'-4'3418,"-1"0"-2518,0 0-91,-1 2 1,-1 0-91,0 2 1,-2 0-90,1 0 359,-5 2-629,3 1 449,-10 4-629,12-2 180,-10 11-270,15-7 90,-1 18-180,8-15 0,6 12 0,-1-15 0,16 5 0,-11-10 90,20-4-90,-18-5 180,16-16 0,-17 8 359,8-15-89,-14 13 360,-5-25-541,-4 20 1,-6-15-90,-1 21 90,-8-2-180,2 5 0,-6 1-90,6 7-1349,-24 12 719,19-2-899,-22 15 539,31-9-1078,-1 12 89,13-4-630,26 14 2159,-6-16 1,29 4 359,-24-21 540,22-4 359,-8-5 1620,25-13-1620,-27 6 810,8-9-180,-31 11-719,-1 1 1889,-1-4 989,-7 7-3419,-2 4-269,-2 8-179,-3 9 89,4 3 0,1-3-90,1-1 90,0-4-180,4 2-89,5-1 449,2-4 0,0-4 0,-4-5 0,-4-1 90,0-2-1,-2-2 451,4-10 270,-2-3-540,1-1 449,-3-3-449,-2 15-270,3 2-90,-2 10-90,2 7-360,1 8 181,-1-3-1,3 6-450,6 3-179,13 4 809,-5-4-180,16 1 180,-13-18 90,10-4 90,-11-5 90,-2-5 450,-3-12-270,-9-8-90,-4-9-90,-18-6-90,-10 7-990,-15-1 91,11 16-1260,-12 1-1169,17 18-5487,-2 3 8815,8 4 0,7 0 0,5-1 0</inkml:trace>
  <inkml:trace contextRef="#ctx0" brushRef="#br0" timeOffset="5768">8672 1426 9781,'6'-7'9830,"0"8"-7696,-2 6-1595,-1 6 181,-2 11-450,-1-7 0,0 16-360,1-12-1170,0 27 451,0-21-810,2 23 629,-1-27-1258,3 12 1078,-2-16 1170,7 17 0,-7-25 0,3 10 0</inkml:trace>
  <inkml:trace contextRef="#ctx0" brushRef="#br0" timeOffset="6243">8736 1778 10411,'-5'-22'4767,"-2"0"-4047,3 11-90,-1-2-361,3 1-179,4 2-90,2 1 90,4 3-90,1 2-90,1-1-90,15-4 91,0-2-1,19-7 90,-17 5 0,13-9 90,-25 12 179,10-10 361,-13 8 1529,5-9-990,-7 8-899,0 5-180,-7 14-90,-3 6 90,-1 6-90,0-3-360,0 9-360,2 6-179,2 9-180,4 0-271,9 4 991,-3-15-271,11 2 180,-6-20 270,8-2 180,-1-8 540,7-14-180,-11 1 629,6-11 91,-12 7-1,2-4-90,-4 3 541,-1 1-991,-3 6-449,-1 8-360,-3 10-179,-1 4-271,-2 3-179,-1-3-1620,1 7-719,0 2 539,1-1 2699,0 2 0,-1-14 0,-1 1 0</inkml:trace>
  <inkml:trace contextRef="#ctx0" brushRef="#br0" timeOffset="6378">9296 1456 7353,'-4'-11'2518,"1"1"-5216,-1 0 2698,8 9 0,-5-3 0,6 8 0</inkml:trace>
  <inkml:trace contextRef="#ctx0" brushRef="#br0" timeOffset="6847">9585 1513 8612,'10'-3'4138,"0"0"-2339,0-2 449,-2-1-1168,-4-3-181,-8 2-629,-7 1 0,-1 5-90,-3 2 0,4 3-90,-3 1 0,0 2 0,0 1-270,-13 21-360,12-5-90,-6 16 361,19-17-631,16 12 810,-4-20-90,21 10 180,-18-21 540,18-4-270,-19-3 719,13-9-449,-15 6-180,6-6 89,-7 7-269,6 3-90,-6 3 0,6 12-90,-8-1 90,5 15-90,-1 6 0,0 13 0,-2 5 180,-6 2 0,-5-12 629,-10 18-89,-5-23-90,-10 11-91,-3-23-179,-1-12-360,-2-13-360,3-14-719,6-16-630,13-17-270,22-22-90,13 17 0,5 1-809,18-23 2878,-2 22 0,4 6 0,8 4 0,21-8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4:05.75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256 225 7803,'3'-12'3508,"-1"2"-2159,-1-8-810,-2 5 361,-2-9-540,-1 7 359,-3-10-449,1 10 810,-7-13-811,5 13 541,-13-11-630,11 18 180,-12-3-180,4 13 89,-7 6-269,5 3 90,-14 21-90,18-12 0,-15 33 0,21-21 0,-1 9 0,10-14-180,13 12 180,1-15 0,10 12 0,-1-24 0,0-7 0,-4-5 90,7-10-90,-8-2 0,6-8 180,-8 0 90,-2-1-180,-4 6 270,1-4-90,-4 10-270,5 3 0,-4 12 90,3 11-90,-3 2 0,0 5 0,-2-4 0,5 26 0,-2-4 180,4 40-1,-6-38-89,-2 9 270,-6-26 0,-3-2-180,-5 6-90,-5-8 0,0-8-450,-14-2-539,6-11-451,-12-4-449,5-11-539,3-9 1078,7-1-4946,3-23 6206,11 20 0,0-6 0,6 22 0</inkml:trace>
  <inkml:trace contextRef="#ctx0" brushRef="#br0" timeOffset="580">869 73 8252,'-3'-10'3238,"-1"0"-2428,0 1 0,-2 0-91,0 0 1,-1 2 359,-5-2-359,-3 3-181,-6 2 1,-12 14-360,9 0 0,-6 8-90,14-3 0,1 1-90,1-1 90,3 1-90,2-1 90,0 7-180,3 0 90,2 0-270,8 5 270,1-15-90,7 6 90,0-13 90,11-7 0,-9-1 180,8-10-90,-11 3-1,2-4-179,-3 3 180,4-4-180,-3 6 270,12 0-180,-10 7 0,5 5 90,-7 8-90,4 16 0,-2-3 0,7 34-90,-12-29 180,7 29 180,-9-20 449,0 19-539,-4-21 360,-7 13-1,-5-20-179,-10 5-180,-6-5-90,-9-5-180,5-8 90,-3-5-360,-17-4 0,17-4-1439,-41 0-1080,24-7-89,-2-1-1349,13-5 4227,24 1 0,7 2 0,6 3 0</inkml:trace>
  <inkml:trace contextRef="#ctx0" brushRef="#br0" timeOffset="881">1399 87 9871,'4'-10'9830,"0"1"-9046,-2 11-244,-1 1-90,-3 12-1,-1-3 1,0 4-180,0 2 0,-2 3-90,-1 3-3482,0 2 3122,-4 19-540,-1 5-2248,-11 43 1979,9-37-1350,-7 26-360,12-48 271,0-2 1860,0-5 1,6-19 0,-1 0 0</inkml:trace>
  <inkml:trace contextRef="#ctx0" brushRef="#br0" timeOffset="1212">1198 64 7713,'-4'-10'3148,"0"0"-1709,-1 3-90,-2 1-269,-3 3-631,-3 4-89,3 3-90,0 2-90,3-1 0,2 1 90,0 1 89,2 11-269,4-10 180,4 6 180,4-16 180,1-4 89,-2-5-89,-1-2-180,-4-2-181,-3 0-179,-4 1-180,-2 3-899,-3 5 269,-1 6-179,1 4-270,1 5-181,4 2-179,0 5-4947,2 14 6476,1-3 0,3 14 0,2-7 0</inkml:trace>
  <inkml:trace contextRef="#ctx0" brushRef="#br0" timeOffset="1479">1434 567 10141,'31'-24'9830,"-7"3"-8956,-22 9-784,-2 2 180,-2-1 90,-3 2 179,-3 1-179,-2 2-270,-3 1-540,-1 4-179,-1 4-1170,4 0-1080,-1 5-1978,5 0 4857,1 3 0,3-4 0,2-2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4:54.403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1 318 9961,'0'-16'5667,"0"0"-3508,2 3 539,0 2-2158,3 9 0,-1 3 89,3 8-179,-3 0-1655,2 9 1475,-1-3 0,2 6-91,-2-3 271,3 17-270,2 9-180,0-4 0,0 7 0,-7-33 2015,3 7-2015,-4-20 0,-1-8 0,-1-8 180,-6-29-90,3 15 0,-4-23 269,-1-14-179,2 24 0,-2-24 0,5 36 810,-1-17-721,1 19 991,-2-28-1170,3 36-90,2 0 0,2 21 0,3 13 0,15 37 0,-7-20 0,27 54 0,-20-51 0,28 31 0,-26-42 0,11 6 0,-4-20 0,0-13 0,0 0 0,0-23 0,-16 7 0,5-23 0,-8 2 0,3-31 0,-7 29 0,1-14 0,-6 39 0,1-6 0,-2 9 0,-1 10 0,0 6 0,0 21 0,1-4 0,0 10 0,0 11-5847,3 44 3508,1-22 135,0-9 1,3-3-1035,1-9 3238,13 17 0,-6-29 0,7 5 0</inkml:trace>
  <inkml:trace contextRef="#ctx0" brushRef="#br0" timeOffset="948">678 509 8882,'2'-10'6026,"0"-3"-4766,-3 3 1078,-1-3-449,-2 1-719,-1 1 1348,-1-2-2608,7 10-269,3 4 89,4 6 0,2 1-360,3-3 360,-2-2-89,9-1 269,-8-3-90,10-6 180,-9 0 629,11-15-359,-14 9 1169,7-29-1079,-14 24 809,-8-29-899,-1 31 450,-12-12-180,-4 17-361,-4 6-89,0 5-180,-1 13-359,5 9-811,-1 10-2248,8 16 2339,10-13-990,14 15 181,12-20 628,14 5 451,8-10 269,16-10 720,-17-10 360,14-12 1529,-6-22-1350,-16 10 1350,10-29-1259,-35 30-1,2-11 631,-11 9 179,-3 0-90,-5-2 540,-17 2-1709,8 11-1,-10 4 91,6 12-180,1 7 0,-4 11-270,6 7-270,10 5-179,11 3-451,10-1-539,18 0 1169,-8-16-539,28-9 809,-29-16 0,16-7 270,-10-22 0,-9 7 180,11-31 89,-14 6 181,2-17-270,-8 16-90,-2 3 629,-3 9-449,-3 11 179,0-6 451,-1 8-810,-3-1-270,-2 6 0,-5 10 0,2 14 0,-4 18 0,6-4 0,-2 20 0,7 1 0,12 45 0,-1-32 0,6-2 0,3-4 0,0-15 0,28 24 0,-27-39 0,18 5 0,-23-17 0,21-12 0,-21 1 0,15-16 0,-22 9 0,6-24 0,-11 21 0,3-19 0,-6 20 0,-1-2 0,-2 6 0,0 9 0,-1 5 0,0 9 0,0-1 0,0 9 0,0 4-4138,-3 22 1260,3-16 719,0 8-7672,2-18 9208,1-2 0,0-5 0,0-4 0</inkml:trace>
  <inkml:trace contextRef="#ctx0" brushRef="#br0" timeOffset="1073">1396 292 8792,'-4'-8'2519,"-1"-2"-2519,0 3 0,2 1 0,0 3 0</inkml:trace>
  <inkml:trace contextRef="#ctx0" brushRef="#br0" timeOffset="1895">1810 394 11940,'7'-16'5667,"-3"3"-4498,-7 2-89,-2 1-4342,-1 1 4251,-1 0 1040,-2 0-230,-6-2-1170,2 3 721,-18-2-1170,13 8 89,-10 1 3303,11 5-3482,1 3-90,1 2 90,-5 9-180,6-3-270,-5 23 181,12-17-451,5 27 360,6-28-539,15 22 539,-7-26-90,20 8 270,-17-18 0,19-6 90,-19-4 0,18-17 90,-19 8 720,15-23-451,-18 21 991,12-23-1081,-15 25 271,5-8 270,-7 14-810,1 4 0,0 4 0,2 7 0,-5 1-630,0 1-989,1 2-3508,2 7 3058,-1-5 450,4 6 90,-4-13 989,4-2 540,1-7 270,3-9 0,-4-1 1529,6-14-990,-8 11 1,5-8 719,-5 6 2878,4-5-2877,-1 4 179,2-1-1709,-5 15 0,0 7 0,-1 6 0,-3 2 0,-1 3 0,-2-2 0,-1 1 0,0 13 0,-1-4 0,-1 14-630,1-15 540,4-3 0,0-14 0,6-11 90,-3-3-90,7-13 180,-5 7 0,8-13 0,2 3 180,15-11-90,-7 11 90,29-7-270,-28 22 0,26-5 0,-19 13 0,18 10 0,-22 1 0,8 15 0,-27-9 0,1 13 0,-6-3-1979,-3 13-270,-4-12-7196,-5 16 1620,2-23 7825,-3 7 0,6-17 0,0-3 0</inkml:trace>
  <inkml:trace contextRef="#ctx0" brushRef="#br0" timeOffset="2046">2693 614 14998,'-5'-6'2069,"-1"0"-2069,1-2 0,2 5 0,2-2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4:50.83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296 172 8432,'12'-2'8995,"0"-1"-7196,-4 1-1259,-6-2-360,-5 0 0,-6-1-1,-1 2-89,1 0 180,-7 1-90,3 0 180,-26 0-360,20 3 90,-29 5-90,30 0 90,-17 8-90,19-4 90,-15 22-90,18-16 90,-11 25-90,19-25 0,-1 14 90,6-16 0,7 17 0,-3-19 179,13 10-89,-4-20 90,3 0 0,-3-6 540,13-14-631,-10 8-89,11-10 90,-6 7-90,-5 4 0,12-4 0,-11 7 90,19 0-180,-17 6 90,19 5-90,-13 6 90,13 17-90,-14-5 0,4 18 90,-19-9-90,-3 10 180,-16 13 359,-22 1-359,2-11 0,-12-8 90,4-19-90,-3-4-180,-10-2-270,-7-10-180,20-3-1169,-12-11-1169,24-3 359,-2-7-269,13-4-2609,15-8 1709,5 10 3598,10-3 0,1 12 0,2 0 0</inkml:trace>
  <inkml:trace contextRef="#ctx0" brushRef="#br0" timeOffset="382">522 303 7892,'10'-8'3868,"-1"0"-2698,-2 1 1078,0 1-359,0-3 1799,-3 2-3328,-6 4-90,0 4 0,-6 8-1,3 1 1,0 4-90,1 1-90,0 4 90,1 1 0,2 22-270,12 19 90,-3-10-90,16 7 90,-3-41 0,15-6 0,-8-9 0,15-19 90,-19 0 810,20-30 89,-20 9 270,5-32-809,-19 30 719,-23-43-899,1 50-180,-14-24 90,-2 33-90,-3 8-180,-13 5-1619,-20 24 540,20 3-4138,-30 39 3418,46-24 1889,-16 45 0,34-54 0,0 16 0</inkml:trace>
  <inkml:trace contextRef="#ctx0" brushRef="#br0" timeOffset="941">1474 57 10951,'-4'-9'8005,"-3"2"-7195,-3 8-1,-1 2-89,-2 6-1,3 1 181,-3 4 359,-10 16-359,-4 8-541,-2 4-44,2 3 0,-1 6-1394,-16 38 674,20-41 0,0 0-1529,1 5 0,4-6 495,6-13-4947,-10 26 1079,14-40 5307,-2 6 0,7-21 0,2-1 0</inkml:trace>
  <inkml:trace contextRef="#ctx0" brushRef="#br0" timeOffset="1130">1062 264 8882,'-1'-13'2968,"1"0"-1708,-1 1-451,0-1-1169,1 0-629,4 7-1170,-2 5-1079,5 10 3238,-2 3 0,-3-6 0,1 0 0</inkml:trace>
  <inkml:trace contextRef="#ctx0" brushRef="#br0" timeOffset="1267">1298 537 12750,'8'-2'-1859,"-4"0"0,0 1 0</inkml:trace>
  <inkml:trace contextRef="#ctx0" brushRef="#br0" timeOffset="1514">1599 402 9961,'7'-9'9830,"-3"9"-6887,-1 5-2313,-2 6-181,-1 4-89,1-3 270,0 18-630,0-10-630,1 19 1,0-19-2969,2 18 2158,-1-19-1708,3 14-1079,-3-20 4227,1 3 0,-3-11 0,1-1 0</inkml:trace>
  <inkml:trace contextRef="#ctx0" brushRef="#br0" timeOffset="1635">1589 298 7623,'-3'-17'2968,"0"1"-2338,0 2-181,1 2-89,-1 2-360,-1-1 0,2 5 0,0 1 0</inkml:trace>
  <inkml:trace contextRef="#ctx0" brushRef="#br0" timeOffset="2215">1703 478 11400,'4'10'7106,"-1"1"-6116,0 1-630,0 2-90,0-2-1,1 0-179,0-3 90,1-1-90,0 0 0,5 1-90,-1-3 0,8-1-90,16-21 90,5-20 90,1-2 0,-14-8 0,-5-2 0,-5 5 135,0-11 0,-3 1 45,-7 14 539,0-29-269,-6 40 1259,-8-27-1439,3 33 449,-9-17-539,5 32 180,-4 5-270,3 8-1,-2 15-89,5 7-90,0 18 0,5 6-359,11 11 89,10-3-90,11-4 0,9-12 180,3-13 90,2-15-90,1-14 180,-1-13 0,1-13 0,-4-12 90,-8-7 0,-8-6 270,-10 1 270,-7 2 359,-5 5-539,-4 13 90,-12-3-540,5 20 0,-18 3 0,15 14 0,-6 8 0,9 0 0,-2 15 0,4-5 0,-1 10 0,8 4 0,1-10-540,4 10-3418,7 1-179,8 0 539,12 5 3598,20-9 0,-11-17 0,10-7 0</inkml:trace>
  <inkml:trace contextRef="#ctx0" brushRef="#br0" timeOffset="2780">2713 233 9602,'-9'-2'3867,"0"-1"-2697,1 1 1168,-1 0-629,-4 1 0,1-1-269,-2 1-1171,11 3 1,3 0-90,10 1 0,3-3-90,4 0 90,6-1-180,7-1 180,47-3-180,-24 1-135,9 0 0,1 0-135,-8 1-450,7 0 1,-2 0 539,-17 2-180,31-2 180,-54 2-90,11-2 360,-17-1 90,2-4 90,-14 0-90,-4-4 0,-4 3 270,-4-3-91,2 5 1171,-12-8-901,8 8 1080,-18-9-1259,16 10 629,-17-5-809,16 7-180,-5 1-180,18 5-90,8 3 0,7 1 1,5 0-1,-3 0-450,17 7 450,-11-4-180,25 16 270,-29-13-179,17 19 269,-23-17 0,2 20-90,-12-19-1889,-14 21 540,1-19-3149,-27 24 900,18-23 3688,-19 14 0,29-23 0,-2 2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28.19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1404 97 14279,'-5'-7'2249,"-3"1"-2070,-6 3 1,0 1 0,-1 1-90,2 2 0,-1 0 180,-47 8-270,26-3 0,-17 4 0,-3 2 0,1 1 0,1 1 0,-1 0 0,-9 3 0,-4 1 0,1 1 0,0-2 0,-14 2 0,1 0 0,21-6 45,-9 0 0,3-1-45,19-5 90,-31 2 0,48-7 270,-26 0-270,32-2 89,-18-2-179,24 1 0,-2 0 0,4 0 90,1 1 90,3 1-90,3 4 0,4 4 0,3 1 90,3 7 0,-1-5 90,4 15-180,-2-8 180,3 20-90,-1 0-91,1 15 91,1 7-90,4 35 0,-5-36-90,2 18 0,-6-48 90,4 19 90,-2-3-180,1-1 0,-2-12 90,-2-20 0,1 9-90,0-1 0,0 0 0,2-5 0,0-9 90,5-3 0,4-3 0,0-1 0,9-2 180,11-1-180,-5 0 179,46-4-179,-40 4 90,56-4-180,-54 4 90,54-5-90,-50 4 90,58-5-90,-54 5 0,5 0 0,1 0 0,-5 0 0,38-3 0,-46 3 0,22-3 90,-1-1-90,13-4 0,-13 2 0,0-1 0,-34 6 0,28-7 90,-31 7-90,14-3 270,-16 2 180,-7 3-91,7-2-89,-10 1-90,0 1-90,-1-2 0,-2 0-90,-2-1 0,0-1 90,0-2-90,0-2 0,1-3 90,-2-3-90,0-4 90,-2-5-90,-2-31 90,-2 18 0,-5-54-90,3 52 0,-5-52 0,4 53 0,-5-44 0,5 49 0,-5-26 0,5 34-90,-5-26 90,5 31-270,-5-24-360,6 33-539,-1-9-6656,2 12 179,-3 5 7646,3 7 0,-1 2 0,2 2 0</inkml:trace>
  <inkml:trace contextRef="#ctx0" brushRef="#br0" timeOffset="772">4881 178 8972,'-8'-6'3958,"1"0"-2429,-2 0 989,1 1-1079,-2 3-809,3 7-90,2 4 0,2 7 359,2 11-629,1-1 719,1 48-719,1-29-45,1 12 0,0 2-135,0-4-180,0 8 0,1-1-180,0-7-989,4 44-270,-3-44-1170,4 20 1530,-3-31-1170,1 4 2339,-2-28 0,-2-5 0,0-7 0</inkml:trace>
  <inkml:trace contextRef="#ctx0" brushRef="#br0" timeOffset="1402">4779 325 9242,'-15'-13'3238,"1"0"-2519,1 2-179,2 1-90,1 2 90,2 0 449,2 0 180,9-11-809,3 7 180,34-16-450,-10 17 90,24-6-622,-14 8 532,11 0 0,4 1 0,41-7-90,-22 5 45,6-1 0,1 0-45,2 0 45,11-3 0,-2 1 45,-18 2 45,0 0 0,-4 1 45,-23 4 539,35-5-449,-56 8 1259,20 0-359,-31 3-271,5 3-359,-16 4 261,-4 4-621,-1 4 0,0-1 0,0 2 0,2-2-1,-1 1 181,4 39-360,-1-22 0,9 59 0,-6-51 0,11 54 0,-8-50-225,1 6 1,1 0 134,-2-5-90,1 5 0,0 1 180,-1-9-180,6 46 180,-10-55 90,1 37-90,-7-42 180,-9 32-90,1-34 180,-26 28-181,12-32-89,-47 19 0,31-26-45,-17 0 1,-3-2-136,-6-5-450,-18 0 0,-4-1-321,2-2-398,-13 0 0,1 0-62,17-1 241,8 0 1,3 0-180,14 1-3906,-37 2 1747,52-3 3508,-15-1 0,43-2 0,6-1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5:42.86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36 448 8522,'-3'-11'8815,"-1"1"-8275,0 9-270,1 7-4342,1 5 4252,1 4 769,1-2-679,-1 16-270,1-10 90,-1 28-90,0-26 90,0 12 3302,0-16-3392,1-2 180,-1 4 0,0-3-90,-3-7 0,2-8 90,-1-19 0,1-10-90,1-3 89,2-35-89,0 15 180,2-26-90,0 28 270,10-30-360,-6 48 180,10-23-90,-7 48-180,1 4 179,2 15 1,-1 10 0,0 3 0,9 32-90,-3-12-90,8 21 0,-2-16 90,1-9-90,-6-15 0,11-3 90,-4-19-90,13-10 0,-13-6 0,4-23 0,-19 18 90,9-22-90,-13 22 0,5-17 0,-8 21 450,4-11-360,-2 20 0,0-1 90,-1 13-91,-2 1 1,-1 2 0,2 10-90,-1-4 90,7 31 0,-4-26-90,9 27 0,-8-34 0,6 7 0,-5-16-90,9-3 90,-8-6 0,16-21 0,-14 10 90,12-23 90,-16 22 90,6-11 180,-6 12 89,0-2-179,1 5-180,2 12-90,-3 3 90,2 14-270,-5-5 90,2 13-989,-1-2-1440,1 7-449,-1-1-181,1-3-1708,-2-8 4767,-2-2 0,-1-12 0,-1 0 0</inkml:trace>
  <inkml:trace contextRef="#ctx0" brushRef="#br0" timeOffset="114">678 337 8252,'-6'-17'539,"3"6"1,1 6 0</inkml:trace>
  <inkml:trace contextRef="#ctx0" brushRef="#br0" timeOffset="1268">1176 522 8792,'-2'-12'5037,"0"2"-4137,-6 1-1,0 1-89,-2 1-91,-1-1 361,-8-4-1,-12 1-809,2 5-90,-12 14-90,20 5-90,-2 10 0,11-5 90,0 3-90,2 0 0,-4 21 0,6-15 0,-2 23 0,9-28 90,7 22-90,-1-26 0,15 14 0,-9-27 0,15-4 90,-12-8-90,19-25 0,-10-6 89,10-23 1,-15 12 450,-1-26-180,-11 26 90,-1-20 179,-7 22-179,-3 9-180,-3 7 0,1 13-90,-3 6 179,-2 18-89,0 11 0,0 20-180,8 12 0,8 31 0,2-24-180,15 39 90,-9-59-360,21 34 270,-16-48-629,22 11 629,-21-27-180,34-17 270,-29-2-90,32-42 90,-35 23 0,16-40 0,-22 33 0,8-48 0,-13 40 90,-3-7 0,-2 1 0,-3 13 90,-4-30-90,0 49 0,-4-5-90,0 15 0,-7 13 90,3 7-1,-11 46-89,12-18 45,1 12 0,1 3-45,3-4-45,3 8 0,1 0 45,3-9 0,3 23 0,3-26 0,7 2 0,-2-9-89,14-1 89,-14-28 89,32-17-89,-25-4 0,30-38 0,-32 23 0,16-49 0,-21 38-89,8-56 89,-15 53 0,3-38 0,-8 46 0,-5-40 0,1 42 0,-11-39 0,7 49 0,-10-22-90,9 28 90,-4-6-90,4 9 90,0 3 0,-1 0 0,-1 6 0,3 5 0,0 6 0,3 4 0,1 4 0,1 3 0,1-3 0,0 1 0,3 15 0,-1-12 0,2 14 90,0-16-90,0 1 0,3 21 0,-2-14 90,6 46-90,-2-15 0,0 2 0,1-4 0,-4-35 0,6 25-90,-5-24-270,10 25 90,-10-30-270,8 12 1,-7-16-3239,12 8-540,-6-12-2248,7 2 6566,-10-10 0,-4 0 0,-3-2 0</inkml:trace>
  <inkml:trace contextRef="#ctx0" brushRef="#br0" timeOffset="2280">2376 432 7623,'-4'-11'3867,"0"-1"-2967,1 0-1,-1-1 1,0-1 719,-1-6-809,1 5-271,-1-4-89,2 8 1439,-2-5-1709,6 16 90,0-1-180,6 20 89,0 3-89,2 6 0,0 4 0,1 4 90,7 20-180,-4-13 90,6 7 0,2 0-90,0-6 90,23 38-90,-26-60 90,16 3 180,-11-24 180,15-20-271,-18-4 1,6-31-90,-16 9-90,1-16 0,-6 8-90,-3 6-899,-2 9-450,1 14-1530,-1 1 721,2 13-1350,1 4-90,4 9 3688,-1 5 0,-1-1 0,-2-3 0</inkml:trace>
  <inkml:trace contextRef="#ctx0" brushRef="#br0" timeOffset="2630">2908 566 9422,'9'-3'6656,"-3"-3"-5757,-5-5 1,-1 1-181,-3-1-179,-1 4 360,-1 1-361,-4-2-359,-3 5 90,-3 3-180,2 4 90,-8 19-90,11-7-90,-6 25 90,13-22-90,5 21 0,3-25 0,14 12 0,-8-20 90,17-1-90,-15-9 359,19-21-179,-20 9 360,13-22-270,-17 19 629,6-16-629,-8 18 90,4-11 0,-6 15-360,4 6 0,-3 6 0,1 8 0,-3 1-2519,4 14 990,-2-7-5577,10 25 630,-7-22 6476,7 10 0,-10-21 0,-1-2 0</inkml:trace>
  <inkml:trace contextRef="#ctx0" brushRef="#br0" timeOffset="2861">3486 198 9602,'-5'-53'9624,"-1"5"-9084,2 45-1,-2 2-179,1 14 90,0 7-90,0 7 179,-1 7 631,-9 63-900,4-31-61,2-5 1,-3 12 0,2-8-120,-5 20-902,-1 5 0,0-3-267,3-23-1080,0-6 0,0-2 90,0-5 2069,1 0 0,-1-2 0,3-12 0,-4 18 0</inkml:trace>
  <inkml:trace contextRef="#ctx0" brushRef="#br0" timeOffset="3897">4160 528 9602,'-1'-15'6206,"-2"-1"-4947,-2 3-359,-2 0-181,-4 4-359,-3 5-180,3 2 0,-1 4 0,4 2 180,-3 9-270,6-3 179,6 19-269,5-13 180,35 34-180,-18-27 0,43 31 90,-40-35-90,20 14 90,-29-20 1979,13 11-1529,-19-13-360,1 5 89,-14-10 91,-24 0-360,7-4-90,-43 0-269,28-4-1261,-33-3 721,36 0-1889,-25-10 1888,30 6-2428,-19-22 2788,34 17-179,-3-19 449,16 17 90,16-22 360,-5 16 989,43-38-809,-28 35 90,25-19 359,-17 21 181,1 1-181,7-1 900,6 11-1349,-21 9 0,4 7 269,-18 13 91,4 26-630,-5-10 0,1 17 90,-4-2-90,-4-17-90,9 28 90,9-6-90,-8-16-90,24 12 90,-24-39 0,29-5 0,-25-11 90,30-27-90,-29 10 90,17-43 0,-27 33 0,-2-50 0,-13 44-90,-21-45 0,7 49 0,-32-25-90,24 43-360,-22-4-180,24 19-3597,-32 18 2697,31-4-6205,-23 23 7735,35-16 0,1-1 0,8-10 0</inkml:trace>
  <inkml:trace contextRef="#ctx0" brushRef="#br0" timeOffset="4165">5067 318 9961,'-1'-10'7196,"-4"8"-6746,2 2-90,-2 10 0,2 1-91,-1 4 181,-3 14-270,1-3 90,-10 39-360,7-28-1619,-12 53 719,12-51-4227,-10 41 900,12-51 4317,-4 13 0,9-32 0,0-3 0</inkml:trace>
  <inkml:trace contextRef="#ctx0" brushRef="#br0" timeOffset="4310">4936 379 8072,'-6'-19'3149,"-1"1"-2520,1 2-89,0 2-180,0 3-270,-3-2-3328,0 3 3238,-1 6 0,5 2 0,1 5 0</inkml:trace>
  <inkml:trace contextRef="#ctx0" brushRef="#br0" timeOffset="4464">5043 621 12480,'-8'2'359,"3"-1"1,1 0 0</inkml:trace>
  <inkml:trace contextRef="#ctx0" brushRef="#br0" timeOffset="4847">5713 551 8522,'-1'-11'9355,"3"8"-8816,1 3-179,1 11-180,-2 4-90,-1-1-90,0 1-270,0-3-359,-1-1-1260,1 6 450,-1-4-6207,2 10 7646,0-11 0,-1-1 0,0-7 0</inkml:trace>
  <inkml:trace contextRef="#ctx0" brushRef="#br0" timeOffset="4968">5724 458 8162,'-6'-12'2879,"0"0"-2340,-1 2-179,2 1-360,-1 1 0,-1 1 0,4 3 0,-1 1 0</inkml:trace>
  <inkml:trace contextRef="#ctx0" brushRef="#br0" timeOffset="5716">5843 667 8792,'-4'16'6206,"1"-4"-4137,-3 1-630,1-5-89,0 2-541,2 0-359,4-3-90,5 1-270,7-3 90,0-2-1,8-3 1,16-11-180,-10 1 90,29-25-90,-33 13 0,25-43 0,-28 30-90,13-56 90,-23 49 0,3-47 0,-12 54 180,-5-30-180,0 42 0,-5-8 0,3 21 90,-1 2-90,-3 4 0,1 3 0,-2 6 90,-1 12-90,-1 12 90,-1 47-90,7-23 0,8 2 0,2 0 0,5-11-90,21 46 90,-12-55-180,29 20 180,-23-39 0,32-2 0,-28-16 0,39-23 0,-38 6 90,28-36 0,-38 27 720,9-34-630,-21 37 359,-3-23-449,-5 32 90,-4-8-90,0 17 90,-12 8-180,6 4 90,-20 35-90,21-17 0,-7 43-90,17-40-540,12 31 361,0-35-1,11 10-360,6-16-269,29-10 809,-14-2 0,15-11 0,-20-10 180,9-24 90,-12 10 449,3-20-269,-31 31 450,-3-19-721,-5 24 181,-11-9-180,4 22 0,-13 12 0,12 1-180,-5 25-90,11-17-2878,7 28 1889,3-27-3239,24 25 1350,-11-29 2210,27 10 0,-17-18 0,10-1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32.8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218 270 7892,'0'-12'2339,"-1"1"-1619,1-1-1,-1 1 1,1-2-90,-1 1-91,1-1 631,-1-7-631,1 6 721,-2-10-631,2 7-179,-2-2 0,1 4 449,1 2-539,2 20-90,0-2 0,3 17 0,-1-4-1,-1 5 451,4 20-360,-3-6 809,6 59-809,-5-32 44,0 9 1,-1 2-1277,0 6 1097,-1-10 0,1 1 134,1 25-484,-1-24 1,1-1 214,2 23-90,-3-43 0,1-2 0,3 20-45,-3-16 0,1 1-45,2 23-360,-2-12 1,0-4-181,-4-20-2180,0 37 1910,-3-50-2428,-4 22 630,1-35-3188,-9 4 5886,5-20 0,-1 0 0,5-3 0</inkml:trace>
  <inkml:trace contextRef="#ctx0" brushRef="#br0" timeOffset="600">187 172 8252,'-4'-9'6387,"-1"1"-5668,0 6-449,1 6 0,0 3 0,0 5 0,1-1-90,-2 4-1,0 1 181,-7 14 0,-14 27-180,-6 12-90,4-8 0,2-6 0,19-40 90,-5 9-90,9-23 0,1 1-1,6-14 1,8-14 0,-1 1 270,22-40-180,-13 27 135,4-7 0,1-1-135,5-5 0,7-11-91,-13 24 451,-1 3-360,-10 16 180,8-11 90,-10 14 359,0 2-629,2 5 90,-6 9-90,2 5 359,-2 7-179,-1-1 450,12 26-720,-9-17 0,8 17-360,-6-9-810,0 4-1078,5 11-1440,3 7 1979,-5-15-2969,5 9 1,-9-24 4587,2 2 0,-7-13 0,-1-3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43.79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109 130 7803,'-14'-1'3597,"0"0"-2607,1 1-1,1-1 900,0 1-270,-2-1 630,0 0-180,1-1-1439,10 1-1,5 0-89,10 0-180,1 2-90,5 0 179,16 1-269,-2 1-180,53 2-90,-32-1-135,3-1 0,3-1-584,26 0-975,-13-1 1,1-1 1334,18 0-816,-18-1 1,-5 0 904,-18-1-449,41-1 719,-62 1 0,13-3 270,-29 1 809,1-10-449,-12 6 2120,-7-10-2120,-4 9 3704,-26-13-3704,18 12 719,-30-14-899,33 17-90,-11-4-180,24 9-90,2 1 90,9 4-180,1 2 90,2 1 0,9 6 90,5 6-180,13 14 90,-14-10-180,8 24 0,-25-27-989,3 19 269,-12-23-4857,-14 24 4048,5-20-1799,-9 13-2608,8-18 6116,1-3 0,4-4 0,1-2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46.43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0 337 21115,'12'-6'2069,"0"1"-1619,8 3-1,-1 1-179,7-1 90,5 0-180,6-1 0,5 1-90,3-1 89,27-1 1,5 0-180,8-1-624,14 0 0,-1 0 534,-17 0-180,2-2 0,1 0 0,0-1-315,8-1 1,-3-1 134,-24 3-90,-1-1 1,-5 1 269,-23 2-179,26-3 359,-41 5-90,14-5 90,-23 4 90,6-4 0,-12 1 1326,-1-3-1326,-4-2 462,-7-5-372,0 5 989,-13-12-629,7 13 539,-13-10-89,5 8-1,-5-2-89,0 2-271,2 2-179,1 3-180,7 2-90,2 2-450,16 8 1,0-1-91,13 6-180,0-2-1529,27 10 1440,-14-5-900,38 21 1259,-39-16-180,22 23 450,-34-21-629,4 31 89,-20-27-1709,-22 40 1260,4-36-4048,-35 40 1709,28-39 3418,-13 14 0,28-31 0,4-3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7:02.19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120 486 9691,'-9'-9'6027,"1"2"-11058,-3 5 6201,0 5 688,0 4-1048,-3 13 859,2 14-1489,3-3 269,7 49-449,7-42 90,20 53 0,-7-57-90,29 27 0,-23-41 0,14 6 0,-9-19 90,25-21-90,-16 3 180,30-40-180,-46 22 3482,9-21-3392,-21 18 0,-3 1 0,-4-1 180,-6-19-180,-2 12 179,-11-9 1,-2 0-90,-3 4 45,-9-4 0,-2 4-135,5 19 180,-37-13-270,37 31 0,-18 2-3302,22 10 3302,-3 5-90,-23 29 90,19 15 0,-6 1-90,45 23 90,7-46-90,43 35 0,-25-42 90,39 17-90,-34-28 45,11-3 0,2-2 45,-4-4 0,10-3 0,-1-2 0,-18-5 0,34-7 0,-43 4 90,14-5-90,-16 3 4202,10-6-3663,-16 6 721,-1-1-721,-12 12-269,-5 6-90,-1 3 0,-3 6 90,0 6-180,-1-2 0,-1 20-90,1-2-540,-1 12-989,2 0-1439,-1-2 1618,1-12-3507,2 10-3508,1-19 8365,0 5 0,-1-18 0,-2-9 0</inkml:trace>
  <inkml:trace contextRef="#ctx0" brushRef="#br0" timeOffset="693">1188 565 10501,'-8'-4'9714,"9"0"-9354,7 2-90,6 0 0,6 1 0,-1 0-90,4 0 179,5 0 181,44-3-360,-24 1-90,43-4 90,-2 0-180,-13 0 90,16-2 0,9-1 0,-18 1 0,-2 0-250,4 0 0,-1 0 160,-6 0 0,-11 2 0,-21 3 0,36-2 0,-34 3 0,21-1 90,-36 2 90,-2 1 90,-19 0 679,0 0-589,2 0-90,-3 0-7016,2-2 6746,-8-3 0,-1 4 0,-5-3 0</inkml:trace>
  <inkml:trace contextRef="#ctx0" brushRef="#br0" timeOffset="1917">3198 401 9422,'-6'-8'6476,"1"0"-3508,0 2-1978,-2 2-541,1 5-89,-1 4-90,4 5 0,1 1 0,0 3-90,1 2 0,1 2 89,2 12 1,13 30-270,-5-19 90,18 24-90,-13-43 0,34 13 0,-25-23 90,30 1-90,-22-24 90,7-12 0,-1-13 90,-5-26-90,-14 16-90,-7-27 90,-14 16 0,-5-16 270,-7-2 269,-11-7-449,5 29 180,-12-8-90,6 32-90,-8 1-90,-1 11 0,-9 15-1,14 7 1,-11 16-90,22-3 0,-12 29 0,15-7 0,-1 32 0,14-28 0,13 19-90,2-33-89,26 32-1,-3-23-630,31 23 360,-25-31-1618,32 15 1438,-45-30-1439,30 17 1350,-41-23-1440,18 9 1439,-22-13-1259,10 4 810,-9-7-270,12-6 1079,-10 0-90,11-9 450,-16 5 0,5-2 540,0 0 269,-1 0 1080,6-3-899,-6 3-91,-1 1 271,-5 3-1,-1-1 270,-1 1-539,1 0-630,2 3-91,-1 4-179,2 4 90,-3 1 0,0 1-90,-2-2 90,5 8-90,-3-4 0,4 9 90,-7-9-90,2 7 0,-6-1 0,-4 8 0,-2-4 0,-4 1 0,1-6-180,1-4 180,7-7 0,4-1 0,8-6 0,0 2 0,2 2 0,4 1 0,-4 1 90,5 1-90,-5 0 0,13 7 90,-12-5 0,12 9 0,-19-8 0,-7 14-90,-6-9-180,-31 21-270,8-18-1079,-36 14-809,12-10-6927,-24 3 9265,27-8 0,9-5 0,31-8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44.71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77 436 8882,'-6'-10'5667,"0"1"-3509,0 2-808,-2 1-91,1 4-629,-3 5-1,3 4 1,0 3-90,2 1 269,2 2-89,0 2 989,5 19-1260,1-11 721,30 44-810,-2-30-181,15 13 541,37-18-630,-45-22 270,58-3-270,-66-13 90,17-8-90,-9-11-90,-4-8 0,0-2 0,-13-1 0,-15 15 0,-3 0 0,-2-16 0,-4 5 0,-13-42 0,-11 4 0,-1-1 0,-13-2 0,9 32 0,-12-7 0,-19 5 0,13 20 0,-4 5 0,23 19 0,0 8 0,8 0 0,-29 40 0,32-23 0,-13 28 0,28-31 0,4 22 0,7-4 0,12 21 0,11-8 0,1-16 0,4 2 0,4-1 0,0-1 0,30 29 0,-26-30 0,-5-4 0,-11-9 0,25 26 0,-34-30 0,14 25 0,-21-25 0,6 24 0,-12-23-1080,0 24-179,-4-25-4408,-3 24 3958,2-25-8122,1 20 9343,2-24 0,1 2 0,-1-12 0</inkml:trace>
  <inkml:trace contextRef="#ctx0" brushRef="#br0" timeOffset="752">1026 683 10411,'-4'-9'7286,"-2"0"-5487,0 1-360,-1 3-629,-3 3-361,-2 3 1,1 3-90,0 2-90,4-1-90,-1 0 89,1 1-179,-1 0 270,-5 6-270,1-1 450,-1 2-360,10-7 0,4-5 89,8-5-89,-2-2 180,0-1 360,4-3 89,1-3 1,3-3-450,-1 0-360,-2 1 0,-2 3 0,-2 3 0,-1 7 0,-2 5 0,-1 9 0,-2-1 0,1 1 0,-1-2 0,1 10 0,1 0 0,1 9 0,-3-10 0,0 8 0,-1-13 0,0 11 0,-2-12 0,-1 3 0,-2-4 0,-3-2 0,-4-3 0,-1-2 0,-3-1 0,0-1 0,0-1 0,1 0 0,0-1 0,3 1 0,0 0 0,11 1 0,9-2 0,6 0 0,5-2 0,-2 1 0,26-3 0,-13 1 0,51-4 0,-48 3 0,31-3 0,-45 3-2429,5 1-3058,-5 0 3328,-6 1 2159,10 0 0,-16 1 0,4 1 0</inkml:trace>
  <inkml:trace contextRef="#ctx0" brushRef="#br0" timeOffset="2452">377 1943 8612,'-5'-9'3148,"0"0"-1619,1 2-89,-2-3 538,0 3-718,-3 0-181,0 6-269,1 7-451,3 5 1,3 0-90,2 2 0,3-2-90,1 0 0,3 1 0,1 1 179,15 10-89,11 1-270,-1-2-90,24-7 90,-29-14 0,42-17 0,-37 2 0,36-36 90,-41 22 180,19-48-90,-32 26 90,0-31-90,-20 10 180,-11-4-181,-3 16 541,-22-19-450,17 41 449,-35-30-539,32 44 270,-33-9-360,35 26 180,-32 11-90,27 13-180,-5 5 0,15 3 0,10-4 90,3 1-90,5 13 0,6 6 90,16 29-90,-2-21 0,18 21 0,-14-39 0,25 33 0,-12-22 0,14 19 0,-20-26 270,9 23-91,-22-34 181,11 28-90,-18-28-180,3 13-270,-5-12-989,0 7-1350,-3-13-2698,3 9 3418,-3-10 1799,7 6 0,-7-19 0,3 4 0</inkml:trace>
  <inkml:trace contextRef="#ctx0" brushRef="#br0" timeOffset="3183">1065 2052 9961,'-8'-10'3688,"1"1"-1619,3 2-1080,1-5-89,2 2-91,2-3-89,2 2-90,2 1-91,1 0 631,13-8-810,-5 8 449,19-6-359,-14 12-180,6 4-180,-11 4 90,-2 12-91,-8-1-89,-1 10 90,-8-2-90,-2 1-90,0-6 90,-5 6-359,4-9-901,-1 4 1170,9-10 0,3-6 90,8-4 0,2-1 0,3 1 90,-3 2-90,0 1 270,0 3 180,1 3 180,1 3 1079,0 6-810,-8 0-449,-4 2-90,-5-6 89,-9 1-269,-6-4-360,-1 0-1619,-23 0 720,16-6-2879,-35 0 2609,33-5-8482,-44-16 9320,47 7 1,-16-6-1,35 12 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40.23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47 320 9871,'-17'-1'6027,"2"1"-2789,2-2-2338,11-1-541,8 2-89,7-1 0,5 2-90,-2 1 0,2 0 0,2 0 1169,34 4-450,-14 0 91,26 3-450,-33-2 989,10 7-990,-23-4 811,19 19-1350,-22-5 0,3 16 0,-10-10 0,-4 22 0,-6-12-180,-1 17-2339,-4-10-1529,1-4 2339,0-12-8122,4 4 9028,3-17 0,-1 1 1,1-12-1</inkml:trace>
  <inkml:trace contextRef="#ctx0" brushRef="#br0" timeOffset="349">745 440 8882,'1'-11'9830,"-2"0"-6977,0 10-2583,5 6-91,1 7 1,5 2 0,0-1-90,2 1 180,23 26-270,-14-15 90,23 26 0,-26-30 719,18 24-449,-22-26 360,11 17-180,-20-24-181,-4 7-269,-4-10 180,-16 5-360,6-11-989,-29-4 359,18-3-2608,-35-15 2339,31 6-3869,-33-30 3599,41 23-2159,-12-23 3418,26 18 0,1 8 0,4 3 0</inkml:trace>
  <inkml:trace contextRef="#ctx0" brushRef="#br0" timeOffset="691">765 368 8162,'5'-8'4768,"2"-1"-3779,-2 1-179,2-1-1,-2 2-179,2 1 809,7-8-1169,-4 5 180,13-9-271,-10 9-89,5-3 90,5 0-180,-4 3-270,26-8 1,-20 10-721,40-5 630,-36 9-539,43 0 719,-41 4-360,36 4 450,-41-3 0,20 3 90,-22-2 270,3 0 180,-9-1 629,6 2-179,-12-2 179,7 1 1,-9-1-1080,1-2 0,-6 1 0,0-2 0</inkml:trace>
  <inkml:trace contextRef="#ctx0" brushRef="#br0" timeOffset="1049">1834 337 11580,'0'-16'9445,"0"2"-8276,1 11 1,-2 9-811,1 14 1,-1 1 0,0 3-180,-2-4 0,0 4 0,0 1 0,-7 27-270,3-18-2429,-16 54-3058,3-28 3598,-2 4 1979,-2-16 0,18-39 0,-3 2 0</inkml:trace>
  <inkml:trace contextRef="#ctx0" brushRef="#br0" timeOffset="1215">1576 414 10051,'-4'-12'4498,"0"1"-9259,0 1 5480,0 2 1410,1 0-4108,-2 0 1669,3 11-2208,2-1-1530,4 11 4048,4-2 0,-5-4 0,2-1 0</inkml:trace>
  <inkml:trace contextRef="#ctx0" brushRef="#br0" timeOffset="1367">1908 689 16258,'-8'3'-600,"4"-1"0,-1-1 1</inkml:trace>
  <inkml:trace contextRef="#ctx0" brushRef="#br0" timeOffset="1781">2420 604 10771,'3'-11'9265,"2"7"-9086,-4 9 1,2 4-90,-3 6-90,-1-4-180,1 2-269,0 0-991,-1 6-3777,3 11 2879,-1-8 2338,2 4 0,-2-20 0,-1-2 0</inkml:trace>
  <inkml:trace contextRef="#ctx0" brushRef="#br0" timeOffset="1897">2353 479 8252,'-5'-12'-449,"0"1"-181,0 2 630,0 1 0,3 4 0,-1 1 0</inkml:trace>
  <inkml:trace contextRef="#ctx0" brushRef="#br0" timeOffset="2664">2518 626 11131,'-2'11'8365,"-1"-2"-7646,1 2-359,2-2-180,3 2-90,3-4 90,1 0-180,1-3 0,0-1 0,1-1-180,7-1 90,-2-3-360,22-12 271,16-27 89,-9 7 135,-4-12 0,-6-3 44,-12 8 46,0-13 0,-3 0 45,-11 11 360,-1-50-270,-8 55 899,-11-38-719,5 47 719,-13-22-809,11 36 270,-6-5 89,0 21-179,2 12-360,-2 6 359,4 51-539,10-28-45,6 13 0,2 0-134,7-8-226,7 3 0,3-2 45,2-9 0,17 17-809,9-20 540,-8-14 179,20 1 270,-27-18-90,4-13 180,-10-7 360,9-20-90,-15 8 449,-1-17 361,-16 14-1,-3-6-89,-6 5-181,-5 5-179,-5 7-90,-5 7-90,-7 12-360,7 5 0,-4 13-180,13 1-2519,12 24 1710,2-15-1979,28 20 2248,-14-33-539,26 7 1079,-25-19 90,19-3 360,-22-5 449,11-8-269,-16 4 3328,12-23-2339,-16 18-180,5-16-89,-12 20-1170,0 8-720,-1 4-449,1 10-630,-1 0-450,2 1-2248,2 9 539,2-5-3148,1 5 7106,1-7 0,-5-7 0,1-1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6:36.9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110 270 8522,'-16'3'3148,"1"0"-2248,1-1-181,2 1 361,1-2-181,-3-1 181,2-4-631,1-4 1,6-2-90,6-2 90,3 2-1,4-2-89,5-1 0,5-2 0,5 0 539,51-14-719,-33 16 90,11 2 0,-2 4-180,-15 10 450,35 19-361,-45-6 91,19 35-180,-31-23 90,-1 42-180,-15-35 180,-22 49-180,6-45 0,-15 21 90,-20-5 90,7-17-90,-12 8 270,3-25-180,32-16 89,-16-4 271,23-11 899,3-18-1079,8 9 450,17-18-631,0 24 271,24-12-360,-15 16 90,32-1-180,-28 8-180,16 3-719,-9 5-900,2 5-990,10 5-89,0 4-270,-1 0-1440,0-1 4588,-1-5 0,-18-6 0,-6-4 0</inkml:trace>
  <inkml:trace contextRef="#ctx0" brushRef="#br0" timeOffset="437">1012 183 9332,'-9'-8'3238,"0"1"-2339,-1 1 1,0 0-1,-1 0 1,-1 1-1,-1 1-89,-1 0-91,0 2 900,-13 1-1259,10 1 450,-17 7-540,22-1 269,-4 17-359,15-9 0,16 29-90,0-20 0,34 36-90,-22-32 90,41 32-90,-27-28 180,14 12 180,-17-12 359,-9-5 181,-10-2 89,-7 0-179,-11-1-181,-12 2-269,-13-1-90,-13-1-360,-11-5-899,-6-7-990,-2-8-1259,3-10 1798,14-4-3327,-2-26 450,24 0 4317,1-24 0,18 15 0,5 0 0</inkml:trace>
  <inkml:trace contextRef="#ctx0" brushRef="#br0" timeOffset="619">937 176 9691,'3'-12'9830,"1"3"-9495,3 5-65,1 3-91,5 2-89,0 0-180,2-1-179,5 0-361,2-2 0,5-1-1259,22-5-1709,28-7 1170,-4 0 2428,-22 4 0,-1 0 0,3-2 0,9-2 0</inkml:trace>
  <inkml:trace contextRef="#ctx0" brushRef="#br0" timeOffset="854">1866 0 10501,'7'3'8635,"-4"3"-7915,-3 2-1,-4 1 1,0 0-1,0 1 91,-1 2 0,0 2-181,-1 2 1,1 2 809,-11 40-989,-2 12-360,-2 8-675,3-15 0,2-3-224,1-9-406,0 4 1,0-2-135,3-13-2519,-10 31 2339,12-40 1529,-10 18 0,15-38 0,-3 3 0</inkml:trace>
  <inkml:trace contextRef="#ctx0" brushRef="#br0" timeOffset="1044">1525 121 8252,'-2'-14'3958,"1"1"-3238,-1 2 449,0 1-360,-1-2-179,1 2-3508,-2-2-2609,1 10 5487,1 7 0,1 0 0,2 3 0</inkml:trace>
  <inkml:trace contextRef="#ctx0" brushRef="#br0" timeOffset="1367">1933 628 8252,'-3'-10'8815,"1"-1"-2968,0 2-5127,3 6-451,2 6-89,1 5-180,1 5-180,-2-3-269,1 1-361,-1 1-359,1 1-4138,7 17 3508,-4-13 1799,10 18 0,-13-27 0,4 3 0</inkml:trace>
  <inkml:trace contextRef="#ctx0" brushRef="#br0" timeOffset="1750">2275 436 9242,'-3'-12'8005,"0"0"-5396,-1 0-720,-2 3-1350,0 9 1,0 3-90,1 7-180,2 0-1,0 2-89,1 2-90,0 1-360,0 11-4677,1 34 3598,0-22-4588,4 36 1530,-1-54 4407,3 8 0,-4-21 0,0-3 0</inkml:trace>
  <inkml:trace contextRef="#ctx0" brushRef="#br0" timeOffset="1900">2232 176 8072,'-3'-15'2969,"-1"0"-2789,0 2-90,0 2-270,1 1-2519,-1 1 1440,1 11 1259,2 0 0,1 6 0,1-3 0</inkml:trace>
  <inkml:trace contextRef="#ctx0" brushRef="#br0" timeOffset="2552">2310 597 8702,'-1'14'5667,"0"-3"-4498,-1 4-89,2-4 718,-2 6-988,2-4-180,-1 4-181,2-4 1,0-1 180,3 6-450,0-4 90,2 3 179,9 3-629,8-4 0,-1 1-629,28-13 719,-27-9-270,40-23 270,-37 7 90,21-28 0,-28 18 90,13-47 180,-17 15 90,4-33-90,-13 32 809,-5-22-629,-2 44 1079,-6-37-1079,2 51 359,-7-23-629,6 35 270,-8-6-180,4 23-90,-3 10-90,5 19-90,4 15 89,5-1-89,10 38-179,3-21-1,9 27-90,3-24-270,3-9-89,4-12-1,1-11 90,0-13 90,1-11 181,-1-12 179,9-18 90,-16 1 180,7-21 359,-21 6 271,-1-11 269,-7 0 90,-5 5-629,-3 12 450,-9-2-990,0 19 0,-12 3 0,9 13 0,-12 34 0,19-15 0,-5 21 0,18-1 0,1-15-3328,12 23-1170,4-23-2878,16 5 1080,-10-13 5448,5-6 0,-24-10 0,-1-2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7:15.066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341 418 9871,'-11'-14'4138,"1"2"-2159,3 5-1529,3 10-91,0 1 1,3 9 0,1 1-90,1 2 0,0 3 0,0 2 179,1 29-269,0-17 90,1 48-270,-1-45 270,4 47-270,-2-52 90,6 26-90,-5-38 180,8 13-180,-5-18 270,15 10-180,-10-16 179,26 0-179,-15-7 270,51-5-270,-33 1 45,18-3 0,4 0-455,4 0 410,17 0 0,4-1-803,-3 0 743,-22 2 0,9 0 0,-9 1-30,25-3 0,-23 2 0,9-1 0,-9 0 0,26-1 0,-26 1 0,10-1 0,-6 1 45,-4 0 0,-1 1-45,30-3 0,1 0 0,-36 3 0,2 0 0,16 0 0,9-1 0,-11 1 0,23-1 0,-1 0 0,-8 0 0,-40 3 0,-5 0 0,-1 0 0,-2 1 0,-1-1 0,41-5 0,-41 3 269,44-6-89,-65 7 650,18-6-560,-24 6 1193,12-8-1194,-16 6 91,5-3 0,-7 2 0,0-1-180,0-2 179,-2-6-269,-3 2 0,-2-5-90,-1 1 0,-1 3 0,1-3 90,0-10 0,0 7 270,-2-21-180,1 20 360,-4-28-360,2 24 179,-6-31-269,4 33 270,-6-27-360,6 31 180,-6-19-180,7 24 0,-4-10 0,5 12-90,-1-1 0,0 2 180,1 1-90,-3 7-90,1 3 90,-3 7 0,3 0 0,-1 2 90,-12 13-90,2-1 0,-6 9 0,8-11 0,1 1-90,7-10 90,-4 7 0,5-10 0,4-4 0,4-7 0,2-4 0,2-5 0,-2 3 0,2-2 0,3-9 0,1-3 0,9-13 0,-6 12 0,8-10-90,-12 22 90,13-9-90,-13 17-989,15-1-1,-13 8-2068,16 6 1439,-12-1-8122,37 14 8915,-26-10 1,14 6 0,-30-13 0</inkml:trace>
  <inkml:trace contextRef="#ctx0" brushRef="#br0" timeOffset="830">161 428 9422,'8'-7'6116,"-1"1"-539,2 2-5217,-5 6 89,-2 1 1,-7 6-90,-1-2-90,-1 1 0,0-1-90,-1 1 0,-3 4-91,3-4 91,-7 9 90,8-9 0,0-4-90,8-10 180,3-6-90,0 0-1,0 3-89,0 0 360,2-3 0,1-1-1,2-1-269,2 2-180,2 4-180,0 4 0,3 6-1079,1 4-1440,2 8-2608,11 15 3239,-6-6-7377,19 20 8507,-16-19 0,18 15 0,-7-7 0</inkml:trace>
  <inkml:trace contextRef="#ctx0" brushRef="#br0" timeOffset="1965">366 1612 8252,'-10'-10'2699,"1"0"-1800,0 1-89,1 0-1,1 0-89,0 1-90,0 0-1,1 1 361,0 0 809,-1-6-1440,6 4-179,3-4 0,6 7 0,15 1-90,-8 3 0,27 2-90,-20 0 90,23 4-90,-23-1 0,15 2 90,-6 4-90,2 5 90,-9-2 90,-9 12-90,-12-11 180,-6 20-270,-3-16 89,-3 8 1,-3-3 0,-1 1 0,-4 7-90,0-3 0,4-8 0,0 1 0,6-10 90,-5 8 0,3-9 0,-3 3 0,4-7 0,-2-1-180,8-8 90,10-1 0,4-2 0,7 0 0,-6 4 0,3 0 0,9-1-90,5-1 0,8-1-90,1 0 180,10-5 0,-20 3 0,8-6 0,-26 7 450,8-13 180,-11 8 179,2-7-719,-8 17-90,0 5 90,-3 10-90,3 2 0,-1 1 0,3-1 90,0-3-90,3-4 90,1-6-90,1-3 0,2-9 0,-3 2 0,3-4 0,-3 3 90,9-10-90,-6 8 0,14-14 0,-13 17 0,18-7 0,-16 12 0,20 0 0,-18 4 0,21 6 0,-12-3 0,18 1 0,-16-5 0,12-7 0,-13-6 90,15-23-90,-19 11 90,4-13-90,-19 8 0,-4-4 540,-2-10 899,-10-12-1169,2 23 179,-9-7-89,8 31-90,-10 1-270,9 9 180,-13 16-180,13-2-180,-5 28-360,10-21-3148,3 35 2159,4-30-1349,8 26-450,2-20 3328,11 10 0,-12-21 0,2-5 0</inkml:trace>
  <inkml:trace contextRef="#ctx0" brushRef="#br0" timeOffset="2496">1407 1641 9961,'-3'-15'5217,"0"4"-3867,-3-2-541,1 3-179,0-2-360,2 1-180,5 2-1,3 1-268,3 3-1,0 1-90,1 0-90,0 1-180,6-3-89,10-4 539,-7 3 360,10-8 269,-20 5 271,1-3-91,-9 2 1,-7 3-450,-6 3 90,-5 6-270,2 3 179,-10 9-179,14-4-90,-8 14 0,15-12-449,2 12-271,9-9-179,11 4 629,-3-7-90,17 0 360,-16-9 450,21-2-270,-21-1 809,20-4-629,-18 3 899,34-2-989,-26 4 360,29 2-271,-30 2 271,20 10-450,-23-4 180,17 17-180,-25-14 449,5 18-539,-16-19 360,-10 15-450,0-19 180,-21 4-180,15-12-630,-21-16 91,19 2-2340,-10-33 1890,18 20-3239,11-44 1080,6 38 3148,19-29 0,-7 34 0,8-5 0</inkml:trace>
  <inkml:trace contextRef="#ctx0" brushRef="#br0" timeOffset="3198">2970 1505 9152,'-11'-20'2788,"0"2"-2068,1 2-1,0 2-89,1 3 90,0 1-181,-1 2 541,-4 1-631,3 4 1530,-17 13-1619,15-1 360,-12 21-361,18-11 1,-2 20-180,6-14 180,7 32-360,1-27 180,26 37-180,-13-44 90,25 13-90,-13-35 90,11-9 90,1-18 179,1-29-179,-15 10 0,-2-32 0,-20 16 0,-6-22 0,-5 18 90,-10-3 269,-13-5-359,6 24 90,-22-21-180,21 46 90,-27-4 0,-19 50-180,19-10 0,-14 45-90,52-12 180,18 49-90,4-35 0,8-6 0,4-3-90,1-13 90,11 5 0,3-1 0,-4-8 0,7 4 0,0-2 0,-13-12 0,19 20 0,-29-24 0,8 22 0,-15-18-180,3 22-629,-9-12-2789,2 21 2608,-2-21-2338,5 14 2249,-4-34-2070,11 6 1351,-7-17 1798,10-6 0,-14 1 0,3-3 0</inkml:trace>
  <inkml:trace contextRef="#ctx0" brushRef="#br0" timeOffset="3780">3348 1468 9332,'-1'-14'8545,"0"11"-8095,-1 14-91,-1 5-4340,1 9 4251,1-7 769,0 2-589,1 19-360,1-14-90,3 21-90,0-27-1350,10 18 4473,-6-23-3843,12 10 630,-5-21 90,1-1 0,-1-7-90,15-27 270,-15 14 90,14-22 180,-18 14 630,1-8-631,-3 7 901,3-11-1080,-7 26-180,2 1-270,-1 15-90,-1 6 0,0 0-539,2 2 359,0-3 90,3 4-449,6-2 179,3-1 450,1 0-359,15-4 449,-9-7 360,11-2 359,-10-7 1080,5-15-1169,-14 7 899,7-22-989,-18 22 899,4-20-899,-7 22 810,0-16-451,-4 19-719,-5 2 90,2 10-180,-4 9-809,4 7 269,1-3-2338,2 17 1798,2-13-1618,4 14 179,-2-15 2609,5 7 0,-6-14 0,2 2 0</inkml:trace>
  <inkml:trace contextRef="#ctx0" brushRef="#br0" timeOffset="4196">4077 1466 7713,'1'-13'3687,"-1"0"-2697,-1 0-91,-1-1 91,-1 1-91,0 0-179,-1 0 1888,-15-12-1978,5 13-450,-12-6-90,11 18 180,-11 16-270,14-4 90,-14 22-180,18-18-90,-4 21-90,10-21-360,2 14-89,4-13 89,3 3 360,-1-6-539,6 0 539,-4-9 360,6 0 180,-5-7 90,1-5-1,-3-1 1,0-3 0,-1-1 90,-1 0-91,0 0 1,0 2-90,0 1-180,0 2-540,3 4-179,1 4-91,0 3-269,-1 1-1530,0 3-89,-1-1 2608,5 4 0,-8-7 0,2 1 0</inkml:trace>
  <inkml:trace contextRef="#ctx0" brushRef="#br0" timeOffset="4531">4227 1465 9152,'-5'-15'5577,"0"0"-4408,0 1 270,1 1 270,2 2-989,5 3-360,4 4-91,3 4-89,1 3 0,-3 1-90,0 0 90,-1 1 0,2 3 0,1 5-90,-1-1 0,-1 1-90,-8-4 90,-4-7-90,-7-8 0,3 0 0,-2-6 0,6 5-180,0-1-540,4-9 91,1 5-3149,16-17 2428,-7 17-6475,21-14 7825,-18 17 0,3-2 0,-11 9 0</inkml:trace>
  <inkml:trace contextRef="#ctx0" brushRef="#br0" timeOffset="4764">4688 995 11400,'1'-13'8366,"-2"1"-7107,-2 4-809,-1 8 89,0 3-89,1 8-90,1 1-90,0 4 0,1 3-90,-1 3-90,1 1-2789,3 42 450,2-14-719,3 33-5577,0-20 7697,-1-22 0,-2-9 0,-2-24 0</inkml:trace>
  <inkml:trace contextRef="#ctx0" brushRef="#br0" timeOffset="4911">4619 1444 8702,'-5'-9'4767,"0"1"-2968,0 1-629,-1-3-451,3 0-629,3-4-270,3 4-180,4-1-3661,1 4 3211,4-1-2248,18-9 989,-8 5 2069,23-10 0,-31 16 0,4-3 0</inkml:trace>
  <inkml:trace contextRef="#ctx0" brushRef="#br0" timeOffset="5033">4882 1223 11580,'9'-13'7286,"-2"-1"-7646,-7 4-1978,-5 4-2160,1 7 1,1 8 4497,4 1 0,0-1 0,-1-5 0</inkml:trace>
  <inkml:trace contextRef="#ctx0" brushRef="#br0" timeOffset="5550">5015 1447 10771,'-8'-6'6026,"1"-1"-5306,2-2-630,4-4-180,2 1-180,3-1-90,2 3-179,2-2-91,1 0-719,9-8-270,11-12 989,9-16 810,-5 6 1709,9-42-1259,-29 47 1708,8-50-1618,-19 57 539,-4-20-719,-3 30 629,-9-9-629,5 19-180,-13 1-91,11 16-89,-3 10-90,14 9-360,10 8-539,14 5-270,12 0-1,7-2 1,3-9 269,-4-9 360,-4-9 91,-5-7 539,-4-8-1,-7-2 1081,4-10-631,-13 7 1530,9-10 90,-13 11-1350,4 4-449,-8 11-180,0 5 0,-4 5-3239,5 29 1440,-2-18-270,5 24-449,-3-25 2248,10 19 0,-9-26 0,5 13 0</inkml:trace>
  <inkml:trace contextRef="#ctx0" brushRef="#br0" timeOffset="7031">428 1998 7443,'-11'3'2159,"1"1"-1710,1 0 91,1 0-90,1 2 179,1 0 451,2 1-1,5 11-539,4-3 989,49 47-1259,-16-29 44,24 11 1,5-2-225,2-7-1606,19-2 0,3-2 1516,-4-10 60,-19-11 0,10 0 0,-8-4-197,-21-3 1,2-4 166,31-6 0,13-4 0,-12-1-30,-28 2 0,-2-3-193,24-7 1,9-5-1,-9 0 238,-16 1 0,-4-3-45,5-3 0,3-5 0,-5 3 0,-7 2 0,-4-2 0,22-26 0,-9-4 0,-17-10 0,-17 28 0,-5-3 90,-15-44 0,-21 35 0,-5 0-90,-11-39 90,-4 38 0,-10-4 0,3 9 0,-29-17 0,-3 6 0,-4 5 0,-3 13 29,-1 21 1,-17 2 0,7 5-75,18 7 0,-5 5 22,-9 4 1,-17 3 0,0 3-1,16 4-22,6 6 0,3 9 0,2 5 0,-11 9 0,2 2 0,13-2-45,5 2 0,4 7 0,-1 5 0,-8 11 0,2 2 0,12-8 0,5 0 0,6 3-30,-9 16 0,-3 11 0,12-11-60,20-24 0,6-3 0,-8 19 0,8 0-539,18 26-541,29-26 1,8-1 674,-13-19 1,6-3-976,23-1 1,14-1 0,-5-12-2129,37-8 3366,-6-11 1,4-5 0,-18-10 0,-2-5 0,17-2 0,-1 1 0</inkml:trace>
  <inkml:trace contextRef="#ctx0" brushRef="#br0" timeOffset="9916">3100 1951 9332,'-4'9'6026,"0"0"-3327,0-1-1890,3 1-449,4 1-90,2-1 0,4 0-90,-1-1-90,2 1 89,1 1 1,9 7 0,14 4-180,-4-4 0,7 1 90,17-15 0,-8-9-90,17-3 45,-13-15 0,-3-2 45,-4 2 45,2-3 0,-2 1-45,-20 12 719,19-9-629,-25 15 270,20-3-360,-24 11 90,19 3-90,-17 0 0,24 4 0,-19-4-90,30-1 0,-23-4-90,30-5 90,-24-1-180,27-10-180,14-13 90,2-3 180,6-6-90,-34 13 0,-2 1 91,5-4 44,10-4 0,0 2 45,-14 10 0,33-13 0,-33 25 90,1 5-90,11 4 0,-4 9 0,-2 5 0,-2 3-90,-11-3-90,21 5-90,-13-9 0,28 1 0,-1-12 180,-25-5 0,0-2-316,33-7 361,-10-4 0,2-2 0,-24 6 0,0 1-90,20-7 0,-1 0-764,24-6-360,-16 7-450,-23 6-450,-11 4-1439,-13 3 3598,-5 1 0,-14 4 0,-3 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4:33.66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2143 1694 10771,'3'-2'7286,"-2"1"-7016,14-3-1,-5 3 1,3-1 0,2 0 90,2-1-90,4-1-90,4 0 0,2 0-1,4-2-385,20-3 296,-8 1 0,14-3 0,-7 2 0,0 1-90,8-3 45,20-1 0,3 0-45,-5 4 0,-8 1 0,0 2 0,10 2 0,-7 2 0,-12 2 0,-15 0 0,10 1 0,-14-1 0,-6 0 0,7 0 0,-17-1 386,30 1-386,-21-1 0,5 0 0,-11 0 0,-13 0 0,-1-1 0,-1 0 0,-1 1 0,2-1 0,-2 1 0,0-1 720,-1 1-181,-2-3 1,-4-3 180,-3-2-361,-6-3 721,-4-5-181,-5-3 1,-6-6-630,4 7 359,-6-4-539,12 12 180,-6-6-180,7 7-180,-2 0-180,3 2 270,9 7 0,1 1 0,14 8 0,-5-2 0,6 2-90,-3-2 90,1 1 0,14 8 0,-9-5-90,17 8 90,-13-6-90,6 5 90,-10-6 0,1 3 0,-14-8-180,-2 9-449,-10-3-1620,-16 14 810,2-10-2879,-28 13 2699,24-15-3148,-22 10 4767,17-11 0,8-4 0,4-3 0</inkml:trace>
  <inkml:trace contextRef="#ctx0" brushRef="#br0" timeOffset="718">2480 1237 10231,'4'-9'4677,"2"3"-3957,3 0-180,2 2-180,2 3-1,0 1-179,0 3 0,-2 1 0,-2 1 90,-4 1 0,1 0 0,-1 2-1,-1 2 181,1 5 90,3 21-450,-3-13 0,5 18-90,-5-27 0,8 11 90,-5-13-90,12 8 90,-9-14-90,13-2 0,-13-6 0,5-4 90,-7-1-90,6-10 90,-5 5-90,6-9 179,-5 4 1,1-1-90,-1 0 90,11-9-180,-12 15 90,16-11-90,-16 18 90,9-3-90,-6 8 90,4 4 0,0 5 90,-1 5 0,0 3 180,-3 3 359,-2 2 990,-2 4-1439,-6-5 0,-2-2 180,-8-2-181,-4-6 1,-6 2-899,-14-2 179,11-6-180,-7-3-269,16-4-2429,-7-7 899,5-2-359,-4-9-1080,10-1 3868,7-4 0,1 11 0,2 1 0</inkml:trace>
  <inkml:trace contextRef="#ctx0" brushRef="#br0" timeOffset="999">2998 1179 9871,'6'-9'8096,"0"2"-7467,0 0-269,0 2-180,4 0-90,0 3 0,1-1-90,-1 2-90,1-1-809,18 0 629,-11 1-270,24 1 360,-27 1-90,15 2 270,-19 0 0,11 6 90,-13 0 90,0 13-180,-7-7 0,-5 12-180,-2-11-1439,-9 19 630,5-16-6387,-14 23 7376,12-25 0,-2 3 0,9-15 0</inkml:trace>
  <inkml:trace contextRef="#ctx0" brushRef="#br0" timeOffset="1145">3188 1203 10501,'-3'-15'4587,"0"2"-4587,-1 2 0,2 6 0,1 1 0</inkml:trace>
  <inkml:trace contextRef="#ctx0" brushRef="#br0" timeOffset="1307">3314 1311 7982,'6'5'0</inkml:trace>
  <inkml:trace contextRef="#ctx0" brushRef="#br0" timeOffset="3351">4072 374 12480,'-7'10'3058,"2"1"-2788,5-1-180,2 0-90,5-3 90,1-3-90,3-5 0,-2-1 90,1-2 180,-3 0 89,1-2 181,0-2 90,-1-2-180,-4-2-91,-4 2-89,-4-2-90,-3 4-90,0 3 0,-2 2 0,-1 4-90,0 3 0,2 1 0,0 5 0,3-1 0,1 5 0,1 1-90,4 0 90,2 0 90,2-3-90,2-1 180,1-4 0,2-4 269,0-4 1,0-5 0,-2-3-90,-2-3 89,-3-2-89,-3 1-90,-2 0-180,-2 2 0,0 3-90,-3 3 0,-4 8-90,2 2 0,-1 5 90,9 3-90,2-1 0,4 2 90,3-2-90,2-2 180,1-2-90,2-3 0,-1-3 90,1-4 0,0-4 90,-2-3-90,-2-2 90,-3-2-90,-3 0-90,-4-1 0,-4 1 0,-2 3 0,-2 2-90,0 5 90,-2 3-90,1 4-90,1 3-90,3 3 0,2 0 90,4 1 90,4-2 1,2-2 89,3-4 0,3-3 89,1-3 271,1-3 270,-3-2 90,-2-1-1,-4-1-89,-3 0-360,-5 0-91,-2 2-448,-4 2-1260,0 4-1260,-1 6-449,2 3-540,3 6-2878,3-1 6656,5 0 0,-1-6 0,0-2 0</inkml:trace>
  <inkml:trace contextRef="#ctx0" brushRef="#br0" timeOffset="6352">2118 453 7263,'-12'1'7645,"0"1"-7195,9 0-180,7 0-90,6 0 270,22 0-360,-11-1 629,68-1-449,-20-3 0,13-3 0,3-1-419,12-3 329,1-2 0,-2-1-90,-10 1-45,-4 1 0,-1-1 45,-4 1 0,3 1 0,0 0-90,2 0 44,7 1 1,-3 1-45,-16 1 45,15 1 0,-1-1-45,-21 2 0,14-1 0,-1-1 0,-19 2 45,5 0 0,0 0-45,-10 0 0,5 1 0,-1 0 0,-10 1 0,25-1 0,-38 2 0,-1 1 90,43-3-90,10 0 0,0-1 0,-29 2 0,-6 0 90,-10 0-90,39-1-90,-30 3 180,0 0-90,9 0 0,-13 2 239,11-1-239,8 0 0,-23 0 0,34-1 0,-46 0 90,35 0-90,-42-1 270,17 1-180,-22 0 90,12-1 179,-2-1-89,7 0-180,-6 0 0,-3 0 90,-6 1-90,1 0 0,6-1 90,7-2-90,-9 2 0,2-1-90,-12 1 270,-2 1 809,-1 1 90,-1-1-719,-5-3-90,-4 0 359,-14-8-539,4 5 450,-9-6-360,9 7 90,-2-2 179,-1-1-269,2 3 0,-2-3 270,0 0-360,-8-6-180,6 4 0,-6-4 0,11 9 0,-1 0 0,1 0 0,2 2 0,8 5 0,1 0 0,8 6 0,-1-1 0,6 4 0,6 3 0,8 3 0,11 6 0,-12-6 0,9 5 0,-17-8-180,3 4 180,-5-2-90,-5 2 0,-5-4-450,-7 10 0,-5-9-2428,-14 21-360,1-12-6503,-19 23 8848,17-22 0,-2 0 1,17-18-1</inkml:trace>
  <inkml:trace contextRef="#ctx0" brushRef="#br0" timeOffset="7687">6181 352 13020,'-4'-8'6656,"10"13"-6656,-2-3 90,10 8-90,-3-8 270,0-4 179,1-3 181,0-2 0,-3-3 89,-3-1 1,-3 0-181,-3-2-179,-3 2-90,-3 1-90,-2 2-90,-2 2 0,-2 3-90,1 5 0,-1 3 0,4 2 0,1 1 0,3-1-90,0 0 90,1 1-90,1 11 0,3-7 0,2 8 90,4-12 0,4-4 90,1-5-90,1-4 90,-2-1 270,2-10-180,-7 7 539,2-10-539,-6 5 450,-4-7-540,-1 7 449,-11-6-449,6 13 180,-15-3-180,6 9-90,-12 4 0,12 2 0,-6 11-90,15-7 0,-4 9-90,10-5 90,2 2 90,5-1 0,5-4 0,4-3 0,2-5 0,1-3 0,2-7 0,-6 2 360,5-10 0,-12 5-90,2-5 0,-7 2-90,-4 1-180,-3 2 0,-4 2 0,-1 4 0,-2 3 0,0 3 0,1 4 0,2 3 0,3 2 0,3 2 0,3 0 0,5 0-90,1-3 0,5 0 90,3-6-90,-1 0 90,11-6 0,-11-1 270,17-11-270,-18 7 0,8-11 0,-15 7 0,-6-7 0,-4 6 0,-8 1 0,1 9 0,1 4 0,3 2-2069,-5 7 899,5-3-5666,-6 14 1439,12-8-629,2 7 6026,4-7 0,-1-6 0,0-4 0</inkml:trace>
  <inkml:trace contextRef="#ctx0" brushRef="#br0" timeOffset="-105032">4140 574 8342,'3'-15'4138,"0"3"-630,0 0-3058,1 11-91,-1 2 91,1 10 90,-3 3-90,1 4 89,0 3 361,2 21-540,-1-6 134,1 13 1,0 9-135,2 25 0,1 2-623,-3-17 0,1 3 353,1 7 0,0 8 0,0-13 0,1 16-45,-1-6 0,-1 2-45,-2-34 0,0 0-225,-1 21 0,0 0-224,0 23-451,-4-25 1,0-3-1,0-7-224,-1-6 0,1 1-1845,1 11 2969,4 22 0,1-30 0,3-2 0</inkml:trace>
  <inkml:trace contextRef="#ctx0" brushRef="#br0" timeOffset="-102913">8293 307 7623,'-4'-10'2608,"0"-1"-1978,1 3 449,0 0 1260,-1-1-1530,-1 7-359,3 7 90,1 6 0,2 6-1,1 0 1,0 2 449,1 20 1,2 16-630,-1 3 89,-1 11 1,0 2-857,0 9 646,-2-13 1,1 11 0,0-8-105,-1-20 0,1 0 105,0 25 0,0 11 0,0-10-150,0-23 0,0 0-1,2 22 1,-1 11 0,1-7-635,-1-8 1,0-2 574,0-5 0,0 4 0,-1 0-300,0 30 0,-1-6 45,-1-27 1,0-3-91,-1 7 0,0 3-1844,-3 15 0,0-4 900,1 2 494,-1-5 1,1-4-6882,2-11 7559,0-20 1,2 13 0,0-24 0</inkml:trace>
  <inkml:trace contextRef="#ctx0" brushRef="#br0" timeOffset="-103683">6385 542 8522,'2'-15'6207,"0"0"-4139,-3 3-1528,1 13 450,-1 3-451,2 26 1,0-5 0,2 15-181,0-3 1,0 7 0,2 11 179,-1 21 1,2 11-225,-2-2 0,1 2-571,0 11 1,0 2 345,-1-22 0,0 1 0,0-7-90,0-4 0,0 0-30,1 7 0,0 7 0,-1-8-105,1-9 0,-1-1-135,0 22 0,0-5-179,-3-11-557,-2 0 0,0 2-614,-4 25 541,2-30 0,0-2-271,-1 18-6475,6 6 7825,1-47 0,5 17 0,-2-34 0</inkml:trace>
  <inkml:trace contextRef="#ctx0" brushRef="#br0" timeOffset="-101146">6274 3057 8252,'-8'-7'4498,"0"-1"-3239,-1 1-90,2 1 630,-2 2-1349,-3 2 0,3 3 0,-3 2-91,5 1 1,-1 3 0,0 0-90,1 3 0,0 0 269,-1 16-449,5-1 90,10 24-180,3-19-180,32 25 180,-17-32-90,26 19 0,-18-21 0,10 6 90,-12-9 180,-7-3 90,-11-7 360,-5-2-270,-7 2 629,-14 0-719,-1-2 90,-23-1-90,2-3-270,-14-1-720,-4-1-4227,-22-6 3598,35 1-3149,-11-11-449,44 6 4947,2-7 0,5 10 0,0 1 0</inkml:trace>
  <inkml:trace contextRef="#ctx0" brushRef="#br0" timeOffset="-100681">6288 3035 10411,'-9'-9'4497,"-2"1"-2787,3 1-1351,4-2-179,5 3 0,7-2 0,4 4-90,4 0 90,13-2 0,8 0-180,0 1 90,22 0-90,-18 4 180,14 2 449,-16 3 631,-2 5-811,-16-1 361,1 7 269,-14 2-179,-1 7-271,-6 7-89,-5 15-540,1-14-90,-1 16-90,4-26-449,4 14 269,1-16-810,14 16 361,6-16 539,6-1 180,10-20 90,-17-7 180,6-17 360,-16-12-271,-3 5 271,-8-22 90,-20 2-540,2 9 90,-19-12-90,5 28-270,-1 2-1439,-17 6-1350,7 19 1620,0-1-1979,5 18 3328,21 7 0,2-9 0,8 2 0</inkml:trace>
  <inkml:trace contextRef="#ctx0" brushRef="#br0" timeOffset="-100431">7197 2927 9871,'8'-10'4138,"-1"0"-8629,-2 2 6740,0 0 4017,-1-1-5727,-6 7 771,1 2-950,-6 10-1,1 3-179,-1 5 3482,-1 2-3572,-1 6-900,-18 47 271,10-29-1170,-18 49-90,16-40-540,-4 10 810,7-16 1529,-1 11 0,11-40 0,-2 12 0</inkml:trace>
  <inkml:trace contextRef="#ctx0" brushRef="#br0" timeOffset="-100256">7012 2997 9871,'-14'-33'2879,"6"16"-8456,-1 1 5577,10 20 0,2 8 0,0-7 0</inkml:trace>
  <inkml:trace contextRef="#ctx0" brushRef="#br0" timeOffset="-100105">7343 3262 12750,'-9'-2'-390,"4"1"0,0 0 0</inkml:trace>
  <inkml:trace contextRef="#ctx0" brushRef="#br0" timeOffset="-95948">8191 3149 8162,'-8'-4'3598,"0"-1"-2698,1 1-1,0 0 450,0-1-359,-1-1-181,1-2-539,3-4 90,4 2-90,5-1-90,3 3 0,3-1 0,3 1 719,31-5-629,-19 8 629,43 6-629,-43 7 180,22 20-180,-29-8 899,16 42-359,-19 0-720,3 2-180,-14 1-540,-6-28-1439,-2 18 1170,1-19-2789,-1 17 2249,3-32 1439,2 10 0,-1-23 0,1 1 0</inkml:trace>
  <inkml:trace contextRef="#ctx0" brushRef="#br0" timeOffset="-95611">8683 3262 9781,'2'-15'3418,"1"2"-1529,-1 1-90,-2-1 270,0 0-90,-2 0-1799,3 13-90,0 1 0,4 10 0,1-2 0,2 1-90,1 2 0,1 2 90,1 0-3482,0 2 3392,1 1 0,5 10 180,7 22-90,-8-17 989,1 27-809,-17-43-90,-2 11 179,-14-12 2674,-9-5-3393,0 1-270,-1-7-269,11-5-4138,-23-17 3777,20 7-1258,-17-20 359,30 15 2159,2-14 0,3 19 0,1-5 0</inkml:trace>
  <inkml:trace contextRef="#ctx0" brushRef="#br0" timeOffset="-95297">8757 3119 8252,'8'-27'4498,"0"4"-3779,-5 13 271,-1 0-271,1-2-359,0 0-90,6-4-180,-2 6 0,5 0-90,2 3-90,-2 3 90,5-2-180,1 4 90,-3 0-90,4 2 90,-5 0 0,-1 1-90,7 3 90,2 0 90,5 3 270,-3 2 0,-5-2 0,-4 1 540,-3 2-271,-4-2-179,2 4 539,-3 3-629,-3-2 90,1 5 90,-3 3-180,0 3-90,-1 10-360,-1 4-540,-1 3-629,0 3 449,0-8-2608,3 19-2608,0-15 6116,2 8 0,0-11 0,0-10 0</inkml:trace>
  <inkml:trace contextRef="#ctx0" brushRef="#br0" timeOffset="-94951">8923 3262 8162,'-4'-9'5307,"1"-2"-4137,-1 1-2160,1-2 1,9 7-1260,0 2-989,8 7 3238,0 0 0,-7-1 0,0 0 0</inkml:trace>
  <inkml:trace contextRef="#ctx0" brushRef="#br0" timeOffset="-94801">9407 3459 11041,'2'6'5936,"-5"-2"-5936,-6 0 0,2-3 0,2 0 0</inkml:trace>
  <inkml:trace contextRef="#ctx0" brushRef="#br0" timeOffset="-97033">3783 3252 9512,'-14'-6'5127,"1"0"-3868,2-2-180,4-2-629,4-2 0,3 1-90,5 0-1,1 4-89,2 0 0,3 1 90,6 0 180,20 10-450,-11-1 179,22 25-179,-32-11 90,10 34-90,-19-24 180,-8 39 0,-11-20 0,-10 20-180,1-22 179,-12 9-179,17-29-180,-14 18-179,21-28-91,-4 5 180,15-17-180,7-6 180,17-15 0,44-48 180,-26 24-90,23-27 90,-33 28 540,6-17-270,-12 17 450,5-18-361,-26 44 181,1-6-270,-5 10 0,-1 2-180,3 1-90,3 7 0,1 3 0,3 5 0,-2 0-180,14 11 180,-8-6-90,24 22 90,-23-18 0,22 27 90,-27-25 90,10 21-90,-19-24 0,-7 15-90,-4-17 0,-16 9-270,-4-10-630,-11-1-539,-5-6-180,-3-8 0,1-7-90,4-9 90,11-6 270,10-3 449,11 0 540,8 5-89,8-5 359,1 12 0,4-6 90,0 6 90,1 0 1169,33-31-899,-20 22 269,34-30-269,-36 37 270,16-10-91,-6 8 1,10-5 0,-1 3-270,-11 7 449,3-1-179,-11 8 90,4-2 539,-5 4-449,-3 4 359,3 11-719,-10-1 629,4 20-719,-12-11 90,2 22-180,-5-6-810,-3 28 90,-1-16-2068,-7 35 1438,4-44-1618,-4 31-1350,5-29-179,0-2 3469,2-8 0,2-18 0,0-3 0</inkml:trace>
  <inkml:trace contextRef="#ctx0" brushRef="#br0" timeOffset="-96917">4432 3225 7892,'-7'-20'3059,"-1"1"-8270,1 3 5211,-2-3 1049,3 5-3118,-1-2 2284,3 4 0,2 6 0,1-1 0</inkml:trace>
  <inkml:trace contextRef="#ctx0" brushRef="#br0" timeOffset="-96757">4732 3286 12030,'10'11'2159,"-3"0"-2159,-3-2 0,-4-4 0,2 0 0</inkml:trace>
  <inkml:trace contextRef="#ctx0" brushRef="#br0" timeOffset="-93277">713 3882 7803,'5'-13'3777,"0"0"-2787,-1 3 809,0 0 2878,-1 0-4047,-7 8-1,2 1-89,-7 10-90,1 3 90,-1 3 719,-7 15-809,2-3 449,-18 39-719,15-28-45,-3 8 0,0 1-45,3-5-765,-5 15 1,0 2 44,4-12-585,-4 9 1,0 0 405,6-16-990,-14 31-450,12-33-180,-3 2-809,4-10 3238,5-12 0,4-9 0,5-7 0</inkml:trace>
  <inkml:trace contextRef="#ctx0" brushRef="#br0" timeOffset="-92866">109 3987 8432,'-8'-13'3688,"1"1"-2788,-1 1-1,0 2-179,1 1-91,-1 1 541,0 3-271,-7 2-629,5 4 0,-4 3 359,3 14-179,9 19-360,-1-5-180,21 27 90,-4-36-180,10 12 90,-6-21 0,1-2 90,1-4-180,2-2 180,0-5 0,2-2 0,39-24 180,-27 8 720,43-40-540,-56 31 359,11-26-449,-27 28 450,-9-29-630,-4 30 90,-36-25-270,18 38-90,-23-4-180,22 16-2159,-33 26 1440,26-9-3239,-28 45 1980,47-34 2338,0 33 0,16-30 0,4 11 0</inkml:trace>
  <inkml:trace contextRef="#ctx0" brushRef="#br0" timeOffset="-92467">719 4523 14459,'-8'-1'4677,"1"3"-4317,1 4-270,3 6 0,4-1 0,0 3-90,1-4 90,2 2-90,0-1 90,4 5-270,11 7 180,-5-7-180,17 3 90,-13-18 180,10-5-90,-11-5 180,-1-4 539,4-18 541,-6-20-901,0 7 271,-14-21-360,-8 39 180,-23-27-450,1 24-360,-18-6-810,5 23-628,1 13 538,10 5-5126,-3 20 6386,18-2 0,0-1 0,14-8 0</inkml:trace>
  <inkml:trace contextRef="#ctx0" brushRef="#br0" timeOffset="-91951">1258 4293 9152,'-2'9'9830,"1"-3"-8057,0 16-1683,1-8 0,0 2-180,0-1-180,1 2-2698,-1 27 449,2-9 990,0 12-899,0-20 2428,-1-4 0,0-12 0,-1 3 0</inkml:trace>
  <inkml:trace contextRef="#ctx0" brushRef="#br0" timeOffset="-91616">1141 4203 7533,'-1'-11'3148,"-1"0"-2339,0-2-179,0 3-360,3-1-180,3 4 90,5 1-90,2 2 180,4-2-1,-4 1 1,0 0 180,-3-1 809,3-7-809,-5 3 989,3-16-899,-8 13 0,0-8 269,-6 6 1,-5-5-630,-3 1-360,0 3-990,-7 11 361,11 6-1170,-9 10-6746,12 27 8725,3-8 0,6 22 0,3-20 0</inkml:trace>
  <inkml:trace contextRef="#ctx0" brushRef="#br0" timeOffset="-90947">1399 4626 10231,'3'10'9625,"2"-6"-9535,2-3 0,2-5-90,0-2 90,-2 0-90,1 1 89,1-2-89,1 0 0,0-2 0,21-20 90,-6 2-90,17-25 0,-9-9 0,-11 17 0,0-51 90,-18 55-45,-4-12 0,-2 1 225,-3 13 450,-13-44-360,9 52 719,-15-26-809,14 37 359,-14-12-269,14 23 90,-14 3-270,14 8 180,-9 15-180,11-2-91,-1 10 1,5-2-3302,1 19 3302,3-6-90,3 13-368,7 8 368,0-13-270,19 43 91,-11-44-1,12 21-540,11-18-90,4-12 541,1 0-1,-6-18 0,-14-16 180,-5-2 3210,4-3-3300,32-44 270,-33 22-90,28-32 270,-40 22 359,-4-1 1361,-4-19-731,-9 7-809,-1 11 89,-5 11 271,-2 17-180,-3 6-540,-10 9-90,3 11 0,2 4 0,3 33 0,12-25 0,-1 26-540,12-14-629,1-6-271,5 8-269,1-12-449,3 0-3149,24 16-3868,-1-13 9175,8 5 0,-8-19 0,-12-10 0</inkml:trace>
  <inkml:trace contextRef="#ctx0" brushRef="#br0" timeOffset="-90065">2318 4249 8252,'-14'-3'4947,"1"0"-3148,-2 1 540,3 0-1889,10 3-270,8-1 90,7 2-180,13-2-1,-7 0 1,9-1-90,-3-1 0,18-2 0,28-3-90,-12 0-315,4 0 1,-2-1 134,-11 2-449,48-7 359,-64 8-720,21-3 810,-30 4-269,18-5 269,-29 6 90,7-3 270,-15 2 270,-3-3-180,-6-2 449,-7-2-179,0 2 540,-7-3-1,0 0 90,-8-4-89,-3 0 179,-4 0-179,1 1 269,2 2-180,2 0-719,9 5 809,-4-2-719,9 4-360,5 3-180,8 3 0,17 8-90,-3 0-90,8 4-359,8 6 179,-5-3-1259,32 22 1169,-27-16-269,21 17 629,-30-20-180,12 15 270,-19-18 0,8 17 0,-18-16 0,-11 13 0,-4-12-1079,-29 14 449,17-16-2878,-29 18 1979,30-19-4587,-14 11 6206,23-15 0,2 0 0,7-6 0</inkml:trace>
  <inkml:trace contextRef="#ctx0" brushRef="#br0" timeOffset="-87516">3864 3971 8072,'-12'-6'3239,"1"0"-2430,2 0 1,0 1-1,1 0 900,1 0-270,-2-2-179,1 0 269,0 0-1079,5-1-271,9 2 1,3 0-90,7 3 0,1 0 0,5 0 0,4 0-90,42-6-270,17-1-90,2-1-629,-25 3 0,-5 2 179,-7 1-2158,47-3 1888,-62 6-5126,22 2 6206,-41 2 0,3-1 0,-15 0 0</inkml:trace>
  <inkml:trace contextRef="#ctx0" brushRef="#br0" timeOffset="-87146">4311 3951 9781,'-11'-4'7916,"2"1"-7107,0 3-449,5 4-90,1 4 0,5 3-90,0 0 0,2 3 0,0 3 179,14 46-359,-7-25 45,3 13 0,1 0-45,-4-10 90,10 35-90,-12-34 270,1 13 0,-5-21 270,-8 8-360,-2-27 179,-11 8-89,-4-13 90,-25 0-270,9-6-270,-37-8-90,39-1-809,-27-9-450,31 0-1260,-2-11 541,18 1-1,15-9 90,10 10 2159,21-9 0,-8 13 0,10-7 0</inkml:trace>
  <inkml:trace contextRef="#ctx0" brushRef="#br0" timeOffset="-86701">4534 4180 10501,'11'-7'7646,"-5"7"-7377,-2 6-179,-4 5 90,2 2-90,0-3 0,1 0 0,0 2-90,2-1 90,7 10-180,6-3-90,12 4 90,-6-10 0,8-8 90,-3-9 0,-1-5 0,-2-2 90,-7-7 180,-10 1 180,-2-6 270,-10-8-451,-2 10 181,-13-5 90,-2 12-1,-8 1 91,-4 6 180,-10 12-630,12 3 89,-11 15-89,16 3-90,-3 11-90,9 3-1439,11 22 719,8-23 1,9 12-900,10-23-180,12-2-90,18 0-989,31-11 2068,-20-10-539,-10-7 0,1-4 1349,18-9 0,13-7 0,-8-3 0</inkml:trace>
  <inkml:trace contextRef="#ctx0" brushRef="#br0" timeOffset="-86413">5359 4178 8432,'-3'-10'3508,"-1"0"-2518,-1 1-181,-3 1 91,-1 1-91,-2 1 630,-9 0-179,-3 2-271,-9 2 1,-1 7-271,-2 7-359,7 1 0,4 4 449,3 6-539,6-4 90,-2 8 0,6 1-1,3 11-269,3-6-90,7 12-449,14-9 89,-1-7-630,16 7-89,-2-19-180,10 0-90,3-6-271,0-6-358,0-5-451,-2-4-2698,-2-4 4279,-11 1 0,-10 1 0,-9 3 0</inkml:trace>
  <inkml:trace contextRef="#ctx0" brushRef="#br0" timeOffset="-85631">5280 4192 8882,'10'-7'4228,"0"2"-3239,1 3-629,0 5-90,-2 1 359,2 6 1,-2 0 629,1 7-809,-4-3-360,-3 4 90,-5-7-90,-4 0 0,-1-4-90,-1 1-90,-18 10-90,7-7-1979,-42 23 1080,35-21-2609,-25 14-90,36-18 3778,-1 0 0,11-5 0,2-2 0</inkml:trace>
  <inkml:trace contextRef="#ctx0" brushRef="#br0" timeOffset="-84648">6806 3906 9422,'0'-13'6746,"-2"3"-6296,-2 6-1,-1 5 1,-1 7-180,0 0 0,-1 4 179,-5 11-269,1-2 0,-13 24-90,9-16-270,-21 39 0,16-32-989,-24 46 629,26-47-989,-16 33-360,16-29-1259,-2 9 3148,4-9 0,8-17 0,2-8 0</inkml:trace>
  <inkml:trace contextRef="#ctx0" brushRef="#br0" timeOffset="-84276">6446 3989 7623,'-5'-8'3777,"0"0"-2787,-2 2-630,-1 5-90,-1 2-1,1 4 1,2 1-90,1 0 270,-1 6-360,3 9-90,2-3 0,3 3 90,3-11 0,7-3 90,1-4 269,7-3-179,-7-5 900,4-10-811,-9 5 451,2-16-450,-11 9-90,-4-7-181,-2 10-89,-14 2-179,9 9-1800,-16 12 809,17 3 1170,-3 40 0,14-23 0,2 25 0</inkml:trace>
  <inkml:trace contextRef="#ctx0" brushRef="#br0" timeOffset="-83933">6781 4510 11221,'6'4'6296,"4"-2"-6206,-4 2-90,4-6 180,-2-2 0,0-3 180,-4 0 809,3-10-270,-5-5-719,0 0 360,-13-11-450,2 19 0,-8-8-90,6 13 0,-2 2-90,0 2-450,-7 2-89,4 3-1800,-13 7 1350,16 1-1710,-8 11 271,16-7 2518,2 11 0,2-15 0,2 3 0</inkml:trace>
  <inkml:trace contextRef="#ctx0" brushRef="#br0" timeOffset="-83685">7183 4350 8342,'3'-13'4048,"-1"1"-2069,0 1-90,-3-2-360,-1 1 630,-1-1-1710,-4 9-359,3 9 0,-1 5 0,4 4-180,2-2-90,-1 2-179,2 0-721,0 8-1618,2 11 1528,0-7-6745,5 18 7915,-5-27 0,1 3 0,-4-14 0</inkml:trace>
  <inkml:trace contextRef="#ctx0" brushRef="#br0" timeOffset="-83550">7150 4074 9152,'-8'-17'2069,"1"2"-1979,-1 3-810,2 3-2698,-2 3 3418,3 6 0,0 0 0,3 4 0</inkml:trace>
  <inkml:trace contextRef="#ctx0" brushRef="#br0" timeOffset="-82779">7340 4509 13559,'-6'6'6117,"6"2"-6027,1-4-90,10-1 0,1-3-90,1-2 90,-2-1 0,0-2 0,21-19-90,-14 9 90,15-17 0,-7-16-90,-9 14 90,11-42 0,-15 19 90,1-14-90,-7 3 180,-6 0-90,-3 25 90,-5-4-1,-2 25 181,-3 0-270,-3 12 360,-4 20-360,5 4 180,-4 30 0,8 8-91,1 21-179,9 10-269,13 6-1,12-7 180,3-19-540,36 6 180,-12-38 91,30 7 89,-11-32 90,-2-16 90,0-13 0,-8-12 180,-12-10 360,-10-16-180,-19 18 449,-8-12-269,-13 32 989,-12-19-360,-3 19-269,-10-5-270,0 17-270,0 9-181,6 6 1,-4 16-719,13 0-541,2 13-449,17 0 0,15-1 360,11-4 449,11-7 271,3-11 269,5-9 180,-4-9 1169,6-17-629,-24 9 90,-2-8 449,-23 15-89,-3-2-1,-5 2 91,-16 8-990,6 2-180,-10 9-990,12 3-2697,5 14 2517,3-9-3237,10 12-450,2-18 5037,5 0 0,-8-7 0,-2-3 0</inkml:trace>
  <inkml:trace contextRef="#ctx0" brushRef="#br0" timeOffset="174849">4461 1291 16348,'-6'8'1439,"-2"0"-1169,0 1 89,-1 1-179,-2 1 450,-10 12-450,0 0-90,0 1-90,6-6 0,8-10 90,2 0-180,7-5 180,-1-1-180,7-6 180,3-7-90,-2 1 540,13-16-271,-12 14-89,7-10 360,-9 12-360,0 1 270,0-2-91,0 5-89,-2 5-180,2 5-90,-2 4 180,1 7-180,-1 1 90,1 7 0,1 3 0,-1 1 0,-1 1-90,-1-1 0,-3-1 90,-3-2-90,-3-2 0,-4-4 90,-4-3 0,-4-2 359,-5-4 271,-2-1-90,0-2 269,1-1-629,2-1 0,5-1-450,10-5-180,6 1-269,13-5-1350,18-5 450,-2 2-3239,52-13 1170,-35 10 3598,49-9 0,-48 12 0,14-2 0</inkml:trace>
  <inkml:trace contextRef="#ctx0" brushRef="#br0" timeOffset="175597">8935 1225 9062,'-12'-4'3688,"1"0"-2699,0 0 720,-5-2-1079,5 2 2158,-6-6-1888,13 3-451,4 2-269,8 5 90,2 6-90,-3 5-180,-3 2 90,-2 1-90,-3 0 90,-3 2-180,0-4 90,-6 12 0,6-11-90,-2 12 90,7-15 0,6 8 0,5-7 0,14 4 0,-7-5 810,18 10-361,-23-12-89,9 7 899,-14-6-809,-5 7-90,-4 1-90,-12 5-270,-3-8 0,-12 3-1259,-7-6-900,-1-2 1079,2-5-2607,-1-16 2337,19 2-1438,-9-20-2519,18 0 5307,2-4 0,7-5 0,3 6 0</inkml:trace>
  <inkml:trace contextRef="#ctx0" brushRef="#br0" timeOffset="175880">8882 1162 8612,'13'-19'3238,"-2"1"-2338,0 1-1,-2 3-89,0 1-91,-1 2 1,-1 1 0,1 2-3483,-1 0 3393,1 2 539,0 2-179,8 3 269,3 9-899,0 0 449,2 14-449,-13-7 539,4 24-809,-9-19 3572,-4 27-3662,-3-31 180,-6 12-90,5-18-90,-2 2 0,4-12 0,7-16-90,3-2-539,16-26-271,3 5-539,11-14-180,5 2-1709,10-2 1978,-17 20-2517,11-3 3867,-23 23 0,-5 2 0,-6 5 0</inkml:trace>
  <inkml:trace contextRef="#ctx0" brushRef="#br0" timeOffset="178347">2439 1852 7892,'-15'3'3329,"3"0"-1261,-1 0-1888,13 1 90,2-2-90,12 0 90,1-1-90,5-2 0,5 1 0,8-2-1,5 1 181,51-1-270,-21 0 0,-2 2 0,0-1-90,11 2 90,5 0 0,5 2-90,-16-2 0,-1 1-186,2 0 0,0 1 186,-6-2 0,-7 0 0,1 0 0,12-1 0,-10 0 0,-8-2 90,-8 1-90,-6-1 0,-5 0 0,-6 0 0,-2 0 90,-9 0 372,1 1-372,-6 0 0,1 0 0,-1-1 270,-2 1 269,-1 0-539,-9-1 180,-3 1 0,-10-2-90,-1 0 0,0-1-1,-1 0-89,1-1 0,1-1 0,0 0 0,1-2 0,1 0 0,0 0 0,2 0 0,1 1 0,2 1 90,-6-4-90,3 3 90,-6-5-180,6 5 0,-3 0 0,3 0 0,7 3-90,4 2 90,9 4 0,-1 2 0,1 1-90,-2-1-450,5 4-179,1 2 269,0-1-899,7 7 179,-8-4-179,6 7 629,-10-8-5306,0 9 6026,-7-7 0,0 0 0,-3-6 0</inkml:trace>
  <inkml:trace contextRef="#ctx0" brushRef="#br0" timeOffset="179231">4031 186 8252,'9'1'4048,"-3"4"-3598,-1 3-1,-3 3 1,0 2-90,-1 4 0,1 5-90,1 5-1,0 7 361,5 45-450,0-18 0,2 11 0,1 1-90,0-6 0,1 5 0,1-3-90,-4-15-135,2 7 0,-1 0-225,-1-8-405,0 6 1,-1 0-136,0-7-2158,-1 5 0,0 1 3058,-1-8 0,3 27 0,-4-38 0</inkml:trace>
  <inkml:trace contextRef="#ctx0" brushRef="#br0" timeOffset="179683">4201 433 7353,'3'-11'3868,"1"0"-2519,0-1 90,-1 1-1169,-3 11 90,0 3-1,-3 12-89,2 2 0,0 4 90,1 5-90,0 4 0,1 6 89,0 3 451,4 46-540,0-20 89,0 26 1,1 3-180,-1-5-90,-2-14 0,-1 13 0,0-13 0,-2 17-1058,-1-25 0,0 10 0,0-10 518,-1 19-585,-1 9 1,1 0-87,-1-9-1263,-1 11 1,-1-1-766,2-16 3149,-1-19 0,1-3 0,0-8 0,0-3 0</inkml:trace>
  <inkml:trace contextRef="#ctx0" brushRef="#br0" timeOffset="181464">6419 429 12930,'-1'13'1529,"1"3"-1169,0-2-1,1 3-963,-1 4 874,0-3 474,-1 14-205,1-2-359,0 0 360,1 20-360,0-23 449,2 34-449,-1-34 360,4 33-360,-4-34 1210,4 31-1300,-4-32 269,1 30-179,-1-32 90,-2 33-180,0-31 0,-1 13 0,0-18-90,0-2 90,0 8 0,0 8-90,-1-6 180,1 17-180,0-27 180,0 22-90,1-23 89,1 15 1,0-11-90,0 5 90,1 1 0,1 6-180,-1-10 90,1 3 0,-1-6-90,-1-5 90,1 5-90,0-6 90,-1 1 90,2 12-90,-1-8 270,2 23-181,-3-23 541,3 38-540,-2-31 270,2 43-270,-2-39 89,3 44-179,-2-38 90,4 53-180,-5-47-45,0 10 0,-1 0-45,-1-2-359,-3 48-631,-1-30-449,-2 20-360,-1 0 900,3-20-2249,-2 29 1888,3-48-2607,-2 37 3957,1-35 0,1-3 0,-1-5 0</inkml:trace>
  <inkml:trace contextRef="#ctx0" brushRef="#br0" timeOffset="182364">5512 692 8162,'-13'-1'4408,"1"-1"-3868,2-4 539,3-1-539,2-6-91,3 3 1,3-4 450,4-4-1,4-3-449,0 2 539,14-8-629,-11 16 270,13-4-360,-13 13 449,13 15-629,-14-2 90,10 28-90,-16-19 0,1 22 0,-6-19 0,0 28 0,-1-26-180,1 16-270,2-17-450,5-3 181,0-1-1,6-8 360,0-11-359,10-9 539,-5 0-180,18-17 180,-17 10 90,10-9 0,-6 4 360,-3 2 359,3-2 271,-6 4 809,-4 4-1440,-6 11 91,-5 2 180,-4 14-450,-2-3 0,-1 7 0,0-2-270,-10 28-900,0 1-989,-9 25 990,7-20-3149,-7 27-4047,8-28 8185,-2 11 0,11-34 0,4-16 0</inkml:trace>
  <inkml:trace contextRef="#ctx0" brushRef="#br0" timeOffset="182715">5931 1106 8342,'6'-11'9535,"0"3"-8546,-2 7-539,-3 7-180,-1 5 0,-1 2-90,0-1-1,0 0-89,1 0 0,0 0 0,1 0-90,1-1 0,2-1-90,0-1 90,2-2 0,6-2-90,18-11 90,-7 0 180,31-26 90,-31 14 810,27-22-361,-31 25 1170,14-13-1079,-22 19-91,5-3-449,-11 15-90,-2 6-270,-2 4-1979,-8 23 540,3-14-3238,-4 33-450,7-23 5217,3 14 0,-1-26 0,3-6 0</inkml:trace>
  <inkml:trace contextRef="#ctx0" brushRef="#br0" timeOffset="183947">8570 447 8072,'-12'3'3149,"1"0"-7910,-1-2 5570,1 1 1859,1-2-1678,-2-1 769,3-4-860,2-4-449,6-3 180,7-2 3032,1 4-3393,2 1 361,-2 5-270,3 1-180,1 5 0,-1 2-90,-1 5 179,-2 5-179,-3 6-90,0 0 90,-2 8-180,-1 0 90,0-5-90,4 5 90,4-16 0,5 2 0,8-2 0,-2-4 90,-1-1 0,0 0 0,-10-2-90,1 8-90,-9-6 0,-5 4-179,-2-2-721,-8 4 270,2-3-6475,-22 15 7195,19-15 0,-10 6 0,22-14 0</inkml:trace>
  <inkml:trace contextRef="#ctx0" brushRef="#br0" timeOffset="184164">8828 460 9691,'5'-8'8456,"2"-1"-7737,-4 10-89,-1 0-180,-3 10-1,-3 1-179,-1 3 0,-1 3-360,-18 55-450,11-33-674,-3 14 0,0-1 134,6-17-179,-5 19-90,10-27 1349,-3 25 0,5-31 0,-2 17 0</inkml:trace>
  <inkml:trace contextRef="#ctx0" brushRef="#br0" timeOffset="184513">8850 895 8252,'6'-15'3688,"0"0"-2608,-1 1-1,0 2-90,-1 0 1,0 0 629,-1 2 720,2-7-1350,-1 6-719,3 1-180,-3 12 0,1 4-90,0 4 90,-1-2-180,0 1-180,3 4 180,0-4-360,10 8 180,-1-10 180,9-2 180,-7-7 360,13-15 0,-8 1 359,9-9 271,-8 4-181,-4 2-89,-6 7-271,-3 3-359,-4 10-270,-2 7-899,-4 13-1440,-4 11 990,-2 0-3958,-2 28 2429,3-26 2968,-1 29 0,4-45 0,0 4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4:44.56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3100 355 9242,'-3'-14'5936,"0"0"-4137,0 3 810,-1 0-2069,1 13-361,2 4 1,2 7-90,2 3 0,-1-4 90,3 12-180,-1-8 180,5 18-180,-5-21 360,4 13 0,-4-17-91,1-5-89,-3-13-90,-2-6-90,0-4 90,-2 2 0,0-12 0,-2-6-90,1-2 450,-2-18-90,1 18-180,1-12-90,0 23-1,2 1 1,0 10-90,2 1 90,3 10-90,4 8 0,4 10 90,4 6-90,3 4 0,8 7 90,-8-10-90,20 9 0,-23-21 0,12 4 0,-10-13 90,8-9-90,-4 1 90,7-12 90,-11 1 270,4-6 0,-5 0 359,0-1-539,-7 10 90,1-2-270,-4 16-90,-2 2 0,1 8 0,-2 14-180,-2-6-810,4 15 181,-3-15-2789,3 19 2339,-3-17-1620,4 16-359,-2-12 3238,2 5 0,-4-12 0,2-3 0</inkml:trace>
  <inkml:trace contextRef="#ctx0" brushRef="#br0" timeOffset="918">3618 307 9512,'0'-15'6116,"-1"2"-4317,-1 1-1619,4 5-90,1 3-90,7 5 90,2 1-90,3-1 0,-1-2 0,0-1 0,-4-1 90,1-1-90,0-1 0,0-1 1079,14-12-629,-13 7 989,14-15-989,-21 13-90,0-5-91,-9 7-179,-6 4 0,-1 4 0,-12 9 0,9 1-270,-18 17-89,18-9-631,-10 22 540,18-20-629,3 22 629,7-23-539,21 16 719,-7-21-180,33 1 270,-22-12 0,40-12 90,-35 1 270,39-25 90,-44 17 449,24-26-449,-37 25 539,8-24-719,-20 25 450,-5-22-540,-5 24 180,-9-11 0,-2 15-91,-12 4-89,9 6 0,-14 17-180,20-2 270,-9 28-180,17-19 0,3 29 0,7-28 0,14 22 0,-6-27 0,12 7 90,-5-17 90,11-8 90,-9-2 719,13-21-719,-21 9 360,11-27-450,-17 21 719,3-28-629,-9 29 540,-2-22-630,-1 26 179,-2-15-359,-1 28 0,0-5 0,1 19-90,4 7 0,0-3-179,2 13-1,1-8-270,4 12 270,-1-13-449,11 15 539,-7-18-360,22 10 540,-17-20-180,22-4 180,-23-6 90,18-15 90,-19 8 630,14-16-451,-17 15 811,5-8-900,-8 10-91,1-2-89,-1 4-180,0 6-629,-1 4-810,1 6 359,-1 4-1978,-2-2-90,1 4-1709,-3-1 4947,0 4 0,-1-7 0,-1-3 0</inkml:trace>
  <inkml:trace contextRef="#ctx0" brushRef="#br0" timeOffset="1075">4423 60 9332,'-5'-10'3328,"0"0"-2519,0 1-179,0 1-90,-1 0 89,1 1-5486,-1-1 1619,7 9 3238,0-1 0,4 5 0,-2-2 0</inkml:trace>
  <inkml:trace contextRef="#ctx0" brushRef="#br0" timeOffset="1403">4607 94 10411,'9'-4'9265,"-4"-3"-8276,-5 1-179,-4-2-271,-4 4-449,-2 3-270,-1 4-269,1 3-1,3 2-449,1 2 539,4 2 90,2-2 90,4-2 180,4-5 0,3-4 180,-1-2-90,0-1 719,3-7-539,-6 4 0,5-5 270,-2 1 89,2 1 91,3-1-360,0 3-270,1 5-90,-1 5-720,-1 6-1349,-2 8-809,-2 9 2878,-10 38 0,-1-19 0,-8 25 0</inkml:trace>
  <inkml:trace contextRef="#ctx0" brushRef="#br0" timeOffset="177080">133 849 8252,'-9'-6'6567,"-1"2"-5668,0 3-89,-2 3-181,3 2 1,-1 2-90,-2 1 989,-12 23-1259,11-11 359,-8 36-539,18-34 90,4 19-180,5-26 90,10 7-90,-5-13 0,25-4 0,-20-8 90,29-20-90,-26 7 90,24-34-90,-27 25 90,12-29 0,-20 18 180,-6-22-270,-5 22 90,-15-13-90,5 30 89,-28-9-89,21 19 0,-25 3 0,32 10-89,-9 9 89,14 2 0,2 5-180,7 5 90,2-6 0,8 5-180,8 0 270,4 0-90,8 1 90,-9-11 0,17 2 0,-20-9 0,26 5 0,-27-7 90,9 2 0,-13 0 90,-3 1-180,-1 3 0,-3-1 90,-2 0-90,2 6 90,-3-5-90,8 14-90,-7-13-450,6 10 0,-6-11-1349,4 9-719,-1-4 2608,3 17 0,-5-18 0,0 7 0</inkml:trace>
  <inkml:trace contextRef="#ctx0" brushRef="#br0" timeOffset="178262">5832 554 13379,'-15'2'3239,"3"0"-8360,2 5 6020,0 4 870,3-2-1229,-4 10 499,6-7-589,3 16-360,3-13 0,11 16 3392,-3-18-3482,12 9-90,-9-14 180,21 4-90,-17-9 90,21-5-90,-25-3 90,8-11 0,-13 5 269,-2-23-359,-6 15 90,-14-27 0,3 29-90,-15-13 0,11 18 0,-20-5 0,17 11 0,-16-2 0,19 9 0,0 3 0,10 3 0,15 9 0,1-4 0,24 13-90,-14-13-90,21 13-89,-11-11-91,24 6 270,-23-9 90,10-1-90,-27-8 90,9 1 0,-7-2-90,5 0 90,-19-1 0,-3 1 0,-2 4 0,5-1 0,10 3 0,-1-3 90,3 4-90,-6-4 90,5 5-90,-6-3 180,9 9-90,-9-4-90,4 5 90,-8-4-90,-5 1-90,-1-2 0,-8 5-270,2-5-1979,-18 15 990,11-12 1349,-21 16 0,27-22 0,-6 4 0</inkml:trace>
  <inkml:trace contextRef="#ctx0" brushRef="#br0" timeOffset="179732">3308 714 8342,'-10'1'7196,"1"0"-6027,-1 4-179,4 2-271,1 5-449,3 2-90,2-1 0,2-1-90,0-3 90,1 1-180,1-1 90,0 0-90,8 10-180,-3-7 90,7 7 0,-3-12 180,1-5-90,1-5 270,2-6 90,-1-7 0,-1-6-91,-4-4-179,-6-5 90,-6-2-180,-7 0 0,-6 2 0,-4 4 0,-2 6 0,-2 6 0,6 8-90,-5 7 90,10 6-180,-2 3 90,11 10-89,7-4 89,1 4 0,14 2 0,-1-5 90,9 6 0,-2-5 0,-2-1 0,-6-4 0,10 13-90,-17-13-90,10 14-90,-16-17-1529,3 6 0,-3-4-360,2 3-1169,0-2 3328,-1-3 0,-3-4 0,0-1 0</inkml:trace>
  <inkml:trace contextRef="#ctx0" brushRef="#br0" timeOffset="180060">3646 807 9152,'-1'-13'5846,"0"0"-4766,-1 1-361,2 1-179,1 1-90,3 1 179,1 2-269,4 4 0,-4 5-90,1 5-180,-7 7 90,0-1 0,-2 1-90,-1-2 0,1-1 89,-3 10-89,3-8-90,0 10 90,3-11 0,11 3-90,2-9-90,11-3-90,-5-7-1169,19-7 630,-17 4-2070,28-10 1620,-29 9-2519,15-5 2840,-17 5 0,-5 3 0,-3 1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7:51.707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45 1 13289,'2'17'-989,"0"1"-90,0-2 449,0-2-2788,3 11 3418,-2-12 0,1 3 0,-3-11 0</inkml:trace>
  <inkml:trace contextRef="#ctx0" brushRef="#br0" timeOffset="310">91 243 8252,'-1'18'3418,"-2"0"-2608,0-2-270,-2-1-181,0-1-179,-1-1-90,3 0-360,0 1-89,2 0-91,2 0 180,1 1-270,2-3 270,0 1 91,0-4-181,0 1 270,1 0 0,-1-2-90,0 3 90,0 0 0,1 4 90,-1 3 0,1 2 90,-1-2 90,-2-1 0,2 1-90,-1-3 0,0 0 0,-1-4-540,1 0-1979,0-1 2429,-1 1 0,0-5 0,-2-1 0</inkml:trace>
  <inkml:trace contextRef="#ctx0" brushRef="#br0" timeOffset="1174">108 959 9152,'-8'-10'4857,"0"1"-3778,-2 1-269,-2 2-180,0 2-271,-2 3-179,2 4-90,2 2 0,2 3 0,3 0 0,1 1-90,1 1 90,2 0-90,0 8 90,8 13-90,-2-8 0,12 16 0,-9-26 0,13 9 0,-8-15 0,6-2 0,-7-7 180,7-17-180,-11 8 270,8-18 179,-13 8 1,-1-7 0,-5-1 0,-4-1-270,-1 7 269,-11-9-179,4 14 0,-8-6-90,4 9 0,2 4-180,2 3 90,4 6 0,5 7-90,4 7 0,4 1-270,11 19 90,-5-15-809,17 23 539,-13-26-540,11 11 541,-12-16-901,13 6 991,-12-9-271,10 2 450,-9-5 360,3 0 719,-2-3 810,-2 0-809,0-1-450,-3 2-91,-2 2-89,1 3-180,-1 1 0,0 1 0,1 2 90,-1 0-180,0 0 90,-2 0-90,-1-2 90,2 9-90,-1-4-180,4 7-540,-3-8-629,3-2-540,7-8-1799,9-5 1260,-3-1 2428,7-5 0,-21 7 0,3-1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8:30.75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12 323 8432,'-12'-2'3868,"13"0"-3688,10 1-90,12-1 0,8 0 0,4-2 0,12 0-90,10-2 45,-9 0 0,6 0-1176,25-5 0,2 1 1131,-16 2 0,5-2 22,1 0 1,12-1-1,0-1 1,-12 2-23,-8 1 0,0 0-23,8-1 1,13-2-1,-1 1 1,-15 1-23,-16 3 0,-4 1-45,39-6 0,-4 1-91,-20 4 91,16-2-2583,-49 6 2673,1 0 180,-16 2 0,-47 6 1464,9-1-1419,-41 5 0,-11 0-135,-4 2-606,10-2 0,-12 2 0,7 0 561,10-2 0,0 1 15,-5 0 0,-6 2 0,4-1 1032,-7 2 0,0 0-942,11-2 0,-3 0 0,6 0-60,-1 0 0,2 0 89,-22 3 1,9-1-90,24-5 90,-14 2-180,62-11 0,5-1 0,27-5 90,45-10-90,-26 7 0,6-1 1208,21-5 1,4 1-1254,8-1 0,-2 1 0,-15 3 0,0 0-135,14 0 0,0 0-470,-6 4 1,-3 0 514,-14 2 0,-1 0-538,20 1 0,-11 2 583,-30 3-180,16 2 270,-52 5 90,-36 7 0,-8 0 45,-26 2 0,-7 0 45,-16 2-630,19-5-1,-11 3 1,9-3 540,21-5 0,-1 1 150,-20 2 0,-11 2 0,13-3 903,-16 2-963,10-4 0,8-2-1,32-5 388,-2-8-567,42-3 90,60-28-90,-10 15 45,30-8 0,6 1-45,4 4-708,-20 8 1,11-2 0,-9 4 707,-22 5 0,0 1 0,47-7 0,-2 1-90,-10 5 90,-31 4 0,-3 1-90,8 1 896,-9 1-895,-12 3-91,9 4 180,-33 5 0,3 1 0,-39 4 2533,-9-3-2398,-22 4 0,-12 1 0,-26 4 0,-5 1 442,13-2 1,-4 0-488,0-2 0,-5 0 0,14-2 0,-14 0 45,8-3 0,5-1-135,27-5 90,-7 0-1,48-13-89,24-6 0,7-4 90,58-15-90,-16 14 0,5 0 0,-11 1 0,2 2-82,31-6 0,2 3 37,-15 7 0,-4 2 0,-14 0 0,0 2-45,11 1 0,-7 2 0,-11 3 0,-4 4 0,-25 8 90,-18-2-90,-35 11 90,-40 4 45,-13-1 0,-7 0-494,23-5 0,-2-1 479,0-1 0,-6 1 0,0-1 30,4-3 0,0-1 0,5-1-15,-2 2 0,1-2-45,-36 4 0,14-3 0,46-8 0,-7-1 694,40-8-694,68-31 0,-13 12-899,18 0 1,18-5-1,-7 6 899,-19 7 0,0 1-30,20-4 0,10-2 0,-10 4 30,-25 7 0,0 2-90,19-1 0,8 0 1,-10 2-1,23-2 45,0 4 0,-10 3 45,-47 5 598,5 11-598,-40-5 0,-29 15 0,-12-6 0,-4-1 0,-9 1-135,-33 7 0,-8-1-1001,27-6 1,-3-1 0,2 0 925,0 0 0,1 0 0,4-2-150,-16 2 1,5-2-412,18-4 1,4-1 230,-27 3 0,-14 3-952,32-9 773,25-2 719,-1-5 0,29 0 0,2-2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8:34.54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903 1 10861,'-3'1'5936,"-1"0"-5576,-10 6 0,3-2-4342,1 0 4252,0-1 90,1 0 859,-2 0 310,-32 11-1349,17-6 360,-37 12-450,31-12 450,-60 15-360,44-12-46,-3 1 1,2 0-45,9-3 90,-33 7-90,40-9 3392,-28 5-3572,41-8 90,-17 2 0,22-5-629,-5 2 449,15-6 90,4-1 90,7-4 0,0-4 0,0 1 90,5-10-90,-5 8 0,8-17 0,-8 16 180,5-14 89,-6 14 181,0-5 90,-1 7-360,-6 6-90,-1 7-90,-4 4 90,0 4-90,1-2 90,0 2 89,-6 6-179,3-2 360,-17 21-270,12-15 0,-20 27 0,20-27-90,-14 20 0,19-25 0,-7 15 0,12-15 0,0 4 0,6-5 0,5-3-90,2-4-719,13-2 179,-7-3-2428,34-4 1798,-21-1-4946,56-11 1079,-41 6 5027,30-7 0,-34 6 0,2 0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8:35.65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21 235 10591,'-10'0'7016,"-1"2"-6746,11-1-90,2 1 90,11-1-91,3-2-89,3 0 90,7-2-90,5-1 0,6 0 0,61-12 0,-32 6-135,2-2 0,1 0-135,-6 1-225,4-1 1,3-1-1,-18 4 0,-3 1 360,2-1 0,-1 1-135,26-5 90,-58 9 0,7-5 180,-20 3 180,-4-5-90,-10 6 360,-11-3 809,-18-2-989,12 3 0,-12-3 899,11 3-989,11 3 719,-17-4-539,20 5-450,3 1 90,10 3-90,10 3 90,2 0-90,2 0-90,11 4 0,18 5 90,-9-3-180,22 9 180,-36-12-90,12 9 0,-23-8-899,-6 15 539,-7-11-2159,-24 21 1440,9-18-1979,-22 13 539,19-15 2609,-10 8 0,20-13 0,-2 1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8:39.597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79 308 10231,'-17'0'5127,"2"0"-3957,2 0-1,2 1-90,2 2-539,2 5-180,3 2 0,1 5-91,3 0 1,0 3-90,2 5 450,11 46-450,9-2-180,2 11 90,21-7 0,-13-43-90,15 6 90,-17-23-1,16-15 91,-23-3 630,32-28-180,-25 1-91,10-20-269,-19 15 180,-5-24-360,-12 30 180,-5-46-90,-11 30-1,-9-20 1,1 26 540,-16-7-540,16 28 180,-27-15-181,18 26 1,-14 0-90,16 11-90,-13 19 90,13 2 0,-7 13-180,16-8 270,5 18-180,9-20 0,3 39 0,7-21-180,14 42-90,-7-39-629,12 20 179,-13-44-4587,20 21 3958,-16-25-1619,20 14 1349,-21-22-5577,12 1 7196,-12-6 0,-2-1 0,-6-2 0</inkml:trace>
  <inkml:trace contextRef="#ctx0" brushRef="#br0" timeOffset="214">557 595 8792,'10'-16'8005,"-1"2"-5486,-3 3 5396,-2 2-6475,2 5-1440,-2 8 0,-1 4 0,-1 6 0,0-2 0,0 8 0,0-2 0,1 27 0,-2-19 0,2 37 0,-2-34-5487,4 34 3148,-3-37-5307,6 28 1620,-4-33 6026,3 9 0,-5-23 0,0-1 0</inkml:trace>
  <inkml:trace contextRef="#ctx0" brushRef="#br0" timeOffset="1963">2802 166 8612,'-1'-11'3868,"-1"0"-2879,-2 0-89,-1 0 89,-2 1-89,-1-2 719,-8-4-900,2 4 1260,-26-10-1619,20 14 270,-23-1-181,26 11-89,-5 3 0,7 4-90,-1 3 360,-5 14-1,-5 27-539,6-8 180,2 51-270,16-51 45,6 6 0,3-1-45,6-8 0,20 28-90,-1-39 0,12 0 0,1-14 0,1-14 90,-1-16-90,-2-14 90,-9-1-90,3-33 180,-21 24-90,4-51 90,-18 45 0,-12-52-90,1 53 360,-26-41 359,7 48-89,-15-10 0,7 28-181,1 11-269,10 6 90,-6 17-180,18-5 90,-9 30-90,18-6-180,4 23-90,7-14-1439,15 28-540,1-23-225,2-5 1,1-1 1484,4-1 179,12 6-629,-15-28 449,1-2 630,0-1-359,15-2 719,-23-12 539,24-3-269,-29-5 1259,17-12-989,-20 7 1349,13-13-1350,-16 12 1530,6-7 2159,-9 9-3959,-4 7-89,-2 1-90,-6 9-90,2-1 0,0 1-180,-1 10-90,3-3-270,2 8 271,4-8-271,11 5 360,-3-10-90,21 14 0,-16-13 180,17 12 180,-12-6 270,7 13-270,-12-9 359,-2 16-449,-13-21 0,-8 17-180,-10-10-1259,-28 10 540,8-11-3239,-48 3 2879,41-18-1710,-40 1-1978,21-13 4857,-26-8 0,9-3 0,-6-5 0</inkml:trace>
  <inkml:trace contextRef="#ctx0" brushRef="#br0" timeOffset="2996">1162 445 11221,'-9'-3'9830,"16"2"-9226,-2 1-155,17 1 1,-3-1-180,6-2-3392,7 0 3751,45-5-539,-17 0-1,11-1 0,4-1-44,-25 3 0,0-1-45,37-5 0,-1 0-90,4-1-135,-22 2 1,-6 1 44,-20 3-540,30-7 630,-49 10-360,10-4 181,-21 4 3615,-5-3-3346,-9 0 48,-8 0 41,-2 2-89,0 0 90,2 1 0,-1 0 90,0-1 360,-11-4-270,7 3 719,-19-9-179,15 7-1,-8-4-269,12 4-180,-1 1 90,7 3-450,5 4 0,5 1 89,9 6-89,10 3-179,19 8 179,-6-2-270,19 10-270,-20-9-180,5 5-449,-9 0-900,-11-1-179,-12 2-91,-14 3-270,-14 2-1258,-17 2 3867,-15-1 0,6-9 0,-2-3 0</inkml:trace>
  <inkml:trace contextRef="#ctx0" brushRef="#br0" timeOffset="3364">1284 342 7533,'4'-11'3148,"-1"1"-2249,0 1 900,0 0-270,0-3 450,-1 2-450,-1-3-1079,-6 7 0,-1 2-90,-3 7 0,1 3-1,-1 2 1,0 2-90,-2 2 899,-16 26-899,12-16 630,-20 35-630,24-36 359,-7 24-269,12-21-180,3 9-90,6-14 0,11 5-270,5-10-810,13 4-1258,4-8-1,6-3-360,2-3-629,2 0 810,-10-1 2428,6 1 0,-28-3 0,5 2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8:53.16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1 292 11940,'2'0'5847,"2"-1"-5487,11 2-91,2-2 1,3 1-90,6 0 0,6-1 0,5 0-90,5 0 0,3 0-527,3 0 527,11-1-45,2 1 0,7-1 45,12 0 0,2 0-90,-2 0 0,1-1 0,10 0 0,6 0 210,-15-1 0,3 0 0,-5 1-165,0-1 0,3 0-760,-4 1 1,11-1 0,-2 0 0,-14 1 714,-15 0 0,-2 1 90,24-2 0,9 1 0,-9 0-235,-20 0 0,1 1 280,12 0 0,13-2 0,1 1 0,-11 0-45,-1 1 0,0-1-253,4 1 1,12-2 0,1 1-1,-13 0 208,-3 0 0,-2 1 45,3-1 0,6 0 0,-4 0-76,9 0 0,0-1 136,-8 1 0,5-1 0,-6 1-60,2 0 0,0-1 29,8 0 1,8 0 0,-13 0-75,-25 1 0,-1 0-15,11-1 0,9 0 0,-6 1 60,-1-1 0,-1 0-60,-1 0 0,5 0 0,-3 0 15,20-2 0,-3 1-45,-4 0 0,-3 0 45,-7 0 0,-5 0-45,-14 1 0,-1 0 965,16-1 1,1-1-966,-14 2 0,-3-1 0,35-2 0,8-1 0,-55 5 0,43-3 90,-62 4 405,21-1-405,-29 3 1843,10-2-1753,-14 1 962,2 0-1052,-1 1 502,-2-1-682,0 1-90,0 0-8814,0-1 8994,-1 0 0,-4 0 0,-3 0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04.87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75 24 9332,'0'-11'6386,"-2"1"-5666,-2 8-361,1 7 1,0 7 90,2 3-180,1-1 90,1 1 179,1 11 451,6 23-810,-2-12 179,10 36-179,-10-44 0,9 33-90,-8-37 0,6 29-90,-8-31 90,5 24-180,-6-28 90,3 20-270,-5-23-1619,1 19-90,-2-21-719,0 11-4138,-1-9 6836,0 2 0,-1-7 0,1-3 0</inkml:trace>
  <inkml:trace contextRef="#ctx0" brushRef="#br0" timeOffset="618">0 757 10051,'4'-7'8815,"-1"7"-8635,0 5 0,0 7 0,-1 1-90,0-2 90,1 8-180,-1-3-4138,8 45 2789,-5-35 1349,11 42 0,-11-55 0,2 7 0</inkml:trace>
  <inkml:trace contextRef="#ctx0" brushRef="#br0" timeOffset="847">340 818 8702,'4'-12'8995,"-2"0"-7916,-5 3-629,-3 8-90,-2 6-180,-2 6 90,2 1-91,-2 3-89,-1 2 90,-8 16-90,-2 6-719,-4 10-2610,-3 16 1980,13-27-7016,-2 18 8275,15-39 0,-1 2 0,3-14 0</inkml:trace>
  <inkml:trace contextRef="#ctx0" brushRef="#br0" timeOffset="1199">379 992 7803,'7'-10'3777,"0"1"-2787,-2 1 1079,0 1-450,1-1 809,-2 1-1888,4 4-360,-2 7-90,0 4 0,-1 4 0,-2-3-90,1 1 90,3 3-90,-1-3 0,10 6 90,12-13-90,-7 1 180,16-18-90,-26 4 449,13-15-269,-15 14 989,9-13-179,-10 13-810,4 1-180,-6 12-1,0 6-89,-5 6 0,0 8-449,-2-4-361,1 9-359,-1-7-4948,4 29 3149,-1-21 2968,9 28 0,-7-43 0,3 2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01.74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50 21 8072,'-7'-6'4768,"0"1"-3419,-1 0 90,1 1-809,-1 3-1,3 5-89,1 6-360,3 5 90,-1 0-90,2 0 0,0-2-1,0 0-179,0 1 180,1 8-270,0 10-539,2 1-1800,1 13 1260,-1-20-5937,2 17 7106,-2-24 0,0 4 0,-2-17 0</inkml:trace>
  <inkml:trace contextRef="#ctx0" brushRef="#br0" timeOffset="588">192 587 11850,'-9'-4'4768,"-1"0"-3959,-1 2-449,-4 2-180,1 1 90,0 1-91,5 1-89,-1 0 0,1 1 0,-4 3 0,4-2-90,-4 3 180,6-2-180,6 0 0,3-4 90,8-4 270,10-11-90,0-1-90,5-4 269,0-1-89,-7 3 0,4-2 90,-4 3 269,-2 1-449,-3 7-180,-1 5 0,-5 6 0,-1 9-90,-2-3 90,3 15-90,-3-11 90,6 22-90,-6-20 0,3 14 90,-4-12 0,1 8-90,-3-6 90,-8 2-90,0-11 180,-7 0 179,-3-6 361,-10 1-540,5-1 90,-9 0 0,13-3-90,-1 1-180,4-1 0,11-1-90,5-2-270,10-1-1169,11-2-900,10-3-2338,40-4 1439,-19 3 3328,37-3 0,-46 7 0,13 0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8:59.97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248 0 15808,'5'6'1439,"1"4"-1259,-3 7 0,0 0 0,2 12-180,-3-10 90,2 10-90,0 2-900,4 32 181,-2-19-181,2 18-179,-3-35-6027,5 21 7106,-3-18 0,5 18 0,-5-24 0</inkml:trace>
  <inkml:trace contextRef="#ctx0" brushRef="#br0" timeOffset="900">39 640 14369,'-8'-3'2608,"3"4"-2518,4 10 0,2 0 0,1 1-90,1-3 90,1 0-90,1-1 90,11 4 0,8-7-90,1 1 360,19-18-90,-23 2 899,25-25-270,-25 9-89,5-13-540,-18 15 629,-12-11-449,-9 14-180,-12-6-270,1 14 90,-25 11-360,21 6-2069,-35 21 1170,38-9-5217,-12 25 6386,34-15 0,4 6 0,11-8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06.84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81 33 9602,'4'-8'9084,"0"10"-8634,-1 4 0,-1 7 0,-1 3-91,1-3-89,-1 1 0,1 1-90,0 1 0,1 1 180,8 46-720,-5-23-989,5 35-3419,-7-22 1800,-2-22 2968,1 14 0,-3-34 0,0 2 0</inkml:trace>
  <inkml:trace contextRef="#ctx0" brushRef="#br0" timeOffset="584">19 757 8162,'-5'-7'2969,"1"1"-2160,0-2 1,1 0 449,1 0-629,1-5-91,1 2 990,10-15-179,12 8-1170,-1 0-1,4 10-89,-12 12 90,-5 1-90,-2 2 0,2 8-90,-3-3 180,-2 20-180,-3-13 90,-9 27 0,2-25 360,-10 23-270,9-27 539,-8 16-539,10-22 270,-6 12 0,7-14-91,2 4-269,8-8 0,3-2-90,3-4 90,14-7-270,-8 2-359,11-5-1980,3-1-1259,2-2 2159,0 1 1619,6-4 0,-29 13 0,7-4 0</inkml:trace>
  <inkml:trace contextRef="#ctx0" brushRef="#br0" timeOffset="816">484 639 10681,'2'-11'9265,"-5"11"-8636,0 1-89,-4 10 0,1 1-91,-2 2 1,-1 5-90,-2 0 270,-15 31-630,9-17-1170,-24 48 181,24-45-2249,-16 35 1798,23-43-3057,-6 18-540,11-28 5037,0 3 0,3-13 0,1-3 0</inkml:trace>
  <inkml:trace contextRef="#ctx0" brushRef="#br0" timeOffset="1186">476 901 9422,'6'-11'3957,"0"1"-2787,-2 1 988,0 0 1800,0 0-3598,2 7-90,-1 2-90,2 8-90,-1 3-90,1 0 90,2-2 0,2-3-90,2-5 0,-2-1 90,1-3-90,-3 0 0,-1-1 89,4-3-89,-4 2 90,7-5 0,-6 5 630,3-4-270,-4 5-270,1 5-90,-3 6-90,-2 3 90,-2 3-360,-2 7-90,-1-4-360,0 7-1079,0 5-1889,-1 9 2159,0-5-1439,1 2-2159,1-16 5127,-1-2 0,1-6 0,0-3 0</inkml:trace>
  <inkml:trace contextRef="#ctx0" brushRef="#br0" timeOffset="1654">354 1272 14549,'9'-8'1619,"1"0"-1439,2 4-180,5 0-450,-7 2-629,8 0-271,-4 2 1,2 1 180,-3 2 269,-4 2 361,-5 3 539,-5 3 0,-3-1 989,-9 8-539,4-8 1169,-15 14-990,12-14 451,-8 10-630,11-12 719,-4 5-449,6-4-451,3 1-179,8-4 0,3-3-180,5-4-2068,24-13 1438,-18 7-1709,28-14 1620,-33 14 809,12-10 0,-19 12 0,4-3 0</inkml:trace>
  <inkml:trace contextRef="#ctx0" brushRef="#br0" timeOffset="1829">577 1287 9602,'3'-9'9830,"0"0"-9136,-1 10-425,0 1-89,1 12-360,-2 2-179,1-2-271,-1 1-2248,1 6-6477,2 6 9355,-1-4 0,0-4 0,-1-15 0</inkml:trace>
  <inkml:trace contextRef="#ctx0" brushRef="#br0" timeOffset="2018">804 1249 9422,'5'-10'5217,"-1"2"-3059,0-2 1710,0 2-3598,-2 9 0,-1 2-180,-4 10-90,0-2-270,-1 2-270,-1 2-179,-1 1-181,1 1-4497,-9 22 5397,4-7 0,-2 1 0,7-16 0</inkml:trace>
  <inkml:trace contextRef="#ctx0" brushRef="#br0" timeOffset="2300">845 1381 8522,'5'-7'3868,"-1"0"-2879,1 0 1,0 1-1,1-1 3779,0 1-4139,10-1-269,-8 10-180,6 3-90,-14 7 0,-1 2 0,-1-4 0,-1 1-90,0 1 90,0-1-90,1 1 90,-3 12-1,2-7-89,0 9 0,5-14-269,1-3-721,4-5 271,4-4-181,-1-2-1259,9-7-629,2-2 2788,18-12 0,-9 5 0,7-5 0</inkml:trace>
  <inkml:trace contextRef="#ctx0" brushRef="#br0" timeOffset="2922">1846 77 8432,'-5'-12'5307,"0"0"-3868,0 0-89,1 1-91,0 0 450,0 1-90,0 2-1259,3 12-90,1 0-1,2 11-89,1-2 0,1 3-90,0 2-1079,9 31 179,-6-20-2518,11 44 1799,-11-43-7106,3 37 8635,-7-36 0,0 5 0,-2-26 0</inkml:trace>
  <inkml:trace contextRef="#ctx0" brushRef="#br0" timeOffset="3356">1762 703 9602,'-9'-6'5576,"0"-2"-4406,1-3-631,6-4 91,4 3-90,12-10-181,1 7 181,12-6-270,-10 11-90,3 3-90,-10 8 0,-1 5 0,-5 6-90,-3-1-90,-3 7-360,-1-3 270,0 4 0,6 8 90,1-11 90,4 5 0,4-10 0,9 6 0,-6-5 180,9 6 0,-17-11 270,4 4-180,-5-1 0,0 2-180,-5 1 89,-7 4-269,-6-2 90,-3-1-809,-16 5-540,4-6-630,-14 5-720,10-7 271,6-4 2428,7-2 0,12-4 0,1 0 0</inkml:trace>
  <inkml:trace contextRef="#ctx0" brushRef="#br0" timeOffset="3564">2085 672 10681,'-3'42'9830,"1"-8"-8147,-10-9-1323,3-6-270,-1 1-90,0 1-1079,-5 9 269,4-6-1259,-7 13 720,10-16-8482,-7 17 9747,10-20 1,-2 3 0,6-16 0</inkml:trace>
  <inkml:trace contextRef="#ctx0" brushRef="#br0" timeOffset="3935">2169 922 9781,'7'-11'3688,"-2"1"-8179,1 1 5661,-2 0 1408,1 0-599,-1 1 229,1-1 401,-2 1-1710,3 5-629,-1 8 3392,-1 4-3482,-1 4-90,-1-2 90,5 10-270,-3-7-270,11 14 180,-3-16 180,8 1 0,-5-9 0,16-15 90,-16 3 180,15-13-180,-19 11 180,2-4 719,0 0 1800,-2 2-2789,4 3 0,-5 13 0,-4 5 0,-5 15 0,-1-9 0,-4 17-720,0-9-2788,-5 21-899,1-3-5424,-5 24 9073,5-21 0,-1 8 0,4-25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48.73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32 287 8252,'-7'-8'4138,"1"1"-3149,0 0 1,2 0 899,-1-1-450,2-3-899,2-2-1,2-1-89,4 1 0,3 4-180,1-1-1,3 1 181,8-1-270,-5 4 630,25 9-541,-17 14-269,9 2 90,-17 22-90,-11-20 0,1 28-90,-4-29-179,3 22 89,-2-26-450,4 10 180,0-16 360,4-3 0,0-6-89,-1-5 179,-1-2-90,3-8 90,-3 1 0,6-18 0,-8 14 449,4-16-179,-7 18 540,0-7-181,-2 7 181,1-6-900,5 12 180,-1 1-90,5 12 90,-1 0-90,0 2 0,16 8-90,-10-4 180,11 6-180,-13-6 180,-1 0-90,6 8 90,-8-6 90,7 16-180,-16-15 0,-4 9 0,-7-13 0,-17 1-900,-4-7 1,0 0-3239,-15-14 2969,29 2-1170,-11-15 90,22 4 2249,7-14 0,-1 17 0,6-3 0</inkml:trace>
  <inkml:trace contextRef="#ctx0" brushRef="#br0" timeOffset="370">401 180 8342,'32'-34'7286,"-4"5"-7016,-22 22-90,0 0-90,0 0 0,1 0 0,1 0 0,0-1-90,0 1-90,1 1-90,0-1 0,0 1-720,11-4 541,-5 4-1,7-2-180,-9 8 180,-2 5 90,-2 0-539,2 15 539,-4-8-90,3 11-179,0 0-1,3 12 450,-2-6-90,5 16 270,-10-27 90,5 13 360,-6-15-1,1 1 271,-1-1-1,0-4 91,-2-2-91,0 2 1,-1-1-90,0 3-271,0 2-179,-1-1-630,-1 0-2068,1 0 2428,-1-3 0,0-4 0,-1-3 0</inkml:trace>
  <inkml:trace contextRef="#ctx0" brushRef="#br0" timeOffset="496">724 57 8612,'-2'-12'150,"1"3"0,0 5 0</inkml:trace>
  <inkml:trace contextRef="#ctx0" brushRef="#br0" timeOffset="883">827 308 10051,'-2'16'5217,"1"0"-4497,1-1-450,1 0-540,3-3-450,3-2-179,3-3 449,3-7 180,-1-2 0,1-4 90,-3-1 1,1-2 358,4-9 1,-2 1 360,5-18 90,-5-1 89,0-13 181,-5-1 89,-5 3 1170,-8-8-1799,1 26 0,-7-6-360,4 32 359,-5 17-359,6-2-90,1 14-539,10-2-1260,14 9 1079,-3-5-2878,35 18 2429,-28-30-3598,25 14 4857,-32-23 0,-1 0 0,-10-5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46.5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249 39 7443,'0'-14'7465,"0"1"-5216,0 2-1889,2 11 0,-1 2-90,2 12-1,-2-1-89,1 3 0,0 1-90,-1 3 90,2 12-90,3 27-180,-1-18-899,3 34 539,-5-49-539,1 18 539,-2-25 0,-1 2-449,-1-3 359,-5 0 360,-1-5 180,-8-5 90,5-9 809,-13-9-629,11 5 810,-14-9-811,15 9 1,-4-3 90,5 3-360,7 6 0,5 2 90,4 4-90,4-1 0,-3-2 0,6 1 0,1-1-90,5-2-270,0-3-809,3-5-180,-7-2-5937,5-5 7286,-10 5 0,-3 1 0,-5 5 0</inkml:trace>
  <inkml:trace contextRef="#ctx0" brushRef="#br0" timeOffset="652">51 805 8702,'-8'-5'4767,"-1"1"-3777,1 0 899,0 1-450,-1-3 450,1 1-1619,7-1-180,8 4-90,6 1 90,4 4-90,-4-1 89,2 2-89,2 0 0,13 7 90,-10-5 90,22 13-180,-28-11 90,8 5 0,-16-6-90,-10 4 0,-6-1 0,-20 0-90,7-6-359,-21-5 179,26-2-270,-14-8 90,18-3 0,4-6 181,10-6 89,12-4 90,10-1 0,9 1 90,4 4 0,1 7 90,-10 7 719,12 4-629,-22 6 360,13 2-360,-17 5 0,1 4-90,-4-1 90,0 10-180,-4-4 0,3 8-270,1 0 90,-2-9 0,6 3 0,7-17 180,-6 0-90,19-21 180,-20 7 0,7-12 270,-8 1 179,-2-2 91,-3-15-540,-6 15 180,-13-8-180,-5 22-180,-5 0-1079,-15 16 269,17 3-6026,-25 22 1889,30-13 5037,-6 11 0,18-18 0,1-2 0</inkml:trace>
  <inkml:trace contextRef="#ctx0" brushRef="#br0" timeOffset="850">644 588 8882,'8'-5'9830,"-4"9"-8057,-1-1-1503,-6 9 0,-1-2-90,0 2-360,-2 2-270,1 1-359,-2 3-271,1 1-89,0 0-8662,-4 23 9702,5-19 1,-2 11 0,6-28 0</inkml:trace>
  <inkml:trace contextRef="#ctx0" brushRef="#br0" timeOffset="977">610 644 7982,'0'-14'3508,"-1"2"-2338,0 0-900,1-2-1170,-1 3-1708,2-2 2608,3 4 0,-2 5 0,1 2 0</inkml:trace>
  <inkml:trace contextRef="#ctx0" brushRef="#br0" timeOffset="1113">862 622 11490,'9'-3'1049,"-4"2"1,-2-1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42.59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99 475 8882,'-12'-3'4317,"0"-1"-1078,-9 0-1620,7 1-360,-9-1 90,12 2-1079,5-3 90,6 1-90,9-2 89,4 2-179,3-1 270,14-3-270,-5 2-90,11-1 0,-11 3 630,34 0-361,-30 3 901,37 4-721,-50 1 361,11 8-540,-18-4 629,1 22-899,-9-11 90,-2 14 0,-8-1-270,-16 31-90,7-19-2339,-17 38 900,23-53-3778,-10 25 3598,14-33 1799,-2 12 0,7-24 0,1 0 0</inkml:trace>
  <inkml:trace contextRef="#ctx0" brushRef="#br0" timeOffset="367">501 520 7287,'0'-11'6746,"-2"-2"-4086,-1 2 1208,-1 1-3449,3 11-329,2 2 211,5 9-121,0-4 373,1 2-283,1 0 0,5 9 0,4 11-180,-2-5 540,5 18-451,-14-25 271,2 21-270,-7-23 360,-18 24-540,5-24 180,-22 14-180,14-20 90,-8 2-90,7-6-90,-9-1-270,9-3-2249,-20-4 1350,22-3-1170,-12-10-359,21-4 2788,13-29 0,4 16 0,14-17 0</inkml:trace>
  <inkml:trace contextRef="#ctx0" brushRef="#br0" timeOffset="542">467 522 11490,'34'-39'4452,"-1"-1"1,24-24-5262,-31 52-8180,21-5 7550,-17 6-462,16-4-2866,-24 8 4996,-1 1 0,-10 3 1,-2 1-1</inkml:trace>
  <inkml:trace contextRef="#ctx0" brushRef="#br0" timeOffset="828">1107 242 9871,'3'-10'9535,"0"0"-7017,-2-1-1798,-5 9-180,0 1-1,-5 11-179,3 2-90,-2 4-90,-1 4 360,-15 33-1620,-12 29 1,5-11-136,9-22 1,2-4-45,4-9-90,-3 9-90,8-18-180,1-2-1260,2-4 2879,-1 4 0,5-14 0,-2 2 0</inkml:trace>
  <inkml:trace contextRef="#ctx0" brushRef="#br0" timeOffset="1025">769 450 9691,'-1'-21'5128,"-1"1"-7197,7 13-90,2 4-1259,2 7 3418,1 3 0,-6-3 0,0-1 0</inkml:trace>
  <inkml:trace contextRef="#ctx0" brushRef="#br0" timeOffset="1171">1065 567 13020,'5'-7'-1949,"-4"2"0,3 4 0</inkml:trace>
  <inkml:trace contextRef="#ctx0" brushRef="#br0" timeOffset="1371">1323 475 11490,'2'4'9830,"1"0"-10215,0 12-514,0 0-271,0-3-179,-1 0-180,-1-3-2969,1 1 4498,-1 3 0,0-8 0,-1 3 0</inkml:trace>
  <inkml:trace contextRef="#ctx0" brushRef="#br0" timeOffset="1518">1266 341 7803,'-5'-11'1888,"1"1"-1528,0 1-360,-1 0 0,3 5 0,-1-1 0</inkml:trace>
  <inkml:trace contextRef="#ctx0" brushRef="#br0" timeOffset="2009">1346 513 10681,'3'9'6836,"1"0"-6116,2-3-451,4-4-89,-1-2-90,3-2 90,-2 0-90,1-3-90,1 0 90,2-2-90,9-6 0,-5 1 0,38-33 0,-13-3 0,8-7 0,-13-19 270,-27 30 180,-1-17-180,-11 25 539,-11-9-629,3 24 360,-16-16-360,13 26 179,-14-4-359,15 14 180,-7 12-180,14 0 0,0 29 0,6-16 0,7 26-270,5-14-269,15 14 359,-7-19-180,35 3 270,-31-27 90,28-1 90,-32-10 540,16-8-181,-20 5 1260,13-9-899,-20 10-990,-3 5-180,-7 4-269,-5 10-361,0-3-1528,-2 10 1078,2-4-4946,-4 26 1439,4-18 4947,-3 14 0,2-15 0,-1 0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5:59:16.9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4231 1117 11670,'-7'-5'7826,"10"2"-7556,0 1-180,11 1-4252,1 0 4162,4-1 90,5-1-179,41-5-541,-21 2-539,10-2 0,0 0 269,-6 0-1169,47-9 1620,-59 9-361,29-7 810,-42 8 989,12-7-269,-26 5 4133,-10-10-4133,-7 8 386,-13-3-386,5 7 0,-1 1-91,0 0 1440,-19-6-1619,16 6-360,3 0-90,20 7 0,18 5 0,5 4 0,-4-1 0,17 9 90,-16-7-90,11 9 90,-11-4 89,4 12-179,-13-10 0,-9 14 0,-10-20-1079,-25 16 360,8-16-1,-18 7-2158,-24-1 1708,21-9-1258,-44 7-3329,29-12 4909,1-1 0,6-4 0,16 0 0</inkml:trace>
  <inkml:trace contextRef="#ctx0" brushRef="#br0" timeOffset="266">3984 943 8612,'-9'-11'3058,"1"1"-2338,1 1 89,1 0 721,1 2 538,-1-2-179,1 2-1079,0 6-540,-1 7 0,1 4-1,-2 3-89,0-1 0,-2 2 0,-2 2 0,-2 2 90,-7 8 0,-11 16-270,6-7-90,0 7-90,19-24-1349,12 6 719,4-14-1798,36 8 1528,-12-14-1259,21-2 1,4-1-1080,10-3 3118,-13-1 1,1 0-1,21-2 1,2-1-1</inkml:trace>
  <inkml:trace contextRef="#ctx0" brushRef="#br0" timeOffset="802">5448 918 8432,'-9'-3'5037,"0"0"-2968,-3 0 90,1 0-360,-2 0-1349,13 3-270,10 1-1,10 1-89,9 0 0,0-2 0,7 0-90,3-1 90,25-2-90,-15 1-45,8-2 0,2-2-494,16-3 179,14-2-540,-25-3 540,-36 5 91,8-5 179,-19 4-90,-6 1 90,-7-1 90,-5-1 0,-2 1 90,-5 0 90,-1 4 809,-20-5-809,12 5 180,-18-5-90,23 8-90,-4-1-90,13 5-90,2 1 89,10 3-89,16 6 0,0 1 0,13 7 0,-5-2 90,-4 1-90,-9-5 0,0 4-629,-14-5-1,-2 4-989,-14-4-720,-14 0-1528,-17-1 3867,-16-1 0,3-2 0,-2-3 0</inkml:trace>
  <inkml:trace contextRef="#ctx0" brushRef="#br0" timeOffset="1085">5484 786 8432,'-5'-8'5127,"0"-3"-3508,3 0 360,-1-1 180,3 0-1349,-2 3-451,-3 5-89,-2 4 0,-5 6 0,0 2 359,-17 9 541,-28 22-1080,16-11 270,-30 33-360,52-40-90,-7 21-90,24-28-1439,17 15 809,0-15-899,28 9 720,-12-15-3149,64 6 2879,-48-10 1259,10-1 0,0 0 0,-16-3 0,22-1 0</inkml:trace>
  <inkml:trace contextRef="#ctx0" brushRef="#br0" timeOffset="-2086">150 1185 9512,'-10'-2'7555,"2"-2"-6745,7 0-540,6-1-4162,6 0 4612,14 0 319,-4 1-769,11-1 269,58-3-539,-29 3 90,25-2 0,2 1-90,-4 1 0,6 0 0,-3 1 0,-15 2-45,1 0 0,-2 0-134,-20 2-91,49 0 180,-68 0 90,13 0-90,-16 0 3482,-5-2-3482,1 0 90,-10-2 0,-10-3 90,-4 0 180,-4-3-180,-3 1 179,0 1-89,0 0 90,1 2 270,-4-3 269,0 0 91,-3-1 629,-6-4-1169,5 5-90,-3 0-180,7 4-90,9 3 0,2 2 0,9 3 0,0 1 0,14 5 0,6 3 0,12 5 90,15 11-90,-24-10 0,7 12-270,-33-14-630,-5 6 91,-11-6-361,-6-3 91,-3-2-2159,-23 7 1979,11-6-8186,-63 14 9445,49-16 0,-36 7 0,39-10 0</inkml:trace>
  <inkml:trace contextRef="#ctx0" brushRef="#br0" timeOffset="-1711">215 1005 9332,'8'-9'9804,"-1"0"-9444,-5 11 0,-1 0-1,-6 10 91,-2-1-180,-2 1 0,-2 2-90,-2 2 809,-21 24-179,-21 27-720,13-17 90,-7 15-180,41-50 90,9 15-180,5-19 90,11 8-900,13-16-989,18-3-360,35-5 900,-29 0 0,3-1-1303,9-1 1,3 1 2651,6-1 0,-1 2 0,-11 1 0,-1 1 0,-3 1 0,0 1 0</inkml:trace>
  <inkml:trace contextRef="#ctx0" brushRef="#br0" timeOffset="-949">2015 1090 9871,'-12'-2'9830,"1"1"-8956,13 0-694,9 0-4341,10-1 4341,7-2 859,19-3-1039,-7 1 45,16-2 0,4-1-135,2 1-225,11-2 0,0 1-45,-12 2-225,3 0 1,-2 1 224,-10 1-539,43-3 719,-62 6-180,19-3 450,-36 3 540,5-3-270,-20-1 3841,-7-2-3841,-4 0 899,-18-2-899,12 5 629,-19-5-629,21 5 180,-10-1-450,26 5-90,-1 2 0,13 2 0,1 2 90,1 2-90,12 6 0,-6-2 90,26 15-90,-19-8 0,11 9-90,-20-11-180,-6 7-90,-10-12-270,-3 8-89,-5-10-91,-4 0-1079,-12 5-359,-11-1-91,-19 4-1079,-11-4 3418,-11-3 0,13-5 0,2-2 0</inkml:trace>
  <inkml:trace contextRef="#ctx0" brushRef="#br0" timeOffset="-665">2077 912 9062,'-2'-12'6656,"0"1"-5577,-3 8-449,-3 5-180,0 6 89,-3 4 1,0 1-90,-2 3 0,-1 1 899,-21 30-1079,16-20 0,-14 19 179,21-21-89,4 4-270,3-5-90,16 9-809,13-17 89,8 3-1169,27-7-45,-5-8 0,4-1-537,37 1 2471,-29-3 0,10 0 0,-8 0 0,-13-1 0,-1 0 0,31 0 0,-1 0 0</inkml:trace>
  <inkml:trace contextRef="#ctx0" brushRef="#br0" timeOffset="11063">1567 691 12300,'-7'6'2698,"1"3"-2338,4 1-90,1 4 450,1 11-450,2-1-181,1 4 1,8-4-90,-3-15 0,8 0 90,-6-11-90,1-3 0,-4-3 0,1 0 270,3-18-180,-5 9 360,-2-52-180,-14 18-90,0-11 89,-8 14 91,6 24 0,-7-6-270,7 12 0,-1 4 0,4 10 0,-4 13 0,5-2-90,-2 15 0,8-8 0,3 26 0,0-20-90,8 28-90,-3-31-1169,10 17 629,-7-22-1798,15 7 1708,-11-14-1619,16 0 1800,-15-5-361,15-7 990,-17 2 1170,13-8 89,-16 7 270,5-7 4588,-9 7-4588,-4 2-1080,-2 15-179,-3 3-180,2 7 90,3-6-180,0-3 90,0 1-1349,1 12 449,-1-8-1438,2 16-721,-1-10-5126,2 5 8095,-1-6 0,-1-8 0,0-8 0</inkml:trace>
  <inkml:trace contextRef="#ctx0" brushRef="#br0" timeOffset="13689">3228 403 9781,'-8'-5'6207,"-2"2"-5757,-2 4-91,2 2 1,1 3 0,3 0-90,0 2 359,-1 10-359,4-6 0,2 20-180,4-17 0,10 18 0,-4-20-90,11 9 90,-5-13-90,7-2 0,1-9 90,7-17 0,-9 2 270,7-19 89,-15 5-89,-2-9 90,-8-1-180,-7 0 180,-6 3-91,-3 4-179,1 11 180,-10-2-360,9 16 0,-8 0 90,12 11-180,-2 14 90,7-5-90,-1 23 90,5-18 90,9 25-180,0-23 0,22 22 90,-13-25 0,28 14-90,-25-19 180,20 8-90,-26-11 90,10 3 0,-13-3 0,-1 2-90,-5 2 270,-8 9-180,-2-5 0,-7 16 0,5-17 0,-4 20-180,8-20 90,-1 13 0,5-11-360,8 10-90,-2-12-809,9 5 449,-8-15-3507,10 3-1,-5-4 4318,7 1 0,-12-3 0,-2-1 0</inkml:trace>
  <inkml:trace contextRef="#ctx0" brushRef="#br0" timeOffset="14099">3625 271 9691,'-4'-8'8006,"6"1"-7556,3 2-181,8 1-538,3 2-721,3 1-629,0 0-360,0 1-1259,0 1 3238,-2 0 0,-7 0 0,-3-1 0</inkml:trace>
  <inkml:trace contextRef="#ctx0" brushRef="#br0" timeOffset="14264">3742 313 7713,'-10'6'3508,"-1"0"-2519,1 1-89,0-1-91,1-1 450,0 1 810,0-1-1979,10 0 0,0-3-180,12-3-180,1-3-269,2-1-91,3-1-270,1 0-179,2 0-90,2-1-4408,11-2 5577,-8 2 0,9-3 0,-11 4 0</inkml:trace>
  <inkml:trace contextRef="#ctx0" brushRef="#br0" timeOffset="14851">4155 213 13289,'-11'-8'6477,"2"4"-6028,3 9-179,1 4-180,5 8 0,0-3 0,1 0-90,-1-4 90,2 5-90,-1 6 0,2-1 0,-1 1 90,0-9 0,-1-10-90,0-8 0,-2-7 90,1-4 0,-2-6 0,0 4 360,-2-22-271,1 19 541,-3-23-540,3 28 0,-1-7 0,2 13 90,-2-5-270,4 15 0,-1-4 90,4 16-90,1-1-90,0 2 90,3 8-90,2 3 90,5 6-90,1-1 90,2-5 0,-4-8 0,5-5 90,1-10 0,5-9-180,-4-2 180,1-12 179,-11 10 361,7-14-360,-8 13 450,7-13-631,-10 16-448,6 0-811,-7 14 181,0 9-360,-3 1-900,-1 11 990,0-8-1,0 6-1438,0 2-900,1 2 3598,3 4 0,-2-14 0,0-4 0</inkml:trace>
  <inkml:trace contextRef="#ctx0" brushRef="#br0" timeOffset="15761">4455 364 8972,'4'-14'5757,"-1"-1"-4138,-3-1-450,0 0-270,-2 3-539,0 0-989,6 9-1,-1 2 0,6 6 271,0-1 89,0-2 180,3-2 0,-3-2 180,3-3 90,-5 1 0,1-2 359,-4 1 1,1-4 90,-2-2-451,-4-3 541,-7-2-630,0 7 270,-19 3-270,13 8-90,-15 6 0,18 1-90,-7 14-180,10-8-989,1 20 179,11-11 91,7 9 269,8-7 271,9-6 269,-3-7-90,22-6 360,-19-8 449,34-12-269,-35 4 810,28-23-631,-36 16 541,13-25-630,-24 24 539,0-24-269,-13 18-270,-7-9-181,0 14 181,-13-1-360,11 12 90,-16 1 0,14 11-90,-6 8 0,10 2-90,3 17 0,9-3-359,4 12-271,8-7 270,5-5 180,3-8 90,2-8 90,0-9 270,1-10 0,-5-2 720,7-20-361,-10 0 361,6-25-540,-12 19 1169,-1-21-989,-7 34 539,-1-19-629,-2 27-1,-4-6-449,-2 18 90,1 1-90,-2 9 180,1 14-180,3-6-180,2 48 0,4-37-269,7 35 179,-1-42-360,11 13 540,-7-18-269,14 7 269,-9-17 90,6-2 0,-7-6 0,2-7 179,1-4 451,1-4-270,-3 4 0,-3 0-90,-7 8-270,2 0-450,-2 6-630,0 4-1078,-4 5-91,-1 2-719,-1 1-1710,-2 2 4678,0-1 0,0-5 0,1-3 0</inkml:trace>
  <inkml:trace contextRef="#ctx0" brushRef="#br0" timeOffset="15889">5028 147 8252,'-5'-15'3328,"0"2"-2698,0 0-90,-1 1-180,0 1-91,0 2-538,-2-3-5668,2 5 5937,-1 4 0,4 1 0,2 6 0</inkml:trace>
  <inkml:trace contextRef="#ctx0" brushRef="#br0" timeOffset="16391">5240 161 9602,'8'-5'7285,"-2"-2"-5666,-2-2-989,-6-2-180,-3 3 359,-2 1-359,-4 3-270,-2 4-90,-1 0 0,1 4 0,4 1 0,-4 4-450,-2 11-270,4-5-89,0 9 89,11-12 180,2 2 91,5-4 269,4-5 0,3-6 180,6-8 90,-6 1 539,5-10-359,-7 3 539,6-10-539,-6 9 90,3-5 359,-7 10-269,2-2 719,-2 4-989,-1 7 0,-3 5-180,0 8-90,-2 8 0,0-4 0,0 1-270,1-7-179,1 2-1,2-1 90,3 0 90,1-3 90,0-3 180,2-5-90,0-3 90,-3 0 0,1-2-270,-4 1-539,3-1-1260,-1 1-2698,3-1-2429,-4 5 7196,-3 5 0,-2 0 0,-2 0 0</inkml:trace>
  <inkml:trace contextRef="#ctx0" brushRef="#br0" timeOffset="17597">5962 381 12120,'-4'-5'5127,"1"5"-4857,-1 8-90,5 4-90,2-1 0,1 0 0,0-3-90,2-1 90,1 0-90,4 0 90,8-2-90,-3-2 90,17-14 269,-8-8 361,14-16-270,-13 5 359,6-29-89,-19 16-1,-1-21 1,-17 14-180,-10 6-180,-10 11-181,-9 15-89,-7 16 0,-4 16-449,4 12-991,9 9 271,15-5-2609,11 21 360,11-10-3688,6 20 7016,2-19 0,1-3 0,-4-11 0</inkml:trace>
  <inkml:trace contextRef="#ctx0" brushRef="#br0" timeOffset="18883">5178 1130 8792,'-4'-8'1889,"0"-1"-1619,0-1 0,0-2-91,0-2-89,0 2 180,-1-5-90,2 6 180,-3-10-180,2 7 180,-5-19-270,4 14 179,-6-28-269,7 26 90,-1-28-90,7 27 90,16-35-90,-2 29 0,17-12 0,4 0 0,4 3 0,29-22 0,-6 21 90,-12 9 0,16-4-90,-21 14 0,-17 7 90,11 0-90,-22 8 0,22-4 0,-26 7 0,17-2 0,-17 3 0,16-1-90,-18 1 0,11 0 0,-8 0-90,10-1 180,-8 0-89,15-3 89,-17 1-90,20-5 90,-21 5 0,17-7 90,-21 7 89,8-5 271,-12 2 0,0-2-180,-7-1-90,-2 1 0,-6 1-1,0 2 1,-1 1-90,-2 2-90,0 1 0,1 2 0,6 3 0,7-1 0,8 2 0,3-2 0,1-1 0,-3 1 90,-1 0-450,-3 2-629,-4 3-900,-5 2-180,-2 3 2069,-1-3 0,1-3 0,2-4 0</inkml:trace>
  <inkml:trace contextRef="#ctx0" brushRef="#br0" timeOffset="19585">6274 437 7353,'-1'-12'5667,"1"1"-4948,3-2-179,0 3-4252,3-1 4162,1 3 859,1 0-589,5-2-361,-2 3 631,10-4-630,-7 6-180,3 2 3391,-7 6-3481,-3 7 0,-4 4-90,-2-1 0,-3 5-90,0-7 0,0 6 0,1-4 1,2 2 89,3-1 0,3-2 0,1-1 179,0-1 361,0 1 540,-3-2-451,-2 3-359,-6-2-180,-2 1 90,-4-2 0,-9 2-180,-11 2-900,-11 4-899,-4-1 630,10-3-3149,-5-1 4318,17-6 0,2-1 0,12-3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2.994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2.37865E6"/>
      <inkml:brushProperty name="anchorY" value="-3.33479E6"/>
      <inkml:brushProperty name="scaleFactor" value="0.5"/>
    </inkml:brush>
  </inkml:definitions>
  <inkml:trace contextRef="#ctx0" brushRef="#br0">1 0 14099,'1'10'3058,"4"4"-2788,0-3 0,1 3 270,-1 1-271,-2-5-89,2 4 450,2 13-450,-3-11 270,8 32-450,-8-29 180,6 32-180,-6-30 89,4 27-89,-6-27 0,4 23 0,-4-25 0,3 22 0,-4-24 0,3 19 0,-2-22 0,1 15 0,-2-14-179,2 4-1081,-2-7-1348,1-1-271,-1 0-3237,0 1 6116,-1 3 0,0-8 0,0 1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3.775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2.39014E6"/>
      <inkml:brushProperty name="anchorY" value="-3.35056E6"/>
      <inkml:brushProperty name="scaleFactor" value="0.5"/>
    </inkml:brush>
  </inkml:definitions>
  <inkml:trace contextRef="#ctx0" brushRef="#br0">0 0 15358,'5'5'4857,"-4"-4"-4407,9 19 0,-5-5-90,1 2 179,-1 3-3391,1 3 3302,0 2-90,-1 2-1,0 1 181,1 15-90,3 28-450,-3-21-90,1 34-270,-6-56-1169,0 22 360,-1-29-1196,-2 23-6270,1-25 8635,-1 14 0,2-27 0,0 1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4.475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2.40332E6"/>
      <inkml:brushProperty name="anchorY" value="-3.36626E6"/>
      <inkml:brushProperty name="scaleFactor" value="0.5"/>
    </inkml:brush>
  </inkml:definitions>
  <inkml:trace contextRef="#ctx0" brushRef="#br0">1 16 8342,'6'-8'8545,"1"2"-7105,1 5-91,0 4-720,-1 7 1,-2-1-90,-1 3 179,0-3 810,3 17-539,1 11-630,0 1 269,7 38-539,-9-41 90,8 51-270,-9-55-1079,4 35 269,-7-41-179,2 12-1619,-3-14-5218,0 4 7916,-1-2 0,0-8 0,-1-9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7.992"/>
    </inkml:context>
    <inkml:brush xml:id="br0">
      <inkml:brushProperty name="width" value="0.17143" units="cm"/>
      <inkml:brushProperty name="height" value="0.17143" units="cm"/>
    </inkml:brush>
  </inkml:definitions>
  <inkml:trace contextRef="#ctx0" brushRef="#br0">25 165 10231,'-12'2'6207,"2"1"-6027,8 2-91,7-2 1,7 1-90,4-2 90,-2-2-90,2-1 0,2-1 0,22-5 0,7-7 90,-1 0-90,2-8 0,-25 5 360,0-9-270,-12 8 450,-14-10-91,-13 14-269,-5-1 90,-14 10 0,-28 20-270,21-5 0,-31 23 0,55-18-270,-6 15 180,22-17-180,12 9 180,2-15 1,27-1 178,-16-9 451,32-15-90,-32 7 809,19-16-449,-30 16-91,2-9-269,-14 10-180,-12 3-180,2 4-990,-20 13 91,16-1-2339,-12 19 1619,19-14-360,0 9 1889,20 2 0,1-9 0,11 9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8.696"/>
    </inkml:context>
    <inkml:brush xml:id="br0">
      <inkml:brushProperty name="width" value="0.17143" units="cm"/>
      <inkml:brushProperty name="height" value="0.17143" units="cm"/>
    </inkml:brush>
  </inkml:definitions>
  <inkml:trace contextRef="#ctx0" brushRef="#br0">132 30 7982,'-10'-3'3329,"1"0"-2430,-1 0-89,1 1 719,0 0-270,-4 0-360,-4 3-269,-1 2-360,2 2-90,6 2 270,2 7-271,7 9-179,-1-3 0,14 8 90,-4-19-90,11 5 0,-9-10 90,15-4 90,-7-8 180,8-6 180,-8-6 89,-7-2-269,-5 4 360,-9-7-360,-6 12-91,-7-4 1,-3 11-270,-1 7 90,2 5-360,3 4 1,6 2 89,6 2 0,6-2 180,5-2 180,3-4 1619,1-3-1260,-7-7-179,-4 0-180,-11-1-90,-1 4-180,-1 1-630,0 5-1079,0 3-539,1 5-810,7 4-6207,12 1 9355,5-3 0,-2-6 0,-3-6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9.342"/>
    </inkml:context>
    <inkml:brush xml:id="br0">
      <inkml:brushProperty name="width" value="0.17143" units="cm"/>
      <inkml:brushProperty name="height" value="0.17143" units="cm"/>
    </inkml:brush>
  </inkml:definitions>
  <inkml:trace contextRef="#ctx0" brushRef="#br0">197 22 9961,'-15'0'4588,"2"0"-3689,-1 2-89,3 0-91,0 1 810,-14 6-1349,12-4 180,-12 8-180,18-7-90,-3 4-90,8 0 90,4-1-90,6-2 0,1-5 0,7-5 0,-6-1 90,11-8 90,-11 5 809,8-13-449,-13 7-180,-1-4-90,-9 5-1,-1 4-179,-8 4 0,4 5 0,-8 4-90,7 1-180,-8 11-179,12-7-1,-2 9 270,10-7-90,5 2 180,5-5 0,3-4 270,-2-5 269,1-4 91,-6-4-90,-2-7-270,-4 3 89,-12-9-269,3 13-180,-16-7-179,13 11-1980,-17 2 1259,17 4-5036,-10 10-1080,15-1 7106,2 6 0,4-8 0,4-2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29.779"/>
    </inkml:context>
    <inkml:brush xml:id="br0">
      <inkml:brushProperty name="width" value="0.17143" units="cm"/>
      <inkml:brushProperty name="height" value="0.17143" units="cm"/>
    </inkml:brush>
  </inkml:definitions>
  <inkml:trace contextRef="#ctx0" brushRef="#br0">62 46 12660,'-4'-8'4767,"-2"3"-4407,-1 6-90,-1 4-270,6 4 0,4-2-90,6 0 180,5-4-90,0-2 0,0-3 0,-3 0 359,3-4 1081,3-3-451,-3 1 630,-1-9-1349,-15 9-90,0-2 0,-7 6-1799,-20 9 539,12 0-5666,-24 12 270,27-6 6476,-4 5 0,14-10 0,3-2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50.85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4 158 11760,'-3'6'7196,"2"-2"-6746,2 15-90,0-7-90,1 3-1,-1 0-89,1 1 0,0 1 0,1 6 90,3 17-270,-2-15 90,1 10-90,-1-40 0,-1 1 0,0-16 180,0-20 0,0 11 0,1-19 89,0 19 1,5-10-90,0 9 540,22-30-540,-14 36 269,27-19-269,-28 36 180,10 1-270,-13 12 90,-3 7 0,-6 8 0,-11 14-180,0-9 90,-8 14-90,4-13-90,-1 8 90,4-2-180,5 0-270,13 6 180,-1-12-269,17 9-991,17-10 1171,-12-8-1,14-1-180,-15-16 90,2-4 91,14-8 359,-16 1 180,5-9 179,-19 4 91,0-5 90,-8-1-91,-7-1 721,-14-5-900,4 12 89,-14-2-269,11 17-90,-2 2-179,6 8-271,7 7 180,1-2-90,4 3 90,2-9 0,2-1 1,1-1 89,1-1 0,5-2 360,13-6 179,-9 0 1081,15-8-991,-23 5 1530,12-6-1259,-10 8-270,5-1-271,-4 6 1,-2 2-90,-2 3-270,-1 3-1439,-1 11-899,-2 3 809,-2 1-6836,-11 23 2878,1-23 5667,-6 21 0,3-21 0,-1 0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51.57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23 324 9691,'-6'-7'8995,"-1"-1"-5397,0 2-3148,5 7-180,1 1-90,7 6-630,8-1-270,-3-1-179,8 1-1,-3-2-179,2-1-6926,41-2 4047,-28-1 3958,29-2 0,-48 1 0,-4-1 0</inkml:trace>
  <inkml:trace contextRef="#ctx0" brushRef="#br0" timeOffset="198">201 415 7713,'-40'16'7285,"21"-8"-5845,-15 6 898,25-10-1708,7 0-540,6 1 90,6 0-270,4 1-270,-2-1-180,2 0-3417,24 13 2607,-15-8-4856,25 10 6206,-27-13 0,-3-1 0,-9-4 0</inkml:trace>
  <inkml:trace contextRef="#ctx0" brushRef="#br0" timeOffset="749">648 474 9332,'2'-13'9830,"-2"0"-3380,-3 3-5190,-3 5-811,-1 8-89,1 3-90,3 5-90,1-1 90,2 2-180,1 1-180,13 21-180,-4-14-1529,29 34 1169,-21-35-629,22 14 629,-24-23-539,10 3 360,-6-9 179,11-8 540,-11-2 180,8-17 0,-15 5 1169,14-63-809,-18 41 179,-1-16 1,-3-1-270,-7 14 360,-9-38-451,1 43 271,-11-18 90,-8 17-91,-10 6-449,6 12 270,-16 26-360,27 6 90,-23 28 0,30-16 0,-6 35-90,20-28 0,4 13 0,11-2 0,6 2 0,10 12 0,2 0-180,-1-5-270,3 6 180,-13-20-2158,9 22 1528,-19-35-2428,12 23 2339,-16-30-180,3 6-1440,-4-8-179,2 1-2969,1 3 5757,-2-6 0,-2-5 0,-3-5 0</inkml:trace>
  <inkml:trace contextRef="#ctx0" brushRef="#br0" timeOffset="1265">1103 720 8702,'-2'-8'4408,"0"-1"-3239,0 0 90,0-1-90,1 0-89,1-1-181,0 0 2519,5-18-2338,0 11-181,6-13-449,-2 18-180,1 4-90,-2 6-90,1 12 0,-4-1-180,-1 18 90,-4-13-180,-1 16 90,0-15-900,-2 18 541,2-14 89,1 8 180,4-14 0,3-4 180,4-4-90,1-1 180,2-1 0,-2 0 0,-1 1 899,11 13-719,-12-7 0,11 10 809,-12 1 271,-1 4-901,-2-1 541,-4 5-540,-4-16-450,-6 9 0,-3-5 0,-22 5 0,11-9-900,-20-1-89,22-9-1620,-13-1 720,15-3 270,-6 0-3778,1-6 2339,9 1 3058,-5-9 0,15 10 0,0-2 0</inkml:trace>
  <inkml:trace contextRef="#ctx0" brushRef="#br0" timeOffset="1545">1584 467 10771,'-9'-4'6476,"1"1"-4407,-3 0 809,2 0-809,-2-1-3598,11 1 180,6-1 0,8 1-271,3 1-448,0-1-1350,3-1-2339,3-2 5757,7 0 0,1-1 0,5 0 0</inkml:trace>
  <inkml:trace contextRef="#ctx0" brushRef="#br0" timeOffset="2350">2614 315 8072,'-17'-9'2969,"-1"1"-2160,1 0-89,0 1-1,0 1 1,1 1 0,1 2 539,-4-1 990,-8 7-1710,7 0 361,-4 11-540,17-3 89,1 5-89,3-2-90,2 2-90,1 3 539,11 34-629,-4-23 0,14 35-180,-8-42-359,22 13 269,-15-22 0,35-1 180,-29-17 180,33-24 0,-35 9 269,15-29-89,-26 9 90,-12-47-270,-5 31 180,-20-37-91,7 55 631,-34-41-720,26 46 180,-31-23-180,35 43 179,-15 3-89,9 12-180,-3 11 0,4 11-90,10 10 90,8-3-450,18 26-359,6-14-451,14 22-1438,13-5 1798,-10-22 1,5 0-1800,1-14 1170,-8-9 180,15 3 539,-14-13 180,4-9 630,-13-1 1260,17-14-811,-26 10 1710,17-15-1439,-22 15 629,5-5-180,-7 5 2159,0 3-2069,1 4-809,-2 7-90,-2 5 179,-1 9-449,-3-5 90,1 14-450,-2-3-2608,1 21 1079,-1-16-4408,1 24 2519,1-33 3598,2 20 0,-2-31 0,0 4 0</inkml:trace>
  <inkml:trace contextRef="#ctx0" brushRef="#br0" timeOffset="4140">548 1055 9332,'-3'-10'7465,"-2"9"-7195,3 7 0,1 7 0,3 4 0,2 0 0,2 1-90,2 3 539,31 41-719,-16-31 180,34 39-180,-31-49 180,47 23-180,-37-27 0,53 16 0,-57-27 0,31-1 0,-34-6 90,32-10 0,-31 3 360,35-20-181,-37 12 631,31-27-630,-34 22 989,29-24-899,-33 26 269,25-14-449,-26 21 270,23-9-180,-25 15 270,25-2-360,-25 8 359,24 6-449,-24 0 180,23 15-180,-25-9 0,19 17-90,-19-10 90,6 7-90,-10-11 0,1 4 0,-6-8 0,3 4 0,-2-11 0,-3-7 0,0-4-90,-1-9 90,-1 4 0,3-11 0,0 7 0,15-24 90,-9 20 0,24-23-90,-19 29 0,20-7 90,-7 14-180,22 3 90,-15 5 90,30 11-90,-35-2 0,30 14-90,-19 0-90,20 19 180,-22-13-180,21 20 90,-37-29 0,20 12 0,-17-19-90,14-1 180,-13-7-90,22-10 90,-26-1 0,25-10 0,-14-1 0,22-13 0,-21 8 90,24-21 0,-37 24 180,18-21-90,-26 21 0,4-5 809,-3-2-629,-8 10 270,3-12-720,-12 15-900,-5-4-5396,-11 10 4497,1 6 1889,-10 9 0,16-4 0,-1 3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48.60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181 343 8792,'-13'-2'4228,"1"0"-2340,-6 3-898,4 1-91,-4 4 1620,-12 17-2159,14-8 269,-17 25-269,21-11-180,2 2 0,5 4-180,25 10-180,-7-18-360,26 6 271,-18-32-181,46-24 450,-35 6 0,37-30 90,-47 20 180,8-24 269,-16-6-179,-13-28-270,-7 17 90,-21-14-180,6 47 270,-43-32-270,32 42 90,-27-13-90,30 33 0,2 6 0,-1 7 0,9 7 0,16 14 0,6-4 90,21 22 0,4-6 179,11 17 1,-8-13-180,12 27 0,-17-21 0,8 22-360,-14-20-629,-6-6-2879,1 2 2429,-6-22-7646,5 4 8995,-3-25 0,-4 0 0,0-6 0</inkml:trace>
  <inkml:trace contextRef="#ctx0" brushRef="#br0" timeOffset="696">489 368 9691,'0'-13'6387,"-1"0"-3329,0 0-1529,-2 3-359,-1 5-541,-1 9 181,1 4-630,1 8 0,2-5-180,2 3-180,1-3-90,1-1-630,5 4-1079,10 4 1620,-5-6-361,18-2 630,-19-10 270,22-14 180,-21 5 359,12-13-359,-17 12 450,4-6 1618,-2 3-3057,-2 10-1,-1 5-359,-4 10 89,-1 2-89,-1-3-91,1 1-1348,3 6-1,2 0 1440,1 0-1440,12 3 1530,-2-10 899,23-3 269,-17-7 181,8-6 90,-19-1 1709,7-8-1440,-8 5 2789,12-19-2788,-17 16 629,5-10-270,-11 10-269,-1 0-181,-3-1 181,-9 5-810,0 7-90,-5 6-270,7 4-1799,1 17 1439,7-12 1,0 11-721,7-10 721,-1-4 89,4 2 90,-1-6 91,0-2-361,13-2 810,-9-3 270,12-6-1,-14 0 1440,8-17-1259,-10 11 989,5-13-629,-8 13 719,1-2-900,-2 3-809,-3 12-269,-1 5-271,-2 8-539,1 2 89,0-3-1618,2 8 1079,0-5-7376,4 17 8995,0-17 0,0 3 0,-2-14 0</inkml:trace>
  <inkml:trace contextRef="#ctx0" brushRef="#br0" timeOffset="850">1134 529 10591,'-1'-11'9830,"0"2"-8057,-4 0-1233,0 1-2339,-1 1-7286,-1 0 9085,3 0 0,1 3 0,1 0 0</inkml:trace>
  <inkml:trace contextRef="#ctx0" brushRef="#br0" timeOffset="1115">1113 429 9781,'-3'-11'3239,"-1"-1"-2430,2 2 1,-1-1 89,0 0 1,1-2-181,-1-1 630,0-7 450,1-9-1259,1 6 1439,2-13-630,1 23 1709,1-8-2608,-1 22-90,-1 2 90,0 12-270,-1 0-180,0 4 0,0 12 0,0-4 0,1 8 0,0-10-1979,3 22 899,-1-18-3417,6 33 3238,-5-38-3059,7 21 2699,-6-29 1619,4 10 0,-6-19 0,1 0 0</inkml:trace>
  <inkml:trace contextRef="#ctx0" brushRef="#br0" timeOffset="1331">1138 539 9242,'-21'-24'9830,"2"4"-8776,13 11-875,3-3-89,3 4 0,4-3 180,10-2-270,-5 4 90,12-6-90,-9 8-1619,16-5 180,-11 7-450,9 0-540,-10 5 1,-1 3-1440,-3 0 3868,0 1 0,-7-2 0,0-1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2:44.35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46 192 8072,'-8'-4'4408,"0"0"-2699,-2-2-360,0 1 2159,1-1-3148,9 1-90,3 4-90,10 0 0,0 3-90,2 0 179,35 0-269,-20-1-539,53-2 89,-47-2-1259,38-4 989,-46 3-1259,26-4 630,-36 5-1529,9 0 2698,-23 5 450,-4 0 359,-11 2 451,-3-1 179,-1 0 0,1-2-89,1 1 629,3 0-540,2 1-180,2 3-719,3 6 0,3-2 0,2 4-90,0-2 89,1 1 361,4 26-630,-3-16 0,4 28 0,-5-31 0,-1 23-90,-2-23 0,-7 30-90,2-32 90,-10 16 0,6-25 0,-4 2 90,4-5-90,-1-2 180,-5 0 539,-4-2-269,0-1 180,1-1-91,6-3-359,8-2-180,6 1 0,9-1-360,6 3-89,-1 0-271,3 1-1798,6-1 1258,-3 1-89,8-2 0,-6 1-4498,28-6 5847,-5-1 0,11-2 0,-17 1 0</inkml:trace>
  <inkml:trace contextRef="#ctx0" brushRef="#br0" timeOffset="523">794 234 9871,'-45'-37'9830,"3"18"-7337,31 26-2133,-1 9-90,9-3-90,1 1 180,3 12-270,1-4 179,9 33-269,-2-23 90,13 32-180,-7-34 1,19 23-1,-15-30-180,25 11 180,-24-26 0,30-11 90,-27-7 0,32-33 0,-31 15 90,19-44-90,-28 26 0,1-22 90,-13 24 0,-16-19-90,1 30 0,-22-31 90,6 33 0,-4-1-90,8 14 90,7 10-1,2 2 1,-5 2-90,5 3 90,-10 7-90,14 1 270,-4 25-90,12-15 180,6 24 90,6-10 269,17 33-629,-10-22 90,9 15-90,-10-18-630,8 26 1,-7-17-1170,6 25 359,-14-44-2338,8 30 2249,-7-29 1439,17 35 0,-19-48 0,9 13 0</inkml:trace>
  <inkml:trace contextRef="#ctx0" brushRef="#br0" timeOffset="1159">1286 308 9062,'-2'-13'4767,"-1"0"-2968,1 3 3418,-1-2-4857,2 15-90,0-1 90,4 17-91,1-1 1,1 3-90,1 3 90,4 13 0,11 33-180,-7-25-90,9 25 0,-17-52 90,4 12 0,-6-15-90,-2-3 0,-3-12 0,-8-20 0,2 0 0,-10-45 0,8 24 0,-1-10 0,2-1 0,3 7 0,2-51 0,5 59 90,4-18 90,9 13 89,7 7-89,0 1 90,10 13-180,-17 18 270,17 7-270,-18 4 0,10 12 90,-11 2-90,0 8-90,-6-4 0,-5 8 90,-6-6-90,-8 17 0,2-15 359,-15 15-179,13-27 180,-11 12 629,5-9-449,0 0 90,-1 2-360,8-5-270,4-3 0,6 16 0,4-16 0,13 25 0,-4-25 0,19 15 0,-12-17-540,18 7-3328,4-5-1169,13 1 3328,-10-5-8122,17-5 9702,-34-6 1,17-1 0,-19-2 0</inkml:trace>
  <inkml:trace contextRef="#ctx0" brushRef="#br0" timeOffset="1518">2020 215 11131,'-8'-4'9830,"11"2"-9406,1 0-784,12 1-180,-3-1-269,3 0-3393,2-2 3213,1-1 989,38-12 0,-37 12 0,27-9 0</inkml:trace>
  <inkml:trace contextRef="#ctx0" brushRef="#br0" timeOffset="1687">2154 246 10141,'-13'8'5127,"0"1"-3867,1 0-181,1-1-180,1 0 1,1-1-180,1-1 539,1 1 360,4 3-1889,10-5-1079,12 0-720,17-11-7762,41-14 9253,-25 6 0,22-9 0,-42 13 0</inkml:trace>
  <inkml:trace contextRef="#ctx0" brushRef="#br0" timeOffset="3203">2779 130 10681,'-9'-1'6836,"-5"-1"-4138,2 0-359,-3 1-1619,12-1-271,4 0 91,10 0-270,3 0 90,3-1-180,6-1-360,17-1-2159,33-5 1260,-20 3-720,26-3 809,-51 7-1438,16-2 1078,-24 3-628,8 1 1888,-25 5 0,-2 0 90,-10 2 899,-19 4-539,12-5 450,-21 9-361,22-7 1260,-20 15-1259,21-10 629,-14 21-809,23-17 90,1 14-270,7-13 270,19 29-270,-10-23-90,23 31 0,-22-35-90,9 15 90,-14-20 0,3 14 0,-11-12 0,-1 4 0,-7-10 0,1-6 0,-3 0 0,-1-2 90,-1 1 90,-12-2-180,8-1 90,-16-3-90,20 0 0,-9-7 0,17 1 0,4-5 90,6 4-90,11 0 0,3 4 90,17 2-90,-9 4 0,31 12 0,-34-4 0,24 10 0,-32-10 89,17 8 91,-20-10 0,11 6-90,-14-11-90,0-3 90,-1-7-90,-3-6 0,-3 0 0,1-1 0,-2 3 450,7-17-270,-5 13 809,11-16-629,-8 24-90,5-1-180,-2 10 0,0 6 0,-1 0-90,2 6-90,0 0-90,0-1-90,1 0-989,11 3 809,-4-6-180,23-1 540,-23-8 0,12-12 1,-20 2 89,10-25 0,-12 13 359,7-28 91,-9 10 0,0-8 179,-3 4 631,-2 0-900,-3 18 629,-3-9-359,1 24 359,-4-6-359,0 14-361,1 8-89,0 6 90,3 7-180,2 3 180,2 21-360,0-4-90,3 16 0,0-13-180,1-2-359,7 13 359,-1-14-1619,30 30 1350,-21-42-631,33 14 990,-34-35-179,25-12 359,-26-3 0,19-33 270,-25 21 449,7-26-179,-17 28 899,-1-18-809,-3 21 989,-5-17-809,0 22-450,-5 0-1,4 13-179,1 9 0,5 2-270,3 8-179,1-6-631,5 9-359,1-4-1080,6 8 1620,-4-10-4228,6 2 2338,-6-14-3687,1-4 6386,-5-9 0,-4 3 0,-2 0 0</inkml:trace>
  <inkml:trace contextRef="#ctx0" brushRef="#br0" timeOffset="3384">3692 210 8432,'-18'2'4857,"1"0"-3777,3 0-91,0 0 720,2 0 360,1 0-1799,11-1-180,1 0-360,11-2-360,1 0-1259,4-1 540,12-1-180,-3 0 1529,32-3 0,-25 3 0,18-2 0</inkml:trace>
  <inkml:trace contextRef="#ctx0" brushRef="#br0" timeOffset="3653">4104 182 10861,'11'1'9830,"-1"1"-6618,-3 3-1233,-1 3-1259,1 1-91,0 0-179,1 1-90,-3-3-90,1 0-90,1 1 0,-2 0-180,1 2 0,3 7 0,-3-6-360,2 11-90,-6-8-539,-5 9-451,-1-10 1,-7-1 540,4-16-91,0-2 1,4-6 89,2 0-89,2-1-4408,11-26 2879,-3 16 2518,16-27 0,-7 28 0,7-5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4:47.77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2683 8792,'4'-10'6926,"-1"-3"-3868,0 3 1350,0-3-3689,1 9-179,-1 3-90,3 9-90,-2 1-91,1 5-89,0 1 0,0 6-90,5 26-3508,-1 29 1979,1-10-1439,-2 21-451,-3-40-4406,1 4 7735,0-15 0,-2-16 0,-3-12 0</inkml:trace>
  <inkml:trace contextRef="#ctx0" brushRef="#br0" timeOffset="135">213 3112 10951,'-8'-28'4587,"-1"4"-5666,1 13-2969,1 2 4048,3-1 0,3 6 0,1-1 0</inkml:trace>
  <inkml:trace contextRef="#ctx0" brushRef="#br0" timeOffset="502">572 2643 11490,'-6'-10'6657,"-2"2"-5218,-2 5-90,-1 2-719,2 4-360,5 3-91,3 2 91,6 2-180,2 1 90,3 3-90,2 2 0,3 4 90,20 23-90,7 6-90,0 1 0,11 8 0,-33-36 270,15 22 0,-24-29 539,3 18-359,-16-15-180,-5 6-90,-12-6-1,-8-2-268,-9-4-811,-4-5-89,7-3-2879,-21-11 2429,27-1-8392,-29-28 9545,40 15 0,-6-10 1,20 22-1</inkml:trace>
  <inkml:trace contextRef="#ctx0" brushRef="#br0" timeOffset="687">552 2629 10321,'-1'-14'9265,"1"0"-8096,3 2-719,3 2-90,2 2 89,3 3-179,-2 1 0,3 0-270,3 0-360,2-2-3687,36-11 2697,-20 7-8274,54-17 9624,-52 17 0,7-2 0,-30 9 0</inkml:trace>
  <inkml:trace contextRef="#ctx0" brushRef="#br0" timeOffset="1217">1331 2424 9332,'4'-12'7555,"-2"0"-5396,-1 1-540,-1 0-629,-4 2-181,-3 3-539,-4 3 90,1 4 0,-2 2-91,2 1 1,-1 2-90,-1 3 1079,-25 32-989,17-16 180,-24 41-180,25-17-90,-1 19-644,8-12 464,7-3-720,11 20-3058,14 3 720,9 14-3418,30-12 989,-19-42 5487,10-6 0,-34-24 0,-4-3 0</inkml:trace>
  <inkml:trace contextRef="#ctx0" brushRef="#br0" timeOffset="1468">1620 2718 9512,'-1'-15'3777,"-1"1"-4556,0 1 1858,0 2 695,-1 0 1015,0-2-1302,-1 1 2561,-1-1-3508,4 15-180,1 2 935,3 13-575,3 37-630,-3-21-270,3 32-2069,-5-4-2428,3-2 3148,0 2-4768,9-5 1710,-6-38 4587,6 6 0,-8-19 0,-2-2 0</inkml:trace>
  <inkml:trace contextRef="#ctx0" brushRef="#br0" timeOffset="1969">1929 2788 8702,'7'-21'4767,"-1"1"-3507,-3 4-91,0 1 0,-2 3-179,-1 0-1,-1 2-179,-2 1 1348,-7-1-1168,-4 8-540,0 1 269,-5 21-539,11-5 270,-2 42-360,9-30-90,3 24 0,8-17-630,20 13 360,-9-13 0,14 1-89,-11-27-1,9-10 270,-6 0 0,24-34 90,-32 15 0,14-22 0,-21 6 0,-6-6 0,-5-17 0,-10-5 0,-9-1 0,-7 6 90,-4 13-90,-4 11 90,8 16 360,-11 10-270,13 12-91,-5 3 271,6 18 270,16 17-540,-1-5 90,13 10-180,2-21 360,15 29-271,-1-5 1,11 25 0,-5-11-180,-3 0-539,-1 1-3869,2 18 3149,-10-32-2069,5 15 270,-13-43 3148,5 9 0,-9-20 0,2 2 0</inkml:trace>
  <inkml:trace contextRef="#ctx0" brushRef="#br0" timeOffset="2568">2409 2756 8882,'-4'-21'4048,"1"1"-2969,0 1 0,-1 3-89,1 0-1,0 3-269,0 1 539,0 2-179,0 0-811,-1 10-89,1 2 270,1 29-90,7 29-360,-1-10 90,9 27-90,-6-46 0,3 9 90,-2-15-90,1 6 0,3 8 0,-4-11 0,2 3-90,-12-30 90,1-1 0,-4-14 0,0-3 0,1-5 0,-1-5 0,1-23 180,11-39-90,-3 23 179,13-26-89,-8 65 540,11-13-450,-10 24 269,9-6-269,-8 17-90,2 4 90,-2 8-180,-2 6 0,-6 6-90,-4 5 0,-4 3 90,-2-4-90,-2 0 180,-1 0-90,3-6 180,-3 5 179,2-2 631,-1 11-900,2-8-1,0 7 91,7-13-90,5 9-180,0-8-90,6 5-270,-2-16-3237,22 6 1977,-11-6-2337,30 4 2608,-29-8-8096,29-3 9445,-29-2 0,7-1 0,-21 2 0</inkml:trace>
  <inkml:trace contextRef="#ctx0" brushRef="#br0" timeOffset="2853">2818 2376 9332,'-7'-13'3957,"0"1"-2967,2 2 1079,0 1 1529,1-1-2879,8 10-179,1 2-90,10 11 179,-1 3-89,3 5-90,2 4 539,24 45-899,-20-28-180,2 13 0,-2 1-270,-11-9-809,-2 7 0,-3 1 269,-6-5-809,-5 10 0,-4 1 180,-6-4-2699,-10 8 1,-3 0 4227,-4-8 0,-18 25 0,21-45 0</inkml:trace>
  <inkml:trace contextRef="#ctx0" brushRef="#br0" timeOffset="5368">3281 350 9152,'0'-13'4137,"3"1"-3687,1 1 0,2 0-180,2 3 90,1-1 449,3 0-629,16-9 180,1 3-180,5-3 90,6 3-181,-20 8 181,21-4-270,-24 8 90,20-1-90,-21 4 90,21 3 90,-13 2-90,6 1 0,-6 1 630,15 13-541,-17-7 541,29 26-450,-33-20 270,14 21-1,-15-8 271,5 32-630,-8-17 44,-5 5 1,-2 2-135,-2 9-732,0 1 1,0 2 731,0 12-90,-2-29 0,1 3-321,2 10 1,0-3 500,1 12 45,1 1 0,-1 5-45,-4-9 0,-2-2-180,2-15 0,-1 3 45,-7 33 0,-3-6-135,-4-20 90,-7 9 0,-2 1 0,-1-6 687,4-18 0,0 0-687,-7 11-90,-2 11 0,6-15-630,6 28 630,15-54 1000,16 27-1000,-2-40-90,30 8 90,-18-19 90,33-7 0,-26-5-45,17-15 0,1-5 45,-2-4 0,12-16 0,-3-3 90,-18 6-90,-3-6 0,-3 0 90,-13 9 450,14-48-270,-25 54 809,0-32-719,-10 45 360,-13-14-540,1 26 449,-18 0-359,8 13 450,-56 39-630,36-11-1,-10 20 1,2 6-90,15 1 45,3 17 0,5 3-135,11-7 90,6 16 0,4 1-90,7-11 90,0-16 0,2 2-90,1-8 1,1-4-91,0 17 90,0-11 0,-2 3-90,-5-6 0,-1-3 180,-3 37-315,-13 1 0,-4-3-44,-2-13-316,-14 10 0,-4-4-445,3-24 85,-2-6 1,-3-1-945,-23 1-360,-16 2-449,-3-17 180,23-18-1530,3-10 4138,10-10 0,-7-7 0,-7-5 0</inkml:trace>
  <inkml:trace contextRef="#ctx0" brushRef="#br0" timeOffset="6117">4990 152 8162,'-13'2'3149,"0"0"-2430,1 0-89,0 1-1,2-1 451,0 0 1888,0 1-2698,13-2-90,1-1 90,16-3-180,1-3 0,7-1 0,6-2-1,10-3 1,31-9-90,13-3-743,-3 2 653,-11 3-810,0 3-719,-16 4-630,9-1-4227,-30 9 6476,-27 9 0,-4-3 0,-9 4 0</inkml:trace>
  <inkml:trace contextRef="#ctx0" brushRef="#br0" timeOffset="6352">5400 102 7982,'-10'-4'6567,"0"0"-4229,-3-1-449,1 1-809,3 3-631,1 6-89,3 3-90,2 5-90,1 2 90,0 4 180,-4 59-450,3-31-270,-1 9 0,1 3-989,4 16-46,2-12 1,0 0 315,4 18-2147,1-17 1,2-7 2146,-2-17 989,11 25 0,-14-50 0,2 3 0</inkml:trace>
  <inkml:trace contextRef="#ctx0" brushRef="#br0" timeOffset="7204">5469 545 7892,'6'-21'3149,"0"0"-2430,-1 5 1,-1 1-90,1 2 89,0 2-89,-1 0 2248,15 3-2428,-9 6-180,11 3 89,-11 9-89,1 1 180,5 13-270,-1 5 90,6 18-270,-8-14 90,-1 16-90,-9-29-540,0 18-269,-5-22 269,-1 3 270,-2-16-540,0-18 631,2-1-181,3-23 270,1 14 0,6-24 0,0 16 90,8-18-90,-4 22 450,20-25-180,-17 35 0,12-11-90,-15 28-1,0 3 1,2 5-90,0 4 0,-1 3 90,-1 0-90,2 0 0,0 1 0,-1-2 0,0-2 0,-3-2 0,0-1 90,0-6 0,-1-1 180,0-5-180,2 2-90,-1 3 0,2 4 0,1 1 0,-2 0 0,1-1 0,-2-3 0,2 0 0,5-1 0,-3-2 0,20-7 0,-6-3 0,13-10 0,-13 4 0,8-16 90,-16 10-90,6-9 180,-13 12-90,-4 6 539,-3 0-629,-2 14 0,2 1 0,1 8-89,8 2-1,-3-4 0,6-2 0,5-5 0,-3-2 90,9-3 0,-4 0-90,42-19 90,-34 12 90,30-12 90,-42 17 179,-2 1-269,-1 1-359,-8 16-181,-6-1-989,-8 22 359,-3-11-269,-4 12-5487,-7 11 6836,0-2 0,-9 21 0,2-7 0</inkml:trace>
  <inkml:trace contextRef="#ctx0" brushRef="#br0" timeOffset="8387">5043 1569 8522,'-2'-9'5667,"0"-1"-3958,2-1-630,1 0-359,-2 1-450,-4 3 0,-1 8-1,-2 5-89,0 7 0,2 2 90,-1 5-90,0 7 180,-3 26-180,0 33-90,3-13 0,5-10 0,4-1-90,8 7-129,10 27 129,1-42 77,23 7-77,-19-36 0,39 8 0,-34-28 0,48-22 0,-21-21 0,-17 7 0,-2-3 90,13-23-90,-27 12 0,-5-1 0,-7-20 0,-5-27 90,-23 17-90,-19-1 0,4 26 0,-35-11 0,32 41 217,-42-9-217,45 25-76,-30 11 166,40 3-90,-15 26 0,27-13 0,-1 15 0,14 5 0,3-8 0,22 54-270,-1-26-45,-7-18 1,4 2-451,4-1 1,1-4-46,14 16 91,10 4 269,-27-38-450,5-9 541,-10-12 89,11-9 270,-11-5 449,17-29-179,-19 15 990,23-42-721,-27 37 1710,16-37-1709,-22 46 809,8-16-270,-13 29-629,2 6-270,-2 9 90,0 9-180,-3 0 0,3 9-90,-2-12-1619,10 16 1259,-3-19 180,5 4 0,-2-12-90,11-13 270,-7 2-90,25-26 180,-23 16 180,18-21 180,-17 18 1529,11-9-1530,-10 18-269,2 6 0,-13 13-90,-1 4 0,-3 1-899,5 12-1440,-1 0-450,6 12 1080,-5-10-8212,6 11 9815,-8-17 0,1 4 1,-7-16-1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4:33.40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2926 629 9602,'2'-18'6026,"-1"2"-3777,-1 2-810,0 2-989,-2 10-1,-1 2-89,0 10-90,1 2 0,-1 4-90,0 4 0,1 3 180,-2 17-1,4 19-359,-1-10 90,8 30-90,-3-48 0,11 30 0,-8-40 0,13 14 0,-7-28 0,6-6 0,-5-11 90,9-32 0,-11 13 180,18-46 0,-18 41 180,13-33-270,-16 45 449,9-16-359,-11 27-90,12-1 0,-6 16-180,8 7 180,0 11-180,2 9 90,-4-3-90,12 18 0,-14-24 90,28 24-90,-27-33 90,21 5-90,-18-21 629,11-15-359,-10 1 180,6-21-270,-17 14 0,1-10-1,-4-7 1,-4-6-90,-3-26 0,-10-6-180,1 22-1619,-17 0 630,14 45-2069,-13-1 1619,14 17-2069,-5 13 180,7-3 3418,-2 17 0,6-19 0,1 5 0</inkml:trace>
  <inkml:trace contextRef="#ctx0" brushRef="#br0" timeOffset="632">3738 452 8882,'18'96'3276,"0"0"1,2 5 0,-3-20 3354,-8-50-6631,3 11-90,-7-26 0,0-8 90,-1-9-90,-1-2 90,0-8 0,-2 0 0,1-3 0,-2-1 0,1-1 0,0-10 0,0 7 0,3-20 0,-1 20 0,10-18 0,-2 26 0,8-1 90,-7 14-180,0 5 90,1 4 90,1 6-90,0 1-90,-1 1 90,4 12-270,1 2 90,4 5 0,0-6 90,-8-16 90,0-6-90,6-6 90,1-9 0,4-5 90,-3-13 0,-10 5 90,-4-3 0,-4-1 360,-3-3 629,-5-10-899,0 12 269,-7-2 1,4 17 90,-12 6-450,3 17-180,-4 8-1260,7 25 271,9-19-3509,10 25 3149,2-34 90,7 9-2699,11-10 2519,-7-9-5307,19 3 6746,-17-13 0,-3 1 0,-9-3 0</inkml:trace>
  <inkml:trace contextRef="#ctx0" brushRef="#br0" timeOffset="1106">4447 774 10861,'-4'-13'7196,"1"2"-2519,-1 1-3867,0 9-631,2 5 91,-1 6-90,5 3-90,-2-2 180,4 13-180,-2-8-90,2 15-90,-2-15-540,4 18 361,-3-17-811,2 17 271,-4-19 89,0 4 630,-5-15 0,2-8 90,-2-7-90,3-5 90,2 3 0,2-7 90,1 4 720,18-30-451,-9 26 451,24-20-540,-17 29 719,44-4-809,-33 10 180,46 9-270,-50 4 90,20 16-90,-28-7 0,12 29-180,-20-22-270,7 22 0,-14-29-2068,-1 15 359,-2-18-450,-1 11 2519,-2-15 0,0-3 0,1-3 0</inkml:trace>
  <inkml:trace contextRef="#ctx0" brushRef="#br0" timeOffset="2369">4980 789 11131,'2'-11'9830,"1"19"-8417,-1-5-1233,1 16 0,0-9-90,0 1 0,0 0 0,1 0-90,0 0-180,9 12 90,-4-11-450,13 10 360,-11-17 1,13-3 89,-13-5 0,13-14 90,-15 6 0,7-21 90,-12 17 89,0-23-89,-6 22 270,-9-17-180,4 21 90,-16-9-180,11 16 90,-17 3-180,16 6 90,-14 17 0,16-7-90,-6 26 0,13-21-90,3 28-90,5-26-989,15 23 629,-5-28-719,31 15 899,-24-23-270,28 3 360,-28-13-359,28-11 449,-16-3 90,14-12 180,-18 0 629,-6-2 271,-6 2 89,-4 3-89,-3 4 269,-4 7-90,2 1 1350,4 5-1980,0 5 901,9 10-1440,-10 4 0,7 19 0,-11-13 0,5 19 0,-6-16 0,4 20 0,-5-20 0,6 18-90,-5-25-180,3 5 90,-1-15 0,5-8 180,-5-3-90,5-10 0,-6 1 90,5-9-90,-3 8 0,7-6 180,-9 16-180,11-4 90,-3 8 90,6 3-90,-3 1-90,11 8 0,-8 1-90,4 2 0,-9-1-89,-5-4-451,7 5 180,7-5 450,-5-1 90,0-6-90,-11-9 1,-1-9 89,-2 3 89,-5-20-89,-3 21 90,-9-16-90,3 22-90,-5-3 1,-3 10 89,-7 16 0,3-3 0,-4 19 0,16-12-270,-1 19 0,7-18-540,8 21 540,0-25-719,19 13 809,-11-20-180,19 2 270,-16-9-179,30-10 269,-25 2-90,28-19 180,-34 13 359,19-17-269,-20 17 360,13-9-180,-15 14 1169,16 3-1079,-15 5 719,19 14-809,-21-1-91,7 10 91,2 15-90,-1 9-270,1 1 180,-5 3-180,-11-29 180,0 21-90,-6-24-90,-2 8 0,-4-26-90,-3-11 90,2-6-360,-3-15 0,6 7-899,-1-36 629,6 26-2248,16-52 1529,-2 49-2609,29-41 2249,-20 50 1709,29-21 0,-37 38 0,8-5 0</inkml:trace>
  <inkml:trace contextRef="#ctx0" brushRef="#br0" timeOffset="3234">4151 2100 10501,'-3'6'9355,"2"-1"-8906,-3 17-89,5-7-90,0 3-90,1 2 360,8 21-271,3-6-179,4 8 0,0-15-90,-3-11 180,33 7-90,-22-15 0,43-7-90,-43-15 90,29-35 0,-31 17 180,18-53-90,-28 42 90,6-44-90,-15 46 89,-3-29 181,-15 3-360,2 13 90,-19-13-90,2 38 0,-12-1-90,-8 15 0,15 11 90,-23 31-90,37-8 0,-13 20 0,26-16 0,3 0 0,4 15 90,2-10-90,30 61 0,-4-42 0,16 29 90,-15-47-90,7 0-90,11 11 90,-9-8-360,4 9 90,-32-28-989,4 12-990,-6-5-3598,3 15 2969,-5-14-1979,1 5 4857,-4-18 0,-1-5 0,0-1 0</inkml:trace>
  <inkml:trace contextRef="#ctx0" brushRef="#br0" timeOffset="3670">4816 2368 8972,'8'-21'9830,"-2"3"-7427,-8 7-1234,-3 0-359,1-1-181,1-1-449,4 0 0,2 3-90,2 0 0,2 5 0,-1 0 90,3 1-180,7 3 90,-5 2 0,12 11 0,-14-2 0,6 18-90,-10-12 90,1 20-90,-6-20-90,1 18 0,-2-17 0,2 7 90,3-7 0,2-1 0,1-3-90,8 9 90,-5-8 0,13 18 0,-8-12 90,6 10 0,-9-13 809,2 7-359,-8-11 989,0 14-899,-9-11-450,-6 7-180,-1-8-90,-18 4-540,12-11-2878,-29 2 90,13-18 450,-14-8 1169,16-4 1799,-8-24 0,21 18 0,-8-17 0</inkml:trace>
  <inkml:trace contextRef="#ctx0" brushRef="#br0" timeOffset="4160">5489 1945 9242,'2'-12'5217,"-1"0"-2249,1 2-449,-2-3 1528,1 1 631,-1 0-4678,-1 11 0,1 9 0,1 6 0,2 6 0,1-2 0,4 14 0,-1-7 0,11 34 0,-8-28 0,12 38 0,-12-41-810,9 30-989,-11-37-5397,10 24 5667,-12-30 1529,6 9 0,-10-20 0,0-1 0</inkml:trace>
  <inkml:trace contextRef="#ctx0" brushRef="#br0" timeOffset="4363">5460 2157 8612,'-29'-19'9830,"18"6"-7337,-7-9-1953,27 9-180,2 3-181,3 2 1,-3 3-450,14-2-359,-8 2-2429,30-5 1528,-21 6-8004,47-12 9534,-34 6 0,25-7 0,-26 6 0</inkml:trace>
  <inkml:trace contextRef="#ctx0" brushRef="#br0" timeOffset="4799">6191 1858 8702,'6'-10'3688,"0"1"-2519,0 2 1170,0 1 1169,3 1-1529,2 4 270,-1 3-1170,-2 9-270,-5 0-179,-2 4-90,-2-3-91,0 3-89,-2 1-90,1 2 90,-3 23-540,1-13-1619,-3 43 720,5-38-3868,0 44 3237,2-45-3686,3 25 5396,2-26 0,-1-9 0,0-6 0</inkml:trace>
  <inkml:trace contextRef="#ctx0" brushRef="#br0" timeOffset="5151">6529 2249 10591,'-10'-5'5847,"-1"2"-5128,1 4-539,4 4-90,6 1-90,5 2 0,5-4 90,2-3 270,1-3 539,0-3 271,-3-4-91,-3 0 90,-4-1-89,-6 1-271,-5 1-359,-5 2-180,-2 3-450,-2 3-630,1 2-1438,2 2-361,3 3-1169,4 1-4227,6 1 8005,6-1 0,-2-3 0,3-1 0</inkml:trace>
  <inkml:trace contextRef="#ctx0" brushRef="#br0" timeOffset="5583">6983 1945 8972,'-9'-8'4497,"0"-1"-3327,0 3-91,0-1 0,-1 1-89,1 1-91,0 1 541,1 0-451,-4 2 630,-1 14-1259,4-4-180,1 12 0,10-8 269,8 16-359,-1-8 90,26 40-90,-17-34-90,22 29 90,-24-33 989,18 29-539,-20-29 809,11 21 1,-17-26-1350,-1 6 0,-6-6 0,-3-3 0,-5-7 0,-12-3 0,-1-4 0,-15-3 0,10-3 0,-19-11-720,22 7-6386,-24-19 5127,31 14-269,-8-9-7197,14 1 9445,4 5 0,0 0 0,4 11 0</inkml:trace>
  <inkml:trace contextRef="#ctx0" brushRef="#br0" timeOffset="5784">6895 1852 13559,'-3'-10'9830,"2"0"-6527,6 2-2674,1 2-179,6 2 0,-1 1-180,1 0-90,2 0-180,0 0 0,1 0-3752,2-1 3032,-1 1-269,1 0-4048,14-2 3418,-9 1-2339,20-2 720,-20 3 3238,15-4 0,-24 4 0,5 0 0</inkml:trace>
  <inkml:trace contextRef="#ctx0" brushRef="#br0" timeOffset="6432">7564 1656 10411,'-6'-13'6566,"0"1"-4857,-3 4-1079,-1 3 90,-1 4-181,1 3 91,1 3 89,0 3 91,0 3 629,-5 12 180,-2 20-1169,3-7 360,-1 43-721,11-40 46,1 11 0,2 1-225,3-4-630,2 9 1,1-2-180,3-8-1710,6 5 1,3-3 1258,0-15-1618,22 23 1349,-20-44 1619,26-1 0,-18-12 0,16-2 0</inkml:trace>
  <inkml:trace contextRef="#ctx0" brushRef="#br0" timeOffset="6701">7900 1847 9242,'-5'-13'4227,"-1"1"-3057,1 1 179,-1 1-180,1 2 900,0 0 2159,-1-1-2609,-2 7-990,3 7 1,2 5-270,3 6 0,1-2-181,-1 1 91,1 3-180,1 1-180,0 16-270,-1-6-2428,5 34-3958,3 4 4857,-1-9 1889,7 12 0,-11-55 0,4 8 0</inkml:trace>
  <inkml:trace contextRef="#ctx0" brushRef="#br0" timeOffset="7220">8059 2040 9242,'2'-12'6926,"-2"-4"-5037,0 2 539,-3-1-809,-1 5-629,-3 8-540,1 6-271,2 4 181,2 3-180,1-1 0,1 1 0,1 1-90,0 1 0,2-1 0,5 13-900,17 8 540,-7-7-359,22-1 449,-25-25-90,23-11 270,-21-1-90,9-10 90,-8-6 270,0-31-180,-6 15 180,-8-47-270,-8 52 270,-15-42-91,8 48-89,-8-14 0,8 29 0,0 2 0,0 4 90,-11 0-90,8 8 0,-21 11-90,18 4 90,-14 19-90,17-9 90,-4 20 90,10 6-180,3-6 90,10 19 90,15 7-180,-6-20-180,19 32 0,-21-52-1439,16 28 539,-17-32-1078,10 18 988,-12-21-6026,12 27 2879,-12-25 4317,8 16 0,-14-30 0,0-1 0</inkml:trace>
  <inkml:trace contextRef="#ctx0" brushRef="#br0" timeOffset="7801">8676 1919 8972,'-2'-14'4857,"-1"0"-9618,0 3 5661,0 0 2308,-1 3-870,-1-1-579,-2 6-1399,1 6-90,0 4 449,6 23 2853,1-10-3482,2 13 180,2 0-180,-1-7 0,5 20-90,-4-19 90,6 33-90,-6-34 90,3 29 0,-7-38-90,-4 11 0,-1-24 0,-3 1 0,0-13 0,0-2 0,1-5-90,-1-4 180,0-3-90,0-17 0,3 7 0,3-25 0,10 0-244,-1 10 334,6-2 360,1 17-91,-1 10 451,8-5-450,-6 19 0,1 6-91,-7 9 425,-3 1-514,-4 8 899,-9 12-719,1-7-90,-5 10 270,1-8-450,0 1-90,-1 6 0,2-1 0,7 4 0,1-11 0,6 2 0,20 4 0,-10-14 0,16 10-1619,-11-17-2969,10 0 2879,-4-3-4767,27-2 3777,-32-3 2699,23-5 0,-35 3 0,2-1 0</inkml:trace>
  <inkml:trace contextRef="#ctx0" brushRef="#br0" timeOffset="8136">9078 1568 9062,'-7'-12'3418,"0"1"-2429,1 1-89,1 1-91,0 1 720,0 0 1979,0 0-2968,10 5-90,-1 2 90,10 7-1,1 3 1,2 3-90,3 4-1,2 2 451,19 28-720,-15-14 0,17 38 0,-26-32-90,4 51-180,-14-40-675,-6 15 1,-4 0-316,-3-11-224,-4 0 0,-2-2-136,-2-12-8391,-22 30 9455,16-36 1,-14 13-1,16-26 1</inkml:trace>
  <inkml:trace contextRef="#ctx0" brushRef="#br0" timeOffset="10370">2889 1777 10951,'-12'-10'4767,"1"2"-2968,4 2 0,-1 2-1439,9 6-90,1-1 449,9 7-449,11 2 0,-2 0 0,9 3 0,-4-1 179,14 5-179,7 3-90,13 4-90,-13-7 0,17 6 0,-15-5-90,-2-1 270,-6 0 449,-15 0-359,-7-4 630,1 15-721,-16-16 631,-5 19-630,-3-15 179,-10 19-269,5-15 180,-23 33-270,13-23 90,-33 44-90,27-40-90,-32 38 0,16-22 0,3-6 0,-1 0 0,-7 8-45,7-10 0,3-4 45,12-13-360,-18 17 90,27-27-1529,-9 9 810,15-15-1440,-5 5 1,7-7-1890,2-1 4318,-2 2 0,5-5 0,0-1 0</inkml:trace>
  <inkml:trace contextRef="#ctx0" brushRef="#br0" timeOffset="12350">3405 3571 9152,'3'-11'7555,"-1"2"-7105,-5 7-90,-1 3 0,-6 10-90,-1 2 179,-11 13 181,-25 25-540,6-7 90,-2 0 0,0-1-90,4-4-45,-3 0 0,2-1 45,9-11-90,-26 22 90,37-33-90,-14 11 0,24-19 179,-7 5 2790,9-9-2609,7 4-91,3-5 271,7 4 270,8-1-181,9 7-89,16 8-270,9 8 0,30 21-180,-27-17-90,3 5 0,-2-1-360,-15-8-855,8 7 1,-2-1-315,-18-10-1349,19 20 1349,-28-25-8302,12 20 9522,-18-22 1,5 6 0,-15-19 0</inkml:trace>
  <inkml:trace contextRef="#ctx0" brushRef="#br0" timeOffset="13151">4673 4094 7623,'-5'-10'3508,"-1"1"-2519,0 1-89,0 1 719,0 1-90,-3-1-180,0 3 720,-13 9-1709,10 0 719,-8 20-809,16-11 0,0 10 0,6-9-3393,1 2 3303,2-1 416,23 25-506,-9-20 90,36 22-90,-30-33 0,24 0-90,-24-10 90,40-23-90,-35 7 90,39-41-90,-47 28 0,11-34 90,-23 31 90,-5-62-90,-8 47 0,-6-7 0,-2-1 0,-8 5 134,-4 2 1,-3 1-45,-3 1 315,-10-1 0,-3 3-315,7 16-90,-25-15 179,25 30 1,-15 11-180,14 1-180,-12 16 90,33-2 90,-7 24-90,14-14 90,1 43-90,11-31 0,10 38 0,8-19 0,14 18 0,7-7 0,-5-15 3376,-1-10-3376,1-7 0,-8-8 50,9 5-50,-1-2 0,-10-7 0,8 6 0,-4-2 0,-2 2 90,-1-2-90,5 10 0,-14-12-90,6 9-450,-10-9-719,-4-2-1620,-3-1-2068,-3-1-90,-1-2 5037,0-2 0,-3-8 0,0-1 0</inkml:trace>
  <inkml:trace contextRef="#ctx0" brushRef="#br0" timeOffset="13481">5459 4238 9781,'-5'-9'3868,"0"0"-1889,0 2-90,-1-3 540,1 2-810,-2-1-630,3 8-629,1 8-90,2 4-90,2 3 0,-1-1-90,1 2-1,-1 1 1,1 3-449,-1 11-181,1-4-2518,2 31-4498,4 6 7556,3 1 0,3-6 0,-1-27 0</inkml:trace>
  <inkml:trace contextRef="#ctx0" brushRef="#br0" timeOffset="13900">5970 4096 11041,'-7'-8'9830,"0"2"-4009,10 2-5192,4 1-89,8 2-90,2 1-90,-1 0-360,1-1 0,13-1 0,27-2 0,-17 1 0,25-2 0,-41 3-5757,23-3 3598,-26 3-7672,24-4 8893,-32 4 0,6-2 1,-15 3-1</inkml:trace>
  <inkml:trace contextRef="#ctx0" brushRef="#br0" timeOffset="189713">2368 33 8702,'-6'-13'3328,"1"4"-2069,-10 1-719,2 6 0,-6 2 809,-35 18-1169,23-4 135,-13 15 0,0 3-136,15 0 46,-3 13 0,3 3-135,13-4 90,2 11 0,3 1-90,6-2-45,8 13 0,4 2-45,7-7 45,10 9 0,4-2 45,2-15-90,2-5 0,1-2 0,-4-13 180,4 5 0,1 1-91,-7-5 226,2 8 0,-4 1-135,-13-10 270,-5 49-270,-14-43-45,-14 14 0,-5 1-135,-7-3 44,-17 9 1,-3-1-45,-1-11 45,-11 2 0,0-2 45,10-14-45,1-3 0,2-3-45,18-12-90,-17 6 0,31-19-89,-2-8 179,12-6-90,11-12 90,6 7 0,6-2 0,-3 10 90,6-1-1,3 5 181,5 5 90,2 14 360,5 38-450,-10 0-46,-9 0 1,-3 7-552,-5-3 0,-4 2 462,0 21 0,-1 5-105,-3-16 0,-1 3 0,0-2-655,-3 17 1,-2 3 654,2-13 0,-2 5 0,1 4-8,1-2 1,-1 4-1,1 1 1,0-8-23,0-7 0,2-5 0,0 8-18,1 2 0,1 12 0,0 3 0,2-7 0,1-13 18,4 3 0,3-4-113,1-1 1,1 9 0,1 0-1,0-12 23,2-3 0,4-2-120,8 17 0,6 8 1,-2-14 74,-8-29 0,3-2-165,12 18 0,8 7 0,-4-12-149,16 5-271,14-3 1,3-4 88,-2-17-539,13-5 1,1-6 90,-12-13-2789,5-6 0,0-6 3868,-10-9 0,32-9 0,-34-2 0</inkml:trace>
  <inkml:trace contextRef="#ctx0" brushRef="#br0" timeOffset="190612">349 2019 7533,'-9'-2'3598,"-1"-1"-2519,0 1-179,0 0 629,0 1-900,-4 0-89,3 1 0,-2 2-91,4 1 271,-4 6-360,4 1 0,-3 6 359,0 24-269,5 13-360,-1 2 90,18 30-180,-1-52 180,24 32-180,-16-49 90,18 1 0,-7-22 0,9-16 89,2-18 91,1-35-180,-17 17 0,-6-34 90,-21 26 0,-13-23 90,-14 11-180,-14 8 0,-9 22-90,-3 19 0,-5 19 0,3 18-90,3 15-360,10 11-809,14 5-540,16 3-630,16 0-2518,29 9 1529,-2-19 3418,19 3 0,-13-25 0,3-2 0</inkml:trace>
  <inkml:trace contextRef="#ctx0" brushRef="#br0" timeOffset="191785">600 1944 8432,'-3'-50'9830,"-2"10"-8956,-6 36-424,-1 2-270,-2 1 0,2 4-90,5 4-90,5 5 90,2-2-90,4 2-90,0-3 90,3 0-90,0 0-90,6 2 180,3-1-90,11-2 270,-4-8 90,4-10 89,-7-10-89,-3-10-180,-5 1 270,-3-21 90,-6 14 89,-1-12-359,-2 22 90,-2-4-360,3 17 90,4-3-90,2 14-539,16 6 269,-9-2 0,17 0 270,-14-3 0,6-1 0,-7-1-90,13-9 180,-12 2 0,16-23 90,-23 13 180,3-40-90,-18 9 90,-9-27 90,-18-5-91,-5 10 91,-11 1 0,2 20 0,4 14-270,5 15 90,10 15-180,9 22 90,9 3-270,15 44-90,2-26-1979,23 56 1350,-12-50-1170,11 7 0,2-1 990,-4-12-2070,36 28 2250,-43-48-1080,12 3 1889,-19-17 450,0-5-180,-8-8 719,-11-13-359,-3 5 449,-14-15-449,8 17 1079,-17-14-1259,16 18 629,-15-17-899,21 20 90,-4-8-90,12 5 90,10-9-180,0 4-180,29-24 180,-18 24-90,16-15 0,-14 12 0,8-16 90,-7 9 0,8-25 0,-23 31 90,2-19 0,-9 20 90,-5-16 270,-6 4 0,-6-11 179,-4 3 91,-1 6-180,2 7 359,4 9-719,3 13 90,7 12-90,2 8-180,7 8 90,2-3 90,9 28-91,2-1-178,10 21-1,-9-23-990,17 22 810,-18-37-989,30 32 1079,-30-45-90,13 8 90,-17-18-179,10-5 269,-7-2 0,18-15 90,-21 4 0,13-27 0,-15 10 360,1-22-271,-7 21 361,-3-15-270,-3 28 360,-1-16 89,1 20-449,3 2-90,-1 11 0,4 9 0,-1 1-989,10 18 359,-6-11-719,10 17 449,-11-20-1439,6 11 900,-6-14-3328,3 5 4677,-8-17 0,1 3 0,-4-6 0</inkml:trace>
  <inkml:trace contextRef="#ctx0" brushRef="#br0" timeOffset="191900">1249 688 8252,'-10'-6'-1079,"2"2"1079,-2 3 0,6 0 0,1 2 0</inkml:trace>
  <inkml:trace contextRef="#ctx0" brushRef="#br0" timeOffset="192463">1451 651 13559,'-4'9'3238,"1"1"-3058,3 0-270,4-1-90,4-2 1,1-4 89,4-3 0,-4-2 90,1-2-90,-4-1 90,-1 0 90,1-9 180,-5 4-91,-2-6 91,-6 9-180,-2 5-90,-3 4 90,0 5-90,1 1 0,3 4 0,3 1 0,3 1 0,5 0 0,3 0 0,1-3 0,8 0 0,-2-6 180,11-2-90,-10-3 630,7-5-181,-10 1 451,3-1-181,-2 2-449,-1 3 0,-1 4-180,-2 4 90,-1 2-91,-2 2 91,-2-2-360,-2 2-90,1-15-359,4-12 89,2-12-90,6-9-179,2 5-181,6-7-1798,13-19 1618,-12 19-1168,10-12-3329,-23 35 5577,1-1 0,-8 11 0,0 2 0</inkml:trace>
  <inkml:trace contextRef="#ctx0" brushRef="#br0" timeOffset="193128">173 3197 7982,'-8'-7'7646,"0"1"-6477,2 6-809,2 7 0,3 3-90,3 8-90,2-1 0,5 20-270,4 8-90,1 2-1349,13 26 719,-12-36-2068,17 36 1798,-17-44 1080,9 19 0,-17-36 0,2 4 0</inkml:trace>
  <inkml:trace contextRef="#ctx0" brushRef="#br0" timeOffset="193931">265 3518 7263,'-19'-23'2968,"-1"0"-2068,-1 2-1,0 3-89,0 2 89,0 2-179,1 2 1169,-13-6-1440,14 8-179,-9-4 360,10 5-450,7 2-90,6-3-90,10 5-90,22-2-90,-4 4-180,66-1 270,-41 3 45,5 2 0,-2 1-45,-10 2 90,30 13-90,-38-6 90,20 26 0,-38-17-90,1 36 0,-24-14-179,-9 23 89,-2-20-630,-12 12-359,13-26-90,-2 3 179,9-20 181,8-21 179,4-15 270,10-26 270,1 2 180,8-14 90,-3 19 630,18-31-360,-13 30 89,12-17 271,-10 24 180,-3 5 179,1-2-180,-7 10-179,-5 7-270,0 2-90,-4 7-270,3-1-1,0 4-89,4 1 0,-2-1 0,20-19 0,-16 8 90,17-22-90,-22 19 540,4-16-90,-10 14-90,-3-2-180,-8 16 269,-12 23-359,2 2 180,-12 30-180,13-17 0,-9 39-180,15-38-540,6 37 361,10-51-451,17 9 360,-4-30-629,48-37 809,-25 6-45,19-33 0,0-7 225,-12 1-916,0-10 0,-4-1 1096,-17 8 269,-9-2 1,-4 0 90,-5 4-381,-8 0 0,-4 4 381,-7 23 651,-22-28-831,14 53 989,-25 4-989,21 22 1929,-20 20-1930,16 12-269,-1 14 1309,10-7-2749,13 17 685,6-31-3203,23 41 2609,-10-44-3958,25 25 1079,-25-38 4138,8 3 0,-18-14 0,-1-1 0</inkml:trace>
  <inkml:trace contextRef="#ctx0" brushRef="#br0" timeOffset="194078">1059 2716 8702,'-13'-5'4138,"0"1"-3239,1 0-179,0 1-91,1-1-269,0 0 90,2-2-180,1 0 359,3-20-719,5 8-809,10-25-2249,21 0 899,-4 8 2249,18-10 0,-31 33 0,3 0 0</inkml:trace>
  <inkml:trace contextRef="#ctx0" brushRef="#br0" timeOffset="194299">341 4125 10411,'-8'15'4048,"3"-1"-3509,6-3 1,5-6-180,8-6 360,45-45-541,-14 8-314,20-23 1,4-5-939,-29 25 0,1-1 593,11-12 0,6-7 0,-5 6-15,-6 5 1,1-2 494,14-14 0,8-8 0,-8 9 0,-16 17 0,-1 2 0,1-2 0,1-1 0,0 1 0</inkml:trace>
  <inkml:trace contextRef="#ctx0" brushRef="#br0" timeOffset="194463">1267 3336 8792,'-37'38'4587,"4"-4"-3597,4-4-5751,7-7 5930,-1-1 270,10-8-479,15-17-1680,9-8 500,22-25-3828,24-25 4048,-9 11 0,5-5 0,0 0 0,3-2 0,10-11 0,1 0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8:50.829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07258E6"/>
      <inkml:brushProperty name="anchorY" value="-5.49939E6"/>
      <inkml:brushProperty name="scaleFactor" value="0.5"/>
    </inkml:brush>
  </inkml:definitions>
  <inkml:trace contextRef="#ctx0" brushRef="#br0">20 40 10681,'-6'-15'6116,"1"1"-2158,0 3-3508,1 11-270,5 10 0,0 6 0,3 7-90,-1-2-1,0 3 91,2 17-180,-1-6-1079,6 40-2789,-4 7 2339,0-10 1529,-5 24 0,-2-73 0,-2 15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8:55.630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2515E6"/>
      <inkml:brushProperty name="anchorY" value="-5.57068E6"/>
      <inkml:brushProperty name="scaleFactor" value="0.5"/>
    </inkml:brush>
  </inkml:definitions>
  <inkml:trace contextRef="#ctx0" brushRef="#br0">2 27 9152,'-2'-13'8365,"2"2"-7645,3 8-1,0 4-4341,0 9 4162,-1 2 859,0 3-949,0 5 0,-1 5 719,0 47-899,0-20 0,1 41 0,2 7-270,0-14-563,-1-1 0,2-3 203,0-14-90,1-7 2475,-1-5-5083,7 34 1709,-4-35-1080,0-4 1,2 0 2428,7 8 0,0-3 0,1-9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8:56.252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3829E6"/>
      <inkml:brushProperty name="anchorY" value="-5.58644E6"/>
      <inkml:brushProperty name="scaleFactor" value="0.5"/>
    </inkml:brush>
  </inkml:definitions>
  <inkml:trace contextRef="#ctx0" brushRef="#br0">29 43 7533,'-5'-8'3238,"0"0"-1619,0 1-180,1-3 3238,-1 1-4047,2 8-90,1 5-1,3 12-89,1 5-90,0 6-90,2 8 90,-1 5-91,1 13 271,3 37-360,1-7 0,1 3-135,-3-25 0,0 0-1064,2 7 0,1 6 1,-1-12 298,2 5-90,4 30-386,-7-53 296,1 0-269,-1-2-2879,8 33 1709,-6-30 2339,9 32 0,-13-57 0,1 2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8:56.766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5324E6"/>
      <inkml:brushProperty name="anchorY" value="-5.6022E6"/>
      <inkml:brushProperty name="scaleFactor" value="0.5"/>
    </inkml:brush>
  </inkml:definitions>
  <inkml:trace contextRef="#ctx0" brushRef="#br0">2 43 8342,'-1'-15'5127,"1"2"-180,0-1-3777,0 13-630,1 11-91,0 9 1,2 6 0,0-1-1,0 6 1,1 4 90,1 18 0,1 5-360,0 7-46,2 21 1,-1 0-135,-2-20-765,0 18 1,0-1-135,-1-19-387,-1 1 0,-1-3 297,0-17-3959,2 47 2340,-2-53 2608,2 34 0,-3-58 0,0 4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8:53.652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09541E6"/>
      <inkml:brushProperty name="anchorY" value="-5.52708E6"/>
      <inkml:brushProperty name="scaleFactor" value="0.5"/>
    </inkml:brush>
    <inkml:brush xml:id="br1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1363E6"/>
      <inkml:brushProperty name="anchorY" value="-5.55475E6"/>
      <inkml:brushProperty name="scaleFactor" value="0.5"/>
    </inkml:brush>
  </inkml:definitions>
  <inkml:trace contextRef="#ctx0" brushRef="#br0">95 53 10771,'-10'-2'6476,"-1"-1"-5666,2 2-451,-1 3-359,6 3 0,4 2 0,5 1-89,5-3-1,1-2 90,2-3 0,-1-4 0,-1-2 90,-2-4-1,-5-2 91,-3-1 0,-5 1 0,-3 1-90,-5 4 90,-3 6-180,2 2 90,-2 4 0,4 0-90,-3 5 90,-1 7-90,4-3 0,2 5 0,8-5-90,10 9 180,-3-7-90,16 6 0,-11-18 180,15-2-90,-15-4 539,10-10-359,-14 5 0,2-10-180,-9 4 90,-7-7-630,-8 5-899,-3 3-810,-2 9-899,6 6 3058,3 4 0,6-3 0,3 0 0</inkml:trace>
  <inkml:trace contextRef="#ctx0" brushRef="#br1" timeOffset="1297">91 101 8072,'1'-10'4678,"-1"-5"-3329,0 1 2249,1-2-2609,-1 12-269,1 13-450,2 24 0,0 5-234,2 10 144,1-6 0,7 40-46,1-6 1,1 3-135,-4-21 0,1 2-923,2 11 0,1 8 0,-1-13 743,1 15-1409,1-2 1,-2-2 689,-3-16-1293,0-3 1,-1-3-508,-3-12 2699,7 31 0,-10-56 0,0 4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8:50.027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0629E6"/>
      <inkml:brushProperty name="anchorY" value="-5.48346E6"/>
      <inkml:brushProperty name="scaleFactor" value="0.5"/>
    </inkml:brush>
    <inkml:brush xml:id="br1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08859E6"/>
      <inkml:brushProperty name="anchorY" value="-5.5148E6"/>
      <inkml:brushProperty name="scaleFactor" value="0.5"/>
    </inkml:brush>
    <inkml:brush xml:id="br2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041E6"/>
      <inkml:brushProperty name="anchorY" value="-5.53918E6"/>
      <inkml:brushProperty name="scaleFactor" value="0.5"/>
    </inkml:brush>
  </inkml:definitions>
  <inkml:trace contextRef="#ctx0" brushRef="#br0">184 531 17427,'-3'14'989,"5"32"-899,1-18-5660,9 43 5660,-6-34-90,4 15 1319,-2-14-2039,5 17 91,-3-13-1840,14 42 2469,-1-14 0,0-1 0,0-13 0</inkml:trace>
  <inkml:trace contextRef="#ctx0" brushRef="#br1" timeOffset="2821">109 17 12750,'4'2'2698,"-6"-6"-2248,11 1-180,-11-6-270,-6 7 90,-1 3-90,-1 6 0,4 1 0,1-1 0,1 1 0,-2 9 0,3-3 0,1 6 0,3-5 0,3-5 90,2-5 0,0-7 179,0-7 1,-2-5 90,-3-2 0,-2-1-90,-3 2-90,-2 3-90,-3 5 0,-2 4-90,2 4-90,-3 5 90,4 1-270,1 2 180,4 2 0,3-3 0,5-1 90,3-3 0,1-4 180,1-3 180,-4-4-91,-5-2-179,-4 0 0,-5 2-90,-4 4-629,-1 4-900,0 4-990,4 5-90,6 2-1618,4-1 4227,5-1 0,-3-6 0,1-1 0</inkml:trace>
  <inkml:trace contextRef="#ctx0" brushRef="#br2" timeOffset="4285">99 76 8072,'-4'-13'4138,"0"0"-2609,1 2 990,-1 0-2070,-1 10-179,2 3 0,-1 9 0,3 2-90,0 2 90,0 3 0,1 14 179,5 46-449,-1-23-45,3 6 0,0 0-224,-1-10-676,3 5 1,-1 1-46,0-8-179,5 25-2429,-3-26 90,-2-13 3508,2 6 0,-2-15 0,1-1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9:00.587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6917E6"/>
      <inkml:brushProperty name="anchorY" value="-5.61769E6"/>
      <inkml:brushProperty name="scaleFactor" value="0.5"/>
    </inkml:brush>
  </inkml:definitions>
  <inkml:trace contextRef="#ctx0" brushRef="#br0">186 41 10411,'-11'-7'3148,"0"2"-2788,3 6 0,-1 4-270,1 3 90,2-1-90,0 3 0,1-2 89,2 2 91,-3 12 90,2 5-270,1 1 90,7 10-90,-1-22 0,12 18-90,-6-21 90,16 9-90,-12-15 0,13 0 90,-9-10 270,16-15-270,-15 4 269,9-18-179,-21 15 270,-2-22-360,-5 17 270,-26-38-270,9 37 0,-17-17 0,4 27-90,-12 7-180,7 2-810,-11 11-809,22 6-2069,2 5 3868,9 4 0,9-9 0,4-2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9:01.425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7548E6"/>
      <inkml:brushProperty name="anchorY" value="-5.63039E6"/>
      <inkml:brushProperty name="scaleFactor" value="0.5"/>
    </inkml:brush>
  </inkml:definitions>
  <inkml:trace contextRef="#ctx0" brushRef="#br0">0 0 6453,'0'0'0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9:01.967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865E6"/>
      <inkml:brushProperty name="anchorY" value="-5.64516E6"/>
      <inkml:brushProperty name="scaleFactor" value="0.5"/>
    </inkml:brush>
  </inkml:definitions>
  <inkml:trace contextRef="#ctx0" brushRef="#br0">32 6 8252,'-11'-2'404,"0"0"1,6 1 0,1 1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9:02.392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19671E6"/>
      <inkml:brushProperty name="anchorY" value="-5.65728E6"/>
      <inkml:brushProperty name="scaleFactor" value="0.5"/>
    </inkml:brush>
  </inkml:definitions>
  <inkml:trace contextRef="#ctx0" brushRef="#br0">1 1 9602,'0'0'0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09:03.122"/>
    </inkml:context>
    <inkml:brush xml:id="br0">
      <inkml:brushProperty name="width" value="0.17143" units="cm"/>
      <inkml:brushProperty name="height" value="0.17143" units="cm"/>
      <inkml:brushProperty name="color" value="#FF4E00"/>
      <inkml:brushProperty name="inkEffects" value="rainbow"/>
      <inkml:brushProperty name="anchorX" value="-3.21119E6"/>
      <inkml:brushProperty name="anchorY" value="-5.6719E6"/>
      <inkml:brushProperty name="scaleFactor" value="0.5"/>
    </inkml:brush>
  </inkml:definitions>
  <inkml:trace contextRef="#ctx0" brushRef="#br0">1 21 8252,'4'-10'7646,"1"0"-7016,-4 11-451,-3 9 1,-1 4-90,0 5 0,2-2 0,1 1 0,2 0 0,15 10-90,-6-18 0,26 3 0,-19-16 90,19-10-90,-16 2 810,25-23-451,-25 18 721,19-20-810,-29 25 179,3-4 1,-6 8-90,-1 5-270,-2 5 90,-2 19-90,-3-2-270,-1 20-270,0-16-989,-1 19-720,-1-6-719,1 11 89,0-11 2789,1 7 0,0-29 0,1 4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1:29.69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5 249 7892,'-3'0'7016,"2"3"-6836,2 9 0,2-1 0,2-1 0,-1-2 0,1 0 0,1-1-90,0 1 360,17 5-91,5-4-269,3 1 0,-2-7 90,8-7 90,29-12-180,-16 5 90,24-13 0,-48 14 449,33-14-449,-32 13 90,26-10-180,-35 15 450,23-5-450,-23 7 90,20-1-90,-23 5-90,10 1 90,3 3-1,13 2-89,-7-1 90,20-2-90,-28-4 0,28-2 90,-27-1 180,42-10-270,-37 8 180,33-9-180,-44 10 270,25-3-270,-25 6 0,13-3 90,-14 6 0,15 0-90,-10 1 90,24 2-90,-30-1 0,18 2 0,-20-2 0,22 2 0,-19-3 0,37 0 0,-32-2 0,29-5 0,-30 0 0,41-14 0,-33 9 0,41-14 0,-49 15 0,26-5 0,-31 11 0,15-3 0,-19 6 90,11 0-90,-4 3 0,15 2 0,-11-1 0,23 4 0,-25-5 0,14 2 0,-17-3 0,2 0 0,0-1 0,24-2 0,-16-1 0,44-7 0,-39 2 0,55-17 0,-54 12 90,26-8-90,-35 10-90,6-3 90,-9 4-90,0 0-540,-13 5-809,-1 1-630,1 0-7762,5 5 9770,-6 1 0,1 1 1,-7-1-1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1:37.26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15 245 8072,'-13'-2'6387,"11"2"-6207,8 4 89,6 0-89,1 3 0,-5-2 0,2 2 0,7 6 0,-1-2 180,28 12-180,-16-12 179,55 9-269,-40-16 0,16-3 0,3-3 0,1-6 0,21-6 0,1-2-90,-16 0 0,0 0 0,-4 0 90,-20 5 180,43-8 0,-33 9 90,22-2-181,-34 9 361,16 2-450,-27 2 270,40 4-360,-38-2 180,43 4-90,-43-4 0,47 1-90,-44-4 0,56-3 0,-50-1 0,10-2 0,0-1 0,-5 0 0,7-1 0,1-1 0,-8 0 0,7 0 0,1-1 0,-8 1 0,6-1 0,1 0 0,-8 2 0,6 0 0,0 1 0,-9 2 0,11 3 0,1 0 0,-10 3 0,10 2 0,1 1 90,-10 1 0,44 6-90,-46-6 0,13 1 0,2-1 0,-3 0-45,16-1 0,-1-1 45,-15-3 0,14-1 0,1 0 0,-7-2-45,9 0 0,-2-1 135,-9 1-135,4 0 0,0-1 135,-10 2-135,8-1 0,-1 1 135,-9 1-135,7 0 0,-2 0 135,-8 1-180,27 1 180,-22 1 0,41 0 0,-27-1-226,-14 0 0,-3 0 136,-9-2 90,13 0-90,-17-1 0,20-1 0,-14 1-180,49-6 180,-46 5-270,42-5 0,-52 5-1349,43-3 1259,-48 3-269,31-4-91,-36 2 1,8-2 359,-10 2-1078,14-7 899,-23 6-2609,18-11 719,-27 10 2429,4-6 0,-12 9 0,0 1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4.16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0 163 15358,'10'-10'4947,"0"0"-4047,4 2-630,-3 3 90,5 0 269,1 2-449,-4 1 360,31 1-450,-20 1 0,43 0-90,-38 0-450,47 1 270,-41-1-809,48-1 629,-47 0-720,38-3 631,-43 3-631,26-5 810,-36 4-269,19-5 359,-26 4 90,7-5 270,-12 2 270,-3-4 179,-4 1 91,-6-3 179,-4 3 1,-2-1-1,0 1 1,1 2-451,0 0-179,1 2-270,8 3 0,4 4 90,5 2-180,2 2 180,-2 1-180,6 4 0,-3 0 0,15 16 0,-14-11 90,9 14-89,-13-8-271,-6 13-90,-6-9-2248,-26 24 1528,8-25-1708,-23 22-6027,15-21 8905,2-3 0,11-9 0,11-9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4.77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284 82 9871,'-2'-12'3418,"-1"1"-2428,-1 3-1,-1 0-89,-2 0-91,-2 1 1440,-17-5-1619,8 6 719,-28-3-989,24 9 179,-18 3-269,23 2 90,-7 5-180,10 2 0,3 7-90,10 5 0,19 15-90,-1-9 0,23 19 90,-4-14-180,12 8 90,3-2 0,-1-3 0,-6-5 0,-7-1 180,-10-2 89,-9-1-3031,-9 0 3032,-7-6 90,-7-3 629,-27 12-719,-2-12-180,-26 9-270,-5-22-1169,-2-12 449,14-3-179,9-9-1440,18-3-179,6-4 2852,1-7-7350,13-1 7196,7 7 0,8-1 0,2 7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5.35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76 59 9691,'-11'-12'3688,"1"3"-2698,0-1-181,2 3-89,0-1 629,1 2 720,-1 0-900,1 7-629,2 8 449,3 14-449,4 4 0,2 6-180,0-1 179,5 19 1,7 30-360,-1-7-45,-2-13 0,0-1-45,0-1-45,-2-2 0,0-2-45,-3-12 0,3 29 0,-9-41 90,-5 11 0,-2-21-180,-7-6 90,3-18 0,-4-17-90,5 0 90,-4-27 0,6-6 0,1-22 0,7-3 0,5 1 0,6 6-90,16-6 90,-7 28 0,22-10-90,-7 32 0,30 2 90,-24 16 0,10 13 0,-20 18 0,-3 9-90,3 12 90,-11 4 90,-12-1-90,-10 0 180,-12-1-90,-12-3 0,1-12-360,-41 12 0,35-27-270,-28 8-1259,34-21-2338,-8-13 2967,9 2-179,-2-9 0,19 6 1349,3-11 0,1 13 0,2-6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6.34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55 11311,'9'-12'5846,"0"0"-4676,-1 7-721,5 1-89,-1 4 0,4 2-90,-3 2 0,1 1 269,12 11-359,-10-4 90,17 24-270,-21-17 90,9 28-90,-15-26 90,1 24-90,-7-29-450,-2 12-359,-2-16 359,-3-2 180,-1-11-90,1-10 90,2-2-179,2-20 359,4 13-180,4-30 270,0 27-90,12-25 90,-5 25 90,7-8 90,-4 15 0,-1 5 0,-1 7-91,-2 6 91,-1 4-180,0 8 90,-3 0-90,2 3 0,-2-3 0,2-3 0,1-4 0,3-3 0,-2-4 0,3-4 0,-6-2 270,5-8 0,-7 5 989,-1-17-629,-8 13-90,-3-7-271,-6 13 181,-4 6-270,1 5 90,-11 14-180,13-5-180,-12 16 0,16-11-2339,-3 32 1620,10-24-1530,10 41 1530,4-41-1440,30 26 1619,-17-33-269,27 5 359,-16-20 540,12-6 180,-12-4 1259,25-23-899,-35 13 1259,24-27-1169,-37 27-91,3-11 541,-9 7 449,-3-6-1080,-1 6 721,-8-9-541,1 19 1,-7-4-360,0 13 90,-5 5-180,3 3-90,1 5 0,0 12-1,6-7-178,-2 16-1,10-10-180,4 5 90,5-5 0,4-6 90,3-9 0,9-16 360,-8-4-180,2-6 90,-11 2 809,-2-6-629,-3 9 809,4-15-1259,-6 15-1439,3 7 270,-2 10-180,0 8 449,0 2-2428,4 8 2159,-1-8-2519,15 14 1709,-9-19-719,9 3 1940,-8-10 0,-6-1 0,-1-1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6.79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2 618 8972,'31'-20'2069,"-4"1"-1350,-10 5 1,-3-1 89,-2 0 91,-3-1-1,-1 1 990,0-5-1079,-3 5 1798,0-9-1079,-4 7 1,-2-2-361,-3 5 360,-12 14-1169,5 4 359,-31 44-629,25-20 0,-15 25 0,21-15-360,8 10 91,2-7-631,13 9 450,0-29-1709,35 10 1800,-24-23-181,37-14 360,-40-9 90,11-16 90,-12-10 360,-1-12 179,-1-23 91,-8-8 89,-8-4 271,-5 1-541,-2 22 811,-8-30-1350,8 58 0,-6-29 0,8 52 0,3 8 0,1 8 0,3 13 0,2 16 0,5 53 0,-3-25 0,0 7 0,0-1 0,-1-14 0,3 4 0,1-1-2519,2-9-3058,17 31 3149,-11-48-7403,14 10 9545,-14-23 0,0-2 1,-11-9-1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8.89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196 516 8342,'-1'-8'5307,"-3"-1"-3688,-5 1-899,0 2 449,-9 2-629,6 3-180,-6 1-1,3 4 271,-14 13-450,10-2 90,-17 29-180,24-20 0,-1 27 0,15-16 0,14 20-90,-2-19 0,26 16 0,-20-35 90,21 6-180,-16-21 90,12-12 90,-15-2 179,2-25-179,-19 16 90,-11-44-180,-4 30 45,-8-15 0,-2-1-135,0 5 90,-2-10 0,1 0 0,5 9 0,-8-43 0,17 51 0,3-43 0,6 48 90,10-33-90,-4 48 180,11-9-90,-8 23 90,5 1 180,8 19-180,-8-2 539,22 46-539,-21-23 270,15 55-270,-15-7 0,-5 1 0,0 8-90,-3-7 0,-2-1-447,1 1 0,-2-2 357,-1-12 0,0-4 0,1-16 0,1-3-90,3 30 90,3 5-90,-5-43-540,8 30-899,2 4 1259,-2-12-179,-3-14 449,-11-53-180,-1-13 180,-3-11 713,-2-11-623,-3-17 315,-3 6 0,0-1-225,-5-22 0,0 16 0,0 5-91,3 14 181,-12-39-270,14 44-719,-2-27 89,12 40-1259,5-12-809,8 6 2698,33-18 0,-13 18 0,21-4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59.4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420 596 9422,'-3'-9'3688,"-2"0"-2699,-3 0 90,-3 0-89,-4-2-181,-3 1 1,-2-1-181,-3 2-89,0 0 630,-1 2-901,-18 1 271,-3 9-450,1 1 90,-8 23-90,26 2 0,-8 18-90,18-10 90,5 21 0,11-20-90,5 16 0,11-21 0,7-10 90,-2-11 0,22-18 0,-18-4 269,34-36-179,-33 15 0,2-16 0,-3-3-90,-8 1 315,-1-13 0,-2-1-3438,-7 8 3393,1-30 270,-9 22 1259,-5-27-990,0 18-359,-3-6-180,4 47-360,1 11 0,1 17 0,1 7 3392,1 13-3392,3 75 0,0-42 0,-1 16 0,2 0 0,0-12-540,2 16-1439,3-4 720,0-18-1620,7 3 1,2-1 1709,2-7-1170,26 29 1260,-22-56-1890,30-3 1080,-21-13 1889,33-9 0,-31-2 0,12-6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0.0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161 611 6750,'20'-19'2339,"-1"1"-147,-4 1-1382,-2 1 607,-3 0 292,0-5-629,-5 6 269,-1-9 141,-6 11 39,-10-10-1079,3 13-90,-8-4 809,-8 11-899,6 3-90,-9 4 0,10 5 0,0 3 89,-20 29-269,18-17 0,-18 38 0,30-38-269,3 23-1,9-30-90,9 11-180,4-16 180,16-4 271,-9-7-1,23-16 90,-24 2 359,25-25-89,-30 18 450,12-18 89,-19 14 91,1-4 449,-6 1-449,-4 9-721,-2 9-89,-1 14 90,0 6-180,1 4 90,4 14-90,0-10-180,7 21-90,-3-21-539,19 16 449,-12-19-629,29 8 629,-23-19-180,33-11 450,-30-3-180,34-33 270,-27 2 90,14-46 0,-25 28 360,-9 3 0,-5 0-90,-5 4 359,-5-42 91,-6 42-181,-5-5-359,3 19 360,-4 6-450,5 22 90,-6 10-270,8 9 0,0 33 0,8-17 0,6 47-450,1-36-2159,12 53 1170,-9-51-3418,10 43 3148,-12-51-8122,7 29 9680,-10-40 0,1 4 1,-4-19-1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1.31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52 491 9871,'-9'-9'3958,"0"2"-3148,1 0-1,0 0-269,1 1 269,1 0-269,1-2-360,5-1 0,2 1-180,13 0-180,1 4-450,31-2 540,-16 4-359,47 1 449,-42 2-90,29 1 90,-38-1 90,4-1 809,-4-1 181,-11-1 539,7-3 90,-24-8-990,1 5 1710,-25-9-2069,13 12 629,-20-1-809,18 7 0,-5 5-180,9 3 0,1 7 0,5-4-540,3 26 180,2-19-719,11 28 719,-4-31 90,7 9-89,-4-16 179,0-2-90,1-2 180,0-3 0,0-2-90,18-16 270,-15 6 360,18-23-180,-25 19 449,4-19-179,-9 20-90,1-11 629,-3 12-989,-6 6 0,2 5 0,-3 9 90,2 7-180,2-3 90,0 15-180,2-12 90,2 7-450,8-3-360,2-6 361,3 2-631,11-11 810,-12-5-179,15-8 269,-10-6 0,4-9 270,-7 2 0,-4-2 539,-1-7 901,-7-11-991,2 8-269,-8-3 360,-2 27-360,-1 6-180,4 9 89,-1 7-89,5 2-90,3 5 0,-1-4 0,10 19 0,-5-17-180,17 19 91,-12-22-181,21 6 180,-18-14-180,24-5 270,-22-5-90,22-12 90,-25 6 270,13-13-180,-21 14 90,7-11-90,-10 11-90,3-2 0,-2 10 0,1 4 0,-1 4 0,-2 1 0,1 1-90,3 7-90,-1 3 0,0 6 180,-3-5 0,-6 9-90,-2-15-270,-8 16-180,4-18 1,-7 2 359,7-14 90,5-4 0,8-6 0,2 3 90,3 1 0,-1 2 0,1-1 0,8-1 0,9-2 0,44-10 0,-25 6 0,24-6 0,-25 3 90,19-12 0,-19 5 0,18-24 0,-46 23 90,7-36-90,-20 30 629,-5-43-359,-5 40 719,-13-42-809,10 48-3212,-9-19 3212,11 34 90,-7-2-360,5 14 0,-2 7 0,5 7 0,3 15 0,2-7 0,8 38 0,-2-24 0,10 37 0,2-8-1260,7 10-808,-4-15 3121,-1-14-3302,-10-27 360,0-2 1889,3 4 0,-7-11 0,2 2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1.47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14 84 10321,'-7'-8'6746,"1"-1"-5936,7-1-91,2 1-179,9 1-90,2 2-90,4-1-91,4 1-538,17-1-3779,34 1 810,-19 1 3238,27 2 0,-47 4 0,7-1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6.16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214 175 8072,'-2'-9'2879,"0"-1"-1980,-1 1-179,0 0-1,-1-1-89,-1 1 1133,-8-6-1223,4 6 539,-15-7-449,7 13-90,-15 8-360,13 4 90,-15 29-270,21-16 90,-13 34-90,20-31 0,5 33-90,7-34-145,15 23-484,5-19-181,14 4-269,6-7 90,5-8 269,-2-8 270,1-9 181,-3-8 269,12-15 269,-24 6 91,4-8 360,-26 11 90,-3-3-1,-2 2 1,-7-6-450,-3 9 359,-8-9-269,0 11-270,-6-1 0,0 9 0,-3 9-90,6 1 0,-5 15 0,12-10-90,-3 11 0,7-12 0,2 7 0,3-7-90,7 3 180,0-8 0,4-3 90,-3-8-90,0-2 180,-2 0 360,-3 0 359,0-2-89,-2 1-720,4 4-90,0 3 0,3 5 0,2 2 0,-3-2 0,7-3-90,-7-2 90,4-2 0,1-5 0,-3 0 0,3-4 90,-5 0-90,0-2 0,6-18 90,-7 10 269,4-44-269,-11 37 360,-5-41-360,-2 45 270,-9-23-270,7 30 0,-7-10 0,7 19 0,-9-1-90,8 9 0,-10 13 0,11-1 0,-5 29 0,7-18-90,0 37 0,5-30 0,3 16-180,6-11-90,5-2-180,8 5-269,13-7 539,-11-14-629,29-10 719,-31-9-180,30-11 360,-34 4-90,13-8 90,-19 8-90,2-6 0,-8 7-180,1-6-180,-5 4-989,-1-1-1709,-4 0 3148,-1 4 0,2 3 0,-1 2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7.16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239 46 9332,'-98'-3'9624,"16"-1"-9174,67 3-90,2 0 89,1-1 1,-1-1-360,9-4-90,3 1 90,9-1-90,4 3 90,4 1-90,1 0 0,3 1 0,19 3 90,-5 2-90,14 4 0,-20 0 90,4 7 0,-19-5 180,7 13-180,-16-10 449,-6 21-359,-3-15 180,-14 30-270,4-14-90,-7 17 0,8-17 0,-2 13-90,9-25-90,-5 21 90,7-24 0,-1 3 90,2-6 720,0-1 89,-1-4-629,1-5-90,3-9-180,5-7-269,2 3-181,4 0-360,-1 1-1168,9-1-631,7 0-2158,10 0-540,-4 3 5397,0 3 0,-19 1 0,-1 1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7.8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167 79 7713,'-5'-8'2878,"-1"0"-1979,1 0-89,-1 1 0,-1 0-1,1 0-89,-1 0 1528,-12-5-1348,7 6-450,-12-2 89,11 9-269,-1 2 180,-1 7-180,7 0 179,-5 24-359,8-12 90,3 43-90,6-31-90,11 34-180,4-24-179,10 6-1,-3-15-2249,33-1 1710,-29-23-2249,46 1 1888,-47-14 1260,35-13 0,-46 10 0,11-6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8.32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63 101 8072,'-6'-7'3418,"0"0"-2518,0 0-1,2-1 900,0 0-269,2-4-901,2-1-89,1 0 359,2 2-179,4 3-360,3 4-90,0 1-91,0 6 1,-2 4 270,5 16-360,-2 6 180,3 53-270,-10-35 0,-6 7 0,-4-3 90,-3-18 0,-8 24 270,2-32 359,-6-1-539,5-5 989,-7-2-629,14-16-360,2-4-90,7-3 0,12-6-180,-1 4-540,16-6-89,-6 4-1350,25-10-270,1 2-539,20-6-1350,5 2 4228,2 2 0,-15 5 0,-4 3 0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8.66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 12 7892,'-5'-8'-719,"-2"4"719,4 6 0,-1 0 0,4 3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8.79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70 1 9602,'-11'5'179,"2"-2"-808,-2 1-541,2-3 361,-1 1 809,0-1 0,5 0 0,0 0 0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9.17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1 115 17517,'5'-8'4587,"2"0"-3867,4 3-180,0 0-91,2 0-89,-2 1-90,2 1 0,2-2-180,1 0 0,14-3-2429,27-6 270,-5 3-179,17-4 808,-33 9-4136,10 0 5576,-17 3 0,-1 0 0,-15 2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09.79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 24 9691,'-3'-12'9830,"0"0"-8506,1 13-784,2 1-360,1 17 90,1-5-181,1 7 1,0-5-269,0 2-91,1 1-900,4 18 451,-3-12-1980,7 31-1888,-5-5 2428,0-8 2159,-4 5 0,-3-38 0,-2 2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0.09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61 193 8342,'-11'-13'2699,"1"-1"-1890,1 3 1,2 0-1,1 1-89,0 1 809,1 0-90,0-1 0,4 1-809,4-1 0,3 4-1,4 1-179,1 3 0,2 0 539,12 0-539,-4 0 270,42-6-541,-26 4-89,26-3-269,-10 0-631,16-3 270,-13 2-1439,21-3 1170,-50 7-1080,18-2-450,-24 4-5756,7 2 8095,-10 2 0,-4 1 0,-9-1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0.36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63 68 9242,'-5'-9'8185,"-1"-1"-7375,-2-2-91,1 3-179,0 1-90,1 3-1350,-1-2-8931,0 1 9320,1 6 1,3-2-1,2 7 1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0.51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65 1 9512,'-5'8'4137,"-1"0"-3327,0 0-91,0-1-179,-1 0-180,1-1-270,0 0-1439,-2 0 1349,1 0 0,2-2 0,2-1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5.24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 51 8072,'-2'-13'6387,"1"0"-4588,-1 1 1349,2 0-2878,1 11 90,0 2-181,2 12 1,0-1 0,-1 1 0,2 2-90,0 1 180,7 15-270,1-5 90,8 9-90,0-14 0,8-7 0,-9-8 90,11-7-90,-9-9 180,4-7 269,-3-4 991,-3-8-901,-7 10 1080,-1-5-719,-5 12 449,-1-2-1259,2 9 0,-3 4-90,1 8-360,-1 8-179,-1-2-91,1 4-1439,1 4-2248,3 10 2877,-2-5-1708,5 13 90,-5-21 3058,5 10 0,-7-18 0,1 2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5.70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35 200 8792,'0'-11'6296,"0"-4"-4047,-1 2-360,-1-2 0,0 3 1529,0 2-2968,7 6-90,-2 2-1,7 6-89,-3 3-90,2 2-90,1 1 270,12 16-270,-6-8 0,18 23 0,-19-22 179,15 21 1,-17-20-180,5 8 0,-11-12-360,-5 7-179,-5-13-1710,-15 12-450,-1-13 271,-12 1 1078,8-7-2338,-13-9 2519,18 0-1529,-18-16 2068,23 11-270,-7-20 900,14 18 1080,1-18-541,5 18 1350,3-16-630,2 11-179,4-9-721,-2 9 361,13-14-990,2 8-899,13-13-1080,4 6-4767,4 2 6926,-5 7 0,-1 3 0,-8 6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6.34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27 9062,'5'-9'7915,"-1"2"-2428,1-3-4587,-1 12-91,-2 1-179,0 10-90,-1-2-181,1 2 1,-1 2-90,2 0 90,13 33-450,-7-25-720,23 34 540,-18-43-449,21 8 539,-19-17-90,23-8 270,-22-3 270,15-11 360,-16 0 359,3-3-449,-7 4 1349,0-5-1889,-6 9 0,1-3 0,-3 13 0,-1 8 0,-1 5 0,0 5 0,-2-2-3868,1 19 1889,0-10-3418,4 33 3418,-2-31 1979,10 26 0,-9-38 0,4 7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6.62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73 9422,'3'-12'5666,"0"0"-3597,0 0 450,-1 0-360,1-2-1260,4 6-539,1 5-90,2 5 0,0 5 89,-1 0-89,1 2-90,0 1 90,1 2-180,0 2 270,11 17-360,-10-11 180,14 27-180,-18-28-270,5 19-90,-11-23-2608,-9 15 1978,0-21-2428,-21 8 2069,12-15-3958,-26-3 1799,22-3 3508,-10-4 0,21 5 0,2-1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6.75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1 201 9152,'7'-13'3778,"0"1"-2969,0 0 1,0 0-271,2 0 1,0-1-180,1 1 0,0-1-270,2 1-1170,0-1 91,15-8-2519,-3 4 3508,14-5 0,-20 12 0,-4 4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7.41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8 10861,'3'-8'9830,"1"8"-7337,0 5-2043,0 6-181,0 2 1,0-2 0,0 0-90,4 8-540,9 7 180,-2-4-539,28 7 539,-24-21 0,34-3 90,-31-10 90,24-15 90,-28 7 809,17-19-449,-24 17 1439,9-15-720,-14 18 91,2-6-1260,-6 18 0,-2 1 0,-2 12 0,0 0 0,-2 2-1799,-2 20 449,2-11-2427,-3 21 538,7-17 3239,10 15 0,-7-23 0,7 2 0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7.86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31 280 8702,'2'-11'6566,"0"-1"-4317,-1 0 449,0 1-179,0-2-2069,4 7-90,0 3-91,4 6 1,-1 3-90,1 0 0,0 2-90,-1 1 0,2 2 90,7 12-90,-4-2-90,6 16 180,-11-16 0,0 6-90,-6-12-360,-2 2-450,-4-4-539,-6-5 449,-5-4-809,-5-5-90,-3-4-180,-2-3-809,-1-10 1349,6-3 899,5 0-270,7-5 540,6 5 720,2-6 629,4 2 360,2 2-629,0 6 1708,4-3-1258,-1 7-271,4-6-449,3 6-540,3-2-900,8-1-809,7-3-810,13-4-2158,10-3 3739,9 1 0,-10 4 0,-3 3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8.71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29 8612,'6'-6'5217,"1"-1"-2788,1 0 989,0 1-1439,3 4-810,-2 5-180,-1 4-179,-3 5-90,-1-1-181,-1 3-89,1-1 359,4 16-269,9 6-630,-3-4-90,11 0 0,-4-22 90,0-1-89,1-6 89,1-5 90,-4-2-90,17-11 180,-18 5 0,8-7 629,-11 4 271,4-6-990,-5 5 0,2-1 0,-10 14 0,-3 7 0,-1 9 0,-2 0-1170,0 3-359,0-4-450,2 1-1978,1 9-91,5 2 4048,8 13 0,-8-18 0,4-1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9.02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78 109 9242,'1'-14'4677,"-1"1"-3328,0 0-89,-1 1-91,0 1 720,-1 1-630,0-3 630,1 2-810,3 1-719,5 8 0,3 5 0,1 5-90,-1 1 269,6 8 271,16 28-720,-12-16 0,12 23 0,-25-36 0,1 8-90,-7-3-360,-8-1-90,-1-5-1079,-13-8 360,7-8-1620,-16-3 1620,9-2-5397,-34-22 4317,33 12-1169,-18-17 3418,35 17 0,2 7 0,2 2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19.12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0 152 8432,'13'-11'2968,"-1"1"-2338,0 0-90,0 1-90,1-1-181,-1 1 1,1 0-270,0 0-180,1 0-6026,19-12 6206,-11 9 0,17-10 0,-16 12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1.52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94 7 11670,'8'-3'8276,"-7"1"-8186,-6 0 89,-4 2-89,-3 5 0,3-1 0,-1 2 90,-4 5 90,-3 8-180,3-4 0,3 14 0,10-15 0,14 18-90,-2-17 90,33 24-90,-24-23 0,22 17 0,-27-22 180,12 12 359,-12-8 271,5 7-90,-11-9-91,-5 6-449,-5-10 360,-11 12-450,-2-10-450,-12 4-989,-1-8-900,-2-3 1080,6-3-2969,-7-10 2519,16 2 1619,-8-22 0,16 20 0,0-11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1.9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0 131 9691,'11'-16'6117,"0"2"-5577,-3 9-181,1 0 1,3-1-180,3 0 90,1-1 180,17-4-270,-12 5 0,18-3-1,-22 8 271,14 5-360,-15 0 540,13 14-450,-17-5 269,10 23-359,-14-15 90,10 33-90,-9-27-90,11 35 0,-9-35-270,16 24 180,-13-33-89,22 8 179,-18-21 269,28-11 1,-24-4 1169,24-29-899,-28 15 719,5-37-989,-20 30 360,-16-42-450,-10 29-90,-18-16-90,-1 25-270,-1 13-989,2 16-4678,-4 28 2159,21-4 3778,2 27 0,24-19 0,5 11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2.4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25 103 8792,'-4'-12'3058,"0"1"-2158,1 1-1,0-1 1,1 0-91,-1 1 990,2 1-450,-2-4 2519,2 1-3058,1 9-271,1 4 1,3 12-180,-2 0 0,1 4 89,1 2-269,4 13 0,0-6-90,8 17-629,10 1 269,-7-13-360,16 6 450,-22-31-90,16-4 180,-17-7 90,6-5 0,-10 0 90,0-2 180,0-6 270,-1-1-180,0 0 359,-4-3-539,-5 13-180,-1 1 0,-3 10-630,-1 11-89,3-3-3689,-1 19 2519,4-12 1889,9 27 0,-5-31 0,7 12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2.76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166 77 9152,'-1'-11'4497,"-1"1"-3417,-1 0-1,-1 2 0,-1-1 900,-3 0-1259,2 1 1888,-4-3-2428,8 11 90,-1-1-180,8 9 180,6 6-270,-2-2 270,18 25-270,-14-17 90,14 28-90,-19-29 90,3 13 0,-8-18 0,-4 9-90,-1-12 0,-11 6-180,-1-13-810,-10-2 1,3-5-3329,-25-13 2879,24 6-7106,-31-20 8545,37 16 0,-3-3 0,15 11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2.90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0 149 9512,'44'-30'9714,"-6"4"-9354,-27 18-90,1-1-360,6-4-450,-4 4-2428,15-9 1349,-15 10-5847,13-6 7466,-14 8 0,-1 1 0,-7 3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4.01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 35 9242,'-2'-9'5037,"1"-1"-2788,0 0-1440,5 5-449,1 6 0,3 5-1,0 6-179,-2 1 90,0 1 180,3 12-90,1 18-270,-2-8 0,-1 31-180,-5-37-1260,-2 36-269,-1-28-539,-1 14 898,0-23 1260,3 6 0,-1-24 0,2 7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5.09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6 13020,'4'3'7465,"-2"-1"-7195,4 12-180,-2-3 90,1 1-90,1 0 0,0 2 0,6 5-180,7 5 0,-2-6-180,17 1 180,-18-16-90,17-4 180,-3-15 360,0-5-90,-3-2 1709,-4-6-1170,-14 14 1350,6-11-720,-10 14-359,1-1-1080,-2 13 0,-2 9 0,-2 7 0,-1 4 0,0 8-990,0 4-1618,1 12-1080,3 0 630,3-2-540,3-4-3958,4-9 7556,-2-8 0,-3-11 0,-5-6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5.44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28 282 9062,'2'-11'6116,"1"0"-3867,-1-1 4047,0 2-5846,0 6-90,0 5-90,1 10-90,0 0-90,0 2 0,0 0-270,0 1-900,8 15 541,-3-11-811,16 18 991,-11-25-91,22 2 360,-17-14 360,24-20 0,-23 5 1349,18-36-990,-25 24 1170,2-42-1349,-14 37 539,-13-38-809,2 42 180,-25-23-270,17 37-989,-29-1 89,24 18-3777,-31 23 1259,27 3-2159,-9 19 0,23-14 5487,10-1 0,4-20 0,2-3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6.46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33 9512,'-1'-10'3598,"1"0"-360,1-1-2699,2 9 1,0 2 0,2 9-91,-2 2 1,0 2-90,1 3 270,0 12-91,5 21-449,-1-10 180,11 28-270,-8-41 90,21 21-90,-8-31-90,14-1 90,-10-14 0,18-19 0,-22 2 180,27-31-90,-31 23 989,14-30 91,-21 26-1,2-10-719,-8 18 1349,-1 0-1439,-5 24-271,1-5 1,-4 19-90,1-4 0,1 2-719,-1 11-1,1-5-3058,1 28 2429,-1-24-3058,6 32 2608,-2-35 1799,8 20 0,-7-31 0,3 3 0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6.80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81 71 8612,'1'-11'4498,"0"-1"-2969,0-1 360,-1 1 269,0-3-1978,4 9 0,-1 4 0,4 8 0,-3 2-90,0 1 0,0 1 0,0 1 0,0 1 0,1 8 0,3 10-90,-2-5 90,4 17-90,-6-25 0,3 16 90,-4-19 359,2 13 1,-3-11-90,-1 6-90,-3-8-90,-4-2-180,-4-3-360,-5-3-720,-2-3-629,-4-3-539,-1-3-451,-1-4-809,3-6 3508,3-5 0,7 8 0,5-1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6.97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1 259 10411,'1'-17'4048,"2"3"-3239,0 1 1,1 4-91,2-1-89,1-2-180,3 0 359,9-8-359,6-2-270,11-6-270,-5 8-270,-1 2-179,-8 8-1,0 0-180,-2 2-1888,16-3 539,-8 4 2069,18-3 0,-28 6 0,1 1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9.60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12 12 8702,'-10'-1'9830,"9"2"-8866,9-2-874,5 1-270,7-1-180,-6 0-180,2-1-89,1 1-1080,10-1-450,3 0-1349,8 1 3508,-3 1 0,-16 0 0,-6 0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29.79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11 1 10141,'-10'1'5667,"19"-1"-6027,-5 0-269,17 0-181,-9 0-179,2 1-181,0 0-809,1 1-719,0 0 2698,0 0 0,-7 0 0,-1-1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31.12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112 211 10591,'-1'-15'6566,"-1"3"-5217,-3 4-809,-2 7 0,-1 3 0,1 6-91,1 0-89,0 2-90,-1 2 0,0 1 449,-5 18-359,-3 11-270,2-5-180,2 4 90,9-27 0,-1 5-90,4-9 180,4-5-90,-1-7 90,11-26 90,-2-7 270,8-24-180,-5 13 629,6-23-629,-11 35 1439,10-36-1439,-14 46 539,5-16 181,-8 27-810,2 6-180,0 10 0,3 11 0,-2 2 0,2 2 0,-3-4-1260,10 15-629,-2-4-629,8 14-181,-5-9 181,-1 0 1079,-5-9-2609,3 6-1079,-9-16 5127,4 8 0,-7-14 0,-1 0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32.00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78 177 8252,'-15'-2'3148,"1"0"-2338,1 0 0,2 0 449,0 1 810,0-2-1799,9-2-270,1 0 0,11-1-180,1 3-180,2 0-630,11-2-359,5-1 180,9-1 359,0-1 361,5-3 538,-16 4 991,12-6-540,-25 7 1169,9-4-810,-12 4 900,2 0-1079,-1 5-451,-4 5 91,-1 3 90,0 8-360,-3-5 270,6 16-270,-4-12 0,6 13-90,-4-10 90,3 3-90,-3-7 0,6-2 0,-6-10 0,10-5 90,-3-14-90,-2 1 0,2-7 90,1-8-90,-7 15-90,10-21 0,-14 27 90,6-7-630,-5 12-270,4 4 361,-1 5 89,-1 4-90,3 6 91,3-1 179,1 1-180,15 1 360,-14-7 180,20 0 90,-22-7 719,16-6 1,-16-4-91,5-6-179,-8-2 539,-6-4-899,-6 5 0,-12 0-180,-1 13-90,-3 4 0,6 5-90,2 6-270,3 1-89,1 6-1,6-3 90,3-2 0,3-2 270,2-3 0,1-4 270,2-5 180,0-3 90,0-2 0,-1 0-1,0 2-179,-4 3-180,2 6 0,-4 2 90,2 14-180,-4-7 90,4 24 0,-4-19-90,0 26 0,-3-25 360,-3 17 179,-2-17 1,-4 4-90,2-10-180,-4-3-91,3-10-358,-1-11-271,4-1-1709,5-26 270,9 4-629,6-15-451,2 8-3417,1 4 6386,-5 12 0,-4 9 0,-5 9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34.64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21 8252,'4'-10'6477,"0"0"-5938,-1 11-89,0 2 90,0 9-1,0 3 1,0 2 450,4 21-541,-2-5 990,13 61-1079,-6-35 45,2 17 0,1 3-225,-1-1 44,0 15 1,0 2-135,-3-9 45,1 13 0,-1 0-135,-2-12-90,-1 3 0,-1-2-180,-2-17-450,-1-1 1,-1 1-720,-2-2-450,-1 26 810,-2-44-7826,-4 10 8905,3-37 0,-2 8 0,3-26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38.22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122 45 8612,'4'-11'5667,"0"-1"-3418,1 1 1438,-1 0-3057,0 12 0,-2 3-1,-1 11 181,0 3-90,0 7 449,0 27-540,-2 16 1,-1 6-540,2-25 0,-2 3-518,0 19 0,-2 11 1,0-12 247,-3 18 0,2-21 0,-2 2-900,0-7 1,0-2-630,-1-4 0,0 0 1124,1 2 1,-2 0-2122,-1 2 1,0-7-84,2-9 2789,-10 30 0,8-46 0,-3 5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5:40.89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 13 8702,'-8'-4'5217,"3"8"-4677,1 5-91,4 7 91,1 2-180,2 4 0,1 4 0,2 5 269,5 22-134,11 15 0,3 5-226,3 14-89,1-8 0,1-3 90,3-7 0,11 15-270,-11-24 180,14 10-90,-28-46 0,14 15 0,-19-26 90,7 2 0,-3-13 359,3-14-449,-6-2 180,0-27-90,-9-9-90,0-46 0,-4 22-157,-2 16 1,0 2 66,-2 0 45,-1 0 0,0-1 45,-3-17-46,2 23 1,0 2 45,-1-7-90,-1 14 0,3 19 90,-1-3-180,1 8-6116,-3-14 4677,6 29-5397,0 1 6981,5 21 1,1 8 0,-1-2 0</inkml:trace>
  <inkml:trace contextRef="#ctx0" brushRef="#br0" timeOffset="501">992 792 9871,'5'-43'6926,"-2"7"-6566,-7 21 0,-1 0 90,-1-2 89,-5-6-269,2 4 0,-4-3 0,3 7 0,-1 1 0,-6-3-180,4 6 0,-5-1 89,1 7-179,4 3 90,-4 3 0,1 7-90,-1 8 90,-3 17-90,8-6 0,4 16 0,8-22 90,12 20-90,4-15 0,10 7 0,-6-18 0,13-6 180,-9-12 180,9-8 360,-7-9 179,-1-10 180,-5-4 91,-2-3 89,-5 3-180,-3 4-89,-3 6-630,-2 6-360,3 17-90,-4 2-450,5 14-270,-4-2-449,2 1-2519,7 11 90,4 5-1619,7 9-719,-4-7 6026,0-4 0,-5-8 0,-1-1 0</inkml:trace>
  <inkml:trace contextRef="#ctx0" brushRef="#br0" timeOffset="1002">1372 591 9422,'-5'-20'4497,"-2"0"-3328,1 2-89,-1 2-91,1 1-89,0 2-181,1 1 1710,-1-2-1350,4 3-539,7 3-90,4 5-90,8 7-91,0 3 1,6 4-90,3 3 0,3 2 0,1 3 0,13 11-90,-2 7 0,-1 1-90,-8 1 0,-14-13 0,-1 8-90,-6-10-180,0 9 90,-9-12 0,-6 1 90,-7-9 0,-7-8 0,1-8 90,-15-21-90,14 6-90,-19-35 1,24 26-991,-7-32 271,19 24 89,7-12 360,5 18-899,21-9 899,-11 20-359,28-13 719,-26 21-270,25-6 360,-30 12 1259,22 7-629,-28 2 1439,12 15-1350,-18-8 2789,2 27-2878,-7-21 90,1 23-361,-2-22-1078,2 30-271,0-26-719,1 19-2068,1-18-2070,0-1 5847,3 5 0,-3-13 0,-1-5 0</inkml:trace>
  <inkml:trace contextRef="#ctx0" brushRef="#br0" timeOffset="1166">1851 304 8972,'-12'-25'3778,"-1"1"-3149,0 4-179,0 3-270,1 2-90,2 2-180,0 3-720,1 2-899,-1 3-179,3 6-541,0 3 2429,4 7 0,3-6 0,0 1 0</inkml:trace>
  <inkml:trace contextRef="#ctx0" brushRef="#br0" timeOffset="1571">2147 526 11311,'9'-2'8635,"-5"-2"-7736,-4-2-89,-5-2 179,-1 2-89,0 0-181,-2 1-179,-1 1 269,-5 0-449,3 3-180,-4 3 180,-3 7-270,3 2 90,-15 23-270,14-11-450,-8 32 180,18-30-449,4 21 269,8-27-989,15 14 1169,-7-18-539,33 1 809,-29-16 360,21-10-91,-28-2 541,7-12-180,-8 8 1798,8-25-1798,-10 22-180,5-13 90,-9 21 179,0 1 1,3 0-180,-1 3-450,5 13 0,-2 5-180,0 9-720,-3-1-4946,5 12 3777,-3-11 2069,20 31 0,-20-37 0,11 11 0</inkml:trace>
  <inkml:trace contextRef="#ctx0" brushRef="#br0" timeOffset="1954">2480 575 8702,'-8'-15'4767,"-1"1"-3507,1 1-181,-1 2-90,2 0 900,-2-2-989,3 3 3148,-2-6-3239,10 10-269,0 0 89,7 7-89,0 5-90,1 2 0,1 2-91,1 4 361,11 20-540,-8-11 90,15 32-270,-19-31-90,9 23 0,-13-29-270,5 9 90,-6-17 180,0-5 0,-2-11 90,-2-11 0,0-1 0,-1-11 0,1 10 0,3-25 90,-3 23 180,3-16 90,0 24-270,3 4-90,2 10-360,2 10-270,-5 2-3507,4 18 2068,-6-13 270,3 12-270,-2-12 2069,7 12 0,-8-17 0,5 7 0</inkml:trace>
  <inkml:trace contextRef="#ctx0" brushRef="#br0" timeOffset="2385">3193 457 9602,'5'-16'5217,"-2"2"-3868,-1 0-270,-2 2 1,0 0-181,-2 1 90,-1 1 541,-5-2 1258,-13 6-2338,5 2-90,-9 9 269,7 13-359,4-1-90,-2 10-90,6-4 0,5 34-90,6-23-540,31 51 360,-9-57-180,33 21 91,-27-38-1,23 0-180,6-14 270,-9-2 90,15-14 0,-20-15 90,-9 5 360,5-34 0,-28 31 1799,3-44-1530,-12 48-89,-2-18-90,-6 28-450,0 7 0,-9 2 0,2 15 0,-5 11 0,4 13 0,5 10 0,8 8 0,9 7 0,9 1-3418,6-4-1530,6-8-1168,2-12 6116,3-11 0,-14-10 0,-5-7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2.89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142 42 9602,'-2'-14'6206,"-2"1"-4497,-4 5-989,-3 3-4162,0 3 4071,-1 4 860,2 1-589,-4 3 179,-5 7-719,5-3 180,-5 16-270,11-5 3212,0 13-3662,7 1-900,4 5 91,2-6-2429,13 17 360,1-19 3058,17 15 0,-19-29 0,1-3 0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3.47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19 186 9332,'-2'-9'4857,"-1"-1"-3058,-1-1-630,0 1 90,0-2-809,3 2-270,4 5-90,8 3 0,1 5 0,2 2-90,-2 2 90,8 4-90,3 5-90,5 5 0,-5-2-180,6 8 90,-12-9 90,4 8 90,-12-12 0,-6 6 0,-8-9 0,-18 6 0,7-11 0,-16-6 0,17-6-90,-11-18 90,13 7-90,-6-36 90,16 28 0,5-33 0,4 37 90,9-14 0,-6 22 180,16-5-180,-12 12 90,15 2-90,-16 9 90,14 15-180,-11-6 90,21 28-90,-20-20 90,16 19-180,-10-17 0,11 6 90,-11-14 90,13-4-90,-20-13 90,14-8 270,-10-6-1,3-10 1,-4-7-90,-5-4-180,-7-3 90,-6 0-270,-8 4-180,-7 7-629,-5 10-2160,-9 11 1530,9 7 1529,-9 13 0,21-8 0,-3 4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3.70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46 22 9152,'4'-10'9830,"0"-1"-7787,-5 11-1593,1 1-90,-6 14 89,2 3-269,-1 5-180,1 4-270,-2 4-1439,-2 37 810,3-22-2789,-3 51 2159,6-56-5667,-1 27 7196,2-38 0,1-6 0,0-14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3.95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15 73 9152,'1'-16'4137,"0"2"-3327,1 2 89,0 1 1080,2 3-180,3-1-989,4 7-181,-1 1 271,4 7-540,3 10 0,-2 1-91,6 10 1,-6-2-90,-1 4-720,10 50-1528,-13-5 1168,4 16-2788,-27 6 1979,-1-52 1709,-15 9 0,-5 0 0,-8-5 0,5-8 0,0 0 0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6.53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61 162 8702,'-3'-17'3598,"0"0"-2609,0 2-89,-1-1-1,1 0 91,-2 2-181,1 0-179,-1 1 1079,-3-6-450,1 7-899,-2 3 180,5 17-360,2 6 0,2 7 89,1-2-179,2 2 180,6 26-180,-2-17-90,6 19 90,16-2-90,-12-23 0,32 18 0,-28-36 0,19-4 0,-14-12 0,8-9 90,-5-4 540,-3-4-1,-7 3 181,-2 1-450,-6 9-360,1 7-360,-7 11-90,-2 10-269,-1-1-91,-2 3-269,1-4-900,2 6 809,-1-4-3057,7 15-2879,-1-10 7106,3 3 0,-5-12 0,-3-6 0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6.90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1 195 8342,'2'-13'4588,"0"1"-2699,-1-3-90,-1 3 269,0-3-1168,4 7-450,2 6-91,2 5-89,1 6 0,-2 0 0,0 4-180,0 1 90,0 4-90,0 0 269,4 21-179,-1 12-180,0-8-180,-1 11-359,-7-38-1,0 8-539,-4-15 719,-5-5-90,0-4-899,-11-16 899,8 3-809,-14-26 719,13 16 90,-4-13 1,9 15 89,2 1-360,1-7-89,10-18 539,-1 12-360,16-16 271,-7 29-541,16-11-989,-2 9 1889,7-3 0,-14 12 0,-7 4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7.50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 22 11041,'-5'-12'7645,"0"3"-7195,1 11 0,1 2-180,1 9 0,1 0-1,1 1-179,1 2 360,10 35-450,-4-26 0,13 28 0,-9-42 0,5 1 0,-5-8-90,8-6 90,-4-2 0,12-12 0,-11 2 180,22-33 0,-22 24 539,17-28-359,-24 37 900,8-7-991,-10 18-89,3 1 90,-3 14-360,-1 18-270,-1-7-989,1 21 270,-4-23 89,0 6-179,0-7-1529,3 8 1078,-2-8-1258,3 4 2878,2-5 0,-4-11 0,1 1 0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7.80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99 64 9062,'3'-12'5487,"-1"0"-3508,1 0 899,-1 1-1529,0-2-1079,1 9-180,2 5 0,0 5 0,1 3 0,0-1-90,-1 1 90,2 1-90,3 7 0,6 17 0,-4-10 0,3 22 0,-11-29 0,-3 17 0,-4-22 0,-12 12 0,5-18-540,-22-1-90,13-10-2068,-31-24 1529,27 8-4048,-15-41 1169,29 30 4048,2-19 0,13 21 0,1 0 0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7.97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1 211 12750,'10'-10'6746,"-1"1"-6116,-5 0-91,-1 1-89,1-2-180,-1 2-90,2-1-630,4-5-3418,16-14 2339,-5 7-2789,17-13 91,-17 21 4227,5-3 0,-5 5 0,1 0 0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7:38.85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1 189 14459,'8'-9'1439,"-2"1"-1169,5 3-180,-1 1 90,2-2-90,1 0 0,2-2-270,3-1-1439,25-12-2879,13-7 1350,0 0 3084,-4 1 0,-24 12 0,-2 1 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3.50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71 303 10321,'-5'-10'7286,"0"0"-5487,0 4-180,-1-2-1439,4 13 0,0-1 90,3 10-1,0-2 91,1 2-180,0 2-3302,-1 2 3302,1 1 450,1 24-91,1 9-269,2 11 90,-1-2-90,0-13-180,-1-5 3482,-2-3-3482,0-4-1,-2-6-89,0-9 90,-1-1 0,-1-8-180,-3-5 0,-1-12 90,-2-17 90,-1-20-180,2 0 180,-4-46-180,4 17-179,2 19 1,0 0 268,-1-17-90,-1-28 90,3 37 0,1-21 0,3 31-90,2 12 90,0 14 0,5 2 538,1 19-448,6 8-90,4 21 89,3 17-89,5 10 90,9 20-90,-10-23 0,23 28 0,-28-50 0,13 16 0,-14-27 90,1-7-90,8-5 90,24-32-180,-21 5 180,31-49-180,-41 36 90,15-36 0,-22 37 540,14-39-270,-17 41 899,10-27-899,-16 43 540,3-4-810,-4 22 0,-2 3 0,0 14 0,-2 3 0,-1 6 0,-2 47-720,-2 7-853,2-24 1,0 2-317,-1 23-675,3-28 1,2-3 943,1-2-7824,12 41 9444,-4-62 0,2 4 0,-7-27 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5.54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57 278 10771,'-16'-14'9804,"6"9"-9624,10 10 0,2 4-90,5 0 90,-1-4-180,1 1 90,2-1 0,11 1 0,-6-3-90,22-5 0,-12-7 0,11-8 90,-13 1-90,4-17 180,-15 14 629,6-26-539,-14 24 719,-8-26-629,-1 27 450,-16-16-540,10 25 179,-22-1-359,15 13 0,-33 24 0,29-5-90,-24 29 0,32-22-450,-9 34-269,16-28-3958,6 52 3507,7-50-2698,24 39 2879,-11-52-630,26 13 629,-9-26 271,15-6 539,-13-8 720,24-26-91,-34 12 631,27-35-630,-39 30 629,9-21 90,-15 16 270,0-4-269,-5 3-181,-3 4 181,-2 3-541,-3 4-269,-1 5-90,-2 5-180,-1 5 270,-2 9-271,2 2 361,-6 25-360,9-14 0,-5 24-90,8-17 90,5 11-90,0-12 0,6 2-90,-3-18 90,6 2-90,2-11 0,3-7 90,-4-2 0,1-13 90,-9 10 540,4-20-180,-7 16 179,2-8 541,-3 12-811,3 8-269,1 7 90,2 9-90,-1 1 0,0 0-90,-1-3 0,0-1 180,9 8-180,-2-7 0,7 1 0,-8-11 0,3-10 0,-6 2 90,9-19-90,-9 12 270,12-30-180,-13 28 269,9-23-89,-11 28 0,4-6-90,-3 13 0,6 7-90,-3 3 0,3 10 0,1 6-180,-3-1 180,8 18 0,-3-1-90,-1 0 0,0 8 90,-8 4 0,-1-13-90,-5 10 0,-3-31 0,-5 5 0,-3-10-90,-10-2 90,1-8-180,-4-8 180,9-2-180,2-5-90,9 6-450,9-19 541,0 16-91,9-10-270,1 11-90,17-10 540,-8 6 1,16-12 89,-24 16 0,9-11 0,-6 3 89,3-7-89,-4-1 450,-2-6-180,-6 11 1079,-1-9-629,-6 16-270,0-3-450,-5 15 0,-1 4 0,-1 8 0,0 1 0,0 8 0,2 20 0,1-11 0,6 30 0,0-36 0,10 23 0,-7-27 0,13 10 0,-10-18 0,13-4 0,-14-6 0,14-16 0,-14 5 0,9-21 0,-11 16 0,3-14 0,-7 17 0,2-12 0,-2 10 0,0-5 0,-3 19 0,0 10 0,-2 7 0,0 5 0,0 3 0,1 5 0,0 11-1530,2-2-1708,1 0 0,2-6 900,-2-9-181,3-3 1530,1-13 629,2-4-90,2-12 450,-1-8 540,-1-9 269,0-4-269,-2 3 1439,2-11-720,-3 15 0,2-9 1,-1 12 1348,1 4-899,1 6 360,14 10-1439,-7 5-630,9 9 0,-10 0 0,15 18 0,-4 0 0,10 16 0,-11-8 0,-7-1 0,-6-6 0,-6-10 0,-4-1 0,-12-11 0,4-4 0,-12-9 0,9-4-900,-8-16 720,9 10-180,-5-16 181,9 9-1,3-4 90,5 1 0,5 2 90,5 2 0,4 3 0,2 1 0,2 3 0,0 1 0,1 0 0,-1 0 90,6-9 0,-11 7 90,7-15-1,-17 16-89,2-6 360,-6 9 0,-2-3 0,-2 1-450,-2-1 0,-3 8 0,0 5 0,-2 5 0,2 4 0,-4 9 0,-1 11 0,1 2 0,-2 29-270,8-18-3778,1 20-899,8-16-4884,6-7 8382,2-10 1,-4-13-1,-3-10 1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6.28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102 569 9961,'-10'-4'4498,"0"1"-3419,0 1 810,0 0-90,-6 4-989,6 1-91,-5 3-89,9 1 89,1 1 990,-2 14-1349,5-7 180,2 19-360,5-16 180,12 25-360,-5-20-90,19 23 0,-16-28-270,19 7 270,-18-19-180,19-11 270,-20-4 90,18-30 90,-18 0 0,1-27-180,-11 13 0,-8-3 0,-2-2 90,-2-3-90,-3-7 0,-1-2 0,0 3 90,-2-20 0,9 41 269,5 0-89,5 22 180,6-5 0,6 19 449,16 20-539,-8 5 450,33 56-810,-30-25 0,7 32 0,-2 5 0,-10-7 0,-1 15 0,-3 0 0,-12-23 0,-1 2 0,-2-1 0,-1-13 0,2 29 0,-2-26 0,-4 20 0,-1-20 0,-8 21 0,2-57 0,-9 15 0,7-25 0,-9 4 0,0-11 0,-5-2 0,5-6 0,-10-25 0,16 10 0,-7-28 0,18 22-1260,12-41-89,-3 33-2429,14-35-90,-4 31-5963,5-9 9478,-4 12 0,-7 12 0,-6 12 0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6.8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43 382 7533,'-11'-23'2968,"2"-1"-2069,1 2 1,2 0-90,2 1-1,1 0 1,1 2-91,2 0 1710,0 2-1800,4-15 991,-2 15-1,4-11-540,-1 25 900,5 8-1260,-1 6 1260,14 36-1529,-9-15 270,25 53-720,-19-45 0,2 6 0,2 0 0,-3-7 0,23 40 0,-27-49 0,15 21 0,-18-34 0,5-1 0,-8-14 0,3-21 0,-7 4 0,8-45 0,-10 23 0,1-13 0,0-2 0,-2 0 0,2-6 0,-1 0 0,0 11 0,3-33 0,-4 44-1170,0-9-2338,-2 20-6323,0 0 9523,-2 30 0,0-8 0,0 14 0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7.30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290 90 11400,'-3'-12'4768,"-1"2"-3689,-5 0 1,-1 2-181,-2-1-89,-2 0-181,-1 0-89,0 1-90,-2 1 989,-14-1-720,-6 9-539,2 0 90,-2 14-180,17 5 0,0 16 0,9-10-90,12 20 90,5-26-90,15 17 0,-1-18 0,19 4 0,-12-11 90,12-6 0,-14-12 90,7-6 359,0-9 541,1-14-630,-11 10 539,0-11-359,-13 17-630,1-4 0,-3 4 0,-2 4 0,2 10 0,-3 4 0,2 10 0,-1 8 0,-2-3-2609,4 16 630,-3-10-1709,4 16 720,0-8-270,3 6-3778,0-7 7016,-3-9 0,-2-9 0,-4-6 0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7.72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0 225 8432,'2'-15'3508,"0"1"-2518,0-1 179,0 1-90,0 0 91,0 0-181,0 1-89,0 1 809,2-4 1619,7-6-2519,-3 7 630,9-2 270,3 19-1259,-4 0 270,10 13-450,-8 5-270,6 11 0,-2 7 0,-4 3 0,-4 8 0,-7-16 0,-4 8 0,-4-24-270,-6 13-540,-1-16 450,-5 2 91,1-16-271,2-11 360,4-3-270,3-26 360,7 4-90,3-18 180,5 9 90,2 4 0,-3 14 270,10-6-90,-7 15 0,8-7 0,-4 11-180,0 3-90,-5 5-90,7 0-720,-8 3-2968,4-1 3778,-4 2 0,-7 1 0,0 0 0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8.05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 1 22554,'0'17'4318,"-1"-3"-3599,0 3-179,-1-2-90,1 0-360,0 1-90,-1 1 0,1 2 0,-1 0-2699,-1 24 720,1-19-4407,-1 31 2608,3-37 3778,0 16 0,0-25 0,0 2 0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18.22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37 156 8432,'-4'-21'4048,"0"1"-3418,0 2-181,0 2-269,1 2-180,0 1-180,0 1-269,0 1 449,-1-4 0,2 8 0,0-2 0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20.40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83 96 9242,'-12'-3'5307,"0"0"-4498,1 2-719,7 5 0,5 0-90,10 3 0,4-5 90,-1-1-90,0-2 0,-4-2 0,0-1 0,6-8 0,-6 4 450,4-10 0,-9 5 89,-4-4-359,-4 3 360,-7 3-270,-5 6 89,-6 7-89,-4 8 0,-2 10-180,1 7 90,4 15-90,10-11-90,8 17 0,9-23 90,21 25-270,-6-25-1799,48 24 1260,-35-34-990,35 8 899,-41-19-2158,26-6-900,-18-8 3868,6-2 0,-12-4 0,-11 2 0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20.69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30 122 7803,'-2'-13'2608,"1"0"-1708,-2 0-91,2 2-89,-1-1 89,0 2-89,0 0 539,0 1-269,-1-2 449,0 2 899,-1-2-1798,2 14 0,0 2 89,2 12 541,1 11-631,1-3-179,1 12 270,1 13-270,1 7-180,3 19-180,0 0-990,2-5-1259,1-7 900,-2-18-2878,5 7-271,-4-24 4498,4 6 0,-8-21 0,-2-7 0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21.69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2 494 15628,'-1'-15'1979,"0"2"-1619,4-1 89,0 3-179,2-2 0,2-1 989,22-25-1169,-13 20 360,32-24-90,-17 42-270,1-3 0,-2 25-90,-19-3 90,9 32-90,-11-20 0,7 31 0,-9-31-270,13 40 0,-9-38 0,9 22-90,-10-36-89,7 3 269,-3-8 90,5 1-90,-4-9 90,22-8 90,-12-1-90,41-22 90,-36 7 0,33-42 0,-41 28 90,17-56 0,-28 45 180,-3-6 0,-1 1 0,-5 5 539,-8-51-539,0 57 899,-17-40-809,11 50 360,-16-22-540,15 35 179,-12-4 181,12 22-180,-3 8 269,10 17-179,8 15 0,9 14-270,8 13-180,-1-12-540,11 32-90,-13-44-2338,3 15 0,0-2 1709,-7-18-1,11 35-1348,-17-53-1080,-3-7 3688,0 3 0,-3-13 0,0 0 0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8:22.18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51 220 8522,'-28'-85'8275,"5"12"-8095,25 60-90,1 2 0,5 1 0,1 4-90,3 0 90,0 1-90,2 1 90,7 0-90,-5 2 90,16 3-90,-16 1 0,17 12 0,-20-6 90,12 17-90,-16-13 0,6 9 0,-10-11 90,7 7-90,-6-9 0,4 0 0,-3-10 0,1-6 0,-2-1 90,2 1 90,-2 2 629,5-1-449,3 4 0,1 2 270,8 13 89,8 27-629,-4-4 90,-3 17 0,-2 3-90,-5-3-45,-2 3 0,-1 3-45,-5 9 45,-5-16 0,-1 1-45,-1 14 359,-11 28-179,1-61 90,-13 19 0,1-33-90,-14-8-180,9-12-989,-19-58 359,30 21-540,3-28 1,6-5 360,11 5-721,6-9 1,3 1 360,2 16-729,10-21-261,-14 50-899,0 4 3058,-2 5 0,-5 9 0,-1 4 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26.17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 36 8432,'-2'-12'6387,"1"2"-3869,0-3-1888,5 13-91,-1 0 91,3 12-90,0 0-1,0 4 811,12 33-901,-5-15 451,16 52-540,-12-36 44,6 10 1,1 2-225,0-5-90,4 4 0,1-4 0,-6-20 90,31 35 0,-33-49 1079,21 16-899,-26-34 539,7-7-719,-11-7 0,-1-11-90,-7 2 270,3-36-270,-4 15 0,1-48-90,-5 22 0,-2 12 0,-1 0 0,-1-10-360,-7-23-180,7 63-3238,-4-15-1888,6 24 2158,0 7 719,6 18-1798,1 9 4587,4 8 0,-1-3 0,1 4 0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26.96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192 463 9602,'14'-49'9830,"-4"8"-8597,-15 25-783,0 4-90,-2-4 89,0 6 1,-2 1 450,-4-2-540,1 4 719,-15-1-539,5 8-91,-10 6-89,6 9-90,3 9-180,8-1 90,4 16-90,9-18-180,8 25 90,2-28-180,18 18 90,-12-24-180,23 4 180,-14-16 90,12-4 0,-14-5 90,9-13 90,-12 1 360,5-10 179,-9 5 181,-4 0-630,-2 5-270,-2 2 0,-2 4 0,1 11 0,-2 4 0,1 8 0,-1 2-3598,4 18 1979,-2-12-2519,10 22 3149,-8-24-631,8 8 1081,-6-13-721,14-2 1350,-12-7 810,14-13-450,-16 2 1259,6-21-990,-9 16 1350,4-22-1439,-6 22 1079,3-12-810,-3 17 1170,7-5-1080,-4 9-539,11 0 360,-3 10-540,8 4-270,-3 3 0,0 2 0,8 13 0,-11-7 0,22 30 0,-25-23 0,7 13 0,-15-19 0,-5-5 0,-5-7 0,-3-9 0,-1-4 0,-2-12 0,4-7 0,-1-12 0,8-31 0,1 24-180,5-17-990,0 34-179,1 1-2339,5-9 180,5 0-360,6-6 990,-3 11 2878,10-1 0,-9 14 0,7-5 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27.37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10 102 8522,'-10'-4'9830,"11"0"-6617,1 1-2674,11-1-89,1 1-270,2-2-360,5 0-180,2-2-989,14-3-4767,40-10 3237,-29 7 2879,29-5 0,-64 15 0,3 1 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27.55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55 0 9781,'-10'5'4948,"0"0"-3869,1-1-90,0 0 541,2 0 358,-1 0-1618,7 1-180,2-3-90,8-1-360,4-3-179,2 0-2609,22-5 1439,-12 3-5937,25-5 6798,-23 5 0,-4 0 0,-12 3 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1.44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282 58 8702,'0'-15'5667,"-2"1"-4768,-2 1 900,-2 3-1079,-4 6-91,1 3 631,-10 6-810,4 4 629,-14 17 720,-8 25-4651,5-1 3301,-4 15 721,5 30-766,19-36 1,1 3-360,-1-8 0,2 2 45,4 33 0,5-6-180,5-24 0,0-7 0,2-1-719,9 2-810,6-2-990,12 9 1,6-10-631,4-10-4676,3-11 7915,-10-10 0,-2-7 0,-10-5 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1.87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51 60 8342,'-6'-9'3058,"0"0"-2248,0 1 899,0 1-270,0-2-90,-1 1 1710,0 0-1710,2 6-629,4 8 179,1 3 1,5 4-91,1-1-89,3 0-91,2 3 900,29 26-1349,-15-17 90,43 39-360,-40-38-1619,36 33 720,-36-33-2699,31 32 2608,-36-34-2697,24 26 718,-28-26-3147,6 8 6206,-14-15 0,-5-7 0,-5-6 0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2.18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318 55 9512,'-9'-11'3598,"1"0"-2789,1 1 91,0 2 1078,1 1 811,-1 0-2070,-2 7 1,2 2 0,0 8 179,3 2-89,-1 3 719,-4 14 90,-6 24-1259,1-9 359,-13 44-629,14-47 0,-18 54-270,17-53-629,-12 37-990,8-30-2429,-5 16 2879,7-22-3598,-1 9 2158,11-33 2789,-2 11 0,6-22 0,0 1 0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2.87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45 66 9691,'-12'2'8725,"1"0"-5486,-1 0 359,2 0-2969,11 0-89,1-1 449,11-2-629,6-1-90,-2-1 0,8-1-90,-4 0 0,21-4-180,-6 1-180,26-4-270,-29 5-1079,7-2 539,-25 6-269,4-2-4048,1 0-1979,0 1 7286,0-2 0,-8 2 0,-8 2 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3.22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26 26 10951,'-8'-9'7555,"0"0"-4316,0 2-1261,7 6-1168,7 5-90,6 5-181,7 4 1,0-2 269,15 11-539,-7-5 180,22 16-270,-9-4-360,11 9-450,0-1-539,0-2 450,-12-9-2700,13 6 1171,-21-14-181,9 5 1080,-20-13-90,-6-2-5847,-6-3 7286,-1 0 0,-3-3 0,0 0 0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3.45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480 55 9152,'-28'-28'9264,"1"8"-8364,8 14-1,1 6 721,-4 7-721,5 1 1,-7 6-271,6 0 91,-1 4 269,-8 13-719,6-6 0,-6 10-90,9-10 0,1 1-180,0 0-810,-12 24-719,5-8-990,-9 18 181,11-20-271,5-4 1080,6-14 1529,-2 3 0,9-17 0,-3 3 0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3.81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67 75 7623,'-10'-8'4047,"0"1"-8628,0 1 5661,0 0 1228,1 1-509,1 0 3918,-2 1-4818,14 2 91,-1 1-91,15 2 3213,-1 2-3393,3-1 361,19 0-361,7-1-359,2 0 180,28-3-450,-37-1 90,46-4-180,-42 3-450,16-3-360,-22 2-629,-7 1-2429,-6 1 1350,-4 1-1800,-4 0 4318,-2 1 0,-7 1 0,-1 0 0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5.19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55 30 8612,'-7'-7'3688,"-1"1"-2699,2 1 720,-1 0 810,-2 0-990,1 4-899,2 5-1,2 4-89,6 6-90,3 0 90,3 4 89,2 4-89,4 4 0,2 2 809,20 39-540,-2-1-314,-6-3 0,0 2-315,1 9-90,1 14 0,-21-51 89,-3 42-179,-6-33-179,-8 46-361,-9-42-809,-10 11-810,-4-7-540,-2-9-89,3-12-7043,-8-13 9702,17-13 1,-1-5 0,18-5 0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5.62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0 165 8792,'3'-17'3598,"0"0"-2609,1 0-89,1 2-1,0 0 1,2 0-91,0 2-89,2 0 899,15-6-1169,-7 8 1798,42-2-1438,-31 14 1799,41 13-1800,-44-1 810,17 16-719,-24-5-900,-1 15 0,-11-10 0,-14 27 0,-1-29 0,-14 27 0,11-30 0,-3 5 0,1 2 0,7-13 0,-2 14 0,20-9 0,8-5 0,31-1 0,-13-12-630,26-6-2158,-17-3-2250,23-2 3419,-24 2-5037,16-2 6656,-35 5 0,1-1 0,-16 2 0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6.81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606 45 8792,'14'-3'3778,"-2"0"-2969,-2-1 1,-2 1-91,-1-1 811,0 1-1,2-3 1349,-1 2-2248,-3-4-270,-9 5-1,-4-1-89,-6 5 0,0 1-90,-2 0 0,-4 2 0,-3 2 269,-37 11-89,-13 6-270,-18 8-585,1 2 495,35-12 90,-27 14-90,48-21 0,-26 12-90,44-20 720,-5 3-360,17-4 89,3-1-89,14-2 0,0-2 495,1 0-585,-3-1 360,6 1-181,4 0-269,1 1 360,17 2-270,-8 0-90,15 3 0,-16 0 0,11 6-90,-15 0 90,10 5 0,-13 0-90,-3 1 90,-7-3 0,1 8-90,-6-5 0,-1 10 0,-5-4 0,-7 4 0,-1-6 0,-25 33 0,15-30 0,-19 25 0,15-24 0,-14 18 0,10-12 0,-15 21 0,26-35 0,-3 7 0,7-10 0,2 1 0,0-1 0,5 12 0,3-16 0,14 15 0,-3-19 0,9 3 0,-4-6 0,3-1 0,3-2 0,2 0 0,4-2 0,35-3 0,-22 1 0,49-5 0,-53 3-4768,36-3 2250,-45 4-5218,24-1 1260,-34 4 6476,8 1 0,-21 2 0,-1-1 0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7.58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25 787 8522,'-12'1'8365,"2"0"-6566,7-1-1259,17-2 0,4 0-1,13-2-89,-4-1 90,5-1 0,7-1 719,39-11-630,-13 3-132,21-6 1,20-5-4,-28 8 1,7-2 0,1 0-1,-4 2-1476,4-2 1,-4 0 0,5 0 1048,-2 1 0,7-2 1,-3 1-1,-15 4 23,-13 4 0,-1 0-597,28-3 1,12-1-1,-9 1 552,-20 3 0,4 1-289,-3 1 0,15-2 0,6 0 0,-6 1 1,-15 3 243,1 0 0,-2 1 0,21-2 0,11-1 0,-12 1 0,-22 3 0,-3 0 0,26-2 0,3-1-39,-13 1 1,3-1 38,-10 2 0,4-1 0,-6 1 0,2-1 0,-1 1 0,5-1 0,6-1 0,-12 2 0,24-4 0,-9 2 0,0-1 0,10-2 0,-42 4 0,-2 1 0,22-5 1507,10-3-1507,-34 5 0,20-3 2255,-27 3-2255,-8 2 2659,-7 2-2659,-7 1-395,-4 0-3562,-6 0 2158,-7-2 359,-6 2-89,-7-1-8302,-33 1 9388,13 3 0,-30-1 0,21 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38.97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31 383 7353,'-6'-7'9354,"1"1"-7105,-1 0 2698,1 0-4047,-1 5-450,4 3-1,1 5 1,5 3 0,0 0-90,0 2 269,3 10-89,4 19-90,3 30-450,-3-17 90,1 29-180,-9-53 180,4 30-90,-4-37-90,2 19 90,-2-27 90,0 9-90,-1-14 0,-3-5 0,-1-10 0,-1-7 0,-1-6 0,0-10 0,1 3 0,-1-40 0,4 27 0,3-41 0,2 29 0,2-12 0,-1 12 0,1 5 0,-3 17 0,0-1 0,-1 14 0,2-1 0,3 4 0,10 6 0,-4 4 0,34 21 0,-22-5 0,22 14 0,-8-1 0,17 13 0,-9-6 0,2-2 0,-2-1 0,-8-6 0,7 2 0,-1-2 0,-14-9 0,21 8 0,-33-17 0,18 0 0,-21-7 0,17-14 0,-23 1 0,9-35 0,-12 20 0,4-48 0,-9 39 0,0-50 0,-4 49 0,-1-30 0,0 38 0,-4-28 0,4 34 0,-3-16 0,3 23 0,0 1 0,0-2 0,1 4-9831,0 1 8308,-3 8 1,3 0-1,-3 7 1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42.23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 17427,'4'8'4048,"1"2"-9259,-2 3 5661,0-1 1319,0 1-1320,1 3 51,2 6-1040,-2-3-3148,4 17 2519,-4-22-1106,2 14 2275,-3-15 0,0-4 0,-1-2 0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42.60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90 50 7623,'-41'-23'479,"28"15"1,-22-10 0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0.65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26 0 8882,'-13'3'4587,"1"-1"-4946,11-2-91,11 0 0,5-1-180,6 0-89,-8 1-900,1 0 1619,6 0 0,-10 1 0,3-1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0.80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16 8882,'15'2'2878,"10"-2"-4857,-7-3-629,9 0 2608,-3 0 0,3-1 0,4-1 0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1.50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11 57 8882,'0'-13'7106,"0"1"-4408,0-3 1,-2 3-1800,-1 8-449,0 7-180,0 6 0,3 5-90,1-2 0,1 1-91,1 0 1,1 0 180,21 23-270,-10-20 0,22 16 0,-14-27 0,8-5 0,-7-4 0,16-15 90,-23 8 0,15-13 180,-23 15 809,6-8-539,-7 7 90,2-3-540,-3 12-360,-4 5-720,0 14 181,-2-3-181,1 5-359,0-9 0,1 1-1080,2 5 990,1-3-180,2 3-180,0-4-4857,4 2 6656,-2-3 0,-2-2 0,-4-6 0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1.80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 22 9062,'28'-11'9444,"-7"1"-9174,-7 24 0,-8-4 0,1 0-90,-1 1 90,-1 0 359,4 10-359,-3-3 90,2 8-270,-6-7 0,-2-3-180,-5-1-270,-4-3-719,0-5-450,-11-3 539,9-5-2338,-15-10 989,12-4-1978,-5-9 4317,10 5 0,3 6 0,5 6 0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1.92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85 7443,'61'-47'0,"-13"9"0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2.43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46 193 9242,'-7'7'3598,"0"-1"-2519,0-1 540,1 0-450,-3 1-269,1-1-1620,7-3 181,7-5-91,7-2-90,4-3 1,-3 1-1,1-1 181,1 0-1170,20-13 1619,-17 8 359,25-19 91,-30 20 1169,11-14-359,-17 16-91,3-7 450,-7 8 1170,1-2-2340,-2 10-89,0 4-180,2 10 0,-1-1-90,0 0-90,1-4 0,2 3 0,-1-3-179,12 4 269,-8-8-90,22-3 0,-8-8 90,12-6 90,-11 0 89,8-11 181,-15 9 180,7-7-90,-12 10 89,-2 2-269,-4 4-270,-1 9-90,-3 0-359,-4 10-181,-1-2-2518,-2 18-90,0 0 3238,0 22 0,2-27 0,3 0 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2.71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67 9422,'9'-40'9830,"2"14"-8327,-2 29-1143,1 7-90,-3 0 90,0 2 449,4 11-449,-3-5 360,6 26-631,-7-21 91,5 32-360,-9-32-1708,0 25 898,-3-30-2338,-4 18-1169,-1-19-1350,-4 4 5847,-1-10 0,4-5 0,0-4 0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3.18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29 10321,'3'-12'7556,"0"2"-6207,4 4-809,0 7-91,2 3-89,1 6 0,-1 0-180,2 3 90,1 3-90,2 5 0,0 2-1,2 4-89,-1 1-180,-2 3-179,0 1-1081,3 35 631,-7-26-1260,-5 16 0,-3 1 720,-5-13-2339,-6 10 0,-5-2 3598,-3-13 0,-24 24 0,8-27 0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3.53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118 99 7533,'-13'-15'2069,"0"0"-1350,1 3-179,1-1 89,1 3-89,0 0 0,2 2-180,-1 0 1798,-2 1-1078,2 6-181,0 12 91,7 10-541,3 6 1,3 2 540,4 27-810,-2-16 179,9 44-494,8-11 0,3-1-224,3 10-676,14 3 1,3-10 44,-9-40-1528,42 19-181,-34-38 2699,34 1 0,-28-14 0,16-1 0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3.93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 90 7892,'-2'-13'3329,"0"0"-1710,0 2-810,2-3 540,2 4-269,3-4-91,3 7-89,5 1-451,1 5-89,-1 4 90,-2 3 0,-5 1-90,-1 1-91,-1 3 91,-2 0 270,-3 8-90,-4 6-1,-2 5-179,-1 1-3572,2-8 3302,2-5 0,4-1-270,11 3-630,3-4-269,13-1 449,-6-11-1798,19-5 4830,-18-1-6000,28-5-2608,-24 2 6206,4-1 0,-16 3 0,-9 3 0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6.41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 32 7623,'-3'-11'9084,"0"1"-6385,-1 1-1979,0 7-361,1 6-179,1 11-90,2-1 0,0 2-90,2-3-90,0 0-270,1 1-89,0 1-271,1 0-2158,7 15-6297,5 4 9175,-3-4 0,-1-7 0,-10-19 0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6.57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0 116 9422,'11'-38'5037,"13"2"-6207,-1 27-1168,9-3-1440,-11 5 3778,0 0 0,-10 3 0,-2 2 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6.98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38 26 7935,'-6'-9'8545,"0"2"-6399,-3 3-1157,3 6 12,-1 6-551,4 6-36,3 1-234,2-2 354,3-1-444,0-4 0,2-2-90,5 2-90,-1-3 0,16-1 0,-12-4 90,17-6 0,-9-3 90,15-12 90,-16 8 450,7-8-270,-20 14 269,1-2-179,-2 3 90,-1 0-270,1 4-450,-2 5-90,-1 8-3148,2 15 2428,-3-8-3147,6 19 2518,-5-23-5847,3 14 6618,-4-16 0,0-1 0,-2-6 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7.38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51 48 11850,'-16'-28'8905,"3"8"-8725,9 28 0,3 0-90,4 2 0,0-2 90,5 6-90,-2-4-90,4 5 90,1 0-90,-2-3 90,3 4-90,-4-4 0,1 0 90,-1 0-90,0 0 0,-1-1 89,0-1 1,0 3 180,-2-3 90,1 11-360,-6-11-360,-3 6 0,-6-9-89,0-2-811,-8-3-1528,-4-5 1709,3 1-2339,-11-10 1169,18 5 2249,-6-8 0,12 10 0,1-3 0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7.52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0 104 9781,'42'-29'-652,"0"1"0,23-18 0,-60 45 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7.65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11 6453,'8'-6'0,"-2"1"0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8.02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17 14549,'4'11'8095,"0"1"-7915,-1 3-90,1 1-90,1-2-180,2-1 90,2-4 0,1-4 180,3-5-180,-3-2 90,1-4 90,0-4-90,-2 1 270,8-10-90,-10 9 270,7-10-271,-8 10 91,2-3-90,-1 3-180,2 7-180,-3 4-359,1 8-631,-2 9 271,-2-4 89,-1 4-1259,-1 0 900,-1-5-1529,1 13 1258,0-11 1440,3 16 0,-3-21 0,2 7 0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8.45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 59 7083,'0'-14'4857,"0"0"-3058,0-1 1889,-1 2-2609,-1 10-719,1 5-90,0 9-180,3 2 0,0-3 0,3 0-90,-1-2 90,1 1-90,2-1 90,5 7-90,13 13 0,-3-3 360,6 9-180,-16-18 89,-3-1 811,-2 4-810,-5-8-1,-2 7-269,-6-11-359,-4-1-451,-3-4 180,-3-1-1798,-4-5 269,3-2-1259,0-5 1349,9-2 2069,6-2 0,1 6 0,3 0 0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6:52.2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9836 2244 11311,'-10'-2'7195,"9"-1"-7105,2 1-90,9-1-180,0 0-269,2 0-91,1 0-269,1 0-181,1-1-1528,8-1 179,-5 1 2339,11-3 0,-18 5 0,2-1 0</inkml:trace>
  <inkml:trace contextRef="#ctx0" brushRef="#br0" timeOffset="192">9946 2301 9422,'-11'3'3777,"1"1"-448,-2-1-3060,9-6-89,1 2-90,12-6 0,0 2-270,2 1-179,0 0-91,1-1-3598,16-2 1979,-13 3 2069,16-2 0,-25 5 0,2-1 0</inkml:trace>
  <inkml:trace contextRef="#ctx0" brushRef="#br0" timeOffset="933">10187 22 8432,'3'-11'5937,"-1"1"-5487,1 11-91,-1 2 1,1 11 0,-3-1 0,0 3 0,1 4-91,-1 3 91,0 4 360,2 21-450,-1-8 269,1 11 1,1 9 44,3 22 1,1 3-495,-2-17 0,0 3-735,2 10 1,0 9-1,-1-14 1005,2 21 29,-3-26 1,0 9 0,0-10-281,1 24 131,-2-26 0,1 9 0,-1-10-150,2 23 30,-2-24 0,1 10 0,0-10-120,3 25 89,-2-26 1,2 10 0,-1-10 0,4 23 0,3 9 0,0-1 0,-2-14-45,0-1 0,0-2-135,-4-14 135,-1 0 0,-2-1-45,-2-8-45,-2 5 0,0 0-45,-2-9-315,-2 5 1,0-2-136,0-11-2068,-6 42 1708,4-56-2608,-4 21-989,4-35 4497,-4 6 0,6-18 0,-2-1 0</inkml:trace>
  <inkml:trace contextRef="#ctx0" brushRef="#br0" timeOffset="3547">1 1779 11940,'1'10'2429,"2"-1"-2069,5-2-181,4-2 1,-2-1 0,4-2-90,-3-1 0,3 0 0,0 0 180,2 0 360,31 3-450,5-2-91,9 2 181,31-1-180,-52-2-45,11 0 0,0-1-45,-11-1 90,38 0-90,-41 0 0,27 0 90,-10 2-90,16 0 0,-16 1 0,-2 0 0,0 0 0,-5 0 0,14 1 0,0 0 90,-16-1-90,44 2 0,-29-1 0,18 0 0,-3-1 90,-2 0 360,3-2-180,1 0-91,7-1 1,2 1-90,-17-1-45,6 0 0,0 0-45,-7 0 45,15-1 0,-1 0-45,-16 0 0,19-1 0,3-1 0,1-1-824,-22 1 1,9 0-1,-9-1 914,16-2-90,-4 0 0,0 0 0,-5 0 45,0-1 0,-1 1-45,-2-1 0,10 0 0,-2 0 0,-18 2 0,10 0 0,0 0 0,-12 3 0,6-1 0,1 0 0,-8 2 0,-4 0 0,1-1 90,19 0-90,19-3-90,-1 0 180,-2 0-90,-3-1 0,-2 1 0,-3-1 0,-2 2 0,-7 0 0,-2 1 90,-7 2-90,-1 0-90,-3 2 90,-3 0 0,-4 1 0,9-1 0,-20 1 2471,15-1-2471,-31 0 90,35 2-180,-32 0 180,30 1-90,-27 0-90,9 0 90,1 1 0,1-1 0,2-1 0,1 0 0,4-2 0,-9 0 0,13-2 0,19 0 0,-19 1 0,45 1 0,-61 1 0,21 0 0,-28 0 0,1 0 0,28 1-90,-21 0 135,22-1 0,3 0-45,3 0 0,-16 0 0,2 0 0,4 0 0,-5-1 0,-1 1 0,13 1 0,-2-1-90,-18 0 135,7 1 0,1-1-45,-10 1 0,41 1 0,-44-2 0,58 4 0,-50-2 0,47 2-90,-57-2 90,55 3 90,-48-3-90,47 4-90,-55-5 90,51 3 0,-44-3 0,9 1 0,-1-1 0,-11-1 0,52 0 0,-48-1 45,7-1 0,0 0-45,-3 0 0,7-1 0,0-1 0,-7 1 0,26-1 90,-3 0-180,4 1 90,0-1 0,4 2 0,-41 1 0,57 0 0,-50 0 0,50 1 0,-57 0 0,41 1 0,-38-1 0,18 0 0,0 0 0,-9-1 0,5 1 0,0 0 90,-10-1-90,13 1 0,2-1 0,-3 1 0,-7-1 0,0 0 270,13 1 90,25-1-360,-15 0 90,-11-1 0,-2 1-90,-5-1 45,-5 0 0,2 1-45,17-2 44,-7 1 1,2 0-45,13-1 0,-15 1 0,-3 0 0,-10 0 0,12 1 0,2-1 0,-4 0 0,4 0 0,-1 1 0,-12-1 0,12 0 0,1-1 0,-3 1 135,13-1 0,-1 0-45,-18 0 45,7 1 0,0 0-135,-8 0 0,27 0 90,-37 0-90,0 1 0,-1 0 90,40 0-90,-29-1 0,8 0 0,1 0 0,-8-1 0,9 0 0,0-1 90,-8 0 0,31-2 180,1 1-90,-11-1-180,14 0 90,-27 1 0,-5 1-1,-1 0 91,10-1 0,-1 0 0,-18 1-431,26-2 431,-36 2 90,0 0 539,30-2-314,-18 1 0,0 0-315,29-2-90,-26 3 0,-5-1 179,-7 2-89,17-1-180,-23 2 450,16-1-360,-32 2 180,22-1-270,-24 1 611,14-1-611,-11 1 90,3 1 0,-5-1-90,10 1 0,-13-1 359,7 1 181,-9 0-270,-2 0-7466,1-1 3958,-9 1-1799,-5 1 5037,-10 0 0,5 0 0,0-2 0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59:59.05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2051 1066 7892,'-4'-10'3688,"1"0"-1979,-1 2-90,-2-1-719,-1 6-180,-2 1-1,-1 7-89,0 4-1,-2 6-89,-1 5 809,-13 37-989,10-17 45,4 10 0,2 1-135,9-4-181,9 7 1,6-1-359,9-6-631,15 4 1,5-3-91,6-9-1780,10-4 0,2-5 72,-6-13 2698,-2-5 0,-1-5 0,-3-6 0,15-3 0</inkml:trace>
  <inkml:trace contextRef="#ctx0" brushRef="#br0" timeOffset="352">3568 699 8882,'-6'-16'3238,"0"1"-2428,1 1 89,0 1-89,0 1-91,2 1 1080,-2-3 900,1 1-2340,6 6 91,0 5-90,8 9 0,-4 3 90,0 2 719,2 10-180,0 4-269,1 9-270,0 0-181,-1-2-89,1-4-90,1-4-270,-1-7 1,1-5-721,4-5 180,-2-3-1618,23-6 1528,-12-4-89,15-4-2609,17-8 2159,-19 6-2519,33-10 3868,-30 10 0,-11 2 0,-9 4 0</inkml:trace>
  <inkml:trace contextRef="#ctx0" brushRef="#br0" timeOffset="1200">5007 1187 7173,'33'-7'4857,"-1"0"-4677,-20 3-180,3-2-450,-4 2 90,2-3-179,-5 3-91,4 0-2428,5-3 3058,-6 3 0,3-2 0,-10 5 0</inkml:trace>
  <inkml:trace contextRef="#ctx0" brushRef="#br0" timeOffset="1362">5382 1091 8792,'21'-5'0,"-4"1"0</inkml:trace>
  <inkml:trace contextRef="#ctx0" brushRef="#br0" timeOffset="1988">764 2472 8612,'-15'-1'4587,"2"0"-2788,-1-1-1259,8-2 0,6-1-90,8-1-91,5 0 1,8-2-180,6-1 180,17-3-899,8-3 809,15-2-1383,8-1 1248,-25 5 0,3 0-889,4-2 0,2 1 889,11-4 0,3 0-45,-2 0 0,7-2 90,-9 3 0,8-1 0,6-2 0,3 0-512,4-1 1,5 0-1,4 0 1,-1-1-1,-3 2 350,-14 1 0,-3 2 0,0-1 0,3 0 0,7 0-57,3-1 1,10 0-1,5-2 1,0 2-1,-4 0 1,-10 2-1,-14 3-419,0 1 0,-13 2 0,5 0 368,17-3 0,10-1 0,-3 0 0,-14 4-226,-10 3 1,-8 1-765,10 0 1,-2 1 539,-14 0 1,-1 1-1215,10-2 0,-9 1-315,-24 2 2069,7-2 0,-31 4 0,-4 1 0</inkml:trace>
  <inkml:trace contextRef="#ctx0" brushRef="#br0" timeOffset="2399">3067 2056 9602,'-15'0'9830,"2"1"-7427,4 3-1774,4 5-89,3 0-90,3 3-1,3-3-179,0 1-90,1 0 180,6 5-90,9 3-360,5-3 0,15-3 90,-14-10 0,19-10 90,-25 1 90,15-9-90,-22 9 1259,10-8-450,-10 8-449,4 0-270,-9 11-90,-3 4 0,-3 5-1619,0 17 539,-1-12-3597,2 28 3058,-1-27-1799,4 16-5757,0-12 9085,0 0 0,-2-9 0,-1-8 0</inkml:trace>
  <inkml:trace contextRef="#ctx0" brushRef="#br0" timeOffset="3938">1 2012 9062,'2'-3'6386,"2"-1"-5936,14-8-90,2-2 0,4-3-91,5-2-89,7-6-631,4-1 541,8-6 0,1 0 0,1-2 90,27-20-180,-35 24 0,0-1 0,-1 1 0,3-3-495,32-25 1,-2 1-46,-3 2-180,0-1 1,-3 2-91,-22 16-2158,28-26-720,-38 30 3688,4-5 0,-25 23 0,-9 10 0</inkml:trace>
  <inkml:trace contextRef="#ctx0" brushRef="#br0" timeOffset="4252">1018 1019 8612,'-16'0'4318,"-6"0"-2609,-1 0-990,-1 0-89,4 1-90,8-1 179,1-1 1,-1 0-540,6-4-90,3 0 0,9-2 89,3 2-89,14-2-90,-4 3 90,32-1-90,-22 3 0,34 6 0,-38 1 90,25 12-90,-32-8 90,10 18-90,-21-13-90,-1 22 90,-8-17-719,-9 27 179,4-23-2069,-5 27 1350,10-28 1259,6 25 0,-1-34 0,4 9 0</inkml:trace>
  <inkml:trace contextRef="#ctx0" brushRef="#br0" timeOffset="4868">2492 1534 9422,'-7'9'3777,"0"-1"-2247,0 0 1258,0-1-2248,5-8-91,3-1-89,7-10-90,5-1-90,5-5 0,10-8-90,6-5 0,9-8-90,3-1 0,2-2-90,16-14-390,0 1 0,14-12 1,-9 8-356,-18 15 1,-1 2 714,4-3 0,4-5 0,-5 5-555,0 0 1,-9 8 404,-6 3-359,25-23 629,-53 42 269,-2-3-89,-16 11 540,-10 2-270,0 4 2028,-18 2-1939,17 0 811,-24 2-991,25-2 271,-11 1-270,15 0-360,8 1-90,7-1-180,22 1 90,-2-1 90,12 0-90,-5-1-269,29 6 359,-22-2-90,38 11 90,-47-8 90,12 9 0,-29-4-630,-14 12 90,-7-6-1798,-40 17 1348,21-20-89,-21 8-180,25-14-4318,-7-3 5577,11-3 0,3-1 0,12-2 0</inkml:trace>
  <inkml:trace contextRef="#ctx0" brushRef="#br0" timeOffset="5202">3319 192 9691,'-5'-31'5487,"-1"-1"-4317,4 20-631,-1-8-179,3 9-90,3-3 0,2 4 0,3 0-90,3 0 179,27-8-359,-16 9 180,33-5-90,-34 13-90,7 2 90,-14 4 180,1 5-90,-5 1 0,2 5 0,-7 0 0,-2 3 179,-5 28-359,0-16 90,-5 33 0,2-25-1259,2 14 539,4-19-1978,11 7 1708,-3-26-899,13 6 810,-8-14 989,29-6 0,-28-1 0,16-4 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0:32.701"/>
    </inkml:context>
    <inkml:brush xml:id="br0">
      <inkml:brushProperty name="width" value="0.06" units="cm"/>
      <inkml:brushProperty name="height" value="0.06" units="cm"/>
      <inkml:brushProperty name="color" value="#00A0D7"/>
    </inkml:brush>
    <inkml:brush xml:id="br1">
      <inkml:brushProperty name="width" value="0.035" units="cm"/>
      <inkml:brushProperty name="height" value="0.035" units="cm"/>
      <inkml:brushProperty name="color" value="#00A0D7"/>
    </inkml:brush>
  </inkml:definitions>
  <inkml:trace contextRef="#ctx0" brushRef="#br0">10 70 8612,'-5'-9'6207,"2"-2"-3869,2 3-1348,6 4-541,1 5-89,3 5 0,-1 2-180,-1 0 180,0 1-1,5 7 91,13 21-360,-7-9 0,18 32 0,-23-35-90,16 25 0,-17-31 0,8 10 0,-10-20 360,10-2 0,-10-7 899,10-12-809,-13 2 629,4-32-899,-9 20 0,0-28-180,-3 27-1080,-3-26 361,2 28-900,-1-13-1889,2 22 2428,6 6-179,-1 3-1080,10 10 1170,-4 0-3688,11 7 4857,-6-6 0,0 0 0,-8-5 0</inkml:trace>
  <inkml:trace contextRef="#ctx0" brushRef="#br0" timeOffset="334">512 156 9152,'13'-1'6116,"-1"-1"-4856,-6-4-181,-4-2-270,-4-2-359,-6 3-180,-5 3-90,1 3 0,-2 4-90,4 1 0,-1 1 90,-3 6-180,4-3-270,-6 17 90,11-8-270,5 11 360,5-16-90,13-1 90,-7-10 180,15-6 0,-14-1 450,15-15-360,-14 8 450,17-20-451,-15 16 181,15-17-270,-18 20 90,4-4-90,-9 11 0,2 1-90,1 4-90,1 4-90,-2 3-180,-1 2-179,-3 0-1800,4 10 1170,-3-6-1350,5 12-89,-6-10 2608,3 7 0,-5-13 0,0 2 0</inkml:trace>
  <inkml:trace contextRef="#ctx0" brushRef="#br0" timeOffset="667">905 89 9691,'-2'-16'6477,"0"1"-4678,1 2-720,1 3-629,5 5-270,3 7 0,0 3 0,-1 4-90,-3 0-1,0 2 1,-1 0 0,0 1 90,-1 12-90,0-1 90,-1 3 0,0-7-90,1-17-180,2-5 90,1-8-180,2-8-90,-1 6-90,2-5-899,1-3-1529,4-4 1528,-3 3-2517,5-3-181,-8 16 3958,2-1 0,-5 6 0,-2 2 0</inkml:trace>
  <inkml:trace contextRef="#ctx0" brushRef="#br0" timeOffset="951">404 997 8972,'-4'-10'3328,"1"1"-2339,0-1 1,1 0 1169,0 1-450,-2-3-540,1 2 180,-1-1-2338,-1 7-91,0 8-2967,-1 5 4047,3 6 0,1-7 0,1-1 0</inkml:trace>
  <inkml:trace contextRef="#ctx0" brushRef="#br0" timeOffset="969">342 1203 28671,'4'10'0,"-1"-3"0</inkml:trace>
  <inkml:trace contextRef="#ctx0" brushRef="#br1" timeOffset="986">349 1220 24575,'0'0'0</inkml:trace>
  <inkml:trace contextRef="#ctx0" brushRef="#br0" timeOffset="1098">459 759 28671,'0'0'0</inkml:trace>
  <inkml:trace contextRef="#ctx0" brushRef="#br1" timeOffset="1113">459 759 24575,'0'0'0</inkml:trace>
  <inkml:trace contextRef="#ctx0" brushRef="#br0" timeOffset="1159">230 1013 15358,'0'26'-1499,"0"-13"0,0 2 0</inkml:trace>
  <inkml:trace contextRef="#ctx0" brushRef="#br0" timeOffset="2202">481 815 8162,'-4'-13'4228,"-1"1"-3239,-2 3-179,-1 2-540,-3 4 0,2 2 89,-1 5-89,2 1-90,-1 2 90,-1 3 0,1 2 0,-3 3 0,1 2 179,-4 15 181,-2 40-540,6-24-352,3 26 352,11-47-90,3 0 0,2-2 90,1-1-90,4-3 269,33 13-179,-22-20 360,35 6-180,-37-24 1259,33-23-1079,-30 9 172,17-16 187,-24 5 361,-1-25-990,-5 14 179,-9-33-269,-8 45 0,-14-30 0,8 34-90,-7-9 0,1 16 0,3 7 0,-4-1 0,5 7 0,-1 3 0,-9 4-90,-5 9 0,-19 22-90,14-7-89,-16 38 89,33-35-450,-11 47 450,21-47 0,-1 21 0,7-30-269,8 14 179,3-6 0,19 16 180,-11-24 90,9 0-90,-8-17 90,3-5 0,0-3 270,17-18 270,-10-7 269,18-32-629,-21 18 630,2-44-631,-23 51 91,-8-48-180,-6 55 90,-26-29-180,14 36 90,-32-11-90,28 25 0,-32 5 0,31 9-360,-19 15-89,24-2-811,-11 23-1438,9 16-630,4 17 1888,7-11-2517,12 3 179,3-36 3778,4 7 0,0-13 0,1 0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0:39.55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1 397 15718,'11'-3'2069,"1"-1"-1529,-2 0-1,2 0-89,2-1-90,3 0 0,2-1-181,2 1 1,4-1 0,4 0-270,4 0-719,22-6-1080,27-5-3027,3-1 1,3-2 4378,-29 7 0,1 0 1,26-7-1,-4 2 0,-1-1 1</inkml:trace>
  <inkml:trace contextRef="#ctx0" brushRef="#br0" timeOffset="730">4762 49 9512,'-13'2'5846,"1"-1"-3687,-1 2-1799,10 0-90,5 0-90,10 0 89,1-3-179,5 1 0,4-2 0,4 0-90,16-1-90,-7 0-359,52-5 89,-27 2 180,10-1-180,-20 1 270,-34 2 180,-7-1-90,-14 2 180,-15 1 90,-14 3-90,4 0-90,-15 2 90,-5 2-91,12-2-89,-9 2 90,21-2 0,-12 1-90,14-1 0,6 0 0,18-3 0,31-4 0,-5 0 0,14-3-90,8-1 0,16-3 1,-10 1-271,20-4 90,-48 9-360,16-4-989,-28 5 720,-9 2 449,-14 3-719,-19 4 539,2 0-270,-3 2-3327,-1 0 4227,8-1 0,1-1 0,13-3 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0:42.26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451 1587 9871,'-5'-10'5577,"0"1"-3868,-2 1-360,1 1 1,-1 3-721,-2 1-89,3 4-270,0 6 90,4 2-1,3 3 1,3-1-90,2 3 270,16 17-270,14 10-180,-1-1 89,23 14-179,-25-27 90,13 11 0,-22-18 360,2 3-180,-16-12-90,3 7-90,-14-7-270,-12 2-630,-8-5-809,-15-2 540,7-4-1979,-21-7 629,16-2-449,-13-6 629,22 1 2249,2-9 0,16 13 0,-1-4 0</inkml:trace>
  <inkml:trace contextRef="#ctx0" brushRef="#br0" timeOffset="352">497 1638 8612,'10'-14'3778,"0"-1"-2879,0 1 1,0 0-4342,1-1 4251,2 0 950,0 0-1039,2 0-90,1 0 809,16-6-809,-5 8 179,20 0-629,-21 13 3392,2 7-3482,-14 2 0,0 2 0,-1 4 0,-1 1 0,0 4 0,-1 0 89,11 21-3571,-2-7 3392,4 7-90,3-8-89,5-12 179,-6-5 269,39-21 181,-40-5 809,32-24-539,-40 14 1439,9-27-1709,-18 22-1,2-15-89,-11 19 90,-8-9-90,-21-6-360,6 6-270,-35-4-360,32 26-3238,-32 2 1800,37 9 1952,-13 10-5281,24 3 5397,6 6 0,3-8 0,5-2 0</inkml:trace>
  <inkml:trace contextRef="#ctx0" brushRef="#br0" timeOffset="534">1397 1625 10231,'12'-2'5037,"-1"0"-3687,-2-1-271,-1 0-180,-1-1-89,0-1-180,-1 0 269,2-5-719,0 1-990,15-12-809,1 2-449,14-7-451,1 2-4407,9-6 6926,-15 10 0,4-5 0,-17 10 0</inkml:trace>
  <inkml:trace contextRef="#ctx0" brushRef="#br0" timeOffset="881">1831 1302 9242,'8'-12'4317,"-1"1"-3057,-1 1 1078,-2 1-359,2-2 4138,-3 2-5578,2 5-179,-3 5 0,2 8-180,-1 1 90,1 1-180,0 0-180,1 1-180,1 1 0,-1-1-2249,14 18 451,5-8 1708,1 4 90,8-18 360,-20-11 539,15-12-179,-17 5 1169,11-15-1169,-13 13 1169,7-15-1169,-9 15-180,2-6 179,-3 8-539,1 9-269,-3 7-271,1 5-1439,-2 9 630,-1-5-1169,3 12 1348,-1-8-2787,9 23 2697,-5-19-4856,10 18 6206,-9-24 0,-2-2 0,-3-10 0</inkml:trace>
  <inkml:trace contextRef="#ctx0" brushRef="#br0" timeOffset="1133">2303 1433 8882,'1'-11'3238,"0"-1"-2518,0 1-1,0 1 1,0-1-91,1 1 1,1 0 1889,6-6-1530,-1 8-539,7-1 90,-6 12-91,-1 3 1,-1 1 90,-1 1-1,0 3 991,6 12-1171,-4-7 451,8 22-720,-9-22-90,5 21-270,-8-22-3148,-1 15 1259,-6-15-269,-4 4-181,-3-11 1170,-4-6-720,2-4 2159,-4-7 0,11 6 0,-3-4 0</inkml:trace>
  <inkml:trace contextRef="#ctx0" brushRef="#br0" timeOffset="1253">2337 1356 8702,'5'-9'3688,"-1"1"-2789,1-1-269,1 1-90,1 1-91,1-1-179,1 1-2069,13-8 540,-9 6-3688,16-8 4947,-17 10 0,-1 2 0,-6 2 0</inkml:trace>
  <inkml:trace contextRef="#ctx0" brushRef="#br0" timeOffset="1470">2634 1089 10861,'2'-15'7196,"2"1"-5667,2 4-900,4 5-179,0 3-90,0 5 0,-1 3-90,-1 1-1,1 3-89,0 2 0,-1 3-270,2 27-2518,-7 34 1708,1-11-674,-10-5 0,-2-2 225,-6-3 1349,-14 18 0,-5 1 0,-5-4 0,2-11 0,1 0 0</inkml:trace>
  <inkml:trace contextRef="#ctx0" brushRef="#br0" timeOffset="1834">311 1233 8252,'-13'-12'3418,"-2"2"-2788,1 3-90,0 1-91,-1 3-89,0 1 90,0 1 1439,-24 10-1439,17-1 539,-27 18-539,29-5 0,-6 11-1,9-3 1,3 4 360,-2 24 89,11 40-1217,4-11 453,10-18 0,7 0-90,3-19 0,5-1-270,8 11 0,6 0-405,6-5 1,5-3-316,5-4 1,5-4-853,6-5 0,4-6-272,6-5 1,4-7 2068,5-5 0,3-6 0,5-7 0,2-4 0,2-5 0,0 0 0</inkml:trace>
  <inkml:trace contextRef="#ctx0" brushRef="#br0" timeOffset="2217">2697 513 9062,'-5'-16'3688,"1"0"-2969,1 3 451,0 0 359,2-1 1079,2 2-2158,4 6 0,0 5-90,3 9-1,-2 4 91,0 1-90,2 4 0,1 2 629,6 14 360,10 24-989,-6-6-90,5 15-180,-17-33 180,-2 9-180,-3-17 0,1 9-450,3-12-809,6-7-900,8-6 90,13-6-360,14-7-449,12-4-4408,9-3 7196,-15 1 0,-3 2 0,-19 1 0</inkml:trace>
  <inkml:trace contextRef="#ctx0" brushRef="#br0" timeOffset="2734">3649 1195 10951,'2'4'9830,"-1"-2"-9316,5 13-154,-2-3-1,0 2-89,1 3-90,0 1-90,2 1-360,-1 1-3687,18 36 2697,-12-27-1708,16 33 359,-20-45 2609,4 10 0,-9-19 0,2 4 0</inkml:trace>
  <inkml:trace contextRef="#ctx0" brushRef="#br0" timeOffset="2898">3709 1509 9512,'-8'-5'4137,"1"1"-2608,0-1-449,-1-2-541,3-2-539,1-4-90,5 0-179,4-1-271,3 3-180,4-3-89,3-1-6387,38-26 6348,-22 19 0,28-19 0,-32 25 0</inkml:trace>
  <inkml:trace contextRef="#ctx0" brushRef="#br0" timeOffset="3585">4297 1005 10771,'-3'-8'7825,"-2"2"-5936,-2 2 1439,-1 1-2248,-1 4-720,5 3-1,2 3-89,8 2-3482,1 0 3302,3 2 0,9 7-90,-2-3 90,27 23-180,-8-6 90,18 17 0,-12-7 0,-7-3 3392,-11-4-3392,-9-5 0,-11-4-90,-8-4-360,-11-2-629,-9-5 359,0-5-89,0-5-2789,-13-7-180,0-16 2789,-1 2-1350,6-25 1709,24 20-629,-3-28 1079,10 28 360,3-26 180,1 27 1079,8-23-899,-4 24 1079,12-21-1170,-8 24 901,18-19-990,-14 20 269,17-10-269,-17 14 270,13-6 269,-3 6 180,4 3-719,-6 4 270,-2 11-270,-12 1 359,5 13-449,-7-5 450,19 47-720,-13-33 90,13 30 0,3-19-90,-4-9-90,7 5-90,9-10 90,-21-20 90,20 0 0,-24-13 180,14-22-90,-16 8 90,6-44-180,-17 30 45,-8-18 0,-4-1-45,-3 9-90,-7-8 0,-2 4-180,1 18-2069,-24-18 1260,26 36-3868,-17-1 2068,22 14 2879,-6 9 0,15-6 0,0 4 0</inkml:trace>
  <inkml:trace contextRef="#ctx0" brushRef="#br0" timeOffset="5018">3909 914 9062,'-5'-8'9444,"0"1"-8544,-1 6-180,5 4-451,0 8 91,5 0-90,0 2 180,2-1-180,-1-2 89,4 6-89,-2-4-90,1 0-90,0 0 0,-2-4-90,2 1 90,-2-1 360,0-1 359,0 0-89,-1 0-450,0 4 0,-1-1-91,1 3 91,0-1 0,4 8 0,-1-4 90,13 23-270,-9-19 90,20 26-180,-16-27 90,21 18-270,-12-20 90,11 1 0,-11-10 0,12-11 90,-18-3-90,23-27 180,-22-1 270,6-21-91,-14 13 451,-4-19-450,-7 30 180,-2-27-450,-4 31 0,-5-11 0,2 19 0,-2 10 0,7 10 0,2 9 0,4 4 0,9 29 0,-4-10 0,6 15 0,0 3 0,1 1 0,1 7 0,0-1 0,-2-8-3329,2 7 1,0 0 1529,-2-13-5576,19 48 1708,-19-63 5667,8 11 0,-8-22 0,1-1 0</inkml:trace>
  <inkml:trace contextRef="#ctx0" brushRef="#br0" timeOffset="5451">5145 1072 16887,'-2'-6'1799,"1"2"-2069,8-3-89,1 1-181,2 0-90,2-1-89,1-1-1,2-1-809,11-5 720,-5 3-1170,16-7-1979,-10 4 3958,-1 1 0,-11 5 0,-9 5 0</inkml:trace>
  <inkml:trace contextRef="#ctx0" brushRef="#br0" timeOffset="5953">5457 795 9242,'-5'-7'6386,"-1"0"-4497,1 1 630,-1-1 89,1 1-2068,0 7 179,2 3-449,2 10 0,2-2-90,1 4 0,0-4-90,0 1 90,0 0 0,5 15-180,-3-10 0,10 22-450,4-13 360,-3-2-270,10-6 360,-16-18-90,14-10 0,-13-1 180,11-25 0,-11 14 180,9-29-180,-11 28 270,6-21-270,-9 28 629,5-13-269,-5 18-270,3-1-180,-2 12-180,0 8-270,-4 3-89,0 2-1350,0 4-630,1 2 1530,-1 2-3959,8 22 3689,-5-23-2249,9 20 3508,-6-24 0,-2-5 0,-1-4 0</inkml:trace>
  <inkml:trace contextRef="#ctx0" brushRef="#br0" timeOffset="6818">4081 699 8972,'-3'-17'3148,"1"1"-2428,0 2-91,-1 1 91,1 2-180,-1 0-1,0 2 1,-1 1 359,-1 1 631,-14 6-271,1 13-90,-14 19-539,12 5-90,0 11 224,10 0 1,2 6-361,4 7 1,1 4-270,-1 15 0,5 4-405,7-13 0,5 3 1,1-8-136,-2-9 0,4-3-765,15 26 1,4-9-90,2-24-1799,41 17-5937,10-33 8995,-8-6 0,-28-19 0,-2-4 0,19-7 0</inkml:trace>
  <inkml:trace contextRef="#ctx0" brushRef="#br0" timeOffset="7181">5618 162 8972,'2'-67'6926,"0"15"-6386,2 34 179,0 8 91,1 1-450,3 5-1,0 3 91,0 6 629,7 18-719,-6-5 450,13 36-630,-12-25 0,4 16 89,-7-20-89,-2 0 0,1-2-90,-1-1 0,1-1 90,1 6-180,-1-6 90,3 3-180,1-5-180,1-6 0,2 1-539,8-4-450,8-5-271,16-4-269,9-6-629,4-4-4768,1-3 7196,-22 3 0,-11 3 0,-20 5 0</inkml:trace>
  <inkml:trace contextRef="#ctx0" brushRef="#br0" timeOffset="7614">5653 633 8162,'-1'-13'4138,"0"1"-2069,0 0-90,2-1-90,1 1-450,4 0-810,5 6-179,0 5 0,3 5 0,-1 4-1,2 2-89,2 6 450,21 26-540,-5 3-180,11 27-360,-17-2-1799,-12 22 1169,-10-27-1528,-13 27-720,-8-33-4498,-15 23 7646,4-24 0,-12 7 0,9-21 0</inkml:trace>
  <inkml:trace contextRef="#ctx0" brushRef="#br0" timeOffset="8182">1065 2470 8072,'-14'-1'3778,"-1"0"-2878,0 1 179,1-1-179,0 1 1168,2 0-1618,8 2 0,5-1 0,11 1-1,3-3-89,6 0-90,7-3-90,7-2 0,13-4 0,5-2 0,42-13-135,-44 10 0,5-2-1876,32-10 0,1-1 1696,-29 8 0,1 0-405,27-9 0,-5 2-349,-4 2-416,-4 2 1,2-1-675,18-5 330,-32 10 0,-1 0 1649,21-4 0,-30 8 0,-6 4 0</inkml:trace>
  <inkml:trace contextRef="#ctx0" brushRef="#br0" timeOffset="8702">1922 2160 9242,'-20'-2'2788,"0"0"-2248,2 1-90,2 2-91,1-1 631,2 1 1079,-1 0-1620,14 0 1,2-1 90,16 0-90,5-2-1,9-1 1,16-4-685,9-1 594,13-4-1130,5-2 1131,6-2-135,-5 0 0,14-4-1,-19 4 1,8 0 0,2-2 0,-5 2-165,4-1 0,-4 1 0,10-1-528,5 0 0,14-1-1,3-1 1,-6 2 0,-16 3 468,9 0 0,-4 3 22,-10 0 1,11 0 0,0 0-1,-12 2-734,11 1 0,-9 1 757,-3 1 0,-3-1-56,-7 3 1,-1-1 10,-3 0 0,-4 0 0,33-2-93,-36 2 0,-2-1 3,14-2-90,-9 0 1544,25-9-1634,-34 6-225,-2-4 1,-1 0 44,-10 1 831,31-20-1011,-45 20-1709,14-15 1260,-27 17 1428,2-9 0,-11 15 0,-2-3 1</inkml:trace>
  <inkml:trace contextRef="#ctx0" brushRef="#br0" timeOffset="9165">3168 2277 11580,'-6'-8'6836,"-2"6"-5576,0 3-271,1 9-719,4 4 0,2 0 0,4 1-90,2-5 0,2 2-1,2 0 1,9 3-270,24 1 90,-10-6 0,43-11 0,-41-8 270,46-23 90,-46 14 1079,29-22-809,-42 26 1888,15-10-1528,-24 18-630,2 2-360,-7 13 0,-4 2 0,-2 5 0,-1 6 0,-1-3-540,1 6-2159,0 3-1618,2 4 359,3 9-5873,2-1 9792,1-10 1,-3-11 0,-2-11 0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0:53.53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53 2 9422,'-11'8'3508,"0"0"-2699,2 1-89,0-1 449,2 0-179,2 2-631,5-1-179,3 0 0,6-4-540,1-3-179,26-6-2160,22-8 1440,-2 1 1259,37-13 0,-53 14 0,21-7 0</inkml:trace>
  <inkml:trace contextRef="#ctx0" brushRef="#br0" timeOffset="160">402 202 10681,'53'-29'0,"-1"0"0,-7 5 0,0-1 0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0:55.73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60 824 8522,'-14'-5'2878,"1"1"-2248,2 0 90,2-1 539,2 0 0,2-3-719,6-3 0,3 0 179,6 1-359,7 1 450,11 3-541,-3 1 1,4 4 720,5 17-810,-16-5 179,16 20-179,-21-6 0,1 8-90,-2-2-90,-4-7 0,-1-4 0,-2-8 90,1-2-90,1-1-90,0-1-270,4-1 270,3-4-179,4-3-1,7-16 270,-10 4 0,4-8 0,-7 2 90,2-3 0,5-5 179,2 2-89,2 5 0,2 7-90,-4 7 180,28 18-270,-27-4 0,21 12 0,-24-2 90,5 17-90,-8-12 0,4 20 0,-17-30-90,-1 15-180,-4-18-90,-4 4-809,-3-8-2249,-16-6 2698,8-2-1348,-21-15 1438,24 4-629,-11-23 989,18 18 90,0-24 360,7 23 899,9-23-719,-3 23 629,16-24-719,-11 24 180,20-21-360,-16 23-270,15-14 0,-15 17-449,11-8-721,0 5 721,-5 3-3239,7 3 3868,-12 9 0,-4 0 0,-4 3 0</inkml:trace>
  <inkml:trace contextRef="#ctx0" brushRef="#br0" timeOffset="166">1048 730 8432,'18'19'8365,"-10"-10"-7375,9 17-720,-13-16 0,2 4-181,-2-4-178,-1 0-811,4 5-989,0 1-809,2 6 449,-1-6 2249,2 4 0,-7-14 0,2 3 0</inkml:trace>
  <inkml:trace contextRef="#ctx0" brushRef="#br0" timeOffset="333">1073 925 8342,'-10'-6'4138,"1"-1"-3239,0 1-179,2-1-90,0 0-91,2-1-89,2-1-180,2-2 0,3 0-1440,25-30 361,-8 17-1260,18-12 0,7-3 2069,25-9 0,-23 16 0,2 1 0,33-19 0</inkml:trace>
  <inkml:trace contextRef="#ctx0" brushRef="#br0" timeOffset="1500">1277 803 10051,'1'-13'4857,"2"-1"-4047,1 3 0,4-1-181,-1 3 1,4-1-180,0 1-1,4 0-89,0 2-90,1 1 270,14 2-181,7 13-269,-5-2 0,6 24-90,-27-15 90,6 24-90,-12-22 0,5 26-90,-7-27-179,5 15-1,-3-22-1080,8 2 991,0-9 179,3-2-180,2-9 180,-2-6 90,0-3 360,10-32 0,-15 24 449,12-37-449,-17 42 90,5-14 90,-6 17-270,1-2 0,0 5-90,2 4-1,4 4-89,4 5 0,8 4 90,12 5-90,8 5 0,5 5 0,0 3-90,-10 1 1,-9 1-91,-11-2-270,-9 0-180,-10-2 1,-10-3-1,-8-4-270,-6-3-179,-3-5-180,2-4 0,4-6-1,8-6 1,9-6-2159,11-9 3418,4 3 0,7-3 0,-2 6 0</inkml:trace>
  <inkml:trace contextRef="#ctx0" brushRef="#br0" timeOffset="1868">763 1217 9062,'-20'3'4677,"2"0"-2968,3 0 900,1-2-1710,15-5-89,3 0-91,16-4-89,6-2-90,14-3-1,9-3 1,12-2 0,10-2-405,21-6 0,4 0-802,-12 4 1,4-1-84,5 0 1,8 0-1,-10 4-910,-19 6 1,-2 1 729,2 0 1,5-1 0,-6 3-1275,-5 3 0,-6 2 2204,-7 2 0,-6 2 0,1 0 0,-21 3 0</inkml:trace>
  <inkml:trace contextRef="#ctx0" brushRef="#br0" timeOffset="2217">1405 1261 9781,'-27'-6'9265,"7"2"-9175,31 7 0,-1 0-90,6 1 0,-3 0 90,5 0-90,3-1 0,-5-1 180,20 3 0,-16-2 359,27 13-359,-25-4 0,29 27-180,-28-16 90,25 34-90,-29-31-809,24 29 179,-23-35-2608,31 18-990,-13-27 4228,27 0 0,-18-12 0,5-5 0</inkml:trace>
  <inkml:trace contextRef="#ctx0" brushRef="#br0" timeOffset="2548">2515 882 10771,'29'-80'4767,"3"13"-5576,-18 61-1,5-1 90,-5 4 1,0 1 89,1 2-1079,20 10 2249,-20-4 449,14 11-449,-29-6 90,-1 0-1,-4-1-89,0-3 449,0-1 181,-2 2-631,3 0-628,6-1-271,3-3-900,16-6 361,-3-2-6027,38-14 6926,-20 6 0,23-9 0,-23 8 0</inkml:trace>
  <inkml:trace contextRef="#ctx0" brushRef="#br0" timeOffset="3117">3498 434 9062,'3'-9'9804,"0"-1"-8814,1 1-631,1 6-89,1 3-90,1 5 0,-1 2 0,1-1 0,1 2 90,12 14-270,-6-5-180,8 11-90,-12-9 90,-4-1 180,-6-3-180,-7-4 180,-6-3-90,-6-5 0,-10-7 90,9-1-180,-7-8-89,12-2-1,2-1-1349,5-31 1349,9 23 90,5-23-180,10 18 180,13-9 270,-4 6 720,27-12-540,-32 31 179,21-8-179,-26 18 360,19 9-540,-18 0 0,23 22 0,-27-14-90,11 18 0,-16-18 0,3 4-90,-3-6 180,1-1-270,2-1-90,6 2 180,-3-4-180,18 0 270,-15-7 180,21-12 0,-22 0 450,14-22-361,-20 14 271,2-31-450,-12 30-180,-8-20-360,-5 23-719,-7-1 359,3 8-4047,-4 6 4857,11 6 0,-1 0 0,8 0 0</inkml:trace>
  <inkml:trace contextRef="#ctx0" brushRef="#br0" timeOffset="3334">4261 61 9152,'7'-11'4767,"0"0"-2428,-1 2 1708,-1 0-3237,-5 6 89,0 3 1,-6 9-180,-2 3-91,-1 6 271,-8 19-631,2-4 91,-9 21-450,-3 15-359,5-10-1440,-9 32 360,15-40-2879,-7 43 2699,14-49 1709,-4 43 0,11-66 0,2 11 0</inkml:trace>
  <inkml:trace contextRef="#ctx0" brushRef="#br0" timeOffset="3664">4377 535 9871,'6'-12'4588,"0"0"-3329,-1 3-180,0 0-89,0 2-181,0 0 721,0 2-991,4-2-89,-2 2-90,2 0 0,-2 1-91,1 0 1,0 1 0,-1 0-180,1-1 180,3-1-180,-2 0 0,13-9-90,-4-1 0,3 0 0,1-6 0,-13 12 1349,10-4-809,-9 14 449,3 9-359,-4 16-270,-2 16-630,-1 12-990,0 6-1168,0 2-540,1-4-91,3-6-6772,6-2 9815,-4-20 0,-1-8 1,-8-17-1</inkml:trace>
  <inkml:trace contextRef="#ctx0" brushRef="#br0" timeOffset="4190">4913 93 10681,'0'-10'5667,"4"1"-5308,2 3 1,3 0-90,-1 2-90,1 0-180,2-1-90,0 0-180,1-1-180,0 1-179,0-1-181,1 1-4137,17-6 2968,-12 7 1979,12-2 0,-22 6 0,-4 3 0</inkml:trace>
  <inkml:trace contextRef="#ctx0" brushRef="#br0" timeOffset="4333">5113 49 8252,'-3'9'1170,"0"0"-631,-1 0-89,0 1 0,0-1 89,-1 0-89,1-1 540,0 0-91,-1 2 91,2-2-631,2 2-269,6-6-270,5-3-179,1-5-181,2-1-270,-2-1 1,0 0-181,0-1-898,2-1 1888,5-3 0,-9 5 0,3-1 0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1:04.717"/>
    </inkml:context>
    <inkml:brush xml:id="br0">
      <inkml:brushProperty name="width" value="0.035" units="cm"/>
      <inkml:brushProperty name="height" value="0.035" units="cm"/>
      <inkml:brushProperty name="color" value="#00A0D7"/>
    </inkml:brush>
  </inkml:definitions>
  <inkml:trace contextRef="#ctx0" brushRef="#br0">1 1 24575,'0'0'0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2:23.84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37 204 8342,'-6'-9'5307,"-1"0"-3958,-1-1-269,0 1 359,1 2-1169,6 8 90,2 1-180,6 8-1,1 1 1,2 3-90,1 2 90,11 13-180,-4-5 180,24 31-180,-18-26 0,27 30 90,-30-36 540,19 16-360,-26-26 989,13 3-180,-12-25-809,-2 3 540,-6-32-631,-7 17 271,-3-36-360,0 29 180,-3-35-360,3 38 90,-2-27-90,4 34-629,-2-13-901,1 16-1528,2 0 1799,5 6-1709,4 9 359,2 5 2699,8 13 0,-12-10 0,5 4 0</inkml:trace>
  <inkml:trace contextRef="#ctx0" brushRef="#br0" timeOffset="702">685 297 10501,'-63'10'9830,"11"1"-9766,45 4-154,1-1 90,1 4 0,3-4-179,2 6 89,3-11 0,3 2 90,0-6-90,3-2 90,0-3-90,7-4 90,-3-2-90,11-11 180,-4-5 180,8-14-180,-10 10 539,3-13-359,-14 24 90,4-10-180,-5 12-90,0 0-450,1 8-90,-2 7-90,1 5-719,0 8 719,-2-5-449,5 5 539,-4-7-89,3 3 179,0-5 270,0-2 270,3-3 719,2-15-629,-5 4 270,4-13-180,-5 9-1,2-4 1,2 2 360,14 3-630,-10 8 180,22 9-181,-22 3-89,10 8 90,-2 11 0,-5-1-90,2 5 270,-6 0 360,-8-8 1169,-2 7-1080,-6-9-269,-5-5-270,-5-13 90,-3-11-180,1-3 0,-2-15 0,3-11-540,2-15 0,5 8-269,7 4-2340,9 1 1980,-2 16-1440,11-17-2698,4 17 900,-3 4 4317,4 4 0,-16 12 0,-2 2 0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2:28.24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25 1228 9691,'-10'-9'5487,"2"0"-4137,3-3-271,4 1-270,2-1-449,4 0-90,0 2-90,2 1 0,0 4 0,0 0-90,0 0 0,2 1 0,0-1-90,0 2 90,1-1 0,15-2 269,3 0-269,0-1 180,-4 3 180,-11 3 719,7 7-809,-5-1 719,12 17-809,-15-8 0,6 10-90,-6-6 90,0 1-180,1 2 90,9 12-90,-6-7 90,29 37-180,-24-34-90,22 28 90,-27-37-90,16 17 0,-18-22 90,11 10 0,-16-19 0,0-6 0,-6-4 0,-8-30-90,-2 7 90,-18-64 0,9 35 0,-1-3 0,0 0 0,-1-5 90,-2-5 0,1 0-90,1 8 90,0-5 0,0 3-1,7 24 1,-5-21 90,9 24 540,4-17-450,3 15 90,15-19-181,2 36 46,26-8 0,6 0-45,7 2-45,28-8 0,4 1-1937,-7 7 1847,-16 6 0,0 0-45,10-2 30,-9 5 0,12-4 0,-8 3 15,-16 4 0,2 0-105,31-8 0,13-3 0,-17 5-30,-2 2-180,-13 3 1,-4 1-181,-14 4-2225,21-5 1776,-41 9-1620,14-2-3597,-26 5 4767,-7 4-1350,-8 3-55,-13 5 2754,-4 2 0,-5 4 0,-4 2 0</inkml:trace>
  <inkml:trace contextRef="#ctx0" brushRef="#br0" timeOffset="452">959 890 9152,'-8'-5'6296,"-1"-2"-899,2 0-4138,8 6-629,3 5-90,5 7-91,3 5 1,-1 0-180,1 2 0,2 4 180,8 14-270,-3-8 89,28 41-179,-12-26 0,5 10 90,-5-20 180,-23-24 270,10 2-361,-10-12 721,1-14-720,-5 1-90,-4-35-180,-4 19 0,-6-60 0,3 45 0,-1-7 0,0 2 0,0 12 0,-2-32 0,4 48-3598,-2-13-4857,2 20 4947,5 8-2429,0 6 5937,5 11 0,-4-4 0,-1-1 0</inkml:trace>
  <inkml:trace contextRef="#ctx0" brushRef="#br0" timeOffset="1102">1579 932 8432,'7'-6'4857,"0"0"-3507,-2-1-91,-1-2 1170,-2 1-1440,0-6 0,-3 4-269,-2-4 0,-1 5-1,-1 1 91,-1 0-271,-1 1 811,-10-1-451,-8 9-809,3 0 90,-10 19-180,22-8-90,-7 22 0,13-17-630,4 22 451,4-22-631,13 17 630,-7-22-179,16 6 359,-14-14 90,14-8 180,-14-2 539,10-18-359,-15 12 629,8-19-539,-10 19-90,3-9-2339,-5 11 90,5 5 720,-2 6 269,2 6 1,0 0-1,-3-2 181,2-1-1170,3 2 1259,2-2 450,7-4 270,-6-2 720,8-13 89,-11 2 181,4-10-451,-6 6 1800,2-14-1800,-5 17 541,4-8-91,-1 14 270,10 11-989,-3 0 0,14 16-180,-12-4 90,12 15-180,-5-3 0,8 12-90,-11-14 90,3 8 0,-17-23-90,2-4 89,-7-9-89,-3-19 0,1 3-629,4-41 89,0 24-2248,9-51 1349,-5 50-4408,17-44 2609,-14 53 3238,15-27 0,-11 37 0,5-6 0</inkml:trace>
  <inkml:trace contextRef="#ctx0" brushRef="#br0" timeOffset="1936">1199 2150 13559,'-11'-10'7016,"-2"3"-6476,2 7-90,1 3 89,1 5-89,2 0 270,1 9 179,11 23-809,2-9 180,36 33-270,-14-37 90,51 29-90,-40-33 0,46 27 0,-53-30 90,27 20-90,-41-25 0,9 13 0,-23-15 0,-5 5 90,-8-8-90,-29 3 0,12-7 0,-43 4 0,34-8-90,-31-1-180,27-9-360,-14-16 451,21 3-181,4-30 360,24 22 0,13-43 90,0 39 449,19-34-269,-17 44-90,7-10 360,-9 17 629,2 4-899,-2 5 180,-1 12-270,-7 14-90,-2 3-1,-4 15-808,-6 21-1,1-9-2788,-8 39 2159,9-50-1619,-4 31-1979,7-30 4947,1 7 0,2-21 0,2-8 0</inkml:trace>
  <inkml:trace contextRef="#ctx0" brushRef="#br0" timeOffset="2520">1969 2406 8072,'12'-12'3059,"0"-1"-2160,-3 1-89,-2 0-1,-2 0-89,-1 0-1,-1 0-89,-2 0-90,-1-1 539,-4-6 900,-8-10-630,-10 2-1079,2 3 0,-4 14 180,5 17-181,4 2 91,-6 8-90,7 1-90,-1 4 540,-6 39-630,10-25 0,-3 26 89,19-14-179,11-4 0,0 0 90,4-12-180,-1-20 180,15-14-90,-9 0 0,8-15 90,-20 1 0,0-4 90,1-17 0,-4 5 270,2-48 269,-11 23 1,-3-1-90,1-41-496,-3 43 1,-1 5 585,-5-2 0,1 16-720,-3-5 0,-1 4 0,4 17 0,-1 1 0,5 18 0,1 26 0,3-3 0,5 42 0,2-23 0,5 20 0,2 3 0,0-5 0,0-4 0,0 0 0,7 2-3328,22 22 809,-12-22-1978,25 12 539,-32-52 3958,16 3 0,-25-14 0,3-1 0</inkml:trace>
  <inkml:trace contextRef="#ctx0" brushRef="#br0" timeOffset="3602">1120 3018 11940,'-14'-5'5937,"4"-1"-5398,5-3-89,5 2-90,6-3-90,2 4 90,24-8-180,-6 3-90,22-7-1,-4 3 1,7-1 0,4-1-90,21-8-710,17-4 1,2-1 799,-6 3-90,-24 7 0,9-2 0,-9 2 0,25-5 45,4 0 0,-3 1-45,-22 8-65,-3 1 0,-4 2 65,-22 5 270,32-5 90,-43 8 359,8-1 1,-19 3 1486,0 0-1576,-6 1 152,1 0-332,-2-1-270,-4-1-180,-4-3-90,-4-6 90,-2 1-90,-2-4 0,0 1-90,-11-32 90,5 13 45,-6-20 0,-2-5-45,-7-27-136,7 19 0,-1 0 226,-4-19 89,9 31 1,1 2-50,-4-12 320,-4-18-90,5 28-90,4 11 90,1 9-180,1 6 357,3 9-357,-5-2-35,2 11-55,-8 0-90,4 8 90,-50 21-90,30-6 90,-46 18-90,11 0-90,-19 8-79,31-13 1,-4 1 213,-19 7 0,2-2-372,23-9 0,0-1 372,-25 8 0,0-1 45,28-10 0,-1-2-45,-26 8 1,0-1 44,29-8 0,0-1 0,-23 4 0,7-2 0,17-6 0,-30 4-90,42-9 90,-3-1 0,9-2-90,11-2 485,1 0-305,2 0 1315,4 2-955,2 3-90,11 2 0,4 3-91,2 0 181,0 1-180,2 1 450,10 25-720,-5-9 0,21 50 0,-17-36 0,7 18 0,-1 1 0,-2-6 0,3 15 0,0-1 0,-6-16 0,0 6 0,-1 0-450,-6-12-1394,1 3 0,0-1 45,-3-10-1529,8 28-360,-3-37-4857,5 3 8545,-2-15 0,-5-10 0,-5-6 0</inkml:trace>
  <inkml:trace contextRef="#ctx0" brushRef="#br0" timeOffset="12704">3749 1765 7713,'11'-7'3418,"-1"0"-2519,-2 1 720,0 1 0,1-2 1979,-1 1-3238,-6 3 0,-4 3 0,-9 4-91,-1 3-89,-4 0 0,-3 2-90,-3 2 90,-4 0 90,-30 15-270,17-9 45,-5 1 0,-5 3-225,-44 16 90,14-6-450,22-9 1,5-2-1,15-7-1259,-29 9 1169,44-15-1438,-12 2 898,19-7-89,0-9 989,9-1 0,10-14 270,5 6 540,20-31-180,-11 18 989,28-45-899,-26 40 1259,22-37-1080,-27 44 1080,12-21-1259,-18 32 1709,5-9-1979,-14 23 0,1-1 0,-8 14 269,-8 12-269,1-1 180,-25 37-270,16-23 0,-5 11 0,-1 0-90,5-5 0,-1 8 0,1-2 0,7-11 0,-8 37 0,21-48 0,19 28 0,1-37-180,31 12-90,-15-24-1079,34-1-360,-4-8-225,-12 1 0,1-1 135,14-1 1799,28-1 0,-70 5 0,12-1 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12.73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27 1597 10411,'-13'0'7826,"1"0"-7467,11-1-89,1 0 90,12-2-90,1 1 90,3-1-1,6-1 510,40-7 1,28-6 0,-2 1-660,-17 2 0,-1 0 0,3-1-353,-1 2 1,3-1-1,2-1 1,1 0 299,8-2 0,4-1 1,-4 1-1,-14 3-112,-10 2 0,-1 0 0,11 0 0,12-3 0,1 0 0,-15 3 0,-14 3 0,-2 1-45,13-2 0,7 0 0,-9 1 0,29-5 45,5 0 0,-2 0-135,-17 2-168,2 0 1,-8 1 167,-38 4-193,22-3 14,-39 7-721,7-3-629,-14 3-2609,4-4 1878,-13 2-4576,-5 0 7064,-11 1 1,5 3 0,-1 2 0</inkml:trace>
  <inkml:trace contextRef="#ctx0" brushRef="#br0" timeOffset="847">393 1910 9422,'-9'-8'5397,"1"0"-3958,2 0 1799,1 0-2878,1 12-90,4 0-91,1 11 1,3-3-90,-1 2 180,8 16-180,-3-11 0,16 28-90,-13-31 0,13 14 0,-14-24 90,14-3-90,-12-5 360,10-9 0,-14 4 899,4-6-630,-5 3 1,1 0-450,1 7-90,-2 7-90,-1 5-90,1 10-360,-3-6-2428,4 22 449,-1-8-2068,6 18 1798,-5-20 2699,5 5 0,-9-23 0,1 1 0</inkml:trace>
  <inkml:trace contextRef="#ctx0" brushRef="#br0" timeOffset="1165">714 2155 9062,'-1'-10'8725,"-1"-9"-6746,0 8-1530,1 3-449,4 16-89,1 4-91,3 2-180,-1-7 90,0 0 0,0-1-180,5 0 360,3-3 90,4-5 180,-4-2 360,3-10 360,-5-2 629,1-13-810,-6 7 451,-4-10-811,-5 16 541,-7-10-630,-1 13-360,-9-1-720,0 15-1349,-1 9-359,1 6-630,4 5-270,5-4-2339,6 0 5757,3-5 0,1-6 0,1-1 0</inkml:trace>
  <inkml:trace contextRef="#ctx0" brushRef="#br0" timeOffset="1566">1376 1793 10051,'-9'-5'7466,"0"3"-6656,0 5-91,2 3-179,2 3-90,1-1-91,2 1 1,0 1-180,1 1 0,0 0 0,2 1 90,3 8-180,0-8 0,11 10 0,-7-16-90,13 1 0,-11-8 89,14-10 91,-14 3 990,11-14-631,-13 12 1170,7-8-359,-8 8-451,2 1-629,-2 7-180,-1 7-90,-1 4-90,-2 3-360,-1-2-1259,0 7-1439,0 1-90,2 7-270,2-2-5307,1-2 7967,1-6 0,-3-6 0,-2-6 0</inkml:trace>
  <inkml:trace contextRef="#ctx0" brushRef="#br0" timeOffset="1863">1740 1959 7892,'21'-27'9830,"-3"3"-4278,-13 14-4383,1 3-809,0 7-270,2 3 90,-2 5-90,1 1-90,-3-1 0,1 0 0,0 0 0,-1 1-90,1 0-180,1 9 90,-2-7-360,0 16 360,-6-17-269,-4 9-271,-1-14-179,-12 1-91,3-8-719,-13-8 1079,10-1-629,-6-13-270,10 2-270,-1-5 810,5 5-4768,6-13 5757,5 18 0,1-7 0,1 18 0</inkml:trace>
  <inkml:trace contextRef="#ctx0" brushRef="#br0" timeOffset="1980">1821 1708 8072,'11'-7'2789,"0"-1"-2070,-1 2-89,0 0-90,1 0-180,0 1-1,0-1-89,1 0-180,-1 1-90,1-1-630,5-1-2698,13-6 3328,4 1 0,-8 2 0,-9 5 0</inkml:trace>
  <inkml:trace contextRef="#ctx0" brushRef="#br0" timeOffset="2800">2621 1502 10321,'-12'-4'6746,"0"1"-5486,-2 4-271,2 1-449,2 4-360,6 3-1,3-1 1,5 2-90,1-1-90,2 0 90,1 1 0,1 1-90,0 1 0,15 18 0,-5-3 90,3 5 0,-9-5-90,-12-9 0,-4 0 0,-3-4 0,-17-6-90,9-7-360,-28-7 1,14-4-271,-13-8-89,11-3-1,8-2 450,9 4-449,10-12 539,10 8 90,8-9 90,6 7 270,5 3 0,-5 7 629,17-2-449,-17 10-90,12-3 450,-8 5-361,-6 2 361,17 0-90,-4 7-540,-1 1-1,-3 7-89,-17-3-179,4 6-91,-3-5-90,8 2 180,0-7 90,3-4 270,7-7 450,-5-6-271,-2-2 1800,-4-22-1619,-14 17-90,2-16 179,-13 11-539,-14-5-360,2 5-1529,-20-3-719,6 18-990,-9 1 3508,-10 10 0,14 2 0,-5 4 0</inkml:trace>
  <inkml:trace contextRef="#ctx0" brushRef="#br0" timeOffset="3967">394 903 9512,'-3'-8'7555,"1"10"-7195,1 2-90,2 10 0,1 0-90,1 4 0,0 1-1,0 2 91,6 25-180,5 21-180,-2-8-2068,7 36 1168,-13-62-3867,6 39 1259,-8-50 3598,2 11 0,-4-25 0,0-2 0</inkml:trace>
  <inkml:trace contextRef="#ctx0" brushRef="#br0" timeOffset="5081">1200 657 9422,'-1'-15'8365,"1"12"-7915,0 13-91,0 8-89,2 8-90,0-2-90,1 3 90,1 2 0,0 4-180,1 0 0,3 18-270,-3-14-1079,7 38-2159,-3-3 2338,-1-10 1170,0 9 0,-6-57 0,0 7 0</inkml:trace>
  <inkml:trace contextRef="#ctx0" brushRef="#br0" timeOffset="5417">1150 54 7623,'-1'-13'3418,"0"1"-2159,-1-2 2069,1 2-2878,-1 9 90,0 5-91,0 12-89,1 1 90,1 3-90,0 4-91,2 3 1,0 3 180,4 24-270,2 0 0,2 3-90,3 23-540,1-5 0,0-3-89,-4-18-946,2 1 1,0-2 135,-3-11 1349,10 38 0,-14-58 0,2 9 0</inkml:trace>
  <inkml:trace contextRef="#ctx0" brushRef="#br0" timeOffset="6116">2279 617 9332,'-4'-11'6566,"1"0"-3958,-1-1-359,-1 2-1709,1 10-90,1 4 89,1 10-179,1 4 0,0 5-90,1 6 0,0 26-1215,2-5 1,0 2-46,1 25-1079,2-7 1,1-3 89,-1-17-5397,6 38 7376,-7-51 0,2 9 0,-3-17 0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21.42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29 143 15808,'10'-3'360,"1"1"-270,2 1-90,1 0 0,2 1 0,2-1-3392,-4 0 3392,1 0 0,8-1 90,8-3-90,-4 1 0,6-2 0,-21 3 180,9-2 3391,-9 3-3301,4-2 0,-5 2 180,-2 0-270,0 0 0,-9 0 90,-2 0-1,-8-1 181,1 1 0,0-2-90,1-1-1,-1 0 91,2 0-90,-1 0 270,1 0 89,-2 0-269,2 0-450,5 5 0,8 4 0,2 2 0,5 2 0,-2-1 0,-2-2-90,3 2 90,-3-3 0,6 4 90,-4-1-90,5 2 0,-6-3-270,-4 1-449,-4 0-451,-5 1-539,-5-1 810,-1 0-1350,0-1-180,-3 1-3777,2-2 6206,-2 2 0,5-4 0,1 0 0</inkml:trace>
  <inkml:trace contextRef="#ctx0" brushRef="#br0" timeOffset="359">141 61 8792,'-4'-7'3868,"-1"1"-2249,0-3-90,-1 0-180,0-1 180,0 1-269,1 1-991,-1 6-89,-2 4-90,1 4 0,-1 4-90,2-2 90,-1 2 0,1 0 90,-4 5 90,-5 10-180,4-6 450,-3 12-271,10-16 1,2 5-180,6-6 0,4-1-90,1-4-1169,12 0 539,-7-5-2158,23 1 359,-9-3-359,13-1-2789,-4-2 5577,-9 1 0,-10-1 0,-11 1 0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23.74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310 498 7533,'-8'-4'7375,"2"-2"-6835,6-2-90,2 2 0,5-1-91,1 3 1,2 1-90,3-1 0,2 1 180,4 0-180,4 0 314,26-1 1,6-1-495,10-1-45,-2 0 0,1 1 45,4-2 0,26-4 0,5-2-45,-50 7 0,2 0-835,29-5 0,13-1 0,-17 2 880,-1-1-404,0 0 0,-3 1 404,-18 2-90,22-4 0,-40 6 0,35-8-90,-33 7 90,33-8 0,-41 7 2207,4-1-2207,-10 2 701,7-3-701,-15 5 0,9-3 0,-15 3-90,-1 1 180,-3-1-180,-4-3 90,-3 1 0,-5-3 0,-3 0 90,1 1 0,-2-1 179,-3-2 1,2 2 90,-11-6-90,7 5 809,-17-9-629,14 10 360,-14-7-1,14 8 180,-7-3-719,7 3 90,2 1-360,15 6 90,3 2-180,11 4 180,0 0-180,3 1 90,22 11-180,-2-1 0,17 10 90,-22-8-269,5 9-91,-18-7-1979,2 19 1350,-15-17-1170,-12 14 900,-3-20-1799,-15 12-4228,-8-3 7376,-2 0 0,-5-1 0,9-7 0</inkml:trace>
  <inkml:trace contextRef="#ctx0" brushRef="#br0" timeOffset="498">429 284 9332,'1'-14'5037,"1"-1"-3508,1-1-360,0 1 630,0 1-1259,-2 2-270,-4 7-180,-3 2 90,-3 7 0,-2 3-91,-2 1 1,-3 2 90,-2 2 180,-25 18-180,-22 20-90,9-7 0,-15 18-90,44-36 90,-19 25-90,23-19 90,-3 12-90,18-19-180,21 9-180,-1-18-989,22 10-450,-3-17-630,16 0 990,-7-4 1439,31-4 0,-30-1 0,24 0 0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34.11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329 73 7353,'2'-12'5667,"0"0"-4138,0 0 450,-1 2-91,1-2-1168,-1 2-540,-4 5-90,-3 6 0,-2 5-90,-1 3 90,1 1-90,-2 1 0,-2 3-180,-24 32-180,-4 5 180,-5 7-90,-6 9 180,31-40-359,-17 21 359,25-32-270,-7 7 270,11-15 90,0-4 0,4-9 90,2-8 0,2-2 270,3-15-90,0 13 359,2-21-449,-2 22 360,1-13 179,-1 15-629,-2 9-90,-1 5 90,-1 14 0,-3 7-90,2-5 180,-3 25-180,3-20 0,3 29-90,3-30-180,8 16 0,-1-21-269,5 2-1710,18-8-90,3-8-1528,25-6 3867,-1-9 0,-9-1 0,-4 0 0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0.83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126 138 8342,'3'-13'2339,"1"1"-1620,0 2 1,3-1-90,1 0-91,1-1 1,2-1 180,6-3 539,12-2-539,-9 5-181,9 4-359,-20 14 0,-1 2 0,-4 4-90,-4 1 90,-2 0-90,-2 3 90,-6 8-90,-16 22 0,7-13-90,-20 19 89,21-33 361,-23 19-270,19-20 630,-24 17-630,29-22 269,-11 6 181,19-11 1259,2 6-1709,14-8 0,3 3 0,8-8-1,18-1-358,-9 0-2250,58-5 1529,-45 2-1258,43-4 898,-51 5-1528,17-2-4048,-15 0 6836,-3 0 0,-12 2 0,-12 2 0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1.07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87 85 8522,'-18'-3'2878,"1"0"-2248,2 1 90,2-1 719,2 2 810,0-2-1620,9 0-359,8 0-90,5 1 0,7 0-90,-1 1 0,3-1-180,5-1-1529,55-7 899,-34 4-629,12-2 0,-1 0 269,-18 2 1080,30-4 0,-51 8 0,4-1 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1.26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45 124 7533,'-16'7'3148,"1"0"-809,3-2-1800,11-4-359,12-5-90,8-4 0,11-3-90,-1 1-270,5-1-180,2 0-2563,12-5 0,3 0 3013,2 0 0,-3 1 0,-2 0 0,-11 4 0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2.26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42 8702,'5'-8'2698,"1"1"-1978,0 0-180,2 2 89,0 0-89,0 1 0,2 1-180,-1 1 89,1 1 91,5 3-180,-3 0 359,16 14-629,-16-5 90,9 16-90,-16-11 270,-3 21-180,-4-15 809,-13 37-719,6-35 450,-12 24-360,13-33 449,-7 13-449,8-15 1259,-2 12-1349,9-13 90,5 6-270,4-9-630,37 2 0,-22-8-1169,37 1 720,-35-5-1260,18-2 990,-19 0-7826,24-7 9085,-26 4 0,4-1 0,-20 4 0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2.47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86 42 9691,'-19'-6'3239,"2"1"-2520,2 0-179,2 2 629,2 0 540,1 0-1619,11 2 0,1 1-90,12 0-629,12-1 269,-3 0-900,25-2 451,-17 0-1800,31-1 720,-33 2 1889,19 1 0,-37 1 0,2 1 0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2.6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135 125 8252,'-25'13'3868,"1"-1"-3684,2-1 626,3-1 24,3-2 965,-1 1-706,7-1-913,8-2-1,7-5-179,13-4-89,4-3-721,29-12 90,-4 1 138,23-9 582,-4 1 0,1 0 0,12-5 0,-11 4 0,1-1 0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2.99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47 193 8612,'-12'-14'2878,"1"0"-2158,2-1 0,2 0-1,3 0 1,1 1-91,3-1-89,2 1 540,7-7-271,6 1 1,11-3-1,2 14-629,-5 5 809,-3 32-809,-15-9 180,0 29-180,-6-21 270,-2 30-270,1-26 269,6 33-179,4-33-180,9 12-90,-1-23-899,22-3 269,-15-13-1978,41-7 1528,-33-3-2878,40-13 1620,-41 9 2338,20-8 0,-37 12 0,3-1 0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3.78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1489 94 7353,'-11'-11'2159,"-2"1"-1620,-4 0-89,-3 1-956,-7 0 1046,-4 0-180,-7 1 224,-10 1 1,-3 1-135,-13 0-270,13 1 0,-5 2 494,-22 7 1,2 4-405,-6 3-46,-11 4 1,3 4-45,22 4 45,2 9 0,2 3-45,-1 7 90,-2 14 0,3 3-90,12 2 134,1 14 1,4 8-135,24-29 0,6 2 0,-8 27 0,4 1-135,12-28 0,6 1 90,10 30 0,10-1-90,1-26 0,6-1-16,2 2 1,6 3 0,-1-6-30,0-7 0,6-4 0,11 1 0,8 2 0,-6-10 0,21 9-584,-7-8 1,-1-5 583,-6-15-90,-3-5-90,-3-6-180,9-11 1,2-5 179,7-3 90,-5-1 0,-2-4-2689,-8-11 2599,-1-5 90,-2-5-13,-2-4 13,19-28 45,-34 29 0,0-4 90,8-10 0,1-7 105,-9 1 0,1-6 0,-4 4 22,-1 3 1,-3-2-23,-1-3 0,-2-7 0,-5 10 975,-5-20-765,-15-18 0,-6-1-270,-8 6 545,-9-1 1,-6 5-546,-11 27 0,-14 12 0,-6 4-90,-9 10-135,-20 13 0,-2 9-558,5 18-207,24 9 1,-8 6-1,10 1-449,-19 19-2699,0 16 0,6 5 4048,21-2 0,15-9 0,4 0 0,8 6 0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6.46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4 103 7713,'0'-18'3058,"0"0"-2249,-1 3 1,1 0-180,-1 3 719,0 0 1169,0 0-1978,2 12-180,0 1 90,3 13-181,1 2 1,1 5-90,2 2 0,1 5 180,5 15 180,9 33-450,-7-22 89,7 37-179,-17-62 90,5 20-90,-8-32 0,1 3 0,-1-4 0,-5-21 0,1 4 0,-2-38 90,2 17-90,5-36 0,0 31-90,5-23 90,-4 29 90,4-10-180,-3 11 90,2-2 0,0 12 0,-1 8 0,-2 8 90,-2 5-180,-1-1 90,3 19 0,-2-12-180,7 26 180,-4-28-359,13 15 359,-9-19-360,18 5 360,-14-13-180,16-3 180,-17-4 90,11-9-90,-15 5 0,6-9 90,-8 6-90,1-3 0,-3 2 0,0 1 0,0 2 0,2 1 0,3 2 0,5 4 0,-1 3 90,6 4-90,-8 0 0,11 8 0,-10-3 0,7 14 0,-9 0-180,-1 9-90,-5-6-90,-5-2-1619,-10 11-3148,-8 6 5127,-4 6 0,5-17 0,7-16 0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48.3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11 314 7982,'-3'-10'4318,"-1"0"449,1 0-3957,4 9 539,0 1-809,8 24-91,-2-2 1,4 14 180,0 14-450,-2-10 539,8 52-539,-8-44 90,6 45-180,-6-34-180,1 10 0,-4-16-899,1 9 269,-4-27-1349,1 11 1979,-4-38-90,0-9 180,-2-22-90,0-3 90,1-8 180,2-23 0,1 11 270,4-9 0,2 0-270,0 7 89,4-3 1,1 3-90,-3 23 90,9-13-180,-10 27 90,10 0-180,-9 11 90,6 14-90,-10 6 0,-2 18 0,-6-6 0,-8 34 0,5-34-180,-9 40 90,10-52-180,-2 11 180,12-27 90,-1-1 0,7-8 0,5-7 0,-3 2 0,23-18 0,-16 13 0,30-22 0,-30 20 0,16-13 90,-18 11 0,2-7 0,-10 8 180,-2-7-90,-10 14-180,-4-1 90,-1 10-90,0 6 0,4 5 0,3 3 0,2-3-90,3 1 90,1-4 0,-1 0 0,1 0 0,1 0 0,0 1 0,8 9-90,-2 3 180,3 4 0,-4 6 180,-4 7-1,-2 2-89,-5 10-90,-9-8-90,-2-8-270,-10 7-1259,-9-6 720,5-6-2519,-15-2 629,17-26 271,-5-4-1530,7-15 3958,4-3 0,1-8 0,-1-3 0</inkml:trace>
  <inkml:trace contextRef="#ctx0" brushRef="#br0" timeOffset="285">394 115 9422,'17'-22'4317,"0"2"-3417,-2 3-1,1 3 1,-1 2-91,0 2 1,0 2-91,-1 1 451,4 3-631,-5 4 631,8 14-901,-11 0 721,2 36-720,-11-20 269,-7 55-449,1-45 90,-4 57-270,8-64-539,8 25 179,4-44-2069,35-5 1890,-17-12-91,23-9 91,-23-1-181,-1-2-1888,20-16 1708,-19 11-5666,32-29 6656,-41 31 0,8-8 0,-24 21 0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4:06.46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8945 1543 8612,'-12'-3'9715,"1"1"-8816,10 0-269,3 0-271,12-1-89,-1 0 90,4 1-90,-1-1 0,5 1 359,21-4 271,46-6-630,-10 1-524,8-2 1,2-1 433,2 1-60,-23 2 0,12-1 0,-11 1-76,-19 4 1,1-1 15,33-4 0,14-2 0,-12 2-60,-30 4 0,-1 1 0,18-3 0,10-1 0,-12 2 0,16-1 30,-23 3 0,10-1 0,-9 0-30,24-1 0,9-2 0,-4 1 0,-34 5-410,-6 0 1,-1 0 409,-4 1 0,4 1 0,0 1 0,-7 0-143,40 1 143,-59 1-90,21 1-90,-24 0-1063,26-1 253,-31 0-1154,15-1-375,-20-2-1349,0-3 3868,-5-4 0,-5 4 0,-2 0 0</inkml:trace>
  <inkml:trace contextRef="#ctx0" brushRef="#br0" timeOffset="2073">9806 36 7263,'-3'-13'3868,"-1"1"-1710,2 2-1618,3 9-270,0 5 270,3 7-271,-1 6 1,0-5 0,-1 4 0,1-3 719,1 20-809,-1-13 270,2 21-360,-3-23 450,4 30-450,-2-24 90,4 29-1,-3-21-89,3 10-90,-2-8 180,6 26-180,-6-31 0,7 30 0,-8-35 90,5 23-90,-6-22 90,4 13 90,-2-1-180,-2-13 90,2 22 0,-2-17 90,0 16-180,-2-15 90,1 17-90,-1-13 90,0 5-90,0-4 90,0-9-90,1 2 0,-1-9 90,0 5-90,0-9 0,0 4 0,0 0 90,0-1 90,0 0-1,0-1-89,0-1 0,-1-2 90,0-2-90,-1 0 90,1-1-90,0 1 90,0-1 0,-1-1-180,1 1-9831,-1 0 9208,-1-10 0,1 3 0,-2-8 0</inkml:trace>
  <inkml:trace contextRef="#ctx0" brushRef="#br0" timeOffset="3534">9839 1857 13469,'2'7'7826,"-1"-4"-7646,2 16 90,0-9-91,1 0-89,0 0 0,0-1 270,10 7-270,-2-9-90,12-2 90,-11-9-90,3-8 0,-8 3 90,0-3 989,8-14 271,-3 5-451,2-5-629,-4 18-180,-5 11 0,1 6-180,-3 4-720,-1 4 1,0-3-2070,3 13 1530,-2-10-4947,9 25 3597,-6-24 2699,10 17 0,-12-29 0,2 2 0</inkml:trace>
  <inkml:trace contextRef="#ctx0" brushRef="#br0" timeOffset="3866">10227 1950 10501,'6'-22'9830,"4"7"-8506,-1 14-1144,3 4-91,-1 3 1,-2-1 0,4 6 0,-2-3-180,5 9 90,-6-6-449,5 14 269,-8-12-990,1 15 91,-8-13-90,-3 4-91,-6-9 721,-3-7-91,1-4-719,-9-19 1079,12 7 270,-7-19 360,12 8 269,2-7 1,3 0 90,4-4-630,-1 13 90,4-8-450,2 10-1170,7-8 271,1 5 1169,26-20 0,-17 19 0,20-16 0</inkml:trace>
  <inkml:trace contextRef="#ctx0" brushRef="#br0" timeOffset="-81743">3717 2508 9512,'-2'-13'5127,"-3"1"-4228,0 1 1,-2 3-91,0 2-179,-1 1-1,-2 1 1,-2 1 989,-15 2-1079,9 4 0,-12 2 89,14 3 990,-13 17-1259,12-6 719,-10 42-539,31 2-450,-3-3 0,23 9-90,-9-46 180,31 17-180,-25-27 180,25 3 90,-28-19 989,16-15-809,-15 4-360,14-24-90,-20 17 0,6-30 0,-13 27 0,0-35 0,-6 32 0,-7-33 0,1 35 0,-15-25 0,8 32 0,-25-14 0,18 24 0,-29 0 0,24 12 0,-11 5-720,16 2-3058,-5 9 1529,9-3-1438,-4 13-1710,15-6 5397,7 8 0,0-15 0,5-3 0</inkml:trace>
  <inkml:trace contextRef="#ctx0" brushRef="#br0" timeOffset="-83014">666 2625 7982,'7'-38'6837,"-2"9"-6028,-7 11 540,-3 1-719,-1 5-90,-2-3-181,0 6 91,0 2 90,-6 1-180,-3 5-1,-7 6-269,8 1 90,-3 21-180,15-13 0,1 12 0,12-3 90,7 6-90,11 13 0,15 11 0,-11-14-90,22 21 90,-34-38 0,15 21 0,-26-28 0,0 10 0,-8-14 0,-5 6 90,-5-6-180,-15 1 90,8-7 0,-7-5-90,9-9 0,1-4 90,-2-11 0,4-5 0,6-4 90,4 0 90,2 4 0,1 8 450,0 3-630,-2 15 90,0 1-90,-5 17-90,2 0 0,-3 5-630,-1 9-899,-1 6-450,-2 13-719,3 4-4138,4-2 6926,3-13 0,2-15 0,-1-13 0</inkml:trace>
  <inkml:trace contextRef="#ctx0" brushRef="#br0" timeOffset="-82527">993 2667 9332,'1'-16'3238,"1"2"-2519,-2 1 1,-1 2 0,-2 0-181,-1 3-3301,-1 1 3302,-2 2 809,-8 3-180,-6 22-899,4-4 90,1 43-360,15-27 90,2 23-90,4-23 0,1 1-90,3-3-90,6 6 0,4-6 3482,6-1-3302,2-15 180,0-15 360,0-15 269,-1-17-179,-3-18-1,-6-15 91,-6-14 90,-5-9-1,-3-5 91,-2 2 179,-2 10-90,1 14-89,-2 19-360,0 12-540,0 15 0,-1 5 0,0 18 0,0 9 0,0 24 0,3 22 0,4 19-180,1-5 0,1 1-1259,2 15-675,0-14 0,1-4-45,0-20-1888,11 28-2763,-5-36 963,8 10 5847,-3-21 0,3-2 0,2-2 0</inkml:trace>
  <inkml:trace contextRef="#ctx0" brushRef="#br0" timeOffset="23301">2230 1419 8702,'-12'2'6926,"0"1"-6476,11 2-90,1-2-1,10 2-89,1-2 90,1-1 90,15 3 0,49 5-361,-21-4-44,1-1 0,0 0-45,-4-3 0,21 1 0,2-1-179,-6-1-136,15 0 0,-1 0 45,-28-1-270,41-1 271,-57 0-181,13 0 360,-27 0-90,19-5 360,-32-2 0,8-1 0,-24 0 449,-14-3-359,4 3 0,-10-5 0,8 5 90,0 2 629,-16-8 90,-8-3-989,7 3 270,-3-1-360,38 15 0,-4 0 0,16 5 0,-1 2 0,1 0 0,17 9 0,-11-5-180,21 18 90,-25-15 0,7 9-359,-14-4-451,-3 4 450,-3-1-1439,-10 18 1080,1-19-5398,-12 40 3689,11-37 2518,-4 18 0,10-34 0,1-2 0</inkml:trace>
  <inkml:trace contextRef="#ctx0" brushRef="#br0" timeOffset="23929">5000 1373 9602,'-17'-1'3597,"1"1"-2877,1-1-90,0 1-91,2 0 451,1 0 539,-2-1-540,4 0-809,6-2 0,6 1-90,9-2 90,1 2-180,3 0 90,3 1-90,1-1 90,3 0-90,0 0 0,1 1-180,25-3 90,-16 1 90,18-3 0,-24 1 0,-9 0 360,-1-7 90,-12 3 89,-1-6-179,-8 4-90,-4 1-90,-2 2 0,3 1-180,7 6 0,6 4 0,10 6 0,-1 0 0,-1 2 0,-3-2 0,-1 1-270,0 6 90,-3-2-1799,-5 18 990,-3-13-2969,-16 28-2968,0-18 6926,-4 6 0,10-18 0,7-10 0</inkml:trace>
  <inkml:trace contextRef="#ctx0" brushRef="#br0" timeOffset="46352">487 3479 11670,'12'-1'4408,"0"2"-3958,0 0-181,0 3 91,-1-1-180,1 1 0,2 0 0,3 1 180,36 2-180,25-7-180,-2 2 89,-17-8 1,-3-3-90,-7-2 45,12-6 0,2-2 45,-12 1 45,14-6 0,-1-1 45,-17 5-90,32-13 90,-43 19 314,14-2 1,2 2-315,2 0-90,-2 1 0,1 2 270,5 9-180,7 4 0,21 5-90,8 9 0,0 4-45,-28-2 0,-2 0-45,14 4 0,-21-5 0,-4-1 0,-11-5-45,8-2 0,0-1 45,-4-4-135,13-4 0,-1-3 45,-6-8 45,10-8 0,2-1 45,-1-4 0,-16 5 0,-1 1 0,15-5 90,35-6-90,-28 10 0,22-1 0,-50 16 0,35-1 90,-9 3-90,33 0 0,-36 3 0,35 5 0,-46-3 0,5 2 0,4 1 90,28 3-135,-36-3 0,1 0 45,29 3 90,-7-2-180,-31-5 90,48-1 0,-27-4 90,32-2-90,-16-1 0,3 1 90,3 1 0,4 4 0,-24 1 0,1 0-90,25 3 0,-24-1 0,0 0 90,28 2-135,-42-2 0,1 0 45,0 0 0,0 0 0,-5-1 0,0 0-90,44 4 90,-6-2-90,-2 2 90,-3 0 0,-29-2 0,-3-1-90,13 1 0,23 1 90,-60-6 0,15-2 0,-4-9-90,8-17 90,-10 1-90,0-23 90,-21 18 0,9-29-90,-9 2 90,6-31-90,-13 40 0,0-2 45,0-3 0,0-2 0,0 0 0,-1 0 45,0 6 0,-1 2-90,9-44 90,-4 22 0,-4 13 0,-5 16-90,-5 12 90,-8 9 0,-5 6 0,-6 7 0,-3 6 0,-2 6 0,0 4 0,-1 6-90,-1 2-90,-10 7 90,14-9-179,-12 2 179,19-13-180,-36-12 270,22-1-90,-45-24 90,33 11 0,-7-6 0,-2-1 0,-6-3 90,-20-7 0,-2 1 0,13 10-45,-6-1 0,1 2-193,11 9 238,8 4 0,-2 0 90,-35-8-45,34 11 0,-2 0-45,0 1 0,-1 2 45,-16 1 0,1 2-135,-26-1 45,21 5 0,-1 3 0,28 3 0,-3 1-45,-10 1 0,-7 2 0,5 0-259,5-1 0,1 1 259,-29 5 0,7-2 0,24-2 0,-29 1 0,21-5 0,-18 0-251,2-3 251,1-2-90,-1-1 90,-2 1 0,-4 0 0,-5 2 0,38 1 0,-2 1 0,-1 1 0,-1 1 0,-6 1 0,-2 2-45,-19 5 0,3 1 0,32-6 0,3 1 45,-26 6 0,8 0 0,20-4-90,-32 9 0,17-3 90,-16 4-90,2-1-90,1-1 90,-4-2-90,-3-2-90,-4 0 0,-2-3 1,-3-2 104,0-4 75,1-7 0,3-6 0,2-6 135,27 0 0,2-1-45,-13-3-90,-17-7 90,51 15 505,-34-3-505,5 5 0,-33 2 0,4 10 0,-7 8-45,49-4 0,0 1 45,-11 4 0,2 2 266,-13 4-311,14-1 0,4 1 45,11-2 0,-34 16-90,31-12 90,-8 6 130,5 0-130,-10 10 0,25-14 0,-7 10 0,21-7 0,3 7 0,0 15 90,6 41-180,8-32 90,4-6 0,3-1 0,3-6-672,9 22 672,1-17-180,6 6-90,3 0-719,24 23 269,-7-19-89,19 18-766,-4-23 1,1-2-584,10 7 2158,3-1 0,0-4 0,-8-14 0,19 10 0</inkml:trace>
  <inkml:trace contextRef="#ctx0" brushRef="#br0" timeOffset="47317">7242 2673 8432,'1'-14'3238,"0"-1"-2338,4 1-1,2-1-89,5-1-1,4-1-89,4 0 0,2 2 719,23-2-810,-8 12-179,18 7-270,-23 10 180,8 38-270,-25-21 0,5 48-90,-19-44-90,-13 42 90,1-42 0,-23 32-90,15-41 90,-18 9 0,11-24 360,-12-6-180,13-5 539,-6-10-89,16-1 899,1-4-630,7 2-449,10 1-90,3 5 270,20 3-541,1 7-268,19 4-811,3 7-719,4 6 540,-9-1-3329,28 14 3059,-38-16-6836,39 13 8275,-49-20 0,4 0 0,-21-7 0</inkml:trace>
  <inkml:trace contextRef="#ctx0" brushRef="#br0" timeOffset="47515">7455 2609 8702,'-32'-13'4228,"1"0"-3329,4 3-179,4 1-181,5 2 1,4 2 270,4 0-271,3-1-359,10 0-180,2 0-90,10 2-180,2 1-179,3 2-91,4-1-180,4 1-179,2 1-1260,16 2 2159,10 3 0,-19-2 0,-1 1 0</inkml:trace>
  <inkml:trace contextRef="#ctx0" brushRef="#br0" timeOffset="47682">7499 2752 8342,'-20'9'3958,"1"-1"-3238,4-1 449,2-2 0,2 0-719,10-4-360,11-4-90,10-3-180,12-6-180,-1 0-179,12-3-1260,28-8-450,-15 5 2249,31-7 0,-44 13 0,9-1 0</inkml:trace>
  <inkml:trace contextRef="#ctx0" brushRef="#br0" timeOffset="48235">7637 2281 8162,'-45'-20'3149,"2"3"-2520,2 4-179,1 5 0,-1 2 89,0 3 361,-22 7-450,7 4 44,9 3 1,-3 4 405,-38 29-316,16 17 1,4 9-1717,22-17 0,5 3 1222,-10 22 0,9 1 0,14 17 0,13-11 0,11-3-244,9 1 154,6-17 0,10 6 30,13-6 0,9 3 0,-1-4-574,0 11 0,3-3 514,-1-15 0,5 0 0,0-12-15,1-15 0,5-10 15,7-7 0,8-5 0,-2-1 30,12 4 0,5-8 22,-7-11 1,9-6 0,0-5-1,-12 0-545,0-8 1,-4-5 522,-1 0 0,4-4 0,-8-4 0,2-16 0,-8-6 0,-5-3 0,-4-3 0,-1 3 0,-6-1 45,-11 7 0,-8-3 891,-10-10 0,-14-6-607,-18-1 1,-11-5 0,3 4-315,10-10 0,-8 3 134,-22 3 1,-15-2 0,5 23-60,-15 20-90,-5 12 0,-2 7 0,-7 15-270,0 12 1,-8 7-271,7 9 0,-2 6-416,13-3 1,-3 4 0,4 1 505,-20 10 1,7 3-46,13-3 0,5 4-1481,5 9 1,5 2 1975,15-8 0,2 2 0,-8 9 0,3 0 0,17-12 0,1 0 0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29.16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196 40 9152,'-5'-11'2878,"0"1"-1259,1 2 3868,-1-2-4857,6 10-1,-1 1 451,6 12-541,1 13-89,0-3-90,1 11 0,-2-4 269,10 48-539,-7-32-180,3 11 0,-1-2-179,-2-15-2790,12 54 1980,-13-62-3239,9 33-3507,-13-47 7825,3 9 0,-5-21 0,-1 0 0</inkml:trace>
  <inkml:trace contextRef="#ctx0" brushRef="#br0" timeOffset="247">71 415 9781,'-15'-3'4498,"1"1"-3329,1 0 1260,2 0 629,-1-2-2158,8-4 89,3 0-90,9-4-179,5 0-180,5-2-180,4-3-91,4-1 91,2-1-270,2 0 0,2 1-1439,31-14-630,-10 7-1979,30-10 2429,-40 18-8302,11-1 9747,-35 13 1,2-2 0,-16 5 0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05:01.02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1831 1235 8522,'-4'-21'4228,"1"1"-2339,-2-5-1080,2 6 1,-1-2-91,2 8 1350,-1-3 270,1 3-1979,6 6-91,-1 6 1,5 11-90,-3 2-180,1 12-360,0-5-1439,7 28 900,-6-21-1979,10 32 1888,-9-33-1798,7 22 2068,-9-30-1349,2 13 2609,-9-20-180,-5-1 90,-3-7-1,-4-5 91,3 0 1259,-10-4-1169,7 2 1169,-17-4-990,18 5-179,-9-3-181,13 3-179,7-5-180,4 3-1169,26-8 359,-9 7-1259,26-6 720,-20 7-1259,8-1-1530,-13 3 4048,0 2 0,-10 0 0,-2 2 0</inkml:trace>
  <inkml:trace contextRef="#ctx0" brushRef="#br0" timeOffset="180">1896 1611 9781,'-10'9'4138,"2"0"-3238,0-1 719,2 0 90,1 0-1260,8 0-179,0-4-270,8-2-180,4-5-359,3-2-1350,23-9-7196,27-13 9085,-4 2 0,9-5 0,-29 11 0</inkml:trace>
  <inkml:trace contextRef="#ctx0" brushRef="#br0" timeOffset="7248">604 1603 10411,'-1'-11'4857,"1"0"-4889,2-1 571,1 2 98,1 2-187,0 1-90,2-1 274,5 0-364,-1 2-90,5 0 180,4 6-180,-3 2 380,24 13-470,-17-2 90,36 35-90,-25 7-90,3-2 0,-18 19 0,-19-46 0,-5 28 0,-3-29 270,-14 28-270,10-31 269,-13 14-179,16-34-90,-1-6 90,6-8 0,6-19 0,2 7 540,18-54-450,-9 38 90,12-33 89,-13 44 91,-1 1 809,10-17-809,-9 18 1709,15-27 90,-15 28-2249,-4 4 0,-5 15 0,-11 18 0,4 0 0,-1 1 0,1 3 0,-1 12 0,5 15 0,0-7-270,14 29-900,-4-41-3507,24 20 3148,-18-35-990,20-2 1260,-17-9-3508,26-19 2608,-25 8-989,14-12 3148,-23 12 0,-5 6 0,-2 1 0</inkml:trace>
  <inkml:trace contextRef="#ctx0" brushRef="#br0" timeOffset="7532">460 1368 8252,'-14'2'9830,"3"-2"-7966,8-3-1145,4-2-179,7-1-90,1-1-1,4 0 1,3-2 90,14-6-2159,51-19 629,-29 11-1169,6 0 1,-1 1-1170,-18 7 3328,35-12 0,-39 14 0,9-3 0</inkml:trace>
  <inkml:trace contextRef="#ctx0" brushRef="#br0" timeOffset="8301">2761 1093 9871,'-5'-9'5937,"-3"1"-5038,-4 4-179,0 2 0,-1 3-91,3 1 1,-1 1-180,1 1-1,-1 1-89,2 0 360,-2 3-181,10 7-269,18 4-180,2 0 0,45 12-90,-36-17 0,32 17 0,-41-18-180,13 14 180,-19-14 0,7 16-90,-15-17 90,-1 10-90,-5-12 0,-2 1-89,-1-3-91,-3 0 0,1-2-90,-6 2 90,-5-4 90,-2-2 0,0-2-89,-7-7 179,13 1-90,-15-15 180,17 8 0,-8-22 90,14 17 449,-4-19 181,5 17-180,0-6 359,0 12-629,-2 8-180,-1 9 0,0 5-90,-5 14-810,0 5-809,-3 12-899,0 8-2519,5 2 5037,4 0 0,4-22 0,2-7 0</inkml:trace>
  <inkml:trace contextRef="#ctx0" brushRef="#br0" timeOffset="8782">3282 1130 8792,'1'-16'4138,"-1"0"-3239,-2 1 1,-1 0-4162,-1 0 4161,-2 1 860,-1 0-1039,-2 1 449,-5-1-270,-4 4-269,-5 4-180,-1 12 3122,5 4-3033,-3 23-449,13-11 0,2 44-90,10-37-180,9 28 0,-2-37-179,15 11 269,-12-19-180,17 3 270,-17-14-90,16-15 90,-13-9 90,3-7-90,-8-2 90,-4 2 0,-2-3 270,-1-24-1,-2 12 811,-2-53-181,-1 32 1,-2-24-451,2 42 1080,-3-2-809,1 24-360,-1-5-450,2 23 0,0 9 0,2 23 0,4 12 0,0 4 0,6 18 0,2 4-360,-1-6-360,0-1 1,2 0-2969,2-2 1619,-1-14 270,6 9-270,-4-20-1619,1-2-2698,1-6 6386,0-2 0,-8-10 0,-2-1 0</inkml:trace>
  <inkml:trace contextRef="#ctx0" brushRef="#br0" timeOffset="10674">651 2370 8792,'-10'7'4318,"2"-2"-1980,0 1-1438,9-3-541,7-2 1,5-1 0,7-3-90,2 1-90,4-1 0,6-1 0,5-2 134,27-9 1,13-6-45,7-5 0,3-2-574,5 0 0,6-2 424,-11 0 0,3-2 0,-9 3-75,-18 6 0,1 1 75,23-7 0,11-4 0,-10 5-600,-23 8 1,1 1 569,26-6 0,12-2 0,-14 5-45,-32 8 0,1 2 0,9-1 0,12-2 0,0 0 0,-10 2-45,-2 2 0,0-1 30,23-3 0,12-3 0,-11 1-30,-16 2 0,-2 0 0,5-3 0,8-2 0,-12 2 0,-17 3 0,-3-1 0,39-12 0,-7 1 0,-26 5 0,-5 1 0,-3 0 0,-15 3 90,13-7 434,-30 12-254,0-6 1042,-13 9-323,4-12-629,-10 9-180,-2-6-90,-4 4 0,-2 0-90,1 4 90,-3-8-90,2 4 0,-4-16 0,4 11-90,-5-28 90,6 22 0,-12-53 0,8 36 0,-6-22 0,-1-3 0,-1 2-45,-7-16 0,0 0 45,-1 13 0,-4-4 0,-1 3 0,4 18 0,-3-1 0,0 3 0,5 14 0,-27-40 0,31 47 0,-21-28 90,27 37-90,-12-16 0,17 25 0,-6-8 0,7 10 0,-4 1 0,-1 4 0,-9 7 0,5 2 0,-29 10 0,17-5 0,-63 20-90,36-12-93,-2 0 1,-4 1 182,11-4 0,0 0-638,-18 5 1,0 0 682,14-5 0,-5 2-45,-24 7 0,-13 4 0,11-4-614,24-6 1,-2 0 613,-3 2 0,-12 3 0,-1 1 0,9-2-45,-18 7 0,4-1 15,14-4 0,-2 1 0,0 0 0,4 0 0,0 0 0,3-1-15,-18 7 0,4 0 0,0 1 0,1-1-45,-4 2 0,2-1 90,20-7 0,-2 0-60,-5 1 0,-6 1 0,11-3-30,-11 3-270,10-4 0,5-2 360,23-9 99,3 0-99,-16 6 948,19-8-1038,-33 16 90,28-9 0,-3 2 1295,2-2-1295,24-10 975,-18 5-975,18-7 0,-8 3 0,5-4 0,-5 1 0,4-2 0,-9 2 0,11-4 0,-6 1 0,4-1 0,3-1 0,0 0 0,2-1-89,0 0 89,1 2 0,4 5 0,4 5 0,2 1 89,2 3-89,0-3 90,1 10-90,1-3 270,6 24-180,3 4 90,16 44-90,-5-23 0,0-9 0,1-1-90,1-5 90,19 34 0,-15-35 0,6 11 0,-1-1 0,3 10 0,-15-26 0,6 16 90,-14-26-1,3 7-89,-5-11 0,-2-5 180,1 1 90,-1-1-270,3 5 90,-3-6-180,-3-7 90,-2-5 0,-1 0 0,-1-5-90,0 1 90,0 0-90,0-1 0,-1 0 0,1 0-4498,-1-1-1349,-2 1-1888,-4-7 7735,-2-4 0,1-2 0,1-1 0</inkml:trace>
  <inkml:trace contextRef="#ctx0" brushRef="#br0" timeOffset="12819">1208 3120 7623,'-5'-9'3688,"-1"0"-2789,1 2 1,-1-1-91,1 1 630,0 0-269,-2-2 1348,1 1-2338,3 6 0,3 2 0,5 7-90,2 0 0,1-1 90,7 5-180,-4-4 90,21 9-90,-15-9 90,33 1-90,-29-9 0,23-9 89,-25 0 181,11-20-180,-16 10 810,8-27-451,-16 24 1530,2-33-1619,-7 35 450,-1-18-451,0 22-89,-1-1-180,3 5 0,3 7-90,3 4 90,8 10 0,5 6-90,11 10 0,-3-1 0,2 4 0,2 5 90,18 19-180,-9-5 180,7 10-90,-29-30 90,-1 8-90,-12-14 0,0 9 0,-12-11-270,-7-1-539,-8-4-1080,-6-4-900,-5-6-269,-2-8-1889,-1-12 4947,5-13 0,10-2 0,4-6 0</inkml:trace>
  <inkml:trace contextRef="#ctx0" brushRef="#br0" timeOffset="13013">1670 2705 10501,'-12'3'8005,"1"-1"-7645,8-2-90,4-1-270,18-7-360,-1 0-269,8-3-181,-3 2-179,1-1-271,3-1-269,-2 1 1529,21-10 0,-17 6 0,15-7 0</inkml:trace>
  <inkml:trace contextRef="#ctx0" brushRef="#br0" timeOffset="13698">1633 2956 7803,'-5'-8'3418,"0"1"-2429,0 1-179,0-1-1,0 1 630,0 1-89,-3-2-91,0 0 90,-2 2-989,4 9 0,3 3-91,5 10-89,2 0-90,1 3 90,2 3-360,8 18-90,-3-9-1079,12 25 450,-7-24-5488,29 39 6387,-17-34 0,14 15 0,-19-29 0</inkml:trace>
  <inkml:trace contextRef="#ctx0" brushRef="#br0" timeOffset="14083">1898 2878 8162,'-16'-30'4408,"4"8"-2789,-10-13-810,10 17 1,-5-4 0,5 9-181,1 2 361,-4-3-721,5 5 721,-3 0-360,5 6-361,6 9 91,6 7-270,7 4 180,14 12-270,-5-8 180,31 30-180,-23-23 0,17 17 90,-12-9 0,-9-8 539,19 23 271,-20-21-91,6 11-89,-17-15-630,-7-5-270,-16 3-1079,-5-10-810,-14-1 1080,6-12-91,0-3-1079,-4-9 990,7 0-2429,-17-25 3598,12-12 0,3 13 0,9 0 0</inkml:trace>
  <inkml:trace contextRef="#ctx0" brushRef="#br0" timeOffset="14229">1843 2774 7982,'23'-47'7826,"-4"9"-7376,-1 26-270,-5 4-90,5-2-180,-3 2-270,1 0-1079,9-5 359,-5 2-5306,28-14 6386,-19 10 0,14-8 0,-16 9 0</inkml:trace>
  <inkml:trace contextRef="#ctx0" brushRef="#br0" timeOffset="14432">2560 2391 14639,'0'14'5037,"0"1"-4408,1-2-89,0 0-180,2-2 0,1 1-1,2 3-89,1 0-180,2 4-989,12 24 269,-7-13-2608,18 39 360,-12-27-4588,6 16 6618,-10-24 0,-6-12 0,-7-14 0</inkml:trace>
  <inkml:trace contextRef="#ctx0" brushRef="#br0" timeOffset="14615">2607 2854 8612,'-9'-6'4318,"0"0"-3419,1 1-89,2-1 629,-1 0-270,2-4-89,10-17-1350,15-9-270,2 0-1439,19-3-6386,-4 10 8365,-7 8 0,-4 4 0,-19 13 0</inkml:trace>
  <inkml:trace contextRef="#ctx0" brushRef="#br0" timeOffset="14815">2688 2947 10321,'-10'13'4677,"1"-1"-3777,0-2-91,2 0 990,1-2-1349,5 0-90,4-4-90,6-3-180,4-6-270,5-3-1619,30-19-630,-3 2 720,10-9 1709,1 0 0,-27 16 0,12-7 0</inkml:trace>
  <inkml:trace contextRef="#ctx0" brushRef="#br0" timeOffset="15334">3265 2458 9422,'-19'-11'3328,"1"1"-2429,1 0-179,3 2-1,2-1 1,2 1-90,2 1 539,2-2-629,4-5-91,4 3-89,6-4 360,24-6-540,-9 8 179,30-6-89,-21 18-180,2 6 0,-11 12-90,-12 5-90,-5 5 90,-2-5-629,4 17 449,-3-22-180,14 20 270,-8-26 0,15 9 0,-5-7 180,8 2 90,-2 0 360,-1-1 179,-4 2 181,-3 0 359,-5 2-270,-5 3-269,-7 0-180,-5 2-360,-7 0-810,-7 1-899,-6-1-900,-5-2-359,-1-4-2159,2-5-810,7-5 5757,5-6 0,9-1 0,2-1 0</inkml:trace>
  <inkml:trace contextRef="#ctx0" brushRef="#br0" timeOffset="15526">3864 2521 17067,'-7'-6'-9831,"-1"0"9815,3 0 0,1 4 1,5-2-1</inkml:trace>
  <inkml:trace contextRef="#ctx0" brushRef="#br0" timeOffset="15836">4089 2205 11221,'-7'-11'6746,"0"0"-2699,1 4-3687,6 6 0,2 2 0,8 5-180,1 1 0,2 1-90,0 2 179,9 7-269,-6-3 180,15 18-180,-8 3-90,-3-5-629,-7 11 179,-12-28-899,-5 9 719,-1-13-4227,-15 4 3778,5-9-990,-11-3 990,12-6 1169,-5-13 0,13 11 0,-4-6 0</inkml:trace>
  <inkml:trace contextRef="#ctx0" brushRef="#br0" timeOffset="16282">4078 2284 8972,'-4'-11'2788,"1"1"-2068,0 0-90,0 0-1,2-1 630,0-10-989,1 7 0,6-20-450,-2 19-90,5-9-719,1 6-810,6-5 1349,-2 4-629,12-9 989,-13 17 540,14-13-1,-14 14 1081,11-12-901,-15 13 1800,10-9-1350,-10 9 1,3-3-181,-2 6-89,1 3-91,0 3-179,4 6-360,-6 0 269,3 12-359,-8-8-539,3 16 269,-3-14-180,1 6-719,5-2 809,-3-6 90,6 4 0,-4-8-90,10 6 180,-6-4 990,20 14 539,-12 0-1079,1-1 719,-6 9-899,-14-19-180,-2 16-450,-4-15-1888,-10 13 1258,5-15-89,-7 7-90,5-7-181,-2 0-89,-2 1-989,-2 0-1440,-2 2 3958,-3 1 0,-2 1 0,-2 1 0</inkml:trace>
  <inkml:trace contextRef="#ctx0" brushRef="#br0" timeOffset="17517">1924 3741 8252,'-17'0'3598,"2"0"-2878,1 0 449,2 0 0,1-2-539,7-1 450,8-5-631,9-2-89,11-3-90,5-1 0,14-4-751,8-3 661,13-4 90,25-9-180,-43 17 0,5-2-596,32-11 1,6-4 625,-28 12 0,0-1 0,7-2-75,16-6 0,11-4 0,2-1 0,-10 4-922,-9 4 1,-7 2 0,5-1 876,-1 0 0,5-2 0,-2 1 0,-11 5 0,-3 1 0,-1 1-846,22-7 0,10-4 0,-9 3 756,-17 6 0,0-1-64,19-7 1,10-3-1,-18 5 64,-1-3-350,-5 1 0,-1-2 350,-2 0 90,-12 5 0,-4 0 1423,-12 4-1288,0-5 0,-2 0-45,-9 4 1993,25-21-1903,-39 25-180,-6 6 921,4-5-831,-2 0-90,-3 5 3392,3-6-3392,-5 6-90,7-14 90,-6 10 0,8-37 0,-14 30 0,-7-48 0,-5 39 0,-14-41 0,-3 5 0,-6-17-3482,5 12 3572,5 11 180,1-5 180,0 4-270,-1-2 89,-6 1-179,12 43 90,-45-26-180,33 36 90,-30-7-90,14 22 0,-11 7 0,-35 11 0,41-6 0,-3 2 0,-5 3 0,-6 3 361,-29 13 1,-1 2-362,34-14 0,1 0 0,-23 9 0,2 0-35,25-10 1,-1-1 34,-11 2 0,-8 3 0,5-2 0,-1 1 0,-2 0-748,-17 3 1,-9 3 0,14-6 747,-11 1 0,25-9 0,-10 3 0,10-4-85,-28 5 55,26-7 0,-10 2 0,10-3 30,20-4 0,2 0-45,-28 4 0,-2-1 45,19-1 0,-1-1 0,-36 7 0,-2 1 690,29-5 0,-1 0-690,1 0 0,-5 2 0,13-2 0,-6 1 0,18-2 0,2 0-118,-14 4 118,-4 2 2627,11-1-2717,12-2 237,8-3-57,7-1-90,5-3 0,7-2 666,1 0-666,5-2 543,-1 1-273,0-1-180,2 0 0,-2 1-90,1 1 0,0 2 0,2 0 90,-2 4-90,4-4 0,-2 3 0,0 2 0,-1 3 0,-3 6 0,-1 5-90,0 4 180,1 10-90,3 8 90,5 14-90,6-8 45,5 0 0,4 3-45,9 30-126,-4-22 1,0 1 125,-1-13 0,0-2 0,15 42 0,2 0 0,7-3 0,5-2-180,-6-32 0,2-3-360,12 12 180,-16-27 1,-1-3-1710,15 1-2159,19 1 1800,-13-8 2428,26 2 0,-43-20 0,11 1 0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35.16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829 145 7892,'-10'-22'2159,"0"1"-1529,-2 0-90,-1 2-4342,-2 2 4342,-2 1-181,-2 3 861,-3 4-591,-13 2 361,-53 29-810,24-4-46,3 11 1,2 4-317,5 8 272,-13 19 90,24-12-90,4 2 0,5 3 89,3 0 181,1 22-180,12-21 180,2 36-180,16-41 0,17 19 0,7 1-90,4-8 1145,9 6 0,5-5-1145,2-24-45,12-5 0,3-3-45,-2-8 45,11-5 0,0-5-45,-16-14 0,23-18 0,0-9 0,-17-6 45,5-10 0,-4-6-45,-23-4 0,-7-10 0,-3-3 0,-5-2 135,-10-17 0,-7-1-45,-13 19-45,-7 1 0,-7 3-45,-13 16 0,-12 10 0,-4 4 0,-5 7-315,-29 8 0,-4 8-45,13 14-180,-7 4 1,2 5-181,15 9-584,5 6 0,2 4 225,3 5 1079,6 5 0,4 1 0,13-1 0,-9 18 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39.23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160 61 9602,'-2'-11'4137,"0"1"-8628,-2 1 5660,0 0 1320,-2 1-1500,-1 2 1400,-6 0-860,-10 5-1169,5 1 449,-16 10 2763,20-3-3122,-10 19-450,19-14 90,2 17-90,8-16 0,18 20 0,-7-15-90,27 22 90,-21-24 0,24 16 0,-27-19 0,13 10 0,-15-8 90,5 15-90,-12-11 0,-2 13 0,-9-18 0,-10 17 0,3-16-900,-19 18 91,14-24 449,-13 3 90,16-15-449,-12-20 629,11 4-180,-11-51 270,15 38 90,-4-28 0,9 38 1079,-1-25-899,1 24 359,-1-18 1,2 28 360,-1 2-900,-3 5-1,2 7 1,-2 8-90,2 11 0,1-1-989,-1 33 89,3-20-2518,2 48 1889,1-42-8275,5 41 9804,-2-49 0,0 6 0,-3-27 0</inkml:trace>
</inkml:ink>
</file>

<file path=xl/ink/ink1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39.46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 23 10681,'2'-10'9830,"-1"-2"-6707,-1 12-2674,0 14-89,-1 6-180,2 11-90,1-9-270,0 3-180,1 1-359,1 1-451,0 1-1348,4 10 1079,-2-9-4858,8 24 6297,-5-23 0,0 1 0,-5-18 0</inkml:trace>
</inkml:ink>
</file>

<file path=xl/ink/ink1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39.63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46 169 9691,'-10'-4'3868,"2"0"-2159,0 0-359,-1 0-181,2-1-899,4-5-90,4 2-90,7-4-360,3 2-360,4-2-269,2-1-361,4-3 1,1 1-1350,1 0-1618,0 1 4227,-2 2 0,-8 6 0,-4 1 0</inkml:trace>
</inkml:ink>
</file>

<file path=xl/ink/ink1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40.09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232 395 8972,'-13'1'4048,"-1"0"-2969,1 1-90,-1-1 1,0 2-91,-1-1-179,1 2-1,-1 1-179,0 2-180,-1 0 539,-13 19-719,12-7 90,-12 32-180,21-26 0,3 33-90,8-32 0,13 32 0,-5-36-90,22 21 90,-18-31 0,18 1-90,-7-19 90,25-39 0,-19 11 135,-4-18 0,-3-3 45,-10 2 449,-1-11 1,-3-1 0,-5 5 449,-3-3 1,-1 0-271,-2 14 990,-3-42-1349,0 63-90,-2-8-270,0 24-90,-7 8 0,5 5 0,-7 15 0,9 14-2249,3 36 810,2-12-1035,3 2 1,2 0 1033,2-2-89,-1-4 0,3 1-2788,5 10 4317,7 10 0,-4-22 0,0-8 0</inkml:trace>
</inkml:ink>
</file>

<file path=xl/ink/ink2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40.73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22 361 8792,'-2'-10'4767,"0"0"-3507,0 1-91,0-1 0,-1 0-89,1 1 629,-1 0-450,0-2 0,1 0-719,2-3-270,2 6-360,5 2-90,3 4 0,1 3-180,0 0 0,-1 0-89,-1 1-91,6-2-90,11-8 540,-3-3 270,5-13 270,-12-4 180,-6-5 359,-6-1-179,-6 1-91,-6 4-179,-10 4-360,4 11 0,-10 7-90,11 9 0,-17 17-180,10 4 0,-8 25-90,15-15-720,8 26 271,7-33-2250,17 33 2160,-8-39-451,16 15 721,-13-28-271,8-3 450,-5-10 540,4-10 450,-2-10 179,-4-8-359,-5 4 1079,1-15-540,-6 18 1530,4-15-2339,0 28-180,0 3 89,0 17 91,4 15-180,-4-5-90,15 29 0,-13-23-180,17 26 90,-14-30-269,18 15 269,-17-25 0,18-2 0,-18-11 90,11-13 0,-15 3 539,10-31-449,-13 23 90,5-31-180,-11 36-1169,0-12-1260,-3 15 2429,-1 0 0,1 7 0,0 5 0</inkml:trace>
</inkml:ink>
</file>

<file path=xl/ink/ink2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41.5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710 1178 9062,'-27'11'2878,"2"0"-2158,4-3-1,2 1 91,4-4-1,3 0 3149,2-1-3238,14-3-181,4-1 91,17-5 270,32-11-361,-3 0-119,9-3 0,16-6 0,-9 2-627,-19 7 0,1-2 267,30-8 0,13-5 0,-15 4-15,-31 11 0,-3 0-45,16-4 0,7-3 0,-8 2-180,31-10-60,-28 9 0,8-3 0,-12 4 60,8-3 45,-4 1 1,-8 1 44,-29 11 180,16-14 90,-27 13 449,11-17-359,-21 16 180,2-13-270,-7 12 773,-1-17-863,-1 14 90,-6-28-180,3 23 90,-14-40 0,6 30 0,-26-50 0,17 45 89,-35-46-89,27 50-90,-42-34 0,36 41 0,-10 3 0,-1 2-90,0 6 90,-49-3-179,10 17-46,-10 10 0,-5 3-342,37-4 0,-2 1 477,-16 5 0,-9 4 0,12-1 0,-19 6-60,29-7 0,-10 3 1,10-3 59,-26 6 0,6-3 0,0-1-606,-1-3 696,37-8 0,2 0-90,-20 0 90,18-4-90,14-2-90,8 0 1081,7 0-901,6 2 659,8 5-569,9 9 0,10 14 180,9 16-1,13 25 1,6 16-180,-4-7 45,-9-17 0,0 1-45,9 28-90,-10-27 0,-1 0-90,11 26-1405,-4-13 865,-10-28-449,0-8-1260,-2-11 900,-3-9 1439,30 8 0,-32-22 0,19 4 0</inkml:trace>
</inkml:ink>
</file>

<file path=xl/ink/ink2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0:45.34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335 1087 9871,'1'5'4408,"5"-2"-4138,3-3-90,5-1-1,-1-1 1,1 1 90,3-2 450,42-2-630,-23 3 90,14-1 0,2 1-180,-7 1 224,9 2 1,1 0-135,-4 1 45,6 1 0,1 0-135,-8 0 45,4-1 0,-1 0 45,-8-1 90,48-2 0,-55-1 180,46-5-181,-48 3 181,32-3-180,-36 3 270,21-1 0,4 0-180,16-1-270,-12 1 89,9-2 1,-33 2-45,13-2 0,2-1-45,0 0 45,5 0 0,-1 1-113,-7 2 428,35-2-90,-13 3-90,21-1 269,0-1-179,-36 2 0,-1 0-90,20-1 0,-3 1 0,-3 2-180,-12 0 45,11 2 0,-2 1-45,-16 1 45,6 0 0,1 1-45,-6-1 0,48 0 90,-49-3-90,37-1 0,-13-1 0,-16 1 0,1 0 0,21-1 45,-13 3 0,-2 1-45,-6 1 0,18 1 0,1 1 0,-13 0-391,10-1 1,-2 1 390,-15 0 45,12 1 0,3 1-45,-3 1 0,19 6 0,1 0 0,-22 0 0,-1 1 0,-4 0 0,-18-3 0,32 8 0,-2-3 0,-12-4 0,18 0-90,-45-10 90,10-1 0,-14-3 0,1 0 0,31-9 0,-23 3 0,48-15-90,-52 11 0,49-30 90,-53 22-180,29-26 90,-41 23-270,25-43 360,-26 31-90,13-27 90,-17 25-90,0 0 1119,1-4-1029,5-7 0,-9 20 0,9-13 0,-14 27 0,6-7 0,-4 6 0,1-1 90,2-3-90,-3 0 90,-4 5 0,-7-12-90,-3 15 0,-5-10 0,-7 9 0,-8-1 0,-14-7 0,-14-3 0,-17-5 0,-19-5-45,36 15 0,-1 0-183,-7 0 0,-1-1 228,-4 2 0,-2 0 0,-4 1 0,-2 1-45,-4 0 0,-1 3 45,-5 0 0,-1 1-45,-4 1 0,0 2 45,-3 0 0,-1 2-719,-1 0 1,-1 2 718,0 0 0,0 1-45,0 1 0,1 1 45,0 0 0,2 1 0,23 0 0,-5 1-952,-19 3 1,-11 2-1,13-1 952,27-1 0,-1 1 0,-27 2 0,-13 2 0,17-2-32,-10 4 32,-1-2 0,-1 1-45,49-5 0,0-1 45,-22 0 0,-8-1 0,11 0 0,-11-3 0,-6-4 0,5-2-89,25-1 89,3-1 0,2 0 0,3 0-90,-51-6 90,49 8-45,-16 1 0,0 3 45,11 3-45,-1 1 0,0 1 45,11 2-45,-8 2 0,-1 1 135,4 0-135,-9 1 0,2-1 45,17-2 0,-39 7-90,43-7 349,-30 7-259,9 0-90,-34 10 90,28-6 0,8-2 0,3-1 0,6 0-45,-12 2 0,0 0 45,12-3 1000,-30 9-1000,36-11 3373,0 2-3373,-11 3 58,4 2-58,2 1 0,-10 7 0,23-10-90,-6 6 90,21-9 0,1 1 0,1 6 0,8 13 0,6-8 0,16 38 0,-5-30 0,17 40-90,-7-20-720,8 15-899,0 0-629,4-3-1980,4-3 4318,6-6 0,-7-15 0,0-7 0</inkml:trace>
</inkml:ink>
</file>

<file path=xl/ink/ink2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3:16.49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27 70 7713,'-3'-12'2518,"0"1"-1169,0 0-179,-1-1-361,1 0 2070,-1 1-2430,0 10 1,3 5 0,0 11 0,2 2-1,0 6-89,2 6 989,6 45-989,0-16-45,5 13 0,5 3-270,-2-25 1,3-1 89,19 30 0,3-4-687,17 5 597,-12-33 0,3-5 45,21-1-90,16-1 0,-21-15 0,-10-12 0,14-8-450,6-12 270,-1-1-269,11-21 5,-54 13 444,14-10 153,-21 1-243,-8-1 903,0-6-363,-13 2 179,-7 8 361,-6-3-242,2 9-479,-2 1 1,3 6 0,1 2-270,7 3 0,2 4 0,9 6-90,0 1-90,7 6-90,13 11 270,-7-4-90,13 19 90,-26-19 90,4 36-90,-16-30-179,-8 40-181,0-39-2069,-15 31 1440,11-34-2969,-14 18 2159,15-27-810,-4 5 2609,7-13 0,3-3 0,1-1 0</inkml:trace>
</inkml:ink>
</file>

<file path=xl/ink/ink2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3:17.23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136 185 8162,'-7'-10'5487,"-3"2"-4767,0 2-1,-1 3-4251,0 2 4252,1 0 769,-2 2-319,-10 4-991,9-1 91,-6 4-90,12 0 90,4 12 3212,4-5-3302,21 31-180,-3-21 90,13 14 0,3 1-90,-4-4 0,2 2 0,-1 0 0,-10-7 90,5 10 0,-14-15 90,-2-2 629,-3 5-359,-5-7 179,-3 4 91,-4-10-90,-3 0 539,-10 4-629,2-7 719,-26 5-629,7-12-361,-15-3 1,11-12-180,6-8-90,8-8-449,10-5-451,12-3-809,10 1 450,4 9-2699,15-2 2609,-10 16-4498,26-1 990,-21 10 4857,13 2 0,-13 3 0,0 1 0</inkml:trace>
  <inkml:trace contextRef="#ctx0" brushRef="#br0" timeOffset="1213">447 619 10501,'13'-4'9830,"-1"1"-6078,-2-1-2762,0 6-720,-1 3-1,-2 3 1,-1 2-90,-2-2-90,0 2 0,0 0-90,-1 1 90,1 5-450,2 10 90,-1-6 180,2 1 0,-1-19 90,0-6 0,0-7 0,6-20 90,0 1 0,6-14 0,-5 14 270,6-4-180,-9 18 540,9-7-271,-7 16-89,7 7-180,-7 3 90,7 19-180,-12-9-180,8 23-180,-9-20 0,3 9-90,-5-13 1,1-2-181,2 4 90,-1-6 270,5 1-180,4-14 270,1-5 180,3-8 360,-5-2 180,-2 1-450,-2 3 359,-2 4-449,1 7 0,-1 6-90,1 5 0,-1 3-270,2 3-359,5 2-541,7 3 1,6-1 180,5-5 269,3-5 360,2-8 1,5-11 359,-14 2 269,8-17-89,-25 14 1080,6-24-991,-15 22 91,-3-14-180,-4 21 180,-10-5-270,2 10 0,-8 3-90,6 6 0,-4 13 0,9-7-90,-6 19 90,11-15-180,1 12 0,6-10 0,5 4 90,2-8 90,2-4 0,-1-10 90,-3-2-90,1-7 180,-3 0 0,1-3 0,-1 1 360,0 2-271,1 8-89,0 5-90,0 5 0,-1 3-90,-1-1 90,0 1-90,3 4 90,1 2-180,10 6 90,-5-8-360,15-1 360,-15-12-90,16-5 0,-8-11 90,12-21 0,-6-9 0,-2-20 90,-12-3 0,-7 14 180,-4-11 450,-6 11-91,-2 2-269,-3 4-270,3 25 450,-1 6-450,0 15 90,2 11-90,-2 6-90,7 34 0,2-16 0,8 37-180,3-18-1170,17 26 901,-10-34-541,12 4 631,-20-40-631,15-8 900,-15-7-180,17-31 270,-21 13 540,10-54-270,-13 40 1259,2-51-1079,-6 54 539,-2-29-719,-1 42-90,-1-7 270,-2 14-450,1 15 0,-1-1 0,2 18 0,2 1-90,1 17-2339,1 13-2248,3 19-1800,6 6 6477,6 0 0,0-19 0,2-8 0</inkml:trace>
  <inkml:trace contextRef="#ctx0" brushRef="#br0" timeOffset="2266">2559 611 8972,'-12'-13'4407,"0"0"-3417,-3 0-91,0 0 620,-9-4-710,6 4 520,-14-5-789,14 10-181,-6 0 631,-4 7-810,12 2 0,-10 6 660,2 32-840,14-19 90,-6 34-90,17-33-809,14 29 449,-6-27-449,16 20 449,-12-32-360,24-5 630,-18-10 90,15-8 0,-12-15 360,-1-12-180,-1-3 629,-3-38 1,-12 17 269,-2-26 450,-8 21-359,-3 12-451,-2 13 1,0 14-540,-1 12 180,-5 32-270,8 1-270,2 57-90,10-33-810,17 52 271,-2-44-900,9 0 0,3-1 719,2-4-764,12-1 0,1-5 1125,-12-18 179,25 8-180,-32-26 1080,7-13 0,-8-1 719,6-19-629,-21 11 1259,1-26-630,-10 14-179,-5-14-451,-4 20 1620,-27-1-1889,17 20 270,-31 7-450,32 10 0,-9 10-90,14-4 90,2 1-90,3 2-90,1-1 90,2 1-1170,10 21 810,-2-21-89,11 19 179,-8-31 90,16-4 90,-14-4 360,15-10-90,-17 5 180,4-4-1,-5 5 91,0 2-180,2 1 0,7 10-180,-6-1-90,5 6 0,-5-3 0,2 0 0,0-1-630,16-1 360,-13-6-179,17-4 269,-14-9 0,5-8 180,-3-12 90,-3-11 0,-7 3 359,-5-45 181,-8 16-181,0 16 1,-1 0 810,-7-30-1,-2 12-539,1 16-720,0 14 0,2 13 0,0 11 0,1 15 0,0 16 0,2 16 0,5 20 0,4 15 0,4 13-1080,3 6-2608,2-1-269,-1-6 359,0-10-5577,-2-15 9175,-3-18 0,-2-17 0,-2-11 0</inkml:trace>
  <inkml:trace contextRef="#ctx0" brushRef="#br0" timeOffset="2748">3060 613 8432,'-4'-10'4408,"1"0"-2429,-1 2-540,0-2 719,0 1-1708,6 0-360,5 6 0,4 1-90,2 4-90,-2-1 0,1 1-90,0-1-269,6 1-91,4-2 270,7-1 180,15-13 270,-18 4 899,17-21-629,-30 15 1259,7-25-1169,-15 23 1349,-5-22-1439,-3 25 719,-15-11-989,7 19 359,-20 6-359,16 8 90,-17 21-270,19-11 90,-7 28-180,15-24-450,3 25 91,5-28-721,11 16 811,-5-23-451,14 2 630,-12-12 0,14-9 270,-15 1 1080,10-13 269,-10 7 360,2-3-810,-3 7-359,-3 7-360,2 8-270,-3 3 0,0 4-450,4 9-270,-3-7-6116,20 26 4857,-12-25-7852,19 17 9410,-18-23 1,0-1-1,-9-6 1</inkml:trace>
</inkml:ink>
</file>

<file path=xl/ink/ink2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3:09.14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771 149 8882,'-5'-10'2968,"1"-1"-2248,0 1-1,-1 1 1,1-1-90,0 1-1,-1-1-89,0 1-90,0 0-1,1 0 541,-4-7-450,3 6-271,-3-7 1081,4 9-1170,2 7 89,1 3-89,5 11-90,0 2 90,1 5-90,1 4 360,13 72-360,-9-45-90,0 12 0,0-2 90,-5-15-90,0 10 0,0 1 0,-1-6 0,1 39 90,-3-31-180,-2-2 90,0 1 0,-3-1 0,2-36 0,-1 7 0,1-16 0,-1-2 0,-1-1 0,-8-10 0,1-6 0,-5-11 0,6 0 0,1 0 0,0 0 0,3 4 90,-6-12 269,1 6 91,1 0-270,3 14 0,4 10 0,3 10 0,2 5 0,3 5-90,3 8 0,3 3-90,4 2 90,-4-14-90,5 4 0,-4-17 0,4-3-270,15-17-180,-13 1-270,8-10-179,-16 9-4498,2-4 5397,-4 4 0,0-1 0,-7 7 0</inkml:trace>
  <inkml:trace contextRef="#ctx0" brushRef="#br0" timeOffset="1085">111 1600 7173,'-6'-18'2698,"0"-1"-1798,0 1-91,1 0 1,0 2-1,0 1-89,1 1-3392,-1 2 3211,0 0 1260,-3-4-180,-9 17-1259,5-3 90,-3 20 809,7 39-1079,5-19 45,3 16 0,2 1-135,4-5 45,7 14 0,2 1-45,1-15-45,2 1 0,0-4 44,-1-17-89,25 20 90,-22-34 3302,26 0-3392,-30-22 0,16-20 0,-17 4 90,6-43-90,-13 27 45,-5-11 0,-3-2-45,-5 5 0,-6-8 0,-3 1 0,-1 7 0,-6 1 0,-2 0 0,-5 6 0,-13-12 0,17 29 0,5 8 0,7 9-90,1 1 90,2 4 0,0 2 0,2 3 0,2 3 0,1 2 0,4 17-90,2-7 90,14 29-90,-5-26 90,23 25-89,-9-27 89,12 5 0,-5-17 0,4-7 0,-13-3 89,8-6-89,-13 1 0,5-1 90,-7 2 90,11 7-180,-13 1 90,17 16-90,-20-6 90,17 26-90,-16-18 0,14 32 0,-15-27 0,9 31 0,-13-33-90,4 23 0,-8-28-449,-1 9 449,-6-24-90,1-2 180,-4-12-180,4-10 180,1 3-90,0-22 90,3 18 0,3-24 0,-1 27 90,8-18 90,-5 23 270,12-9-91,-9 16 1,15 1-180,-12 7 90,15 13-180,-15-4 0,10 15-360,-8-3-2429,7 23 1710,-9-17-1350,2 13 1080,-10-27-7196,0 11 8455,-4-14 0,1 1 0,-2-9 0</inkml:trace>
  <inkml:trace contextRef="#ctx0" brushRef="#br0" timeOffset="1834">873 1650 11041,'-2'-11'6476,"-2"0"-5217,-3 2-359,-3 2-361,-2 5-359,0 5 0,2 2-90,2 3 0,3 1 0,2 0-90,0 2 0,1 0 0,1 2-90,0-1 0,2 0-719,3 9 539,0-9-270,4 9 270,-1-13 180,2-2 0,1-6 540,2-11-90,-3 1 180,1-4 89,-4 5-269,3 4 540,7 12-541,-2 3 1,5 11-90,-6-2 360,14 36-540,-8-16 89,17 52-89,-16-27-45,-5-11 0,-1 0-45,2 14 90,1 30 0,-14-60 0,-5 31-90,-3-49-90,-13 9 0,-3-32 0,-1-3-449,-13-27-181,4-18 0,-1-18 135,18 19 1,2-1 134,4-31 271,6 4-91,10 10 90,3 23 90,13-19 90,-2 21 90,7 2 90,-9 21 179,4 6 181,-5 8 90,3 4 359,4 13-719,-9 0 0,3 15-90,-9 4-360,1 13-1169,-1 8-1530,0 11 1530,-4-19-1619,1 6-4228,-5-31 7196,1 4 0,-2-15 0,-2 0 0</inkml:trace>
  <inkml:trace contextRef="#ctx0" brushRef="#br0" timeOffset="1966">1065 1445 7892,'-7'-16'1530,"1"2"-1440,0 2-360,1 3-1259,-3 2 1529,1 5 0,2 0 0,2 3 0</inkml:trace>
  <inkml:trace contextRef="#ctx0" brushRef="#br0" timeOffset="2867">1170 1563 14099,'7'11'4857,"0"2"-4047,-3-3-181,2 2-179,-2-1 0,0 1-90,1 3 989,9 38-1259,-7-25-90,13 52-90,-15-56-540,9 25-179,-8-34 719,3-2-90,-4-12 180,1-9-90,-4-2 0,3-13 90,-3 6 0,4-14 0,-4 16 270,3-10-90,0 10 359,2-2-359,4 12 0,-3 3 0,4 6 0,6 9-90,-7-4-270,17 19-180,-10-10 0,5 7 181,-8-11-91,0-2 180,-3-8 90,2-7 0,-5-7 90,-2-12 0,-6 3 269,-5-16-269,0 17 270,-7-21-180,4 21-90,-3-3-90,0 12 0,2 7 0,-4 8-90,4 0 90,-2 13-90,6-5 90,1 7 0,4-2-90,3-1 90,1-2-90,3-3 90,0-5 0,3-3 90,-1-6-90,0-3 0,-1-1 0,-1 0 90,1 5-90,0 1 0,16 20 0,-11-6 0,19 21 0,-18-17-90,10 10 0,-6-10 0,11-4 90,-10-9-90,15-22 90,-20 1 90,14-29-90,-16-3 0,-1-24 0,-8-14 0,-5 34 0,-3 0 180,-5-44 360,-5 2 449,1 26-89,0 15 269,1 18-90,0 16-629,-1 14 360,1 17-540,0 24-270,2 39 0,5-14 0,4-11 0,2 1-990,4 21-674,1-23 0,1 1-2474,11 37 451,8 0-5668,7-22 9355,-3-21 0,3-11 0,-7-14 0</inkml:trace>
  <inkml:trace contextRef="#ctx0" brushRef="#br0" timeOffset="3865">2524 1893 9602,'5'-15'4047,"-1"-1"-2967,-3 0-91,-1-1 0,-3-2-89,-1-2 1978,-22-29-2248,10 23 809,-31-29-1079,26 41 809,-34 2-989,33 15 0,-14 9-90,24 2 180,-2 31-270,8-18-180,7 41 90,6-42-989,19 25 629,-10-32-540,13 5 181,-7-19 359,10-15 360,-10-2-90,6-38 90,-19 17 90,1-43 90,-10 9 360,-4-20-180,-1 18 1259,-5-23-989,5 51 719,-6-32-539,5 47-451,-1-4-179,0 24 0,3 8 0,-1 10-90,2 6 0,1 5-90,3 22 0,1-4-630,12 26 1,4 2 359,-1-10-90,5 9 1,1-4-1,-4-29-269,13 14 179,-7-21 450,0-3-180,1-11 180,-4-18 0,-3-2 180,4-23 180,-13 2 180,-2-25-180,-5 21 359,-6-11-359,-1 25 0,-1-3 0,-3 6 90,-3 4-181,-7 5 1,-1 16-180,2 8 90,5 11-180,8-7 90,3 6-180,3-7-719,6 6 359,0-11 270,4-5 91,-1-12 89,-3-4 90,-1-3 0,-3 2 269,1-4 1171,2-1-1260,2 7-1,-1 1-89,-1 9 270,8 13-270,-6-8-90,16 17-90,-13-18-539,18 8 269,-16-14-540,19-6 630,-18-5 1,14-24 179,-17 9 90,3-16 90,-10-28 629,-8-20-269,0 0 0,-7 2 809,2 31-90,0 8-719,0 4 0,3 13 1439,1 10-1889,1 13 0,0 9 0,9 44 0,-1-12-1170,10 38-179,-6-38-2519,9 25 450,-5-15-450,4 11 900,-5-19-1889,-2-6 4857,-3-15 0,-4-7 0,0-4 0</inkml:trace>
  <inkml:trace contextRef="#ctx0" brushRef="#br0" timeOffset="4267">3005 1584 9332,'-6'-11'4407,"-1"0"-3417,1 1-181,1 2-89,-1 0 359,1 1-89,-1-1-541,2 0-269,3-1-90,8 2-90,2 2 0,4 0-90,-1 1-270,8-1 180,-4 1-179,11-3 269,-12 3 90,20-9 2159,-16-1-1080,4-3 0,-18 1 1,-11 7-181,-4 3-629,-2 6 270,-1 6-450,3 3 179,1 11-269,6-7-359,3 16 89,3-17-270,4 7-629,2-9-90,-2-3 809,7 0-270,3-10 720,1-4 1259,6-8-179,-9 2 359,0 2-899,-7 9-540,-3 7-270,-1 5-1349,-3 8 90,0-4-1260,1 11-2608,0-1 5397,1 9 0,-1-14 0,-1-3 0</inkml:trace>
  <inkml:trace contextRef="#ctx0" brushRef="#br0" timeOffset="4816">303 2964 9781,'-4'-8'7376,"-1"-3"-4857,1 3-1710,1 6-89,3 4-180,3 10 179,0 0-269,0 4 449,10 31-809,-4-14-630,6 16 1,1 1-271,-1-8-989,17 44 720,-19-57-180,6 9-90,-8-17-1440,5 7 271,-4-9-1530,1 3 4048,-6-11 0,-3-5 0,-1-1 0</inkml:trace>
  <inkml:trace contextRef="#ctx0" brushRef="#br0" timeOffset="5450">382 3139 8612,'-12'-33'3688,"1"-1"-2789,0 2-89,2 3 89,1 1-179,1 2 90,2 0-91,0-1-89,1 3 1349,8-36-1799,0 32 449,18-29-449,-9 47-90,10 1 0,-7 12 0,1 4 0,1 4-90,2 5 90,-1 4-90,14 31 0,-14-17-90,16 46 0,-24-45-270,7 35 90,-13-44-989,6 25 899,-5-35 270,5 2-90,-3-18 270,7-11 90,-4 2 720,23-13-540,-13 10 629,33-9-719,-28 15 449,35 1-269,-25 12-90,15 7-180,-21 1 90,2 16-180,-18-12 0,5 23-90,-16-22 0,-7 23 0,-4-25-540,-18 19 90,12-24-809,-22 5 989,20-15-899,-19-12 719,22-1-450,-9-27 721,16 15-91,6-38 540,10 21 269,10-16 361,5 17 269,4 8 90,6 8-89,4 9-451,5 7-179,6 7-360,-12 4-90,17 17-810,-24-1-1169,9 13 810,-21-8-2339,-5 9-630,-11-13-2428,-3 4 6476,-7-16 0,2-5 0,-2-5 0</inkml:trace>
  <inkml:trace contextRef="#ctx0" brushRef="#br0" timeOffset="5547">1072 2871 7803,'-7'-13'2248,"0"1"-2248,2 1-360,-1 2-1349,2 0 1709,-2 1 0,4 4 0,-1 1 0</inkml:trace>
  <inkml:trace contextRef="#ctx0" brushRef="#br0" timeOffset="5965">1544 2887 8252,'11'-7'4498,"-1"-1"-3149,-2 1 1259,-3-1-449,-2-4-1259,-5 1 809,-12-4-1260,3 7 361,-14 4-450,-14 23-630,17-9-90,-11 15 0,30-16-1169,10 10 1259,0-9-449,22 7 629,-13-15-90,22-1 360,-22-2 629,20 0-449,-20 2 899,24 10-629,-20-1 719,35 30-989,-28-16 450,36 42-540,-38-34 359,18 31-89,-24-23 269,-2 18-629,-11-20 90,-20 26-360,-1-36-1799,-41 36 720,23-39-2339,-39 13-90,19-30-6233,-19-10 9702,12-14 1,-3-16 0,10-3 0</inkml:trace>
</inkml:ink>
</file>

<file path=xl/ink/ink2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3:20.94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144 330 6993,'-4'-10'-720,"4"0"720,5 0 0,-1 4 0,-1 3 0</inkml:trace>
  <inkml:trace contextRef="#ctx0" brushRef="#br0" timeOffset="238">257 195 8342,'6'-7'6207,"-1"0"-8006,-2 8 1799,1 1 0,-4 4 0,2-2 0</inkml:trace>
  <inkml:trace contextRef="#ctx0" brushRef="#br0" timeOffset="2584">272 263 9602,'-6'-6'2788,"0"0"-2248,-2 2-181,-1 0 1,0 0-90,-1 1-90,-1 2-90,0 2 0,-1 3 0,1 1-90,0 2 90,1 0-90,2-1 90,0 0 90,1-1 359,0 0-179,1 0 0,-1 0 0,-1 0-180,0 2-1,0 0 1,1 1 90,1 1-90,-1 1 0,0 2 270,-4 13 89,-6 29-449,6-16 90,0 35 0,15-41-180,10 11 90,3-20-90,30-5 0,-2-14 0,25-3 90,-8-5-90,-5 1 90,-17 2 360,6 9-180,-25-2 899,16 15-180,-24-4 1,2 11-540,-12-7 539,-10 16-719,-1-15 270,-23 27-361,0-18-89,-17 9-90,0-14 0,1-7-359,-1-10-541,4-8-809,-1-9-450,4-10 180,3-7 1,7-5-181,9 0 90,9 3-809,10 2 2878,9 4 0,-1 9 0,2 4 0</inkml:trace>
  <inkml:trace contextRef="#ctx0" brushRef="#br0" timeOffset="3352">414 623 8072,'10'-3'5307,"2"0"-2608,-2 0-361,2 1-1438,-3 5-540,-2 5-90,-2 3-1,-1 3-89,-2-1 90,3 9-180,-1-3 90,8 22-180,-4-19-90,14 22 0,-10-27 0,15 9 90,-14-20-90,15-6 90,-16-6 0,12-22 0,-14 11 90,7-27-90,-10 26 180,4-20 0,-7 25 360,2-7-270,0 16-91,0 6-89,1 4 0,0 11 0,-2-6-90,8 19 0,-5-13-180,15 23-89,-5-18-1,8 5 90,-7-14 0,12-8 90,-15-7 0,23-16 90,-24 2 0,15-36 0,-19 5 0,0-32 90,-8 21 450,-7-37-181,0 50 811,-6-44-720,5 60 629,-7-23-809,6 35 719,-8-7-719,4 24 180,-3 10-360,6 10 180,-1 43-181,7 0-89,2 33-179,9-8-361,7-4 90,1-22-989,18 13 989,-16-44-269,30 18 539,-29-39 0,11 0 90,-9-16 450,10-43-90,-13 20 179,-1-45-269,-21 45 270,-16-39-360,4 34 90,-25-34-180,19 46-270,-25-7 0,25 25-1979,-23 11 1080,27 2-1080,-12 17-539,20-3-5937,8 16 8725,6-12 0,2-3 0,-3-17 0</inkml:trace>
  <inkml:trace contextRef="#ctx0" brushRef="#br0" timeOffset="4168">1284 623 9242,'5'-13'3688,"-1"0"-2609,-1 1 0,-1-1-89,-1 1 809,-2-5-990,-2 6 1350,-8-12-1619,2 14-180,-6-2-270,9 15-1,3 3 1,6 5 90,8 8-90,-1-3-90,10 19 90,1 1 0,9 18-90,-8-15 0,5 19 0,-17-36 90,4 17 0,-10-19 0,-5 5-90,-2-11 0,-15-1 0,5-11 0,-14-3-90,5-7 0,-9-8 0,10 3 0,0-8 0,15 8 0,3-4-90,9 3-269,10-2 359,-2 6-180,10-2 90,-4 3 90,1-1 0,1 0 90,5-5-90,-5 3 90,17-11 0,-16 7 0,14-11 0,-12 3 90,1-7 0,-9-1 270,-8-5-90,-6 13 179,-6-5 451,-5 17-1,-13 4-719,8 7 180,-9 11-180,15-1 90,-1 13-180,6 1 90,11 30-270,0-20-720,23 27 360,-16-42-719,25 11 809,-22-23 90,12 0-179,5-21 269,-2-8 180,6-7-90,1-51 90,-25 36 0,6-40 180,-17 20 449,-4-6 361,-3-17 179,-3 8 90,-4 12-89,-1 17-181,-3 12 91,-1 14-1080,2 11 0,-6 14 0,6 13 0,-2 16 0,9 17 0,16 52 0,-1-36 0,5 3 0,1-4 0,0-16-2339,3 3 0,0-2 91,-3-11 449,9 16-1889,-9-28 3688,4-3 0,-7-6 0,-1-6 0</inkml:trace>
  <inkml:trace contextRef="#ctx0" brushRef="#br0" timeOffset="4400">1827 312 9691,'-20'-9'4048,"0"2"-8629,1 1 5661,1 3 1318,1 1 4078,0-3-4897,16 3-1039,5-4-90,18 3-91,4-1 271,28-1-1260,0 4-89,2-1-3689,9 8 3329,-42-3 1863,21 3-2314,-31-4 1530,10 2 0,-15-3 0,4 1 0</inkml:trace>
</inkml:ink>
</file>

<file path=xl/ink/ink2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4:10.17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50 192 7803,'-7'-13'2428,"1"0"-1708,0 1-1,0-1-4341,2 2 4252,-1 0 1219,0-3-1039,0 4 2158,0-5-2518,9 15-1,-2 0-89,8 13 3302,-1 3-3302,0 4 449,15 34-629,-8-16 90,24 53-180,-20-46-45,2 2 0,1 0 45,-1-3-90,3 1 0,1-2 90,-4-7-90,24 30 90,-29-43 0,16 14 180,-21-28-1,12-3-89,-10-17 360,11-33-450,-10 7 90,5-41 90,-9 11-180,-1 0 0,-3 1 90,-2 3-90,-4 18-1,1-11-89,-3 23 90,-2-19-90,0 20-629,-4-26 89,4 38-5217,-3-11 4408,7 31-2789,2 7-89,5 14 4227,3 5 0,0 1 0,2 0 0</inkml:trace>
  <inkml:trace contextRef="#ctx0" brushRef="#br0" timeOffset="698">986 487 8522,'13'0'5307,"-2"-2"-3598,0-2-899,-4-7-271,-5 1 91,-1-4-180,-3 2-1,-1 0-89,-1 0 630,-10-13-271,-16 2-719,5 1 270,-23 13-180,28 13 0,-26 21-90,27-9 0,-11 30 0,22-25-180,7 28 90,6-28-180,20 22 180,-10-27-89,25 10 179,-21-19 0,24-5 89,-24-8 91,19-17-90,-23 8 360,11-23-180,-18 20-90,2-10 629,-5 7-449,-2 7-450,3 1 0,-2 12-90,1 8-90,-1 1-269,3 4 269,-1-2-90,5 5 270,-3-7-90,1 2 0,-1-6 180,3 0-90,1-4 270,3-3 180,4-8-180,-7 1 270,11-7-270,-11 9 269,22-4-269,-16 9 360,27 5-360,-23 4 180,31 19-360,-29-7 90,21 22-90,-22-6 90,3 21-90,-14-18 90,-7 13-90,-7-28 719,-20 25-449,9-28 90,-15 11 179,6-23-269,5-4-90,-5-4-90,7-6 0,-1-4 90,-8-44-270,13 21-540,-1-53 1,16 46-2699,15-47 2248,-7 44-1619,8-4 1,1 2-270,-4 13 2968,20-23 0,-29 46 0,3-1 0</inkml:trace>
</inkml:ink>
</file>

<file path=xl/ink/ink2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4:13.27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931 3409 8972,'8'-5'4227,"-1"-1"-3147,-1-2-1,-1-1-89,-3-1-1,-1-3-89,-3-1 1528,-15-26-1978,5 18 809,-33-28-989,25 37-180,-15-3 90,18 17-90,-1 4 0,-1 3-90,1 3 90,-3 4-90,2 3-270,-11 34 90,16-22-809,-1 43 629,20-47-899,19 28 899,-8-35-180,21 9 360,-17-22-360,35-15 540,-29-1 0,23-14 90,-29 6 270,5-13-180,-8 7 180,2-8-90,-10 9 449,1-6-359,-3 10 719,3-14-629,-6 19-630,4 4-269,-5 11-91,1 10-180,-1-1-89,1 1-2070,8 13 1710,-3-8-7286,25 27 8455,-17-25 0,8 8 0,-19-21 0</inkml:trace>
  <inkml:trace contextRef="#ctx0" brushRef="#br0" timeOffset="550">47 2840 8162,'-7'-13'3958,"0"1"-3058,1 1-181,0 1 900,1 2 900,-2-1-1710,2 8 1,2 2-180,3 10 89,5 6-89,2 6 89,4 7 1080,25 61-1439,-10-32-334,3 6 0,1 0 154,2-3-1084,11 20 994,-11-27 180,12 19-180,-10-19-284,-5-9 1,1-3 283,-1-3-1,20 23-89,-31-44 90,7 5-90,-9-23 0,-6-23 500,2 0-500,-10-38 1075,-4 20-1120,-7-27 0,0-3 45,0 9 147,0 2 0,-1 2-1046,2 18 89,2 13-269,0-2-1260,2 14-3777,2 1 3327,7 9-1798,-1 3 4587,8 11 0,1 4 0,1 1 0</inkml:trace>
  <inkml:trace contextRef="#ctx0" brushRef="#br0" timeOffset="1133">1245 3218 8522,'-7'-14'4318,"1"1"-3329,1 1 1,1 0-1,0 1 810,2 0-270,2-1-360,3 4-809,6 3 0,0 7-90,4 6 180,2 11-1,8 16-359,-4-5 180,9 27-270,-17-33 0,10 32 0,-14-36 90,5 16 180,-7-26-90,-1-6 0,-1-6-90,-1-8 180,-1-11-181,0 2 1,2-30-90,-1 20-269,3-28-91,-2 31-1799,8-25 1260,-4 27-2879,13-21 2159,-10 30 1619,17-7 0,-19 18 0,6-1 0</inkml:trace>
  <inkml:trace contextRef="#ctx0" brushRef="#br0" timeOffset="1499">2229 2620 9332,'-12'-20'3328,"0"0"-2429,-2 3 1,0 2-1,1 2 1,-1 2-1,-1 2-179,0 3-1,0 2-89,1 3 1259,-15 11-1259,11 0 1079,-18 22 1079,3 41-2338,10-19 224,3 16 1,3 3-135,6 8-495,3-16 0,2-1-45,4 8 0,9-12 0,3-3-450,4-5-450,5-2 1,3-4-540,5-19-5757,65 10 5217,-44-27-2339,6-4 1,0-4 3469,-10-9 0,11-4 0,-19 1 0</inkml:trace>
  <inkml:trace contextRef="#ctx0" brushRef="#br0" timeOffset="2031">2601 2949 8252,'0'-11'3958,"-1"0"-3058,-1 2-91,-1 1 1080,-2 2-270,-3 0-899,-5 5-181,1 1-89,-2 5-90,4 1 0,1 1-1,2 2 181,3 6-360,3-3 180,17 19-90,27 11-270,-8-6 90,32 20-90,-43-35 0,19 22 0,-29-25 90,6 19 89,-16-22 361,-9 15-270,-10-15-90,-14 4-180,2-9 90,-24-5-360,22-5-1619,-30-6 990,37 1-2519,-11-6 2068,26 1-6655,12-4 8005,5 2 0,15-2 0,-3 5 0</inkml:trace>
  <inkml:trace contextRef="#ctx0" brushRef="#br0" timeOffset="2400">2998 3043 8162,'9'-18'5307,"-3"4"-4317,-3-3-91,-3 6-89,-3 0 89,-2 1-269,-3 1 539,-8 1-629,1 3 359,-24 7-629,16 2 180,-29 17-360,31-7 0,-12 20-90,26-18-270,4 14-90,13-12-359,14 4 629,-5-8-270,18-6 270,-21-8 270,14-8 0,-16 0 1529,14-20-1259,-12 11 539,6-12-179,-13 15-181,-1 1 1,-2 6-540,4 4 0,-4 3 0,7 14-360,-6-5-1259,5 13-990,-3-4-1259,10 13 2339,-6-11-7016,14 11 8455,-15-21 0,3 2 0,-10-9 0</inkml:trace>
  <inkml:trace contextRef="#ctx0" brushRef="#br0" timeOffset="4003">3296 3071 8162,'3'-15'4858,"0"0"-3599,-2 1 90,0 0-180,-1 1 91,0 1 719,0 1 3058,0-9-4678,5 14-89,-2-3-90,6 15 180,-3 6-270,-1-1 0,3 8-90,-2-6-540,5 12 180,-5-14-539,4 10 449,-3-13 360,3-4 0,-3-4-90,2-16 180,-4 4 270,3-17-90,-5 16 540,5-15-450,-4 16 179,3-4-269,1 11-90,-2 5 0,3 6 0,-3 4-90,0 4-180,-1-3 90,0-1-270,-1-3 1,2 1-1,1-1 180,4-4 90,0-6 0,-1-3 0,-1-8 180,-2 3-180,3-6 90,0 4 0,3-1 0,-2 5-90,9 4 180,-10 5-90,12 6 0,-9 3-809,12 7 449,-10-5-450,5 1 360,-8-8 1,4-6 359,-3 0 0,5-12 180,-8-7 90,2-13 179,-2-17 91,-3-12 270,-2-5 719,-6-18-1169,0 38 180,-3-10-181,2 43 361,-2-3-450,0 20 989,4 23-809,1 4 45,7 21 0,2 4-405,4 9 0,6 21 0,1 2 0,-1-6 0,2 8 0,0-2 0,-7-21 0,0 0 0,-2-3 0,-5-20 0,5 31 0,-10-49 0,1 7 0,-7-29 0,0-2 0,-5-15 0,-18-65 0,11 26-508,1 0 0,0-1 508,4-9-135,7-7 1,3 0 134,1-1-45,1 7 0,4 4-10,4 21 55,2 9 0,4 2 0,-3 15 0,7 12 0,-6 9 829,4 9-829,-6 7 61,-4-2-61,-4 17 0,-4-18 0,-7 33-90,3-33-270,-7 19-449,5-23-91,1 1 630,5-4-89,13-7 269,-2-3 0,10-5 90,-9-1-90,7-2 90,5-4 0,9-4 0,4-5-90,1-4 90,-9 3 180,9-19 0,-17 6-91,8-17 1,-13 3 180,-7-9-180,-5 18 0,-13-25 0,2 40 0,-18-23-90,13 33 90,-16-11-90,16 15 90,-5-2-90,5 2 90,3 2 0,-4-1-90,7 1 90,0-1-90,1-7 0,2 1 0,-1-11 0,3 10 90,-3-20 0,3 16 359,-5-21-269,4 24 180,-2-13-180,1 17 0,-3 3 0,2 11 0,-1 8 0,3 2-180,1 48 0,2-23 0,6 54 0,0-47 0,15 48 0,-8-45 0,5 2 0,5 1 0,11-1 0,21 18 0,-15-34 0,17-7 0,-21-20-180,14-7 90,-22-9 0,9-30 90,-20 13 0,13-47 0,-22 38 270,2-40-180,-11 46-90,-8-26 0,-4 32 0,-8-5 0,5 19 0,-7 13 0,8 10 0,-2 15 0,9-3 0,8 29 0,5-12 0,9 21-450,-3-24-4317,18 8 1708,-2-23-269,28 4 2249,-17-20-1260,22-15-1079,-19-12 3418,8-13 0,-14 0 0,-8-4 0</inkml:trace>
  <inkml:trace contextRef="#ctx0" brushRef="#br0" timeOffset="4250">4930 2105 8342,'-5'-16'4408,"1"2"-3509,0 2 990,1 1 720,2-1-1980,6 6-89,0 3-90,6 8 539,7 13-629,-2 0 899,29 61-944,-28-24 0,-1 2-315,2-7 0,-1 3-405,-5 27 0,-6-6-314,-5-17-766,-4 7 1,-2-1 45,-1-9-3328,-12 43 4767,2-43 0,-1-2 0,0-8 0</inkml:trace>
  <inkml:trace contextRef="#ctx0" brushRef="#br0" timeOffset="4749">5625 2482 9961,'-12'-3'8725,"2"1"-9084,8 0-91,8 0-90,6-1-179,3 0-91,-2 1-179,0 0 989,23 1 0,-23 1 0,15 1 0</inkml:trace>
  <inkml:trace contextRef="#ctx0" brushRef="#br0" timeOffset="4881">5712 2548 7623,'-10'10'3867,"0"-1"-2967,1 0-1,-1 0 1,1 0-1,1-1-89,2-1 1259,-1 5-1530,6-4-359,5 1-270,5-7-1349,25-12 450,-9 1-4228,44-22 1439,-31 14 3778,20-11 0,-27 14 0,-1 0 0</inkml:trace>
  <inkml:trace contextRef="#ctx0" brushRef="#br0" timeOffset="5400">6215 1608 8702,'-11'-3'3238,"1"1"-1349,0 0-270,-1 0 3059,0 0-4139,6-2 1,6 1 90,9-3-1,5 2-179,5-1 0,6-2-91,7-2-89,4-1-45,9-3 0,5-2 45,40-10-315,-39 11 0,1-1-855,1 1 1,-8 3-180,-11 2-990,21-4 989,-39 9-3957,10-3 5037,-12 3 0,0 1 0,-9 1 0</inkml:trace>
  <inkml:trace contextRef="#ctx0" brushRef="#br0" timeOffset="6002">6292 1553 8972,'-8'-3'5397,"-2"-2"-3508,1 0 0,-1 0 1259,1 0-2698,8 8 89,2-1-89,9 7-90,2-3-90,3 2 0,5 2-91,4 0 1,4 2-90,2 0 270,45 18-360,-33-14 90,51 20-90,-63-24 90,22 8-90,-34-13 0,10 5 0,-17-8 90,3 3-90,-7-3 0,-3 5 90,-6 0-90,-6 4 0,-1-3 90,-6 8-90,-2 3 0,-7 10 90,-6 9-90,-3 6 90,-3 6 180,0 1 89,2 0-89,5-5 270,6-5 359,7-8-89,6-6-360,8-5-450,2-6 0,14 2 0,4-11 0,14 1 0,8-10-990,9-7-269,-6-2-6297,43-20 5667,-45 13-2968,46-18 4857,-36 13 0,0 0 0,0 2 0</inkml:trace>
  <inkml:trace contextRef="#ctx0" brushRef="#br0" timeOffset="6484">7596 1030 10681,'-10'-3'5397,"-3"2"-4588,3 3-89,-2 3 0,2 2-1,-1 2-89,0 2 539,-7 12-719,4-1 1169,-16 40 0,3 30-1169,3-12 89,12-11 1,3-3-270,6-11 0,7 15 0,3 1-180,4-7 0,2-5-1,4-1-89,17 7-845,12 2 126,-4-19-2115,4-21 1,0-6 1394,1-5-180,2-2 0,1-4-6747,3-10 8366,-3-1 0,-19-2 0,-18 1 0</inkml:trace>
  <inkml:trace contextRef="#ctx0" brushRef="#br0" timeOffset="6796">7805 1448 8792,'-6'-8'5397,"0"1"-3148,-1-1 1169,2 1-2159,4 0-809,7 5 89,4 1-89,6 5-90,-2 1-90,4 3-90,2 1 90,14 8-630,14 13-1349,3 4-1440,13 16 1890,-29-21-4498,13 11 1530,-30-26 4227,8 6 0,-20-16 0,-1-1 0</inkml:trace>
  <inkml:trace contextRef="#ctx0" brushRef="#br0" timeOffset="7065">8199 1326 8252,'-5'-13'4318,"0"0"-3149,1 2 0,0 1-89,0 1 719,0 1-540,0-2 360,-2 3-1079,-4 3-90,3 4 89,-3 8-89,2 2-90,0 3-90,-1 4 449,-12 44-629,9-23-45,-4 22 0,1 3-315,5-12-540,0 2 1,2 0-360,3-13-6836,0 49 2068,4-51 5937,2 26 0,-1-51 0,2-3 0</inkml:trace>
  <inkml:trace contextRef="#ctx0" brushRef="#br0" timeOffset="7265">8291 1684 13829,'11'-13'7016,"0"10"-7196,-4 13-2069,5 15 990,-6-13-270,3 8-1619,-4-9-2159,1 0 5307,-1-1 0,-2-4 0,-1-2 0</inkml:trace>
  <inkml:trace contextRef="#ctx0" brushRef="#br0" timeOffset="7422">8324 1445 8792,'-7'-10'3508,"1"1"-2878,0 1-181,0 1-89,1 0-1259,-2-1 899,1 2 0,1 0 0,3 4 0</inkml:trace>
  <inkml:trace contextRef="#ctx0" brushRef="#br0" timeOffset="7663">8515 1446 11490,'-9'-3'8366,"5"-2"-7827,5-2-179,4-1 180,3 1-360,5-1 0,-3 2-1170,16-8 91,-11 6-2339,24-10 1978,-18 9-6835,35-14 8095,-27 12 0,19-7 0,-21 8 0</inkml:trace>
  <inkml:trace contextRef="#ctx0" brushRef="#br0" timeOffset="7900">8883 1043 8702,'-11'-3'4048,"1"0"-2069,1 1 1888,-2 0-2517,2 1-811,7 4-89,5 1-90,11 4 180,11 5-271,-1-1 1,11 6 0,9 4-270,-9-4-180,39 24-270,-36-18-1888,39 30 1168,-49-31-3237,24 24 1798,-35-30 2609,10 9 0,-21-19 0,1 0 0</inkml:trace>
  <inkml:trace contextRef="#ctx0" brushRef="#br0" timeOffset="8132">9296 1058 9062,'-5'-13'3778,"0"0"-2699,1 3 0,0 0 720,0 2-359,-3-1-181,-2 3 90,-16 12-629,2 9-540,-11 18 179,-2 21-269,12-14-1169,-18 41 269,27-49-1258,-13 31 718,18-41-89,-2 4-90,5-10-5217,-2 2 6746,2-6 0,1-1 0,3-8 0</inkml:trace>
  <inkml:trace contextRef="#ctx0" brushRef="#br0" timeOffset="8383">8686 987 9242,'-11'-12'3957,"2"0"-2787,0 1-1,3 0 0,0 1-89,3-1 809,3-5-450,5-3-180,11-7-179,12-3-451,13-2-89,24-3-450,-18 11-540,24-4-1169,-24 13-3418,40-6 3418,-35 8-7196,34-2 8815,-58 10 0,5 0 0,-24 3 0</inkml:trace>
  <inkml:trace contextRef="#ctx0" brushRef="#br0" timeOffset="8634">9397 611 17787,'4'8'1889,"0"0"-1350,2 2-89,0 3 90,2 3-90,0 2 1259,13 47-1260,-8-11 1,-1 4-360,13 36 0,-10-17 0,-1-6-90,-4-22 45,0 4 0,-1-1-45,-2-11-450,0 39-89,-7-50-2250,-6 26 1710,1-36-91,-5 9-179,3-19-4228,-5-1 1080,-2-5 4497,-1-3 0,5-3 0,6 0 0</inkml:trace>
  <inkml:trace contextRef="#ctx0" brushRef="#br0" timeOffset="9035">9326 176 8522,'-2'-22'3778,"2"1"-2699,0 1-89,2 1-91,1 1 91,3 2-181,0 1 1,3 2-91,2 1 1,1 4 449,8 0-629,-3 4 989,23 7 0,5 21-1259,-7-4 450,6 48-630,-36-35 179,-6 58-269,-9-50 90,-4 12 0,-2 0-90,4-13 0,-6 36 90,16-54-180,12 16 90,-2-21-359,28 9-271,-10-22-449,18-2-541,-6-10-178,3-4-91,1-4-180,-4 2 809,-10 3-3417,5 0 1619,-19 7 3058,6-1 0,-17 4 0,-2 0 0</inkml:trace>
  <inkml:trace contextRef="#ctx0" brushRef="#br0" timeOffset="9859">6411 2784 8882,'-13'4'5577,"1"-1"-3239,0-2-1798,8-5 0,3 0-90,7-6-1,4 2-89,3-2 0,4-1 809,49-20-719,-18 12 0,3-2-271,-1 1 1,3-2-156,18-5 0,5-1 381,-1-1 0,4-1-588,-13 5 0,4-1 0,-1 0 243,-5 2 0,0 0 0,5-2-433,4-1 0,8-2 0,-2 0 0,-8 3 418,9-2 0,0 0 22,-4 3 0,12-4 1,-2 1-1,-13 5-318,-10 3 1,-2 2 370,15-3 0,9-3 0,-10 4-75,-16 4 0,-4 1 0,26-7 0,-2-1 220,-26 7 1,-2 0-266,2-3 0,-4 1 0,10-6 180,27-18 0,-56 27 1377,25-14-1287,-40 21 2165,7-5-2165,-13 8 759,3-2-939,-3 2-630,1 0-1438,-1 1-541,1 0-449,0 0-360,2 0-1440,-2-2 4768,0-1 0,-4 3 0,-3 0 0</inkml:trace>
  <inkml:trace contextRef="#ctx0" brushRef="#br0" timeOffset="11133">6966 3373 8792,'-4'-13'7376,"-1"9"-6837,3 10-89,0 7-4162,3 5 4162,1-3 949,-1 3-589,4 9-450,-1-5 449,6 22-629,-5-21 360,7 29-450,-8-33 3751,4 16-3661,-5-20 90,0 0-270,-6-11 0,1-4 0,-5-9 90,-1-12-90,1 2 0,-7-22 0,4 12 270,-16-59-90,13 44 180,-3-9 0,1 1-91,5 16 91,-4-16 180,7 22 89,-2-6-269,3 9 630,0-3-271,8 22-359,4 6 0,3 5-90,4 8-90,9 11-180,-2-2 0,9 9 0,-4-5 0,5 4 0,17 14 0,-8-9 0,2 0 0,-1-1 0,0-3 0,5 2 0,0-1 0,-9-9 0,20 10 0,-10-11 0,8-6 0,-11-3 0,1-17 0,-36-4 0,-3-31 0,-9 14 0,-6-21 0,-8-4 0,-4 2 0,-2-2 0,-6-14 0,5 15 0,1 6 0,5 14 0,-16-23 0,8 12 0,-7-8 0,7 10 0,9 15 0,1 0-1799,4 6-4318,8 9 3059,9 1 1349,0 6-7106,17 5 8815,-6 2 0,-2 1 0,-5-2 0</inkml:trace>
  <inkml:trace contextRef="#ctx0" brushRef="#br0" timeOffset="11536">7746 3005 9062,'-11'1'9830,"9"-4"-7517,4 0-1863,7-3 89,3 1-89,-3 0-3572,2 0 3392,-1 0 0,2-1-180,0 0 179,8-3 1,9-4-270,-5 3 90,15-6-90,-23 10 0,17-7 0,-20 8 3302,12-5-3751,-15 6 449,5-1 0,-10 3 0,0 1 0</inkml:trace>
  <inkml:trace contextRef="#ctx0" brushRef="#br0" timeOffset="12431">8454 2608 8072,'3'-12'8096,"0"2"-5488,-1-3-1528,-4 5-541,-4 6-269,-2 6-90,0 5 0,1 1-90,2-1 0,-1 0 0,0 1 0,0 0 0,-7 12-90,6-9 0,-5 7 90,8-11 180,0-1-91,4-6 361,4-6-180,2-7-90,1-3 449,2-7-359,-3 4 899,7-21-899,-7 19 1079,8-26-1169,-10 29 180,4-10-180,-5 15 90,0 1-360,4 4 0,-2 4 0,4 8 0,1 9 0,-1-2 0,14 28 0,-9-17 0,21 42 0,-13-22 0,6 10 0,-10-17 0,-6-12 0,9 16 0,-9-17 0,14 27 0,-11-18 0,0-2 0,-1 4 0,-10-23 0,-1 9 0,-7-12 0,-5-1 0,0-4 0,-2 0 0,1-2 0,-14 2 0,-1 0 0,-13 2 0,11-1 0,-16 5-3392,22-5 3392,-10 3 0,11-3 0,-7 3 0,16-1 0,-1-1 0,25-5 0,2-3 3392,2-1-3392,4-2 0,2-1 0,44-15 0,-29 9 0,53-20 0,-60 19 0,23-9 0,-25 9 0,14-7 0,-18 9 0,6-5 0,-21 12 0,4-3 0,-4 2 0,1 0 0,0 0 0,-2 1 0,-3 2 0,-2 0 0</inkml:trace>
</inkml:ink>
</file>

<file path=xl/ink/ink2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4:55.62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182 2748 9422,'-6'-8'3508,"0"0"-1799,-6 1-1080,2 3 91,-5 0 629,-11 10-629,-5 14-630,0-1 90,4 9-91,18-10 91,2 8-90,5-5 0,24 32 0,-5-27-90,45 33 0,-30-39 0,42 20 0,-42-24 270,33 19-90,-41-19 899,20 21-719,-29-19 720,4 22-721,-17-21 541,-12 26-720,-1-25 180,-29 23-360,19-27 89,-15 6-178,18-17-91,0-2-270,1-1-1709,-10-11 1260,10 2-990,-11-15 809,19 8-5036,6-31 2428,7 22 3688,7-19 0,1 21 0,1 0 0</inkml:trace>
  <inkml:trace contextRef="#ctx0" brushRef="#br0" timeOffset="232">493 2813 8522,'2'-13'5217,"-1"0"-4048,-1-2 1080,-1 3-360,-3-4 720,-1 7-1890,-3 5-179,3 5-90,0 10-1,4 2 1,3 14-270,1-4-540,9 34-179,-3-23-1980,20 42 1620,-14-44-2340,22 35 1980,-23-43-3598,15 22 1259,-19-30 3598,4 7 0,-11-17 0,-2-2 0</inkml:trace>
  <inkml:trace contextRef="#ctx0" brushRef="#br0" timeOffset="783">511 3197 7443,'-13'-6'2788,"0"0"-2158,2 1-1,1-1-179,1 0 0,1 0 180,3-1-271,4-7-179,3 4-270,21-16-90,-4 13-89,15-10 89,-10 9-90,3-2 180,2 0 90,0-1-180,14-9 180,-10 5 270,21-15 359,-17 7 541,8-10-720,-19 15 539,-6 1 450,-14 13-629,-12 5-361,1 3 451,-21 25-630,12-5 180,-15 28-181,13-8 1,-1 23-180,10-20-90,13 24-90,4-39-90,15 17-179,-1-26-91,14-5 450,-11-9-90,16-23 90,-25 4 450,21-61-360,-27 37 179,5-58-89,-17 52 180,-3-7 0,-1 0-90,-2-2 134,0 4 1,-1 0 675,-3-5 89,-7-12-899,6 29 269,-5 4-359,7 26-90,-1 6 0,2 12 0,6 42-180,2-13-539,10 46-91,-2-40-1439,9 34-269,2-16-810,19 28 2068,-9-32-1619,8-15 1,2-7 90,-5-12 2698,26 10 0,-46-30 0,-5-2 0</inkml:trace>
  <inkml:trace contextRef="#ctx0" brushRef="#br0" timeOffset="1500">1459 2915 7533,'0'-13'3418,"-2"1"-2609,0 0 1,-1 0-91,-1 1 1,0 0-90,-1 0-1,0 1 361,-3-3 1438,-5-7-629,3 6-1439,-3 2-180,10 16-90,1 5 0,5 2 0,1-3 0,0 0-90,1-1 90,8 5-180,0-4 90,6 0 0,-4-7 0,0-6 0,-5-2 0,1-14 0,-8 1 180,-3-14 0,-4 9 539,-13-15-179,0 15-180,-9-4-180,1 17-1,-5 14-89,6 5 90,-13 26-90,15 1-90,-5 18-180,20-1-449,15 4 89,5-13-2068,29 17 1888,-16-32-809,38 17 989,-26-32 180,16-2 360,-22-13 540,13-22-180,-24 7 719,18-35-629,-27 25 1709,7-45-1440,-14 45 541,1-24-181,-5 37 1170,1-5-1980,3 14 1,0 2 0,3 10 0,1 8-90,4 4-90,6 6-90,3 2-180,2-3 0,1-6 180,0-6-90,-1-8 90,5-15 90,-10-1 450,7-26-360,-18 17-90,0-49-90,-9 38 0,-6-39 0,1 42-990,-8-23-89,7 29-6297,-7-23 7376,10 31 0,-2-4 0,4 14 0</inkml:trace>
  <inkml:trace contextRef="#ctx0" brushRef="#br0" timeOffset="1750">2096 2164 8342,'2'-17'4678,"0"1"-3419,-1 1 90,-1 0-4431,-1 1 4341,0 1-269,-1 0 5176,-9-5-5446,2 13 719,-9 5 360,1 39-1439,6-5-360,-1 18 0,7-16 0,2 0 0,4 21 0,1-13-540,13 52-539,-4-47-1440,6 2 0,4 0 900,0-12-1709,27 26-1439,-10-37 4767,10-3 0,-20-14 0,-6-7 0</inkml:trace>
  <inkml:trace contextRef="#ctx0" brushRef="#br0" timeOffset="3550">2626 2398 8252,'2'-35'3868,"-2"0"-2968,-1 4 89,-2 1-586,-1 1 496,-2 3 764,-8-7-944,1 10 1080,-22-9-1349,17 21 360,-21 1-451,22 13 1,-5 4 372,9 1-282,1 9-99,7-3-81,6 17-90,14 0-180,12 13 0,12 4 0,8 2 0,2 1 0,0 0 0,-3-2 0,-9-4 0,-8-3 0,-12-6 0,-8-4 0,-8-5-90,-9-5 0,-9-5-450,-6-4-449,-2-6 449,4-4-1979,-2-8 1800,14-4-900,2-7-180,16-6 629,8-4 721,10-6 179,9-6 450,8-5 269,5-3 271,-1-2-270,-12 11 449,-3-3 540,-13 5-899,-6 8 1799,-8-10-2069,-11 28-90,-4-4-1,-1 18 91,-3 8-180,3-2 0,-9 22-90,12-16-90,-1 18 0,9-21-899,12 13 719,-5-16-270,18 5 360,-14-14 90,7-3 0,-5-6 720,7-13-360,-6 5 989,7-21-719,-15 22 719,4-14-539,-6 16 2338,2-7-1979,-2 10-359,5 5-360,-2 7-90,3 8-180,-4-3-90,8 12 0,-5-7 0,13 18 0,-13-17-720,10 13 180,-13-17-179,6 5 449,-6-12 90,0-6 90,-2-8 0,-4-12 0,-1 5 90,-1-4 90,1 7-90,-2 1 270,1-1-90,2 3 0,3 7-90,5 5-90,1 4 90,0 3-90,2 3 0,-3-1 0,4 4-270,-5-4 180,1 1-810,6 6 631,-6-6-721,12 9 810,-11-16 90,4-2 0,-5-17 90,-3 3 0,-1-14 0,-1 2 90,-2 0-90,1-1 90,-1 10-90,3 6 0,1 9-180,2 4 90,2 6 0,-1-2-179,0 0-1,-2-4-270,2 1 270,3-2 90,4-5 90,-3-1 270,2-11-90,-9 3 630,1-25-181,-6 1 811,-8-54-811,1 39 811,-12-42-1081,10 65 1,-4-12 630,4 21-630,-1 12-270,4 3 0,0 13 0,10 24 0,7 15 0,13 39 0,-6-24 0,2 1 0,-6-15 0,1 0 0,6 19 0,-1-5 0,-4-9 0,-2-4 0,0-1 0,2 5-1440,8 28 811,-14-46 359,-4-17 180,-8-24-180,-7-31 0,1 6-269,-7-37 359,4 13-450,-4-43 360,7 35 45,3 4 1,2-1 44,3-8 0,3-22 180,2 44 270,12 4-180,-8 27 179,20 7-179,-18 14 0,21 23-90,-19-15 0,9 11-360,1-3 91,-7-10-451,13 9 0,-10-15 181,4-3 269,-3-7 180,-6-4-90,0-18 90,-10-2 270,-3-18 0,-6 11 360,-12-17-181,1 23 1,-6-7-90,7 21-180,-5 12 0,11 6 0,-7 16-90,13 0-270,5 12-270,10-4-179,7-1 359,-1-9-809,11-1 899,-14-11-450,21-3 630,-21-7 450,18-18-90,-19 6 719,14-33-269,-16 10 449,4-14-539,-9 18 539,-1-2-269,-3 17-900,4 4-90,-2 12-450,3 17 0,-3-3-269,2 6-181,-2-3-2338,5 17 450,-1-2-5847,5 16 8725,-7-17 0,-2-7 0,-4-14 0</inkml:trace>
  <inkml:trace contextRef="#ctx0" brushRef="#br0" timeOffset="3800">4296 1567 9422,'-5'-34'4317,"0"3"-3417,2 6-1,3 5 1,1 2 89,2 4-89,3 3 1618,13 2-1888,-4 7 179,13 5-89,-7 9 1349,42 52-1440,-17 5-584,-14-28 0,-3 3-270,-10 9 1,-7-3-316,-5-6-1079,-5 10 0,-1 1 359,-6-10-1169,-5 9 1,-3 0-630,-2-9 3058,-21 39 0,16-48 0,-7 9 0</inkml:trace>
  <inkml:trace contextRef="#ctx0" brushRef="#br0" timeOffset="4198">4883 1976 11221,'-11'5'5037,"5"0"-4588,8 1-269,7-2-270,1-2-89,3-3-271,-2 0-270,1-2-89,2 1-271,0-3-269,2 1-720,0-1-899,-1 1 2968,0 0 0,-8 2 0,-1 1 0</inkml:trace>
  <inkml:trace contextRef="#ctx0" brushRef="#br0" timeOffset="4313">5074 2094 8072,'-6'7'3598,"1"0"-2428,-1-1-1080,0 1-720,8-7-270,1 0-898,9-9-631,2-2 2429,4-4 0,4-3 0,3-3 0</inkml:trace>
  <inkml:trace contextRef="#ctx0" brushRef="#br0" timeOffset="6521">5692 2551 11670,'-12'-8'3688,"1"0"-3058,3 2-270,1-1-90,1 0-91,2-1 1,2-1 0,2-3 0,3-1-90,3-1 90,-1 3 0,1 2 0,1 1 180,-1 2 179,4-3 1,1 4-180,4 2-90,-1 3 89,3 5 181,5 9 180,19 23-271,12 19-269,-11-8 0,-1 1-90,14 21-411,-10-13 0,-3-2 411,-8-10-90,-4-5 0,1-1 0,4 2 90,13 16-180,-18-23 270,8 7-180,-27-28 90,5 3-90,-18-28 732,-3 0-822,-9-19 0,-11-18 0,3 5 90,-11-21 0,7 12-90,-1-1 45,2 1 0,-1-2-45,-6-16 30,6 10 0,-4-10 0,4 9 60,-5-20-45,4 11 0,0-1-45,1-16-162,7 21 252,7 19 0,0-4-45,0-13 0,3 2 45,-4-14 0,5 10 0,2 5 0,5 30 0,1-29 0,1 37 0,6-27 0,-2 29 0,17-30 0,-6 28 0,11-13 0,7 9 0,8 1 342,19-4-252,3 8 0,3 2 0,18-4-585,-1 2 0,-1 1 585,-4 2 0,1-2 0,4-2-45,-30 9 0,5-3-490,5-3 0,14-6 0,7-2 0,-3 0 0,-12 5 535,19-7 0,1 0-18,-17 5 0,11-5 0,4-1 0,-5 2 0,-15 5-142,3-1 0,-3 2 182,3-1 1,11-4-1,0-1 1,-9 5-935,5-2 0,-2 1 851,2-1 1,5-1 0,-8 2 15,-11 5 0,-3 1-319,19-6 0,-3 2 274,-25 7 0,-1 0 361,22-6 1,-9 4-812,-36 10-1701,13-4-2346,-28 8 2017,-10 4 2480,-23 9 0,-4 3 0,-13 5 0</inkml:trace>
  <inkml:trace contextRef="#ctx0" brushRef="#br0" timeOffset="7315">6864 1414 11490,'5'-7'7736,"-5"-1"-7106,-2 1-271,-5 1-89,-4 2-180,-5 3 0,1 1 90,-1 2-180,4 1 90,-3 2 0,0 1-90,-2 1 90,-12 8-90,-1 2 0,1 1 0,0 4 0,18-12 90,-7 11-90,13-9 90,0 6 0,9-6 0,8-2-90,1-3 90,18 0-90,-13-4 0,30 4 0,-24-5 0,32 3 0,-32-3 90,26 3-90,-30-2 180,19 7 89,-21-3-89,4 7 0,-12-2 180,-6 12-270,-5-10 270,-14 27-180,-4-10-180,-6 9 90,0-8 0,5-8-1,0-1 91,-1 1-90,0-1 90,2-1 270,-9 11-360,11-14 360,-9 15 179,18-22 91,-1 7-180,12-10-181,10 0-269,-1-4 90,22-5-360,-8-3-719,16-3-1170,-1-2-989,4-2 89,3-1-2248,2-4 5217,-2 0 0,-20 6 0,-8 1 0</inkml:trace>
  <inkml:trace contextRef="#ctx0" brushRef="#br0" timeOffset="7715">7478 1193 7803,'-4'-12'3328,"-1"1"-2429,1 1 900,1 1-180,-2-1 450,-1 2-1529,-3 4 179,1 5-89,-3 9-90,2 4 89,-1 5-89,-1 6 539,-7 21 990,-6 43-1709,7-24 44,9-6 1,3-3-225,7-15-323,6 20 143,2-30-90,3-1-270,2-2-2428,23 15 1439,-10-18-3149,46 15 990,-38-31 3508,38 0 0,-36-10 0,11-3 0</inkml:trace>
  <inkml:trace contextRef="#ctx0" brushRef="#br0" timeOffset="7964">7915 1382 10411,'-11'-10'4318,"2"2"-3419,0 1 990,2 1 1889,0 0-3418,5 7 179,2 0-179,7 8 180,4 0-450,11 8-180,-2-3-180,10 6-1709,19 9 1080,-15-10-4139,53 28 2160,-53-30 2878,28 17 0,-49-27 0,2 1 0</inkml:trace>
  <inkml:trace contextRef="#ctx0" brushRef="#br0" timeOffset="8199">8158 1311 8522,'-18'-13'4408,"1"2"-3329,1 1-90,1 2 1,1 1-1,1 3-179,0 0-1,1 1-89,1 2 899,-7 6-630,0 12-539,-3 9-360,1 27-540,9-17-179,-1 12-91,8-21-1259,-1 11-719,3 1-1710,2 8 4408,6-6 0,-3-18 0,2-8 0</inkml:trace>
  <inkml:trace contextRef="#ctx0" brushRef="#br0" timeOffset="8396">8273 1492 9961,'6'-6'8006,"3"-1"-6207,-1 4-1170,1 4-89,-1 3-180,-3 4 0,-1-1-180,0 1-720,3 6 0,-2-3-2338,7 14-6953,0 0 9612,-2-4 1,-1-3 0,-8-15 0</inkml:trace>
  <inkml:trace contextRef="#ctx0" brushRef="#br0" timeOffset="8539">8319 1299 8612,'-7'-12'2788,"0"1"-2338,1 1-180,0 2-270,0 0-630,1 2 630,-1-1 0,3 4 0,-1 0 0</inkml:trace>
  <inkml:trace contextRef="#ctx0" brushRef="#br0" timeOffset="8749">8568 1247 19046,'9'-11'450,"-1"2"-900,4 1-180,-1 0-179,1 0-180,2 0-181,2-1-269,0 1-4562,0-1 1774,1 1 4227,-1-1 0,-6 4 0,-3 2 0</inkml:trace>
  <inkml:trace contextRef="#ctx0" brushRef="#br0" timeOffset="8932">8944 992 8702,'-4'-12'8995,"1"2"-5307,-2 2-3328,6 6 89,0 1-269,6 6 90,2 1-270,1 2-90,1 0-180,2 1-2428,29 18 1618,-17-12-1438,31 17 1079,-31-19 1439,19 8 0,-29-14 0,8 3 0</inkml:trace>
  <inkml:trace contextRef="#ctx0" brushRef="#br0" timeOffset="9164">9183 999 8432,'-8'-6'4947,"0"0"-2968,-1 0 1529,1 2-2248,-2 3-901,4 6 1,2 3-90,1 5-90,1-1 0,-1 1-90,0 3 0,-1 1-450,-2 10-180,1-7-2248,-4 23 1528,4-22-4316,-7 23 5576,3-23 0,2 0 0,1-11 0</inkml:trace>
  <inkml:trace contextRef="#ctx0" brushRef="#br0" timeOffset="9388">8740 994 9242,'-14'-13'3778,"1"0"-8539,2 3 5570,1 1 1590,2 1 1558,2-6-1928,12 3-770,26-14-899,-1 11 180,50-17-630,-39 16-900,6-1 1,0 1 90,-6 3-2519,44-11 1978,-53 15-6565,29-7 8005,-40 10 0,4 0 0,-20 4 0</inkml:trace>
  <inkml:trace contextRef="#ctx0" brushRef="#br0" timeOffset="9650">9367 671 10231,'5'-1'9830,"0"1"-9046,3 7-154,0 1 179,2 0-179,4 3-90,3 2-91,4 2 631,24 20-271,16 25-809,-8-9-90,6 24-539,-37-31-1440,0 20 900,-11-24-2160,-10 14 2070,-5-35-1799,-11 14-3958,-4-19 7016,-1-1 0,5-7 0,8-5 0</inkml:trace>
  <inkml:trace contextRef="#ctx0" brushRef="#br0" timeOffset="9965">9478 557 8792,'29'-48'8815,"-4"9"-8006,-16 33-179,2 2 0,-1 2-91,2 1-89,-1 1 270,5 5-1,-2 5-449,0 1 540,-3 16-630,-7-12 179,-2 24-269,-2-21 0,2 20-180,1-22 0,8 9 1,-1-15-91,4-1-630,13-4 270,-9-4-1708,28-5 1258,-25 0-1169,19-7-629,-18 4 2788,6-3 0,-14 6 0,-2-1 0</inkml:trace>
  <inkml:trace contextRef="#ctx0" brushRef="#br0" timeOffset="10436">6914 2424 7263,'-10'3'4767,"-2"1"-2428,4 1-810,5 0-809,10-1-1,5-3-89,5-2 89,0-3-179,3 0 0,7-4-1,4-1 361,36-13-136,-13 3 1,5-1-315,7-2 0,5-3-648,-8 4 1,5-3 0,-2 1 512,25-9 0,3-1-136,-6 2 1,5-2 0,-6 2-135,-1 1 0,0-1 15,-1 0 0,5-1 0,-13 4-60,-26 10 0,-2 0-314,23-7 0,10-4 0,-8 4 224,-9 4 0,-2 0-240,8-1 0,7-2 0,-10 4 60,-17 5 1,-5 2-361,11-1 0,-6 1 1,-18 6-900,19-4-180,-26 6-2001,5-1 2540,-21 8 1107,-8 0-1916,-10 4 1979,-10 2 0,0 1 0,-8 2 0</inkml:trace>
  <inkml:trace contextRef="#ctx0" brushRef="#br0" timeOffset="11085">8005 2380 8702,'-12'8'3868,"0"0"-2969,3 0 1,1 0 89,2 1 91,1 1-91,2 0 0,1 1-89,2 1 539,1 8-719,2-1 1618,7 31-1078,0-8-181,6 21-539,-5-22 809,8 13-719,-5-21-630,4 9 0,-5-16 0,-5-10 0,-1-3 0,-11-16 0,0-1 0,-8-11 0,-7-12 0,-5-10 0,-7-14 0,0-6 0,4 5 0,4 1 0,6 9 0,5 3 0,5 13 0,5-6 0,6 13 0,18-5 0,-6 16 0,13 7 0,-1 13 0,9 7 0,14 10 0,3 3 0,1 1 0,-3-3 0,-4-4 0,-5-6 0,-6-6 0,-5-5 0,-9-4 0,7-9 0,-17 0 0,8-21 0,-18 11 0,-2-24 0,-5 17 0,-11-39 0,7 33 0,-13-38 0,14 45 0,-4-9 0,3 12 0,3 6 0,-1-3-1889,2 5-3148,-1-1-4794,2 0 8645,2 0 1,0 4 0,3 3 0</inkml:trace>
  <inkml:trace contextRef="#ctx0" brushRef="#br0" timeOffset="11280">8595 2311 9152,'2'10'9830,"-1"0"-1041,2-5-8069,1-3-540,5-6-180,0-1-90,3-3-900,2 0-269,1-2-450,2 0-4408,18-10-3714,9-1 9455,0-1 1,-1 3-1,-18 9 1</inkml:trace>
  <inkml:trace contextRef="#ctx0" brushRef="#br0" timeOffset="11481">9156 2060 11041,'0'-10'9830,"-3"1"-2030,2 9-7800,4 5 0,4 6 0,3 3 0,-1-2 0,0 2 0,2 2 0,5 12 0,-3-5-7376,25 47 1979,-6-15 2159,5 12 3238,-5-15 0,-17-30 0,4 4 0</inkml:trace>
  <inkml:trace contextRef="#ctx0" brushRef="#br0" timeOffset="12268">8963 320 17337,'7'-9'1439,"1"1"-989,4 1-90,5-1 0,7-4-91,6-1-89,13-4 0,4-1 0,10-3 45,6-1 0,7-1-135,-8 3 0,-1 1-45,7-3 0,-1 1-45,-5 3 0,-10 4 0,-18 5 0,23-5 0,-32 7-180,8-1-1169,-12 3-4228,-1 0 5577,-11 7 0,-4-2 0,-3 3 0</inkml:trace>
</inkml:ink>
</file>

<file path=xl/ink/ink2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6:00.694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1854 383 7263,'-5'-25'1349,"-1"0"-899,0-1-180,-2 1 89,-2 0-89,-1 0 0,-2 0 450,-22-21-540,10 18 314,-16-4 1,-3 2-315,2 9-288,-37-14 378,39 25 225,-17 6 0,-3 3-315,-14 2-1,-7 5 1,0 4 0,6 7 90,-2 8 0,0 3-90,-3 6-1053,-8 11 0,0 4 1053,14 1 0,18-7 0,-8 9 0,11-5-310,-14 18 280,21-13 0,-5 8 0,9-6 30,-3 16-1,1 12 1,5 1-90,13-9 45,5 2 0,5-1-45,10-12 45,7 7 0,5 0-135,7-8 90,10 13 0,5-1 0,5-9-45,14 4 0,5-1-45,2-12 45,16 3 0,4-2-45,-4-11 45,16 2 0,1-2-2204,-7-9 2159,-17-9 0,-1-2 0,5-1 90,1-3-90,-1-2 45,-7-5 0,3-2 1238,33 3-1193,-26-6 0,0-2-45,-17-7 0,-1-3 30,0-2 0,-1-3-75,35-8 90,-27-3 0,-1-4 0,21-17-45,-25 9 0,-1-4-45,22-29 0,-9-8 0,-21 12 0,-19 11 0,-2-2 0,6-30 45,-10 23 0,-2 0-45,7-40 0,-4 4 0,-8 24 135,-5 9 0,-2 0-45,-2 3 0,-1-4 0,-3 1 3151,-3 11-3151,-10-23 0,-3-3-90,-2 4 45,-10-20 0,-4 0-45,2 26 135,-8-6 0,-1 2-135,3 12 135,-5 0 0,0 4-45,5 13 45,-6 4 0,-1 3-135,4 10 0,-11 3 0,-2 4 0,2 7-27,-30-1-63,26 13-90,-4 3-180,-1 8 1,-5 3-136,10 1 0,0 2 275,-9 1 1,-3 7-1430,3 11 0,-1 8 0,8-4 210,-18 19 1121,21-10 0,-6 9 0,14-9 0,14 0 0,-12 26 0</inkml:trace>
  <inkml:trace contextRef="#ctx0" brushRef="#br0" timeOffset="1121">1365 1498 9242,'-13'0'2608,"1"0"-1978,2 4 89,-2 2 1080,-19 24-1259,10-6 0,-16 25 0,15-8-1,-2 9 361,-3 29-451,10-20-89,7-11 0,2 3 270,6 37-742,5-29 0,1 2 202,1-12 0,2 4 135,15 43 0,3-2-135,1-5-819,-1-10 1,1-4 818,0-14-90,2 0 90,1-4-601,0-1 511,0-4-297,14 17 387,-3-10 418,1 0-508,13 9 0,-31-40-180,25 25 180,-35-39 1219,12 11-1399,-17-17-9651,9 8 9049,-12-17 1,2 7 0,-6-11 0</inkml:trace>
  <inkml:trace contextRef="#ctx0" brushRef="#br0" timeOffset="2115">2324 3408 8432,'-16'-27'4408,"-1"2"-3779,5 13 1,-2 1-90,-2 1-1,-1 2-89,-1 0 270,-10 1-450,6 3 269,-16 2-269,15 4 360,-26 11-360,25-2 269,-31 25-449,32-14 270,-23 40-180,28-29 180,-15 51-270,23-46 269,-5 51-269,12-52 360,5 48-360,3-47 270,19 44-270,-8-49 90,35 31-90,-25-43 0,44 13-90,-38-26 90,48-4-90,-43-8 89,49-17-89,-47 6 0,45-29 0,-49 21 0,37-38 90,-36 19-90,14-23 0,-24 21 0,-6 1 0,-6-2 180,-10-33 0,-6 7 90,-16-18-180,-2 43 0,-27-2-180,6 28-1079,-44 4 539,30 17-809,5 10 0,1 3 179,6 4-4316,-42 27 1528,54-24 4048,-12 12 0,34-24 0,2-2 0</inkml:trace>
  <inkml:trace contextRef="#ctx0" brushRef="#br0" timeOffset="3149">732 785 9781,'-4'-11'4048,"0"1"-2789,0 1-179,0 0 989,0 1 1259,-3-6-1979,1 6-809,-2 2-360,5 13-91,3 4 1,2 6-90,2-3-90,0 3-179,1 2-2880,11 34 2070,-6-22-1619,15 34 1258,-14-39 1440,19 23 0,-20-33 0,9 10 0</inkml:trace>
  <inkml:trace contextRef="#ctx0" brushRef="#br0" timeOffset="3499">1035 740 9422,'-1'-15'3418,"0"1"-2609,0 2 810,-1 1-359,-2-1-181,-3 4-719,-3 4 0,0 6-91,0 6 1,3 4-90,1 3 0,1 3 0,2 13 0,9 16-90,-1-8-90,20 18 0,-10-37 0,24 10 0,-21-23 0,25-8 90,-25-6 359,18-21-359,-23 11 360,6-29-180,-19 14-180,-5-16 0,-4 16 0,-19-10-90,12 24-270,-27-11-360,17 25-719,-9 4 450,15 8-2699,2 14 2248,12-9 1350,8 18 0,1-23 0,4 7 0</inkml:trace>
  <inkml:trace contextRef="#ctx0" brushRef="#br0" timeOffset="3866">1269 643 8522,'3'-10'4767,"0"-1"-2788,-2-2-90,-2 1-540,-1-2 360,-2 3-1259,-2 8-360,1 7 90,-1 5-90,4 4 0,2-1-90,0 1 0,1 1 0,4 9 0,0-6-270,12 18 180,-6-18-180,22 13 270,-16-22-90,27-4 270,13-33 0,-13 7 810,23-35-451,-47 34 1,4-11-90,-18 18-90,-3 0 179,-5-4-179,-9-1-90,-11 0-270,-23 10-180,9 8-630,-25 16-1258,20 7-361,-6 9-719,11 1-5847,15-8 8995,7 1 0,10-15 0,0 2 0</inkml:trace>
  <inkml:trace contextRef="#ctx0" brushRef="#br0" timeOffset="4730">2053 3740 7713,'3'-11'9830,"0"9"-9136,0 6-604,0 7-1,0 2-89,0-2-179,0-1-1261,7 12 541,-4-8-900,8 14 810,-6-16-4948,10 11 5937,-8-12 0,1 1 0,-7-9 0</inkml:trace>
  <inkml:trace contextRef="#ctx0" brushRef="#br0" timeOffset="5049">2244 3827 9781,'-3'-15'5577,"-1"0"-4317,-1 4-181,1 2-270,-2 2-719,6 8-90,4 3 90,3 4-90,4 1 0,-2-2 0,0 0 0,2 0 0,9 4 720,2-4-360,3 0 809,-4-13-719,-12-1 809,-3-16-899,-7 10 270,-10-20-541,4 19 91,-17-15-270,12 19-629,-13-3-900,8 12-1619,-7 8 1888,9 1-8364,-1 15 9714,13-10 0,0 2 0,3-10 0</inkml:trace>
  <inkml:trace contextRef="#ctx0" brushRef="#br0" timeOffset="6568">2745 3637 9512,'-15'-9'4947,"1"2"-3328,2 3 270,2 0-360,-1 3-1169,2-1-270,5-2 179,3 0-89,7-3-90,2-1 90,4-1-90,2-3 180,30-19-180,1 4 0,3-1-90,28-18 45,1 7 0,-2 3-45,-11 11 45,15-2 0,-1 3-45,-16 8 0,-1 2 0,-2 2 0,-16 6 0,36-1 0,-41 5 0,26 0 0,-29 3 0,6 1 0,-6 1 0,-1 2 0,-13-2 0,9 5 0,-16-3 0,6 2 0,-11-3-270,1-1-989,-2 0-360,1 0 1079,-1-4 360,-4-4 90,-2-4 90,-4-2 0,-2-1 0,1 2 360,-4-6 0,2 3 989,-14-15-899,7 14 1169,-20-17-900,16 19 1,-9-5-90,12 10-181,1 1 271,-2-1-91,1-1-359,0 0-180,9 1-90,11 4 0,6 2 90,16 7-270,16 17 90,-7-3 0,30 29 0,-41-27 90,19 23-89,-26-17-1710,0 23 719,-12-19-89,-5 9-1260,-11-14-539,0 2-5757,-4 4 8725,4-8 0,2-10 0,4-10 0</inkml:trace>
  <inkml:trace contextRef="#ctx0" brushRef="#br0" timeOffset="7149">4457 3184 8072,'-2'-10'6657,"-1"-3"-3329,2 1-2609,4 6 541,4 9-721,3 7-89,0 6 0,0 1 179,7 14-269,-2-5 270,23 34-540,-17-27 180,33 35-180,-31-41 0,30 21 89,-31-34 541,24 2-270,-26-17 1079,22-20-540,-20-7-89,6-21-630,-15-4-270,-12-31 0,-3 25 0,-10-32 0,-2 33 0,-6-11 0,4 20 0,-8-4 0,13 31-3418,-15-11 1799,12 26-3149,-5 14 3239,11 6-4228,10 35 1350,7-20 4407,8 19 0,-1-20 0,2 0 0</inkml:trace>
  <inkml:trace contextRef="#ctx0" brushRef="#br0" timeOffset="7800">5053 3200 8342,'13'-2'4857,"-2"-1"-3867,0-1 89,-4 0 1,-1-2-91,0 0 720,-1-1-450,-1-2-269,-2-1-91,-2-3-179,-6 4-450,-5 4 0,1 4 179,-20 20-359,15-6-90,-16 22-90,17-6-179,2 18 89,8-15-450,11 18 450,1-31-270,11 11 180,-1-21 1,9-5 179,-8-5 180,9-16 0,-17 5 89,5-14 181,-9 7 630,1-11-630,-3 6-91,-1 0-269,-2 9-359,2 12-181,1 4 180,3 10 0,-1-2 0,1 0 1,-2-4-181,5 2 0,4-2 450,1-3 90,2-6 90,-6-3 180,0-7 180,-4-2 629,4-12-629,-3 8 360,6-13-631,-8 19 361,19-10-450,-14 17 90,21 2-180,-20 9 90,7 4-90,-10 0 0,11 10 0,-4 4 0,3 13 0,-12-10 90,-10-2 90,-7-14-90,-3-7 0,1-5 0,0-10-180,5-1-180,0-7-720,4-13-1168,6-9-1620,9-33-1259,6 7-630,3 4 5599,-2 22 0,-5 17 0,1-1 1</inkml:trace>
  <inkml:trace contextRef="#ctx0" brushRef="#br0" timeOffset="9547">6424 3385 9602,'-4'-13'5127,"-1"2"-3958,0 1-90,1 1 900,-1 1 450,-1 0-1800,-3 7 91,2 1 180,-3 16-631,6-1-89,0 9-270,3-2-1349,6 31 450,0-17-1080,8 12 0,2 0 720,2-9-1440,24 33 451,-22-50 2338,15 6 0,-22-20 0,4 1 0</inkml:trace>
  <inkml:trace contextRef="#ctx0" brushRef="#br0" timeOffset="9881">6758 3567 9152,'3'-19'3958,"-1"2"-2879,-1 1-90,-1 1 1,0 2-91,0 2 630,-1 0-269,-3 0-271,-1 4-359,-2 3-1,0 7-269,1 5-180,3 5-180,4-1-270,19 8 90,-6-12-359,36 1 359,-21-13 90,44-22 90,-38 8 450,37-40-181,-46 27 631,10-41-720,-30 37 90,-13-33-180,-8 35-180,-52-38-90,28 43-675,-15 3 1,-2 6 224,8 16-719,-12 11 0,-1 6 359,12 5-269,2 4 0,4 1-360,13 2-4318,-6 19 5937,21-19 0,0 10 0,8-11 0</inkml:trace>
  <inkml:trace contextRef="#ctx0" brushRef="#br0" timeOffset="10950">5376 4406 9602,'-6'-3'7285,"4"1"-6745,9-8 0,4 2-180,5-1-91,6-2 1,4-1-90,7-2 0,11-2 90,36-11-180,-8 4-1161,-7 3 0,13-3 1,-6 1 1070,-11 4 0,4-2 54,3 0 0,15-6 0,5-1 0,-3 1 0,-12 3-385,14-4 1,0-1 348,-12 3 0,14-5 0,5-2 0,-6 3 0,-15 3-18,7-2 0,-5 1-23,-5 1 1,9-3-1,-1 1 1,-12 4 22,-8 2 0,-4 1-45,34-12 0,-2 0 45,-38 13 0,-2 0 90,10-6 0,-3 1-90,12-8 540,-11-5-360,-41 24 359,-3-16-449,-13 18 3065,-6-8-2795,-9 7 717,0 1-987,-8-2 0,-8-2 0,6 2-90,-23-11 0,18 7 90,-29-20-180,4-8 45,18 12 0,0-3-45,-2-4 0,-1-6-974,-16-27 0,2-3 1019,21 28 0,0-2-15,-4-8 0,-3-7 0,5 5-467,5 8 0,2 1 482,-19-31 0,-1-2-201,10 17 0,0 1 201,-11-15 0,1 4 0,19 29 1,-2 2-1,-21-19 0,2 8 45,9 18-45,-7 5 0,-1 5 45,10 18-90,-10 5 0,-3 4 0,-5 8-45,-18 10 0,-4 3-45,-4 7 135,11-1 0,-6 3-90,-5 6 0,3 2 135,24-12 0,-3 2-30,-7 4 0,-6 3 0,6-2-15,4-2 0,3-1 0,-16 7 0,-4 3 15,13-8 0,-3 1 0,6-2 30,5-3 0,0 0-30,-3 0 0,-4 2 1,10-5 29,-16 3-45,-9 0 0,0-1 45,12-4-45,-6-1 0,6-2 45,31-9-147,-28 6 57,46-10 1613,-12 2-1523,24-1 1091,2 2-1091,9 1 633,5 1-633,0 1 214,0 2-124,12 29 90,4 13-90,1 5 0,2 3 0,9 23 45,3-1 0,-1-1-683,1-6 593,-1-2 0,2-1 45,0 0-45,7 14 0,1 1 45,0 0-464,-13-24 1,5 11 0,-4-8 418,-6-12 0,-2-2-45,13 25 0,-1-1-85,-15-31 1,0-1 84,6 11 0,-2-4 0,0-2-90,0-2 0,2-1-629,2 1-630,16 18 449,-16-28-2416,19 9 888,-24-26 2428,26 16 0,-38-29 0,6 1 0</inkml:trace>
</inkml:ink>
</file>

<file path=xl/ink/ink2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6:22.924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13 60 8522,'0'-11'7196,"4"6"-7196,2 1 360,1 2 0,-1-6-1,-5 1 1,-6-2-270,-1 3-1169,-3 1-7916,-1 3 8995,7 4 0,-1-1 0,6 2 0</inkml:trace>
</inkml:ink>
</file>

<file path=xl/ink/ink2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6:53.06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0 1352 14189,'4'-8'1259,"0"1"-1610,2-1 621,1 2 292,3-2-382,3-2 809,57-23-719,-23 10-45,26-8 0,3-2-225,-2 3 135,17-6 0,2-1-496,-7 3 421,-15 6 0,11-5 0,-11 4-60,21-9 0,-23 10 0,9-4 0,-12 5 0,11-4 0,2-1 0,-2 1 0,-21 9-45,-5 2 0,-4 2 45,-18 6 0,14-4 0,-23 8 301,4-4-31,-9 2 359,-3-1-449,-10 0 479,-5 0-479,-3 0 89,-7 1-89,4 3-90,-5 0 360,-4 0 270,-8-1-541,4 1 181,-8 0-90,14 3-90,-2-1-90,12 1-180,10 3 180,13 2-90,1 2 0,2 1 0,2 3 90,-5-1-90,13 6 0,-13-4 0,15 12 0,-20-9 0,6 9 0,-17-3-450,-6 4-719,-5 8-810,-5 1-809,0-3 2788,1 0 0,7-15 0,1-1 0</inkml:trace>
  <inkml:trace contextRef="#ctx0" brushRef="#br0" timeOffset="531">2113 277 8792,'1'-15'4228,"-1"3"-3419,-2-2 1,0 5-91,-2-1-89,0 1-90,-2 0 1079,-16-7-1439,10 8 269,-21-4-359,20 12 90,-13 8-180,16-1 90,-5 11-90,10-7 0,1 14 90,5-8-90,3 7 0,1-11 0,8 1 90,-3-12-90,4-1 270,-5-11 180,-2-4-271,-2 1 91,-1 1 90,-1 0-90,1 2 0,2-1-90,0 5-90,4 4 359,2 5 1,3 7-180,3 4-180,-4 0 180,7 16-90,-11-13 179,6 25-179,-12-16 0,-3 14-90,-5-14 0,-10 10 0,-1-13-720,-7 6-1079,0-13-539,0-7-451,1-6-1978,1-7 4677,4-8 0,8 5 0,3-2 0</inkml:trace>
  <inkml:trace contextRef="#ctx0" brushRef="#br0" timeOffset="850">2213 110 7982,'4'-8'9355,"-1"9"-8365,-1 5-541,-1 9-179,0 0-90,2-1 90,0-5-90,2 0-90,0-1 0,2 0 180,15 2-181,-3-7-89,15-2 0,-11-7 450,18-17-180,-20 9 899,20-23-719,-27 21 180,2-21-360,-17 18-180,-6-7 0,-5 12-900,-17 5-1079,3 11-360,-15 6-449,2 12-1620,-1 12-179,7-2 4497,3 4 0,10-7 0,1 1 0</inkml:trace>
  <inkml:trace contextRef="#ctx0" brushRef="#br0" timeOffset="1411">2049 548 9332,'-7'10'3778,"0"-1"-2789,0-2 0,1 0 1080,1 0 900,-1 0-2520,9-9-179,1 0 0,10-10 0,4-2-90,3-2 90,3-2-181,2-1 91,1-1 0,25-16-540,4-4-179,-1 2-1530,5-3 1259,-39 27-2248,18-11 989,-26 18 1530,-3 5 89,-11 6-270,-19 19 540,2-4-269,-47 44 449,24-25 404,-12 10 1,-1 1 45,4-4 269,1-2 1,3-1-270,10-9 539,-18 17-269,38-34-270,-2 5-270,20-18-1,4-2-89,8-6 0,6-5 0,24-15-270,40-25 1,-15 8-337,-15 9 0,-4 1 157,-8 5-721,29-18 630,-43 28-1259,13-9 1529,-39 28 1,-3 1-1,-18 15-90,-20 17 941,3-3-311,-4 5 0,-2 2 0,1 0 134,4-2 1,3-1-135,15-15 449,0 15-629,20-27 90,13 1-90,12-16-180,4-4-90,28-19-90,-16 6-765,1-4 1,2-2-5442,21-17 5538,0-1 0,-20 11 0,-25 19 0</inkml:trace>
</inkml:ink>
</file>

<file path=xl/ink/ink2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7:31.70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303 3188 10861,'2'-5'3958,"2"0"-3599,13-9-89,2 1-90,5-5 0,11-5 0,5-4-45,5-3 0,4-1-45,12-10 0,0 2 0,-1 0-90,-1 2 45,10-7 0,0 0 44,-5 3-89,3-3 0,-3 3 0,-25 14 0,20-13 90,-36 23 270,13-9-90,-16 10 270,9-9-450,-16 13 359,4-5-269,-9 8-90,2-1 270,-3 2 360,0 1 269,-1 2-539,0-1-540,0 0 90,-1 1 0,1-2 0,0 1 0,3-3 0,-1 1 0,2-2 0,0 0 0,10-9 0,-2 3 0,29-25 0,-20 18 0,42-34 0,-24 20 0,28-20 0,-23 17 0,-6 7 0,-1 0 0,6-4 0,5-2 0,1-1-399,12-6 399,-21 14 0,-1 2-90,12-8 90,19-10 0,-24 15 0,26-14 0,-17 10 90,0 3-90,-15 8 0,23-12 0,-32 17 0,11-5 0,4-3 0,18-11-107,-14 9 0,0-1 107,23-11 0,-15 8 0,-1 2-53,6-3 8,8-4 0,5-1 90,-32 16 0,-1 0-45,23-10 0,2-2 0,-11 8 0,-1-1 0,2 1 0,0-1 0,3 0 0,0-1 0,1 0 0,-1 1-45,3-1 0,-1 0 45,0 1 0,0 1-45,-1 1 0,0 0 45,-2 2 0,-1 1-45,-2 0 0,-2 2 0,-2 1 0,-2 0 0,-7 4 0,-1 0 45,38-13-90,-17 5 90,-10 4 0,-9 2 0,-10 3 0,-13 5 0,7-6 213,-14 5-213,18-13 453,-20 13-453,7-5 0,-10 6 0,2 0 0,5-4 0,13-5 0,-13 8 0,14-4 0,-22 11 0,13-3 0,-2 2 0,26-3 0,-18 4 0,18-3 0,-33 7 0,17-1 0,-19 2 90,24 4 0,-26 0-90,13 4 90,-11 0 540,24 13-450,-12-5-1,18 9 1,-22-11 990,53 28-810,-28-15-46,4 3 1,2 2 225,20 11-270,-28-14 0,2 2-46,0 0 1,0 2-231,2 1 0,0 2 186,1 1 0,0 2-45,1 1 0,-1 3-45,1 1 0,-1 3 0,7 8 0,-2 2 0,-4-2 0,0 3-480,8 11 1,-2 1 344,-19-20 0,0 1 105,0 3 0,3 6 0,-4-4-60,-1 2 0,-1 0 0,-1-2 0,1 4 0,-3-4 45,2 6 0,-2 0-45,9 22 0,-2 2 45,-9-18 0,-2 1-45,10 22 0,-2-1 0,-15-32 0,-1-1 45,10 29 0,-2 1-90,-11-26 0,0 0 45,8 27 0,-2-2-45,-10-31 0,-1-1-180,3 19 1,-1-1 314,0 15-90,-5-24 0,-2-2 0,-2 4-90,-6 24 90,-7-28 0,-7 22 0,0-32 322,-17 14-412,1-24 865,-20 14-955,-13-11-180,-21-1 180,30-19 0,-4-1-231,-7 0 0,-5 0 276,-16 4 0,-3-2-722,1 0 1,0-1 811,1-1 0,-3 0 15,11-2 0,-4 0 0,2-1 30,13-3 0,3-1 0,-4 1-30,-15 4 0,-3 1 0,4-2 30,-8 2 0,-6 1-543,24-6 0,-11 3 0,-3 1 1,2 0-1,11-4 543,4 0 0,8-2 0,-9 3 0,-11 2 0,-14 4 0,-3 1 0,5-1 0,15-4-302,-5 2 0,3 1 302,-2 1 0,-12 4 0,-1 0 0,11-3-282,-10 4 0,-1 0 259,10-3 1,-10 4 0,-1 0-1,7-2-7,8-2 0,5-1 0,-6 1-180,-5 2 1,-8 3 0,1-1-1,6-2 180,5-2 0,5-1 0,-3 1 30,0-1 0,-5 2 0,2-1 0,11-4 30,-3 2 0,5-2-30,-23 7 0,1-2-163,35-8 1,2-2 117,-5 1 0,-2 1 45,-14 5 0,-2 0 0,11-3 0,0 0-45,-11 3 0,2 0 45,25-8 0,2 0 0,-3 0 0,-2 1 0,-9 2 0,0 0 239,10-3 0,-3 0-239,-39 11 0,2-3-90,-1 0 120,29-9 0,-9 2 0,11-3-30,-16 1 0,0-2 0,5-1 0,21-6 860,2-3 0,1-1-860,13-3 2278,-30-5-2278,32-1 1941,-14-8-2031,13 0 684,-3-6-594,17 7-90,-15-23 90,19 18 23,-17-27-113,15 12 0,-4-15 0,5 8 0,-5-16 0,3 5 45,0 4 0,0-3-3437,-9-17 3482,-8-23 0,11 28-301,5 9 301,-10-29 0,9 20 0,1-1 0,-9-26 0,4 7 0,2 3 0,7 20 0,2 6 0,1-1 0,-4-15 45,3 7 0,0-1-45,-2-12 0,2 8 0,1 3 0,4 17 0,-5-25 0,1 11 0,0 3 0,0-1 89,-2-2-89,9 37 3287,-6-27-3287,8 32 227,-6-23-227,8 27 0,-3-22 0,5 22-89,-2-19 89,3 21 0,0-12 0,1 12 0,0-1 0,0 1 0,0 4 0,-1-2-1080,1 2-1888,0-1-900,0 1-450,2-2 91,-1-3 4227,1 2 0,0 4 0,-1 5 0</inkml:trace>
</inkml:ink>
</file>

<file path=xl/ink/ink2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7:33.54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19 898 10321,'-6'3'6926,"4"-9"-6476,2-4 0,5-7-1,2 0 1,4-5 0,2-4-90,4-2-1,3-1 541,38-40-720,-20 28 179,6-4 1,2 3-90,-6 10-45,1 4 0,4 0 315,33-9-450,-12 5 180,20-1-181,-60 25 91,26-6-90,-33 10 0,14-2 0,-20 5-90,7-1 90,-6 1-90,2 0 90,-2 1 90,-3-1-180,2 1 0,-10 4 0,-1 1 0,-6 6 0,-1 1-90,0-1 180,1 0-180,0-1 180,-4 10-180,3-6 90,-7 13 90,5-12-90,-9 18 0,6-15-90,-16 26 90,13-23 0,-21 29 0,17-27 0,-27 30 0,22-30-90,-33 28 180,29-31-180,-35 20 90,34-25 0,-33 13 0,34-19 0,-29 7 0,34-12 0,-24-1 0,27-4 0,-20-6 0,23 2 0,-17-7 0,19 6 0,-14-6 0,17 7-90,-6-4 0,7 5-180,0-1-629,0 0-4048,1 2-2249,0-1 7196,8-1 0,-2 3 0,7-1 0</inkml:trace>
  <inkml:trace contextRef="#ctx0" brushRef="#br0" timeOffset="343">396 679 15898,'10'0'3598,"-4"-4"-2609,-2-1-269,-5-3-180,-5 1-91,-4 2-359,-2 3-629,-1 0-991,2 3-2427,1 1 3957,2 2 0,4-2 0,1 1 0</inkml:trace>
  <inkml:trace contextRef="#ctx0" brushRef="#br0" timeOffset="666">27 766 8972,'-12'-1'6566,"3"-4"-5307,3-3-809,6-4-90,3 0 0,2-2-1305,0 3 1125,0-1 89,5-9-179,-1 5-180,8-16-90,-7 13-1798,17-28 1168,-15 26-2428,16-25 1169,-18 32 2350,9-10 0,-14 18 1,1-1-1</inkml:trace>
  <inkml:trace contextRef="#ctx0" brushRef="#br0" timeOffset="865">297 568 13289,'2'-12'2429,"-1"2"-2159,0-2 0,1 1 0,1 0-810,6-17-629,0 6-451,8-16-1438,0 10 3058,3-2 0,-1 6 0,-1 1 0</inkml:trace>
  <inkml:trace contextRef="#ctx0" brushRef="#br0" timeOffset="1049">557 320 15178,'4'-7'990,"1"-1"-720,0 0-180,0-1-90,2 0-270,-1-1-180,3-1-180,0-1-269,3-2-1440,8-9 2339,14-10 0,-5 5 0,6-3 0</inkml:trace>
  <inkml:trace contextRef="#ctx0" brushRef="#br0" timeOffset="1246">899 104 10681,'4'-1'6116,"-1"1"-6206,5-10-269,-2 1-91,0 0-270,2 0-179,-1-1-91,2 0-359,-1 0-630,1 1 1979,4-4 0,-7 7 0,2-2 0</inkml:trace>
</inkml:ink>
</file>

<file path=xl/ink/ink2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7:41.16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326 789 9332,'-4'-10'5037,"1"-2"-4228,0-1-89,3-2-4252,2 3 4072,1-2 859,1-1-769,6-6 179,12-7-629,-6 9 0,16 3-90,-20 16 3392,14 16-3482,-16-3 0,10 26-90,-12-18-90,7 26 90,-9-27-90,8 16 180,-7-23 0,11 10 0,-8-16 270,16 4-180,-12-8 540,20 3-361,-17-3 541,19 4-450,-21-2 899,14 7-899,-18-5 629,7 12-719,-13-8 270,-4 15-450,-4-14 0,-14 14-270,5-15-810,-19 6 271,15-12-1260,-16-1 1079,16-5-4856,-19-13 2967,19 4 2789,-12-14 0,22 16 0,0-3 0</inkml:trace>
  <inkml:trace contextRef="#ctx0" brushRef="#br0" timeOffset="265">714 726 16168,'-6'-9'0,"1"3"0</inkml:trace>
  <inkml:trace contextRef="#ctx0" brushRef="#br0" timeOffset="464">834 506 8522,'-7'9'9830,"3"-2"-5898,15 1-3662,-1-3-90,1 1-90,3 0 90,1 0-90,2 2 180,26 18-270,-20-10 180,33 33-1,-39-31-89,8 15 180,-16-14-180,-4 0-90,-3 3-1079,-10 2 179,-1-9-1168,-13 0-631,0-12-449,-8-7-3958,-4-11 7106,7-2 0,0-7 0,10 5 0</inkml:trace>
  <inkml:trace contextRef="#ctx0" brushRef="#br0" timeOffset="630">806 448 10861,'-4'-13'7106,"1"1"-5937,3 2-719,4-2-90,1 3-270,3-1-180,-1 1-270,2 1-270,1-2-269,1-1-181,2 0-269,0-1-180,2-1-1080,2 0-1708,1-1 4317,0 1 0,-8 6 0,-1 1 0</inkml:trace>
  <inkml:trace contextRef="#ctx0" brushRef="#br0" timeOffset="2297">374 1298 14908,'10'2'2069,"-2"-1"-1619,3-5-90,1-1 0,2-1-1,4-2-89,4-2 90,19-10-90,0 0 0,36-19-180,-21 10 90,17-9 0,3-2-180,-3 2 44,15-9 1,0 1-134,-24 12-1,-3 1 0,-1 1 0,-16 9 90,22-11-90,-42 22 90,10-7 90,-20 11 90,7-7-90,-16 6-1,0-4-89,-9 1 0,0 3 0,-5-5 0,-9-13 0,4 6 0,-8-12 0,9 10 0,-15-29 0,-5-15 0,0 0 0,-6-12 0,14 30 90,-7-11 0,2 9 180,2 8-90,4 10 0,3 7-90,-3 0 0,10 13-90,-5 0 0,8 12 0,0 2 0,-6 6 0,-3 5-90,-1 2-45,-28 19 0,-5 4 135,1-1-432,-16 9 1,-1 1 431,12-11-90,-10 4 0,-1-1 90,10-7 0,-1-1 0,4-3 0,22-15 0,-18 2 0,18-8 0,-5-1 0,12-3 90,-10-1-90,18-1 773,-10 0-773,16 1 0,2 1 180,5 3 180,6 11-180,3-1 0,4 7 449,8 9-269,4 9-180,9 20-90,6 13-450,-2 2-1034,-10-20 0,1-1 314,3 11-179,7 14-1799,-11-38-4048,2-6 6258,1-1 0,-2-10 0,-5-10 0</inkml:trace>
</inkml:ink>
</file>

<file path=xl/ink/ink2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17:58.30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572 1232 7533,'-9'4'3957,"0"2"-2967,3-1-91,-1 2 91,3 0-451,2 5-359,4-1 90,2-1-90,4-2 0,1-5 90,2-1-90,5-3 90,5-2 224,44-20 1,10-5-405,2-1-920,-6 1 0,13-6 0,-11 5 920,15-7-30,-20 7 0,10-4 0,-10 4-60,23-9 0,-25 9 0,10-3 0,-13 4-63,11-5 63,-1 0 0,-2 0 0,-19 8 0,-2 0 0,-4 0 0,-13 7 90,29-18-90,-41 22 0,16-11 90,-23 14 179,10-9-179,-14 11 3187,6-7-3097,-9 9 86,2-3-176,-4 2 0,-2-1-90,-1-1 0,-1-2 0,-3-2 0,0 1 0,-2-1 0,0 1-90,-9-19 180,3 10-90,-19-34 0,14 31 90,-31-32-90,23 34 0,-34-25 0,31 30 90,-33-20-90,33 23 0,-35-19 0,34 20 0,-27-12 0,5 10 0,-1 4 0,1 3 0,-19 16 0,29 0 0,-42 12-90,21 0 90,10-2 0,-1 0 0,-14 6-45,8-3 0,3-2 45,9-3 0,-39 13 0,25-11-45,4 0 0,-2 0 135,-19 5-90,9-2 0,2-1 0,10-2 0,-20 5 0,6 0-90,12-5 180,-10 3-90,6-2 90,34-10-90,-29 8-90,37-11 90,-21 6 0,27-6 0,-13 6 0,16-6 0,-10 10-90,12-8 90,-3 8 90,6-3 180,5 11-90,2-4 269,12 27-269,-3-19 90,21 53-180,-12-32 0,2 7 0,-1 2-90,-1-2-225,-2 2 0,0-1-225,-6-10-719,-1 6 0,-1-1 89,-2-9-89,2 22-3868,1-14 5037,0-14 0,-1 0 0,-2-21 0</inkml:trace>
</inkml:ink>
</file>

<file path=xl/ink/ink2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21:05.973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138 1385 7263,'-13'1'1709,"0"0"-7010,1 0 5571,-1 0 1499,1 0-1499,0-1 1399,-4 0-1310,1 0-179,-2-2-90,7-2 3572,6-2-3122,39-38-360,-4 11-135,31-27 0,8-4 0,-30 28 0,3-1-986,27-20 1,12-9-1,-10 8 986,-20 18 0,0 0 22,5-3 1,10-7-1,0 1 1,-12 8-68,-10 9 0,-1 0 60,27-18 0,11-8 0,-12 10-135,8-6 105,-21 16 0,7-5 0,-9 7 60,7-5 90,-4 3 0,-3 2-90,-17 11 360,25-17-180,-44 29 179,12-9 91,-16 13 270,3-4-451,-6 4 2929,0 0-3288,-6 3 238,0 0-238,0 8 90,-1 1 0,1 9 0,-1 0 90,5 14-90,-1 0 539,22 68-539,-15-43 0,5 14 0,0 0 0,-6-14 0,3 2 0,-1 0 0,-2-9 0,17 47-90,-18-56 90,13 35-90,-18-44 90,9 24-90,-13-31 450,4 20-360,-8-23-1,-3 15 91,-7-9-90,-19 19-90,3-9 0,-15 4 0,-4 0 0,-5 1 0,-29 18 0,-5 1-1303,2-3 1303,17-11 0,-5 3 0,-5 3 0,1 0 0,8-6 0,-2 0 0,8-4 0,-2 1 0,2-1-45,-14 8 0,6-5 45,22-13 0,1-1-34,-6 3 0,3-1 34,-14 7 0,-13 7 0,34-20-90,-1-1 90,27-14 0,-4 2 0,7-5 1205,-3 3-1205,3-2 76,-2 1 104,6-3-180,-2-1 0,3-6 0,-3-6 0,4-3 0,-2-5 0,-3-10 0,0 1 0,-17-44 0,11 28-45,-4-14 0,0 0 45,3 7 0,-2-8 0,0 1 0,4 13-449,-18-42-1,19 55-1799,-18-23 1080,19 37-1530,-12-8-3417,8 16 6116,0 1 0,6 3 0,6 3 0</inkml:trace>
</inkml:ink>
</file>

<file path=xl/ink/ink2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7:20:52.392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216 1043 7443,'-19'4'2069,"-1"0"-1440,1 1 1,0 0-90,0 0-1,0 0 1,1 1-90,2-2 1618,-17 6-179,18-5-1439,-3 2 0,21-7-90,12-3 89,0-2 271,23-6-360,-5 0-225,20-8 0,3-2 45,6-3-91,4-2 1,4-3-45,-24 9 0,0-1-719,24-11 1,-1-1 673,-22 10 0,-1 1 0,20-10 0,-7 2-68,-12 6 68,24-12 90,-34 18-90,10-5 0,-19 9 0,5-1 1515,-21 9-1515,7-2 170,-11 4-170,-8 2 0,-6 2 0,-8 2 360,-4 0-270,7 0 360,-9 0-270,8-1 539,-12 1-539,9-1 0,-4 0-180,7 0 0,11-1 0,13 0-90,1-1 90,9 2 0,-6 1 0,-4 1-90,17 6 0,-17-3-450,12 13 181,-19-10-1260,-1 18 809,-6-15-2428,-6 17-990,3-17 4228,-2 8 0,4-15 0,1 0 0</inkml:trace>
  <inkml:trace contextRef="#ctx0" brushRef="#br0" timeOffset="380">1226 496 8522,'-3'-10'9715,"0"0"-9266,6 9 271,2 7-450,6 7-90,-1 4 0,-1-3-1,1 1 1,4 6-90,-3-5 90,11 15-180,-10-18 90,18 15 0,-18-20-90,14 1 0,-15-10 0,10-11 180,-10 1 180,13-32-180,-15 20 90,7-30 89,-11 19-89,-1-9-90,-3 4-90,-2 5-180,-2 6-450,1 10-2878,-2 2 720,-1 14 1169,3 5-1260,-1 5-1708,4 6 4497,2-4 0,-1-4 0,0-1 0</inkml:trace>
  <inkml:trace contextRef="#ctx0" brushRef="#br0" timeOffset="881">1725 371 10501,'2'-14'5397,"-2"-1"-4767,-5 2-181,0 3 271,-3 2-450,-4 5-90,2 2 0,-5 2-91,4 2 91,0 3 0,-5 5-90,1 4 0,-3 16-270,10-8-90,6 8 1,11-15-1,5-6 0,9-8 270,-3-6-90,-1-4 360,3-17-180,-12 11 359,15-28-359,-17 25 270,12-19-180,-11 21 270,11-15-180,-11 19-90,10-6-180,-7 16 90,3 5 0,-2 3-90,6 12 89,-9-7-89,10 12 0,-9-9 0,4 7 0,-5-9 630,0 2-540,-9-17 0,1 0-90,-4-10 90,1-2 0,1-2-90,0-3 90,2-13-90,3-7-450,4-12-899,3 4-540,3 6-720,3 7-359,-4 12 2968,4 1 0,-11 14 0,1-1 0</inkml:trace>
</inkml:ink>
</file>

<file path=xl/ink/ink2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4:42.446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91 190 9242,'2'-7'8905,"-1"-1"-7106,-3 0-990,-4 3-89,-1 2-450,-2 7 89,1 1-89,1 4-90,2-1 0,0 3-90,1 1 0,0 2 90,1 7-90,7 20-90,-1-12 0,13 22 0,-6-34-90,15 12 90,-13-20 0,15 1 0,-14-12 0,5-3 0,-11-3 0,-6-14 0,-15-8 0,2 1 0,-10-5-90,-4-1 90,3 5-90,-8-10-90,11 11 0,6 3-90,7 2 90,8 0 180,5 5-180,21-9 91,9 10 89,12 0 0,-11 11 0,-9 10 0,-13 10 89,-4 7-89,-2 12-449,-8 8-1080,-6 5-1080,-3 5-2248,1-5 4857,2-3 0,2-20 0,2-6 0</inkml:trace>
</inkml:ink>
</file>

<file path=xl/ink/ink2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4:57.47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6 9602,'0'7'7465,"1"-3"-7465,0 14 90,1-7-90,0 0 0,1 1-90,-1 0-539,3 7-1350,1 7 1079,-1-5-2968,5 11 1350,-5-20 2518,2 5 0,-5-12 0,0-2 0</inkml:trace>
  <inkml:trace contextRef="#ctx0" brushRef="#br0" timeOffset="302">93 95 7623,'-6'-8'3508,"0"0"-2609,0 1-179,1 1-4432,0-1 4611,0 1 501,0-2-1041,2 1-269,3-3 0,2 3 0,4 0 0,2 3 3392,0 0-3482,3 2 0,0 0 90,12 1-90,-8 1 270,18 5-180,-21-1 629,10 10-539,-14-6 450,2 15-540,-8-11 180,-2 17-180,-1-15-90,-4 19-180,2-17-720,-2 13-719,2-9-6476,0 17 8095,2-15 0,0 2 0,2-19 0</inkml:trace>
</inkml:ink>
</file>

<file path=xl/ink/ink2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5:08.840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20 414 8162,'-3'-8'6746,"1"-1"-3687,1-1-2610,-1 11-89,1 1 0,0 10-90,-1 0 180,0 8-91,0 14-359,0-6 0,0 14-809,3-13-810,1 6-720,3-1-5936,6-1 8275,-3-13 0,1-6 0,-6-11 0</inkml:trace>
  <inkml:trace contextRef="#ctx0" brushRef="#br0" timeOffset="325">186 507 9062,'-5'-6'5846,"-3"1"-4047,-1 3-1079,-3 3-90,3 2-91,1 3-179,4 0 0,0 1 90,1 1-1,6 13-359,-1-9 0,14 16-180,-6-20-89,20 6 179,-15-11-90,23-7 90,-20-2 899,24-22-449,-26 13 1079,9-22-989,-21 22 89,-5-11-449,-4 15 270,-23-8-360,12 12-1170,-27-2 91,26 9-2789,-16 4 720,21 0 3058,-6 4 0,14-6 0,1 1 0</inkml:trace>
  <inkml:trace contextRef="#ctx0" brushRef="#br0" timeOffset="682">483 86 9691,'2'-15'3688,"-1"1"-2698,-1 2-1,0 1 1,-2 1-91,-2 1-89,-1 2 809,-9 1-1349,5 4 629,-20 12-809,17 0 90,-11 23-90,16-16-180,1 19-90,8-18-1169,18 23 989,-8-23-360,24 14 630,-21-26 540,10 0 540,-15-7 1798,-2-11-2068,-10 5 269,-14-11-629,-2 11 180,-23-2-540,-12 7-3688,-7 6 2069,11 1-360,16 5-1979,24-2-2878,3 0 6836,4 2 0,1-5 0,2 0 0</inkml:trace>
</inkml:ink>
</file>

<file path=xl/ink/ink2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4:50.024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2268 101 8612,'9'-5'4048,"1"1"-3059,2 2-629,1 5-4252,-3 1 4162,0 2 770,-4 2-501,4 12-449,-3-5 90,3 15-90,-7-13 0,-2 23 3392,-3-22-3302,-10 26-90,3-29 270,-20 16-270,13-21 179,-14 6-89,15-11 270,-12 0-270,11-4-90,-4 0-90,15-7 90,5 2-90,10-3 0,1 4 0,2 0-90,35-3 90,-18 2-180,50-5 180,-47 5 0,30-4 0,-35 3 0,15-3 90,-15-1 450,3-3 809,-6-5-450,-12 5 1,-3-5 179,-11 8-269,-2-1-271,-5 4-269,-3 6 0,-1 6-90,-1 5 0,2 5-90,4 3-90,5 2 0,6 0-90,19 6 0,-6-12 0,25 3 90,-22-17-90,30-7 180,-26 0-90,23-14 0,-24 6 810,15-21-631,-20 13 721,7-30-720,-20 27 270,-11-29-450,-3 32-360,-32-18-360,20 30-1888,-28 0 719,27 15-5577,-26 21 630,24-7 6836,-10 13 0,21-11 0,3 0 0</inkml:trace>
  <inkml:trace contextRef="#ctx0" brushRef="#br0" timeOffset="-2400">929 29 7443,'3'-10'6746,"-1"0"-2608,0 2-3599,-1 7-89,-1 7-360,-3 12 90,0 0-90,0 3 0,0-4-90,0 1 90,0 2-90,-2 9-180,2-6-1619,-3 30-630,3-15 1440,0 6-3329,5-9 1350,0-22 2968,4 5 0,-4-14 0,0-1 0</inkml:trace>
  <inkml:trace contextRef="#ctx0" brushRef="#br0" timeOffset="-1882">1322 127 8432,'4'-10'3058,"-2"1"-2248,-1 0-90,-1-1-91,-1 1 1,-2-1-180,-2 2-1,0-1 271,-6-2-450,2 3 359,-12-5-179,-6 12-360,3-1 0,-7 14-90,19-2 90,-10 20-180,13-13 180,-2 31-180,11-29 90,9 19-180,7-23 90,1-1 0,1-6 0,-4-6 90,1-2-90,15-7 90,-9 1 90,26-15 90,-28 10 720,17-14-541,-23 15 901,7-10-541,-11 12-629,2 1-90,-6 9 90,-1 4-90,-1 4 90,0 4-90,1 4 0,0 0 0,0 16 0,-2-10 0,-2 19 0,-2-18 0,-9 14 0,2-23-539,-22 21-1,12-22-3148,-45 20 2339,34-24-2519,-36 10 360,41-16 3508,-7-1 0,21-2 0,2-2 0</inkml:trace>
  <inkml:trace contextRef="#ctx0" brushRef="#br0" timeOffset="22367">110 330 10771,'8'0'6026,"-2"4"-5666,-3 4-90,-3 2-90,-4 1 0,0-1 90,-9 12-900,-4 5 180,-1 1-2248,-7 11 1439,14-22-4588,-7 13 5847,10-17 0,2-2 0,3-6 0</inkml:trace>
  <inkml:trace contextRef="#ctx0" brushRef="#br0" timeOffset="22832">643 369 10411,'-1'6'6746,"1"-3"-6656,-4 12 0,1-6 0,-1 0-90,-1 2-180,-1 1-180,-2 1-809,-6 9-810,-4 2-1439,-6 8 270,4-8 3148,1-3 0,12-13 0,1-1 0</inkml:trace>
  <inkml:trace contextRef="#ctx0" brushRef="#br0" timeOffset="23518">1779 326 8162,'5'-6'9830,"-10"11"-9226,1-2-424,-9 11-90,5-5-180,-2 1-180,-1 0-179,-2 2-91,-1 1-3778,-23 21 4318,-3-1 0,-5 6 0,6-9 0</inkml:trace>
</inkml:ink>
</file>

<file path=xl/ink/ink2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4:40.59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175 93 9691,'-7'-6'3059,"0"0"-7910,2 1 5570,0 0 1410,0-1-1589,1 0 1219,0 0-410,-1-9-899,4 4-1,2-5 3303,7 8-3482,2 5-180,3 5 0,-3 1 0,0 3 0,-4 0 0,2 5-90,-2-1 90,3 13-90,-6-9 90,1 12-90,-5-6 0,-2 9 0,-1-10 0,-4 9 90,4-16 539,-3 2-449,7-10-90,4-2-90,3-2 90,2 3-90,-2 1 270,13 11-270,-9-5 90,9 10-90,-8-3 90,0 8-90,-2-4 270,-3 15-180,-6-21 179,-16 25-179,4-25 0,-21 16-90,13-20-180,-28 8-179,22-11-2520,-35 6 1890,38-11-2339,-22-3 2068,32-3 1260,-6-11 0,14 9 0,0-5 0</inkml:trace>
  <inkml:trace contextRef="#ctx0" brushRef="#br0" timeOffset="894">1235 76 8972,'0'-11'5667,"-2"2"-4138,-1 0-270,-3 1-719,-4 1-1,1 4-89,-2 1 0,1 3-90,-1 1 0,-2 2-91,1 2 451,-15 13-450,1 12-180,-1-1 90,4 25-180,18-21 90,5 26-180,6-27 0,13 8 0,2-23 0,9 1 90,1-11 0,2-8 360,-4-6 449,-4-5-359,-10 1 899,-5-9-719,-12 6-270,-8-6-271,-4 8 91,-19 0-629,6 9-1260,-14 2 90,15 4-3239,-6 9-4946,19-6 9804,-3 8 0,14-11 0,1 1 0</inkml:trace>
  <inkml:trace contextRef="#ctx0" brushRef="#br0" timeOffset="30816">1391 355 13469,'9'-3'3778,"-1"3"-3058,-4 7-450,-1 4-91,-3-1 1,-1 2 0,-1-2-90,-1 1 0,-3 1-180,0 2-1979,-21 23 990,10-14-7466,-32 33 8545,27-33 0,-14 10 0,16-17 0</inkml:trace>
  <inkml:trace contextRef="#ctx0" brushRef="#br0" timeOffset="31112">631 437 11131,'-4'-2'8095,"0"2"-7645,0 7-90,0 1-91,-1 1-89,-1 2 0,0 2-90,-2 3-180,-1 0-4497,-17 38 1259,14-28 3328,-13 35 0,21-50 0,0 4 0</inkml:trace>
</inkml:ink>
</file>

<file path=xl/ink/ink2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5:39.785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10 86 10411,'-9'2'3418,"8"-1"-3418,6-1 90,6-2 0,4-2-90,-1 1 0,4-1 90,4 0-90,49-9 0,-31 5-45,18-2 0,0 1-45,-18 3 0,35-6 0,-52 9 90,13-2 0,-20 2 180,8 0-180,-26 4 0,2-1 0,-13 3 90,0 0-90,-3 0 0,-30 5 90,-1 0-90,-11 1 180,-4 1 449,6-1-539,11-2 270,-7 1-270,35-5-90,3-1 90,15-2-90,9-1 0,3 0 0,26-2 0,-13 0-360,44-4 90,-37 3-719,39-5 629,-44 5-989,28-4 809,-37 6 540,12-2 0,-23 3 0,1 0 0</inkml:trace>
</inkml:ink>
</file>

<file path=xl/ink/ink2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5:41.39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220 132 7533,'-11'-1'2518,"0"0"-1798,1 0-1,-1 0-89,0 2 0,1-1-1,0 1 181,0-1 539,-5 3-1169,12 1-90,-2 0 90,31 0-90,-8-3 0,45-3-90,-28 0 90,58-6-90,-47 3-180,7-1 0,0-1-90,-6 1 0,25-3-1259,-10 1 360,-17 2 719,9-2-989,-14 1 1529,-23 2 360,5-3 269,-20 2-269,-7-1 0,-2 2-1,-2 0 91,0 2 360,-5-2-1,-2 0 360,-13-2-899,9 3 450,-13-2-541,20 4 91,-8-1-360,24 3 0,-3 1 0,15 1 0,-3 1 0,1 1 0,1 1-180,6 4-179,5 8 179,-5-2-270,1 8-270,-15-6-269,-2 6-540,-7 0-1170,-13 5 810,1-9 1889,-19 6 0,11-13 0,-11 2 0</inkml:trace>
  <inkml:trace contextRef="#ctx0" brushRef="#br0" timeOffset="304">104 120 7803,'-4'-11'3058,"0"0"-2429,1 1 1,2 0-90,1 0 89,0 0 901,2-3-811,-1 0 450,1 0-1079,-5 7 0,1 4 180,-4 8-90,0 2 0,0 2 360,-10 17-360,5-8-1,-10 19 1,10-12-90,1 11-90,6-13 0,7 6-180,4-16-989,19 11-450,2-10-630,18 4-179,-8-9 2428,18-2 0,-20-4 0,13 0 0</inkml:trace>
</inkml:ink>
</file>

<file path=xl/ink/ink2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5:44.488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39 1 8612,'1'9'1349,"1"1"-1079,-1 2 90,0 3-568,0 3 388,-1 4 95,2 3-5,4 63-180,-2-41-135,1 9 0,-1 1-45,-1-14-719,3 54 449,-3-46-719,1 48-1,-2-53 304,1 11 776,-1-20 0,0-3 0,0-2 0</inkml:trace>
  <inkml:trace contextRef="#ctx0" brushRef="#br0" timeOffset="303">22 172 6993,'-3'-20'2249,"1"6"-1800,-1-2 271,1 7 359,0 0-719,-1 8 0,1 3-90,0 10 90,1 5-90,0 6 179,1 27-359,-1 2 180,2 44-180,0-26-45,1 0 0,0 0-45,1-4 45,0-5 0,1 0-225,2 0-360,3 15-449,2-5-2159,5 1 989,-6-28 2159,2-2 0,-10-33 0,1-2 0</inkml:trace>
  <inkml:trace contextRef="#ctx0" brushRef="#br0" timeOffset="585">76 306 7173,'-2'-27'1889,"0"3"-1349,0 2-1,1 4-179,-1 2 0,1 3 449,0 1 451,0 1-811,2 12-89,-1 4-90,2 16 0,0 7-90,-1 9 0,1 14-90,0 8-832,-1 10 832,1 1 0,0 27-90,-1-28-180,0 15-90,0-37-90,0-3-899,0 18-360,1 4-2519,1 17 3359,1-20 0,-1-6 0,0-20 0</inkml:trace>
</inkml:ink>
</file>

<file path=xl/ink/ink2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5:45.957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435 34 8792,'6'-7'8905,"0"0"-8635,-7 4 0,-1 2-91,-8 3-89,2 2 90,-2 0-90,-1 2 0,-8 4-270,-21 12-90,12-7-1169,-30 17 720,36-19-1980,-23 13 1710,27-16-4408,-15 6 5397,21-11 0,-2 0 0,11-4 0</inkml:trace>
  <inkml:trace contextRef="#ctx0" brushRef="#br0" timeOffset="284">132 26 7533,'3'-10'8635,"1"0"-8096,-5 6-179,-1 3 0,-4 8 90,1 1-180,0 1 629,-11 21-809,6-10 180,-18 32-270,16-29 90,-12 21-90,14-25 90,-5 17-90,10-20 90,13 21-180,3-26-360,22 9 0,-12-19-2248,35-3 1349,-25 0-2609,31-4 3958,-21 3 0,-11 1 0,-7 0 0</inkml:trace>
</inkml:ink>
</file>

<file path=xl/ink/ink2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6:23.26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486 1116 12390,'-1'-7'4677,"7"2"-4407,2 1 90,7 2-90,1 1 0,5 0-1,7-1 1,4 0-448,26-1 448,-4 0-218,19-1 83,-15 0 0,2 0-45,15 0-45,11-2 0,-1 1 45,-15 1-90,4 0 0,-3 0 0,-14 1 0,1 0 0,0 0 90,4 1-90,21-2 0,-32 2 536,-12 1-536,-14 0 40,-2 1-40,-27 1 0,4 0 0,-22 0 0,-8 0 0,3 0 0,-11 1 0,-11 0-90,-8-1 90,-22 2 0,-4-1 0,17 0 0,14 0 0,-1-1 0,-22 2 0,21-1 0,-2 0 0,-31 2 0,4-1 0,4 1 0,10-1 0,9-1 0,10 0 0,7 0 0,3 0 0,15-2 90,-8 2-1,28-3 1,-2 1 0,18-3 0,4 1 0,6-1 90,38-6-180,-18 4 90,29-4-90,-21 3 45,16 0 0,4 1-45,5-1 0,15 0 0,-2 1 0,-31 3 0,-2 1 0,-1 0 0,-4-1 0,50 1 0,-50-1 0,36 0 0,-38 0 0,4-1 0,-16 1-90,0 0-180,-19 0 270,-3 0 0,-14 0 0,-12 1 0,-12 0-90,-15 1 90,-21 2 0,-17-1 0,29 1 0,-3 0 0,-18 1 0,-1-1-45,18 1 0,-1-1 45,-37 3 0,5 0-268,14 0 313,9-1 0,0 0-45,-4 1 0,-8 1 0,20-2 0,-3-1 0,27-1-90,-8-1 90,20-2 90,16-3 88,5 0-178,14-1 0,1 1 90,37-5-90,-8 1 0,16-3 0,4 1-90,6-1 135,12-2 0,4-1-416,-33 6 1,-1 1 415,26-5 0,-1 1-45,-28 4 0,-1 1 0,26-2 0,-4 0 0,-7 2 0,-5 2 0,-3 0 0,-21 3 0,43 1 0,-48 1 0,23 1 89,-36 0-89,-6-1 742,5 1-742,-14 0 0,-3-1 0,-10 1 0,-5-2 0,-4 1 0,-22 1 0,6-1 0,-19 2 0,-4 1-90,-9 1 90,-19 1 0,-1 2 0,5-1 0,16-1 0,-12 1 0,11-1 0,-17 2 45,1-1 0,6 0-135,23-3 270,-35 3-90,48-3 0,-35 3-90,51-4 0,-20 2 90,30-3-90,3 2 0,14-2 90,23-1-90,1-1 90,70-6-90,-33 2-247,18-2 0,5-1 292,-31 3 0,0-1-45,26-1 0,-2-1 45,-27 3 0,-2 1-45,15-2 0,-4 1 0,1 1 0,-2 0 0,-2 1 0,-13 1 90,40-1-180,-55 3 90,20-1-90,-31 2 854,-5-1-854,-14 0 90,-26 2 0,0-1 0,-42 3 0,14 0 0,-14 0 0,-4 1-1156,-9 2 1156,4-1 0,-7 0 0,12 1 0,0-1 0,-3 2 0,0-1 0,4 0 0,1 0 0,-7 3 0,6-1-630,-14 3 630,32-4 0,2-1 0,-2 2 0,-8 3 0,31-7-90,-26 6 90,42-8 1076,-4 0-1076,9 1 710,5 1-710,3-7 0,0-1 0,0-9 0,-1 0 0,-2-8 0,1 8 0,-2-8 0,1 7 0,-3-8 0,-3-5 0,-4-12 0,-4-8-90,-7-22 90,2 4-90,0 0 90,1 1 0,4 11 0,-9-21 0,7 16 0,2 7 0,5 13 0,5 12-90,-1-4 90,1 3 0,0-2 0,3 10 90,-3-10-180,4 15 90,-1-6 0,2 9 0,0 0 0,1 2 0,-1-1 0,4 2 0,4 0 0,3 3 0,8-2 0,-2 1 0,5-2 0,11 0 0,5-1 0,21-4 0,6 2 0,9 0 0,5 1 0,5 1 0,11 1 0,-41 2 0,2 1-111,1 0 0,2 0 156,3 0 0,0 0-45,0 0 0,0 1 0,1 0 0,0 0 0,-3 0 0,-1 0 0,-2 1 0,-1 0 0,41 0 90,-3 0-90,0 0 0,-21 1 0,-19-2 0,1 1 0,20-3 0,-4-1 0,0-1 0,1 0 0,-15 0 0,-5 0 0,-18 2 90,23-3-90,-36 5 222,15-3-132,-18 3 0,4-2 90,-8 2-90,-1 0-90,-3-1 0,0 4 89,-3 4-89,-2 5 0,-2 2 0,1 8 0,0-5 90,0 6 0,1-2 360,4 33-270,-2-21 90,4 35 0,-2-29-90,1 7-90,0-2 0,-1-3-1,0-1-89,0-1 0,-1 0 0,-1-3 90,-1-9-90,1 7 0,-3-13 0,2 4 0,-3-5 0,-2-6 0,-3 4 0,-4-5 0,-2-1 0,-14 0 0,8-4 0,-36 8 0,21-7-45,-36 8 0,-6 1 45,8-3 0,-3 1 0,2 0 0,10-3-45,2-2 1,-3 1-401,8-2 0,-1 1 490,-24 3 0,-1 0-45,14-3 0,1-1-27,0 1 0,2-2 27,-29 5-45,33-6 0,3 0 45,4 0-270,-36 2-989,48-5-3508,-14 1 795,25-4 3972,4-2 0,13 1 0,4-1 0</inkml:trace>
</inkml:ink>
</file>

<file path=xl/ink/ink2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6:30.404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25 264 8252,'-2'-13'7376,"1"2"-5307,-2-1-1170,-1 9-539,0 6-90,1 7 0,0 4-180,1-1 90,1 2-90,0 2 0,0 2-1440,3 28-1438,3-2 1529,-1 6-6117,6-2 7376,-4-30 0,0 4 0,-4-18 0</inkml:trace>
  <inkml:trace contextRef="#ctx0" brushRef="#br0" timeOffset="559">349 287 8342,'6'-17'2969,"-1"0"-2250,0 1 1,-2 0-1,-1 1-89,-1 1 0,-1 0-91,-2 1-89,-1-1 899,-13-12-1079,5 12 360,-22-11-540,17 20 180,-24 7-181,20 5 91,-36 36-180,36-19 0,-18 43 0,32-41 0,9 33 0,5-35 0,23 22 0,-13-31 0,19 6 0,-10-20 180,14-10 0,-13-2 540,12-22-540,-26 15 539,9-24-449,-16 24 180,3-14-270,-7 20 269,2-7-269,-3 7 0,2 1-90,1 6-90,2 13 0,-2 2 0,2 7 90,-3-4-90,6 27 0,-5-16 270,8 45-90,-10-44 180,3 19 0,-6-29-91,-1 1 361,-6 10-450,1-10 180,-25 20-360,8-22 0,-11 5-1170,-7-14 361,22-5-2789,-21-4 899,28 0-1888,-5-5 4587,14 2 0,0 2 0,3 1 0</inkml:trace>
  <inkml:trace contextRef="#ctx0" brushRef="#br0" timeOffset="866">871 160 9602,'-4'-7'4677,"0"0"-2788,-1-1 719,0 1-269,0-1-1979,3 9 0,2 1-1,4 9-89,-1-1-90,2 2 0,-1 1 0,1 3-90,1 1 0,-1 0-900,8 27-89,-6-19-810,7 26 629,-8-31-2787,1 16 3867,-3-7 0,0-6 0,-2-6 0</inkml:trace>
  <inkml:trace contextRef="#ctx0" brushRef="#br0" timeOffset="1033">836 384 9961,'-7'-6'3958,"-1"0"-2969,1 1-89,0 0-90,1 0 269,0 1-449,0-3-361,1 0-538,3-3-271,4 1-1529,13-5-2069,9-3 4138,14-6 0,-1 2 0,0 1 0</inkml:trace>
  <inkml:trace contextRef="#ctx0" brushRef="#br0" timeOffset="1735">1369 57 10681,'-4'-8'6296,"5"2"-5306,4-1-361,6 3-449,2 2 90,-2 3-180,0 1 90,-5 1 0,0 2 90,-1 0-90,-1 2 359,0 16-359,-3-10 180,-5 26-270,-1-22 270,-12 25 0,5-15 179,-7 12-359,7-15 180,-2 6-360,7-15 180,-2 10-180,8-12-540,3 0-539,11-6-91,5-7 631,4-4-1260,17-14 809,-8-2 181,16-12 539,-16 7-270,9-16 720,-16 12 450,7-12 359,-13 13 91,-7 5 89,-5 8 0,-2-1 1,-5 6 808,-1-1-808,-3 4-271,-1 6-449,-1 6 0,2 7-1,1 15-359,3-6 0,2 15-270,5-9-359,12 15 269,-3-15-90,16 4 180,-11-21 0,6-1 180,-6-7-180,31-14 180,-24 2 720,36-32-450,-48 22 360,6-25-361,-21 26 181,-14-24-360,0 20-90,-22-18 0,-1 19-2429,-33 1 810,24 11-1889,-27 11 1979,42 6-8302,-44 32 9388,39-16 0,-31 29 0,35-20 0</inkml:trace>
  <inkml:trace contextRef="#ctx0" brushRef="#br0" timeOffset="2133">422 854 7982,'-15'0'3239,"1"0"-2430,0-1-89,0 1 89,-1 1 1,2-1-91,0 1 1,2 0 629,0-1 2069,-1 2-2788,13-2-180,0-1 269,18-2 900,46-11-1169,-13 1 44,24-5 1,8-2-812,-32 8 1,2-1 436,21-5 0,11-1 0,-9 1-75,-15 4 0,0 1-15,14-3 0,8-2 0,-12 4-30,19-4-270,-3 2 0,-3 0-629,-11 3-361,23-4 451,-57 11-1620,-2 0 720,-22 4-1259,9 0-630,-15 2-356,-5 4 3954,-6 3 0,-3-2 0,-1-1 0</inkml:trace>
  <inkml:trace contextRef="#ctx0" brushRef="#br0" timeOffset="2585">1175 896 9332,'-15'2'4137,"1"0"-2158,2-1 1889,-1-1-3148,9-4-91,1 0-179,11-4 0,2 4-91,4-1 1,1 1 0,2 1 270,19 0-540,-15 3 0,23 7-90,-29-1 90,11 22-90,-19-13 0,-3 31 90,-8-25-90,-20 36 0,9-30 0,-27 36 89,22-38-89,-18 24 0,25-32 1170,-8 13-271,17-19 1,2 4-361,9-9-179,2-4 90,3-3 180,24-8-630,-13 3 0,36-11 0,-27 7 0,52-14 0,-38 11-810,8-3 1,-1 1-451,-6 3-1484,1-1 1,2 1-765,4-1-6116,20-4 9624,-30 8 0,-6 0 0,-11 3 0</inkml:trace>
  <inkml:trace contextRef="#ctx0" brushRef="#br0" timeOffset="2852">2591 487 12030,'-3'-9'8455,"1"-1"-7645,2 2-540,4 1 0,2 2-181,3 1-178,0 0-271,2-1-180,1 0-269,2-1-5668,28-14 4049,-20 10 2428,25-14 0,-38 20 0,2-2 0</inkml:trace>
  <inkml:trace contextRef="#ctx0" brushRef="#br0" timeOffset="3052">2595 486 8432,'-8'7'4048,"2"1"-2969,0-1 900,2 0-270,2 2-989,3 1-181,1-2-89,4-1-90,2-3-90,0-2-90,3 0-180,2-2-810,10-3-3417,27-9 1438,-14 3 2789,29-12 0,-37 12 0,10-4 0</inkml:trace>
</inkml:ink>
</file>

<file path=xl/ink/ink2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6:39.95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1 314 9602,'2'-10'8275,"1"8"-7825,-1 3-91,0 10 1,-1 0-180,-1 1 90,0 2-180,1 2 180,0 10-90,2 14-450,1 4-720,2 7-629,1-9-630,1-4 810,-1-10 1439,5 5 0,-8-22 0,4 5 0</inkml:trace>
  <inkml:trace contextRef="#ctx0" brushRef="#br0" timeOffset="536">443 398 8882,'0'-14'3148,"-2"1"-2338,-1 0-1,-3 1-89,-1 0-91,-2 1 1,-3 1-180,-1 2 0,-3 2 89,-10 0-269,6 5 270,-27 7-180,2 18-270,2 1-1,9 23-89,27-26 0,7 7 0,13-15 90,6-2-90,11 0 0,5-8 0,3-7 360,11-13 0,-19 3-90,3-6 539,-21 5 1260,1-9-1349,-4 3 269,-2-2-899,-4 20-90,-1 3 0,2 11 90,1 5-90,0-2 0,6 22 0,-6-17 0,7 20 90,-6-13-90,1 10 0,-3-12 0,-3-1 0,-3-12 0,-2-1 90,-8 7-90,3-7-90,-24 10-180,19-15-1169,-19 3-2249,13-11-1079,1-3-2249,3-5 7016,13-3 0,2 5 0,3 1 0</inkml:trace>
  <inkml:trace contextRef="#ctx0" brushRef="#br0" timeOffset="701">697 501 11400,'7'-7'4408,"-4"-1"-9445,-3 0 5037,-2-2 0,1 5 0,2 0 0</inkml:trace>
  <inkml:trace contextRef="#ctx0" brushRef="#br0" timeOffset="1035">858 234 10051,'-1'-12'9830,"-1"2"-7337,0 10-2223,8 13 0,-2-1-90,8 9-90,-5-9 90,1 2-180,1 1 90,1 2 90,11 23-180,-7-11 269,9 15-89,-14-23 450,-1 3-540,-6-9 90,-4 4-90,-8-8-180,-6-2-540,-6-4-1169,-3-4 540,3-2-3958,-15-14 3868,21 5-6207,-13-25 7556,24 18 0,0-4 0,5 14 0</inkml:trace>
  <inkml:trace contextRef="#ctx0" brushRef="#br0" timeOffset="1165">874 264 7892,'21'-39'9175,"-2"5"-8725,-13 25 0,2-1-180,1 0-1,3-2-269,10-5-2068,21-10 898,-8 5-2877,26-9-1,-30 17 4048,11-3 0,-13 6 0,0 1 0</inkml:trace>
</inkml:ink>
</file>

<file path=xl/ink/ink2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6:44.17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523 37 8072,'5'-6'3688,"0"0"-1979,1-1-90,-1 0 2159,1-1-3328,-9 6-90,-1 3 0,-7 5-91,2 2 1,-2 1-3482,-2 3 3392,0 1 90,-9 8 0,-19 22-270,4-3 0,-11 12 90,16-17-180,3-4 3482,-2-1-3392,1-2 0,1-2-90,1-4-180,3-4 0,5-3 90,5-5-270,1-1 1,5-3 269,-3-2 0,5-4 180,2-7 0,5-4-90,2-1 180,1 1 90,6-10-90,-3 9 360,6-12-181,-7 14 451,4-3-270,-4 3 899,2 0-1349,-8 9 90,0 2 0,-7 7 0,2 1-90,-2 2 0,-4 6 90,3-3-90,-10 16 90,9-13-90,-6 14 270,8-8-181,1-5 181,2 2 90,7-2-360,0-8 0,10 8-90,-4-14-899,12 1-900,0-7-270,10-4-539,5-3-1980,1-4 4678,0-1 0,-16 5 0,-6 3 0</inkml:trace>
</inkml:ink>
</file>

<file path=xl/ink/ink2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6:49.222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 1 10861,'0'14'1439,"1"-1"-1169,0 6 0,2 0 0,0 7-91,1 6 1,0 6-506,2 11 506,1 6 0,1 12-142,0-1 1,0 10-9,0-10 0,-1 3 0,1 0-30,2 18 0,0 2-357,0-5 0,1 4 0,-2-10 312,-1-20 0,1-4-135,1 20 0,1-2-90,2 7-989,1 5 629,-8-47-3232,3 30 3862,-7-46 0,0 2 0,-2-17 0</inkml:trace>
</inkml:ink>
</file>

<file path=xl/ink/ink2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4:05.17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99 780 7713,'-14'0'3148,"0"0"-2249,1-1-89,0 1-181,2-1 1,0 1 270,2-1 1348,-2 0-1888,9-3 0,2 2-90,10 0 0,3 2 89,3 0-89,6 2 0,6-1 0,6 1 450,55-1-496,-27-2 1,4-1-180,-5 1 0,3-1-437,22-2 0,-3-1 482,0-2-45,3-1 0,2 0-45,1-1 0,5 0 0,-3 0 0,-22 2-135,3 1 0,-4 1 45,-26 3-176,39-3 266,-62 4-90,12-2 180,-25-2-90,-3-2 0,-10 0 955,-5 2-865,1 1 365,-16-5-275,9 3 270,-27-8-180,25 8 719,-21-8-719,24 9 539,-15-8-629,20 9 180,-10-5-180,12 5-180,6 0 0,5 4 0,10 2 0,0 1 0,2 1 0,9 2 0,5 3 0,21 7 0,-15-5-90,25 11 90,-35-12 0,21 12 0,-29-13 0,5 7 0,-16-5-1529,-18 13 360,1-8 179,-18 6-1169,-5-4-4857,-24 8 2519,17-8 4497,-8 2 0,41-16 0,4-2 0</inkml:trace>
  <inkml:trace contextRef="#ctx0" brushRef="#br0" timeOffset="1699">289 324 9512,'-6'-8'7825,"0"7"-7375,3 7-90,0 3-91,4 6 1,0-3-90,1 3 0,1 1 0,2 9 180,8 26-360,-4-19 90,6 19-90,-10-38 90,0 2 0,-2-6 359,1-1-359,-5-8 90,-8-11-90,0-3 180,-15-28-180,10 8-90,-4-7 90,9 7-90,5 9 0,3 1 90,2-13-90,6 1-90,11-22 90,-5 25 0,5-3 0,-7 26 0,-2 5 0,8 4 90,-7 10-90,3 10 0,-8 10 0,-4-2 0,-8 25 0,-3-7 0,1 1 0,1-11 0,7-2-90,2-17 0,10 14-90,-2-25 90,8 1-180,1-6-359,21-5 449,-12 1-90,27-10 180,-34 7 90,11-5 0,-16 5-90,-2-1 180,8-13-90,-11 8 90,5-8 0,-13 11 540,-13-9-361,-1 10-89,-5-5 0,-5 18-90,9 2 0,-7 10-90,12-3 0,3 4 0,8-7 0,3-1-90,4-4 90,3-2 0,-2-3 0,7-6 0,-9 1 180,12-9-90,-13 7 630,6-7-181,-6 7-89,0-2 0,-1 3-360,0 4 0,-1 3-180,1 5-450,-1 2-719,0 2-1,0 0 91,1-2-180,1-1 899,0-4 90,0-3 270,1-8 180,-3 0 90,0-4 360,-3-1-180,-1 5 1079,2-11-720,-2 8 1,0-5-450,1 7-90,1 5-180,3 4 90,1 5-90,1 1 0,2 1 0,-1-1 0,1-1 0,-3-2 0,1-1 0,0 0 0,6-3 0,-2-1 0,2-3 0,-2-8 0,-6 2 0,3-7 90,-4 5-90,-1 1 0,-2 2 0,1 2 0,3 4 0,-1 4 0,3 2 0,-1 2 0,2-3 90,-2-1-180,4-3 180,0-4-90,-1 1 0,9-15 90,-7 0 0,5-13 179,-8 1 271,-2-1-270,-4 9 450,0-5-91,-2 14-539,-3 4 0,0 11 0,-3 11-90,2 1 90,0 8 0,0-4-90,2 19 0,1-16-180,8 28 90,-5-28-90,6 16 90,-7-24-539,3 8 539,-5-15 0,1-2 90,-2-13 0,1 0 0,2 1 0,3 0 0,-1 4 90,7-7-90,-5 9 0,9-5 0,-4 8-1170,14 1 91,-7 1-2609,23 6 1799,-22-1 1889,27 9 0,-26-4 0,11 5 0</inkml:trace>
</inkml:ink>
</file>

<file path=xl/ink/ink2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3:58.891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4743 1417 13289,'-12'-1'2339,"2"0"-1889,0-1 0,0 1-1,-1-1-89,-2 1 180,-11-1-90,-22-1-271,5 2 1,-51-1-180,43 2-1651,-16 0 0,-2 0 1651,1 0 45,-16 1 0,-2 0-45,6-1 0,10 1 0,-11 0 0,9 0-90,-22 0-104,11 1 0,-2 0 149,28 0 0,1 0 45,-23 1 0,-1 1 0,14-1 0,-2 0 30,-6 0 0,-7 1 0,11-1-30,-29 2-45,6-1 0,0 0 45,6 0 30,20-1 0,-10-1 0,8 1-30,-31 0 0,25-1 0,-11 0 0,13-1 0,-12 1 0,10-2 0,3 0 0,1 0 0,1 0 0,0 0 0,-2 0 0,-6-1 0,3 1 0,20 0 0,-46 0 0,38-1 0,-15 0 3155,7-1-2975,-7 0-180,28 1 180,-13-2 90,28 2 805,-11-2-1075,16 1 180,-3 0-90,15 0-90,-2 1 0,3-1 0,1 1 0,3 0 0,1 0 89,0-1-178,2 0-1,1-1 90,2-4 0,3-1 0,2-4 0,2 2 0,1-2 0,2-1 0,0 1 0,3-5 90,5-4-1,3-3 91,4-7 360,6-7-360,-11 16-90,1-2 90,-10 17 359,0-2-89,-1 1-360,-5 3-90,-1 4 90,-6 6-90,0 1 0,-5 6 0,-3 4 0,-7 8 0,-3 5 90,-6 6-90,-2 2 0,0 2 90,1-3 0,6-4 0,4-5 0,5-4 0,6-7 0,3-3 90,3-1 90,1-3-1,0 5-89,6 2-90,6-2-270,6 1-719,10-7-900,5-6 809,-4-1-3147,21-3-271,-11 1 4408,15 0 0,-28 0 0,-4 2 0</inkml:trace>
  <inkml:trace contextRef="#ctx0" brushRef="#br0" timeOffset="1348">1039 2389 9242,'-7'5'6116,"-1"0"-5306,1-5-181,-1-3-449,3-7 0,1-1 90,3-3-90,0 1 0,2-3 270,0-13 89,4-23-359,0 7 90,5-45-90,-4 29-90,2-31-90,-4 30-90,-1-33 180,-3 44-90,0-5 0,0 1 0,-1 7 0,-2-50 0,2 58 0,-1-45 0,0 50 0,-2-52 0,2 55 90,-3-32-90,3 42 90,-2-15 0,2 20 0,-1-11-90,2 13 90,-1-2 0,1 4 0,-1 0-90,1 3 89,0 0 361,0 0 899,0 1-1169,-3 8-180,1 5 90,-4 10 0,4-1 0,-2 0-90,2-2 0,-2 0 90,-7 17-90,5-13 0,-6 13 90,8-18-90,-5 9 0,3-8 0,-2 0 0,6-12 0,3-14 0,3 3 0,4-12 0,-2 8 270,11-25-180,-7 21 90,8-18-180,-10 24 180,8-9-180,-7 12 90,17-8-90,-15 14-90,18 3 0,-17 7-1529,12 11 899,-13-6-89,4 7-181,-7-7-89,-1 0-2969,3 9 1439,-4-8 2609,3 7 0,-6-14 0,-1-1 0</inkml:trace>
  <inkml:trace contextRef="#ctx0" brushRef="#br0" timeOffset="1815">779 591 8342,'-17'-13'3508,"1"-1"-2608,4 1-91,2 0 1,3 1-1,3-1 1,1 1 539,5-7-809,2 4-90,2-5-91,2 6 721,22-12-900,-15 15 89,20-8-89,-25 19 90,11 15-270,-14-6 90,5 16-90,-11-14 90,-1 9-180,0 0 0,0 0 90,11 7 0,-3-15 0,15 7 0,-12-14 0,14 9 90,-15-8 180,9 9 0,-13-9 0,3 9-90,-9-4-180,-1 0 90,-4 1-1,-12 5-628,-1-3-1440,-20 9 989,14-12-1348,-11 1-630,13-8-2969,-5-2 5089,6-2 0,8-2 0,7 1 0</inkml:trace>
  <inkml:trace contextRef="#ctx0" brushRef="#br0" timeOffset="2164">390 514 10411,'2'6'7556,"-1"1"-12947,2 11 5571,-2-3 1409,0-3-1409,1-1 859,0 7-1039,1-4-180,0 5 0,0-7 3303,1 1-4113,2 4 360,-1-4-1978,5 13 809,-2-9-3328,2 6 5127,-4-8 0,-3-7 0,-2-3 0</inkml:trace>
  <inkml:trace contextRef="#ctx0" brushRef="#br0" timeOffset="2349">417 762 9602,'-13'-10'4137,"2"0"-3327,5 1-540,2-3-91,3 2 1,3-1 0,2 2-90,1 0 0,2-2 90,7-6-270,4-2-180,0 0-1259,8-5-2698,-7 9 4227,1-2 0,-10 9 0,-6 5 0</inkml:trace>
  <inkml:trace contextRef="#ctx0" brushRef="#br0" timeOffset="2599">242 822 12570,'8'-7'1079,"0"0"-899,-1 1 0,2-1-90,1-1-90,1 0-90,0-1-90,2 0-180,-1-1-1259,12-8 360,-4 1 0,10-8 719,-12 9 540,1-5 0,-12 14 0,1-3 0</inkml:trace>
  <inkml:trace contextRef="#ctx0" brushRef="#br0" timeOffset="2798">479 601 7713,'3'-20'2968,"-2"3"-2069,-6 9 1,-1 1 449,-2 1 810,1 1-1709,2 7-270,4 3-1,3 4-89,4 2 0,-1-1 0,4 6-180,1 4-269,3 8-1,-2-6-1259,3 13 989,-8-18-1889,7 20 631,-8-22 1888,1 10 0,-5-18 0,1 1 0</inkml:trace>
  <inkml:trace contextRef="#ctx0" brushRef="#br0" timeOffset="3169">400 904 7263,'-9'3'2968,"1"1"-1439,0-1 1260,-1 0-2519,8-7-91,1 0 1,9-8 0,9-5-90,-1 0 90,22-28-90,-17 18-90,21-40 0,-28 34 0,6-39 90,-21 28 0,-16-29-90,-1 33 270,-24-6-180,16 32 180,-41 5-270,29 11 89,-15 12 1,-1 5-90,4 5 0,-2 9 0,2 3 90,15-3-90,-14 43 0,38-43-179,12 67-1,8-58-180,6 7 0,4-2-90,3-15-1394,30 1 0,7-5-45,1-12 630,0-2 0,1-4 1259,0-16 0,5-4 0,0-3 0</inkml:trace>
  <inkml:trace contextRef="#ctx0" brushRef="#br0" timeOffset="3702">1340 283 7443,'-13'-13'2248,"-1"-1"-1708,-3-1 90,-1-3-91,-4-1-89,-1-1-3302,-6-4 3302,-1 2 251,-29-14-431,20 16 360,-54-9-540,48 24 46,-6 5 0,-1 4 44,-2 8 179,-21 18 1,-3 7-180,-5 14 60,23-4 0,-6 10 0,11-5-150,19-14 0,5 3 30,-6 16 0,-1 10 0,10-9-31,5 15 1,11 5 0,5-2 0,12-10-90,7-10 0,4-3 90,7-8-90,29 16 0,0-32 45,15-18 0,5-7-45,20-4 0,-12-17 0,13-9 0,-12-1 0,-25 5 0,-1-5-30,27-16 0,12-10 0,-14 5 30,-32 14 0,-4-1-519,12-14 1,3-8 0,-10 7 428,4-19 85,-17 18 0,-3-3 5,-4-30-90,-14 24 90,-26-11 0,-10 1 0,-13 13-122,-2 4 0,-5 6 32,-20 21 90,-2 16 0,-14 5 0,4 2 0,7 0 0,-4 5-45,-7 3 0,-14 4 0,-1 2 0,17 1 619,11 1 1,3 5-1205,-15 8 1,-7 5-1,14-2-359,-2 11 543,18-9 0,2 4-2613,14 4 1,7-1 3058,-6 10 0,-9 25 0,35-39 0</inkml:trace>
</inkml:ink>
</file>

<file path=xl/ink/ink2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4:27.826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0 108 7623,'3'-13'4497,"0"3"-3507,-1-1 719,0 3-90,0-4-180,0-1-360,-1-2-89,0 2-271,-1 1-629,1 11-180,2 5 0,-1 6-180,2 3-269,-2-3-811,3 6-1978,3 11 1889,-1-5 1439,5 15 0,-8-26 0,1 6 0</inkml:trace>
</inkml:ink>
</file>

<file path=xl/ink/ink2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4:30.10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107 5 9332,'-9'-3'7915,"-1"1"-6925,-2 4-91,3 1-89,0 3-181,2 1-89,0 1-90,0 2 89,1 2 271,-4 11-540,3-2 90,0 24-630,6-12-1619,17 27 1439,-4-31 0,13 4-269,-4-24 269,2-6 540,10-6 270,-9-3 0,-4-3 179,-11 0 91,-10-4 89,-6 2-269,-9-2 0,-14 8-1080,-1 4-179,0 4-1620,2 5-3058,11 1 5487,3 1 0,7-3 0,6-4 0</inkml:trace>
</inkml:ink>
</file>

<file path=xl/ink/ink2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4:29.590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34 106 9602,'-3'-9'6116,"0"1"-4047,-2-1-720,-2 4-809,0 3-180,1 4-181,3 7-89,4-1 0,4 2-90,1-1 90,2 0 0,22 17-90,-12-11 0,28 22-90,-29-23 90,15 14 0,-22-15 90,7 13-90,-15-11 90,-3 6-90,-8-7-90,-6-4-180,1-3-1798,-15-5-181,5-6-3508,-17-17 2699,20 6 3058,-1-11 0,20 18 0,1 2 0</inkml:trace>
  <inkml:trace contextRef="#ctx0" brushRef="#br0" timeOffset="116">69 128 8432,'8'-8'3058,"-1"0"-2338,0 1 0,1 0-271,0 0 361,6-3-540,-2 2-180,16-10-540,-11 8-180,8-3-2518,-3 3 3148,5 1 0,-8 2 0,-2 2 0</inkml:trace>
</inkml:ink>
</file>

<file path=xl/ink/ink2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4:28.259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6 73 9871,'-4'-15'3688,"2"-1"-3148,4 6 0,3 1-91,0 2-89,0 1 180,1 1-90,3 1-270,1 3-91,0 2 1,-2 3 0,-3 2 180,0 8 90,-3 29-270,0-16-90,-4 29 90,2-29-90,1 17 0,1-19-90,10 9-90,-4-24-899,17 2 359,-9-11-2428,35-8 1079,-22 0 2069,35-11 0,-27 7 0,11-4 0</inkml:trace>
  <inkml:trace contextRef="#ctx0" brushRef="#br0" timeOffset="432">949 110 8702,'-9'-6'2968,"0"1"-2248,2 0-90,0 0 629,2 0-180,-2-2 181,3 0-721,1-3 1,5 2-180,3 2-180,2 6-90,0 3-1,-2 3 1,0 2-90,-2-2 0,1 1 0,-1 0 0,1 0-449,13 12 269,-2-8 180,11 8-90,-7-9 90,0 0 0,-5-3 180,4 7 0,-10-6 449,5 20-539,-11-16 0,-3 16 0,-4-17-270,-6 7-180,3-7-4767,-18 14 2699,14-15 2428,-11 7 0,19-14 0,1-2 0</inkml:trace>
  <inkml:trace contextRef="#ctx0" brushRef="#br0" timeOffset="932">1620 114 9871,'0'-12'8725,"2"9"-8095,0 4-360,2 9 0,-1 0-90,2 2-90,0-2-90,2 1 0,2-3 0,4-4 0,-2-4 0,2-3 0,-4-2 0,2-1 90,5-5 449,7-6-269,-6 4 809,6-3-629,-14 14-360,3 3 90,-7 4-720,2 17-269,-5-8-2789,7 26 1799,-4-20 1799,17 24 0,-7-25 0,9 9 0</inkml:trace>
</inkml:ink>
</file>

<file path=xl/ink/ink2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4:30.60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1085 1742 8612,'-10'0'5937,"-4"-1"-4228,1 1 180,-2 0-360,2-1-1259,11-2-90,3 1-91,10-3 91,1 2-90,11-2 0,-3 2 0,8-1 90,1 3-180,-7 1 180,5 1 0,-6 5 90,-3 3-90,-1 2 0,-8 14-91,-7-8 91,-11 37-539,2-28-901,-9 31 271,9-32-3239,-2 27 1170,5-26 3058,2 22 0,2-34 0,0 3 0</inkml:trace>
  <inkml:trace contextRef="#ctx0" brushRef="#br0" timeOffset="702">1282 1610 7353,'-9'-21'2428,"-1"0"-1708,-2 2-90,-3 0-91,-2 2 91,-3 1-90,-2 1-1,-3 3 1,-2 3-90,-1 3 1169,-47 13-630,-7 28-539,-5-1-90,14 20 359,31 1-179,20-8 0,3 1-450,-11 23 45,18-7 0,7 0-45,19 10-495,11 20 405,6-27-360,42-3 270,-30-38 0,9-8 0,3-8 90,-3-15-90,44-21 90,-47 1 0,2-19 0,-4-3 90,-10 0 0,0-24 0,-8-3-90,-21 11 90,-3 10 0,-4 0 0,-11-6 359,-15 5 1,-6 0-270,-6-2-45,-20 2 0,-3 8-45,7 27-225,-16 10 0,-3 7-225,9 10-674,-14 11 0,0 5 134,12 4-1034,2 7 0,4 3-674,21-7 2608,-14 26 0,43-43 0,2 2 0</inkml:trace>
  <inkml:trace contextRef="#ctx0" brushRef="#br0" timeOffset="2735">650 554 7892,'2'-11'2339,"0"1"-1709,1 1 539,0 2 630,2 1-1169,1 5-91,0 2-89,0 7 90,-3 2-90,0 2-1,0 4-89,-1 3 90,1 4-90,-1 4-90,1 3 449,1 33-539,1-5 90,2 36-180,-2-42-90,2 10 90,-2-29-90,3 14 0,-2-20 90,1 7-90,-8-36 0,1 5 0,-6-20 0,1 3 90,-3-9-90,1 4 359,-5-12 1,2 7 0,-1-4 90,-1 2-270,3 11-180,-2 7 90,6 9-90,-1 8 90,2 7 0,1 12-90,2-3 0,5 30 0,-1-32 0,8 28 0,-5-35 0,3 8 89,-1-12-89,-1-4 0,11 0 90,-8-7-90,17-13 0,-15 2 0,17-24 0,-17 17 180,11-21-90,-15 23 270,7-12-180,-9 17-90,4-1 0,-3 9-90,1 8 0,-2 1 0,1 5 0,-3-3 0,2 2 0,-2 2-180,1 1 90,-1-1-270,1 5-449,-3-8 809,-4 0-90,-1-9 90,-5-4 0,2-4-90,-1-1 90,-6-8 0,-5-3 0,-7-5 90,-2 2 0,-3 3 0,0 6 0,0 6-90,1 6 90,3 5-90,5 4 0,6 3 0,11 9 0,4-8 0,9 4 0,8-8-90,6-1 0,12-1 0,23-6 90,-20-2 0,24-11 90,-40 5-90,12-9 0,-24 9 0,0-7 0,-11 7 0,-18-4 0,4 6 0,-26-2 0,-10 9 0,9-1-3392,-9 4 3302,26-1 90,2 0 0,3 1 0,4 0-180,-4 9 90,15-4 0,-1 5 3392,17-9-3572,8-2-3302,6-2 3482,2-1 0,0-2 0,0-3 90,-1-1 180,10-5 0,-15 2-90,-9-1 3302,-14 6-3302,-18 4-90,2 2 0,-9 3 0,-13 4 90,-5 2-180,-20 6 0,22-7-1079,-10 3 539,36-10 360,-6-2 90,18-7 90,4-3 0,3-3 90,0-2 90,-1 0 180,0-1 90,0 1 360,-1 2 359,2 1-629,2 6-360,2 6 180,3 8-91,-2 2-179,-1 3 180,3 4-180,-1-4 0,3 6 0,-2-5-449,17 10 179,-7-11-1169,39 14 1169,-33-20-270,28 2 360,-34-9-90,16-4 270,-15 0 270,4-2-90,-16-2 0,-13 0 0,-3 2 0,-8 0 0,-1 3 0,-1 0-180,-1 0 0,1 1-7286,7 1 7286,4 4 0,3-2 0,6 2 0</inkml:trace>
  <inkml:trace contextRef="#ctx0" brushRef="#br0" timeOffset="4919">410 298 7803,'-9'-4'3597,"0"1"-2697,0 0-90,-1-1-91,0 1 91,0 0-181,1 0 1080,-5-5-1349,5 1-90,3-9-90,7 6-90,8-3-90,1 6 90,2-2-90,3 1 90,1-1-90,1 2 359,21-2-89,-18 5 270,20 2-180,-27 6 359,6 12-359,-11 2-180,1 13 0,-9 3-180,-3 7-90,-1 3-540,0 0 91,1-9-1890,1 11 360,2-17-89,0 10-901,2-19 3059,1-2 0,-2-13 0,1 1 0</inkml:trace>
  <inkml:trace contextRef="#ctx0" brushRef="#br0" timeOffset="5400">482 529 7533,'-10'-6'2878,"-1"0"-2158,1 0-91,0 1-89,1 0-90,1 0-90,0 0 89,1 0-89,2-3-270,3-2 0,3-1 90,15-12-90,22-16-90,-7 7 0,20-20 0,-32 28 0,14-38 90,-22 33 359,-2-38-269,-15 44 540,-30-21-450,10 28 629,-54-1-629,30 20 135,-10 11 0,-2 5-135,2 9 44,-1 13 1,4 5-225,17 3 45,9-3 0,4 0-45,14-1 180,13 49-180,23-25-478,-3-20 1,5-1 387,22 10 0,25-8-3135,-27-31 3135,15 1-518,38-22 428,-34-4 90,12-10 0,0-6 0,-12-6 45,-10-1 0,-1-9-45,-20-2 0,-6-3 90,20-42-180,-14-3 135,-37 34 0,-8 4-45,-9-3-149,-9 2 1,-9 3 148,-40 0 0,9 22 0,-4 5-90,22 7 0,-1 6-720,-35 6 1,1 11-672,33 9 0,3 5-2162,-6 1 0,5 3 4292,-13 28 0,43-13 0,14-12 0</inkml:trace>
</inkml:ink>
</file>

<file path=xl/ink/ink2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46:19.31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0 1 21025,'3'10'2069,"-1"2"-1799,-1-1-90,0 1-90,0-3 89,0 0 91,1 9-270,0-6 90,3 14-180,-3-14-1709,2 15-270,-3-15-269,1 8-3509,-2-8 5847,0 1 0,0-6 0,0-3 0</inkml:trace>
</inkml:ink>
</file>

<file path=xl/ink/ink2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9T16:14:59.861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717 514 9062,'-7'-6'2878,"0"0"-2248,1 1 629,1-1-180,1-1-179,2 0-450,5-1-180,3 2 89,3 2 541,14 1-630,-10 3 179,14 3-269,-18 1 270,4 10-360,-9-3 450,-6 30-360,-4-21 89,-13 34-179,10-34 90,-5 17-90,9-23 0,1 11 0,5-15-630,17 7 91,-6-14-811,22-2 451,-15-5 89,9-2-179,-7-1-91,2 1-1438,9-5 2428,9-4 0,-15 5 0,0 0 0</inkml:trace>
  <inkml:trace contextRef="#ctx0" brushRef="#br0" timeOffset="562">307 544 8792,'-9'-4'5127,"2"-1"-4048,4-3-629,7 1-90,2-2 0,5 2-90,0 2 269,7 0-359,-4 2 90,5-1-90,-6 4 0,0 1 180,10 11-270,-11-4 0,8 16-1,-16-10 1,-3 19-90,-2-16 90,-3 17-90,1-12 360,-3 18-270,3-18 0,0 11 0,4-23-90,7 4 0,-1-8 0,7 1-540,6-8 91,-2-1-991,19-7 541,-12 2-1620,21-8-3687,-11 3 6206,2-2 0,-6 2 0,-9 4 0</inkml:trace>
  <inkml:trace contextRef="#ctx0" brushRef="#br0" timeOffset="1963">2097 494 8522,'-1'-11'6027,"1"-1"-5308,2-2 91,2 3-181,1 2 91,1 3-180,1 0 359,8-1-449,-3 3 539,14-2-629,-13 4 270,10 6-450,-16 1 269,2 14-359,-9-6 0,-5 16 0,-5 0 0,-5 9 0,-2 3-90,3-3 0,4-10 0,6 8 0,5-21 0,10 12-270,-2-21-1978,25-4 1438,-17-6-989,24-11 720,-23 5-181,7-5 91,-9 3-1349,-2 1-1530,-1 0 4048,-2 0 0,-6 5 0,-1 1 0</inkml:trace>
  <inkml:trace contextRef="#ctx0" brushRef="#br0" timeOffset="2412">1812 563 7803,'-6'-6'3058,"0"1"-2159,0 0 540,1 0-179,-2-3-181,3-1-539,1-3-90,3 2 89,3-1-89,2 5 0,0-1-90,2 2 89,1 0 541,3 1-720,2 2 449,7 6-539,-8 1 90,5 15 0,-10 11-180,0 3 0,-4 9-90,-2-19 0,-1 4 90,1-12-90,0 4 269,7 5-179,6-8-90,1 4-359,16-14-91,-14-7-1979,26-4 1260,-23 1-4498,23-7 5667,-19 4 0,-2 0 0,-11 3 0</inkml:trace>
  <inkml:trace contextRef="#ctx0" brushRef="#br0" timeOffset="17444">2478 659 15898,'6'6'2069,"-3"2"-1979,-6 3 90,-2 0-270,-5 3-180,0-3-180,-3 4-180,1-5-269,-1 3-7826,-21 16 8725,16-13 0,-16 14 0,20-17 0</inkml:trace>
  <inkml:trace contextRef="#ctx0" brushRef="#br0" timeOffset="5748">3147 411 9332,'1'-15'6026,"-1"1"-4137,-1 3-1439,1 8-180,0 7-180,1 7 180,0 1-181,1 3 1,0-4 0,1 5-90,0-6 90,1 0-90,1 0 90,3 2 90,14 0-90,-7-5 360,16-6-180,-17-7 629,17-14-629,-15 8 989,14-16-719,-19 15 539,6-8-179,-11 13 449,5-6-1169,-4 11-180,1 2 0,-4 8 90,-2 4-90,-1-1-720,1 14-89,-1-8-3419,3 23 2789,-2-21-1799,4 15 0,-2-19-2249,2 5 5487,0-9 0,-3-4 0,-1-2 0</inkml:trace>
  <inkml:trace contextRef="#ctx0" brushRef="#br0" timeOffset="6111">3579 422 8792,'-1'-14'3958,"0"1"-2879,-1 2 0,1 0 990,0 2-630,-1-2 720,0 1-2159,2 7 90,1 3-90,2 9 90,-1-1-90,2 1 90,0-1-90,1 0 0,1 0 0,10 2 0,-6-5 90,18-2-90,-2-16 90,-3 3 630,9-20-271,-23 17 1170,10-14-1169,-12 16 0,1-3-450,-3 14 90,-3 6-360,0 6-1079,-3 9 0,1-7 89,0 7-179,1-5-8392,5 24 9298,-1-17 0,2 10 0,-5-25 0</inkml:trace>
  <inkml:trace contextRef="#ctx0" brushRef="#br0" timeOffset="19165">4447 589 9961,'6'-6'9175,"-8"3"-8995,0 1 0,-8 4-360,0 0-90,1-1 180,2-3 90,3-4 0,5-3 270,4-2 180,2 1 89,-1 2 451,0 0-900,-4 10-90,-3 2 0,-4 8 90,-1-2-90,1-1-90,-1 0 180,0-7-90,1-3 90,2-8-90,4-2 0,1 2 90,2-1 0,0 4 0,0 0 629,6-2-449,1 4 0,7 3-180,-7 4 360,3 21-450,-10-9 90,-4 24-270,-6-17-270,-7 11-360,-1-6-1348,-15 16 808,5-12-5126,-30 30 1439,24-32 5037,-15 11 0,20-21 0,-1-2 0</inkml:trace>
  <inkml:trace contextRef="#ctx0" brushRef="#br0" timeOffset="16728">13 613 9062,'2'-8'7915,"2"6"-7015,2 2-450,1 6-91,0 1-89,-1 0 90,-2-1-180,0 0 180,2 2 89,1 4-359,-1 1 0,0 0 0,-2-3 0,-4-10-90,-3-6 0,-3-5 0,-1-3 0,2 5 0,1 1 0,1-1 0,0 2 0,-1 0 0,1 0 90,4 1 90,3 4-90,6 3 90,3 4-90,-2 1 0,-1 1-90,-3 0 90,2 4 0,0 4-90,-2 0 0,-4 12-180,-5-10-1169,-12 27 629,3-22-2248,-21 28 1528,17-28-6295,-15 18 7735,20-26 0,-1 2 0,8-12 0</inkml:trace>
  <inkml:trace contextRef="#ctx0" brushRef="#br0" timeOffset="17063">1272 658 13919,'-7'6'4138,"0"0"-3779,1 1-89,0 0 0,1 0-180,-1 0 90,0 1-180,-2 2-180,0 1-360,-2 1-89,-1 2-181,0 1-3237,-11 17-1800,4-4 5847,-4 5 0,13-16 0,5-11 0</inkml:trace>
  <inkml:trace contextRef="#ctx0" brushRef="#br0" timeOffset="124465">1838 494 6723,'-8'47'1439,"2"-2"-6829,2 2 5750,3-4-91,4-5-896,10 12 807,1-13 849,39 30-939,-22-39 0,42 17-90,-36-34 90,15-9 0,3-4-90,2-6 0,13-11 0,0-6 90,-15-6 90,2-12 0,-4-4 89,-12-1 46,-3-11 0,-6-1-45,-12 7 0,-7 4 0,-5-3 89,-16-22-224,-9 20 0,-3-1-45,-14-24-45,-8 24 0,-5 7-45,3 14 0,0 8 0,0 4 0,2 11-45,-17 14 0,-2 5-135,1 7-495,-15 15 1,2 7 44,20 4 894,-1 15 1,3 3 0,11 5 0,12-14 0,-1 1 0</inkml:trace>
  <inkml:trace contextRef="#ctx0" brushRef="#br0" timeOffset="1.87841E6">2293 757 10501,'-4'-6'2878,"-1"1"-1528,-1 0-991,2-1-89,4 0 0,6-2 0,3 3 0,3 1-180,2 2 90,-2 1 0,0 3-91,-3 0 1,-1 2 180,4 2-180,-4 0 450,6 10-360,-9-6 899,0 21-539,-22 2-450,4-1 0,-23 6 0,15-23-360,-40 21-180,34-22-180,-23 9-89,35-19-2609,-8-1-3868,9-1 7196,-10-1 0,18-2 0,-1 1 0</inkml:trace>
  <inkml:trace contextRef="#ctx0" brushRef="#br0" timeOffset="1.87993E6">3715 1068 10141,'-8'-13'4498,"2"1"-3599,4 2-179,2 2-181,3 1-179,2 2-180,3 5 0,-1 1 0,1 4 0,-3 2 0,0 1-90,0 2 90,1 9-1,-2-2 271,1 22 270,-5 12-540,2-11 0,-2 9-180,3-37 90,9 8-180,-3-13-1709,27-3-450,-6-11-1979,19-7-359,-16 1 4587,-2 0 0,-10 3 0,-1 1 0</inkml:trace>
  <inkml:trace contextRef="#ctx0" brushRef="#br0" timeOffset="1.88059E6">2022 1252 14369,'-5'-6'3418,"3"-3"-2968,3 0 89,2-2-179,2 1 0,2-1-90,1-1 0,2 1 89,4-2 1,1 2-180,0 3-90,0 5 0,-2 13-90,-3-2 0,0 18-90,-4 4 0,0-5-180,6 9 180,-5-23 0,14 8 90,-10-12-90,15 7 90,-14-9 810,15 11-630,-19-6-90,4 7-90,-13-6 0,-4 0-90,-1-4-3778,-27 13 2429,15-11-7466,-45 10 8905,35-15 0,-20 2 0,18-3 0</inkml:trace>
  <inkml:trace contextRef="#ctx0" brushRef="#br0" timeOffset="1.88103E6">920 1187 10501,'-11'-10'7466,"1"1"-6747,4 8-449,5 5-90,0 3 0,6 3 0,-1-1-90,2 1 0,1 1 0,1-1 0,6 6 0,14 2-90,-8-6 0,18-3 0,-24-11 0,13-10 90,-15 1-90,2-4 0,-7 0 90,-4 3-90,-1-1-180,-4 11-810,0 9 271,-2 6-91,2 4-359,0-3-1,1 1-6745,2 12 7915,0-10 0,1 3 0,-1-15 0</inkml:trace>
  <inkml:trace contextRef="#ctx0" brushRef="#br0" timeOffset="1.88146E6">1176 994 7803,'-17'-20'2068,"-2"1"-1438,-3 2 0,-1 2-91,-3 3 1,-2 3-90,0 4 359,-21 5-449,11 4 270,-43 17-360,32 0-91,-21 12 406,19 12 0,4 7-45,-4 28-451,9-26 1,7 1 90,20 11 90,20-13-180,4-7 0,17 27 0,-5-31 0,21 16-90,0-29 90,18-1-90,-9-15 90,2-11-90,40-32 0,-35 5 90,21-27 0,1-10 45,-41 21 0,-4-1-440,18-17 0,-4 1 575,-6-20 449,-19-14-449,-15 36 0,-23-9 0,-9 2-180,-11 22-90,-35-28 36,-1 58-36,14 19 0,-3 4-90,-35 8-570,29 9 1,-8 10 0,10 0-331,17-4 1,4 2 134,-26 17 0,6 0-494,18 6 1349,21-4 0,12-32 0,3 10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C4834-72E4-0F43-A10C-911CB5E98F38}">
  <dimension ref="A2:K114"/>
  <sheetViews>
    <sheetView topLeftCell="D105" zoomScale="270" workbookViewId="0">
      <selection activeCell="K115" sqref="K115"/>
    </sheetView>
  </sheetViews>
  <sheetFormatPr baseColWidth="10" defaultRowHeight="16" x14ac:dyDescent="0.2"/>
  <sheetData>
    <row r="2" spans="2:2" x14ac:dyDescent="0.2">
      <c r="B2" t="s">
        <v>0</v>
      </c>
    </row>
    <row r="4" spans="2:2" x14ac:dyDescent="0.2">
      <c r="B4" t="s">
        <v>1</v>
      </c>
    </row>
    <row r="6" spans="2:2" x14ac:dyDescent="0.2">
      <c r="B6" t="s">
        <v>2</v>
      </c>
    </row>
    <row r="8" spans="2:2" x14ac:dyDescent="0.2">
      <c r="B8" t="s">
        <v>3</v>
      </c>
    </row>
    <row r="27" spans="1:6" x14ac:dyDescent="0.2">
      <c r="A27">
        <v>3</v>
      </c>
    </row>
    <row r="28" spans="1:6" x14ac:dyDescent="0.2">
      <c r="A28">
        <v>6</v>
      </c>
    </row>
    <row r="29" spans="1:6" x14ac:dyDescent="0.2">
      <c r="A29">
        <v>8</v>
      </c>
    </row>
    <row r="30" spans="1:6" x14ac:dyDescent="0.2">
      <c r="A30">
        <v>22</v>
      </c>
    </row>
    <row r="31" spans="1:6" x14ac:dyDescent="0.2">
      <c r="A31" s="2">
        <v>44</v>
      </c>
    </row>
    <row r="32" spans="1:6" x14ac:dyDescent="0.2">
      <c r="A32">
        <v>19</v>
      </c>
      <c r="F32" s="2" t="s">
        <v>5</v>
      </c>
    </row>
    <row r="33" spans="1:8" x14ac:dyDescent="0.2">
      <c r="A33">
        <v>22</v>
      </c>
      <c r="F33" s="2">
        <f>QUARTILE(A27:A36,3)</f>
        <v>22</v>
      </c>
      <c r="H33" s="1" t="s">
        <v>4</v>
      </c>
    </row>
    <row r="34" spans="1:8" x14ac:dyDescent="0.2">
      <c r="A34">
        <v>20</v>
      </c>
      <c r="H34" s="1">
        <f>F33-F38</f>
        <v>11.75</v>
      </c>
    </row>
    <row r="35" spans="1:8" x14ac:dyDescent="0.2">
      <c r="A35">
        <v>17</v>
      </c>
    </row>
    <row r="36" spans="1:8" x14ac:dyDescent="0.2">
      <c r="A36" s="2">
        <v>1000000</v>
      </c>
      <c r="H36" t="s">
        <v>7</v>
      </c>
    </row>
    <row r="37" spans="1:8" x14ac:dyDescent="0.2">
      <c r="F37" s="2" t="s">
        <v>6</v>
      </c>
      <c r="H37">
        <f>F38-1.5*(H34)</f>
        <v>-7.375</v>
      </c>
    </row>
    <row r="38" spans="1:8" x14ac:dyDescent="0.2">
      <c r="F38" s="2">
        <f>QUARTILE(A27:A36,1)</f>
        <v>10.25</v>
      </c>
    </row>
    <row r="39" spans="1:8" x14ac:dyDescent="0.2">
      <c r="H39" t="s">
        <v>8</v>
      </c>
    </row>
    <row r="40" spans="1:8" x14ac:dyDescent="0.2">
      <c r="H40">
        <f>F33+1.5*(H34)</f>
        <v>39.625</v>
      </c>
    </row>
    <row r="79" spans="2:10" x14ac:dyDescent="0.2">
      <c r="B79">
        <v>45</v>
      </c>
      <c r="C79">
        <v>50</v>
      </c>
      <c r="J79">
        <f>50/4</f>
        <v>12.5</v>
      </c>
    </row>
    <row r="80" spans="2:10" x14ac:dyDescent="0.2">
      <c r="B80">
        <v>45</v>
      </c>
      <c r="C80">
        <v>45</v>
      </c>
    </row>
    <row r="81" spans="2:3" x14ac:dyDescent="0.2">
      <c r="B81">
        <v>45</v>
      </c>
      <c r="C81">
        <v>40</v>
      </c>
    </row>
    <row r="82" spans="2:3" x14ac:dyDescent="0.2">
      <c r="B82">
        <v>45</v>
      </c>
      <c r="C82">
        <v>45</v>
      </c>
    </row>
    <row r="84" spans="2:3" x14ac:dyDescent="0.2">
      <c r="B84">
        <f>AVERAGE(B79:B82)</f>
        <v>45</v>
      </c>
      <c r="C84">
        <f>AVERAGE(C79:C82)</f>
        <v>45</v>
      </c>
    </row>
    <row r="86" spans="2:3" x14ac:dyDescent="0.2">
      <c r="B86">
        <f>_xlfn.VAR.P(B79:B82)</f>
        <v>0</v>
      </c>
      <c r="C86">
        <f>_xlfn.VAR.P(C79:C82)</f>
        <v>12.5</v>
      </c>
    </row>
    <row r="88" spans="2:3" x14ac:dyDescent="0.2">
      <c r="C88">
        <f>SQRT(C86)</f>
        <v>3.5355339059327378</v>
      </c>
    </row>
    <row r="91" spans="2:3" x14ac:dyDescent="0.2">
      <c r="B91">
        <f>_xlfn.STDEV.P(B79:B82)</f>
        <v>0</v>
      </c>
      <c r="C91">
        <f>_xlfn.STDEV.P(C79:C82)</f>
        <v>3.5355339059327378</v>
      </c>
    </row>
    <row r="93" spans="2:3" x14ac:dyDescent="0.2">
      <c r="B93">
        <f>_xlfn.STDEV.S(B79:B82)</f>
        <v>0</v>
      </c>
      <c r="C93">
        <f>_xlfn.STDEV.S(C79:C82)</f>
        <v>4.0824829046386304</v>
      </c>
    </row>
    <row r="102" spans="2:11" x14ac:dyDescent="0.2">
      <c r="B102" t="s">
        <v>42</v>
      </c>
    </row>
    <row r="110" spans="2:11" x14ac:dyDescent="0.2">
      <c r="K110">
        <v>8</v>
      </c>
    </row>
    <row r="112" spans="2:11" x14ac:dyDescent="0.2">
      <c r="K112">
        <f>8/(3-1)</f>
        <v>4</v>
      </c>
    </row>
    <row r="114" spans="11:11" x14ac:dyDescent="0.2">
      <c r="K114">
        <f>8/3</f>
        <v>2.6666666666666665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96C31-AF4A-954C-9237-DA7FF37F60DE}">
  <dimension ref="A1:F28"/>
  <sheetViews>
    <sheetView zoomScale="299" workbookViewId="0">
      <selection activeCell="D9" sqref="D9"/>
    </sheetView>
  </sheetViews>
  <sheetFormatPr baseColWidth="10" defaultRowHeight="16" x14ac:dyDescent="0.2"/>
  <sheetData>
    <row r="1" spans="1:4" x14ac:dyDescent="0.2">
      <c r="A1">
        <v>3</v>
      </c>
      <c r="C1" t="s">
        <v>9</v>
      </c>
      <c r="D1">
        <f>QUARTILE(A1:A10,0)</f>
        <v>3</v>
      </c>
    </row>
    <row r="2" spans="1:4" x14ac:dyDescent="0.2">
      <c r="A2">
        <v>6</v>
      </c>
      <c r="C2" t="s">
        <v>11</v>
      </c>
      <c r="D2">
        <f>QUARTILE(A1:A10,1)</f>
        <v>10.25</v>
      </c>
    </row>
    <row r="3" spans="1:4" x14ac:dyDescent="0.2">
      <c r="A3">
        <v>8</v>
      </c>
      <c r="C3" t="s">
        <v>12</v>
      </c>
      <c r="D3">
        <f>QUARTILE(A1:A10,2)</f>
        <v>19.5</v>
      </c>
    </row>
    <row r="4" spans="1:4" x14ac:dyDescent="0.2">
      <c r="A4">
        <v>22</v>
      </c>
      <c r="C4" t="s">
        <v>13</v>
      </c>
      <c r="D4">
        <f>QUARTILE(A1:A10,3)</f>
        <v>22.75</v>
      </c>
    </row>
    <row r="5" spans="1:4" x14ac:dyDescent="0.2">
      <c r="A5">
        <v>44</v>
      </c>
      <c r="C5" t="s">
        <v>10</v>
      </c>
      <c r="D5">
        <f>QUARTILE(A1:A10,4)</f>
        <v>48</v>
      </c>
    </row>
    <row r="6" spans="1:4" x14ac:dyDescent="0.2">
      <c r="A6">
        <v>19</v>
      </c>
      <c r="C6" t="s">
        <v>4</v>
      </c>
      <c r="D6">
        <f>D4-D2</f>
        <v>12.5</v>
      </c>
    </row>
    <row r="7" spans="1:4" x14ac:dyDescent="0.2">
      <c r="A7">
        <v>23</v>
      </c>
    </row>
    <row r="8" spans="1:4" x14ac:dyDescent="0.2">
      <c r="A8">
        <v>20</v>
      </c>
    </row>
    <row r="9" spans="1:4" x14ac:dyDescent="0.2">
      <c r="A9">
        <v>17</v>
      </c>
    </row>
    <row r="10" spans="1:4" x14ac:dyDescent="0.2">
      <c r="A10">
        <v>48</v>
      </c>
      <c r="C10">
        <f>LARGE(A1:A10,4)</f>
        <v>22</v>
      </c>
    </row>
    <row r="13" spans="1:4" x14ac:dyDescent="0.2">
      <c r="B13">
        <f>PERCENTILE(A1:A10,0.75)</f>
        <v>22.75</v>
      </c>
      <c r="D13" t="s">
        <v>36</v>
      </c>
    </row>
    <row r="15" spans="1:4" x14ac:dyDescent="0.2">
      <c r="D15" t="s">
        <v>24</v>
      </c>
    </row>
    <row r="16" spans="1:4" x14ac:dyDescent="0.2">
      <c r="A16" s="3">
        <v>3</v>
      </c>
      <c r="C16" t="s">
        <v>9</v>
      </c>
      <c r="D16">
        <f>QUARTILE(A16:A25,0)</f>
        <v>3</v>
      </c>
    </row>
    <row r="17" spans="1:6" x14ac:dyDescent="0.2">
      <c r="A17" s="3">
        <v>6</v>
      </c>
      <c r="C17" t="s">
        <v>11</v>
      </c>
      <c r="D17">
        <f>QUARTILE(A16:A25,1)</f>
        <v>10.25</v>
      </c>
      <c r="E17">
        <f>_xlfn.QUARTILE.EXC(A16:A25,1)</f>
        <v>7.5</v>
      </c>
      <c r="F17">
        <f>_xlfn.QUARTILE.INC(A16:A25,1)</f>
        <v>10.25</v>
      </c>
    </row>
    <row r="18" spans="1:6" x14ac:dyDescent="0.2">
      <c r="A18" s="3">
        <v>8</v>
      </c>
      <c r="C18" t="s">
        <v>12</v>
      </c>
      <c r="D18">
        <f>QUARTILE(A16:A25,2)</f>
        <v>19.5</v>
      </c>
      <c r="E18">
        <f>_xlfn.QUARTILE.EXC(A16:A25,2)</f>
        <v>19.5</v>
      </c>
      <c r="F18">
        <f>_xlfn.QUARTILE.INC(A16:A25,2)</f>
        <v>19.5</v>
      </c>
    </row>
    <row r="19" spans="1:6" x14ac:dyDescent="0.2">
      <c r="A19" s="3">
        <v>22</v>
      </c>
      <c r="C19" t="s">
        <v>13</v>
      </c>
      <c r="D19">
        <f>QUARTILE(A16:A25,3)</f>
        <v>22.75</v>
      </c>
      <c r="E19">
        <f>_xlfn.QUARTILE.EXC(A16:A25,3)</f>
        <v>28.25</v>
      </c>
      <c r="F19">
        <f>_xlfn.QUARTILE.INC(A16:A25,3)</f>
        <v>22.75</v>
      </c>
    </row>
    <row r="20" spans="1:6" x14ac:dyDescent="0.2">
      <c r="A20" s="3">
        <v>44</v>
      </c>
      <c r="C20" t="s">
        <v>10</v>
      </c>
      <c r="D20">
        <f>QUARTILE(A16:A25,4)</f>
        <v>48</v>
      </c>
    </row>
    <row r="21" spans="1:6" x14ac:dyDescent="0.2">
      <c r="A21" s="3">
        <v>19</v>
      </c>
      <c r="C21" t="s">
        <v>4</v>
      </c>
      <c r="D21">
        <f>D19-D17</f>
        <v>12.5</v>
      </c>
    </row>
    <row r="22" spans="1:6" x14ac:dyDescent="0.2">
      <c r="A22" s="3">
        <v>23</v>
      </c>
    </row>
    <row r="23" spans="1:6" x14ac:dyDescent="0.2">
      <c r="A23" s="3">
        <v>20</v>
      </c>
    </row>
    <row r="24" spans="1:6" x14ac:dyDescent="0.2">
      <c r="A24" s="3">
        <v>17</v>
      </c>
      <c r="C24" t="s">
        <v>28</v>
      </c>
      <c r="D24">
        <f>RANK(22,A16:A25)</f>
        <v>4</v>
      </c>
      <c r="E24">
        <f>RANK(22,A16:A25,1)</f>
        <v>7</v>
      </c>
    </row>
    <row r="25" spans="1:6" x14ac:dyDescent="0.2">
      <c r="A25" s="3">
        <v>48</v>
      </c>
    </row>
    <row r="26" spans="1:6" x14ac:dyDescent="0.2">
      <c r="C26" t="s">
        <v>31</v>
      </c>
      <c r="D26">
        <f>RANK(23,A16:A25)</f>
        <v>3</v>
      </c>
      <c r="E26">
        <f>RANK(23,A16:A25,1)</f>
        <v>8</v>
      </c>
    </row>
    <row r="28" spans="1:6" x14ac:dyDescent="0.2">
      <c r="C28">
        <f>MAX(A16:A25)</f>
        <v>48</v>
      </c>
      <c r="E28">
        <f>MIN(A16:A25)</f>
        <v>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94D2-8394-C740-B915-555135ED7FD3}">
  <dimension ref="B3:H46"/>
  <sheetViews>
    <sheetView tabSelected="1" topLeftCell="A35" zoomScale="223" workbookViewId="0">
      <selection activeCell="B47" sqref="B47"/>
    </sheetView>
  </sheetViews>
  <sheetFormatPr baseColWidth="10" defaultRowHeight="16" x14ac:dyDescent="0.2"/>
  <sheetData>
    <row r="3" spans="2:6" x14ac:dyDescent="0.2">
      <c r="B3" s="2" t="s">
        <v>14</v>
      </c>
      <c r="D3" t="s">
        <v>15</v>
      </c>
    </row>
    <row r="5" spans="2:6" x14ac:dyDescent="0.2">
      <c r="B5" s="4" t="s">
        <v>16</v>
      </c>
      <c r="D5" t="s">
        <v>17</v>
      </c>
    </row>
    <row r="8" spans="2:6" x14ac:dyDescent="0.2">
      <c r="B8" t="s">
        <v>18</v>
      </c>
      <c r="D8" t="s">
        <v>20</v>
      </c>
      <c r="F8" t="s">
        <v>27</v>
      </c>
    </row>
    <row r="10" spans="2:6" x14ac:dyDescent="0.2">
      <c r="B10" s="2" t="s">
        <v>19</v>
      </c>
      <c r="D10" t="s">
        <v>21</v>
      </c>
      <c r="F10" t="s">
        <v>23</v>
      </c>
    </row>
    <row r="12" spans="2:6" x14ac:dyDescent="0.2">
      <c r="B12" t="s">
        <v>25</v>
      </c>
      <c r="F12" t="s">
        <v>22</v>
      </c>
    </row>
    <row r="14" spans="2:6" x14ac:dyDescent="0.2">
      <c r="B14" s="4" t="s">
        <v>26</v>
      </c>
      <c r="F14" t="s">
        <v>23</v>
      </c>
    </row>
    <row r="18" spans="2:4" x14ac:dyDescent="0.2">
      <c r="B18" t="s">
        <v>29</v>
      </c>
      <c r="D18" t="s">
        <v>30</v>
      </c>
    </row>
    <row r="20" spans="2:4" x14ac:dyDescent="0.2">
      <c r="B20" t="s">
        <v>32</v>
      </c>
      <c r="D20" t="s">
        <v>33</v>
      </c>
    </row>
    <row r="22" spans="2:4" x14ac:dyDescent="0.2">
      <c r="B22" t="s">
        <v>34</v>
      </c>
      <c r="D22" t="s">
        <v>35</v>
      </c>
    </row>
    <row r="25" spans="2:4" x14ac:dyDescent="0.2">
      <c r="B25" t="s">
        <v>37</v>
      </c>
      <c r="D25" t="s">
        <v>38</v>
      </c>
    </row>
    <row r="27" spans="2:4" x14ac:dyDescent="0.2">
      <c r="B27" t="s">
        <v>39</v>
      </c>
      <c r="D27" t="s">
        <v>40</v>
      </c>
    </row>
    <row r="30" spans="2:4" x14ac:dyDescent="0.2">
      <c r="D30" t="s">
        <v>41</v>
      </c>
    </row>
    <row r="33" spans="2:8" x14ac:dyDescent="0.2">
      <c r="B33" t="s">
        <v>42</v>
      </c>
    </row>
    <row r="35" spans="2:8" x14ac:dyDescent="0.2">
      <c r="B35" t="s">
        <v>43</v>
      </c>
      <c r="C35" t="s">
        <v>44</v>
      </c>
    </row>
    <row r="37" spans="2:8" x14ac:dyDescent="0.2">
      <c r="B37" t="s">
        <v>45</v>
      </c>
      <c r="C37" t="s">
        <v>46</v>
      </c>
    </row>
    <row r="41" spans="2:8" x14ac:dyDescent="0.2">
      <c r="B41" t="s">
        <v>47</v>
      </c>
      <c r="C41" t="s">
        <v>48</v>
      </c>
      <c r="F41" t="s">
        <v>51</v>
      </c>
      <c r="H41" t="s">
        <v>53</v>
      </c>
    </row>
    <row r="43" spans="2:8" x14ac:dyDescent="0.2">
      <c r="B43" t="s">
        <v>49</v>
      </c>
      <c r="C43" t="s">
        <v>50</v>
      </c>
      <c r="F43" t="s">
        <v>52</v>
      </c>
    </row>
    <row r="46" spans="2:8" x14ac:dyDescent="0.2">
      <c r="C46">
        <f>RANK(22,Sheet2!A1:A10)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2025-11-29T15:45:15Z</dcterms:created>
  <dcterms:modified xsi:type="dcterms:W3CDTF">2025-11-29T17:36:59Z</dcterms:modified>
</cp:coreProperties>
</file>