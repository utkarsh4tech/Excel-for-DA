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6610BEB8-AE18-F344-9EB4-6AB5323D6FEC}" xr6:coauthVersionLast="47" xr6:coauthVersionMax="47" xr10:uidLastSave="{00000000-0000-0000-0000-000000000000}"/>
  <bookViews>
    <workbookView xWindow="0" yWindow="600" windowWidth="28800" windowHeight="17400" activeTab="2" xr2:uid="{821CF553-BAE1-DA43-ABE0-2C7C8FDC2375}"/>
  </bookViews>
  <sheets>
    <sheet name="agenda" sheetId="1" r:id="rId1"/>
    <sheet name="FLASHFILL" sheetId="2" r:id="rId2"/>
    <sheet name="COUNTIF(S)" sheetId="3" r:id="rId3"/>
    <sheet name="SUMIF(S)" sheetId="4" r:id="rId4"/>
    <sheet name="AVERAGEIF(S)" sheetId="5" r:id="rId5"/>
    <sheet name="LARGE_SMAL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6" l="1"/>
  <c r="D22" i="6"/>
  <c r="D23" i="6"/>
  <c r="D24" i="6"/>
  <c r="D25" i="6"/>
  <c r="D26" i="6"/>
  <c r="D27" i="6"/>
  <c r="D28" i="6"/>
  <c r="D29" i="6"/>
  <c r="D30" i="6"/>
  <c r="F21" i="6"/>
  <c r="E5" i="6"/>
  <c r="E15" i="6"/>
  <c r="E13" i="6"/>
  <c r="C15" i="6"/>
  <c r="C13" i="6"/>
  <c r="C5" i="6"/>
  <c r="G12" i="5"/>
  <c r="F12" i="5"/>
  <c r="F7" i="5"/>
  <c r="G7" i="5"/>
  <c r="F42" i="4"/>
  <c r="G42" i="4"/>
  <c r="E29" i="4"/>
  <c r="D29" i="4"/>
  <c r="E26" i="4"/>
  <c r="D26" i="4"/>
  <c r="D21" i="4"/>
  <c r="E21" i="4"/>
  <c r="C32" i="3"/>
  <c r="D34" i="3"/>
  <c r="D32" i="3"/>
  <c r="D25" i="3"/>
  <c r="C25" i="3"/>
  <c r="D22" i="3"/>
  <c r="C22" i="3"/>
</calcChain>
</file>

<file path=xl/sharedStrings.xml><?xml version="1.0" encoding="utf-8"?>
<sst xmlns="http://schemas.openxmlformats.org/spreadsheetml/2006/main" count="157" uniqueCount="100">
  <si>
    <t>FLASH FILL</t>
  </si>
  <si>
    <t>COUNTING</t>
  </si>
  <si>
    <t>COUNT</t>
  </si>
  <si>
    <r>
      <t xml:space="preserve">Counts the </t>
    </r>
    <r>
      <rPr>
        <b/>
        <sz val="12"/>
        <color rgb="FF000000"/>
        <rFont val="Aptos Narrow"/>
        <scheme val="minor"/>
      </rPr>
      <t>number</t>
    </r>
    <r>
      <rPr>
        <sz val="12"/>
        <color rgb="FF000000"/>
        <rFont val="Aptos Narrow"/>
        <family val="2"/>
        <scheme val="minor"/>
      </rPr>
      <t xml:space="preserve"> of cells in a range that contain numbers.</t>
    </r>
  </si>
  <si>
    <t>COUNTA</t>
  </si>
  <si>
    <t>COUNT the cells which are not empty</t>
  </si>
  <si>
    <t>COUNTBLANK</t>
  </si>
  <si>
    <t>COUNT only empty/blank cells</t>
  </si>
  <si>
    <t>COUNTIF</t>
  </si>
  <si>
    <t>COUNT only when a condition is met</t>
  </si>
  <si>
    <t>COUNTIFS</t>
  </si>
  <si>
    <t>COUNT only when all (multiple) condition is met</t>
  </si>
  <si>
    <t>F_name</t>
  </si>
  <si>
    <t>M_name</t>
  </si>
  <si>
    <t>L_name</t>
  </si>
  <si>
    <t>Demo_1</t>
  </si>
  <si>
    <t>Sdemo_1</t>
  </si>
  <si>
    <t>Demo_2</t>
  </si>
  <si>
    <t>dowa</t>
  </si>
  <si>
    <t>Sdemo_2</t>
  </si>
  <si>
    <t>Demo_3</t>
  </si>
  <si>
    <t>Sdemo_3</t>
  </si>
  <si>
    <t>Demo_4</t>
  </si>
  <si>
    <t>singh</t>
  </si>
  <si>
    <t>Sdemo_4</t>
  </si>
  <si>
    <t>Demo_5</t>
  </si>
  <si>
    <t>Sdemo_5</t>
  </si>
  <si>
    <t>demo_1.Sdemo_1@company.com</t>
  </si>
  <si>
    <t>demo_2_dowa.Sdemo_2@company.com</t>
  </si>
  <si>
    <t>demo_3.Sdemo_3@company.com</t>
  </si>
  <si>
    <t>demo_5.Sdemo_5@company.com</t>
  </si>
  <si>
    <t>utkarsh.sahu@company.com</t>
  </si>
  <si>
    <t>demo.demoS@company.com</t>
  </si>
  <si>
    <t>fname.sname@company.com</t>
  </si>
  <si>
    <t xml:space="preserve">utkarsh </t>
  </si>
  <si>
    <t>sahu</t>
  </si>
  <si>
    <t>demo</t>
  </si>
  <si>
    <t>fname</t>
  </si>
  <si>
    <t>demoS</t>
  </si>
  <si>
    <t>sname</t>
  </si>
  <si>
    <t>Email</t>
  </si>
  <si>
    <t>demo_4_singh.Sdemo_4@company.com</t>
  </si>
  <si>
    <t>CONDITIONAL COUNTING</t>
  </si>
  <si>
    <t>STATE</t>
  </si>
  <si>
    <t>Salary</t>
  </si>
  <si>
    <t>AGE</t>
  </si>
  <si>
    <t>MH</t>
  </si>
  <si>
    <t>UP</t>
  </si>
  <si>
    <t>BH</t>
  </si>
  <si>
    <t>PU</t>
  </si>
  <si>
    <t>TN</t>
  </si>
  <si>
    <t>RANGE</t>
  </si>
  <si>
    <t>CRITERIA</t>
  </si>
  <si>
    <t>WHERE you want to check the cond</t>
  </si>
  <si>
    <t>WHAT you want to check</t>
  </si>
  <si>
    <t>What is the number of people from "MH"</t>
  </si>
  <si>
    <t xml:space="preserve">Count of people &lt;18 Years </t>
  </si>
  <si>
    <t>COUNT number of people in MH who are &lt;18</t>
  </si>
  <si>
    <t>pu</t>
  </si>
  <si>
    <t>COUNT people from UP having salary &gt;5000</t>
  </si>
  <si>
    <t>CONDITIONAL SUM</t>
  </si>
  <si>
    <t>SUMIF</t>
  </si>
  <si>
    <t>SUMIFS</t>
  </si>
  <si>
    <t>SUM only when a condition is met</t>
  </si>
  <si>
    <t>SUM only when all (multiple) condition is met</t>
  </si>
  <si>
    <t>SUM_RANGE</t>
  </si>
  <si>
    <t>Where is the condition to be checked</t>
  </si>
  <si>
    <t>the condition to check</t>
  </si>
  <si>
    <t>is option, but the range you want to add</t>
  </si>
  <si>
    <t>SUM OF salary of people from UP</t>
  </si>
  <si>
    <t>SUM OF AGE for PEOPLE &lt;18</t>
  </si>
  <si>
    <t>SUM OF SALARY of people who are &gt;=18</t>
  </si>
  <si>
    <t>over</t>
  </si>
  <si>
    <t>SUM OF SALARY of people who are &gt;=18 and from UP</t>
  </si>
  <si>
    <t>CONDITIONAL MEAN</t>
  </si>
  <si>
    <t>AVERAGEIF</t>
  </si>
  <si>
    <t>AVERAGEIFS</t>
  </si>
  <si>
    <t>AVERAGE only when a condition is met</t>
  </si>
  <si>
    <t>AVERAGE only when all (multiple) condition is met</t>
  </si>
  <si>
    <t>AVERAGE OF SALARY of people who are &gt;=18</t>
  </si>
  <si>
    <t>AVERAGE SALARY of a person from MH earning &gt;5000</t>
  </si>
  <si>
    <t>LARGE</t>
  </si>
  <si>
    <t>LARGE &amp; SMALL</t>
  </si>
  <si>
    <t>4th Highest Salary</t>
  </si>
  <si>
    <t>for Kth Largest</t>
  </si>
  <si>
    <t>SMALL</t>
  </si>
  <si>
    <t>for Kth Smallest</t>
  </si>
  <si>
    <t>ARRAY</t>
  </si>
  <si>
    <t>K</t>
  </si>
  <si>
    <t>Where you want to get the Kth Largest</t>
  </si>
  <si>
    <t>the Kth Largest you want</t>
  </si>
  <si>
    <t>MAX</t>
  </si>
  <si>
    <t>Maximum</t>
  </si>
  <si>
    <t>MIN</t>
  </si>
  <si>
    <t>Minimum</t>
  </si>
  <si>
    <t>RANK</t>
  </si>
  <si>
    <t>to get the RANK</t>
  </si>
  <si>
    <t>NUM</t>
  </si>
  <si>
    <t>The array in which Rank is to Be calc</t>
  </si>
  <si>
    <t>Asc/Desc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</si>
</sst>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1"/>
    <xf numFmtId="0" fontId="6" fillId="0" borderId="1" xfId="0" applyFont="1" applyBorder="1"/>
    <xf numFmtId="0" fontId="6" fillId="4" borderId="1" xfId="0" applyFont="1" applyFill="1" applyBorder="1"/>
    <xf numFmtId="0" fontId="7" fillId="0" borderId="0" xfId="0" applyFont="1"/>
    <xf numFmtId="0" fontId="0" fillId="4" borderId="1" xfId="0" applyFill="1" applyBorder="1"/>
    <xf numFmtId="0" fontId="0" fillId="0" borderId="1" xfId="0" applyBorder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798966</xdr:colOff>
      <xdr:row>8</xdr:row>
      <xdr:rowOff>97037</xdr:rowOff>
    </xdr:from>
    <xdr:to>
      <xdr:col>6</xdr:col>
      <xdr:colOff>793005</xdr:colOff>
      <xdr:row>12</xdr:row>
      <xdr:rowOff>146973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486007-3D19-D402-8327-F264472B2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90234" y="1718821"/>
          <a:ext cx="1639672" cy="860828"/>
        </a:xfrm>
        <a:prstGeom prst="rect">
          <a:avLst/>
        </a:prstGeom>
      </xdr:spPr>
    </xdr:pic>
    <xdr:clientData/>
  </xdr:twoCellAnchor>
  <xdr:twoCellAnchor editAs="oneCell">
    <xdr:from>
      <xdr:col>5</xdr:col>
      <xdr:colOff>661830</xdr:colOff>
      <xdr:row>27</xdr:row>
      <xdr:rowOff>112750</xdr:rowOff>
    </xdr:from>
    <xdr:to>
      <xdr:col>9</xdr:col>
      <xdr:colOff>31360</xdr:colOff>
      <xdr:row>30</xdr:row>
      <xdr:rowOff>139996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7CD5D5-8E30-8A49-EB0B-BC175CB47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75915" y="5586271"/>
          <a:ext cx="2660797" cy="6354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114300</xdr:colOff>
      <xdr:row>8</xdr:row>
      <xdr:rowOff>114300</xdr:rowOff>
    </xdr:from>
    <xdr:to>
      <xdr:col>7</xdr:col>
      <xdr:colOff>577850</xdr:colOff>
      <xdr:row>12</xdr:row>
      <xdr:rowOff>26245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1DCC73-92E7-0E69-D7B2-6DDE018E5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1800" y="1739900"/>
          <a:ext cx="2114550" cy="724745"/>
        </a:xfrm>
        <a:prstGeom prst="rect">
          <a:avLst/>
        </a:prstGeom>
      </xdr:spPr>
    </xdr:pic>
    <xdr:clientData/>
  </xdr:twoCellAnchor>
  <xdr:twoCellAnchor editAs="oneCell">
    <xdr:from>
      <xdr:col>4</xdr:col>
      <xdr:colOff>819150</xdr:colOff>
      <xdr:row>34</xdr:row>
      <xdr:rowOff>96776</xdr:rowOff>
    </xdr:from>
    <xdr:to>
      <xdr:col>7</xdr:col>
      <xdr:colOff>679450</xdr:colOff>
      <xdr:row>37</xdr:row>
      <xdr:rowOff>158749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710524-3F53-40D3-4D26-57B77082A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1150" y="7005576"/>
          <a:ext cx="2336800" cy="67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emo_5.Sdemo_5@company.com" TargetMode="External"/><Relationship Id="rId3" Type="http://schemas.openxmlformats.org/officeDocument/2006/relationships/hyperlink" Target="mailto:fname.sname@company.com" TargetMode="External"/><Relationship Id="rId7" Type="http://schemas.openxmlformats.org/officeDocument/2006/relationships/hyperlink" Target="mailto:demo_4_singh.Sdemo_4@company.com" TargetMode="External"/><Relationship Id="rId2" Type="http://schemas.openxmlformats.org/officeDocument/2006/relationships/hyperlink" Target="mailto:demo.demoS@company.com" TargetMode="External"/><Relationship Id="rId1" Type="http://schemas.openxmlformats.org/officeDocument/2006/relationships/hyperlink" Target="mailto:utkarsh.sahu@company.com" TargetMode="External"/><Relationship Id="rId6" Type="http://schemas.openxmlformats.org/officeDocument/2006/relationships/hyperlink" Target="mailto:demo_3.Sdemo_3@company.com" TargetMode="External"/><Relationship Id="rId5" Type="http://schemas.openxmlformats.org/officeDocument/2006/relationships/hyperlink" Target="mailto:demo_2_dowa.Sdemo_2@company.com" TargetMode="External"/><Relationship Id="rId4" Type="http://schemas.openxmlformats.org/officeDocument/2006/relationships/hyperlink" Target="mailto:demo_1.Sdemo_1@company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878F-4045-E14F-806F-8C1AC2F23392}">
  <dimension ref="A4:H64"/>
  <sheetViews>
    <sheetView topLeftCell="A56" zoomScale="265" workbookViewId="0">
      <selection activeCell="D65" sqref="D65"/>
    </sheetView>
  </sheetViews>
  <sheetFormatPr baseColWidth="10" defaultRowHeight="16" x14ac:dyDescent="0.2"/>
  <sheetData>
    <row r="4" spans="1:8" x14ac:dyDescent="0.2">
      <c r="C4" t="s">
        <v>0</v>
      </c>
    </row>
    <row r="9" spans="1:8" x14ac:dyDescent="0.2">
      <c r="A9" s="1"/>
      <c r="B9" s="1"/>
      <c r="C9" s="1"/>
      <c r="D9" s="1"/>
      <c r="E9" s="1"/>
      <c r="F9" s="1"/>
      <c r="G9" s="1"/>
      <c r="H9" s="1"/>
    </row>
    <row r="11" spans="1:8" x14ac:dyDescent="0.2">
      <c r="B11" s="2" t="s">
        <v>1</v>
      </c>
      <c r="C11" s="3"/>
      <c r="D11" s="3"/>
    </row>
    <row r="12" spans="1:8" x14ac:dyDescent="0.2">
      <c r="B12" s="3"/>
      <c r="C12" s="3"/>
      <c r="D12" s="3"/>
    </row>
    <row r="13" spans="1:8" x14ac:dyDescent="0.2">
      <c r="B13" s="3" t="s">
        <v>2</v>
      </c>
      <c r="C13" s="3"/>
      <c r="D13" s="3" t="s">
        <v>3</v>
      </c>
    </row>
    <row r="14" spans="1:8" x14ac:dyDescent="0.2">
      <c r="B14" s="3"/>
      <c r="C14" s="3"/>
      <c r="D14" s="3"/>
    </row>
    <row r="15" spans="1:8" x14ac:dyDescent="0.2">
      <c r="B15" s="3" t="s">
        <v>4</v>
      </c>
      <c r="C15" s="3"/>
      <c r="D15" s="4" t="s">
        <v>5</v>
      </c>
    </row>
    <row r="16" spans="1:8" x14ac:dyDescent="0.2">
      <c r="B16" s="3"/>
      <c r="C16" s="3"/>
      <c r="D16" s="3"/>
    </row>
    <row r="17" spans="1:7" x14ac:dyDescent="0.2">
      <c r="B17" s="3" t="s">
        <v>6</v>
      </c>
      <c r="C17" s="3"/>
      <c r="D17" s="3" t="s">
        <v>7</v>
      </c>
    </row>
    <row r="18" spans="1:7" x14ac:dyDescent="0.2">
      <c r="B18" s="3"/>
      <c r="C18" s="3"/>
      <c r="D18" s="3"/>
    </row>
    <row r="19" spans="1:7" x14ac:dyDescent="0.2">
      <c r="B19" s="3" t="s">
        <v>8</v>
      </c>
      <c r="C19" s="3"/>
      <c r="D19" s="3" t="s">
        <v>9</v>
      </c>
    </row>
    <row r="20" spans="1:7" x14ac:dyDescent="0.2">
      <c r="B20" s="3"/>
      <c r="C20" s="3"/>
      <c r="D20" s="3"/>
    </row>
    <row r="21" spans="1:7" x14ac:dyDescent="0.2">
      <c r="B21" s="3" t="s">
        <v>10</v>
      </c>
      <c r="C21" s="3"/>
      <c r="D21" s="3" t="s">
        <v>11</v>
      </c>
    </row>
    <row r="22" spans="1:7" x14ac:dyDescent="0.2">
      <c r="B22" s="3"/>
      <c r="C22" s="3"/>
      <c r="D22" s="3"/>
    </row>
    <row r="24" spans="1:7" x14ac:dyDescent="0.2">
      <c r="A24" s="1"/>
      <c r="B24" s="1"/>
      <c r="C24" s="1"/>
      <c r="D24" s="1"/>
      <c r="E24" s="1"/>
      <c r="F24" s="1"/>
      <c r="G24" s="1"/>
    </row>
    <row r="26" spans="1:7" x14ac:dyDescent="0.2">
      <c r="B26" t="s">
        <v>60</v>
      </c>
    </row>
    <row r="29" spans="1:7" x14ac:dyDescent="0.2">
      <c r="B29" s="3" t="s">
        <v>61</v>
      </c>
      <c r="C29" s="3"/>
      <c r="D29" s="3" t="s">
        <v>63</v>
      </c>
    </row>
    <row r="30" spans="1:7" x14ac:dyDescent="0.2">
      <c r="B30" s="3"/>
      <c r="C30" s="3"/>
      <c r="D30" s="3"/>
    </row>
    <row r="31" spans="1:7" x14ac:dyDescent="0.2">
      <c r="B31" s="3" t="s">
        <v>62</v>
      </c>
      <c r="C31" s="3"/>
      <c r="D31" s="3" t="s">
        <v>64</v>
      </c>
    </row>
    <row r="34" spans="1:8" x14ac:dyDescent="0.2">
      <c r="A34" s="1"/>
      <c r="B34" s="1"/>
      <c r="C34" s="1"/>
      <c r="D34" s="1"/>
      <c r="E34" s="1"/>
      <c r="F34" s="1"/>
      <c r="G34" s="1"/>
      <c r="H34" s="1"/>
    </row>
    <row r="37" spans="1:8" x14ac:dyDescent="0.2">
      <c r="B37" t="s">
        <v>74</v>
      </c>
    </row>
    <row r="40" spans="1:8" x14ac:dyDescent="0.2">
      <c r="B40" s="3" t="s">
        <v>75</v>
      </c>
      <c r="C40" s="3"/>
      <c r="D40" s="3" t="s">
        <v>77</v>
      </c>
    </row>
    <row r="41" spans="1:8" x14ac:dyDescent="0.2">
      <c r="B41" s="3"/>
      <c r="C41" s="3"/>
      <c r="D41" s="3"/>
    </row>
    <row r="42" spans="1:8" x14ac:dyDescent="0.2">
      <c r="B42" s="3" t="s">
        <v>76</v>
      </c>
      <c r="C42" s="3"/>
      <c r="D42" s="3" t="s">
        <v>78</v>
      </c>
    </row>
    <row r="45" spans="1:8" x14ac:dyDescent="0.2">
      <c r="A45" s="1"/>
      <c r="B45" s="1"/>
      <c r="C45" s="1"/>
      <c r="D45" s="1"/>
      <c r="E45" s="1"/>
      <c r="F45" s="1"/>
      <c r="G45" s="1"/>
    </row>
    <row r="48" spans="1:8" x14ac:dyDescent="0.2">
      <c r="B48" t="s">
        <v>82</v>
      </c>
    </row>
    <row r="50" spans="1:7" x14ac:dyDescent="0.2">
      <c r="B50" t="s">
        <v>81</v>
      </c>
      <c r="D50" t="s">
        <v>84</v>
      </c>
    </row>
    <row r="52" spans="1:7" x14ac:dyDescent="0.2">
      <c r="B52" t="s">
        <v>85</v>
      </c>
      <c r="D52" t="s">
        <v>86</v>
      </c>
    </row>
    <row r="55" spans="1:7" x14ac:dyDescent="0.2">
      <c r="A55" s="1"/>
      <c r="B55" s="1"/>
      <c r="C55" s="1"/>
      <c r="D55" s="1"/>
      <c r="E55" s="1"/>
      <c r="F55" s="1"/>
      <c r="G55" s="1"/>
    </row>
    <row r="58" spans="1:7" x14ac:dyDescent="0.2">
      <c r="B58" t="s">
        <v>91</v>
      </c>
      <c r="D58" t="s">
        <v>92</v>
      </c>
    </row>
    <row r="60" spans="1:7" x14ac:dyDescent="0.2">
      <c r="B60" t="s">
        <v>93</v>
      </c>
      <c r="D60" t="s">
        <v>94</v>
      </c>
    </row>
    <row r="62" spans="1:7" x14ac:dyDescent="0.2">
      <c r="A62" s="1"/>
      <c r="B62" s="1"/>
      <c r="C62" s="1"/>
      <c r="D62" s="1"/>
      <c r="E62" s="1"/>
      <c r="F62" s="1"/>
      <c r="G62" s="1"/>
    </row>
    <row r="64" spans="1:7" x14ac:dyDescent="0.2">
      <c r="B64" t="s">
        <v>95</v>
      </c>
      <c r="D64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7BC4-4A7C-3841-BD67-2BB00856390D}">
  <dimension ref="B2:F12"/>
  <sheetViews>
    <sheetView topLeftCell="B1" zoomScale="280" workbookViewId="0">
      <selection activeCell="G9" sqref="G9"/>
    </sheetView>
  </sheetViews>
  <sheetFormatPr baseColWidth="10" defaultRowHeight="16" x14ac:dyDescent="0.2"/>
  <cols>
    <col min="3" max="3" width="11.33203125" customWidth="1"/>
  </cols>
  <sheetData>
    <row r="2" spans="2:6" x14ac:dyDescent="0.2">
      <c r="B2" s="3"/>
      <c r="C2" s="3" t="s">
        <v>12</v>
      </c>
      <c r="D2" s="3" t="s">
        <v>13</v>
      </c>
      <c r="E2" s="3" t="s">
        <v>14</v>
      </c>
      <c r="F2" s="3" t="s">
        <v>40</v>
      </c>
    </row>
    <row r="3" spans="2:6" x14ac:dyDescent="0.2">
      <c r="B3" s="3"/>
      <c r="C3" s="3" t="s">
        <v>15</v>
      </c>
      <c r="D3" s="3"/>
      <c r="E3" s="3" t="s">
        <v>16</v>
      </c>
      <c r="F3" s="5" t="s">
        <v>27</v>
      </c>
    </row>
    <row r="4" spans="2:6" x14ac:dyDescent="0.2">
      <c r="B4" s="3"/>
      <c r="C4" s="3" t="s">
        <v>17</v>
      </c>
      <c r="D4" s="3" t="s">
        <v>18</v>
      </c>
      <c r="E4" s="3" t="s">
        <v>19</v>
      </c>
      <c r="F4" s="5" t="s">
        <v>28</v>
      </c>
    </row>
    <row r="5" spans="2:6" x14ac:dyDescent="0.2">
      <c r="B5" s="3"/>
      <c r="C5" s="3" t="s">
        <v>20</v>
      </c>
      <c r="D5" s="3"/>
      <c r="E5" s="3" t="s">
        <v>21</v>
      </c>
      <c r="F5" s="5" t="s">
        <v>29</v>
      </c>
    </row>
    <row r="6" spans="2:6" x14ac:dyDescent="0.2">
      <c r="B6" s="3"/>
      <c r="C6" s="3" t="s">
        <v>22</v>
      </c>
      <c r="D6" s="3" t="s">
        <v>23</v>
      </c>
      <c r="E6" s="3" t="s">
        <v>24</v>
      </c>
      <c r="F6" s="5" t="s">
        <v>41</v>
      </c>
    </row>
    <row r="7" spans="2:6" x14ac:dyDescent="0.2">
      <c r="B7" s="3"/>
      <c r="C7" s="3" t="s">
        <v>25</v>
      </c>
      <c r="D7" s="3"/>
      <c r="E7" s="3" t="s">
        <v>26</v>
      </c>
      <c r="F7" s="5" t="s">
        <v>30</v>
      </c>
    </row>
    <row r="10" spans="2:6" x14ac:dyDescent="0.2">
      <c r="C10" s="5" t="s">
        <v>31</v>
      </c>
      <c r="D10" t="s">
        <v>34</v>
      </c>
      <c r="E10" t="s">
        <v>35</v>
      </c>
    </row>
    <row r="11" spans="2:6" x14ac:dyDescent="0.2">
      <c r="C11" s="5" t="s">
        <v>32</v>
      </c>
      <c r="D11" t="s">
        <v>36</v>
      </c>
      <c r="E11" t="s">
        <v>38</v>
      </c>
    </row>
    <row r="12" spans="2:6" x14ac:dyDescent="0.2">
      <c r="C12" s="5" t="s">
        <v>33</v>
      </c>
      <c r="D12" t="s">
        <v>37</v>
      </c>
      <c r="E12" t="s">
        <v>39</v>
      </c>
    </row>
  </sheetData>
  <hyperlinks>
    <hyperlink ref="C10" r:id="rId1" xr:uid="{0E3F3270-60DA-3446-A535-E613A1B656B5}"/>
    <hyperlink ref="C11" r:id="rId2" xr:uid="{0F556C42-06AC-D841-9483-C347C431EF99}"/>
    <hyperlink ref="C12" r:id="rId3" xr:uid="{C4D5F474-8B59-8849-8628-0D73CCA649A3}"/>
    <hyperlink ref="F3" r:id="rId4" xr:uid="{39DF5501-60E7-C042-8109-6C33685180B9}"/>
    <hyperlink ref="F4" r:id="rId5" xr:uid="{FD2E6AB1-CB11-454D-8F5C-A4C047955AB4}"/>
    <hyperlink ref="F5" r:id="rId6" xr:uid="{3E904485-A523-0041-A13A-93E069239082}"/>
    <hyperlink ref="F6" r:id="rId7" xr:uid="{D02FDA2D-0E01-2246-ACB7-9C957BB36F61}"/>
    <hyperlink ref="F7" r:id="rId8" xr:uid="{28747119-D6BB-F24E-AD83-E89871C394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F265F-C1C8-EF4D-B03A-318B8AC02C1B}">
  <dimension ref="A3:H39"/>
  <sheetViews>
    <sheetView tabSelected="1" topLeftCell="A4" zoomScale="213" workbookViewId="0">
      <selection activeCell="B8" sqref="B8:D18"/>
    </sheetView>
  </sheetViews>
  <sheetFormatPr baseColWidth="10" defaultRowHeight="16" x14ac:dyDescent="0.2"/>
  <sheetData>
    <row r="3" spans="2:7" x14ac:dyDescent="0.2">
      <c r="B3" s="11" t="s">
        <v>42</v>
      </c>
      <c r="C3" s="11"/>
      <c r="D3" s="11"/>
    </row>
    <row r="4" spans="2:7" x14ac:dyDescent="0.2">
      <c r="B4" s="11"/>
      <c r="C4" s="11"/>
      <c r="D4" s="11"/>
    </row>
    <row r="8" spans="2:7" x14ac:dyDescent="0.2">
      <c r="B8" s="7" t="s">
        <v>43</v>
      </c>
      <c r="C8" s="7" t="s">
        <v>44</v>
      </c>
      <c r="D8" s="7" t="s">
        <v>45</v>
      </c>
      <c r="F8" t="s">
        <v>8</v>
      </c>
    </row>
    <row r="9" spans="2:7" x14ac:dyDescent="0.2">
      <c r="B9" s="6" t="s">
        <v>46</v>
      </c>
      <c r="C9" s="6">
        <v>4000</v>
      </c>
      <c r="D9" s="6">
        <v>17</v>
      </c>
    </row>
    <row r="10" spans="2:7" x14ac:dyDescent="0.2">
      <c r="B10" s="6" t="s">
        <v>47</v>
      </c>
      <c r="C10" s="6">
        <v>5600</v>
      </c>
      <c r="D10" s="6">
        <v>18</v>
      </c>
    </row>
    <row r="11" spans="2:7" x14ac:dyDescent="0.2">
      <c r="B11" s="6" t="s">
        <v>48</v>
      </c>
      <c r="C11" s="6">
        <v>9700</v>
      </c>
      <c r="D11" s="6">
        <v>19</v>
      </c>
    </row>
    <row r="12" spans="2:7" x14ac:dyDescent="0.2">
      <c r="B12" s="6" t="s">
        <v>49</v>
      </c>
      <c r="C12" s="6">
        <v>4000</v>
      </c>
      <c r="D12" s="6">
        <v>20</v>
      </c>
    </row>
    <row r="13" spans="2:7" x14ac:dyDescent="0.2">
      <c r="B13" s="6" t="s">
        <v>46</v>
      </c>
      <c r="C13" s="6">
        <v>8000</v>
      </c>
      <c r="D13" s="6">
        <v>21</v>
      </c>
    </row>
    <row r="14" spans="2:7" x14ac:dyDescent="0.2">
      <c r="B14" s="6" t="s">
        <v>47</v>
      </c>
      <c r="C14" s="6">
        <v>9000</v>
      </c>
      <c r="D14" s="6">
        <v>17</v>
      </c>
    </row>
    <row r="15" spans="2:7" x14ac:dyDescent="0.2">
      <c r="B15" s="6" t="s">
        <v>48</v>
      </c>
      <c r="C15" s="6">
        <v>15000</v>
      </c>
      <c r="D15" s="6">
        <v>18</v>
      </c>
      <c r="F15" t="s">
        <v>51</v>
      </c>
      <c r="G15" t="s">
        <v>53</v>
      </c>
    </row>
    <row r="16" spans="2:7" x14ac:dyDescent="0.2">
      <c r="B16" s="6" t="s">
        <v>46</v>
      </c>
      <c r="C16" s="6">
        <v>34000</v>
      </c>
      <c r="D16" s="6">
        <v>16</v>
      </c>
      <c r="F16" t="s">
        <v>52</v>
      </c>
      <c r="G16" t="s">
        <v>54</v>
      </c>
    </row>
    <row r="17" spans="2:7" x14ac:dyDescent="0.2">
      <c r="B17" s="6" t="s">
        <v>50</v>
      </c>
      <c r="C17" s="6">
        <v>9000</v>
      </c>
      <c r="D17" s="6">
        <v>20</v>
      </c>
    </row>
    <row r="18" spans="2:7" x14ac:dyDescent="0.2">
      <c r="B18" s="6" t="s">
        <v>46</v>
      </c>
      <c r="C18" s="6">
        <v>9000</v>
      </c>
      <c r="D18" s="6">
        <v>24</v>
      </c>
    </row>
    <row r="21" spans="2:7" x14ac:dyDescent="0.2">
      <c r="C21" t="s">
        <v>55</v>
      </c>
    </row>
    <row r="22" spans="2:7" x14ac:dyDescent="0.2">
      <c r="C22">
        <f>COUNTIF(B9:B18,"MH")</f>
        <v>4</v>
      </c>
      <c r="D22" t="str">
        <f ca="1">_xlfn.FORMULATEXT(C22)</f>
        <v>=COUNTIF(B9:B18,"MH")</v>
      </c>
    </row>
    <row r="24" spans="2:7" x14ac:dyDescent="0.2">
      <c r="C24" t="s">
        <v>56</v>
      </c>
    </row>
    <row r="25" spans="2:7" x14ac:dyDescent="0.2">
      <c r="C25">
        <f>COUNTIF(D9:D18,"&lt;18")</f>
        <v>3</v>
      </c>
      <c r="D25" t="str">
        <f ca="1">_xlfn.FORMULATEXT(C25)</f>
        <v>=COUNTIF(D9:D18,"&lt;18")</v>
      </c>
    </row>
    <row r="27" spans="2:7" x14ac:dyDescent="0.2">
      <c r="G27" t="s">
        <v>10</v>
      </c>
    </row>
    <row r="28" spans="2:7" x14ac:dyDescent="0.2">
      <c r="C28" t="s">
        <v>58</v>
      </c>
      <c r="D28">
        <v>24</v>
      </c>
    </row>
    <row r="30" spans="2:7" x14ac:dyDescent="0.2">
      <c r="C30" t="s">
        <v>57</v>
      </c>
    </row>
    <row r="32" spans="2:7" x14ac:dyDescent="0.2">
      <c r="C32">
        <f>COUNTIFS(B9:B18,"MH",D9:D18,"&lt;"&amp;D28)</f>
        <v>3</v>
      </c>
      <c r="D32" t="str">
        <f ca="1">_xlfn.FORMULATEXT(C32)</f>
        <v>=COUNTIFS(B9:B18,"MH",D9:D18,"&lt;"&amp;D28)</v>
      </c>
    </row>
    <row r="34" spans="1:8" x14ac:dyDescent="0.2">
      <c r="D34" t="str">
        <f>"&lt;"&amp;D28</f>
        <v>&lt;24</v>
      </c>
    </row>
    <row r="36" spans="1:8" x14ac:dyDescent="0.2">
      <c r="C36" t="s">
        <v>59</v>
      </c>
    </row>
    <row r="39" spans="1:8" x14ac:dyDescent="0.2">
      <c r="A39" s="1"/>
      <c r="B39" s="1"/>
      <c r="C39" s="1"/>
      <c r="D39" s="1"/>
      <c r="E39" s="1"/>
      <c r="F39" s="1"/>
      <c r="G39" s="1"/>
      <c r="H39" s="1"/>
    </row>
  </sheetData>
  <mergeCells count="1">
    <mergeCell ref="B3:D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80570-1BC4-7A46-835C-BA4885E36850}">
  <dimension ref="B3:H50"/>
  <sheetViews>
    <sheetView topLeftCell="A30" zoomScale="200" workbookViewId="0">
      <selection activeCell="D29" sqref="D29"/>
    </sheetView>
  </sheetViews>
  <sheetFormatPr baseColWidth="10" defaultRowHeight="16" x14ac:dyDescent="0.2"/>
  <sheetData>
    <row r="3" spans="2:8" ht="16" customHeight="1" x14ac:dyDescent="0.35">
      <c r="B3" s="12" t="s">
        <v>60</v>
      </c>
      <c r="C3" s="12"/>
      <c r="D3" s="12"/>
      <c r="E3" s="8"/>
    </row>
    <row r="4" spans="2:8" ht="16" customHeight="1" x14ac:dyDescent="0.35">
      <c r="B4" s="12"/>
      <c r="C4" s="12"/>
      <c r="D4" s="12"/>
      <c r="E4" s="8"/>
    </row>
    <row r="7" spans="2:8" x14ac:dyDescent="0.2">
      <c r="B7" s="7" t="s">
        <v>43</v>
      </c>
      <c r="C7" s="7" t="s">
        <v>44</v>
      </c>
      <c r="D7" s="7" t="s">
        <v>45</v>
      </c>
    </row>
    <row r="8" spans="2:8" x14ac:dyDescent="0.2">
      <c r="B8" s="6" t="s">
        <v>46</v>
      </c>
      <c r="C8" s="6">
        <v>4000</v>
      </c>
      <c r="D8" s="6">
        <v>17</v>
      </c>
      <c r="F8" t="s">
        <v>61</v>
      </c>
    </row>
    <row r="9" spans="2:8" x14ac:dyDescent="0.2">
      <c r="B9" s="6" t="s">
        <v>47</v>
      </c>
      <c r="C9" s="6">
        <v>5600</v>
      </c>
      <c r="D9" s="6">
        <v>18</v>
      </c>
    </row>
    <row r="10" spans="2:8" x14ac:dyDescent="0.2">
      <c r="B10" s="6" t="s">
        <v>48</v>
      </c>
      <c r="C10" s="6">
        <v>9700</v>
      </c>
      <c r="D10" s="6">
        <v>19</v>
      </c>
    </row>
    <row r="11" spans="2:8" x14ac:dyDescent="0.2">
      <c r="B11" s="6" t="s">
        <v>49</v>
      </c>
      <c r="C11" s="6">
        <v>4000</v>
      </c>
      <c r="D11" s="6">
        <v>20</v>
      </c>
    </row>
    <row r="12" spans="2:8" x14ac:dyDescent="0.2">
      <c r="B12" s="6" t="s">
        <v>46</v>
      </c>
      <c r="C12" s="6">
        <v>8000</v>
      </c>
      <c r="D12" s="6">
        <v>21</v>
      </c>
    </row>
    <row r="13" spans="2:8" x14ac:dyDescent="0.2">
      <c r="B13" s="6" t="s">
        <v>47</v>
      </c>
      <c r="C13" s="6">
        <v>9000</v>
      </c>
      <c r="D13" s="6">
        <v>17</v>
      </c>
    </row>
    <row r="14" spans="2:8" x14ac:dyDescent="0.2">
      <c r="B14" s="6" t="s">
        <v>48</v>
      </c>
      <c r="C14" s="6">
        <v>15000</v>
      </c>
      <c r="D14" s="6">
        <v>18</v>
      </c>
      <c r="F14" t="s">
        <v>51</v>
      </c>
      <c r="H14" s="3" t="s">
        <v>66</v>
      </c>
    </row>
    <row r="15" spans="2:8" x14ac:dyDescent="0.2">
      <c r="B15" s="6" t="s">
        <v>46</v>
      </c>
      <c r="C15" s="6">
        <v>34000</v>
      </c>
      <c r="D15" s="6">
        <v>16</v>
      </c>
      <c r="F15" t="s">
        <v>52</v>
      </c>
      <c r="H15" s="3" t="s">
        <v>67</v>
      </c>
    </row>
    <row r="16" spans="2:8" x14ac:dyDescent="0.2">
      <c r="B16" s="6" t="s">
        <v>50</v>
      </c>
      <c r="C16" s="6">
        <v>9000</v>
      </c>
      <c r="D16" s="6">
        <v>20</v>
      </c>
      <c r="F16" t="s">
        <v>65</v>
      </c>
      <c r="H16" s="3" t="s">
        <v>68</v>
      </c>
    </row>
    <row r="17" spans="2:8" x14ac:dyDescent="0.2">
      <c r="B17" s="6" t="s">
        <v>46</v>
      </c>
      <c r="C17" s="6">
        <v>9000</v>
      </c>
      <c r="D17" s="6">
        <v>24</v>
      </c>
      <c r="H17" s="3"/>
    </row>
    <row r="19" spans="2:8" x14ac:dyDescent="0.2">
      <c r="D19" t="s">
        <v>69</v>
      </c>
    </row>
    <row r="21" spans="2:8" x14ac:dyDescent="0.2">
      <c r="D21">
        <f ca="1">SUMIF(B8:B17,"UP",C8:C16)</f>
        <v>14600</v>
      </c>
      <c r="E21" t="str">
        <f ca="1">_xlfn.FORMULATEXT(D21)</f>
        <v>=SUMIF(B8:B17,"UP",C8:C16)</v>
      </c>
    </row>
    <row r="24" spans="2:8" x14ac:dyDescent="0.2">
      <c r="D24" t="s">
        <v>70</v>
      </c>
    </row>
    <row r="26" spans="2:8" x14ac:dyDescent="0.2">
      <c r="D26">
        <f>SUMIF(D8:D17,"&lt;18")</f>
        <v>50</v>
      </c>
      <c r="E26" t="str">
        <f ca="1">_xlfn.FORMULATEXT(D26)</f>
        <v>=SUMIF(D8:D17,"&lt;18")</v>
      </c>
    </row>
    <row r="28" spans="2:8" x14ac:dyDescent="0.2">
      <c r="D28" t="s">
        <v>71</v>
      </c>
    </row>
    <row r="29" spans="2:8" x14ac:dyDescent="0.2">
      <c r="D29">
        <f>SUMIF(D8:D17,"&gt;=18",C8:C17)</f>
        <v>60300</v>
      </c>
      <c r="E29" t="str">
        <f ca="1">_xlfn.FORMULATEXT(D29)</f>
        <v>=SUMIF(D8:D17,"&gt;=18",C8:C17)</v>
      </c>
    </row>
    <row r="33" spans="2:7" x14ac:dyDescent="0.2">
      <c r="F33" t="s">
        <v>62</v>
      </c>
    </row>
    <row r="36" spans="2:7" x14ac:dyDescent="0.2">
      <c r="B36" s="7" t="s">
        <v>43</v>
      </c>
      <c r="C36" s="7" t="s">
        <v>44</v>
      </c>
      <c r="D36" s="7" t="s">
        <v>45</v>
      </c>
    </row>
    <row r="37" spans="2:7" x14ac:dyDescent="0.2">
      <c r="B37" s="6" t="s">
        <v>46</v>
      </c>
      <c r="C37" s="6">
        <v>4000</v>
      </c>
      <c r="D37" s="6">
        <v>17</v>
      </c>
    </row>
    <row r="38" spans="2:7" x14ac:dyDescent="0.2">
      <c r="B38" s="6" t="s">
        <v>47</v>
      </c>
      <c r="C38" s="6">
        <v>5600</v>
      </c>
      <c r="D38" s="6">
        <v>18</v>
      </c>
    </row>
    <row r="39" spans="2:7" x14ac:dyDescent="0.2">
      <c r="B39" s="6" t="s">
        <v>48</v>
      </c>
      <c r="C39" s="6">
        <v>9700</v>
      </c>
      <c r="D39" s="6">
        <v>19</v>
      </c>
    </row>
    <row r="40" spans="2:7" x14ac:dyDescent="0.2">
      <c r="B40" s="6" t="s">
        <v>49</v>
      </c>
      <c r="C40" s="6">
        <v>4000</v>
      </c>
      <c r="D40" s="6">
        <v>20</v>
      </c>
      <c r="F40" t="s">
        <v>73</v>
      </c>
    </row>
    <row r="41" spans="2:7" x14ac:dyDescent="0.2">
      <c r="B41" s="6" t="s">
        <v>46</v>
      </c>
      <c r="C41" s="6">
        <v>8000</v>
      </c>
      <c r="D41" s="6">
        <v>21</v>
      </c>
    </row>
    <row r="42" spans="2:7" x14ac:dyDescent="0.2">
      <c r="B42" s="6" t="s">
        <v>47</v>
      </c>
      <c r="C42" s="6">
        <v>9000</v>
      </c>
      <c r="D42" s="6">
        <v>17</v>
      </c>
      <c r="F42">
        <f>SUMIFS(C37:C46,D37:D46,"&gt;=18",B37:B46,"UP")</f>
        <v>5600</v>
      </c>
      <c r="G42" t="str">
        <f ca="1">_xlfn.FORMULATEXT(F42)</f>
        <v>=SUMIFS(C37:C46,D37:D46,"&gt;=18",B37:B46,"UP")</v>
      </c>
    </row>
    <row r="43" spans="2:7" x14ac:dyDescent="0.2">
      <c r="B43" s="6" t="s">
        <v>48</v>
      </c>
      <c r="C43" s="6">
        <v>15000</v>
      </c>
      <c r="D43" s="6">
        <v>18</v>
      </c>
    </row>
    <row r="44" spans="2:7" x14ac:dyDescent="0.2">
      <c r="B44" s="6" t="s">
        <v>46</v>
      </c>
      <c r="C44" s="6">
        <v>34000</v>
      </c>
      <c r="D44" s="6">
        <v>16</v>
      </c>
    </row>
    <row r="45" spans="2:7" x14ac:dyDescent="0.2">
      <c r="B45" s="6" t="s">
        <v>50</v>
      </c>
      <c r="C45" s="6">
        <v>9000</v>
      </c>
      <c r="D45" s="6">
        <v>20</v>
      </c>
    </row>
    <row r="46" spans="2:7" x14ac:dyDescent="0.2">
      <c r="B46" s="6" t="s">
        <v>46</v>
      </c>
      <c r="C46" s="6">
        <v>9000</v>
      </c>
      <c r="D46" s="6">
        <v>24</v>
      </c>
    </row>
    <row r="50" spans="3:7" x14ac:dyDescent="0.2">
      <c r="C50" t="s">
        <v>62</v>
      </c>
      <c r="E50" t="s">
        <v>72</v>
      </c>
      <c r="G50" t="s">
        <v>61</v>
      </c>
    </row>
  </sheetData>
  <mergeCells count="1">
    <mergeCell ref="B3:D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C6480-EA8D-1B44-9CAD-D947AC66E623}">
  <dimension ref="B3:G13"/>
  <sheetViews>
    <sheetView topLeftCell="B5" zoomScale="288" workbookViewId="0">
      <selection activeCell="J14" sqref="J14"/>
    </sheetView>
  </sheetViews>
  <sheetFormatPr baseColWidth="10" defaultRowHeight="16" x14ac:dyDescent="0.2"/>
  <sheetData>
    <row r="3" spans="2:7" x14ac:dyDescent="0.2">
      <c r="B3" s="7" t="s">
        <v>43</v>
      </c>
      <c r="C3" s="7" t="s">
        <v>44</v>
      </c>
      <c r="D3" s="7" t="s">
        <v>45</v>
      </c>
    </row>
    <row r="4" spans="2:7" x14ac:dyDescent="0.2">
      <c r="B4" s="6" t="s">
        <v>46</v>
      </c>
      <c r="C4" s="6">
        <v>4000</v>
      </c>
      <c r="D4" s="6">
        <v>17</v>
      </c>
    </row>
    <row r="5" spans="2:7" x14ac:dyDescent="0.2">
      <c r="B5" s="6" t="s">
        <v>47</v>
      </c>
      <c r="C5" s="6">
        <v>5600</v>
      </c>
      <c r="D5" s="6">
        <v>18</v>
      </c>
      <c r="F5" t="s">
        <v>79</v>
      </c>
    </row>
    <row r="6" spans="2:7" x14ac:dyDescent="0.2">
      <c r="B6" s="6" t="s">
        <v>48</v>
      </c>
      <c r="C6" s="6">
        <v>9700</v>
      </c>
      <c r="D6" s="6">
        <v>19</v>
      </c>
    </row>
    <row r="7" spans="2:7" x14ac:dyDescent="0.2">
      <c r="B7" s="6" t="s">
        <v>49</v>
      </c>
      <c r="C7" s="6">
        <v>4000</v>
      </c>
      <c r="D7" s="6">
        <v>20</v>
      </c>
      <c r="F7">
        <f>AVERAGEIF(D4:D13,"&gt;=18",C4:C13)</f>
        <v>8614.2857142857138</v>
      </c>
      <c r="G7" t="str">
        <f ca="1">_xlfn.FORMULATEXT(F7)</f>
        <v>=AVERAGEIF(D4:D13,"&gt;=18",C4:C13)</v>
      </c>
    </row>
    <row r="8" spans="2:7" x14ac:dyDescent="0.2">
      <c r="B8" s="6" t="s">
        <v>46</v>
      </c>
      <c r="C8" s="6">
        <v>8000</v>
      </c>
      <c r="D8" s="6">
        <v>21</v>
      </c>
    </row>
    <row r="9" spans="2:7" x14ac:dyDescent="0.2">
      <c r="B9" s="6" t="s">
        <v>47</v>
      </c>
      <c r="C9" s="6">
        <v>9000</v>
      </c>
      <c r="D9" s="6">
        <v>17</v>
      </c>
    </row>
    <row r="10" spans="2:7" x14ac:dyDescent="0.2">
      <c r="B10" s="6" t="s">
        <v>48</v>
      </c>
      <c r="C10" s="6">
        <v>15000</v>
      </c>
      <c r="D10" s="6">
        <v>18</v>
      </c>
      <c r="F10" t="s">
        <v>80</v>
      </c>
    </row>
    <row r="11" spans="2:7" x14ac:dyDescent="0.2">
      <c r="B11" s="6" t="s">
        <v>46</v>
      </c>
      <c r="C11" s="6">
        <v>34000</v>
      </c>
      <c r="D11" s="6">
        <v>16</v>
      </c>
    </row>
    <row r="12" spans="2:7" x14ac:dyDescent="0.2">
      <c r="B12" s="6" t="s">
        <v>50</v>
      </c>
      <c r="C12" s="6">
        <v>9000</v>
      </c>
      <c r="D12" s="6">
        <v>20</v>
      </c>
      <c r="F12">
        <f>AVERAGEIFS(C4:C13,B4:B13,"MH",C4:C13,"&gt;5000")</f>
        <v>17000</v>
      </c>
      <c r="G12" t="str">
        <f ca="1">_xlfn.FORMULATEXT(F12)</f>
        <v>=AVERAGEIFS(C4:C13,B4:B13,"MH",C4:C13,"&gt;5000")</v>
      </c>
    </row>
    <row r="13" spans="2:7" x14ac:dyDescent="0.2">
      <c r="B13" s="6" t="s">
        <v>46</v>
      </c>
      <c r="C13" s="6">
        <v>9000</v>
      </c>
      <c r="D13" s="6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0CB9-0E97-864A-A319-67428F4C320A}">
  <dimension ref="A1:F30"/>
  <sheetViews>
    <sheetView topLeftCell="A6" zoomScale="253" workbookViewId="0">
      <selection activeCell="E25" sqref="E25"/>
    </sheetView>
  </sheetViews>
  <sheetFormatPr baseColWidth="10" defaultRowHeight="16" x14ac:dyDescent="0.2"/>
  <sheetData>
    <row r="1" spans="1:5" x14ac:dyDescent="0.2">
      <c r="A1" s="7" t="s">
        <v>44</v>
      </c>
    </row>
    <row r="2" spans="1:5" x14ac:dyDescent="0.2">
      <c r="A2" s="6">
        <v>4000</v>
      </c>
    </row>
    <row r="3" spans="1:5" x14ac:dyDescent="0.2">
      <c r="A3" s="6">
        <v>5600</v>
      </c>
      <c r="C3" t="s">
        <v>83</v>
      </c>
    </row>
    <row r="4" spans="1:5" x14ac:dyDescent="0.2">
      <c r="A4" s="6">
        <v>9700</v>
      </c>
    </row>
    <row r="5" spans="1:5" x14ac:dyDescent="0.2">
      <c r="A5" s="6">
        <v>4000</v>
      </c>
      <c r="C5">
        <f>LARGE(A2:A11,2)</f>
        <v>15000</v>
      </c>
      <c r="E5" t="str">
        <f ca="1">_xlfn.FORMULATEXT(C5)</f>
        <v>=LARGE(A2:A11,2)</v>
      </c>
    </row>
    <row r="6" spans="1:5" x14ac:dyDescent="0.2">
      <c r="A6" s="6">
        <v>8000</v>
      </c>
    </row>
    <row r="7" spans="1:5" x14ac:dyDescent="0.2">
      <c r="A7" s="6">
        <v>9000</v>
      </c>
      <c r="C7" t="s">
        <v>81</v>
      </c>
    </row>
    <row r="8" spans="1:5" x14ac:dyDescent="0.2">
      <c r="A8" s="6">
        <v>15000</v>
      </c>
    </row>
    <row r="9" spans="1:5" x14ac:dyDescent="0.2">
      <c r="A9" s="6">
        <v>34000</v>
      </c>
      <c r="C9" t="s">
        <v>87</v>
      </c>
      <c r="D9" t="s">
        <v>89</v>
      </c>
    </row>
    <row r="10" spans="1:5" x14ac:dyDescent="0.2">
      <c r="A10" s="6">
        <v>9000</v>
      </c>
      <c r="C10" t="s">
        <v>88</v>
      </c>
      <c r="D10" t="s">
        <v>90</v>
      </c>
    </row>
    <row r="11" spans="1:5" x14ac:dyDescent="0.2">
      <c r="A11" s="6">
        <v>9000</v>
      </c>
    </row>
    <row r="13" spans="1:5" x14ac:dyDescent="0.2">
      <c r="C13">
        <f>MAX(A2:A11)</f>
        <v>34000</v>
      </c>
      <c r="E13" t="str">
        <f ca="1">_xlfn.FORMULATEXT(C13)</f>
        <v>=MAX(A2:A11)</v>
      </c>
    </row>
    <row r="15" spans="1:5" x14ac:dyDescent="0.2">
      <c r="C15">
        <f>MIN(A2:A11)</f>
        <v>4000</v>
      </c>
      <c r="E15" t="str">
        <f ca="1">_xlfn.FORMULATEXT(C15)</f>
        <v>=MIN(A2:A11)</v>
      </c>
    </row>
    <row r="20" spans="3:6" x14ac:dyDescent="0.2">
      <c r="C20" s="7" t="s">
        <v>44</v>
      </c>
      <c r="D20" s="9" t="s">
        <v>95</v>
      </c>
    </row>
    <row r="21" spans="3:6" x14ac:dyDescent="0.2">
      <c r="C21" s="6">
        <v>4000</v>
      </c>
      <c r="D21" s="10">
        <f>RANK(C21,$C$21:$C$30,1)</f>
        <v>1</v>
      </c>
      <c r="F21" t="str">
        <f ca="1">_xlfn.FORMULATEXT(D21)</f>
        <v>=RANK(C21,$C$21:$C$30,1)</v>
      </c>
    </row>
    <row r="22" spans="3:6" x14ac:dyDescent="0.2">
      <c r="C22" s="6">
        <v>5600</v>
      </c>
      <c r="D22" s="10">
        <f t="shared" ref="D22:D30" si="0">RANK(C22,$C$21:$C$30,1)</f>
        <v>3</v>
      </c>
    </row>
    <row r="23" spans="3:6" x14ac:dyDescent="0.2">
      <c r="C23" s="6">
        <v>9700</v>
      </c>
      <c r="D23" s="10">
        <f t="shared" si="0"/>
        <v>8</v>
      </c>
    </row>
    <row r="24" spans="3:6" x14ac:dyDescent="0.2">
      <c r="C24" s="6">
        <v>4000</v>
      </c>
      <c r="D24" s="10">
        <f t="shared" si="0"/>
        <v>1</v>
      </c>
      <c r="F24" t="s">
        <v>97</v>
      </c>
    </row>
    <row r="25" spans="3:6" x14ac:dyDescent="0.2">
      <c r="C25" s="6">
        <v>8000</v>
      </c>
      <c r="D25" s="10">
        <f t="shared" si="0"/>
        <v>4</v>
      </c>
    </row>
    <row r="26" spans="3:6" x14ac:dyDescent="0.2">
      <c r="C26" s="6">
        <v>9000</v>
      </c>
      <c r="D26" s="10">
        <f t="shared" si="0"/>
        <v>5</v>
      </c>
      <c r="F26" t="s">
        <v>98</v>
      </c>
    </row>
    <row r="27" spans="3:6" x14ac:dyDescent="0.2">
      <c r="C27" s="6">
        <v>15000</v>
      </c>
      <c r="D27" s="10">
        <f t="shared" si="0"/>
        <v>9</v>
      </c>
    </row>
    <row r="28" spans="3:6" x14ac:dyDescent="0.2">
      <c r="C28" s="6">
        <v>34000</v>
      </c>
      <c r="D28" s="10">
        <f t="shared" si="0"/>
        <v>10</v>
      </c>
      <c r="F28" t="s">
        <v>99</v>
      </c>
    </row>
    <row r="29" spans="3:6" x14ac:dyDescent="0.2">
      <c r="C29" s="6">
        <v>9000</v>
      </c>
      <c r="D29" s="10">
        <f t="shared" si="0"/>
        <v>5</v>
      </c>
    </row>
    <row r="30" spans="3:6" x14ac:dyDescent="0.2">
      <c r="C30" s="6">
        <v>9000</v>
      </c>
      <c r="D30" s="10">
        <f t="shared" si="0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FLASHFILL</vt:lpstr>
      <vt:lpstr>COUNTIF(S)</vt:lpstr>
      <vt:lpstr>SUMIF(S)</vt:lpstr>
      <vt:lpstr>AVERAGEIF(S)</vt:lpstr>
      <vt:lpstr>LARGE_SMALL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2026-08-08T15:36:28Z</dcterms:created>
  <dcterms:modified xsi:type="dcterms:W3CDTF">2026-08-11T17:11:10Z</dcterms:modified>
</cp:coreProperties>
</file>