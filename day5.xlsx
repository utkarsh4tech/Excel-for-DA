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7EBDFEDD-3658-604F-85E7-110C958F48FA}" xr6:coauthVersionLast="47" xr6:coauthVersionMax="47" xr10:uidLastSave="{00000000-0000-0000-0000-000000000000}"/>
  <bookViews>
    <workbookView xWindow="0" yWindow="600" windowWidth="28800" windowHeight="17400" xr2:uid="{389A02AC-A98C-6E4D-AEDA-153E1A42CAB1}"/>
  </bookViews>
  <sheets>
    <sheet name="agenda" sheetId="1" r:id="rId1"/>
    <sheet name="Sheet3" sheetId="3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9" i="1" l="1"/>
  <c r="H103" i="1"/>
  <c r="E103" i="1"/>
  <c r="H102" i="1"/>
  <c r="E102" i="1"/>
  <c r="H99" i="1"/>
  <c r="H94" i="1"/>
  <c r="H95" i="1"/>
  <c r="H96" i="1"/>
  <c r="H97" i="1"/>
  <c r="G94" i="1"/>
  <c r="G95" i="1"/>
  <c r="G96" i="1"/>
  <c r="G97" i="1"/>
  <c r="E95" i="1"/>
  <c r="E96" i="1"/>
  <c r="E97" i="1"/>
  <c r="E94" i="1"/>
  <c r="D95" i="1"/>
  <c r="D96" i="1"/>
  <c r="D97" i="1"/>
  <c r="D94" i="1"/>
  <c r="C81" i="1"/>
  <c r="B81" i="1"/>
  <c r="D40" i="3"/>
  <c r="E40" i="3"/>
  <c r="E30" i="3"/>
  <c r="E31" i="3"/>
  <c r="E32" i="3"/>
  <c r="E33" i="3"/>
  <c r="E34" i="3"/>
  <c r="E35" i="3"/>
  <c r="E36" i="3"/>
  <c r="E37" i="3"/>
  <c r="E38" i="3"/>
  <c r="E29" i="3"/>
  <c r="G29" i="3" a="1"/>
  <c r="D30" i="3"/>
  <c r="D31" i="3"/>
  <c r="D32" i="3"/>
  <c r="D33" i="3"/>
  <c r="D34" i="3"/>
  <c r="D35" i="3"/>
  <c r="D36" i="3"/>
  <c r="D37" i="3"/>
  <c r="D38" i="3"/>
  <c r="D29" i="3"/>
  <c r="E19" i="3" a="1"/>
  <c r="F6" i="3"/>
  <c r="F7" i="3"/>
  <c r="E7" i="3"/>
  <c r="E6" i="3"/>
  <c r="F5" i="3"/>
  <c r="F4" i="3"/>
  <c r="E5" i="3"/>
  <c r="E4" i="3"/>
  <c r="K44" i="2"/>
  <c r="F48" i="2"/>
  <c r="J44" i="2"/>
  <c r="B80" i="2"/>
  <c r="C80" i="2"/>
  <c r="D76" i="2"/>
  <c r="C76" i="2"/>
  <c r="F67" i="2"/>
  <c r="F68" i="2"/>
  <c r="G68" i="2"/>
  <c r="G67" i="2"/>
  <c r="F62" i="2"/>
  <c r="G62" i="2"/>
  <c r="G51" i="2"/>
  <c r="F51" i="2"/>
  <c r="G46" i="2"/>
  <c r="F46" i="2"/>
  <c r="G42" i="2"/>
  <c r="F42" i="2"/>
  <c r="H31" i="2"/>
  <c r="G31" i="2"/>
  <c r="H27" i="2"/>
  <c r="G27" i="2"/>
  <c r="H22" i="2"/>
  <c r="G22" i="2"/>
  <c r="H13" i="2"/>
  <c r="G13" i="2"/>
  <c r="H10" i="2"/>
  <c r="G10" i="2"/>
  <c r="H5" i="2"/>
  <c r="G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<sst xmlns="http://schemas.openxmlformats.org/spreadsheetml/2006/main" count="127" uniqueCount="72">
  <si>
    <t>AGENDA</t>
  </si>
  <si>
    <t>CONDITIONAL AGGREGATION</t>
  </si>
  <si>
    <t>COUNT, SUM, AVERAGE</t>
  </si>
  <si>
    <t>COUNTIF</t>
  </si>
  <si>
    <t>COUNTIFS</t>
  </si>
  <si>
    <t>COUNT when a given condition is true</t>
  </si>
  <si>
    <t>COUNT WHEN ALL given condition are true</t>
  </si>
  <si>
    <t>STATE</t>
  </si>
  <si>
    <t>Salary</t>
  </si>
  <si>
    <t>AGE</t>
  </si>
  <si>
    <t>MH</t>
  </si>
  <si>
    <t>UP</t>
  </si>
  <si>
    <t>BH</t>
  </si>
  <si>
    <t>PU</t>
  </si>
  <si>
    <t>TN</t>
  </si>
  <si>
    <t>How many people are in MH</t>
  </si>
  <si>
    <t>HOW MANY people are above 18 ( &gt;=18)</t>
  </si>
  <si>
    <t>How many people earn &lt;10000</t>
  </si>
  <si>
    <t>How many people from UP earn less than 10K</t>
  </si>
  <si>
    <t>How many people who are not adult earn more than 10K</t>
  </si>
  <si>
    <t>How many people are b/w age grp of 17 to 20 ( both inclusive)</t>
  </si>
  <si>
    <t>17,18,19 &amp; 20</t>
  </si>
  <si>
    <t>SUMIFS</t>
  </si>
  <si>
    <t>What is average salary for the data given</t>
  </si>
  <si>
    <t xml:space="preserve">What is average salary for the state of MH </t>
  </si>
  <si>
    <t>AVERAGEIF</t>
  </si>
  <si>
    <t>AVERAGEIFS</t>
  </si>
  <si>
    <t>Average AGE for people less than &lt;20</t>
  </si>
  <si>
    <t>avg salary in MH and &gt;=18</t>
  </si>
  <si>
    <t>Avg salary for people in range of 17-21 both exclusive</t>
  </si>
  <si>
    <t>SUM of salary for people in range of 17-21 both exclusive</t>
  </si>
  <si>
    <t>SUM of salary for people earning more than 5000 and are also in the range of 17-21 both inclusive</t>
  </si>
  <si>
    <t>sumif</t>
  </si>
  <si>
    <t>averageif</t>
  </si>
  <si>
    <t>SMALL LARGE</t>
  </si>
  <si>
    <t>MAX &amp; MIN</t>
  </si>
  <si>
    <t>MAX</t>
  </si>
  <si>
    <t>MIN</t>
  </si>
  <si>
    <t>LARGE</t>
  </si>
  <si>
    <t>SMALL</t>
  </si>
  <si>
    <t>Absolute LARGEST</t>
  </si>
  <si>
    <t>Absolute Smallest</t>
  </si>
  <si>
    <t>Kth Largest</t>
  </si>
  <si>
    <t>Kth Smallest</t>
  </si>
  <si>
    <t>SUMPRODUCT</t>
  </si>
  <si>
    <t>HW</t>
  </si>
  <si>
    <t>UNIQUE</t>
  </si>
  <si>
    <t>Unique Values</t>
  </si>
  <si>
    <t>Apple</t>
  </si>
  <si>
    <t>orange</t>
  </si>
  <si>
    <t>Mango</t>
  </si>
  <si>
    <t>RANK</t>
  </si>
  <si>
    <t>UNSORTED DATA</t>
  </si>
  <si>
    <t>RANK (ASC)</t>
  </si>
  <si>
    <t>SORTED DATA</t>
  </si>
  <si>
    <t>RANK (DEC)</t>
  </si>
  <si>
    <t>VARIANCE &amp; STD DEV</t>
  </si>
  <si>
    <t>Student 1</t>
  </si>
  <si>
    <t>Student 2</t>
  </si>
  <si>
    <t>Student 3</t>
  </si>
  <si>
    <t>Student 4</t>
  </si>
  <si>
    <t>Sub A</t>
  </si>
  <si>
    <t>Sub B</t>
  </si>
  <si>
    <t>CONSISTENCY</t>
  </si>
  <si>
    <t xml:space="preserve">Variance </t>
  </si>
  <si>
    <t>Average Squared Deviation of data points from the AVERAGE</t>
  </si>
  <si>
    <t>X_i - AVG</t>
  </si>
  <si>
    <t>(X_i - AVG)^2</t>
  </si>
  <si>
    <t>.P --&gt; POPULATION</t>
  </si>
  <si>
    <t>.S ---&gt; SAMPLE</t>
  </si>
  <si>
    <t>var</t>
  </si>
  <si>
    <t>Var.s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</si>
</sst>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2" fillId="0" borderId="1" xfId="0" applyFont="1" applyBorder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ustomXml" Target="../ink/ink1.xml"/><Relationship Id="rId7" Type="http://schemas.openxmlformats.org/officeDocument/2006/relationships/customXml" Target="../ink/ink3.xml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customXml" Target="../ink/ink5.xml"/><Relationship Id="rId5" Type="http://schemas.openxmlformats.org/officeDocument/2006/relationships/customXml" Target="../ink/ink2.xml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customXml" Target="../ink/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202390</xdr:rowOff>
    </xdr:from>
    <xdr:to>
      <xdr:col>5</xdr:col>
      <xdr:colOff>688836</xdr:colOff>
      <xdr:row>26</xdr:row>
      <xdr:rowOff>81867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A08338-1E8D-9D18-E6D7-9B1ACF735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741" y="3845418"/>
          <a:ext cx="3987800" cy="1498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7</xdr:col>
      <xdr:colOff>68054</xdr:colOff>
      <xdr:row>37</xdr:row>
      <xdr:rowOff>18367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629C1D-9256-0133-9BCE-1AE8BB989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4741" y="6071713"/>
          <a:ext cx="5016500" cy="1435100"/>
        </a:xfrm>
        <a:prstGeom prst="rect">
          <a:avLst/>
        </a:prstGeom>
      </xdr:spPr>
    </xdr:pic>
    <xdr:clientData/>
  </xdr:twoCellAnchor>
  <xdr:twoCellAnchor editAs="oneCell">
    <xdr:from>
      <xdr:col>2</xdr:col>
      <xdr:colOff>47918</xdr:colOff>
      <xdr:row>86</xdr:row>
      <xdr:rowOff>184022</xdr:rowOff>
    </xdr:from>
    <xdr:to>
      <xdr:col>4</xdr:col>
      <xdr:colOff>162796</xdr:colOff>
      <xdr:row>88</xdr:row>
      <xdr:rowOff>171281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3988238A-68BC-84C1-9E0E-DEFF90DC8B45}"/>
                </a:ext>
              </a:extLst>
            </xdr14:cNvPr>
            <xdr14:cNvContentPartPr/>
          </xdr14:nvContentPartPr>
          <xdr14:nvPr macro=""/>
          <xdr14:xfrm>
            <a:off x="1697400" y="17589600"/>
            <a:ext cx="1764360" cy="39204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3988238A-68BC-84C1-9E0E-DEFF90DC8B4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91281" y="17583486"/>
              <a:ext cx="1776598" cy="4042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277295</xdr:colOff>
      <xdr:row>86</xdr:row>
      <xdr:rowOff>14822</xdr:rowOff>
    </xdr:from>
    <xdr:to>
      <xdr:col>7</xdr:col>
      <xdr:colOff>277693</xdr:colOff>
      <xdr:row>90</xdr:row>
      <xdr:rowOff>24981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B308586B-4D24-C68A-B6F3-35557F4F6CC1}"/>
                </a:ext>
              </a:extLst>
            </xdr14:cNvPr>
            <xdr14:cNvContentPartPr/>
          </xdr14:nvContentPartPr>
          <xdr14:nvPr macro=""/>
          <xdr14:xfrm>
            <a:off x="4401000" y="17420400"/>
            <a:ext cx="1649880" cy="81972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B308586B-4D24-C68A-B6F3-35557F4F6CC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394880" y="17414280"/>
              <a:ext cx="1662120" cy="83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526396</xdr:colOff>
      <xdr:row>86</xdr:row>
      <xdr:rowOff>159542</xdr:rowOff>
    </xdr:from>
    <xdr:to>
      <xdr:col>5</xdr:col>
      <xdr:colOff>647375</xdr:colOff>
      <xdr:row>89</xdr:row>
      <xdr:rowOff>11011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7ECF0FA2-A285-57CF-6F1F-6F93A1A955A4}"/>
                </a:ext>
              </a:extLst>
            </xdr14:cNvPr>
            <xdr14:cNvContentPartPr/>
          </xdr14:nvContentPartPr>
          <xdr14:nvPr macro=""/>
          <xdr14:xfrm>
            <a:off x="3825360" y="17565120"/>
            <a:ext cx="945720" cy="45864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7ECF0FA2-A285-57CF-6F1F-6F93A1A955A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819240" y="17559000"/>
              <a:ext cx="957960" cy="47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584960</xdr:colOff>
      <xdr:row>97</xdr:row>
      <xdr:rowOff>21200</xdr:rowOff>
    </xdr:from>
    <xdr:to>
      <xdr:col>4</xdr:col>
      <xdr:colOff>511840</xdr:colOff>
      <xdr:row>101</xdr:row>
      <xdr:rowOff>132880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F79DF5D1-6077-1136-45C3-1A236D2E60D3}"/>
                </a:ext>
              </a:extLst>
            </xdr14:cNvPr>
            <xdr14:cNvContentPartPr/>
          </xdr14:nvContentPartPr>
          <xdr14:nvPr macro=""/>
          <xdr14:xfrm>
            <a:off x="2235960" y="19731600"/>
            <a:ext cx="1577880" cy="92448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F79DF5D1-6077-1136-45C3-1A236D2E60D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229840" y="19725480"/>
              <a:ext cx="1590120" cy="9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574820</xdr:colOff>
      <xdr:row>95</xdr:row>
      <xdr:rowOff>191800</xdr:rowOff>
    </xdr:from>
    <xdr:to>
      <xdr:col>7</xdr:col>
      <xdr:colOff>466420</xdr:colOff>
      <xdr:row>101</xdr:row>
      <xdr:rowOff>133960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7D715CB3-4591-605C-A6E6-D66B01096375}"/>
                </a:ext>
              </a:extLst>
            </xdr14:cNvPr>
            <xdr14:cNvContentPartPr/>
          </xdr14:nvContentPartPr>
          <xdr14:nvPr macro=""/>
          <xdr14:xfrm>
            <a:off x="4702320" y="19495800"/>
            <a:ext cx="1542600" cy="116136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7D715CB3-4591-605C-A6E6-D66B0109637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696200" y="19489680"/>
              <a:ext cx="1554840" cy="1173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17:12:56.421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0 341 24575,'12'32'0,"16"14"0,13 17 0,11 8 0,0 1 0,-8-9 0,-3-5 0,-7-6 0,-5-5 0,-5-3 0,-3-8 0,-6-9 0,-4-10 0,-4-7 0,-3-5 0,-1-3 0,0-3 0,-1-2 0,1-6 0,-1-4 0,0-5 0,1-23 0,2-19 0,10-33 0,-5 40 0,2-1 0,1 3 0,2 2 0,13-40 0,-8 28 0,-4 17 0,-7 19 0,-4 12 0,-3 7 0,-1 2 0,1-1 0,0 1 0,1-1 0,-1 0 0,1-1 0,0-1 0,1 1 0,-1 1 0,1 0 0,-2 3 0,0 0 0</inkml:trace>
  <inkml:trace contextRef="#ctx0" brushRef="#br0" timeOffset="1699">794 728 24575,'-9'0'0,"-2"0"0,-6 0 0,-4 0 0,-2 1 0,1 2 0,2 3 0,4 1 0,5 2 0,5 1 0,3 0 0,1 1 0,2 0 0,0 0 0,0 1 0,1-1 0,2 0 0,3-1 0,4-2 0,4-2 0,4-2 0,4-3 0,2-1 0,0 0 0,-1-3 0,-3-2 0,-2-5 0,-4-3 0,-3-2 0,-2 0 0,-3-1 0,-2 0 0,-2 1 0,-1 0 0,-1 3 0,0 4 0,-3 2 0,-1 5 0,-2 8 0,0 9 0,2 8 0,1 8 0,2-1 0,1-3 0,0-3 0,2-6 0,3-3 0,6-4 0,5-3 0,2 0 0,-1-1 0,-2-2 0,-7-3 0,-3-2 0</inkml:trace>
  <inkml:trace contextRef="#ctx0" brushRef="#br0" timeOffset="3065">1052 653 24575,'3'1'0,"10"1"0,11-2 0,11 0 0,7 2 0,-8 3 0,-5 6 0,-6 9 0,-6 6 0,-1 4 0,-7-1 0,-6-4 0,-2-4 0,-2-6 0,-4-3 0,-6-3 0,-8-3 0,-5-1 0,-1-3 0,-1-1 0,4-2 0,5-4 0,5-7 0,7-7 0,3-6 0,2-5 0,4-3 0,5-3 0,6 2 0,6 3 0,0 7 0,1 5 0,-3 5 0,-2 4 0,-2 4 0,-4 2 0,-2 2 0,-4 1 0,-2 1 0</inkml:trace>
  <inkml:trace contextRef="#ctx0" brushRef="#br0" timeOffset="4166">2043 93 24575,'-5'-2'0,"-5"6"0,-5 9 0,-9 15 0,-4 10 0,0 9 0,3 4 0,5 1 0,5 4 0,7 2 0,5 6 0,4 8 0,9 5 0,9 0 0,11-7 0,6-11 0,2-13 0,2-13 0,10-6 0,16 1 0,10 1 0,1-4 0,-11-6 0,-21-7 0,-17-5 0,-17-3 0,-7-2 0</inkml:trace>
  <inkml:trace contextRef="#ctx0" brushRef="#br0" timeOffset="6015">2970 633 24575,'0'13'0,"0"10"0,0 7 0,0 4 0,-1-5 0,-1-10 0,-1-7 0,-2-5 0,-1-3 0,-2-3 0,-1-1 0,-2 0 0,-4 1 0,-6 1 0,-8 3 0,-6 1 0,-4-1 0,1-2 0,0-2 0,1-2 0,-2-6 0,-4-5 0,0-7 0,5-2 0,11 1 0,13 2 0,8 3 0,4-1 0,6 0 0,2 1 0,5 1 0,3 2 0,5-2 0,7-4 0,5-3 0,1 0 0,0 0 0,-2 4 0,-3 4 0,0 1 0,-2 5 0,1 3 0,4 0 0,7-1 0,5 0 0,1 2 0,0 0 0,-3 2 0,0 1 0,0 0 0,7 0 0,3 0 0,7 0 0,1 0 0,-3 0 0,-4 0 0,-11 1 0,-10 1 0,-9-1 0,-9 1 0,-5-1 0,-4-1 0</inkml:trace>
  <inkml:trace contextRef="#ctx0" brushRef="#br0" timeOffset="7749">3682 0 24575,'21'20'0,"10"11"0,9 13 0,2 7 0,-7-4 0,-12-7 0,-7-4 0,-4 5 0,2 6 0,1 13 0,1 3 0,-3-4 0,-4-8 0,-4-13 0,-4-8 0,-6-6 0,-5-1 0,-8 5 0,-8 8 0,-5 11 0,-2 6 0,4-3 0,6-12 0,7-13 0,7-11 0,4-9 0,1-4 0,1-7 0,2 3 0,0-3 0</inkml:trace>
  <inkml:trace contextRef="#ctx0" brushRef="#br0" timeOffset="8765">4459 602 24575,'16'0'0,"17"0"0,15 0 0,13 0 0,-4 0 0,-12 0 0,-13 0 0,-14 0 0,-7 0 0,-4 0 0,-1 0 0,-2 0 0,-2 0 0</inkml:trace>
  <inkml:trace contextRef="#ctx0" brushRef="#br0" timeOffset="9532">4549 863 24575,'40'0'0,"18"0"0,17 0 0,2 0 0,-19 0 0,-29 0 0,-14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17:13:13.753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220 462 24575,'-6'2'0,"-5"8"0,-11 14 0,-5 17 0,-8 15 0,2 9 0,2 4 0,6 2 0,8-1 0,8-4 0,5-7 0,6-8 0,7-8 0,7-4 0,9-3 0,7-3 0,7-2 0,4-5 0,-1-4 0,-5-6 0,-9-5 0,-9-4 0,-8-4 0,-5-1 0,-2-1 0,-3 0 0,0 0 0</inkml:trace>
  <inkml:trace contextRef="#ctx0" brushRef="#br0" timeOffset="950">383 654 24575,'20'14'0,"15"14"0,20 19 0,13 13 0,-3 2 0,-9-8 0,-16-12 0,-13-13 0,-7-10 0,-11-10 0,-4-4 0</inkml:trace>
  <inkml:trace contextRef="#ctx0" brushRef="#br0" timeOffset="1967">748 571 24575,'-5'5'0,"-6"10"0,-15 19 0,-20 26 0,-15 15 0,-3 1 0,9-11 0,19-25 0,14-15 0,11-11 0,8-7 0,1-1 0,1-2 0,0 0 0,0-1 0,-1-1 0,0 0 0,1 0 0,0 0 0,0-2 0</inkml:trace>
  <inkml:trace contextRef="#ctx0" brushRef="#br0" timeOffset="3117">1058 911 24575,'0'3'0,"1"8"0,5 16 0,6 7 0,4 3 0,1-6 0,-3-9 0,-2-8 0,-2-7 0,2-4 0,1-2 0,2-1 0,1 0 0,1-1 0,-2-3 0,-3-1 0,-2-1 0,-3 0 0,0-1 0,-2 1 0,-1 1 0,-2 2 0</inkml:trace>
  <inkml:trace contextRef="#ctx0" brushRef="#br0" timeOffset="4467">1108 845 24575,'12'0'0,"0"0"0,4-2 0,-2-3 0,-3-3 0,-4-3 0,-4-1 0,-3 1 0,-6 2 0,-5 3 0,-7 4 0,-1 1 0,2 1 0,4 2 0,5 2 0,5 2 0,2 2 0,1 0 0,3-2 0,1-2 0,3-3 0,-3 0 0,-1-1 0</inkml:trace>
  <inkml:trace contextRef="#ctx0" brushRef="#br0" timeOffset="5517">1488 785 24575,'24'2'0,"9"0"0,21-2 0,19 0 0,13 0 0,7 0 0,-11 0 0,-20 0 0,-24 0 0,-21 0 0,-14 0 0,-4 0 0,-2 0 0</inkml:trace>
  <inkml:trace contextRef="#ctx0" brushRef="#br0" timeOffset="8251">2233 638 24575,'2'8'0,"0"12"0,-2 18 0,0 15 0,0 11 0,0 0 0,0-2 0,0-8 0,0-11 0,0-13 0,0-11 0,0-8 0,-1-5 0,0-4 0,0-8 0,0-11 0,1-10 0,1-8 0,1 0 0,1 2 0,1-9 0,5-16 0,4-18 0,4-13 0,0 10 0,-4 20 0,-5 23 0,-3 21 0,-2 10 0,0 4 0,2 0 0,1 1 0,0 1 0,2 2 0,2 3 0,2 5 0,2 4 0,2 5 0,3 5 0,7 11 0,9 11 0,6 10 0,3 2 0,-3-4 0,-9-12 0,-10-11 0,-9-13 0,-8-7 0,-3-6 0,-1-1 0,-1-2 0,0 0 0,-1 0 0,-1-1 0,-3-1 0,-1-1 0,-2 0 0,-1 0 0,-1 0 0,0 0 0,5 0 0,1 0 0</inkml:trace>
  <inkml:trace contextRef="#ctx0" brushRef="#br0" timeOffset="9134">2331 749 24575,'14'0'0,"16"0"0,23 0 0,20 0 0,5 0 0,-8 0 0,-23 0 0,-19 0 0,-16 0 0,-8 0 0</inkml:trace>
  <inkml:trace contextRef="#ctx0" brushRef="#br0" timeOffset="10234">2775 737 24575,'5'3'0,"7"6"0,4 9 0,5 5 0,1 2 0,-6-5 0,-3-2 0,-3-4 0,-1-3 0,0-1 0,-1-4 0,-1-2 0,-1-3 0,-1-5 0,-1-4 0,0-5 0,0-2 0,1 0 0,1 1 0,3-2 0,2-1 0,1-1 0,-1 3 0,-2 3 0,-2 4 0,-3 3 0,-1 1 0,0 2 0,-1-1 0,0 1 0,-1 0 0</inkml:trace>
  <inkml:trace contextRef="#ctx0" brushRef="#br0" timeOffset="12434">3413 767 24575,'-12'0'0,"-12"-2"0,-17-5 0,-12-4 0,-5 0 0,3 1 0,11 5 0,10 3 0,9 4 0,10 8 0,4 4 0,4 5 0,4 1 0,1-3 0,2-1 0,1-3 0,6-2 0,5-2 0,8-4 0,5-2 0,3-3 0,2 0 0,-2 0 0,-3 0 0,-1 0 0,-3-3 0,-2-4 0,-2-3 0,-2-2 0,-2-1 0,-3 1 0,0 0 0,-3-1 0,-2 2 0,-2 2 0,0 0 0,-1 3 0,0 1 0,0 3 0,-1 3 0,0 5 0,-2 6 0,-2 6 0,-1 12 0,1 20 0,5 25 0,11 21 0,-5-45 0,1-1 0,11 40 0,-6-22 0,-8-24 0,-3-16 0,-7-12 0,-6-5 0,-6-4 0,-6-2 0,-3-3 0,-1-3 0,-1-6 0,3-7 0,3-6 0,5-1 0,5 2 0,6 0 0,3 0 0,3-4 0,5-3 0,3-1 0,6 0 0,1 3 0,2 3 0,3 3 0,2 4 0,2 3 0,-1 3 0,-6 4 0,-5 1 0,-6 3 0,-4 0 0</inkml:trace>
  <inkml:trace contextRef="#ctx0" brushRef="#br0" timeOffset="13617">3766 77 24575,'20'30'0,"6"8"0,7 16 0,0 14 0,-1 15 0,-6 12 0,-15-45 0,-2 0 0,0 1 0,-2 0 0,2 40 0,-3-10 0,-4-9 0,-3-18 0,-4-11 0,-5-13 0,-5-11 0,-6-6 0,-4-3 0,-2-1 0,1 0 0,4 0 0,2 0 0,5-1 0,1 0 0,3-1 0,2-2 0,5-2 0,1-1 0</inkml:trace>
  <inkml:trace contextRef="#ctx0" brushRef="#br0" timeOffset="15217">3976 1 24575,'18'0'0,"6"0"0,7 0 0,6 0 0,-5 0 0,-5 0 0,-8 3 0,-7 4 0,-3 6 0,-2 9 0,1 7 0,-2 10 0,-1 7 0,-2 4 0,-2-3 0,-1-10 0,-1-13 0,-4-10 0,-4-7 0,-3-3 0,-1-3 0,1-1 0,-2-3 0,2-5 0,3-5 0,3-5 0,4 0 0,5 1 0,5 1 0,5 1 0,5 1 0,2 4 0,0 3 0,-1 4 0,1 2 0,1 7 0,7 10 0,6 11 0,6 8 0,4 1 0,-3-4 0,-6-7 0,-9-8 0,-9-9 0,-7-4 0,-4-3 0,-3-1 0,-2-1 0</inkml:trace>
  <inkml:trace contextRef="#ctx0" brushRef="#br0" timeOffset="16617">423 1469 24575,'22'0'0,"34"0"0,3 0 0,10 0 0,0 0 0,8 0 0,4 0-1086,-2 0 0,4 0 1,4 0-1,1 0 1086,-8 0 0,1 0 0,2 0 0,0 0 0,1 0 0,0 0 0,2 0 0,-1 1 0,1-1 0,-1-1 0,0 1 0,0 0 0,0-1 0,-1 1 0,-1-1 0,13-1 0,-1 0 0,-2 0 0,-1 0 0,-5-1 0,-1 0 0,-2-1 0,0 1 18,-3-1 1,0 0 0,-2 0-1,-1 0-18,16-1 0,-1 0 0,-3 1 0,-5 0 0,-2 0 0,-3 1 488,21-1 0,-7 1-488,-20 1 0,-7-1 0,22 0 0,-37 1 2174,-22 1-2174,-16 1 1119,-5 0-1119,-2 0 0,1 0 0,0 0 0,-1 0 0,-2 0 0,-2 0 0,-2 0 0</inkml:trace>
  <inkml:trace contextRef="#ctx0" brushRef="#br0" timeOffset="18801">1868 1703 24575,'0'21'0,"0"23"0,0 28 0,0 19 0,0-2 0,0-21 0,0-23 0,0-20 0,0-12 0,0-6 0,0-6 0,0-6 0,-1-8 0,-2-7 0,-1-8 0,-1-3 0,2-3 0,1 2 0,1 2 0,1 4 0,0 4 0,0 2 0,0 3 0,0 2 0,0 3 0,1 1 0,0 3 0,1 2 0,0 0 0,1 2 0,0 1 0,0 1 0,1 1 0,1 1 0,-1-1 0,2 1 0,-1 0 0,1 0 0,0 0 0,2 0 0,1 2 0,3 2 0,3 3 0,10 9 0,15 13 0,23 18 0,-20-14 0,2 1 0,4 4 0,1-1 0,-1-1 0,-1-1 0,32 23 0,-27-22 0,-21-14 0,-17-12 0,-9-9 0,-4-6 0,-3-5 0,0-10 0,0-15 0,0-36 0,1-24 0,0 43 0,0 0 0,0-40 0,0 35 0,0 24 0,0 20 0,0 9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17:13:43.087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1407 1 24575,'-26'0'0,"-32"0"0,-39 6 0,28 2 0,-5 2 0,-5 2 0,0 2 0,3 3 0,4 1 0,8-2 0,5 1 0,-23 8 0,28-7 0,26-9 0,16-4 0,9-3 0,6-1 0,6 0 0,5 1 0,7 0 0,3 2 0,8 3 0,15 12 0,19 17 0,19 11 0,-39-21 0,0-1 0,40 18 0,-19-13 0,-23-11 0,-19-8 0,-14-4 0,-6-2 0,-4-1 0,-1 0 0,-1-1 0,-5 2 0,-6 2 0,-8 4 0,-17 16 0,-21 26 0,19-13 0,-3 4 0,-6 10 0,-2 2 0,2 0 0,0 0 0,6-6 0,3-3 0,-22 25 0,25-28 0,15-18 0,13-15 0,7-6 0,7-4 0,4-3 0,5-5 0,5-3 0,6-3 0,24-1 0,34 2 0,-24 7 0,4 0 0,8 1 0,2 1 0,-4 1 0,-1-1 0,-11 0 0,-4 0 0,21-1 0,-30 1 0,-22 0 0,-14 2 0,-5 0 0,-4 1 0</inkml:trace>
  <inkml:trace contextRef="#ctx0" brushRef="#br0" timeOffset="1734">1 1273 24575,'37'0'0,"23"0"0,40 0 0,-39 0 0,2 0 0,3 0 0,0 0 0,-4 0 0,-1 0 0,-8 0 0,-2 0 0,35 0 0,-13 0 0,0-1 0,1-2 0,8-3 0,7-2 0,6-2 0,-2-2 0,-2 1 0,-7-1 0,-14 2 0,-6 0 0,-11 2 0,-9-1 0,-4 0 0,-3 0 0,1-1 0,4 0 0,3-1 0,4-2 0,-1 2 0,-2-1 0,-5 1 0,-4 0 0,-3 2 0,-2-1 0,-1 3 0,-1-1 0,2 0 0,1 2 0,3-1 0,0 0 0,-2 1 0,-5 1 0,-1 2 0,-4 0 0,-2-1 0,-4 2 0,-4-1 0,-3 3 0,-7 0 0,0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17:16:34.390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4383 2568 24575,'-12'-2'0,"-34"-10"0,-5-2 0,-11-6 0,1-2 0,-7-4 0,-3-3-1227,0-1 0,-4-3 0,-2-3 0,-3-2 1227,7 2 0,-3-3 0,-1-1 0,-1-2 0,-1-1-372,6 2 0,0-1 0,-2-2 1,1 0-1,-1-1 0,1 0 372,-1 0 0,0-2 0,0 1 0,0-1 0,0 0 0,2 0 0,-13-7 0,2-1 0,0 0 0,1 2 0,2 0 63,8 6 0,2 1 0,0 0 0,3 2 1,2 2-64,-2-1 0,3 1 0,2 3 0,3 1 0,-4-1 0,3 1 0,6 5 0,2 0 0,7 6 2004,-5-1-2004,28 18 3173,3 6-3173,-17-7 1646,-22-11-1646,-28-13 0,35 11 0,-4-2 0,-4-1 0,0-1 0,-2-1 0,1 0 0,5 1 0,2 1 0,6 2 0,3 2 0,-26-18 0,15 7 0,18 10 0,13 6 0,9 6 0,6 7 0,3 5 0,0 7 0,-1 7 0,-2 4 0,0 3 0,0-3 0,1-1 0,2-2 0,2-4 0,1-3 0,1-3 0,1-1 0,1-1 0,0-3 0,1-9 0,3-11 0,5-13 0,7-8 0,4-3 0,1 1 0,-1 0 0,0 2 0,-3 5 0,-2 8 0,-3 10 0,-2 8 0,-3 7 0,-1 4 0,8 7 0,19 4 0,28 6 0,25 4 0,11-1 0,-10 0 0,-21-4 0,-26-4 0,-22-6 0,-11-2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0T17:16:37.073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4284 3226 24575,'-9'0'0,"1"0"0,0 0 0,1 0 0,-7-2 0,-16-12 0,-40-25 0,0-2 0,-10-8 0,8 5 0,-6-4 0,-3-2-640,6 4 0,-2-2 1,-3-2-1,-1-2 640,8 5 0,-2-1 0,0-1 0,-1-1 0,-1-2-588,8 5 0,-1-1 1,0-1-1,0 0 1,-1-3-1,-1 0 588,6 2 0,-2-1 0,1-1 0,-1-1 0,0-1 0,0 0 0,0-1 0,-1-2 0,-1 0 0,0-2 0,1 0 0,0 0 0,0 0 0,1 1 0,2 0 0,-1 0 0,1 0 0,0 0 0,2 0 0,-1 1 0,3 1 0,-5-4 0,1 1 0,1 0 0,1 2 0,1 1 0,3 3-160,-14-12 1,3 3-1,2 4 1,3 3 159,-2-1 0,2 5 0,5 6 0,-3-2 0,7 9 0,-12-2 1964,31 20-1964,21 15 3851,10 5-3851,2 3 908,-4 0-908,-2 0 0,-2 0 0,1-1 0,3 0 0,4 0 0,2 1 0,2 1 0,1 2 0,-1 2 0,2 1 0,2 1 0,1-1 0,2 0 0,-2-1 0,0 4 0,0 8 0,1 9 0,0 2 0,-1-2 0,-1-8 0,-1-7 0,0-4 0,-1-4 0,0-5 0,-1-7 0,-2-20 0,-8-21 0,-8-18 0,-7-7 0,3 5 0,6 16 0,9 18 0,6 17 0,4 10 0,6 5 0,3 1 0,5 0 0,4 0 0,6 0 0,9 0 0,8 0 0,3 0 0,-3 0 0,-10 0 0,-9 0 0,-5 0 0,0 0 0,5 0 0,8 2 0,3 3 0,-1-1 0,-6 1 0,-10-2 0,-9-1 0,-6 2 0,-3-1 0,-1-1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ED72-026B-2448-ADEC-B1DB11838802}">
  <dimension ref="A4:K109"/>
  <sheetViews>
    <sheetView tabSelected="1" topLeftCell="B93" zoomScale="200" workbookViewId="0">
      <selection activeCell="D102" sqref="D102"/>
    </sheetView>
  </sheetViews>
  <sheetFormatPr baseColWidth="10" defaultRowHeight="16" x14ac:dyDescent="0.2"/>
  <sheetData>
    <row r="4" spans="2:4" x14ac:dyDescent="0.2">
      <c r="C4" s="1" t="s">
        <v>0</v>
      </c>
      <c r="D4" s="1"/>
    </row>
    <row r="5" spans="2:4" x14ac:dyDescent="0.2">
      <c r="C5" s="1"/>
      <c r="D5" s="1"/>
    </row>
    <row r="8" spans="2:4" x14ac:dyDescent="0.2">
      <c r="B8" t="s">
        <v>1</v>
      </c>
    </row>
    <row r="10" spans="2:4" x14ac:dyDescent="0.2">
      <c r="B10" t="s">
        <v>2</v>
      </c>
    </row>
    <row r="13" spans="2:4" x14ac:dyDescent="0.2">
      <c r="B13" t="s">
        <v>3</v>
      </c>
      <c r="D13" t="s">
        <v>5</v>
      </c>
    </row>
    <row r="14" spans="2:4" x14ac:dyDescent="0.2">
      <c r="B14" t="s">
        <v>4</v>
      </c>
      <c r="D14" t="s">
        <v>6</v>
      </c>
    </row>
    <row r="41" spans="1:1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4" spans="1:11" x14ac:dyDescent="0.2">
      <c r="B44" t="s">
        <v>34</v>
      </c>
    </row>
    <row r="46" spans="1:11" x14ac:dyDescent="0.2">
      <c r="B46" t="s">
        <v>35</v>
      </c>
    </row>
    <row r="48" spans="1:11" x14ac:dyDescent="0.2">
      <c r="B48" t="s">
        <v>36</v>
      </c>
      <c r="D48" t="s">
        <v>40</v>
      </c>
    </row>
    <row r="49" spans="1:9" x14ac:dyDescent="0.2">
      <c r="B49" t="s">
        <v>37</v>
      </c>
      <c r="D49" t="s">
        <v>41</v>
      </c>
    </row>
    <row r="51" spans="1:9" x14ac:dyDescent="0.2">
      <c r="B51" t="s">
        <v>38</v>
      </c>
      <c r="D51" t="s">
        <v>42</v>
      </c>
    </row>
    <row r="52" spans="1:9" x14ac:dyDescent="0.2">
      <c r="B52" t="s">
        <v>39</v>
      </c>
      <c r="D52" t="s">
        <v>43</v>
      </c>
    </row>
    <row r="55" spans="1:9" x14ac:dyDescent="0.2">
      <c r="A55" s="4"/>
      <c r="B55" s="4"/>
      <c r="C55" s="4"/>
      <c r="D55" s="4"/>
      <c r="E55" s="4"/>
      <c r="F55" s="4"/>
      <c r="G55" s="4"/>
      <c r="H55" s="4"/>
      <c r="I55" s="4"/>
    </row>
    <row r="57" spans="1:9" x14ac:dyDescent="0.2">
      <c r="B57" t="s">
        <v>44</v>
      </c>
      <c r="D57" t="s">
        <v>45</v>
      </c>
    </row>
    <row r="60" spans="1:9" x14ac:dyDescent="0.2">
      <c r="A60" s="4"/>
      <c r="B60" s="4"/>
      <c r="C60" s="4"/>
      <c r="D60" s="4"/>
      <c r="E60" s="4"/>
      <c r="F60" s="4"/>
      <c r="G60" s="4"/>
      <c r="H60" s="4"/>
      <c r="I60" s="4"/>
    </row>
    <row r="62" spans="1:9" x14ac:dyDescent="0.2">
      <c r="B62" t="s">
        <v>46</v>
      </c>
      <c r="D62" t="s">
        <v>47</v>
      </c>
    </row>
    <row r="64" spans="1:9" x14ac:dyDescent="0.2">
      <c r="A64" s="4"/>
      <c r="B64" s="4"/>
      <c r="C64" s="4"/>
      <c r="D64" s="4"/>
      <c r="E64" s="4"/>
      <c r="F64" s="4"/>
      <c r="G64" s="4"/>
    </row>
    <row r="66" spans="1:7" x14ac:dyDescent="0.2">
      <c r="B66" t="s">
        <v>51</v>
      </c>
    </row>
    <row r="69" spans="1:7" x14ac:dyDescent="0.2">
      <c r="A69" s="4"/>
      <c r="B69" s="4"/>
      <c r="C69" s="4"/>
      <c r="D69" s="4"/>
      <c r="E69" s="4"/>
      <c r="F69" s="4"/>
      <c r="G69" s="4"/>
    </row>
    <row r="72" spans="1:7" x14ac:dyDescent="0.2">
      <c r="B72" t="s">
        <v>56</v>
      </c>
    </row>
    <row r="75" spans="1:7" x14ac:dyDescent="0.2">
      <c r="A75" s="6"/>
      <c r="B75" s="6" t="s">
        <v>61</v>
      </c>
      <c r="C75" s="6" t="s">
        <v>62</v>
      </c>
      <c r="E75" t="s">
        <v>63</v>
      </c>
    </row>
    <row r="76" spans="1:7" x14ac:dyDescent="0.2">
      <c r="A76" s="6" t="s">
        <v>57</v>
      </c>
      <c r="B76" s="6">
        <v>50</v>
      </c>
      <c r="C76" s="6">
        <v>90</v>
      </c>
    </row>
    <row r="77" spans="1:7" x14ac:dyDescent="0.2">
      <c r="A77" s="6" t="s">
        <v>58</v>
      </c>
      <c r="B77" s="6">
        <v>50</v>
      </c>
      <c r="C77" s="6">
        <v>10</v>
      </c>
    </row>
    <row r="78" spans="1:7" x14ac:dyDescent="0.2">
      <c r="A78" s="6" t="s">
        <v>59</v>
      </c>
      <c r="B78" s="6">
        <v>40</v>
      </c>
      <c r="C78" s="6">
        <v>30</v>
      </c>
    </row>
    <row r="79" spans="1:7" x14ac:dyDescent="0.2">
      <c r="A79" s="6" t="s">
        <v>60</v>
      </c>
      <c r="B79" s="6">
        <v>40</v>
      </c>
      <c r="C79" s="6">
        <v>50</v>
      </c>
    </row>
    <row r="81" spans="2:8" x14ac:dyDescent="0.2">
      <c r="B81">
        <f>AVERAGE(B76:B79)</f>
        <v>45</v>
      </c>
      <c r="C81">
        <f>AVERAGE(C76:C79)</f>
        <v>45</v>
      </c>
    </row>
    <row r="84" spans="2:8" x14ac:dyDescent="0.2">
      <c r="B84" t="s">
        <v>64</v>
      </c>
    </row>
    <row r="86" spans="2:8" x14ac:dyDescent="0.2">
      <c r="B86" t="s">
        <v>65</v>
      </c>
    </row>
    <row r="93" spans="2:8" x14ac:dyDescent="0.2">
      <c r="B93" s="6"/>
      <c r="C93" s="8" t="s">
        <v>61</v>
      </c>
      <c r="D93" s="8" t="s">
        <v>66</v>
      </c>
      <c r="E93" s="8" t="s">
        <v>67</v>
      </c>
      <c r="F93" s="7" t="s">
        <v>62</v>
      </c>
      <c r="G93" s="7" t="s">
        <v>66</v>
      </c>
      <c r="H93" s="7" t="s">
        <v>67</v>
      </c>
    </row>
    <row r="94" spans="2:8" x14ac:dyDescent="0.2">
      <c r="B94" s="6" t="s">
        <v>57</v>
      </c>
      <c r="C94" s="6">
        <v>50</v>
      </c>
      <c r="D94" s="6">
        <f>C94-45</f>
        <v>5</v>
      </c>
      <c r="E94" s="6">
        <f>D94*D94</f>
        <v>25</v>
      </c>
      <c r="F94" s="6">
        <v>90</v>
      </c>
      <c r="G94" s="6">
        <f>F94-45</f>
        <v>45</v>
      </c>
      <c r="H94" s="6">
        <f>G94*G94</f>
        <v>2025</v>
      </c>
    </row>
    <row r="95" spans="2:8" x14ac:dyDescent="0.2">
      <c r="B95" s="6" t="s">
        <v>58</v>
      </c>
      <c r="C95" s="6">
        <v>50</v>
      </c>
      <c r="D95" s="6">
        <f t="shared" ref="D95:D97" si="0">C95-45</f>
        <v>5</v>
      </c>
      <c r="E95" s="6">
        <f t="shared" ref="E95:E97" si="1">D95*D95</f>
        <v>25</v>
      </c>
      <c r="F95" s="6">
        <v>10</v>
      </c>
      <c r="G95" s="6">
        <f t="shared" ref="G95:G97" si="2">F95-45</f>
        <v>-35</v>
      </c>
      <c r="H95" s="6">
        <f t="shared" ref="H95:H97" si="3">G95*G95</f>
        <v>1225</v>
      </c>
    </row>
    <row r="96" spans="2:8" x14ac:dyDescent="0.2">
      <c r="B96" s="6" t="s">
        <v>59</v>
      </c>
      <c r="C96" s="6">
        <v>40</v>
      </c>
      <c r="D96" s="6">
        <f t="shared" si="0"/>
        <v>-5</v>
      </c>
      <c r="E96" s="6">
        <f t="shared" si="1"/>
        <v>25</v>
      </c>
      <c r="F96" s="6">
        <v>30</v>
      </c>
      <c r="G96" s="6">
        <f t="shared" si="2"/>
        <v>-15</v>
      </c>
      <c r="H96" s="6">
        <f t="shared" si="3"/>
        <v>225</v>
      </c>
    </row>
    <row r="97" spans="2:8" x14ac:dyDescent="0.2">
      <c r="B97" s="6" t="s">
        <v>60</v>
      </c>
      <c r="C97" s="6">
        <v>40</v>
      </c>
      <c r="D97" s="6">
        <f t="shared" si="0"/>
        <v>-5</v>
      </c>
      <c r="E97" s="6">
        <f t="shared" si="1"/>
        <v>25</v>
      </c>
      <c r="F97" s="6">
        <v>50</v>
      </c>
      <c r="G97" s="6">
        <f t="shared" si="2"/>
        <v>5</v>
      </c>
      <c r="H97" s="6">
        <f t="shared" si="3"/>
        <v>25</v>
      </c>
    </row>
    <row r="99" spans="2:8" x14ac:dyDescent="0.2">
      <c r="E99">
        <f>AVERAGE(E94:E97)</f>
        <v>25</v>
      </c>
      <c r="H99">
        <f>AVERAGE(H94:H97)</f>
        <v>875</v>
      </c>
    </row>
    <row r="102" spans="2:8" x14ac:dyDescent="0.2">
      <c r="E102">
        <f>_xlfn.VAR.P(C94:C97)</f>
        <v>25</v>
      </c>
      <c r="H102">
        <f>_xlfn.VAR.P(F94:F97)</f>
        <v>875</v>
      </c>
    </row>
    <row r="103" spans="2:8" x14ac:dyDescent="0.2">
      <c r="E103" t="str">
        <f ca="1">_xlfn.FORMULATEXT(E102)</f>
        <v>=VAR.P(C94:C97)</v>
      </c>
      <c r="H103" t="str">
        <f ca="1">_xlfn.FORMULATEXT(H102)</f>
        <v>=VAR.P(F94:F97)</v>
      </c>
    </row>
    <row r="105" spans="2:8" x14ac:dyDescent="0.2">
      <c r="D105" t="s">
        <v>68</v>
      </c>
    </row>
    <row r="107" spans="2:8" x14ac:dyDescent="0.2">
      <c r="D107" t="s">
        <v>69</v>
      </c>
    </row>
    <row r="109" spans="2:8" x14ac:dyDescent="0.2">
      <c r="D109" t="s">
        <v>70</v>
      </c>
      <c r="E109" t="s">
        <v>71</v>
      </c>
    </row>
  </sheetData>
  <mergeCells count="1">
    <mergeCell ref="C4:D5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BBD3-3D5D-3A4F-82C8-C6953AD531E4}">
  <dimension ref="A4:I40"/>
  <sheetViews>
    <sheetView topLeftCell="A24" zoomScale="180" workbookViewId="0">
      <selection activeCell="E34" sqref="E34"/>
    </sheetView>
  </sheetViews>
  <sheetFormatPr baseColWidth="10" defaultRowHeight="16" x14ac:dyDescent="0.2"/>
  <cols>
    <col min="3" max="3" width="15" bestFit="1" customWidth="1"/>
    <col min="4" max="5" width="24.83203125" bestFit="1" customWidth="1"/>
  </cols>
  <sheetData>
    <row r="4" spans="1:9" x14ac:dyDescent="0.2">
      <c r="C4">
        <v>6</v>
      </c>
      <c r="E4">
        <f>MAX(C4:C13)</f>
        <v>36</v>
      </c>
      <c r="F4" t="str">
        <f ca="1">_xlfn.FORMULATEXT(E4)</f>
        <v>=MAX(C4:C13)</v>
      </c>
    </row>
    <row r="5" spans="1:9" x14ac:dyDescent="0.2">
      <c r="C5">
        <v>1</v>
      </c>
      <c r="E5">
        <f>MIN(C4:C13)</f>
        <v>-5</v>
      </c>
      <c r="F5" t="str">
        <f ca="1">_xlfn.FORMULATEXT(E5)</f>
        <v>=MIN(C4:C13)</v>
      </c>
    </row>
    <row r="6" spans="1:9" x14ac:dyDescent="0.2">
      <c r="C6">
        <v>-2</v>
      </c>
      <c r="E6">
        <f>SMALL(C4:C13,3)</f>
        <v>-1</v>
      </c>
      <c r="F6" t="str">
        <f t="shared" ref="F6:F7" ca="1" si="0">_xlfn.FORMULATEXT(E6)</f>
        <v>=SMALL(C4:C13,3)</v>
      </c>
    </row>
    <row r="7" spans="1:9" x14ac:dyDescent="0.2">
      <c r="C7">
        <v>5</v>
      </c>
      <c r="E7">
        <f>LARGE(C4:C13,4)</f>
        <v>14</v>
      </c>
      <c r="F7" t="str">
        <f t="shared" ca="1" si="0"/>
        <v>=LARGE(C4:C13,4)</v>
      </c>
    </row>
    <row r="8" spans="1:9" x14ac:dyDescent="0.2">
      <c r="C8">
        <v>31</v>
      </c>
    </row>
    <row r="9" spans="1:9" x14ac:dyDescent="0.2">
      <c r="C9">
        <v>-1</v>
      </c>
    </row>
    <row r="10" spans="1:9" x14ac:dyDescent="0.2">
      <c r="C10">
        <v>14</v>
      </c>
    </row>
    <row r="11" spans="1:9" x14ac:dyDescent="0.2">
      <c r="C11">
        <v>-5</v>
      </c>
    </row>
    <row r="12" spans="1:9" x14ac:dyDescent="0.2">
      <c r="C12">
        <v>17</v>
      </c>
    </row>
    <row r="13" spans="1:9" x14ac:dyDescent="0.2">
      <c r="C13">
        <v>36</v>
      </c>
    </row>
    <row r="16" spans="1:9" x14ac:dyDescent="0.2">
      <c r="A16" s="4"/>
      <c r="B16" s="4"/>
      <c r="C16" s="4"/>
      <c r="D16" s="4"/>
      <c r="E16" s="4"/>
      <c r="F16" s="4"/>
      <c r="G16" s="4"/>
      <c r="H16" s="4"/>
      <c r="I16" s="4"/>
    </row>
    <row r="19" spans="1:9" x14ac:dyDescent="0.2">
      <c r="C19" t="s">
        <v>48</v>
      </c>
      <c r="E19" t="str" cm="1">
        <f t="array" ref="E19:E21">_xlfn.UNIQUE(C19:C23)</f>
        <v>Apple</v>
      </c>
    </row>
    <row r="20" spans="1:9" x14ac:dyDescent="0.2">
      <c r="C20" t="s">
        <v>50</v>
      </c>
      <c r="E20" t="str">
        <v>Mango</v>
      </c>
    </row>
    <row r="21" spans="1:9" x14ac:dyDescent="0.2">
      <c r="C21" t="s">
        <v>49</v>
      </c>
      <c r="E21" t="str">
        <v>orange</v>
      </c>
    </row>
    <row r="22" spans="1:9" x14ac:dyDescent="0.2">
      <c r="C22" t="s">
        <v>48</v>
      </c>
    </row>
    <row r="23" spans="1:9" x14ac:dyDescent="0.2">
      <c r="C23" t="s">
        <v>50</v>
      </c>
    </row>
    <row r="26" spans="1:9" x14ac:dyDescent="0.2">
      <c r="A26" s="4"/>
      <c r="B26" s="4"/>
      <c r="C26" s="4"/>
      <c r="D26" s="4"/>
      <c r="E26" s="4"/>
      <c r="F26" s="4"/>
      <c r="G26" s="4"/>
      <c r="H26" s="4"/>
      <c r="I26" s="4"/>
    </row>
    <row r="28" spans="1:9" x14ac:dyDescent="0.2">
      <c r="C28" t="s">
        <v>52</v>
      </c>
      <c r="D28" t="s">
        <v>53</v>
      </c>
      <c r="E28" t="s">
        <v>55</v>
      </c>
      <c r="G28" t="s">
        <v>54</v>
      </c>
    </row>
    <row r="29" spans="1:9" x14ac:dyDescent="0.2">
      <c r="C29">
        <v>6</v>
      </c>
      <c r="D29">
        <f>RANK(C29,$C$29:$C$38,1)</f>
        <v>6</v>
      </c>
      <c r="E29">
        <f>RANK(C29,$C$29:$C$38,0)</f>
        <v>5</v>
      </c>
      <c r="G29" cm="1">
        <f t="array" ref="G29:G38">_xlfn._xlws.SORT(C29:C38)</f>
        <v>-5</v>
      </c>
    </row>
    <row r="30" spans="1:9" x14ac:dyDescent="0.2">
      <c r="C30">
        <v>1</v>
      </c>
      <c r="D30">
        <f t="shared" ref="D30:D38" si="1">RANK(C30,$C$29:$C$38,1)</f>
        <v>4</v>
      </c>
      <c r="E30">
        <f t="shared" ref="E30:E38" si="2">RANK(C30,$C$29:$C$38,0)</f>
        <v>7</v>
      </c>
      <c r="G30">
        <v>-2</v>
      </c>
    </row>
    <row r="31" spans="1:9" x14ac:dyDescent="0.2">
      <c r="C31">
        <v>-2</v>
      </c>
      <c r="D31">
        <f t="shared" si="1"/>
        <v>2</v>
      </c>
      <c r="E31">
        <f t="shared" si="2"/>
        <v>9</v>
      </c>
      <c r="G31">
        <v>-1</v>
      </c>
    </row>
    <row r="32" spans="1:9" x14ac:dyDescent="0.2">
      <c r="C32">
        <v>5</v>
      </c>
      <c r="D32">
        <f t="shared" si="1"/>
        <v>5</v>
      </c>
      <c r="E32">
        <f t="shared" si="2"/>
        <v>6</v>
      </c>
      <c r="G32">
        <v>1</v>
      </c>
    </row>
    <row r="33" spans="3:7" x14ac:dyDescent="0.2">
      <c r="C33">
        <v>31</v>
      </c>
      <c r="D33">
        <f t="shared" si="1"/>
        <v>9</v>
      </c>
      <c r="E33">
        <f t="shared" si="2"/>
        <v>2</v>
      </c>
      <c r="G33">
        <v>5</v>
      </c>
    </row>
    <row r="34" spans="3:7" x14ac:dyDescent="0.2">
      <c r="C34">
        <v>-1</v>
      </c>
      <c r="D34">
        <f t="shared" si="1"/>
        <v>3</v>
      </c>
      <c r="E34">
        <f t="shared" si="2"/>
        <v>8</v>
      </c>
      <c r="G34">
        <v>6</v>
      </c>
    </row>
    <row r="35" spans="3:7" x14ac:dyDescent="0.2">
      <c r="C35">
        <v>14</v>
      </c>
      <c r="D35">
        <f t="shared" si="1"/>
        <v>7</v>
      </c>
      <c r="E35">
        <f t="shared" si="2"/>
        <v>4</v>
      </c>
      <c r="G35">
        <v>14</v>
      </c>
    </row>
    <row r="36" spans="3:7" x14ac:dyDescent="0.2">
      <c r="C36">
        <v>-5</v>
      </c>
      <c r="D36">
        <f t="shared" si="1"/>
        <v>1</v>
      </c>
      <c r="E36">
        <f t="shared" si="2"/>
        <v>10</v>
      </c>
      <c r="G36">
        <v>17</v>
      </c>
    </row>
    <row r="37" spans="3:7" x14ac:dyDescent="0.2">
      <c r="C37">
        <v>17</v>
      </c>
      <c r="D37">
        <f t="shared" si="1"/>
        <v>8</v>
      </c>
      <c r="E37">
        <f t="shared" si="2"/>
        <v>3</v>
      </c>
      <c r="G37">
        <v>31</v>
      </c>
    </row>
    <row r="38" spans="3:7" x14ac:dyDescent="0.2">
      <c r="C38">
        <v>36</v>
      </c>
      <c r="D38">
        <f t="shared" si="1"/>
        <v>10</v>
      </c>
      <c r="E38">
        <f t="shared" si="2"/>
        <v>1</v>
      </c>
      <c r="G38">
        <v>36</v>
      </c>
    </row>
    <row r="40" spans="3:7" x14ac:dyDescent="0.2">
      <c r="D40" s="5" t="str">
        <f ca="1">_xlfn.FORMULATEXT(D38)</f>
        <v>=RANK(C38,$C$29:$C$38,1)</v>
      </c>
      <c r="E40" s="5" t="str">
        <f ca="1">_xlfn.FORMULATEXT(E38)</f>
        <v>=RANK(C38,$C$29:$C$38,0)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7BB1-5888-DB40-8CF2-37C7CD14E7B8}">
  <dimension ref="A4:L87"/>
  <sheetViews>
    <sheetView topLeftCell="A83" zoomScale="224" workbookViewId="0">
      <selection activeCell="E62" sqref="E62"/>
    </sheetView>
  </sheetViews>
  <sheetFormatPr baseColWidth="10" defaultRowHeight="16" x14ac:dyDescent="0.2"/>
  <sheetData>
    <row r="4" spans="3:8" x14ac:dyDescent="0.2">
      <c r="C4" s="2" t="s">
        <v>7</v>
      </c>
      <c r="D4" s="2" t="s">
        <v>8</v>
      </c>
      <c r="E4" s="2" t="s">
        <v>9</v>
      </c>
      <c r="G4" t="s">
        <v>15</v>
      </c>
    </row>
    <row r="5" spans="3:8" x14ac:dyDescent="0.2">
      <c r="C5" s="3" t="s">
        <v>10</v>
      </c>
      <c r="D5" s="3">
        <v>4000</v>
      </c>
      <c r="E5" s="3">
        <v>17</v>
      </c>
      <c r="G5">
        <f>COUNTIF(C5:C14,"MH")</f>
        <v>4</v>
      </c>
      <c r="H5" t="str">
        <f ca="1">_xlfn.FORMULATEXT(G5)</f>
        <v>=COUNTIF(C5:C14,"MH")</v>
      </c>
    </row>
    <row r="6" spans="3:8" x14ac:dyDescent="0.2">
      <c r="C6" s="3" t="s">
        <v>11</v>
      </c>
      <c r="D6" s="3">
        <v>5600</v>
      </c>
      <c r="E6" s="3">
        <v>18</v>
      </c>
    </row>
    <row r="7" spans="3:8" x14ac:dyDescent="0.2">
      <c r="C7" s="3" t="s">
        <v>12</v>
      </c>
      <c r="D7" s="3">
        <v>9700</v>
      </c>
      <c r="E7" s="3">
        <v>19</v>
      </c>
    </row>
    <row r="8" spans="3:8" x14ac:dyDescent="0.2">
      <c r="C8" s="3" t="s">
        <v>13</v>
      </c>
      <c r="D8" s="3">
        <v>4000</v>
      </c>
      <c r="E8" s="3">
        <v>20</v>
      </c>
      <c r="G8" t="s">
        <v>16</v>
      </c>
    </row>
    <row r="9" spans="3:8" x14ac:dyDescent="0.2">
      <c r="C9" s="3" t="s">
        <v>10</v>
      </c>
      <c r="D9" s="3">
        <v>8000</v>
      </c>
      <c r="E9" s="3">
        <v>21</v>
      </c>
    </row>
    <row r="10" spans="3:8" x14ac:dyDescent="0.2">
      <c r="C10" s="3" t="s">
        <v>11</v>
      </c>
      <c r="D10" s="3">
        <v>9000</v>
      </c>
      <c r="E10" s="3">
        <v>17</v>
      </c>
      <c r="G10">
        <f>COUNTIF(E5:E14,"&gt;=18")</f>
        <v>7</v>
      </c>
      <c r="H10" t="str">
        <f ca="1">_xlfn.FORMULATEXT(G10)</f>
        <v>=COUNTIF(E5:E14,"&gt;=18")</v>
      </c>
    </row>
    <row r="11" spans="3:8" x14ac:dyDescent="0.2">
      <c r="C11" s="3" t="s">
        <v>12</v>
      </c>
      <c r="D11" s="3">
        <v>15000</v>
      </c>
      <c r="E11" s="3">
        <v>18</v>
      </c>
    </row>
    <row r="12" spans="3:8" x14ac:dyDescent="0.2">
      <c r="C12" s="3" t="s">
        <v>10</v>
      </c>
      <c r="D12" s="3">
        <v>34000</v>
      </c>
      <c r="E12" s="3">
        <v>16</v>
      </c>
      <c r="G12" t="s">
        <v>17</v>
      </c>
    </row>
    <row r="13" spans="3:8" x14ac:dyDescent="0.2">
      <c r="C13" s="3" t="s">
        <v>14</v>
      </c>
      <c r="D13" s="3">
        <v>9000</v>
      </c>
      <c r="E13" s="3">
        <v>20</v>
      </c>
      <c r="G13">
        <f>COUNTIF(D5:D14,"&lt;10000")</f>
        <v>8</v>
      </c>
      <c r="H13" t="str">
        <f ca="1">_xlfn.FORMULATEXT(G13)</f>
        <v>=COUNTIF(D5:D14,"&lt;10000")</v>
      </c>
    </row>
    <row r="14" spans="3:8" x14ac:dyDescent="0.2">
      <c r="C14" s="3" t="s">
        <v>10</v>
      </c>
      <c r="D14" s="3">
        <v>9000</v>
      </c>
      <c r="E14" s="3">
        <v>24</v>
      </c>
    </row>
    <row r="17" spans="1:12" x14ac:dyDescent="0.2">
      <c r="A17" s="4"/>
      <c r="B17" s="4"/>
      <c r="C17" s="4"/>
      <c r="D17" s="4"/>
      <c r="E17" s="4"/>
      <c r="F17" s="4"/>
      <c r="G17" s="4"/>
      <c r="H17" s="4"/>
      <c r="I17" s="4"/>
      <c r="J17" s="4"/>
    </row>
    <row r="20" spans="1:12" x14ac:dyDescent="0.2">
      <c r="C20" s="2" t="s">
        <v>7</v>
      </c>
      <c r="D20" s="2" t="s">
        <v>8</v>
      </c>
      <c r="E20" s="2" t="s">
        <v>9</v>
      </c>
      <c r="G20" t="s">
        <v>18</v>
      </c>
    </row>
    <row r="21" spans="1:12" x14ac:dyDescent="0.2">
      <c r="C21" s="3" t="s">
        <v>10</v>
      </c>
      <c r="D21" s="3">
        <v>4000</v>
      </c>
      <c r="E21" s="3">
        <v>17</v>
      </c>
    </row>
    <row r="22" spans="1:12" x14ac:dyDescent="0.2">
      <c r="C22" s="3" t="s">
        <v>11</v>
      </c>
      <c r="D22" s="3">
        <v>5600</v>
      </c>
      <c r="E22" s="3">
        <v>18</v>
      </c>
      <c r="G22">
        <f>COUNTIFS(C21:C30,"UP",D21:D30,"&lt;10000")</f>
        <v>2</v>
      </c>
      <c r="H22" t="str">
        <f ca="1">_xlfn.FORMULATEXT(G22)</f>
        <v>=COUNTIFS(C21:C30,"UP",D21:D30,"&lt;10000")</v>
      </c>
    </row>
    <row r="23" spans="1:12" x14ac:dyDescent="0.2">
      <c r="C23" s="3" t="s">
        <v>12</v>
      </c>
      <c r="D23" s="3">
        <v>9700</v>
      </c>
      <c r="E23" s="3">
        <v>19</v>
      </c>
    </row>
    <row r="24" spans="1:12" x14ac:dyDescent="0.2">
      <c r="C24" s="3" t="s">
        <v>13</v>
      </c>
      <c r="D24" s="3">
        <v>4000</v>
      </c>
      <c r="E24" s="3">
        <v>20</v>
      </c>
    </row>
    <row r="25" spans="1:12" x14ac:dyDescent="0.2">
      <c r="C25" s="3" t="s">
        <v>10</v>
      </c>
      <c r="D25" s="3">
        <v>8000</v>
      </c>
      <c r="E25" s="3">
        <v>21</v>
      </c>
      <c r="G25" t="s">
        <v>19</v>
      </c>
    </row>
    <row r="26" spans="1:12" x14ac:dyDescent="0.2">
      <c r="C26" s="3" t="s">
        <v>11</v>
      </c>
      <c r="D26" s="3">
        <v>9000</v>
      </c>
      <c r="E26" s="3">
        <v>17</v>
      </c>
    </row>
    <row r="27" spans="1:12" x14ac:dyDescent="0.2">
      <c r="C27" s="3" t="s">
        <v>12</v>
      </c>
      <c r="D27" s="3">
        <v>15000</v>
      </c>
      <c r="E27" s="3">
        <v>18</v>
      </c>
      <c r="G27">
        <f>COUNTIFS(E21:E30,"&lt;18",D21:D30,"&gt;10000")</f>
        <v>1</v>
      </c>
      <c r="H27" t="str">
        <f ca="1">_xlfn.FORMULATEXT(G27)</f>
        <v>=COUNTIFS(E21:E30,"&lt;18",D21:D30,"&gt;10000")</v>
      </c>
    </row>
    <row r="28" spans="1:12" x14ac:dyDescent="0.2">
      <c r="C28" s="3" t="s">
        <v>10</v>
      </c>
      <c r="D28" s="3">
        <v>34000</v>
      </c>
      <c r="E28" s="3">
        <v>16</v>
      </c>
    </row>
    <row r="29" spans="1:12" x14ac:dyDescent="0.2">
      <c r="C29" s="3" t="s">
        <v>14</v>
      </c>
      <c r="D29" s="3">
        <v>9000</v>
      </c>
      <c r="E29" s="3">
        <v>20</v>
      </c>
      <c r="G29" t="s">
        <v>20</v>
      </c>
      <c r="L29" t="s">
        <v>21</v>
      </c>
    </row>
    <row r="30" spans="1:12" x14ac:dyDescent="0.2">
      <c r="C30" s="3" t="s">
        <v>10</v>
      </c>
      <c r="D30" s="3">
        <v>9000</v>
      </c>
      <c r="E30" s="3">
        <v>24</v>
      </c>
    </row>
    <row r="31" spans="1:12" x14ac:dyDescent="0.2">
      <c r="G31">
        <f>COUNTIFS(E21:E30,"&gt;=17",E21:E30,"&lt;=20")</f>
        <v>7</v>
      </c>
      <c r="H31" t="str">
        <f ca="1">_xlfn.FORMULATEXT(G31)</f>
        <v>=COUNTIFS(E21:E30,"&gt;=17",E21:E30,"&lt;=20")</v>
      </c>
    </row>
    <row r="34" spans="1:11" x14ac:dyDescent="0.2">
      <c r="A34" s="4"/>
      <c r="B34" s="4"/>
      <c r="C34" s="4"/>
      <c r="D34" s="4"/>
      <c r="E34" s="4"/>
      <c r="F34" s="4"/>
      <c r="G34" s="4"/>
    </row>
    <row r="37" spans="1:11" x14ac:dyDescent="0.2">
      <c r="B37" t="s">
        <v>25</v>
      </c>
      <c r="D37" t="s">
        <v>26</v>
      </c>
    </row>
    <row r="39" spans="1:11" x14ac:dyDescent="0.2">
      <c r="B39" s="2" t="s">
        <v>7</v>
      </c>
      <c r="C39" s="2" t="s">
        <v>8</v>
      </c>
      <c r="D39" s="2" t="s">
        <v>9</v>
      </c>
    </row>
    <row r="40" spans="1:11" x14ac:dyDescent="0.2">
      <c r="B40" s="3" t="s">
        <v>10</v>
      </c>
      <c r="C40" s="3">
        <v>4000</v>
      </c>
      <c r="D40" s="3">
        <v>17</v>
      </c>
      <c r="F40" t="s">
        <v>23</v>
      </c>
    </row>
    <row r="41" spans="1:11" x14ac:dyDescent="0.2">
      <c r="B41" s="3" t="s">
        <v>11</v>
      </c>
      <c r="C41" s="3">
        <v>5600</v>
      </c>
      <c r="D41" s="3">
        <v>18</v>
      </c>
    </row>
    <row r="42" spans="1:11" x14ac:dyDescent="0.2">
      <c r="B42" s="3" t="s">
        <v>12</v>
      </c>
      <c r="C42" s="3">
        <v>9700</v>
      </c>
      <c r="D42" s="3">
        <v>19</v>
      </c>
      <c r="F42">
        <f>AVERAGE(C40:C49)</f>
        <v>10730</v>
      </c>
      <c r="G42" t="str">
        <f ca="1">_xlfn.FORMULATEXT(F42)</f>
        <v>=AVERAGE(C40:C49)</v>
      </c>
    </row>
    <row r="43" spans="1:11" x14ac:dyDescent="0.2">
      <c r="B43" s="3" t="s">
        <v>13</v>
      </c>
      <c r="C43" s="3">
        <v>4000</v>
      </c>
      <c r="D43" s="3">
        <v>20</v>
      </c>
    </row>
    <row r="44" spans="1:11" x14ac:dyDescent="0.2">
      <c r="B44" s="3" t="s">
        <v>10</v>
      </c>
      <c r="C44" s="3">
        <v>8000</v>
      </c>
      <c r="D44" s="3">
        <v>21</v>
      </c>
      <c r="F44" t="s">
        <v>24</v>
      </c>
      <c r="J44">
        <f>AVERAGEIFS(C40:C49,B40:B49,"MH")</f>
        <v>13750</v>
      </c>
      <c r="K44" t="str">
        <f ca="1">_xlfn.FORMULATEXT(J44)</f>
        <v>=AVERAGEIFS(C40:C49,B40:B49,"MH")</v>
      </c>
    </row>
    <row r="45" spans="1:11" x14ac:dyDescent="0.2">
      <c r="B45" s="3" t="s">
        <v>11</v>
      </c>
      <c r="C45" s="3">
        <v>9000</v>
      </c>
      <c r="D45" s="3">
        <v>17</v>
      </c>
    </row>
    <row r="46" spans="1:11" x14ac:dyDescent="0.2">
      <c r="B46" s="3" t="s">
        <v>12</v>
      </c>
      <c r="C46" s="3">
        <v>15000</v>
      </c>
      <c r="D46" s="3">
        <v>18</v>
      </c>
      <c r="F46">
        <f>AVERAGEIF(B40:B49,"MH",C40:C49)</f>
        <v>13750</v>
      </c>
      <c r="G46" t="str">
        <f ca="1">_xlfn.FORMULATEXT(F46)</f>
        <v>=AVERAGEIF(B40:B49,"MH",C40:C49)</v>
      </c>
    </row>
    <row r="47" spans="1:11" x14ac:dyDescent="0.2">
      <c r="B47" s="3" t="s">
        <v>10</v>
      </c>
      <c r="C47" s="3">
        <v>34000</v>
      </c>
      <c r="D47" s="3">
        <v>16</v>
      </c>
    </row>
    <row r="48" spans="1:11" x14ac:dyDescent="0.2">
      <c r="B48" s="3" t="s">
        <v>14</v>
      </c>
      <c r="C48" s="3">
        <v>9000</v>
      </c>
      <c r="D48" s="3">
        <v>20</v>
      </c>
      <c r="F48">
        <f>SUM(C40,C44,C47,C49)/4</f>
        <v>13750</v>
      </c>
    </row>
    <row r="49" spans="1:8" x14ac:dyDescent="0.2">
      <c r="B49" s="3" t="s">
        <v>10</v>
      </c>
      <c r="C49" s="3">
        <v>9000</v>
      </c>
      <c r="D49" s="3">
        <v>24</v>
      </c>
    </row>
    <row r="50" spans="1:8" x14ac:dyDescent="0.2">
      <c r="F50" t="s">
        <v>27</v>
      </c>
    </row>
    <row r="51" spans="1:8" x14ac:dyDescent="0.2">
      <c r="F51">
        <f>AVERAGEIF(D40:D49,"&lt;20")</f>
        <v>17.5</v>
      </c>
      <c r="G51" t="str">
        <f ca="1">_xlfn.FORMULATEXT(F51)</f>
        <v>=AVERAGEIF(D40:D49,"&lt;20")</v>
      </c>
    </row>
    <row r="56" spans="1:8" x14ac:dyDescent="0.2">
      <c r="A56" s="4"/>
      <c r="B56" s="4"/>
      <c r="C56" s="4"/>
      <c r="D56" s="4"/>
      <c r="E56" s="4"/>
      <c r="F56" s="4"/>
      <c r="G56" s="4"/>
      <c r="H56" s="4"/>
    </row>
    <row r="59" spans="1:8" x14ac:dyDescent="0.2">
      <c r="B59" s="2" t="s">
        <v>7</v>
      </c>
      <c r="C59" s="2" t="s">
        <v>8</v>
      </c>
      <c r="D59" s="2" t="s">
        <v>9</v>
      </c>
    </row>
    <row r="60" spans="1:8" x14ac:dyDescent="0.2">
      <c r="B60" s="3" t="s">
        <v>10</v>
      </c>
      <c r="C60" s="3">
        <v>4000</v>
      </c>
      <c r="D60" s="3">
        <v>17</v>
      </c>
      <c r="F60" t="s">
        <v>28</v>
      </c>
    </row>
    <row r="61" spans="1:8" x14ac:dyDescent="0.2">
      <c r="B61" s="3" t="s">
        <v>11</v>
      </c>
      <c r="C61" s="3">
        <v>5600</v>
      </c>
      <c r="D61" s="3">
        <v>18</v>
      </c>
    </row>
    <row r="62" spans="1:8" x14ac:dyDescent="0.2">
      <c r="B62" s="3" t="s">
        <v>12</v>
      </c>
      <c r="C62" s="3">
        <v>9700</v>
      </c>
      <c r="D62" s="3">
        <v>19</v>
      </c>
      <c r="F62">
        <f>AVERAGEIFS(C60:C69,D60:D69,"&gt;=18",B60:B69,"MH")</f>
        <v>8500</v>
      </c>
      <c r="G62" t="str">
        <f ca="1">_xlfn.FORMULATEXT(F62)</f>
        <v>=AVERAGEIFS(C60:C69,D60:D69,"&gt;=18",B60:B69,"MH")</v>
      </c>
    </row>
    <row r="63" spans="1:8" x14ac:dyDescent="0.2">
      <c r="B63" s="3" t="s">
        <v>13</v>
      </c>
      <c r="C63" s="3">
        <v>4000</v>
      </c>
      <c r="D63" s="3">
        <v>20</v>
      </c>
    </row>
    <row r="64" spans="1:8" x14ac:dyDescent="0.2">
      <c r="B64" s="3" t="s">
        <v>10</v>
      </c>
      <c r="C64" s="3">
        <v>8000</v>
      </c>
      <c r="D64" s="3">
        <v>21</v>
      </c>
    </row>
    <row r="65" spans="2:7" x14ac:dyDescent="0.2">
      <c r="B65" s="3" t="s">
        <v>11</v>
      </c>
      <c r="C65" s="3">
        <v>9000</v>
      </c>
      <c r="D65" s="3">
        <v>17</v>
      </c>
      <c r="F65" t="s">
        <v>29</v>
      </c>
    </row>
    <row r="66" spans="2:7" x14ac:dyDescent="0.2">
      <c r="B66" s="3" t="s">
        <v>12</v>
      </c>
      <c r="C66" s="3">
        <v>15000</v>
      </c>
      <c r="D66" s="3">
        <v>18</v>
      </c>
    </row>
    <row r="67" spans="2:7" x14ac:dyDescent="0.2">
      <c r="B67" s="3" t="s">
        <v>10</v>
      </c>
      <c r="C67" s="3">
        <v>34000</v>
      </c>
      <c r="D67" s="3">
        <v>16</v>
      </c>
      <c r="F67">
        <f>AVERAGEIFS(C60:C69,D60:D69,"&gt;17",D60:D69,"&lt;21")</f>
        <v>8660</v>
      </c>
      <c r="G67" t="str">
        <f ca="1">_xlfn.FORMULATEXT(F67)</f>
        <v>=AVERAGEIFS(C60:C69,D60:D69,"&gt;17",D60:D69,"&lt;21")</v>
      </c>
    </row>
    <row r="68" spans="2:7" x14ac:dyDescent="0.2">
      <c r="B68" s="3" t="s">
        <v>14</v>
      </c>
      <c r="C68" s="3">
        <v>9000</v>
      </c>
      <c r="D68" s="3">
        <v>20</v>
      </c>
      <c r="F68">
        <f>AVERAGEIFS(C60:C69,D60:D69,"&gt;=18",D60:D69,"&lt;=20")</f>
        <v>8660</v>
      </c>
      <c r="G68" t="str">
        <f ca="1">_xlfn.FORMULATEXT(F68)</f>
        <v>=AVERAGEIFS(C60:C69,D60:D69,"&gt;=18",D60:D69,"&lt;=20")</v>
      </c>
    </row>
    <row r="69" spans="2:7" x14ac:dyDescent="0.2">
      <c r="B69" s="3" t="s">
        <v>10</v>
      </c>
      <c r="C69" s="3">
        <v>9000</v>
      </c>
      <c r="D69" s="3">
        <v>24</v>
      </c>
    </row>
    <row r="74" spans="2:7" x14ac:dyDescent="0.2">
      <c r="C74" t="s">
        <v>30</v>
      </c>
    </row>
    <row r="76" spans="2:7" x14ac:dyDescent="0.2">
      <c r="C76">
        <f>SUMIFS(C60:C69,D60:D69,"&gt;17",D60:D69,"&lt;21")</f>
        <v>43300</v>
      </c>
      <c r="D76" t="str">
        <f ca="1">_xlfn.FORMULATEXT(C76)</f>
        <v>=SUMIFS(C60:C69,D60:D69,"&gt;17",D60:D69,"&lt;21")</v>
      </c>
    </row>
    <row r="79" spans="2:7" x14ac:dyDescent="0.2">
      <c r="B79" t="s">
        <v>31</v>
      </c>
    </row>
    <row r="80" spans="2:7" x14ac:dyDescent="0.2">
      <c r="B80">
        <f>SUMIFS(C60:C69,C60:C69,"&gt;5000",D60:D69,"&gt;=17",D60:D69,"&lt;=21")</f>
        <v>56300</v>
      </c>
      <c r="C80" t="str">
        <f ca="1">_xlfn.FORMULATEXT(B80)</f>
        <v>=SUMIFS(C60:C69,C60:C69,"&gt;5000",D60:D69,"&gt;=17",D60:D69,"&lt;=21")</v>
      </c>
    </row>
    <row r="83" spans="1:7" x14ac:dyDescent="0.2">
      <c r="C83" t="s">
        <v>22</v>
      </c>
      <c r="E83" t="s">
        <v>32</v>
      </c>
    </row>
    <row r="84" spans="1:7" x14ac:dyDescent="0.2">
      <c r="C84" t="s">
        <v>26</v>
      </c>
      <c r="E84" t="s">
        <v>33</v>
      </c>
    </row>
    <row r="87" spans="1:7" x14ac:dyDescent="0.2">
      <c r="A87" s="4"/>
      <c r="B87" s="4"/>
      <c r="C87" s="4"/>
      <c r="D87" s="4"/>
      <c r="E87" s="4"/>
      <c r="F87" s="4"/>
      <c r="G8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agenda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2026-09-20T14:41:28Z</dcterms:created>
  <dcterms:modified xsi:type="dcterms:W3CDTF">2026-09-20T17:22:53Z</dcterms:modified>
</cp:coreProperties>
</file>