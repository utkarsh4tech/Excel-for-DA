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3C3FC0FE-1FB0-224F-94AD-594449C4D825}" xr6:coauthVersionLast="47" xr6:coauthVersionMax="47" xr10:uidLastSave="{00000000-0000-0000-0000-000000000000}"/>
  <bookViews>
    <workbookView xWindow="0" yWindow="600" windowWidth="28420" windowHeight="17400" activeTab="1" xr2:uid="{2E202CB8-5FA9-BF4E-8E54-1A6070E44FEA}"/>
  </bookViews>
  <sheets>
    <sheet name="agenda" sheetId="1" r:id="rId1"/>
    <sheet name="Sheet2" sheetId="2" r:id="rId2"/>
  </sheets>
  <definedNames>
    <definedName name="DIVIDE_THEN_ROUND2DP" comment="DIvides the num by den and rounds up to 2 Decimal Places">_xlfn.LAMBDA(_xlpm.a,_xlpm.b,ROUND(_xlpm.a/_xlpm.b,2))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3" i="2" l="1"/>
  <c r="E148" i="2" a="1"/>
  <c r="E148" i="2" s="1"/>
  <c r="F142" i="2"/>
  <c r="F141" i="2"/>
  <c r="B140" i="2" a="1"/>
  <c r="B140" i="2" s="1"/>
  <c r="G132" i="2"/>
  <c r="G130" i="2"/>
  <c r="H121" i="2"/>
  <c r="G121" i="2" a="1"/>
  <c r="G121" i="2" s="1"/>
  <c r="G83" i="2"/>
  <c r="H123" i="2"/>
  <c r="H122" i="2"/>
  <c r="C108" i="2"/>
  <c r="C106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C62" i="2" a="1"/>
  <c r="C62" i="2" s="1"/>
  <c r="E66" i="2" a="1"/>
  <c r="E66" i="2" s="1"/>
  <c r="D58" i="2"/>
  <c r="E61" i="2"/>
  <c r="C66" i="2" a="1"/>
  <c r="C66" i="2" s="1"/>
  <c r="G46" i="2" a="1"/>
  <c r="G46" i="2" s="1"/>
  <c r="G37" i="2"/>
  <c r="A42" i="2"/>
  <c r="A37" i="2"/>
  <c r="A38" i="2"/>
  <c r="A39" i="2"/>
  <c r="A40" i="2"/>
  <c r="A36" i="2"/>
  <c r="C4" i="2"/>
  <c r="D24" i="2" a="1"/>
  <c r="D24" i="2" s="1"/>
  <c r="D12" i="2"/>
  <c r="D16" i="2"/>
  <c r="D13" i="2"/>
  <c r="D14" i="2"/>
  <c r="D15" i="2"/>
  <c r="C6" i="2"/>
  <c r="I132" i="2"/>
  <c r="I130" i="2"/>
  <c r="E108" i="2"/>
  <c r="E106" i="2"/>
  <c r="C64" i="2"/>
  <c r="G39" i="2"/>
  <c r="E6" i="2"/>
  <c r="E4" i="2"/>
  <c r="I121" i="2" l="1"/>
  <c r="J123" i="2"/>
  <c r="I123" i="2"/>
  <c r="J121" i="2"/>
  <c r="J122" i="2"/>
  <c r="I12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<sst xmlns="http://schemas.openxmlformats.org/spreadsheetml/2006/main" count="175" uniqueCount="96">
  <si>
    <t>Arithmetic Functions (2)</t>
  </si>
  <si>
    <t>MOD</t>
  </si>
  <si>
    <t>QUOTIENT</t>
  </si>
  <si>
    <t>To get the Remainder</t>
  </si>
  <si>
    <t>To get the Quotient</t>
  </si>
  <si>
    <t>YEAR</t>
  </si>
  <si>
    <t>Yes/No</t>
  </si>
  <si>
    <t>UNIQUE</t>
  </si>
  <si>
    <t>Find out Unique values</t>
  </si>
  <si>
    <t>Colours</t>
  </si>
  <si>
    <t>Red</t>
  </si>
  <si>
    <t>Blue</t>
  </si>
  <si>
    <t>Green</t>
  </si>
  <si>
    <t>Pink</t>
  </si>
  <si>
    <t>SUMPRODUCT</t>
  </si>
  <si>
    <t>Qt</t>
  </si>
  <si>
    <t>Unit Price</t>
  </si>
  <si>
    <t>TOTAL PRICE</t>
  </si>
  <si>
    <t>2*706+5*850….</t>
  </si>
  <si>
    <t>Disc</t>
  </si>
  <si>
    <t>TOTAL price</t>
  </si>
  <si>
    <t xml:space="preserve">LAMBDA </t>
  </si>
  <si>
    <t>To get SUM after ELEMENT wise multiplication of arrays</t>
  </si>
  <si>
    <t>LAMBDA</t>
  </si>
  <si>
    <t>a function to create another funct</t>
  </si>
  <si>
    <t>DIVIDE A numb by another num and round it to 2 DP</t>
  </si>
  <si>
    <t>Create a function which takes 4 input a,b,c and d and gives (a+b+c)^d as output</t>
  </si>
  <si>
    <t>add_three_then_power</t>
  </si>
  <si>
    <t>STATISTICS</t>
  </si>
  <si>
    <t>RANK</t>
  </si>
  <si>
    <t>Department</t>
  </si>
  <si>
    <t>Name</t>
  </si>
  <si>
    <t>Position</t>
  </si>
  <si>
    <t>Salary</t>
  </si>
  <si>
    <t>Sales</t>
  </si>
  <si>
    <t>Wolfgang Ramjac</t>
  </si>
  <si>
    <t>Sales Representative</t>
  </si>
  <si>
    <t>Finance</t>
  </si>
  <si>
    <t>Paul Hill</t>
  </si>
  <si>
    <t>Finance Manager</t>
  </si>
  <si>
    <t>Gary Miller</t>
  </si>
  <si>
    <t>Financial Analyst</t>
  </si>
  <si>
    <t>Ewan Thompson</t>
  </si>
  <si>
    <t>Regional Sales Manager</t>
  </si>
  <si>
    <t>Peter Ramsy</t>
  </si>
  <si>
    <t>Procurement</t>
  </si>
  <si>
    <t>Corinna Schmidt</t>
  </si>
  <si>
    <t>Category Manager</t>
  </si>
  <si>
    <t>Stevie Bridge</t>
  </si>
  <si>
    <t>Sales Manager</t>
  </si>
  <si>
    <t>Crystal Doyle</t>
  </si>
  <si>
    <t>Finance Director</t>
  </si>
  <si>
    <t>Tom Wood</t>
  </si>
  <si>
    <t>Lead Buyer</t>
  </si>
  <si>
    <t>Matilda Collier</t>
  </si>
  <si>
    <t>Zac Fletcher</t>
  </si>
  <si>
    <t>Sales Assistant</t>
  </si>
  <si>
    <t>Ashton Kelly</t>
  </si>
  <si>
    <t>Cora Briggs</t>
  </si>
  <si>
    <t>Buyer</t>
  </si>
  <si>
    <t>Jude Bell</t>
  </si>
  <si>
    <t>Aydin Merritt</t>
  </si>
  <si>
    <t>James Willard</t>
  </si>
  <si>
    <t>Asc Ord Rank</t>
  </si>
  <si>
    <t>Des Ord Rank</t>
  </si>
  <si>
    <t>To get rank of a number in a given array / list of numbers</t>
  </si>
  <si>
    <t>LARGE</t>
  </si>
  <si>
    <t>To get Kth Largest num in array</t>
  </si>
  <si>
    <t>SMALL</t>
  </si>
  <si>
    <t>To get Kth Smallest num in array</t>
  </si>
  <si>
    <t>Largest to Small</t>
  </si>
  <si>
    <t>Small to Large</t>
  </si>
  <si>
    <t>RANK the Departerms by the AVG salary</t>
  </si>
  <si>
    <t>Asc Rank</t>
  </si>
  <si>
    <t>Desc Rank</t>
  </si>
  <si>
    <t>MAX</t>
  </si>
  <si>
    <t>MIN</t>
  </si>
  <si>
    <t>To get Maximum num among the array</t>
  </si>
  <si>
    <t>To get Minimum num among the array</t>
  </si>
  <si>
    <t>NUM inside the array</t>
  </si>
  <si>
    <t>Give RANKING</t>
  </si>
  <si>
    <t>NUM inside the array, but Kth largest</t>
  </si>
  <si>
    <t>NUM inside the array, but Kth Smallest</t>
  </si>
  <si>
    <t>Measures of Central Tendency</t>
  </si>
  <si>
    <t>AVERAGE / MEAN</t>
  </si>
  <si>
    <t>MEDIAN</t>
  </si>
  <si>
    <t>MODE</t>
  </si>
  <si>
    <t>Numbers</t>
  </si>
  <si>
    <t>Numbers &amp; Text</t>
  </si>
  <si>
    <t>Arithmetic mean of given num = SUM / COUNT</t>
  </si>
  <si>
    <t>Middle value IN THE SORTED DATA</t>
  </si>
  <si>
    <t>NUMBERS</t>
  </si>
  <si>
    <t>MEAN</t>
  </si>
  <si>
    <t>MOST repeated Value OR  Value with highest Freq</t>
  </si>
  <si>
    <t>MULTIPLE</t>
  </si>
  <si>
    <t>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</si>
</sst>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22"/>
      <color theme="1"/>
      <name val="Aptos Narrow (Body)"/>
    </font>
    <font>
      <sz val="12"/>
      <color rgb="FF00000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2" borderId="0" xfId="0" applyFill="1"/>
    <xf numFmtId="0" fontId="3" fillId="0" borderId="0" xfId="0" applyFont="1"/>
    <xf numFmtId="0" fontId="0" fillId="0" borderId="1" xfId="0" applyBorder="1"/>
    <xf numFmtId="0" fontId="3" fillId="0" borderId="1" xfId="0" applyFont="1" applyBorder="1"/>
    <xf numFmtId="0" fontId="0" fillId="3" borderId="1" xfId="0" applyFill="1" applyBorder="1"/>
    <xf numFmtId="9" fontId="0" fillId="0" borderId="1" xfId="1" applyFont="1" applyBorder="1"/>
    <xf numFmtId="0" fontId="0" fillId="0" borderId="1" xfId="0" applyFont="1" applyBorder="1"/>
    <xf numFmtId="9" fontId="0" fillId="2" borderId="0" xfId="0" applyNumberFormat="1" applyFill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4" borderId="2" xfId="0" applyFont="1" applyFill="1" applyBorder="1"/>
    <xf numFmtId="0" fontId="7" fillId="0" borderId="0" xfId="0" applyFont="1"/>
    <xf numFmtId="3" fontId="0" fillId="0" borderId="0" xfId="0" applyNumberFormat="1"/>
    <xf numFmtId="3" fontId="7" fillId="0" borderId="0" xfId="0" applyNumberFormat="1" applyFont="1"/>
    <xf numFmtId="0" fontId="6" fillId="4" borderId="0" xfId="0" applyFont="1" applyFill="1" applyBorder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ustomXml" Target="../ink/ink4.xml"/><Relationship Id="rId13" Type="http://schemas.openxmlformats.org/officeDocument/2006/relationships/image" Target="../media/image7.png"/><Relationship Id="rId18" Type="http://schemas.openxmlformats.org/officeDocument/2006/relationships/customXml" Target="../ink/ink9.xml"/><Relationship Id="rId26" Type="http://schemas.openxmlformats.org/officeDocument/2006/relationships/image" Target="../media/image14.png"/><Relationship Id="rId3" Type="http://schemas.openxmlformats.org/officeDocument/2006/relationships/image" Target="../media/image2.png"/><Relationship Id="rId21" Type="http://schemas.openxmlformats.org/officeDocument/2006/relationships/image" Target="../media/image11.png"/><Relationship Id="rId7" Type="http://schemas.openxmlformats.org/officeDocument/2006/relationships/image" Target="../media/image4.png"/><Relationship Id="rId12" Type="http://schemas.openxmlformats.org/officeDocument/2006/relationships/customXml" Target="../ink/ink6.xml"/><Relationship Id="rId17" Type="http://schemas.openxmlformats.org/officeDocument/2006/relationships/image" Target="../media/image9.png"/><Relationship Id="rId25" Type="http://schemas.openxmlformats.org/officeDocument/2006/relationships/image" Target="../media/image13.png"/><Relationship Id="rId2" Type="http://schemas.openxmlformats.org/officeDocument/2006/relationships/customXml" Target="../ink/ink1.xml"/><Relationship Id="rId16" Type="http://schemas.openxmlformats.org/officeDocument/2006/relationships/customXml" Target="../ink/ink8.xml"/><Relationship Id="rId20" Type="http://schemas.openxmlformats.org/officeDocument/2006/relationships/customXml" Target="../ink/ink10.xml"/><Relationship Id="rId29" Type="http://schemas.openxmlformats.org/officeDocument/2006/relationships/customXml" Target="../ink/ink14.xml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11" Type="http://schemas.openxmlformats.org/officeDocument/2006/relationships/image" Target="../media/image6.png"/><Relationship Id="rId24" Type="http://schemas.openxmlformats.org/officeDocument/2006/relationships/customXml" Target="../ink/ink12.xml"/><Relationship Id="rId5" Type="http://schemas.openxmlformats.org/officeDocument/2006/relationships/image" Target="../media/image3.png"/><Relationship Id="rId15" Type="http://schemas.openxmlformats.org/officeDocument/2006/relationships/image" Target="../media/image8.png"/><Relationship Id="rId23" Type="http://schemas.openxmlformats.org/officeDocument/2006/relationships/image" Target="../media/image12.png"/><Relationship Id="rId28" Type="http://schemas.openxmlformats.org/officeDocument/2006/relationships/image" Target="../media/image15.png"/><Relationship Id="rId10" Type="http://schemas.openxmlformats.org/officeDocument/2006/relationships/customXml" Target="../ink/ink5.xml"/><Relationship Id="rId19" Type="http://schemas.openxmlformats.org/officeDocument/2006/relationships/image" Target="../media/image10.png"/><Relationship Id="rId4" Type="http://schemas.openxmlformats.org/officeDocument/2006/relationships/customXml" Target="../ink/ink2.xml"/><Relationship Id="rId9" Type="http://schemas.openxmlformats.org/officeDocument/2006/relationships/image" Target="../media/image5.png"/><Relationship Id="rId14" Type="http://schemas.openxmlformats.org/officeDocument/2006/relationships/customXml" Target="../ink/ink7.xml"/><Relationship Id="rId22" Type="http://schemas.openxmlformats.org/officeDocument/2006/relationships/customXml" Target="../ink/ink11.xml"/><Relationship Id="rId27" Type="http://schemas.openxmlformats.org/officeDocument/2006/relationships/customXml" Target="../ink/ink13.xml"/><Relationship Id="rId30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28945</xdr:colOff>
      <xdr:row>6</xdr:row>
      <xdr:rowOff>117489</xdr:rowOff>
    </xdr:from>
    <xdr:to>
      <xdr:col>7</xdr:col>
      <xdr:colOff>753945</xdr:colOff>
      <xdr:row>15</xdr:row>
      <xdr:rowOff>176455</xdr:rowOff>
    </xdr:to>
    <xdr:pic>
      <xdr:nvPicPr>
        <xdr:cNvPr id="2" name="Picture 1" descr="Java Program to Find if a Given Year is a Leap Year ...">
          <a:extLst>
            <a:ext uri="{FF2B5EF4-FFF2-40B4-BE49-F238E27FC236}">
              <a16:creationId xmlns:a16="http://schemas.microsoft.com/office/drawing/2014/main" id="{CA7D8AF8-EFE7-C16E-C821-778A06D011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9033" y="1325947"/>
          <a:ext cx="2593296" cy="1871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104347</xdr:colOff>
      <xdr:row>38</xdr:row>
      <xdr:rowOff>127472</xdr:rowOff>
    </xdr:from>
    <xdr:to>
      <xdr:col>3</xdr:col>
      <xdr:colOff>244027</xdr:colOff>
      <xdr:row>39</xdr:row>
      <xdr:rowOff>38742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D72D37B4-29E1-B249-B78A-42CACDFA5A82}"/>
                </a:ext>
              </a:extLst>
            </xdr14:cNvPr>
            <xdr14:cNvContentPartPr/>
          </xdr14:nvContentPartPr>
          <xdr14:nvPr macro=""/>
          <xdr14:xfrm>
            <a:off x="2588400" y="7781040"/>
            <a:ext cx="139680" cy="11268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D72D37B4-29E1-B249-B78A-42CACDFA5A8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2582280" y="7774920"/>
              <a:ext cx="151920" cy="124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168787</xdr:colOff>
      <xdr:row>37</xdr:row>
      <xdr:rowOff>14241</xdr:rowOff>
    </xdr:from>
    <xdr:to>
      <xdr:col>3</xdr:col>
      <xdr:colOff>301987</xdr:colOff>
      <xdr:row>37</xdr:row>
      <xdr:rowOff>108921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4E0BCC34-4856-625A-B646-0ACD4F395AFF}"/>
                </a:ext>
              </a:extLst>
            </xdr14:cNvPr>
            <xdr14:cNvContentPartPr/>
          </xdr14:nvContentPartPr>
          <xdr14:nvPr macro=""/>
          <xdr14:xfrm>
            <a:off x="2652840" y="7466400"/>
            <a:ext cx="133200" cy="946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4E0BCC34-4856-625A-B646-0ACD4F395AFF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2646720" y="7460280"/>
              <a:ext cx="145440" cy="106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149347</xdr:colOff>
      <xdr:row>35</xdr:row>
      <xdr:rowOff>190621</xdr:rowOff>
    </xdr:from>
    <xdr:to>
      <xdr:col>3</xdr:col>
      <xdr:colOff>264907</xdr:colOff>
      <xdr:row>36</xdr:row>
      <xdr:rowOff>48611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56084CF3-025B-0122-8B50-CE5E5954C4CA}"/>
                </a:ext>
              </a:extLst>
            </xdr14:cNvPr>
            <xdr14:cNvContentPartPr/>
          </xdr14:nvContentPartPr>
          <xdr14:nvPr macro=""/>
          <xdr14:xfrm>
            <a:off x="2633400" y="7239960"/>
            <a:ext cx="115560" cy="5940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56084CF3-025B-0122-8B50-CE5E5954C4CA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627280" y="7233840"/>
              <a:ext cx="127800" cy="71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77725</xdr:colOff>
      <xdr:row>38</xdr:row>
      <xdr:rowOff>63752</xdr:rowOff>
    </xdr:from>
    <xdr:to>
      <xdr:col>2</xdr:col>
      <xdr:colOff>198685</xdr:colOff>
      <xdr:row>40</xdr:row>
      <xdr:rowOff>8332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7760D940-896D-98D3-9418-1F6A68022637}"/>
                </a:ext>
              </a:extLst>
            </xdr14:cNvPr>
            <xdr14:cNvContentPartPr/>
          </xdr14:nvContentPartPr>
          <xdr14:nvPr macro=""/>
          <xdr14:xfrm>
            <a:off x="1733760" y="7717320"/>
            <a:ext cx="120960" cy="34740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7760D940-896D-98D3-9418-1F6A68022637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1727640" y="7711426"/>
              <a:ext cx="133200" cy="3591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17605</xdr:colOff>
      <xdr:row>35</xdr:row>
      <xdr:rowOff>67501</xdr:rowOff>
    </xdr:from>
    <xdr:to>
      <xdr:col>2</xdr:col>
      <xdr:colOff>284365</xdr:colOff>
      <xdr:row>37</xdr:row>
      <xdr:rowOff>144561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F825A384-4638-A85E-2D9C-427E65DDB347}"/>
                </a:ext>
              </a:extLst>
            </xdr14:cNvPr>
            <xdr14:cNvContentPartPr/>
          </xdr14:nvContentPartPr>
          <xdr14:nvPr macro=""/>
          <xdr14:xfrm>
            <a:off x="1673640" y="7116840"/>
            <a:ext cx="266760" cy="47988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F825A384-4638-A85E-2D9C-427E65DDB347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1667520" y="7110885"/>
              <a:ext cx="279000" cy="49178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400214</xdr:colOff>
      <xdr:row>38</xdr:row>
      <xdr:rowOff>162752</xdr:rowOff>
    </xdr:from>
    <xdr:to>
      <xdr:col>6</xdr:col>
      <xdr:colOff>400574</xdr:colOff>
      <xdr:row>38</xdr:row>
      <xdr:rowOff>163112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94D2DCA4-5560-43C5-D3A3-BEF5EB183A13}"/>
                </a:ext>
              </a:extLst>
            </xdr14:cNvPr>
            <xdr14:cNvContentPartPr/>
          </xdr14:nvContentPartPr>
          <xdr14:nvPr macro=""/>
          <xdr14:xfrm>
            <a:off x="5368320" y="7816320"/>
            <a:ext cx="360" cy="36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94D2DCA4-5560-43C5-D3A3-BEF5EB183A13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5362200" y="78102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204308</xdr:colOff>
      <xdr:row>63</xdr:row>
      <xdr:rowOff>12879</xdr:rowOff>
    </xdr:from>
    <xdr:to>
      <xdr:col>4</xdr:col>
      <xdr:colOff>661148</xdr:colOff>
      <xdr:row>64</xdr:row>
      <xdr:rowOff>3592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94EEA6F8-D060-84EB-A536-B7ECA0FA60BC}"/>
                </a:ext>
              </a:extLst>
            </xdr14:cNvPr>
            <xdr14:cNvContentPartPr/>
          </xdr14:nvContentPartPr>
          <xdr14:nvPr macro=""/>
          <xdr14:xfrm>
            <a:off x="3505320" y="12777120"/>
            <a:ext cx="456840" cy="19332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94EEA6F8-D060-84EB-A536-B7ECA0FA60BC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3499200" y="12771000"/>
              <a:ext cx="469080" cy="205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814187</xdr:colOff>
      <xdr:row>62</xdr:row>
      <xdr:rowOff>179126</xdr:rowOff>
    </xdr:from>
    <xdr:to>
      <xdr:col>2</xdr:col>
      <xdr:colOff>928505</xdr:colOff>
      <xdr:row>64</xdr:row>
      <xdr:rowOff>123832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7F8FEBD7-BAFE-437E-30AE-1C79A70AD049}"/>
                </a:ext>
              </a:extLst>
            </xdr14:cNvPr>
            <xdr14:cNvContentPartPr/>
          </xdr14:nvContentPartPr>
          <xdr14:nvPr macro=""/>
          <xdr14:xfrm>
            <a:off x="1639440" y="12740760"/>
            <a:ext cx="1864440" cy="34992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7F8FEBD7-BAFE-437E-30AE-1C79A70AD049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1633320" y="12734640"/>
              <a:ext cx="1876680" cy="362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571660</xdr:colOff>
      <xdr:row>139</xdr:row>
      <xdr:rowOff>23640</xdr:rowOff>
    </xdr:from>
    <xdr:to>
      <xdr:col>1</xdr:col>
      <xdr:colOff>1555900</xdr:colOff>
      <xdr:row>149</xdr:row>
      <xdr:rowOff>79280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">
          <xdr14:nvContentPartPr>
            <xdr14:cNvPr id="61" name="Ink 60">
              <a:extLst>
                <a:ext uri="{FF2B5EF4-FFF2-40B4-BE49-F238E27FC236}">
                  <a16:creationId xmlns:a16="http://schemas.microsoft.com/office/drawing/2014/main" id="{FF44B762-21A9-68CE-487F-AABE71F46CCF}"/>
                </a:ext>
              </a:extLst>
            </xdr14:cNvPr>
            <xdr14:cNvContentPartPr/>
          </xdr14:nvContentPartPr>
          <xdr14:nvPr macro=""/>
          <xdr14:xfrm>
            <a:off x="1397160" y="28293840"/>
            <a:ext cx="984240" cy="2087640"/>
          </xdr14:xfrm>
        </xdr:contentPart>
      </mc:Choice>
      <mc:Fallback>
        <xdr:pic>
          <xdr:nvPicPr>
            <xdr:cNvPr id="61" name="Ink 60">
              <a:extLst>
                <a:ext uri="{FF2B5EF4-FFF2-40B4-BE49-F238E27FC236}">
                  <a16:creationId xmlns:a16="http://schemas.microsoft.com/office/drawing/2014/main" id="{FF44B762-21A9-68CE-487F-AABE71F46CCF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1391040" y="28287720"/>
              <a:ext cx="996480" cy="209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1535020</xdr:colOff>
      <xdr:row>144</xdr:row>
      <xdr:rowOff>21040</xdr:rowOff>
    </xdr:from>
    <xdr:to>
      <xdr:col>2</xdr:col>
      <xdr:colOff>88060</xdr:colOff>
      <xdr:row>145</xdr:row>
      <xdr:rowOff>3960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3A5129D0-D5C5-73C2-BF19-6C18C1E444E4}"/>
                </a:ext>
              </a:extLst>
            </xdr14:cNvPr>
            <xdr14:cNvContentPartPr/>
          </xdr14:nvContentPartPr>
          <xdr14:nvPr macro=""/>
          <xdr14:xfrm>
            <a:off x="2360520" y="29307240"/>
            <a:ext cx="305640" cy="18612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3A5129D0-D5C5-73C2-BF19-6C18C1E444E4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2354400" y="29301120"/>
              <a:ext cx="317880" cy="19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79060</xdr:colOff>
      <xdr:row>139</xdr:row>
      <xdr:rowOff>171240</xdr:rowOff>
    </xdr:from>
    <xdr:to>
      <xdr:col>4</xdr:col>
      <xdr:colOff>184400</xdr:colOff>
      <xdr:row>144</xdr:row>
      <xdr:rowOff>115720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745D4A73-77FC-8EF1-EB30-FDB59D96FB5A}"/>
                </a:ext>
              </a:extLst>
            </xdr14:cNvPr>
            <xdr14:cNvContentPartPr/>
          </xdr14:nvContentPartPr>
          <xdr14:nvPr macro=""/>
          <xdr14:xfrm>
            <a:off x="2657160" y="28441440"/>
            <a:ext cx="3369240" cy="96048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745D4A73-77FC-8EF1-EB30-FDB59D96FB5A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2651040" y="28435320"/>
              <a:ext cx="3381480" cy="97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9310</xdr:colOff>
      <xdr:row>143</xdr:row>
      <xdr:rowOff>47470</xdr:rowOff>
    </xdr:from>
    <xdr:to>
      <xdr:col>5</xdr:col>
      <xdr:colOff>110350</xdr:colOff>
      <xdr:row>149</xdr:row>
      <xdr:rowOff>70630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3579EFB6-B31A-16A5-9293-3AB19F8287B5}"/>
                </a:ext>
              </a:extLst>
            </xdr14:cNvPr>
            <xdr14:cNvContentPartPr/>
          </xdr14:nvContentPartPr>
          <xdr14:nvPr macro=""/>
          <xdr14:xfrm>
            <a:off x="4238410" y="29130470"/>
            <a:ext cx="2539440" cy="124236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3579EFB6-B31A-16A5-9293-3AB19F8287B5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4232290" y="29124352"/>
              <a:ext cx="2551680" cy="12545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0</xdr:colOff>
      <xdr:row>153</xdr:row>
      <xdr:rowOff>0</xdr:rowOff>
    </xdr:from>
    <xdr:to>
      <xdr:col>2</xdr:col>
      <xdr:colOff>838200</xdr:colOff>
      <xdr:row>159</xdr:row>
      <xdr:rowOff>101600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09996DB-50A5-17FB-D706-AECE32A03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825500" y="31115000"/>
          <a:ext cx="2590800" cy="1320800"/>
        </a:xfrm>
        <a:prstGeom prst="rect">
          <a:avLst/>
        </a:prstGeom>
      </xdr:spPr>
    </xdr:pic>
    <xdr:clientData/>
  </xdr:twoCellAnchor>
  <xdr:twoCellAnchor editAs="oneCell">
    <xdr:from>
      <xdr:col>1</xdr:col>
      <xdr:colOff>1376980</xdr:colOff>
      <xdr:row>159</xdr:row>
      <xdr:rowOff>108640</xdr:rowOff>
    </xdr:from>
    <xdr:to>
      <xdr:col>2</xdr:col>
      <xdr:colOff>430780</xdr:colOff>
      <xdr:row>161</xdr:row>
      <xdr:rowOff>134600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0B9E5C50-80EE-A5EA-9A54-BF2CFE189447}"/>
                </a:ext>
              </a:extLst>
            </xdr14:cNvPr>
            <xdr14:cNvContentPartPr/>
          </xdr14:nvContentPartPr>
          <xdr14:nvPr macro=""/>
          <xdr14:xfrm>
            <a:off x="2202480" y="32442840"/>
            <a:ext cx="806400" cy="43236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0B9E5C50-80EE-A5EA-9A54-BF2CFE189447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2196360" y="32436720"/>
              <a:ext cx="818640" cy="44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1493980</xdr:colOff>
      <xdr:row>155</xdr:row>
      <xdr:rowOff>114320</xdr:rowOff>
    </xdr:from>
    <xdr:to>
      <xdr:col>2</xdr:col>
      <xdr:colOff>121540</xdr:colOff>
      <xdr:row>158</xdr:row>
      <xdr:rowOff>9800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290C015B-19B3-7DDE-ED18-226A65F04A29}"/>
                </a:ext>
              </a:extLst>
            </xdr14:cNvPr>
            <xdr14:cNvContentPartPr/>
          </xdr14:nvContentPartPr>
          <xdr14:nvPr macro=""/>
          <xdr14:xfrm>
            <a:off x="2319480" y="31635720"/>
            <a:ext cx="380160" cy="50508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290C015B-19B3-7DDE-ED18-226A65F04A2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2313360" y="31629604"/>
              <a:ext cx="392400" cy="517311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5:53:07.58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131 0 24575,'0'16'0,"0"4"0,0 12 0,0 9 0,0 5 0,0 0 0,0-8 0,0-10 0,0-11 0,0-5 0,0-6 0,0 0 0,0-4 0,0 0 0</inkml:trace>
  <inkml:trace contextRef="#ctx0" brushRef="#br0" timeOffset="666">1 312 24575,'14'0'0,"9"0"0,15 0 0,8 0 0,-5 0 0,-9 0 0,-15 0 0,-7 0 0,3 0 0,8 0 0,7 0 0,4 0 0,-7 0 0,-7 0 0,-6 0 0,-3-4 0,-5 4 0,0-4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5:53:05.97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 1 24575,'0'32'0,"0"9"0,0 10 0,0 1 0,0-12 0,0-11 0,0-17 0,0-7 0</inkml:trace>
  <inkml:trace contextRef="#ctx0" brushRef="#br0" timeOffset="616">1 195 24575,'25'0'0,"21"0"0,22 0 0,10 0 0,-7 0 0,-22 0 0,-27 0 0,-12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5:53:04.48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91 0 24575,'-3'10'0,"2"5"0,1 5 0,0 2 0,0-3 0,0-2 0,0-1 0,0-1 0,0-2 0,0-4 0,0-4 0,0-2 0</inkml:trace>
  <inkml:trace contextRef="#ctx0" brushRef="#br0" timeOffset="733">0 160 24575,'17'0'0,"0"0"0,1 0 0,0 0 0,-1 0 0,7 0 0,9 0 0,9 0 0,5 0 0,-8 0 0,-11 0 0,-14 0 0,-8 0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5:52:59.40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 68 24575,'13'15'0,"16"13"0,12 10 0,10 5 0,-2-8 0,-12-11 0,-10-10 0,-12-7 0,-7-5 0,-3-1 0,-2 0 0</inkml:trace>
  <inkml:trace contextRef="#ctx0" brushRef="#br0" timeOffset="767">215 1 24575,'0'17'0,"-4"13"0,-5 12 0,-4 8 0,-1-1 0,4-14 0,4-16 0,4-10 0</inkml:trace>
  <inkml:trace contextRef="#ctx0" brushRef="#br0" timeOffset="1483">0 516 24575,'18'24'0,"17"16"0,13 14 0,7 9 0,-9-10 0,-13-14 0,-10-14 0,-12-15 0,-6-12 0,-3 0 0,-2-3 0</inkml:trace>
  <inkml:trace contextRef="#ctx0" brushRef="#br0" timeOffset="2300">221 407 24575,'0'13'0,"0"13"0,0 18 0,-1 9 0,-2 0 0,-2-6 0,0-11 0,1-10 0,1-9 0,0-5 0,2-7 0,0-1 0</inkml:trace>
  <inkml:trace contextRef="#ctx0" brushRef="#br0" timeOffset="3200">195 743 24575,'-3'10'0,"-2"3"0,-4 5 0,-5 5 0,-3 5 0,-5 4 0,-1-1 0,1-5 0,4-5 0,5-6 0,3-5 0,3-2 0,2-2 0,1-2 0,0 1 0,0-1 0,-1 0 0,2-4 0,3-3 0,-1 1 0,3-3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5:52:53.73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0 151 24575,'36'0'0,"47"0"0,-16 0 0,5 0 0,7 0 0,1 0 0,-8 0 0,-4 0 0,30 0 0,-48 0 0,-24-1 0,-18 1 0,-7-1 0</inkml:trace>
  <inkml:trace contextRef="#ctx0" brushRef="#br0" timeOffset="1233">202 81 24575,'25'26'0,"4"2"0,8 3 0,0-2 0,-3-1 0,-7-7 0,-7-5 0,-7-5 0,-2-4 0,-3 0 0,-2-3 0,-1-1 0,-3-2 0</inkml:trace>
  <inkml:trace contextRef="#ctx0" brushRef="#br0" timeOffset="2016">326 1 24575,'0'15'0,"-3"18"0,-5 23 0,-6 16 0,-3 1 0,3-15 0,4-19 0,4-19 0,3-12 0,2-6 0</inkml:trace>
  <inkml:trace contextRef="#ctx0" brushRef="#br0" timeOffset="2733">213 537 24575,'11'13'0,"11"8"0,9 10 0,6 5 0,0-3 0,-7-8 0,-9-9 0,-9-11 0,-9-17 0,-2 5 0,-2-6 0</inkml:trace>
  <inkml:trace contextRef="#ctx0" brushRef="#br0" timeOffset="3516">369 581 24575,'0'16'0,"-4"7"0,-3 9 0,-6 6 0,-4 4 0,-2-1 0,0 1 0,-3 1 0,-1-2 0,2-7 0,4-9 0,9-13 0,4-6 0</inkml:trace>
  <inkml:trace contextRef="#ctx0" brushRef="#br0" timeOffset="4216">200 1116 24575,'4'4'0,"8"6"0,10 6 0,9 8 0,7 5 0,-2-2 0,-3-4 0,-10-7 0,-6-8 0,-7-4 0,-3-4 0,-3-3 0,-1-4 0,-2 3 0,0-3 0</inkml:trace>
  <inkml:trace contextRef="#ctx0" brushRef="#br0" timeOffset="4916">373 1090 24575,'-1'12'0,"-7"15"0,-10 22 0,-7 10 0,-3-1 0,9-15 0,9-23 0,6-9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5:55:36.64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1 24575,'0'0'0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6:16:10.87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241 1 24575,'-8'0'0,"-3"0"0,-8 0 0,-6 0 0,-6 0 0,-4 0 0,1 0 0,4 0 0,9 0 0,7 0 0,7 1 0,3 2 0,2 0 0,2 1 0,0 0 0,0 1 0,0 1 0,0 1 0,0 0 0,0 0 0,1 0 0,0 1 0,0 0 0,0 2 0,-1 4 0,0 4 0,0 1 0,0 1 0,0 0 0,0-1 0,0 1 0,0-2 0,0 0 0,0-2 0,0-1 0,0-1 0,0-2 0,0 0 0,0-1 0,0-1 0,0 2 0,0-1 0,0 0 0,0 0 0,0-1 0,0 0 0,0 0 0,0-1 0,0 0 0,0 1 0,0 1 0,0 0 0,0 0 0,0 1 0,0 0 0,0-1 0,0-1 0,0-2 0,0-2 0,2-2 0,0-3 0,2-1 0,0 0 0,4 0 0,3-1 0,3-3 0,2-2 0,4-1 0,5 1 0,11 1 0,16 2 0,12 2 0,6-1 0,-2 1 0,-8-1 0,-8 1 0,-9 1 0,-5-1 0,-2 0 0,-1-1 0,0 1 0,1 1 0,2 0 0,0 0 0,0 0 0,-4 0 0,-5 0 0,-4 0 0,-2 0 0,2 0 0,1 0 0,1 0 0,0 0 0,-3 0 0,-1 0 0,-4 0 0,-2 0 0,-4 0 0,-1 0 0,-2 0 0,0 0 0,-1 0 0,0 0 0,-1 0 0,0 0 0,-2 0 0,0 0 0,-1 0 0,-1 0 0,-1-3 0,-1-1 0,-1-3 0,-1-2 0,0-2 0,0-1 0,0-5 0,1-9 0,2-10 0,0-6 0,1 0 0,-2 3 0,-1 7 0,-1 5 0,0 4 0,0 3 0,0 2 0,0 1 0,0 3 0,-1 1 0,-1 1 0,-1 0 0,0 1 0,-1 2 0,0 2 0,-1 2 0,0 2 0,-1 3 0,-2-1 0,-4 1 0,-6 0 0,-12 0 0,-12 0 0,-16 0 0,-18 0 0,-6 0 0,-2 0 0,4 0 0,11 0 0,7 0 0,11 0 0,9 0 0,10 0 0,7 0 0,5 0 0,4 0 0,2 0 0,1 0 0,1 0 0,0 0 0,-3 0 0,-3 0 0,-2 0 0,0 0 0,2 0 0,4 0 0,4 0 0,5 0 0,3 0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6:16:16.61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377 754 24575,'8'-3'0,"18"0"0,29 3 0,34 0 0,-30 0 0,3 0 0,8 0 0,3 0 0,15 0 0,3 0 0,5 0 0,2 0 0,-29 0 0,1 0 0,1 0-165,3 0 0,1 0 0,0 0 165,-6 0 0,0 0 0,-1 0 0,27 0 0,-2 0 0,-11 0 0,-4 0 0,-10 0 0,-3 0 0,-7 0 0,0 0 0,-4 0 0,0 0 0,37 0 0,-10 2 495,-5 1-495,0 2 0,2 0 0,3 0 0,2-1 0,-3 1 0,1-1 0,0 1 0,5 1 0,3 0 0,0 0 0,3 0 0,-4-1 0,-2-1 0,-6-1 0,-9-1 0,-7 3 0,-10 0 0,-9 2 0,-6 0 0,-3 0 0,1 0 0,3-1 0,3 0 0,5-1 0,-1-1 0,1-2 0,1-1 0,2-1 0,1 0 0,-2 0 0,-4 0 0,-9 0 0,-6 0 0,-5 0 0,-3 0 0,0 0 0,-1 0 0,1 0 0,-1 0 0,1-1 0,0-1 0,0-2 0,-1 1 0,-2 0 0,-1 1 0,-3 0 0,-2 0 0,-1 0 0,-3 1 0,-3-2 0,-3 0 0,-2-2 0,-2-2 0,0-2 0,0-2 0,0-3 0,0-3 0,-1-4 0,-2-2 0,-2-2 0,-1 1 0,0 3 0,3 3 0,-1 5 0,1 3 0,0 1 0,1 1 0,2 0 0,0-3 0,0-6 0,0-6 0,0-5 0,0-3 0,-1 0 0,-1 1 0,1 3 0,-1 1 0,1 2 0,-1 2 0,-1-1 0,-2-2 0,-1-3 0,-1-2 0,0 2 0,0 5 0,2 5 0,2 7 0,1 5 0,-1 2 0,2 0 0,-2-3 0,-2-6 0,-2-5 0,-3-7 0,1 1 0,2 4 0,1 7 0,3 6 0,0 4 0,0 2 0,0 1 0,-4 0 0,-10 0 0,-20 0 0,-29 0 0,-29-2 0,38 1 0,-3-1 0,-5 0 0,-1 1 0,-3-1 0,0 0 0,-1 1 0,0 0 0,-2 1 0,1 0 0,1 0 0,1 0 0,4 0 0,1 0 0,5 0 0,1 0 0,5 0 0,2 0 0,-38 0 0,6 0 0,7 0 0,4 0 0,3 0 0,3 0 0,2 0 0,4 0 0,0 0 0,-1 0 0,-1 0 0,-4 0 0,0 0 0,3 0 0,2 0 0,-3 2 0,-5 1 0,-10 1 0,-3 0 0,3 0 0,7 0 0,11 0 0,10 1 0,4 0 0,-2 0 0,-3-1 0,-2 0 0,1 1 0,-1 0 0,-3 3 0,-5 2 0,-3 0 0,-4-1 0,-2-1 0,-5-2 0,-4-3 0,-6 0 0,2-1 0,3-1 0,3-1 0,4 0 0,-2 0 0,3 0 0,4 0 0,9 0 0,10 0 0,10 0 0,11 0 0,5 0 0,3 0 0,2 0 0,-2 0 0,-2 0 0,-1 0 0,-4 0 0,-1 0 0,-1 0 0,0 1 0,2 0 0,3 0 0,2 0 0,4-1 0,3 0 0,4 0 0,1 0 0,1 0 0,2 1 0,2 1 0,3 1 0,2 2 0,1 4 0,0 11 0,0 15 0,-3 27 0,-4 20 0,-4 11 0,-3-2 0,1-17 0,3-14 0,4-17 0,3-11 0,2-6 0,0-3 0,1-4 0,0-2 0,0-2 0,1 0 0,3-2 0,2 1 0,1-1 0,3 0 0,1-1 0,4-1 0,1-1 0,6-1 0,11-1 0,20 0 0,24-1 0,13-4 0,3-2 0,-12-1 0,-18 0 0,-11 0 0,-10-1 0,-4-2 0,-4-2 0,-4-1 0,-6 1 0,-7 2 0,-9 1 0,-4 1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7:24:37.8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2974 24575,'43'0'0,"29"0"0,-14 0 0,7 0 0,16 0 0,6 0 0,-22 0 0,3 0 0,-1 0 0,2 0 0,0 0 0,-1 0 0,26 0 0,-3 0 0,-9 0 0,-4 0 0,-12 0 0,-4 0 0,-8 0 0,-4 0 0,27 0 0,-26 0 0,-23 0 0,-14 2 0,-10 1 0,-5-1 0,-6-1 0,-8-4 0,-6-6 0,-7-4 0,-5-4 0,-1-2 0,-1 0 0,1 0 0,3 2 0,4 3 0,3 0 0,3 3 0,5 0 0,5 4 0,5 1 0,4 2 0,6 1 0,5 2 0,8 0 0,8 1 0,5 0 0,0 0 0,-2 1 0,-4 1 0,-3 4 0,-2 2 0,0 3 0,-1 2 0,1 1 0,-1 1 0,-1 0 0,-1 0 0,-1 0 0,-1-2 0,-1 0 0,-1-2 0,-1-1 0,-3-1 0,-1-3 0,-3-1 0,-2 0 0,-1 0 0,-1 1 0,-2 3 0,-6 4 0,-6 5 0,-6 1 0,-3 0 0,-3 1 0,1 1 0,-2 3 0,2 0 0,4-1 0,3-5 0,5-3 0,3-4 0,4-3 0,2-5 0,2-9 0,1-13 0,1-15-1696,2-3 0,-1 11 0,1 12 0</inkml:trace>
  <inkml:trace contextRef="#ctx0" brushRef="#br0" timeOffset="2916">2626 2520 24575,'0'-10'0,"0"-19"0,0-38 0,0 15 0,0-6 0,0-13 0,0-3 0,0-3 0,0 0 0,0 6 0,0 2 0,0 9 0,0 3 0,0-42 0,-2 8 0,-1-1 0,-4-5 0,2 42 0,0 0 0,-1 0 0,0 0 0,-1 2 0,1-1 0,-1 2 0,0 1 0,-7-38 0,2 9 0,5 15 0,4 17 0,3 13 0,0 7 0,0-1 0,0-15 0,0-20 0,0-20 0,0-9 0,0 5 0,-3 14 0,-3 20 0,0 18 0,0 16 0,1 13 0,2 7 0,0 7 0,-1 1 0,-3 2 0,-3 3 0,-5 4 0,-3 8 0,-3 5 0,-3 7 0,-2 4 0,1-2 0,1-1 0,4-8 0,3-6 0,5-7 0,4-6 0,3-8 0,3-14 0,5-15 0,12-15 0,12-9 0,11-2 0,4 5 0,-4 9 0,-5 11 0,-6 7 0,-8 7 0,-3 4 0,-4 2 0,-3 4 0,0 2 0,-2 0 0,1 1 0,-2 0 0,1 0 0,-2 0 0,-1 0 0,1 0 0,1 1 0,0 2 0,2 2 0,-1 3 0,1 2 0,0 1 0,1 0 0,0 0 0,-1-1 0,0 0 0,-2-1 0,1 2 0,0 1 0,1 2 0,1 2 0,1-1 0,-1-1 0,-3-11 0,-2-12 0,-3 3 0,-1-6 0</inkml:trace>
  <inkml:trace contextRef="#ctx0" brushRef="#br0" timeOffset="5232">2352 3669 24575,'0'97'0,"0"-28"0,0 8 0,0-8 0,0 5 0,0 1-268,0 8 0,0 2 1,0 1 267,0 5 0,0 2 0,0-3 0,0-7 0,0-2 0,0-2 0,0-10 0,0-1 0,0-3 132,0 18 0,0-7-132,0-20 0,0-5 133,0 29-133,0-26 0,0-13 0,0-12 406,0-6-406,0-4 0,0-2 0,0-3 0,0 0 0,0-1 0,0 0 0,0 0 0,0-1 0,0 0 0,-1-3 0,-1-3 0,-2-3 0,-2-2 0,-3-1 0,-4 0 0,-6 0 0,-4 0 0,-3-2 0,-1-3 0,1-3 0,5-3 0,5 2 0,7 1 0,8 4 0,6 2 0,5 2 0,4-1 0,1 1 0,-2 1 0,0 2 0,-2 3 0,1 4 0,0 3 0,-1-1 0,-1-2 0,-3-3 0,0-1 0,1-3 0,0 2 0,1 1 0,1 0 0,-1 1 0,-1-1 0,-1-3 0,-2-1 0,-1-2 0,2 1 0,1-1 0,2-3 0,3-8 0,3-10 0,3-12 0,1-6 0,-3 1 0,-2 4 0,-2 8 0,-3 8 0,-5 9 0,-7 14 0,0-3 0,-5 8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7:24:45.31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736 5 24575,'-11'-3'0,"-7"1"0,-21 2 0,-20 0 0,-14 0 0,-6 0 0,5 0 0,8 0 0,7 0 0,8 0 0,6 0 0,7 0 0,5 0 0,7 0 0,5 0 0,4 1 0,5 1 0,5 1 0,3 0 0,2 1 0,1 1 0,1 1 0,-1 2 0,1 3 0,0 6 0,0 8 0,0 13 0,0 11 0,0 8 0,0 3 0,0-4 0,0-7 0,0-10 0,0-10 0,0-8 0,0-6 0,1-6 0,1-4 0,0-2 0,3-2 0,2-1 0,3-2 0,6-5 0,11-5 0,9-5 0,11 1 0,16 2 0,14 6 0,14 5 0,6 1 0,-7 2 0,-10 1 0,-16 0 0,-16 1 0,-16-1 0,-12 0 0,-7-1 0,-4 0 0,-3-3 0,-2-5 0,-3-8 0,0-11 0,-1-8 0,0-4 0,0 0 0,0 7 0,0 5 0,0 6 0,0 5 0,0 4 0,0 4 0,-1 2 0,0 3 0,-2 0 0,0 1 0,1 0 0,-1 1 0,2 0 0,0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7:24:49.01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2667 24575,'21'-24'0,"26"-18"0,-8 9 0,5-3 0,12-8 0,3 0 0,2 0 0,3 0 0,10-3 0,6-2 0,-5 5 0,7-2 0,7-3-793,-19 11 0,4-1 1,4-1-1,2-1 1,2-1 792,-1 2 0,1-1 0,3-1 0,2 0 0,1 0 0,1 0-554,-4 2 0,1 0 1,2-1-1,1 0 1,1 1-1,0 0 1,1 1 553,-9 4 0,0 0 0,1 0 0,0 1 0,1 0 0,0 0 0,1 1 0,1 0-432,5-2 1,0 2 0,1-1-1,0 1 1,2 0 0,0 1-1,1 0 1,2 0 431,-14 5 0,2 1 0,1-1 0,0 1 0,1 0 0,1 0 0,0 1 0,0 0 0,0 0 0,-1 1-287,2 1 1,0 0 0,0 0-1,1 1 1,0 0 0,0 1-1,-1 0 1,1 0 0,-1 1-1,0 1 287,7-2 0,0 1 0,1 1 0,-1 0 0,0 0 0,-1 2 0,-1 0 0,0 0 0,-3 1 0,3 1 0,0 0 0,-2 0 0,0 2 0,-2 0 0,-1 0 0,-2 2 0,-3 0 129,10-1 1,-3 1-1,-2 2 1,-3-1-1,-2 2 1,-2 0-130,17-2 0,-4 2 0,-5 0 0,-5 2 725,-3 0 1,-7 1 0,-7 1-726,-5 1 0,-9 1 3485,4 1-3485,-32 1 5778,-12 0-5778,-4 2 1936,5 2-1936,23 4 0,42 6 0,-20-4 0,6 1 0,8 1 0,2 1 0,-2 0 0,-2 0 0,-12 0 0,-5 0 0,25 9 0,-25-3 0,-19-3 0,-9-3 0,-7-1 0,-7-2 0,-5 1 0,-4 1 0,-2 0 0,-3 0 0,-3-1 0,-6 0 0,-5-1 0,-4-1 0,0-1 0,4-2 0,3-2 0,4-2 0,3 1 0,2 0 0,1 0 0,0 3 0,0 1 0,-2 9 0,-1 22 0,-2 31 0,0 24 0,4-40 0,-1 0 0,-1 42 0,1-24 0,1-25 0,1-23 0,0-13 0,0-6 0,0-3 0,-2-3 0,-2-6 0,-3-5 0,-2-6 0,-2-4 0,-1-4 0,-3-5 0,-3-6 0,-2-2 0,0 4 0,3 8 0,5 12 0,6 10 0,4 12 0,4 11 0,4 8 0,3 5 0,3-1 0,2-4 0,-1-4 0,1-4 0,-2-4 0,-1-3 0,-2 0 0,-1 0 0,-1 0 0,2 1 0,0 0 0,0-2 0,-1-3 0,2-2 0,1-3 0,-1-1 0,0 0 0,-3 0 0,1 0 0,1 0 0,3-1 0,4-3 0,3-4 0,3-5 0,1-2 0,-1 0 0,1 0 0,-1 1 0,-2 1 0,-3 1 0,-2 3 0,-3 2 0,-3 3 0,-2 1 0,-1 1 0,-1 0 0,-2-1 0,-10-4 0,-11-4 0,-11-2 0,-7-2 0,5 7 0,3 4 0,4 3 0,2 1 0,1 0 0,3 0 0,4 0 0,3 0 0,2 0 0,1 0 0,2 0 0,2 0 0,9 1 0,11 3 0,13 1 0,12-1 0,5-2 0,-2-2 0,-6 0 0,-10 0 0,-11 1 0,-7 1 0,-5 1 0,-3 1 0,0 1 0,0 0 0,-1 1 0,-4 1 0,-3 1 0,-4 2 0,-2-1 0,2 1 0,1-1 0,4-2 0,4-2 0,1-4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7:25:35.43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24575,'62'0'0,"6"0"0,12 0 0,0 0 0,7 0 0,4 0-911,-8 0 1,3 0 0,2-1 0,1 2 910,6 0 0,2 0 0,0 2 0,3 3-650,-14 2 1,1 1 0,2 2 0,0 3 0,2 2 649,-6 0 0,0 3 0,2 2 0,1 1 0,0 2 0,0 0 0,-7 0 0,1 1 0,1 1 0,-1 1 0,1 1 0,0 0 0,0 0 0,0 1 0,1 1 0,0 0 0,-1 1 0,0-1 0,0 0 0,-2 0-81,8 2 0,-1 0 0,0 0 0,-2-1 0,-1-1 0,-3 0 81,2 0 0,-1-1 0,-3-1 0,-2-1 0,-3-2-75,3 1 1,-2-1-1,-4-2 1,-4-1 74,4 0 0,-5-1 0,-6-2 658,-1-1 1,-8-2-659,10 3 3293,-30-6-3293,-18-4 2596,-8-4-2596,-5-9 465,1-3-465,21-1 0,38-4 0,-14 4 0,5-1 0,13-4 0,2-3 0,6-4 0,1-3 0,1-2 0,1-2 0,0-2 0,0-2 0,-2-1 0,-2-2 0,-6 2 0,-3 0 0,-4 1 0,-2 0 0,-5 2 0,-1 2 0,-1 1 0,-1 1 0,0 1 0,-1 0 0,-2 3 0,-1-1 0,37-17 0,-13 5 0,-14 5 0,-13 5 0,-10 3 0,-7 4 0,-3 0 0,-3 1 0,-2 0 0,-3 2 0,-1 1 0,-3 3 0,-2 0 0,-2 2 0,-3 1 0,-4 2 0,-5 2 0,-6 1 0,-5 1 0,-4 0 0,-2-1 0,-6-2 0,-4-2 0,-3 2 0,3 1 0,6 2 0,6 1 0,9 0 0,8 0 0,19-4 0,1-1 0,14-5 0,-4 0 0,2 2 0,-3 1 0,-3 1 0,-5 2 0,-5 2 0,-1 1 0,0 1 0,6 2 0,5 11 0,8 17 0,2 16 0,-2 13 0,-5 1 0,-9-9 0,-7-12 0,-4-13 0,-4-13 0,-18 1 0,12-11 0,-11 4 0</inkml:trace>
  <inkml:trace contextRef="#ctx0" brushRef="#br0" timeOffset="1750">174 2255 24575,'38'-5'0,"22"-5"0,16-5 0,5 0 0,10-2 0,5-1-1194,-9 2 1,5-1 0,2-1 0,3 1 1193,-8 0 0,4 1 0,1-1 0,0 1 0,-2 0 0,-3 2 0,0 0 0,-1 0 0,-1 1 0,0 0 0,-5 1 0,-1 0 0,-1 1 0,0-1 0,-1 1 0,18-2 0,-1 0 0,0 0 0,-3 0 0,-9 2 0,-1 1 0,-2-1 0,2 1-67,2-1 0,0 0 0,0-1 0,0 2 67,-3-1 0,-1 1 0,0 0 0,-1 1 0,-3 0 0,-1 1 0,-1 0 0,-1 0 183,17-3 1,-1 1-1,-2 0-183,-10 1 0,-2-1 0,-1 0 0,-7 0 0,-3-1 0,-1-1 0,21-8 0,-3-3 0,-6-2 0,-3-2 1134,-7-2 0,-2-2-1134,-4-1 0,-3 0 753,-3 1 0,-2 0-753,-5 3 0,-1 0 358,-1 2 1,-2 1-359,40-21 0,-5 3 0,-3 3 0,-11 5 0,-10 7 0,-16 7 0,-16 8 0,-10 5 0,-7 3 0,-1 1 0,1-2 0,5-2 0,9-6 0,10-7 0,10-7 0,8-8 0,5-4 0,1-2 0,-3 2 0,-5 5 0,-8 7 0,-10 9 0,-8 7 0,-5 5 0,-5 4 0,-5 2 0,-2 1 0</inkml:trace>
  <inkml:trace contextRef="#ctx0" brushRef="#br0" timeOffset="3550">122 3451 24575,'26'-4'0,"66"-21"0,-32 8 0,10-1 0,6-3-1135,0 1 1,5-3 0,5 0 0,2 0 1134,-6 1 0,3 0 0,2 0 0,1 0 0,0 1-369,5 0 0,0 1 0,1-1 0,0 1 0,0 1 369,-1-1 0,0 1 0,0 1 0,-1-1 0,1 1 0,-1 1 0,1 0 0,-1 0 0,0 0 0,-1 0 0,-6 0 0,0 0 0,-1 0 0,0 0 0,-1 0-68,-2-1 1,0 0 0,-2 0 0,1 0 0,-2-1 67,14-5 0,0-1 0,-2-1 0,-2-1-243,-7 1 0,-2-1 0,-2 0 0,-1-3 243,-3 1 0,0-2 0,-3-1 0,-1-1 0,15-11 0,-3-3 0,-3 0 388,-7 1 1,-2-1 0,-2 0-389,-6 0 0,-3 0 0,-1-1 0,-4 2 0,-1 0 0,-2 0 1136,19-20 1,-3-2-1137,-2-1 0,0-2 0,-2 2 0,1 0 0,-5 4 0,1 3 0,1 2 0,0 4 0,-2 6 0,0 2 1010,0 2 1,2 0-1011,3-1 0,0 0 694,-3 4 0,-1 1-694,0 2 0,-1 0 380,-5 5-1,-2 0-379,-7 4 0,-2 1 83,32-26-83,-16 6 0,-9 4 0,-10 5 0,-9 6 0,-7 6 0,-5 5 0,-1 0 0,-1 3 0,-2 2 0,-3 5 0,-3 7 0,-4 4 0,-2 3 0,-1 2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7:28:55.0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24575,'0'12'0,"0"10"0,6 19 0,13 22 0,10 7 0,12-1 0,4-15 0,1-15 0,4-7 0,2-10 0,-1-2 0,-3-5 0,-4-1 0,-8-3 0,-8-3 0,-8-4 0,-7-2 0,-5-1 0,-3-1 0,-3 0 0</inkml:trace>
  <inkml:trace contextRef="#ctx0" brushRef="#br0" timeOffset="1533">896 455 24575,'0'37'0,"0"17"0,0 17 0,0 4 0,0-13 0,0-19 0,0-15 0,0-18 0,-2-17 0,-1-14 0,-3-17 0,-5-13 0,-4-11 0,-2-7 0,-2-7 0,1-3 0,3-1 0,4 8 0,5 14 0,4 19 0,3 16 0,3 13 0,7 6 0,7 3 0,7 1 0,8 0 0,5 3 0,6 7 0,3 11 0,-1 10 0,-2 8 0,-6 2 0,-9-1 0,-9 0 0,-6-1 0,-6 1 0,-3 2 0,-3-1 0,-3-1 0,-2-1 0,-6-3 0,-9 1 0,-6-3 0,-6-4 0,-2-4 0,-2-6 0,-2-4 0,-1-3 0,-2-1 0,-1-2 0,0-1 0,5-3-1696,7-3 0,14-2 0,5 0 0</inkml:trace>
  <inkml:trace contextRef="#ctx0" brushRef="#br0" timeOffset="3500">1576 587 24575,'11'-2'0,"1"0"0,1 2 0,-4-1 0,-5-3 0,-8-5 0,-12-3 0,-14-2 0,-13 3 0,-9 3 0,-1 4 0,4 5 0,8 8 0,11 8 0,6 7 0,8 5 0,6 3 0,4 5 0,4 6 0,2 3 0,0-2 0,6-8 0,18-8 0,25-10 0,24-7 0,17-9 0,4-14 0,-5-13 0,-9-11 0,-17-7 0,-19-1 0,-19-4 0,-12-8 0,-9-9 0,-9-7 0,-7 1 0,-4 11 0,-3 15 0,5 20 0,6 16 0,3 17 0,2 17 0,-1 17 0,1 20 0,0 17 0,2 16 0,0-44 0,2 1 0,0 0 0,1 1 0,3-2 0,2-2 0,13 39 0,7-14 0,2-20 0,-2-17 0,1-13 0,2-11 0,3-7 0,3-9 0,5-12 0,0-9 0,-1-8 0,-8 0 0,-12 5 0,-10 7 0,-10 9 0,-10 5 0,-11 4 0,-6 2 0,-3 0 0,3-1 0,2 0 0,3-1 0,5 1 0,7 1 0,5 0 0</inkml:trace>
  <inkml:trace contextRef="#ctx0" brushRef="#br0" timeOffset="4667">1623 555 24575,'-14'7'0,"-7"4"0,-9 7 0,-6 6 0,2-1 0,-1 3 0,4 2 0,3 2 0,0 2 0,3-1 0,4-5 0,3-5 0,6-6 0,1-4 0,3-6 0,1-2 0,0-4 0,4 1 0,-1-2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4-04T17:29:01.8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1176 24575,'0'-2'0,"6"0"0,10 2 0,8 3 0,4 2 0,-3 3 0,-7 1 0,-5-2 0,-4-3 0,-3-4 0,0-7 0,5-17 0,16-27 0,1 3 0,5-8 0,13-18 0,5-6-305,-7 13 1,3-3 0,0 0 304,2-2 0,1-1 0,-1 2 0,-4 7 0,-1 2 0,-2 3 0,10-14 0,-6 7 0,10-10 0,-27 38 0,-19 31 0,-10 14 0,-1 2 0,-1-3 0</inkml:trace>
  <inkml:trace contextRef="#ctx0" brushRef="#br0" timeOffset="2100">49 1299 24575,'13'0'0,"7"0"0,14 1 0,6 6 0,1 5 0,-3 5 0,-7 0 0,-3-2 0,-6-2 0,-5-2 0,-5-4 0,-4-3 0,0-5 0,-1-10 0,4-16 0,9-25 0,16-29 0,-11 29 0,2-1 0,3-6 0,2 1 0,0-1 0,1 1 0,-2 3 0,1 3 0,-2 5 0,-1 3 0,25-30 0,-6 18 0,-6 19 0,-8 13 0,-5 8 0,-7 7 0,-4 0 0,-3-2 0,-2 1 0,0 0 0,-3 2 0,-1 3 0,-2 1 0,-3 1 0,-3-1 0,-2 0 0,-7-2 0,5 2 0,-5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1A340-857F-8740-9D29-AA8A7D5DF8E4}">
  <dimension ref="A2:I41"/>
  <sheetViews>
    <sheetView topLeftCell="A29" zoomScale="188" workbookViewId="0">
      <selection activeCell="B37" sqref="B37:F42"/>
    </sheetView>
  </sheetViews>
  <sheetFormatPr baseColWidth="10" defaultRowHeight="16" x14ac:dyDescent="0.2"/>
  <sheetData>
    <row r="2" spans="2:5" x14ac:dyDescent="0.2">
      <c r="B2" s="2" t="s">
        <v>0</v>
      </c>
      <c r="C2" s="1"/>
      <c r="D2" s="1"/>
      <c r="E2" s="1"/>
    </row>
    <row r="3" spans="2:5" x14ac:dyDescent="0.2">
      <c r="B3" s="1"/>
      <c r="C3" s="1"/>
      <c r="D3" s="1"/>
      <c r="E3" s="1"/>
    </row>
    <row r="4" spans="2:5" x14ac:dyDescent="0.2">
      <c r="B4" s="1"/>
      <c r="C4" s="1"/>
      <c r="D4" s="1"/>
      <c r="E4" s="1"/>
    </row>
    <row r="7" spans="2:5" x14ac:dyDescent="0.2">
      <c r="B7" t="s">
        <v>1</v>
      </c>
      <c r="D7" t="s">
        <v>3</v>
      </c>
    </row>
    <row r="9" spans="2:5" x14ac:dyDescent="0.2">
      <c r="B9" t="s">
        <v>2</v>
      </c>
      <c r="D9" t="s">
        <v>4</v>
      </c>
    </row>
    <row r="11" spans="2:5" x14ac:dyDescent="0.2">
      <c r="B11" t="s">
        <v>7</v>
      </c>
      <c r="D11" t="s">
        <v>8</v>
      </c>
    </row>
    <row r="13" spans="2:5" x14ac:dyDescent="0.2">
      <c r="B13" t="s">
        <v>14</v>
      </c>
      <c r="D13" t="s">
        <v>22</v>
      </c>
    </row>
    <row r="15" spans="2:5" x14ac:dyDescent="0.2">
      <c r="B15" t="s">
        <v>23</v>
      </c>
      <c r="D15" t="s">
        <v>24</v>
      </c>
    </row>
    <row r="18" spans="1:9" x14ac:dyDescent="0.2">
      <c r="A18" s="3"/>
      <c r="B18" s="3"/>
      <c r="C18" s="3"/>
      <c r="D18" s="3"/>
      <c r="E18" s="3"/>
      <c r="F18" s="3"/>
      <c r="G18" s="3"/>
      <c r="H18" s="3"/>
      <c r="I18" s="3"/>
    </row>
    <row r="20" spans="1:9" x14ac:dyDescent="0.2">
      <c r="B20" t="s">
        <v>29</v>
      </c>
      <c r="D20" t="s">
        <v>65</v>
      </c>
      <c r="I20" t="s">
        <v>80</v>
      </c>
    </row>
    <row r="23" spans="1:9" x14ac:dyDescent="0.2">
      <c r="B23" t="s">
        <v>66</v>
      </c>
      <c r="D23" t="s">
        <v>67</v>
      </c>
      <c r="H23" t="s">
        <v>81</v>
      </c>
    </row>
    <row r="25" spans="1:9" x14ac:dyDescent="0.2">
      <c r="B25" t="s">
        <v>68</v>
      </c>
      <c r="D25" t="s">
        <v>69</v>
      </c>
      <c r="H25" t="s">
        <v>82</v>
      </c>
    </row>
    <row r="28" spans="1:9" x14ac:dyDescent="0.2">
      <c r="B28" t="s">
        <v>75</v>
      </c>
      <c r="D28" t="s">
        <v>77</v>
      </c>
      <c r="H28" t="s">
        <v>79</v>
      </c>
    </row>
    <row r="30" spans="1:9" x14ac:dyDescent="0.2">
      <c r="B30" t="s">
        <v>76</v>
      </c>
      <c r="D30" t="s">
        <v>78</v>
      </c>
      <c r="H30" t="s">
        <v>79</v>
      </c>
    </row>
    <row r="33" spans="2:6" x14ac:dyDescent="0.2">
      <c r="B33" s="11" t="s">
        <v>83</v>
      </c>
      <c r="C33" s="11"/>
      <c r="D33" s="11"/>
    </row>
    <row r="34" spans="2:6" x14ac:dyDescent="0.2">
      <c r="B34" s="11"/>
      <c r="C34" s="11"/>
      <c r="D34" s="11"/>
    </row>
    <row r="37" spans="2:6" x14ac:dyDescent="0.2">
      <c r="B37" s="3" t="s">
        <v>84</v>
      </c>
      <c r="C37" s="3"/>
      <c r="D37" s="3" t="s">
        <v>87</v>
      </c>
      <c r="E37" s="3"/>
      <c r="F37" t="s">
        <v>89</v>
      </c>
    </row>
    <row r="38" spans="2:6" x14ac:dyDescent="0.2">
      <c r="B38" s="3"/>
      <c r="C38" s="3"/>
      <c r="D38" s="3"/>
      <c r="E38" s="3"/>
    </row>
    <row r="39" spans="2:6" x14ac:dyDescent="0.2">
      <c r="B39" s="3" t="s">
        <v>85</v>
      </c>
      <c r="C39" s="3"/>
      <c r="D39" s="3" t="s">
        <v>87</v>
      </c>
      <c r="E39" s="3"/>
      <c r="F39" t="s">
        <v>90</v>
      </c>
    </row>
    <row r="40" spans="2:6" x14ac:dyDescent="0.2">
      <c r="B40" s="3"/>
      <c r="C40" s="3"/>
      <c r="D40" s="3"/>
      <c r="E40" s="3"/>
    </row>
    <row r="41" spans="2:6" x14ac:dyDescent="0.2">
      <c r="B41" s="3" t="s">
        <v>86</v>
      </c>
      <c r="C41" s="3"/>
      <c r="D41" s="3" t="s">
        <v>88</v>
      </c>
      <c r="E41" s="3"/>
      <c r="F41" t="s">
        <v>93</v>
      </c>
    </row>
  </sheetData>
  <mergeCells count="2">
    <mergeCell ref="B2:E4"/>
    <mergeCell ref="B33:D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308D3-D1EE-8B4F-8A8E-459BF2B5E9B0}">
  <dimension ref="A4:L160"/>
  <sheetViews>
    <sheetView tabSelected="1" topLeftCell="A141" zoomScale="200" workbookViewId="0">
      <selection activeCell="B148" sqref="B148"/>
    </sheetView>
  </sheetViews>
  <sheetFormatPr baseColWidth="10" defaultRowHeight="16" x14ac:dyDescent="0.2"/>
  <cols>
    <col min="2" max="2" width="23" customWidth="1"/>
    <col min="3" max="3" width="21.6640625" customWidth="1"/>
    <col min="4" max="4" width="21.1640625" customWidth="1"/>
    <col min="7" max="7" width="13.6640625" customWidth="1"/>
  </cols>
  <sheetData>
    <row r="4" spans="3:5" x14ac:dyDescent="0.2">
      <c r="C4">
        <f>MOD(133,2)</f>
        <v>1</v>
      </c>
      <c r="E4" t="str">
        <f ca="1">_xlfn.FORMULATEXT(C4)</f>
        <v>=MOD(133,2)</v>
      </c>
    </row>
    <row r="6" spans="3:5" x14ac:dyDescent="0.2">
      <c r="C6">
        <f>QUOTIENT(133,2)</f>
        <v>66</v>
      </c>
      <c r="E6" t="str">
        <f ca="1">_xlfn.FORMULATEXT(C6)</f>
        <v>=QUOTIENT(133,2)</v>
      </c>
    </row>
    <row r="10" spans="3:5" x14ac:dyDescent="0.2">
      <c r="C10" t="s">
        <v>5</v>
      </c>
      <c r="D10" t="s">
        <v>6</v>
      </c>
    </row>
    <row r="12" spans="3:5" x14ac:dyDescent="0.2">
      <c r="C12">
        <v>2021</v>
      </c>
      <c r="D12" t="b">
        <f>OR((MOD(C12,400)=0),AND(MOD(C12,4)=0,MOD(C12,100)&lt;&gt;0))</f>
        <v>0</v>
      </c>
    </row>
    <row r="13" spans="3:5" x14ac:dyDescent="0.2">
      <c r="C13">
        <v>2020</v>
      </c>
      <c r="D13" t="b">
        <f t="shared" ref="D13:D16" si="0">OR((MOD(C13,400)=0),AND(MOD(C13,4)=0,MOD(C13,100)&lt;&gt;0))</f>
        <v>1</v>
      </c>
    </row>
    <row r="14" spans="3:5" x14ac:dyDescent="0.2">
      <c r="C14">
        <v>2016</v>
      </c>
      <c r="D14" t="b">
        <f t="shared" si="0"/>
        <v>1</v>
      </c>
    </row>
    <row r="15" spans="3:5" x14ac:dyDescent="0.2">
      <c r="C15">
        <v>1994</v>
      </c>
      <c r="D15" t="b">
        <f t="shared" si="0"/>
        <v>0</v>
      </c>
    </row>
    <row r="16" spans="3:5" x14ac:dyDescent="0.2">
      <c r="C16">
        <v>2100</v>
      </c>
      <c r="D16" t="b">
        <f t="shared" si="0"/>
        <v>0</v>
      </c>
    </row>
    <row r="20" spans="1:1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</row>
    <row r="23" spans="1:11" x14ac:dyDescent="0.2">
      <c r="B23" t="s">
        <v>9</v>
      </c>
    </row>
    <row r="24" spans="1:11" x14ac:dyDescent="0.2">
      <c r="D24" t="str" cm="1">
        <f t="array" ref="D24:D27">_xlfn.UNIQUE(B25:B30)</f>
        <v>Red</v>
      </c>
    </row>
    <row r="25" spans="1:11" x14ac:dyDescent="0.2">
      <c r="B25" t="s">
        <v>10</v>
      </c>
      <c r="D25" t="str">
        <v>Blue</v>
      </c>
    </row>
    <row r="26" spans="1:11" x14ac:dyDescent="0.2">
      <c r="B26" t="s">
        <v>11</v>
      </c>
      <c r="D26" t="str">
        <v>Green</v>
      </c>
    </row>
    <row r="27" spans="1:11" x14ac:dyDescent="0.2">
      <c r="B27" t="s">
        <v>12</v>
      </c>
      <c r="D27" t="str">
        <v>Pink</v>
      </c>
    </row>
    <row r="28" spans="1:11" x14ac:dyDescent="0.2">
      <c r="B28" t="s">
        <v>11</v>
      </c>
    </row>
    <row r="29" spans="1:11" x14ac:dyDescent="0.2">
      <c r="B29" t="s">
        <v>10</v>
      </c>
    </row>
    <row r="30" spans="1:11" x14ac:dyDescent="0.2">
      <c r="B30" t="s">
        <v>13</v>
      </c>
    </row>
    <row r="33" spans="1:9" x14ac:dyDescent="0.2">
      <c r="A33" s="3"/>
      <c r="B33" s="3"/>
      <c r="C33" s="3"/>
      <c r="D33" s="3"/>
      <c r="E33" s="3"/>
      <c r="F33" s="3"/>
      <c r="G33" s="3"/>
      <c r="H33" s="3"/>
      <c r="I33" s="3"/>
    </row>
    <row r="35" spans="1:9" x14ac:dyDescent="0.2">
      <c r="B35" s="7" t="s">
        <v>15</v>
      </c>
      <c r="C35" s="7" t="s">
        <v>16</v>
      </c>
    </row>
    <row r="36" spans="1:9" x14ac:dyDescent="0.2">
      <c r="A36">
        <f>B36*C36</f>
        <v>1412</v>
      </c>
      <c r="B36" s="5">
        <v>2</v>
      </c>
      <c r="C36" s="6">
        <v>706</v>
      </c>
    </row>
    <row r="37" spans="1:9" x14ac:dyDescent="0.2">
      <c r="A37">
        <f t="shared" ref="A37:A40" si="1">B37*C37</f>
        <v>4250</v>
      </c>
      <c r="B37" s="5">
        <v>5</v>
      </c>
      <c r="C37" s="6">
        <v>850</v>
      </c>
      <c r="E37" t="s">
        <v>17</v>
      </c>
      <c r="G37">
        <f>SUMPRODUCT(B36:B40,C36:C40)</f>
        <v>9390</v>
      </c>
    </row>
    <row r="38" spans="1:9" x14ac:dyDescent="0.2">
      <c r="A38">
        <f t="shared" si="1"/>
        <v>1890</v>
      </c>
      <c r="B38" s="5">
        <v>7</v>
      </c>
      <c r="C38" s="6">
        <v>270</v>
      </c>
    </row>
    <row r="39" spans="1:9" x14ac:dyDescent="0.2">
      <c r="A39">
        <f t="shared" si="1"/>
        <v>1484</v>
      </c>
      <c r="B39" s="5">
        <v>2</v>
      </c>
      <c r="C39" s="6">
        <v>742</v>
      </c>
      <c r="E39" t="s">
        <v>18</v>
      </c>
      <c r="G39" t="str">
        <f ca="1">_xlfn.FORMULATEXT(G37)</f>
        <v>=SUMPRODUCT(B36:B40,C36:C40)</v>
      </c>
    </row>
    <row r="40" spans="1:9" x14ac:dyDescent="0.2">
      <c r="A40">
        <f t="shared" si="1"/>
        <v>354</v>
      </c>
      <c r="B40" s="5">
        <v>1</v>
      </c>
      <c r="C40" s="6">
        <v>354</v>
      </c>
    </row>
    <row r="42" spans="1:9" x14ac:dyDescent="0.2">
      <c r="A42">
        <f>SUM(A36:A40)</f>
        <v>9390</v>
      </c>
    </row>
    <row r="43" spans="1:9" x14ac:dyDescent="0.2">
      <c r="C43" s="7" t="s">
        <v>15</v>
      </c>
      <c r="D43" s="7" t="s">
        <v>16</v>
      </c>
      <c r="E43" s="7" t="s">
        <v>19</v>
      </c>
    </row>
    <row r="44" spans="1:9" x14ac:dyDescent="0.2">
      <c r="C44" s="5">
        <v>2</v>
      </c>
      <c r="D44" s="6">
        <v>706</v>
      </c>
      <c r="E44" s="8">
        <v>0.25</v>
      </c>
      <c r="G44" t="s">
        <v>20</v>
      </c>
    </row>
    <row r="45" spans="1:9" x14ac:dyDescent="0.2">
      <c r="C45" s="5">
        <v>5</v>
      </c>
      <c r="D45" s="6">
        <v>850</v>
      </c>
      <c r="E45" s="8">
        <v>0.34</v>
      </c>
    </row>
    <row r="46" spans="1:9" x14ac:dyDescent="0.2">
      <c r="C46" s="9">
        <v>7</v>
      </c>
      <c r="D46" s="9">
        <v>270</v>
      </c>
      <c r="E46" s="8">
        <v>0.22</v>
      </c>
      <c r="G46" cm="1">
        <f t="array" ref="G46">SUMPRODUCT(C44:C48,D44:D48,1-E44:E48)</f>
        <v>7027.8</v>
      </c>
    </row>
    <row r="47" spans="1:9" x14ac:dyDescent="0.2">
      <c r="C47" s="9">
        <v>2</v>
      </c>
      <c r="D47" s="9">
        <v>742</v>
      </c>
      <c r="E47" s="8">
        <v>0.1</v>
      </c>
    </row>
    <row r="48" spans="1:9" x14ac:dyDescent="0.2">
      <c r="C48" s="9">
        <v>1</v>
      </c>
      <c r="D48" s="9">
        <v>354</v>
      </c>
      <c r="E48" s="8">
        <v>0</v>
      </c>
    </row>
    <row r="51" spans="1:8" x14ac:dyDescent="0.2">
      <c r="A51" s="3"/>
      <c r="B51" s="3"/>
      <c r="C51" s="3"/>
      <c r="D51" s="3"/>
      <c r="E51" s="10"/>
      <c r="F51" s="3"/>
      <c r="G51" s="3"/>
      <c r="H51" s="3"/>
    </row>
    <row r="53" spans="1:8" x14ac:dyDescent="0.2">
      <c r="B53" t="s">
        <v>21</v>
      </c>
    </row>
    <row r="56" spans="1:8" x14ac:dyDescent="0.2">
      <c r="B56" t="s">
        <v>25</v>
      </c>
    </row>
    <row r="58" spans="1:8" x14ac:dyDescent="0.2">
      <c r="B58">
        <v>131</v>
      </c>
      <c r="D58">
        <f>ROUND(B58/B59,2)</f>
        <v>43.67</v>
      </c>
    </row>
    <row r="59" spans="1:8" x14ac:dyDescent="0.2">
      <c r="B59">
        <v>3</v>
      </c>
    </row>
    <row r="61" spans="1:8" x14ac:dyDescent="0.2">
      <c r="E61" t="str">
        <f>"=LAMBDA(a,b,ROUND(a/b,2))"</f>
        <v>=LAMBDA(a,b,ROUND(a/b,2))</v>
      </c>
    </row>
    <row r="62" spans="1:8" x14ac:dyDescent="0.2">
      <c r="C62" cm="1">
        <f t="array" ref="C62">_xlfn.LAMBDA(_xlpm.a,_xlpm.b,ROUND(_xlpm.a/_xlpm.b,2))(131,4)</f>
        <v>32.75</v>
      </c>
    </row>
    <row r="64" spans="1:8" x14ac:dyDescent="0.2">
      <c r="C64" t="str">
        <f ca="1">_xlfn.FORMULATEXT(C62)</f>
        <v>=LAMBDA(a,b,ROUND(a/b,2))(131,4)</v>
      </c>
    </row>
    <row r="66" spans="1:8" x14ac:dyDescent="0.2">
      <c r="C66" cm="1">
        <f t="array" ref="C66">DIVIDE_THEN_ROUND2DP(131,3)</f>
        <v>43.67</v>
      </c>
      <c r="E66" cm="1">
        <f t="array" ref="E66">DIVIDE_THEN_ROUND2DP(45,2)</f>
        <v>22.5</v>
      </c>
    </row>
    <row r="71" spans="1:8" x14ac:dyDescent="0.2">
      <c r="B71" t="s">
        <v>26</v>
      </c>
    </row>
    <row r="72" spans="1:8" x14ac:dyDescent="0.2">
      <c r="B72" t="s">
        <v>27</v>
      </c>
    </row>
    <row r="75" spans="1:8" x14ac:dyDescent="0.2">
      <c r="A75" s="3"/>
      <c r="B75" s="3"/>
      <c r="C75" s="3"/>
      <c r="D75" s="3"/>
      <c r="E75" s="3"/>
      <c r="F75" s="3"/>
      <c r="G75" s="3"/>
      <c r="H75" s="3"/>
    </row>
    <row r="77" spans="1:8" x14ac:dyDescent="0.2">
      <c r="B77" s="12" t="s">
        <v>28</v>
      </c>
      <c r="C77" s="12"/>
      <c r="D77" s="12"/>
    </row>
    <row r="78" spans="1:8" x14ac:dyDescent="0.2">
      <c r="B78" s="12"/>
      <c r="C78" s="12"/>
      <c r="D78" s="12"/>
    </row>
    <row r="81" spans="2:8" x14ac:dyDescent="0.2">
      <c r="G81" t="s">
        <v>71</v>
      </c>
      <c r="H81" t="s">
        <v>70</v>
      </c>
    </row>
    <row r="82" spans="2:8" ht="17" thickBot="1" x14ac:dyDescent="0.25">
      <c r="B82" s="13" t="s">
        <v>30</v>
      </c>
      <c r="C82" s="13" t="s">
        <v>31</v>
      </c>
      <c r="D82" s="13" t="s">
        <v>32</v>
      </c>
      <c r="E82" s="13" t="s">
        <v>33</v>
      </c>
      <c r="G82" s="17" t="s">
        <v>63</v>
      </c>
      <c r="H82" s="17" t="s">
        <v>64</v>
      </c>
    </row>
    <row r="83" spans="2:8" x14ac:dyDescent="0.2">
      <c r="B83" s="14" t="s">
        <v>34</v>
      </c>
      <c r="C83" s="14" t="s">
        <v>35</v>
      </c>
      <c r="D83" s="14" t="s">
        <v>36</v>
      </c>
      <c r="E83" s="16">
        <v>116000</v>
      </c>
      <c r="G83">
        <f>RANK(E83,$E$83:$E$98,1)</f>
        <v>14</v>
      </c>
      <c r="H83">
        <f>RANK(E83,$E$83:$E$98,0)</f>
        <v>3</v>
      </c>
    </row>
    <row r="84" spans="2:8" x14ac:dyDescent="0.2">
      <c r="B84" s="14" t="s">
        <v>37</v>
      </c>
      <c r="C84" s="14" t="s">
        <v>38</v>
      </c>
      <c r="D84" s="14" t="s">
        <v>39</v>
      </c>
      <c r="E84" s="16">
        <v>108357</v>
      </c>
      <c r="G84">
        <f t="shared" ref="G84:G98" si="2">RANK(E84,$E$83:$E$98,1)</f>
        <v>13</v>
      </c>
      <c r="H84">
        <f t="shared" ref="H84:H98" si="3">RANK(E84,$E$83:$E$98,0)</f>
        <v>4</v>
      </c>
    </row>
    <row r="85" spans="2:8" x14ac:dyDescent="0.2">
      <c r="B85" s="14" t="s">
        <v>37</v>
      </c>
      <c r="C85" s="14" t="s">
        <v>40</v>
      </c>
      <c r="D85" s="14" t="s">
        <v>41</v>
      </c>
      <c r="E85" s="16">
        <v>65270</v>
      </c>
      <c r="G85">
        <f t="shared" si="2"/>
        <v>9</v>
      </c>
      <c r="H85">
        <f t="shared" si="3"/>
        <v>8</v>
      </c>
    </row>
    <row r="86" spans="2:8" x14ac:dyDescent="0.2">
      <c r="B86" s="14" t="s">
        <v>34</v>
      </c>
      <c r="C86" s="14" t="s">
        <v>42</v>
      </c>
      <c r="D86" s="14" t="s">
        <v>43</v>
      </c>
      <c r="E86" s="16">
        <v>70270</v>
      </c>
      <c r="G86">
        <f t="shared" si="2"/>
        <v>11</v>
      </c>
      <c r="H86">
        <f t="shared" si="3"/>
        <v>6</v>
      </c>
    </row>
    <row r="87" spans="2:8" x14ac:dyDescent="0.2">
      <c r="B87" s="14" t="s">
        <v>34</v>
      </c>
      <c r="C87" s="14" t="s">
        <v>44</v>
      </c>
      <c r="D87" s="14" t="s">
        <v>36</v>
      </c>
      <c r="E87" s="16">
        <v>65432</v>
      </c>
      <c r="G87">
        <f t="shared" si="2"/>
        <v>10</v>
      </c>
      <c r="H87">
        <f t="shared" si="3"/>
        <v>7</v>
      </c>
    </row>
    <row r="88" spans="2:8" x14ac:dyDescent="0.2">
      <c r="B88" s="14" t="s">
        <v>45</v>
      </c>
      <c r="C88" s="14" t="s">
        <v>46</v>
      </c>
      <c r="D88" s="14" t="s">
        <v>47</v>
      </c>
      <c r="E88" s="16">
        <v>86055</v>
      </c>
      <c r="G88">
        <f t="shared" si="2"/>
        <v>12</v>
      </c>
      <c r="H88">
        <f t="shared" si="3"/>
        <v>5</v>
      </c>
    </row>
    <row r="89" spans="2:8" x14ac:dyDescent="0.2">
      <c r="B89" s="14" t="s">
        <v>34</v>
      </c>
      <c r="C89" s="14" t="s">
        <v>48</v>
      </c>
      <c r="D89" s="14" t="s">
        <v>49</v>
      </c>
      <c r="E89" s="16">
        <v>125600</v>
      </c>
      <c r="G89">
        <f t="shared" si="2"/>
        <v>15</v>
      </c>
      <c r="H89">
        <f t="shared" si="3"/>
        <v>2</v>
      </c>
    </row>
    <row r="90" spans="2:8" x14ac:dyDescent="0.2">
      <c r="B90" s="14" t="s">
        <v>37</v>
      </c>
      <c r="C90" s="14" t="s">
        <v>50</v>
      </c>
      <c r="D90" s="14" t="s">
        <v>51</v>
      </c>
      <c r="E90" s="16">
        <v>145000</v>
      </c>
      <c r="G90">
        <f t="shared" si="2"/>
        <v>16</v>
      </c>
      <c r="H90">
        <f t="shared" si="3"/>
        <v>1</v>
      </c>
    </row>
    <row r="91" spans="2:8" x14ac:dyDescent="0.2">
      <c r="B91" s="14" t="s">
        <v>45</v>
      </c>
      <c r="C91" s="14" t="s">
        <v>52</v>
      </c>
      <c r="D91" s="14" t="s">
        <v>53</v>
      </c>
      <c r="E91" s="16">
        <v>65200</v>
      </c>
      <c r="G91">
        <f t="shared" si="2"/>
        <v>7</v>
      </c>
      <c r="H91">
        <f t="shared" si="3"/>
        <v>9</v>
      </c>
    </row>
    <row r="92" spans="2:8" x14ac:dyDescent="0.2">
      <c r="B92" s="14" t="s">
        <v>34</v>
      </c>
      <c r="C92" s="14" t="s">
        <v>54</v>
      </c>
      <c r="D92" s="14" t="s">
        <v>36</v>
      </c>
      <c r="E92" s="16">
        <v>65200</v>
      </c>
      <c r="G92">
        <f t="shared" si="2"/>
        <v>7</v>
      </c>
      <c r="H92">
        <f t="shared" si="3"/>
        <v>9</v>
      </c>
    </row>
    <row r="93" spans="2:8" x14ac:dyDescent="0.2">
      <c r="B93" s="14" t="s">
        <v>34</v>
      </c>
      <c r="C93" s="14" t="s">
        <v>55</v>
      </c>
      <c r="D93" s="14" t="s">
        <v>56</v>
      </c>
      <c r="E93" s="16">
        <v>41200</v>
      </c>
      <c r="G93">
        <f t="shared" si="2"/>
        <v>1</v>
      </c>
      <c r="H93">
        <f t="shared" si="3"/>
        <v>16</v>
      </c>
    </row>
    <row r="94" spans="2:8" x14ac:dyDescent="0.2">
      <c r="B94" s="14" t="s">
        <v>45</v>
      </c>
      <c r="C94" s="14" t="s">
        <v>57</v>
      </c>
      <c r="D94" s="14" t="s">
        <v>53</v>
      </c>
      <c r="E94" s="16">
        <v>57800</v>
      </c>
      <c r="G94">
        <f t="shared" si="2"/>
        <v>6</v>
      </c>
      <c r="H94">
        <f t="shared" si="3"/>
        <v>11</v>
      </c>
    </row>
    <row r="95" spans="2:8" x14ac:dyDescent="0.2">
      <c r="B95" s="14" t="s">
        <v>45</v>
      </c>
      <c r="C95" s="14" t="s">
        <v>58</v>
      </c>
      <c r="D95" s="14" t="s">
        <v>59</v>
      </c>
      <c r="E95" s="16">
        <v>51300</v>
      </c>
      <c r="G95">
        <f t="shared" si="2"/>
        <v>4</v>
      </c>
      <c r="H95">
        <f t="shared" si="3"/>
        <v>13</v>
      </c>
    </row>
    <row r="96" spans="2:8" x14ac:dyDescent="0.2">
      <c r="B96" s="14" t="s">
        <v>45</v>
      </c>
      <c r="C96" s="14" t="s">
        <v>60</v>
      </c>
      <c r="D96" s="14" t="s">
        <v>53</v>
      </c>
      <c r="E96" s="16">
        <v>56500</v>
      </c>
      <c r="G96">
        <f t="shared" si="2"/>
        <v>5</v>
      </c>
      <c r="H96">
        <f t="shared" si="3"/>
        <v>12</v>
      </c>
    </row>
    <row r="97" spans="1:10" x14ac:dyDescent="0.2">
      <c r="B97" s="14" t="s">
        <v>34</v>
      </c>
      <c r="C97" s="14" t="s">
        <v>61</v>
      </c>
      <c r="D97" s="14" t="s">
        <v>36</v>
      </c>
      <c r="E97" s="16">
        <v>48500</v>
      </c>
      <c r="G97">
        <f t="shared" si="2"/>
        <v>2</v>
      </c>
      <c r="H97">
        <f t="shared" si="3"/>
        <v>15</v>
      </c>
    </row>
    <row r="98" spans="1:10" x14ac:dyDescent="0.2">
      <c r="B98" s="14" t="s">
        <v>34</v>
      </c>
      <c r="C98" s="14" t="s">
        <v>62</v>
      </c>
      <c r="D98" s="14" t="s">
        <v>36</v>
      </c>
      <c r="E98" s="16">
        <v>49627</v>
      </c>
      <c r="G98">
        <f t="shared" si="2"/>
        <v>3</v>
      </c>
      <c r="H98">
        <f t="shared" si="3"/>
        <v>14</v>
      </c>
    </row>
    <row r="101" spans="1:10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</row>
    <row r="102" spans="1:10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</row>
    <row r="106" spans="1:10" x14ac:dyDescent="0.2">
      <c r="C106">
        <f>LARGE(E83:E98,8)</f>
        <v>65270</v>
      </c>
      <c r="E106" t="str">
        <f ca="1">_xlfn.FORMULATEXT(C106)</f>
        <v>=LARGE(E83:E98,8)</v>
      </c>
    </row>
    <row r="108" spans="1:10" x14ac:dyDescent="0.2">
      <c r="C108">
        <f>SMALL(E83:E98,14)</f>
        <v>116000</v>
      </c>
      <c r="E108" t="str">
        <f ca="1">_xlfn.FORMULATEXT(C108)</f>
        <v>=SMALL(E83:E98,14)</v>
      </c>
    </row>
    <row r="112" spans="1:10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</row>
    <row r="116" spans="2:10" ht="17" thickBot="1" x14ac:dyDescent="0.25">
      <c r="B116" s="13" t="s">
        <v>30</v>
      </c>
      <c r="C116" s="13" t="s">
        <v>31</v>
      </c>
      <c r="D116" s="13" t="s">
        <v>32</v>
      </c>
      <c r="E116" s="13" t="s">
        <v>33</v>
      </c>
    </row>
    <row r="117" spans="2:10" x14ac:dyDescent="0.2">
      <c r="B117" s="14" t="s">
        <v>34</v>
      </c>
      <c r="C117" s="14" t="s">
        <v>35</v>
      </c>
      <c r="D117" s="14" t="s">
        <v>36</v>
      </c>
      <c r="E117" s="16">
        <v>116000</v>
      </c>
    </row>
    <row r="118" spans="2:10" x14ac:dyDescent="0.2">
      <c r="B118" s="14" t="s">
        <v>37</v>
      </c>
      <c r="C118" s="14" t="s">
        <v>38</v>
      </c>
      <c r="D118" s="14" t="s">
        <v>39</v>
      </c>
      <c r="E118" s="16">
        <v>108357</v>
      </c>
      <c r="G118" s="14" t="s">
        <v>72</v>
      </c>
    </row>
    <row r="119" spans="2:10" x14ac:dyDescent="0.2">
      <c r="B119" s="14" t="s">
        <v>37</v>
      </c>
      <c r="C119" s="14" t="s">
        <v>40</v>
      </c>
      <c r="D119" s="14" t="s">
        <v>41</v>
      </c>
      <c r="E119" s="16">
        <v>65270</v>
      </c>
    </row>
    <row r="120" spans="2:10" x14ac:dyDescent="0.2">
      <c r="B120" s="14" t="s">
        <v>34</v>
      </c>
      <c r="C120" s="14" t="s">
        <v>42</v>
      </c>
      <c r="D120" s="14" t="s">
        <v>43</v>
      </c>
      <c r="E120" s="16">
        <v>70270</v>
      </c>
      <c r="I120" t="s">
        <v>73</v>
      </c>
      <c r="J120" t="s">
        <v>74</v>
      </c>
    </row>
    <row r="121" spans="2:10" x14ac:dyDescent="0.2">
      <c r="B121" s="14" t="s">
        <v>34</v>
      </c>
      <c r="C121" s="14" t="s">
        <v>44</v>
      </c>
      <c r="D121" s="14" t="s">
        <v>36</v>
      </c>
      <c r="E121" s="16">
        <v>65432</v>
      </c>
      <c r="G121" t="str" cm="1">
        <f t="array" ref="G121:G123">_xlfn.UNIQUE(B117:B132)</f>
        <v>Sales</v>
      </c>
      <c r="H121">
        <f>AVERAGEIF($B$117:$B$132,G121,$E$117:$E$132)</f>
        <v>72728.625</v>
      </c>
      <c r="I121">
        <f>RANK(H121,$H$121:$H$123,1)</f>
        <v>2</v>
      </c>
      <c r="J121">
        <f>RANK(H121,$H$121:$H$123)</f>
        <v>2</v>
      </c>
    </row>
    <row r="122" spans="2:10" x14ac:dyDescent="0.2">
      <c r="B122" s="14" t="s">
        <v>45</v>
      </c>
      <c r="C122" s="14" t="s">
        <v>46</v>
      </c>
      <c r="D122" s="14" t="s">
        <v>47</v>
      </c>
      <c r="E122" s="16">
        <v>86055</v>
      </c>
      <c r="G122" t="str">
        <v>Finance</v>
      </c>
      <c r="H122">
        <f>AVERAGEIF($B$117:$B$132,G122,$E$117:$E$132)</f>
        <v>106209</v>
      </c>
      <c r="I122">
        <f t="shared" ref="I122:I123" si="4">RANK(H122,$H$121:$H$123,1)</f>
        <v>3</v>
      </c>
      <c r="J122">
        <f t="shared" ref="J122:J123" si="5">RANK(H122,$H$121:$H$123)</f>
        <v>1</v>
      </c>
    </row>
    <row r="123" spans="2:10" x14ac:dyDescent="0.2">
      <c r="B123" s="14" t="s">
        <v>34</v>
      </c>
      <c r="C123" s="14" t="s">
        <v>48</v>
      </c>
      <c r="D123" s="14" t="s">
        <v>49</v>
      </c>
      <c r="E123" s="16">
        <v>125600</v>
      </c>
      <c r="G123" t="str">
        <v>Procurement</v>
      </c>
      <c r="H123">
        <f>AVERAGEIF($B$117:$B$132,G123,$E$117:$E$132)</f>
        <v>63371</v>
      </c>
      <c r="I123">
        <f t="shared" si="4"/>
        <v>1</v>
      </c>
      <c r="J123">
        <f t="shared" si="5"/>
        <v>3</v>
      </c>
    </row>
    <row r="124" spans="2:10" x14ac:dyDescent="0.2">
      <c r="B124" s="14" t="s">
        <v>37</v>
      </c>
      <c r="C124" s="14" t="s">
        <v>50</v>
      </c>
      <c r="D124" s="14" t="s">
        <v>51</v>
      </c>
      <c r="E124" s="16">
        <v>145000</v>
      </c>
    </row>
    <row r="125" spans="2:10" x14ac:dyDescent="0.2">
      <c r="B125" s="14" t="s">
        <v>45</v>
      </c>
      <c r="C125" s="14" t="s">
        <v>52</v>
      </c>
      <c r="D125" s="14" t="s">
        <v>53</v>
      </c>
      <c r="E125" s="16">
        <v>65200</v>
      </c>
    </row>
    <row r="126" spans="2:10" x14ac:dyDescent="0.2">
      <c r="B126" s="14" t="s">
        <v>34</v>
      </c>
      <c r="C126" s="14" t="s">
        <v>54</v>
      </c>
      <c r="D126" s="14" t="s">
        <v>36</v>
      </c>
      <c r="E126" s="16">
        <v>65200</v>
      </c>
    </row>
    <row r="127" spans="2:10" x14ac:dyDescent="0.2">
      <c r="B127" s="14" t="s">
        <v>34</v>
      </c>
      <c r="C127" s="14" t="s">
        <v>55</v>
      </c>
      <c r="D127" s="14" t="s">
        <v>56</v>
      </c>
      <c r="E127" s="16">
        <v>41200</v>
      </c>
    </row>
    <row r="128" spans="2:10" x14ac:dyDescent="0.2">
      <c r="B128" s="14" t="s">
        <v>45</v>
      </c>
      <c r="C128" s="14" t="s">
        <v>57</v>
      </c>
      <c r="D128" s="14" t="s">
        <v>53</v>
      </c>
      <c r="E128" s="16">
        <v>57800</v>
      </c>
    </row>
    <row r="129" spans="1:12" x14ac:dyDescent="0.2">
      <c r="B129" s="14" t="s">
        <v>45</v>
      </c>
      <c r="C129" s="14" t="s">
        <v>58</v>
      </c>
      <c r="D129" s="14" t="s">
        <v>59</v>
      </c>
      <c r="E129" s="16">
        <v>51300</v>
      </c>
    </row>
    <row r="130" spans="1:12" x14ac:dyDescent="0.2">
      <c r="B130" s="14" t="s">
        <v>45</v>
      </c>
      <c r="C130" s="14" t="s">
        <v>60</v>
      </c>
      <c r="D130" s="14" t="s">
        <v>53</v>
      </c>
      <c r="E130" s="16">
        <v>56500</v>
      </c>
      <c r="G130" s="15">
        <f>MIN(E117:E132)</f>
        <v>41200</v>
      </c>
      <c r="I130" t="str">
        <f ca="1">_xlfn.FORMULATEXT(G130)</f>
        <v>=MIN(E117:E132)</v>
      </c>
    </row>
    <row r="131" spans="1:12" x14ac:dyDescent="0.2">
      <c r="B131" s="14" t="s">
        <v>34</v>
      </c>
      <c r="C131" s="14" t="s">
        <v>61</v>
      </c>
      <c r="D131" s="14" t="s">
        <v>36</v>
      </c>
      <c r="E131" s="16">
        <v>48500</v>
      </c>
    </row>
    <row r="132" spans="1:12" x14ac:dyDescent="0.2">
      <c r="B132" s="14" t="s">
        <v>34</v>
      </c>
      <c r="C132" s="14" t="s">
        <v>62</v>
      </c>
      <c r="D132" s="14" t="s">
        <v>36</v>
      </c>
      <c r="E132" s="16">
        <v>49627</v>
      </c>
      <c r="G132" s="15">
        <f>MAX(E117:E132)</f>
        <v>145000</v>
      </c>
      <c r="I132" t="str">
        <f ca="1">_xlfn.FORMULATEXT(G132)</f>
        <v>=MAX(E117:E132)</v>
      </c>
    </row>
    <row r="136" spans="1:12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8" spans="1:12" x14ac:dyDescent="0.2">
      <c r="C138" t="s">
        <v>91</v>
      </c>
    </row>
    <row r="140" spans="1:12" x14ac:dyDescent="0.2">
      <c r="B140" cm="1">
        <f t="array" ref="B140:B150">_xlfn._xlws.SORT(C140:C150)</f>
        <v>-5</v>
      </c>
      <c r="C140" s="4">
        <v>-5</v>
      </c>
    </row>
    <row r="141" spans="1:12" x14ac:dyDescent="0.2">
      <c r="B141">
        <v>1</v>
      </c>
      <c r="C141" s="19">
        <v>11</v>
      </c>
      <c r="E141" t="s">
        <v>92</v>
      </c>
      <c r="F141">
        <f>AVERAGE(C140:C150)</f>
        <v>8.454545454545455</v>
      </c>
    </row>
    <row r="142" spans="1:12" x14ac:dyDescent="0.2">
      <c r="B142">
        <v>6</v>
      </c>
      <c r="C142" s="4">
        <v>1</v>
      </c>
      <c r="E142" t="s">
        <v>85</v>
      </c>
      <c r="F142">
        <f>MEDIAN(C140:C150)</f>
        <v>11</v>
      </c>
    </row>
    <row r="143" spans="1:12" x14ac:dyDescent="0.2">
      <c r="B143">
        <v>9</v>
      </c>
      <c r="C143" s="4">
        <v>9</v>
      </c>
      <c r="E143" t="s">
        <v>86</v>
      </c>
      <c r="F143">
        <f>MODE(C140:C150)</f>
        <v>11</v>
      </c>
    </row>
    <row r="144" spans="1:12" x14ac:dyDescent="0.2">
      <c r="B144">
        <v>10</v>
      </c>
      <c r="C144" s="19">
        <v>11</v>
      </c>
    </row>
    <row r="145" spans="2:5" x14ac:dyDescent="0.2">
      <c r="B145">
        <v>11</v>
      </c>
      <c r="C145" s="4">
        <v>6</v>
      </c>
    </row>
    <row r="146" spans="2:5" x14ac:dyDescent="0.2">
      <c r="B146">
        <v>11</v>
      </c>
      <c r="C146" s="4">
        <v>10</v>
      </c>
    </row>
    <row r="147" spans="2:5" x14ac:dyDescent="0.2">
      <c r="B147">
        <v>12</v>
      </c>
      <c r="C147" s="20">
        <v>12</v>
      </c>
    </row>
    <row r="148" spans="2:5" x14ac:dyDescent="0.2">
      <c r="B148">
        <v>12</v>
      </c>
      <c r="C148" s="18">
        <v>13</v>
      </c>
      <c r="E148" cm="1">
        <f t="array" ref="E148:E150">_xlfn.MODE.MULT(C140:C150)</f>
        <v>11</v>
      </c>
    </row>
    <row r="149" spans="2:5" x14ac:dyDescent="0.2">
      <c r="B149">
        <v>13</v>
      </c>
      <c r="C149" s="20">
        <v>12</v>
      </c>
      <c r="E149">
        <v>12</v>
      </c>
    </row>
    <row r="150" spans="2:5" x14ac:dyDescent="0.2">
      <c r="B150">
        <v>13</v>
      </c>
      <c r="C150" s="18">
        <v>13</v>
      </c>
      <c r="E150">
        <v>13</v>
      </c>
    </row>
    <row r="157" spans="2:5" x14ac:dyDescent="0.2">
      <c r="D157" t="s">
        <v>94</v>
      </c>
    </row>
    <row r="160" spans="2:5" x14ac:dyDescent="0.2">
      <c r="D160" t="s">
        <v>95</v>
      </c>
    </row>
  </sheetData>
  <mergeCells count="1">
    <mergeCell ref="B77:D7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agenda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2026-04-04T15:36:03Z</dcterms:created>
  <dcterms:modified xsi:type="dcterms:W3CDTF">2026-04-04T19:16:55Z</dcterms:modified>
</cp:coreProperties>
</file>