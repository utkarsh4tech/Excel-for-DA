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94FE3BB2-008F-1B4E-90D8-AAEDDF44AA2F}" xr6:coauthVersionLast="47" xr6:coauthVersionMax="47" xr10:uidLastSave="{00000000-0000-0000-0000-000000000000}"/>
  <bookViews>
    <workbookView xWindow="0" yWindow="600" windowWidth="28800" windowHeight="17400" activeTab="2" xr2:uid="{2D836D8D-D632-3445-B35C-EBE8858E4D5C}"/>
  </bookViews>
  <sheets>
    <sheet name="agenda" sheetId="1" r:id="rId1"/>
    <sheet name="Sheet2" sheetId="2" r:id="rId2"/>
    <sheet name="VLOOKUP" sheetId="3" r:id="rId3"/>
    <sheet name="HLOOKUP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  <c r="D12" i="3"/>
  <c r="E10" i="4"/>
  <c r="F89" i="2"/>
  <c r="E89" i="2"/>
  <c r="H68" i="2"/>
  <c r="D28" i="2"/>
  <c r="G44" i="2"/>
  <c r="I41" i="2" a="1"/>
  <c r="I41" i="2" s="1"/>
  <c r="D39" i="2"/>
  <c r="G16" i="2"/>
  <c r="G17" i="2"/>
  <c r="D16" i="2"/>
  <c r="I3" i="2"/>
  <c r="D13" i="3"/>
  <c r="E90" i="2"/>
  <c r="H7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<sst xmlns="http://schemas.openxmlformats.org/spreadsheetml/2006/main" count="166" uniqueCount="77">
  <si>
    <t>Lookup in Excel</t>
  </si>
  <si>
    <t>1) What is LOOKUP</t>
  </si>
  <si>
    <t>2) how we do Lookup in Excel</t>
  </si>
  <si>
    <t>Student Id</t>
  </si>
  <si>
    <t>Name</t>
  </si>
  <si>
    <t>Course</t>
  </si>
  <si>
    <t>Phn Num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</si>
  <si>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</si>
  <si>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</si>
  <si>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</si>
  <si>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</si>
  <si>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</si>
  <si>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</si>
  <si>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</si>
  <si>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</si>
  <si>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</si>
  <si>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</si>
  <si>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</si>
  <si>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</si>
  <si>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Dolly</t>
  </si>
  <si>
    <t>Ba Soci</t>
  </si>
  <si>
    <t>Fake num 5</t>
  </si>
  <si>
    <t>Sonam</t>
  </si>
  <si>
    <t>MBA Ops</t>
  </si>
  <si>
    <t>Fake num 6</t>
  </si>
  <si>
    <t>lookup means finding a value associated with a search value ( in a Tabular data)</t>
  </si>
  <si>
    <t>Vlookup, Hlookup, Xlookup … INDEX+MATCH</t>
  </si>
  <si>
    <t>3) ROW/ROWS &amp; COLUMN/COLUMNS</t>
  </si>
  <si>
    <t xml:space="preserve">ROW </t>
  </si>
  <si>
    <t>ROWS</t>
  </si>
  <si>
    <t>COLUMN</t>
  </si>
  <si>
    <t>COLUMNS</t>
  </si>
  <si>
    <t>TO GET ROW NUMBER OF THAT CELL if refrence is given else current row number</t>
  </si>
  <si>
    <t>TO GET COLUMN NUMBER OF THAT CELL if refrence is given else current COLUMN number</t>
  </si>
  <si>
    <t xml:space="preserve">GIVES number of rows in the array </t>
  </si>
  <si>
    <t xml:space="preserve">GIVES number of columns in the array </t>
  </si>
  <si>
    <t>#ROWS</t>
  </si>
  <si>
    <t>#COLS</t>
  </si>
  <si>
    <t>INDEX</t>
  </si>
  <si>
    <t>MATCH</t>
  </si>
  <si>
    <t>INDEX+MATCH</t>
  </si>
  <si>
    <t>APPLE</t>
  </si>
  <si>
    <t>MANGO</t>
  </si>
  <si>
    <t>ORANGE</t>
  </si>
  <si>
    <t>BANANA</t>
  </si>
  <si>
    <t>KIWI</t>
  </si>
  <si>
    <t>VALUE</t>
  </si>
  <si>
    <t>Helps in finding VALUE in array at particular ROW number and column number</t>
  </si>
  <si>
    <t>LESS THAN ( 1 ) array must be in Ascending ordering</t>
  </si>
  <si>
    <t>GREATER THAN (-1) array must be in Descending order</t>
  </si>
  <si>
    <t>ROW / CoL number of the value in the lookup array</t>
  </si>
  <si>
    <t>SEARCH KEY</t>
  </si>
  <si>
    <t>POSITION / INDEX</t>
  </si>
  <si>
    <t>Groc A</t>
  </si>
  <si>
    <t>Groc B</t>
  </si>
  <si>
    <t>Groc C</t>
  </si>
  <si>
    <t>Sugar</t>
  </si>
  <si>
    <t>Salt</t>
  </si>
  <si>
    <t>Pepper</t>
  </si>
  <si>
    <t>Soap</t>
  </si>
  <si>
    <t>Shampoo</t>
  </si>
  <si>
    <t>ITEM</t>
  </si>
  <si>
    <t>STORE</t>
  </si>
  <si>
    <t>PRICE</t>
  </si>
  <si>
    <t>STUD ID</t>
  </si>
  <si>
    <t>COURSE</t>
  </si>
  <si>
    <t>NAME</t>
  </si>
  <si>
    <t>VLOOKUP</t>
  </si>
  <si>
    <t>VERTICAL LOOKUP</t>
  </si>
  <si>
    <t>HLOOKUP</t>
  </si>
  <si>
    <t>HORIZONTAL LOOKUP</t>
  </si>
  <si>
    <t>We are searching the query in a COLUMN</t>
  </si>
  <si>
    <t>IMP</t>
  </si>
  <si>
    <t>We can only lookup in left most Column of given array</t>
  </si>
  <si>
    <t xml:space="preserve">If using EXACT match, the first found value is returned… </t>
  </si>
  <si>
    <t>we can only get right columns in the output</t>
  </si>
  <si>
    <r>
      <t xml:space="preserve">if doing approximate match ( by default) data must be sorted in </t>
    </r>
    <r>
      <rPr>
        <b/>
        <sz val="12"/>
        <color rgb="FF000000"/>
        <rFont val="Aptos Narrow"/>
        <scheme val="minor"/>
      </rPr>
      <t>ascending</t>
    </r>
    <r>
      <rPr>
        <sz val="12"/>
        <color rgb="FF000000"/>
        <rFont val="Aptos Narrow"/>
        <family val="2"/>
        <scheme val="minor"/>
      </rPr>
      <t xml:space="preserve"> orded…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</si>
</sst>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36"/>
      <color theme="1"/>
      <name val="Aptos Narrow (Body)"/>
    </font>
    <font>
      <sz val="12"/>
      <color rgb="FF000000"/>
      <name val="Aptos Narrow"/>
      <family val="2"/>
      <scheme val="minor"/>
    </font>
    <font>
      <sz val="15"/>
      <color rgb="FF242424"/>
      <name val="Aptos Narrow"/>
      <scheme val="minor"/>
    </font>
    <font>
      <sz val="12"/>
      <color rgb="FF242424"/>
      <name val="Aptos Narrow (Body)"/>
    </font>
    <font>
      <sz val="12"/>
      <color rgb="FF000000"/>
      <name val="Aptos Narrow"/>
      <scheme val="minor"/>
    </font>
    <font>
      <b/>
      <sz val="12"/>
      <color rgb="FF00000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4D93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000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0" fillId="0" borderId="1" xfId="0" applyBorder="1"/>
    <xf numFmtId="0" fontId="0" fillId="2" borderId="1" xfId="0" applyFill="1" applyBorder="1"/>
    <xf numFmtId="0" fontId="3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Fill="1"/>
    <xf numFmtId="0" fontId="4" fillId="0" borderId="0" xfId="0" applyFont="1"/>
    <xf numFmtId="0" fontId="5" fillId="0" borderId="0" xfId="0" applyFont="1"/>
    <xf numFmtId="0" fontId="5" fillId="4" borderId="0" xfId="0" applyFont="1" applyFill="1"/>
    <xf numFmtId="0" fontId="2" fillId="5" borderId="1" xfId="0" applyFont="1" applyFill="1" applyBorder="1"/>
    <xf numFmtId="0" fontId="2" fillId="5" borderId="2" xfId="0" applyFont="1" applyFill="1" applyBorder="1"/>
    <xf numFmtId="0" fontId="2" fillId="0" borderId="3" xfId="0" applyFont="1" applyBorder="1"/>
    <xf numFmtId="0" fontId="2" fillId="0" borderId="4" xfId="0" applyFont="1" applyBorder="1"/>
    <xf numFmtId="0" fontId="2" fillId="0" borderId="1" xfId="0" applyFont="1" applyBorder="1"/>
    <xf numFmtId="0" fontId="2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4.xml"/><Relationship Id="rId13" Type="http://schemas.openxmlformats.org/officeDocument/2006/relationships/image" Target="../media/image7.png"/><Relationship Id="rId18" Type="http://schemas.openxmlformats.org/officeDocument/2006/relationships/customXml" Target="../ink/ink9.xm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customXml" Target="../ink/ink6.xml"/><Relationship Id="rId17" Type="http://schemas.openxmlformats.org/officeDocument/2006/relationships/image" Target="../media/image9.png"/><Relationship Id="rId2" Type="http://schemas.openxmlformats.org/officeDocument/2006/relationships/customXml" Target="../ink/ink1.xml"/><Relationship Id="rId16" Type="http://schemas.openxmlformats.org/officeDocument/2006/relationships/customXml" Target="../ink/ink8.xml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11" Type="http://schemas.openxmlformats.org/officeDocument/2006/relationships/image" Target="../media/image6.png"/><Relationship Id="rId5" Type="http://schemas.openxmlformats.org/officeDocument/2006/relationships/image" Target="../media/image3.png"/><Relationship Id="rId15" Type="http://schemas.openxmlformats.org/officeDocument/2006/relationships/image" Target="../media/image8.png"/><Relationship Id="rId10" Type="http://schemas.openxmlformats.org/officeDocument/2006/relationships/customXml" Target="../ink/ink5.xml"/><Relationship Id="rId19" Type="http://schemas.openxmlformats.org/officeDocument/2006/relationships/image" Target="../media/image10.png"/><Relationship Id="rId4" Type="http://schemas.openxmlformats.org/officeDocument/2006/relationships/customXml" Target="../ink/ink2.xml"/><Relationship Id="rId9" Type="http://schemas.openxmlformats.org/officeDocument/2006/relationships/image" Target="../media/image5.png"/><Relationship Id="rId14" Type="http://schemas.openxmlformats.org/officeDocument/2006/relationships/customXml" Target="../ink/ink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824845</xdr:colOff>
      <xdr:row>42</xdr:row>
      <xdr:rowOff>202938</xdr:rowOff>
    </xdr:from>
    <xdr:to>
      <xdr:col>10</xdr:col>
      <xdr:colOff>348791</xdr:colOff>
      <xdr:row>48</xdr:row>
      <xdr:rowOff>112201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8CE483-FF75-6A1E-53B3-C5365920FB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4845" y="8778711"/>
          <a:ext cx="7772400" cy="1126892"/>
        </a:xfrm>
        <a:prstGeom prst="rect">
          <a:avLst/>
        </a:prstGeom>
      </xdr:spPr>
    </xdr:pic>
    <xdr:clientData/>
  </xdr:twoCellAnchor>
  <xdr:twoCellAnchor editAs="oneCell">
    <xdr:from>
      <xdr:col>2</xdr:col>
      <xdr:colOff>371349</xdr:colOff>
      <xdr:row>46</xdr:row>
      <xdr:rowOff>70034</xdr:rowOff>
    </xdr:from>
    <xdr:to>
      <xdr:col>5</xdr:col>
      <xdr:colOff>485573</xdr:colOff>
      <xdr:row>52</xdr:row>
      <xdr:rowOff>159205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9EC423D2-3343-EEEE-7FD9-52ADF372C024}"/>
                </a:ext>
              </a:extLst>
            </xdr14:cNvPr>
            <xdr14:cNvContentPartPr/>
          </xdr14:nvContentPartPr>
          <xdr14:nvPr macro=""/>
          <xdr14:xfrm>
            <a:off x="2021040" y="9457560"/>
            <a:ext cx="2588760" cy="130680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9EC423D2-3343-EEEE-7FD9-52ADF372C024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014921" y="9451440"/>
              <a:ext cx="2600998" cy="131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765842</xdr:colOff>
      <xdr:row>33</xdr:row>
      <xdr:rowOff>119830</xdr:rowOff>
    </xdr:from>
    <xdr:to>
      <xdr:col>8</xdr:col>
      <xdr:colOff>55117</xdr:colOff>
      <xdr:row>34</xdr:row>
      <xdr:rowOff>114172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DBCE9182-FC4E-F0EA-4F9B-FD3115A6FF9E}"/>
                </a:ext>
              </a:extLst>
            </xdr14:cNvPr>
            <xdr14:cNvContentPartPr/>
          </xdr14:nvContentPartPr>
          <xdr14:nvPr macro=""/>
          <xdr14:xfrm>
            <a:off x="6539760" y="6869160"/>
            <a:ext cx="114120" cy="19728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DBCE9182-FC4E-F0EA-4F9B-FD3115A6FF9E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6533640" y="6863040"/>
              <a:ext cx="126360" cy="209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716901</xdr:colOff>
      <xdr:row>39</xdr:row>
      <xdr:rowOff>103881</xdr:rowOff>
    </xdr:from>
    <xdr:to>
      <xdr:col>12</xdr:col>
      <xdr:colOff>130016</xdr:colOff>
      <xdr:row>40</xdr:row>
      <xdr:rowOff>106143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E2F633CA-49B7-CD34-5705-181DF5AF0194}"/>
                </a:ext>
              </a:extLst>
            </xdr14:cNvPr>
            <xdr14:cNvContentPartPr/>
          </xdr14:nvContentPartPr>
          <xdr14:nvPr macro=""/>
          <xdr14:xfrm>
            <a:off x="9790200" y="8070840"/>
            <a:ext cx="237960" cy="20520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E2F633CA-49B7-CD34-5705-181DF5AF0194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9784080" y="8064720"/>
              <a:ext cx="250200" cy="21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54312</xdr:colOff>
      <xdr:row>35</xdr:row>
      <xdr:rowOff>28594</xdr:rowOff>
    </xdr:from>
    <xdr:to>
      <xdr:col>9</xdr:col>
      <xdr:colOff>145752</xdr:colOff>
      <xdr:row>35</xdr:row>
      <xdr:rowOff>201034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88BCC9DF-85AA-CB2E-762F-07A0310E5370}"/>
                </a:ext>
              </a:extLst>
            </xdr14:cNvPr>
            <xdr14:cNvContentPartPr/>
          </xdr14:nvContentPartPr>
          <xdr14:nvPr macro=""/>
          <xdr14:xfrm>
            <a:off x="7477920" y="7183800"/>
            <a:ext cx="91440" cy="17244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88BCC9DF-85AA-CB2E-762F-07A0310E5370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7471800" y="7177680"/>
              <a:ext cx="103680" cy="18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614661</xdr:colOff>
      <xdr:row>39</xdr:row>
      <xdr:rowOff>67521</xdr:rowOff>
    </xdr:from>
    <xdr:to>
      <xdr:col>12</xdr:col>
      <xdr:colOff>18056</xdr:colOff>
      <xdr:row>39</xdr:row>
      <xdr:rowOff>191361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864D1CB1-6D46-2DA3-33AD-B3F2C4C11D18}"/>
                </a:ext>
              </a:extLst>
            </xdr14:cNvPr>
            <xdr14:cNvContentPartPr/>
          </xdr14:nvContentPartPr>
          <xdr14:nvPr macro=""/>
          <xdr14:xfrm>
            <a:off x="9687960" y="8034480"/>
            <a:ext cx="228240" cy="12384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864D1CB1-6D46-2DA3-33AD-B3F2C4C11D18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9681840" y="8028360"/>
              <a:ext cx="240480" cy="136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113333</xdr:colOff>
      <xdr:row>45</xdr:row>
      <xdr:rowOff>13772</xdr:rowOff>
    </xdr:from>
    <xdr:to>
      <xdr:col>5</xdr:col>
      <xdr:colOff>480533</xdr:colOff>
      <xdr:row>46</xdr:row>
      <xdr:rowOff>146354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F11A21B2-60CF-008C-67BD-E2A9DBFAA583}"/>
                </a:ext>
              </a:extLst>
            </xdr14:cNvPr>
            <xdr14:cNvContentPartPr/>
          </xdr14:nvContentPartPr>
          <xdr14:nvPr macro=""/>
          <xdr14:xfrm>
            <a:off x="4237560" y="9198360"/>
            <a:ext cx="367200" cy="33552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F11A21B2-60CF-008C-67BD-E2A9DBFAA583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4231440" y="9192240"/>
              <a:ext cx="379440" cy="34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744962</xdr:colOff>
      <xdr:row>45</xdr:row>
      <xdr:rowOff>7292</xdr:rowOff>
    </xdr:from>
    <xdr:to>
      <xdr:col>8</xdr:col>
      <xdr:colOff>294877</xdr:colOff>
      <xdr:row>46</xdr:row>
      <xdr:rowOff>175874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C55A0F75-D7F2-03BB-763B-536E55D2D15E}"/>
                </a:ext>
              </a:extLst>
            </xdr14:cNvPr>
            <xdr14:cNvContentPartPr/>
          </xdr14:nvContentPartPr>
          <xdr14:nvPr macro=""/>
          <xdr14:xfrm>
            <a:off x="6518880" y="9191880"/>
            <a:ext cx="374760" cy="37152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C55A0F75-D7F2-03BB-763B-536E55D2D15E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6512760" y="9185760"/>
              <a:ext cx="387000" cy="38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159053</xdr:colOff>
      <xdr:row>42</xdr:row>
      <xdr:rowOff>70707</xdr:rowOff>
    </xdr:from>
    <xdr:to>
      <xdr:col>6</xdr:col>
      <xdr:colOff>293608</xdr:colOff>
      <xdr:row>43</xdr:row>
      <xdr:rowOff>152889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AC8AFE74-EACB-4F24-009A-5525F4E21717}"/>
                </a:ext>
              </a:extLst>
            </xdr14:cNvPr>
            <xdr14:cNvContentPartPr/>
          </xdr14:nvContentPartPr>
          <xdr14:nvPr macro=""/>
          <xdr14:xfrm>
            <a:off x="4283280" y="8646480"/>
            <a:ext cx="959400" cy="28512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AC8AFE74-EACB-4F24-009A-5525F4E21717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4277160" y="8640360"/>
              <a:ext cx="971640" cy="297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88957</xdr:colOff>
      <xdr:row>42</xdr:row>
      <xdr:rowOff>99867</xdr:rowOff>
    </xdr:from>
    <xdr:to>
      <xdr:col>9</xdr:col>
      <xdr:colOff>128472</xdr:colOff>
      <xdr:row>44</xdr:row>
      <xdr:rowOff>89271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D5CA5654-86CF-9963-F05B-116F042698EF}"/>
                </a:ext>
              </a:extLst>
            </xdr14:cNvPr>
            <xdr14:cNvContentPartPr/>
          </xdr14:nvContentPartPr>
          <xdr14:nvPr macro=""/>
          <xdr14:xfrm>
            <a:off x="6687720" y="8675640"/>
            <a:ext cx="864360" cy="39528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D5CA5654-86CF-9963-F05B-116F042698EF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6681600" y="8669520"/>
              <a:ext cx="876600" cy="4075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1T16:49:43.30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249 1598 24575,'38'0'0,"30"0"0,-18 0 0,4 0 0,6 0 0,0 0 0,-1 0 0,-3 0 0,42 0 0,-17 0 0,-5 0 0,-3 0 0,4 0 0,4 0 0,5 0 0,3 0 0,-2-1 0,-2-1 0,-5 0 0,-6-1 0,-3 1 0,-1 0 0,4-2 0,6 2 0,16 0 0,-46 2 0,2-1 0,1 1 0,1 0 0,-1 0 0,0 0 0,44 0 0,-3 0 0,-10 0 0,-5 0 0,-4 0 0,-6 1 0,-7 2 0,-10 1 0,-11 0 0,-11 0 0,-10-1 0,-6-1 0,-4-1 0,-1-1 0,-2-2 0,-2-3 0,-2-5 0,-1-6 0,-1-3 0,-1-3 0,0 1 0,0-1 0,0 1 0,-1 0 0,-1 0 0,-1 1 0,-1-2 0,0-9 0,-1-7 0,1-8 0,0 1 0,1 6 0,-1 5 0,2 4 0,-1-3 0,0-5 0,0-3 0,-1 0 0,-1 3 0,0 4 0,1 2 0,1 0 0,0-1 0,-1 1 0,0 5 0,-1 3 0,2 5 0,-1 1 0,1-2 0,-2-5 0,-2-8 0,-1-4 0,-3-4 0,-1-2 0,-1-3 0,-1-3 0,0-2 0,-1 3 0,2 6 0,0 6 0,0 6 0,1 5 0,1 5 0,3 8 0,2 4 0,-1 6 0,0 1 0,-1 1 0,-3 0 0,-4 0 0,-8 0 0,-14-4 0,-21-3 0,-25-5 0,34 6 0,-2-1 0,-2 1 0,1 1 0,-44-4 0,16 2 0,13 2 0,7 0 0,-8 1 0,-16 2 0,-16 2 0,45-1 0,0 2 0,-1-1 0,-1 0 0,-2 0 0,0 0 0,2 0 0,0-1 0,1 1 0,1-2 0,3 1 0,2 0 0,-40-3 0,5-1 0,10 2 0,6 0 0,2 1 0,0 1 0,-1 1 0,1 0 0,4 0 0,6 0 0,6 0 0,7 0 0,6 0 0,7 0 0,9 0 0,6 0 0,8 2 0,3 1 0,3 1 0,2 1 0,0-1 0,-2 0 0,-5 2 0,-12 3 0,-15 2 0,-15 5 0,-5 1 0,7-1 0,12-3 0,18-4 0,11-1 0,4 1 0,6-1 0,4 2 0,4 0 0,2 0 0,0 1 0,0 7 0,2 10 0,3 12 0,0 7 0,0 0 0,-1-3 0,0-3 0,1 2 0,2 3 0,1 4 0,-1-1 0,-2-1 0,-3-1 0,-1 3 0,1 5 0,0 3 0,0 6 0,0-2 0,-1-2 0,-4-3 0,-2-9 0,-5-7 0,-3-7 0,-1-5 0,0 0 0,0 1 0,0 2 0,0 4 0,0 1 0,-1 1 0,-3-1 0,-2-3 0,-2-2 0,0-4 0,1-7 0,0-6 0,1-6 0,1-5 0,2-4 0,2-4 0,1-5 0,0-8 0,0 8 0,0-3 0</inkml:trace>
  <inkml:trace contextRef="#ctx0" brushRef="#br0" timeOffset="1966">1103 1670 15474,'0'-7'0,"0"7"3887,0 14-3887,0 20 1570,0 24-1570,0 30 422,0-34 1,0 1-423,1 7 0,1 1 1399,2-2 1,2-2-1400,0-6 0,3-4 0,11 26 0,3-26 0,8-18 0,13-8 0,23-2 0,31-1 0,-34-10 0,3-1 0,6 1 0,0-2 0,2-2 0,-2 0 0,-7-2 0,-3-1 0,36 0 0,-24-3 0,-23 0 0,-17 0 0,-12 0 0,-10-1 0,-6-1 0,-5-3 0,-4-6 0,-5-3 0,-7-2 0,-6-1 0,-3 2 0,-1 1 0,0-1 0,-3-1 0,-4-3 0,-3-2 0,4 1 0,6 3 0,10 5 0,9 3 0,9 4 0,10 4 0,12 8 0,18 15 0,26 17 0,-26-14 0,1 1 0,4 2 0,1-2 0,-2-1 0,-3-2 0,26 16 0,-22-9 0,-23-9 0,-14-4 0,-8-1 0,-3 0 0,-1 1 0,-3-1 0,-5 1 0,-6 1 0,-4-3 0,-2-1 0,0-1 0,-2 0 0,-2 1 0,-3 2 0,-5 7 0,-2 3 0,3 0 0,5-5 0,7-6 0,8-6 0,6-5 0,3-3 0</inkml:trace>
  <inkml:trace contextRef="#ctx0" brushRef="#br0" timeOffset="3684">2827 2640 24575,'0'3'0,"0"19"0,0 26 0,0 22 0,0 10 0,0-4 0,0-9 0,0-13 0,0-14 0,0-14 0,2-10 0,-1-5 0,0-4 0,-1-5 0,-1-11 0,-3-12 0,-5-9 0,-2-6 0,-1-3 0,1-4 0,1-4 0,1-9 0,1-5 0,3 0 0,1 5 0,3 11 0,2 10 0,4 11 0,5 8 0,9 6 0,12 1 0,15 1 0,16 0 0,14-1 0,14 3 0,10 2 0,-47 7 0,1 4 0,-1 4 0,0 4 0,-2 5 0,-3 5 0,-2 4 0,-3 4 0,30 35 0,-14 5 0,-19-6 0,-16-10 0,-13-10 0,-11-10 0,-15-2 0,-22 4 0,-22 7 0,-16 2 0,-13-1 0,42-26 0,-2-1 0,0-3 0,-1-2 0,-47 9 0,9-11 0,14-7 0,17-5 0,15-1 0,13 0 0,9-1 0,8-3 0,6 2 0,3-1 0</inkml:trace>
  <inkml:trace contextRef="#ctx0" brushRef="#br0" timeOffset="5918">4615 3021 11958,'-10'-6'0,"-8"3"4827,-13 1-4827,-17 2 2195,-18 0-2195,-2 0 1236,0 0-1236,10 0 4359,13 0-4359,12 2 0,10 5 0,6 10 0,0 11 0,-1 9 0,4 5 0,3 0 0,7-6 0,2-6 0,12-5 0,17-2 0,20 0 0,19-2 0,12-2 0,3-5 0,3-5 0,-2-4 0,-7-6 0,-12-6 0,-17-4 0,-16-5 0,-12-3 0,-7-1 0,-5-3 0,-4 0 0,-2 0 0,0 5 0,0 5 0,-1 6 0,-1 2 0,-1 4 0,-1 3 0,2 6 0,1 7 0,0 9 0,7 11 0,10 10 0,21 11 0,21 5 0,16-1 0,9-7 0,-7-16 0,-9-15 0,-18-14 0,-13-14 0,-7-18 0,-3-17 0,-2-24 0,-7-19 0,-6-15 0,-9 44 0,-3-2 0,-2 1 0,-4 1 0,-2 0 0,-4 1 0,-2 3 0,-3 2 0,-21-37 0,0 13 0,6 18 0,7 16 0,7 17 0,6 14 0,6 15 0,4 15 0,5 18 0,7 17 0,10 20 0,10 18 0,-12-47 0,2 1 0,1-2 0,1-1 0,23 36 0,3-15 0,5-9 0,5-12 0,5-8 0,3-8 0,2-7 0,-2-7 0,2-7 0,-2-5 0,-5-4 0,-8-4 0,-15-3 0,-13-1 0,-13 3 0,-5 1 0</inkml:trace>
  <inkml:trace contextRef="#ctx0" brushRef="#br0" timeOffset="6668">5369 3172 24575,'11'-2'0,"24"0"0,27 2 0,26 0 0,11 0 0,-17 0 0,-20 0 0,-27 0 0,-18 0 0,-8 0 0,-2 0 0,-3 0 0,-1 0 0</inkml:trace>
  <inkml:trace contextRef="#ctx0" brushRef="#br0" timeOffset="8002">6260 3094 20200,'-1'-5'0,"-4"2"2056,-8 1-2056,-6 2 742,-5 0-742,2 0 383,2 5-383,2 9 1194,4 12-1194,1 12 0,4 4 0,4-2 0,2-6 0,3-4 0,2-5 0,4-2 0,9-4 0,6-5 0,6-1 0,2-4 0,1-3 0,3-3 0,1-2 0,-4-5 0,-4-6 0,-6-9 0,-5-8 0,-3-8 0,-3-9 0,-3-1 0,-2-2 0,-3 7 0,-1 11 0,0 10 0,0 12 0,0 9 0,0 11 0,0 6 0,7 12 0,13 9 0,25 14 0,-8-21 0,5 0 0,10 3 0,3-1 0,3-1 0,0-2 0,-2-5 0,-1-4 0,36 11 0,-21-16 0,-16-8 0,-17-6 0,-14-4 0,-11-1 0,-7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1T16:49:53.77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317 1 24575,'-7'0'0,"-1"0"0,-6 0 0,-4 0 0,-7 2 0,-2 10 0,-2 12 0,-3 18 0,1 14 0,-2 8 0,3 3 0,4-4 0,7-9 0,8-12 0,6-9 0,4-10 0,1-4 0,3-3 0,3-1 0,-2-7 0,0-1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1T16:49:55.18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660 1 24575,'0'25'0,"-1"24"0,-11 27 0,-13 13 0,-18 0 0,-12-16 0,-7-17 0,-10-13 0,-5-16 0,-3-8 0,4-7 0,14-7 0,16-1 0,17-3 0,15-1 0,9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1T16:50:21.75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253 0 24575,'-18'0'0,"-10"0"0,-13 0 0,-7 0 0,3 0 0,11 0 0,11 0 0,12 1 0,7 2 0,3 2 0,3 4 0,4 3 0,2 7 0,1 10 0,-2 14 0,0 12 0,-2 11 0,0 2 0,-2-7 0,0-13 0,0-17 0,-1-13 0,-1-11 0,0-4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1T16:50:23.65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634 1 24575,'0'22'0,"0"7"0,0 10 0,0 5 0,0-6 0,0-6 0,0-11 0,0-9 0,0-5 0,0-3 0,-1 0 0,0-1 0,-2-1 0,-1 2 0,0 0 0,0 1 0,0 0 0,0 0 0,0 3 0,-2 0 0,0 2 0,-2-1 0,-1-1 0,-3-3 0,-6-2 0,-4-1 0,-7-2 0,-14 0 0,-12 0 0,-14 0 0,-4 0 0,5 0 0,8 1 0,12 2 0,13 0 0,11 0 0,10-3 0,10-4 0,3 2 0,3-2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1T16:50:28.85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0 932 24575,'0'-22'0,"0"-22"0,0-29 0,5-17 0,12-3 0,20 9 0,32 16 0,-19 37 0,5 3 0,11 1 0,2 4 0,4 2 0,0 3 0,-6 2 0,-3 2 0,35-6 0,-38 9 0,-29 4 0,-21 2 0,-15 0 0,-11-4 0,-13-3 0,-11-3 0,-10-7 0,-8-6 0,-9-4 0,-3-3 0,7 4 0,11 8 0,22 8 0,24 8 0,27 5 0,29 3 0,30 3 0,14 7 0,-44-3 0,-1 2 0,42 15 0,-20 2 0,-16-1 0,-17 0 0,-11 1 0,-7 2 0,-7 5 0,-6 7 0,-7 10 0,-7 5 0,-5-3 0,-1-11 0,2-14 0,4-13 0,2-7 0,0-6 0,2-1 0,1-1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1T16:50:30.72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1031 24575,'0'-9'0,"0"-17"0,0-24 0,3-29 0,12-19 0,-1 47 0,3 0 0,5 2 0,5 2 0,4 5 0,6 4 0,5 1 0,5 3 0,3 2 0,3 3 0,4 3 0,0 1 0,-1 3 0,0 2 0,-6 4 0,0 1 0,38-8 0,-17 5 0,-17 6 0,-16 5 0,-16 1 0,-14 2 0,-15-1 0,-18-2 0,-17-5 0,-17-6 0,-6-4 0,0 1 0,6 1 0,4 5 0,7 2 0,6 3 0,13 3 0,13 3 0,10 1 0,12 1 0,10-1 0,16 2 0,19 0 0,15 5 0,15 5 0,2 8 0,-7 4 0,-12 0 0,-18-3 0,-14-2 0,-10-1 0,-10-2 0,-6 1 0,-10 1 0,-9 5 0,-9 10 0,-6 10 0,-1 7 0,1 1 0,6-4 0,4-6 0,4-6 0,4-6 0,3-6 0,4-10 0,2-5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1T16:50:44.07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11 507 24575,'3'17'0,"-1"13"0,-2 17 0,0 7 0,0-3 0,0-12 0,0-15 0,0-18 0,0-18 0,-2-24 0,-2-25 0,0-20 0,2 28 0,0-1 0,1-1 0,1 0 0,0-44 0,4 19 0,4 33 0,7 20 0,8 16 0,7 7 0,10 4 0,4 8 0,3 8 0,-7 8 0,-11 4 0,-10-2 0,-11-3 0,-11-1 0,-10 0 0,-8-1 0,-8-2 0,-1-3 0,1-4 0,4-4 0,6-5 0,5-2 0,5-1 0,3 1 0,4 1 0,6 2 0,10 4 0,15 13 0,21 18 0,16 17 0,-28-21 0,0 1 0,1 0 0,-1 0 0,27 26 0,-16-14 0,-17-19 0,-14-11 0,-11-11 0,-4-2 0</inkml:trace>
  <inkml:trace contextRef="#ctx0" brushRef="#br0" timeOffset="2266">598 409 24575,'0'22'0,"0"5"0,0 8 0,0 2 0,1-1 0,10-5 0,14-7 0,17-6 0,13-8 0,-1-5 0,-7-5 0,-14-7 0,-12-9 0,-10-7 0,-8-9 0,-11-7 0,-12-3 0,-15-4 0,-22 0 0,-10 5 0,-3 10 0,5 12 0,20 12 0,17 6 0,16 5 0,9 2 0,12 6 0,16 7 0,19 3 0,21 3 0,10-4 0,1-6 0,-8-7 0,-15-9 0,-17-7 0,-17-4 0,-10-5 0,-7 1 0,-1 7 0,-1 11 0,0 12 0,2 15 0,10 10 0,13 9 0,14 2 0,11-5 0,-1-10 0,-5-12 0,-11-11 0,-9-9 0,-8-9 0,-4-13 0,2-13 0,2-10 0,3 0 0,0 9 0,-3 11 0,-4 12 0,-2 6 0,-4 2 0,-2-2 0,-2-2 0,-6-5 0,-8-5 0,-10-4 0,-9 2 0,1 5 0,5 8 0,8 4 0,9 4 0,5 2 0,4 3 0,3 2 0,7 7 0,8 10 0,11 11 0,9 9 0,8 2 0,6-4 0,1-8 0,-3-10 0,-9-10 0,-10-9 0,-7-4 0,-7-9 0,-2-13 0,-2-17 0,0-19 0,-3-12 0,-5-4 0,-10 5 0,-10 11 0,-8 15 0,-7 13 0,2 10 0,2 9 0,4 5 0,7 3 0,6-1 0,5 1 0</inkml:trace>
  <inkml:trace contextRef="#ctx0" brushRef="#br0" timeOffset="3683">2169 235 24575,'0'13'0,"0"14"0,0 20 0,0 16 0,0 5 0,0-10 0,0-16 0,0-18 0,0-16 0,-2-16 0,-1-14 0,-5-14 0,-4-14 0,-2-11 0,0-7 0,4-1 0,4 4 0,3 14 0,3 16 0,0 17 0,2 12 0,2 4 0,4 5 0,12 12 0,20 15 0,23 22 0,-24-20 0,1 2 0,3 3 0,0 1 0,-2 1 0,-3-1 0,28 30 0,-15-13 0,-19-20 0,-13-18 0,-10-10 0,-3-11 0,-4-11 0,-1-16 0,-1-27 0,-2-19 0,-3-18 0,-5-2 0,-2 12 0,2 20 0,2 26 0,3 20 0,3 12 0,0 6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1T16:50:50.27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203 486 24575,'-5'-5'0,"-5"3"0,-9-1 0,-8 4 0,-5 5 0,1 7 0,5 11 0,5 9 0,6 7 0,5 6 0,4 1 0,6 2 0,11-3 0,16-2 0,20-3 0,21-8 0,15-9 0,10-10 0,-3-12 0,-11-10 0,-19-10 0,-20-6 0,-20-2 0,-13 3 0,-9 3 0,-9 3 0,-10 4 0,-7 3 0,-2 4 0,2 3 0,6 2 0,6 4 0,8 5 0,4 6 0,4 7 0,2 9 0,6 8 0,11 7 0,13 3 0,10-3 0,3-10 0,0-12 0,-7-10 0,-8-9 0,-9-8 0,-9-8 0,-6-8 0,-4-7 0,-8-6 0,-14-7 0,-16-2 0,-14 4 0,-3 10 0,7 12 0,12 10 0,11 5 0,10 3 0,8 4 0,2 3 0,5 1 0,9-4 0,17-2 0,20-3 0,17-6 0,10-12 0,1-15 0,-6-21 0,-13-22 0,-34 28 0,-5-3 0,-5-2 0,-4-1 0,-3-1 0,-4 0 0,-9-39 0,-9 23 0,-7 21 0,0 25 0,5 15 0,3 13 0,5 8 0,3 8 0,3 17 0,3 16 0,2 22 0,10 20 0,2-46 0,4-2 0,6-1 0,6-3 0,5-6 0,4-5 0,38 18 0,-3-15 0,-11-12 0,-7-7-1696,-11-6 0,-17-5 0,-11-2 0</inkml:trace>
  <inkml:trace contextRef="#ctx0" brushRef="#br0" timeOffset="2533">1513 195 24575,'0'47'0,"0"4"0,0 14 0,0-1 0,0-7 0,0-13 0,0-16 0,0-14 0,-1-11 0,0-15 0,-2-16 0,-1-13 0,-1-8 0,0-4 0,2 1 0,2 2 0,1 4 0,3 7 0,2 10 0,2 11 0,2 9 0,-1 6 0,1 3 0,6 8 0,16 15 0,37 26 0,-15-12 0,6 4 0,10 7 0,4 2 0,4 3 0,0 0 0,-8-5 0,-4-2 0,-13-9 0,-5-4 0,16 13 0,-31-25 0,-19-14 0,-8-11 0,-3-17 0,-3-27 0,-4-32 0,1 30 0,-1-2 0,0-4 0,-1 0 0,-1 2 0,1 1 0,-4-35 0,3 18 0,2 24 0,1 18 0,1 12 0,-1 7 0,0 4 0,2 3 0,-1 2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AD144-EB05-2E41-91D1-C410F55D4A08}">
  <dimension ref="A3:L62"/>
  <sheetViews>
    <sheetView topLeftCell="A52" zoomScale="194" workbookViewId="0">
      <selection activeCell="E59" sqref="E59:H64"/>
    </sheetView>
  </sheetViews>
  <sheetFormatPr baseColWidth="10" defaultRowHeight="16" x14ac:dyDescent="0.2"/>
  <sheetData>
    <row r="3" spans="2:5" x14ac:dyDescent="0.2">
      <c r="B3" s="2" t="s">
        <v>0</v>
      </c>
      <c r="C3" s="1"/>
      <c r="D3" s="1"/>
      <c r="E3" s="1"/>
    </row>
    <row r="4" spans="2:5" x14ac:dyDescent="0.2">
      <c r="B4" s="1"/>
      <c r="C4" s="1"/>
      <c r="D4" s="1"/>
      <c r="E4" s="1"/>
    </row>
    <row r="5" spans="2:5" x14ac:dyDescent="0.2">
      <c r="B5" s="1"/>
      <c r="C5" s="1"/>
      <c r="D5" s="1"/>
      <c r="E5" s="1"/>
    </row>
    <row r="9" spans="2:5" x14ac:dyDescent="0.2">
      <c r="B9" t="s">
        <v>1</v>
      </c>
      <c r="E9" t="s">
        <v>25</v>
      </c>
    </row>
    <row r="11" spans="2:5" x14ac:dyDescent="0.2">
      <c r="B11" t="s">
        <v>2</v>
      </c>
      <c r="E11" t="s">
        <v>26</v>
      </c>
    </row>
    <row r="13" spans="2:5" x14ac:dyDescent="0.2">
      <c r="B13" t="s">
        <v>27</v>
      </c>
    </row>
    <row r="16" spans="2:5" ht="20" x14ac:dyDescent="0.25">
      <c r="B16" t="s">
        <v>28</v>
      </c>
      <c r="D16" s="6" t="s">
        <v>32</v>
      </c>
    </row>
    <row r="18" spans="1:11" x14ac:dyDescent="0.2">
      <c r="B18" t="s">
        <v>29</v>
      </c>
      <c r="D18" t="s">
        <v>34</v>
      </c>
    </row>
    <row r="20" spans="1:11" x14ac:dyDescent="0.2">
      <c r="B20" t="s">
        <v>30</v>
      </c>
      <c r="D20" t="s">
        <v>33</v>
      </c>
    </row>
    <row r="22" spans="1:11" x14ac:dyDescent="0.2">
      <c r="B22" t="s">
        <v>31</v>
      </c>
      <c r="D22" t="s">
        <v>35</v>
      </c>
    </row>
    <row r="25" spans="1:11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</row>
    <row r="28" spans="1:11" x14ac:dyDescent="0.2">
      <c r="B28" t="s">
        <v>38</v>
      </c>
      <c r="D28" t="s">
        <v>47</v>
      </c>
    </row>
    <row r="30" spans="1:11" x14ac:dyDescent="0.2">
      <c r="B30" t="s">
        <v>39</v>
      </c>
      <c r="D30" s="10" t="s">
        <v>50</v>
      </c>
    </row>
    <row r="32" spans="1:11" x14ac:dyDescent="0.2">
      <c r="B32" t="s">
        <v>40</v>
      </c>
    </row>
    <row r="35" spans="2:12" x14ac:dyDescent="0.2">
      <c r="I35" s="11"/>
      <c r="J35" s="12" t="s">
        <v>53</v>
      </c>
      <c r="K35" s="12" t="s">
        <v>54</v>
      </c>
      <c r="L35" s="12" t="s">
        <v>55</v>
      </c>
    </row>
    <row r="36" spans="2:12" x14ac:dyDescent="0.2">
      <c r="B36" s="3"/>
      <c r="C36" s="3"/>
      <c r="D36" s="3"/>
      <c r="E36" s="3"/>
      <c r="F36" s="3"/>
      <c r="G36" s="3"/>
      <c r="I36" s="12" t="s">
        <v>56</v>
      </c>
      <c r="J36" s="11">
        <v>2</v>
      </c>
      <c r="K36" s="11">
        <v>10</v>
      </c>
      <c r="L36" s="11">
        <v>15</v>
      </c>
    </row>
    <row r="37" spans="2:12" x14ac:dyDescent="0.2">
      <c r="B37" s="3"/>
      <c r="C37" s="3" t="s">
        <v>48</v>
      </c>
      <c r="D37" s="3"/>
      <c r="E37" s="3"/>
      <c r="F37" s="3"/>
      <c r="G37" s="3"/>
      <c r="I37" s="12" t="s">
        <v>57</v>
      </c>
      <c r="J37" s="11">
        <v>10</v>
      </c>
      <c r="K37" s="11">
        <v>12</v>
      </c>
      <c r="L37" s="11">
        <v>17</v>
      </c>
    </row>
    <row r="38" spans="2:12" x14ac:dyDescent="0.2">
      <c r="B38" s="3"/>
      <c r="C38" s="3"/>
      <c r="D38" s="3"/>
      <c r="E38" s="3"/>
      <c r="F38" s="3"/>
      <c r="G38" s="3"/>
      <c r="I38" s="12" t="s">
        <v>58</v>
      </c>
      <c r="J38" s="11">
        <v>20</v>
      </c>
      <c r="K38" s="11">
        <v>20</v>
      </c>
      <c r="L38" s="11">
        <v>20</v>
      </c>
    </row>
    <row r="39" spans="2:12" x14ac:dyDescent="0.2">
      <c r="B39" s="3"/>
      <c r="C39" s="3"/>
      <c r="D39" s="3"/>
      <c r="E39" s="3"/>
      <c r="F39" s="3"/>
      <c r="G39" s="3"/>
      <c r="I39" s="12" t="s">
        <v>59</v>
      </c>
      <c r="J39" s="11">
        <v>6</v>
      </c>
      <c r="K39" s="11">
        <v>4</v>
      </c>
      <c r="L39" s="11">
        <v>8</v>
      </c>
    </row>
    <row r="40" spans="2:12" x14ac:dyDescent="0.2">
      <c r="B40" s="3"/>
      <c r="C40" s="3" t="s">
        <v>49</v>
      </c>
      <c r="D40" s="3"/>
      <c r="E40" s="3"/>
      <c r="F40" s="3"/>
      <c r="G40" s="3"/>
      <c r="I40" s="12" t="s">
        <v>60</v>
      </c>
      <c r="J40" s="11">
        <v>2</v>
      </c>
      <c r="K40" s="11">
        <v>3</v>
      </c>
      <c r="L40" s="11">
        <v>5</v>
      </c>
    </row>
    <row r="57" spans="1:11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</row>
    <row r="60" spans="1:11" x14ac:dyDescent="0.2">
      <c r="C60" t="s">
        <v>67</v>
      </c>
      <c r="F60" t="s">
        <v>69</v>
      </c>
    </row>
    <row r="62" spans="1:11" x14ac:dyDescent="0.2">
      <c r="C62" t="s">
        <v>68</v>
      </c>
      <c r="F62" t="s">
        <v>70</v>
      </c>
    </row>
  </sheetData>
  <mergeCells count="1">
    <mergeCell ref="B3:E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6422D-C898-A049-858F-5D86A1D106DF}">
  <dimension ref="A3:L90"/>
  <sheetViews>
    <sheetView topLeftCell="A82" zoomScale="200" workbookViewId="0">
      <selection activeCell="E91" sqref="E91"/>
    </sheetView>
  </sheetViews>
  <sheetFormatPr baseColWidth="10" defaultRowHeight="16" x14ac:dyDescent="0.2"/>
  <sheetData>
    <row r="3" spans="4:9" x14ac:dyDescent="0.2">
      <c r="I3">
        <f>COLUMN()</f>
        <v>9</v>
      </c>
    </row>
    <row r="5" spans="4:9" x14ac:dyDescent="0.2">
      <c r="D5" s="5" t="s">
        <v>3</v>
      </c>
      <c r="E5" s="5" t="s">
        <v>4</v>
      </c>
      <c r="F5" s="5" t="s">
        <v>5</v>
      </c>
      <c r="G5" s="5" t="s">
        <v>6</v>
      </c>
    </row>
    <row r="6" spans="4:9" x14ac:dyDescent="0.2">
      <c r="D6" s="4">
        <v>1201</v>
      </c>
      <c r="E6" s="4" t="s">
        <v>7</v>
      </c>
      <c r="F6" s="4" t="s">
        <v>8</v>
      </c>
      <c r="G6" s="4" t="s">
        <v>9</v>
      </c>
    </row>
    <row r="7" spans="4:9" x14ac:dyDescent="0.2">
      <c r="D7" s="4">
        <v>1202</v>
      </c>
      <c r="E7" s="4" t="s">
        <v>10</v>
      </c>
      <c r="F7" s="4" t="s">
        <v>11</v>
      </c>
      <c r="G7" s="4" t="s">
        <v>12</v>
      </c>
    </row>
    <row r="8" spans="4:9" x14ac:dyDescent="0.2">
      <c r="D8" s="4">
        <v>1203</v>
      </c>
      <c r="E8" s="4" t="s">
        <v>13</v>
      </c>
      <c r="F8" s="4" t="s">
        <v>14</v>
      </c>
      <c r="G8" s="4" t="s">
        <v>15</v>
      </c>
    </row>
    <row r="9" spans="4:9" x14ac:dyDescent="0.2">
      <c r="D9" s="4">
        <v>1204</v>
      </c>
      <c r="E9" s="4" t="s">
        <v>16</v>
      </c>
      <c r="F9" s="4" t="s">
        <v>17</v>
      </c>
      <c r="G9" s="4" t="s">
        <v>18</v>
      </c>
    </row>
    <row r="10" spans="4:9" x14ac:dyDescent="0.2">
      <c r="D10" s="4">
        <v>1205</v>
      </c>
      <c r="E10" s="4" t="s">
        <v>19</v>
      </c>
      <c r="F10" s="4" t="s">
        <v>20</v>
      </c>
      <c r="G10" s="4" t="s">
        <v>21</v>
      </c>
    </row>
    <row r="11" spans="4:9" x14ac:dyDescent="0.2">
      <c r="D11" s="4">
        <v>1206</v>
      </c>
      <c r="E11" s="4" t="s">
        <v>22</v>
      </c>
      <c r="F11" s="4" t="s">
        <v>23</v>
      </c>
      <c r="G11" s="4" t="s">
        <v>24</v>
      </c>
    </row>
    <row r="16" spans="4:9" x14ac:dyDescent="0.2">
      <c r="D16">
        <f>COLUMN(I3)</f>
        <v>9</v>
      </c>
      <c r="F16" t="s">
        <v>36</v>
      </c>
      <c r="G16">
        <f>ROWS(D5:G11)</f>
        <v>7</v>
      </c>
    </row>
    <row r="17" spans="3:12" x14ac:dyDescent="0.2">
      <c r="F17" t="s">
        <v>37</v>
      </c>
      <c r="G17">
        <f>COLUMNS(D5:F7)</f>
        <v>3</v>
      </c>
    </row>
    <row r="21" spans="3:12" x14ac:dyDescent="0.2">
      <c r="C21" s="7"/>
      <c r="D21" s="7"/>
      <c r="E21" s="7"/>
      <c r="F21" s="7"/>
      <c r="G21" s="7"/>
      <c r="H21" s="7"/>
      <c r="I21" s="7"/>
      <c r="J21" s="7"/>
      <c r="K21" s="7"/>
    </row>
    <row r="23" spans="3:12" x14ac:dyDescent="0.2">
      <c r="C23" s="8" t="s">
        <v>46</v>
      </c>
      <c r="D23" t="s">
        <v>41</v>
      </c>
      <c r="E23" t="s">
        <v>42</v>
      </c>
      <c r="F23" t="s">
        <v>43</v>
      </c>
      <c r="G23" t="s">
        <v>44</v>
      </c>
      <c r="H23" t="s">
        <v>45</v>
      </c>
    </row>
    <row r="24" spans="3:12" x14ac:dyDescent="0.2">
      <c r="C24" s="8" t="s">
        <v>38</v>
      </c>
      <c r="D24">
        <v>1</v>
      </c>
      <c r="E24">
        <v>2</v>
      </c>
      <c r="F24">
        <v>3</v>
      </c>
      <c r="G24">
        <v>4</v>
      </c>
      <c r="H24">
        <v>5</v>
      </c>
    </row>
    <row r="27" spans="3:12" x14ac:dyDescent="0.2">
      <c r="C27" s="9"/>
    </row>
    <row r="28" spans="3:12" x14ac:dyDescent="0.2">
      <c r="D28" t="str">
        <f>INDEX(D23:H23,2)</f>
        <v>MANGO</v>
      </c>
    </row>
    <row r="32" spans="3:12" x14ac:dyDescent="0.2">
      <c r="C32" s="7"/>
      <c r="D32" s="7"/>
      <c r="E32" s="7"/>
      <c r="F32" s="7"/>
      <c r="G32" s="7"/>
      <c r="H32" s="7"/>
      <c r="I32" s="7"/>
      <c r="J32" s="7"/>
      <c r="K32" s="7"/>
      <c r="L32" s="7"/>
    </row>
    <row r="34" spans="2:11" x14ac:dyDescent="0.2">
      <c r="C34" s="8" t="s">
        <v>46</v>
      </c>
      <c r="D34" t="s">
        <v>41</v>
      </c>
      <c r="E34" t="s">
        <v>42</v>
      </c>
      <c r="F34" t="s">
        <v>43</v>
      </c>
      <c r="G34" t="s">
        <v>44</v>
      </c>
      <c r="H34" t="s">
        <v>45</v>
      </c>
    </row>
    <row r="35" spans="2:11" x14ac:dyDescent="0.2">
      <c r="C35" s="8" t="s">
        <v>38</v>
      </c>
      <c r="D35">
        <v>1</v>
      </c>
      <c r="E35">
        <v>2</v>
      </c>
      <c r="F35">
        <v>3</v>
      </c>
      <c r="G35">
        <v>4</v>
      </c>
      <c r="H35">
        <v>5</v>
      </c>
    </row>
    <row r="39" spans="2:11" x14ac:dyDescent="0.2">
      <c r="D39">
        <f>MATCH("kiwi",D34:H34,0)</f>
        <v>5</v>
      </c>
    </row>
    <row r="41" spans="2:11" x14ac:dyDescent="0.2">
      <c r="B41" s="5" t="s">
        <v>38</v>
      </c>
      <c r="D41" s="5" t="s">
        <v>46</v>
      </c>
      <c r="F41" t="s">
        <v>51</v>
      </c>
      <c r="G41">
        <v>7</v>
      </c>
      <c r="I41" cm="1">
        <f t="array" ref="I41:I49">_xlfn._xlws.SORT(D42:D50,,-1)</f>
        <v>15</v>
      </c>
      <c r="K41" s="4">
        <v>1</v>
      </c>
    </row>
    <row r="42" spans="2:11" x14ac:dyDescent="0.2">
      <c r="B42" s="4">
        <v>1</v>
      </c>
      <c r="D42" s="4">
        <v>-1</v>
      </c>
      <c r="I42">
        <v>11</v>
      </c>
      <c r="K42" s="4">
        <v>2</v>
      </c>
    </row>
    <row r="43" spans="2:11" x14ac:dyDescent="0.2">
      <c r="B43" s="4">
        <v>2</v>
      </c>
      <c r="D43" s="4">
        <v>0</v>
      </c>
      <c r="I43">
        <v>9</v>
      </c>
      <c r="K43" s="4">
        <v>3</v>
      </c>
    </row>
    <row r="44" spans="2:11" x14ac:dyDescent="0.2">
      <c r="B44" s="4">
        <v>3</v>
      </c>
      <c r="D44" s="4">
        <v>2</v>
      </c>
      <c r="F44" t="s">
        <v>52</v>
      </c>
      <c r="G44">
        <f>MATCH(G41,_xlfn.ANCHORARRAY(I41),-1)</f>
        <v>4</v>
      </c>
      <c r="I44">
        <v>8</v>
      </c>
      <c r="K44" s="4">
        <v>4</v>
      </c>
    </row>
    <row r="45" spans="2:11" x14ac:dyDescent="0.2">
      <c r="B45" s="4">
        <v>4</v>
      </c>
      <c r="D45" s="4">
        <v>4</v>
      </c>
      <c r="I45">
        <v>6</v>
      </c>
      <c r="K45" s="4">
        <v>5</v>
      </c>
    </row>
    <row r="46" spans="2:11" x14ac:dyDescent="0.2">
      <c r="B46" s="4">
        <v>5</v>
      </c>
      <c r="D46" s="4">
        <v>6</v>
      </c>
      <c r="I46">
        <v>4</v>
      </c>
      <c r="K46" s="4">
        <v>6</v>
      </c>
    </row>
    <row r="47" spans="2:11" x14ac:dyDescent="0.2">
      <c r="B47" s="4">
        <v>6</v>
      </c>
      <c r="D47" s="4">
        <v>8</v>
      </c>
      <c r="I47">
        <v>2</v>
      </c>
      <c r="K47" s="4">
        <v>7</v>
      </c>
    </row>
    <row r="48" spans="2:11" x14ac:dyDescent="0.2">
      <c r="B48" s="4">
        <v>7</v>
      </c>
      <c r="D48" s="4">
        <v>9</v>
      </c>
      <c r="I48">
        <v>0</v>
      </c>
      <c r="K48" s="4">
        <v>8</v>
      </c>
    </row>
    <row r="49" spans="1:12" x14ac:dyDescent="0.2">
      <c r="B49" s="4">
        <v>8</v>
      </c>
      <c r="D49" s="4">
        <v>11</v>
      </c>
      <c r="I49">
        <v>-1</v>
      </c>
      <c r="K49" s="4">
        <v>9</v>
      </c>
    </row>
    <row r="50" spans="1:12" x14ac:dyDescent="0.2">
      <c r="B50" s="4">
        <v>9</v>
      </c>
      <c r="D50" s="4">
        <v>15</v>
      </c>
    </row>
    <row r="53" spans="1:12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</row>
    <row r="58" spans="1:12" x14ac:dyDescent="0.2">
      <c r="D58" s="11"/>
      <c r="E58" s="12" t="s">
        <v>53</v>
      </c>
      <c r="F58" s="12" t="s">
        <v>54</v>
      </c>
      <c r="G58" s="12" t="s">
        <v>55</v>
      </c>
    </row>
    <row r="59" spans="1:12" x14ac:dyDescent="0.2">
      <c r="D59" s="12" t="s">
        <v>56</v>
      </c>
      <c r="E59" s="11">
        <v>2</v>
      </c>
      <c r="F59" s="11">
        <v>10</v>
      </c>
      <c r="G59" s="11">
        <v>15</v>
      </c>
    </row>
    <row r="60" spans="1:12" x14ac:dyDescent="0.2">
      <c r="D60" s="12" t="s">
        <v>57</v>
      </c>
      <c r="E60" s="11">
        <v>10</v>
      </c>
      <c r="F60" s="11">
        <v>12</v>
      </c>
      <c r="G60" s="11">
        <v>17</v>
      </c>
    </row>
    <row r="61" spans="1:12" x14ac:dyDescent="0.2">
      <c r="D61" s="12" t="s">
        <v>58</v>
      </c>
      <c r="E61" s="11">
        <v>20</v>
      </c>
      <c r="F61" s="11">
        <v>20</v>
      </c>
      <c r="G61" s="11">
        <v>20</v>
      </c>
    </row>
    <row r="62" spans="1:12" x14ac:dyDescent="0.2">
      <c r="D62" s="12" t="s">
        <v>59</v>
      </c>
      <c r="E62" s="11">
        <v>6</v>
      </c>
      <c r="F62" s="11">
        <v>4</v>
      </c>
      <c r="G62" s="11">
        <v>8</v>
      </c>
    </row>
    <row r="63" spans="1:12" x14ac:dyDescent="0.2">
      <c r="D63" s="12" t="s">
        <v>60</v>
      </c>
      <c r="E63" s="11">
        <v>2</v>
      </c>
      <c r="F63" s="11">
        <v>3</v>
      </c>
      <c r="G63" s="11">
        <v>5</v>
      </c>
    </row>
    <row r="67" spans="1:10" x14ac:dyDescent="0.2">
      <c r="E67" s="5" t="s">
        <v>61</v>
      </c>
      <c r="F67" s="5" t="s">
        <v>62</v>
      </c>
      <c r="H67" s="5" t="s">
        <v>63</v>
      </c>
    </row>
    <row r="68" spans="1:10" x14ac:dyDescent="0.2">
      <c r="E68" s="4" t="s">
        <v>59</v>
      </c>
      <c r="F68" s="4" t="s">
        <v>53</v>
      </c>
      <c r="H68" s="4">
        <f>INDEX(E59:G63,MATCH(E68,D59:D63,0),MATCH(F68,E58:G58,0))</f>
        <v>6</v>
      </c>
    </row>
    <row r="71" spans="1:10" x14ac:dyDescent="0.2">
      <c r="H71" t="str">
        <f ca="1">_xlfn.FORMULATEXT(H68)</f>
        <v>=INDEX(E59:G63,MATCH(E68,D59:D63,0),MATCH(F68,E58:G58,0))</v>
      </c>
    </row>
    <row r="74" spans="1:10" x14ac:dyDescent="0.2">
      <c r="A74" s="7"/>
      <c r="B74" s="7"/>
      <c r="C74" s="7"/>
      <c r="D74" s="7"/>
      <c r="E74" s="7"/>
      <c r="F74" s="7"/>
      <c r="G74" s="7"/>
      <c r="H74" s="7"/>
      <c r="I74" s="7"/>
      <c r="J74" s="7"/>
    </row>
    <row r="77" spans="1:10" x14ac:dyDescent="0.2">
      <c r="D77" s="5" t="s">
        <v>3</v>
      </c>
      <c r="E77" s="5" t="s">
        <v>4</v>
      </c>
      <c r="F77" s="5" t="s">
        <v>5</v>
      </c>
      <c r="G77" s="5" t="s">
        <v>6</v>
      </c>
    </row>
    <row r="78" spans="1:10" x14ac:dyDescent="0.2">
      <c r="D78" s="4">
        <v>1201</v>
      </c>
      <c r="E78" s="4" t="s">
        <v>7</v>
      </c>
      <c r="F78" s="4" t="s">
        <v>8</v>
      </c>
      <c r="G78" s="4" t="s">
        <v>9</v>
      </c>
    </row>
    <row r="79" spans="1:10" x14ac:dyDescent="0.2">
      <c r="D79" s="4">
        <v>1202</v>
      </c>
      <c r="E79" s="4" t="s">
        <v>10</v>
      </c>
      <c r="F79" s="4" t="s">
        <v>11</v>
      </c>
      <c r="G79" s="4" t="s">
        <v>12</v>
      </c>
    </row>
    <row r="80" spans="1:10" x14ac:dyDescent="0.2">
      <c r="D80" s="4">
        <v>1203</v>
      </c>
      <c r="E80" s="4" t="s">
        <v>13</v>
      </c>
      <c r="F80" s="4" t="s">
        <v>14</v>
      </c>
      <c r="G80" s="4" t="s">
        <v>15</v>
      </c>
    </row>
    <row r="81" spans="4:7" x14ac:dyDescent="0.2">
      <c r="D81" s="4">
        <v>1204</v>
      </c>
      <c r="E81" s="4" t="s">
        <v>16</v>
      </c>
      <c r="F81" s="4" t="s">
        <v>17</v>
      </c>
      <c r="G81" s="4" t="s">
        <v>18</v>
      </c>
    </row>
    <row r="82" spans="4:7" x14ac:dyDescent="0.2">
      <c r="D82" s="4">
        <v>1205</v>
      </c>
      <c r="E82" s="4" t="s">
        <v>19</v>
      </c>
      <c r="F82" s="4" t="s">
        <v>20</v>
      </c>
      <c r="G82" s="4" t="s">
        <v>21</v>
      </c>
    </row>
    <row r="83" spans="4:7" x14ac:dyDescent="0.2">
      <c r="D83" s="4">
        <v>1206</v>
      </c>
      <c r="E83" s="4" t="s">
        <v>22</v>
      </c>
      <c r="F83" s="4" t="s">
        <v>23</v>
      </c>
      <c r="G83" s="4" t="s">
        <v>24</v>
      </c>
    </row>
    <row r="88" spans="4:7" x14ac:dyDescent="0.2">
      <c r="D88" s="5" t="s">
        <v>64</v>
      </c>
      <c r="E88" s="5" t="s">
        <v>65</v>
      </c>
      <c r="F88" s="5" t="s">
        <v>66</v>
      </c>
    </row>
    <row r="89" spans="4:7" x14ac:dyDescent="0.2">
      <c r="D89" s="4">
        <v>1204</v>
      </c>
      <c r="E89" s="4" t="str">
        <f>INDEX(D78:G83,MATCH(D89,D78:D83,0),3)</f>
        <v>MBA HR</v>
      </c>
      <c r="F89" s="4" t="str">
        <f>INDEX(E78:E83,MATCH(D89,D78:D83,0))</f>
        <v>Arjun</v>
      </c>
    </row>
    <row r="90" spans="4:7" x14ac:dyDescent="0.2">
      <c r="E90" t="str">
        <f ca="1">_xlfn.FORMULATEXT(E89)</f>
        <v>=INDEX(D78:G83,MATCH(D89,D78:D83,0),3)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8F0A-8FC4-D344-AD63-E17D93DF6D2A}">
  <dimension ref="C3:J25"/>
  <sheetViews>
    <sheetView tabSelected="1" topLeftCell="B14" zoomScale="275" workbookViewId="0">
      <selection activeCell="C22" sqref="C22"/>
    </sheetView>
  </sheetViews>
  <sheetFormatPr baseColWidth="10" defaultRowHeight="16" x14ac:dyDescent="0.2"/>
  <sheetData>
    <row r="3" spans="3:6" x14ac:dyDescent="0.2">
      <c r="C3" s="13" t="s">
        <v>3</v>
      </c>
      <c r="D3" s="14" t="s">
        <v>4</v>
      </c>
      <c r="E3" s="14" t="s">
        <v>5</v>
      </c>
      <c r="F3" s="14" t="s">
        <v>6</v>
      </c>
    </row>
    <row r="4" spans="3:6" x14ac:dyDescent="0.2">
      <c r="C4" s="15">
        <v>1201</v>
      </c>
      <c r="D4" s="16" t="s">
        <v>7</v>
      </c>
      <c r="E4" s="16" t="s">
        <v>8</v>
      </c>
      <c r="F4" s="16" t="s">
        <v>9</v>
      </c>
    </row>
    <row r="5" spans="3:6" x14ac:dyDescent="0.2">
      <c r="C5" s="15">
        <v>1202</v>
      </c>
      <c r="D5" s="16" t="s">
        <v>10</v>
      </c>
      <c r="E5" s="16" t="s">
        <v>11</v>
      </c>
      <c r="F5" s="16" t="s">
        <v>12</v>
      </c>
    </row>
    <row r="6" spans="3:6" x14ac:dyDescent="0.2">
      <c r="C6" s="15">
        <v>1203</v>
      </c>
      <c r="D6" s="16" t="s">
        <v>13</v>
      </c>
      <c r="E6" s="16" t="s">
        <v>14</v>
      </c>
      <c r="F6" s="16" t="s">
        <v>15</v>
      </c>
    </row>
    <row r="7" spans="3:6" x14ac:dyDescent="0.2">
      <c r="C7" s="15">
        <v>1204</v>
      </c>
      <c r="D7" s="16" t="s">
        <v>16</v>
      </c>
      <c r="E7" s="16" t="s">
        <v>17</v>
      </c>
      <c r="F7" s="16" t="s">
        <v>18</v>
      </c>
    </row>
    <row r="8" spans="3:6" x14ac:dyDescent="0.2">
      <c r="C8" s="15">
        <v>1205</v>
      </c>
      <c r="D8" s="16" t="s">
        <v>19</v>
      </c>
      <c r="E8" s="16" t="s">
        <v>20</v>
      </c>
      <c r="F8" s="16" t="s">
        <v>21</v>
      </c>
    </row>
    <row r="9" spans="3:6" x14ac:dyDescent="0.2">
      <c r="C9" s="15">
        <v>1206</v>
      </c>
      <c r="D9" s="16" t="s">
        <v>22</v>
      </c>
      <c r="E9" s="16" t="s">
        <v>23</v>
      </c>
      <c r="F9" s="16" t="s">
        <v>24</v>
      </c>
    </row>
    <row r="11" spans="3:6" x14ac:dyDescent="0.2">
      <c r="C11" s="5" t="s">
        <v>64</v>
      </c>
      <c r="D11" s="5" t="s">
        <v>65</v>
      </c>
      <c r="E11" s="5" t="s">
        <v>66</v>
      </c>
    </row>
    <row r="12" spans="3:6" x14ac:dyDescent="0.2">
      <c r="C12" s="4">
        <v>1204</v>
      </c>
      <c r="D12" s="4" t="str">
        <f>VLOOKUP(C12,C3:F9,3,FALSE)</f>
        <v>MBA HR</v>
      </c>
      <c r="E12" s="4" t="str">
        <f>VLOOKUP(C12,C3:F9,2,0)</f>
        <v>Arjun</v>
      </c>
    </row>
    <row r="13" spans="3:6" x14ac:dyDescent="0.2">
      <c r="D13" t="str">
        <f ca="1">_xlfn.FORMULATEXT(D12)</f>
        <v>=VLOOKUP(C12,C3:F9,3,FALSE)</v>
      </c>
    </row>
    <row r="18" spans="3:10" x14ac:dyDescent="0.2">
      <c r="C18" s="3"/>
      <c r="D18" s="3"/>
      <c r="E18" s="3"/>
      <c r="F18" s="3"/>
      <c r="G18" s="3"/>
      <c r="H18" s="3"/>
      <c r="I18" s="3"/>
      <c r="J18" s="3"/>
    </row>
    <row r="19" spans="3:10" ht="20" x14ac:dyDescent="0.25">
      <c r="C19" s="3"/>
      <c r="D19" s="6" t="s">
        <v>71</v>
      </c>
      <c r="E19" s="3"/>
      <c r="F19" s="3"/>
      <c r="G19" s="3"/>
      <c r="H19" s="3"/>
      <c r="I19" s="3"/>
      <c r="J19" s="3"/>
    </row>
    <row r="20" spans="3:10" x14ac:dyDescent="0.2">
      <c r="C20" s="3"/>
      <c r="D20" s="3"/>
      <c r="E20" s="3"/>
      <c r="F20" s="3"/>
      <c r="G20" s="3"/>
      <c r="H20" s="3"/>
      <c r="I20" s="3"/>
      <c r="J20" s="3"/>
    </row>
    <row r="21" spans="3:10" x14ac:dyDescent="0.2">
      <c r="C21" s="3"/>
      <c r="D21" s="18" t="s">
        <v>72</v>
      </c>
      <c r="E21" s="3"/>
      <c r="F21" s="3"/>
      <c r="G21" s="3"/>
      <c r="H21" s="3"/>
      <c r="I21" s="3"/>
      <c r="J21" s="3"/>
    </row>
    <row r="22" spans="3:10" x14ac:dyDescent="0.2">
      <c r="C22" s="3"/>
      <c r="D22" s="3" t="s">
        <v>73</v>
      </c>
      <c r="E22" s="3"/>
      <c r="F22" s="3"/>
      <c r="G22" s="3"/>
      <c r="H22" s="3"/>
      <c r="I22" s="3"/>
      <c r="J22" s="3"/>
    </row>
    <row r="23" spans="3:10" x14ac:dyDescent="0.2">
      <c r="C23" s="3"/>
      <c r="D23" s="3" t="s">
        <v>74</v>
      </c>
      <c r="E23" s="3"/>
      <c r="F23" s="3"/>
      <c r="G23" s="3"/>
      <c r="H23" s="3"/>
      <c r="I23" s="3"/>
      <c r="J23" s="3"/>
    </row>
    <row r="24" spans="3:10" x14ac:dyDescent="0.2">
      <c r="C24" s="3"/>
      <c r="D24" s="3" t="s">
        <v>75</v>
      </c>
      <c r="E24" s="3"/>
      <c r="F24" s="3"/>
      <c r="G24" s="3"/>
      <c r="H24" s="3"/>
      <c r="I24" s="3"/>
      <c r="J24" s="3"/>
    </row>
    <row r="25" spans="3:10" x14ac:dyDescent="0.2">
      <c r="C25" s="3"/>
      <c r="D25" s="3" t="s">
        <v>76</v>
      </c>
      <c r="E25" s="3"/>
      <c r="F25" s="3"/>
      <c r="G25" s="3"/>
      <c r="H25" s="3"/>
      <c r="I25" s="3"/>
      <c r="J25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BA76-2136-114D-B3B6-434CB1030E2A}">
  <dimension ref="C4:I10"/>
  <sheetViews>
    <sheetView zoomScale="171" workbookViewId="0">
      <selection activeCell="E10" sqref="E10"/>
    </sheetView>
  </sheetViews>
  <sheetFormatPr baseColWidth="10" defaultRowHeight="16" x14ac:dyDescent="0.2"/>
  <sheetData>
    <row r="4" spans="3:9" x14ac:dyDescent="0.2">
      <c r="C4" s="13" t="s">
        <v>3</v>
      </c>
      <c r="D4" s="17">
        <v>1201</v>
      </c>
      <c r="E4" s="17">
        <v>1202</v>
      </c>
      <c r="F4" s="17">
        <v>1203</v>
      </c>
      <c r="G4" s="17">
        <v>1204</v>
      </c>
      <c r="H4" s="17">
        <v>1205</v>
      </c>
      <c r="I4" s="17">
        <v>1206</v>
      </c>
    </row>
    <row r="5" spans="3:9" x14ac:dyDescent="0.2">
      <c r="C5" s="13" t="s">
        <v>4</v>
      </c>
      <c r="D5" s="17" t="s">
        <v>7</v>
      </c>
      <c r="E5" s="17" t="s">
        <v>10</v>
      </c>
      <c r="F5" s="17" t="s">
        <v>13</v>
      </c>
      <c r="G5" s="17" t="s">
        <v>16</v>
      </c>
      <c r="H5" s="17" t="s">
        <v>19</v>
      </c>
      <c r="I5" s="17" t="s">
        <v>22</v>
      </c>
    </row>
    <row r="6" spans="3:9" x14ac:dyDescent="0.2">
      <c r="C6" s="13" t="s">
        <v>5</v>
      </c>
      <c r="D6" s="17" t="s">
        <v>8</v>
      </c>
      <c r="E6" s="17" t="s">
        <v>11</v>
      </c>
      <c r="F6" s="17" t="s">
        <v>14</v>
      </c>
      <c r="G6" s="17" t="s">
        <v>17</v>
      </c>
      <c r="H6" s="17" t="s">
        <v>20</v>
      </c>
      <c r="I6" s="17" t="s">
        <v>23</v>
      </c>
    </row>
    <row r="7" spans="3:9" x14ac:dyDescent="0.2">
      <c r="C7" s="13" t="s">
        <v>6</v>
      </c>
      <c r="D7" s="17" t="s">
        <v>9</v>
      </c>
      <c r="E7" s="17" t="s">
        <v>12</v>
      </c>
      <c r="F7" s="17" t="s">
        <v>15</v>
      </c>
      <c r="G7" s="17" t="s">
        <v>18</v>
      </c>
      <c r="H7" s="17" t="s">
        <v>21</v>
      </c>
      <c r="I7" s="17" t="s">
        <v>24</v>
      </c>
    </row>
    <row r="10" spans="3:9" x14ac:dyDescent="0.2">
      <c r="D10">
        <v>1204</v>
      </c>
      <c r="E10" t="str">
        <f>HLOOKUP(D10,C4:I7,3,0)</f>
        <v>MBA HR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Sheet2</vt:lpstr>
      <vt:lpstr>VLOOKUP</vt:lpstr>
      <vt:lpstr>HLOOKUP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2026-04-11T15:33:02Z</dcterms:created>
  <dcterms:modified xsi:type="dcterms:W3CDTF">2026-04-11T17:29:34Z</dcterms:modified>
</cp:coreProperties>
</file>