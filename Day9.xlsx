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tkarsh/Downloads/Accio_excel/Excel-for-DA/"/>
    </mc:Choice>
  </mc:AlternateContent>
  <xr:revisionPtr revIDLastSave="0" documentId="13_ncr:1_{3F55DF04-855C-AA44-838B-CFAA88DFFD82}" xr6:coauthVersionLast="47" xr6:coauthVersionMax="47" xr10:uidLastSave="{00000000-0000-0000-0000-000000000000}"/>
  <bookViews>
    <workbookView xWindow="0" yWindow="600" windowWidth="28800" windowHeight="17400" activeTab="1" xr2:uid="{C4C4682C-AC1E-104E-900C-CAAE6BED3C25}"/>
  </bookViews>
  <sheets>
    <sheet name="agenda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3" i="2" l="1"/>
  <c r="E117" i="2"/>
  <c r="E116" i="2"/>
  <c r="C114" i="2"/>
  <c r="E82" i="2"/>
  <c r="F82" i="2"/>
  <c r="F81" i="2"/>
  <c r="E81" i="2"/>
  <c r="F73" i="2"/>
  <c r="E73" i="2"/>
  <c r="H7" i="2"/>
  <c r="F47" i="2"/>
  <c r="E47" i="2"/>
  <c r="D35" i="2"/>
  <c r="D30" i="2"/>
  <c r="C35" i="2"/>
  <c r="C30" i="2"/>
  <c r="D25" i="2"/>
  <c r="C25" i="2"/>
  <c r="D24" i="2"/>
  <c r="C24" i="2"/>
  <c r="D19" i="2"/>
  <c r="C19" i="2"/>
  <c r="D18" i="2"/>
  <c r="C18" i="2"/>
</calcChain>
</file>

<file path=xl/sharedStrings.xml><?xml version="1.0" encoding="utf-8"?>
<sst xmlns="http://schemas.openxmlformats.org/spreadsheetml/2006/main" count="82" uniqueCount="68">
  <si>
    <t>Lookup</t>
  </si>
  <si>
    <t>To find a value ( corresponding to one another value)</t>
  </si>
  <si>
    <t>Student Id</t>
  </si>
  <si>
    <t>Name</t>
  </si>
  <si>
    <t>Course</t>
  </si>
  <si>
    <t>Phn Num</t>
  </si>
  <si>
    <t>Jennifer</t>
  </si>
  <si>
    <t>Bsc Phy</t>
  </si>
  <si>
    <t>Fake num 1</t>
  </si>
  <si>
    <t>Shyaam</t>
  </si>
  <si>
    <t>Bsc Chem</t>
  </si>
  <si>
    <t>Fake num 2</t>
  </si>
  <si>
    <t>Meena</t>
  </si>
  <si>
    <t>Ba History</t>
  </si>
  <si>
    <t>Fake num 3</t>
  </si>
  <si>
    <t>Arjun</t>
  </si>
  <si>
    <t>MBA HR</t>
  </si>
  <si>
    <t>Fake num 4</t>
  </si>
  <si>
    <t>Dolly</t>
  </si>
  <si>
    <t>Ba Soci</t>
  </si>
  <si>
    <t>Fake num 5</t>
  </si>
  <si>
    <t>Sonam</t>
  </si>
  <si>
    <t>MBA Ops</t>
  </si>
  <si>
    <t>Fake num 6</t>
  </si>
  <si>
    <t>Hlookup</t>
  </si>
  <si>
    <t>Vlookup</t>
  </si>
  <si>
    <t>Xlookup</t>
  </si>
  <si>
    <t>ROW</t>
  </si>
  <si>
    <t>ROWS</t>
  </si>
  <si>
    <t>COLUMN</t>
  </si>
  <si>
    <t>COLUMNS</t>
  </si>
  <si>
    <t>TO GET ROW NUMBER OF THAT CELL if refrence is given else current row number</t>
  </si>
  <si>
    <t xml:space="preserve">GIVES number of rows in the array </t>
  </si>
  <si>
    <t>TO GET COLUMN NUMBER OF THAT CELL if refrence is given else current COLUMN number</t>
  </si>
  <si>
    <t xml:space="preserve">GIVES number of columns in the array </t>
  </si>
  <si>
    <t xml:space="preserve">INDEX </t>
  </si>
  <si>
    <t>INDEX</t>
  </si>
  <si>
    <t>MATCH</t>
  </si>
  <si>
    <t>INDEX+MATCH</t>
  </si>
  <si>
    <t>mango</t>
  </si>
  <si>
    <t>banana</t>
  </si>
  <si>
    <t>apple</t>
  </si>
  <si>
    <t>orange</t>
  </si>
  <si>
    <t>grapes</t>
  </si>
  <si>
    <t>pear</t>
  </si>
  <si>
    <t>what value is at 3rd Index</t>
  </si>
  <si>
    <t>Helps in finding VALUE in array at particular ROW number and column number</t>
  </si>
  <si>
    <t>ROW / CoL number of the value in the lookup array</t>
  </si>
  <si>
    <t>JUST LESS THAN THE LOOKUP VALUE</t>
  </si>
  <si>
    <t>JUST GREATER THAN LOOKUP VALUE</t>
  </si>
  <si>
    <t>LESS THAN</t>
  </si>
  <si>
    <t>ARRAY must be in ASCENDING order</t>
  </si>
  <si>
    <t>GREATER THAN</t>
  </si>
  <si>
    <t>ARRAY must be in DESCENDING order</t>
  </si>
  <si>
    <t>will work equivalent to LOOKUP</t>
  </si>
  <si>
    <t>Groc A</t>
  </si>
  <si>
    <t>Groc B</t>
  </si>
  <si>
    <t>Groc C</t>
  </si>
  <si>
    <t>Sugar</t>
  </si>
  <si>
    <t>Salt</t>
  </si>
  <si>
    <t>Pepper</t>
  </si>
  <si>
    <t>Soap</t>
  </si>
  <si>
    <t>Shampoo</t>
  </si>
  <si>
    <t>ITEM</t>
  </si>
  <si>
    <t>GROC</t>
  </si>
  <si>
    <t>PRICE</t>
  </si>
  <si>
    <t>row num of item</t>
  </si>
  <si>
    <t>col of groc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</si>
</sst>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242424"/>
      <name val="Aptos Narrow"/>
      <scheme val="minor"/>
    </font>
    <font>
      <sz val="12"/>
      <color rgb="FF242424"/>
      <name val="Aptos Narrow"/>
      <family val="2"/>
      <scheme val="minor"/>
    </font>
    <font>
      <sz val="12"/>
      <color rgb="FF000000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0D0D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rgb="FF000000"/>
      </patternFill>
    </fill>
    <fill>
      <patternFill patternType="solid">
        <fgColor theme="3" tint="0.749992370372631"/>
        <bgColor rgb="FF000000"/>
      </patternFill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/>
    <xf numFmtId="0" fontId="1" fillId="0" borderId="3" xfId="0" applyFont="1" applyBorder="1"/>
    <xf numFmtId="0" fontId="1" fillId="0" borderId="4" xfId="0" applyFont="1" applyBorder="1"/>
    <xf numFmtId="0" fontId="0" fillId="3" borderId="0" xfId="0" applyFill="1"/>
    <xf numFmtId="0" fontId="2" fillId="0" borderId="0" xfId="0" applyFont="1"/>
    <xf numFmtId="0" fontId="1" fillId="0" borderId="0" xfId="0" applyFont="1"/>
    <xf numFmtId="0" fontId="0" fillId="0" borderId="1" xfId="0" applyBorder="1"/>
    <xf numFmtId="0" fontId="3" fillId="0" borderId="0" xfId="0" applyFont="1"/>
    <xf numFmtId="0" fontId="4" fillId="0" borderId="0" xfId="0" applyFont="1"/>
    <xf numFmtId="0" fontId="4" fillId="4" borderId="0" xfId="0" applyFont="1" applyFill="1"/>
    <xf numFmtId="0" fontId="4" fillId="5" borderId="0" xfId="0" applyFont="1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8.png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12" Type="http://schemas.openxmlformats.org/officeDocument/2006/relationships/customXml" Target="../ink/ink5.xml"/><Relationship Id="rId17" Type="http://schemas.openxmlformats.org/officeDocument/2006/relationships/image" Target="../media/image10.png"/><Relationship Id="rId2" Type="http://schemas.openxmlformats.org/officeDocument/2006/relationships/customXml" Target="../ink/ink1.xml"/><Relationship Id="rId16" Type="http://schemas.openxmlformats.org/officeDocument/2006/relationships/customXml" Target="../ink/ink7.xml"/><Relationship Id="rId1" Type="http://schemas.openxmlformats.org/officeDocument/2006/relationships/image" Target="../media/image1.png"/><Relationship Id="rId6" Type="http://schemas.openxmlformats.org/officeDocument/2006/relationships/customXml" Target="../ink/ink3.xml"/><Relationship Id="rId11" Type="http://schemas.openxmlformats.org/officeDocument/2006/relationships/image" Target="../media/image7.png"/><Relationship Id="rId5" Type="http://schemas.openxmlformats.org/officeDocument/2006/relationships/image" Target="../media/image3.png"/><Relationship Id="rId15" Type="http://schemas.openxmlformats.org/officeDocument/2006/relationships/image" Target="../media/image9.png"/><Relationship Id="rId10" Type="http://schemas.openxmlformats.org/officeDocument/2006/relationships/customXml" Target="../ink/ink4.xml"/><Relationship Id="rId4" Type="http://schemas.openxmlformats.org/officeDocument/2006/relationships/customXml" Target="../ink/ink2.xml"/><Relationship Id="rId9" Type="http://schemas.openxmlformats.org/officeDocument/2006/relationships/image" Target="../media/image6.png"/><Relationship Id="rId14" Type="http://schemas.openxmlformats.org/officeDocument/2006/relationships/customXml" Target="../ink/ink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824845</xdr:colOff>
      <xdr:row>53</xdr:row>
      <xdr:rowOff>0</xdr:rowOff>
    </xdr:from>
    <xdr:to>
      <xdr:col>7</xdr:col>
      <xdr:colOff>562727</xdr:colOff>
      <xdr:row>64</xdr:row>
      <xdr:rowOff>42377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23D4B4-F8F7-1B83-649E-CF1AD8FCD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4845" y="10871375"/>
          <a:ext cx="5511800" cy="2298700"/>
        </a:xfrm>
        <a:prstGeom prst="rect">
          <a:avLst/>
        </a:prstGeom>
      </xdr:spPr>
    </xdr:pic>
    <xdr:clientData/>
  </xdr:twoCellAnchor>
  <xdr:twoCellAnchor editAs="oneCell">
    <xdr:from>
      <xdr:col>2</xdr:col>
      <xdr:colOff>541798</xdr:colOff>
      <xdr:row>69</xdr:row>
      <xdr:rowOff>135775</xdr:rowOff>
    </xdr:from>
    <xdr:to>
      <xdr:col>2</xdr:col>
      <xdr:colOff>542158</xdr:colOff>
      <xdr:row>70</xdr:row>
      <xdr:rowOff>2842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30BB8979-8AF3-597F-3B65-8323D34D3247}"/>
                </a:ext>
              </a:extLst>
            </xdr14:cNvPr>
            <xdr14:cNvContentPartPr/>
          </xdr14:nvContentPartPr>
          <xdr14:nvPr macro=""/>
          <xdr14:xfrm>
            <a:off x="2196000" y="14127120"/>
            <a:ext cx="360" cy="6984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0BB8979-8AF3-597F-3B65-8323D34D3247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2189880" y="14121000"/>
              <a:ext cx="12600" cy="82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568438</xdr:colOff>
      <xdr:row>71</xdr:row>
      <xdr:rowOff>36229</xdr:rowOff>
    </xdr:from>
    <xdr:to>
      <xdr:col>2</xdr:col>
      <xdr:colOff>643678</xdr:colOff>
      <xdr:row>71</xdr:row>
      <xdr:rowOff>119389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2FBEC688-EB09-A78F-CF3F-EA6F14558021}"/>
                </a:ext>
              </a:extLst>
            </xdr14:cNvPr>
            <xdr14:cNvContentPartPr/>
          </xdr14:nvContentPartPr>
          <xdr14:nvPr macro=""/>
          <xdr14:xfrm>
            <a:off x="2222640" y="14433120"/>
            <a:ext cx="75240" cy="8316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2FBEC688-EB09-A78F-CF3F-EA6F14558021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216520" y="14427000"/>
              <a:ext cx="87480" cy="95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596158</xdr:colOff>
      <xdr:row>72</xdr:row>
      <xdr:rowOff>40096</xdr:rowOff>
    </xdr:from>
    <xdr:to>
      <xdr:col>4</xdr:col>
      <xdr:colOff>492477</xdr:colOff>
      <xdr:row>73</xdr:row>
      <xdr:rowOff>159523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019E266F-5AEE-CF58-DF27-FF7306378D28}"/>
                </a:ext>
              </a:extLst>
            </xdr14:cNvPr>
            <xdr14:cNvContentPartPr/>
          </xdr14:nvContentPartPr>
          <xdr14:nvPr macro=""/>
          <xdr14:xfrm>
            <a:off x="2250360" y="14639760"/>
            <a:ext cx="1550520" cy="322200"/>
          </xdr14:xfrm>
        </xdr:contentPart>
      </mc:Choice>
      <mc:Fallback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019E266F-5AEE-CF58-DF27-FF7306378D28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244240" y="14633640"/>
              <a:ext cx="1562760" cy="33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122730</xdr:colOff>
      <xdr:row>75</xdr:row>
      <xdr:rowOff>181428</xdr:rowOff>
    </xdr:from>
    <xdr:to>
      <xdr:col>5</xdr:col>
      <xdr:colOff>396046</xdr:colOff>
      <xdr:row>78</xdr:row>
      <xdr:rowOff>136603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285B6D6-FEBE-D9A2-439F-E750D236F3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45763" t="23379"/>
        <a:stretch>
          <a:fillRect/>
        </a:stretch>
      </xdr:blipFill>
      <xdr:spPr>
        <a:xfrm>
          <a:off x="3431133" y="15389411"/>
          <a:ext cx="1100417" cy="563495"/>
        </a:xfrm>
        <a:prstGeom prst="rect">
          <a:avLst/>
        </a:prstGeom>
      </xdr:spPr>
    </xdr:pic>
    <xdr:clientData/>
  </xdr:twoCellAnchor>
  <xdr:twoCellAnchor editAs="oneCell">
    <xdr:from>
      <xdr:col>0</xdr:col>
      <xdr:colOff>667017</xdr:colOff>
      <xdr:row>118</xdr:row>
      <xdr:rowOff>16008</xdr:rowOff>
    </xdr:from>
    <xdr:to>
      <xdr:col>10</xdr:col>
      <xdr:colOff>168409</xdr:colOff>
      <xdr:row>123</xdr:row>
      <xdr:rowOff>6576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14E1916-DC80-3004-1ED6-85131C36F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67017" y="23943235"/>
          <a:ext cx="7772400" cy="1004433"/>
        </a:xfrm>
        <a:prstGeom prst="rect">
          <a:avLst/>
        </a:prstGeom>
      </xdr:spPr>
    </xdr:pic>
    <xdr:clientData/>
  </xdr:twoCellAnchor>
  <xdr:twoCellAnchor editAs="oneCell">
    <xdr:from>
      <xdr:col>2</xdr:col>
      <xdr:colOff>50038</xdr:colOff>
      <xdr:row>122</xdr:row>
      <xdr:rowOff>10961</xdr:rowOff>
    </xdr:from>
    <xdr:to>
      <xdr:col>3</xdr:col>
      <xdr:colOff>268017</xdr:colOff>
      <xdr:row>122</xdr:row>
      <xdr:rowOff>155321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EE183543-1D99-A534-9ADD-5587CA747DDF}"/>
                </a:ext>
              </a:extLst>
            </xdr14:cNvPr>
            <xdr14:cNvContentPartPr/>
          </xdr14:nvContentPartPr>
          <xdr14:nvPr macro=""/>
          <xdr14:xfrm>
            <a:off x="1704240" y="24749280"/>
            <a:ext cx="1045080" cy="144360"/>
          </xdr14:xfrm>
        </xdr:contentPart>
      </mc:Choice>
      <mc:Fallback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EE183543-1D99-A534-9ADD-5587CA747DDF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695600" y="24740280"/>
              <a:ext cx="1062720" cy="16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221758</xdr:colOff>
      <xdr:row>121</xdr:row>
      <xdr:rowOff>184934</xdr:rowOff>
    </xdr:from>
    <xdr:to>
      <xdr:col>6</xdr:col>
      <xdr:colOff>475555</xdr:colOff>
      <xdr:row>125</xdr:row>
      <xdr:rowOff>107161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BF169ED7-4E50-66B8-3FC3-1C3B5F1A66F6}"/>
                </a:ext>
              </a:extLst>
            </xdr14:cNvPr>
            <xdr14:cNvContentPartPr/>
          </xdr14:nvContentPartPr>
          <xdr14:nvPr macro=""/>
          <xdr14:xfrm>
            <a:off x="1875960" y="24720480"/>
            <a:ext cx="3562200" cy="733320"/>
          </xdr14:xfrm>
        </xdr:contentPart>
      </mc:Choice>
      <mc:Fallback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BF169ED7-4E50-66B8-3FC3-1C3B5F1A66F6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867320" y="24711480"/>
              <a:ext cx="3579840" cy="75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613435</xdr:colOff>
      <xdr:row>122</xdr:row>
      <xdr:rowOff>188441</xdr:rowOff>
    </xdr:from>
    <xdr:to>
      <xdr:col>9</xdr:col>
      <xdr:colOff>583732</xdr:colOff>
      <xdr:row>123</xdr:row>
      <xdr:rowOff>190868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2D34A7C6-99CE-344D-2027-A7772E7639A2}"/>
                </a:ext>
              </a:extLst>
            </xdr14:cNvPr>
            <xdr14:cNvContentPartPr/>
          </xdr14:nvContentPartPr>
          <xdr14:nvPr macro=""/>
          <xdr14:xfrm>
            <a:off x="5576040" y="24926760"/>
            <a:ext cx="2451600" cy="205200"/>
          </xdr14:xfrm>
        </xdr:contentPart>
      </mc:Choice>
      <mc:Fallback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2D34A7C6-99CE-344D-2027-A7772E7639A2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5567400" y="24917760"/>
              <a:ext cx="2469240" cy="22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780294</xdr:colOff>
      <xdr:row>124</xdr:row>
      <xdr:rowOff>152254</xdr:rowOff>
    </xdr:from>
    <xdr:to>
      <xdr:col>8</xdr:col>
      <xdr:colOff>498953</xdr:colOff>
      <xdr:row>125</xdr:row>
      <xdr:rowOff>159001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66860036-59A9-687F-2C96-09DAF31D6B8C}"/>
                </a:ext>
              </a:extLst>
            </xdr14:cNvPr>
            <xdr14:cNvContentPartPr/>
          </xdr14:nvContentPartPr>
          <xdr14:nvPr macro=""/>
          <xdr14:xfrm>
            <a:off x="6570000" y="25296120"/>
            <a:ext cx="545760" cy="209520"/>
          </xdr14:xfrm>
        </xdr:contentPart>
      </mc:Choice>
      <mc:Fallback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66860036-59A9-687F-2C96-09DAF31D6B8C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6561360" y="25287120"/>
              <a:ext cx="563400" cy="2271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4T16:30:29.911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0 1 24575,'0'17'0,"0"6"0,0 7 0,0 3 0,0-5 0,0-6 0,0-9 0,0-4 0,0-3 0,0 0 0,0-3 0,0-1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4T16:30:31.609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70 1 24575,'1'4'0,"1"-2"0,2 0 0,1-2 0,0 0 0,2 0 0,-1 0 0,0 2 0,-2 4 0,-3 4 0,-1 3 0,0 1 0,-3 0 0,-2 1 0,-3 0 0,-3 1 0,1 0 0,-2 1 0,1 0 0,1-2 0,0-2 0,2-3 0,0-1 0,1 0 0,1-3 0,4-2 0,6-5 0,7-7 0,6-7 0,4-3 0,0 0 0,0 2 0,-1 3 0,-1 3 0,-3 4 0,-2 2 0,-3 3 0,-1 1 0,-1 0 0,-2 0 0,-2 0 0,-2 0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4T16:30:33.076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50 0 24575,'9'0'0,"-3"0"0,0 1 0,-3 1 0,-1 2 0,-3 4 0,-3 3 0,-4 4 0,-5 2 0,-2 0 0,0-2 0,2-3 0,6-3 0,7-7 0,7-4 0,5-4 0,4-2 0,-1 3 0,-1 3 0,0 4 0,2 8 0,5 8 0,2 11 0,0 2 0,-6-3 0,-6-6 0,-8-6 0,-5-4 0,-8 0 0,-5 0 0,-4 0 0,-1 0 0,0-2 0,1-3 0,1-1 0,2-3 0,4-2 0,2-1-1696,4-2 0,3 1 0,1-2 0</inkml:trace>
  <inkml:trace contextRef="#ctx0" brushRef="#br0" timeOffset="1816">139 656 24575,'7'0'0,"0"0"0,-1-1 0,1-1 0,0-1 0,1-1 0,0 0 0,0 1 0,0-1 0,-1 0 0,0 1 0,-1-2 0,1-2 0,0-1 0,1-3 0,1-1 0,0-2 0,1-3 0,0 2 0,-2 3 0,-3 5 0,-5 11 0,-5 8 0,-4 6 0,-1 3 0,2 1 0,2 2 0,5 0 0,0-2 0,1-2 0,0-4 0,1 2 0,2 7 0,3 8 0,3 3 0,1-4 0,-1-8 0,-2-10 0,-2-8 0,-2-3 0,-1-3 0,-1 0 0</inkml:trace>
  <inkml:trace contextRef="#ctx0" brushRef="#br0" timeOffset="3900">442 749 24575,'37'0'0,"49"0"0,-6 0 0,13 0 0,-9 0 0,6 0 0,5 0-1043,-8 0 1,3-1-1,2 0 1,1-1 1042,-14 0 0,1-1 0,1 0 0,0-1 0,0 0 0,18-2 0,1-2 0,-2 0 0,-1-1 0,-8-1 0,-2-1 0,-1-1 0,-3 0 174,11-5 0,-4 0 0,-3 0-174,-12 1 0,-4 1 0,-2 0 360,19-7 1,-6 1-361,-11 2 0,-4 0 0,-8 0 0,-4 0 0,-6 1 0,-2 0 2116,32-15-2116,-7-1 666,-8 3-666,-3-1 145,-10 4-145,-11 5 0,-7 5 0,-6 3 0,1 2 0,4 0 0,6-3 0,7 0 0,5-3 0,-2 2 0,-9 4 0,-9 4 0,-10 4 0,-6 3 0,-3 1 0,-4 1 0,-4 0 0,-9 0 0,-9 0 0,-12-3 0,-9-2 0,-4-3 0,0 1 0,10 1 0,10 2 0,11 1 0,6 0 0,5 0 0,7 1 0,9 1 0,7 0 0,4 1 0,1 0 0,-5 0 0,-5 2 0,-5 0 0,-4 3 0,-3 1 0,-4 2 0,-2 1 0,-2 0 0,0 1 0,-1 0 0,-2-1 0,-3 0 0,-3 0 0,-3 0 0,-3 2 0,-2 2 0,-3 2 0,-1 0 0,-2 1 0,3-2 0,4-1-1696,5-6 0,6-3 0,3-3 0</inkml:trace>
  <inkml:trace contextRef="#ctx0" brushRef="#br0" timeOffset="5800">125 548 24575,'0'5'0,"0"3"0,0 1 0,0 3 0,0 3 0,0-1 0,0-1 0,0-2 0,0-3 0,0-1 0,0-1 0,0 0 0,0-1 0,0 1 0,0-1 0,0 0 0,0 1 0,0-2 0,0 0 0,0 0 0,0-2 0,0-1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4T17:09:29.581"/>
    </inkml:context>
    <inkml:brush xml:id="br0">
      <inkml:brushProperty name="width" value="0.05" units="cm"/>
      <inkml:brushProperty name="height" value="0.05" units="cm"/>
      <inkml:brushProperty name="color" value="#FF0066"/>
    </inkml:brush>
  </inkml:definitions>
  <inkml:trace contextRef="#ctx0" brushRef="#br0">76 348 24575,'30'0'0,"45"0"0,-8 0 0,9 0 0,-9 0 0,4 0 0,2 0-671,7 0 0,1 0 0,0 0 671,1 0 0,-1 0 0,1 0 0,-4 0 0,-1 0 0,-1 0 164,-6 0 1,-1 0-1,-1 0-164,29 0 0,-5 0 184,-15 0 1,-6 0-185,-12 0 0,-5 0 0,32 0 0,-17 0 1026,-5 0-1026,-3 0 125,-4 0-125,-4 0 0,-8 0 0,-9 0 0,-4 0 0,-2 0 0,3 0 0,1 0 0,1 0 0,2 0 0,1 0 0,3 0 0,1 0 0,-2 0 0,-3 0 0,-5 0 0,-5 0 0,-5 0 0,-6 0 0,-3 0 0,-6-3 0,-3-1 0,-3-6 0,-1-10 0,0-14 0,-1-9 0,-1-4 0,1 4 0,0 11 0,1 9 0,0 7 0,0 5 0,-1 3 0,0 2 0,0 0 0,0 1 0,0 1 0,0 2 0,-1 1 0,-1 1 0,0 0 0,2 0 0</inkml:trace>
  <inkml:trace contextRef="#ctx0" brushRef="#br0" timeOffset="1400">1 0 24575,'0'21'0,"0"6"0,0 10 0,0 7 0,0 2 0,0 1 0,0 0 0,0-4 0,0-8 0,0-9 0,0-10 0,0-8 0,0-4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4T17:09:32.464"/>
    </inkml:context>
    <inkml:brush xml:id="br0">
      <inkml:brushProperty name="width" value="0.05" units="cm"/>
      <inkml:brushProperty name="height" value="0.05" units="cm"/>
      <inkml:brushProperty name="color" value="#FF0066"/>
    </inkml:brush>
  </inkml:definitions>
  <inkml:trace contextRef="#ctx0" brushRef="#br0">1 1019 24575,'0'31'0,"0"13"0,0 19 0,0 6 0,0-2 0,0-14 0,0-17 0,0-12 0,0-13 0,0-7 0,0-23 0,0-4 0,0-21 0,0-1 0,3-2 0,3-3 0,5 2 0,3 1 0,1 5 0,1 6 0,0 8 0,-1 7 0,1 5 0,-2 4 0,2 4 0,3 3 0,1 3 0,6 1 0,10 5 0,8 7 0,9 8 0,-1 8 0,-5 2 0,-9 2 0,-10-2 0,-6 1 0,-7 0 0,-2 2 0,-2-2 0,-3-1 0,0-1 0,-2 0 0,-1 1 0,-2-1 0,0-4 0,-2-6 0,-1-10 0,0-3 0</inkml:trace>
  <inkml:trace contextRef="#ctx0" brushRef="#br0" timeOffset="750">120 1362 24575,'26'0'0,"18"0"0,24 0 0,13 0 0,-3 0 0,-13 0 0,-16 0 0,-18 0 0,-16 0 0,-8 0 0</inkml:trace>
  <inkml:trace contextRef="#ctx0" brushRef="#br0" timeOffset="1850">809 1170 24575,'14'0'0,"4"3"0,-1 4 0,-2 5 0,-3 3 0,-7 1 0,-3-2 0,-2-1 0,-4-1 0,-4-2 0,-4-2 0,-2-3 0,-1-3 0,0-2 0,2 0 0,3-2 0,5-2 0,2-3 0,4-5 0,5-3 0,7-4 0,7-1 0,6 0 0,2 1 0,1 2 0,-5 5 0,-4 5 0,-5 3 0,-5 3 0,-1 0 0,-1 1 0,-1 0 0,-3 0 0,-2 0 0</inkml:trace>
  <inkml:trace contextRef="#ctx0" brushRef="#br0" timeOffset="2933">1209 1127 24575,'2'10'0,"-1"1"0,-1-1 0,0 0 0,-1-1 0,-3-1 0,-3-1 0,-5-2 0,-2-1 0,-2-3 0,1-2 0,2-4 0,3-3 0,3-4 0,4-1 0,4 0 0,7-1 0,9-1 0,8 0 0,9-2 0,1 1 0,-1 2 0,-5 3 0,-7 5 0,-7 2 0,-5 3 0,-4 1 0,-2 0 0,-3 0 0</inkml:trace>
  <inkml:trace contextRef="#ctx0" brushRef="#br0" timeOffset="5533">2917 0 24575,'0'22'0,"0"26"0,3 30 0,3 14 0,7-2 0,6-18 0,10-20 0,14-14 0,21-13 0,27-5 0,-31-12 0,4 0 0,19-1 0,7-1-494,-13-2 1,5 0 0,4-1 493,-9 0 0,3 0 0,3 0 0,2 0-510,-7 1 0,1-1 1,3 0-1,1 1 0,0 1 510,8 0 0,1 0 0,1 1 0,0 1 0,1 0-510,2 1 0,1 1 0,0 0 0,0 1 1,0 0 509,-14-1 0,0 1 0,1-1 0,-1 2 0,0-1 0,-1 0 0,12 3 0,0 0 0,-1 0 0,0 0 0,-2 0-319,-3 1 1,0-1 0,-1 0 0,-2 1 0,0-1 318,15 3 0,-2-1 0,-2 0 0,-2 0 85,-10-1 0,-3-1 1,-1 0-1,-2 0-85,15 1 0,-3 0 0,-4-1 0,-15-3 0,-3 0 0,-3-2 980,18 2 0,-4-3-980,-9-2 0,-2-2 1340,-6 0 0,-2-2-1340,-3 0 0,-2-1 1116,-4 0 1,-1 0-1117,43 0 955,-4 0-955,-10 0 0,-12 0 0,-11-2 0,-8-1 0,-9-2 0,-3-2 0,-1-4 0,1-4 0,5-6 0,4-5 0,0-1 0,1 0 0,-4 2 0,-2 1 0,0 0 0,0 1 0,3 2 0,6-2 0,5-2 0,1-6 0,-5-2 0,-11 1 0,-12 6 0,-9 7 0,-9 1 0,-3-8 0,-2-17 0,-2-11 0,0-4 0,-1 9 0,-1 17 0,0 16 0,0 8 0</inkml:trace>
  <inkml:trace contextRef="#ctx0" brushRef="#br0" timeOffset="7433">5355 1510 24575,'0'46'0,"0"19"0,0 26 0,0 9 0,0-10 0,0-22 0,0-24 0,0-22 0,0-21 0,0-16 0,-2-12 0,-4-13 0,-3-13 0,-2-24 0,6 25 0,0-3 0,2-5 0,0-1 0,1 0 0,2 0 0,0 8 0,2 2 0,7-26 0,9 21 0,9 18 0,10 14 0,7 9 0,6 8 0,9 4 0,6 8 0,1 8 0,-4 9 0,-12 7 0,-16 2 0,-14 0 0,-11 2 0,-17 8 0,-19 14 0,-21 13 0,15-29 0,-3 0 0,0-2 0,0-1 0,-35 26 0,11-19 0,16-17 0,13-13 0,13-8 0,9-6 0,4-8 0,3-5 0,2-4 0,0-1 0,1 2 0,3 1 0,3 3 0,6 4 0,9 5 0,12 3 0,16 1 0,21 9 0,26 15 0,-40-5 0,3 4 0,3 3 0,0 2 0,-3 0 0,-3 1 0,-9-3 0,-5-2 0,19 13 0,-26-13 0,-18-12 0,-11-6 0,-5-3 0</inkml:trace>
  <inkml:trace contextRef="#ctx0" brushRef="#br0" timeOffset="8150">6388 1383 24575,'0'25'0,"0"15"0,0 28 0,0 17 0,0 4 0,0-8 0,0-19 0,0-20 0,0-19 0,0-13 0,0-8 0</inkml:trace>
  <inkml:trace contextRef="#ctx0" brushRef="#br0" timeOffset="8950">6730 1228 24575,'2'24'0,"-1"23"0,-1 32 0,0-27 0,0 0 0,0 0 0,0-1 0,0 38 0,0-26 0,0-23 0,0-21 0,0-10 0</inkml:trace>
  <inkml:trace contextRef="#ctx0" brushRef="#br0" timeOffset="9716">6218 1700 24575,'36'-2'0,"31"1"0,-12 1 0,6 0 0,13-3 0,4 0 0,0-1 0,-2 0 0,-7 0 0,-4-1 0,29-2 0,-50 6 0,-21 1 0</inkml:trace>
  <inkml:trace contextRef="#ctx0" brushRef="#br0" timeOffset="10383">6571 1754 24575,'18'0'0,"26"0"0,36 0 0,-30 0 0,1 0 0,49 0 0,-22 0 0,-33 0 0,-24 0 0,-13 0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4T17:09:46.164"/>
    </inkml:context>
    <inkml:brush xml:id="br0">
      <inkml:brushProperty name="width" value="0.05" units="cm"/>
      <inkml:brushProperty name="height" value="0.05" units="cm"/>
      <inkml:brushProperty name="color" value="#FF0066"/>
    </inkml:brush>
  </inkml:definitions>
  <inkml:trace contextRef="#ctx0" brushRef="#br0">1 0 24575,'42'52'0,"16"11"0,-18-24 0,6 1 0,17 7 0,9-3 0,14-2 0,7-5-508,-18-13 0,4-3 1,3-3 507,13-1 0,3-2 0,1-4 0,-2-3 0,1-4 0,3 0-362,-20-1 0,3-1 0,0-1 0,0-2 362,2 0 0,0-2 0,0-2 0,0 0 0,1-3 0,0-1 0,-1-1 0,1-1 0,2-2 0,1 0 0,-1-2 0,-2-1 0,-6 1 0,-2-3 0,0 1 0,-2 0-290,22-5 0,-2 0 1,-2 1 289,-10 3 0,-2 0 0,-2 2-2,-9 2 0,-2 0 0,-3 3 2,20-2 0,-6 3 496,-15 4 1,-4 2-497,-10 4 0,-2 2 1829,30 11-1829,-16 10 1017,-14 8-1017,-12 0 7,-10-2-7,-5-4 0,-4-3 0,-4-5 0,-3-5 0,-3-5 0,-2-4 0,-1-3 0,0-4 0,0-5 0,3-4 0,6-3 0,11-5 0,13-1 0,16-3 0,13 2 0,11 3 0,15 6 0,-39 10 0,5 2 0,17 7 0,4 5 0,11 5 0,4 6-325,-21-3 1,3 3 0,1 2 324,2 2 0,1 1 0,-1 0 0,-5-1 0,-1 0 0,-2-1 0,-6-3 0,-2-1 0,-3-1 0,6 2 0,-6-4 0,21 5 0,-38-11 0,-21-6 0,-7-4 973,1-5-973,12-6 0,8-10 0,3-11 0,-1-10 0,-11-6 0,-7-1 0,-9 5 0,-6 10 0,-4 12 0,-3 8 0,0 8 0,0 2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4T17:09:47.414"/>
    </inkml:context>
    <inkml:brush xml:id="br0">
      <inkml:brushProperty name="width" value="0.05" units="cm"/>
      <inkml:brushProperty name="height" value="0.05" units="cm"/>
      <inkml:brushProperty name="color" value="#FF0066"/>
    </inkml:brush>
  </inkml:definitions>
  <inkml:trace contextRef="#ctx0" brushRef="#br0">462 8 24575,'-11'-4'0,"-18"0"0,-16 4 0,-13 0 0,1 0 0,9 0 0,8 1 0,8 6 0,4 12 0,1 16 0,0 22 0,3 11 0,5 7 0,8-2 0,6-10 0,9-12 0,17-13 0,22-8 0,26-7 0,22-4 0,-41-12 0,0-1 0,48 0 0,-9-3 0,-15-3 0,-15 0 0,-17 0 0,-14-1 0,-11 0 0,-10 0 0,-4 0 0</inkml:trace>
  <inkml:trace contextRef="#ctx0" brushRef="#br0" timeOffset="749">1031 19 24575,'0'41'0,"0"26"0,0 32 0,0-44 0,0 0 0,0 35 0,0-29 0,0-34 0,0-17 0</inkml:trace>
  <inkml:trace contextRef="#ctx0" brushRef="#br0" timeOffset="1599">1202 17 24575,'0'54'0,"0"10"0,0 11 0,0-3 0,0-22 0,0-17 0,0-19 0,0-9 0</inkml:trace>
  <inkml:trace contextRef="#ctx0" brushRef="#br0" timeOffset="2633">908 248 24575,'12'0'0,"15"0"0,22 0 0,21 0 0,5 0 0,-10 0 0,-18 0 0,-21-1 0,-7-2 0,-6-2 0,-7 2 0,-1-1 0</inkml:trace>
  <inkml:trace contextRef="#ctx0" brushRef="#br0" timeOffset="3533">908 397 24575,'15'0'0,"23"0"0,38-1 0,-21-2 0,5 0 0,3 0 0,0 0 0,-6 0 0,-3 0 0,23 0 0,-45 2 0,-14 1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1D0F5-270A-C647-A0D4-F7985A02A2D3}">
  <dimension ref="A4:F35"/>
  <sheetViews>
    <sheetView topLeftCell="A28" zoomScale="326" workbookViewId="0">
      <selection activeCell="B33" sqref="B33:F35"/>
    </sheetView>
  </sheetViews>
  <sheetFormatPr baseColWidth="10" defaultRowHeight="16" x14ac:dyDescent="0.2"/>
  <sheetData>
    <row r="4" spans="3:4" x14ac:dyDescent="0.2">
      <c r="C4" s="1" t="s">
        <v>0</v>
      </c>
      <c r="D4" s="1"/>
    </row>
    <row r="5" spans="3:4" x14ac:dyDescent="0.2">
      <c r="C5" s="1"/>
      <c r="D5" s="1"/>
    </row>
    <row r="8" spans="3:4" x14ac:dyDescent="0.2">
      <c r="C8" t="s">
        <v>1</v>
      </c>
    </row>
    <row r="11" spans="3:4" x14ac:dyDescent="0.2">
      <c r="C11" t="s">
        <v>24</v>
      </c>
    </row>
    <row r="13" spans="3:4" x14ac:dyDescent="0.2">
      <c r="C13" t="s">
        <v>25</v>
      </c>
    </row>
    <row r="15" spans="3:4" x14ac:dyDescent="0.2">
      <c r="C15" t="s">
        <v>26</v>
      </c>
    </row>
    <row r="17" spans="1:6" x14ac:dyDescent="0.2">
      <c r="A17" s="6"/>
      <c r="B17" s="6"/>
      <c r="C17" s="6"/>
      <c r="D17" s="6"/>
      <c r="E17" s="6"/>
      <c r="F17" s="6"/>
    </row>
    <row r="20" spans="1:6" x14ac:dyDescent="0.2">
      <c r="B20" t="s">
        <v>27</v>
      </c>
      <c r="D20" s="7" t="s">
        <v>31</v>
      </c>
    </row>
    <row r="22" spans="1:6" x14ac:dyDescent="0.2">
      <c r="B22" t="s">
        <v>28</v>
      </c>
      <c r="D22" s="8" t="s">
        <v>32</v>
      </c>
    </row>
    <row r="24" spans="1:6" x14ac:dyDescent="0.2">
      <c r="B24" t="s">
        <v>29</v>
      </c>
      <c r="D24" s="8" t="s">
        <v>33</v>
      </c>
    </row>
    <row r="26" spans="1:6" x14ac:dyDescent="0.2">
      <c r="B26" t="s">
        <v>30</v>
      </c>
      <c r="D26" s="8" t="s">
        <v>34</v>
      </c>
    </row>
    <row r="29" spans="1:6" x14ac:dyDescent="0.2">
      <c r="B29" t="s">
        <v>36</v>
      </c>
      <c r="D29" s="8" t="s">
        <v>46</v>
      </c>
    </row>
    <row r="31" spans="1:6" x14ac:dyDescent="0.2">
      <c r="B31" t="s">
        <v>37</v>
      </c>
      <c r="D31" s="10" t="s">
        <v>47</v>
      </c>
    </row>
    <row r="33" spans="2:4" x14ac:dyDescent="0.2">
      <c r="B33" t="s">
        <v>38</v>
      </c>
    </row>
    <row r="35" spans="2:4" x14ac:dyDescent="0.2">
      <c r="D35" t="s">
        <v>54</v>
      </c>
    </row>
  </sheetData>
  <mergeCells count="1">
    <mergeCell ref="C4:D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57267-BE1A-E44B-B858-727290AFD013}">
  <dimension ref="A4:I117"/>
  <sheetViews>
    <sheetView tabSelected="1" topLeftCell="A115" zoomScale="238" workbookViewId="0">
      <selection activeCell="D125" sqref="D125"/>
    </sheetView>
  </sheetViews>
  <sheetFormatPr baseColWidth="10" defaultRowHeight="16" x14ac:dyDescent="0.2"/>
  <sheetData>
    <row r="4" spans="1:8" x14ac:dyDescent="0.2">
      <c r="C4" s="2" t="s">
        <v>2</v>
      </c>
      <c r="D4" s="3" t="s">
        <v>3</v>
      </c>
      <c r="E4" s="3" t="s">
        <v>4</v>
      </c>
      <c r="F4" s="3" t="s">
        <v>5</v>
      </c>
    </row>
    <row r="5" spans="1:8" x14ac:dyDescent="0.2">
      <c r="C5" s="4">
        <v>1201</v>
      </c>
      <c r="D5" s="5" t="s">
        <v>6</v>
      </c>
      <c r="E5" s="5" t="s">
        <v>7</v>
      </c>
      <c r="F5" s="5" t="s">
        <v>8</v>
      </c>
    </row>
    <row r="6" spans="1:8" x14ac:dyDescent="0.2">
      <c r="C6" s="4">
        <v>1202</v>
      </c>
      <c r="D6" s="5" t="s">
        <v>9</v>
      </c>
      <c r="E6" s="5" t="s">
        <v>10</v>
      </c>
      <c r="F6" s="5" t="s">
        <v>11</v>
      </c>
    </row>
    <row r="7" spans="1:8" x14ac:dyDescent="0.2">
      <c r="C7" s="4">
        <v>1203</v>
      </c>
      <c r="D7" s="5" t="s">
        <v>12</v>
      </c>
      <c r="E7" s="5" t="s">
        <v>13</v>
      </c>
      <c r="F7" s="5" t="s">
        <v>14</v>
      </c>
      <c r="H7" t="str">
        <f>INDEX(C5:F10,4,3)</f>
        <v>MBA HR</v>
      </c>
    </row>
    <row r="8" spans="1:8" x14ac:dyDescent="0.2">
      <c r="C8" s="4">
        <v>1204</v>
      </c>
      <c r="D8" s="5" t="s">
        <v>15</v>
      </c>
      <c r="E8" s="5" t="s">
        <v>16</v>
      </c>
      <c r="F8" s="5" t="s">
        <v>17</v>
      </c>
    </row>
    <row r="9" spans="1:8" x14ac:dyDescent="0.2">
      <c r="C9" s="4">
        <v>1205</v>
      </c>
      <c r="D9" s="5" t="s">
        <v>18</v>
      </c>
      <c r="E9" s="5" t="s">
        <v>19</v>
      </c>
      <c r="F9" s="5" t="s">
        <v>20</v>
      </c>
    </row>
    <row r="10" spans="1:8" x14ac:dyDescent="0.2">
      <c r="C10" s="4">
        <v>1206</v>
      </c>
      <c r="D10" s="5" t="s">
        <v>21</v>
      </c>
      <c r="E10" s="5" t="s">
        <v>22</v>
      </c>
      <c r="F10" s="5" t="s">
        <v>23</v>
      </c>
    </row>
    <row r="13" spans="1:8" x14ac:dyDescent="0.2">
      <c r="A13" s="6"/>
      <c r="B13" s="6"/>
      <c r="C13" s="6"/>
      <c r="D13" s="6"/>
      <c r="E13" s="6"/>
      <c r="F13" s="6"/>
      <c r="G13" s="6"/>
    </row>
    <row r="16" spans="1:8" x14ac:dyDescent="0.2">
      <c r="B16" t="s">
        <v>27</v>
      </c>
    </row>
    <row r="18" spans="2:4" x14ac:dyDescent="0.2">
      <c r="C18">
        <f>ROW()</f>
        <v>18</v>
      </c>
      <c r="D18" t="str">
        <f ca="1">_xlfn.FORMULATEXT(C18)</f>
        <v>=ROW()</v>
      </c>
    </row>
    <row r="19" spans="2:4" x14ac:dyDescent="0.2">
      <c r="C19">
        <f>ROW(B16)</f>
        <v>16</v>
      </c>
      <c r="D19" t="str">
        <f ca="1">_xlfn.FORMULATEXT(C19)</f>
        <v>=ROW(B16)</v>
      </c>
    </row>
    <row r="22" spans="2:4" x14ac:dyDescent="0.2">
      <c r="B22" t="s">
        <v>29</v>
      </c>
    </row>
    <row r="24" spans="2:4" x14ac:dyDescent="0.2">
      <c r="C24">
        <f>COLUMN()</f>
        <v>3</v>
      </c>
      <c r="D24" t="str">
        <f ca="1">_xlfn.FORMULATEXT(C24)</f>
        <v>=COLUMN()</v>
      </c>
    </row>
    <row r="25" spans="2:4" x14ac:dyDescent="0.2">
      <c r="C25">
        <f>COLUMN(B22)</f>
        <v>2</v>
      </c>
      <c r="D25" t="str">
        <f ca="1">_xlfn.FORMULATEXT(C25)</f>
        <v>=COLUMN(B22)</v>
      </c>
    </row>
    <row r="28" spans="2:4" x14ac:dyDescent="0.2">
      <c r="B28" t="s">
        <v>28</v>
      </c>
    </row>
    <row r="30" spans="2:4" x14ac:dyDescent="0.2">
      <c r="C30">
        <f>ROWS(D27:E28)</f>
        <v>2</v>
      </c>
      <c r="D30" t="str">
        <f ca="1">_xlfn.FORMULATEXT(C30)</f>
        <v>=ROWS(D27:E28)</v>
      </c>
    </row>
    <row r="33" spans="1:7" x14ac:dyDescent="0.2">
      <c r="B33" t="s">
        <v>30</v>
      </c>
    </row>
    <row r="35" spans="1:7" x14ac:dyDescent="0.2">
      <c r="C35">
        <f>COLUMNS(A31:F31)</f>
        <v>6</v>
      </c>
      <c r="D35" t="str">
        <f ca="1">_xlfn.FORMULATEXT(C35)</f>
        <v>=COLUMNS(A31:F31)</v>
      </c>
    </row>
    <row r="38" spans="1:7" x14ac:dyDescent="0.2">
      <c r="A38" s="6"/>
      <c r="B38" s="6"/>
      <c r="C38" s="6"/>
      <c r="D38" s="6"/>
      <c r="E38" s="6"/>
      <c r="F38" s="6"/>
      <c r="G38" s="6"/>
    </row>
    <row r="41" spans="1:7" x14ac:dyDescent="0.2">
      <c r="B41" t="s">
        <v>35</v>
      </c>
    </row>
    <row r="45" spans="1:7" x14ac:dyDescent="0.2">
      <c r="B45" s="9" t="s">
        <v>39</v>
      </c>
      <c r="C45">
        <v>1</v>
      </c>
    </row>
    <row r="46" spans="1:7" x14ac:dyDescent="0.2">
      <c r="B46" s="9" t="s">
        <v>40</v>
      </c>
      <c r="C46">
        <v>2</v>
      </c>
      <c r="E46" t="s">
        <v>45</v>
      </c>
    </row>
    <row r="47" spans="1:7" x14ac:dyDescent="0.2">
      <c r="B47" s="9" t="s">
        <v>41</v>
      </c>
      <c r="C47">
        <v>3</v>
      </c>
      <c r="E47" t="str">
        <f>INDEX(B45:B50,3)</f>
        <v>apple</v>
      </c>
      <c r="F47" t="str">
        <f ca="1">_xlfn.FORMULATEXT(E47)</f>
        <v>=INDEX(B45:B50,3)</v>
      </c>
    </row>
    <row r="48" spans="1:7" x14ac:dyDescent="0.2">
      <c r="B48" s="9" t="s">
        <v>42</v>
      </c>
      <c r="C48">
        <v>4</v>
      </c>
    </row>
    <row r="49" spans="2:3" x14ac:dyDescent="0.2">
      <c r="B49" s="9" t="s">
        <v>43</v>
      </c>
      <c r="C49">
        <v>5</v>
      </c>
    </row>
    <row r="50" spans="2:3" x14ac:dyDescent="0.2">
      <c r="B50" s="9" t="s">
        <v>44</v>
      </c>
      <c r="C50">
        <v>6</v>
      </c>
    </row>
    <row r="69" spans="2:7" x14ac:dyDescent="0.2">
      <c r="B69" t="s">
        <v>37</v>
      </c>
    </row>
    <row r="71" spans="2:7" x14ac:dyDescent="0.2">
      <c r="C71" s="9" t="s">
        <v>39</v>
      </c>
    </row>
    <row r="72" spans="2:7" x14ac:dyDescent="0.2">
      <c r="C72" s="9" t="s">
        <v>40</v>
      </c>
    </row>
    <row r="73" spans="2:7" x14ac:dyDescent="0.2">
      <c r="C73" s="9" t="s">
        <v>41</v>
      </c>
      <c r="E73">
        <f>MATCH("orange",C71:C76,0)</f>
        <v>4</v>
      </c>
      <c r="F73" t="str">
        <f ca="1">_xlfn.FORMULATEXT(E73)</f>
        <v>=MATCH("orange",C71:C76,0)</v>
      </c>
    </row>
    <row r="74" spans="2:7" x14ac:dyDescent="0.2">
      <c r="C74" s="9" t="s">
        <v>42</v>
      </c>
    </row>
    <row r="75" spans="2:7" x14ac:dyDescent="0.2">
      <c r="C75" s="9" t="s">
        <v>43</v>
      </c>
    </row>
    <row r="76" spans="2:7" x14ac:dyDescent="0.2">
      <c r="C76" s="9" t="s">
        <v>44</v>
      </c>
    </row>
    <row r="78" spans="2:7" x14ac:dyDescent="0.2">
      <c r="G78" t="s">
        <v>48</v>
      </c>
    </row>
    <row r="80" spans="2:7" x14ac:dyDescent="0.2">
      <c r="C80" s="9">
        <v>1</v>
      </c>
    </row>
    <row r="81" spans="1:9" x14ac:dyDescent="0.2">
      <c r="C81" s="9">
        <v>3</v>
      </c>
      <c r="E81" t="e">
        <f>MATCH(6,C80:C85,0)</f>
        <v>#N/A</v>
      </c>
      <c r="F81" t="str">
        <f ca="1">_xlfn.FORMULATEXT(E81)</f>
        <v>=MATCH(6,C80:C85,0)</v>
      </c>
    </row>
    <row r="82" spans="1:9" x14ac:dyDescent="0.2">
      <c r="C82" s="9">
        <v>5</v>
      </c>
      <c r="E82">
        <f>MATCH(6,C80:C85,1)</f>
        <v>3</v>
      </c>
      <c r="F82" t="str">
        <f ca="1">_xlfn.FORMULATEXT(E82)</f>
        <v>=MATCH(6,C80:C85,1)</v>
      </c>
    </row>
    <row r="83" spans="1:9" x14ac:dyDescent="0.2">
      <c r="C83" s="9">
        <v>8</v>
      </c>
    </row>
    <row r="84" spans="1:9" x14ac:dyDescent="0.2">
      <c r="C84" s="9">
        <v>10</v>
      </c>
      <c r="G84" t="s">
        <v>49</v>
      </c>
    </row>
    <row r="85" spans="1:9" x14ac:dyDescent="0.2">
      <c r="C85" s="9">
        <v>22</v>
      </c>
    </row>
    <row r="91" spans="1:9" x14ac:dyDescent="0.2">
      <c r="C91" s="6" t="s">
        <v>50</v>
      </c>
      <c r="D91" s="6"/>
      <c r="E91" s="6" t="s">
        <v>51</v>
      </c>
      <c r="F91" s="6"/>
      <c r="G91" s="6"/>
    </row>
    <row r="92" spans="1:9" x14ac:dyDescent="0.2">
      <c r="C92" s="6"/>
      <c r="D92" s="6"/>
      <c r="E92" s="6"/>
      <c r="F92" s="6"/>
      <c r="G92" s="6"/>
    </row>
    <row r="93" spans="1:9" x14ac:dyDescent="0.2">
      <c r="C93" s="6" t="s">
        <v>52</v>
      </c>
      <c r="D93" s="6"/>
      <c r="E93" s="6" t="s">
        <v>53</v>
      </c>
      <c r="F93" s="6"/>
      <c r="G93" s="6"/>
    </row>
    <row r="96" spans="1:9" x14ac:dyDescent="0.2">
      <c r="A96" s="6"/>
      <c r="B96" s="6"/>
      <c r="C96" s="6"/>
      <c r="D96" s="6"/>
      <c r="E96" s="6"/>
      <c r="F96" s="6"/>
      <c r="G96" s="6"/>
      <c r="H96" s="6"/>
      <c r="I96" s="6"/>
    </row>
    <row r="99" spans="2:6" x14ac:dyDescent="0.2">
      <c r="B99" t="s">
        <v>38</v>
      </c>
    </row>
    <row r="102" spans="2:6" x14ac:dyDescent="0.2">
      <c r="C102" s="11"/>
      <c r="D102" s="12" t="s">
        <v>55</v>
      </c>
      <c r="E102" s="12" t="s">
        <v>56</v>
      </c>
      <c r="F102" s="12" t="s">
        <v>57</v>
      </c>
    </row>
    <row r="103" spans="2:6" x14ac:dyDescent="0.2">
      <c r="C103" s="13" t="s">
        <v>58</v>
      </c>
      <c r="D103" s="11">
        <v>2</v>
      </c>
      <c r="E103" s="11">
        <v>10</v>
      </c>
      <c r="F103" s="11">
        <v>15</v>
      </c>
    </row>
    <row r="104" spans="2:6" x14ac:dyDescent="0.2">
      <c r="C104" s="13" t="s">
        <v>59</v>
      </c>
      <c r="D104" s="11">
        <v>10</v>
      </c>
      <c r="E104" s="11">
        <v>12</v>
      </c>
      <c r="F104" s="11">
        <v>17</v>
      </c>
    </row>
    <row r="105" spans="2:6" x14ac:dyDescent="0.2">
      <c r="C105" s="13" t="s">
        <v>60</v>
      </c>
      <c r="D105" s="11">
        <v>20</v>
      </c>
      <c r="E105" s="11">
        <v>20</v>
      </c>
      <c r="F105" s="11">
        <v>20</v>
      </c>
    </row>
    <row r="106" spans="2:6" x14ac:dyDescent="0.2">
      <c r="C106" s="13" t="s">
        <v>61</v>
      </c>
      <c r="D106" s="11">
        <v>6</v>
      </c>
      <c r="E106" s="11">
        <v>4</v>
      </c>
      <c r="F106" s="11">
        <v>8</v>
      </c>
    </row>
    <row r="107" spans="2:6" x14ac:dyDescent="0.2">
      <c r="C107" s="13" t="s">
        <v>62</v>
      </c>
      <c r="D107" s="11">
        <v>2</v>
      </c>
      <c r="E107" s="11">
        <v>3</v>
      </c>
      <c r="F107" s="11">
        <v>5</v>
      </c>
    </row>
    <row r="109" spans="2:6" x14ac:dyDescent="0.2">
      <c r="D109" s="14" t="s">
        <v>63</v>
      </c>
      <c r="E109" s="14" t="s">
        <v>64</v>
      </c>
    </row>
    <row r="110" spans="2:6" x14ac:dyDescent="0.2">
      <c r="D110" t="s">
        <v>58</v>
      </c>
      <c r="E110" t="s">
        <v>56</v>
      </c>
    </row>
    <row r="113" spans="3:5" x14ac:dyDescent="0.2">
      <c r="D113" s="14" t="s">
        <v>65</v>
      </c>
      <c r="E113">
        <f>INDEX(D103:F107,MATCH(D110,C103:C107,0),MATCH(E110,D102:F102,0))</f>
        <v>10</v>
      </c>
    </row>
    <row r="114" spans="3:5" x14ac:dyDescent="0.2">
      <c r="C114" t="str">
        <f ca="1">_xlfn.FORMULATEXT(E113)</f>
        <v>=INDEX(D103:F107,MATCH(D110,C103:C107,0),MATCH(E110,D102:F102,0))</v>
      </c>
    </row>
    <row r="116" spans="3:5" x14ac:dyDescent="0.2">
      <c r="C116" t="s">
        <v>66</v>
      </c>
      <c r="E116">
        <f>MATCH(D110,C103:C107,0)</f>
        <v>1</v>
      </c>
    </row>
    <row r="117" spans="3:5" x14ac:dyDescent="0.2">
      <c r="C117" t="s">
        <v>67</v>
      </c>
      <c r="E117">
        <f>MATCH(E110,D102:F102,0)</f>
        <v>2</v>
      </c>
    </row>
  </sheetData>
  <dataValidations disablePrompts="1" count="2">
    <dataValidation type="list" allowBlank="1" showInputMessage="1" showErrorMessage="1" sqref="D110" xr:uid="{B71D94CD-7CB5-0540-9174-746B3C61C18A}">
      <formula1>$C$103:$C$107</formula1>
    </dataValidation>
    <dataValidation type="list" allowBlank="1" showInputMessage="1" showErrorMessage="1" sqref="E110" xr:uid="{903F550B-DE95-F744-81CF-88E5C17457FB}">
      <formula1>$D$102:$F$102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agenda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SAHU</dc:creator>
  <cp:lastModifiedBy>UTKARSH SAHU</cp:lastModifiedBy>
  <dcterms:created xsi:type="dcterms:W3CDTF">2026-07-04T15:41:47Z</dcterms:created>
  <dcterms:modified xsi:type="dcterms:W3CDTF">2026-07-04T17:15:15Z</dcterms:modified>
</cp:coreProperties>
</file>