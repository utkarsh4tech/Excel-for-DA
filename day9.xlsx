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drawings/drawing3.xml" ContentType="application/vnd.openxmlformats-officedocument.drawing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CAF63E06-AE33-6B4F-BE90-4A4113827204}" xr6:coauthVersionLast="47" xr6:coauthVersionMax="47" xr10:uidLastSave="{00000000-0000-0000-0000-000000000000}"/>
  <bookViews>
    <workbookView xWindow="0" yWindow="620" windowWidth="28800" windowHeight="17400" activeTab="1" xr2:uid="{27D01601-E3B7-2549-B728-1BDFAA1119F2}"/>
  </bookViews>
  <sheets>
    <sheet name="AGENDA" sheetId="1" r:id="rId1"/>
    <sheet name="Sheet3" sheetId="3" r:id="rId2"/>
    <sheet name="DATA Viz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2" l="1"/>
  <c r="E47" i="2"/>
  <c r="C38" i="2"/>
  <c r="C36" i="2"/>
  <c r="C34" i="2"/>
  <c r="B56" i="3" a="1"/>
  <c r="B56" i="3" s="1"/>
  <c r="D55" i="3"/>
  <c r="D49" i="3"/>
  <c r="B51" i="3" a="1"/>
  <c r="B51" i="3" s="1"/>
  <c r="B27" i="3" l="1" a="1"/>
  <c r="B27" i="3"/>
  <c r="A9" i="3" a="1"/>
  <c r="A9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<sst xmlns="http://schemas.openxmlformats.org/spreadsheetml/2006/main" count="57" uniqueCount="53">
  <si>
    <t>Offset</t>
  </si>
  <si>
    <t>Indirect</t>
  </si>
  <si>
    <t>Filter</t>
  </si>
  <si>
    <t>To help in Navigation, to find cell(s) in the same sheet.</t>
  </si>
  <si>
    <t>START</t>
  </si>
  <si>
    <t>END</t>
  </si>
  <si>
    <t>Ref : starting point, ROWS is how many row we go up/down ( + is down, -ve is Up), COLS is How many cols we go left or right right is + and left is -</t>
  </si>
  <si>
    <t>INDIRECT</t>
  </si>
  <si>
    <t>my data is stored in C19</t>
  </si>
  <si>
    <t>B19</t>
  </si>
  <si>
    <t>Some new Text</t>
  </si>
  <si>
    <t>Random gibrish</t>
  </si>
  <si>
    <t>FILTER</t>
  </si>
  <si>
    <t>FILTER is used to get data ( as per a condition)</t>
  </si>
  <si>
    <t>Get Values indirectly the address is given as  TEXT , if cell address is given, then it used the VALUE at the cell address as the REF TEXT.</t>
  </si>
  <si>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</si>
  <si>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</si>
  <si>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</si>
  <si>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</si>
  <si>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</si>
  <si>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</si>
  <si>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</si>
  <si>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</si>
  <si>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</si>
  <si>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</si>
  <si>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</si>
  <si>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</si>
  <si>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</si>
  <si>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</si>
  <si>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</si>
  <si>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</si>
  <si>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</si>
  <si>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</si>
  <si>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</si>
  <si>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</si>
  <si>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MBA Ops</t>
  </si>
  <si>
    <t>Fake num 6</t>
  </si>
  <si>
    <t>Gender</t>
  </si>
  <si>
    <t>M</t>
  </si>
  <si>
    <t>F</t>
  </si>
  <si>
    <t>Marks</t>
  </si>
  <si>
    <t>2 Condition Togeth</t>
  </si>
  <si>
    <t>Either one</t>
  </si>
  <si>
    <t>V imp</t>
  </si>
  <si>
    <t>FILTER out information from an Array based on a criteria</t>
  </si>
  <si>
    <t>CORRELATION</t>
  </si>
  <si>
    <t>Is a number used to QUANTIFY how One thing is chaning with respect to another</t>
  </si>
  <si>
    <t>Opposite reln in x and y</t>
  </si>
  <si>
    <t>Same Reln in X and Y</t>
  </si>
  <si>
    <t>X</t>
  </si>
  <si>
    <t>Y</t>
  </si>
  <si>
    <t>Mean no Correlation</t>
  </si>
  <si>
    <t>PIE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</si>
</sst>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Viz'!$B$45:$B$49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'DATA Viz'!$C$45:$C$49</c:f>
              <c:numCache>
                <c:formatCode>General</c:formatCode>
                <c:ptCount val="5"/>
                <c:pt idx="0">
                  <c:v>100</c:v>
                </c:pt>
                <c:pt idx="1">
                  <c:v>600</c:v>
                </c:pt>
                <c:pt idx="2">
                  <c:v>400</c:v>
                </c:pt>
                <c:pt idx="3">
                  <c:v>-200</c:v>
                </c:pt>
                <c:pt idx="4">
                  <c:v>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17-254D-8D7C-7BC47679B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9757696"/>
        <c:axId val="609228032"/>
      </c:scatterChart>
      <c:valAx>
        <c:axId val="60975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228032"/>
        <c:crosses val="autoZero"/>
        <c:crossBetween val="midCat"/>
      </c:valAx>
      <c:valAx>
        <c:axId val="60922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757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2.png"/><Relationship Id="rId1" Type="http://schemas.openxmlformats.org/officeDocument/2006/relationships/customXml" Target="../ink/ink1.xml"/><Relationship Id="rId6" Type="http://schemas.openxmlformats.org/officeDocument/2006/relationships/image" Target="../media/image4.png"/><Relationship Id="rId5" Type="http://schemas.openxmlformats.org/officeDocument/2006/relationships/customXml" Target="../ink/ink3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1.png"/><Relationship Id="rId18" Type="http://schemas.openxmlformats.org/officeDocument/2006/relationships/image" Target="../media/image13.png"/><Relationship Id="rId26" Type="http://schemas.openxmlformats.org/officeDocument/2006/relationships/image" Target="../media/image18.png"/><Relationship Id="rId39" Type="http://schemas.openxmlformats.org/officeDocument/2006/relationships/image" Target="../media/image25.png"/><Relationship Id="rId21" Type="http://schemas.openxmlformats.org/officeDocument/2006/relationships/customXml" Target="../ink/ink13.xml"/><Relationship Id="rId34" Type="http://schemas.openxmlformats.org/officeDocument/2006/relationships/customXml" Target="../ink/ink18.xml"/><Relationship Id="rId42" Type="http://schemas.openxmlformats.org/officeDocument/2006/relationships/customXml" Target="../ink/ink22.xml"/><Relationship Id="rId47" Type="http://schemas.openxmlformats.org/officeDocument/2006/relationships/image" Target="../media/image29.png"/><Relationship Id="rId50" Type="http://schemas.openxmlformats.org/officeDocument/2006/relationships/customXml" Target="../ink/ink26.xml"/><Relationship Id="rId7" Type="http://schemas.openxmlformats.org/officeDocument/2006/relationships/image" Target="../media/image8.png"/><Relationship Id="rId2" Type="http://schemas.openxmlformats.org/officeDocument/2006/relationships/customXml" Target="../ink/ink4.xml"/><Relationship Id="rId16" Type="http://schemas.openxmlformats.org/officeDocument/2006/relationships/image" Target="../media/image12.png"/><Relationship Id="rId29" Type="http://schemas.openxmlformats.org/officeDocument/2006/relationships/customXml" Target="../ink/ink16.xml"/><Relationship Id="rId11" Type="http://schemas.openxmlformats.org/officeDocument/2006/relationships/image" Target="../media/image10.png"/><Relationship Id="rId24" Type="http://schemas.openxmlformats.org/officeDocument/2006/relationships/image" Target="../media/image16.png"/><Relationship Id="rId32" Type="http://schemas.openxmlformats.org/officeDocument/2006/relationships/image" Target="../media/image21.png"/><Relationship Id="rId37" Type="http://schemas.openxmlformats.org/officeDocument/2006/relationships/image" Target="../media/image24.png"/><Relationship Id="rId40" Type="http://schemas.openxmlformats.org/officeDocument/2006/relationships/customXml" Target="../ink/ink21.xml"/><Relationship Id="rId45" Type="http://schemas.openxmlformats.org/officeDocument/2006/relationships/image" Target="../media/image28.png"/><Relationship Id="rId5" Type="http://schemas.openxmlformats.org/officeDocument/2006/relationships/image" Target="../media/image7.png"/><Relationship Id="rId15" Type="http://schemas.openxmlformats.org/officeDocument/2006/relationships/customXml" Target="../ink/ink10.xml"/><Relationship Id="rId23" Type="http://schemas.openxmlformats.org/officeDocument/2006/relationships/customXml" Target="../ink/ink14.xml"/><Relationship Id="rId28" Type="http://schemas.openxmlformats.org/officeDocument/2006/relationships/image" Target="../media/image19.png"/><Relationship Id="rId36" Type="http://schemas.openxmlformats.org/officeDocument/2006/relationships/customXml" Target="../ink/ink19.xml"/><Relationship Id="rId49" Type="http://schemas.openxmlformats.org/officeDocument/2006/relationships/image" Target="../media/image30.png"/><Relationship Id="rId10" Type="http://schemas.openxmlformats.org/officeDocument/2006/relationships/customXml" Target="../ink/ink8.xml"/><Relationship Id="rId19" Type="http://schemas.openxmlformats.org/officeDocument/2006/relationships/customXml" Target="../ink/ink12.xml"/><Relationship Id="rId31" Type="http://schemas.openxmlformats.org/officeDocument/2006/relationships/customXml" Target="../ink/ink17.xml"/><Relationship Id="rId44" Type="http://schemas.openxmlformats.org/officeDocument/2006/relationships/customXml" Target="../ink/ink23.xml"/><Relationship Id="rId4" Type="http://schemas.openxmlformats.org/officeDocument/2006/relationships/customXml" Target="../ink/ink5.xml"/><Relationship Id="rId9" Type="http://schemas.openxmlformats.org/officeDocument/2006/relationships/image" Target="../media/image9.png"/><Relationship Id="rId14" Type="http://schemas.openxmlformats.org/officeDocument/2006/relationships/chart" Target="../charts/chart1.xml"/><Relationship Id="rId22" Type="http://schemas.openxmlformats.org/officeDocument/2006/relationships/image" Target="../media/image15.png"/><Relationship Id="rId27" Type="http://schemas.openxmlformats.org/officeDocument/2006/relationships/customXml" Target="../ink/ink15.xml"/><Relationship Id="rId30" Type="http://schemas.openxmlformats.org/officeDocument/2006/relationships/image" Target="../media/image20.png"/><Relationship Id="rId35" Type="http://schemas.openxmlformats.org/officeDocument/2006/relationships/image" Target="../media/image23.png"/><Relationship Id="rId43" Type="http://schemas.openxmlformats.org/officeDocument/2006/relationships/image" Target="../media/image27.png"/><Relationship Id="rId48" Type="http://schemas.openxmlformats.org/officeDocument/2006/relationships/customXml" Target="../ink/ink25.xml"/><Relationship Id="rId8" Type="http://schemas.openxmlformats.org/officeDocument/2006/relationships/customXml" Target="../ink/ink7.xml"/><Relationship Id="rId51" Type="http://schemas.openxmlformats.org/officeDocument/2006/relationships/image" Target="../media/image31.png"/><Relationship Id="rId3" Type="http://schemas.openxmlformats.org/officeDocument/2006/relationships/image" Target="../media/image6.png"/><Relationship Id="rId12" Type="http://schemas.openxmlformats.org/officeDocument/2006/relationships/customXml" Target="../ink/ink9.xml"/><Relationship Id="rId17" Type="http://schemas.openxmlformats.org/officeDocument/2006/relationships/customXml" Target="../ink/ink11.xml"/><Relationship Id="rId25" Type="http://schemas.openxmlformats.org/officeDocument/2006/relationships/image" Target="../media/image17.png"/><Relationship Id="rId33" Type="http://schemas.openxmlformats.org/officeDocument/2006/relationships/image" Target="../media/image22.jpeg"/><Relationship Id="rId38" Type="http://schemas.openxmlformats.org/officeDocument/2006/relationships/customXml" Target="../ink/ink20.xml"/><Relationship Id="rId46" Type="http://schemas.openxmlformats.org/officeDocument/2006/relationships/customXml" Target="../ink/ink24.xml"/><Relationship Id="rId20" Type="http://schemas.openxmlformats.org/officeDocument/2006/relationships/image" Target="../media/image14.png"/><Relationship Id="rId41" Type="http://schemas.openxmlformats.org/officeDocument/2006/relationships/image" Target="../media/image26.png"/><Relationship Id="rId1" Type="http://schemas.openxmlformats.org/officeDocument/2006/relationships/image" Target="../media/image5.png"/><Relationship Id="rId6" Type="http://schemas.openxmlformats.org/officeDocument/2006/relationships/customXml" Target="../ink/ink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380634</xdr:colOff>
      <xdr:row>3</xdr:row>
      <xdr:rowOff>5757</xdr:rowOff>
    </xdr:from>
    <xdr:to>
      <xdr:col>3</xdr:col>
      <xdr:colOff>514513</xdr:colOff>
      <xdr:row>4</xdr:row>
      <xdr:rowOff>88496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3BAA6B-41C9-B68D-B434-75C37C8AA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34928" y="620627"/>
          <a:ext cx="961026" cy="28769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314116</xdr:colOff>
      <xdr:row>24</xdr:row>
      <xdr:rowOff>160608</xdr:rowOff>
    </xdr:from>
    <xdr:to>
      <xdr:col>5</xdr:col>
      <xdr:colOff>471011</xdr:colOff>
      <xdr:row>28</xdr:row>
      <xdr:rowOff>22195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6DC3E63E-3CBF-D354-1D02-FFA06BE612C2}"/>
                </a:ext>
              </a:extLst>
            </xdr14:cNvPr>
            <xdr14:cNvContentPartPr/>
          </xdr14:nvContentPartPr>
          <xdr14:nvPr macro=""/>
          <xdr14:xfrm>
            <a:off x="1962720" y="4991400"/>
            <a:ext cx="2629800" cy="66672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6DC3E63E-3CBF-D354-1D02-FFA06BE612C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955160" y="4983836"/>
              <a:ext cx="2644920" cy="68184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719738</xdr:colOff>
      <xdr:row>16</xdr:row>
      <xdr:rowOff>178232</xdr:rowOff>
    </xdr:from>
    <xdr:to>
      <xdr:col>3</xdr:col>
      <xdr:colOff>65814</xdr:colOff>
      <xdr:row>18</xdr:row>
      <xdr:rowOff>34146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C7E3353D-9EE9-65B9-AE18-3BA11B764FBA}"/>
                </a:ext>
              </a:extLst>
            </xdr14:cNvPr>
            <xdr14:cNvContentPartPr/>
          </xdr14:nvContentPartPr>
          <xdr14:nvPr macro=""/>
          <xdr14:xfrm>
            <a:off x="1544040" y="3398760"/>
            <a:ext cx="994680" cy="258480"/>
          </xdr14:xfrm>
        </xdr:contentPart>
      </mc:Choice>
      <mc:Fallback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C7E3353D-9EE9-65B9-AE18-3BA11B764FBA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536480" y="3391200"/>
              <a:ext cx="1009440" cy="273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402578</xdr:colOff>
      <xdr:row>18</xdr:row>
      <xdr:rowOff>149346</xdr:rowOff>
    </xdr:from>
    <xdr:to>
      <xdr:col>3</xdr:col>
      <xdr:colOff>202974</xdr:colOff>
      <xdr:row>26</xdr:row>
      <xdr:rowOff>18682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BD26F225-320C-C140-D04A-1547B87CA8A9}"/>
                </a:ext>
              </a:extLst>
            </xdr14:cNvPr>
            <xdr14:cNvContentPartPr/>
          </xdr14:nvContentPartPr>
          <xdr14:nvPr macro=""/>
          <xdr14:xfrm>
            <a:off x="1226880" y="3772440"/>
            <a:ext cx="1449000" cy="1479600"/>
          </xdr14:xfrm>
        </xdr:contentPart>
      </mc:Choice>
      <mc:Fallback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BD26F225-320C-C140-D04A-1547B87CA8A9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219318" y="3764880"/>
              <a:ext cx="1464124" cy="1494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802640</xdr:colOff>
      <xdr:row>2</xdr:row>
      <xdr:rowOff>132080</xdr:rowOff>
    </xdr:from>
    <xdr:to>
      <xdr:col>11</xdr:col>
      <xdr:colOff>306251</xdr:colOff>
      <xdr:row>23</xdr:row>
      <xdr:rowOff>116717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D03517-B732-DA56-65D5-EAC00AA46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25600" y="538480"/>
          <a:ext cx="7733211" cy="4251837"/>
        </a:xfrm>
        <a:prstGeom prst="rect">
          <a:avLst/>
        </a:prstGeom>
      </xdr:spPr>
    </xdr:pic>
    <xdr:clientData/>
  </xdr:twoCellAnchor>
  <xdr:twoCellAnchor editAs="oneCell">
    <xdr:from>
      <xdr:col>6</xdr:col>
      <xdr:colOff>21115</xdr:colOff>
      <xdr:row>34</xdr:row>
      <xdr:rowOff>50657</xdr:rowOff>
    </xdr:from>
    <xdr:to>
      <xdr:col>6</xdr:col>
      <xdr:colOff>666595</xdr:colOff>
      <xdr:row>37</xdr:row>
      <xdr:rowOff>6007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1F38C61E-C527-3221-A014-D5D5E3B835C4}"/>
                </a:ext>
              </a:extLst>
            </xdr14:cNvPr>
            <xdr14:cNvContentPartPr/>
          </xdr14:nvContentPartPr>
          <xdr14:nvPr macro=""/>
          <xdr14:xfrm>
            <a:off x="4990680" y="6856200"/>
            <a:ext cx="645480" cy="55584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1F38C61E-C527-3221-A014-D5D5E3B835C4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983116" y="6848645"/>
              <a:ext cx="660608" cy="5705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423334</xdr:colOff>
      <xdr:row>34</xdr:row>
      <xdr:rowOff>43457</xdr:rowOff>
    </xdr:from>
    <xdr:to>
      <xdr:col>8</xdr:col>
      <xdr:colOff>213913</xdr:colOff>
      <xdr:row>36</xdr:row>
      <xdr:rowOff>75490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DC4D294-F0B9-B1A6-501D-5790CAA0A771}"/>
                </a:ext>
              </a:extLst>
            </xdr14:cNvPr>
            <xdr14:cNvContentPartPr/>
          </xdr14:nvContentPartPr>
          <xdr14:nvPr macro=""/>
          <xdr14:xfrm>
            <a:off x="6221160" y="6849000"/>
            <a:ext cx="618840" cy="43236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6DC4D294-F0B9-B1A6-501D-5790CAA0A771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6213600" y="6841440"/>
              <a:ext cx="633960" cy="447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669637</xdr:colOff>
      <xdr:row>37</xdr:row>
      <xdr:rowOff>191767</xdr:rowOff>
    </xdr:from>
    <xdr:to>
      <xdr:col>5</xdr:col>
      <xdr:colOff>350056</xdr:colOff>
      <xdr:row>40</xdr:row>
      <xdr:rowOff>71158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A99F2ADF-EF67-3488-AD96-2B54D69EA591}"/>
                </a:ext>
              </a:extLst>
            </xdr14:cNvPr>
            <xdr14:cNvContentPartPr/>
          </xdr14:nvContentPartPr>
          <xdr14:nvPr macro=""/>
          <xdr14:xfrm>
            <a:off x="3982680" y="7597800"/>
            <a:ext cx="508680" cy="47988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A99F2ADF-EF67-3488-AD96-2B54D69EA591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3975120" y="7590240"/>
              <a:ext cx="523800" cy="49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368776</xdr:colOff>
      <xdr:row>33</xdr:row>
      <xdr:rowOff>105380</xdr:rowOff>
    </xdr:from>
    <xdr:to>
      <xdr:col>6</xdr:col>
      <xdr:colOff>187435</xdr:colOff>
      <xdr:row>35</xdr:row>
      <xdr:rowOff>1333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EBAE3C35-ACA8-BF1D-19F3-9BF16DA494F7}"/>
                </a:ext>
              </a:extLst>
            </xdr14:cNvPr>
            <xdr14:cNvContentPartPr/>
          </xdr14:nvContentPartPr>
          <xdr14:nvPr macro=""/>
          <xdr14:xfrm>
            <a:off x="4510080" y="6710760"/>
            <a:ext cx="646920" cy="29628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EBAE3C35-ACA8-BF1D-19F3-9BF16DA494F7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4502520" y="6703200"/>
              <a:ext cx="662040" cy="31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104697</xdr:colOff>
      <xdr:row>38</xdr:row>
      <xdr:rowOff>112564</xdr:rowOff>
    </xdr:from>
    <xdr:to>
      <xdr:col>3</xdr:col>
      <xdr:colOff>107577</xdr:colOff>
      <xdr:row>38</xdr:row>
      <xdr:rowOff>120844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36B5F521-8A71-2615-1508-BB4B3FC7A14B}"/>
                </a:ext>
              </a:extLst>
            </xdr14:cNvPr>
            <xdr14:cNvContentPartPr/>
          </xdr14:nvContentPartPr>
          <xdr14:nvPr macro=""/>
          <xdr14:xfrm>
            <a:off x="2589480" y="7718760"/>
            <a:ext cx="2880" cy="828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36B5F521-8A71-2615-1508-BB4B3FC7A14B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2581920" y="7711200"/>
              <a:ext cx="18000" cy="2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759736</xdr:colOff>
      <xdr:row>38</xdr:row>
      <xdr:rowOff>15724</xdr:rowOff>
    </xdr:from>
    <xdr:to>
      <xdr:col>6</xdr:col>
      <xdr:colOff>616195</xdr:colOff>
      <xdr:row>41</xdr:row>
      <xdr:rowOff>85195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46699F3A-12F5-7AEB-8733-851711F044B9}"/>
                </a:ext>
              </a:extLst>
            </xdr14:cNvPr>
            <xdr14:cNvContentPartPr/>
          </xdr14:nvContentPartPr>
          <xdr14:nvPr macro=""/>
          <xdr14:xfrm>
            <a:off x="4901040" y="7621920"/>
            <a:ext cx="684720" cy="669960"/>
          </xdr14:xfrm>
        </xdr:contentPart>
      </mc:Choice>
      <mc:Fallback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46699F3A-12F5-7AEB-8733-851711F044B9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4893484" y="7614360"/>
              <a:ext cx="699472" cy="6850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</xdr:col>
      <xdr:colOff>195331</xdr:colOff>
      <xdr:row>40</xdr:row>
      <xdr:rowOff>60601</xdr:rowOff>
    </xdr:from>
    <xdr:to>
      <xdr:col>9</xdr:col>
      <xdr:colOff>626026</xdr:colOff>
      <xdr:row>54</xdr:row>
      <xdr:rowOff>1519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AD9C554D-4C08-E7E6-FFD3-0E606E9AA2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4</xdr:col>
      <xdr:colOff>215317</xdr:colOff>
      <xdr:row>17</xdr:row>
      <xdr:rowOff>105068</xdr:rowOff>
    </xdr:from>
    <xdr:to>
      <xdr:col>4</xdr:col>
      <xdr:colOff>295237</xdr:colOff>
      <xdr:row>17</xdr:row>
      <xdr:rowOff>170228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891F2F3C-58AF-1AE9-D36E-9DD6AE0F66E9}"/>
                </a:ext>
              </a:extLst>
            </xdr14:cNvPr>
            <xdr14:cNvContentPartPr/>
          </xdr14:nvContentPartPr>
          <xdr14:nvPr macro=""/>
          <xdr14:xfrm>
            <a:off x="3528360" y="3507840"/>
            <a:ext cx="79920" cy="65160"/>
          </xdr14:xfrm>
        </xdr:contentPart>
      </mc:Choice>
      <mc:Fallback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891F2F3C-58AF-1AE9-D36E-9DD6AE0F66E9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520800" y="3500280"/>
              <a:ext cx="95040" cy="80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241957</xdr:colOff>
      <xdr:row>12</xdr:row>
      <xdr:rowOff>70163</xdr:rowOff>
    </xdr:from>
    <xdr:to>
      <xdr:col>6</xdr:col>
      <xdr:colOff>696835</xdr:colOff>
      <xdr:row>17</xdr:row>
      <xdr:rowOff>143588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E7495C50-889C-FEE9-672D-2825A5F476F8}"/>
                </a:ext>
              </a:extLst>
            </xdr14:cNvPr>
            <xdr14:cNvContentPartPr/>
          </xdr14:nvContentPartPr>
          <xdr14:nvPr macro=""/>
          <xdr14:xfrm>
            <a:off x="3555000" y="2472120"/>
            <a:ext cx="2111400" cy="1074240"/>
          </xdr14:xfrm>
        </xdr:contentPart>
      </mc:Choice>
      <mc:Fallback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E7495C50-889C-FEE9-672D-2825A5F476F8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3547440" y="2464560"/>
              <a:ext cx="2126520" cy="10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172117</xdr:colOff>
      <xdr:row>19</xdr:row>
      <xdr:rowOff>113342</xdr:rowOff>
    </xdr:from>
    <xdr:to>
      <xdr:col>4</xdr:col>
      <xdr:colOff>236917</xdr:colOff>
      <xdr:row>19</xdr:row>
      <xdr:rowOff>192542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A634990E-5354-3990-BE05-7F8587F2161E}"/>
                </a:ext>
              </a:extLst>
            </xdr14:cNvPr>
            <xdr14:cNvContentPartPr/>
          </xdr14:nvContentPartPr>
          <xdr14:nvPr macro=""/>
          <xdr14:xfrm>
            <a:off x="3485160" y="3916440"/>
            <a:ext cx="64800" cy="79200"/>
          </xdr14:xfrm>
        </xdr:contentPart>
      </mc:Choice>
      <mc:Fallback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A634990E-5354-3990-BE05-7F8587F2161E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477960" y="3908880"/>
              <a:ext cx="79920" cy="9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201997</xdr:colOff>
      <xdr:row>19</xdr:row>
      <xdr:rowOff>55022</xdr:rowOff>
    </xdr:from>
    <xdr:to>
      <xdr:col>6</xdr:col>
      <xdr:colOff>706555</xdr:colOff>
      <xdr:row>20</xdr:row>
      <xdr:rowOff>48899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49" name="Ink 48">
              <a:extLst>
                <a:ext uri="{FF2B5EF4-FFF2-40B4-BE49-F238E27FC236}">
                  <a16:creationId xmlns:a16="http://schemas.microsoft.com/office/drawing/2014/main" id="{DBB0691F-AFDD-3C98-40BE-17A068396F9C}"/>
                </a:ext>
              </a:extLst>
            </xdr14:cNvPr>
            <xdr14:cNvContentPartPr/>
          </xdr14:nvContentPartPr>
          <xdr14:nvPr macro=""/>
          <xdr14:xfrm>
            <a:off x="3515040" y="3858120"/>
            <a:ext cx="2161080" cy="194040"/>
          </xdr14:xfrm>
        </xdr:contentPart>
      </mc:Choice>
      <mc:Fallback>
        <xdr:pic>
          <xdr:nvPicPr>
            <xdr:cNvPr id="49" name="Ink 48">
              <a:extLst>
                <a:ext uri="{FF2B5EF4-FFF2-40B4-BE49-F238E27FC236}">
                  <a16:creationId xmlns:a16="http://schemas.microsoft.com/office/drawing/2014/main" id="{DBB0691F-AFDD-3C98-40BE-17A068396F9C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507480" y="3850560"/>
              <a:ext cx="2176200" cy="20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162757</xdr:colOff>
      <xdr:row>8</xdr:row>
      <xdr:rowOff>186096</xdr:rowOff>
    </xdr:from>
    <xdr:to>
      <xdr:col>6</xdr:col>
      <xdr:colOff>775675</xdr:colOff>
      <xdr:row>22</xdr:row>
      <xdr:rowOff>71573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50" name="Ink 49">
              <a:extLst>
                <a:ext uri="{FF2B5EF4-FFF2-40B4-BE49-F238E27FC236}">
                  <a16:creationId xmlns:a16="http://schemas.microsoft.com/office/drawing/2014/main" id="{05903A93-BE18-3391-82DC-D0198519F149}"/>
                </a:ext>
              </a:extLst>
            </xdr14:cNvPr>
            <xdr14:cNvContentPartPr/>
          </xdr14:nvContentPartPr>
          <xdr14:nvPr macro=""/>
          <xdr14:xfrm>
            <a:off x="3475800" y="1787400"/>
            <a:ext cx="2269440" cy="2687760"/>
          </xdr14:xfrm>
        </xdr:contentPart>
      </mc:Choice>
      <mc:Fallback>
        <xdr:pic>
          <xdr:nvPicPr>
            <xdr:cNvPr id="50" name="Ink 49">
              <a:extLst>
                <a:ext uri="{FF2B5EF4-FFF2-40B4-BE49-F238E27FC236}">
                  <a16:creationId xmlns:a16="http://schemas.microsoft.com/office/drawing/2014/main" id="{05903A93-BE18-3391-82DC-D0198519F149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468222" y="1779959"/>
              <a:ext cx="2284596" cy="270228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346673</xdr:colOff>
      <xdr:row>57</xdr:row>
      <xdr:rowOff>82826</xdr:rowOff>
    </xdr:from>
    <xdr:to>
      <xdr:col>9</xdr:col>
      <xdr:colOff>123410</xdr:colOff>
      <xdr:row>75</xdr:row>
      <xdr:rowOff>157921</xdr:rowOff>
    </xdr:to>
    <xdr:pic>
      <xdr:nvPicPr>
        <xdr:cNvPr id="55" name="Picture 54" descr="Bar Charts - Definition, What It Is, Examples, Types">
          <a:extLst>
            <a:ext uri="{FF2B5EF4-FFF2-40B4-BE49-F238E27FC236}">
              <a16:creationId xmlns:a16="http://schemas.microsoft.com/office/drawing/2014/main" id="{BA4E9EB5-9D4A-AA3B-9275-4A581F86F4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4934" y="11492119"/>
          <a:ext cx="6402824" cy="36780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334066</xdr:colOff>
      <xdr:row>82</xdr:row>
      <xdr:rowOff>144944</xdr:rowOff>
    </xdr:from>
    <xdr:to>
      <xdr:col>5</xdr:col>
      <xdr:colOff>813627</xdr:colOff>
      <xdr:row>97</xdr:row>
      <xdr:rowOff>106842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C4118CD3-D136-E29E-B95A-9CACEB322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990588" y="16558314"/>
          <a:ext cx="2964343" cy="2964343"/>
        </a:xfrm>
        <a:prstGeom prst="rect">
          <a:avLst/>
        </a:prstGeom>
      </xdr:spPr>
    </xdr:pic>
    <xdr:clientData/>
  </xdr:twoCellAnchor>
  <xdr:twoCellAnchor editAs="oneCell">
    <xdr:from>
      <xdr:col>1</xdr:col>
      <xdr:colOff>508779</xdr:colOff>
      <xdr:row>79</xdr:row>
      <xdr:rowOff>150960</xdr:rowOff>
    </xdr:from>
    <xdr:to>
      <xdr:col>2</xdr:col>
      <xdr:colOff>727758</xdr:colOff>
      <xdr:row>82</xdr:row>
      <xdr:rowOff>82190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60" name="Ink 59">
              <a:extLst>
                <a:ext uri="{FF2B5EF4-FFF2-40B4-BE49-F238E27FC236}">
                  <a16:creationId xmlns:a16="http://schemas.microsoft.com/office/drawing/2014/main" id="{919B5CE7-115A-9660-1227-8CAAC7913D1F}"/>
                </a:ext>
              </a:extLst>
            </xdr14:cNvPr>
            <xdr14:cNvContentPartPr/>
          </xdr14:nvContentPartPr>
          <xdr14:nvPr macro=""/>
          <xdr14:xfrm>
            <a:off x="1337040" y="15963840"/>
            <a:ext cx="1047240" cy="531720"/>
          </xdr14:xfrm>
        </xdr:contentPart>
      </mc:Choice>
      <mc:Fallback>
        <xdr:pic>
          <xdr:nvPicPr>
            <xdr:cNvPr id="60" name="Ink 59">
              <a:extLst>
                <a:ext uri="{FF2B5EF4-FFF2-40B4-BE49-F238E27FC236}">
                  <a16:creationId xmlns:a16="http://schemas.microsoft.com/office/drawing/2014/main" id="{919B5CE7-115A-9660-1227-8CAAC7913D1F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329480" y="15956280"/>
              <a:ext cx="1062000" cy="54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412137</xdr:colOff>
      <xdr:row>94</xdr:row>
      <xdr:rowOff>43274</xdr:rowOff>
    </xdr:from>
    <xdr:to>
      <xdr:col>4</xdr:col>
      <xdr:colOff>258517</xdr:colOff>
      <xdr:row>94</xdr:row>
      <xdr:rowOff>88634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61" name="Ink 60">
              <a:extLst>
                <a:ext uri="{FF2B5EF4-FFF2-40B4-BE49-F238E27FC236}">
                  <a16:creationId xmlns:a16="http://schemas.microsoft.com/office/drawing/2014/main" id="{B6EEBADF-5B73-9598-8803-6B7E9FCA3FF5}"/>
                </a:ext>
              </a:extLst>
            </xdr14:cNvPr>
            <xdr14:cNvContentPartPr/>
          </xdr14:nvContentPartPr>
          <xdr14:nvPr macro=""/>
          <xdr14:xfrm>
            <a:off x="2896920" y="18858600"/>
            <a:ext cx="674640" cy="45360"/>
          </xdr14:xfrm>
        </xdr:contentPart>
      </mc:Choice>
      <mc:Fallback>
        <xdr:pic>
          <xdr:nvPicPr>
            <xdr:cNvPr id="61" name="Ink 60">
              <a:extLst>
                <a:ext uri="{FF2B5EF4-FFF2-40B4-BE49-F238E27FC236}">
                  <a16:creationId xmlns:a16="http://schemas.microsoft.com/office/drawing/2014/main" id="{B6EEBADF-5B73-9598-8803-6B7E9FCA3FF5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2889360" y="18851040"/>
              <a:ext cx="689760" cy="6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709435</xdr:colOff>
      <xdr:row>82</xdr:row>
      <xdr:rowOff>830</xdr:rowOff>
    </xdr:from>
    <xdr:to>
      <xdr:col>9</xdr:col>
      <xdr:colOff>656812</xdr:colOff>
      <xdr:row>88</xdr:row>
      <xdr:rowOff>159932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AD1477B8-7125-6956-5A9E-00929063CBD6}"/>
                </a:ext>
              </a:extLst>
            </xdr14:cNvPr>
            <xdr14:cNvContentPartPr/>
          </xdr14:nvContentPartPr>
          <xdr14:nvPr macro=""/>
          <xdr14:xfrm>
            <a:off x="5679000" y="16414200"/>
            <a:ext cx="2432160" cy="1360080"/>
          </xdr14:xfrm>
        </xdr:contentPart>
      </mc:Choice>
      <mc:Fallback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AD1477B8-7125-6956-5A9E-00929063CBD6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5671414" y="16406741"/>
              <a:ext cx="2447332" cy="137499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192616</xdr:colOff>
      <xdr:row>100</xdr:row>
      <xdr:rowOff>76200</xdr:rowOff>
    </xdr:from>
    <xdr:to>
      <xdr:col>8</xdr:col>
      <xdr:colOff>69850</xdr:colOff>
      <xdr:row>115</xdr:row>
      <xdr:rowOff>133350</xdr:rowOff>
    </xdr:to>
    <xdr:pic>
      <xdr:nvPicPr>
        <xdr:cNvPr id="76" name="Picture 75" descr="The Normal Distribution: Understanding Histograms and Probability -  Technical Articles">
          <a:extLst>
            <a:ext uri="{FF2B5EF4-FFF2-40B4-BE49-F238E27FC236}">
              <a16:creationId xmlns:a16="http://schemas.microsoft.com/office/drawing/2014/main" id="{377C6A09-5377-25E2-630A-BEA0CD2359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3616" y="20396200"/>
          <a:ext cx="4830234" cy="3105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288300</xdr:colOff>
      <xdr:row>117</xdr:row>
      <xdr:rowOff>161280</xdr:rowOff>
    </xdr:from>
    <xdr:to>
      <xdr:col>4</xdr:col>
      <xdr:colOff>333640</xdr:colOff>
      <xdr:row>124</xdr:row>
      <xdr:rowOff>103280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">
          <xdr14:nvContentPartPr>
            <xdr14:cNvPr id="77" name="Ink 76">
              <a:extLst>
                <a:ext uri="{FF2B5EF4-FFF2-40B4-BE49-F238E27FC236}">
                  <a16:creationId xmlns:a16="http://schemas.microsoft.com/office/drawing/2014/main" id="{97021B2E-4D4A-91D4-C955-40EC7E09F3E8}"/>
                </a:ext>
              </a:extLst>
            </xdr14:cNvPr>
            <xdr14:cNvContentPartPr/>
          </xdr14:nvContentPartPr>
          <xdr14:nvPr macro=""/>
          <xdr14:xfrm>
            <a:off x="2764800" y="23935680"/>
            <a:ext cx="870840" cy="1364400"/>
          </xdr14:xfrm>
        </xdr:contentPart>
      </mc:Choice>
      <mc:Fallback>
        <xdr:pic>
          <xdr:nvPicPr>
            <xdr:cNvPr id="77" name="Ink 76">
              <a:extLst>
                <a:ext uri="{FF2B5EF4-FFF2-40B4-BE49-F238E27FC236}">
                  <a16:creationId xmlns:a16="http://schemas.microsoft.com/office/drawing/2014/main" id="{97021B2E-4D4A-91D4-C955-40EC7E09F3E8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757240" y="23928120"/>
              <a:ext cx="885960" cy="1379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502860</xdr:colOff>
      <xdr:row>119</xdr:row>
      <xdr:rowOff>81400</xdr:rowOff>
    </xdr:from>
    <xdr:to>
      <xdr:col>3</xdr:col>
      <xdr:colOff>546780</xdr:colOff>
      <xdr:row>124</xdr:row>
      <xdr:rowOff>105080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B32BF9A7-97EB-A57B-428A-1E0FF1B5C297}"/>
                </a:ext>
              </a:extLst>
            </xdr14:cNvPr>
            <xdr14:cNvContentPartPr/>
          </xdr14:nvContentPartPr>
          <xdr14:nvPr macro=""/>
          <xdr14:xfrm>
            <a:off x="2979360" y="24262200"/>
            <a:ext cx="43920" cy="1039680"/>
          </xdr14:xfrm>
        </xdr:contentPart>
      </mc:Choice>
      <mc:Fallback>
        <xdr:pic>
          <xdr:nvPicPr>
            <xdr:cNvPr id="78" name="Ink 77">
              <a:extLst>
                <a:ext uri="{FF2B5EF4-FFF2-40B4-BE49-F238E27FC236}">
                  <a16:creationId xmlns:a16="http://schemas.microsoft.com/office/drawing/2014/main" id="{B32BF9A7-97EB-A57B-428A-1E0FF1B5C297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2971800" y="24254640"/>
              <a:ext cx="59040" cy="1054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557220</xdr:colOff>
      <xdr:row>119</xdr:row>
      <xdr:rowOff>14440</xdr:rowOff>
    </xdr:from>
    <xdr:to>
      <xdr:col>3</xdr:col>
      <xdr:colOff>750900</xdr:colOff>
      <xdr:row>124</xdr:row>
      <xdr:rowOff>25880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9F612927-BC81-81A4-25C4-1D0A07B7A882}"/>
                </a:ext>
              </a:extLst>
            </xdr14:cNvPr>
            <xdr14:cNvContentPartPr/>
          </xdr14:nvContentPartPr>
          <xdr14:nvPr macro=""/>
          <xdr14:xfrm>
            <a:off x="3033720" y="24195240"/>
            <a:ext cx="193680" cy="1027440"/>
          </xdr14:xfrm>
        </xdr:contentPart>
      </mc:Choice>
      <mc:Fallback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9F612927-BC81-81A4-25C4-1D0A07B7A882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3026160" y="24187680"/>
              <a:ext cx="208800" cy="104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35200</xdr:colOff>
      <xdr:row>122</xdr:row>
      <xdr:rowOff>137080</xdr:rowOff>
    </xdr:from>
    <xdr:to>
      <xdr:col>4</xdr:col>
      <xdr:colOff>38800</xdr:colOff>
      <xdr:row>124</xdr:row>
      <xdr:rowOff>24800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">
          <xdr14:nvContentPartPr>
            <xdr14:cNvPr id="80" name="Ink 79">
              <a:extLst>
                <a:ext uri="{FF2B5EF4-FFF2-40B4-BE49-F238E27FC236}">
                  <a16:creationId xmlns:a16="http://schemas.microsoft.com/office/drawing/2014/main" id="{C5E98CA9-D207-4BB6-F7ED-155560D4B88E}"/>
                </a:ext>
              </a:extLst>
            </xdr14:cNvPr>
            <xdr14:cNvContentPartPr/>
          </xdr14:nvContentPartPr>
          <xdr14:nvPr macro=""/>
          <xdr14:xfrm>
            <a:off x="3337200" y="24927480"/>
            <a:ext cx="3600" cy="294120"/>
          </xdr14:xfrm>
        </xdr:contentPart>
      </mc:Choice>
      <mc:Fallback>
        <xdr:pic>
          <xdr:nvPicPr>
            <xdr:cNvPr id="80" name="Ink 79">
              <a:extLst>
                <a:ext uri="{FF2B5EF4-FFF2-40B4-BE49-F238E27FC236}">
                  <a16:creationId xmlns:a16="http://schemas.microsoft.com/office/drawing/2014/main" id="{C5E98CA9-D207-4BB6-F7ED-155560D4B88E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3329640" y="24919920"/>
              <a:ext cx="18720" cy="30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17920</xdr:colOff>
      <xdr:row>122</xdr:row>
      <xdr:rowOff>92800</xdr:rowOff>
    </xdr:from>
    <xdr:to>
      <xdr:col>4</xdr:col>
      <xdr:colOff>161200</xdr:colOff>
      <xdr:row>124</xdr:row>
      <xdr:rowOff>82760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409773E6-F152-178D-7F2B-C2A832BC1B53}"/>
                </a:ext>
              </a:extLst>
            </xdr14:cNvPr>
            <xdr14:cNvContentPartPr/>
          </xdr14:nvContentPartPr>
          <xdr14:nvPr macro=""/>
          <xdr14:xfrm>
            <a:off x="3319920" y="24883200"/>
            <a:ext cx="143280" cy="396360"/>
          </xdr14:xfrm>
        </xdr:contentPart>
      </mc:Choice>
      <mc:Fallback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409773E6-F152-178D-7F2B-C2A832BC1B53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3312360" y="24876000"/>
              <a:ext cx="158400" cy="411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372540</xdr:colOff>
      <xdr:row>117</xdr:row>
      <xdr:rowOff>92160</xdr:rowOff>
    </xdr:from>
    <xdr:to>
      <xdr:col>3</xdr:col>
      <xdr:colOff>518700</xdr:colOff>
      <xdr:row>117</xdr:row>
      <xdr:rowOff>194040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4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3A4A7FA5-17A3-E0AD-A9D3-B71D2A1518ED}"/>
                </a:ext>
              </a:extLst>
            </xdr14:cNvPr>
            <xdr14:cNvContentPartPr/>
          </xdr14:nvContentPartPr>
          <xdr14:nvPr macro=""/>
          <xdr14:xfrm>
            <a:off x="2849040" y="23866560"/>
            <a:ext cx="146160" cy="101880"/>
          </xdr14:xfrm>
        </xdr:contentPart>
      </mc:Choice>
      <mc:Fallback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3A4A7FA5-17A3-E0AD-A9D3-B71D2A1518ED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2841480" y="23859000"/>
              <a:ext cx="161280" cy="11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284340</xdr:colOff>
      <xdr:row>117</xdr:row>
      <xdr:rowOff>140040</xdr:rowOff>
    </xdr:from>
    <xdr:to>
      <xdr:col>3</xdr:col>
      <xdr:colOff>528060</xdr:colOff>
      <xdr:row>118</xdr:row>
      <xdr:rowOff>71480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6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5C92CD87-2563-2FD1-DC9D-539F70AC46A1}"/>
                </a:ext>
              </a:extLst>
            </xdr14:cNvPr>
            <xdr14:cNvContentPartPr/>
          </xdr14:nvContentPartPr>
          <xdr14:nvPr macro=""/>
          <xdr14:xfrm>
            <a:off x="2760840" y="23914440"/>
            <a:ext cx="243720" cy="13464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5C92CD87-2563-2FD1-DC9D-539F70AC46A1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2753280" y="23906880"/>
              <a:ext cx="258480" cy="14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582000</xdr:colOff>
      <xdr:row>102</xdr:row>
      <xdr:rowOff>167280</xdr:rowOff>
    </xdr:from>
    <xdr:to>
      <xdr:col>6</xdr:col>
      <xdr:colOff>588840</xdr:colOff>
      <xdr:row>103</xdr:row>
      <xdr:rowOff>8720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8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8E04BCD0-8400-EDCF-4F2A-565875E38536}"/>
                </a:ext>
              </a:extLst>
            </xdr14:cNvPr>
            <xdr14:cNvContentPartPr/>
          </xdr14:nvContentPartPr>
          <xdr14:nvPr macro=""/>
          <xdr14:xfrm>
            <a:off x="5535000" y="20893680"/>
            <a:ext cx="6840" cy="44640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8E04BCD0-8400-EDCF-4F2A-565875E38536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5527440" y="20886120"/>
              <a:ext cx="21960" cy="59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364560</xdr:colOff>
      <xdr:row>102</xdr:row>
      <xdr:rowOff>188520</xdr:rowOff>
    </xdr:from>
    <xdr:to>
      <xdr:col>6</xdr:col>
      <xdr:colOff>646800</xdr:colOff>
      <xdr:row>104</xdr:row>
      <xdr:rowOff>7840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0">
          <xdr14:nvContentPartPr>
            <xdr14:cNvPr id="85" name="Ink 84">
              <a:extLst>
                <a:ext uri="{FF2B5EF4-FFF2-40B4-BE49-F238E27FC236}">
                  <a16:creationId xmlns:a16="http://schemas.microsoft.com/office/drawing/2014/main" id="{D612141F-C548-2DCB-1BB9-C0832812F84A}"/>
                </a:ext>
              </a:extLst>
            </xdr14:cNvPr>
            <xdr14:cNvContentPartPr/>
          </xdr14:nvContentPartPr>
          <xdr14:nvPr macro=""/>
          <xdr14:xfrm>
            <a:off x="5317560" y="20914920"/>
            <a:ext cx="282240" cy="225720"/>
          </xdr14:xfrm>
        </xdr:contentPart>
      </mc:Choice>
      <mc:Fallback>
        <xdr:pic>
          <xdr:nvPicPr>
            <xdr:cNvPr id="85" name="Ink 84">
              <a:extLst>
                <a:ext uri="{FF2B5EF4-FFF2-40B4-BE49-F238E27FC236}">
                  <a16:creationId xmlns:a16="http://schemas.microsoft.com/office/drawing/2014/main" id="{D612141F-C548-2DCB-1BB9-C0832812F84A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5310000" y="20907360"/>
              <a:ext cx="297360" cy="2408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6:13:41.221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5 205 11760,'-5'-4'9830,"17"1"-7067,30-5-2403,36 1-1619,15 0-2069,2 0-1080,-22 2-359,-23 3 4767,-21 0 0,-14 1 0,-11 1 0</inkml:trace>
  <inkml:trace contextRef="#ctx0" brushRef="#br0" timeOffset="466">388 168 10411,'-9'-1'9830,"-1"2"-7787,5 12-1503,2 15-360,2 22-630,2 11-809,0 7 269,-2-5 541,-6-8 269,-10-15 180,-15-15 539,-10-15 721,-3-9 629,5-5-540,14-2-540,23 0-179,26 0-1080,26-1-1618,18-1-1980,5 0-450,-6-3-988,-14 0 5486,-18 1 0,-15 4 0,-13 2 0</inkml:trace>
  <inkml:trace contextRef="#ctx0" brushRef="#br0" timeOffset="866">579 458 8792,'3'-10'9445,"-1"0"-5578,-2 0-2427,1 7-1081,5 15 1,2 8-360,6 20-450,-2-9 271,-2-3-1,-2-11 180,-2-21 269,3-11 631,5-16-270,4 0-361,3 6-359,4 13-1708,-2 22-1261,-5 7-2697,-1 26-1890,-1-7 7646,-3-4 0,0-15 0,-10-14 0</inkml:trace>
  <inkml:trace contextRef="#ctx0" brushRef="#br0" timeOffset="1533">1090 543 8972,'28'-39'9714,"-10"-3"-7645,-24 6-1439,-8 11-270,-18 19-181,-3 37-358,5 11-541,5 28-359,26-8 539,9-14 180,20-20 720,10-47 180,-4-20 359,1-46 1,-19-4 809,-7-8-180,-9 19-540,-6 29-719,-4 33-180,4 38-720,7 37-989,15 22-629,12 3 1168,9-16 720,3-30 540,0-31 540,-5-27 539,-6-16 900,-8-5-450,-8 7-1439,-6 33-2069,-5 21-3868,0 32-4164,0 3 9275,0-17 1,0-14-1,-3-20 1</inkml:trace>
  <inkml:trace contextRef="#ctx0" brushRef="#br0" timeOffset="1699">1493 278 9422,'-19'-40'-2249,"3"7"2249,8 16 0,3 8 0,8 12 0</inkml:trace>
  <inkml:trace contextRef="#ctx0" brushRef="#br0" timeOffset="2267">1624 351 9691,'10'8'8456,"0"4"-5578,5 10-2428,2 10-1,4 9-898,-3 4-181,-6-8 270,-11-8 360,-12-24-90,-8-17 90,1-22 180,11-10 450,14-1 179,15 11-539,9 16-180,6 18-360,-1 11 1,-4 2 179,-6-6 90,-7-11 269,-10-11 451,-11-6-90,-12 0-181,-8 12-179,-3 20-1439,2 21-3598,12 17-5064,18 7 9545,5-19 0,2-12 1,-8-21-1</inkml:trace>
  <inkml:trace contextRef="#ctx0" brushRef="#br0" timeOffset="2733">2270 457 8792,'15'-30'9830,"-12"-4"-6258,-8 10-3032,-18 14-90,2 33-1799,4 27-990,21 17 720,22-3 719,21-22 630,13-33 810,5-38 809,-3-41-674,-35 25 0,-4-4 224,-2-3 1,-5-1 1708,4-38-89,-11 23-1710,-8 32 181,-8 35-990,0 38 0,-2 24-1170,9-9 1,2 2-5037,9 28 1348,5 3 4858,-1-41 0,-7-26 0,-4-11 0</inkml:trace>
  <inkml:trace contextRef="#ctx0" brushRef="#br0" timeOffset="2950">2552 344 8252,'-12'-16'9830,"6"4"-6887,18-4-3303,9 9-2698,28-2-4228,8 1 7286,-10 2 0,-10 0 0,-24 4 0</inkml:trace>
  <inkml:trace contextRef="#ctx0" brushRef="#br0" timeOffset="3451">3180 75 8702,'-3'-18'9830,"-15"10"-6438,-14 16-1682,-15 41-721,7 19-674,21-14 0,6 3-2114,8 33-1529,14-1-4858,41-27 8186,-6-35 0,15-12 0,-23-18 0</inkml:trace>
  <inkml:trace contextRef="#ctx0" brushRef="#br0" timeOffset="3883">3401 37 8702,'-25'-25'9445,"5"14"-12414,22 33 1350,8 20-1169,8-6 1708,7-1 2430,13-23 1258,-6-18-359,-2-7 1259,-10-10-2159,-12 10-809,-2-2-2069,-4 20-540,-2 2-7762,3 32 9657,-1-20 1,2 7 0,-2-21 0</inkml:trace>
  <inkml:trace contextRef="#ctx0" brushRef="#br0" timeOffset="4783">3714 321 9152,'9'-9'9830,"-2"9"-7787,-1 14-1953,-3 21-2069,-1 24-1889,2 14-4227,4 2 8095,0-23 0,0-20 0,-5-26 0</inkml:trace>
  <inkml:trace contextRef="#ctx0" brushRef="#br0" timeOffset="5150">3810 399 9332,'-14'-41'7915,"4"9"-5936,-5-18-1259,22 23-451,13 14-89,56 36-449,4 21 179,-32-16 0,-2 5 45,-8 3 0,-6 2 315,-6 18 89,-21 0-269,-61-5-1349,-21-12 134,31-19 1,-1-3 1124,-35 7 0,46-14 0,13-5 0</inkml:trace>
  <inkml:trace contextRef="#ctx0" brushRef="#br0" timeOffset="5400">4342 418 11760,'3'-25'9830,"-4"14"-6437,-6 34-4473,0 12-2608,2 37-4767,16-3 8455,0-17 0,2-13 0,-6-30 0</inkml:trace>
  <inkml:trace contextRef="#ctx0" brushRef="#br0" timeOffset="5917">4788 446 11311,'-1'-38'9084,"-11"2"-6925,-11-1-1529,-11 20-720,-1 25-1080,7 23-179,12 16 180,19-1 539,16-10 630,10-20 630,2-20 449,-4-15-719,-5-4-180,-3 8-180,3 15 0,3 20 90,4 22-90,-9 13 720,-10 7 449,-14-7-719,-16-12-1350,-17-17-2338,-16-17-1979,-4-18 5217,12-9 0,19 4 0,16 2 0</inkml:trace>
  <inkml:trace contextRef="#ctx0" brushRef="#br0" timeOffset="6334">5064 135 13379,'-5'-13'4858,"-1"7"-7017,4 13-899,5 10 3058,10 4 0,-4-7 0,2-6 0</inkml:trace>
  <inkml:trace contextRef="#ctx0" brushRef="#br0" timeOffset="6484">5174 174 11221,'-2'-22'6026,"0"5"-6386,-5 11-2248,3 13-1620,3 12 4228,2 2 0,3-5 0,-1-9 0</inkml:trace>
  <inkml:trace contextRef="#ctx0" brushRef="#br0" timeOffset="6750">5367 121 9961,'11'-39'9175,"-1"8"-6926,10 8-540,5 30-990,9 34-1078,-9 36-1036,-17-25 1,-7 2-855,-7 5 1,-5 1 2248,-7-3 0,-4-4 0,-12 23 0,-3-22 0</inkml:trace>
  <inkml:trace contextRef="#ctx0" brushRef="#br0" timeOffset="7467">3590 952 9062,'-12'1'8635,"20"-2"-7106,29-4-1169,58-7-180,-4 1 0,12-1-510,-15 3 0,5-1 0,-2 0-324,-9 2 0,-2-1 0,0 1-396,3 0 1,0 1 0,-11 1-1023,-14 2 1,-9 1 2071,21 0 0,-39 3 0,-24 0 0</inkml:trace>
  <inkml:trace contextRef="#ctx0" brushRef="#br0" timeOffset="7850">4440 823 7443,'-68'9'1596,"1"0"1,-1 0-1,-29 6 1,10 3 472,-5 16-990,39-2 630,75 0-1214,30-19 0,16-7-315,19 1 0,7-4-180,-24-2 0,2-2 0,-1-1-270,31-4 0,-5-3-225,-21 1 0,-4-2 135,-13 2 1,-5-1-271,27-4 180,-30 5 91,-20 3-361,-13 4-1619,-9 3-3777,-4 4 6116,-5 2 0,-2-2 0,0-3 0</inkml:trace>
  <inkml:trace contextRef="#ctx0" brushRef="#br0" timeOffset="8834">4002 1298 8792,'-2'-15'7826,"-8"19"-6117,-14 27-1170,-14 45-404,16-26 0,0 2-90,2 0 0,2-2 585,-5 25-360,21-45 629,24-58 270,16-48-629,-15 22 0,1-2 44,-2 3 1,-2 1 45,11-29 89,-11 35-539,0 33-720,-2 33-3417,7 32-811,-2 23-4766,-2 5 9534,-8-26 0,-4-19 0,-7-29 0</inkml:trace>
  <inkml:trace contextRef="#ctx0" brushRef="#br0" timeOffset="9401">4070 1454 10411,'-15'-20'5127,"11"0"-4947,25 6-720,36 1 360,31 0 450,-36 5 0,-1 0 1079,30-12-359,-30 2 359,-39 1-270,-37 22-539,-18 19-360,-10 27-360,16 11-539,27-5 179,32-27 360,26-33 90,9-36 720,-2-31 359,-15-7 540,-15 5 270,-13 23-809,-6 19-541,-5 34-898,-5 29-2610,-1 36-1348,6 22-990,16 1 5397,13-23 0,-6-29 0,-5-27 0</inkml:trace>
  <inkml:trace contextRef="#ctx0" brushRef="#br0" timeOffset="10084">4893 1548 8432,'14'-29'8995,"-10"-5"-6746,-9-14-720,-20 10-540,-18 23-449,-10 34-720,7 23-1529,14 34-360,34-13 900,25-10 809,21-44 900,1-46 719,-11-37 90,-18-16-539,-16 5-360,-8 32-360,-6 32-900,4 40-1169,4 27 90,12 15 540,10-6 989,10-22 1170,2-26 539,1-17-719,-9-3 359,10 5-719,-10 17-180,6 8 0,-11 23 180,-13-2 539,-6 1-179,-12-15-270,-5-26-540,6-20-1349,11-25-1799,18-17-6117,17-7 9445,-7 22 0,-6 16 0,-16 25 0</inkml:trace>
  <inkml:trace contextRef="#ctx0" brushRef="#br0" timeOffset="10801">5508 1084 11940,'9'-8'7646,"-6"10"-6387,-15 53-629,-4 18-540,1-1 0,0 5-900,3-10 1,1 1-451,-1 4 1,1-1-3657,4-11 1,1-5 4786,1 0 1,3-12 0,2-38 0</inkml:trace>
  <inkml:trace contextRef="#ctx0" brushRef="#br0" timeOffset="11634">5782 1509 6723,'6'-15'2968,"-2"5"-899,2-3 270,-3 4-270,-8 0-270,-15 9-630,-14 16-629,-12 26-360,9 13-450,16 3-180,27-16 180,23-23 270,17-30 450,2-23 449,-9-12-89,-18 4-270,-13 14 269,-14 17-539,-3 24-360,0 2-540,5 26 181,12-22 269,7 0-90,18-29 180,1-9 90,3-6-90,1 8 0,-10 18 90,1 10 0,-4 23 0,-13 2 180,-8 6 270,-16-13-360,-14-17-360,-8-17-1889,3-17-2338,15-9 4497,24-2 0,0 14 0,9 7 0</inkml:trace>
  <inkml:trace contextRef="#ctx0" brushRef="#br0" timeOffset="11984">6464 1313 8792,'-13'-19'7376,"4"7"-4588,-7-6-539,10 11-1440,10-7-179,31 8-1439,37-2-1890,24 5-1618,1 1 4317,-22 3 0,-38-1 0,-18 2 0</inkml:trace>
  <inkml:trace contextRef="#ctx0" brushRef="#br0" timeOffset="12901">6702 1266 10591,'-15'2'8905,"0"5"-7466,2 13-1349,5 17-1349,6 18-1530,9 12-629,9-2 540,14-8 2428,0-27 1709,7-25 1800,-10-37-541,-9-13-989,-10-7-89,-16 8-991,-8 24-179,-8 18-899,1 28-721,11 13 361,11 5 89,19-9 1080,1-24 450,5-13 0,-3-18-1,0-8-269,0 3 180,13 5-450,-4 14 0,7 12-90,-10 17 90,-7 7-1,-5 0-89,-10-8 90,-8-12 180,-18-14-180,1-4-809,-9-4 359,23 6-270,12 2 450,19 2 450,12-4 720,6-8 809,-3-7-630,-11 4-180,-12 2-809,-25 19-2698,-9 14-1080,-11 14 90,4 4 3508,9-6 0,9-15 0,3-5 0</inkml:trace>
  <inkml:trace contextRef="#ctx0" brushRef="#br0" timeOffset="13118">7120 1437 6993,'17'-51'6386,"7"-7"-2518,-3 14-3508,7 9 719,-10 39-629,2 24-1259,-4 22-1890,-1 10-2608,-3-1 5307,-5-17 0,-2-16 0,-4-17 0</inkml:trace>
  <inkml:trace contextRef="#ctx0" brushRef="#br0" timeOffset="13268">7211 1500 10141,'-35'-23'5217,"7"1"-6296,15-1-1800,26 2 2879,24 3 0,1 7 0,0 3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6:14:46.871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2761 637 8162,'1'13'9830,"-1"-1"-7966,-7-15-1235,-4-14-269,-19-37-180,-18-25-180,14 29 0,-4 0-45,-7-3 0,-4 1 45,-4 3 0,-3 3 0,-5 5 0,-4 4 0,-5 5 0,-2 5-45,-6 5 0,-2 4 45,-1 5 0,1 4-45,4 3 0,2 3 45,4 2 0,0 3-45,2 1 0,-1 1 45,-1 2 0,-2 1-45,-4 1 0,1 0 45,4 0 0,2 0 0,9 0 0,3-1 0,-31 5 0,22 0 0,12 1 0,4 4 0,5 2 90,3 2-90,3 2 0,1 2 0,1 3 0,1 2 0,1 2 0,-1 0 0,2 1 90,0-2-180,2 0 180,4-2-180,5-5 180,4-1-90,5-7 90,3-3-90,4-9 90,9-17 90,5-13 180,9-15 0,1-5-91,0 2-179,-5 8 0,-2 6-90,-9 21 0,-7 16 0,-7 18 0,-5 15 0,1-3 90,-3 5-90,4-14 0,-3 4 0,6-12 0,2-4 360,4-4 0,8 0-180,12 1 0,8 4-90,25 7-90,1 1 0,6 1 90,3-1-1,-22-11-89,-2-4 90,-13-11-90,-14-4 0,-4-12 0,-18-9 0,-2-1 0,-10-12 0,2 1 0,4 3 0,2 1 0,5 5 0,6 12 0,-1-3-179,7 12 179,0 1 0,9 14 0,2 4 89,14 20-89,6 6 0,-1-3 90,1 2 0,-11-15-90,-13-17 0,-9-14-90,-12-20 90,-2-4 0,3 6-90,1 5 90,7 15-89,0 14-2250,2 20-2518,0 10 4857,5 7 0,-1-19 0,6-7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6:14:40.538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50 4110 10681,'-4'-11'6026,"0"1"-5576,-1 2-360,-1 7-90,5 7-90,2 2 90,15 4 0,-1-15 180,6-7 360,-12-19 89,-8 2 91,-13-6-450,-8 17-270,-4 11 0,2 16-90,8 9-180,13 1 180,13-8 270,7-11 180,1-11 269,-8-9-89,-10 0-450,-5 4-90,-15 10-270,7 11-90,-3 5 1,12 1 269,13-9 270,3-9 629,3-12 1,-9-8 359,-11 2-539,-11 3-630,-5 16-360,2 12-899,6 14 359,13 2 540,13-8 810,6-18-90,-3-7 539,-6-15-539,-22 2-720,2 6-2518,-15 5-3149,9 17 6027,6 6 0,3-3 0,8-1 0</inkml:trace>
  <inkml:trace contextRef="#ctx0" brushRef="#br0" timeOffset="1700">83 3997 8612,'-3'8'5757,"2"-1"-5218,4-5-179,11-10 90,13-22-90,26-33-270,-13 14 0,4-6-45,6-8 0,2-3-45,7-11 0,2-2 30,-20 25 0,-1-1 0,2 1 149,2-3 1,1 0 0,2 1-29,2-3 0,2 0 1,2 2 207,3-3 1,3 1 0,2 2-180,4-2 0,1 1 0,2 1-60,4-2 0,2 2 0,0 0-30,3-1-1,2 1 1,-1 0-60,0 0 0,-1 0 0,-1 0-30,-3 3 0,-2-1 0,-3 1 0,-7 4 0,-2 0 0,-4 0 0,15-16 0,-5 1 0,-10 6 0,-4-1 45,-4 4 0,-3-1-45,2 1 0,-1-1 0,-1 1 0,1-1 0,-1 2 0,0 0 223,1 1 0,-1 0-223,1 0 0,1 1 45,1-1 0,0 1 0,0 0 0,1 1-45,0 1 0,0 1 0,-1 0 0,0 2 0,-2 0 0,-1 2 0,-4 4 0,-2 1 90,26-30 90,-17 15-180,-11 10 90,-8 7-90,-4 3 0,-3 6 0,-7 10 90,-3 5 90,-5 7-90,-2 0 0,-6 4-180,-2 2 180,-11 6-90,-3 3 0,-8 2 0,-3 2 0,2-1 0,-1 1 90,2-2 270,1 0 539,6-3 1,4-1-541,14-6 91,19-6-180,18-4-180,14-3 0,15 0-90,-13 5 90,-2 2 270,-17 5 179,-13 6 1,-7 8-270,-13 16-90,-8 7-90,-5 6-540,-4 7-2159,0-9-1888,-1 0 4497,3-10 0,8-16 0,2-4 0</inkml:trace>
  <inkml:trace contextRef="#ctx0" brushRef="#br0" timeOffset="2149">3699 87 8342,'7'8'9830,"2"2"-6977,25 15-2853,1 1-1259,6 3-1440,-5-1-809,-10-6 3508,-5-4 0,-12-10 0,-2-3 0</inkml:trace>
  <inkml:trace contextRef="#ctx0" brushRef="#br0" timeOffset="3266">3749 175 8162,'-25'-2'9830,"7"0"-8686,5 6-604,23 7-540,16 6-1080,16 5-898,2-2-451,-5-4 1350,-13-7 629,-8-5 450,-17-13 539,-9-5 721,-16-12 269,-9-4 180,-1 0-360,3 3-719,9 5-630,26 8 0,16 6-180,22 6 90,-3 3 0,-4 3 90,-17 0 0,-11 9-90,-19 1 180,-14 8-90,-6-2 0,6-7 0,21-20 180,19-9 0,14-17 180,2 7-360,-9 8 90,-14 12-90,-22 17-90,-9 7 90,-9 9-270,7-6 90,9-6 180,16-13 0,13-12 90,14-9 0,8-3 0,-4 5-90,-3 8 0,-10 14-90,-5 12-90,-3 8 180,-3 2 1079,-1-7 91,-4-19-91,-5-11-719,-5-12-810,-5 1-3238,-5 9-3868,-5 8 7556,4 7 0,7 1 0,8-1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05:59.98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280 45 13469,'7'-23'5847,"0"3"-5307,-2 18 359,3 34 1,-4 37-451,-3-7 1,-1 7-135,-2 10 0,-1 2-90,-1 11 0,0 2-1,0-5 1,0-2-45,0-6 0,0-2-90,-1-9 0,0-4-45,0-11 0,0-4 45,-3 26 0,5-25 90,12-23 0,30-13-1,28-14-134,-13-7 0,7-2-45,12-2 0,4-2-45,15 0 0,5 0 15,-28 4 0,1 1 1,0 0-211,0 1 0,-1 1 0,-2 0-435,21 0 1,-5 1-811,-16 1 1,-6 0-2203,19-1-1441,-36 0 5128,-19-4 0,-18 4 0,-3-1 0</inkml:trace>
  <inkml:trace contextRef="#ctx0" brushRef="#br0" timeOffset="1150">579 398 11850,'0'8'9085,"12"6"-7016,24 27-720,19 1-765,-4-10 1,5 2-495,-3-3 0,1 0 0,5 4 0,2 1-45,-3-1 0,-3-1-45,27 16 90,-3-2-180,-20-16 90,-18-12 0,-10-5-360,-2-1-9471,-16-7 8825,-2 5 1,-6-9 0,-7 2 0</inkml:trace>
  <inkml:trace contextRef="#ctx0" brushRef="#br0" timeOffset="2367">921 1495 12570,'31'-11'2878,"19"-4"-2428,44-1-360,-39 7 0,2-1-90,6-1 0,-1 0 0,-2 2 0,-1 0 0,-7 1 0,-2 0 0,32-3 90,-25 3-90,-21 2 539,-13 2 1,-19-2 0,-6 0 89,-11 0 901,-6-2-991,4 3-269,-3-1-180,9 12-270,18 8-90,15 15 90,13 3 1,-5 1-631,-22-1-2158,-31-3-6117,-32-2 9085,7-10 0,7-6 0,29-9 0</inkml:trace>
  <inkml:trace contextRef="#ctx0" brushRef="#br0" timeOffset="3334">84 349 9152,'-20'-11'5217,"3"2"-4588,6 9 451,9 28-451,3 21-449,9 34-90,1 8 0,0-1-90,-3-19 0,-1-9 90,-4-21-180,-2-11 180,-8-25-90,-4-18 450,-7-20-90,1-3-90,5 9-91,1 5 181,3 27-180,7 16 0,4 27 90,9-4 0,12-2-450,6-29-1619,7-10-810,-8-9 2609,4-2 0,-24 5 0,5 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06:04.38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30 0 11131,'-13'6'4227,"0"37"-2698,11 28-1169,0-16 0,3 6-45,5 29 0,2 4-1,1-10 1,1 0-45,1 9 0,2-2 45,0-13 0,1-7 224,5 24-89,-2-14-90,-8-35-180,-3-20 90,14-4 89,30-14-179,39-6-135,-28-5 0,7-2-45,2 1 0,6-1 0,-1 0 0,19-1 0,1-1 0,-10 2 0,5-1 0,-4 0-360,15-1 1,-6-1-46,-15 2 0,-5-1-675,-6 0 1,-8-1-3778,3-5 4857,-17-5 0,-24 8 0,-14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06:13.60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85 49 7982,'-25'-26'7736,"0"4"-6117,6 28 270,6 42-1125,11 3 1,3 9-225,3 19 0,2 5 134,3 4 1,3 2-181,5-1 1,5-4-270,0-16 0,8-5-90,20 4 0,10-8-90,0-17 0,5-6-45,9 2 0,6-6 0,14-12 0,1-9 0,-18-7 0,-1-4-45,5-1 0,-1-5 0,-10-5 0,-6-5 45,16-16 0,-12-7 90,-38-5 180,-29 1-1,-6 9 1,-17 2-270,9 19 0,14 13-539,27 29 269,13 19 90,2 12-2069,-32 15-989,-28-18-4048,-35 21 7286,6-28 0,8-13 0,22-21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06:14.90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31 822 8432,'-17'-36'6746,"4"-24"-4947,21-17-1259,2 28 0,9-4 134,26-18 1,12 0-405,11 5 0,6 3-181,-19 19 1,2 0 0,4 5-60,14 2 0,6 5 0,-5 5-30,5 5 0,0 6 30,-12 7 0,4 3 0,-4 6-30,13 13 0,-5 6 0,-10-2 0,-2 4 0,1 5 0,-4 3-90,21 18 90,-16-6 0,-8 0 0,-21-13-90,-4-3 90,-12-7 0,-7-6 0,-30-12 90,-18-10 0,-18-6 0,-17-7 0,12 6-90,2 2 180,13 13 0,18 18-180,20 19 90,22 15-90,21 0 630,14-13 989,3-18-450,-10-23-539,-18-17-630,-18-10-1260,-11 5-3687,-7 1 4947,2 12 0,1 5 0,2 3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06:26.372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2499 22 8342,'-4'-13'-293,"7"9"1,-4-1 0,6 9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06:09.072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440 57 8162,'12'-26'8995,"-4"10"-7556,3 1-269,-6 60-271,-1 45-629,-2-12 0,-2 8-90,-1 10 0,-1 2 359,0 1 1,-1-2-1,0-10 1,4-5-45,2-16 0,9-7 224,43 23-539,-6-53 0,10-9-315,23-5 0,9-9-495,-22-5 1,2-2 0,2-2-890,4 0 1,1-1 0,-2-1-461,-5 0 0,-2 0 0,-4 0 1979,16-1 0,-9 2 0,9 0 0,-44 3 0</inkml:trace>
  <inkml:trace contextRef="#ctx0" brushRef="#br0" timeOffset="1450">783 852 7353,'-11'-7'7016,"9"-5"-4947,20-10-270,33-18-1125,-6 9 1,6-3-271,12-7 1,5-4-180,10-6 0,1-3-135,2-2 0,-1 0-45,-8 4 0,-3 2 0,-13 9 0,-4 2-45,21-15 90,-29 22 0,-18 12-180,-29 22 90,-17 13 0,-17 12 0,-9 5 0,-4 4 0,-4 2-45,-10 7 0,-5 2 45,13-10 0,-2 2 0,2-3 0,-12 8 0,3-2 0,-2 2 0,2-2 0,11-7 0,5-3 0,-17 9 0,1-2 90,16-14-90,15-8 0,6-5 0,9-3-90,6-4 180,28-15 90,12-5 90,48-27-181,-15 11 1,3-2-45,-2 2 0,4-2 0,21-9 0,3-2 0,-7 3 0,-2 1-45,-10 5 0,-1-1 0,3-2 0,-3-1 0,-20 7 0,-4 2 0,27-19 180,-8 1 270,-31 22-180,-8 6-270,-15 5 0,-12 11 0,-31 16 0,-39 29-45,28-14 0,-5 2 45,-18 14 0,-3 3-45,3-2 0,1 0 45,-4 5 0,0 0 0,6-5 0,3-1 0,8-4 0,3-3 0,8-5 0,2-3 0,-26 20 0,17-14-90,11-6 90,33-26 90,27-19-90,57-43 45,-21 19 0,4-3 0,10-7 0,2 0-45,-6 6 0,-4 2-270,-11 8 0,-5 4-9561,10-5 7249,-36 27 2582,-21 14 0,-8 6 0,-2-1 0</inkml:trace>
  <inkml:trace contextRef="#ctx0" brushRef="#br0" timeOffset="2150">612 1596 9602,'-2'-4'8545,"28"-2"-7646,44-7-674,-7 6 0,8 1-180,16-2 0,5 1 0,5 0 0,0 2-90,-6 1 0,-4 1-45,-16 1 0,-6 1 0,26 1 90,-24 2 90,-33-2 90,-15-4 539,-30-2 631,-22-3 89,-10 2-630,-5 1-719,22 9-90,33 19-180,31 16 1,24 16 89,-7-2-630,-31-2-2518,-42-3-2519,-38-3 5757,-16-12 0,23-12 0,18-15 0</inkml:trace>
  <inkml:trace contextRef="#ctx0" brushRef="#br0" timeOffset="2683">103 410 8702,'-1'-17'8725,"1"0"-7556,-3 14 1,-1 53-631,-1 32-404,2-12 0,-1 5-315,1-3 0,-1 0-989,0 1 0,-1-2-585,1-13 0,0-4 1754,-2 22 0,4-36 0,1-25 0</inkml:trace>
  <inkml:trace contextRef="#ctx0" brushRef="#br0" timeOffset="3100">86 664 7623,'2'-95'5936,"-1"18"-2788,1 17-2338,-11 60-90,-3 20-361,-12 47-179,-1-1 810,5-13-91,19-63 1,13-22 179,7-15 0,2-4 1,14-23-540,5 7-361,3 42-1078,-5 37-2339,13 26-1678,-5 7 1,-1 2 4038,10 9 1,-12-16 0,-1-4 0,-5-12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09:41.26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63 118 12030,'-3'-29'5577,"-9"0"-5037,-3 27-271,-6 9-179,9 23-90,19 7 90,24-5-90,19-16 270,5-26 540,-8-25 89,-20-16-449,-27 1-270,-26 18-90,-18 30-90,-5 28-90,14 13 0,26 12 90,26-20 90,18-12 180,2-32 629,-11-15 1,-20-19-630,-21 16-270,-14 10-180,-7 31-540,10 16 90,26 17 181,25-14 449,22-12 1619,0-27-630,-16-20-269,-29-6-1620,-28 7-3147,-13 20-1260,9 21 5307,25 14 0,6-7 0,14-4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09:43.96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24 2931 8342,'-8'-11'6297,"1"1"-3329,-1 0-2518,13 6-180,17 12-1,18 9-179,27 10-90,-8-8 90,16-4 90,-4-13-90,-5-5 0,13-9 0,-4-8-90,-5 0 0,11-8 90,-9-1 0,-7 4-90,12-6 0,2 2 0,-7 3 0,15-6 0,-21 6 90,3-3-90,-4-3-90,-2-2 0,0-3 90,-2-3 0,-2 0 90,-3 0-90,-3-1 0,-3-1 0,-4 0 0,-2-1-90,-1 4 90,1 0 0,4 5 0,5 1 0,3 1 90,5 1-90,3-3 0,3-1 0,6-5 0,5-4-90,6-5 90,-40 22 0,-1 0-45,0-1 0,0-1 45,0 0 0,-1-1 0,1 0 0,1 1 45,2-3 0,1 1-45,3-2 0,1 1 0,3-1 0,1 0 45,-2 0 0,0 1-45,-3 2 0,-2 0 0,-4 3 0,-3 0 0,33-23 0,-5 1 0,0 1 0,6 1 0,3 4-90,4 3 180,3 2-90,0 1 90,-1 0-90,-1-1 0,0-1 0,1-2 180,-1-1-90,-6-1-90,-10 4 0,-8 0 90,-6-1-90,-1 1 90,-1 2 90,2 4-1,1 3 91,3 2-90,3 2 0,6 2 0,4 3-90,2 2 90,2 3-90,-1 1 180,-3 2-1,-4 2-179,-4 0-90,-10 3 0,2 3 90,-14 2-90,-6 2 540,-9 0 0,-8 0-540,-10-7 0,-13-5 90,-21-14-180,-12-7 90,-14-6 0,0 3 0,7 7 180,7 6-90,29 19 0,16 10-1,27 22 91,8 7 990,8 15 449,-19-6-1080,-7-2 271,-30 13-720,-20-13-1259,-15 13-5308,-21-1-1618,10-9 8095,3-3 0,24-18 0,16-14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09:49.53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36 122 9062,'-4'-13'5936,"-2"2"-5576,-1 9-90,1 5 90,-1 8-360,2 10 90,6 3-90,9 6 0,12-6 90,10-13 180,2-20 269,-8-14 91,-10-20-90,-13-1-181,-9-1-269,-7 11 0,-7 21-90,0 17 0,-2 31 0,14 8 0,9 7-90,16-5 90,7-21 270,5-15 270,-4-24-90,-11-25-91,-12-2-89,-20-9-180,-9 25-90,0 7 0,-14 33 0,24 1-90,-9 23-180,37-3 270,-2-9-89,26-3 358,-1-39-89,-7 1 270,-6-36-180,-24 16-180,-13-8-90,-10 26 90,-8 30-180,9 13 90,7 21-360,28-2 270,9-11 90,18-12 989,-1-36 181,-7-11-361,-8-21-449,-20 9-360,-13 7 0,-14 19-540,-2 16-629,2 18 360,20 5 539,13-1 540,9-8 1978,8-15-449,-9-9-1349,-1-6-3328,-12 2-1170,-5 1 1799,-2 11-4137,6 13 6386,5 3 0,2-2 0,-3-9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09:53.66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0 327 13289,'27'-12'1799,"15"0"-1169,26 1-360,4 1-45,-18 5 0,3-1-91,9 0 1,2 0-90,-1 1 0,2 0 0,23-2 0,1 1-45,-13 3 0,0 1 0,9 0 0,1 1 45,-3 2 0,0 1-45,-1-1 0,0 1 0,-3 0 0,-1-1 45,0 0 0,-2-1-45,-2 1 0,-2-1 45,-2-1 0,-1 1 45,-1-1 0,0 1-45,-2-1 0,-1 0 45,0 1 0,-1 0 45,-2 0 0,0 0 45,-1 0 0,-1 1-46,0-1 1,0 1-45,-1-1 0,-1 1-45,-2-1 0,-1 1 0,0 0 0,0 1-45,-2-1 0,0 0 180,3 1 0,0-1 45,1 1 0,1-1-135,1 0 0,0 0-45,0 0 0,-2 0-45,-1 0 0,-2-1 90,-1 1 0,-1-1 89,1 1 1,0-1-45,2 1 0,1 0-90,4 1 0,1-1 0,0 0 0,1 0-45,-4 0 0,0 0 45,-1-1 0,-2 0-45,-3-1 0,-1-1 45,-2 1 0,-1-1 45,48-4 0,-8-1-90,-9 1 180,-5 2-90,-4 2 0,-3 3 0,-11 1 0,-1 0 89,-16-1 1,-6 0 0,-2-2-90,-14-1 0,2 0 450,-8 0-180,-1-1-360,-8-5 0,-6 1 0,-19-10 90,-17-5-90,-22-11 90,-18-7-90,-9-1 0,10 6 719,16 10-539,42 22 90,32 14-180,49 25-45,-19-13 0,3 1-45,8 4 0,0 0 0,-1 0 0,-2 0 0,34 18 270,-28-9-1,-31-12 361,-41 3-360,-31-3-180,-37 7-90,-13 0-90,2-2-270,12-3 0,26-7 360,24-4 0,22-7 0,23-4 0,19-7 0,17-7 0,9-5 0,1-5 0,-5 0 0,-7-3 0,-10 0 0,-11-2 0,-10 0 0,-10 1-90,-14-6 90,-18 1-180,-33-15 91,-5 5-1,-21-10 90,14 8 0,15 8 0,9 3 0,25 15 179,23 7-89,26 15 0,31 11-90,11 9 0,-2 3 90,-16-2 0,-24 1 0,-25 2-90,-32 2 90,-31 1-90,-16-4-450,-2-5 181,23-8 179,37-26 180,31-15 89,23-21 91,4 0-180,-8 7 0,-10 4-90,-14 11-899,-12-2 539,4 18-180,7 5 360,18 13 90,11-1-6206,-6-4 1349,-26-2 4947,-15-1 0,-8-1 0,3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09:58.56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 7328 13649,'9'17'2249,"10"10"-1799,12 4-91,14 9-89,8-5 270,11-4-90,15-6-180,18-5-270,-40-12 0,3-1 45,5-1 0,1-2-45,1 0 0,-1-3 44,0-1 1,-1-3 45,1-3 0,0-4-45,1-2 0,2-5 0,5-5 0,0-4 0,3-5 0,-1-4-45,2-5 0,-2-5 0,-3-3 0,-3-5 0,0-6 0,-3-3 45,-1-5 0,-2-4-45,0-5 0,-2-3 60,-20 25 0,0-2 0,-1-1-124,-1-1 1,1-1 0,-2 0 93,1-3 0,-1 0 0,0-1-30,-1 0 0,0-1 0,-1 0 0,0-3 0,0 0 0,-2 1 0,11-22 0,-1-3 0,-11 16 0,-1-3 0,-1 0 60,-4 4 0,-2-1 0,0-2-87,3-8 1,0-4-1,0-1 72,-5 15 0,0-3 0,0 1 0,0 2-228,3-10 1,0 2 0,1 0 182,3-4 0,0-2 0,1 3-30,-1 4 0,0 2 0,-1 1-9,-3 9 0,-1 2 0,0 0 39,1 0 0,-1-1 0,0 0-56,-2-1 1,0 0 0,-1 2 10,5-16 1,-1 2 44,2-4 0,-1-1-45,1-1 0,0 2 45,-3 9 0,0 0-45,0-1 0,0-2 90,3-10 0,-2 0-45,-7 16 0,0 1-45,2-7 0,-1-1 0,1-7 0,-1 3 0,-4 21 0,0 0 162,6-20 1,2-1-118,1 10 0,2 1 0,-2 6 0,2 1 227,6-9 0,3 1-272,0 6 0,0 3 45,-3 8 0,0 0 155,5-6 1,0 2-156,-4 13 0,-1 3 94,-3 5 1,2 2-50,5 0 0,4 2-45,42-16-90,-4 10 90,-29 22 0,1 2 90,41-7-90,-38 13 0,1 0 0,0 2 0,0 1 0,2 0 0,-3 1 0,31-5 0,2-1 0,-20 4 0,10-3 0,4 1 0,-4 1-90,-5 2 90,-15 2 90,-20 3-90,-10 2-90,-14 1 180,1 0-90,-28-8 0,-16-4-90,-31-12 180,-6 2-90,12 2 0,11 5 0,21 7 0,12 0 0,14 6 0,20 3 0,9 6 0,12 7-90,-1 3 180,-4 3-90,-9 2-90,-6 5 90,-6 6 0,-3 6-90,-4 6 180,0 1-90,-3-3 0,-3-11 0,-1-5 0,-3-10 0,1 1 0,-3-1 0,-5-10 90,-13-8-180,-11-14 180,-12-11-90,-7-7 90,2-1-90,8 4 0,10 3 0,18 1 0,9-2-90,9-4 90,4 1 0,-3 8 0,1-3-90,-5 14 180,2 7-180,-4 11 180,-2 26-180,1 15 90,3 10 0,3 0 90,3-9-90,-2-20 0,4-11 90,-9-27-90,-1-17 0,-8-12-90,-1 8 0,-1 4-90,6 28-989,-2 4-3149,-8 38 4318,-5-2 0,1-3 0,4-13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2:09.432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2384 181 10771,'-15'-23'5847,"-18"-7"-5128,-17 4 1,-10 0-451,-1 5 1,-6 2-120,-9 4 0,-9 2 0,-4 6-350,6 8 0,-5 6 0,-1 4 0,1 0 357,3 1 0,1 2 1,0 3-1,-4 4-31,1 3 0,-3 4 0,-2 3 0,3 3 0,5 4-134,-6 12 1,4 5 0,5 2 0,4 0 74,12-8 0,2-1 1,5 2-1,6 4-124,-11 23 1,9 5-1,26-1 57,41 14 0,33-4-60,2-28 0,14-3 1,10-6-238,-1-11 0,8-5 0,6-5 0,3-5 225,-7-8 0,3-4 0,3-5 0,2-3 0,1-2-25,-6-5 0,3-2 0,2-4 0,0-1 1,-1-3-1,-1 0 82,-3-2 0,-1-2 0,0-1 0,-1-1 0,-1-2 0,-1-1 33,13-4 0,-1-2 0,-1-2 0,-4-1 0,-7-2 299,-3 0 1,-5-2 0,-5-2-1,-7-2-47,0-5 0,-7-3 0,-14-5-11,-15-21 1,-23-3-216,-33-11 1,-24 4-75,-1 23 0,-12 4 1,-9 6-193,4 8 0,-8 5 0,-5 4 1,-2 4-85,8 7 0,-3 4 0,-2 3 0,-2 3 0,1 2-234,-4 3 0,-1 2 1,0 4-1,0 1 1,2 3-397,4 2 1,1 2-1,1 1 1,3 2 0,3 1 935,-1 2 0,4 1 0,3 1 0,6 1 0,-27 12 0,16 1 0,3 12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2:10.98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0 104 10141,'1'-7'5847,"18"1"-4678,52-6-809,-12 7 0,9 1-240,-5 1 0,4 1 0,5 1-355,-1 1 0,4 1 0,3 0 1,-2 0 234,23 2 0,0 1 0,1 1-68,-19-1 1,2 1-1,-1 0 1,-5 0-83,4 0 1,-4 1 0,-4-1-256,16 1 1,-9-1-856,19-6 451,-66-13-450,-67-15 674,-15 9 0,-14 3 360,-23 0 0,-10 4 165,22 6 0,-3 2 1,0 4 246,-3 2 0,-1 2 0,1 3 23,7 1 0,1 2 0,2 1 104,-18 5 1,6 1 79,23-3 0,6-1 416,-12 7-181,77-10-89,73-14-315,-3-3 0,12-2-165,-14 0 0,6 0 0,-3 0-30,-8 1 0,-2 0 0,1 0-420,0 1 0,1 0 0,-9 2-2380,-7 1 1,-8 1 2769,11-1 0,-41 5 0,-29 3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2:13.814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1023 1426 8972,'15'-47'5487,"15"2"-4858,39-20-179,-21 37 0,4 4-135,3 2 0,4 3 44,23 1 1,2 4-90,-9 6 0,-1 5-90,8 0 0,1 6 179,11 13 1,-2 8-90,-14 5 0,-1 6-304,-18-5 1,2 4 0,-2 4 123,3 9 0,-1 7 0,-3 3-30,0 8 0,-2 3 0,-2 2-60,-4-6 0,-2 1 0,-3 3 0,1 11 0,-4 3 0,-8 1 30,-11-4 0,-6 1 0,-3 0-30,-2-6 0,-1 0 0,-4 4 0,-6 19 0,-5 5 0,-5-7 30,-2-25 0,-4-5 0,-1 0 0,-2 3 0,-2 0 0,-6-4 0,-8-4 0,-6-3 0,-4-6 15,-21 11 0,-7-6 14,18-16 1,-3-2 0,-5-4 60,-10-4 0,-6-3 0,0-6-90,2-5 0,-1-4 0,-4-2-8,5-3 1,-4-2-1,-2-2 1,0-3-342,-5-6 0,-2-3 1,1-3-1,2-2 296,7 0 1,3-1 0,0-3-1,0-3 23,-3-6 0,0-3 0,2-3 0,7-3-77,-2-7 1,6-5-1,3-2 77,-1-6 0,2-3 0,4-1 0,7 2 0,5 0 0,2-3-30,2-4 0,3-2 0,5 2 30,-3-11 0,7-1 0,3-11 0,9-1 0,12 5 0,8 2 0,1 6 0,5-1 0,11-16 0,8-1 0,10 9 0,4 4 45,-1 6 0,4 3-45,9-4 0,3 3 0,-1 14 0,0 6 0,-6 7 0,2 3 200,8-3 0,2 5-200,-12 14 0,1 3 734,5 0 0,2 2-734,-2 4 0,1 1 228,-1 3 1,-2 2-139,40-9 89,-24 8 271,-18 3-180,-23 4 0,-5 2 899,-8 0-1079,-11-3-90,-19-9 0,-14-5 0,-20-9 0,-11-6 360,-16-4 270,-2 0-1,10 8 181,17 8-271,58 14-359,42 26-135,6 4 0,6 7-45,10 11 0,0 6 0,-3 0 0,-7 4 0,-12-4 0,-13 3 0,-25 41-495,-39-40 1,-16-2-1440,-24 8 0,-11-1-900,-5 1 1,0-1 2833,6-3 0,8-3 0,-7 5 0,47-18 0</inkml:trace>
  <inkml:trace contextRef="#ctx0" brushRef="#br0" timeOffset="717">2713 790 10501,'4'-17'8275,"0"-1"-2968,-1 4-4587,-2 17 1618,-3 31-1258,-5 42-1260,2-24 0,-1 3-1529,0 2 0,1 1-720,1-4 1,1-2-2250,2 26 4678,2-13 0,0-38 0,0-6 0</inkml:trace>
  <inkml:trace contextRef="#ctx0" brushRef="#br0" timeOffset="1216">2360 873 7713,'-3'-8'9264,"6"4"-6565,37-3-1170,27 6-1259,-19 1 0,5 1-990,19 3 0,1 2-1124,-12 0 1,-2 1-586,6 1 0,-5 1 2429,10 6 0,-34-7 0,-22-4 0</inkml:trace>
  <inkml:trace contextRef="#ctx0" brushRef="#br0" timeOffset="1467">2473 1137 11131,'-29'3'9354,"11"2"-8634,30-3 89,50 2-2787,33 0 628,-35-1 1,5 0-2069,18 1 0,-2 1 3418,-26-2 0,-4 1 0,48 1 0,-68-3 0</inkml:trace>
  <inkml:trace contextRef="#ctx0" brushRef="#br0" timeOffset="2317">3829 806 7713,'17'-29'9830,"-3"4"-591,-4 15-7440,-9 28-1709,-10 54-90,3-22 0,1 3-1664,-1 12 0,2 2-1575,1-1 1,2-1-1678,2-8 1,1-4 4449,4 15 1,0-30-1,-4-31 1</inkml:trace>
  <inkml:trace contextRef="#ctx0" brushRef="#br0" timeOffset="2700">4282 1113 9332,'9'-51'9830,"-6"5"-7247,-3 8-2224,-20 43-89,9 42-989,9 48 494,14-41 0,9-2 180,8-3 0,7-7 360,6-11 0,4-12 944,52-28-585,-52-18 1,-6-10-315,-3-9 0,-9-6-225,-11-5 0,-14-2-225,-17 6 0,-12 6-1035,-10 10 1,-9 10-945,-9 10 0,-1 14-2968,-35 37 5037,40 24 0,34 2 0,28-8 0</inkml:trace>
  <inkml:trace contextRef="#ctx0" brushRef="#br0" timeOffset="3083">4962 1298 9781,'51'-53'3276,"1"0"1,-10 5 0,-6 0-244,3-35-2043,-33 30-541,-24 39-179,-14 47-270,5 44-135,20-27 0,8 2 135,9 0 0,9-4 540,34 19 1889,40-48-1260,-24-60-1079,-39-3 0,-13-8-1305,-25-14 1,-20-1-1260,-20 1 1,-16 8 89,-21 8 1,-10 15-646,24 22 1,-3 8 0,3 4 2462,-12 3 1,5 7 0,3 8-1,9 3 1,-4 7 0</inkml:trace>
  <inkml:trace contextRef="#ctx0" brushRef="#br0" timeOffset="4017">2851 2 9422,'16'-1'9830,"0"1"-7517,-6 6-1504,-4 29 91,-4 17-1620,-2 44-1529,1-10 405,-1-31 1,1-1-2835,0 29 4678,-1-9 0,0-31 0,-1-24 0</inkml:trace>
  <inkml:trace contextRef="#ctx0" brushRef="#br0" timeOffset="4233">2707 421 9062,'-29'-35'9830,"12"-3"-8507,30 11-693,33 4-1799,42 16-585,-33 8 0,2 2-1125,5 3 1,-2 1 2878,30 6 0,-32-4 0,-37-5 0</inkml:trace>
  <inkml:trace contextRef="#ctx0" brushRef="#br0" timeOffset="5333">3465 2180 13919,'15'7'4138,"27"4"-2519,42 1-1080,-8-3 1,15 1 0,4 1-990,-18-4 0,2 0 0,2 0 0,4 1 522,-5-1 0,3 0 0,1 1 0,3-2 0,1 0-42,-5-3 0,2 0 0,2-1 0,0-1 0,-1-1 0,-3 0-30,5-3 0,-1 0 0,-2-2 0,0 0 0,1-2 0,4 0 0,1-1 0,0-1 0,-2-3 0,-4-3-23,11-8 1,-1-3-1,-6-5 1,-9-3 118,-4-6 0,-9-5 1,-6-3-127,-3-1 0,-5-4 0,-15-7 30,-20-17 0,-17-9 0,-11 1-30,-11 4 0,-12 1 0,-8-1-64,-1 4 1,-7-2-1,-5 1 1,-7 4 75,3 13 0,-6 2 0,-5 2 0,-1 3 0,-2 2-207,0 4 0,-1 3 0,-2 2 0,-3 4 0,-2 2 207,-9 0 0,-3 3 0,-2 3 0,-2 5 0,0 7 33,14 7 0,-2 4 0,0 3 0,-1 4 0,1 3 0,0 4 0,0 3 0,-1 3 0,1 3 0,0 4 0,1 2 0,2 3-15,-14 8 0,1 3 0,2 4 0,4 5 0,6 3-45,-6 10 0,5 6 0,9 4 0,13 5-16,18-5 0,8 5 0,11 2 1,13 0-690,19 24 1,22 2-1,16-7-285,3-22 1,12-5 0,8-3-1,4-6-932,-6-12 1,6-4 0,3-4 0,-1-3 0,-4-3 1952,21 8 1,-4-7 0,1-7 0,-2-9 0,0-6-1,-11-6 1,-24-5 0,0-1 0</inkml:trace>
  <inkml:trace contextRef="#ctx0" brushRef="#br0" timeOffset="5700">6090 1329 8972,'-4'-26'9830,"0"1"-8147,-4 2-873,-16 27 449,-30 47-989,14-8 0,-2 6-1305,-8 9 1,0 3-1035,3 0 0,1-2-989,8-8 0,3-4 3058,-12 14 0,24-28 0,15-25 0</inkml:trace>
  <inkml:trace contextRef="#ctx0" brushRef="#br0" timeOffset="5850">5583 1600 8162,'6'-34'4948,"-2"4"-7197,1-4 2249,16 28 0,-14 3 0,13 14 0</inkml:trace>
  <inkml:trace contextRef="#ctx0" brushRef="#br0" timeOffset="5990">5980 1860 11940,'9'-4'1409,"-3"5"0,-4-7 1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6:16.294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223 63 9242,'12'-59'8635,"-10"55"-6836,-9 79-1410,1-11 1,0 14 0,-1 4-561,2-8 1,0 3 0,0 3 0,0 2 394,0 13 1,0 4 0,1 1 0,-1 0-99,2-20 0,1 0 0,-1 1 0,1 0 0,-1-1-81,-1 20 0,1 0 0,-1 0 0,0-1-23,0-3 1,-1 0-1,0-1 1,-1-3-1,1-7 0,0-2 1,0-1-1,-1-2-22,-2 20 0,-1-2 0,0-3 66,1-14 1,0-3-1,1-2-36,-1-7 0,1-1 0,-1-3 98,-1 18 1,1-4-84,2-16 0,1-5-45,2 32 0,12-25 939,26-21-579,54-23 44,-17-19 1,9-5-225,-14-1 0,4-2 0,2 1-151,9 0 0,3 1 0,2 1-59,10 2 0,1 0 0,2 2-410,-23 1 0,1 2 1,0-1-1,1 1-280,0 1 1,1 0-1,0 0 1,-1 0-691,21 2 1,-1-1 0,-5 0-840,-17-1 0,-3-1 1,-5 0 2248,7-2 0,-10-1 0,3 0 0,-50-4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6:16.943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114 3 9062,'6'-2'8455,"-5"32"-5487,-6 69-2339,1-23 1,-1 13 0,1 1-860,-1-1 1,1 2-1,-1 6 410,2-17 0,1 6 0,-1 3 0,1 1 0,0-2-127,1 0 1,-1 0 0,1 0 0,0-1 0,0-2-144,0 10 0,0-3 0,0 0 1,-1 0-496,1 7 0,-1 2 1,0-2-1,-1-8-893,-2-3 1,-1-6 0,1-5-592,-2 14 0,0-8 2069,-2-13 0,0-12 0,3-22 0,2-25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6:17.843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0 49 13469,'2'-10'4768,"8"4"-4229,17 3-89,31 1 0,25-3 269,12-2 271,-7-1-181,-21 2-179,-26 4 719,-8 20 90,-16 31-944,-8 7 0,-3 11-375,-4 2 0,-3 8 0,0 3-372,-1 16 1,-1 4 0,-1 4 251,0-17 0,0 2 0,-1 1 0,0 0 22,-1-3 1,0 1 0,0-1-1,0-2 0,0-8 1,0-2 0,0-1-1,0 0-155,-2 18 0,0-2 0,1-3 133,0-14 0,0-2 0,1-2-45,-2 23 0,0-5-405,1-15 1,0-5-676,0-11 1,-1-3-2924,-7 33-806,-2-19 4854,4-25 0,5-18 0,4-18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6:18.276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 1 15718,'2'64'5217,"1"27"-4992,-2-22 0,0 5-495,0 2 0,0 1-1124,-2-5 0,0-4-2204,1-9 0,0-5 3598,-2 14 0,3-33 0,-1-26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6:18.760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46 249 9871,'-18'-51'8276,"2"5"-7737,4 13-179,17 2-270,15 17 0,35-10 0,1 7 90,12-1 629,-18 5 181,-10 12-450,-13 12 539,-6 39-719,-10 37-315,-5-27 0,-2 5-90,2 28 0,-1 5-180,0-14 0,0 0-270,-1 2 1,1-2-901,-3-15 1,0-6-2654,-2 10 4048,-5-11 0,3-41 0,-4-11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6:19.960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116 179 11221,'2'-9'3867,"-12"15"-3507,-13 17 90,-8 10 270,3-2-631,10-20 1,10-7 450,19-39 270,11-10 179,12-22-359,1 3-91,-7 16-179,7 30-360,-4 32-1619,12 31-5667,9 32 7286,-10-16 0,2-3 0,-15-31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6:23.310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281 77 10681,'-10'6'2429,"-18"21"-2070,-14 19 361,-19 21-180,0 1 359,15-17-179,19-20-540,22-38 269,26-37 271,26-38-316,-18 35 1,2 0 45,26-35 270,-16 33-360,-3 34-360,-8 25-270,29 45-2968,0 13 1259,-22-26 0,2 0 1979,0-3 0,0-3 0,16 8 0,-1-9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7:43.53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 0 7443,'10'34'-450,"-3"1"450,-6-7 0,-2-10 0,-1-9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17:17:44.590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504 134 8072,'6'-26'4858,"-9"-5"-2969,-23-4-1080,-41 20-404,14 22 0,-3 10-226,-2 11 1,4 10-90,6 11 0,13 8-45,23 7 0,18 2-45,22 0 0,16-6 45,15-3 0,9-12 0,8-14 0,4-16 135,-1-21 0,-4-16 45,-11-17 0,-12-13-135,-16-14 0,-18-7-45,-23-3 0,-21 2-1,-23 5 1,-16 10 0,-18 12 0,-9 16-45,-6 19 0,0 17-45,10 17 0,11 16-90,21 13 1,19 11-91,29 10 0,22 0 135,24-3 0,16-8 135,10-10 0,8-15 90,8-21 0,0-21 134,-13-19 1,-9-14-90,-12-13 0,-17-8-45,-25-5 0,-19 2-45,-22 11 0,-14 8-45,-5 10 0,-5 11-90,-9 18 0,5 14-45,-2 30-90,38 32 270,71-4 270,25-14 539,-4-23-269,-17-23-450,-24-9-90,-21-6-90,-33 8-180,-14 7-450,-11 16 271,25 11 269,35-2 270,33-18 359,25-37 1,-2-35-270,-24-18-180,-50 2-90,-32 30-900,-49 35-1079,25 35-179,7 22-7197,54 37 9355,13-37 0,12 6 0,-13-46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92551-5B7E-1549-98D3-98E4C1E61243}">
  <dimension ref="B3:E9"/>
  <sheetViews>
    <sheetView topLeftCell="A2" zoomScale="347" workbookViewId="0">
      <selection activeCell="D10" sqref="D10"/>
    </sheetView>
  </sheetViews>
  <sheetFormatPr baseColWidth="10" defaultRowHeight="16" x14ac:dyDescent="0.2"/>
  <sheetData>
    <row r="3" spans="2:5" x14ac:dyDescent="0.2">
      <c r="B3" t="s">
        <v>0</v>
      </c>
      <c r="D3" t="s">
        <v>3</v>
      </c>
    </row>
    <row r="4" spans="2:5" x14ac:dyDescent="0.2">
      <c r="E4" t="s">
        <v>6</v>
      </c>
    </row>
    <row r="6" spans="2:5" x14ac:dyDescent="0.2">
      <c r="B6" t="s">
        <v>1</v>
      </c>
      <c r="D6" t="s">
        <v>14</v>
      </c>
    </row>
    <row r="9" spans="2:5" x14ac:dyDescent="0.2">
      <c r="B9" t="s">
        <v>2</v>
      </c>
      <c r="D9" t="s">
        <v>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A4485-B3BB-B646-A9A5-F7DAE414B1B7}">
  <dimension ref="A5:G60"/>
  <sheetViews>
    <sheetView tabSelected="1" topLeftCell="A47" zoomScale="170" workbookViewId="0">
      <selection activeCell="B57" sqref="B57"/>
    </sheetView>
  </sheetViews>
  <sheetFormatPr baseColWidth="10" defaultRowHeight="16" x14ac:dyDescent="0.2"/>
  <sheetData>
    <row r="5" spans="1:7" x14ac:dyDescent="0.2">
      <c r="C5" s="1" t="s">
        <v>4</v>
      </c>
    </row>
    <row r="9" spans="1:7" x14ac:dyDescent="0.2">
      <c r="A9" t="str" cm="1">
        <f t="array" aca="1" ref="A9:B10" ca="1">OFFSET(C5,7,3,2,2)</f>
        <v>END</v>
      </c>
      <c r="B9">
        <f ca="1"/>
        <v>2</v>
      </c>
    </row>
    <row r="10" spans="1:7" x14ac:dyDescent="0.2">
      <c r="A10">
        <f ca="1"/>
        <v>8</v>
      </c>
      <c r="B10">
        <f ca="1"/>
        <v>4</v>
      </c>
    </row>
    <row r="12" spans="1:7" x14ac:dyDescent="0.2">
      <c r="F12" s="1" t="s">
        <v>5</v>
      </c>
      <c r="G12">
        <v>2</v>
      </c>
    </row>
    <row r="13" spans="1:7" x14ac:dyDescent="0.2">
      <c r="F13">
        <v>8</v>
      </c>
      <c r="G13">
        <v>4</v>
      </c>
    </row>
    <row r="14" spans="1:7" x14ac:dyDescent="0.2">
      <c r="F14">
        <v>6</v>
      </c>
      <c r="G14">
        <v>5</v>
      </c>
    </row>
    <row r="17" spans="1:6" x14ac:dyDescent="0.2">
      <c r="A17" s="1"/>
      <c r="B17" s="1"/>
      <c r="C17" s="1"/>
      <c r="D17" s="1"/>
      <c r="E17" s="1"/>
      <c r="F17" s="1"/>
    </row>
    <row r="19" spans="1:6" x14ac:dyDescent="0.2">
      <c r="B19" t="s">
        <v>7</v>
      </c>
      <c r="D19" t="s">
        <v>9</v>
      </c>
    </row>
    <row r="20" spans="1:6" x14ac:dyDescent="0.2">
      <c r="B20" t="s">
        <v>10</v>
      </c>
    </row>
    <row r="21" spans="1:6" x14ac:dyDescent="0.2">
      <c r="B21" t="s">
        <v>11</v>
      </c>
    </row>
    <row r="22" spans="1:6" x14ac:dyDescent="0.2">
      <c r="D22" t="s">
        <v>8</v>
      </c>
    </row>
    <row r="27" spans="1:6" x14ac:dyDescent="0.2">
      <c r="B27" t="str" cm="1">
        <f t="array" aca="1" ref="B27" ca="1">INDIRECT(D19)</f>
        <v>INDIRECT</v>
      </c>
    </row>
    <row r="30" spans="1:6" x14ac:dyDescent="0.2">
      <c r="A30" s="1"/>
      <c r="B30" s="1"/>
      <c r="C30" s="1"/>
      <c r="D30" s="1"/>
      <c r="E30" s="1"/>
      <c r="F30" s="1"/>
    </row>
    <row r="32" spans="1:6" x14ac:dyDescent="0.2">
      <c r="B32" t="s">
        <v>12</v>
      </c>
      <c r="D32" t="s">
        <v>43</v>
      </c>
    </row>
    <row r="34" spans="2:7" x14ac:dyDescent="0.2">
      <c r="B34" t="s">
        <v>13</v>
      </c>
    </row>
    <row r="40" spans="2:7" x14ac:dyDescent="0.2">
      <c r="B40" s="2" t="s">
        <v>15</v>
      </c>
      <c r="C40" s="2" t="s">
        <v>16</v>
      </c>
      <c r="D40" s="2" t="s">
        <v>17</v>
      </c>
      <c r="E40" s="2" t="s">
        <v>18</v>
      </c>
      <c r="F40" s="2" t="s">
        <v>37</v>
      </c>
      <c r="G40" s="2" t="s">
        <v>40</v>
      </c>
    </row>
    <row r="41" spans="2:7" x14ac:dyDescent="0.2">
      <c r="B41" s="2">
        <v>1201</v>
      </c>
      <c r="C41" s="2" t="s">
        <v>19</v>
      </c>
      <c r="D41" s="2" t="s">
        <v>20</v>
      </c>
      <c r="E41" s="2" t="s">
        <v>21</v>
      </c>
      <c r="F41" s="2" t="s">
        <v>39</v>
      </c>
      <c r="G41">
        <v>50</v>
      </c>
    </row>
    <row r="42" spans="2:7" x14ac:dyDescent="0.2">
      <c r="B42" s="2">
        <v>1202</v>
      </c>
      <c r="C42" s="2" t="s">
        <v>22</v>
      </c>
      <c r="D42" s="2" t="s">
        <v>23</v>
      </c>
      <c r="E42" s="2" t="s">
        <v>24</v>
      </c>
      <c r="F42" s="2" t="s">
        <v>38</v>
      </c>
      <c r="G42">
        <v>30</v>
      </c>
    </row>
    <row r="43" spans="2:7" x14ac:dyDescent="0.2">
      <c r="B43" s="2">
        <v>1205</v>
      </c>
      <c r="C43" s="2" t="s">
        <v>25</v>
      </c>
      <c r="D43" s="2" t="s">
        <v>26</v>
      </c>
      <c r="E43" s="2" t="s">
        <v>27</v>
      </c>
      <c r="F43" s="2" t="s">
        <v>38</v>
      </c>
      <c r="G43">
        <v>80</v>
      </c>
    </row>
    <row r="44" spans="2:7" x14ac:dyDescent="0.2">
      <c r="B44" s="2">
        <v>1204</v>
      </c>
      <c r="C44" s="2" t="s">
        <v>28</v>
      </c>
      <c r="D44" s="2" t="s">
        <v>29</v>
      </c>
      <c r="E44" s="2" t="s">
        <v>30</v>
      </c>
      <c r="F44" s="2" t="s">
        <v>38</v>
      </c>
      <c r="G44">
        <v>88</v>
      </c>
    </row>
    <row r="45" spans="2:7" x14ac:dyDescent="0.2">
      <c r="B45" s="2">
        <v>1205</v>
      </c>
      <c r="C45" s="2" t="s">
        <v>31</v>
      </c>
      <c r="D45" s="2" t="s">
        <v>32</v>
      </c>
      <c r="E45" s="2" t="s">
        <v>33</v>
      </c>
      <c r="F45" s="2" t="s">
        <v>39</v>
      </c>
      <c r="G45">
        <v>92</v>
      </c>
    </row>
    <row r="46" spans="2:7" x14ac:dyDescent="0.2">
      <c r="B46" s="2">
        <v>1206</v>
      </c>
      <c r="C46" s="2" t="s">
        <v>34</v>
      </c>
      <c r="D46" s="2" t="s">
        <v>35</v>
      </c>
      <c r="E46" s="2" t="s">
        <v>36</v>
      </c>
      <c r="F46" s="2" t="s">
        <v>39</v>
      </c>
      <c r="G46">
        <v>65</v>
      </c>
    </row>
    <row r="49" spans="2:7" x14ac:dyDescent="0.2">
      <c r="B49" t="s">
        <v>41</v>
      </c>
      <c r="D49" t="str">
        <f>"=FILTER(B41:G46,(G41:G46&gt;=55)*(F41:F46='F'))"</f>
        <v>=FILTER(B41:G46,(G41:G46&gt;=55)*(F41:F46='F'))</v>
      </c>
    </row>
    <row r="50" spans="2:7" x14ac:dyDescent="0.2">
      <c r="B50" s="2"/>
      <c r="C50" s="2"/>
      <c r="D50" s="2"/>
      <c r="E50" s="2"/>
      <c r="F50" s="2"/>
      <c r="G50" s="2"/>
    </row>
    <row r="51" spans="2:7" x14ac:dyDescent="0.2">
      <c r="B51" cm="1">
        <f t="array" ref="B51:G52">_xlfn._xlws.FILTER(B41:G46,(G41:G46&gt;=55)*(F41:F46="F"))</f>
        <v>1205</v>
      </c>
      <c r="C51" t="str">
        <v>Dolly</v>
      </c>
      <c r="D51" t="str">
        <v>Ba Soci</v>
      </c>
      <c r="E51" t="str">
        <v>Fake num 5</v>
      </c>
      <c r="F51" t="str">
        <v>F</v>
      </c>
      <c r="G51">
        <v>92</v>
      </c>
    </row>
    <row r="52" spans="2:7" x14ac:dyDescent="0.2">
      <c r="B52">
        <v>1206</v>
      </c>
      <c r="C52" t="str">
        <v>Sonam</v>
      </c>
      <c r="D52" t="str">
        <v>MBA Ops</v>
      </c>
      <c r="E52" t="str">
        <v>Fake num 6</v>
      </c>
      <c r="F52" t="str">
        <v>F</v>
      </c>
      <c r="G52">
        <v>65</v>
      </c>
    </row>
    <row r="55" spans="2:7" x14ac:dyDescent="0.2">
      <c r="B55" t="s">
        <v>42</v>
      </c>
      <c r="D55" t="str">
        <f>"=FILTER(B41:G46,(G41:G46&gt;=55)+(F41:F46='F'))"</f>
        <v>=FILTER(B41:G46,(G41:G46&gt;=55)+(F41:F46='F'))</v>
      </c>
    </row>
    <row r="56" spans="2:7" x14ac:dyDescent="0.2">
      <c r="B56" cm="1">
        <f t="array" ref="B56:G60">_xlfn._xlws.FILTER(B41:G46,(G41:G46&gt;=55)+(F41:F46="F"))</f>
        <v>1201</v>
      </c>
      <c r="C56" t="str">
        <v>Jennifer</v>
      </c>
      <c r="D56" t="str">
        <v>Bsc Phy</v>
      </c>
      <c r="E56" t="str">
        <v>Fake num 1</v>
      </c>
      <c r="F56" t="str">
        <v>F</v>
      </c>
      <c r="G56">
        <v>50</v>
      </c>
    </row>
    <row r="57" spans="2:7" x14ac:dyDescent="0.2">
      <c r="B57">
        <v>1205</v>
      </c>
      <c r="C57" t="str">
        <v>Meena</v>
      </c>
      <c r="D57" t="str">
        <v>Ba History</v>
      </c>
      <c r="E57" t="str">
        <v>Fake num 3</v>
      </c>
      <c r="F57" t="str">
        <v>M</v>
      </c>
      <c r="G57">
        <v>80</v>
      </c>
    </row>
    <row r="58" spans="2:7" x14ac:dyDescent="0.2">
      <c r="B58">
        <v>1204</v>
      </c>
      <c r="C58" t="str">
        <v>Arjun</v>
      </c>
      <c r="D58" t="str">
        <v>MBA HR</v>
      </c>
      <c r="E58" t="str">
        <v>Fake num 4</v>
      </c>
      <c r="F58" t="str">
        <v>M</v>
      </c>
      <c r="G58">
        <v>88</v>
      </c>
    </row>
    <row r="59" spans="2:7" x14ac:dyDescent="0.2">
      <c r="B59">
        <v>1205</v>
      </c>
      <c r="C59" t="str">
        <v>Dolly</v>
      </c>
      <c r="D59" t="str">
        <v>Ba Soci</v>
      </c>
      <c r="E59" t="str">
        <v>Fake num 5</v>
      </c>
      <c r="F59" t="str">
        <v>F</v>
      </c>
      <c r="G59">
        <v>92</v>
      </c>
    </row>
    <row r="60" spans="2:7" x14ac:dyDescent="0.2">
      <c r="B60">
        <v>1206</v>
      </c>
      <c r="C60" t="str">
        <v>Sonam</v>
      </c>
      <c r="D60" t="str">
        <v>MBA Ops</v>
      </c>
      <c r="E60" t="str">
        <v>Fake num 6</v>
      </c>
      <c r="F60" t="str">
        <v>F</v>
      </c>
      <c r="G60">
        <v>65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31712-8EF9-5441-957E-31788DBA1D69}">
  <dimension ref="B30:E82"/>
  <sheetViews>
    <sheetView topLeftCell="B6" zoomScale="200" workbookViewId="0">
      <selection activeCell="D117" sqref="D117"/>
    </sheetView>
  </sheetViews>
  <sheetFormatPr baseColWidth="10" defaultRowHeight="16" x14ac:dyDescent="0.2"/>
  <sheetData>
    <row r="30" spans="3:3" x14ac:dyDescent="0.2">
      <c r="C30" t="s">
        <v>45</v>
      </c>
    </row>
    <row r="32" spans="3:3" x14ac:dyDescent="0.2">
      <c r="C32" t="s">
        <v>46</v>
      </c>
    </row>
    <row r="34" spans="2:5" x14ac:dyDescent="0.2">
      <c r="C34" t="str">
        <f>"-1 to +1"</f>
        <v>-1 to +1</v>
      </c>
    </row>
    <row r="36" spans="2:5" x14ac:dyDescent="0.2">
      <c r="C36" t="str">
        <f>"-1 means Strong Neg."</f>
        <v>-1 means Strong Neg.</v>
      </c>
      <c r="E36" t="s">
        <v>47</v>
      </c>
    </row>
    <row r="38" spans="2:5" x14ac:dyDescent="0.2">
      <c r="C38" t="str">
        <f>"+1 means Strong Pos."</f>
        <v>+1 means Strong Pos.</v>
      </c>
      <c r="E38" t="s">
        <v>48</v>
      </c>
    </row>
    <row r="40" spans="2:5" x14ac:dyDescent="0.2">
      <c r="C40">
        <v>0</v>
      </c>
      <c r="D40" t="s">
        <v>51</v>
      </c>
    </row>
    <row r="44" spans="2:5" x14ac:dyDescent="0.2">
      <c r="B44" t="s">
        <v>49</v>
      </c>
      <c r="C44" t="s">
        <v>50</v>
      </c>
    </row>
    <row r="45" spans="2:5" x14ac:dyDescent="0.2">
      <c r="B45">
        <v>1</v>
      </c>
      <c r="C45">
        <v>100</v>
      </c>
    </row>
    <row r="46" spans="2:5" x14ac:dyDescent="0.2">
      <c r="B46">
        <v>2</v>
      </c>
      <c r="C46">
        <v>600</v>
      </c>
    </row>
    <row r="47" spans="2:5" x14ac:dyDescent="0.2">
      <c r="B47">
        <v>3</v>
      </c>
      <c r="C47">
        <v>400</v>
      </c>
      <c r="E47">
        <f>CORREL(B45:B49,C45:C49)</f>
        <v>0.17087153154335216</v>
      </c>
    </row>
    <row r="48" spans="2:5" x14ac:dyDescent="0.2">
      <c r="B48">
        <v>4</v>
      </c>
      <c r="C48">
        <v>-200</v>
      </c>
    </row>
    <row r="49" spans="2:3" x14ac:dyDescent="0.2">
      <c r="B49">
        <v>5</v>
      </c>
      <c r="C49">
        <v>700</v>
      </c>
    </row>
    <row r="53" spans="2:3" x14ac:dyDescent="0.2">
      <c r="B53">
        <f>CORREL(B45:B49,C45:C49)</f>
        <v>0.17087153154335216</v>
      </c>
    </row>
    <row r="82" spans="3:3" x14ac:dyDescent="0.2">
      <c r="C82" t="s">
        <v>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Sheet3</vt:lpstr>
      <vt:lpstr>DATA Viz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2026-01-20T15:31:24Z</dcterms:created>
  <dcterms:modified xsi:type="dcterms:W3CDTF">2026-01-20T17:19:48Z</dcterms:modified>
</cp:coreProperties>
</file>