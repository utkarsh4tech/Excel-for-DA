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B54852D1-CC26-A240-9A1E-ABF32CC81194}" xr6:coauthVersionLast="47" xr6:coauthVersionMax="47" xr10:uidLastSave="{00000000-0000-0000-0000-000000000000}"/>
  <bookViews>
    <workbookView xWindow="0" yWindow="600" windowWidth="38400" windowHeight="21000" activeTab="3" xr2:uid="{BB555DBC-E16A-AB41-B0AB-18791E969590}"/>
  </bookViews>
  <sheets>
    <sheet name="agenda" sheetId="1" r:id="rId1"/>
    <sheet name="Sheet2" sheetId="2" r:id="rId2"/>
    <sheet name="Sheet3" sheetId="3" r:id="rId3"/>
    <sheet name="Sheet4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4" l="1"/>
  <c r="H28" i="3"/>
  <c r="G24" i="4"/>
  <c r="E27" i="4"/>
  <c r="D27" i="4"/>
  <c r="G29" i="4"/>
  <c r="B29" i="4"/>
  <c r="H24" i="4"/>
  <c r="G46" i="3"/>
  <c r="D23" i="3" a="1"/>
  <c r="E23" i="3" a="1"/>
  <c r="F23" i="3" a="1"/>
  <c r="F23" i="3"/>
  <c r="C23" i="3" a="1"/>
  <c r="C53" i="2"/>
  <c r="C49" i="2"/>
  <c r="C37" i="2"/>
  <c r="C23" i="2"/>
  <c r="C15" i="2"/>
  <c r="C10" i="2"/>
  <c r="C11" i="2"/>
  <c r="E23" i="3" l="1"/>
  <c r="D23" i="3"/>
  <c r="C2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<sst xmlns="http://schemas.openxmlformats.org/spreadsheetml/2006/main" count="121" uniqueCount="69">
  <si>
    <t>LOOKUP</t>
  </si>
  <si>
    <t>Search for query and then return the corresponding value to the Query in a structured dataset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</si>
  <si>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</si>
  <si>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</si>
  <si>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</si>
  <si>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</si>
  <si>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</si>
  <si>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</si>
  <si>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</si>
  <si>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</si>
  <si>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</si>
  <si>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</si>
  <si>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</si>
  <si>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</si>
  <si>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</si>
  <si>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</si>
  <si>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</si>
  <si>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</si>
  <si>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</si>
  <si>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</si>
  <si>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</si>
  <si>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</si>
  <si>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</si>
  <si>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</si>
  <si>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ROW</t>
  </si>
  <si>
    <t>ROWS</t>
  </si>
  <si>
    <t>COLUMN</t>
  </si>
  <si>
    <t>COLUMNS</t>
  </si>
  <si>
    <t>TO GET ROW NUMBER OF THAT CELL if refrence is given else current row number</t>
  </si>
  <si>
    <t>TO GET COLUMN NUMBER OF THAT CELL if refrence is given else current COLUMN number</t>
  </si>
  <si>
    <t xml:space="preserve">GIVES number of rows in the array </t>
  </si>
  <si>
    <t xml:space="preserve">GIVES number of columns in the array </t>
  </si>
  <si>
    <t>ARRAY (parameter) is mandatory</t>
  </si>
  <si>
    <t xml:space="preserve">INDEX </t>
  </si>
  <si>
    <t>INDEX</t>
  </si>
  <si>
    <t>MATCH</t>
  </si>
  <si>
    <t>INDEX+MATCH</t>
  </si>
  <si>
    <t>Helps in finding VALUE in array at particular ROW number and column number</t>
  </si>
  <si>
    <t>Apple</t>
  </si>
  <si>
    <t>Mango</t>
  </si>
  <si>
    <t>Banana</t>
  </si>
  <si>
    <t>Cherry</t>
  </si>
  <si>
    <t>Position/Index</t>
  </si>
  <si>
    <t>ROW / CoL number of the value in the lookup array</t>
  </si>
  <si>
    <t>VALUE</t>
  </si>
  <si>
    <t>Index/POS</t>
  </si>
  <si>
    <t>MATCH TYPE</t>
  </si>
  <si>
    <t>LESS THAN</t>
  </si>
  <si>
    <t>DATA must be in Ascending order</t>
  </si>
  <si>
    <t>MORE THAN</t>
  </si>
  <si>
    <t>DATA must be in Descending order</t>
  </si>
  <si>
    <t>Groc A</t>
  </si>
  <si>
    <t>Groc B</t>
  </si>
  <si>
    <t>Groc C</t>
  </si>
  <si>
    <t>Sugar</t>
  </si>
  <si>
    <t>Salt</t>
  </si>
  <si>
    <t>Pepper</t>
  </si>
  <si>
    <t>Soap</t>
  </si>
  <si>
    <t>Shampoo</t>
  </si>
  <si>
    <t>ITEM</t>
  </si>
  <si>
    <t>STORE</t>
  </si>
  <si>
    <t>PRICE</t>
  </si>
  <si>
    <t>POS ITEM</t>
  </si>
  <si>
    <t>POS STORE</t>
  </si>
  <si>
    <t>Student ID</t>
  </si>
  <si>
    <t>Query</t>
  </si>
  <si>
    <t>Ans</t>
  </si>
  <si>
    <t xml:space="preserve">INDEX + MATCH </t>
  </si>
  <si>
    <t>Groc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</si>
</sst>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12"/>
      <color rgb="FF242424"/>
      <name val="Aptos Narrow"/>
      <scheme val="minor"/>
    </font>
    <font>
      <sz val="24"/>
      <color theme="1"/>
      <name val="Aptos Narrow (Body)"/>
    </font>
    <font>
      <sz val="26"/>
      <color theme="1"/>
      <name val="Aptos Narrow (Body)"/>
    </font>
    <font>
      <sz val="26"/>
      <color theme="1"/>
      <name val="Aptos Narrow"/>
      <family val="2"/>
      <scheme val="minor"/>
    </font>
    <font>
      <sz val="12"/>
      <color rgb="FF242424"/>
      <name val="Aptos Narrow"/>
      <family val="2"/>
      <scheme val="minor"/>
    </font>
    <font>
      <sz val="12"/>
      <color rgb="FF000000"/>
      <name val="Aptos Narrow"/>
      <scheme val="minor"/>
    </font>
    <font>
      <sz val="36"/>
      <color theme="1"/>
      <name val="Aptos Narrow (Body)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3" fillId="0" borderId="1" xfId="0" applyFont="1" applyBorder="1"/>
    <xf numFmtId="0" fontId="0" fillId="3" borderId="0" xfId="0" applyFill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Alignment="1">
      <alignment horizontal="center"/>
    </xf>
    <xf numFmtId="0" fontId="0" fillId="4" borderId="1" xfId="0" applyFill="1" applyBorder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0" fillId="5" borderId="0" xfId="0" applyFont="1" applyFill="1"/>
    <xf numFmtId="0" fontId="10" fillId="6" borderId="0" xfId="0" applyFont="1" applyFill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7" borderId="1" xfId="0" applyFont="1" applyFill="1" applyBorder="1"/>
    <xf numFmtId="0" fontId="3" fillId="0" borderId="0" xfId="0" applyFont="1" applyFill="1" applyBorder="1"/>
    <xf numFmtId="0" fontId="1" fillId="3" borderId="0" xfId="0" applyFont="1" applyFill="1"/>
    <xf numFmtId="0" fontId="11" fillId="0" borderId="0" xfId="0" applyFont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692150</xdr:colOff>
      <xdr:row>5</xdr:row>
      <xdr:rowOff>133350</xdr:rowOff>
    </xdr:from>
    <xdr:to>
      <xdr:col>8</xdr:col>
      <xdr:colOff>349250</xdr:colOff>
      <xdr:row>11</xdr:row>
      <xdr:rowOff>120650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3FCD9E-87BC-174E-D95C-9874BECD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94150" y="1149350"/>
          <a:ext cx="2959100" cy="1206500"/>
        </a:xfrm>
        <a:prstGeom prst="rect">
          <a:avLst/>
        </a:prstGeom>
      </xdr:spPr>
    </xdr:pic>
    <xdr:clientData/>
  </xdr:twoCellAnchor>
  <xdr:twoCellAnchor editAs="oneCell">
    <xdr:from>
      <xdr:col>4</xdr:col>
      <xdr:colOff>819150</xdr:colOff>
      <xdr:row>18</xdr:row>
      <xdr:rowOff>177800</xdr:rowOff>
    </xdr:from>
    <xdr:to>
      <xdr:col>9</xdr:col>
      <xdr:colOff>69850</xdr:colOff>
      <xdr:row>26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E10B11-ED9E-410B-AAE7-29ED87A58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1150" y="3835400"/>
          <a:ext cx="3378200" cy="1562100"/>
        </a:xfrm>
        <a:prstGeom prst="rect">
          <a:avLst/>
        </a:prstGeom>
      </xdr:spPr>
    </xdr:pic>
    <xdr:clientData/>
  </xdr:twoCellAnchor>
  <xdr:twoCellAnchor editAs="oneCell">
    <xdr:from>
      <xdr:col>5</xdr:col>
      <xdr:colOff>222250</xdr:colOff>
      <xdr:row>30</xdr:row>
      <xdr:rowOff>0</xdr:rowOff>
    </xdr:from>
    <xdr:to>
      <xdr:col>10</xdr:col>
      <xdr:colOff>514350</xdr:colOff>
      <xdr:row>37</xdr:row>
      <xdr:rowOff>63500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2CB551A-7603-56AF-6E40-349DCA85CA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49750" y="6096000"/>
          <a:ext cx="4419600" cy="1485900"/>
        </a:xfrm>
        <a:prstGeom prst="rect">
          <a:avLst/>
        </a:prstGeom>
      </xdr:spPr>
    </xdr:pic>
    <xdr:clientData/>
  </xdr:twoCellAnchor>
  <xdr:twoCellAnchor editAs="oneCell">
    <xdr:from>
      <xdr:col>5</xdr:col>
      <xdr:colOff>482600</xdr:colOff>
      <xdr:row>41</xdr:row>
      <xdr:rowOff>171450</xdr:rowOff>
    </xdr:from>
    <xdr:to>
      <xdr:col>8</xdr:col>
      <xdr:colOff>660400</xdr:colOff>
      <xdr:row>50</xdr:row>
      <xdr:rowOff>107950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1C77D50-F898-1D41-A893-EDB1F3E3A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610100" y="8502650"/>
          <a:ext cx="2654300" cy="176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785891</xdr:colOff>
      <xdr:row>13</xdr:row>
      <xdr:rowOff>37722</xdr:rowOff>
    </xdr:from>
    <xdr:to>
      <xdr:col>12</xdr:col>
      <xdr:colOff>632108</xdr:colOff>
      <xdr:row>23</xdr:row>
      <xdr:rowOff>57841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F4DBCF-47BC-58E4-D46B-F18796C2B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7574" y="2653168"/>
          <a:ext cx="4787900" cy="2032000"/>
        </a:xfrm>
        <a:prstGeom prst="rect">
          <a:avLst/>
        </a:prstGeom>
      </xdr:spPr>
    </xdr:pic>
    <xdr:clientData/>
  </xdr:twoCellAnchor>
  <xdr:twoCellAnchor editAs="oneCell">
    <xdr:from>
      <xdr:col>8</xdr:col>
      <xdr:colOff>345792</xdr:colOff>
      <xdr:row>39</xdr:row>
      <xdr:rowOff>75446</xdr:rowOff>
    </xdr:from>
    <xdr:to>
      <xdr:col>14</xdr:col>
      <xdr:colOff>611109</xdr:colOff>
      <xdr:row>49</xdr:row>
      <xdr:rowOff>197165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3FFB2C5-4C85-869A-E2D8-28D362479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34703" y="7921783"/>
          <a:ext cx="5207000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96DD9-7076-6C44-825F-03282BC4F35E}">
  <dimension ref="A2:I37"/>
  <sheetViews>
    <sheetView topLeftCell="A32" zoomScale="316" zoomScaleNormal="316" workbookViewId="0">
      <selection activeCell="B10" sqref="B10:E16"/>
    </sheetView>
  </sheetViews>
  <sheetFormatPr baseColWidth="10" defaultRowHeight="16" x14ac:dyDescent="0.2"/>
  <sheetData>
    <row r="2" spans="2:5" x14ac:dyDescent="0.2">
      <c r="B2" s="2" t="s">
        <v>0</v>
      </c>
      <c r="C2" s="2"/>
    </row>
    <row r="3" spans="2:5" x14ac:dyDescent="0.2">
      <c r="B3" s="2"/>
      <c r="C3" s="2"/>
    </row>
    <row r="6" spans="2:5" x14ac:dyDescent="0.2">
      <c r="B6" t="s">
        <v>1</v>
      </c>
    </row>
    <row r="10" spans="2:5" x14ac:dyDescent="0.2">
      <c r="B10" s="3" t="s">
        <v>2</v>
      </c>
      <c r="C10" s="3" t="s">
        <v>3</v>
      </c>
      <c r="D10" s="3" t="s">
        <v>4</v>
      </c>
      <c r="E10" s="3" t="s">
        <v>5</v>
      </c>
    </row>
    <row r="11" spans="2:5" x14ac:dyDescent="0.2">
      <c r="B11" s="4">
        <v>1201</v>
      </c>
      <c r="C11" s="4" t="s">
        <v>6</v>
      </c>
      <c r="D11" s="4" t="s">
        <v>7</v>
      </c>
      <c r="E11" s="4" t="s">
        <v>8</v>
      </c>
    </row>
    <row r="12" spans="2:5" x14ac:dyDescent="0.2">
      <c r="B12" s="4">
        <v>1202</v>
      </c>
      <c r="C12" s="4" t="s">
        <v>9</v>
      </c>
      <c r="D12" s="4" t="s">
        <v>10</v>
      </c>
      <c r="E12" s="4" t="s">
        <v>11</v>
      </c>
    </row>
    <row r="13" spans="2:5" x14ac:dyDescent="0.2">
      <c r="B13" s="4">
        <v>1203</v>
      </c>
      <c r="C13" s="4" t="s">
        <v>12</v>
      </c>
      <c r="D13" s="4" t="s">
        <v>13</v>
      </c>
      <c r="E13" s="4" t="s">
        <v>14</v>
      </c>
    </row>
    <row r="14" spans="2:5" x14ac:dyDescent="0.2">
      <c r="B14" s="4">
        <v>1204</v>
      </c>
      <c r="C14" s="4" t="s">
        <v>15</v>
      </c>
      <c r="D14" s="4" t="s">
        <v>16</v>
      </c>
      <c r="E14" s="4" t="s">
        <v>17</v>
      </c>
    </row>
    <row r="15" spans="2:5" x14ac:dyDescent="0.2">
      <c r="B15" s="4">
        <v>1205</v>
      </c>
      <c r="C15" s="4" t="s">
        <v>18</v>
      </c>
      <c r="D15" s="4" t="s">
        <v>19</v>
      </c>
      <c r="E15" s="4" t="s">
        <v>20</v>
      </c>
    </row>
    <row r="16" spans="2:5" x14ac:dyDescent="0.2">
      <c r="B16" s="4">
        <v>1206</v>
      </c>
      <c r="C16" s="4" t="s">
        <v>21</v>
      </c>
      <c r="D16" s="4" t="s">
        <v>22</v>
      </c>
      <c r="E16" s="4" t="s">
        <v>23</v>
      </c>
    </row>
    <row r="18" spans="1:9" x14ac:dyDescent="0.2">
      <c r="A18" s="5"/>
      <c r="B18" s="5"/>
      <c r="C18" s="5"/>
      <c r="D18" s="5"/>
      <c r="E18" s="5"/>
      <c r="F18" s="5"/>
      <c r="G18" s="5"/>
      <c r="H18" s="5"/>
      <c r="I18" s="5"/>
    </row>
    <row r="21" spans="1:9" x14ac:dyDescent="0.2">
      <c r="B21" t="s">
        <v>24</v>
      </c>
      <c r="D21" s="7" t="s">
        <v>28</v>
      </c>
    </row>
    <row r="23" spans="1:9" x14ac:dyDescent="0.2">
      <c r="B23" t="s">
        <v>25</v>
      </c>
      <c r="D23" s="9" t="s">
        <v>30</v>
      </c>
    </row>
    <row r="25" spans="1:9" x14ac:dyDescent="0.2">
      <c r="B25" t="s">
        <v>26</v>
      </c>
      <c r="D25" s="9" t="s">
        <v>29</v>
      </c>
    </row>
    <row r="27" spans="1:9" x14ac:dyDescent="0.2">
      <c r="B27" t="s">
        <v>27</v>
      </c>
      <c r="D27" s="9" t="s">
        <v>31</v>
      </c>
    </row>
    <row r="30" spans="1:9" x14ac:dyDescent="0.2">
      <c r="A30" s="5"/>
      <c r="B30" s="5"/>
      <c r="C30" s="5"/>
      <c r="D30" s="5"/>
      <c r="E30" s="5"/>
      <c r="F30" s="5"/>
      <c r="G30" s="5"/>
      <c r="H30" s="5"/>
      <c r="I30" s="5"/>
    </row>
    <row r="33" spans="2:4" x14ac:dyDescent="0.2">
      <c r="B33" t="s">
        <v>34</v>
      </c>
      <c r="D33" s="9" t="s">
        <v>37</v>
      </c>
    </row>
    <row r="35" spans="2:4" x14ac:dyDescent="0.2">
      <c r="B35" t="s">
        <v>35</v>
      </c>
      <c r="D35" s="13" t="s">
        <v>43</v>
      </c>
    </row>
    <row r="37" spans="2:4" x14ac:dyDescent="0.2">
      <c r="B37" t="s">
        <v>36</v>
      </c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12335-772C-A84A-9C8C-5B6691E1C1F9}">
  <dimension ref="A6:N56"/>
  <sheetViews>
    <sheetView topLeftCell="A21" zoomScale="200" workbookViewId="0">
      <selection activeCell="A56" sqref="A56:N56"/>
    </sheetView>
  </sheetViews>
  <sheetFormatPr baseColWidth="10" defaultRowHeight="16" x14ac:dyDescent="0.2"/>
  <sheetData>
    <row r="6" spans="3:4" x14ac:dyDescent="0.2">
      <c r="C6" s="6" t="s">
        <v>24</v>
      </c>
      <c r="D6" s="6"/>
    </row>
    <row r="7" spans="3:4" x14ac:dyDescent="0.2">
      <c r="C7" s="6"/>
      <c r="D7" s="6"/>
    </row>
    <row r="10" spans="3:4" x14ac:dyDescent="0.2">
      <c r="C10">
        <f>ROW()</f>
        <v>10</v>
      </c>
    </row>
    <row r="11" spans="3:4" x14ac:dyDescent="0.2">
      <c r="C11">
        <f>ROW()</f>
        <v>11</v>
      </c>
    </row>
    <row r="15" spans="3:4" x14ac:dyDescent="0.2">
      <c r="C15">
        <f>ROW(F3)</f>
        <v>3</v>
      </c>
    </row>
    <row r="19" spans="3:4" x14ac:dyDescent="0.2">
      <c r="C19" s="8" t="s">
        <v>26</v>
      </c>
      <c r="D19" s="1"/>
    </row>
    <row r="20" spans="3:4" x14ac:dyDescent="0.2">
      <c r="C20" s="1"/>
      <c r="D20" s="1"/>
    </row>
    <row r="23" spans="3:4" x14ac:dyDescent="0.2">
      <c r="C23">
        <f>COLUMN(AA2)</f>
        <v>27</v>
      </c>
    </row>
    <row r="32" spans="3:4" x14ac:dyDescent="0.2">
      <c r="C32" s="10" t="s">
        <v>25</v>
      </c>
      <c r="D32" s="1"/>
    </row>
    <row r="33" spans="3:7" x14ac:dyDescent="0.2">
      <c r="C33" s="1"/>
      <c r="D33" s="1"/>
    </row>
    <row r="37" spans="3:7" x14ac:dyDescent="0.2">
      <c r="C37">
        <f>ROWS(agenda!B10:E16)</f>
        <v>7</v>
      </c>
    </row>
    <row r="40" spans="3:7" x14ac:dyDescent="0.2">
      <c r="G40" t="s">
        <v>32</v>
      </c>
    </row>
    <row r="44" spans="3:7" x14ac:dyDescent="0.2">
      <c r="C44" s="8" t="s">
        <v>27</v>
      </c>
      <c r="D44" s="1"/>
    </row>
    <row r="45" spans="3:7" x14ac:dyDescent="0.2">
      <c r="C45" s="1"/>
      <c r="D45" s="1"/>
    </row>
    <row r="49" spans="1:14" x14ac:dyDescent="0.2">
      <c r="C49">
        <f>COLUMNS(agenda!B10:E16)</f>
        <v>4</v>
      </c>
    </row>
    <row r="53" spans="1:14" x14ac:dyDescent="0.2">
      <c r="C53">
        <f>COLUMNS(A39:E39)</f>
        <v>5</v>
      </c>
      <c r="G53" t="s">
        <v>32</v>
      </c>
    </row>
    <row r="56" spans="1:14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</sheetData>
  <mergeCells count="4">
    <mergeCell ref="C6:D7"/>
    <mergeCell ref="C19:D20"/>
    <mergeCell ref="C32:D33"/>
    <mergeCell ref="C44:D4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3136D-4295-5949-BCB2-8751EDFA4521}">
  <dimension ref="A17:O62"/>
  <sheetViews>
    <sheetView topLeftCell="A55" zoomScale="202" workbookViewId="0">
      <selection activeCell="H29" sqref="H29"/>
    </sheetView>
  </sheetViews>
  <sheetFormatPr baseColWidth="10" defaultRowHeight="16" x14ac:dyDescent="0.2"/>
  <sheetData>
    <row r="17" spans="2:8" x14ac:dyDescent="0.2">
      <c r="C17" s="6" t="s">
        <v>33</v>
      </c>
      <c r="D17" s="6"/>
    </row>
    <row r="18" spans="2:8" x14ac:dyDescent="0.2">
      <c r="C18" s="6"/>
      <c r="D18" s="6"/>
    </row>
    <row r="21" spans="2:8" x14ac:dyDescent="0.2">
      <c r="C21" s="11" t="s">
        <v>38</v>
      </c>
      <c r="D21" s="11" t="s">
        <v>39</v>
      </c>
      <c r="E21" s="11" t="s">
        <v>40</v>
      </c>
      <c r="F21" s="11" t="s">
        <v>41</v>
      </c>
    </row>
    <row r="22" spans="2:8" x14ac:dyDescent="0.2">
      <c r="B22" t="s">
        <v>42</v>
      </c>
      <c r="C22">
        <v>1</v>
      </c>
      <c r="D22">
        <v>2</v>
      </c>
      <c r="E22">
        <v>3</v>
      </c>
      <c r="F22">
        <v>4</v>
      </c>
    </row>
    <row r="23" spans="2:8" x14ac:dyDescent="0.2">
      <c r="C23" t="str" cm="1">
        <f t="array" ref="C23">INDEX($C$21:$F$21,C22)</f>
        <v>Apple</v>
      </c>
      <c r="D23" t="str" cm="1">
        <f t="array" ref="D23">INDEX($C$21:$F$21,D22)</f>
        <v>Mango</v>
      </c>
      <c r="E23" t="str" cm="1">
        <f t="array" ref="E23">INDEX($C$21:$F$21,E22)</f>
        <v>Banana</v>
      </c>
      <c r="F23" t="str" cm="1">
        <f t="array" ref="F23">INDEX($C$21:$F$21,F22)</f>
        <v>Cherry</v>
      </c>
    </row>
    <row r="28" spans="2:8" x14ac:dyDescent="0.2">
      <c r="C28" s="3" t="s">
        <v>2</v>
      </c>
      <c r="D28" s="3" t="s">
        <v>3</v>
      </c>
      <c r="E28" s="3" t="s">
        <v>4</v>
      </c>
      <c r="F28" s="3" t="s">
        <v>5</v>
      </c>
      <c r="H28" t="str">
        <f>INDEX(C28:F34,2,3)</f>
        <v>Bsc Phy</v>
      </c>
    </row>
    <row r="29" spans="2:8" x14ac:dyDescent="0.2">
      <c r="C29" s="4">
        <v>1201</v>
      </c>
      <c r="D29" s="4" t="s">
        <v>6</v>
      </c>
      <c r="E29" s="4" t="s">
        <v>7</v>
      </c>
      <c r="F29" s="4" t="s">
        <v>8</v>
      </c>
    </row>
    <row r="30" spans="2:8" x14ac:dyDescent="0.2">
      <c r="C30" s="4">
        <v>1202</v>
      </c>
      <c r="D30" s="4" t="s">
        <v>9</v>
      </c>
      <c r="E30" s="4" t="s">
        <v>10</v>
      </c>
      <c r="F30" s="4" t="s">
        <v>11</v>
      </c>
    </row>
    <row r="31" spans="2:8" x14ac:dyDescent="0.2">
      <c r="C31" s="4">
        <v>1203</v>
      </c>
      <c r="D31" s="4" t="s">
        <v>12</v>
      </c>
      <c r="E31" s="4" t="s">
        <v>13</v>
      </c>
      <c r="F31" s="4" t="s">
        <v>14</v>
      </c>
    </row>
    <row r="32" spans="2:8" x14ac:dyDescent="0.2">
      <c r="C32" s="4">
        <v>1204</v>
      </c>
      <c r="D32" s="4" t="s">
        <v>15</v>
      </c>
      <c r="E32" s="4" t="s">
        <v>16</v>
      </c>
      <c r="F32" s="4" t="s">
        <v>17</v>
      </c>
    </row>
    <row r="33" spans="1:15" x14ac:dyDescent="0.2">
      <c r="C33" s="4">
        <v>1205</v>
      </c>
      <c r="D33" s="4" t="s">
        <v>18</v>
      </c>
      <c r="E33" s="4" t="s">
        <v>19</v>
      </c>
      <c r="F33" s="4" t="s">
        <v>20</v>
      </c>
    </row>
    <row r="34" spans="1:15" x14ac:dyDescent="0.2">
      <c r="C34" s="4">
        <v>1206</v>
      </c>
      <c r="D34" s="4" t="s">
        <v>21</v>
      </c>
      <c r="E34" s="4" t="s">
        <v>22</v>
      </c>
      <c r="F34" s="4" t="s">
        <v>23</v>
      </c>
    </row>
    <row r="38" spans="1:15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42" spans="1:15" x14ac:dyDescent="0.2">
      <c r="D42" s="12" t="s">
        <v>35</v>
      </c>
      <c r="E42" s="12"/>
    </row>
    <row r="43" spans="1:15" x14ac:dyDescent="0.2">
      <c r="D43" s="12"/>
      <c r="E43" s="12"/>
    </row>
    <row r="46" spans="1:15" x14ac:dyDescent="0.2">
      <c r="C46" t="s">
        <v>45</v>
      </c>
      <c r="D46" s="3" t="s">
        <v>44</v>
      </c>
      <c r="G46">
        <f>MATCH(3,D47:D55,1)</f>
        <v>3</v>
      </c>
    </row>
    <row r="47" spans="1:15" x14ac:dyDescent="0.2">
      <c r="C47">
        <v>1</v>
      </c>
      <c r="D47" s="4">
        <v>-1</v>
      </c>
    </row>
    <row r="48" spans="1:15" x14ac:dyDescent="0.2">
      <c r="C48">
        <v>2</v>
      </c>
      <c r="D48" s="4">
        <v>0</v>
      </c>
    </row>
    <row r="49" spans="2:15" x14ac:dyDescent="0.2">
      <c r="C49">
        <v>3</v>
      </c>
      <c r="D49" s="4">
        <v>2</v>
      </c>
    </row>
    <row r="50" spans="2:15" x14ac:dyDescent="0.2">
      <c r="C50">
        <v>4</v>
      </c>
      <c r="D50" s="4">
        <v>4</v>
      </c>
    </row>
    <row r="51" spans="2:15" x14ac:dyDescent="0.2">
      <c r="C51">
        <v>5</v>
      </c>
      <c r="D51" s="4">
        <v>6</v>
      </c>
    </row>
    <row r="52" spans="2:15" x14ac:dyDescent="0.2">
      <c r="C52">
        <v>6</v>
      </c>
      <c r="D52" s="4">
        <v>8</v>
      </c>
    </row>
    <row r="53" spans="2:15" x14ac:dyDescent="0.2">
      <c r="C53">
        <v>7</v>
      </c>
      <c r="D53" s="4">
        <v>9</v>
      </c>
    </row>
    <row r="54" spans="2:15" x14ac:dyDescent="0.2">
      <c r="C54">
        <v>8</v>
      </c>
      <c r="D54" s="4">
        <v>11</v>
      </c>
      <c r="J54" t="s">
        <v>46</v>
      </c>
    </row>
    <row r="55" spans="2:15" x14ac:dyDescent="0.2">
      <c r="C55">
        <v>9</v>
      </c>
      <c r="D55" s="4">
        <v>15</v>
      </c>
    </row>
    <row r="56" spans="2:15" x14ac:dyDescent="0.2">
      <c r="J56" t="s">
        <v>47</v>
      </c>
      <c r="L56" t="s">
        <v>48</v>
      </c>
    </row>
    <row r="58" spans="2:15" x14ac:dyDescent="0.2">
      <c r="J58" t="s">
        <v>49</v>
      </c>
      <c r="L58" t="s">
        <v>50</v>
      </c>
    </row>
    <row r="62" spans="2:15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</sheetData>
  <mergeCells count="2">
    <mergeCell ref="C17:D18"/>
    <mergeCell ref="D42:E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2F51-1497-E443-86F0-E1C42AC700CB}">
  <dimension ref="A4:L46"/>
  <sheetViews>
    <sheetView tabSelected="1" topLeftCell="A35" zoomScale="251" workbookViewId="0">
      <selection activeCell="C38" sqref="C38"/>
    </sheetView>
  </sheetViews>
  <sheetFormatPr baseColWidth="10" defaultRowHeight="16" x14ac:dyDescent="0.2"/>
  <sheetData>
    <row r="4" spans="2:6" x14ac:dyDescent="0.2">
      <c r="B4" s="23" t="s">
        <v>67</v>
      </c>
      <c r="C4" s="1"/>
      <c r="D4" s="1"/>
      <c r="E4" s="1"/>
    </row>
    <row r="5" spans="2:6" x14ac:dyDescent="0.2">
      <c r="B5" s="1"/>
      <c r="C5" s="1"/>
      <c r="D5" s="1"/>
      <c r="E5" s="1"/>
    </row>
    <row r="6" spans="2:6" x14ac:dyDescent="0.2">
      <c r="B6" s="1"/>
      <c r="C6" s="1"/>
      <c r="D6" s="1"/>
      <c r="E6" s="1"/>
    </row>
    <row r="14" spans="2:6" x14ac:dyDescent="0.2">
      <c r="C14" s="14"/>
      <c r="D14" s="16" t="s">
        <v>51</v>
      </c>
      <c r="E14" s="16" t="s">
        <v>52</v>
      </c>
      <c r="F14" s="16" t="s">
        <v>53</v>
      </c>
    </row>
    <row r="15" spans="2:6" x14ac:dyDescent="0.2">
      <c r="C15" s="15" t="s">
        <v>54</v>
      </c>
      <c r="D15" s="14">
        <v>2</v>
      </c>
      <c r="E15" s="14">
        <v>10</v>
      </c>
      <c r="F15" s="14">
        <v>15</v>
      </c>
    </row>
    <row r="16" spans="2:6" x14ac:dyDescent="0.2">
      <c r="C16" s="15" t="s">
        <v>55</v>
      </c>
      <c r="D16" s="14">
        <v>10</v>
      </c>
      <c r="E16" s="14">
        <v>12</v>
      </c>
      <c r="F16" s="14">
        <v>17</v>
      </c>
    </row>
    <row r="17" spans="1:12" x14ac:dyDescent="0.2">
      <c r="C17" s="15" t="s">
        <v>56</v>
      </c>
      <c r="D17" s="14">
        <v>20</v>
      </c>
      <c r="E17" s="14">
        <v>20</v>
      </c>
      <c r="F17" s="14">
        <v>20</v>
      </c>
    </row>
    <row r="18" spans="1:12" x14ac:dyDescent="0.2">
      <c r="C18" s="15" t="s">
        <v>57</v>
      </c>
      <c r="D18" s="14">
        <v>6</v>
      </c>
      <c r="E18" s="14">
        <v>4</v>
      </c>
      <c r="F18" s="14">
        <v>8</v>
      </c>
    </row>
    <row r="19" spans="1:12" x14ac:dyDescent="0.2">
      <c r="C19" s="15" t="s">
        <v>58</v>
      </c>
      <c r="D19" s="14">
        <v>2</v>
      </c>
      <c r="E19" s="14">
        <v>3</v>
      </c>
      <c r="F19" s="14">
        <v>5</v>
      </c>
    </row>
    <row r="23" spans="1:12" x14ac:dyDescent="0.2">
      <c r="D23" s="19" t="s">
        <v>59</v>
      </c>
      <c r="E23" s="19" t="s">
        <v>60</v>
      </c>
      <c r="G23" s="19" t="s">
        <v>61</v>
      </c>
    </row>
    <row r="24" spans="1:12" x14ac:dyDescent="0.2">
      <c r="D24" s="17" t="s">
        <v>58</v>
      </c>
      <c r="E24" s="17" t="s">
        <v>68</v>
      </c>
      <c r="G24" s="18">
        <f>INDEX(D15:F19,MATCH(D24,C15:C19,0),MATCH(E24,D14:F14,0))</f>
        <v>2</v>
      </c>
      <c r="H24" t="str">
        <f ca="1">_xlfn.FORMULATEXT(G24)</f>
        <v>=INDEX(D15:F19,MATCH(D24,C15:C19,0),MATCH(E24,D14:F14,0))</v>
      </c>
    </row>
    <row r="26" spans="1:12" x14ac:dyDescent="0.2">
      <c r="D26" t="s">
        <v>62</v>
      </c>
      <c r="E26" t="s">
        <v>63</v>
      </c>
    </row>
    <row r="27" spans="1:12" x14ac:dyDescent="0.2">
      <c r="D27">
        <f>MATCH(D24,C15:C19,0)</f>
        <v>5</v>
      </c>
      <c r="E27">
        <f>MATCH(E24,D14:F14,0)</f>
        <v>1</v>
      </c>
    </row>
    <row r="29" spans="1:12" x14ac:dyDescent="0.2">
      <c r="B29" t="str">
        <f ca="1">_xlfn.FORMULATEXT(D27)</f>
        <v>=MATCH(D24,C15:C19,0)</v>
      </c>
      <c r="G29" t="str">
        <f ca="1">_xlfn.FORMULATEXT(E27)</f>
        <v>=MATCH(E24,D14:F14,0)</v>
      </c>
    </row>
    <row r="32" spans="1:12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4" spans="1:11" x14ac:dyDescent="0.2">
      <c r="D34" s="20" t="s">
        <v>2</v>
      </c>
      <c r="E34" s="20" t="s">
        <v>3</v>
      </c>
      <c r="F34" s="20" t="s">
        <v>4</v>
      </c>
      <c r="G34" s="20" t="s">
        <v>5</v>
      </c>
    </row>
    <row r="35" spans="1:11" x14ac:dyDescent="0.2">
      <c r="D35" s="4">
        <v>1201</v>
      </c>
      <c r="E35" s="4" t="s">
        <v>6</v>
      </c>
      <c r="F35" s="4" t="s">
        <v>7</v>
      </c>
      <c r="G35" s="4" t="s">
        <v>8</v>
      </c>
    </row>
    <row r="36" spans="1:11" x14ac:dyDescent="0.2">
      <c r="D36" s="4">
        <v>1202</v>
      </c>
      <c r="E36" s="4" t="s">
        <v>9</v>
      </c>
      <c r="F36" s="4" t="s">
        <v>10</v>
      </c>
      <c r="G36" s="4" t="s">
        <v>11</v>
      </c>
    </row>
    <row r="37" spans="1:11" x14ac:dyDescent="0.2">
      <c r="D37" s="4">
        <v>1203</v>
      </c>
      <c r="E37" s="4" t="s">
        <v>12</v>
      </c>
      <c r="F37" s="4" t="s">
        <v>13</v>
      </c>
      <c r="G37" s="4" t="s">
        <v>14</v>
      </c>
    </row>
    <row r="38" spans="1:11" x14ac:dyDescent="0.2">
      <c r="D38" s="4">
        <v>1204</v>
      </c>
      <c r="E38" s="4" t="s">
        <v>15</v>
      </c>
      <c r="F38" s="4" t="s">
        <v>16</v>
      </c>
      <c r="G38" s="4" t="s">
        <v>17</v>
      </c>
    </row>
    <row r="39" spans="1:11" x14ac:dyDescent="0.2">
      <c r="D39" s="4">
        <v>1205</v>
      </c>
      <c r="E39" s="4" t="s">
        <v>18</v>
      </c>
      <c r="F39" s="4" t="s">
        <v>19</v>
      </c>
      <c r="G39" s="4" t="s">
        <v>20</v>
      </c>
    </row>
    <row r="40" spans="1:11" x14ac:dyDescent="0.2">
      <c r="D40" s="4">
        <v>1206</v>
      </c>
      <c r="E40" s="4" t="s">
        <v>21</v>
      </c>
      <c r="F40" s="4" t="s">
        <v>22</v>
      </c>
      <c r="G40" s="4" t="s">
        <v>23</v>
      </c>
    </row>
    <row r="43" spans="1:11" x14ac:dyDescent="0.2">
      <c r="D43" t="s">
        <v>64</v>
      </c>
      <c r="E43" s="21" t="s">
        <v>65</v>
      </c>
      <c r="G43" s="21" t="s">
        <v>66</v>
      </c>
    </row>
    <row r="44" spans="1:11" x14ac:dyDescent="0.2">
      <c r="D44">
        <v>1203</v>
      </c>
      <c r="E44" s="21" t="s">
        <v>5</v>
      </c>
      <c r="G44" s="24" t="str">
        <f>INDEX(E35:G40,MATCH(D44,D35:D40,0),MATCH(E44,$E$34:$G$34,0))</f>
        <v>Fake num 3</v>
      </c>
    </row>
    <row r="46" spans="1:11" x14ac:dyDescent="0.2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</row>
  </sheetData>
  <mergeCells count="1">
    <mergeCell ref="B4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2026-05-23T15:38:07Z</dcterms:created>
  <dcterms:modified xsi:type="dcterms:W3CDTF">2026-05-23T17:12:59Z</dcterms:modified>
</cp:coreProperties>
</file>