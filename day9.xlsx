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7641590D-C25E-2A41-8D27-3B36A8526EA4}" xr6:coauthVersionLast="47" xr6:coauthVersionMax="47" xr10:uidLastSave="{00000000-0000-0000-0000-000000000000}"/>
  <bookViews>
    <workbookView xWindow="0" yWindow="600" windowWidth="28800" windowHeight="17400" activeTab="4" xr2:uid="{60638037-2B21-F941-8B3C-2CED5F5FDE5F}"/>
  </bookViews>
  <sheets>
    <sheet name="Sheet1" sheetId="1" r:id="rId1"/>
    <sheet name="VLOOKUP" sheetId="2" r:id="rId2"/>
    <sheet name="HLOOKUP" sheetId="3" r:id="rId3"/>
    <sheet name="XLOOKUP_diff" sheetId="4" r:id="rId4"/>
    <sheet name="X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" l="1" a="1"/>
  <c r="E79" i="5"/>
  <c r="D79" i="5"/>
  <c r="D35" i="5"/>
  <c r="D14" i="5"/>
  <c r="C13" i="2"/>
  <c r="D18" i="5"/>
  <c r="D19" i="5"/>
  <c r="D15" i="5"/>
  <c r="E18" i="3"/>
  <c r="E17" i="3"/>
  <c r="E12" i="3"/>
  <c r="E11" i="3"/>
  <c r="E45" i="2"/>
  <c r="E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<sst xmlns="http://schemas.openxmlformats.org/spreadsheetml/2006/main" count="227" uniqueCount="80">
  <si>
    <t>Lookup Func</t>
  </si>
  <si>
    <t>Vlookup</t>
  </si>
  <si>
    <t>Hlookup</t>
  </si>
  <si>
    <t>Xlookup</t>
  </si>
  <si>
    <t>Student Id</t>
  </si>
  <si>
    <t>Name</t>
  </si>
  <si>
    <t>Course</t>
  </si>
  <si>
    <t>Phn Num</t>
  </si>
  <si>
    <t>Jennifer</t>
  </si>
  <si>
    <t>Bsc Phy</t>
  </si>
  <si>
    <t>Fake num 1</t>
  </si>
  <si>
    <t>Shyaam</t>
  </si>
  <si>
    <t>Bsc Chem</t>
  </si>
  <si>
    <t>Fake num 2</t>
  </si>
  <si>
    <t>Meena</t>
  </si>
  <si>
    <t>Ba History</t>
  </si>
  <si>
    <t>Fake num 3</t>
  </si>
  <si>
    <t>Arjun</t>
  </si>
  <si>
    <t>MBA HR</t>
  </si>
  <si>
    <t>Fake num 4</t>
  </si>
  <si>
    <t>Dolly</t>
  </si>
  <si>
    <t>Ba Soci</t>
  </si>
  <si>
    <t>Fake num 5</t>
  </si>
  <si>
    <t>Sonam</t>
  </si>
  <si>
    <t>MBA Ops</t>
  </si>
  <si>
    <t>Fake num 6</t>
  </si>
  <si>
    <t>Student ID</t>
  </si>
  <si>
    <t>Lookup Value</t>
  </si>
  <si>
    <t>What is the search key</t>
  </si>
  <si>
    <t>table_array</t>
  </si>
  <si>
    <t>the data where we have values</t>
  </si>
  <si>
    <t>col_index_num</t>
  </si>
  <si>
    <t>Which col. We want in return</t>
  </si>
  <si>
    <t>range_lookup</t>
  </si>
  <si>
    <t>Exact / Approximate match</t>
  </si>
  <si>
    <t>VLOOKUP</t>
  </si>
  <si>
    <t>IMP</t>
  </si>
  <si>
    <t>We can only lookup in left most Column of given array</t>
  </si>
  <si>
    <t xml:space="preserve">If using EXACT match, the first found value is returned… </t>
  </si>
  <si>
    <t>we can only get right columns in the output</t>
  </si>
  <si>
    <r>
      <t xml:space="preserve">if doing approximate match ( by default) data must be sorted in </t>
    </r>
    <r>
      <rPr>
        <b/>
        <sz val="12"/>
        <color rgb="FF000000"/>
        <rFont val="Aptos Narrow"/>
        <scheme val="minor"/>
      </rPr>
      <t>ascending</t>
    </r>
    <r>
      <rPr>
        <sz val="12"/>
        <color rgb="FF000000"/>
        <rFont val="Aptos Narrow"/>
        <family val="2"/>
        <scheme val="minor"/>
      </rPr>
      <t xml:space="preserve"> orded…</t>
    </r>
  </si>
  <si>
    <t>BE CAREFUL of WHITE SPACE</t>
  </si>
  <si>
    <t>CHOOSECOLS</t>
  </si>
  <si>
    <t>Vertical Lookup</t>
  </si>
  <si>
    <t>Horizontal lookup</t>
  </si>
  <si>
    <t xml:space="preserve">X </t>
  </si>
  <si>
    <t>search only in TOP MOST row</t>
  </si>
  <si>
    <t>we can only get rows bottom to the search row... in the output</t>
  </si>
  <si>
    <t>if doing approximate match ( by default) data must be sorted in ascending orded…</t>
  </si>
  <si>
    <t>HLOOKUP</t>
  </si>
  <si>
    <t>VLOOKUP() / HLOOKUP()</t>
  </si>
  <si>
    <t>XLOOKUP()</t>
  </si>
  <si>
    <t>Requires specifying FALSE for an exact match.</t>
  </si>
  <si>
    <t>Defaults to exact match.</t>
  </si>
  <si>
    <t>Only searches to the right of the lookup column.</t>
  </si>
  <si>
    <t>Can search in any direction (left, right, top, bottom).</t>
  </si>
  <si>
    <t>Requires defining the entire data range and column index within a single formula.</t>
  </si>
  <si>
    <t>Allows separate arrays for the lookup value and return values.</t>
  </si>
  <si>
    <t>Does not support horizontal lookups (HLOOKUP() is required).</t>
  </si>
  <si>
    <t>Supports both vertical and horizontal lookups.</t>
  </si>
  <si>
    <t>Affected by column insertions/deletions due to hardcoded column indices.</t>
  </si>
  <si>
    <t>Unaffected by column changes, continuing to function without adjustments.</t>
  </si>
  <si>
    <t>Limited to sorting in ascending order.</t>
  </si>
  <si>
    <t>Can search in both ascending and descending order using the search_mode argument.</t>
  </si>
  <si>
    <t>Displays #N/A error when no match is found.</t>
  </si>
  <si>
    <t>Allows customization of the output message when no match is found.</t>
  </si>
  <si>
    <t>Can return only one value at a time.</t>
  </si>
  <si>
    <t>Can retrieve values from multiple columns simultaneously.</t>
  </si>
  <si>
    <t>Searches from top to bottom and returns the first match.</t>
  </si>
  <si>
    <t>Can search in both directions (top-down or bottom-up) for faster results in extensive lists.</t>
  </si>
  <si>
    <t>Can be slower, especially with unsorted data or when range_lookup is FALSE.</t>
  </si>
  <si>
    <t>Better performance, handles large datasets efficiently, and searches without sorting.</t>
  </si>
  <si>
    <t>Works with all versions of Excel.</t>
  </si>
  <si>
    <t>Only available in Excel 2021 and Microsoft 365 (from 2019).</t>
  </si>
  <si>
    <t>course</t>
  </si>
  <si>
    <t>Binary Search</t>
  </si>
  <si>
    <t xml:space="preserve">* </t>
  </si>
  <si>
    <t xml:space="preserve">Any possible seq </t>
  </si>
  <si>
    <t>of char</t>
  </si>
  <si>
    <t>So*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</si>
</sst>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0" fillId="3" borderId="0" xfId="0" applyFill="1"/>
    <xf numFmtId="0" fontId="1" fillId="4" borderId="0" xfId="0" applyFont="1" applyFill="1"/>
    <xf numFmtId="0" fontId="3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2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35552</xdr:colOff>
      <xdr:row>15</xdr:row>
      <xdr:rowOff>23681</xdr:rowOff>
    </xdr:from>
    <xdr:to>
      <xdr:col>4</xdr:col>
      <xdr:colOff>699779</xdr:colOff>
      <xdr:row>18</xdr:row>
      <xdr:rowOff>96894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5DE14-4F10-5329-F22F-614C4BE0E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529" y="3036239"/>
          <a:ext cx="3145157" cy="675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827344</xdr:colOff>
      <xdr:row>50</xdr:row>
      <xdr:rowOff>205518</xdr:rowOff>
    </xdr:from>
    <xdr:to>
      <xdr:col>7</xdr:col>
      <xdr:colOff>306433</xdr:colOff>
      <xdr:row>63</xdr:row>
      <xdr:rowOff>175376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89A5A-74AF-5756-D927-1EA1150D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344" y="10481452"/>
          <a:ext cx="5270500" cy="264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AC97-2D6F-DF47-9235-1154D5A8CB6F}">
  <dimension ref="A2:H33"/>
  <sheetViews>
    <sheetView topLeftCell="B18" zoomScale="177" workbookViewId="0">
      <selection activeCell="D26" sqref="D26"/>
    </sheetView>
  </sheetViews>
  <sheetFormatPr baseColWidth="10" defaultRowHeight="16" x14ac:dyDescent="0.2"/>
  <sheetData>
    <row r="2" spans="1:8" x14ac:dyDescent="0.2">
      <c r="E2" s="12" t="s">
        <v>0</v>
      </c>
      <c r="F2" s="12"/>
    </row>
    <row r="3" spans="1:8" x14ac:dyDescent="0.2">
      <c r="E3" s="12"/>
      <c r="F3" s="12"/>
    </row>
    <row r="5" spans="1:8" x14ac:dyDescent="0.2">
      <c r="E5" t="s">
        <v>1</v>
      </c>
      <c r="G5" t="s">
        <v>43</v>
      </c>
    </row>
    <row r="7" spans="1:8" x14ac:dyDescent="0.2">
      <c r="E7" t="s">
        <v>2</v>
      </c>
      <c r="G7" t="s">
        <v>44</v>
      </c>
    </row>
    <row r="9" spans="1:8" x14ac:dyDescent="0.2">
      <c r="E9" t="s">
        <v>3</v>
      </c>
      <c r="G9" t="s">
        <v>45</v>
      </c>
    </row>
    <row r="12" spans="1:8" x14ac:dyDescent="0.2">
      <c r="A12" s="7"/>
      <c r="B12" s="7"/>
      <c r="C12" s="7"/>
      <c r="D12" s="7"/>
      <c r="E12" s="7"/>
      <c r="F12" s="7"/>
      <c r="G12" s="7"/>
      <c r="H12" s="7"/>
    </row>
    <row r="15" spans="1:8" x14ac:dyDescent="0.2">
      <c r="D15" t="s">
        <v>35</v>
      </c>
    </row>
    <row r="17" spans="4:6" x14ac:dyDescent="0.2">
      <c r="E17" s="8" t="s">
        <v>36</v>
      </c>
      <c r="F17" s="3"/>
    </row>
    <row r="18" spans="4:6" x14ac:dyDescent="0.2">
      <c r="E18" s="3" t="s">
        <v>37</v>
      </c>
      <c r="F18" s="3"/>
    </row>
    <row r="19" spans="4:6" x14ac:dyDescent="0.2">
      <c r="E19" s="3" t="s">
        <v>38</v>
      </c>
      <c r="F19" s="3"/>
    </row>
    <row r="20" spans="4:6" x14ac:dyDescent="0.2">
      <c r="E20" s="3" t="s">
        <v>39</v>
      </c>
      <c r="F20" s="3"/>
    </row>
    <row r="21" spans="4:6" x14ac:dyDescent="0.2">
      <c r="E21" s="3" t="s">
        <v>40</v>
      </c>
      <c r="F21" s="3"/>
    </row>
    <row r="22" spans="4:6" x14ac:dyDescent="0.2">
      <c r="E22" s="3"/>
      <c r="F22" s="3"/>
    </row>
    <row r="23" spans="4:6" x14ac:dyDescent="0.2">
      <c r="E23" s="3"/>
      <c r="F23" s="3"/>
    </row>
    <row r="24" spans="4:6" x14ac:dyDescent="0.2">
      <c r="E24" s="3" t="s">
        <v>41</v>
      </c>
      <c r="F24" s="3"/>
    </row>
    <row r="27" spans="4:6" x14ac:dyDescent="0.2">
      <c r="D27" t="s">
        <v>49</v>
      </c>
    </row>
    <row r="29" spans="4:6" x14ac:dyDescent="0.2">
      <c r="E29" s="8" t="s">
        <v>36</v>
      </c>
    </row>
    <row r="30" spans="4:6" x14ac:dyDescent="0.2">
      <c r="E30" s="3" t="s">
        <v>46</v>
      </c>
    </row>
    <row r="31" spans="4:6" x14ac:dyDescent="0.2">
      <c r="E31" s="3" t="s">
        <v>38</v>
      </c>
    </row>
    <row r="32" spans="4:6" x14ac:dyDescent="0.2">
      <c r="E32" s="3" t="s">
        <v>47</v>
      </c>
    </row>
    <row r="33" spans="5:5" x14ac:dyDescent="0.2">
      <c r="E33" s="3" t="s">
        <v>48</v>
      </c>
    </row>
  </sheetData>
  <mergeCells count="1"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DBB2-D943-0844-85E0-52C51E0B9BEB}">
  <dimension ref="B3:F54"/>
  <sheetViews>
    <sheetView topLeftCell="A7" zoomScale="215" workbookViewId="0">
      <selection activeCell="C14" sqref="C14"/>
    </sheetView>
  </sheetViews>
  <sheetFormatPr baseColWidth="10" defaultRowHeight="16" x14ac:dyDescent="0.2"/>
  <sheetData>
    <row r="3" spans="2:5" x14ac:dyDescent="0.2">
      <c r="B3" s="1" t="s">
        <v>4</v>
      </c>
      <c r="C3" s="1" t="s">
        <v>5</v>
      </c>
      <c r="D3" s="1" t="s">
        <v>6</v>
      </c>
      <c r="E3" s="1" t="s">
        <v>7</v>
      </c>
    </row>
    <row r="4" spans="2:5" x14ac:dyDescent="0.2">
      <c r="B4" s="2">
        <v>1201</v>
      </c>
      <c r="C4" s="2" t="s">
        <v>8</v>
      </c>
      <c r="D4" s="2" t="s">
        <v>9</v>
      </c>
      <c r="E4" s="2" t="s">
        <v>10</v>
      </c>
    </row>
    <row r="5" spans="2:5" x14ac:dyDescent="0.2">
      <c r="B5" s="2">
        <v>1202</v>
      </c>
      <c r="C5" s="2" t="s">
        <v>11</v>
      </c>
      <c r="D5" s="2" t="s">
        <v>12</v>
      </c>
      <c r="E5" s="2" t="s">
        <v>13</v>
      </c>
    </row>
    <row r="6" spans="2:5" x14ac:dyDescent="0.2">
      <c r="B6" s="2">
        <v>1203</v>
      </c>
      <c r="C6" s="2" t="s">
        <v>14</v>
      </c>
      <c r="D6" s="2" t="s">
        <v>15</v>
      </c>
      <c r="E6" s="2" t="s">
        <v>16</v>
      </c>
    </row>
    <row r="7" spans="2:5" x14ac:dyDescent="0.2">
      <c r="B7" s="2">
        <v>1204</v>
      </c>
      <c r="C7" s="2" t="s">
        <v>17</v>
      </c>
      <c r="D7" s="2" t="s">
        <v>18</v>
      </c>
      <c r="E7" s="2" t="s">
        <v>19</v>
      </c>
    </row>
    <row r="8" spans="2:5" x14ac:dyDescent="0.2">
      <c r="B8" s="2">
        <v>1205</v>
      </c>
      <c r="C8" s="2" t="s">
        <v>20</v>
      </c>
      <c r="D8" s="2" t="s">
        <v>21</v>
      </c>
      <c r="E8" s="2" t="s">
        <v>22</v>
      </c>
    </row>
    <row r="9" spans="2:5" x14ac:dyDescent="0.2">
      <c r="B9" s="2">
        <v>1206</v>
      </c>
      <c r="C9" s="2" t="s">
        <v>23</v>
      </c>
      <c r="D9" s="2" t="s">
        <v>24</v>
      </c>
      <c r="E9" s="2" t="s">
        <v>25</v>
      </c>
    </row>
    <row r="12" spans="2:5" x14ac:dyDescent="0.2">
      <c r="B12" s="5" t="s">
        <v>26</v>
      </c>
      <c r="C12" s="6" t="s">
        <v>74</v>
      </c>
    </row>
    <row r="13" spans="2:5" x14ac:dyDescent="0.2">
      <c r="B13" s="4">
        <v>1214</v>
      </c>
      <c r="C13" s="4" t="e">
        <f>VLOOKUP(B13,B3:E9,MATCH(C12,B3:E3,0),0)</f>
        <v>#N/A</v>
      </c>
      <c r="E13" t="str">
        <f ca="1">_xlfn.FORMULATEXT(C13)</f>
        <v>=VLOOKUP(B13,B3:E9,MATCH(C12,B3:E3,0),0)</v>
      </c>
    </row>
    <row r="21" spans="2:5" x14ac:dyDescent="0.2">
      <c r="C21" t="s">
        <v>27</v>
      </c>
      <c r="E21" t="s">
        <v>28</v>
      </c>
    </row>
    <row r="23" spans="2:5" x14ac:dyDescent="0.2">
      <c r="C23" t="s">
        <v>29</v>
      </c>
      <c r="E23" t="s">
        <v>30</v>
      </c>
    </row>
    <row r="25" spans="2:5" x14ac:dyDescent="0.2">
      <c r="C25" t="s">
        <v>31</v>
      </c>
      <c r="E25" t="s">
        <v>32</v>
      </c>
    </row>
    <row r="27" spans="2:5" x14ac:dyDescent="0.2">
      <c r="C27" t="s">
        <v>33</v>
      </c>
      <c r="E27" t="s">
        <v>34</v>
      </c>
    </row>
    <row r="31" spans="2:5" x14ac:dyDescent="0.2">
      <c r="B31" s="1" t="s">
        <v>4</v>
      </c>
      <c r="C31" s="1" t="s">
        <v>5</v>
      </c>
      <c r="D31" s="1" t="s">
        <v>6</v>
      </c>
      <c r="E31" s="1" t="s">
        <v>7</v>
      </c>
    </row>
    <row r="32" spans="2:5" x14ac:dyDescent="0.2">
      <c r="B32" s="2">
        <v>1201</v>
      </c>
      <c r="C32" s="2" t="s">
        <v>8</v>
      </c>
      <c r="D32" s="2" t="s">
        <v>9</v>
      </c>
      <c r="E32" s="2" t="s">
        <v>10</v>
      </c>
    </row>
    <row r="33" spans="2:6" x14ac:dyDescent="0.2">
      <c r="B33" s="2">
        <v>1202</v>
      </c>
      <c r="C33" s="2" t="s">
        <v>11</v>
      </c>
      <c r="D33" s="2" t="s">
        <v>12</v>
      </c>
      <c r="E33" s="2" t="s">
        <v>13</v>
      </c>
    </row>
    <row r="34" spans="2:6" x14ac:dyDescent="0.2">
      <c r="B34" s="2">
        <v>1203</v>
      </c>
      <c r="C34" s="2" t="s">
        <v>14</v>
      </c>
      <c r="D34" s="2" t="s">
        <v>15</v>
      </c>
      <c r="E34" s="2" t="s">
        <v>16</v>
      </c>
    </row>
    <row r="35" spans="2:6" x14ac:dyDescent="0.2">
      <c r="B35" s="2">
        <v>1204</v>
      </c>
      <c r="C35" s="2" t="s">
        <v>17</v>
      </c>
      <c r="D35" s="2" t="s">
        <v>18</v>
      </c>
      <c r="E35" s="2" t="s">
        <v>19</v>
      </c>
    </row>
    <row r="36" spans="2:6" x14ac:dyDescent="0.2">
      <c r="B36" s="2">
        <v>1205</v>
      </c>
      <c r="C36" s="2" t="s">
        <v>20</v>
      </c>
      <c r="D36" s="2" t="s">
        <v>21</v>
      </c>
      <c r="E36" s="2" t="s">
        <v>22</v>
      </c>
    </row>
    <row r="37" spans="2:6" x14ac:dyDescent="0.2">
      <c r="B37" s="2">
        <v>1206</v>
      </c>
      <c r="C37" s="2" t="s">
        <v>23</v>
      </c>
      <c r="D37" s="2" t="s">
        <v>24</v>
      </c>
      <c r="E37" s="2" t="s">
        <v>25</v>
      </c>
    </row>
    <row r="40" spans="2:6" x14ac:dyDescent="0.2">
      <c r="C40" s="3" t="s">
        <v>5</v>
      </c>
      <c r="D40" s="3" t="s">
        <v>4</v>
      </c>
    </row>
    <row r="41" spans="2:6" x14ac:dyDescent="0.2">
      <c r="C41" s="3" t="s">
        <v>20</v>
      </c>
    </row>
    <row r="44" spans="2:6" x14ac:dyDescent="0.2">
      <c r="C44" t="s">
        <v>42</v>
      </c>
    </row>
    <row r="45" spans="2:6" x14ac:dyDescent="0.2">
      <c r="E45" t="str">
        <f>"=CHOOSECOLS(B31:E37,{2,1,3,4}"</f>
        <v>=CHOOSECOLS(B31:E37,{2,1,3,4}</v>
      </c>
    </row>
    <row r="48" spans="2:6" x14ac:dyDescent="0.2">
      <c r="C48" s="1" t="s">
        <v>5</v>
      </c>
      <c r="D48" s="1" t="s">
        <v>4</v>
      </c>
      <c r="E48" s="1" t="s">
        <v>6</v>
      </c>
      <c r="F48" s="1" t="s">
        <v>7</v>
      </c>
    </row>
    <row r="49" spans="3:6" x14ac:dyDescent="0.2">
      <c r="C49" s="2" t="s">
        <v>8</v>
      </c>
      <c r="D49" s="2">
        <v>1201</v>
      </c>
      <c r="E49" s="2" t="s">
        <v>9</v>
      </c>
      <c r="F49" s="2" t="s">
        <v>10</v>
      </c>
    </row>
    <row r="50" spans="3:6" x14ac:dyDescent="0.2">
      <c r="C50" s="2" t="s">
        <v>11</v>
      </c>
      <c r="D50" s="2">
        <v>1202</v>
      </c>
      <c r="E50" s="2" t="s">
        <v>12</v>
      </c>
      <c r="F50" s="2" t="s">
        <v>13</v>
      </c>
    </row>
    <row r="51" spans="3:6" x14ac:dyDescent="0.2">
      <c r="C51" s="2" t="s">
        <v>14</v>
      </c>
      <c r="D51" s="2">
        <v>1203</v>
      </c>
      <c r="E51" s="2" t="s">
        <v>15</v>
      </c>
      <c r="F51" s="2" t="s">
        <v>16</v>
      </c>
    </row>
    <row r="52" spans="3:6" x14ac:dyDescent="0.2">
      <c r="C52" s="2" t="s">
        <v>17</v>
      </c>
      <c r="D52" s="2">
        <v>1204</v>
      </c>
      <c r="E52" s="2" t="s">
        <v>18</v>
      </c>
      <c r="F52" s="2" t="s">
        <v>19</v>
      </c>
    </row>
    <row r="53" spans="3:6" x14ac:dyDescent="0.2">
      <c r="C53" s="2" t="s">
        <v>20</v>
      </c>
      <c r="D53" s="2">
        <v>1205</v>
      </c>
      <c r="E53" s="2" t="s">
        <v>21</v>
      </c>
      <c r="F53" s="2" t="s">
        <v>22</v>
      </c>
    </row>
    <row r="54" spans="3:6" x14ac:dyDescent="0.2">
      <c r="C54" s="2" t="s">
        <v>23</v>
      </c>
      <c r="D54" s="2">
        <v>1206</v>
      </c>
      <c r="E54" s="2" t="s">
        <v>24</v>
      </c>
      <c r="F54" s="2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C6EC-57C3-1B49-BFFE-75A5C3151B0C}">
  <dimension ref="B4:H18"/>
  <sheetViews>
    <sheetView topLeftCell="A4" zoomScale="221" workbookViewId="0">
      <selection activeCell="D14" sqref="D14"/>
    </sheetView>
  </sheetViews>
  <sheetFormatPr baseColWidth="10" defaultRowHeight="16" x14ac:dyDescent="0.2"/>
  <sheetData>
    <row r="4" spans="2:8" x14ac:dyDescent="0.2">
      <c r="B4" s="1" t="s">
        <v>4</v>
      </c>
      <c r="C4" s="2">
        <v>1201</v>
      </c>
      <c r="D4" s="2">
        <v>1202</v>
      </c>
      <c r="E4" s="2">
        <v>1203</v>
      </c>
      <c r="F4" s="2">
        <v>1204</v>
      </c>
      <c r="G4" s="2">
        <v>1205</v>
      </c>
      <c r="H4" s="2">
        <v>1206</v>
      </c>
    </row>
    <row r="5" spans="2:8" x14ac:dyDescent="0.2">
      <c r="B5" s="1" t="s">
        <v>5</v>
      </c>
      <c r="C5" s="2" t="s">
        <v>8</v>
      </c>
      <c r="D5" s="2" t="s">
        <v>11</v>
      </c>
      <c r="E5" s="2" t="s">
        <v>14</v>
      </c>
      <c r="F5" s="2" t="s">
        <v>17</v>
      </c>
      <c r="G5" s="2" t="s">
        <v>20</v>
      </c>
      <c r="H5" s="2" t="s">
        <v>23</v>
      </c>
    </row>
    <row r="6" spans="2:8" x14ac:dyDescent="0.2">
      <c r="B6" s="1" t="s">
        <v>6</v>
      </c>
      <c r="C6" s="2" t="s">
        <v>9</v>
      </c>
      <c r="D6" s="2" t="s">
        <v>12</v>
      </c>
      <c r="E6" s="2" t="s">
        <v>15</v>
      </c>
      <c r="F6" s="2" t="s">
        <v>18</v>
      </c>
      <c r="G6" s="2" t="s">
        <v>21</v>
      </c>
      <c r="H6" s="2" t="s">
        <v>24</v>
      </c>
    </row>
    <row r="7" spans="2:8" x14ac:dyDescent="0.2">
      <c r="B7" s="1" t="s">
        <v>7</v>
      </c>
      <c r="C7" s="2" t="s">
        <v>10</v>
      </c>
      <c r="D7" s="2" t="s">
        <v>13</v>
      </c>
      <c r="E7" s="2" t="s">
        <v>16</v>
      </c>
      <c r="F7" s="2" t="s">
        <v>19</v>
      </c>
      <c r="G7" s="2" t="s">
        <v>22</v>
      </c>
      <c r="H7" s="2" t="s">
        <v>25</v>
      </c>
    </row>
    <row r="11" spans="2:8" x14ac:dyDescent="0.2">
      <c r="D11">
        <v>1202</v>
      </c>
      <c r="E11" t="str">
        <f>HLOOKUP(D11,B4:H7,2,0)</f>
        <v>Shyaam</v>
      </c>
    </row>
    <row r="12" spans="2:8" x14ac:dyDescent="0.2">
      <c r="E12" t="str">
        <f ca="1">_xlfn.FORMULATEXT(E11)</f>
        <v>=HLOOKUP(D11,B4:H7,2,0)</v>
      </c>
    </row>
    <row r="17" spans="4:5" x14ac:dyDescent="0.2">
      <c r="D17" t="s">
        <v>17</v>
      </c>
      <c r="E17" t="str">
        <f>HLOOKUP(D17,B5:H7,3,0)</f>
        <v>Fake num 4</v>
      </c>
    </row>
    <row r="18" spans="4:5" x14ac:dyDescent="0.2">
      <c r="E18" t="str">
        <f ca="1">_xlfn.FORMULATEXT(E17)</f>
        <v>=HLOOKUP(D17,B5:H7,3,0)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1E5E-60DF-3349-BF26-22F7164B1E58}">
  <dimension ref="A1:B12"/>
  <sheetViews>
    <sheetView zoomScale="171" workbookViewId="0">
      <selection activeCell="A4" sqref="A4"/>
    </sheetView>
  </sheetViews>
  <sheetFormatPr baseColWidth="10" defaultRowHeight="16" x14ac:dyDescent="0.2"/>
  <cols>
    <col min="1" max="1" width="60" customWidth="1"/>
    <col min="2" max="2" width="65.83203125" customWidth="1"/>
  </cols>
  <sheetData>
    <row r="1" spans="1:2" ht="17" x14ac:dyDescent="0.2">
      <c r="A1" s="9" t="s">
        <v>50</v>
      </c>
      <c r="B1" s="9" t="s">
        <v>51</v>
      </c>
    </row>
    <row r="2" spans="1:2" ht="17" x14ac:dyDescent="0.2">
      <c r="A2" s="10" t="s">
        <v>52</v>
      </c>
      <c r="B2" s="10" t="s">
        <v>53</v>
      </c>
    </row>
    <row r="3" spans="1:2" ht="17" x14ac:dyDescent="0.2">
      <c r="A3" s="11" t="s">
        <v>54</v>
      </c>
      <c r="B3" s="11" t="s">
        <v>55</v>
      </c>
    </row>
    <row r="4" spans="1:2" ht="34" x14ac:dyDescent="0.2">
      <c r="A4" s="10" t="s">
        <v>56</v>
      </c>
      <c r="B4" s="10" t="s">
        <v>57</v>
      </c>
    </row>
    <row r="5" spans="1:2" ht="17" x14ac:dyDescent="0.2">
      <c r="A5" s="11" t="s">
        <v>58</v>
      </c>
      <c r="B5" s="11" t="s">
        <v>59</v>
      </c>
    </row>
    <row r="6" spans="1:2" ht="17" x14ac:dyDescent="0.2">
      <c r="A6" s="10" t="s">
        <v>60</v>
      </c>
      <c r="B6" s="10" t="s">
        <v>61</v>
      </c>
    </row>
    <row r="7" spans="1:2" ht="34" x14ac:dyDescent="0.2">
      <c r="A7" s="11" t="s">
        <v>62</v>
      </c>
      <c r="B7" s="11" t="s">
        <v>63</v>
      </c>
    </row>
    <row r="8" spans="1:2" ht="17" x14ac:dyDescent="0.2">
      <c r="A8" s="10" t="s">
        <v>64</v>
      </c>
      <c r="B8" s="10" t="s">
        <v>65</v>
      </c>
    </row>
    <row r="9" spans="1:2" ht="17" x14ac:dyDescent="0.2">
      <c r="A9" s="11" t="s">
        <v>66</v>
      </c>
      <c r="B9" s="11" t="s">
        <v>67</v>
      </c>
    </row>
    <row r="10" spans="1:2" ht="34" x14ac:dyDescent="0.2">
      <c r="A10" s="10" t="s">
        <v>68</v>
      </c>
      <c r="B10" s="10" t="s">
        <v>69</v>
      </c>
    </row>
    <row r="11" spans="1:2" ht="34" x14ac:dyDescent="0.2">
      <c r="A11" s="11" t="s">
        <v>70</v>
      </c>
      <c r="B11" s="11" t="s">
        <v>71</v>
      </c>
    </row>
    <row r="12" spans="1:2" ht="17" x14ac:dyDescent="0.2">
      <c r="A12" s="10" t="s">
        <v>72</v>
      </c>
      <c r="B12" s="10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BD7D-5232-5D46-ADD4-06C480DB71B7}">
  <dimension ref="B4:H79"/>
  <sheetViews>
    <sheetView tabSelected="1" topLeftCell="A25" zoomScale="241" workbookViewId="0">
      <selection activeCell="C32" sqref="C32"/>
    </sheetView>
  </sheetViews>
  <sheetFormatPr baseColWidth="10" defaultRowHeight="16" x14ac:dyDescent="0.2"/>
  <sheetData>
    <row r="4" spans="3:6" x14ac:dyDescent="0.2">
      <c r="C4" s="1" t="s">
        <v>4</v>
      </c>
      <c r="D4" s="1" t="s">
        <v>5</v>
      </c>
      <c r="E4" s="1" t="s">
        <v>6</v>
      </c>
      <c r="F4" s="1" t="s">
        <v>7</v>
      </c>
    </row>
    <row r="5" spans="3:6" x14ac:dyDescent="0.2">
      <c r="C5" s="2">
        <v>1201</v>
      </c>
      <c r="D5" s="2" t="s">
        <v>8</v>
      </c>
      <c r="E5" s="2" t="s">
        <v>9</v>
      </c>
      <c r="F5" s="2" t="s">
        <v>10</v>
      </c>
    </row>
    <row r="6" spans="3:6" x14ac:dyDescent="0.2">
      <c r="C6" s="2">
        <v>1202</v>
      </c>
      <c r="D6" s="2" t="s">
        <v>11</v>
      </c>
      <c r="E6" s="2" t="s">
        <v>12</v>
      </c>
      <c r="F6" s="2" t="s">
        <v>13</v>
      </c>
    </row>
    <row r="7" spans="3:6" x14ac:dyDescent="0.2">
      <c r="C7" s="2">
        <v>1203</v>
      </c>
      <c r="D7" s="2" t="s">
        <v>14</v>
      </c>
      <c r="E7" s="2" t="s">
        <v>15</v>
      </c>
      <c r="F7" s="2" t="s">
        <v>16</v>
      </c>
    </row>
    <row r="8" spans="3:6" x14ac:dyDescent="0.2">
      <c r="C8" s="2">
        <v>1204</v>
      </c>
      <c r="D8" s="2" t="s">
        <v>17</v>
      </c>
      <c r="E8" s="2" t="s">
        <v>18</v>
      </c>
      <c r="F8" s="2" t="s">
        <v>19</v>
      </c>
    </row>
    <row r="9" spans="3:6" x14ac:dyDescent="0.2">
      <c r="C9" s="2">
        <v>1205</v>
      </c>
      <c r="D9" s="2" t="s">
        <v>20</v>
      </c>
      <c r="E9" s="2" t="s">
        <v>21</v>
      </c>
      <c r="F9" s="2" t="s">
        <v>22</v>
      </c>
    </row>
    <row r="10" spans="3:6" x14ac:dyDescent="0.2">
      <c r="C10" s="2">
        <v>1206</v>
      </c>
      <c r="D10" s="2" t="s">
        <v>23</v>
      </c>
      <c r="E10" s="2" t="s">
        <v>24</v>
      </c>
      <c r="F10" s="2" t="s">
        <v>25</v>
      </c>
    </row>
    <row r="13" spans="3:6" x14ac:dyDescent="0.2">
      <c r="C13" s="5" t="s">
        <v>26</v>
      </c>
      <c r="D13" s="6" t="s">
        <v>74</v>
      </c>
    </row>
    <row r="14" spans="3:6" x14ac:dyDescent="0.2">
      <c r="C14" s="4">
        <v>1214</v>
      </c>
      <c r="D14" s="4" t="str">
        <f>_xlfn.XLOOKUP(C14,C5:C10,E5:E10,"Student Id Not present")</f>
        <v>Student Id Not present</v>
      </c>
    </row>
    <row r="15" spans="3:6" x14ac:dyDescent="0.2">
      <c r="D15" t="str">
        <f ca="1">_xlfn.FORMULATEXT(D14)</f>
        <v>=XLOOKUP(C14,C5:C10,E5:E10,"Student Id Not present")</v>
      </c>
    </row>
    <row r="17" spans="3:6" x14ac:dyDescent="0.2">
      <c r="C17" s="6" t="s">
        <v>5</v>
      </c>
      <c r="D17" s="6" t="s">
        <v>4</v>
      </c>
    </row>
    <row r="18" spans="3:6" x14ac:dyDescent="0.2">
      <c r="C18" s="2" t="s">
        <v>20</v>
      </c>
      <c r="D18" s="4">
        <f>_xlfn.XLOOKUP(C18,D5:D10,C5:C10)</f>
        <v>1205</v>
      </c>
    </row>
    <row r="19" spans="3:6" x14ac:dyDescent="0.2">
      <c r="D19" t="str">
        <f ca="1">_xlfn.FORMULATEXT(D18)</f>
        <v>=XLOOKUP(C18,D5:D10,C5:C10)</v>
      </c>
    </row>
    <row r="23" spans="3:6" x14ac:dyDescent="0.2">
      <c r="C23" s="1" t="s">
        <v>4</v>
      </c>
      <c r="D23" s="1" t="s">
        <v>5</v>
      </c>
      <c r="E23" s="1" t="s">
        <v>6</v>
      </c>
      <c r="F23" s="1" t="s">
        <v>7</v>
      </c>
    </row>
    <row r="24" spans="3:6" x14ac:dyDescent="0.2">
      <c r="C24" s="2">
        <v>1201</v>
      </c>
      <c r="D24" s="2" t="s">
        <v>8</v>
      </c>
      <c r="E24" s="2" t="s">
        <v>9</v>
      </c>
      <c r="F24" s="2" t="s">
        <v>10</v>
      </c>
    </row>
    <row r="25" spans="3:6" x14ac:dyDescent="0.2">
      <c r="C25" s="2">
        <v>1202</v>
      </c>
      <c r="D25" s="2" t="s">
        <v>11</v>
      </c>
      <c r="E25" s="2" t="s">
        <v>12</v>
      </c>
      <c r="F25" s="2" t="s">
        <v>13</v>
      </c>
    </row>
    <row r="26" spans="3:6" x14ac:dyDescent="0.2">
      <c r="C26" s="2">
        <v>1203</v>
      </c>
      <c r="D26" s="2" t="s">
        <v>14</v>
      </c>
      <c r="E26" s="2" t="s">
        <v>15</v>
      </c>
      <c r="F26" s="2" t="s">
        <v>16</v>
      </c>
    </row>
    <row r="27" spans="3:6" x14ac:dyDescent="0.2">
      <c r="C27" s="2">
        <v>1204</v>
      </c>
      <c r="D27" s="2" t="s">
        <v>17</v>
      </c>
      <c r="E27" s="2" t="s">
        <v>18</v>
      </c>
      <c r="F27" s="2" t="s">
        <v>19</v>
      </c>
    </row>
    <row r="28" spans="3:6" x14ac:dyDescent="0.2">
      <c r="C28" s="2">
        <v>1205</v>
      </c>
      <c r="D28" s="2" t="s">
        <v>20</v>
      </c>
      <c r="E28" s="2" t="s">
        <v>21</v>
      </c>
      <c r="F28" s="2" t="s">
        <v>22</v>
      </c>
    </row>
    <row r="29" spans="3:6" x14ac:dyDescent="0.2">
      <c r="C29" s="2">
        <v>1203</v>
      </c>
      <c r="D29" s="2" t="s">
        <v>23</v>
      </c>
      <c r="E29" s="2" t="s">
        <v>24</v>
      </c>
      <c r="F29" s="2" t="s">
        <v>25</v>
      </c>
    </row>
    <row r="33" spans="2:8" x14ac:dyDescent="0.2">
      <c r="C33" s="5" t="s">
        <v>26</v>
      </c>
      <c r="D33" s="6" t="s">
        <v>5</v>
      </c>
    </row>
    <row r="34" spans="2:8" x14ac:dyDescent="0.2">
      <c r="C34" s="4">
        <v>1203</v>
      </c>
      <c r="D34" s="4" t="str" cm="1">
        <f t="array" ref="D34:E34">_xlfn.XLOOKUP(C34,C24:C29,D24:E29,"Student Id Not present",,-1)</f>
        <v>Sonam</v>
      </c>
      <c r="E34" t="str">
        <v>MBA Ops</v>
      </c>
    </row>
    <row r="35" spans="2:8" x14ac:dyDescent="0.2">
      <c r="D35" t="str">
        <f ca="1">_xlfn.FORMULATEXT(D34)</f>
        <v>=XLOOKUP(C34,C24:C29,D24:E29,"Student Id Not present",,-1)</v>
      </c>
    </row>
    <row r="41" spans="2:8" x14ac:dyDescent="0.2">
      <c r="B41" t="s">
        <v>75</v>
      </c>
    </row>
    <row r="45" spans="2:8" x14ac:dyDescent="0.2">
      <c r="C45" s="5">
        <v>2</v>
      </c>
      <c r="D45" s="5">
        <v>5</v>
      </c>
      <c r="E45" s="5">
        <v>8</v>
      </c>
      <c r="F45" s="5">
        <v>9</v>
      </c>
      <c r="G45" s="5">
        <v>13</v>
      </c>
      <c r="H45" s="5">
        <v>17</v>
      </c>
    </row>
    <row r="69" spans="2:8" x14ac:dyDescent="0.2">
      <c r="B69" s="1" t="s">
        <v>4</v>
      </c>
      <c r="C69" s="1" t="s">
        <v>5</v>
      </c>
      <c r="D69" s="1" t="s">
        <v>6</v>
      </c>
      <c r="E69" s="1" t="s">
        <v>7</v>
      </c>
    </row>
    <row r="70" spans="2:8" x14ac:dyDescent="0.2">
      <c r="B70" s="2">
        <v>1201</v>
      </c>
      <c r="C70" s="2" t="s">
        <v>8</v>
      </c>
      <c r="D70" s="2" t="s">
        <v>9</v>
      </c>
      <c r="E70" s="2" t="s">
        <v>10</v>
      </c>
    </row>
    <row r="71" spans="2:8" x14ac:dyDescent="0.2">
      <c r="B71" s="2">
        <v>1202</v>
      </c>
      <c r="C71" s="2" t="s">
        <v>11</v>
      </c>
      <c r="D71" s="2" t="s">
        <v>12</v>
      </c>
      <c r="E71" s="2" t="s">
        <v>13</v>
      </c>
      <c r="G71" s="13" t="s">
        <v>76</v>
      </c>
      <c r="H71" s="13" t="s">
        <v>77</v>
      </c>
    </row>
    <row r="72" spans="2:8" x14ac:dyDescent="0.2">
      <c r="B72" s="2">
        <v>1203</v>
      </c>
      <c r="C72" s="2" t="s">
        <v>14</v>
      </c>
      <c r="D72" s="2" t="s">
        <v>15</v>
      </c>
      <c r="E72" s="2" t="s">
        <v>16</v>
      </c>
      <c r="H72" s="14" t="s">
        <v>78</v>
      </c>
    </row>
    <row r="73" spans="2:8" x14ac:dyDescent="0.2">
      <c r="B73" s="2">
        <v>1204</v>
      </c>
      <c r="C73" s="2" t="s">
        <v>17</v>
      </c>
      <c r="D73" s="2" t="s">
        <v>18</v>
      </c>
      <c r="E73" s="2" t="s">
        <v>19</v>
      </c>
    </row>
    <row r="74" spans="2:8" x14ac:dyDescent="0.2">
      <c r="B74" s="2">
        <v>1205</v>
      </c>
      <c r="C74" s="2" t="s">
        <v>20</v>
      </c>
      <c r="D74" s="2" t="s">
        <v>21</v>
      </c>
      <c r="E74" s="2" t="s">
        <v>22</v>
      </c>
    </row>
    <row r="75" spans="2:8" x14ac:dyDescent="0.2">
      <c r="B75" s="2">
        <v>1203</v>
      </c>
      <c r="C75" s="2" t="s">
        <v>23</v>
      </c>
      <c r="D75" s="2" t="s">
        <v>24</v>
      </c>
      <c r="E75" s="2" t="s">
        <v>25</v>
      </c>
    </row>
    <row r="78" spans="2:8" x14ac:dyDescent="0.2">
      <c r="C78" s="6" t="s">
        <v>5</v>
      </c>
      <c r="D78" s="5" t="s">
        <v>26</v>
      </c>
    </row>
    <row r="79" spans="2:8" x14ac:dyDescent="0.2">
      <c r="C79" s="2" t="s">
        <v>79</v>
      </c>
      <c r="D79" s="4" t="str">
        <f>_xlfn.XLOOKUP(C79,C70:C75,E70:E75,,2,1)</f>
        <v>Fake num 6</v>
      </c>
      <c r="E79" t="str">
        <f ca="1">_xlfn.FORMULATEXT(D79)</f>
        <v>=XLOOKUP(C79,C70:C75,E70:E75,,2,1)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VLOOKUP</vt:lpstr>
      <vt:lpstr>HLOOKUP</vt:lpstr>
      <vt:lpstr>XLOOKUP_diff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2026-09-27T15:42:03Z</dcterms:created>
  <dcterms:modified xsi:type="dcterms:W3CDTF">2026-09-27T17:15:00Z</dcterms:modified>
</cp:coreProperties>
</file>