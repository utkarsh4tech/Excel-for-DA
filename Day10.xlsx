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8A8503E3-7528-694D-8818-5AFC3ECDE16A}" xr6:coauthVersionLast="47" xr6:coauthVersionMax="47" xr10:uidLastSave="{00000000-0000-0000-0000-000000000000}"/>
  <bookViews>
    <workbookView xWindow="0" yWindow="600" windowWidth="28800" windowHeight="17400" activeTab="2" xr2:uid="{ACC2B344-89E1-CE41-ACA1-D63B1DE8743D}"/>
  </bookViews>
  <sheets>
    <sheet name="agend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" i="2" l="1"/>
  <c r="G129" i="2"/>
  <c r="E101" i="2"/>
  <c r="E97" i="2"/>
  <c r="E102" i="2"/>
  <c r="G102" i="2"/>
  <c r="D105" i="2" a="1"/>
  <c r="G101" i="2"/>
  <c r="G97" i="2"/>
  <c r="D74" i="2"/>
  <c r="D76" i="2" a="1"/>
  <c r="E39" i="2"/>
  <c r="G45" i="2"/>
  <c r="E45" i="2"/>
  <c r="G44" i="2"/>
  <c r="G39" i="2"/>
  <c r="E44" i="2"/>
  <c r="C13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<sst xmlns="http://schemas.openxmlformats.org/spreadsheetml/2006/main" count="161" uniqueCount="84">
  <si>
    <t>VLOOKUP</t>
  </si>
  <si>
    <t>HLOOKUP</t>
  </si>
  <si>
    <t>Student Id</t>
  </si>
  <si>
    <t>Name</t>
  </si>
  <si>
    <t>Course</t>
  </si>
  <si>
    <t>Phn Num</t>
  </si>
  <si>
    <t>Jennifer</t>
  </si>
  <si>
    <t>Bsc Phy</t>
  </si>
  <si>
    <t>Fake num 1</t>
  </si>
  <si>
    <t>Shyaam</t>
  </si>
  <si>
    <t>Bsc Chem</t>
  </si>
  <si>
    <t>Fake num 2</t>
  </si>
  <si>
    <t>Meena</t>
  </si>
  <si>
    <t>Ba History</t>
  </si>
  <si>
    <t>Fake num 3</t>
  </si>
  <si>
    <t>Arjun</t>
  </si>
  <si>
    <t>MBA HR</t>
  </si>
  <si>
    <t>Fake num 4</t>
  </si>
  <si>
    <t>Dolly</t>
  </si>
  <si>
    <t>Ba Soci</t>
  </si>
  <si>
    <t>Fake num 5</t>
  </si>
  <si>
    <t>Sonam</t>
  </si>
  <si>
    <t>MBA Ops</t>
  </si>
  <si>
    <t>Fake num 6</t>
  </si>
  <si>
    <t>student id</t>
  </si>
  <si>
    <t>phn num</t>
  </si>
  <si>
    <t xml:space="preserve">Lookup value </t>
  </si>
  <si>
    <t>Value used to search</t>
  </si>
  <si>
    <t>table array</t>
  </si>
  <si>
    <t>name of tbl</t>
  </si>
  <si>
    <t>address of array</t>
  </si>
  <si>
    <t>XLOOKUP</t>
  </si>
  <si>
    <t>col_idx_num</t>
  </si>
  <si>
    <t>index (position) of returning col</t>
  </si>
  <si>
    <t>IMP</t>
  </si>
  <si>
    <t>We can only lookup in left most Column of given array</t>
  </si>
  <si>
    <t xml:space="preserve">If using EXACT match, the first found value is returned… </t>
  </si>
  <si>
    <t>we can only get right columns in the output</t>
  </si>
  <si>
    <r>
      <t xml:space="preserve">if doing approximate match ( by default) data must be sorted in </t>
    </r>
    <r>
      <rPr>
        <b/>
        <sz val="12"/>
        <color rgb="FF000000"/>
        <rFont val="Aptos Narrow"/>
        <scheme val="minor"/>
      </rPr>
      <t>ascending</t>
    </r>
    <r>
      <rPr>
        <sz val="12"/>
        <color rgb="FF000000"/>
        <rFont val="Aptos Narrow"/>
        <family val="2"/>
        <scheme val="minor"/>
      </rPr>
      <t xml:space="preserve"> orded…</t>
    </r>
  </si>
  <si>
    <t>BE CAREFUL of WHITE SPACE</t>
  </si>
  <si>
    <t>CHOOSECOL</t>
  </si>
  <si>
    <t xml:space="preserve">Student ID </t>
  </si>
  <si>
    <t>search only in TOP MOST row</t>
  </si>
  <si>
    <t>we can only get rows bottom to the search row... in the output</t>
  </si>
  <si>
    <t>if doing approximate match ( by default) data must be sorted in ascending orded…</t>
  </si>
  <si>
    <t>ID</t>
  </si>
  <si>
    <t>mEEna</t>
  </si>
  <si>
    <t>Feature</t>
  </si>
  <si>
    <t>VLOOKUP() / HLOOKUP()</t>
  </si>
  <si>
    <t>XLOOKUP()</t>
  </si>
  <si>
    <t>Default Match Mode</t>
  </si>
  <si>
    <t>Requires specifying FALSE for an exact match.</t>
  </si>
  <si>
    <t>Defaults to exact match.</t>
  </si>
  <si>
    <t>Lookup Direction</t>
  </si>
  <si>
    <t>Only searches to the right of the lookup column.</t>
  </si>
  <si>
    <t>Can search in any direction (left, right, top, bottom).</t>
  </si>
  <si>
    <t>Array References</t>
  </si>
  <si>
    <t>Requires defining the entire data range and column index within a single formula.</t>
  </si>
  <si>
    <t>Allows separate arrays for the lookup value and return values.</t>
  </si>
  <si>
    <t>Horizontal Lookup</t>
  </si>
  <si>
    <t>Does not support horizontal lookups (HLOOKUP() is required).</t>
  </si>
  <si>
    <t>Supports both vertical and horizontal lookups.</t>
  </si>
  <si>
    <t>Handling Column Changes</t>
  </si>
  <si>
    <t>Affected by column insertions/deletions due to hardcoded column indices.</t>
  </si>
  <si>
    <t>Unaffected by column changes, continuing to function without adjustments.</t>
  </si>
  <si>
    <t>Sorting and Searching</t>
  </si>
  <si>
    <t>Limited to sorting in ascending order.</t>
  </si>
  <si>
    <t>Can search in both ascending and descending order using the search_mode argument.</t>
  </si>
  <si>
    <t>Custom Error Messages</t>
  </si>
  <si>
    <t>Displays #N/A error when no match is found.</t>
  </si>
  <si>
    <t>Allows customization of the output message when no match is found.</t>
  </si>
  <si>
    <t>Return Multiple Values</t>
  </si>
  <si>
    <t>Can return only one value at a time.</t>
  </si>
  <si>
    <t>Can retrieve values from multiple columns simultaneously.</t>
  </si>
  <si>
    <t>Search Mode</t>
  </si>
  <si>
    <t>Searches from top to bottom and returns the first match.</t>
  </si>
  <si>
    <t>Can search in both directions (top-down or bottom-up) for faster results in extensive lists.</t>
  </si>
  <si>
    <t>Performance in Large Datasets</t>
  </si>
  <si>
    <t>Can be slower, especially with unsorted data or when range_lookup is FALSE.</t>
  </si>
  <si>
    <t>Better performance, handles large datasets efficiently, and searches without sorting.</t>
  </si>
  <si>
    <t>Compatibility</t>
  </si>
  <si>
    <t>Works with all versions of Excel.</t>
  </si>
  <si>
    <t>Only available in Excel 2021 and Microsoft 365 (from 2019).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</si>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</sst>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22"/>
      <color theme="1"/>
      <name val="Aptos Narrow (Body)"/>
    </font>
    <font>
      <b/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0" fillId="3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5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6" xfId="0" applyFont="1" applyBorder="1"/>
    <xf numFmtId="0" fontId="1" fillId="0" borderId="0" xfId="0" applyFont="1" applyBorder="1"/>
    <xf numFmtId="0" fontId="1" fillId="4" borderId="0" xfId="0" applyFont="1" applyFill="1"/>
    <xf numFmtId="0" fontId="1" fillId="0" borderId="0" xfId="0" applyFont="1"/>
    <xf numFmtId="0" fontId="1" fillId="0" borderId="0" xfId="0" applyFont="1" applyFill="1" applyBorder="1"/>
    <xf numFmtId="0" fontId="0" fillId="3" borderId="0" xfId="0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D0D0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273050</xdr:colOff>
      <xdr:row>47</xdr:row>
      <xdr:rowOff>6350</xdr:rowOff>
    </xdr:from>
    <xdr:to>
      <xdr:col>9</xdr:col>
      <xdr:colOff>349250</xdr:colOff>
      <xdr:row>54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E916D-8A11-4EBA-2779-897A7EB73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550" y="9556750"/>
          <a:ext cx="6680200" cy="14351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2428E-4004-AE48-9B72-7E920EEEAC92}" name="stu_data" displayName="stu_data" ref="D28:G34" totalsRowShown="0" headerRowDxfId="2" dataDxfId="3" headerRowBorderDxfId="8" tableBorderDxfId="9">
  <autoFilter ref="D28:G34" xr:uid="{C9B2428E-4004-AE48-9B72-7E920EEEAC92}"/>
  <tableColumns count="4">
    <tableColumn id="1" xr3:uid="{10B3B944-987F-A746-8832-C55A485710B6}" name="Student Id" dataDxfId="7"/>
    <tableColumn id="2" xr3:uid="{F5806FAD-3AA6-324B-AC5C-AE27541ABB2A}" name="Name" dataDxfId="6"/>
    <tableColumn id="3" xr3:uid="{A466CD77-08C6-0E4F-9160-889497587F6B}" name="Course" dataDxfId="5"/>
    <tableColumn id="4" xr3:uid="{C0A61A54-B234-C546-90E1-0271F3F469F5}" name="Phn Num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03D4D0-E352-D447-A853-170B088E7D1D}" name="Table2" displayName="Table2" ref="A1:C12" totalsRowShown="0">
  <autoFilter ref="A1:C12" xr:uid="{CE03D4D0-E352-D447-A853-170B088E7D1D}"/>
  <tableColumns count="3">
    <tableColumn id="1" xr3:uid="{1CC7B239-32D4-4141-8163-624436238A9B}" name="Feature"/>
    <tableColumn id="2" xr3:uid="{08490F86-F77C-E046-89FA-579D1AAB85FA}" name="VLOOKUP() / HLOOKUP()" dataDxfId="1"/>
    <tableColumn id="3" xr3:uid="{3BF9D86F-E23C-CF40-A47D-7C76834893CD}" name="XLOOKUP(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BB01-3447-8640-9C7B-EC17DA0E8C71}">
  <dimension ref="A3:F28"/>
  <sheetViews>
    <sheetView topLeftCell="A12" zoomScale="261" workbookViewId="0">
      <selection activeCell="B20" sqref="B20:E20"/>
    </sheetView>
  </sheetViews>
  <sheetFormatPr baseColWidth="10" defaultRowHeight="16" x14ac:dyDescent="0.2"/>
  <sheetData>
    <row r="3" spans="1:6" x14ac:dyDescent="0.2">
      <c r="C3" t="s">
        <v>0</v>
      </c>
    </row>
    <row r="5" spans="1:6" x14ac:dyDescent="0.2">
      <c r="C5" t="s">
        <v>1</v>
      </c>
    </row>
    <row r="7" spans="1:6" x14ac:dyDescent="0.2">
      <c r="C7" t="s">
        <v>31</v>
      </c>
    </row>
    <row r="10" spans="1:6" x14ac:dyDescent="0.2">
      <c r="A10" s="5"/>
      <c r="B10" s="5"/>
      <c r="C10" s="5"/>
      <c r="D10" s="5"/>
      <c r="E10" s="5"/>
      <c r="F10" s="5"/>
    </row>
    <row r="13" spans="1:6" x14ac:dyDescent="0.2">
      <c r="C13" s="13" t="s">
        <v>34</v>
      </c>
      <c r="D13" s="14"/>
      <c r="E13" s="14"/>
    </row>
    <row r="14" spans="1:6" x14ac:dyDescent="0.2">
      <c r="C14" s="14" t="s">
        <v>35</v>
      </c>
      <c r="D14" s="14"/>
      <c r="E14" s="14"/>
    </row>
    <row r="15" spans="1:6" x14ac:dyDescent="0.2">
      <c r="C15" s="14" t="s">
        <v>36</v>
      </c>
      <c r="D15" s="14"/>
      <c r="E15" s="14"/>
    </row>
    <row r="16" spans="1:6" x14ac:dyDescent="0.2">
      <c r="C16" s="14" t="s">
        <v>37</v>
      </c>
      <c r="D16" s="14"/>
      <c r="E16" s="14"/>
    </row>
    <row r="17" spans="3:5" x14ac:dyDescent="0.2">
      <c r="C17" s="14" t="s">
        <v>38</v>
      </c>
      <c r="D17" s="14"/>
      <c r="E17" s="14"/>
    </row>
    <row r="18" spans="3:5" x14ac:dyDescent="0.2">
      <c r="C18" s="14"/>
      <c r="D18" s="14"/>
      <c r="E18" s="14"/>
    </row>
    <row r="19" spans="3:5" x14ac:dyDescent="0.2">
      <c r="C19" s="14"/>
      <c r="D19" s="14"/>
      <c r="E19" s="14"/>
    </row>
    <row r="20" spans="3:5" x14ac:dyDescent="0.2">
      <c r="C20" s="14" t="s">
        <v>39</v>
      </c>
      <c r="D20" s="14"/>
      <c r="E20" s="14"/>
    </row>
    <row r="24" spans="3:5" x14ac:dyDescent="0.2">
      <c r="C24" s="13" t="s">
        <v>34</v>
      </c>
      <c r="D24" s="14"/>
    </row>
    <row r="25" spans="3:5" x14ac:dyDescent="0.2">
      <c r="C25" s="14" t="s">
        <v>42</v>
      </c>
      <c r="D25" s="14"/>
    </row>
    <row r="26" spans="3:5" x14ac:dyDescent="0.2">
      <c r="C26" s="14" t="s">
        <v>36</v>
      </c>
      <c r="D26" s="14"/>
    </row>
    <row r="27" spans="3:5" x14ac:dyDescent="0.2">
      <c r="C27" s="14" t="s">
        <v>43</v>
      </c>
      <c r="D27" s="14"/>
    </row>
    <row r="28" spans="3:5" x14ac:dyDescent="0.2">
      <c r="C28" s="14" t="s">
        <v>44</v>
      </c>
      <c r="D2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8D5D-D7E2-C546-8C80-664951085DFE}">
  <dimension ref="A3:L129"/>
  <sheetViews>
    <sheetView topLeftCell="B116" zoomScale="207" workbookViewId="0">
      <selection activeCell="E130" sqref="E130"/>
    </sheetView>
  </sheetViews>
  <sheetFormatPr baseColWidth="10" defaultRowHeight="16" x14ac:dyDescent="0.2"/>
  <sheetData>
    <row r="3" spans="3:9" x14ac:dyDescent="0.2">
      <c r="C3" s="1" t="s">
        <v>2</v>
      </c>
      <c r="D3" s="2" t="s">
        <v>3</v>
      </c>
      <c r="E3" s="2" t="s">
        <v>4</v>
      </c>
      <c r="F3" s="2" t="s">
        <v>5</v>
      </c>
    </row>
    <row r="4" spans="3:9" x14ac:dyDescent="0.2">
      <c r="C4" s="3">
        <v>1201</v>
      </c>
      <c r="D4" s="4" t="s">
        <v>6</v>
      </c>
      <c r="E4" s="4" t="s">
        <v>7</v>
      </c>
      <c r="F4" s="4" t="s">
        <v>8</v>
      </c>
    </row>
    <row r="5" spans="3:9" x14ac:dyDescent="0.2">
      <c r="C5" s="3">
        <v>1202</v>
      </c>
      <c r="D5" s="4" t="s">
        <v>9</v>
      </c>
      <c r="E5" s="4" t="s">
        <v>10</v>
      </c>
      <c r="F5" s="4" t="s">
        <v>11</v>
      </c>
    </row>
    <row r="6" spans="3:9" x14ac:dyDescent="0.2">
      <c r="C6" s="3">
        <v>1203</v>
      </c>
      <c r="D6" s="4" t="s">
        <v>12</v>
      </c>
      <c r="E6" s="4" t="s">
        <v>13</v>
      </c>
      <c r="F6" s="4" t="s">
        <v>14</v>
      </c>
    </row>
    <row r="7" spans="3:9" x14ac:dyDescent="0.2">
      <c r="C7" s="3">
        <v>1204</v>
      </c>
      <c r="D7" s="4" t="s">
        <v>15</v>
      </c>
      <c r="E7" s="4" t="s">
        <v>16</v>
      </c>
      <c r="F7" s="4" t="s">
        <v>17</v>
      </c>
    </row>
    <row r="8" spans="3:9" x14ac:dyDescent="0.2">
      <c r="C8" s="3">
        <v>1205</v>
      </c>
      <c r="D8" s="4" t="s">
        <v>18</v>
      </c>
      <c r="E8" s="4" t="s">
        <v>19</v>
      </c>
      <c r="F8" s="4" t="s">
        <v>20</v>
      </c>
    </row>
    <row r="9" spans="3:9" x14ac:dyDescent="0.2">
      <c r="C9" s="3">
        <v>1206</v>
      </c>
      <c r="D9" s="4" t="s">
        <v>21</v>
      </c>
      <c r="E9" s="4" t="s">
        <v>22</v>
      </c>
      <c r="F9" s="4" t="s">
        <v>23</v>
      </c>
    </row>
    <row r="13" spans="3:9" x14ac:dyDescent="0.2">
      <c r="C13" t="str" cm="1">
        <f t="array" ref="C13:I16">TRANSPOSE(C3:F9)</f>
        <v>Student Id</v>
      </c>
      <c r="D13">
        <v>1201</v>
      </c>
      <c r="E13">
        <v>1202</v>
      </c>
      <c r="F13">
        <v>1203</v>
      </c>
      <c r="G13">
        <v>1204</v>
      </c>
      <c r="H13">
        <v>1205</v>
      </c>
      <c r="I13">
        <v>1206</v>
      </c>
    </row>
    <row r="14" spans="3:9" x14ac:dyDescent="0.2">
      <c r="C14" t="str">
        <v>Name</v>
      </c>
      <c r="D14" t="str">
        <v>Jennifer</v>
      </c>
      <c r="E14" t="str">
        <v>Shyaam</v>
      </c>
      <c r="F14" t="str">
        <v>Meena</v>
      </c>
      <c r="G14" t="str">
        <v>Arjun</v>
      </c>
      <c r="H14" t="str">
        <v>Dolly</v>
      </c>
      <c r="I14" t="str">
        <v>Sonam</v>
      </c>
    </row>
    <row r="15" spans="3:9" x14ac:dyDescent="0.2">
      <c r="C15" t="str">
        <v>Course</v>
      </c>
      <c r="D15" t="str">
        <v>Bsc Phy</v>
      </c>
      <c r="E15" t="str">
        <v>Bsc Chem</v>
      </c>
      <c r="F15" t="str">
        <v>Ba History</v>
      </c>
      <c r="G15" t="str">
        <v>MBA HR</v>
      </c>
      <c r="H15" t="str">
        <v>Ba Soci</v>
      </c>
      <c r="I15" t="str">
        <v>MBA Ops</v>
      </c>
    </row>
    <row r="16" spans="3:9" x14ac:dyDescent="0.2">
      <c r="C16" t="str">
        <v>Phn Num</v>
      </c>
      <c r="D16" t="str">
        <v>Fake num 1</v>
      </c>
      <c r="E16" t="str">
        <v>Fake num 2</v>
      </c>
      <c r="F16" t="str">
        <v>Fake num 3</v>
      </c>
      <c r="G16" t="str">
        <v>Fake num 4</v>
      </c>
      <c r="H16" t="str">
        <v>Fake num 5</v>
      </c>
      <c r="I16" t="str">
        <v>Fake num 6</v>
      </c>
    </row>
    <row r="20" spans="1:12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3" spans="1:12" x14ac:dyDescent="0.2">
      <c r="B23" s="7" t="s">
        <v>0</v>
      </c>
      <c r="C23" s="6"/>
      <c r="D23" s="6"/>
    </row>
    <row r="24" spans="1:12" x14ac:dyDescent="0.2">
      <c r="B24" s="6"/>
      <c r="C24" s="6"/>
      <c r="D24" s="6"/>
    </row>
    <row r="28" spans="1:12" x14ac:dyDescent="0.2">
      <c r="D28" s="9" t="s">
        <v>2</v>
      </c>
      <c r="E28" s="9" t="s">
        <v>3</v>
      </c>
      <c r="F28" s="9" t="s">
        <v>4</v>
      </c>
      <c r="G28" s="10" t="s">
        <v>5</v>
      </c>
    </row>
    <row r="29" spans="1:12" x14ac:dyDescent="0.2">
      <c r="D29" s="4">
        <v>1201</v>
      </c>
      <c r="E29" s="4" t="s">
        <v>6</v>
      </c>
      <c r="F29" s="4" t="s">
        <v>7</v>
      </c>
      <c r="G29" s="8" t="s">
        <v>8</v>
      </c>
    </row>
    <row r="30" spans="1:12" x14ac:dyDescent="0.2">
      <c r="D30" s="4">
        <v>1202</v>
      </c>
      <c r="E30" s="4" t="s">
        <v>9</v>
      </c>
      <c r="F30" s="4" t="s">
        <v>10</v>
      </c>
      <c r="G30" s="8" t="s">
        <v>11</v>
      </c>
    </row>
    <row r="31" spans="1:12" x14ac:dyDescent="0.2">
      <c r="D31" s="4">
        <v>1203</v>
      </c>
      <c r="E31" s="4" t="s">
        <v>12</v>
      </c>
      <c r="F31" s="4" t="s">
        <v>13</v>
      </c>
      <c r="G31" s="8" t="s">
        <v>14</v>
      </c>
    </row>
    <row r="32" spans="1:12" x14ac:dyDescent="0.2">
      <c r="D32" s="4">
        <v>1204</v>
      </c>
      <c r="E32" s="4" t="s">
        <v>15</v>
      </c>
      <c r="F32" s="4" t="s">
        <v>16</v>
      </c>
      <c r="G32" s="8" t="s">
        <v>17</v>
      </c>
    </row>
    <row r="33" spans="4:7" x14ac:dyDescent="0.2">
      <c r="D33" s="4">
        <v>1205</v>
      </c>
      <c r="E33" s="4" t="s">
        <v>18</v>
      </c>
      <c r="F33" s="4" t="s">
        <v>19</v>
      </c>
      <c r="G33" s="8" t="s">
        <v>20</v>
      </c>
    </row>
    <row r="34" spans="4:7" x14ac:dyDescent="0.2">
      <c r="D34" s="11">
        <v>1206</v>
      </c>
      <c r="E34" s="11" t="s">
        <v>21</v>
      </c>
      <c r="F34" s="11" t="s">
        <v>22</v>
      </c>
      <c r="G34" s="12" t="s">
        <v>23</v>
      </c>
    </row>
    <row r="38" spans="4:7" x14ac:dyDescent="0.2">
      <c r="D38" t="s">
        <v>24</v>
      </c>
      <c r="E38" t="s">
        <v>25</v>
      </c>
    </row>
    <row r="39" spans="4:7" x14ac:dyDescent="0.2">
      <c r="D39">
        <v>1201</v>
      </c>
      <c r="E39" t="str">
        <f>INDEX($G$29:$G$34,MATCH($D$39,$D$29:$D$34,0))</f>
        <v>Fake num 1</v>
      </c>
      <c r="G39" t="str">
        <f ca="1">_xlfn.FORMULATEXT(E39)</f>
        <v>=INDEX($G$29:$G$34,MATCH($D$39,$D$29:$D$34,0))</v>
      </c>
    </row>
    <row r="43" spans="4:7" x14ac:dyDescent="0.2">
      <c r="D43" t="s">
        <v>24</v>
      </c>
      <c r="E43" t="s">
        <v>25</v>
      </c>
    </row>
    <row r="44" spans="4:7" x14ac:dyDescent="0.2">
      <c r="D44">
        <v>1201</v>
      </c>
      <c r="E44" t="str">
        <f>VLOOKUP(D44,D28:G34,4,FALSE)</f>
        <v>Fake num 1</v>
      </c>
      <c r="G44" t="str">
        <f ca="1">_xlfn.FORMULATEXT(E44)</f>
        <v>=VLOOKUP(D44,D28:G34,4,FALSE)</v>
      </c>
    </row>
    <row r="45" spans="4:7" x14ac:dyDescent="0.2">
      <c r="E45" t="str">
        <f>VLOOKUP(D44,stu_data[],4,FALSE)</f>
        <v>Fake num 1</v>
      </c>
      <c r="G45" t="str">
        <f ca="1">_xlfn.FORMULATEXT(E45)</f>
        <v>=VLOOKUP(D44,stu_data,4,FALSE)</v>
      </c>
    </row>
    <row r="59" spans="3:5" x14ac:dyDescent="0.2">
      <c r="C59" t="s">
        <v>26</v>
      </c>
      <c r="E59" t="s">
        <v>27</v>
      </c>
    </row>
    <row r="62" spans="3:5" x14ac:dyDescent="0.2">
      <c r="C62" t="s">
        <v>28</v>
      </c>
      <c r="E62" t="s">
        <v>29</v>
      </c>
    </row>
    <row r="63" spans="3:5" x14ac:dyDescent="0.2">
      <c r="E63" t="s">
        <v>30</v>
      </c>
    </row>
    <row r="67" spans="2:6" x14ac:dyDescent="0.2">
      <c r="C67" t="s">
        <v>32</v>
      </c>
      <c r="E67" t="s">
        <v>33</v>
      </c>
    </row>
    <row r="72" spans="2:6" x14ac:dyDescent="0.2">
      <c r="B72" s="16" t="s">
        <v>40</v>
      </c>
      <c r="C72" s="16"/>
    </row>
    <row r="73" spans="2:6" x14ac:dyDescent="0.2">
      <c r="B73" s="16"/>
      <c r="C73" s="16"/>
    </row>
    <row r="74" spans="2:6" x14ac:dyDescent="0.2">
      <c r="D74" t="str">
        <f ca="1">_xlfn.FORMULATEXT(D76)</f>
        <v>=CHOOSECOLS(stu_data,{2,1,4})</v>
      </c>
    </row>
    <row r="76" spans="2:6" x14ac:dyDescent="0.2">
      <c r="D76" t="str" cm="1">
        <f t="array" ref="D76:F81">_xlfn.CHOOSECOLS(stu_data[],{2,1,4})</f>
        <v>Jennifer</v>
      </c>
      <c r="E76">
        <v>1201</v>
      </c>
      <c r="F76" t="str">
        <v>Fake num 1</v>
      </c>
    </row>
    <row r="77" spans="2:6" x14ac:dyDescent="0.2">
      <c r="D77" t="str">
        <v>Shyaam</v>
      </c>
      <c r="E77">
        <v>1202</v>
      </c>
      <c r="F77" t="str">
        <v>Fake num 2</v>
      </c>
    </row>
    <row r="78" spans="2:6" x14ac:dyDescent="0.2">
      <c r="D78" t="str">
        <v>Meena</v>
      </c>
      <c r="E78">
        <v>1203</v>
      </c>
      <c r="F78" t="str">
        <v>Fake num 3</v>
      </c>
    </row>
    <row r="79" spans="2:6" x14ac:dyDescent="0.2">
      <c r="D79" t="str">
        <v>Arjun</v>
      </c>
      <c r="E79">
        <v>1204</v>
      </c>
      <c r="F79" t="str">
        <v>Fake num 4</v>
      </c>
    </row>
    <row r="80" spans="2:6" x14ac:dyDescent="0.2">
      <c r="D80" t="str">
        <v>Dolly</v>
      </c>
      <c r="E80">
        <v>1205</v>
      </c>
      <c r="F80" t="str">
        <v>Fake num 5</v>
      </c>
    </row>
    <row r="81" spans="1:9" x14ac:dyDescent="0.2">
      <c r="D81" t="str">
        <v>Sonam</v>
      </c>
      <c r="E81">
        <v>1206</v>
      </c>
      <c r="F81" t="str">
        <v>Fake num 6</v>
      </c>
    </row>
    <row r="86" spans="1:9" x14ac:dyDescent="0.2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">
      <c r="A87" s="5"/>
      <c r="B87" s="5"/>
      <c r="C87" s="5"/>
      <c r="D87" s="5"/>
      <c r="E87" s="5"/>
      <c r="F87" s="5"/>
      <c r="G87" s="5"/>
      <c r="H87" s="5"/>
      <c r="I87" s="5"/>
    </row>
    <row r="90" spans="1:9" x14ac:dyDescent="0.2">
      <c r="C90" s="1" t="s">
        <v>2</v>
      </c>
      <c r="D90" s="3">
        <v>1201</v>
      </c>
      <c r="E90" s="3">
        <v>1202</v>
      </c>
      <c r="F90" s="3">
        <v>1203</v>
      </c>
      <c r="G90" s="3">
        <v>1204</v>
      </c>
      <c r="H90" s="3">
        <v>1205</v>
      </c>
      <c r="I90" s="3">
        <v>1206</v>
      </c>
    </row>
    <row r="91" spans="1:9" x14ac:dyDescent="0.2">
      <c r="C91" s="2" t="s">
        <v>3</v>
      </c>
      <c r="D91" s="4" t="s">
        <v>6</v>
      </c>
      <c r="E91" s="4" t="s">
        <v>9</v>
      </c>
      <c r="F91" s="4" t="s">
        <v>12</v>
      </c>
      <c r="G91" s="4" t="s">
        <v>15</v>
      </c>
      <c r="H91" s="4" t="s">
        <v>18</v>
      </c>
      <c r="I91" s="4" t="s">
        <v>21</v>
      </c>
    </row>
    <row r="92" spans="1:9" x14ac:dyDescent="0.2">
      <c r="C92" s="2" t="s">
        <v>4</v>
      </c>
      <c r="D92" s="4" t="s">
        <v>7</v>
      </c>
      <c r="E92" s="4" t="s">
        <v>10</v>
      </c>
      <c r="F92" s="4" t="s">
        <v>13</v>
      </c>
      <c r="G92" s="4" t="s">
        <v>16</v>
      </c>
      <c r="H92" s="4" t="s">
        <v>19</v>
      </c>
      <c r="I92" s="4" t="s">
        <v>22</v>
      </c>
    </row>
    <row r="93" spans="1:9" x14ac:dyDescent="0.2">
      <c r="C93" s="2" t="s">
        <v>5</v>
      </c>
      <c r="D93" s="4" t="s">
        <v>8</v>
      </c>
      <c r="E93" s="4" t="s">
        <v>11</v>
      </c>
      <c r="F93" s="4" t="s">
        <v>14</v>
      </c>
      <c r="G93" s="4" t="s">
        <v>17</v>
      </c>
      <c r="H93" s="4" t="s">
        <v>20</v>
      </c>
      <c r="I93" s="4" t="s">
        <v>23</v>
      </c>
    </row>
    <row r="96" spans="1:9" x14ac:dyDescent="0.2">
      <c r="D96" s="15" t="s">
        <v>41</v>
      </c>
      <c r="E96">
        <v>1202</v>
      </c>
    </row>
    <row r="97" spans="2:11" x14ac:dyDescent="0.2">
      <c r="D97" s="15" t="s">
        <v>5</v>
      </c>
      <c r="E97" t="str">
        <f>HLOOKUP(E96,$C$90:$I$93,4,0)</f>
        <v>Fake num 2</v>
      </c>
      <c r="G97" t="str">
        <f ca="1">_xlfn.FORMULATEXT(E97)</f>
        <v>=HLOOKUP(E96,$C$90:$I$93,4,0)</v>
      </c>
    </row>
    <row r="100" spans="2:11" x14ac:dyDescent="0.2">
      <c r="D100" t="s">
        <v>3</v>
      </c>
      <c r="E100" t="s">
        <v>46</v>
      </c>
    </row>
    <row r="101" spans="2:11" x14ac:dyDescent="0.2">
      <c r="D101" t="s">
        <v>5</v>
      </c>
      <c r="E101" t="str">
        <f>HLOOKUP(E100,C91:I93,3,0)</f>
        <v>Fake num 3</v>
      </c>
      <c r="G101" t="str">
        <f ca="1">_xlfn.FORMULATEXT(E101)</f>
        <v>=HLOOKUP(E100,C91:I93,3,0)</v>
      </c>
    </row>
    <row r="102" spans="2:11" x14ac:dyDescent="0.2">
      <c r="D102" t="s">
        <v>45</v>
      </c>
      <c r="E102">
        <f>HLOOKUP(E100,_xlfn.CHOOSEROWS(C90:I93,{2,3,4,1}),4,0)</f>
        <v>1203</v>
      </c>
      <c r="G102" t="str">
        <f ca="1">_xlfn.FORMULATEXT(E102)</f>
        <v>=HLOOKUP(E100,CHOOSEROWS(C90:I93,{2,3,4,1}),4,0)</v>
      </c>
    </row>
    <row r="105" spans="2:11" x14ac:dyDescent="0.2">
      <c r="D105" t="str" cm="1">
        <f t="array" ref="D105:J108">_xlfn.CHOOSEROWS(C90:I93,{2,3,4,1})</f>
        <v>Name</v>
      </c>
      <c r="E105" t="str">
        <v>Jennifer</v>
      </c>
      <c r="F105" t="str">
        <v>Shyaam</v>
      </c>
      <c r="G105" t="str">
        <v>Meena</v>
      </c>
      <c r="H105" t="str">
        <v>Arjun</v>
      </c>
      <c r="I105" t="str">
        <v>Dolly</v>
      </c>
      <c r="J105" t="str">
        <v>Sonam</v>
      </c>
    </row>
    <row r="106" spans="2:11" x14ac:dyDescent="0.2">
      <c r="D106" t="str">
        <v>Course</v>
      </c>
      <c r="E106" t="str">
        <v>Bsc Phy</v>
      </c>
      <c r="F106" t="str">
        <v>Bsc Chem</v>
      </c>
      <c r="G106" t="str">
        <v>Ba History</v>
      </c>
      <c r="H106" t="str">
        <v>MBA HR</v>
      </c>
      <c r="I106" t="str">
        <v>Ba Soci</v>
      </c>
      <c r="J106" t="str">
        <v>MBA Ops</v>
      </c>
    </row>
    <row r="107" spans="2:11" x14ac:dyDescent="0.2">
      <c r="D107" t="str">
        <v>Phn Num</v>
      </c>
      <c r="E107" t="str">
        <v>Fake num 1</v>
      </c>
      <c r="F107" t="str">
        <v>Fake num 2</v>
      </c>
      <c r="G107" t="str">
        <v>Fake num 3</v>
      </c>
      <c r="H107" t="str">
        <v>Fake num 4</v>
      </c>
      <c r="I107" t="str">
        <v>Fake num 5</v>
      </c>
      <c r="J107" t="str">
        <v>Fake num 6</v>
      </c>
    </row>
    <row r="108" spans="2:11" x14ac:dyDescent="0.2">
      <c r="D108" t="str">
        <v>Student Id</v>
      </c>
      <c r="E108">
        <v>1201</v>
      </c>
      <c r="F108">
        <v>1202</v>
      </c>
      <c r="G108">
        <v>1203</v>
      </c>
      <c r="H108">
        <v>1204</v>
      </c>
      <c r="I108">
        <v>1205</v>
      </c>
      <c r="J108">
        <v>1206</v>
      </c>
    </row>
    <row r="111" spans="2:1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2:1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4" spans="2:7" x14ac:dyDescent="0.2">
      <c r="B114" s="6" t="s">
        <v>31</v>
      </c>
      <c r="C114" s="6"/>
    </row>
    <row r="115" spans="2:7" x14ac:dyDescent="0.2">
      <c r="B115" s="6"/>
      <c r="C115" s="6"/>
    </row>
    <row r="117" spans="2:7" x14ac:dyDescent="0.2">
      <c r="D117" s="1" t="s">
        <v>2</v>
      </c>
      <c r="E117" s="2" t="s">
        <v>3</v>
      </c>
      <c r="F117" s="2" t="s">
        <v>4</v>
      </c>
      <c r="G117" s="2" t="s">
        <v>5</v>
      </c>
    </row>
    <row r="118" spans="2:7" x14ac:dyDescent="0.2">
      <c r="D118" s="3">
        <v>1201</v>
      </c>
      <c r="E118" s="4" t="s">
        <v>6</v>
      </c>
      <c r="F118" s="4" t="s">
        <v>7</v>
      </c>
      <c r="G118" s="4" t="s">
        <v>8</v>
      </c>
    </row>
    <row r="119" spans="2:7" x14ac:dyDescent="0.2">
      <c r="D119" s="3">
        <v>1202</v>
      </c>
      <c r="E119" s="4" t="s">
        <v>9</v>
      </c>
      <c r="F119" s="4" t="s">
        <v>10</v>
      </c>
      <c r="G119" s="4" t="s">
        <v>11</v>
      </c>
    </row>
    <row r="120" spans="2:7" x14ac:dyDescent="0.2">
      <c r="D120" s="3">
        <v>1203</v>
      </c>
      <c r="E120" s="4" t="s">
        <v>12</v>
      </c>
      <c r="F120" s="4" t="s">
        <v>13</v>
      </c>
      <c r="G120" s="4" t="s">
        <v>14</v>
      </c>
    </row>
    <row r="121" spans="2:7" x14ac:dyDescent="0.2">
      <c r="D121" s="3">
        <v>1204</v>
      </c>
      <c r="E121" s="4" t="s">
        <v>15</v>
      </c>
      <c r="F121" s="4" t="s">
        <v>16</v>
      </c>
      <c r="G121" s="4" t="s">
        <v>17</v>
      </c>
    </row>
    <row r="122" spans="2:7" x14ac:dyDescent="0.2">
      <c r="D122" s="3">
        <v>1205</v>
      </c>
      <c r="E122" s="4" t="s">
        <v>18</v>
      </c>
      <c r="F122" s="4" t="s">
        <v>19</v>
      </c>
      <c r="G122" s="4" t="s">
        <v>20</v>
      </c>
    </row>
    <row r="123" spans="2:7" x14ac:dyDescent="0.2">
      <c r="D123" s="3">
        <v>1206</v>
      </c>
      <c r="E123" s="4" t="s">
        <v>21</v>
      </c>
      <c r="F123" s="4" t="s">
        <v>16</v>
      </c>
      <c r="G123" s="4" t="s">
        <v>23</v>
      </c>
    </row>
    <row r="127" spans="2:7" x14ac:dyDescent="0.2">
      <c r="D127" t="s">
        <v>4</v>
      </c>
      <c r="E127" t="s">
        <v>16</v>
      </c>
    </row>
    <row r="129" spans="4:7" x14ac:dyDescent="0.2">
      <c r="D129" t="s">
        <v>83</v>
      </c>
      <c r="E129">
        <f>_xlfn.XLOOKUP(E127,F118:F123,D118:D123,"Student id not present",,-1)</f>
        <v>1206</v>
      </c>
      <c r="G129" t="str">
        <f ca="1">_xlfn.FORMULATEXT(E129)</f>
        <v>=XLOOKUP(E127,F118:F123,D118:D123,"Student id not present",,-1)</v>
      </c>
    </row>
  </sheetData>
  <dataConsolidate/>
  <mergeCells count="3">
    <mergeCell ref="B23:D24"/>
    <mergeCell ref="B72:C73"/>
    <mergeCell ref="B114:C115"/>
  </mergeCells>
  <dataValidations count="1">
    <dataValidation type="list" allowBlank="1" showInputMessage="1" showErrorMessage="1" sqref="E96" xr:uid="{EB894635-8B1F-EF40-BC25-3ACDDD42B041}">
      <formula1>$D$90:$I$90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F9DB-2575-424A-9B52-C3291C2369D8}">
  <dimension ref="A1:C12"/>
  <sheetViews>
    <sheetView tabSelected="1" topLeftCell="B7" zoomScale="184" workbookViewId="0">
      <selection activeCell="B14" sqref="B14"/>
    </sheetView>
  </sheetViews>
  <sheetFormatPr baseColWidth="10" defaultRowHeight="16" x14ac:dyDescent="0.2"/>
  <cols>
    <col min="1" max="1" width="36.33203125" customWidth="1"/>
    <col min="2" max="2" width="54.1640625" style="17" customWidth="1"/>
    <col min="3" max="3" width="52.83203125" style="17" customWidth="1"/>
  </cols>
  <sheetData>
    <row r="1" spans="1:3" ht="17" x14ac:dyDescent="0.2">
      <c r="A1" t="s">
        <v>47</v>
      </c>
      <c r="B1" s="17" t="s">
        <v>48</v>
      </c>
      <c r="C1" s="17" t="s">
        <v>49</v>
      </c>
    </row>
    <row r="2" spans="1:3" ht="17" x14ac:dyDescent="0.2">
      <c r="A2" t="s">
        <v>50</v>
      </c>
      <c r="B2" s="17" t="s">
        <v>51</v>
      </c>
      <c r="C2" s="17" t="s">
        <v>52</v>
      </c>
    </row>
    <row r="3" spans="1:3" ht="17" x14ac:dyDescent="0.2">
      <c r="A3" t="s">
        <v>53</v>
      </c>
      <c r="B3" s="17" t="s">
        <v>54</v>
      </c>
      <c r="C3" s="17" t="s">
        <v>55</v>
      </c>
    </row>
    <row r="4" spans="1:3" ht="34" x14ac:dyDescent="0.2">
      <c r="A4" t="s">
        <v>56</v>
      </c>
      <c r="B4" s="17" t="s">
        <v>57</v>
      </c>
      <c r="C4" s="17" t="s">
        <v>58</v>
      </c>
    </row>
    <row r="5" spans="1:3" ht="17" x14ac:dyDescent="0.2">
      <c r="A5" t="s">
        <v>59</v>
      </c>
      <c r="B5" s="17" t="s">
        <v>60</v>
      </c>
      <c r="C5" s="17" t="s">
        <v>61</v>
      </c>
    </row>
    <row r="6" spans="1:3" ht="34" x14ac:dyDescent="0.2">
      <c r="A6" t="s">
        <v>62</v>
      </c>
      <c r="B6" s="17" t="s">
        <v>63</v>
      </c>
      <c r="C6" s="17" t="s">
        <v>64</v>
      </c>
    </row>
    <row r="7" spans="1:3" ht="34" x14ac:dyDescent="0.2">
      <c r="A7" t="s">
        <v>65</v>
      </c>
      <c r="B7" s="17" t="s">
        <v>66</v>
      </c>
      <c r="C7" s="17" t="s">
        <v>67</v>
      </c>
    </row>
    <row r="8" spans="1:3" ht="34" x14ac:dyDescent="0.2">
      <c r="A8" t="s">
        <v>68</v>
      </c>
      <c r="B8" s="17" t="s">
        <v>69</v>
      </c>
      <c r="C8" s="17" t="s">
        <v>70</v>
      </c>
    </row>
    <row r="9" spans="1:3" ht="17" x14ac:dyDescent="0.2">
      <c r="A9" t="s">
        <v>71</v>
      </c>
      <c r="B9" s="17" t="s">
        <v>72</v>
      </c>
      <c r="C9" s="17" t="s">
        <v>73</v>
      </c>
    </row>
    <row r="10" spans="1:3" ht="34" x14ac:dyDescent="0.2">
      <c r="A10" t="s">
        <v>74</v>
      </c>
      <c r="B10" s="17" t="s">
        <v>75</v>
      </c>
      <c r="C10" s="17" t="s">
        <v>76</v>
      </c>
    </row>
    <row r="11" spans="1:3" ht="34" x14ac:dyDescent="0.2">
      <c r="A11" t="s">
        <v>77</v>
      </c>
      <c r="B11" s="17" t="s">
        <v>78</v>
      </c>
      <c r="C11" s="17" t="s">
        <v>79</v>
      </c>
    </row>
    <row r="12" spans="1:3" ht="17" x14ac:dyDescent="0.2">
      <c r="A12" t="s">
        <v>80</v>
      </c>
      <c r="B12" s="17" t="s">
        <v>81</v>
      </c>
      <c r="C12" s="17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2026-07-05T15:37:25Z</dcterms:created>
  <dcterms:modified xsi:type="dcterms:W3CDTF">2026-07-05T17:29:58Z</dcterms:modified>
</cp:coreProperties>
</file>