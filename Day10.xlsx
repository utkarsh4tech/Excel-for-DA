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drawings/drawing2.xml" ContentType="application/vnd.openxmlformats-officedocument.drawing+xml"/>
  <Override PartName="/xl/ink/ink6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B6FAA090-2572-1248-898A-2161C5404EA7}" xr6:coauthVersionLast="47" xr6:coauthVersionMax="47" xr10:uidLastSave="{00000000-0000-0000-0000-000000000000}"/>
  <bookViews>
    <workbookView xWindow="0" yWindow="600" windowWidth="28800" windowHeight="17400" activeTab="3" xr2:uid="{9E276349-6D2B-2C4D-8323-58AFD013F689}"/>
  </bookViews>
  <sheets>
    <sheet name="agenda" sheetId="1" r:id="rId1"/>
    <sheet name="Sheet2" sheetId="2" r:id="rId2"/>
    <sheet name="Sheet3" sheetId="3" r:id="rId3"/>
    <sheet name="XLOOKUP" sheetId="4" r:id="rId4"/>
    <sheet name="Sheet5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3" i="4"/>
  <c r="F25" i="2" a="1"/>
  <c r="F25" i="2" s="1"/>
  <c r="C4" i="3" a="1"/>
  <c r="D20" i="4"/>
  <c r="F13" i="4"/>
  <c r="F27" i="2"/>
  <c r="J2" i="2"/>
  <c r="C4" i="3" l="1"/>
  <c r="C11" i="3" s="1"/>
  <c r="C22" i="3" l="1" a="1"/>
  <c r="C2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<sst xmlns="http://schemas.openxmlformats.org/spreadsheetml/2006/main" count="123" uniqueCount="86">
  <si>
    <t>VLOOKUP, HLOOKUP, and XLOOKUP</t>
  </si>
  <si>
    <t>1) VLOOKUP</t>
  </si>
  <si>
    <t>Student Id</t>
  </si>
  <si>
    <t>Name</t>
  </si>
  <si>
    <t>Course</t>
  </si>
  <si>
    <t>Phn Num</t>
  </si>
  <si>
    <t>Jennifer</t>
  </si>
  <si>
    <t>Bsc Phy</t>
  </si>
  <si>
    <t>Fake num 1</t>
  </si>
  <si>
    <t>Shyaam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</si>
  <si>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</si>
  <si>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</si>
  <si>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</si>
  <si>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</si>
  <si>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</si>
  <si>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</si>
  <si>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</si>
  <si>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</si>
  <si>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</si>
  <si>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</si>
  <si>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</si>
  <si>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</si>
  <si>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</si>
  <si>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</si>
  <si>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Vertical LOOKUP</t>
  </si>
  <si>
    <t>We are searching the query in a COLUMN</t>
  </si>
  <si>
    <t>IMP</t>
  </si>
  <si>
    <t>We can only lookup in left most Column of given array</t>
  </si>
  <si>
    <t xml:space="preserve">If using EXACT match, the first found value is returned… </t>
  </si>
  <si>
    <t>we can only get right columns in the output</t>
  </si>
  <si>
    <r>
      <t xml:space="preserve">if doing approximate match ( by default) data must be sorted in </t>
    </r>
    <r>
      <rPr>
        <b/>
        <sz val="12"/>
        <color rgb="FF000000"/>
        <rFont val="Aptos Narrow"/>
        <scheme val="minor"/>
      </rPr>
      <t>ascending</t>
    </r>
    <r>
      <rPr>
        <sz val="12"/>
        <color rgb="FF000000"/>
        <rFont val="Aptos Narrow"/>
        <family val="2"/>
        <scheme val="minor"/>
      </rPr>
      <t xml:space="preserve"> orded…</t>
    </r>
  </si>
  <si>
    <t>NAME</t>
  </si>
  <si>
    <t>STUDENT_ID</t>
  </si>
  <si>
    <t>We are searching a query inside a ROW</t>
  </si>
  <si>
    <t>search only in TOP MOST row</t>
  </si>
  <si>
    <t>we can only get rows bottom to the search row... in the output</t>
  </si>
  <si>
    <t>if doing approximate match ( by default) data must be sorted in ascending orded…</t>
  </si>
  <si>
    <t>CHOOSEROWS(C4#,{2,1,3,4})</t>
  </si>
  <si>
    <t>2) HLOOKUP</t>
  </si>
  <si>
    <t>HORIZONTAL LOOKUP</t>
  </si>
  <si>
    <t>3) XLOOKUP</t>
  </si>
  <si>
    <t>Feature</t>
  </si>
  <si>
    <t>VLOOKUP() / HLOOKUP()</t>
  </si>
  <si>
    <t>XLOOKUP()</t>
  </si>
  <si>
    <t>Default Match Mode</t>
  </si>
  <si>
    <r>
      <t>Requires specifying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 for an exact match.</t>
    </r>
  </si>
  <si>
    <t>Defaults to exact match.</t>
  </si>
  <si>
    <t>Lookup Direction</t>
  </si>
  <si>
    <t>Only searches to the right of the lookup column.</t>
  </si>
  <si>
    <t>Can search in any direction (left, right, top, bottom).</t>
  </si>
  <si>
    <t>Array References</t>
  </si>
  <si>
    <t>Requires defining the entire data range and column index within a single formula.</t>
  </si>
  <si>
    <t>Allows separate arrays for the lookup value and return values.</t>
  </si>
  <si>
    <t>Horizontal Lookup</t>
  </si>
  <si>
    <r>
      <t>Does not support horizontal lookups (</t>
    </r>
    <r>
      <rPr>
        <sz val="10"/>
        <color rgb="FF05192D"/>
        <rFont val="Arial Unicode MS"/>
        <family val="2"/>
      </rPr>
      <t>HLOOKUP()</t>
    </r>
    <r>
      <rPr>
        <sz val="12"/>
        <color rgb="FF05192D"/>
        <rFont val="Arial"/>
        <family val="2"/>
      </rPr>
      <t> is required).</t>
    </r>
  </si>
  <si>
    <t>Supports both vertical and horizontal lookups.</t>
  </si>
  <si>
    <t>Handling Column Changes</t>
  </si>
  <si>
    <t>Affected by column insertions/deletions due to hardcoded column indices.</t>
  </si>
  <si>
    <t>Unaffected by column changes, continuing to function without adjustments.</t>
  </si>
  <si>
    <t>Sorting and Searching</t>
  </si>
  <si>
    <t>Limited to sorting in ascending order.</t>
  </si>
  <si>
    <r>
      <t>Can search in both ascending and descending order using the </t>
    </r>
    <r>
      <rPr>
        <sz val="10"/>
        <color rgb="FF05192D"/>
        <rFont val="Arial Unicode MS"/>
        <family val="2"/>
      </rPr>
      <t>search_mode</t>
    </r>
    <r>
      <rPr>
        <sz val="12"/>
        <color rgb="FF05192D"/>
        <rFont val="Arial"/>
        <family val="2"/>
      </rPr>
      <t> argument.</t>
    </r>
  </si>
  <si>
    <t>Custom Error Messages</t>
  </si>
  <si>
    <r>
      <t>Displays </t>
    </r>
    <r>
      <rPr>
        <sz val="10"/>
        <color rgb="FF05192D"/>
        <rFont val="Arial Unicode MS"/>
        <family val="2"/>
      </rPr>
      <t>#N/A</t>
    </r>
    <r>
      <rPr>
        <sz val="12"/>
        <color rgb="FF05192D"/>
        <rFont val="Arial"/>
        <family val="2"/>
      </rPr>
      <t> error when no match is found.</t>
    </r>
  </si>
  <si>
    <t>Allows customization of the output message when no match is found.</t>
  </si>
  <si>
    <t>Return Multiple Values</t>
  </si>
  <si>
    <t>Can return only one value at a time.</t>
  </si>
  <si>
    <t>Can retrieve values from multiple columns simultaneously.</t>
  </si>
  <si>
    <t>Search Mode</t>
  </si>
  <si>
    <t>Searches from top to bottom and returns the first match.</t>
  </si>
  <si>
    <t>Can search in both directions (top-down or bottom-up) for faster results in extensive lists.</t>
  </si>
  <si>
    <t>Performance in Large Datasets</t>
  </si>
  <si>
    <r>
      <t>Can be slower, especially with unsorted data or when </t>
    </r>
    <r>
      <rPr>
        <sz val="10"/>
        <color rgb="FF05192D"/>
        <rFont val="Arial Unicode MS"/>
        <family val="2"/>
      </rPr>
      <t>range_lookup</t>
    </r>
    <r>
      <rPr>
        <sz val="12"/>
        <color rgb="FF05192D"/>
        <rFont val="Arial"/>
        <family val="2"/>
      </rPr>
      <t> is </t>
    </r>
    <r>
      <rPr>
        <sz val="10"/>
        <color rgb="FF05192D"/>
        <rFont val="Arial Unicode MS"/>
        <family val="2"/>
      </rPr>
      <t>FALSE</t>
    </r>
    <r>
      <rPr>
        <sz val="12"/>
        <color rgb="FF05192D"/>
        <rFont val="Arial"/>
        <family val="2"/>
      </rPr>
      <t>.</t>
    </r>
  </si>
  <si>
    <t>Better performance, handles large datasets efficiently, and searches without sorting.</t>
  </si>
  <si>
    <t>Compatibility</t>
  </si>
  <si>
    <t>Works with all versions of Excel.</t>
  </si>
  <si>
    <t>Only available in Excel 2021 and Microsoft 365 (from 2019).</t>
  </si>
  <si>
    <t>MEENA</t>
  </si>
  <si>
    <t>Student ID</t>
  </si>
  <si>
    <t>LOOKUP VALUE</t>
  </si>
  <si>
    <t>WHAT WE TRY TO SEARCH</t>
  </si>
  <si>
    <t>LOOKUP_ARRAY</t>
  </si>
  <si>
    <t>WHICH ROW/COLUMN we want to search</t>
  </si>
  <si>
    <t>RETURN_ARRAY</t>
  </si>
  <si>
    <t>THE ROWs/COLUMNs we want in return O/P</t>
  </si>
  <si>
    <t>Fake num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</si>
</sst>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24"/>
      <color theme="1"/>
      <name val="Aptos Narrow (Body)"/>
    </font>
    <font>
      <sz val="12"/>
      <color rgb="FF000000"/>
      <name val="Aptos Narrow"/>
      <family val="2"/>
      <scheme val="minor"/>
    </font>
    <font>
      <sz val="15"/>
      <color rgb="FF242424"/>
      <name val="Aptos Narrow"/>
      <scheme val="minor"/>
    </font>
    <font>
      <b/>
      <sz val="12"/>
      <color rgb="FF000000"/>
      <name val="Aptos Narrow"/>
      <scheme val="minor"/>
    </font>
    <font>
      <b/>
      <sz val="12"/>
      <color rgb="FF05192D"/>
      <name val="Arial"/>
      <family val="2"/>
    </font>
    <font>
      <sz val="12"/>
      <color rgb="FF05192D"/>
      <name val="Arial"/>
      <family val="2"/>
    </font>
    <font>
      <sz val="10"/>
      <color rgb="FF05192D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3" fillId="0" borderId="0" xfId="0" applyFont="1"/>
    <xf numFmtId="0" fontId="2" fillId="0" borderId="0" xfId="0" applyFont="1"/>
    <xf numFmtId="0" fontId="2" fillId="3" borderId="0" xfId="0" applyFont="1" applyFill="1"/>
    <xf numFmtId="0" fontId="5" fillId="4" borderId="5" xfId="0" applyFont="1" applyFill="1" applyBorder="1"/>
    <xf numFmtId="0" fontId="5" fillId="4" borderId="6" xfId="0" applyFont="1" applyFill="1" applyBorder="1" applyAlignment="1">
      <alignment wrapText="1"/>
    </xf>
    <xf numFmtId="0" fontId="6" fillId="5" borderId="5" xfId="0" applyFont="1" applyFill="1" applyBorder="1"/>
    <xf numFmtId="0" fontId="6" fillId="5" borderId="6" xfId="0" applyFont="1" applyFill="1" applyBorder="1" applyAlignment="1">
      <alignment wrapText="1"/>
    </xf>
    <xf numFmtId="0" fontId="6" fillId="0" borderId="5" xfId="0" applyFont="1" applyBorder="1"/>
    <xf numFmtId="0" fontId="6" fillId="0" borderId="6" xfId="0" applyFont="1" applyBorder="1" applyAlignment="1">
      <alignment wrapText="1"/>
    </xf>
    <xf numFmtId="0" fontId="2" fillId="0" borderId="0" xfId="0" applyFont="1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5" Type="http://schemas.openxmlformats.org/officeDocument/2006/relationships/customXml" Target="../ink/ink3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ustomXml" Target="../ink/ink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468977</xdr:colOff>
      <xdr:row>1</xdr:row>
      <xdr:rowOff>86600</xdr:rowOff>
    </xdr:from>
    <xdr:to>
      <xdr:col>3</xdr:col>
      <xdr:colOff>638177</xdr:colOff>
      <xdr:row>8</xdr:row>
      <xdr:rowOff>102040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FFC35C-9C2B-1612-29AE-1DC235B20829}"/>
                </a:ext>
              </a:extLst>
            </xdr14:cNvPr>
            <xdr14:cNvContentPartPr/>
          </xdr14:nvContentPartPr>
          <xdr14:nvPr macro=""/>
          <xdr14:xfrm>
            <a:off x="2950920" y="289800"/>
            <a:ext cx="169200" cy="143784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4AFFC35C-9C2B-1612-29AE-1DC235B2082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44800" y="283680"/>
              <a:ext cx="181440" cy="145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359143</xdr:colOff>
      <xdr:row>0</xdr:row>
      <xdr:rowOff>141840</xdr:rowOff>
    </xdr:from>
    <xdr:to>
      <xdr:col>4</xdr:col>
      <xdr:colOff>359863</xdr:colOff>
      <xdr:row>1</xdr:row>
      <xdr:rowOff>180200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499A5457-A24E-0872-A7DD-6C694E185492}"/>
                </a:ext>
              </a:extLst>
            </xdr14:cNvPr>
            <xdr14:cNvContentPartPr/>
          </xdr14:nvContentPartPr>
          <xdr14:nvPr macro=""/>
          <xdr14:xfrm>
            <a:off x="3668400" y="141840"/>
            <a:ext cx="720" cy="2415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499A5457-A24E-0872-A7DD-6C694E18549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662280" y="135720"/>
              <a:ext cx="12960" cy="25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150669</xdr:colOff>
      <xdr:row>0</xdr:row>
      <xdr:rowOff>150840</xdr:rowOff>
    </xdr:from>
    <xdr:to>
      <xdr:col>5</xdr:col>
      <xdr:colOff>386469</xdr:colOff>
      <xdr:row>2</xdr:row>
      <xdr:rowOff>4000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36AB2D73-BAE4-F1DD-4B21-1187368ABF6F}"/>
                </a:ext>
              </a:extLst>
            </xdr14:cNvPr>
            <xdr14:cNvContentPartPr/>
          </xdr14:nvContentPartPr>
          <xdr14:nvPr macro=""/>
          <xdr14:xfrm>
            <a:off x="4287240" y="150840"/>
            <a:ext cx="235800" cy="2595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36AB2D73-BAE4-F1DD-4B21-1187368ABF6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281120" y="144720"/>
              <a:ext cx="248040" cy="27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239194</xdr:colOff>
      <xdr:row>0</xdr:row>
      <xdr:rowOff>145800</xdr:rowOff>
    </xdr:from>
    <xdr:to>
      <xdr:col>6</xdr:col>
      <xdr:colOff>448714</xdr:colOff>
      <xdr:row>2</xdr:row>
      <xdr:rowOff>90400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53F8E4E-3197-55EB-9883-9C79A281279C}"/>
                </a:ext>
              </a:extLst>
            </xdr14:cNvPr>
            <xdr14:cNvContentPartPr/>
          </xdr14:nvContentPartPr>
          <xdr14:nvPr macro=""/>
          <xdr14:xfrm>
            <a:off x="5203080" y="145800"/>
            <a:ext cx="209520" cy="35100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53F8E4E-3197-55EB-9883-9C79A281279C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196960" y="139680"/>
              <a:ext cx="221760" cy="36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270840</xdr:colOff>
      <xdr:row>0</xdr:row>
      <xdr:rowOff>94680</xdr:rowOff>
    </xdr:from>
    <xdr:to>
      <xdr:col>7</xdr:col>
      <xdr:colOff>349320</xdr:colOff>
      <xdr:row>2</xdr:row>
      <xdr:rowOff>64840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3F2E24FC-8052-15ED-BE2D-6547813047B1}"/>
                </a:ext>
              </a:extLst>
            </xdr14:cNvPr>
            <xdr14:cNvContentPartPr/>
          </xdr14:nvContentPartPr>
          <xdr14:nvPr macro=""/>
          <xdr14:xfrm>
            <a:off x="6062040" y="94680"/>
            <a:ext cx="78480" cy="3765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3F2E24FC-8052-15ED-BE2D-6547813047B1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055920" y="88560"/>
              <a:ext cx="90720" cy="388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370025</xdr:colOff>
      <xdr:row>0</xdr:row>
      <xdr:rowOff>189986</xdr:rowOff>
    </xdr:from>
    <xdr:to>
      <xdr:col>7</xdr:col>
      <xdr:colOff>79530</xdr:colOff>
      <xdr:row>1</xdr:row>
      <xdr:rowOff>162018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FC4C49C1-42C1-CE05-67AC-D1A281523C9C}"/>
                </a:ext>
              </a:extLst>
            </xdr14:cNvPr>
            <xdr14:cNvContentPartPr/>
          </xdr14:nvContentPartPr>
          <xdr14:nvPr macro=""/>
          <xdr14:xfrm>
            <a:off x="2024431" y="189986"/>
            <a:ext cx="3845520" cy="17640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FC4C49C1-42C1-CE05-67AC-D1A281523C9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018311" y="183866"/>
              <a:ext cx="3857760" cy="1886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2T16:24:42.5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192 0 24575,'0'44'0,"0"39"0,0-12 0,0 10 0,0-7 0,0 6 0,0 3-948,0-9 0,0 4 1,0 1-1,0 2 948,0 9 0,0 3 0,0 0 0,0 2 0,0-15 0,0 1 0,0 0 0,0 0 0,0 1 0,0 0 0,0 0 0,0 0 0,0-1 0,0 1 0,0 19 0,0-1 0,0 0 0,0-2 0,0-7 0,0-2 0,0-1 0,0-2 73,0-7 1,0-2-1,-1-1 1,1-3-74,-1 12 0,-1-4 0,1-4 406,-1 18 1,-1-7-407,0-15 0,0-5 0,-1 25 0,0-25 1918,0-22-1918,2-13 766,0-10-766,0-9 0,0-7 0,0-4 0,0-2 0,-1-3 0,-1-2 0,0-5 0,-2-4 0,-2-3 0,0 1 0,-2-1 0,2 2 0,1 2 0,0 1 0,0 0 0,-2-3 0,-2-2 0,-1 0 0,0 0 0,1 2 0,2 4 0,2 2 0,2 3 0,3 1 0,1 3 0,4 5 0,3 2 0,3 5 0,-1 0 0,1 1 0,-1-2 0,3 2 0,5 3 0,4 5 0,3 4 0,-3-2 0,-4-3 0,-6-6 0,-5-6 0,-2-2 0,-2-2 0,-1-1 0,0 0 0,1 1 0,1 1 0,1 2 0,2 4 0,0 3 0,1 1 0,-1 1 0,-1-2 0,-1-3 0,0-4 0,-2-3 0,0-4 0,0-2 0,0-3 0,2-2 0,2-7 0,9-10 0,10-14 0,13-15 0,6-4 0,-1 2 0,-7 9 0,-10 14 0,-8 11 0,-8 12 0,-5 9 0,-3 1 0,0 3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2T16:29:03.7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 0 24575,'0'7'0,"0"11"0,0 21 0,0 27 0,0 26 0,0-42 0,0 1 0,0 41 0,0-13 0,0-18 0,0-15 0,0-11 0,0-14 0,-1-12 0,1-5 0,0-6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2T16:29:05.3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24575,'12'0'0,"4"0"0,5 0 0,1 0 0,0 0 0,-1 0 0,0 3 0,1 7 0,2 9 0,0 13 0,-1 15 0,-4 17 0,-6 13 0,-6 9 0,-5 0 0,-7-7 0,-6-13 0,-7-13 0,-5-14 0,-2-10 0,0-12 0,0-8 0,5-6 0,7-9 0,6-9 0,4-8 0,4-4 0,2 3 0,4 6 0,3 7 0,6 5 0,10 2 0,13 1 0,9 1 0,4 1 0,0 0 0,-4 1 0,2 0 0,10 2 0,9 6 0,-27-4 0,-5 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2T16:29:06.8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24575,'15'0'0,"17"0"0,23 0 0,18 0 0,1 0 0,-10 0 0,-18 0 0,-20 1 0,-13 5 0,-11 5 0,-9 7 0,-10 14 0,-9 18 0,-11 20 0,-2 11 0,1 0 0,4-12 0,9-20 0,8-16 0,9-19 0,8-14 0,8-10 0,7-8 0,11-2 0,9 4 0,7 5 0,6 8 0,1 10 0,-1 12 0,-1 16 0,-7 17 0,-8 7 0,-10 2 0,-10-3 0,-7-10 0,-10-6 0,-12-7 0,-14-5 0,-14-2 0,-5-5 0,-1-4 0,7-7 0,12-5 0,13-6 0,11-5 0,7-8 0,2 5 0,0-2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2T16:29:08.20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24575,'0'38'0,"0"19"0,0 28 0,0 6 0,0-12 0,0-21 0,2-30 0,10-16 0,10-14 0,13-6 0,5 0 0,-4 0 0,-10 2 0,-11 2 0,-7 1 0,-5 0 0,-3-1 0,0 0 0,-1 0 0,-1 1 0,0-1 0,0 4 0,2 9 0,0 16 0,0 20 0,0 25 0,0 20 0,0-39 0,1 1 0,1 0 0,0-1 0,3 37 0,0-25 0,-2-25 0,1-20 0,-3-13 0,1-3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12T16:24:47.9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0 209 24575,'74'0'0,"13"0"0,24 0 0,-41 0 0,8 0 0,7 0 0,5 0 0,5 0 0,1 0-1093,-8 0 1,3 0 0,3 0 0,4 0-1,2 0 1,3 0 0,1 0 0,2 0-1,1 0 978,-18 0 0,3 0 1,1 0-1,1 0 1,2 0-1,1 0 0,2 0 1,-1 0-1,2 0 1,-1 0-1,1 0 1,0 0-1,-1 0-39,-2 0 0,1 0 0,1 0 0,0 0 0,1 0 0,0 0 0,0 0 0,0 0 1,1 0-1,-1 0 0,0 0 0,0 0 0,0 0 0,-1 0 154,-1 0 0,0 0 0,1 0 0,-1 0 0,1 0 0,-1 0 0,0 0 0,0 0 0,-1 0 0,0 0 0,-1 0 0,0 0 0,-1 0 0,-2 0-74,8 0 1,-2 0 0,1 0 0,-2 0 0,0 0-1,-1 0 1,0 0 0,-1 0 0,-1 0 0,-1 0-1,0 0 1,-1 0 73,8 0 0,-1 0 0,-1 0 0,0 0 0,-2 0 0,0 0 0,-1 0 0,-1 0 0,0 0 0,-1 0-141,3 0 1,0 0 0,0 0-1,-1 0 1,-1 0 0,-1 0-1,-2 0 1,-2 0 0,-2 0 140,8 0 0,-3 1 0,-1-1 0,-3 0 0,-1 0 0,-1 0 0,-1-1 292,2 1 0,1 0 0,-3 0 0,-2 0 0,-3-1 0,-4 0-292,8 1 0,-4-1 0,-5 0 0,-4-1 1638,32-1 0,-11-1-1638,-25 0 0,-8-1 4899,7-1-4899,-30 3 3844,-20 1-3844,-10 2 1847,-4-2-1847,-4-2 0,-3-4 0,-3-4 0,-1-3 0,-1-1 0,-2 1 0,-1 0 0,-1 0 0,0 1 0,2 1 0,3 3 0,2 2 0,2 2 0,-1 2 0,0 0 0,-1 1 0,-1 0 0,2 1 0,2 0 0,2 0 0,2 0 0,3 2 0,0 1 0,0 1 0,0 1 0,0 0 0,0 2 0,3 1 0,4 4 0,5 6 0,5 4 0,5 5 0,4 4 0,2 3 0,-3-2 0,-6-5 0,-8-7 0,-6-8 0,-6-5 0,-7-2 0,-11 3 0,-16 9 0,-21 15 0,-12 12 0,-5 5 0,11-5 0,16-11 0,16-12 0,14-10 0,7-5 0,4-3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C4588-7C9F-404C-8A27-8528533664CC}">
  <dimension ref="A4:L38"/>
  <sheetViews>
    <sheetView topLeftCell="A29" zoomScale="226" workbookViewId="0">
      <selection activeCell="C41" sqref="C41"/>
    </sheetView>
  </sheetViews>
  <sheetFormatPr baseColWidth="10" defaultRowHeight="16" x14ac:dyDescent="0.2"/>
  <sheetData>
    <row r="4" spans="1:10" ht="16" customHeight="1" x14ac:dyDescent="0.2">
      <c r="A4" s="1" t="s">
        <v>0</v>
      </c>
      <c r="B4" s="1"/>
      <c r="C4" s="1"/>
      <c r="D4" s="1"/>
      <c r="E4" s="1"/>
      <c r="F4" s="1"/>
      <c r="G4" s="1"/>
    </row>
    <row r="5" spans="1:10" x14ac:dyDescent="0.2">
      <c r="A5" s="1"/>
      <c r="B5" s="1"/>
      <c r="C5" s="1"/>
      <c r="D5" s="1"/>
      <c r="E5" s="1"/>
      <c r="F5" s="1"/>
      <c r="G5" s="1"/>
    </row>
    <row r="6" spans="1:10" x14ac:dyDescent="0.2">
      <c r="A6" s="1"/>
      <c r="B6" s="1"/>
      <c r="C6" s="1"/>
      <c r="D6" s="1"/>
      <c r="E6" s="1"/>
      <c r="F6" s="1"/>
      <c r="G6" s="1"/>
    </row>
    <row r="9" spans="1:10" x14ac:dyDescent="0.2">
      <c r="B9" t="s">
        <v>1</v>
      </c>
    </row>
    <row r="10" spans="1:10" ht="20" x14ac:dyDescent="0.25">
      <c r="G10" s="6" t="s">
        <v>25</v>
      </c>
      <c r="H10" s="7"/>
      <c r="I10" s="7"/>
      <c r="J10" s="7"/>
    </row>
    <row r="11" spans="1:10" x14ac:dyDescent="0.2">
      <c r="C11" t="s">
        <v>24</v>
      </c>
      <c r="G11" s="7"/>
      <c r="H11" s="7"/>
      <c r="I11" s="7"/>
      <c r="J11" s="7"/>
    </row>
    <row r="12" spans="1:10" x14ac:dyDescent="0.2">
      <c r="G12" s="8" t="s">
        <v>26</v>
      </c>
      <c r="H12" s="7"/>
      <c r="I12" s="7"/>
      <c r="J12" s="7"/>
    </row>
    <row r="13" spans="1:10" x14ac:dyDescent="0.2">
      <c r="G13" s="7" t="s">
        <v>27</v>
      </c>
      <c r="H13" s="7"/>
      <c r="I13" s="7"/>
      <c r="J13" s="7"/>
    </row>
    <row r="14" spans="1:10" x14ac:dyDescent="0.2">
      <c r="G14" s="7" t="s">
        <v>28</v>
      </c>
      <c r="H14" s="7"/>
      <c r="I14" s="7"/>
      <c r="J14" s="7"/>
    </row>
    <row r="15" spans="1:10" x14ac:dyDescent="0.2">
      <c r="G15" s="7" t="s">
        <v>29</v>
      </c>
      <c r="H15" s="7"/>
      <c r="I15" s="7"/>
      <c r="J15" s="7"/>
    </row>
    <row r="16" spans="1:10" x14ac:dyDescent="0.2">
      <c r="G16" s="7" t="s">
        <v>30</v>
      </c>
      <c r="H16" s="7"/>
      <c r="I16" s="7"/>
      <c r="J16" s="7"/>
    </row>
    <row r="21" spans="2:12" x14ac:dyDescent="0.2">
      <c r="G21" s="7"/>
      <c r="H21" s="7"/>
      <c r="I21" s="7"/>
      <c r="J21" s="7"/>
      <c r="K21" s="7"/>
      <c r="L21" s="7"/>
    </row>
    <row r="22" spans="2:12" x14ac:dyDescent="0.2">
      <c r="B22" t="s">
        <v>38</v>
      </c>
      <c r="G22" s="7"/>
      <c r="H22" s="7" t="s">
        <v>33</v>
      </c>
      <c r="I22" s="7"/>
      <c r="J22" s="7"/>
      <c r="K22" s="7"/>
      <c r="L22" s="7"/>
    </row>
    <row r="23" spans="2:12" x14ac:dyDescent="0.2">
      <c r="G23" s="7"/>
      <c r="H23" s="8" t="s">
        <v>26</v>
      </c>
      <c r="I23" s="7"/>
      <c r="J23" s="7"/>
      <c r="K23" s="7"/>
      <c r="L23" s="7"/>
    </row>
    <row r="24" spans="2:12" x14ac:dyDescent="0.2">
      <c r="C24" t="s">
        <v>39</v>
      </c>
      <c r="G24" s="7"/>
      <c r="H24" s="7" t="s">
        <v>34</v>
      </c>
      <c r="I24" s="7"/>
      <c r="J24" s="7"/>
      <c r="K24" s="7"/>
      <c r="L24" s="7"/>
    </row>
    <row r="25" spans="2:12" x14ac:dyDescent="0.2">
      <c r="G25" s="7"/>
      <c r="H25" s="7" t="s">
        <v>28</v>
      </c>
      <c r="I25" s="7"/>
      <c r="J25" s="7"/>
      <c r="K25" s="7"/>
      <c r="L25" s="7"/>
    </row>
    <row r="26" spans="2:12" x14ac:dyDescent="0.2">
      <c r="G26" s="7"/>
      <c r="H26" s="7" t="s">
        <v>35</v>
      </c>
      <c r="I26" s="7"/>
      <c r="J26" s="7"/>
      <c r="K26" s="7"/>
      <c r="L26" s="7"/>
    </row>
    <row r="27" spans="2:12" x14ac:dyDescent="0.2">
      <c r="G27" s="7"/>
      <c r="H27" s="7" t="s">
        <v>36</v>
      </c>
      <c r="I27" s="7"/>
      <c r="J27" s="7"/>
      <c r="K27" s="7"/>
      <c r="L27" s="7"/>
    </row>
    <row r="31" spans="2:12" x14ac:dyDescent="0.2">
      <c r="B31" t="s">
        <v>40</v>
      </c>
    </row>
    <row r="34" spans="3:5" x14ac:dyDescent="0.2">
      <c r="C34" s="16" t="s">
        <v>79</v>
      </c>
      <c r="D34" s="16"/>
      <c r="E34" t="s">
        <v>80</v>
      </c>
    </row>
    <row r="35" spans="3:5" x14ac:dyDescent="0.2">
      <c r="C35" s="16"/>
      <c r="D35" s="16"/>
    </row>
    <row r="36" spans="3:5" x14ac:dyDescent="0.2">
      <c r="C36" s="16" t="s">
        <v>81</v>
      </c>
      <c r="D36" s="16"/>
      <c r="E36" t="s">
        <v>82</v>
      </c>
    </row>
    <row r="37" spans="3:5" x14ac:dyDescent="0.2">
      <c r="C37" s="16"/>
      <c r="D37" s="16"/>
    </row>
    <row r="38" spans="3:5" x14ac:dyDescent="0.2">
      <c r="C38" s="16" t="s">
        <v>83</v>
      </c>
      <c r="D38" s="16"/>
      <c r="E38" t="s">
        <v>84</v>
      </c>
    </row>
  </sheetData>
  <mergeCells count="1">
    <mergeCell ref="A4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D78A7-1D00-1545-9DE9-D260975FE65A}">
  <dimension ref="E2:J27"/>
  <sheetViews>
    <sheetView topLeftCell="B17" zoomScale="230" workbookViewId="0">
      <selection activeCell="E24" sqref="E24"/>
    </sheetView>
  </sheetViews>
  <sheetFormatPr baseColWidth="10" defaultRowHeight="16" x14ac:dyDescent="0.2"/>
  <sheetData>
    <row r="2" spans="5:10" x14ac:dyDescent="0.2">
      <c r="J2" t="e">
        <f ca="1">_xlfn.FORMULATEXT(J4)</f>
        <v>#N/A</v>
      </c>
    </row>
    <row r="4" spans="5:10" x14ac:dyDescent="0.2">
      <c r="E4" s="2" t="s">
        <v>2</v>
      </c>
      <c r="F4" s="3" t="s">
        <v>3</v>
      </c>
      <c r="G4" s="3" t="s">
        <v>5</v>
      </c>
      <c r="H4" s="3" t="s">
        <v>4</v>
      </c>
    </row>
    <row r="5" spans="5:10" x14ac:dyDescent="0.2">
      <c r="E5" s="4">
        <v>1201</v>
      </c>
      <c r="F5" s="5" t="s">
        <v>6</v>
      </c>
      <c r="G5" s="5" t="s">
        <v>8</v>
      </c>
      <c r="H5" s="5" t="s">
        <v>7</v>
      </c>
    </row>
    <row r="6" spans="5:10" x14ac:dyDescent="0.2">
      <c r="E6" s="4">
        <v>1202</v>
      </c>
      <c r="F6" s="5" t="s">
        <v>9</v>
      </c>
      <c r="G6" s="5" t="s">
        <v>11</v>
      </c>
      <c r="H6" s="5" t="s">
        <v>10</v>
      </c>
    </row>
    <row r="7" spans="5:10" x14ac:dyDescent="0.2">
      <c r="E7" s="4">
        <v>1203</v>
      </c>
      <c r="F7" s="5" t="s">
        <v>12</v>
      </c>
      <c r="G7" s="5" t="s">
        <v>14</v>
      </c>
      <c r="H7" s="5" t="s">
        <v>13</v>
      </c>
    </row>
    <row r="8" spans="5:10" x14ac:dyDescent="0.2">
      <c r="E8" s="4">
        <v>1204</v>
      </c>
      <c r="F8" s="5" t="s">
        <v>15</v>
      </c>
      <c r="G8" s="5" t="s">
        <v>17</v>
      </c>
      <c r="H8" s="5" t="s">
        <v>16</v>
      </c>
    </row>
    <row r="9" spans="5:10" x14ac:dyDescent="0.2">
      <c r="E9" s="4">
        <v>1205</v>
      </c>
      <c r="F9" s="5" t="s">
        <v>18</v>
      </c>
      <c r="G9" s="5" t="s">
        <v>20</v>
      </c>
      <c r="H9" s="5" t="s">
        <v>19</v>
      </c>
    </row>
    <row r="10" spans="5:10" x14ac:dyDescent="0.2">
      <c r="E10" s="4">
        <v>1204</v>
      </c>
      <c r="F10" s="5" t="s">
        <v>21</v>
      </c>
      <c r="G10" s="5" t="s">
        <v>23</v>
      </c>
      <c r="H10" s="5" t="s">
        <v>22</v>
      </c>
    </row>
    <row r="24" spans="5:7" x14ac:dyDescent="0.2">
      <c r="E24" t="s">
        <v>31</v>
      </c>
      <c r="F24" t="s">
        <v>32</v>
      </c>
    </row>
    <row r="25" spans="5:7" x14ac:dyDescent="0.2">
      <c r="E25" s="5" t="s">
        <v>77</v>
      </c>
      <c r="F25" cm="1">
        <f t="array" ref="F25:G25">VLOOKUP(E25,_xlfn.CHOOSECOLS(E4:G10,{2,3,1}),{3,2},0)</f>
        <v>1203</v>
      </c>
      <c r="G25" t="str">
        <v>Fake num 3</v>
      </c>
    </row>
    <row r="27" spans="5:7" x14ac:dyDescent="0.2">
      <c r="F27" t="str">
        <f ca="1">_xlfn.FORMULATEXT(F25)</f>
        <v>=VLOOKUP(E25,CHOOSECOLS(E4:G10,{2,3,1}),{3,2},0)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CA569-64A5-3E43-A235-14421BEBCD21}">
  <dimension ref="B4:K24"/>
  <sheetViews>
    <sheetView zoomScale="261" workbookViewId="0">
      <selection activeCell="C4" sqref="C4:G4"/>
    </sheetView>
  </sheetViews>
  <sheetFormatPr baseColWidth="10" defaultRowHeight="16" x14ac:dyDescent="0.2"/>
  <sheetData>
    <row r="4" spans="2:11" x14ac:dyDescent="0.2">
      <c r="C4" t="str" cm="1">
        <f t="array" ref="C4:I7">TRANSPOSE(Sheet2!E4:H10)</f>
        <v>Student Id</v>
      </c>
      <c r="D4">
        <v>1201</v>
      </c>
      <c r="E4">
        <v>1202</v>
      </c>
      <c r="F4">
        <v>1203</v>
      </c>
      <c r="G4">
        <v>1204</v>
      </c>
      <c r="H4">
        <v>1205</v>
      </c>
      <c r="I4">
        <v>1204</v>
      </c>
      <c r="K4" t="s">
        <v>37</v>
      </c>
    </row>
    <row r="5" spans="2:11" x14ac:dyDescent="0.2">
      <c r="C5" t="str">
        <v>Name</v>
      </c>
      <c r="D5" t="str">
        <v>Jennifer</v>
      </c>
      <c r="E5" t="str">
        <v>Shyaam</v>
      </c>
      <c r="F5" t="str">
        <v>Meena</v>
      </c>
      <c r="G5" t="str">
        <v>Arjun</v>
      </c>
      <c r="H5" t="str">
        <v>Dolly</v>
      </c>
      <c r="I5" t="str">
        <v>Sonam</v>
      </c>
    </row>
    <row r="6" spans="2:11" x14ac:dyDescent="0.2">
      <c r="C6" t="str">
        <v>Phn Num</v>
      </c>
      <c r="D6" t="str">
        <v>Fake num 1</v>
      </c>
      <c r="E6" t="str">
        <v>Fake num 2</v>
      </c>
      <c r="F6" t="str">
        <v>Fake num 3</v>
      </c>
      <c r="G6" t="str">
        <v>Fake num 4</v>
      </c>
      <c r="H6" t="str">
        <v>Fake num 5</v>
      </c>
      <c r="I6" t="str">
        <v>Fake num 6</v>
      </c>
    </row>
    <row r="7" spans="2:11" x14ac:dyDescent="0.2">
      <c r="C7" t="str">
        <v>Course</v>
      </c>
      <c r="D7" t="str">
        <v>Bsc Phy</v>
      </c>
      <c r="E7" t="str">
        <v>Bsc Chem</v>
      </c>
      <c r="F7" t="str">
        <v>Ba History</v>
      </c>
      <c r="G7" t="str">
        <v>MBA HR</v>
      </c>
      <c r="H7" t="str">
        <v>Ba Soci</v>
      </c>
      <c r="I7" t="str">
        <v>MBA Ops</v>
      </c>
    </row>
    <row r="10" spans="2:11" x14ac:dyDescent="0.2">
      <c r="B10" t="s">
        <v>31</v>
      </c>
      <c r="C10" t="s">
        <v>4</v>
      </c>
    </row>
    <row r="11" spans="2:11" x14ac:dyDescent="0.2">
      <c r="B11" t="s">
        <v>6</v>
      </c>
      <c r="C11" t="str">
        <f>HLOOKUP(B11,_xlfn.CHOOSEROWS(_xlfn.ANCHORARRAY(C4),{2,1,3,4}),MATCH(C10,C4:C7,0),0)</f>
        <v>Bsc Phy</v>
      </c>
    </row>
    <row r="13" spans="2:11" x14ac:dyDescent="0.2">
      <c r="D13" s="7"/>
      <c r="E13" s="7"/>
      <c r="F13" s="7"/>
      <c r="G13" s="7"/>
      <c r="H13" s="7"/>
      <c r="I13" s="7"/>
      <c r="J13" s="7"/>
    </row>
    <row r="14" spans="2:11" x14ac:dyDescent="0.2">
      <c r="D14" s="7"/>
      <c r="E14" s="7" t="s">
        <v>33</v>
      </c>
      <c r="F14" s="7"/>
      <c r="G14" s="7"/>
      <c r="H14" s="7"/>
      <c r="I14" s="7"/>
      <c r="J14" s="7"/>
    </row>
    <row r="15" spans="2:11" x14ac:dyDescent="0.2">
      <c r="D15" s="7"/>
      <c r="E15" s="8" t="s">
        <v>26</v>
      </c>
      <c r="F15" s="7"/>
      <c r="G15" s="7"/>
      <c r="H15" s="7"/>
      <c r="I15" s="7"/>
      <c r="J15" s="7"/>
    </row>
    <row r="16" spans="2:11" x14ac:dyDescent="0.2">
      <c r="D16" s="7"/>
      <c r="E16" s="7" t="s">
        <v>34</v>
      </c>
      <c r="F16" s="7"/>
      <c r="G16" s="7"/>
      <c r="H16" s="7"/>
      <c r="I16" s="7"/>
      <c r="J16" s="7"/>
    </row>
    <row r="17" spans="3:10" x14ac:dyDescent="0.2">
      <c r="D17" s="7"/>
      <c r="E17" s="7" t="s">
        <v>28</v>
      </c>
      <c r="F17" s="7"/>
      <c r="G17" s="7"/>
      <c r="H17" s="7"/>
      <c r="I17" s="7"/>
      <c r="J17" s="7"/>
    </row>
    <row r="18" spans="3:10" x14ac:dyDescent="0.2">
      <c r="D18" s="7"/>
      <c r="E18" s="7" t="s">
        <v>35</v>
      </c>
      <c r="F18" s="7"/>
      <c r="G18" s="7"/>
      <c r="H18" s="7"/>
      <c r="I18" s="7"/>
      <c r="J18" s="7"/>
    </row>
    <row r="19" spans="3:10" x14ac:dyDescent="0.2">
      <c r="D19" s="7"/>
      <c r="E19" s="7" t="s">
        <v>36</v>
      </c>
      <c r="F19" s="7"/>
      <c r="G19" s="7"/>
      <c r="H19" s="7"/>
      <c r="I19" s="7"/>
      <c r="J19" s="7"/>
    </row>
    <row r="22" spans="3:10" x14ac:dyDescent="0.2">
      <c r="C22" t="str" cm="1">
        <f t="array" ref="C22:I24">_xlfn.CHOOSEROWS(_xlfn.ANCHORARRAY(C4),{2,4,1})</f>
        <v>Name</v>
      </c>
      <c r="D22" t="str">
        <v>Jennifer</v>
      </c>
      <c r="E22" t="str">
        <v>Shyaam</v>
      </c>
      <c r="F22" t="str">
        <v>Meena</v>
      </c>
      <c r="G22" t="str">
        <v>Arjun</v>
      </c>
      <c r="H22" t="str">
        <v>Dolly</v>
      </c>
      <c r="I22" t="str">
        <v>Sonam</v>
      </c>
    </row>
    <row r="23" spans="3:10" x14ac:dyDescent="0.2">
      <c r="C23" t="str">
        <v>Course</v>
      </c>
      <c r="D23" t="str">
        <v>Bsc Phy</v>
      </c>
      <c r="E23" t="str">
        <v>Bsc Chem</v>
      </c>
      <c r="F23" t="str">
        <v>Ba History</v>
      </c>
      <c r="G23" t="str">
        <v>MBA HR</v>
      </c>
      <c r="H23" t="str">
        <v>Ba Soci</v>
      </c>
      <c r="I23" t="str">
        <v>MBA Ops</v>
      </c>
    </row>
    <row r="24" spans="3:10" x14ac:dyDescent="0.2">
      <c r="C24" t="str">
        <v>Student Id</v>
      </c>
      <c r="D24">
        <v>1201</v>
      </c>
      <c r="E24">
        <v>1202</v>
      </c>
      <c r="F24">
        <v>1203</v>
      </c>
      <c r="G24">
        <v>1204</v>
      </c>
      <c r="H24">
        <v>1205</v>
      </c>
      <c r="I24">
        <v>1204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C8F-A220-C948-A2D5-531D8C00C3E8}">
  <dimension ref="B3:F20"/>
  <sheetViews>
    <sheetView tabSelected="1" zoomScale="178" workbookViewId="0">
      <selection activeCell="B14" sqref="B14"/>
    </sheetView>
  </sheetViews>
  <sheetFormatPr baseColWidth="10" defaultRowHeight="16" x14ac:dyDescent="0.2"/>
  <cols>
    <col min="5" max="5" width="17.6640625" customWidth="1"/>
  </cols>
  <sheetData>
    <row r="3" spans="2:6" x14ac:dyDescent="0.2">
      <c r="B3" s="2" t="s">
        <v>2</v>
      </c>
      <c r="C3" s="3" t="s">
        <v>3</v>
      </c>
      <c r="D3" s="3" t="s">
        <v>5</v>
      </c>
      <c r="E3" s="3" t="s">
        <v>4</v>
      </c>
    </row>
    <row r="4" spans="2:6" x14ac:dyDescent="0.2">
      <c r="B4" s="4">
        <v>1201</v>
      </c>
      <c r="C4" s="5" t="s">
        <v>6</v>
      </c>
      <c r="D4" s="5" t="s">
        <v>8</v>
      </c>
      <c r="E4" s="5" t="s">
        <v>7</v>
      </c>
    </row>
    <row r="5" spans="2:6" x14ac:dyDescent="0.2">
      <c r="B5" s="4">
        <v>1202</v>
      </c>
      <c r="C5" s="5" t="s">
        <v>9</v>
      </c>
      <c r="D5" s="5" t="s">
        <v>11</v>
      </c>
      <c r="E5" s="5" t="s">
        <v>10</v>
      </c>
    </row>
    <row r="6" spans="2:6" x14ac:dyDescent="0.2">
      <c r="B6" s="4">
        <v>1203</v>
      </c>
      <c r="C6" s="5" t="s">
        <v>12</v>
      </c>
      <c r="D6" s="5" t="s">
        <v>14</v>
      </c>
      <c r="E6" s="5" t="s">
        <v>13</v>
      </c>
    </row>
    <row r="7" spans="2:6" x14ac:dyDescent="0.2">
      <c r="B7" s="4">
        <v>1204</v>
      </c>
      <c r="C7" s="5" t="s">
        <v>15</v>
      </c>
      <c r="D7" s="5" t="s">
        <v>85</v>
      </c>
      <c r="E7" s="5" t="s">
        <v>16</v>
      </c>
    </row>
    <row r="8" spans="2:6" x14ac:dyDescent="0.2">
      <c r="B8" s="4">
        <v>1205</v>
      </c>
      <c r="C8" s="5" t="s">
        <v>18</v>
      </c>
      <c r="D8" s="5" t="s">
        <v>20</v>
      </c>
      <c r="E8" s="5" t="s">
        <v>19</v>
      </c>
    </row>
    <row r="9" spans="2:6" x14ac:dyDescent="0.2">
      <c r="B9" s="4">
        <v>1234</v>
      </c>
      <c r="C9" s="5" t="s">
        <v>21</v>
      </c>
      <c r="D9" s="5" t="s">
        <v>85</v>
      </c>
      <c r="E9" s="5" t="s">
        <v>22</v>
      </c>
    </row>
    <row r="12" spans="2:6" x14ac:dyDescent="0.2">
      <c r="C12" s="15" t="s">
        <v>5</v>
      </c>
      <c r="D12" s="15" t="s">
        <v>78</v>
      </c>
    </row>
    <row r="13" spans="2:6" x14ac:dyDescent="0.2">
      <c r="C13" s="5" t="s">
        <v>11</v>
      </c>
      <c r="D13">
        <f>IFERROR(VLOOKUP(C13,_xlfn.CHOOSECOLS(B3:E9,{3,4,2,1}),4,0),"NOT PRESENT")</f>
        <v>1202</v>
      </c>
      <c r="F13" t="str">
        <f ca="1">_xlfn.FORMULATEXT(D13)</f>
        <v>=IFERROR(VLOOKUP(C13,CHOOSECOLS(B3:E9,{3,4,2,1}),4,0),"NOT PRESENT")</v>
      </c>
    </row>
    <row r="16" spans="2:6" x14ac:dyDescent="0.2">
      <c r="C16" s="15" t="s">
        <v>5</v>
      </c>
      <c r="D16" s="15" t="s">
        <v>78</v>
      </c>
    </row>
    <row r="17" spans="3:4" x14ac:dyDescent="0.2">
      <c r="C17" s="5" t="s">
        <v>85</v>
      </c>
      <c r="D17">
        <f>_xlfn.XLOOKUP(C17,D3:D9,B3:B9,"The given search key is not in the Dataset",0,1)</f>
        <v>1204</v>
      </c>
    </row>
    <row r="20" spans="3:4" x14ac:dyDescent="0.2">
      <c r="D20" t="str">
        <f ca="1">_xlfn.FORMULATEXT(D17)</f>
        <v>=XLOOKUP(C17,D3:D9,B3:B9,"The given search key is not in the Dataset",0,1)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B7571-D2AC-4847-B1F4-2847682D9D52}">
  <dimension ref="A1:C12"/>
  <sheetViews>
    <sheetView topLeftCell="A10" zoomScale="133" workbookViewId="0">
      <selection activeCell="C12" sqref="C12"/>
    </sheetView>
  </sheetViews>
  <sheetFormatPr baseColWidth="10" defaultRowHeight="16" x14ac:dyDescent="0.2"/>
  <cols>
    <col min="1" max="1" width="29.83203125" bestFit="1" customWidth="1"/>
    <col min="2" max="2" width="64.33203125" customWidth="1"/>
    <col min="3" max="3" width="84.5" customWidth="1"/>
  </cols>
  <sheetData>
    <row r="1" spans="1:3" ht="68" x14ac:dyDescent="0.2">
      <c r="A1" s="9" t="s">
        <v>41</v>
      </c>
      <c r="B1" s="10" t="s">
        <v>42</v>
      </c>
      <c r="C1" s="10" t="s">
        <v>43</v>
      </c>
    </row>
    <row r="2" spans="1:3" ht="86" x14ac:dyDescent="0.2">
      <c r="A2" s="11" t="s">
        <v>44</v>
      </c>
      <c r="B2" s="12" t="s">
        <v>45</v>
      </c>
      <c r="C2" s="12" t="s">
        <v>46</v>
      </c>
    </row>
    <row r="3" spans="1:3" ht="119" x14ac:dyDescent="0.2">
      <c r="A3" s="13" t="s">
        <v>47</v>
      </c>
      <c r="B3" s="14" t="s">
        <v>48</v>
      </c>
      <c r="C3" s="14" t="s">
        <v>49</v>
      </c>
    </row>
    <row r="4" spans="1:3" ht="170" x14ac:dyDescent="0.2">
      <c r="A4" s="11" t="s">
        <v>50</v>
      </c>
      <c r="B4" s="12" t="s">
        <v>51</v>
      </c>
      <c r="C4" s="12" t="s">
        <v>52</v>
      </c>
    </row>
    <row r="5" spans="1:3" ht="121" x14ac:dyDescent="0.2">
      <c r="A5" s="13" t="s">
        <v>53</v>
      </c>
      <c r="B5" s="14" t="s">
        <v>54</v>
      </c>
      <c r="C5" s="14" t="s">
        <v>55</v>
      </c>
    </row>
    <row r="6" spans="1:3" ht="153" x14ac:dyDescent="0.2">
      <c r="A6" s="11" t="s">
        <v>56</v>
      </c>
      <c r="B6" s="12" t="s">
        <v>57</v>
      </c>
      <c r="C6" s="12" t="s">
        <v>58</v>
      </c>
    </row>
    <row r="7" spans="1:3" ht="189" x14ac:dyDescent="0.2">
      <c r="A7" s="13" t="s">
        <v>59</v>
      </c>
      <c r="B7" s="14" t="s">
        <v>60</v>
      </c>
      <c r="C7" s="14" t="s">
        <v>61</v>
      </c>
    </row>
    <row r="8" spans="1:3" ht="136" x14ac:dyDescent="0.2">
      <c r="A8" s="11" t="s">
        <v>62</v>
      </c>
      <c r="B8" s="12" t="s">
        <v>63</v>
      </c>
      <c r="C8" s="12" t="s">
        <v>64</v>
      </c>
    </row>
    <row r="9" spans="1:3" ht="136" x14ac:dyDescent="0.2">
      <c r="A9" s="13" t="s">
        <v>65</v>
      </c>
      <c r="B9" s="14" t="s">
        <v>66</v>
      </c>
      <c r="C9" s="14" t="s">
        <v>67</v>
      </c>
    </row>
    <row r="10" spans="1:3" ht="187" x14ac:dyDescent="0.2">
      <c r="A10" s="11" t="s">
        <v>68</v>
      </c>
      <c r="B10" s="12" t="s">
        <v>69</v>
      </c>
      <c r="C10" s="12" t="s">
        <v>70</v>
      </c>
    </row>
    <row r="11" spans="1:3" ht="188" x14ac:dyDescent="0.25">
      <c r="A11" s="13" t="s">
        <v>71</v>
      </c>
      <c r="B11" s="14" t="s">
        <v>72</v>
      </c>
      <c r="C11" s="14" t="s">
        <v>73</v>
      </c>
    </row>
    <row r="12" spans="1:3" ht="119" x14ac:dyDescent="0.2">
      <c r="A12" s="11" t="s">
        <v>74</v>
      </c>
      <c r="B12" s="12" t="s">
        <v>75</v>
      </c>
      <c r="C12" s="12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agenda</vt:lpstr>
      <vt:lpstr>Sheet2</vt:lpstr>
      <vt:lpstr>Sheet3</vt:lpstr>
      <vt:lpstr>XLOOKUP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2026-04-12T15:32:12Z</dcterms:created>
  <dcterms:modified xsi:type="dcterms:W3CDTF">2026-04-12T17:04:25Z</dcterms:modified>
</cp:coreProperties>
</file>