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ink/ink2.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8D63384C-AE8A-B942-866A-A5607F7DF46D}" xr6:coauthVersionLast="47" xr6:coauthVersionMax="47" xr10:uidLastSave="{00000000-0000-0000-0000-000000000000}"/>
  <bookViews>
    <workbookView xWindow="-40" yWindow="600" windowWidth="28800" windowHeight="17400" activeTab="2" xr2:uid="{ACDD2059-0286-604C-AD58-D6B323068071}"/>
  </bookViews>
  <sheets>
    <sheet name="agenda" sheetId="1" r:id="rId1"/>
    <sheet name="TEXT" sheetId="2" r:id="rId2"/>
    <sheet name="Sheet3" sheetId="3"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5" i="3" l="1"/>
  <c r="B114" i="3"/>
  <c r="B109" i="3" a="1"/>
  <c r="B91" i="3" a="1"/>
  <c r="B87" i="3" a="1"/>
  <c r="B76" i="3"/>
  <c r="B74" i="3"/>
  <c r="B63" i="3"/>
  <c r="B61" i="3"/>
  <c r="B59" i="3"/>
  <c r="C51" i="3"/>
  <c r="B51" i="3"/>
  <c r="B46" i="3"/>
  <c r="B45" i="3"/>
  <c r="C46" i="3"/>
  <c r="C45" i="3"/>
  <c r="B26" i="3"/>
  <c r="B24" i="3"/>
  <c r="B17" i="3"/>
  <c r="B16" i="3"/>
  <c r="B6" i="3"/>
  <c r="B105" i="2"/>
  <c r="F90" i="2"/>
  <c r="D90" i="2"/>
  <c r="H96" i="2"/>
  <c r="E90" i="2"/>
  <c r="G90" i="2"/>
  <c r="H90" i="2"/>
  <c r="E93" i="2"/>
  <c r="F93" i="2"/>
  <c r="G93" i="2"/>
  <c r="H93" i="2"/>
  <c r="D93" i="2"/>
  <c r="E96" i="2"/>
  <c r="F96" i="2"/>
  <c r="G96" i="2"/>
  <c r="D96" i="2"/>
  <c r="C84" i="2"/>
  <c r="F84" i="2"/>
  <c r="E73" i="2"/>
  <c r="B81" i="2"/>
  <c r="D62" i="2"/>
  <c r="D60" i="2"/>
  <c r="F62" i="2"/>
  <c r="F60" i="2"/>
  <c r="C51" i="2"/>
  <c r="F44" i="2"/>
  <c r="F45" i="2"/>
  <c r="F46" i="2"/>
  <c r="F43" i="2"/>
  <c r="D43" i="2"/>
  <c r="D46" i="2"/>
  <c r="D45" i="2"/>
  <c r="D44" i="2"/>
  <c r="F33" i="2"/>
  <c r="F34" i="2"/>
  <c r="F32" i="2"/>
  <c r="D32" i="2"/>
  <c r="D33" i="2"/>
  <c r="D34" i="2"/>
  <c r="D17" i="1"/>
  <c r="F14" i="2"/>
  <c r="F19" i="2"/>
  <c r="F20" i="2"/>
  <c r="F21" i="2"/>
  <c r="F18" i="2"/>
  <c r="D19" i="2"/>
  <c r="D20" i="2"/>
  <c r="D21" i="2"/>
  <c r="D18" i="2"/>
  <c r="B109" i="3" l="1"/>
  <c r="B91" i="3"/>
  <c r="B87" i="3"/>
  <c r="C26" i="3"/>
  <c r="C24" i="3"/>
  <c r="C108"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<sst xmlns="http://schemas.openxmlformats.org/spreadsheetml/2006/main" count="72" uniqueCount="68">
  <si>
    <t>TEXT functions</t>
  </si>
  <si>
    <t>TEXT:</t>
  </si>
  <si>
    <t>any combination of charchters</t>
  </si>
  <si>
    <t>anything inside " "</t>
  </si>
  <si>
    <t>TEXT()</t>
  </si>
  <si>
    <t>Utkarsh</t>
  </si>
  <si>
    <t>Sahu</t>
  </si>
  <si>
    <t>VALUE</t>
  </si>
  <si>
    <t>FORMAT_TEXT</t>
  </si>
  <si>
    <t>The text we want to format ( i/p)</t>
  </si>
  <si>
    <t>WHAT</t>
  </si>
  <si>
    <t xml:space="preserve">The way we want to format the text </t>
  </si>
  <si>
    <t>HOW</t>
  </si>
  <si>
    <t>LEADING ( LEFT ) ZEROS</t>
  </si>
  <si>
    <t>TEXT</t>
  </si>
  <si>
    <t>CURRENCY</t>
  </si>
  <si>
    <t>Abbreviation</t>
  </si>
  <si>
    <t>Thousands</t>
  </si>
  <si>
    <t>K</t>
  </si>
  <si>
    <t>#,##0.00, \K</t>
  </si>
  <si>
    <t>Million</t>
  </si>
  <si>
    <t>M</t>
  </si>
  <si>
    <t>#,##0.00,, \M</t>
  </si>
  <si>
    <t>Phn Num formatting</t>
  </si>
  <si>
    <t>(+1) 926-379-2773</t>
  </si>
  <si>
    <t>% Formatting</t>
  </si>
  <si>
    <t>Imagine your % score is stored as Decimal ( 98% is written as 0.98) in cell c55.</t>
  </si>
  <si>
    <t>write down a text answer which says - "MY percentage in Final exam is XX.00%"</t>
  </si>
  <si>
    <t>maths</t>
  </si>
  <si>
    <t>Phy</t>
  </si>
  <si>
    <t>Chem</t>
  </si>
  <si>
    <t>"My avg % is XX.XX %"</t>
  </si>
  <si>
    <t>DATE formatting</t>
  </si>
  <si>
    <t>dd</t>
  </si>
  <si>
    <t>ddd</t>
  </si>
  <si>
    <t>dddd</t>
  </si>
  <si>
    <t>mm</t>
  </si>
  <si>
    <t>mmm</t>
  </si>
  <si>
    <t>mmmm</t>
  </si>
  <si>
    <t>yy</t>
  </si>
  <si>
    <t>yyy</t>
  </si>
  <si>
    <t>yyyy</t>
  </si>
  <si>
    <t>Time formatting</t>
  </si>
  <si>
    <t>CONCAT</t>
  </si>
  <si>
    <t>to join Multiple Strings together</t>
  </si>
  <si>
    <t>Hello</t>
  </si>
  <si>
    <t>CHAR</t>
  </si>
  <si>
    <t>CHAR()</t>
  </si>
  <si>
    <t>TRIM</t>
  </si>
  <si>
    <t>Removes extra white space</t>
  </si>
  <si>
    <t>LEN()</t>
  </si>
  <si>
    <t>To get number of chars inside a text (incl. white space)</t>
  </si>
  <si>
    <t>LEFT() And RIGHT()</t>
  </si>
  <si>
    <t>LEFT is to extratct First K chars from LEFT side of the TEXT</t>
  </si>
  <si>
    <t>RIGHT is to extract LAST K charts from the RIGHT side of the TEXT</t>
  </si>
  <si>
    <t>My name is Utkarsh Sahu</t>
  </si>
  <si>
    <t>MID()</t>
  </si>
  <si>
    <t>UPPER , LOWER, PROPER</t>
  </si>
  <si>
    <t>EXACT()</t>
  </si>
  <si>
    <t>UTKARSH</t>
  </si>
  <si>
    <t>TEXTSPLIT</t>
  </si>
  <si>
    <t>My name is Utkarsh Sahu, I work as an Instructor at AccioJobs</t>
  </si>
  <si>
    <t>utkarsh,vaibhav,suraj</t>
  </si>
  <si>
    <r>
      <t>Lorem Ipsum</t>
    </r>
    <r>
      <rPr>
        <sz val="14"/>
        <color rgb="FF000000"/>
        <rFont val="Arial"/>
        <family val="2"/>
      </rPr>
      <t> is simply dummy text of the printing and typesetting industry. Lorem Ipsum has been the industry's standard dummy text ever since 1966, when designers at Letraset and James Mosley, the librarian at St Bride Printing Library, took a 1914 Cicero translation and scrambled it to make dummy text for Letraset's Body Type sheets. It has survived not only many decades, but also the leap into electronic typesetting, remaining essentially unchanged. It was popularised thanks to these sheets and more recently with desktop publishing software including versions of Lorem Ipsum.</t>
    </r>
  </si>
  <si>
    <t>Every word in new cell and every new sentence in new row</t>
  </si>
  <si>
    <t>TEXTJOIN()</t>
  </si>
  <si>
    <t>Vaibhav</t>
  </si>
  <si>
    <t>Suraj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</si>
</sst>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6" x14ac:knownFonts="1">
    <font>
      <sz val="12"/>
      <color theme="1"/>
      <name val="Aptos Narrow"/>
      <family val="2"/>
      <scheme val="minor"/>
    </font>
    <font>
      <sz val="12"/>
      <color theme="1"/>
      <name val="Aptos Narrow"/>
      <family val="2"/>
      <scheme val="minor"/>
    </font>
    <font>
      <sz val="12"/>
      <color rgb="FFFF0000"/>
      <name val="Aptos Narrow"/>
      <family val="2"/>
      <scheme val="minor"/>
    </font>
    <font>
      <sz val="12"/>
      <color rgb="FF000000"/>
      <name val="Aptos Narrow"/>
      <family val="2"/>
      <scheme val="minor"/>
    </font>
    <font>
      <b/>
      <sz val="14"/>
      <color rgb="FF000000"/>
      <name val="Arial"/>
      <family val="2"/>
    </font>
    <font>
      <sz val="14"/>
      <color rgb="FF000000"/>
      <name val="Arial"/>
      <family val="2"/>
    </font>
  </fonts>
  <fills count="5">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4D93D9"/>
        <bgColor rgb="FF000000"/>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14">
    <xf numFmtId="0" fontId="0" fillId="0" borderId="0" xfId="0"/>
    <xf numFmtId="0" fontId="0" fillId="0" borderId="0" xfId="0" applyAlignment="1">
      <alignment horizontal="center"/>
    </xf>
    <xf numFmtId="0" fontId="0" fillId="2" borderId="0" xfId="0" applyFill="1"/>
    <xf numFmtId="14" fontId="0" fillId="0" borderId="0" xfId="0" applyNumberFormat="1"/>
    <xf numFmtId="9" fontId="0" fillId="0" borderId="0" xfId="0" applyNumberFormat="1"/>
    <xf numFmtId="0" fontId="3" fillId="0" borderId="0" xfId="0" applyFont="1"/>
    <xf numFmtId="0" fontId="2" fillId="3" borderId="0" xfId="0" applyFont="1" applyFill="1"/>
    <xf numFmtId="0" fontId="3" fillId="3" borderId="0" xfId="0" applyFont="1" applyFill="1"/>
    <xf numFmtId="0" fontId="0" fillId="0" borderId="0" xfId="0" applyAlignment="1">
      <alignment horizontal="right"/>
    </xf>
    <xf numFmtId="44" fontId="0" fillId="0" borderId="0" xfId="1" applyFont="1"/>
    <xf numFmtId="14" fontId="3" fillId="0" borderId="0" xfId="0" applyNumberFormat="1" applyFont="1"/>
    <xf numFmtId="0" fontId="3" fillId="4" borderId="0" xfId="0" applyFont="1" applyFill="1"/>
    <xf numFmtId="22" fontId="0" fillId="0" borderId="0" xfId="0" applyNumberFormat="1"/>
    <xf numFmtId="0" fontId="4" fillId="0" borderId="0" xfId="0" applyFont="1"/>
  </cellXfs>
  <cellStyles count="2">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ustomXml" Target="../ink/ink1.xml"/><Relationship Id="rId1" Type="http://schemas.openxmlformats.org/officeDocument/2006/relationships/image" Target="../media/image2.png"/><Relationship Id="rId5" Type="http://schemas.openxmlformats.org/officeDocument/2006/relationships/image" Target="../media/image4.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1</xdr:col>
      <xdr:colOff>345412</xdr:colOff>
      <xdr:row>0</xdr:row>
      <xdr:rowOff>131873</xdr:rowOff>
    </xdr:from>
    <xdr:to>
      <xdr:col>2</xdr:col>
      <xdr:colOff>716099</xdr:colOff>
      <xdr:row>4</xdr:row>
      <xdr:rowOff>117229</xdr:rowOff>
    </xdr:to>
    <xdr:pic>
      <xdr:nvPicPr>
        <xdr:cNvPr id="2" name="Picture 1">
          <a:extLst>
            <a:ext uri="{FF2B5EF4-FFF2-40B4-BE49-F238E27FC236}">
              <a16:creationId xmlns:a16="http://schemas.microsoft.com/office/drawing/2014/main" id="{0F6BE287-6ED6-426A-2399-553B63024884}"/>
            </a:ext>
          </a:extLst>
        </xdr:cNvPr>
        <xdr:cNvPicPr>
          <a:picLocks noChangeAspect="1"/>
        </xdr:cNvPicPr>
      </xdr:nvPicPr>
      <xdr:blipFill>
        <a:blip xmlns:r="http://schemas.openxmlformats.org/officeDocument/2006/relationships" r:embed="rId1"/>
        <a:stretch>
          <a:fillRect/>
        </a:stretch>
      </xdr:blipFill>
      <xdr:spPr>
        <a:xfrm>
          <a:off x="1172308" y="131873"/>
          <a:ext cx="1541444" cy="7948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148995</xdr:colOff>
      <xdr:row>9</xdr:row>
      <xdr:rowOff>73418</xdr:rowOff>
    </xdr:from>
    <xdr:to>
      <xdr:col>5</xdr:col>
      <xdr:colOff>9933</xdr:colOff>
      <xdr:row>14</xdr:row>
      <xdr:rowOff>172549</xdr:rowOff>
    </xdr:to>
    <xdr:pic>
      <xdr:nvPicPr>
        <xdr:cNvPr id="2" name="Picture 1" descr="ASCII table at the command line: ascii -d">
          <a:extLst>
            <a:ext uri="{FF2B5EF4-FFF2-40B4-BE49-F238E27FC236}">
              <a16:creationId xmlns:a16="http://schemas.microsoft.com/office/drawing/2014/main" id="{A579C3CD-4BE7-2267-EA24-25B66F98D27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802123" y="1893278"/>
          <a:ext cx="2340631" cy="1110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76024</xdr:colOff>
      <xdr:row>50</xdr:row>
      <xdr:rowOff>184945</xdr:rowOff>
    </xdr:from>
    <xdr:to>
      <xdr:col>2</xdr:col>
      <xdr:colOff>735184</xdr:colOff>
      <xdr:row>52</xdr:row>
      <xdr:rowOff>197051</xdr:rowOff>
    </xdr:to>
    <mc:AlternateContent xmlns:mc="http://schemas.openxmlformats.org/markup-compatibility/2006">
      <mc:Choice xmlns:xdr14="http://schemas.microsoft.com/office/excel/2010/spreadsheetDrawing" Requires="xdr14">
        <xdr:contentPart xmlns:r="http://schemas.openxmlformats.org/officeDocument/2006/relationships" r:id="rId2">
          <xdr14:nvContentPartPr>
            <xdr14:cNvPr id="13" name="Ink 12">
              <a:extLst>
                <a:ext uri="{FF2B5EF4-FFF2-40B4-BE49-F238E27FC236}">
                  <a16:creationId xmlns:a16="http://schemas.microsoft.com/office/drawing/2014/main" id="{6594206C-D66C-548E-184A-B8FA33F063E7}"/>
                </a:ext>
              </a:extLst>
            </xdr14:cNvPr>
            <xdr14:cNvContentPartPr/>
          </xdr14:nvContentPartPr>
          <xdr14:nvPr macro=""/>
          <xdr14:xfrm>
            <a:off x="2974320" y="10295280"/>
            <a:ext cx="659160" cy="416520"/>
          </xdr14:xfrm>
        </xdr:contentPart>
      </mc:Choice>
      <mc:Fallback>
        <xdr:pic>
          <xdr:nvPicPr>
            <xdr:cNvPr id="13" name="Ink 12">
              <a:extLst>
                <a:ext uri="{FF2B5EF4-FFF2-40B4-BE49-F238E27FC236}">
                  <a16:creationId xmlns:a16="http://schemas.microsoft.com/office/drawing/2014/main" id="{6594206C-D66C-548E-184A-B8FA33F063E7}"/>
                </a:ext>
              </a:extLst>
            </xdr:cNvPr>
            <xdr:cNvPicPr/>
          </xdr:nvPicPr>
          <xdr:blipFill>
            <a:blip xmlns:r="http://schemas.openxmlformats.org/officeDocument/2006/relationships" r:embed="rId3"/>
            <a:stretch>
              <a:fillRect/>
            </a:stretch>
          </xdr:blipFill>
          <xdr:spPr>
            <a:xfrm>
              <a:off x="2968203" y="10289160"/>
              <a:ext cx="671393" cy="428760"/>
            </a:xfrm>
            <a:prstGeom prst="rect">
              <a:avLst/>
            </a:prstGeom>
          </xdr:spPr>
        </xdr:pic>
      </mc:Fallback>
    </mc:AlternateContent>
    <xdr:clientData/>
  </xdr:twoCellAnchor>
  <xdr:twoCellAnchor editAs="oneCell">
    <xdr:from>
      <xdr:col>2</xdr:col>
      <xdr:colOff>808984</xdr:colOff>
      <xdr:row>48</xdr:row>
      <xdr:rowOff>198758</xdr:rowOff>
    </xdr:from>
    <xdr:to>
      <xdr:col>3</xdr:col>
      <xdr:colOff>797460</xdr:colOff>
      <xdr:row>50</xdr:row>
      <xdr:rowOff>64705</xdr:rowOff>
    </xdr:to>
    <mc:AlternateContent xmlns:mc="http://schemas.openxmlformats.org/markup-compatibility/2006">
      <mc:Choice xmlns:xdr14="http://schemas.microsoft.com/office/excel/2010/spreadsheetDrawing" Requires="xdr14">
        <xdr:contentPart xmlns:r="http://schemas.openxmlformats.org/officeDocument/2006/relationships" r:id="rId4">
          <xdr14:nvContentPartPr>
            <xdr14:cNvPr id="23" name="Ink 22">
              <a:extLst>
                <a:ext uri="{FF2B5EF4-FFF2-40B4-BE49-F238E27FC236}">
                  <a16:creationId xmlns:a16="http://schemas.microsoft.com/office/drawing/2014/main" id="{3ABFC029-2AA5-7A79-C63E-519E9474241D}"/>
                </a:ext>
              </a:extLst>
            </xdr14:cNvPr>
            <xdr14:cNvContentPartPr/>
          </xdr14:nvContentPartPr>
          <xdr14:nvPr macro=""/>
          <xdr14:xfrm>
            <a:off x="3707280" y="9904680"/>
            <a:ext cx="815040" cy="270360"/>
          </xdr14:xfrm>
        </xdr:contentPart>
      </mc:Choice>
      <mc:Fallback>
        <xdr:pic>
          <xdr:nvPicPr>
            <xdr:cNvPr id="23" name="Ink 22">
              <a:extLst>
                <a:ext uri="{FF2B5EF4-FFF2-40B4-BE49-F238E27FC236}">
                  <a16:creationId xmlns:a16="http://schemas.microsoft.com/office/drawing/2014/main" id="{3ABFC029-2AA5-7A79-C63E-519E9474241D}"/>
                </a:ext>
              </a:extLst>
            </xdr:cNvPr>
            <xdr:cNvPicPr/>
          </xdr:nvPicPr>
          <xdr:blipFill>
            <a:blip xmlns:r="http://schemas.openxmlformats.org/officeDocument/2006/relationships" r:embed="rId5"/>
            <a:stretch>
              <a:fillRect/>
            </a:stretch>
          </xdr:blipFill>
          <xdr:spPr>
            <a:xfrm>
              <a:off x="3701163" y="9898560"/>
              <a:ext cx="827275" cy="282600"/>
            </a:xfrm>
            <a:prstGeom prst="rect">
              <a:avLst/>
            </a:prstGeom>
          </xdr:spPr>
        </xdr:pic>
      </mc:Fallback>
    </mc:AlternateContent>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2T17:12:33.041"/>
    </inkml:context>
    <inkml:brush xml:id="br0">
      <inkml:brushProperty name="width" value="0.035" units="cm"/>
      <inkml:brushProperty name="height" value="0.035" units="cm"/>
      <inkml:brushProperty name="color" value="#E71224"/>
    </inkml:brush>
  </inkml:definitions>
  <inkml:trace contextRef="#ctx0" brushRef="#br0">1741 54 24575,'0'12'0,"-1"11"0,-4 14 0,-8 13 0,-11 8 0,-11 6 0,-8 2 0,-7-2 0,-2-9 0,1-10 0,3-6 0,8-7 0,8-8 0,10-7 0,12-9 0,5-5 0</inkml:trace>
  <inkml:trace contextRef="#ctx0" brushRef="#br0" timeOffset="1567">1712 89 24575,'-9'6'0,"-5"2"0,-5 6 0,-6 3 0,3 0 0,4-4 0,6-6 0,10-7 0,7-7 0,7-7 0,7-3 0,3-2 0,2 0 0,1 1 0,-1 1 0,-2 3 0,-3 2 0,-4 4 0,-4 2 0,-2 1 0,-2 1 0,-1 0 0,-2 1 0,0 1 0,-2 1 0,0 1 0,0 1 0,-2 4 0,1 3 0,0 3 0,0 3 0,1 2 0,-1 1 0,-1-1 0,0 0 0,0-4 0,0-1 0,-1-3 0,-1-2 0,2-2 0,-1-2 0</inkml:trace>
  <inkml:trace contextRef="#ctx0" brushRef="#br0" timeOffset="3083">473 794 24575,'-10'-1'0,"-9"0"0,-12 1 0,-10 0 0,-5 0 0,-1 0 0,4 1 0,7 5 0,10 5 0,7 5 0,6 4 0,6 1 0,3-3 0,2-3 0,2-4 0,0-3 0,1-4 0,1-1 0,3-2 0,4-1 0,7 0 0,7 0 0,9 0 0,6 0 0,2 1 0,-2 2 0,-7 3 0,-11 1 0,-9 2 0,-8 0 0,-7 3 0,-6 0 0,-3 1 0,-6 2 0,-7 4 0,-7 2 0,-6 1 0,-6 1 0,0-3 0,0-4 0,4-4 0,9-6 0,9-3 0,9-2 0,8-4 0,4-3-1696,2-2 0,0 1 0,0 4 0</inkml:trace>
  <inkml:trace contextRef="#ctx0" brushRef="#br0" timeOffset="4266">508 815 24575,'1'8'0,"1"4"0,-2 6 0,0 4 0,0-2 0,0-1 0,0-1 0,0-1 0,0 1 0,0 1 0,1-2 0,1-2 0,2-2 0,1-4 0,1-1 0,2-3 0,3-1 0,3-1 0,1-3 0,1-4 0,2-3 0,3-3 0,3-2 0,2 0 0,-2 1 0,-4 3 0,-6 2 0,-7 3 0,-4 1 0</inkml:trace>
  <inkml:trace contextRef="#ctx0" brushRef="#br0" timeOffset="5033">428 963 24575,'24'0'0,"10"0"0,9 0 0,2 0 0,-9 0 0,-11 0 0,-12 0 0,-7 0 0</inkml:trace>
  <inkml:trace contextRef="#ctx0" brushRef="#br0" timeOffset="6450">1094 775 24575,'-2'15'0,"0"11"0,2 16 0,3 17 0,1 5 0,2-2 0,-1-9 0,-2-27 0,-1-16 0,-2-31 0,0-15 0,0-8 0,0 2 0,0 8 0,0 10 0,0 7 0,1 4 0,1 0 0,4 0 0,6-1 0,3 2 0,3 1 0,1 4 0,0 2 0,0 2 0,-2 2 0,-2 2 0,-3 2 0,-2 3 0,-2 2 0,-3 1 0,-2-1 0,-2-1 0,-4 1 0,-4 0 0,-5 1 0,-3 1 0,-2-1 0,1 1 0,0-1 0,1-2 0,3-1 0,2 0 0,3-2 0,4-1 0,1-2 0</inkml:trace>
  <inkml:trace contextRef="#ctx0" brushRef="#br0" timeOffset="7566">1549 796 24575,'0'22'0,"0"10"0,0 13 0,0 4 0,0 0 0,0 6 0,0-26 0,0 3 0,0-26 0,2-3 0,1-2 0,3-4 0,4-3 0,5-4 0,11-4 0,6 0 0,8 1 0,2 1 0,-9 4 0,-8 2 0,-11 2 0,-9 2 0,-4 1 0</inkml:trace>
  <inkml:trace contextRef="#ctx0" brushRef="#br0" timeOffset="8633">1458 969 24575,'5'0'0,"2"0"0,1 0 0,3 0 0,2 0 0,3 0 0,1 0 0,0 0 0,0 0 0,-5 0 0,-2 0 0,-3 0 0,-1 0 0,3 0 0,1-2 0,3 1 0,1-2 0,-3 0 0,-1 0 0,-3 0 0,-3 1 0,-2 0 0,0 0 0,-2 1 0,1 0 0</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6-06-02T17:12:43.574"/>
    </inkml:context>
    <inkml:brush xml:id="br0">
      <inkml:brushProperty name="width" value="0.035" units="cm"/>
      <inkml:brushProperty name="height" value="0.035" units="cm"/>
      <inkml:brushProperty name="color" value="#E71224"/>
    </inkml:brush>
  </inkml:definitions>
  <inkml:trace contextRef="#ctx0" brushRef="#br0">0 750 24575,'0'-14'0,"0"-7"0,0-10 0,0-11 0,4-2 0,12-5 0,21-6 0,26-8 0,-23 28 0,2 2 0,0 1 0,0 2 0,31-17 0,-24 18 0,-18 15 0,-16 8 0,-12 5 0,-6 0 0,-8-2 0,-5-4 0,-7-5 0,-7-7 0,-4-3 0,0-1 0,4 3 0,8 6 0,8 6 0,9 4 0,6 2 0,5 2 0,2 0 0,5 0 0,6 1 0,11 3 0,11 2 0,9 4 0,2 1 0,-7 0 0,-11-1 0,-15-3 0,-9-1 0,-7-1 0,-5 1 0,-4-1 0,-4 2 0,-3 0 0,0 3 0,0 5 0,1 2 0,1 0 0,5-2 0,2-5 0,2-1 0,1 0 0,0 3 0,1 2 0,0 1 0,0 0 0,0-2 0,0-6 0,0-1 0</inkml:trace>
  <inkml:trace contextRef="#ctx0" brushRef="#br0" timeOffset="883">745 0 24575,'0'4'0,"0"1"0,0 6 0,0 12 0,0 12 0,0 7 0,0-3 0,0-9 0,0-12 0,0-7 0,0-5 0,0-3 0,0-1 0</inkml:trace>
  <inkml:trace contextRef="#ctx0" brushRef="#br0" timeOffset="1683">926 10 24575,'0'20'0,"0"5"0,0 6 0,0 3 0,0-6 0,0-7 0,0-9 0,0-6 0,0-3 0,0-2 0</inkml:trace>
  <inkml:trace contextRef="#ctx0" brushRef="#br0" timeOffset="2466">576 116 24575,'10'-1'0,"14"0"0,23 1 0,20 0 0,6 0 0,-9 0 0,-16 0 0,-21 0 0,-13 0 0,-9 0 0</inkml:trace>
  <inkml:trace contextRef="#ctx0" brushRef="#br0" timeOffset="3200">600 266 24575,'49'0'0,"27"0"0,-26 0 0,2 0 0,3 0 0,-1 0 0,36 0 0,-32 0 0,-29 0 0,-16 0 0</inkml:trace>
  <inkml:trace contextRef="#ctx0" brushRef="#br0" timeOffset="4166">1395 187 24575,'-5'-1'0,"-3"0"0,-3 1 0,-7 0 0,-3 0 0,0 0 0,1 0 0,7 1 0,3 2 0,6 5 0,3 7 0,1 8 0,0 4 0,0 1 0,2-1 0,4-6 0,6-5 0,8-6 0,7-4 0,5-4 0,2-1 0,-2-1 0,-3 0 0,-7 0 0,-7-1 0,-6 0 0,-5 0 0,-2 1 0</inkml:trace>
  <inkml:trace contextRef="#ctx0" brushRef="#br0" timeOffset="5700">1563 20 24575,'0'21'0,"0"6"0,0 7 0,0-2 0,0-8 0,0-10 0,0-8 0,0-3 0,0-1 0,0 0 0,0 1 0,0 2 0,0 5 0,0 6 0,0 3 0,0 1 0,0-3 0,0-5 0,0-3 0,0-2 0,0-4 0,0-1 0,3-11 0,1-3 0,3-8 0,1 2 0,-1 2 0,1 3 0,0 4 0,0 2 0,-1 4 0,0 2 0,-1 0 0,2 1 0,1 0 0,1 1 0,0 1 0,-3 2 0,-4 0 0,-1 2 0,-1 2 0,-1 3 0,0 2 0,1 1 0,1-2 0,0-3 0,-1-2 0,1-3 0,-2-3 0,1 0 0</inkml:trace>
  <inkml:trace contextRef="#ctx0" brushRef="#br0" timeOffset="7050">1936 239 24575,'-12'-1'0,"-2"0"0,-5 1 0,1 0 0,2 0 0,7 1 0,3 2 0,5 2 0,0 4 0,1 1 0,0 1 0,0-2 0,0-1 0,2-3 0,2-1 0,4-2 0,3-1 0,3-1 0,0-3 0,2-1 0,0-5 0,1-1 0,-2-1 0,-3 1 0,-3 2 0,-4 0 0,-3 3 0,-1 2 0,-2 1 0,-1 1 0,-1 1 0,0 1 0,0 4 0,-1 4 0,1 3 0,0 3 0,2-1 0,0 2 0,2-2 0,5-2 0,4-2 0,5-4 0,1-2 0,-1-4 0,-2-2 0,-6 1 0,-3-2 0</inkml:trace>
  <inkml:trace contextRef="#ctx0" brushRef="#br0" timeOffset="8216">2116 197 24575,'12'0'0,"8"2"0,6 3 0,-1 4 0,-10 1 0,-7-1 0,-7-4 0,-2-1 0,-4-1 0,-4 1 0,-3-1 0,-2 1 0,0-2 0,1-1 0,2 0 0,1-1 0,3-2 0,0-2 0,2-5 0,1-4 0,2-4 0,1-1 0,4-1 0,4 1 0,6 2 0,6 3 0,4 2 0,0 2 0,0 2 0,-4 3 0,-5 1 0,-6 2 0,-4 0 0</inkml:trace>
</inkm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FCC87-2C32-A149-8B60-E9D7E1C8CFA6}">
  <dimension ref="A2:H24"/>
  <sheetViews>
    <sheetView topLeftCell="D13" zoomScale="272" workbookViewId="0">
      <selection activeCell="B22" sqref="B22"/>
    </sheetView>
  </sheetViews>
  <sheetFormatPr baseColWidth="10" defaultRowHeight="16" x14ac:dyDescent="0.2"/>
  <sheetData>
    <row r="2" spans="1:8" x14ac:dyDescent="0.2">
      <c r="B2" s="1" t="s">
        <v>0</v>
      </c>
      <c r="C2" s="1"/>
    </row>
    <row r="3" spans="1:8" x14ac:dyDescent="0.2">
      <c r="B3" s="1"/>
      <c r="C3" s="1"/>
    </row>
    <row r="6" spans="1:8" x14ac:dyDescent="0.2">
      <c r="B6" t="s">
        <v>1</v>
      </c>
      <c r="C6" t="s">
        <v>2</v>
      </c>
    </row>
    <row r="8" spans="1:8" x14ac:dyDescent="0.2">
      <c r="C8" t="s">
        <v>3</v>
      </c>
    </row>
    <row r="11" spans="1:8" x14ac:dyDescent="0.2">
      <c r="A11" s="2"/>
      <c r="B11" s="2"/>
      <c r="C11" s="2"/>
      <c r="D11" s="2"/>
      <c r="E11" s="2"/>
      <c r="F11" s="2"/>
      <c r="G11" s="2"/>
      <c r="H11" s="2"/>
    </row>
    <row r="13" spans="1:8" x14ac:dyDescent="0.2">
      <c r="B13" t="s">
        <v>4</v>
      </c>
    </row>
    <row r="16" spans="1:8" x14ac:dyDescent="0.2">
      <c r="B16" t="s">
        <v>5</v>
      </c>
    </row>
    <row r="17" spans="2:4" x14ac:dyDescent="0.2">
      <c r="D17" t="str">
        <f>_xlfn.CONCAT(B16," ",B18, " ",TEXT(B20,"dd/mm/yyyy")," ",B22," ",B24 )</f>
        <v>Utkarsh Sahu 08/02/2003 0.96 100</v>
      </c>
    </row>
    <row r="18" spans="2:4" x14ac:dyDescent="0.2">
      <c r="B18" t="s">
        <v>6</v>
      </c>
    </row>
    <row r="20" spans="2:4" x14ac:dyDescent="0.2">
      <c r="B20" s="3">
        <v>37660</v>
      </c>
    </row>
    <row r="22" spans="2:4" x14ac:dyDescent="0.2">
      <c r="B22" s="4">
        <v>0.96</v>
      </c>
    </row>
    <row r="24" spans="2:4" x14ac:dyDescent="0.2">
      <c r="B24" s="9">
        <v>100</v>
      </c>
    </row>
  </sheetData>
  <mergeCells count="1">
    <mergeCell ref="B2:C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BFF4B-1CAE-774A-BB03-AACD312C6F09}">
  <dimension ref="A2:K108"/>
  <sheetViews>
    <sheetView topLeftCell="A97" zoomScale="234" workbookViewId="0">
      <selection activeCell="C107" sqref="C107"/>
    </sheetView>
  </sheetViews>
  <sheetFormatPr baseColWidth="10" defaultRowHeight="16" x14ac:dyDescent="0.2"/>
  <cols>
    <col min="2" max="2" width="15.33203125" bestFit="1" customWidth="1"/>
  </cols>
  <sheetData>
    <row r="2" spans="1:11" x14ac:dyDescent="0.2">
      <c r="B2" s="3"/>
    </row>
    <row r="7" spans="1:11" x14ac:dyDescent="0.2">
      <c r="B7" t="s">
        <v>7</v>
      </c>
      <c r="D7" s="5" t="s">
        <v>9</v>
      </c>
      <c r="E7" s="5"/>
      <c r="F7" s="5"/>
      <c r="G7" s="5"/>
      <c r="H7" s="5" t="s">
        <v>10</v>
      </c>
    </row>
    <row r="9" spans="1:11" x14ac:dyDescent="0.2">
      <c r="B9" t="s">
        <v>8</v>
      </c>
      <c r="D9" s="5" t="s">
        <v>11</v>
      </c>
      <c r="E9" s="5"/>
      <c r="F9" s="5"/>
      <c r="G9" s="5"/>
      <c r="H9" s="5" t="s">
        <v>12</v>
      </c>
    </row>
    <row r="12" spans="1:11" x14ac:dyDescent="0.2">
      <c r="A12" s="2"/>
      <c r="B12" s="2"/>
      <c r="C12" s="2"/>
      <c r="D12" s="2"/>
      <c r="E12" s="2"/>
      <c r="F12" s="2"/>
      <c r="G12" s="2"/>
      <c r="H12" s="2"/>
      <c r="I12" s="2"/>
      <c r="J12" s="2"/>
      <c r="K12" s="2"/>
    </row>
    <row r="14" spans="1:11" x14ac:dyDescent="0.2">
      <c r="B14" s="6" t="s">
        <v>13</v>
      </c>
      <c r="C14" s="7"/>
      <c r="F14" t="str">
        <f ca="1">_xlfn.FORMULATEXT(F18)</f>
        <v>=TEXT(B18,"00000")</v>
      </c>
    </row>
    <row r="17" spans="1:10" x14ac:dyDescent="0.2">
      <c r="B17" s="5" t="s">
        <v>14</v>
      </c>
    </row>
    <row r="18" spans="1:10" x14ac:dyDescent="0.2">
      <c r="B18" s="5">
        <v>1</v>
      </c>
      <c r="D18">
        <f>B18</f>
        <v>1</v>
      </c>
      <c r="F18" s="8" t="str">
        <f>TEXT(B18,"00000")</f>
        <v>00001</v>
      </c>
    </row>
    <row r="19" spans="1:10" x14ac:dyDescent="0.2">
      <c r="B19" s="5">
        <v>12</v>
      </c>
      <c r="D19">
        <f t="shared" ref="D19:D21" si="0">B19</f>
        <v>12</v>
      </c>
      <c r="F19" s="8" t="str">
        <f t="shared" ref="F19:F21" si="1">TEXT(B19,"00000")</f>
        <v>00012</v>
      </c>
    </row>
    <row r="20" spans="1:10" x14ac:dyDescent="0.2">
      <c r="B20" s="5">
        <v>156</v>
      </c>
      <c r="D20">
        <f t="shared" si="0"/>
        <v>156</v>
      </c>
      <c r="F20" s="8" t="str">
        <f t="shared" si="1"/>
        <v>00156</v>
      </c>
    </row>
    <row r="21" spans="1:10" x14ac:dyDescent="0.2">
      <c r="B21" s="5">
        <v>19082</v>
      </c>
      <c r="D21">
        <f t="shared" si="0"/>
        <v>19082</v>
      </c>
      <c r="F21" s="8" t="str">
        <f t="shared" si="1"/>
        <v>19082</v>
      </c>
    </row>
    <row r="22" spans="1:10" x14ac:dyDescent="0.2">
      <c r="B22" s="5"/>
    </row>
    <row r="24" spans="1:10" x14ac:dyDescent="0.2">
      <c r="A24" s="2"/>
      <c r="B24" s="2"/>
      <c r="C24" s="2"/>
      <c r="D24" s="2"/>
      <c r="E24" s="2"/>
      <c r="F24" s="2"/>
      <c r="G24" s="2"/>
      <c r="H24" s="2"/>
      <c r="I24" s="2"/>
      <c r="J24" s="2"/>
    </row>
    <row r="26" spans="1:10" x14ac:dyDescent="0.2">
      <c r="B26" s="6" t="s">
        <v>15</v>
      </c>
      <c r="D26" t="s">
        <v>16</v>
      </c>
    </row>
    <row r="28" spans="1:10" x14ac:dyDescent="0.2">
      <c r="D28" t="s">
        <v>17</v>
      </c>
      <c r="F28" t="s">
        <v>20</v>
      </c>
    </row>
    <row r="29" spans="1:10" x14ac:dyDescent="0.2">
      <c r="D29" t="s">
        <v>18</v>
      </c>
      <c r="F29" t="s">
        <v>21</v>
      </c>
    </row>
    <row r="30" spans="1:10" x14ac:dyDescent="0.2">
      <c r="D30" t="s">
        <v>19</v>
      </c>
      <c r="F30" s="5" t="s">
        <v>22</v>
      </c>
    </row>
    <row r="32" spans="1:10" x14ac:dyDescent="0.2">
      <c r="B32" s="5">
        <v>100000</v>
      </c>
      <c r="D32" t="str">
        <f>TEXT(B32,"#,##0, \K")</f>
        <v>100 K</v>
      </c>
      <c r="F32" t="str">
        <f>TEXT(B32,$F$30)</f>
        <v>0.10 M</v>
      </c>
    </row>
    <row r="33" spans="1:8" x14ac:dyDescent="0.2">
      <c r="B33" s="5">
        <v>173737</v>
      </c>
      <c r="D33" t="str">
        <f t="shared" ref="D33:D34" si="2">TEXT(B33,"#,##0, \K")</f>
        <v>174 K</v>
      </c>
      <c r="F33" t="str">
        <f t="shared" ref="F33:F34" si="3">TEXT(B33,$F$30)</f>
        <v>0.17 M</v>
      </c>
    </row>
    <row r="34" spans="1:8" x14ac:dyDescent="0.2">
      <c r="B34" s="5">
        <v>1734464737</v>
      </c>
      <c r="D34" t="str">
        <f t="shared" si="2"/>
        <v>17,34,465 K</v>
      </c>
      <c r="F34" t="str">
        <f t="shared" si="3"/>
        <v>1,734.46 M</v>
      </c>
    </row>
    <row r="37" spans="1:8" x14ac:dyDescent="0.2">
      <c r="A37" s="2"/>
      <c r="B37" s="2"/>
      <c r="C37" s="2"/>
      <c r="D37" s="2"/>
      <c r="E37" s="2"/>
      <c r="F37" s="2"/>
      <c r="G37" s="2"/>
      <c r="H37" s="2"/>
    </row>
    <row r="40" spans="1:8" x14ac:dyDescent="0.2">
      <c r="B40" s="6" t="s">
        <v>23</v>
      </c>
      <c r="C40" s="2"/>
    </row>
    <row r="43" spans="1:8" x14ac:dyDescent="0.2">
      <c r="B43">
        <v>1234512345</v>
      </c>
      <c r="D43" t="str">
        <f>TEXT(B43,"(+91) ### #######")</f>
        <v>(+91) 123 4512345</v>
      </c>
      <c r="F43" t="str">
        <f ca="1">_xlfn.FORMULATEXT(D43)</f>
        <v>=TEXT(B43,"(+91) ### #######")</v>
      </c>
    </row>
    <row r="44" spans="1:8" x14ac:dyDescent="0.2">
      <c r="B44">
        <v>1234512345</v>
      </c>
      <c r="D44" t="str">
        <f>TEXT(B44,"(+1) ##### #####")</f>
        <v>(+1) 12345 12345</v>
      </c>
      <c r="F44" t="str">
        <f t="shared" ref="F44:F46" ca="1" si="4">_xlfn.FORMULATEXT(D44)</f>
        <v>=TEXT(B44,"(+1) ##### #####")</v>
      </c>
    </row>
    <row r="45" spans="1:8" x14ac:dyDescent="0.2">
      <c r="B45">
        <v>1234512345</v>
      </c>
      <c r="D45" t="str">
        <f>TEXT(B45,"#####-#####")</f>
        <v>12345-12345</v>
      </c>
      <c r="F45" t="str">
        <f t="shared" ca="1" si="4"/>
        <v>=TEXT(B45,"#####-#####")</v>
      </c>
    </row>
    <row r="46" spans="1:8" x14ac:dyDescent="0.2">
      <c r="B46">
        <v>1234512345</v>
      </c>
      <c r="D46" t="str">
        <f>TEXT(B46,"0 #### #### ##")</f>
        <v>0 1234 5123 45</v>
      </c>
      <c r="F46" t="str">
        <f t="shared" ca="1" si="4"/>
        <v>=TEXT(B46,"0 #### #### ##")</v>
      </c>
    </row>
    <row r="49" spans="1:9" x14ac:dyDescent="0.2">
      <c r="C49" s="5" t="s">
        <v>24</v>
      </c>
    </row>
    <row r="51" spans="1:9" x14ac:dyDescent="0.2">
      <c r="C51" t="str">
        <f>"(+1) ###-###-####"</f>
        <v>(+1) ###-###-####</v>
      </c>
    </row>
    <row r="54" spans="1:9" x14ac:dyDescent="0.2">
      <c r="A54" s="2"/>
      <c r="B54" s="2"/>
      <c r="C54" s="2"/>
      <c r="D54" s="2"/>
      <c r="E54" s="2"/>
      <c r="F54" s="2"/>
      <c r="G54" s="2"/>
      <c r="H54" s="2"/>
      <c r="I54" s="2"/>
    </row>
    <row r="57" spans="1:9" x14ac:dyDescent="0.2">
      <c r="B57" s="2" t="s">
        <v>25</v>
      </c>
    </row>
    <row r="60" spans="1:9" x14ac:dyDescent="0.2">
      <c r="B60" s="4">
        <v>0.05</v>
      </c>
      <c r="D60" t="str">
        <f>TEXT(B60,"0.00 %")</f>
        <v>5.00 %</v>
      </c>
      <c r="F60" t="str">
        <f ca="1">_xlfn.FORMULATEXT(D60)</f>
        <v>=TEXT(B60,"0.00 %")</v>
      </c>
    </row>
    <row r="62" spans="1:9" x14ac:dyDescent="0.2">
      <c r="B62">
        <v>1.4999999999999999E-2</v>
      </c>
      <c r="D62" t="str">
        <f>TEXT(1-B62,"0.00 %")</f>
        <v>98.50 %</v>
      </c>
      <c r="F62" t="str">
        <f ca="1">_xlfn.FORMULATEXT(D62)</f>
        <v>=TEXT(1-B62,"0.00 %")</v>
      </c>
    </row>
    <row r="65" spans="1:9" x14ac:dyDescent="0.2">
      <c r="B65" t="s">
        <v>26</v>
      </c>
    </row>
    <row r="66" spans="1:9" x14ac:dyDescent="0.2">
      <c r="B66" t="s">
        <v>27</v>
      </c>
    </row>
    <row r="69" spans="1:9" x14ac:dyDescent="0.2">
      <c r="B69" t="s">
        <v>28</v>
      </c>
      <c r="C69" s="4">
        <v>0.34</v>
      </c>
    </row>
    <row r="70" spans="1:9" x14ac:dyDescent="0.2">
      <c r="B70" t="s">
        <v>29</v>
      </c>
      <c r="C70" s="4">
        <v>0.87</v>
      </c>
      <c r="E70" t="s">
        <v>31</v>
      </c>
    </row>
    <row r="71" spans="1:9" x14ac:dyDescent="0.2">
      <c r="B71" t="s">
        <v>30</v>
      </c>
      <c r="C71" s="4">
        <v>0.64</v>
      </c>
    </row>
    <row r="73" spans="1:9" x14ac:dyDescent="0.2">
      <c r="E73" t="str">
        <f>"My avg % is "&amp;TEXT(AVERAGE(C69:C71),"0.00000%")</f>
        <v>My avg % is 61.66667%</v>
      </c>
    </row>
    <row r="76" spans="1:9" x14ac:dyDescent="0.2">
      <c r="A76" s="2"/>
      <c r="B76" s="2"/>
      <c r="C76" s="2"/>
      <c r="D76" s="2"/>
      <c r="E76" s="2"/>
      <c r="F76" s="2"/>
      <c r="G76" s="2"/>
      <c r="H76" s="2"/>
      <c r="I76" s="2"/>
    </row>
    <row r="79" spans="1:9" x14ac:dyDescent="0.2">
      <c r="B79" s="6" t="s">
        <v>32</v>
      </c>
    </row>
    <row r="81" spans="1:9" x14ac:dyDescent="0.2">
      <c r="B81" s="3">
        <f ca="1">TODAY()</f>
        <v>46175</v>
      </c>
    </row>
    <row r="84" spans="1:9" x14ac:dyDescent="0.2">
      <c r="C84" t="str">
        <f ca="1">_xlfn.CONCAT("My DOB is ",TEXT(TODAY(),"dd mmm YYYY"))</f>
        <v>My DOB is 02 Jun 2026</v>
      </c>
      <c r="F84" t="str">
        <f ca="1">_xlfn.FORMULATEXT(C84)</f>
        <v>=CONCAT("My DOB is ",TEXT(TODAY(),"dd mmm YYYY"))</v>
      </c>
    </row>
    <row r="87" spans="1:9" x14ac:dyDescent="0.2">
      <c r="A87" s="2"/>
      <c r="B87" s="2"/>
      <c r="C87" s="2"/>
      <c r="D87" s="2"/>
      <c r="E87" s="2"/>
      <c r="F87" s="2"/>
      <c r="G87" s="2"/>
      <c r="H87" s="2"/>
      <c r="I87" s="2"/>
    </row>
    <row r="89" spans="1:9" x14ac:dyDescent="0.2">
      <c r="C89" s="5"/>
      <c r="D89" s="11" t="s">
        <v>33</v>
      </c>
      <c r="E89" s="11"/>
      <c r="F89" s="11" t="s">
        <v>34</v>
      </c>
      <c r="G89" s="11"/>
      <c r="H89" s="11" t="s">
        <v>35</v>
      </c>
    </row>
    <row r="90" spans="1:9" x14ac:dyDescent="0.2">
      <c r="B90" s="10">
        <v>46175</v>
      </c>
      <c r="D90" t="str">
        <f>TEXT($B$90,D$89)</f>
        <v>02</v>
      </c>
      <c r="E90" t="str">
        <f t="shared" ref="E90:H90" si="5">TEXT($B$90,E$89)</f>
        <v/>
      </c>
      <c r="F90" t="str">
        <f>TEXT($B$90,F$89)</f>
        <v>Tue</v>
      </c>
      <c r="G90" t="str">
        <f t="shared" si="5"/>
        <v/>
      </c>
      <c r="H90" t="str">
        <f t="shared" si="5"/>
        <v>Tuesday</v>
      </c>
    </row>
    <row r="91" spans="1:9" x14ac:dyDescent="0.2">
      <c r="B91" s="5"/>
    </row>
    <row r="92" spans="1:9" x14ac:dyDescent="0.2">
      <c r="B92" s="5"/>
      <c r="C92" s="5"/>
      <c r="D92" s="11" t="s">
        <v>36</v>
      </c>
      <c r="E92" s="11"/>
      <c r="F92" s="11" t="s">
        <v>37</v>
      </c>
      <c r="G92" s="11"/>
      <c r="H92" s="11" t="s">
        <v>38</v>
      </c>
      <c r="I92" s="5"/>
    </row>
    <row r="93" spans="1:9" x14ac:dyDescent="0.2">
      <c r="B93" s="10">
        <v>46175</v>
      </c>
      <c r="D93" t="str">
        <f>TEXT($B$93,D$92)</f>
        <v>06</v>
      </c>
      <c r="E93" t="str">
        <f t="shared" ref="E93:H93" si="6">TEXT($B$93,E$92)</f>
        <v/>
      </c>
      <c r="F93" t="str">
        <f t="shared" si="6"/>
        <v>Jun</v>
      </c>
      <c r="G93" t="str">
        <f t="shared" si="6"/>
        <v/>
      </c>
      <c r="H93" t="str">
        <f t="shared" si="6"/>
        <v>June</v>
      </c>
    </row>
    <row r="94" spans="1:9" x14ac:dyDescent="0.2">
      <c r="B94" s="5"/>
    </row>
    <row r="95" spans="1:9" x14ac:dyDescent="0.2">
      <c r="B95" s="5"/>
      <c r="C95" s="5"/>
      <c r="D95" s="11" t="s">
        <v>39</v>
      </c>
      <c r="E95" s="11"/>
      <c r="F95" s="11" t="s">
        <v>40</v>
      </c>
      <c r="G95" s="11"/>
      <c r="H95" s="11" t="s">
        <v>41</v>
      </c>
    </row>
    <row r="96" spans="1:9" x14ac:dyDescent="0.2">
      <c r="B96" s="10">
        <v>46124</v>
      </c>
      <c r="D96" t="str">
        <f>TEXT($B$96,D$95)</f>
        <v>26</v>
      </c>
      <c r="E96" t="str">
        <f t="shared" ref="E96:H96" si="7">TEXT($B$96,E$95)</f>
        <v/>
      </c>
      <c r="F96" t="str">
        <f t="shared" si="7"/>
        <v>2026</v>
      </c>
      <c r="G96" t="str">
        <f t="shared" si="7"/>
        <v/>
      </c>
      <c r="H96" t="str">
        <f>TEXT($B$96,H$95)</f>
        <v>2026</v>
      </c>
    </row>
    <row r="99" spans="1:9" x14ac:dyDescent="0.2">
      <c r="A99" s="2"/>
      <c r="B99" s="2"/>
      <c r="C99" s="2"/>
      <c r="D99" s="2"/>
      <c r="E99" s="2"/>
      <c r="F99" s="2"/>
      <c r="G99" s="2"/>
      <c r="H99" s="2"/>
      <c r="I99" s="2"/>
    </row>
    <row r="102" spans="1:9" x14ac:dyDescent="0.2">
      <c r="B102" s="6" t="s">
        <v>42</v>
      </c>
    </row>
    <row r="105" spans="1:9" x14ac:dyDescent="0.2">
      <c r="B105" s="12">
        <f ca="1">NOW()</f>
        <v>46175.957269212966</v>
      </c>
    </row>
    <row r="108" spans="1:9" x14ac:dyDescent="0.2">
      <c r="C108" t="str">
        <f ca="1">TEXT(B105,"hh - mm - ss")</f>
        <v>22 - 58 - 28</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3014C-A429-0941-B860-68D407ACDF65}">
  <dimension ref="A2:AR125"/>
  <sheetViews>
    <sheetView tabSelected="1" topLeftCell="A115" zoomScale="278" workbookViewId="0">
      <selection activeCell="B121" sqref="B121"/>
    </sheetView>
  </sheetViews>
  <sheetFormatPr baseColWidth="10" defaultRowHeight="16" x14ac:dyDescent="0.2"/>
  <cols>
    <col min="2" max="2" width="27.1640625" bestFit="1" customWidth="1"/>
  </cols>
  <sheetData>
    <row r="2" spans="1:6" x14ac:dyDescent="0.2">
      <c r="B2" t="s">
        <v>43</v>
      </c>
      <c r="D2" t="s">
        <v>44</v>
      </c>
    </row>
    <row r="4" spans="1:6" x14ac:dyDescent="0.2">
      <c r="B4" t="s">
        <v>5</v>
      </c>
      <c r="C4" t="s">
        <v>6</v>
      </c>
      <c r="D4" t="s">
        <v>45</v>
      </c>
    </row>
    <row r="6" spans="1:6" x14ac:dyDescent="0.2">
      <c r="B6" t="str">
        <f>_xlfn.CONCAT(B4,C4,D4)</f>
        <v>UtkarshSahuHello</v>
      </c>
    </row>
    <row r="8" spans="1:6" x14ac:dyDescent="0.2">
      <c r="A8" s="2"/>
      <c r="B8" s="2"/>
      <c r="C8" s="2"/>
      <c r="D8" s="2"/>
      <c r="E8" s="2"/>
      <c r="F8" s="2"/>
    </row>
    <row r="10" spans="1:6" x14ac:dyDescent="0.2">
      <c r="B10" t="s">
        <v>46</v>
      </c>
    </row>
    <row r="12" spans="1:6" x14ac:dyDescent="0.2">
      <c r="B12" t="s">
        <v>47</v>
      </c>
    </row>
    <row r="16" spans="1:6" x14ac:dyDescent="0.2">
      <c r="B16" t="str">
        <f>CHAR(87)</f>
        <v>W</v>
      </c>
    </row>
    <row r="17" spans="1:6" x14ac:dyDescent="0.2">
      <c r="B17" t="str">
        <f ca="1">_xlfn.FORMULATEXT(B16)</f>
        <v>=CHAR(87)</v>
      </c>
    </row>
    <row r="20" spans="1:6" x14ac:dyDescent="0.2">
      <c r="A20" s="2"/>
      <c r="B20" s="2"/>
      <c r="C20" s="2"/>
      <c r="D20" s="2"/>
      <c r="E20" s="2"/>
      <c r="F20" s="2"/>
    </row>
    <row r="22" spans="1:6" x14ac:dyDescent="0.2">
      <c r="B22" t="s">
        <v>48</v>
      </c>
      <c r="C22" t="s">
        <v>49</v>
      </c>
    </row>
    <row r="24" spans="1:6" x14ac:dyDescent="0.2">
      <c r="B24" t="str">
        <f>"Utkarsh    Sahu    Is the Instructor"</f>
        <v>Utkarsh    Sahu    Is the Instructor</v>
      </c>
      <c r="C24">
        <f>LEN(B24)</f>
        <v>36</v>
      </c>
    </row>
    <row r="26" spans="1:6" x14ac:dyDescent="0.2">
      <c r="B26" t="str">
        <f>TRIM(B24)</f>
        <v>Utkarsh Sahu Is the Instructor</v>
      </c>
      <c r="C26">
        <f>LEN(B26)</f>
        <v>30</v>
      </c>
    </row>
    <row r="28" spans="1:6" x14ac:dyDescent="0.2">
      <c r="A28" s="2"/>
      <c r="B28" s="2"/>
      <c r="C28" s="2"/>
      <c r="D28" s="2"/>
    </row>
    <row r="30" spans="1:6" x14ac:dyDescent="0.2">
      <c r="B30" t="s">
        <v>50</v>
      </c>
    </row>
    <row r="32" spans="1:6" x14ac:dyDescent="0.2">
      <c r="B32" t="s">
        <v>51</v>
      </c>
    </row>
    <row r="35" spans="1:4" x14ac:dyDescent="0.2">
      <c r="A35" s="2"/>
      <c r="B35" s="2"/>
      <c r="C35" s="2"/>
      <c r="D35" s="2"/>
    </row>
    <row r="37" spans="1:4" x14ac:dyDescent="0.2">
      <c r="B37" t="s">
        <v>52</v>
      </c>
    </row>
    <row r="39" spans="1:4" x14ac:dyDescent="0.2">
      <c r="B39" t="s">
        <v>53</v>
      </c>
    </row>
    <row r="40" spans="1:4" x14ac:dyDescent="0.2">
      <c r="B40" t="s">
        <v>54</v>
      </c>
    </row>
    <row r="42" spans="1:4" x14ac:dyDescent="0.2">
      <c r="B42" t="s">
        <v>55</v>
      </c>
    </row>
    <row r="45" spans="1:4" x14ac:dyDescent="0.2">
      <c r="B45" t="str">
        <f>LEFT(B42,7)</f>
        <v>My name</v>
      </c>
      <c r="C45" t="str">
        <f ca="1">_xlfn.FORMULATEXT(B45)</f>
        <v>=LEFT(B42,7)</v>
      </c>
    </row>
    <row r="46" spans="1:4" x14ac:dyDescent="0.2">
      <c r="B46" t="str">
        <f>RIGHT(B42,12)</f>
        <v>Utkarsh Sahu</v>
      </c>
      <c r="C46" t="str">
        <f ca="1">_xlfn.FORMULATEXT(B46)</f>
        <v>=RIGHT(B42,12)</v>
      </c>
    </row>
    <row r="49" spans="1:4" x14ac:dyDescent="0.2">
      <c r="B49" t="s">
        <v>56</v>
      </c>
    </row>
    <row r="51" spans="1:4" x14ac:dyDescent="0.2">
      <c r="B51" t="str">
        <f>MID(B42,4,4)</f>
        <v>name</v>
      </c>
      <c r="C51" t="str">
        <f ca="1">_xlfn.FORMULATEXT(B51)</f>
        <v>=MID(B42,4,4)</v>
      </c>
    </row>
    <row r="55" spans="1:4" x14ac:dyDescent="0.2">
      <c r="A55" s="2"/>
      <c r="B55" s="2"/>
      <c r="C55" s="2"/>
      <c r="D55" s="2"/>
    </row>
    <row r="57" spans="1:4" x14ac:dyDescent="0.2">
      <c r="B57" t="s">
        <v>57</v>
      </c>
    </row>
    <row r="59" spans="1:4" x14ac:dyDescent="0.2">
      <c r="B59" t="str">
        <f>UPPER(B42)</f>
        <v>MY NAME IS UTKARSH SAHU</v>
      </c>
    </row>
    <row r="61" spans="1:4" x14ac:dyDescent="0.2">
      <c r="B61" t="str">
        <f>LOWER(B59)</f>
        <v>my name is utkarsh sahu</v>
      </c>
    </row>
    <row r="63" spans="1:4" x14ac:dyDescent="0.2">
      <c r="B63" t="str">
        <f>PROPER(B59)</f>
        <v>My Name Is Utkarsh Sahu</v>
      </c>
    </row>
    <row r="66" spans="1:4" x14ac:dyDescent="0.2">
      <c r="A66" s="2"/>
      <c r="B66" s="2"/>
      <c r="C66" s="2"/>
      <c r="D66" s="2"/>
    </row>
    <row r="68" spans="1:4" x14ac:dyDescent="0.2">
      <c r="A68" t="s">
        <v>58</v>
      </c>
    </row>
    <row r="71" spans="1:4" x14ac:dyDescent="0.2">
      <c r="B71" t="s">
        <v>5</v>
      </c>
      <c r="C71" t="s">
        <v>59</v>
      </c>
    </row>
    <row r="74" spans="1:4" x14ac:dyDescent="0.2">
      <c r="B74" t="b">
        <f>(B71=C71)</f>
        <v>1</v>
      </c>
    </row>
    <row r="76" spans="1:4" x14ac:dyDescent="0.2">
      <c r="B76" t="b">
        <f>EXACT(B71,C71)</f>
        <v>0</v>
      </c>
    </row>
    <row r="79" spans="1:4" x14ac:dyDescent="0.2">
      <c r="A79" s="2"/>
      <c r="B79" s="2"/>
      <c r="C79" s="2"/>
      <c r="D79" s="2"/>
    </row>
    <row r="81" spans="2:13" x14ac:dyDescent="0.2">
      <c r="B81" t="s">
        <v>60</v>
      </c>
    </row>
    <row r="84" spans="2:13" x14ac:dyDescent="0.2">
      <c r="B84" t="s">
        <v>61</v>
      </c>
    </row>
    <row r="87" spans="2:13" x14ac:dyDescent="0.2">
      <c r="B87" t="str" cm="1">
        <f t="array" ref="B87:M87">_xlfn.TEXTSPLIT(B84," ")</f>
        <v>My</v>
      </c>
      <c r="C87" t="str">
        <v>name</v>
      </c>
      <c r="D87" t="str">
        <v>is</v>
      </c>
      <c r="E87" t="str">
        <v>Utkarsh</v>
      </c>
      <c r="F87" t="str">
        <v>Sahu,</v>
      </c>
      <c r="G87" t="str">
        <v>I</v>
      </c>
      <c r="H87" t="str">
        <v>work</v>
      </c>
      <c r="I87" t="str">
        <v>as</v>
      </c>
      <c r="J87" t="str">
        <v>an</v>
      </c>
      <c r="K87" t="str">
        <v>Instructor</v>
      </c>
      <c r="L87" t="str">
        <v>at</v>
      </c>
      <c r="M87" t="str">
        <v>AccioJobs</v>
      </c>
    </row>
    <row r="89" spans="2:13" x14ac:dyDescent="0.2">
      <c r="B89" t="s">
        <v>62</v>
      </c>
    </row>
    <row r="91" spans="2:13" x14ac:dyDescent="0.2">
      <c r="B91" t="str" cm="1">
        <f t="array" ref="B91:D91">_xlfn.TEXTSPLIT(B89,",")</f>
        <v>utkarsh</v>
      </c>
      <c r="C91" t="str">
        <v>vaibhav</v>
      </c>
      <c r="D91" t="str">
        <v>suraj</v>
      </c>
    </row>
    <row r="99" spans="1:44" x14ac:dyDescent="0.2">
      <c r="A99" s="2"/>
      <c r="B99" s="2"/>
      <c r="C99" s="2"/>
      <c r="D99" s="2"/>
    </row>
    <row r="100" spans="1:44" x14ac:dyDescent="0.2">
      <c r="A100" s="2"/>
      <c r="B100" s="2"/>
      <c r="C100" s="2"/>
      <c r="D100" s="2"/>
    </row>
    <row r="103" spans="1:44" ht="18" x14ac:dyDescent="0.2">
      <c r="B103" s="13" t="s">
        <v>63</v>
      </c>
    </row>
    <row r="107" spans="1:44" x14ac:dyDescent="0.2">
      <c r="B107" t="s">
        <v>64</v>
      </c>
    </row>
    <row r="109" spans="1:44" x14ac:dyDescent="0.2">
      <c r="B109" t="str" cm="1">
        <f t="array" ref="B109:AR112">_xlfn.TEXTSPLIT(B103," ",".",TRUE,,"")</f>
        <v>Lorem</v>
      </c>
      <c r="C109" t="str">
        <v>Ipsum is</v>
      </c>
      <c r="D109" t="str">
        <v>simply</v>
      </c>
      <c r="E109" t="str">
        <v>dummy</v>
      </c>
      <c r="F109" t="str">
        <v>text</v>
      </c>
      <c r="G109" t="str">
        <v>of</v>
      </c>
      <c r="H109" t="str">
        <v>the</v>
      </c>
      <c r="I109" t="str">
        <v>printing</v>
      </c>
      <c r="J109" t="str">
        <v>and</v>
      </c>
      <c r="K109" t="str">
        <v>typesetting</v>
      </c>
      <c r="L109" t="str">
        <v>industry</v>
      </c>
      <c r="M109" t="str">
        <v/>
      </c>
      <c r="N109" t="str">
        <v/>
      </c>
      <c r="O109" t="str">
        <v/>
      </c>
      <c r="P109" t="str">
        <v/>
      </c>
      <c r="Q109" t="str">
        <v/>
      </c>
      <c r="R109" t="str">
        <v/>
      </c>
      <c r="S109" t="str">
        <v/>
      </c>
      <c r="T109" t="str">
        <v/>
      </c>
      <c r="U109" t="str">
        <v/>
      </c>
      <c r="V109" t="str">
        <v/>
      </c>
      <c r="W109" t="str">
        <v/>
      </c>
      <c r="X109" t="str">
        <v/>
      </c>
      <c r="Y109" t="str">
        <v/>
      </c>
      <c r="Z109" t="str">
        <v/>
      </c>
      <c r="AA109" t="str">
        <v/>
      </c>
      <c r="AB109" t="str">
        <v/>
      </c>
      <c r="AC109" t="str">
        <v/>
      </c>
      <c r="AD109" t="str">
        <v/>
      </c>
      <c r="AE109" t="str">
        <v/>
      </c>
      <c r="AF109" t="str">
        <v/>
      </c>
      <c r="AG109" t="str">
        <v/>
      </c>
      <c r="AH109" t="str">
        <v/>
      </c>
      <c r="AI109" t="str">
        <v/>
      </c>
      <c r="AJ109" t="str">
        <v/>
      </c>
      <c r="AK109" t="str">
        <v/>
      </c>
      <c r="AL109" t="str">
        <v/>
      </c>
      <c r="AM109" t="str">
        <v/>
      </c>
      <c r="AN109" t="str">
        <v/>
      </c>
      <c r="AO109" t="str">
        <v/>
      </c>
      <c r="AP109" t="str">
        <v/>
      </c>
      <c r="AQ109" t="str">
        <v/>
      </c>
      <c r="AR109" t="str">
        <v/>
      </c>
    </row>
    <row r="110" spans="1:44" x14ac:dyDescent="0.2">
      <c r="B110" t="str">
        <v>Lorem</v>
      </c>
      <c r="C110" t="str">
        <v>Ipsum</v>
      </c>
      <c r="D110" t="str">
        <v>has</v>
      </c>
      <c r="E110" t="str">
        <v>been</v>
      </c>
      <c r="F110" t="str">
        <v>the</v>
      </c>
      <c r="G110" t="str">
        <v>industry's</v>
      </c>
      <c r="H110" t="str">
        <v>standard</v>
      </c>
      <c r="I110" t="str">
        <v>dummy</v>
      </c>
      <c r="J110" t="str">
        <v>text</v>
      </c>
      <c r="K110" t="str">
        <v>ever</v>
      </c>
      <c r="L110" t="str">
        <v>since</v>
      </c>
      <c r="M110" t="str">
        <v>1966,</v>
      </c>
      <c r="N110" t="str">
        <v>when</v>
      </c>
      <c r="O110" t="str">
        <v>designers</v>
      </c>
      <c r="P110" t="str">
        <v>at</v>
      </c>
      <c r="Q110" t="str">
        <v>Letraset</v>
      </c>
      <c r="R110" t="str">
        <v>and</v>
      </c>
      <c r="S110" t="str">
        <v>James</v>
      </c>
      <c r="T110" t="str">
        <v>Mosley,</v>
      </c>
      <c r="U110" t="str">
        <v>the</v>
      </c>
      <c r="V110" t="str">
        <v>librarian</v>
      </c>
      <c r="W110" t="str">
        <v>at</v>
      </c>
      <c r="X110" t="str">
        <v>St</v>
      </c>
      <c r="Y110" t="str">
        <v>Bride</v>
      </c>
      <c r="Z110" t="str">
        <v>Printing</v>
      </c>
      <c r="AA110" t="str">
        <v>Library,</v>
      </c>
      <c r="AB110" t="str">
        <v>took</v>
      </c>
      <c r="AC110" t="str">
        <v>a</v>
      </c>
      <c r="AD110" t="str">
        <v>1914</v>
      </c>
      <c r="AE110" t="str">
        <v>Cicero</v>
      </c>
      <c r="AF110" t="str">
        <v>translation</v>
      </c>
      <c r="AG110" t="str">
        <v>and</v>
      </c>
      <c r="AH110" t="str">
        <v>scrambled</v>
      </c>
      <c r="AI110" t="str">
        <v>it</v>
      </c>
      <c r="AJ110" t="str">
        <v>to</v>
      </c>
      <c r="AK110" t="str">
        <v>make</v>
      </c>
      <c r="AL110" t="str">
        <v>dummy</v>
      </c>
      <c r="AM110" t="str">
        <v>text</v>
      </c>
      <c r="AN110" t="str">
        <v>for</v>
      </c>
      <c r="AO110" t="str">
        <v>Letraset's</v>
      </c>
      <c r="AP110" t="str">
        <v>Body</v>
      </c>
      <c r="AQ110" t="str">
        <v>Type</v>
      </c>
      <c r="AR110" t="str">
        <v>sheets</v>
      </c>
    </row>
    <row r="111" spans="1:44" x14ac:dyDescent="0.2">
      <c r="B111" t="str">
        <v>It</v>
      </c>
      <c r="C111" t="str">
        <v>has</v>
      </c>
      <c r="D111" t="str">
        <v>survived</v>
      </c>
      <c r="E111" t="str">
        <v>not</v>
      </c>
      <c r="F111" t="str">
        <v>only</v>
      </c>
      <c r="G111" t="str">
        <v>many</v>
      </c>
      <c r="H111" t="str">
        <v>decades,</v>
      </c>
      <c r="I111" t="str">
        <v>but</v>
      </c>
      <c r="J111" t="str">
        <v>also</v>
      </c>
      <c r="K111" t="str">
        <v>the</v>
      </c>
      <c r="L111" t="str">
        <v>leap</v>
      </c>
      <c r="M111" t="str">
        <v>into</v>
      </c>
      <c r="N111" t="str">
        <v>electronic</v>
      </c>
      <c r="O111" t="str">
        <v>typesetting,</v>
      </c>
      <c r="P111" t="str">
        <v>remaining</v>
      </c>
      <c r="Q111" t="str">
        <v>essentially</v>
      </c>
      <c r="R111" t="str">
        <v>unchanged</v>
      </c>
      <c r="S111" t="str">
        <v/>
      </c>
      <c r="T111" t="str">
        <v/>
      </c>
      <c r="U111" t="str">
        <v/>
      </c>
      <c r="V111" t="str">
        <v/>
      </c>
      <c r="W111" t="str">
        <v/>
      </c>
      <c r="X111" t="str">
        <v/>
      </c>
      <c r="Y111" t="str">
        <v/>
      </c>
      <c r="Z111" t="str">
        <v/>
      </c>
      <c r="AA111" t="str">
        <v/>
      </c>
      <c r="AB111" t="str">
        <v/>
      </c>
      <c r="AC111" t="str">
        <v/>
      </c>
      <c r="AD111" t="str">
        <v/>
      </c>
      <c r="AE111" t="str">
        <v/>
      </c>
      <c r="AF111" t="str">
        <v/>
      </c>
      <c r="AG111" t="str">
        <v/>
      </c>
      <c r="AH111" t="str">
        <v/>
      </c>
      <c r="AI111" t="str">
        <v/>
      </c>
      <c r="AJ111" t="str">
        <v/>
      </c>
      <c r="AK111" t="str">
        <v/>
      </c>
      <c r="AL111" t="str">
        <v/>
      </c>
      <c r="AM111" t="str">
        <v/>
      </c>
      <c r="AN111" t="str">
        <v/>
      </c>
      <c r="AO111" t="str">
        <v/>
      </c>
      <c r="AP111" t="str">
        <v/>
      </c>
      <c r="AQ111" t="str">
        <v/>
      </c>
      <c r="AR111" t="str">
        <v/>
      </c>
    </row>
    <row r="112" spans="1:44" x14ac:dyDescent="0.2">
      <c r="B112" t="str">
        <v>It</v>
      </c>
      <c r="C112" t="str">
        <v>was</v>
      </c>
      <c r="D112" t="str">
        <v>popularised</v>
      </c>
      <c r="E112" t="str">
        <v>thanks</v>
      </c>
      <c r="F112" t="str">
        <v>to</v>
      </c>
      <c r="G112" t="str">
        <v>these</v>
      </c>
      <c r="H112" t="str">
        <v>sheets</v>
      </c>
      <c r="I112" t="str">
        <v>and</v>
      </c>
      <c r="J112" t="str">
        <v>more</v>
      </c>
      <c r="K112" t="str">
        <v>recently</v>
      </c>
      <c r="L112" t="str">
        <v>with</v>
      </c>
      <c r="M112" t="str">
        <v>desktop</v>
      </c>
      <c r="N112" t="str">
        <v>publishing</v>
      </c>
      <c r="O112" t="str">
        <v>software</v>
      </c>
      <c r="P112" t="str">
        <v>including</v>
      </c>
      <c r="Q112" t="str">
        <v>versions</v>
      </c>
      <c r="R112" t="str">
        <v>of</v>
      </c>
      <c r="S112" t="str">
        <v>Lorem</v>
      </c>
      <c r="T112" t="str">
        <v>Ipsum</v>
      </c>
      <c r="U112" t="str">
        <v/>
      </c>
      <c r="V112" t="str">
        <v/>
      </c>
      <c r="W112" t="str">
        <v/>
      </c>
      <c r="X112" t="str">
        <v/>
      </c>
      <c r="Y112" t="str">
        <v/>
      </c>
      <c r="Z112" t="str">
        <v/>
      </c>
      <c r="AA112" t="str">
        <v/>
      </c>
      <c r="AB112" t="str">
        <v/>
      </c>
      <c r="AC112" t="str">
        <v/>
      </c>
      <c r="AD112" t="str">
        <v/>
      </c>
      <c r="AE112" t="str">
        <v/>
      </c>
      <c r="AF112" t="str">
        <v/>
      </c>
      <c r="AG112" t="str">
        <v/>
      </c>
      <c r="AH112" t="str">
        <v/>
      </c>
      <c r="AI112" t="str">
        <v/>
      </c>
      <c r="AJ112" t="str">
        <v/>
      </c>
      <c r="AK112" t="str">
        <v/>
      </c>
      <c r="AL112" t="str">
        <v/>
      </c>
      <c r="AM112" t="str">
        <v/>
      </c>
      <c r="AN112" t="str">
        <v/>
      </c>
      <c r="AO112" t="str">
        <v/>
      </c>
      <c r="AP112" t="str">
        <v/>
      </c>
      <c r="AQ112" t="str">
        <v/>
      </c>
      <c r="AR112" t="str">
        <v/>
      </c>
    </row>
    <row r="114" spans="1:6" x14ac:dyDescent="0.2">
      <c r="B114" t="str">
        <f ca="1">_xlfn.FORMULATEXT(B109)</f>
        <v>=TEXTSPLIT(B103," ",".",TRUE,,"")</v>
      </c>
    </row>
    <row r="118" spans="1:6" x14ac:dyDescent="0.2">
      <c r="A118" s="2"/>
      <c r="B118" s="2"/>
      <c r="C118" s="2"/>
      <c r="D118" s="2"/>
      <c r="E118" s="2"/>
      <c r="F118" s="2"/>
    </row>
    <row r="120" spans="1:6" x14ac:dyDescent="0.2">
      <c r="B120" t="s">
        <v>65</v>
      </c>
    </row>
    <row r="122" spans="1:6" x14ac:dyDescent="0.2">
      <c r="B122" t="s">
        <v>5</v>
      </c>
      <c r="C122" t="s">
        <v>66</v>
      </c>
      <c r="D122" t="s">
        <v>67</v>
      </c>
    </row>
    <row r="125" spans="1:6" x14ac:dyDescent="0.2">
      <c r="B125" t="str">
        <f>_xlfn.TEXTJOIN(",",TRUE,B122:D122)</f>
        <v>Utkarsh,Vaibhav,Suraj</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agenda</vt:lpstr>
      <vt:lpstr>TEXT</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2026-06-02T15:32:07Z</dcterms:created>
  <dcterms:modified xsi:type="dcterms:W3CDTF">2026-06-02T17:31:22Z</dcterms:modified>
</cp:coreProperties>
</file>