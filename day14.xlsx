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ink/ink1.xml" ContentType="application/inkml+xml"/>
  <Override PartName="/xl/ink/ink2.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DCB498F0-9A5C-2F47-BCC0-F56D4A02FCB8}" xr6:coauthVersionLast="47" xr6:coauthVersionMax="47" xr10:uidLastSave="{00000000-0000-0000-0000-000000000000}"/>
  <bookViews>
    <workbookView xWindow="0" yWindow="600" windowWidth="28800" windowHeight="17400" activeTab="2" xr2:uid="{F1C329F0-CDEF-4848-9DAA-6AED906A74C6}"/>
  </bookViews>
  <sheets>
    <sheet name="AGENDA" sheetId="1" r:id="rId1"/>
    <sheet name="TEXT" sheetId="2" r:id="rId2"/>
    <sheet name="FUNC" sheetId="3" r:id="rId3"/>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5" i="3" l="1"/>
  <c r="E134" i="3"/>
  <c r="E136" i="3"/>
  <c r="E133" i="3"/>
  <c r="F120" i="3" a="1"/>
  <c r="F117" i="3" a="1"/>
  <c r="C111" i="3" a="1"/>
  <c r="H86" i="3" a="1"/>
  <c r="C75" i="3"/>
  <c r="E75" i="3"/>
  <c r="E77" i="3" s="1"/>
  <c r="C77" i="3"/>
  <c r="D62" i="3"/>
  <c r="D61" i="3"/>
  <c r="C67" i="3"/>
  <c r="C65" i="3"/>
  <c r="D59" i="3"/>
  <c r="D58" i="3"/>
  <c r="D45" i="3"/>
  <c r="D44" i="3"/>
  <c r="D43" i="3"/>
  <c r="C45" i="3"/>
  <c r="C44" i="3"/>
  <c r="C43" i="3"/>
  <c r="B26" i="3"/>
  <c r="B25" i="3"/>
  <c r="B24" i="3"/>
  <c r="B9" i="3"/>
  <c r="B83" i="2"/>
  <c r="B72" i="2"/>
  <c r="B82" i="2" s="1"/>
  <c r="B63" i="2"/>
  <c r="D63" i="2"/>
  <c r="B64" i="2"/>
  <c r="D54" i="2"/>
  <c r="D50" i="2"/>
  <c r="D51" i="2"/>
  <c r="D52" i="2"/>
  <c r="F42" i="2"/>
  <c r="F43" i="2"/>
  <c r="F44" i="2"/>
  <c r="D42" i="2"/>
  <c r="D43" i="2"/>
  <c r="D44" i="2"/>
  <c r="D23" i="2"/>
  <c r="D24" i="2"/>
  <c r="D25" i="2"/>
  <c r="D22" i="2"/>
  <c r="E22" i="2"/>
  <c r="B9" i="2"/>
  <c r="B13" i="2" s="1"/>
  <c r="B15" i="2"/>
  <c r="F20" i="1"/>
  <c r="C21" i="1"/>
  <c r="C20" i="1"/>
  <c r="E9" i="1"/>
  <c r="G10" i="1"/>
  <c r="G9" i="1"/>
  <c r="F79" i="2" l="1"/>
  <c r="D79" i="2"/>
  <c r="E79" i="2"/>
  <c r="D77" i="2"/>
  <c r="E77" i="2"/>
  <c r="F77" i="2"/>
  <c r="D75" i="2"/>
  <c r="E75" i="2"/>
  <c r="F75" i="2"/>
  <c r="G75"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<sst xmlns="http://schemas.openxmlformats.org/spreadsheetml/2006/main" count="89" uniqueCount="84">
  <si>
    <t>TEXT FUNCTIONS</t>
  </si>
  <si>
    <t>Any combination of char ( 2,3,4,(,^,|,\,/k,q,d)</t>
  </si>
  <si>
    <t>Any thing enclosed inside " "</t>
  </si>
  <si>
    <t>TEXT</t>
  </si>
  <si>
    <t>TEXT()</t>
  </si>
  <si>
    <t>Formats a given string/text in a format provided by the user</t>
  </si>
  <si>
    <t>DOB</t>
  </si>
  <si>
    <t xml:space="preserve">My DOB is </t>
  </si>
  <si>
    <t>CONCAT</t>
  </si>
  <si>
    <t>to join two or more strings</t>
  </si>
  <si>
    <t>My name is</t>
  </si>
  <si>
    <t>Utkarsh</t>
  </si>
  <si>
    <t>Sahu</t>
  </si>
  <si>
    <t>&amp;</t>
  </si>
  <si>
    <t>Leading Zeros</t>
  </si>
  <si>
    <t>CURRENCY</t>
  </si>
  <si>
    <t>5K</t>
  </si>
  <si>
    <t>K --&gt; Kilo</t>
  </si>
  <si>
    <t>₹ #,##0.00,, \M</t>
  </si>
  <si>
    <t>$ #,##0.00, \K</t>
  </si>
  <si>
    <t>Phn Num</t>
  </si>
  <si>
    <t xml:space="preserve">% </t>
  </si>
  <si>
    <t>TEXT(B60,"##.00%")</t>
  </si>
  <si>
    <t>DATE</t>
  </si>
  <si>
    <t>YEAR</t>
  </si>
  <si>
    <t>MONTH</t>
  </si>
  <si>
    <t>dd</t>
  </si>
  <si>
    <t>ddd</t>
  </si>
  <si>
    <t>dddd</t>
  </si>
  <si>
    <t>mm</t>
  </si>
  <si>
    <t>mmm</t>
  </si>
  <si>
    <t>mmmm</t>
  </si>
  <si>
    <t>yy</t>
  </si>
  <si>
    <t>yyy</t>
  </si>
  <si>
    <t>yyyy</t>
  </si>
  <si>
    <t>DAY</t>
  </si>
  <si>
    <t xml:space="preserve">VALUE </t>
  </si>
  <si>
    <t>FORMAT_TEXT</t>
  </si>
  <si>
    <t>What we want to format</t>
  </si>
  <si>
    <t>HOW we want to format</t>
  </si>
  <si>
    <t>LEN</t>
  </si>
  <si>
    <t>Length of a TEXT ==&gt; Num of char inside it</t>
  </si>
  <si>
    <t>Utkarsh Sahu</t>
  </si>
  <si>
    <t>Join two or more string</t>
  </si>
  <si>
    <t>Upper</t>
  </si>
  <si>
    <t>Lower</t>
  </si>
  <si>
    <t>Proper</t>
  </si>
  <si>
    <t>Js 17 hshshsh HAHHHA</t>
  </si>
  <si>
    <t>ALL CAPS</t>
  </si>
  <si>
    <t>NO CAPS</t>
  </si>
  <si>
    <t>Every word, first letter is caps</t>
  </si>
  <si>
    <t>LEFT</t>
  </si>
  <si>
    <t>To extract chars from left side</t>
  </si>
  <si>
    <t>RIGHT</t>
  </si>
  <si>
    <t>To extract chars from Right side</t>
  </si>
  <si>
    <t>MID</t>
  </si>
  <si>
    <t>after a given point</t>
  </si>
  <si>
    <t>My name is Utkarsh Sahu</t>
  </si>
  <si>
    <t>first 4</t>
  </si>
  <si>
    <t>Last 6</t>
  </si>
  <si>
    <t xml:space="preserve">Middle </t>
  </si>
  <si>
    <t>Startring Pos ( incl.)</t>
  </si>
  <si>
    <t>Num of Chars needed</t>
  </si>
  <si>
    <t>UTKARSH</t>
  </si>
  <si>
    <t>CONTENT</t>
  </si>
  <si>
    <t>CONTENT &amp; CASE</t>
  </si>
  <si>
    <t>TRIM</t>
  </si>
  <si>
    <t>To remove extra spaces</t>
  </si>
  <si>
    <t>TEXTSPLIT</t>
  </si>
  <si>
    <t>SPLIT the text</t>
  </si>
  <si>
    <t>utkarsh sahu|23 | 2 feb 2020</t>
  </si>
  <si>
    <t>name | age | dob  | vv - utkarsh sahu|23 | 2 feb 2020</t>
  </si>
  <si>
    <r>
      <t>Lorem Ipsum</t>
    </r>
    <r>
      <rPr>
        <sz val="14"/>
        <color rgb="FF000000"/>
        <rFont val="Arial"/>
        <family val="2"/>
      </rPr>
      <t> is simply dummy text of the printing and typesetting industry. Lorem Ipsum has been the industry's standard dummy text ever since 1966, when designers at Letraset and James Mosley, the librarian at St Bride Printing Library in London, took a 1914 Cicero translation and scrambled it to make dummy text for Letraset's Body Type sheets. It has survived not only many decades, but also the leap into electronic typesetting, remaining essentially unchanged. It was popularised thanks to these sheets and more recently with desktop publishing software like Aldus PageMaker and Microsoft Word including versions of Lorem Ipsum.</t>
    </r>
  </si>
  <si>
    <t>words in columns</t>
  </si>
  <si>
    <t>&amp; senteces in rows</t>
  </si>
  <si>
    <t>age,name,dob,,height</t>
  </si>
  <si>
    <t>12c34c45</t>
  </si>
  <si>
    <t>TEXT JOIN</t>
  </si>
  <si>
    <t>Name</t>
  </si>
  <si>
    <t>Rahul</t>
  </si>
  <si>
    <t>Sonia</t>
  </si>
  <si>
    <t>Kumar</t>
  </si>
  <si>
    <t>Raj</t>
  </si>
  <si>
    <t>['Utkarsh','Rahul','Sonia','Kumar','Raj']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</si>
</sst>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7" formatCode="0.0000%"/>
  </numFmts>
  <fonts count="5" x14ac:knownFonts="1">
    <font>
      <sz val="12"/>
      <color theme="1"/>
      <name val="Aptos Narrow"/>
      <family val="2"/>
      <scheme val="minor"/>
    </font>
    <font>
      <sz val="20"/>
      <color theme="1"/>
      <name val="Aptos Narrow"/>
      <family val="2"/>
      <scheme val="minor"/>
    </font>
    <font>
      <sz val="12"/>
      <color rgb="FF000000"/>
      <name val="Aptos Narrow"/>
      <family val="2"/>
      <scheme val="minor"/>
    </font>
    <font>
      <b/>
      <sz val="14"/>
      <color rgb="FF000000"/>
      <name val="Arial"/>
      <family val="2"/>
    </font>
    <font>
      <sz val="14"/>
      <color rgb="FF000000"/>
      <name val="Arial"/>
      <family val="2"/>
    </font>
  </fonts>
  <fills count="5">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
      <patternFill patternType="solid">
        <fgColor theme="2" tint="-0.249977111117893"/>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20">
    <xf numFmtId="0" fontId="0" fillId="0" borderId="0" xfId="0"/>
    <xf numFmtId="0" fontId="0" fillId="0" borderId="0" xfId="0" applyAlignment="1">
      <alignment horizontal="center"/>
    </xf>
    <xf numFmtId="0" fontId="0" fillId="2" borderId="0" xfId="0" applyFill="1"/>
    <xf numFmtId="0" fontId="1" fillId="0" borderId="0" xfId="0" applyFont="1" applyAlignment="1">
      <alignment horizontal="center"/>
    </xf>
    <xf numFmtId="14" fontId="0" fillId="0" borderId="0" xfId="0" applyNumberFormat="1"/>
    <xf numFmtId="2" fontId="0" fillId="0" borderId="0" xfId="0" applyNumberFormat="1"/>
    <xf numFmtId="9" fontId="0" fillId="0" borderId="0" xfId="0" applyNumberFormat="1"/>
    <xf numFmtId="0" fontId="2" fillId="0" borderId="0" xfId="0" applyFont="1"/>
    <xf numFmtId="167" fontId="0" fillId="0" borderId="0" xfId="0" applyNumberFormat="1"/>
    <xf numFmtId="44" fontId="0" fillId="0" borderId="0" xfId="0" applyNumberFormat="1"/>
    <xf numFmtId="0" fontId="0" fillId="3" borderId="0" xfId="0" applyFill="1"/>
    <xf numFmtId="0" fontId="2" fillId="3" borderId="0" xfId="0" applyFont="1" applyFill="1"/>
    <xf numFmtId="0" fontId="0" fillId="0" borderId="1" xfId="0" applyBorder="1"/>
    <xf numFmtId="0" fontId="0" fillId="4" borderId="1" xfId="0" applyFill="1" applyBorder="1"/>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0" xfId="0" applyAlignment="1">
      <alignment horizontal="left"/>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customXml" Target="../ink/ink2.xml"/><Relationship Id="rId2" Type="http://schemas.openxmlformats.org/officeDocument/2006/relationships/image" Target="../media/image1.png"/><Relationship Id="rId1" Type="http://schemas.openxmlformats.org/officeDocument/2006/relationships/customXml" Target="../ink/ink1.xml"/><Relationship Id="rId5" Type="http://schemas.openxmlformats.org/officeDocument/2006/relationships/image" Target="../media/image3.png"/><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xdr:col>
      <xdr:colOff>739279</xdr:colOff>
      <xdr:row>45</xdr:row>
      <xdr:rowOff>5579</xdr:rowOff>
    </xdr:from>
    <xdr:to>
      <xdr:col>4</xdr:col>
      <xdr:colOff>437065</xdr:colOff>
      <xdr:row>46</xdr:row>
      <xdr:rowOff>79991</xdr:rowOff>
    </xdr:to>
    <mc:AlternateContent xmlns:mc="http://schemas.openxmlformats.org/markup-compatibility/2006">
      <mc:Choice xmlns:xdr14="http://schemas.microsoft.com/office/excel/2010/spreadsheetDrawing" Requires="xdr14">
        <xdr:contentPart xmlns:r="http://schemas.openxmlformats.org/officeDocument/2006/relationships" r:id="rId1">
          <xdr14:nvContentPartPr>
            <xdr14:cNvPr id="2" name="Ink 1">
              <a:extLst>
                <a:ext uri="{FF2B5EF4-FFF2-40B4-BE49-F238E27FC236}">
                  <a16:creationId xmlns:a16="http://schemas.microsoft.com/office/drawing/2014/main" id="{32112317-3D0F-1261-52C9-C89B0449AB33}"/>
                </a:ext>
              </a:extLst>
            </xdr14:cNvPr>
            <xdr14:cNvContentPartPr/>
          </xdr14:nvContentPartPr>
          <xdr14:nvPr macro=""/>
          <xdr14:xfrm>
            <a:off x="3222720" y="9260640"/>
            <a:ext cx="525600" cy="280080"/>
          </xdr14:xfrm>
        </xdr:contentPart>
      </mc:Choice>
      <mc:Fallback>
        <xdr:pic>
          <xdr:nvPicPr>
            <xdr:cNvPr id="2" name="Ink 1">
              <a:extLst>
                <a:ext uri="{FF2B5EF4-FFF2-40B4-BE49-F238E27FC236}">
                  <a16:creationId xmlns:a16="http://schemas.microsoft.com/office/drawing/2014/main" id="{32112317-3D0F-1261-52C9-C89B0449AB33}"/>
                </a:ext>
              </a:extLst>
            </xdr:cNvPr>
            <xdr:cNvPicPr/>
          </xdr:nvPicPr>
          <xdr:blipFill>
            <a:blip xmlns:r="http://schemas.openxmlformats.org/officeDocument/2006/relationships" r:embed="rId2"/>
            <a:stretch>
              <a:fillRect/>
            </a:stretch>
          </xdr:blipFill>
          <xdr:spPr>
            <a:xfrm>
              <a:off x="3216600" y="9254520"/>
              <a:ext cx="537840" cy="292320"/>
            </a:xfrm>
            <a:prstGeom prst="rect">
              <a:avLst/>
            </a:prstGeom>
          </xdr:spPr>
        </xdr:pic>
      </mc:Fallback>
    </mc:AlternateContent>
    <xdr:clientData/>
  </xdr:twoCellAnchor>
  <xdr:twoCellAnchor editAs="oneCell">
    <xdr:from>
      <xdr:col>4</xdr:col>
      <xdr:colOff>44305</xdr:colOff>
      <xdr:row>45</xdr:row>
      <xdr:rowOff>4139</xdr:rowOff>
    </xdr:from>
    <xdr:to>
      <xdr:col>4</xdr:col>
      <xdr:colOff>577105</xdr:colOff>
      <xdr:row>48</xdr:row>
      <xdr:rowOff>120455</xdr:rowOff>
    </xdr:to>
    <mc:AlternateContent xmlns:mc="http://schemas.openxmlformats.org/markup-compatibility/2006">
      <mc:Choice xmlns:xdr14="http://schemas.microsoft.com/office/excel/2010/spreadsheetDrawing" Requires="xdr14">
        <xdr:contentPart xmlns:r="http://schemas.openxmlformats.org/officeDocument/2006/relationships" r:id="rId3">
          <xdr14:nvContentPartPr>
            <xdr14:cNvPr id="3" name="Ink 2">
              <a:extLst>
                <a:ext uri="{FF2B5EF4-FFF2-40B4-BE49-F238E27FC236}">
                  <a16:creationId xmlns:a16="http://schemas.microsoft.com/office/drawing/2014/main" id="{33E67843-B017-8578-E580-76E24CD32C0B}"/>
                </a:ext>
              </a:extLst>
            </xdr14:cNvPr>
            <xdr14:cNvContentPartPr/>
          </xdr14:nvContentPartPr>
          <xdr14:nvPr macro=""/>
          <xdr14:xfrm>
            <a:off x="3355560" y="9259200"/>
            <a:ext cx="532800" cy="733320"/>
          </xdr14:xfrm>
        </xdr:contentPart>
      </mc:Choice>
      <mc:Fallback>
        <xdr:pic>
          <xdr:nvPicPr>
            <xdr:cNvPr id="3" name="Ink 2">
              <a:extLst>
                <a:ext uri="{FF2B5EF4-FFF2-40B4-BE49-F238E27FC236}">
                  <a16:creationId xmlns:a16="http://schemas.microsoft.com/office/drawing/2014/main" id="{33E67843-B017-8578-E580-76E24CD32C0B}"/>
                </a:ext>
              </a:extLst>
            </xdr:cNvPr>
            <xdr:cNvPicPr/>
          </xdr:nvPicPr>
          <xdr:blipFill>
            <a:blip xmlns:r="http://schemas.openxmlformats.org/officeDocument/2006/relationships" r:embed="rId4"/>
            <a:stretch>
              <a:fillRect/>
            </a:stretch>
          </xdr:blipFill>
          <xdr:spPr>
            <a:xfrm>
              <a:off x="3349440" y="9253080"/>
              <a:ext cx="545040" cy="745560"/>
            </a:xfrm>
            <a:prstGeom prst="rect">
              <a:avLst/>
            </a:prstGeom>
          </xdr:spPr>
        </xdr:pic>
      </mc:Fallback>
    </mc:AlternateContent>
    <xdr:clientData/>
  </xdr:twoCellAnchor>
  <xdr:twoCellAnchor editAs="oneCell">
    <xdr:from>
      <xdr:col>2</xdr:col>
      <xdr:colOff>123399</xdr:colOff>
      <xdr:row>89</xdr:row>
      <xdr:rowOff>109600</xdr:rowOff>
    </xdr:from>
    <xdr:to>
      <xdr:col>9</xdr:col>
      <xdr:colOff>666568</xdr:colOff>
      <xdr:row>96</xdr:row>
      <xdr:rowOff>108238</xdr:rowOff>
    </xdr:to>
    <xdr:pic>
      <xdr:nvPicPr>
        <xdr:cNvPr id="4" name="Picture 3">
          <a:extLst>
            <a:ext uri="{FF2B5EF4-FFF2-40B4-BE49-F238E27FC236}">
              <a16:creationId xmlns:a16="http://schemas.microsoft.com/office/drawing/2014/main" id="{4CAE0DD8-CD13-5329-732C-670AEEB1AB45}"/>
            </a:ext>
          </a:extLst>
        </xdr:cNvPr>
        <xdr:cNvPicPr>
          <a:picLocks noChangeAspect="1"/>
        </xdr:cNvPicPr>
      </xdr:nvPicPr>
      <xdr:blipFill>
        <a:blip xmlns:r="http://schemas.openxmlformats.org/officeDocument/2006/relationships" r:embed="rId5"/>
        <a:stretch>
          <a:fillRect/>
        </a:stretch>
      </xdr:blipFill>
      <xdr:spPr>
        <a:xfrm>
          <a:off x="1779027" y="18414053"/>
          <a:ext cx="6337865" cy="1438315"/>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8-29T16:38:20.971"/>
    </inkml:context>
    <inkml:brush xml:id="br0">
      <inkml:brushProperty name="width" value="0.035" units="cm"/>
      <inkml:brushProperty name="height" value="0.035" units="cm"/>
      <inkml:brushProperty name="color" value="#5B2D90"/>
    </inkml:brush>
  </inkml:definitions>
  <inkml:trace contextRef="#ctx0" brushRef="#br0">0 0 24575,'0'7'0,"0"5"0,0 8 0,0 12 0,0 14 0,0 14 0,0 17 0,2 14 0,2 4 0,2-12 0,1-22 0,-2-26 0,-2-19 0,-1-10 0,2-5 0,1-4 0,1-2 0,2-1 0,3-1 0,10 2 0,17 0 0,26 1 0,23 0 0,-36 2 0,2 0 0,3-1 0,1 1 0,-1-1 0,0-1 0,-1 2 0,1-1 0,-1 1 0,-1 1 0,46 0 0,-8 0 0,-12 0 0,-16-1 0,-13-1 0,-13 1 0,-11 0 0,-9 1 0,-5 0 0,-5 0 0,-4 1 0,-2 0 0,-4-2 0,-3-2 0,0 0 0,0-2 0,-1 0 0,-2-4 0,-3-3 0,-5-6 0,-4-4 0,-3 1 0,4 2 0,5 6 0,5 6 0,6 3 0,3 2 0,5 3 0,6 6 0,12 9 0,14 12 0,11 12 0,2 5 0,-6-4 0,-11-10 0,-12-11 0,-11-8 0,-6-5 0,-5-2 0,-2-1 0,-3 1 0,-5 2 0,-6 7 0,-4 4 0,-3 4 0,-1-1 0,3-2 0,5-5 0,6-3 0,6-6 0,3-1 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8-29T16:38:26.187"/>
    </inkml:context>
    <inkml:brush xml:id="br0">
      <inkml:brushProperty name="width" value="0.035" units="cm"/>
      <inkml:brushProperty name="height" value="0.035" units="cm"/>
      <inkml:brushProperty name="color" value="#5B2D90"/>
    </inkml:brush>
  </inkml:definitions>
  <inkml:trace contextRef="#ctx0" brushRef="#br0">0 0 24575,'0'21'0,"0"74"0,0-10 0,0 11-839,0-13 0,0 6 0,0 2 839,0-14 0,0 2 0,0 0 0,0-2 0,0 13 0,0-2 0,0-4 267,0-11 1,0-4-1,0-4-267,0 4 0,0-8 415,0 4-415,0-28 0,0-24 0,0-5 1300,0-3-1300,0-1 0,0 2 0,0 6 0,0 5 0,0 2 0,0-1 0,0-4 0,1-4 0,1-4 0,2-4 0,2-2 0,5-1 0,6 0 0,10 1 0,11 0 0,8 0 0,6 0 0,1 0 0,0 0 0,-1-2 0,2 1 0,8-1 0,33 2 0,-40 0 0,3 0 0,2 0 0,1 0 0,-5 0 0,-2 0 0,24-2 0,-17 1 0,-13 0 0,-6-1 0,-7 2 0,-8 0 0,-8 0 0,-8 0 0,-3 0 0,-2 0 0,-3 0 0,-2 0 0,-5 0 0,0-1 0,-3 0 0,4 0 0,1 0 0,-1-1 0,-1-2 0,-8-4 0,-7-8 0,-8-6 0,-3-3 0,3 2 0,8 7 0,8 6 0,9 5 0,3 4 0,4 2 0,-1 1 0,1 2 0,-1 0 0,3 3 0,13 10 0,20 19 0,24 22 0,-26-25 0,-1 1 0,33 27 0,-17-16 0,-23-21 0,-15-11 0,-11-8 0,-6-4 0,-3-1 0,0 0 0,-1 1 0,-1 1 0,-1 1 0,-5 4 0,-4 3 0,-7 6 0,-3 4 0,-2 2 0,1-3 0,7-4 0,6-4 0,9-7 0,3-1 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7622C-F297-6543-96F7-AA775AD0BBE2}">
  <dimension ref="A3:I29"/>
  <sheetViews>
    <sheetView topLeftCell="A22" zoomScale="273" workbookViewId="0">
      <selection activeCell="E30" sqref="E30"/>
    </sheetView>
  </sheetViews>
  <sheetFormatPr baseColWidth="10" defaultRowHeight="16" x14ac:dyDescent="0.2"/>
  <sheetData>
    <row r="3" spans="1:9" x14ac:dyDescent="0.2">
      <c r="B3" s="1" t="s">
        <v>0</v>
      </c>
      <c r="C3" s="1"/>
    </row>
    <row r="5" spans="1:9" x14ac:dyDescent="0.2">
      <c r="B5" t="s">
        <v>1</v>
      </c>
    </row>
    <row r="7" spans="1:9" x14ac:dyDescent="0.2">
      <c r="B7" t="s">
        <v>2</v>
      </c>
    </row>
    <row r="9" spans="1:9" x14ac:dyDescent="0.2">
      <c r="E9" t="str">
        <f>"45"</f>
        <v>45</v>
      </c>
      <c r="G9" t="b">
        <f>ISNUMBER(E9)</f>
        <v>0</v>
      </c>
    </row>
    <row r="10" spans="1:9" x14ac:dyDescent="0.2">
      <c r="E10">
        <v>45</v>
      </c>
      <c r="G10" t="b">
        <f>ISNUMBER(E10)</f>
        <v>1</v>
      </c>
    </row>
    <row r="12" spans="1:9" x14ac:dyDescent="0.2">
      <c r="A12" s="2"/>
      <c r="B12" s="2"/>
      <c r="C12" s="2"/>
      <c r="D12" s="2"/>
      <c r="E12" s="2"/>
      <c r="F12" s="2"/>
      <c r="G12" s="2"/>
      <c r="H12" s="2"/>
      <c r="I12" s="2"/>
    </row>
    <row r="15" spans="1:9" x14ac:dyDescent="0.2">
      <c r="B15" t="s">
        <v>8</v>
      </c>
      <c r="D15" t="s">
        <v>9</v>
      </c>
    </row>
    <row r="16" spans="1:9" x14ac:dyDescent="0.2">
      <c r="B16" t="s">
        <v>13</v>
      </c>
    </row>
    <row r="17" spans="1:7" x14ac:dyDescent="0.2">
      <c r="E17" t="s">
        <v>11</v>
      </c>
      <c r="F17" t="s">
        <v>12</v>
      </c>
    </row>
    <row r="18" spans="1:7" x14ac:dyDescent="0.2">
      <c r="C18" t="s">
        <v>10</v>
      </c>
    </row>
    <row r="20" spans="1:7" x14ac:dyDescent="0.2">
      <c r="C20" t="str">
        <f>"My name " &amp; "is Utkarsh"</f>
        <v>My name is Utkarsh</v>
      </c>
      <c r="F20" t="str">
        <f>_xlfn.CONCAT(C18," ",E17," ",F17)</f>
        <v>My name is Utkarsh Sahu</v>
      </c>
    </row>
    <row r="21" spans="1:7" x14ac:dyDescent="0.2">
      <c r="C21" t="str">
        <f ca="1">_xlfn.FORMULATEXT(C20)</f>
        <v>="My name " &amp; "is Utkarsh"</v>
      </c>
    </row>
    <row r="23" spans="1:7" x14ac:dyDescent="0.2">
      <c r="A23" s="2"/>
      <c r="B23" s="2"/>
      <c r="C23" s="2"/>
      <c r="D23" s="2"/>
      <c r="E23" s="2"/>
      <c r="F23" s="2"/>
      <c r="G23" s="2"/>
    </row>
    <row r="26" spans="1:7" x14ac:dyDescent="0.2">
      <c r="B26" t="s">
        <v>3</v>
      </c>
    </row>
    <row r="28" spans="1:7" x14ac:dyDescent="0.2">
      <c r="C28" t="s">
        <v>36</v>
      </c>
      <c r="E28" t="s">
        <v>38</v>
      </c>
    </row>
    <row r="29" spans="1:7" x14ac:dyDescent="0.2">
      <c r="C29" t="s">
        <v>37</v>
      </c>
      <c r="E29" t="s">
        <v>39</v>
      </c>
    </row>
  </sheetData>
  <mergeCells count="1">
    <mergeCell ref="B3:C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81EE0-CE11-4548-BCED-E000F5CAD965}">
  <dimension ref="A2:G83"/>
  <sheetViews>
    <sheetView topLeftCell="A130" zoomScale="292" workbookViewId="0">
      <selection activeCell="B137" sqref="B137"/>
    </sheetView>
  </sheetViews>
  <sheetFormatPr baseColWidth="10" defaultRowHeight="16" x14ac:dyDescent="0.2"/>
  <cols>
    <col min="2" max="2" width="11.1640625" bestFit="1" customWidth="1"/>
    <col min="4" max="4" width="14" bestFit="1" customWidth="1"/>
  </cols>
  <sheetData>
    <row r="2" spans="2:4" x14ac:dyDescent="0.2">
      <c r="B2" s="3" t="s">
        <v>4</v>
      </c>
      <c r="C2" s="3"/>
    </row>
    <row r="3" spans="2:4" x14ac:dyDescent="0.2">
      <c r="B3" s="3"/>
      <c r="C3" s="3"/>
    </row>
    <row r="6" spans="2:4" x14ac:dyDescent="0.2">
      <c r="B6" t="s">
        <v>5</v>
      </c>
    </row>
    <row r="8" spans="2:4" x14ac:dyDescent="0.2">
      <c r="B8" t="s">
        <v>6</v>
      </c>
    </row>
    <row r="9" spans="2:4" x14ac:dyDescent="0.2">
      <c r="B9" s="4">
        <f ca="1">TODAY()</f>
        <v>46263</v>
      </c>
      <c r="D9" s="8">
        <v>0.75249999999999995</v>
      </c>
    </row>
    <row r="11" spans="2:4" x14ac:dyDescent="0.2">
      <c r="B11" t="s">
        <v>7</v>
      </c>
    </row>
    <row r="13" spans="2:4" x14ac:dyDescent="0.2">
      <c r="B13" s="5" t="str">
        <f ca="1">_xlfn.CONCAT(B11," ",TEXT(B9,"YYYY MM dd")," I have secured ",TEXT(D9,"#.00%"))</f>
        <v>My DOB is  2026 08 29 I have secured 75.25%</v>
      </c>
    </row>
    <row r="15" spans="2:4" x14ac:dyDescent="0.2">
      <c r="B15" t="str">
        <f ca="1">_xlfn.FORMULATEXT(B13)</f>
        <v>=CONCAT(B11," ",TEXT(B9,"YYYY MM dd")," I have secured ",TEXT(D9,"#.00%"))</v>
      </c>
    </row>
    <row r="17" spans="1:5" x14ac:dyDescent="0.2">
      <c r="A17" s="2"/>
      <c r="B17" s="2"/>
      <c r="C17" s="2"/>
      <c r="D17" s="2"/>
      <c r="E17" s="2"/>
    </row>
    <row r="19" spans="1:5" x14ac:dyDescent="0.2">
      <c r="B19" t="s">
        <v>14</v>
      </c>
    </row>
    <row r="22" spans="1:5" x14ac:dyDescent="0.2">
      <c r="B22" s="7">
        <v>1</v>
      </c>
      <c r="D22" t="str">
        <f>TEXT(B22,"00000")</f>
        <v>00001</v>
      </c>
      <c r="E22" t="str">
        <f ca="1">_xlfn.FORMULATEXT(D22)</f>
        <v>=TEXT(B22,"00000")</v>
      </c>
    </row>
    <row r="23" spans="1:5" x14ac:dyDescent="0.2">
      <c r="B23" s="7">
        <v>12</v>
      </c>
      <c r="D23" t="str">
        <f t="shared" ref="D23:D25" si="0">TEXT(B23,"00000")</f>
        <v>00012</v>
      </c>
    </row>
    <row r="24" spans="1:5" x14ac:dyDescent="0.2">
      <c r="B24" s="7">
        <v>156</v>
      </c>
      <c r="D24" t="str">
        <f t="shared" si="0"/>
        <v>00156</v>
      </c>
    </row>
    <row r="25" spans="1:5" x14ac:dyDescent="0.2">
      <c r="B25" s="7">
        <v>19082</v>
      </c>
      <c r="D25" t="str">
        <f t="shared" si="0"/>
        <v>19082</v>
      </c>
    </row>
    <row r="28" spans="1:5" x14ac:dyDescent="0.2">
      <c r="B28" t="s">
        <v>15</v>
      </c>
    </row>
    <row r="31" spans="1:5" x14ac:dyDescent="0.2">
      <c r="B31">
        <v>3400000</v>
      </c>
      <c r="D31" s="9">
        <v>3400000</v>
      </c>
    </row>
    <row r="32" spans="1:5" x14ac:dyDescent="0.2">
      <c r="B32">
        <v>2338345</v>
      </c>
      <c r="D32" s="9">
        <v>2338345</v>
      </c>
    </row>
    <row r="33" spans="1:7" x14ac:dyDescent="0.2">
      <c r="B33">
        <v>2388500</v>
      </c>
      <c r="D33" s="9">
        <v>2388500</v>
      </c>
    </row>
    <row r="35" spans="1:7" x14ac:dyDescent="0.2">
      <c r="C35" t="s">
        <v>16</v>
      </c>
    </row>
    <row r="37" spans="1:7" x14ac:dyDescent="0.2">
      <c r="C37" t="s">
        <v>17</v>
      </c>
    </row>
    <row r="40" spans="1:7" x14ac:dyDescent="0.2">
      <c r="D40" s="10" t="s">
        <v>19</v>
      </c>
      <c r="F40" s="11" t="s">
        <v>18</v>
      </c>
    </row>
    <row r="42" spans="1:7" x14ac:dyDescent="0.2">
      <c r="B42">
        <v>3400000</v>
      </c>
      <c r="D42" t="str">
        <f>TEXT(B42,$D$40)</f>
        <v>$ 3,400.00 K</v>
      </c>
      <c r="F42" t="str">
        <f>TEXT(B42,$F$40)</f>
        <v>₹ 3.40 M</v>
      </c>
    </row>
    <row r="43" spans="1:7" x14ac:dyDescent="0.2">
      <c r="B43">
        <v>2338345</v>
      </c>
      <c r="D43" t="str">
        <f t="shared" ref="D43:D44" si="1">TEXT(B43,$D$40)</f>
        <v>$ 2,338.35 K</v>
      </c>
      <c r="F43" t="str">
        <f t="shared" ref="F43:F44" si="2">TEXT(B43,$F$40)</f>
        <v>₹ 2.34 M</v>
      </c>
    </row>
    <row r="44" spans="1:7" x14ac:dyDescent="0.2">
      <c r="B44">
        <v>2388500</v>
      </c>
      <c r="D44" t="str">
        <f t="shared" si="1"/>
        <v>$ 2,388.50 K</v>
      </c>
      <c r="F44" t="str">
        <f t="shared" si="2"/>
        <v>₹ 2.39 M</v>
      </c>
    </row>
    <row r="46" spans="1:7" x14ac:dyDescent="0.2">
      <c r="A46" s="2"/>
      <c r="B46" s="2"/>
      <c r="C46" s="2"/>
      <c r="D46" s="2"/>
      <c r="E46" s="2"/>
      <c r="F46" s="2"/>
      <c r="G46" s="2"/>
    </row>
    <row r="48" spans="1:7" x14ac:dyDescent="0.2">
      <c r="B48" t="s">
        <v>20</v>
      </c>
    </row>
    <row r="50" spans="1:5" x14ac:dyDescent="0.2">
      <c r="B50">
        <v>1231231230</v>
      </c>
      <c r="D50" t="str">
        <f>TEXT(B50,"000-000-0000")</f>
        <v>123-123-1230</v>
      </c>
    </row>
    <row r="51" spans="1:5" x14ac:dyDescent="0.2">
      <c r="B51">
        <v>1231231230</v>
      </c>
      <c r="D51" t="str">
        <f>TEXT(B51,"00000 #####")</f>
        <v>12312 31230</v>
      </c>
    </row>
    <row r="52" spans="1:5" x14ac:dyDescent="0.2">
      <c r="B52">
        <v>1231231230</v>
      </c>
      <c r="D52" t="str">
        <f>TEXT(B52,"(+39) ### ### ####")</f>
        <v>(+39) 123 123 1230</v>
      </c>
    </row>
    <row r="54" spans="1:5" x14ac:dyDescent="0.2">
      <c r="B54">
        <v>5432198765</v>
      </c>
      <c r="D54" t="str">
        <f>TEXT(B54,"(+1) ## ## ## ####")</f>
        <v>(+1) 54 32 19 8765</v>
      </c>
    </row>
    <row r="56" spans="1:5" x14ac:dyDescent="0.2">
      <c r="A56" s="2"/>
      <c r="B56" s="2"/>
      <c r="C56" s="2"/>
      <c r="D56" s="2"/>
      <c r="E56" s="2"/>
    </row>
    <row r="58" spans="1:5" x14ac:dyDescent="0.2">
      <c r="B58" t="s">
        <v>21</v>
      </c>
      <c r="D58" t="s">
        <v>22</v>
      </c>
    </row>
    <row r="60" spans="1:5" x14ac:dyDescent="0.2">
      <c r="B60" s="6">
        <v>0.95</v>
      </c>
      <c r="D60">
        <v>0.95</v>
      </c>
    </row>
    <row r="63" spans="1:5" x14ac:dyDescent="0.2">
      <c r="B63" t="str">
        <f>"My Attendance is " &amp; TEXT(B60,"##.00%")</f>
        <v>My Attendance is 95.00%</v>
      </c>
      <c r="D63" t="str">
        <f ca="1">_xlfn.FORMULATEXT(B63)</f>
        <v>="My Attendance is " &amp; TEXT(B60,"##.00%")</v>
      </c>
    </row>
    <row r="64" spans="1:5" x14ac:dyDescent="0.2">
      <c r="B64" t="str">
        <f>"My Attendance is " &amp; TEXT(D60,"##.00%")</f>
        <v>My Attendance is 95.00%</v>
      </c>
    </row>
    <row r="67" spans="1:7" x14ac:dyDescent="0.2">
      <c r="A67" s="2"/>
      <c r="B67" s="2"/>
      <c r="C67" s="2"/>
      <c r="D67" s="2"/>
      <c r="E67" s="2"/>
    </row>
    <row r="69" spans="1:7" x14ac:dyDescent="0.2">
      <c r="B69" t="s">
        <v>23</v>
      </c>
    </row>
    <row r="72" spans="1:7" x14ac:dyDescent="0.2">
      <c r="B72" s="4">
        <f ca="1">TODAY()</f>
        <v>46263</v>
      </c>
    </row>
    <row r="74" spans="1:7" x14ac:dyDescent="0.2">
      <c r="B74" s="14" t="s">
        <v>35</v>
      </c>
      <c r="C74" s="15"/>
      <c r="D74" s="13" t="s">
        <v>26</v>
      </c>
      <c r="E74" s="13" t="s">
        <v>27</v>
      </c>
      <c r="F74" s="13" t="s">
        <v>28</v>
      </c>
    </row>
    <row r="75" spans="1:7" x14ac:dyDescent="0.2">
      <c r="B75" s="16"/>
      <c r="C75" s="17"/>
      <c r="D75" s="12" t="str">
        <f ca="1">TEXT($B$72,D$74)</f>
        <v>29</v>
      </c>
      <c r="E75" s="12" t="str">
        <f t="shared" ref="E75:G75" ca="1" si="3">TEXT($B$72,E$74)</f>
        <v>Sat</v>
      </c>
      <c r="F75" s="12" t="str">
        <f t="shared" ca="1" si="3"/>
        <v>Saturday</v>
      </c>
      <c r="G75" t="str">
        <f t="shared" ca="1" si="3"/>
        <v/>
      </c>
    </row>
    <row r="76" spans="1:7" x14ac:dyDescent="0.2">
      <c r="B76" s="14" t="s">
        <v>25</v>
      </c>
      <c r="C76" s="15"/>
      <c r="D76" s="13" t="s">
        <v>29</v>
      </c>
      <c r="E76" s="13" t="s">
        <v>30</v>
      </c>
      <c r="F76" s="13" t="s">
        <v>31</v>
      </c>
    </row>
    <row r="77" spans="1:7" x14ac:dyDescent="0.2">
      <c r="B77" s="16"/>
      <c r="C77" s="17"/>
      <c r="D77" s="12" t="str">
        <f ca="1">TEXT($B$72,D$76)</f>
        <v>08</v>
      </c>
      <c r="E77" s="12" t="str">
        <f t="shared" ref="E77:F77" ca="1" si="4">TEXT($B$72,E$76)</f>
        <v>Aug</v>
      </c>
      <c r="F77" s="12" t="str">
        <f t="shared" ca="1" si="4"/>
        <v>August</v>
      </c>
    </row>
    <row r="78" spans="1:7" x14ac:dyDescent="0.2">
      <c r="B78" s="14" t="s">
        <v>24</v>
      </c>
      <c r="C78" s="15"/>
      <c r="D78" s="13" t="s">
        <v>32</v>
      </c>
      <c r="E78" s="13" t="s">
        <v>33</v>
      </c>
      <c r="F78" s="13" t="s">
        <v>34</v>
      </c>
    </row>
    <row r="79" spans="1:7" x14ac:dyDescent="0.2">
      <c r="B79" s="16"/>
      <c r="C79" s="17"/>
      <c r="D79" s="12" t="str">
        <f ca="1">TEXT($B$72,D$78)</f>
        <v>26</v>
      </c>
      <c r="E79" s="12" t="str">
        <f ca="1">TEXT($B$72,E$78)</f>
        <v>2026</v>
      </c>
      <c r="F79" s="12" t="str">
        <f ca="1">TEXT($B$72,F$78)</f>
        <v>2026</v>
      </c>
    </row>
    <row r="82" spans="2:2" x14ac:dyDescent="0.2">
      <c r="B82" t="str">
        <f ca="1">" My birthday is on " &amp; TEXT(B72, "ddd - YYYY/mmm/dd")</f>
        <v xml:space="preserve"> My birthday is on Sat - 2026/Aug/29</v>
      </c>
    </row>
    <row r="83" spans="2:2" x14ac:dyDescent="0.2">
      <c r="B83" t="str">
        <f ca="1">_xlfn.FORMULATEXT(B82)</f>
        <v>=" My birthday is on " &amp; TEXT(B72, "ddd - YYYY/mmm/dd")</v>
      </c>
    </row>
  </sheetData>
  <mergeCells count="4">
    <mergeCell ref="B2:C3"/>
    <mergeCell ref="B74:C75"/>
    <mergeCell ref="B76:C77"/>
    <mergeCell ref="B78:C7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4A34C-C86C-124A-9412-0B9F79F8D1E1}">
  <dimension ref="A3:AU138"/>
  <sheetViews>
    <sheetView tabSelected="1" topLeftCell="B135" zoomScale="247" workbookViewId="0">
      <selection activeCell="E142" sqref="E142"/>
    </sheetView>
  </sheetViews>
  <sheetFormatPr baseColWidth="10" defaultRowHeight="16" x14ac:dyDescent="0.2"/>
  <sheetData>
    <row r="3" spans="1:5" x14ac:dyDescent="0.2">
      <c r="B3" s="1" t="s">
        <v>40</v>
      </c>
      <c r="C3" s="1"/>
      <c r="D3" s="4"/>
    </row>
    <row r="5" spans="1:5" x14ac:dyDescent="0.2">
      <c r="B5" t="s">
        <v>41</v>
      </c>
    </row>
    <row r="7" spans="1:5" x14ac:dyDescent="0.2">
      <c r="B7" t="s">
        <v>42</v>
      </c>
    </row>
    <row r="9" spans="1:5" x14ac:dyDescent="0.2">
      <c r="B9">
        <f>LEN(B7)</f>
        <v>12</v>
      </c>
    </row>
    <row r="11" spans="1:5" x14ac:dyDescent="0.2">
      <c r="A11" s="2"/>
      <c r="B11" s="2"/>
      <c r="C11" s="2"/>
      <c r="D11" s="2"/>
      <c r="E11" s="2"/>
    </row>
    <row r="13" spans="1:5" x14ac:dyDescent="0.2">
      <c r="B13" t="s">
        <v>8</v>
      </c>
    </row>
    <row r="15" spans="1:5" x14ac:dyDescent="0.2">
      <c r="B15" t="s">
        <v>43</v>
      </c>
    </row>
    <row r="17" spans="1:5" x14ac:dyDescent="0.2">
      <c r="A17" s="2"/>
      <c r="B17" s="2"/>
      <c r="C17" s="2"/>
      <c r="D17" s="2"/>
      <c r="E17" s="2"/>
    </row>
    <row r="22" spans="1:5" x14ac:dyDescent="0.2">
      <c r="B22" t="s">
        <v>47</v>
      </c>
    </row>
    <row r="24" spans="1:5" x14ac:dyDescent="0.2">
      <c r="A24" s="2" t="s">
        <v>44</v>
      </c>
      <c r="B24" t="str">
        <f>UPPER(B22)</f>
        <v>JS 17 HSHSHSH HAHHHA</v>
      </c>
      <c r="E24" t="s">
        <v>48</v>
      </c>
    </row>
    <row r="25" spans="1:5" x14ac:dyDescent="0.2">
      <c r="A25" s="2" t="s">
        <v>46</v>
      </c>
      <c r="B25" t="str">
        <f>PROPER(B22)</f>
        <v>Js 17 Hshshsh Hahhha</v>
      </c>
      <c r="E25" t="s">
        <v>50</v>
      </c>
    </row>
    <row r="26" spans="1:5" x14ac:dyDescent="0.2">
      <c r="A26" s="2" t="s">
        <v>45</v>
      </c>
      <c r="B26" t="str">
        <f>LOWER(B22)</f>
        <v>js 17 hshshsh hahhha</v>
      </c>
      <c r="E26" t="s">
        <v>49</v>
      </c>
    </row>
    <row r="29" spans="1:5" x14ac:dyDescent="0.2">
      <c r="A29" s="2"/>
      <c r="B29" s="2"/>
      <c r="C29" s="2"/>
      <c r="D29" s="2"/>
      <c r="E29" s="2"/>
    </row>
    <row r="33" spans="2:6" x14ac:dyDescent="0.2">
      <c r="B33" t="s">
        <v>51</v>
      </c>
      <c r="D33" t="s">
        <v>52</v>
      </c>
    </row>
    <row r="35" spans="2:6" x14ac:dyDescent="0.2">
      <c r="B35" t="s">
        <v>53</v>
      </c>
      <c r="D35" t="s">
        <v>54</v>
      </c>
    </row>
    <row r="37" spans="2:6" x14ac:dyDescent="0.2">
      <c r="B37" t="s">
        <v>55</v>
      </c>
      <c r="D37" t="s">
        <v>56</v>
      </c>
    </row>
    <row r="41" spans="2:6" x14ac:dyDescent="0.2">
      <c r="B41" t="s">
        <v>3</v>
      </c>
      <c r="C41" t="s">
        <v>57</v>
      </c>
    </row>
    <row r="43" spans="2:6" x14ac:dyDescent="0.2">
      <c r="B43" t="s">
        <v>58</v>
      </c>
      <c r="C43" t="str">
        <f>LEFT(C41,4)</f>
        <v>My n</v>
      </c>
      <c r="D43" t="str">
        <f ca="1">_xlfn.FORMULATEXT(C43)</f>
        <v>=LEFT(C41,4)</v>
      </c>
    </row>
    <row r="44" spans="2:6" x14ac:dyDescent="0.2">
      <c r="B44" t="s">
        <v>59</v>
      </c>
      <c r="C44" t="str">
        <f>RIGHT(C41,8)</f>
        <v>rsh Sahu</v>
      </c>
      <c r="D44" t="str">
        <f ca="1">_xlfn.FORMULATEXT(C44)</f>
        <v>=RIGHT(C41,8)</v>
      </c>
    </row>
    <row r="45" spans="2:6" x14ac:dyDescent="0.2">
      <c r="B45" t="s">
        <v>60</v>
      </c>
      <c r="C45" t="str">
        <f>MID(C41,4,4)</f>
        <v>name</v>
      </c>
      <c r="D45" t="str">
        <f ca="1">_xlfn.FORMULATEXT(C45)</f>
        <v>=MID(C41,4,4)</v>
      </c>
    </row>
    <row r="46" spans="2:6" x14ac:dyDescent="0.2">
      <c r="F46" t="s">
        <v>61</v>
      </c>
    </row>
    <row r="49" spans="1:8" x14ac:dyDescent="0.2">
      <c r="F49" t="s">
        <v>62</v>
      </c>
    </row>
    <row r="52" spans="1:8" x14ac:dyDescent="0.2">
      <c r="A52" s="2"/>
      <c r="B52" s="2"/>
      <c r="C52" s="2"/>
      <c r="D52" s="2"/>
      <c r="E52" s="2"/>
      <c r="F52" s="2"/>
      <c r="G52" s="2"/>
      <c r="H52" s="2"/>
    </row>
    <row r="56" spans="1:8" x14ac:dyDescent="0.2">
      <c r="C56" t="s">
        <v>11</v>
      </c>
      <c r="E56" t="s">
        <v>63</v>
      </c>
    </row>
    <row r="58" spans="1:8" x14ac:dyDescent="0.2">
      <c r="D58" t="b">
        <f>(C56=E56)</f>
        <v>1</v>
      </c>
    </row>
    <row r="59" spans="1:8" x14ac:dyDescent="0.2">
      <c r="D59" t="str">
        <f ca="1">_xlfn.FORMULATEXT(D58)</f>
        <v>=(C56=E56)</v>
      </c>
    </row>
    <row r="61" spans="1:8" x14ac:dyDescent="0.2">
      <c r="D61" t="b">
        <f>EXACT(C56,E56)</f>
        <v>0</v>
      </c>
    </row>
    <row r="62" spans="1:8" x14ac:dyDescent="0.2">
      <c r="D62" t="str">
        <f ca="1">_xlfn.FORMULATEXT(D61)</f>
        <v>=EXACT(C56,E56)</v>
      </c>
    </row>
    <row r="65" spans="1:9" x14ac:dyDescent="0.2">
      <c r="C65" t="str">
        <f>"="</f>
        <v>=</v>
      </c>
      <c r="D65" t="s">
        <v>64</v>
      </c>
    </row>
    <row r="67" spans="1:9" x14ac:dyDescent="0.2">
      <c r="C67" t="str">
        <f>"=EXACT()"</f>
        <v>=EXACT()</v>
      </c>
      <c r="D67" t="s">
        <v>65</v>
      </c>
    </row>
    <row r="70" spans="1:9" x14ac:dyDescent="0.2">
      <c r="A70" s="2"/>
      <c r="B70" s="2"/>
      <c r="C70" s="2"/>
      <c r="D70" s="2"/>
      <c r="E70" s="2"/>
      <c r="F70" s="2"/>
      <c r="G70" s="2"/>
      <c r="H70" s="2"/>
      <c r="I70" s="2"/>
    </row>
    <row r="73" spans="1:9" x14ac:dyDescent="0.2">
      <c r="C73" s="18" t="s">
        <v>66</v>
      </c>
      <c r="E73" t="s">
        <v>67</v>
      </c>
    </row>
    <row r="75" spans="1:9" x14ac:dyDescent="0.2">
      <c r="C75" t="str">
        <f>"      Utkarsh    "</f>
        <v xml:space="preserve">      Utkarsh    </v>
      </c>
      <c r="E75" t="str">
        <f>TRIM(C75)</f>
        <v>Utkarsh</v>
      </c>
    </row>
    <row r="77" spans="1:9" x14ac:dyDescent="0.2">
      <c r="C77">
        <f>LEN(C75)</f>
        <v>17</v>
      </c>
      <c r="E77">
        <f>LEN(E75)</f>
        <v>7</v>
      </c>
    </row>
    <row r="79" spans="1:9" x14ac:dyDescent="0.2">
      <c r="A79" s="2"/>
      <c r="B79" s="2"/>
      <c r="C79" s="2"/>
      <c r="D79" s="2"/>
      <c r="E79" s="2"/>
      <c r="F79" s="2"/>
      <c r="G79" s="2"/>
      <c r="H79" s="2"/>
    </row>
    <row r="83" spans="3:11" x14ac:dyDescent="0.2">
      <c r="C83" t="s">
        <v>68</v>
      </c>
      <c r="E83" t="s">
        <v>69</v>
      </c>
    </row>
    <row r="86" spans="3:11" x14ac:dyDescent="0.2">
      <c r="C86" t="s">
        <v>71</v>
      </c>
      <c r="H86" t="str" cm="1">
        <f t="array" ref="H86:K87">_xlfn.TEXTSPLIT(C86,"|","-",,,"")</f>
        <v xml:space="preserve">name </v>
      </c>
      <c r="I86" t="str">
        <v xml:space="preserve"> age </v>
      </c>
      <c r="J86" t="str">
        <v xml:space="preserve"> dob  </v>
      </c>
      <c r="K86" t="str">
        <v xml:space="preserve"> vv </v>
      </c>
    </row>
    <row r="87" spans="3:11" x14ac:dyDescent="0.2">
      <c r="C87" t="s">
        <v>70</v>
      </c>
      <c r="H87" t="str">
        <v xml:space="preserve"> utkarsh sahu</v>
      </c>
      <c r="I87" t="str">
        <v xml:space="preserve">23 </v>
      </c>
      <c r="J87" t="str">
        <v xml:space="preserve"> 2 feb 2020</v>
      </c>
      <c r="K87" t="str">
        <v/>
      </c>
    </row>
    <row r="103" spans="3:47" ht="18" x14ac:dyDescent="0.2">
      <c r="C103" s="19" t="s">
        <v>72</v>
      </c>
    </row>
    <row r="107" spans="3:47" x14ac:dyDescent="0.2">
      <c r="C107" t="s">
        <v>73</v>
      </c>
    </row>
    <row r="108" spans="3:47" x14ac:dyDescent="0.2">
      <c r="C108" t="s">
        <v>74</v>
      </c>
    </row>
    <row r="111" spans="3:47" x14ac:dyDescent="0.2">
      <c r="C111" t="str" cm="1">
        <f t="array" ref="C111:AU114">_xlfn.TEXTSPLIT(C103," ",". ",,,"")</f>
        <v>Lorem</v>
      </c>
      <c r="D111" t="str">
        <v>Ipsum is</v>
      </c>
      <c r="E111" t="str">
        <v>simply</v>
      </c>
      <c r="F111" t="str">
        <v>dummy</v>
      </c>
      <c r="G111" t="str">
        <v>text</v>
      </c>
      <c r="H111" t="str">
        <v>of</v>
      </c>
      <c r="I111" t="str">
        <v>the</v>
      </c>
      <c r="J111" t="str">
        <v>printing</v>
      </c>
      <c r="K111" t="str">
        <v>and</v>
      </c>
      <c r="L111" t="str">
        <v>typesetting</v>
      </c>
      <c r="M111" t="str">
        <v>industry</v>
      </c>
      <c r="N111" t="str">
        <v/>
      </c>
      <c r="O111" t="str">
        <v/>
      </c>
      <c r="P111" t="str">
        <v/>
      </c>
      <c r="Q111" t="str">
        <v/>
      </c>
      <c r="R111" t="str">
        <v/>
      </c>
      <c r="S111" t="str">
        <v/>
      </c>
      <c r="T111" t="str">
        <v/>
      </c>
      <c r="U111" t="str">
        <v/>
      </c>
      <c r="V111" t="str">
        <v/>
      </c>
      <c r="W111" t="str">
        <v/>
      </c>
      <c r="X111" t="str">
        <v/>
      </c>
      <c r="Y111" t="str">
        <v/>
      </c>
      <c r="Z111" t="str">
        <v/>
      </c>
      <c r="AA111" t="str">
        <v/>
      </c>
      <c r="AB111" t="str">
        <v/>
      </c>
      <c r="AC111" t="str">
        <v/>
      </c>
      <c r="AD111" t="str">
        <v/>
      </c>
      <c r="AE111" t="str">
        <v/>
      </c>
      <c r="AF111" t="str">
        <v/>
      </c>
      <c r="AG111" t="str">
        <v/>
      </c>
      <c r="AH111" t="str">
        <v/>
      </c>
      <c r="AI111" t="str">
        <v/>
      </c>
      <c r="AJ111" t="str">
        <v/>
      </c>
      <c r="AK111" t="str">
        <v/>
      </c>
      <c r="AL111" t="str">
        <v/>
      </c>
      <c r="AM111" t="str">
        <v/>
      </c>
      <c r="AN111" t="str">
        <v/>
      </c>
      <c r="AO111" t="str">
        <v/>
      </c>
      <c r="AP111" t="str">
        <v/>
      </c>
      <c r="AQ111" t="str">
        <v/>
      </c>
      <c r="AR111" t="str">
        <v/>
      </c>
      <c r="AS111" t="str">
        <v/>
      </c>
      <c r="AT111" t="str">
        <v/>
      </c>
      <c r="AU111" t="str">
        <v/>
      </c>
    </row>
    <row r="112" spans="3:47" x14ac:dyDescent="0.2">
      <c r="C112" t="str">
        <v>Lorem</v>
      </c>
      <c r="D112" t="str">
        <v>Ipsum</v>
      </c>
      <c r="E112" t="str">
        <v>has</v>
      </c>
      <c r="F112" t="str">
        <v>been</v>
      </c>
      <c r="G112" t="str">
        <v>the</v>
      </c>
      <c r="H112" t="str">
        <v>industry's</v>
      </c>
      <c r="I112" t="str">
        <v>standard</v>
      </c>
      <c r="J112" t="str">
        <v>dummy</v>
      </c>
      <c r="K112" t="str">
        <v>text</v>
      </c>
      <c r="L112" t="str">
        <v>ever</v>
      </c>
      <c r="M112" t="str">
        <v>since</v>
      </c>
      <c r="N112" t="str">
        <v>1966,</v>
      </c>
      <c r="O112" t="str">
        <v>when</v>
      </c>
      <c r="P112" t="str">
        <v>designers</v>
      </c>
      <c r="Q112" t="str">
        <v>at</v>
      </c>
      <c r="R112" t="str">
        <v>Letraset</v>
      </c>
      <c r="S112" t="str">
        <v>and</v>
      </c>
      <c r="T112" t="str">
        <v>James</v>
      </c>
      <c r="U112" t="str">
        <v>Mosley,</v>
      </c>
      <c r="V112" t="str">
        <v>the</v>
      </c>
      <c r="W112" t="str">
        <v>librarian</v>
      </c>
      <c r="X112" t="str">
        <v>at</v>
      </c>
      <c r="Y112" t="str">
        <v>St</v>
      </c>
      <c r="Z112" t="str">
        <v>Bride</v>
      </c>
      <c r="AA112" t="str">
        <v>Printing</v>
      </c>
      <c r="AB112" t="str">
        <v>Library</v>
      </c>
      <c r="AC112" t="str">
        <v>in</v>
      </c>
      <c r="AD112" t="str">
        <v>London,</v>
      </c>
      <c r="AE112" t="str">
        <v>took</v>
      </c>
      <c r="AF112" t="str">
        <v>a</v>
      </c>
      <c r="AG112" t="str">
        <v>1914</v>
      </c>
      <c r="AH112" t="str">
        <v>Cicero</v>
      </c>
      <c r="AI112" t="str">
        <v>translation</v>
      </c>
      <c r="AJ112" t="str">
        <v>and</v>
      </c>
      <c r="AK112" t="str">
        <v>scrambled</v>
      </c>
      <c r="AL112" t="str">
        <v>it</v>
      </c>
      <c r="AM112" t="str">
        <v>to</v>
      </c>
      <c r="AN112" t="str">
        <v>make</v>
      </c>
      <c r="AO112" t="str">
        <v>dummy</v>
      </c>
      <c r="AP112" t="str">
        <v>text</v>
      </c>
      <c r="AQ112" t="str">
        <v>for</v>
      </c>
      <c r="AR112" t="str">
        <v>Letraset's</v>
      </c>
      <c r="AS112" t="str">
        <v>Body</v>
      </c>
      <c r="AT112" t="str">
        <v>Type</v>
      </c>
      <c r="AU112" t="str">
        <v>sheets</v>
      </c>
    </row>
    <row r="113" spans="2:47" x14ac:dyDescent="0.2">
      <c r="C113" t="str">
        <v>It</v>
      </c>
      <c r="D113" t="str">
        <v>has</v>
      </c>
      <c r="E113" t="str">
        <v>survived</v>
      </c>
      <c r="F113" t="str">
        <v>not</v>
      </c>
      <c r="G113" t="str">
        <v>only</v>
      </c>
      <c r="H113" t="str">
        <v>many</v>
      </c>
      <c r="I113" t="str">
        <v>decades,</v>
      </c>
      <c r="J113" t="str">
        <v>but</v>
      </c>
      <c r="K113" t="str">
        <v>also</v>
      </c>
      <c r="L113" t="str">
        <v>the</v>
      </c>
      <c r="M113" t="str">
        <v>leap</v>
      </c>
      <c r="N113" t="str">
        <v>into</v>
      </c>
      <c r="O113" t="str">
        <v>electronic</v>
      </c>
      <c r="P113" t="str">
        <v>typesetting,</v>
      </c>
      <c r="Q113" t="str">
        <v>remaining</v>
      </c>
      <c r="R113" t="str">
        <v>essentially</v>
      </c>
      <c r="S113" t="str">
        <v>unchanged</v>
      </c>
      <c r="T113" t="str">
        <v/>
      </c>
      <c r="U113" t="str">
        <v/>
      </c>
      <c r="V113" t="str">
        <v/>
      </c>
      <c r="W113" t="str">
        <v/>
      </c>
      <c r="X113" t="str">
        <v/>
      </c>
      <c r="Y113" t="str">
        <v/>
      </c>
      <c r="Z113" t="str">
        <v/>
      </c>
      <c r="AA113" t="str">
        <v/>
      </c>
      <c r="AB113" t="str">
        <v/>
      </c>
      <c r="AC113" t="str">
        <v/>
      </c>
      <c r="AD113" t="str">
        <v/>
      </c>
      <c r="AE113" t="str">
        <v/>
      </c>
      <c r="AF113" t="str">
        <v/>
      </c>
      <c r="AG113" t="str">
        <v/>
      </c>
      <c r="AH113" t="str">
        <v/>
      </c>
      <c r="AI113" t="str">
        <v/>
      </c>
      <c r="AJ113" t="str">
        <v/>
      </c>
      <c r="AK113" t="str">
        <v/>
      </c>
      <c r="AL113" t="str">
        <v/>
      </c>
      <c r="AM113" t="str">
        <v/>
      </c>
      <c r="AN113" t="str">
        <v/>
      </c>
      <c r="AO113" t="str">
        <v/>
      </c>
      <c r="AP113" t="str">
        <v/>
      </c>
      <c r="AQ113" t="str">
        <v/>
      </c>
      <c r="AR113" t="str">
        <v/>
      </c>
      <c r="AS113" t="str">
        <v/>
      </c>
      <c r="AT113" t="str">
        <v/>
      </c>
      <c r="AU113" t="str">
        <v/>
      </c>
    </row>
    <row r="114" spans="2:47" x14ac:dyDescent="0.2">
      <c r="C114" t="str">
        <v>It</v>
      </c>
      <c r="D114" t="str">
        <v>was</v>
      </c>
      <c r="E114" t="str">
        <v>popularised</v>
      </c>
      <c r="F114" t="str">
        <v>thanks</v>
      </c>
      <c r="G114" t="str">
        <v>to</v>
      </c>
      <c r="H114" t="str">
        <v>these</v>
      </c>
      <c r="I114" t="str">
        <v>sheets</v>
      </c>
      <c r="J114" t="str">
        <v>and</v>
      </c>
      <c r="K114" t="str">
        <v>more</v>
      </c>
      <c r="L114" t="str">
        <v>recently</v>
      </c>
      <c r="M114" t="str">
        <v>with</v>
      </c>
      <c r="N114" t="str">
        <v>desktop</v>
      </c>
      <c r="O114" t="str">
        <v>publishing</v>
      </c>
      <c r="P114" t="str">
        <v>software</v>
      </c>
      <c r="Q114" t="str">
        <v>like</v>
      </c>
      <c r="R114" t="str">
        <v>Aldus</v>
      </c>
      <c r="S114" t="str">
        <v>PageMaker</v>
      </c>
      <c r="T114" t="str">
        <v>and</v>
      </c>
      <c r="U114" t="str">
        <v>Microsoft</v>
      </c>
      <c r="V114" t="str">
        <v>Word</v>
      </c>
      <c r="W114" t="str">
        <v>including</v>
      </c>
      <c r="X114" t="str">
        <v>versions</v>
      </c>
      <c r="Y114" t="str">
        <v>of</v>
      </c>
      <c r="Z114" t="str">
        <v>Lorem</v>
      </c>
      <c r="AA114" t="str">
        <v>Ipsum.</v>
      </c>
      <c r="AB114" t="str">
        <v/>
      </c>
      <c r="AC114" t="str">
        <v/>
      </c>
      <c r="AD114" t="str">
        <v/>
      </c>
      <c r="AE114" t="str">
        <v/>
      </c>
      <c r="AF114" t="str">
        <v/>
      </c>
      <c r="AG114" t="str">
        <v/>
      </c>
      <c r="AH114" t="str">
        <v/>
      </c>
      <c r="AI114" t="str">
        <v/>
      </c>
      <c r="AJ114" t="str">
        <v/>
      </c>
      <c r="AK114" t="str">
        <v/>
      </c>
      <c r="AL114" t="str">
        <v/>
      </c>
      <c r="AM114" t="str">
        <v/>
      </c>
      <c r="AN114" t="str">
        <v/>
      </c>
      <c r="AO114" t="str">
        <v/>
      </c>
      <c r="AP114" t="str">
        <v/>
      </c>
      <c r="AQ114" t="str">
        <v/>
      </c>
      <c r="AR114" t="str">
        <v/>
      </c>
      <c r="AS114" t="str">
        <v/>
      </c>
      <c r="AT114" t="str">
        <v/>
      </c>
      <c r="AU114" t="str">
        <v/>
      </c>
    </row>
    <row r="117" spans="2:47" x14ac:dyDescent="0.2">
      <c r="C117" t="s">
        <v>75</v>
      </c>
      <c r="F117" t="str" cm="1">
        <f t="array" ref="F117:J117">_xlfn.TEXTSPLIT(C117,",")</f>
        <v>age</v>
      </c>
      <c r="G117" t="str">
        <v>name</v>
      </c>
      <c r="H117" t="str">
        <v>dob</v>
      </c>
      <c r="I117" t="str">
        <v/>
      </c>
      <c r="J117" t="str">
        <v>height</v>
      </c>
    </row>
    <row r="120" spans="2:47" x14ac:dyDescent="0.2">
      <c r="D120" t="s">
        <v>76</v>
      </c>
      <c r="F120" t="str" cm="1">
        <f t="array" ref="F120:H120">_xlfn.TEXTSPLIT(D120,"C",,,1)</f>
        <v>12</v>
      </c>
      <c r="G120" t="str">
        <v>34</v>
      </c>
      <c r="H120" t="str">
        <v>45</v>
      </c>
    </row>
    <row r="123" spans="2:47" x14ac:dyDescent="0.2">
      <c r="B123" s="2"/>
      <c r="C123" s="2"/>
      <c r="D123" s="2"/>
      <c r="E123" s="2"/>
      <c r="F123" s="2"/>
      <c r="G123" s="2"/>
      <c r="H123" s="2"/>
      <c r="I123" s="2"/>
    </row>
    <row r="124" spans="2:47" x14ac:dyDescent="0.2">
      <c r="B124" s="2"/>
      <c r="C124" s="2"/>
      <c r="D124" s="2"/>
      <c r="E124" s="2"/>
      <c r="F124" s="2"/>
      <c r="G124" s="2"/>
      <c r="H124" s="2"/>
      <c r="I124" s="2"/>
    </row>
    <row r="128" spans="2:47" x14ac:dyDescent="0.2">
      <c r="D128" t="s">
        <v>77</v>
      </c>
    </row>
    <row r="132" spans="3:5" x14ac:dyDescent="0.2">
      <c r="C132" t="s">
        <v>78</v>
      </c>
    </row>
    <row r="133" spans="3:5" x14ac:dyDescent="0.2">
      <c r="C133" t="s">
        <v>11</v>
      </c>
      <c r="E133" t="str">
        <f>_xlfn.TEXTJOIN(", ",1,C133:C137)</f>
        <v>Utkarsh, Rahul, Sonia, Kumar, Raj</v>
      </c>
    </row>
    <row r="134" spans="3:5" x14ac:dyDescent="0.2">
      <c r="C134" t="s">
        <v>79</v>
      </c>
      <c r="E134" t="str">
        <f ca="1">_xlfn.FORMULATEXT(E133)</f>
        <v>=TEXTJOIN(", ",1,C133:C137)</v>
      </c>
    </row>
    <row r="135" spans="3:5" x14ac:dyDescent="0.2">
      <c r="C135" t="s">
        <v>80</v>
      </c>
      <c r="E135" t="str">
        <f>"['" &amp; _xlfn.TEXTJOIN(_xlfn.CONCAT("'",",","'"),1,_xlfn.UNIQUE(C133:C138)) &amp; "']"</f>
        <v>['Utkarsh','Rahul','Sonia','Kumar','Raj']</v>
      </c>
    </row>
    <row r="136" spans="3:5" x14ac:dyDescent="0.2">
      <c r="C136" t="s">
        <v>81</v>
      </c>
      <c r="E136" t="str">
        <f ca="1">_xlfn.FORMULATEXT(E135)</f>
        <v>="['" &amp; TEXTJOIN(CONCAT("'",",","'"),1,UNIQUE(C133:C138)) &amp; "']"</v>
      </c>
    </row>
    <row r="137" spans="3:5" x14ac:dyDescent="0.2">
      <c r="C137" t="s">
        <v>82</v>
      </c>
    </row>
    <row r="138" spans="3:5" x14ac:dyDescent="0.2">
      <c r="C138" t="s">
        <v>11</v>
      </c>
      <c r="E138" t="s">
        <v>83</v>
      </c>
    </row>
  </sheetData>
  <mergeCells count="1">
    <mergeCell ref="B3:C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AGENDA</vt:lpstr>
      <vt:lpstr>TEXT</vt:lpstr>
      <vt:lpstr>FUNC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2026-08-29T15:29:49Z</dcterms:created>
  <dcterms:modified xsi:type="dcterms:W3CDTF">2026-08-29T17:20:43Z</dcterms:modified>
</cp:coreProperties>
</file>