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ink/ink1.xml" ContentType="application/inkml+xml"/>
  <Override PartName="/xl/ink/ink2.xml" ContentType="application/inkml+xml"/>
  <Override PartName="/xl/ink/ink3.xml" ContentType="application/inkml+xml"/>
  <Override PartName="/xl/ink/ink4.xml" ContentType="application/inkml+xml"/>
  <Override PartName="/xl/ink/ink5.xml" ContentType="application/inkml+xml"/>
  <Override PartName="/xl/ink/ink6.xml" ContentType="application/inkml+xml"/>
  <Override PartName="/xl/ink/ink7.xml" ContentType="application/inkml+xml"/>
  <Override PartName="/xl/ink/ink8.xml" ContentType="application/inkml+xml"/>
  <Override PartName="/xl/ink/ink9.xml" ContentType="application/inkml+xml"/>
  <Override PartName="/xl/ink/ink10.xml" ContentType="application/inkml+xml"/>
  <Override PartName="/xl/ink/ink11.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defaultThemeVersion="202300"/>
  <mc:AlternateContent xmlns:mc="http://schemas.openxmlformats.org/markup-compatibility/2006">
    <mc:Choice Requires="x15">
      <x15ac:absPath xmlns:x15ac="http://schemas.microsoft.com/office/spreadsheetml/2010/11/ac" url="/Users/utkarsh/Downloads/Accio_excel/Excel-for-DA/"/>
    </mc:Choice>
  </mc:AlternateContent>
  <xr:revisionPtr revIDLastSave="0" documentId="13_ncr:1_{0F066C8F-1B39-5046-A788-F7D5288EE769}" xr6:coauthVersionLast="47" xr6:coauthVersionMax="47" xr10:uidLastSave="{00000000-0000-0000-0000-000000000000}"/>
  <bookViews>
    <workbookView xWindow="0" yWindow="600" windowWidth="28420" windowHeight="17400" activeTab="1" xr2:uid="{966F5DAD-14A2-EA4B-903A-572892721888}"/>
  </bookViews>
  <sheets>
    <sheet name="AGENDA" sheetId="1" r:id="rId1"/>
    <sheet name="Sheet2" sheetId="2"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4" i="2" l="1"/>
  <c r="F155" i="2"/>
  <c r="B197" i="2" a="1"/>
  <c r="B197" i="2" s="1"/>
  <c r="E187" i="2"/>
  <c r="B180" i="2"/>
  <c r="B179" i="2"/>
  <c r="D172" i="2"/>
  <c r="D166" i="2"/>
  <c r="D162" i="2"/>
  <c r="B138" i="2" a="1"/>
  <c r="B138" i="2" s="1"/>
  <c r="B150" i="2" s="1"/>
  <c r="B130" i="2" a="1"/>
  <c r="B130" i="2" s="1"/>
  <c r="B121" i="2"/>
  <c r="E112" i="2"/>
  <c r="D112" i="2"/>
  <c r="D89" i="2"/>
  <c r="B106" i="2"/>
  <c r="B91" i="2"/>
  <c r="C91" i="2" s="1"/>
  <c r="C93" i="2" s="1"/>
  <c r="C81" i="2"/>
  <c r="C80" i="2"/>
  <c r="C79" i="2"/>
  <c r="C78" i="2"/>
  <c r="C77" i="2"/>
  <c r="C76" i="2"/>
  <c r="C75" i="2"/>
  <c r="C74" i="2"/>
  <c r="C73" i="2"/>
  <c r="C72" i="2"/>
  <c r="C71" i="2"/>
  <c r="C66" i="2"/>
  <c r="C67" i="2"/>
  <c r="C68" i="2"/>
  <c r="C69" i="2"/>
  <c r="C70" i="2"/>
  <c r="C65" i="2"/>
  <c r="B54" i="2"/>
  <c r="D54" i="2" s="1"/>
  <c r="B51" i="2"/>
  <c r="D51" i="2" s="1"/>
  <c r="B45" i="2"/>
  <c r="F45" i="2" s="1"/>
  <c r="B48" i="2"/>
  <c r="F48" i="2" s="1"/>
  <c r="B42" i="2"/>
  <c r="D42" i="2" s="1"/>
  <c r="C34" i="2"/>
  <c r="D31" i="2"/>
  <c r="B36" i="2" s="1"/>
  <c r="D30" i="2"/>
  <c r="D25" i="2"/>
  <c r="F25" i="2"/>
  <c r="D15" i="2"/>
  <c r="H12" i="2"/>
  <c r="H16" i="2" s="1"/>
  <c r="D16" i="2"/>
  <c r="D17" i="2"/>
  <c r="D18" i="2"/>
  <c r="D19" i="2"/>
  <c r="F6" i="2"/>
  <c r="F7" i="2"/>
  <c r="F5" i="2"/>
  <c r="F9" i="2" s="1"/>
  <c r="D9" i="2"/>
  <c r="H19" i="2" l="1"/>
  <c r="B151" i="2"/>
  <c r="H17" i="2"/>
  <c r="H15" i="2"/>
  <c r="H18" i="2"/>
  <c r="B93" i="2"/>
  <c r="G45" i="2"/>
  <c r="E48" i="2"/>
  <c r="D48" i="2"/>
  <c r="E45" i="2"/>
  <c r="D45" i="2"/>
  <c r="F42" i="2"/>
  <c r="E42"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<sst xmlns="http://schemas.openxmlformats.org/spreadsheetml/2006/main" count="82" uniqueCount="78">
  <si>
    <t>TEXT functions</t>
  </si>
  <si>
    <t>TEXT()</t>
  </si>
  <si>
    <t>WITHOUT formatting</t>
  </si>
  <si>
    <t>with formatting</t>
  </si>
  <si>
    <t>leading zeroes</t>
  </si>
  <si>
    <t>currency formmating</t>
  </si>
  <si>
    <t>for thousands</t>
  </si>
  <si>
    <t>#,##0.0, \k</t>
  </si>
  <si>
    <t>for Million</t>
  </si>
  <si>
    <t>Phn Number format</t>
  </si>
  <si>
    <t>percentage</t>
  </si>
  <si>
    <t xml:space="preserve">maths % </t>
  </si>
  <si>
    <t>date of result</t>
  </si>
  <si>
    <t>DATE TIME Connection</t>
  </si>
  <si>
    <t>dd</t>
  </si>
  <si>
    <t>ddd</t>
  </si>
  <si>
    <t>dddd</t>
  </si>
  <si>
    <t>mm</t>
  </si>
  <si>
    <t>mmm</t>
  </si>
  <si>
    <t>mmmm</t>
  </si>
  <si>
    <t>yy</t>
  </si>
  <si>
    <t>yyy</t>
  </si>
  <si>
    <t>yyyy</t>
  </si>
  <si>
    <t>mmmmm</t>
  </si>
  <si>
    <t>Formatting values in multiple different ways</t>
  </si>
  <si>
    <t>CHAR</t>
  </si>
  <si>
    <t>A-Z</t>
  </si>
  <si>
    <t>97 - 122</t>
  </si>
  <si>
    <t xml:space="preserve">65 - 90 </t>
  </si>
  <si>
    <t>a-z</t>
  </si>
  <si>
    <t>ASCII</t>
  </si>
  <si>
    <t>(American Standard Code for Information Interchange)</t>
  </si>
  <si>
    <t>CHAR()</t>
  </si>
  <si>
    <t>Gives char corresponding to the number is exixts</t>
  </si>
  <si>
    <t>TRIM()</t>
  </si>
  <si>
    <t>removes extra spaces from start and end</t>
  </si>
  <si>
    <t xml:space="preserve"> Utkarsh </t>
  </si>
  <si>
    <t>TRIM</t>
  </si>
  <si>
    <t>LEN</t>
  </si>
  <si>
    <t>length of the text / string ( number of char It has)</t>
  </si>
  <si>
    <t>UTKARSH</t>
  </si>
  <si>
    <t>EXACT()</t>
  </si>
  <si>
    <t>Utkarsh</t>
  </si>
  <si>
    <t>just simpe =</t>
  </si>
  <si>
    <t>case sensitive</t>
  </si>
  <si>
    <t>CONCAT</t>
  </si>
  <si>
    <t>EXACT</t>
  </si>
  <si>
    <t>string comparision ( case sensitive)</t>
  </si>
  <si>
    <t>Concat</t>
  </si>
  <si>
    <t>Join Strings</t>
  </si>
  <si>
    <t>My name is</t>
  </si>
  <si>
    <t>Sahu</t>
  </si>
  <si>
    <t>( &amp; instead)</t>
  </si>
  <si>
    <t>SPLIT</t>
  </si>
  <si>
    <t>TEXTSPLIT()</t>
  </si>
  <si>
    <t>SQL, Java, Python, C++, R ? Python, C++, R</t>
  </si>
  <si>
    <t>separate one big text into smaller parts using delimeter ( a special char used to separate text parts ), we can have row and column delimeter</t>
  </si>
  <si>
    <t>sen 1</t>
  </si>
  <si>
    <t>sen 2</t>
  </si>
  <si>
    <t>sen 3</t>
  </si>
  <si>
    <t>word 1</t>
  </si>
  <si>
    <t xml:space="preserve">word 2 </t>
  </si>
  <si>
    <t>word 3</t>
  </si>
  <si>
    <t>word 4</t>
  </si>
  <si>
    <r>
      <t xml:space="preserve">Lorem Ipsum </t>
    </r>
    <r>
      <rPr>
        <sz val="14"/>
        <color rgb="FF000000"/>
        <rFont val="Arial"/>
        <family val="2"/>
      </rPr>
      <t>is simply dummy text of the printing and typesetting industry. Lorem Ipsum has been the industry's standard dummy text ever since the 1500s, when an unknown printer took a galley of type and scrambled it to make a type specimen book. It has survived not only five centuries, but also the leap into electronic typesetting, remaining essentially unchanged. It was popularised in the 1960s with the release of Letraset sheets containing Lorem Ipsum passages, and more recently with desktop publishing software like Aldus PageMaker including versions of Lorem Ipsum.</t>
    </r>
  </si>
  <si>
    <t>TEXTJOIN</t>
  </si>
  <si>
    <t>one</t>
  </si>
  <si>
    <t>three</t>
  </si>
  <si>
    <t>LEFT</t>
  </si>
  <si>
    <t>Utkarsh Sahu</t>
  </si>
  <si>
    <t>RIGHT</t>
  </si>
  <si>
    <t>MID</t>
  </si>
  <si>
    <t>REPT</t>
  </si>
  <si>
    <t>FIND</t>
  </si>
  <si>
    <t>My name is Utkarsh Sahu</t>
  </si>
  <si>
    <t>?</t>
  </si>
  <si>
    <t>Ram Kumar</t>
  </si>
  <si>
    <t>My name is Utkarsh Sahu. Utkarsh Sahu is teaching at accio. Utkarsh Sahu is good person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</si>
</sst>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4"/>
      <color rgb="FF000000"/>
      <name val="Arial"/>
      <family val="2"/>
    </font>
    <font>
      <sz val="14"/>
      <color rgb="FF000000"/>
      <name val="Arial"/>
      <family val="2"/>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7">
    <xf numFmtId="0" fontId="0" fillId="0" borderId="0" xfId="0"/>
    <xf numFmtId="0" fontId="0" fillId="2" borderId="0" xfId="0" applyFill="1"/>
    <xf numFmtId="14" fontId="0" fillId="0" borderId="0" xfId="0" applyNumberFormat="1"/>
    <xf numFmtId="22" fontId="0" fillId="0" borderId="0" xfId="0" applyNumberFormat="1"/>
    <xf numFmtId="0" fontId="0" fillId="0" borderId="0" xfId="0" applyAlignment="1">
      <alignment horizontal="right"/>
    </xf>
    <xf numFmtId="1" fontId="0" fillId="0" borderId="0" xfId="0" applyNumberFormat="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customXml" Target="../ink/ink7.xml"/><Relationship Id="rId18" Type="http://schemas.openxmlformats.org/officeDocument/2006/relationships/image" Target="../media/image9.png"/><Relationship Id="rId3" Type="http://schemas.openxmlformats.org/officeDocument/2006/relationships/customXml" Target="../ink/ink2.xml"/><Relationship Id="rId21" Type="http://schemas.openxmlformats.org/officeDocument/2006/relationships/customXml" Target="../ink/ink11.xml"/><Relationship Id="rId7" Type="http://schemas.openxmlformats.org/officeDocument/2006/relationships/customXml" Target="../ink/ink4.xml"/><Relationship Id="rId12" Type="http://schemas.openxmlformats.org/officeDocument/2006/relationships/image" Target="../media/image6.png"/><Relationship Id="rId17" Type="http://schemas.openxmlformats.org/officeDocument/2006/relationships/customXml" Target="../ink/ink9.xml"/><Relationship Id="rId2" Type="http://schemas.openxmlformats.org/officeDocument/2006/relationships/image" Target="../media/image1.png"/><Relationship Id="rId16" Type="http://schemas.openxmlformats.org/officeDocument/2006/relationships/image" Target="../media/image8.png"/><Relationship Id="rId20" Type="http://schemas.openxmlformats.org/officeDocument/2006/relationships/image" Target="../media/image10.png"/><Relationship Id="rId1" Type="http://schemas.openxmlformats.org/officeDocument/2006/relationships/customXml" Target="../ink/ink1.xml"/><Relationship Id="rId6" Type="http://schemas.openxmlformats.org/officeDocument/2006/relationships/image" Target="../media/image3.png"/><Relationship Id="rId11" Type="http://schemas.openxmlformats.org/officeDocument/2006/relationships/customXml" Target="../ink/ink6.xml"/><Relationship Id="rId5" Type="http://schemas.openxmlformats.org/officeDocument/2006/relationships/customXml" Target="../ink/ink3.xml"/><Relationship Id="rId15" Type="http://schemas.openxmlformats.org/officeDocument/2006/relationships/customXml" Target="../ink/ink8.xml"/><Relationship Id="rId10" Type="http://schemas.openxmlformats.org/officeDocument/2006/relationships/image" Target="../media/image5.png"/><Relationship Id="rId19" Type="http://schemas.openxmlformats.org/officeDocument/2006/relationships/customXml" Target="../ink/ink10.xml"/><Relationship Id="rId4" Type="http://schemas.openxmlformats.org/officeDocument/2006/relationships/image" Target="../media/image2.png"/><Relationship Id="rId9" Type="http://schemas.openxmlformats.org/officeDocument/2006/relationships/customXml" Target="../ink/ink5.xml"/><Relationship Id="rId14" Type="http://schemas.openxmlformats.org/officeDocument/2006/relationships/image" Target="../media/image7.png"/><Relationship Id="rId22"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2</xdr:col>
      <xdr:colOff>28748</xdr:colOff>
      <xdr:row>89</xdr:row>
      <xdr:rowOff>175460</xdr:rowOff>
    </xdr:from>
    <xdr:to>
      <xdr:col>2</xdr:col>
      <xdr:colOff>30188</xdr:colOff>
      <xdr:row>90</xdr:row>
      <xdr:rowOff>15642</xdr:rowOff>
    </xdr:to>
    <mc:AlternateContent xmlns:mc="http://schemas.openxmlformats.org/markup-compatibility/2006">
      <mc:Choice xmlns:xdr14="http://schemas.microsoft.com/office/excel/2010/spreadsheetDrawing" Requires="xdr14">
        <xdr:contentPart xmlns:r="http://schemas.openxmlformats.org/officeDocument/2006/relationships" r:id="rId1">
          <xdr14:nvContentPartPr>
            <xdr14:cNvPr id="2" name="Ink 1">
              <a:extLst>
                <a:ext uri="{FF2B5EF4-FFF2-40B4-BE49-F238E27FC236}">
                  <a16:creationId xmlns:a16="http://schemas.microsoft.com/office/drawing/2014/main" id="{1A0BA9AF-6633-6448-F0DE-7E2143FB18BF}"/>
                </a:ext>
              </a:extLst>
            </xdr14:cNvPr>
            <xdr14:cNvContentPartPr/>
          </xdr14:nvContentPartPr>
          <xdr14:nvPr macro=""/>
          <xdr14:xfrm>
            <a:off x="2136240" y="18372240"/>
            <a:ext cx="1440" cy="44640"/>
          </xdr14:xfrm>
        </xdr:contentPart>
      </mc:Choice>
      <mc:Fallback>
        <xdr:pic>
          <xdr:nvPicPr>
            <xdr:cNvPr id="2" name="Ink 1">
              <a:extLst>
                <a:ext uri="{FF2B5EF4-FFF2-40B4-BE49-F238E27FC236}">
                  <a16:creationId xmlns:a16="http://schemas.microsoft.com/office/drawing/2014/main" id="{1A0BA9AF-6633-6448-F0DE-7E2143FB18BF}"/>
                </a:ext>
              </a:extLst>
            </xdr:cNvPr>
            <xdr:cNvPicPr/>
          </xdr:nvPicPr>
          <xdr:blipFill>
            <a:blip xmlns:r="http://schemas.openxmlformats.org/officeDocument/2006/relationships" r:embed="rId2"/>
            <a:stretch>
              <a:fillRect/>
            </a:stretch>
          </xdr:blipFill>
          <xdr:spPr>
            <a:xfrm>
              <a:off x="2131920" y="18367920"/>
              <a:ext cx="10080" cy="53280"/>
            </a:xfrm>
            <a:prstGeom prst="rect">
              <a:avLst/>
            </a:prstGeom>
          </xdr:spPr>
        </xdr:pic>
      </mc:Fallback>
    </mc:AlternateContent>
    <xdr:clientData/>
  </xdr:twoCellAnchor>
  <xdr:twoCellAnchor editAs="oneCell">
    <xdr:from>
      <xdr:col>2</xdr:col>
      <xdr:colOff>428708</xdr:colOff>
      <xdr:row>89</xdr:row>
      <xdr:rowOff>177260</xdr:rowOff>
    </xdr:from>
    <xdr:to>
      <xdr:col>2</xdr:col>
      <xdr:colOff>451028</xdr:colOff>
      <xdr:row>90</xdr:row>
      <xdr:rowOff>4122</xdr:rowOff>
    </xdr:to>
    <mc:AlternateContent xmlns:mc="http://schemas.openxmlformats.org/markup-compatibility/2006">
      <mc:Choice xmlns:xdr14="http://schemas.microsoft.com/office/excel/2010/spreadsheetDrawing" Requires="xdr14">
        <xdr:contentPart xmlns:r="http://schemas.openxmlformats.org/officeDocument/2006/relationships" r:id="rId3">
          <xdr14:nvContentPartPr>
            <xdr14:cNvPr id="3" name="Ink 2">
              <a:extLst>
                <a:ext uri="{FF2B5EF4-FFF2-40B4-BE49-F238E27FC236}">
                  <a16:creationId xmlns:a16="http://schemas.microsoft.com/office/drawing/2014/main" id="{4C0772D7-D1B6-5D8A-EB8E-F247769174B7}"/>
                </a:ext>
              </a:extLst>
            </xdr14:cNvPr>
            <xdr14:cNvContentPartPr/>
          </xdr14:nvContentPartPr>
          <xdr14:nvPr macro=""/>
          <xdr14:xfrm>
            <a:off x="2536200" y="18374040"/>
            <a:ext cx="22320" cy="31320"/>
          </xdr14:xfrm>
        </xdr:contentPart>
      </mc:Choice>
      <mc:Fallback>
        <xdr:pic>
          <xdr:nvPicPr>
            <xdr:cNvPr id="3" name="Ink 2">
              <a:extLst>
                <a:ext uri="{FF2B5EF4-FFF2-40B4-BE49-F238E27FC236}">
                  <a16:creationId xmlns:a16="http://schemas.microsoft.com/office/drawing/2014/main" id="{4C0772D7-D1B6-5D8A-EB8E-F247769174B7}"/>
                </a:ext>
              </a:extLst>
            </xdr:cNvPr>
            <xdr:cNvPicPr/>
          </xdr:nvPicPr>
          <xdr:blipFill>
            <a:blip xmlns:r="http://schemas.openxmlformats.org/officeDocument/2006/relationships" r:embed="rId4"/>
            <a:stretch>
              <a:fillRect/>
            </a:stretch>
          </xdr:blipFill>
          <xdr:spPr>
            <a:xfrm>
              <a:off x="2531880" y="18369720"/>
              <a:ext cx="30960" cy="39960"/>
            </a:xfrm>
            <a:prstGeom prst="rect">
              <a:avLst/>
            </a:prstGeom>
          </xdr:spPr>
        </xdr:pic>
      </mc:Fallback>
    </mc:AlternateContent>
    <xdr:clientData/>
  </xdr:twoCellAnchor>
  <xdr:twoCellAnchor editAs="oneCell">
    <xdr:from>
      <xdr:col>2</xdr:col>
      <xdr:colOff>589628</xdr:colOff>
      <xdr:row>89</xdr:row>
      <xdr:rowOff>174380</xdr:rowOff>
    </xdr:from>
    <xdr:to>
      <xdr:col>2</xdr:col>
      <xdr:colOff>625988</xdr:colOff>
      <xdr:row>90</xdr:row>
      <xdr:rowOff>21402</xdr:rowOff>
    </xdr:to>
    <mc:AlternateContent xmlns:mc="http://schemas.openxmlformats.org/markup-compatibility/2006">
      <mc:Choice xmlns:xdr14="http://schemas.microsoft.com/office/excel/2010/spreadsheetDrawing" Requires="xdr14">
        <xdr:contentPart xmlns:r="http://schemas.openxmlformats.org/officeDocument/2006/relationships" r:id="rId5">
          <xdr14:nvContentPartPr>
            <xdr14:cNvPr id="4" name="Ink 3">
              <a:extLst>
                <a:ext uri="{FF2B5EF4-FFF2-40B4-BE49-F238E27FC236}">
                  <a16:creationId xmlns:a16="http://schemas.microsoft.com/office/drawing/2014/main" id="{6657DD33-206D-077A-CF66-212021C41DE0}"/>
                </a:ext>
              </a:extLst>
            </xdr14:cNvPr>
            <xdr14:cNvContentPartPr/>
          </xdr14:nvContentPartPr>
          <xdr14:nvPr macro=""/>
          <xdr14:xfrm>
            <a:off x="2697120" y="18371160"/>
            <a:ext cx="36360" cy="51480"/>
          </xdr14:xfrm>
        </xdr:contentPart>
      </mc:Choice>
      <mc:Fallback>
        <xdr:pic>
          <xdr:nvPicPr>
            <xdr:cNvPr id="4" name="Ink 3">
              <a:extLst>
                <a:ext uri="{FF2B5EF4-FFF2-40B4-BE49-F238E27FC236}">
                  <a16:creationId xmlns:a16="http://schemas.microsoft.com/office/drawing/2014/main" id="{6657DD33-206D-077A-CF66-212021C41DE0}"/>
                </a:ext>
              </a:extLst>
            </xdr:cNvPr>
            <xdr:cNvPicPr/>
          </xdr:nvPicPr>
          <xdr:blipFill>
            <a:blip xmlns:r="http://schemas.openxmlformats.org/officeDocument/2006/relationships" r:embed="rId6"/>
            <a:stretch>
              <a:fillRect/>
            </a:stretch>
          </xdr:blipFill>
          <xdr:spPr>
            <a:xfrm>
              <a:off x="2692800" y="18366840"/>
              <a:ext cx="45000" cy="60120"/>
            </a:xfrm>
            <a:prstGeom prst="rect">
              <a:avLst/>
            </a:prstGeom>
          </xdr:spPr>
        </xdr:pic>
      </mc:Fallback>
    </mc:AlternateContent>
    <xdr:clientData/>
  </xdr:twoCellAnchor>
  <xdr:twoCellAnchor editAs="oneCell">
    <xdr:from>
      <xdr:col>2</xdr:col>
      <xdr:colOff>744788</xdr:colOff>
      <xdr:row>89</xdr:row>
      <xdr:rowOff>196700</xdr:rowOff>
    </xdr:from>
    <xdr:to>
      <xdr:col>2</xdr:col>
      <xdr:colOff>771068</xdr:colOff>
      <xdr:row>90</xdr:row>
      <xdr:rowOff>21402</xdr:rowOff>
    </xdr:to>
    <mc:AlternateContent xmlns:mc="http://schemas.openxmlformats.org/markup-compatibility/2006">
      <mc:Choice xmlns:xdr14="http://schemas.microsoft.com/office/excel/2010/spreadsheetDrawing" Requires="xdr14">
        <xdr:contentPart xmlns:r="http://schemas.openxmlformats.org/officeDocument/2006/relationships" r:id="rId7">
          <xdr14:nvContentPartPr>
            <xdr14:cNvPr id="7" name="Ink 6">
              <a:extLst>
                <a:ext uri="{FF2B5EF4-FFF2-40B4-BE49-F238E27FC236}">
                  <a16:creationId xmlns:a16="http://schemas.microsoft.com/office/drawing/2014/main" id="{D5AEB9F3-D15C-7CAF-09CC-83A24BE294B1}"/>
                </a:ext>
              </a:extLst>
            </xdr14:cNvPr>
            <xdr14:cNvContentPartPr/>
          </xdr14:nvContentPartPr>
          <xdr14:nvPr macro=""/>
          <xdr14:xfrm>
            <a:off x="2852280" y="18393480"/>
            <a:ext cx="26280" cy="29160"/>
          </xdr14:xfrm>
        </xdr:contentPart>
      </mc:Choice>
      <mc:Fallback>
        <xdr:pic>
          <xdr:nvPicPr>
            <xdr:cNvPr id="7" name="Ink 6">
              <a:extLst>
                <a:ext uri="{FF2B5EF4-FFF2-40B4-BE49-F238E27FC236}">
                  <a16:creationId xmlns:a16="http://schemas.microsoft.com/office/drawing/2014/main" id="{D5AEB9F3-D15C-7CAF-09CC-83A24BE294B1}"/>
                </a:ext>
              </a:extLst>
            </xdr:cNvPr>
            <xdr:cNvPicPr/>
          </xdr:nvPicPr>
          <xdr:blipFill>
            <a:blip xmlns:r="http://schemas.openxmlformats.org/officeDocument/2006/relationships" r:embed="rId8"/>
            <a:stretch>
              <a:fillRect/>
            </a:stretch>
          </xdr:blipFill>
          <xdr:spPr>
            <a:xfrm>
              <a:off x="2847960" y="18389160"/>
              <a:ext cx="34920" cy="37800"/>
            </a:xfrm>
            <a:prstGeom prst="rect">
              <a:avLst/>
            </a:prstGeom>
          </xdr:spPr>
        </xdr:pic>
      </mc:Fallback>
    </mc:AlternateContent>
    <xdr:clientData/>
  </xdr:twoCellAnchor>
  <xdr:twoCellAnchor editAs="oneCell">
    <xdr:from>
      <xdr:col>1</xdr:col>
      <xdr:colOff>52343</xdr:colOff>
      <xdr:row>100</xdr:row>
      <xdr:rowOff>126740</xdr:rowOff>
    </xdr:from>
    <xdr:to>
      <xdr:col>1</xdr:col>
      <xdr:colOff>546623</xdr:colOff>
      <xdr:row>101</xdr:row>
      <xdr:rowOff>22001</xdr:rowOff>
    </xdr:to>
    <mc:AlternateContent xmlns:mc="http://schemas.openxmlformats.org/markup-compatibility/2006">
      <mc:Choice xmlns:xdr14="http://schemas.microsoft.com/office/excel/2010/spreadsheetDrawing" Requires="xdr14">
        <xdr:contentPart xmlns:r="http://schemas.openxmlformats.org/officeDocument/2006/relationships" r:id="rId9">
          <xdr14:nvContentPartPr>
            <xdr14:cNvPr id="16" name="Ink 15">
              <a:extLst>
                <a:ext uri="{FF2B5EF4-FFF2-40B4-BE49-F238E27FC236}">
                  <a16:creationId xmlns:a16="http://schemas.microsoft.com/office/drawing/2014/main" id="{4F5D8B17-0BC1-42F4-054F-66F7E5AB1262}"/>
                </a:ext>
              </a:extLst>
            </xdr14:cNvPr>
            <xdr14:cNvContentPartPr/>
          </xdr14:nvContentPartPr>
          <xdr14:nvPr macro=""/>
          <xdr14:xfrm>
            <a:off x="878040" y="20572560"/>
            <a:ext cx="494280" cy="99720"/>
          </xdr14:xfrm>
        </xdr:contentPart>
      </mc:Choice>
      <mc:Fallback>
        <xdr:pic>
          <xdr:nvPicPr>
            <xdr:cNvPr id="16" name="Ink 15">
              <a:extLst>
                <a:ext uri="{FF2B5EF4-FFF2-40B4-BE49-F238E27FC236}">
                  <a16:creationId xmlns:a16="http://schemas.microsoft.com/office/drawing/2014/main" id="{4F5D8B17-0BC1-42F4-054F-66F7E5AB1262}"/>
                </a:ext>
              </a:extLst>
            </xdr:cNvPr>
            <xdr:cNvPicPr/>
          </xdr:nvPicPr>
          <xdr:blipFill>
            <a:blip xmlns:r="http://schemas.openxmlformats.org/officeDocument/2006/relationships" r:embed="rId10"/>
            <a:stretch>
              <a:fillRect/>
            </a:stretch>
          </xdr:blipFill>
          <xdr:spPr>
            <a:xfrm>
              <a:off x="870480" y="20565027"/>
              <a:ext cx="509400" cy="114786"/>
            </a:xfrm>
            <a:prstGeom prst="rect">
              <a:avLst/>
            </a:prstGeom>
          </xdr:spPr>
        </xdr:pic>
      </mc:Fallback>
    </mc:AlternateContent>
    <xdr:clientData/>
  </xdr:twoCellAnchor>
  <xdr:twoCellAnchor editAs="oneCell">
    <xdr:from>
      <xdr:col>2</xdr:col>
      <xdr:colOff>204428</xdr:colOff>
      <xdr:row>99</xdr:row>
      <xdr:rowOff>191518</xdr:rowOff>
    </xdr:from>
    <xdr:to>
      <xdr:col>3</xdr:col>
      <xdr:colOff>233043</xdr:colOff>
      <xdr:row>101</xdr:row>
      <xdr:rowOff>89321</xdr:rowOff>
    </xdr:to>
    <mc:AlternateContent xmlns:mc="http://schemas.openxmlformats.org/markup-compatibility/2006">
      <mc:Choice xmlns:xdr14="http://schemas.microsoft.com/office/excel/2010/spreadsheetDrawing" Requires="xdr14">
        <xdr:contentPart xmlns:r="http://schemas.openxmlformats.org/officeDocument/2006/relationships" r:id="rId11">
          <xdr14:nvContentPartPr>
            <xdr14:cNvPr id="42" name="Ink 41">
              <a:extLst>
                <a:ext uri="{FF2B5EF4-FFF2-40B4-BE49-F238E27FC236}">
                  <a16:creationId xmlns:a16="http://schemas.microsoft.com/office/drawing/2014/main" id="{536EBA8E-4434-3879-C8F7-73D2E7C7C9AE}"/>
                </a:ext>
              </a:extLst>
            </xdr14:cNvPr>
            <xdr14:cNvContentPartPr/>
          </xdr14:nvContentPartPr>
          <xdr14:nvPr macro=""/>
          <xdr14:xfrm>
            <a:off x="2311920" y="20432880"/>
            <a:ext cx="1412640" cy="306720"/>
          </xdr14:xfrm>
        </xdr:contentPart>
      </mc:Choice>
      <mc:Fallback>
        <xdr:pic>
          <xdr:nvPicPr>
            <xdr:cNvPr id="42" name="Ink 41">
              <a:extLst>
                <a:ext uri="{FF2B5EF4-FFF2-40B4-BE49-F238E27FC236}">
                  <a16:creationId xmlns:a16="http://schemas.microsoft.com/office/drawing/2014/main" id="{536EBA8E-4434-3879-C8F7-73D2E7C7C9AE}"/>
                </a:ext>
              </a:extLst>
            </xdr:cNvPr>
            <xdr:cNvPicPr/>
          </xdr:nvPicPr>
          <xdr:blipFill>
            <a:blip xmlns:r="http://schemas.openxmlformats.org/officeDocument/2006/relationships" r:embed="rId12"/>
            <a:stretch>
              <a:fillRect/>
            </a:stretch>
          </xdr:blipFill>
          <xdr:spPr>
            <a:xfrm>
              <a:off x="2304360" y="20425329"/>
              <a:ext cx="1427760" cy="321822"/>
            </a:xfrm>
            <a:prstGeom prst="rect">
              <a:avLst/>
            </a:prstGeom>
          </xdr:spPr>
        </xdr:pic>
      </mc:Fallback>
    </mc:AlternateContent>
    <xdr:clientData/>
  </xdr:twoCellAnchor>
  <xdr:twoCellAnchor editAs="oneCell">
    <xdr:from>
      <xdr:col>2</xdr:col>
      <xdr:colOff>1361828</xdr:colOff>
      <xdr:row>103</xdr:row>
      <xdr:rowOff>186925</xdr:rowOff>
    </xdr:from>
    <xdr:to>
      <xdr:col>3</xdr:col>
      <xdr:colOff>29283</xdr:colOff>
      <xdr:row>103</xdr:row>
      <xdr:rowOff>199525</xdr:rowOff>
    </xdr:to>
    <mc:AlternateContent xmlns:mc="http://schemas.openxmlformats.org/markup-compatibility/2006">
      <mc:Choice xmlns:xdr14="http://schemas.microsoft.com/office/excel/2010/spreadsheetDrawing" Requires="xdr14">
        <xdr:contentPart xmlns:r="http://schemas.openxmlformats.org/officeDocument/2006/relationships" r:id="rId13">
          <xdr14:nvContentPartPr>
            <xdr14:cNvPr id="59" name="Ink 58">
              <a:extLst>
                <a:ext uri="{FF2B5EF4-FFF2-40B4-BE49-F238E27FC236}">
                  <a16:creationId xmlns:a16="http://schemas.microsoft.com/office/drawing/2014/main" id="{480A7245-3E07-DD08-96EB-A454FA2E51DE}"/>
                </a:ext>
              </a:extLst>
            </xdr14:cNvPr>
            <xdr14:cNvContentPartPr/>
          </xdr14:nvContentPartPr>
          <xdr14:nvPr macro=""/>
          <xdr14:xfrm>
            <a:off x="3469320" y="21246120"/>
            <a:ext cx="51480" cy="12600"/>
          </xdr14:xfrm>
        </xdr:contentPart>
      </mc:Choice>
      <mc:Fallback>
        <xdr:pic>
          <xdr:nvPicPr>
            <xdr:cNvPr id="59" name="Ink 58">
              <a:extLst>
                <a:ext uri="{FF2B5EF4-FFF2-40B4-BE49-F238E27FC236}">
                  <a16:creationId xmlns:a16="http://schemas.microsoft.com/office/drawing/2014/main" id="{480A7245-3E07-DD08-96EB-A454FA2E51DE}"/>
                </a:ext>
              </a:extLst>
            </xdr:cNvPr>
            <xdr:cNvPicPr/>
          </xdr:nvPicPr>
          <xdr:blipFill>
            <a:blip xmlns:r="http://schemas.openxmlformats.org/officeDocument/2006/relationships" r:embed="rId14"/>
            <a:stretch>
              <a:fillRect/>
            </a:stretch>
          </xdr:blipFill>
          <xdr:spPr>
            <a:xfrm>
              <a:off x="3462120" y="21238560"/>
              <a:ext cx="66240" cy="27360"/>
            </a:xfrm>
            <a:prstGeom prst="rect">
              <a:avLst/>
            </a:prstGeom>
          </xdr:spPr>
        </xdr:pic>
      </mc:Fallback>
    </mc:AlternateContent>
    <xdr:clientData/>
  </xdr:twoCellAnchor>
  <xdr:twoCellAnchor editAs="oneCell">
    <xdr:from>
      <xdr:col>2</xdr:col>
      <xdr:colOff>280748</xdr:colOff>
      <xdr:row>102</xdr:row>
      <xdr:rowOff>134703</xdr:rowOff>
    </xdr:from>
    <xdr:to>
      <xdr:col>3</xdr:col>
      <xdr:colOff>516003</xdr:colOff>
      <xdr:row>104</xdr:row>
      <xdr:rowOff>18827</xdr:rowOff>
    </xdr:to>
    <mc:AlternateContent xmlns:mc="http://schemas.openxmlformats.org/markup-compatibility/2006">
      <mc:Choice xmlns:xdr14="http://schemas.microsoft.com/office/excel/2010/spreadsheetDrawing" Requires="xdr14">
        <xdr:contentPart xmlns:r="http://schemas.openxmlformats.org/officeDocument/2006/relationships" r:id="rId15">
          <xdr14:nvContentPartPr>
            <xdr14:cNvPr id="81" name="Ink 80">
              <a:extLst>
                <a:ext uri="{FF2B5EF4-FFF2-40B4-BE49-F238E27FC236}">
                  <a16:creationId xmlns:a16="http://schemas.microsoft.com/office/drawing/2014/main" id="{3377C7D2-2D84-DCB1-A355-E800B3F07486}"/>
                </a:ext>
              </a:extLst>
            </xdr14:cNvPr>
            <xdr14:cNvContentPartPr/>
          </xdr14:nvContentPartPr>
          <xdr14:nvPr macro=""/>
          <xdr14:xfrm>
            <a:off x="2388240" y="20989440"/>
            <a:ext cx="1619280" cy="293040"/>
          </xdr14:xfrm>
        </xdr:contentPart>
      </mc:Choice>
      <mc:Fallback>
        <xdr:pic>
          <xdr:nvPicPr>
            <xdr:cNvPr id="81" name="Ink 80">
              <a:extLst>
                <a:ext uri="{FF2B5EF4-FFF2-40B4-BE49-F238E27FC236}">
                  <a16:creationId xmlns:a16="http://schemas.microsoft.com/office/drawing/2014/main" id="{3377C7D2-2D84-DCB1-A355-E800B3F07486}"/>
                </a:ext>
              </a:extLst>
            </xdr:cNvPr>
            <xdr:cNvPicPr/>
          </xdr:nvPicPr>
          <xdr:blipFill>
            <a:blip xmlns:r="http://schemas.openxmlformats.org/officeDocument/2006/relationships" r:embed="rId16"/>
            <a:stretch>
              <a:fillRect/>
            </a:stretch>
          </xdr:blipFill>
          <xdr:spPr>
            <a:xfrm>
              <a:off x="2380680" y="20981880"/>
              <a:ext cx="1634400" cy="307800"/>
            </a:xfrm>
            <a:prstGeom prst="rect">
              <a:avLst/>
            </a:prstGeom>
          </xdr:spPr>
        </xdr:pic>
      </mc:Fallback>
    </mc:AlternateContent>
    <xdr:clientData/>
  </xdr:twoCellAnchor>
  <xdr:twoCellAnchor editAs="oneCell">
    <xdr:from>
      <xdr:col>1</xdr:col>
      <xdr:colOff>89051</xdr:colOff>
      <xdr:row>170</xdr:row>
      <xdr:rowOff>131610</xdr:rowOff>
    </xdr:from>
    <xdr:to>
      <xdr:col>1</xdr:col>
      <xdr:colOff>260411</xdr:colOff>
      <xdr:row>170</xdr:row>
      <xdr:rowOff>202170</xdr:rowOff>
    </xdr:to>
    <mc:AlternateContent xmlns:mc="http://schemas.openxmlformats.org/markup-compatibility/2006">
      <mc:Choice xmlns:xdr14="http://schemas.microsoft.com/office/excel/2010/spreadsheetDrawing" Requires="xdr14">
        <xdr:contentPart xmlns:r="http://schemas.openxmlformats.org/officeDocument/2006/relationships" r:id="rId17">
          <xdr14:nvContentPartPr>
            <xdr14:cNvPr id="86" name="Ink 85">
              <a:extLst>
                <a:ext uri="{FF2B5EF4-FFF2-40B4-BE49-F238E27FC236}">
                  <a16:creationId xmlns:a16="http://schemas.microsoft.com/office/drawing/2014/main" id="{828E1F8F-ACE5-B9C1-7C33-34F36044048E}"/>
                </a:ext>
              </a:extLst>
            </xdr14:cNvPr>
            <xdr14:cNvContentPartPr/>
          </xdr14:nvContentPartPr>
          <xdr14:nvPr macro=""/>
          <xdr14:xfrm>
            <a:off x="912600" y="34790040"/>
            <a:ext cx="171360" cy="70560"/>
          </xdr14:xfrm>
        </xdr:contentPart>
      </mc:Choice>
      <mc:Fallback>
        <xdr:pic>
          <xdr:nvPicPr>
            <xdr:cNvPr id="86" name="Ink 85">
              <a:extLst>
                <a:ext uri="{FF2B5EF4-FFF2-40B4-BE49-F238E27FC236}">
                  <a16:creationId xmlns:a16="http://schemas.microsoft.com/office/drawing/2014/main" id="{828E1F8F-ACE5-B9C1-7C33-34F36044048E}"/>
                </a:ext>
              </a:extLst>
            </xdr:cNvPr>
            <xdr:cNvPicPr/>
          </xdr:nvPicPr>
          <xdr:blipFill>
            <a:blip xmlns:r="http://schemas.openxmlformats.org/officeDocument/2006/relationships" r:embed="rId18"/>
            <a:stretch>
              <a:fillRect/>
            </a:stretch>
          </xdr:blipFill>
          <xdr:spPr>
            <a:xfrm>
              <a:off x="908280" y="34785720"/>
              <a:ext cx="180000" cy="79200"/>
            </a:xfrm>
            <a:prstGeom prst="rect">
              <a:avLst/>
            </a:prstGeom>
          </xdr:spPr>
        </xdr:pic>
      </mc:Fallback>
    </mc:AlternateContent>
    <xdr:clientData/>
  </xdr:twoCellAnchor>
  <xdr:twoCellAnchor editAs="oneCell">
    <xdr:from>
      <xdr:col>2</xdr:col>
      <xdr:colOff>496607</xdr:colOff>
      <xdr:row>184</xdr:row>
      <xdr:rowOff>60888</xdr:rowOff>
    </xdr:from>
    <xdr:to>
      <xdr:col>4</xdr:col>
      <xdr:colOff>313921</xdr:colOff>
      <xdr:row>186</xdr:row>
      <xdr:rowOff>29288</xdr:rowOff>
    </xdr:to>
    <mc:AlternateContent xmlns:mc="http://schemas.openxmlformats.org/markup-compatibility/2006">
      <mc:Choice xmlns:xdr14="http://schemas.microsoft.com/office/excel/2010/spreadsheetDrawing" Requires="xdr14">
        <xdr:contentPart xmlns:r="http://schemas.openxmlformats.org/officeDocument/2006/relationships" r:id="rId19">
          <xdr14:nvContentPartPr>
            <xdr14:cNvPr id="98" name="Ink 97">
              <a:extLst>
                <a:ext uri="{FF2B5EF4-FFF2-40B4-BE49-F238E27FC236}">
                  <a16:creationId xmlns:a16="http://schemas.microsoft.com/office/drawing/2014/main" id="{09D58EFD-B397-0DA4-C174-244DC7AE48F6}"/>
                </a:ext>
              </a:extLst>
            </xdr14:cNvPr>
            <xdr14:cNvContentPartPr/>
          </xdr14:nvContentPartPr>
          <xdr14:nvPr macro=""/>
          <xdr14:xfrm>
            <a:off x="2603160" y="37571400"/>
            <a:ext cx="2023560" cy="375840"/>
          </xdr14:xfrm>
        </xdr:contentPart>
      </mc:Choice>
      <mc:Fallback>
        <xdr:pic>
          <xdr:nvPicPr>
            <xdr:cNvPr id="98" name="Ink 97">
              <a:extLst>
                <a:ext uri="{FF2B5EF4-FFF2-40B4-BE49-F238E27FC236}">
                  <a16:creationId xmlns:a16="http://schemas.microsoft.com/office/drawing/2014/main" id="{09D58EFD-B397-0DA4-C174-244DC7AE48F6}"/>
                </a:ext>
              </a:extLst>
            </xdr:cNvPr>
            <xdr:cNvPicPr/>
          </xdr:nvPicPr>
          <xdr:blipFill>
            <a:blip xmlns:r="http://schemas.openxmlformats.org/officeDocument/2006/relationships" r:embed="rId20"/>
            <a:stretch>
              <a:fillRect/>
            </a:stretch>
          </xdr:blipFill>
          <xdr:spPr>
            <a:xfrm>
              <a:off x="2598840" y="37567080"/>
              <a:ext cx="2032200" cy="384480"/>
            </a:xfrm>
            <a:prstGeom prst="rect">
              <a:avLst/>
            </a:prstGeom>
          </xdr:spPr>
        </xdr:pic>
      </mc:Fallback>
    </mc:AlternateContent>
    <xdr:clientData/>
  </xdr:twoCellAnchor>
  <xdr:twoCellAnchor editAs="oneCell">
    <xdr:from>
      <xdr:col>2</xdr:col>
      <xdr:colOff>52007</xdr:colOff>
      <xdr:row>185</xdr:row>
      <xdr:rowOff>143368</xdr:rowOff>
    </xdr:from>
    <xdr:to>
      <xdr:col>2</xdr:col>
      <xdr:colOff>210047</xdr:colOff>
      <xdr:row>186</xdr:row>
      <xdr:rowOff>25688</xdr:rowOff>
    </xdr:to>
    <mc:AlternateContent xmlns:mc="http://schemas.openxmlformats.org/markup-compatibility/2006">
      <mc:Choice xmlns:xdr14="http://schemas.microsoft.com/office/excel/2010/spreadsheetDrawing" Requires="xdr14">
        <xdr:contentPart xmlns:r="http://schemas.openxmlformats.org/officeDocument/2006/relationships" r:id="rId21">
          <xdr14:nvContentPartPr>
            <xdr14:cNvPr id="99" name="Ink 98">
              <a:extLst>
                <a:ext uri="{FF2B5EF4-FFF2-40B4-BE49-F238E27FC236}">
                  <a16:creationId xmlns:a16="http://schemas.microsoft.com/office/drawing/2014/main" id="{E64F811A-62C0-7FB4-B604-0927921121B4}"/>
                </a:ext>
              </a:extLst>
            </xdr14:cNvPr>
            <xdr14:cNvContentPartPr/>
          </xdr14:nvContentPartPr>
          <xdr14:nvPr macro=""/>
          <xdr14:xfrm>
            <a:off x="2158560" y="37857600"/>
            <a:ext cx="158040" cy="86040"/>
          </xdr14:xfrm>
        </xdr:contentPart>
      </mc:Choice>
      <mc:Fallback>
        <xdr:pic>
          <xdr:nvPicPr>
            <xdr:cNvPr id="99" name="Ink 98">
              <a:extLst>
                <a:ext uri="{FF2B5EF4-FFF2-40B4-BE49-F238E27FC236}">
                  <a16:creationId xmlns:a16="http://schemas.microsoft.com/office/drawing/2014/main" id="{E64F811A-62C0-7FB4-B604-0927921121B4}"/>
                </a:ext>
              </a:extLst>
            </xdr:cNvPr>
            <xdr:cNvPicPr/>
          </xdr:nvPicPr>
          <xdr:blipFill>
            <a:blip xmlns:r="http://schemas.openxmlformats.org/officeDocument/2006/relationships" r:embed="rId22"/>
            <a:stretch>
              <a:fillRect/>
            </a:stretch>
          </xdr:blipFill>
          <xdr:spPr>
            <a:xfrm>
              <a:off x="2154240" y="37853280"/>
              <a:ext cx="166680" cy="94680"/>
            </a:xfrm>
            <a:prstGeom prst="rect">
              <a:avLst/>
            </a:prstGeom>
          </xdr:spPr>
        </xdr:pic>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1-29T16:31:42.237"/>
    </inkml:context>
    <inkml:brush xml:id="br0">
      <inkml:brushProperty name="width" value="0.025" units="cm"/>
      <inkml:brushProperty name="height" value="0.025" units="cm"/>
      <inkml:brushProperty name="color" value="#E71224"/>
    </inkml:brush>
  </inkml:definitions>
  <inkml:trace contextRef="#ctx0" brushRef="#br0">0 0 24575,'2'4'0,"-1"5"0,-1 4 0,0 5 0,0 0 0,0-2 0,0-2 0,0-4 0,0-2 0,0-2 0,0-1 0,0-3 0,0-7 0,0 2 0,0-3 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1-29T16:31:46.635"/>
    </inkml:context>
    <inkml:brush xml:id="br0">
      <inkml:brushProperty name="width" value="0.025" units="cm"/>
      <inkml:brushProperty name="height" value="0.025" units="cm"/>
      <inkml:brushProperty name="color" value="#E71224"/>
    </inkml:brush>
  </inkml:definitions>
  <inkml:trace contextRef="#ctx0" brushRef="#br0">12 0 24575,'-2'3'0,"-1"0"0,1 2 0,0 1 0,0-1 0,2-1 0,0 0 0,0 0 0,0 0 0,0 1 0,0 0 0,0 1 0,0 0 0,0 0 0,0 0 0,0-1 0,2-1 0,1-1 0,1-1 0,1-1 0,0-1 0,1 0 0,0 0 0,0 0 0,0 0 0,-2 0 0,0-1 0,-2 0 0,0-2 0,-1-1 0,0-1 0,1 0 0,-1-1 0,0 0 0,-2 2 0,-2 1 0,-1 1 0,-3 2 0,-1 0 0,1 0 0,1 0 0,1 1 0,0 0 0,0 1 0,1 0 0,2-1 0,0 0 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1-29T16:31:49.685"/>
    </inkml:context>
    <inkml:brush xml:id="br0">
      <inkml:brushProperty name="width" value="0.025" units="cm"/>
      <inkml:brushProperty name="height" value="0.025" units="cm"/>
      <inkml:brushProperty name="color" value="#E71224"/>
    </inkml:brush>
  </inkml:definitions>
  <inkml:trace contextRef="#ctx0" brushRef="#br0">71 0 24575,'-4'0'0,"-2"0"0,-1 0 0,-1 1 0,0 1 0,0 2 0,-1 3 0,1 1 0,1-2 0,3 0 0,3-2 0,2-2 0,5-1 0,4-1 0,2 0 0,0 0 0,-3 0 0,-1 0 0,-2-1 0,0 0 0,0-2 0,-1-2 0,1 0 0,0 0 0,-2 1 0,-2 0 0,-1 1 0,-1 5 0,0 2 0,0 2 0,0 3 0,0-2 0,0 2 0,0-1 0,0-1 0,0 0 0,-1 1 0,-1-1 0,-1 1 0,-1 0 0,0 0 0,-1-1 0,0-1 0,0 0 0,-1 0 0,1-1 0,1-2 0,2-1 0</inkml:trace>
</inkml:ink>
</file>

<file path=xl/ink/ink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1-29T16:31:50.802"/>
    </inkml:context>
    <inkml:brush xml:id="br0">
      <inkml:brushProperty name="width" value="0.025" units="cm"/>
      <inkml:brushProperty name="height" value="0.025" units="cm"/>
      <inkml:brushProperty name="color" value="#E71224"/>
    </inkml:brush>
  </inkml:definitions>
  <inkml:trace contextRef="#ctx0" brushRef="#br0">1 24 24575,'1'4'0,"0"2"0,-1 3 0,0 1 0,0-1 0,0-2 0,0-4 0,0 0 0</inkml:trace>
  <inkml:trace contextRef="#ctx0" brushRef="#br0" timeOffset="1367">73 1 24575,'0'4'0,"0"1"0,0 2 0,0 1 0,0 0 0,0-1 0,0 0 0,0-2 0,0 0 0,0 0 0,0 0 0,0 0 0,0 0 0,0-3 0,0 0 0</inkml:trace>
</inkml:ink>
</file>

<file path=xl/ink/ink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1-29T16:34:40.542"/>
    </inkml:context>
    <inkml:brush xml:id="br0">
      <inkml:brushProperty name="width" value="0.04286" units="cm"/>
      <inkml:brushProperty name="height" value="0.04286" units="cm"/>
      <inkml:brushProperty name="color" value="#E71224"/>
    </inkml:brush>
  </inkml:definitions>
  <inkml:trace contextRef="#ctx0" brushRef="#br0">18 3 15538,'-3'15'1259,"0"8"-1079,0 8-180,0 7-1439,0-2-900,1-10 2339,1-6 0,1-14 0,1-1 0</inkml:trace>
  <inkml:trace contextRef="#ctx0" brushRef="#br0" timeOffset="699">163 77 8252,'0'-12'6656,"1"4"-5846,12-7-450,-4 9-90,10 0-180,-9 14-90,-2 12 0,-6 4 0,-9 12 629,-1-12 631,-2 3-361,3-14 90,3-2-899,5-7-539,9-4-1980,8-4-1529,6-1 3958,1 1 0,-11 3 0,-3 0 0</inkml:trace>
  <inkml:trace contextRef="#ctx0" brushRef="#br0" timeOffset="1350">392 69 11490,'-6'-11'5307,"2"-4"-4677,7 0-360,4-2-180,1 6-90,1 12 0,-8 12-90,-2 5 90,-7 6 0,3-9 0,6 0 0,7-6 0,9 0 0,5 1 0,-3 1 0,-3 5 180,-11 1 90,-13 4-270,-12-4-1350,-7-4-2068,-2-8 3418,11-9 0,5 1 0,9-3 0</inkml:trace>
  <inkml:trace contextRef="#ctx0" brushRef="#br0" timeOffset="2116">606 42 7713,'-2'-8'9084,"2"0"-8724,-3 6 180,-3 12-270,-3 12-180,-2 8 0,4-2-90,4-1 90,7-11-90,8-4 0,7-9-90,4-6 180,-2-4 629,-4-2 451,-7 2-1081,-3 6 91,-6 9-449,-3 9-631,-1 1-4497,-3 12 5397,3-8 0,-1-3 0,3-8 0</inkml:trace>
  <inkml:trace contextRef="#ctx0" brushRef="#br0" timeOffset="3399">881 42 9781,'-15'1'5577,"2"6"-5487,4 11 0,8 8-90,6 0 90,7 3 270,1-6 719,-2-1-539,-6-5 269,-8 4-539,-9-5-270,-5 1-1439,-6-7-1439,3-8-270,2-9 719,7-16 2339,10-7 1439,8-9 540,2 4-180,-1 7-539,-1 4-901,-2 11 1,4 2-540,7 6-2158,10-1 2428,3 1 0,-9 1 0,-7 2 0</inkml:trace>
  <inkml:trace contextRef="#ctx0" brushRef="#br0" timeOffset="3816">1089 19 14639,'0'15'1979,"-3"7"-1710,-7 13-179,0 5-180,4-1-449,5-8 269,9-8 270,9-18 719,0-7 361,2-12-720,-11 0-270,-11 1-1170,-11 7-1348,-4 6 2428,-1 7 0,9-3 0,3 2 0</inkml:trace>
  <inkml:trace contextRef="#ctx0" brushRef="#br0" timeOffset="4199">1355 49 8432,'-13'-6'7196,"-1"0"-6386,-2 0-720,15 3 179,11 2 721,8 2 449,0 2-539,-7 7-631,-7 9-179,-4 13-2248,-4 9-4499,-2 7 6657,0-9 0,1-13 0,3-15 0</inkml:trace>
</inkml:ink>
</file>

<file path=xl/ink/ink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1-29T16:34:46.840"/>
    </inkml:context>
    <inkml:brush xml:id="br0">
      <inkml:brushProperty name="width" value="0.04286" units="cm"/>
      <inkml:brushProperty name="height" value="0.04286" units="cm"/>
      <inkml:brushProperty name="color" value="#E71224"/>
    </inkml:brush>
  </inkml:definitions>
  <inkml:trace contextRef="#ctx0" brushRef="#br0">32 254 9332,'2'-9'9830,"1"1"-7877,-7 8-1503,-3 17-91,-6 21-1168,2 18-2429,10 5-3239,13-9 6477,5-19 0,-3-15 0,-5-14 0</inkml:trace>
  <inkml:trace contextRef="#ctx0" brushRef="#br0" timeOffset="267">262 284 9422,'-5'-15'9264,"-2"7"-7735,-7 10-89,-5 21-451,-3 19-719,4 12-2519,11 2-2608,18-6 4857,16-16 0,-8-14 0,-1-12 0</inkml:trace>
  <inkml:trace contextRef="#ctx0" brushRef="#br0" timeOffset="1768">478 439 8792,'-8'-6'6116,"1"1"-4766,-2-1-811,2 9 271,0 10-1,-2 22-269,4 21-360,4 19-90,6 5-90,8-13 180,16-15 180,7-38 89,8-18 91,2-36-270,-7-28-270,-11 2 90,-10-18-90,-18 33-90,-8 5-2069,-9 20-1529,-5 22-899,5 6 4587,5 15 0,10-9 0,2 1 0</inkml:trace>
  <inkml:trace contextRef="#ctx0" brushRef="#br0" timeOffset="2201">866 507 9242,'-5'-5'9830,"0"0"-7787,3 5-1953,11 4 180,12 1-540,17 0-1979,7-7-1439,2-2-269,-10 0 3957,-5-1 0,-18 3 0,-5-1 0</inkml:trace>
  <inkml:trace contextRef="#ctx0" brushRef="#br0" timeOffset="2467">1021 492 7982,'-25'1'9830,"5"1"-8056,14 7-1145,3 9-179,2 14-360,-1 12-1979,-2 10-2338,-2 1 4227,2-8 0,1-20 0,2-13 0</inkml:trace>
  <inkml:trace contextRef="#ctx0" brushRef="#br0" timeOffset="2734">1098 582 11580,'1'-17'5307,"4"7"-4947,1 17 90,1 16-360,-3 18-1349,-7 14-2339,-3-1 3598,-2-7 0,4-22 0,2-13 0</inkml:trace>
  <inkml:trace contextRef="#ctx0" brushRef="#br0" timeOffset="3100">1308 575 9512,'18'-20'6026,"-5"4"-5846,-11 15 90,-11 10-180,-23 21 0,1-1 360,-5 5 449,10-11 90,8-6-269,8-6-270,8 4-270,17 0-1709,16 8-1979,13 3-4138,5 0 7646,-17-9 0,-11-6 0,-17-9 0</inkml:trace>
  <inkml:trace contextRef="#ctx0" brushRef="#br0" timeOffset="3617">1541 680 10321,'0'-11'7376,"-2"15"-7196,0 11-90,-4 19 0,0 6-90,-1-6 90,-2-8-180,-2-21 180,2-20-180,5-24 629,11-16 541,9-4 89,9 6-269,5 13-1,-2 15-359,3 22-90,-8 23-361,-2 14 1,-6 28-899,-8-13-3329,-2 17-179,-3-30 4317,-1-4 0,0-21 0,0-7 0</inkml:trace>
  <inkml:trace contextRef="#ctx0" brushRef="#br0" timeOffset="4384">1549 740 7892,'-11'-7'8726,"13"-4"-8097,5 0-809,29-4-1079,22 1 809,-3 0 270,7-5 1620,-32 7-991,-9 6-89,-17 8 360,-9 19-181,1 6-269,-1 14-180,4 1 0,1 1 0,-1-14-90,-1-19-90,0-22 90,-1-18 0,3-19 0,7-13 0,6 3 0,15 0 90,10 26-90,10 10 0,1 17-90,-9 16 180,-18 12 0,-21 11-90,-23 4 90,-11-1 630,-2-6-1,9-10-89,12-8-360,12-2-91,19-3-1888,11 0-1709,15-2-1169,1-3 4587,-3 0 0,-16 0 0,-10-2 0</inkml:trace>
  <inkml:trace contextRef="#ctx0" brushRef="#br0" timeOffset="4800">2348 589 7623,'-1'-27'9624,"-6"1"-7645,-7-1-1709,-5 10 0,-3 12-180,7 15 0,10 16-90,12 6-90,12 9-180,4-3 180,-3 0 0,-7-2 90,-11-1 180,-14-3 180,-14-7-270,-12-10-1710,-2-12-3237,7-15-1529,18-12 6386,11 2 0,9 4 0,-1 12 0</inkml:trace>
  <inkml:trace contextRef="#ctx0" brushRef="#br0" timeOffset="5100">2511 503 9242,'15'-16'8455,"-1"1"-6386,-5 6-1350,-2 7 271,-3 16-451,-1 12-179,0 16-630,-1 7-1978,1 4-1350,0-3-1799,1-8 5397,-1-15 0,-1-13 0,-1-10 0</inkml:trace>
  <inkml:trace contextRef="#ctx0" brushRef="#br0" timeOffset="5467">2569 775 8252,'-14'-29'7556,"1"2"-7376,5 1-540,11 6-809,14 8-360,20 6 629,17 2 990,8-6 1079,-1-9 450,-14-7 540,-16-4-810,-15 7 990,-10 4-2069,-7 17 90,-2 11-180,-2 17-360,2 9-3688,1 19-5963,1-8 9702,1-5 1,1-18 0,-1-18 0</inkml:trace>
  <inkml:trace contextRef="#ctx0" brushRef="#br0" timeOffset="6500">3055 812 14729,'-2'7'8185,"4"0"-7735,2-4-270,17 0-1,19 1-89,25 1-90,11-2 0,-4-2-90,-21-5 90,-29-3 0,-26-2 0,-26 1 0,-20 3 0,-13 4 0,-2 7 0,10 2 0,12 2 270,19-3-270,15-2 0,26-5 0,39 0 0,3-2-90,30 0-539,-21 1-181,-11 0-1079,-10 0-1169,-20 1-6773,-5-1 9702,-5 1 1,-8 0 0,-4-1 0</inkml:trace>
  <inkml:trace contextRef="#ctx0" brushRef="#br0" timeOffset="7367">3673 211 8702,'4'-6'8725,"1"0"-8365,4 7 0,2 11-91,0 16-269,-9 15-809,-7 10-1710,-6-1-899,-1-8 3418,4-12 0,5-18 0,1-5 0</inkml:trace>
  <inkml:trace contextRef="#ctx0" brushRef="#br0" timeOffset="7616">3899 195 9422,'6'-5'6836,"1"10"-6656,0 11 89,-3 17-1978,-6 15-1799,-8 11 3508,-8-2 0,0-14 0,0-12 0</inkml:trace>
  <inkml:trace contextRef="#ctx0" brushRef="#br0" timeOffset="8733">595 7 7982,'11'-4'6657,"3"1"-5578,7 8-899,-3 9-180,-2 13-1169,-5 11-1980,-1 10 3149,1-5 0,-4-15 0,0-14 0</inkml:trace>
  <inkml:trace contextRef="#ctx0" brushRef="#br0" timeOffset="9167">962 145 9691,'9'-24'4588,"7"3"-4318,8 8 89,0 9 91,-2 18 90,-13 9 0,-7 11-181,-11 5-179,-5 1-90,-2-1 270,5-7-90,5-6-450,17-12-1079,14-11-1440,20-8-1528,6-5 4227,-8 0 0,-16 5 0,-17 2 0</inkml:trace>
  <inkml:trace contextRef="#ctx0" brushRef="#br0" timeOffset="9567">1332 213 10051,'-4'-13'5397,"4"-2"-5037,6 2-90,3 3-90,3 8-90,-4 9-90,-3 7 0,-3 4 0,0 4 0,1 2 90,1 1 179,-1-1 1,-6 2-180,-4-7-180,-11 2-2608,-4-7 2698,-2-2 0,9-6 0,6-3 0</inkml:trace>
  <inkml:trace contextRef="#ctx0" brushRef="#br0" timeOffset="9983">1607 158 7533,'3'-14'7465,"-1"4"-7195,-3 2 90,-3 21-270,0-1-90,3 17 90,16-15 180,4-6 449,18-11 91,-7-7-450,0-1-270,-11 7-450,-9 12-1169,-9 11-2159,-4 12 3688,1 1 0,0-11 0,3-7 0</inkml:trace>
  <inkml:trace contextRef="#ctx0" brushRef="#br0" timeOffset="10666">1859 281 7623,'15'-28'6476,"-4"8"-6116,-3 4 179,0 8-269,10 8-180,7 12-90,7 13 0,-6 8 0,-11-4 0,-13-3-180,-13-13-359,-10-8 179,-1-13 0,1-11-629,10-8-91,14-5 451,18-2 359,14 5 180,7 5 90,1 8 629,-6 6 1,-5 5 539,-7 7-269,-12 12-270,-14 12-361,-9 13-179,-2 3 0,9-1 0,12-9 90,14-14 810,10-17 89,5-19-270,-8-11-449,-19-4-450,-25 7-2068,-17 13-2250,-6 16 4408,11 8 0,11-1 0,12-4 0</inkml:trace>
  <inkml:trace contextRef="#ctx0" brushRef="#br0" timeOffset="11433">2554 210 8792,'-5'-5'6027,"3"-1"-4858,8 0-809,13 0 359,12 3 1,5 7-270,-3 7-181,-9 8-179,-9 8-1169,-8 6-1979,-6 5-4228,-1 3 7286,-1-14 0,1-8 0,0-15 0</inkml:trace>
  <inkml:trace contextRef="#ctx0" brushRef="#br0" timeOffset="12283">3223 280 9781,'-5'-5'4768,"-6"11"-4678,-3 8 179,-2 11-179,6 0 0,7 2-90,11-9 90,12-6 270,4-14 180,-4-17 359,-17-18-449,-14-13 90,-7-4-91,3 5 91,8 12-360,6 15-90,4 14 90,6 23-180,3 13-900,5 17-2068,-3 1-2339,-3 0 5307,-7-18 0,-3-9 0,-2-15 0</inkml:trace>
</inkml:ink>
</file>

<file path=xl/ink/ink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1-29T16:35:32.565"/>
    </inkml:context>
    <inkml:brush xml:id="br0">
      <inkml:brushProperty name="width" value="0.04286" units="cm"/>
      <inkml:brushProperty name="height" value="0.04286" units="cm"/>
      <inkml:brushProperty name="color" value="#E71224"/>
    </inkml:brush>
  </inkml:definitions>
  <inkml:trace contextRef="#ctx0" brushRef="#br0">10 1 9691,'-8'1'7556,"7"3"-7376,2-2-90,7 2 0,1-3 0,10 1 0,3-2 629,4 0-89,-7-2-540,-11 0 0,-10 1-90,-5 1 0,-9 1 0,0 2 0,-1 1 630,0 1-271,9-2-269,4 1 0,6-1-90,13-2 90,5-2-539,4-1-9086,2-2 9535,-10 2 0,-6 1 0,-6 1 0</inkml:trace>
</inkml:ink>
</file>

<file path=xl/ink/ink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1-29T16:35:02.173"/>
    </inkml:context>
    <inkml:brush xml:id="br0">
      <inkml:brushProperty name="width" value="0.04286" units="cm"/>
      <inkml:brushProperty name="height" value="0.04286" units="cm"/>
      <inkml:brushProperty name="color" value="#E71224"/>
    </inkml:brush>
  </inkml:definitions>
  <inkml:trace contextRef="#ctx0" brushRef="#br0">13 109 13110,'0'-13'4767,"-3"5"-4677,-5 21-540,6 10-1799,9 17-2788,15 5 5037,1-8 0,-5-13 0,-10-15 0</inkml:trace>
  <inkml:trace contextRef="#ctx0" brushRef="#br0" timeOffset="200">173 192 7083,'-5'-12'6116,"1"5"-4946,-3-4-1260,2 14-1169,5 10 1259,10 16 0,-5-11 0,7 2 0</inkml:trace>
  <inkml:trace contextRef="#ctx0" brushRef="#br0" timeOffset="733">428 374 7713,'2'-10'9830,"-3"9"-9136,-2 11-155,-2 26-359,9 27-270,10-3 90,20 3 0,19-39 180,2-26 360,8-45 449,-28-30-629,-15-1-450,-23-3-1799,-10 39-3688,-3 14 5577,10 31 0,1 0 0,7 10 0</inkml:trace>
  <inkml:trace contextRef="#ctx0" brushRef="#br0" timeOffset="1150">862 384 9781,'-6'-12'8006,"2"2"-7017,11-6-1259,14 6-1798,18 0-811,8 8-89,-4 6 2158,-15 1 1350,-15 3 1889,-18-3-720,-4-2 989,-10-1-1259,4 4-179,-3 11-631,6 14-988,4 16-2610,6 14-3417,7 6 6386,2-13 0,1-19 0,-3-22 0</inkml:trace>
  <inkml:trace contextRef="#ctx0" brushRef="#br0" timeOffset="1566">1266 423 9961,'18'-24'6657,"4"9"-5938,3 16-449,-6 20-180,-14 16 0,-18 7 0,-16-5 0,-6-12 270,2-14 269,11-10 541,7-5-181,10-2-809,4 2-270,18 12-1529,15 9-1529,15 12-2879,3 1 6027,-14-9 0,-15-9 0,-14-8 0</inkml:trace>
  <inkml:trace contextRef="#ctx0" brushRef="#br0" timeOffset="2016">1243 429 11041,'-2'-23'8815,"-2"16"-7826,0 21-539,-3 30-810,2 19-2428,3 10-2339,10-2 5127,6-15 0,-3-23 0,-1-17 0</inkml:trace>
  <inkml:trace contextRef="#ctx0" brushRef="#br0" timeOffset="2683">1658 650 10771,'-3'-33'5667,"-10"3"-5308,-8-1 271,-20 13-450,8 17-90,-7 16 0,24 12-180,12-1 0,21-2 360,16-22 449,-3-6 811,2-11-811,-15 2-629,-6 7 0,-4 14-989,-4 13-2250,1 12-2877,4 4 6026,0-9 0,-1-10 0,-4-11 0</inkml:trace>
  <inkml:trace contextRef="#ctx0" brushRef="#br0" timeOffset="3566">1300 281 8792,'1'-33'9830,"-1"5"-8776,-2 22-515,-1 24-269,-3 34-360,-5 20-1799,-4 4-1978,-1-5-3599,5-20 7466,5-17 0,5-20 0,1-8 0</inkml:trace>
  <inkml:trace contextRef="#ctx0" brushRef="#br0" timeOffset="3899">1559 383 8072,'-12'-19'8186,"6"5"-6477,-40 24-1529,5 12 89,-12 11-179,7 6-90,16-4 0,12-5-539,6-7-1890,6-7 540,4-4 1889,12-2 0,-6-5 0,6 0 0</inkml:trace>
  <inkml:trace contextRef="#ctx0" brushRef="#br0" timeOffset="5333">1797 546 9152,'-1'-8'9624,"3"5"-9264,19 16 90,4 11-360,8 14 0,-8 10 0,-17-15 0,-12-1 90,-16-29-91,2-12-89,5-26-1709,29-17 90,9 7-449,25 0 538,2 30 1620,-8 9 1709,-6 10 0,-25 4-539,-16 3-181,-13 4-539,-4 1-450,13 11-180,21 3-360,17 15 360,0-9 90,-2-2 180,-19-13-180,-14-9 90,-16-8-270,-12-14-810,0-15 91,18-16 449,29-17 360,25-4 630,13 3 180,-5 16 449,-14 19-360,-10 27-269,-11 20-360,-5 23-90,-8 13-90,-6-1 90,-1-11-180,1-12 90,6-28 0,10-20 270,11-20 719,8-6-89,-3 8-450,2 19-900,-11 20-2788,-1 16-1889,-9 13 5127,-4-1 0,-3-13 0,0-10 0</inkml:trace>
  <inkml:trace contextRef="#ctx0" brushRef="#br0" timeOffset="5932">2590 728 10861,'-21'2'9354,"6"2"-8364,13 3 719,24 5-810,33 3-449,21-2-630,7-4-1529,-13-5-1889,-24-4-1169,-13-3 4767,-13-2 0,-8 1 0,-6 2 0</inkml:trace>
  <inkml:trace contextRef="#ctx0" brushRef="#br0" timeOffset="6382">3351 555 8702,'-7'-27'7466,"-13"0"-5487,-13-2-1530,-12 15 91,3 25-360,16 14 0,31 29-180,17-8 0,30 21 0,-12-26 90,0-2 0,-20-11 0,-21-10-90,-11-2-630,-31-8-2608,-1-6 3238,-1-2 0,21 0 0,15-1 0</inkml:trace>
  <inkml:trace contextRef="#ctx0" brushRef="#br0" timeOffset="7599">3472 752 8882,'6'-24'9265,"-6"2"-8816,-11 10-359,-5 8 0,-1 9-90,3 8-90,7 8-180,9 3 1,9-1 179,8-8 270,8-15 89,5-19 1,-4-3-90,-3-7-90,-9 10-1079,-6 7-91,-3 9-629,-3 11 720,2 6 1259,7-1 359,1-10 721,6-17-1,-7-15-180,-2-8-359,-5 4 719,-2 3-1259,-2 21 179,2 20-269,0 18 0,1 13-180,0-6 0,-1-12 0,0-8-90,7-20 0,4-6 90,11-10 0,3 3 0,1 8 0,-4 9 0,-6 11 0,-6 5 0,-3 3-180,-1-2 180,-2-4 0,5-9 90,0-13 90,5-11 180,-2-5-270,-5 5 0,-3 4-90,-6 16-90,0 6 0,1 8-90,2 2 90,6-7 90,6-8 90,4-9 270,0-5 0,-2-2-180,-8 6-270,-1 7-1619,-4 8-2249,6 11-1079,5 2 5037,8 1 0,-9-10 0,-3-5 0</inkml:trace>
  <inkml:trace contextRef="#ctx0" brushRef="#br0" timeOffset="8166">4381 328 11760,'-6'-9'4858,"1"6"-5038,0 19-1619,7 8-360,7 7 1259,7-8 1710,12-15 809,-4-18-90,0-9-449,-9-5-1710,-6 17-2159,-4 18-3237,-5 17 6026,-2-1 0,-2-7 0,2-15 0</inkml:trace>
  <inkml:trace contextRef="#ctx0" brushRef="#br0" timeOffset="36232">455 1 8702,'5'4'2249,"1"7"-2429,-1 6-2249,2 8 2429,-1-3 0,-2-6 0,-1-9 0</inkml:trace>
  <inkml:trace contextRef="#ctx0" brushRef="#br0" timeOffset="36633">764 55 9512,'10'-14'2158,"1"2"-1708,-1 12 360,-4 7-451,-1 11-179,-7 4-90,-2 5-90,0-6 0,5 0-629,7-5-1170,14-6-2159,16-9 3958,-4-3 0,6-5 0,-15 4 0</inkml:trace>
  <inkml:trace contextRef="#ctx0" brushRef="#br0" timeOffset="37050">1272 82 8702,'-10'-17'5127,"5"3"-4677,8 2-360,9 6 0,6 3 0,0 10-90,-5 6 0,-5 6 0,-4-1 0,3 10 90,3-7 179,4 5 91,1-5-270,-6-4-899,-10 0-1530,-11-2 2339,-8-4 0,6-5 0,4-3 0</inkml:trace>
  <inkml:trace contextRef="#ctx0" brushRef="#br0" timeOffset="37717">1732 72 7892,'-3'-7'5038,"0"-1"-3779,-1 2-270,-2 1-359,1 0-180,-1 4-270,-5 5 89,-1 6-179,-3 6 180,2 5-180,4 3 90,5 2 90,4-2-180,4-3 0,4-3-90,7-6 90,3-5-90,4-8 90,-3-4 539,0-6-179,-9 4-540,-2 10-809,-5 12-2070,-1 14-2607,1 3 5576,1-8 0,-1-9 0,0-10 0</inkml:trace>
  <inkml:trace contextRef="#ctx0" brushRef="#br0" timeOffset="38368">1886 207 7353,'4'-14'6206,"-2"4"-4677,2-4-1169,3 10-90,3 9 0,7 11-180,2 9 0,-3 2-90,-5-6 0,-12-7-90,-9-17-90,-4-12-180,3-15 0,12-9 180,13 0 90,12 4 90,7 9 270,5 13 180,-2 15-180,-6 15-180,-7 13 0,-6 7-90,-3 1 0,-2-6 90,-2-12 360,2-13-1,-5-14-179,0-8-90,-7-2-450,-6 3-1259,-7 7-1439,-3 9 2968,4 3 0,3 1 0,7-4 0</inkml:trace>
  <inkml:trace contextRef="#ctx0" brushRef="#br0" timeOffset="38652">2290 184 8612,'21'-16'5667,"-4"2"-4678,-2-3-629,-3 4-180,4 1-90,2 6 90,5 11 90,-4 10-180,-5 14-90,-9 9-1530,-7 6-1888,-4 4 3418,2-8 0,1-16 0,2-11 0</inkml:trace>
  <inkml:trace contextRef="#ctx0" brushRef="#br0" timeOffset="41204">2669 134 10141,'3'0'3958,"-1"8"-3778,1 11-810,1 19-1798,1-1-1620,1 5 3200,-2-15 0,-1-13 0,-2-10 0</inkml:trace>
  <inkml:trace contextRef="#ctx0" brushRef="#br0" timeOffset="41437">2845 159 10861,'-1'-8'2608,"1"9"-2608,0 14-1439,3 20-360,0-5 1799,1 11 0,-1-22 0,-2-5 0</inkml:trace>
  <inkml:trace contextRef="#ctx0" brushRef="#br0" timeOffset="41737">2962 163 7803,'2'-8'4767,"2"14"-4587,-3 15-810,2 16-1349,-2 10 1979,1-5 0,-2-17 0,1-8 0</inkml:trace>
  <inkml:trace contextRef="#ctx0" brushRef="#br0" timeOffset="42054">3049 240 9691,'10'-25'3958,"1"6"-3598,8 5 90,-2 13-1,-5 13-89,-9 13-90,-8 4-180,-3 1-270,1-7-1349,7-5-1349,9-5 2878,10-7 0,-6-3 0,1-5 0</inkml:trace>
  <inkml:trace contextRef="#ctx0" brushRef="#br0" timeOffset="42905">2811 182 10681,'-9'-1'3688,"-7"4"-2879,-4 10-269,-2 10-360,9 10-90,14 5-90,15-4 90,7-11-90,6-11 90,-11-24-90,-10-14 0,-15-18 0,-6-3 0,5 3 270,13 11 179,15 13-89,8 16-180,2 17-450,-7 16-1799,-12 13-1798,-8 7 3867,-4-5 0,0-16 0,1-14 0</inkml:trace>
  <inkml:trace contextRef="#ctx0" brushRef="#br0" timeOffset="43355">3113 289 7443,'9'-18'6026,"-5"0"-4407,-6-14-1439,-12 11 0,-10 3-90,-9 15-90,9 7-90,3 3 90,13 5 0,13-2 0,9 4 90,14 3 270,-3-1-90,5 8 359,-16 2-359,-13 2-180,-12 0-629,-29-9-2160,-3-11-1349,-6-6 4048,14-7 0,18 2 0,10 0 0</inkml:trace>
  <inkml:trace contextRef="#ctx0" brushRef="#br0" timeOffset="43839">3294 188 10051,'-3'4'5667,"2"1"-5667,-4 23-1979,2 2-4587,3 8 6566,1-11 0,1-9 0,0-12 0</inkml:trace>
  <inkml:trace contextRef="#ctx0" brushRef="#br0" timeOffset="44156">3344 283 8522,'-2'-15'5757,"1"4"-5397,-3 5-180,2 8-91,0 12 1,5 4 0,6 1 180,6-6 270,3-12-180,-3-11-270,-12-14-810,-12-1-2338,-8 2 3058,-6 9 0,12 9 0,1 3 0</inkml:trace>
  <inkml:trace contextRef="#ctx0" brushRef="#br0" timeOffset="44372">3468 208 8432,'6'-3'5847,"1"3"-5397,-3 3-720,1 12-1799,-3 5-3148,0 9 4369,-2-6 0,0-8 0,0-9 0</inkml:trace>
  <inkml:trace contextRef="#ctx0" brushRef="#br0" timeOffset="44556">3532 283 10321,'3'-13'3778,"1"7"-5577,0 18-3328,4 8 4064,-3 1 0,0-7 0,-3-11 0</inkml:trace>
  <inkml:trace contextRef="#ctx0" brushRef="#br0" timeOffset="44889">3670 203 9512,'-3'-8'5756,"4"6"-5666,3 13-989,4 14-1980,-1 13 2879,-3-1 0,-2-13 0,-2-11 0</inkml:trace>
  <inkml:trace contextRef="#ctx0" brushRef="#br0" timeOffset="45273">3753 234 9152,'3'-6'4677,"5"2"-4227,-1 4 359,3 7-449,-6 7-270,-5 7 0,-7 6-899,-1-4-811,2-3-1888,8-10 3508,5-6 0,-2-2 0,2-3 0</inkml:trace>
  <inkml:trace contextRef="#ctx0" brushRef="#br0" timeOffset="45539">3998 227 9691,'-8'0'5397,"3"2"-5577,-1 11-2068,5 16-1170,2 0 3418,3 3 0,-1-18 0,-1-7 0</inkml:trace>
  <inkml:trace contextRef="#ctx0" brushRef="#br0" timeOffset="45890">4083 317 11670,'2'-22'5397,"2"0"-5217,5 5 180,5 5-270,4 7 0,-3 6-90,-2 6 0,-6 1 90,-1 2-90,-5 7 0,-8 2-180,-5 4-1709,-6 2-1799,3-6 3688,1-1 0,8-10 0,2-2 0</inkml:trace>
</inkml:ink>
</file>

<file path=xl/ink/ink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1-29T17:14:14.531"/>
    </inkml:context>
    <inkml:brush xml:id="br0">
      <inkml:brushProperty name="width" value="0.025" units="cm"/>
      <inkml:brushProperty name="height" value="0.025" units="cm"/>
      <inkml:brushProperty name="color" value="#E71224"/>
    </inkml:brush>
  </inkml:definitions>
  <inkml:trace contextRef="#ctx0" brushRef="#br0">0 10 24575,'0'9'0,"0"3"0,0 3 0,0 1 0,0-4 0,0-3 0,0-1 0,0 1 0,0 2 0,0-1 0,0-1 0,0-1 0,0-4 0,0-2 0</inkml:trace>
  <inkml:trace contextRef="#ctx0" brushRef="#br0" timeOffset="2050">92 63 24575,'5'0'0,"0"1"0,-1 1 0,0 1 0,0 1 0,-2 1 0,1 1 0,-2 0 0,0 1 0,0 0 0,-1 1 0,0 1 0,0-1 0,0-1 0,-1 0 0,0-1 0,-2 0 0,-1-2 0,0 0 0,-1 0 0,-1 0 0,0 0 0,-1 0 0,3-2 0,4-3 0,3-2 0,3-3 0,2 1 0,1 1 0,-1 1 0,-2 1 0,-1 1 0,-1 1 0,-1 0 0,1 0 0,0 0 0,0 0 0,0 0 0,1 0 0,0 0 0,-1 0 0,0 0 0,0 0 0,-2 0 0,0 1 0,-1 1 0,-1-1 0,0 0 0</inkml:trace>
  <inkml:trace contextRef="#ctx0" brushRef="#br0" timeOffset="4166">229 56 24575,'7'0'0,"0"0"0,-1 0 0,1 0 0,-2 0 0,-1 0 0,-1 1 0,-1 1 0,-1 1 0,0 1 0,-2 0 0,-1 0 0,-1 1 0,-3 1 0,1 0 0,0 0 0,1-1 0,0 0 0,1 0 0,0-1 0,0-2 0,0 1 0,1-2 0,0-1 0,3-2 0,4-3 0,2-2 0,1 0 0,-1 3 0,-1 1 0,1 2 0,-1 1 0,1 0 0,-1 0 0,0 1 0,-2 0 0,-1 1 0,-2 2 0,0 1 0,-1 0 0,0-1 0,0 0 0,0 1 0,0 0 0,0 1 0,-2 1 0,-1-1 0,-2 0 0,0-1 0,-1-2 0,1 0 0,1 0 0,-2-1 0,1-1 0,0 0 0,0 0 0,0 0 0,1-1 0,1 0 0,1 0 0</inkml:trace>
  <inkml:trace contextRef="#ctx0" brushRef="#br0" timeOffset="6217">407 1 24575,'0'7'0,"0"1"0,0 2 0,0 2 0,0-2 0,0 0 0,0-2 0,0-1 0,0-2 0,0-1 0,1-1 0,1-1 0,1-2 0,2 0 0,1-2 0,1-1 0,1-1 0,-1 1 0,0 0 0,0 1 0,-2 1 0,0 1 0,-2 0 0,-1 2 0,-2 3 0,0 2 0,0 2 0,0 1 0,0 1 0,0-1 0,0 1 0,0 1 0,0 0 0,0-1 0,0-2 0,0-1 0,0-2 0,0-2 0,0-10 0,0 5 0,0-8 0</inkml:trace>
</inkml:ink>
</file>

<file path=xl/ink/ink1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1-29T17:18:06.441"/>
    </inkml:context>
    <inkml:brush xml:id="br0">
      <inkml:brushProperty name="width" value="0.025" units="cm"/>
      <inkml:brushProperty name="height" value="0.025" units="cm"/>
      <inkml:brushProperty name="color" value="#E71224"/>
    </inkml:brush>
  </inkml:definitions>
  <inkml:trace contextRef="#ctx0" brushRef="#br0">1 822 24575,'5'0'0,"3"0"0,2 0 0,3 0 0,1 0 0,-1 0 0,-2 0 0,-2 0 0,-3 1 0,-3 1 0,-2 1 0,-1 2 0,0 2 0,0-1 0,-1 1 0,-1 1 0,0 2 0,-2 0 0,1 1 0,0 1 0,-1-1 0,1 0 0,0 0 0,2 0 0,0-1 0,1-1 0,0-3 0,0-2 0,0-2 0</inkml:trace>
  <inkml:trace contextRef="#ctx0" brushRef="#br0" timeOffset="3016">551 940 24575,'0'5'0,"0"1"0,0 1 0,0 0 0,0-1 0,0 1 0,0-2 0,0-1 0,0-2 0,0-1 0</inkml:trace>
  <inkml:trace contextRef="#ctx0" brushRef="#br0" timeOffset="4216">594 934 24575,'0'6'0,"0"0"0,0 3 0,0 1 0,0-1 0,0 1 0,0-2 0,0-1 0,0 0 0,0 0 0,0-1 0,0 1 0,0-1 0,0 0 0,0-3 0,0 0 0</inkml:trace>
  <inkml:trace contextRef="#ctx0" brushRef="#br0" timeOffset="6100">753 1041 24575,'-2'-9'0,"1"-5"0,1-11 0,0-9 0,0-7 0,-1 0 0,-1 5 0,-1 9 0,1 9 0,0 6 0,1 2 0,-1 3 0,1-1 0,-2 3 0,1 2 0,-2 4 0,-2 5 0,-3 3 0,-4 3 0,0 0 0,-1-1 0,0-1 0,3-2 0,0 0 0,4-3 0,4-3 0,5-5 0,5-5 0,5-5 0,6-2 0,3-1 0,1 2 0,-3 4 0,-4 4 0,-4 3 0,-5 3 0,0 0 0,0 4 0,1 3 0,2 2 0,1 2 0,-1-1 0,-2-2 0,0-1 0,-2 0 0,0-1 0,-1-1 0,-2-2 0,0-1 0</inkml:trace>
  <inkml:trace contextRef="#ctx0" brushRef="#br0" timeOffset="7049">457 462 24575,'0'6'0,"0"4"0,0 5 0,0 4 0,0 2 0,1 5 0,1-9 0,-1 1 0,1-9 0,-1-2 0,-1-2 0,0-1 0,0-2 0,0 0 0</inkml:trace>
  <inkml:trace contextRef="#ctx0" brushRef="#br0" timeOffset="8566">542 509 24575,'-1'-4'0,"4"3"0,4-1 0,6 2 0,6 1 0,2 2 0,1 1 0,-2 3 0,-5 1 0,-5 0 0,-4-1 0,-4 1 0,-2 1 0,-2 0 0,-4 2 0,-2 0 0,-4-1 0,1 0 0,0-2 0,3-3 0,1-1 0,2-3 0,2-1 0,6-3 0,7-2 0,6-1 0,7 0 0,5 1 0,4 1 0,1 0 0,-3 2 0,-8 0 0,-8 1 0,-6 0 0,-6 1 0,-1-1 0,-2 1 0</inkml:trace>
  <inkml:trace contextRef="#ctx0" brushRef="#br0" timeOffset="11949">897 497 24575,'-2'-1'0,"3"0"0,20-4 0,45-13 0,-4-2 0,11-3 0,-5 0 0,5-1 0,4-2-603,12-4 0,3-2 0,1 1 603,-21 8 0,1 0 0,-1 0 0,1 2 0,20-6 0,-1 1 0,-1 3-15,-9 4 1,-2 2 0,-1 2 14,-8 4 0,0 2 0,-2 1 0,29 0 0,-3 2 0,-8 3 0,-2 2 0,-3 2 0,-2 1 0,1 1 0,1 3 0,0 2 0,2 2 0,5 3 0,1 2 0,4 2 0,0 1 0,-1 0 0,0 1 0,-4 0 0,-3-1 0,-10 0 0,-2 0 0,-8-1 0,-3 1 668,-6-1 1,-1 1-669,-2 1 0,0 1 257,0 2 1,0 0-258,1 1 0,1 0 0,0 0 0,0 1 0,-1-1 0,0 0 0,0 1 0,-1-1 0,-5-1 0,-2-1 0,38 16 0,-16-7 0,-20-9 0,-17-5 0,-15-7 0,-9-2 0,-5-4 0,-14-14 0,-1-2 0,-10-12 0,5 6 0,2 1 0,3 2 0,0 1 0,1 1 0,2 2 0,1 2 0,3 1 0,0 1 0,2 0 0,1 1 0,1 2 0,1 0 0,2 3 0,0 0 0,2 4 0,2 2 0,2 5 0,2 4 0,2 3 0,0 2 0,-1 0 0,-1 0 0,-1-4 0,-2-3 0,-3-3 0,-1-1 0,-2-1 0,-1 0 0,1 1 0,-1-1 0,2 1 0,0-2 0,1 1 0,1-2 0,-2-1 0,-1 0 0,-1 0 0,0 1 0,-2 1 0,-3 0 0,-4 2 0,-6 2 0,-4 2 0,-5 1 0,-4 3 0,0-1 0,0-1 0,5 0 0,4-3 0,4-1 0,5-3 0,2-2 0,3-3 0,2-6 0,1-11 0,1 7 0,1-4 0</inkml:trace>
</inkml:ink>
</file>

<file path=xl/ink/ink1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1-29T17:18:01.358"/>
    </inkml:context>
    <inkml:brush xml:id="br0">
      <inkml:brushProperty name="width" value="0.025" units="cm"/>
      <inkml:brushProperty name="height" value="0.025" units="cm"/>
      <inkml:brushProperty name="color" value="#E71224"/>
    </inkml:brush>
  </inkml:definitions>
  <inkml:trace contextRef="#ctx0" brushRef="#br0">0 1 24575,'0'8'0,"0"2"0,0 2 0,0 5 0,0 4 0,0 4 0,0 1 0,0-2 0,0 1 0,0-3 0,0 1 0,0-10 0,0-3 0,0-9 0</inkml:trace>
  <inkml:trace contextRef="#ctx0" brushRef="#br0" timeOffset="1466">213 91 24575,'6'0'0,"5"0"0,7 0 0,4 0 0,0 0 0,-4 1 0,-6 2 0,-4 4 0,-6 5 0,-1 3 0,-2 2 0,-3 2 0,-3-2 0,-2-1 0,-1-3 0,3-4 0,1-2 0,2-2 0,2-2 0,3 0 0,5-3 0,5-1 0,4-3 0,4 0 0,1 1 0,0 2 0,-2 1 0,-3 0 0,-3 0 0,-2 0 0,-5 0 0,-1 0 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03533-A78B-9C44-B257-1536165C0062}">
  <dimension ref="B3:F20"/>
  <sheetViews>
    <sheetView topLeftCell="A4" zoomScale="169" workbookViewId="0">
      <selection activeCell="D21" sqref="D21"/>
    </sheetView>
  </sheetViews>
  <sheetFormatPr baseColWidth="10" defaultRowHeight="16" x14ac:dyDescent="0.2"/>
  <sheetData>
    <row r="3" spans="2:6" x14ac:dyDescent="0.2">
      <c r="B3" t="s">
        <v>0</v>
      </c>
    </row>
    <row r="5" spans="2:6" x14ac:dyDescent="0.2">
      <c r="B5" s="1"/>
      <c r="C5" s="1"/>
      <c r="D5" s="1"/>
      <c r="E5" s="1"/>
      <c r="F5" s="1"/>
    </row>
    <row r="7" spans="2:6" x14ac:dyDescent="0.2">
      <c r="B7" t="s">
        <v>1</v>
      </c>
      <c r="D7" t="s">
        <v>24</v>
      </c>
    </row>
    <row r="10" spans="2:6" x14ac:dyDescent="0.2">
      <c r="B10" s="1"/>
      <c r="C10" s="1"/>
      <c r="D10" s="1"/>
      <c r="E10" s="1"/>
      <c r="F10" s="1"/>
    </row>
    <row r="12" spans="2:6" x14ac:dyDescent="0.2">
      <c r="B12" t="s">
        <v>32</v>
      </c>
      <c r="D12" t="s">
        <v>33</v>
      </c>
    </row>
    <row r="14" spans="2:6" x14ac:dyDescent="0.2">
      <c r="B14" t="s">
        <v>34</v>
      </c>
      <c r="D14" t="s">
        <v>35</v>
      </c>
    </row>
    <row r="16" spans="2:6" x14ac:dyDescent="0.2">
      <c r="B16" t="s">
        <v>46</v>
      </c>
      <c r="D16" t="s">
        <v>47</v>
      </c>
    </row>
    <row r="18" spans="2:4" x14ac:dyDescent="0.2">
      <c r="B18" t="s">
        <v>48</v>
      </c>
      <c r="D18" t="s">
        <v>49</v>
      </c>
    </row>
    <row r="20" spans="2:4" x14ac:dyDescent="0.2">
      <c r="B20" t="s">
        <v>54</v>
      </c>
      <c r="D20" t="s">
        <v>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BB77C-8B95-FD4E-BE7F-D4AB8DD0801E}">
  <dimension ref="A2:AF197"/>
  <sheetViews>
    <sheetView tabSelected="1" topLeftCell="B147" zoomScale="293" workbookViewId="0">
      <selection activeCell="C152" sqref="C152"/>
    </sheetView>
  </sheetViews>
  <sheetFormatPr baseColWidth="10" defaultRowHeight="16" x14ac:dyDescent="0.2"/>
  <cols>
    <col min="2" max="2" width="16.83203125" customWidth="1"/>
    <col min="3" max="3" width="18.1640625" customWidth="1"/>
  </cols>
  <sheetData>
    <row r="2" spans="2:9" x14ac:dyDescent="0.2">
      <c r="B2" s="1" t="s">
        <v>4</v>
      </c>
    </row>
    <row r="4" spans="2:9" x14ac:dyDescent="0.2">
      <c r="D4" t="s">
        <v>2</v>
      </c>
      <c r="F4" t="s">
        <v>3</v>
      </c>
    </row>
    <row r="5" spans="2:9" x14ac:dyDescent="0.2">
      <c r="B5">
        <v>1</v>
      </c>
      <c r="D5">
        <v>1</v>
      </c>
      <c r="F5" t="str">
        <f>TEXT(B5,"00000")</f>
        <v>00001</v>
      </c>
    </row>
    <row r="6" spans="2:9" x14ac:dyDescent="0.2">
      <c r="B6">
        <v>12</v>
      </c>
      <c r="D6">
        <v>12</v>
      </c>
      <c r="F6" t="str">
        <f t="shared" ref="F6:F7" si="0">TEXT(B6,"00000")</f>
        <v>00012</v>
      </c>
    </row>
    <row r="7" spans="2:9" x14ac:dyDescent="0.2">
      <c r="B7">
        <v>4325</v>
      </c>
      <c r="D7">
        <v>4325</v>
      </c>
      <c r="F7" t="str">
        <f t="shared" si="0"/>
        <v>04325</v>
      </c>
    </row>
    <row r="9" spans="2:9" x14ac:dyDescent="0.2">
      <c r="D9" t="b">
        <f>ISTEXT(D5)</f>
        <v>0</v>
      </c>
      <c r="F9" t="b">
        <f>ISTEXT(F5)</f>
        <v>1</v>
      </c>
    </row>
    <row r="12" spans="2:9" x14ac:dyDescent="0.2">
      <c r="B12" s="1" t="s">
        <v>5</v>
      </c>
      <c r="D12" t="s">
        <v>7</v>
      </c>
      <c r="E12" t="s">
        <v>6</v>
      </c>
      <c r="H12" t="str">
        <f>"#,##0.00,, \M"</f>
        <v>#,##0.00,, \M</v>
      </c>
      <c r="I12" t="s">
        <v>8</v>
      </c>
    </row>
    <row r="15" spans="2:9" x14ac:dyDescent="0.2">
      <c r="B15">
        <v>3893430.4959999998</v>
      </c>
      <c r="D15" t="str">
        <f>TEXT(B15,$D$12)</f>
        <v>3,893.4 k</v>
      </c>
      <c r="H15" t="str">
        <f>TEXT(B15,$H$12)</f>
        <v>3.89 M</v>
      </c>
    </row>
    <row r="16" spans="2:9" x14ac:dyDescent="0.2">
      <c r="B16">
        <v>4677756914</v>
      </c>
      <c r="D16" t="str">
        <f t="shared" ref="D16:D19" si="1">TEXT(B16,$D$12)</f>
        <v>46,77,756.9 k</v>
      </c>
      <c r="H16" t="str">
        <f t="shared" ref="H16:H19" si="2">TEXT(B16,$H$12)</f>
        <v>4,677.76 M</v>
      </c>
    </row>
    <row r="17" spans="2:8" x14ac:dyDescent="0.2">
      <c r="B17">
        <v>405807.68770000001</v>
      </c>
      <c r="D17" t="str">
        <f t="shared" si="1"/>
        <v>405.8 k</v>
      </c>
      <c r="H17" t="str">
        <f t="shared" si="2"/>
        <v>0.41 M</v>
      </c>
    </row>
    <row r="18" spans="2:8" x14ac:dyDescent="0.2">
      <c r="B18">
        <v>18990188.859999999</v>
      </c>
      <c r="D18" t="str">
        <f t="shared" si="1"/>
        <v>18,990.2 k</v>
      </c>
      <c r="H18" t="str">
        <f t="shared" si="2"/>
        <v>18.99 M</v>
      </c>
    </row>
    <row r="19" spans="2:8" x14ac:dyDescent="0.2">
      <c r="B19">
        <v>1718857.817</v>
      </c>
      <c r="D19" t="str">
        <f t="shared" si="1"/>
        <v>1,718.9 k</v>
      </c>
      <c r="H19" t="str">
        <f t="shared" si="2"/>
        <v>1.72 M</v>
      </c>
    </row>
    <row r="23" spans="2:8" x14ac:dyDescent="0.2">
      <c r="B23" s="1" t="s">
        <v>9</v>
      </c>
    </row>
    <row r="25" spans="2:8" x14ac:dyDescent="0.2">
      <c r="B25">
        <v>9278342533</v>
      </c>
      <c r="D25" t="str">
        <f>TEXT(B25,"(+91) ##### - #####")</f>
        <v>(+91) 92783 - 42533</v>
      </c>
      <c r="F25" t="str">
        <f>TEXT(B25,"(+1) ### - ### - ####")</f>
        <v>(+1) 927 - 834 - 2533</v>
      </c>
    </row>
    <row r="28" spans="2:8" x14ac:dyDescent="0.2">
      <c r="B28" s="1" t="s">
        <v>10</v>
      </c>
    </row>
    <row r="30" spans="2:8" x14ac:dyDescent="0.2">
      <c r="B30">
        <v>5.0000000000000001E-3</v>
      </c>
      <c r="D30" t="str">
        <f>TEXT(B30,"0.000%")</f>
        <v>0.500%</v>
      </c>
    </row>
    <row r="31" spans="2:8" x14ac:dyDescent="0.2">
      <c r="B31">
        <v>0.296773383</v>
      </c>
      <c r="D31" t="str">
        <f>TEXT(B31,"0.000%")</f>
        <v>29.677%</v>
      </c>
    </row>
    <row r="34" spans="2:7" x14ac:dyDescent="0.2">
      <c r="B34" t="s">
        <v>11</v>
      </c>
      <c r="C34" t="str">
        <f>TEXT(B31,"0.000%")</f>
        <v>29.677%</v>
      </c>
      <c r="E34" t="s">
        <v>12</v>
      </c>
      <c r="G34" s="2">
        <v>46051</v>
      </c>
    </row>
    <row r="36" spans="2:7" x14ac:dyDescent="0.2">
      <c r="B36" t="str">
        <f>"My maths perct is "&amp;D31&amp;" I hope this result is ok"&amp;" Result announced on date : "&amp;TEXT(G34,"dd- mmmm - yyyy")</f>
        <v>My maths perct is 29.677% I hope this result is ok Result announced on date : 29- January - 2026</v>
      </c>
    </row>
    <row r="39" spans="2:7" x14ac:dyDescent="0.2">
      <c r="B39" s="1" t="s">
        <v>13</v>
      </c>
    </row>
    <row r="41" spans="2:7" x14ac:dyDescent="0.2">
      <c r="D41" t="s">
        <v>14</v>
      </c>
      <c r="E41" s="1" t="s">
        <v>15</v>
      </c>
      <c r="F41" s="1" t="s">
        <v>16</v>
      </c>
    </row>
    <row r="42" spans="2:7" x14ac:dyDescent="0.2">
      <c r="B42" s="2">
        <f ca="1">TODAY()</f>
        <v>46051</v>
      </c>
      <c r="D42" t="str">
        <f ca="1">TEXT(B42,"dd")</f>
        <v>29</v>
      </c>
      <c r="E42" s="1" t="str">
        <f ca="1">TEXT(B42,"ddd")</f>
        <v>Thu</v>
      </c>
      <c r="F42" s="1" t="str">
        <f ca="1">TEXT(B42,"dddd")</f>
        <v>Thursday</v>
      </c>
    </row>
    <row r="43" spans="2:7" x14ac:dyDescent="0.2">
      <c r="E43" s="1"/>
      <c r="F43" s="1"/>
    </row>
    <row r="44" spans="2:7" x14ac:dyDescent="0.2">
      <c r="D44" t="s">
        <v>17</v>
      </c>
      <c r="E44" s="1" t="s">
        <v>18</v>
      </c>
      <c r="F44" s="1" t="s">
        <v>19</v>
      </c>
      <c r="G44" t="s">
        <v>23</v>
      </c>
    </row>
    <row r="45" spans="2:7" x14ac:dyDescent="0.2">
      <c r="B45" s="2">
        <f ca="1">TODAY()</f>
        <v>46051</v>
      </c>
      <c r="D45" t="str">
        <f ca="1">TEXT(B45,"mm")</f>
        <v>01</v>
      </c>
      <c r="E45" s="1" t="str">
        <f ca="1">TEXT(B45,"mmm")</f>
        <v>Jan</v>
      </c>
      <c r="F45" s="1" t="str">
        <f ca="1">TEXT(B45,"mmmm")</f>
        <v>January</v>
      </c>
      <c r="G45" t="str">
        <f ca="1">TEXT(B45,G44)</f>
        <v>J</v>
      </c>
    </row>
    <row r="47" spans="2:7" x14ac:dyDescent="0.2">
      <c r="D47" t="s">
        <v>20</v>
      </c>
      <c r="E47" t="s">
        <v>21</v>
      </c>
      <c r="F47" t="s">
        <v>22</v>
      </c>
    </row>
    <row r="48" spans="2:7" x14ac:dyDescent="0.2">
      <c r="B48" s="2">
        <f ca="1">TODAY()+33</f>
        <v>46084</v>
      </c>
      <c r="D48" t="str">
        <f ca="1">TEXT(B48,"yy")</f>
        <v>26</v>
      </c>
      <c r="E48" t="str">
        <f ca="1">TEXT(B48,"yyy")</f>
        <v>2026</v>
      </c>
      <c r="F48" t="str">
        <f ca="1">TEXT(B48,"yyyy")</f>
        <v>2026</v>
      </c>
    </row>
    <row r="51" spans="2:8" x14ac:dyDescent="0.2">
      <c r="B51" s="3">
        <f ca="1">NOW()</f>
        <v>46051.956559722224</v>
      </c>
      <c r="D51" t="str">
        <f ca="1">TEXT(B51,"hh : mm : ss")</f>
        <v>22 : 57 : 27</v>
      </c>
    </row>
    <row r="54" spans="2:8" x14ac:dyDescent="0.2">
      <c r="B54" s="2">
        <f ca="1">TODAY()</f>
        <v>46051</v>
      </c>
      <c r="D54" t="str">
        <f ca="1">TEXT(B54," dddd (dd) - mmm - yyyy")</f>
        <v xml:space="preserve"> Thursday (29) - Jan - 2026</v>
      </c>
    </row>
    <row r="60" spans="2:8" x14ac:dyDescent="0.2">
      <c r="B60" s="1"/>
      <c r="C60" s="1"/>
      <c r="D60" s="1"/>
      <c r="E60" s="1"/>
      <c r="F60" s="1"/>
    </row>
    <row r="63" spans="2:8" x14ac:dyDescent="0.2">
      <c r="B63" t="s">
        <v>25</v>
      </c>
      <c r="D63" t="s">
        <v>28</v>
      </c>
      <c r="E63" t="s">
        <v>26</v>
      </c>
    </row>
    <row r="64" spans="2:8" x14ac:dyDescent="0.2">
      <c r="D64" t="s">
        <v>27</v>
      </c>
      <c r="E64" t="s">
        <v>29</v>
      </c>
      <c r="G64" t="s">
        <v>30</v>
      </c>
      <c r="H64" t="s">
        <v>31</v>
      </c>
    </row>
    <row r="65" spans="2:3" x14ac:dyDescent="0.2">
      <c r="B65">
        <v>62</v>
      </c>
      <c r="C65" t="str">
        <f>CHAR(B65)</f>
        <v>&gt;</v>
      </c>
    </row>
    <row r="66" spans="2:3" x14ac:dyDescent="0.2">
      <c r="B66">
        <v>63</v>
      </c>
      <c r="C66" t="str">
        <f t="shared" ref="C66:C81" si="3">CHAR(B66)</f>
        <v>?</v>
      </c>
    </row>
    <row r="67" spans="2:3" x14ac:dyDescent="0.2">
      <c r="B67">
        <v>64</v>
      </c>
      <c r="C67" t="str">
        <f t="shared" si="3"/>
        <v>@</v>
      </c>
    </row>
    <row r="68" spans="2:3" x14ac:dyDescent="0.2">
      <c r="B68">
        <v>65</v>
      </c>
      <c r="C68" t="str">
        <f t="shared" si="3"/>
        <v>A</v>
      </c>
    </row>
    <row r="69" spans="2:3" x14ac:dyDescent="0.2">
      <c r="B69">
        <v>66</v>
      </c>
      <c r="C69" t="str">
        <f t="shared" si="3"/>
        <v>B</v>
      </c>
    </row>
    <row r="70" spans="2:3" x14ac:dyDescent="0.2">
      <c r="B70">
        <v>67</v>
      </c>
      <c r="C70" t="str">
        <f t="shared" si="3"/>
        <v>C</v>
      </c>
    </row>
    <row r="71" spans="2:3" x14ac:dyDescent="0.2">
      <c r="B71">
        <v>87</v>
      </c>
      <c r="C71" t="str">
        <f t="shared" si="3"/>
        <v>W</v>
      </c>
    </row>
    <row r="72" spans="2:3" x14ac:dyDescent="0.2">
      <c r="B72">
        <v>88</v>
      </c>
      <c r="C72" t="str">
        <f t="shared" si="3"/>
        <v>X</v>
      </c>
    </row>
    <row r="73" spans="2:3" x14ac:dyDescent="0.2">
      <c r="B73">
        <v>90</v>
      </c>
      <c r="C73" t="str">
        <f t="shared" si="3"/>
        <v>Z</v>
      </c>
    </row>
    <row r="74" spans="2:3" x14ac:dyDescent="0.2">
      <c r="B74">
        <v>95</v>
      </c>
      <c r="C74" t="str">
        <f t="shared" si="3"/>
        <v>_</v>
      </c>
    </row>
    <row r="75" spans="2:3" x14ac:dyDescent="0.2">
      <c r="B75">
        <v>96</v>
      </c>
      <c r="C75" t="str">
        <f t="shared" si="3"/>
        <v>`</v>
      </c>
    </row>
    <row r="76" spans="2:3" x14ac:dyDescent="0.2">
      <c r="B76">
        <v>97</v>
      </c>
      <c r="C76" t="str">
        <f t="shared" si="3"/>
        <v>a</v>
      </c>
    </row>
    <row r="77" spans="2:3" x14ac:dyDescent="0.2">
      <c r="B77">
        <v>98</v>
      </c>
      <c r="C77" t="str">
        <f t="shared" si="3"/>
        <v>b</v>
      </c>
    </row>
    <row r="78" spans="2:3" x14ac:dyDescent="0.2">
      <c r="B78">
        <v>99</v>
      </c>
      <c r="C78" t="str">
        <f t="shared" si="3"/>
        <v>c</v>
      </c>
    </row>
    <row r="79" spans="2:3" x14ac:dyDescent="0.2">
      <c r="B79">
        <v>120</v>
      </c>
      <c r="C79" t="str">
        <f t="shared" si="3"/>
        <v>x</v>
      </c>
    </row>
    <row r="80" spans="2:3" x14ac:dyDescent="0.2">
      <c r="B80">
        <v>121</v>
      </c>
      <c r="C80" t="str">
        <f t="shared" si="3"/>
        <v>y</v>
      </c>
    </row>
    <row r="81" spans="2:6" x14ac:dyDescent="0.2">
      <c r="B81">
        <v>122</v>
      </c>
      <c r="C81" t="str">
        <f t="shared" si="3"/>
        <v>z</v>
      </c>
    </row>
    <row r="84" spans="2:6" x14ac:dyDescent="0.2">
      <c r="B84" s="1"/>
      <c r="C84" s="1"/>
      <c r="D84" s="1"/>
      <c r="E84" s="1"/>
      <c r="F84" s="1"/>
    </row>
    <row r="86" spans="2:6" x14ac:dyDescent="0.2">
      <c r="B86" t="s">
        <v>37</v>
      </c>
    </row>
    <row r="89" spans="2:6" x14ac:dyDescent="0.2">
      <c r="B89" s="4" t="s">
        <v>36</v>
      </c>
      <c r="D89" t="str">
        <f>IF(TRIM(B89)="Utkarsh","MATCH","NO MATCH")</f>
        <v>MATCH</v>
      </c>
    </row>
    <row r="91" spans="2:6" x14ac:dyDescent="0.2">
      <c r="B91" t="str">
        <f>"    72727    susuu   "</f>
        <v xml:space="preserve">    72727    susuu   </v>
      </c>
      <c r="C91" t="str">
        <f>TRIM(B91)</f>
        <v>72727 susuu</v>
      </c>
    </row>
    <row r="93" spans="2:6" x14ac:dyDescent="0.2">
      <c r="B93">
        <f>LEN(B91)</f>
        <v>21</v>
      </c>
      <c r="C93">
        <f>LEN(C91)</f>
        <v>11</v>
      </c>
    </row>
    <row r="95" spans="2:6" x14ac:dyDescent="0.2">
      <c r="B95" s="1"/>
      <c r="C95" s="1"/>
      <c r="D95" s="1"/>
    </row>
    <row r="97" spans="2:5" x14ac:dyDescent="0.2">
      <c r="B97" t="s">
        <v>38</v>
      </c>
    </row>
    <row r="99" spans="2:5" x14ac:dyDescent="0.2">
      <c r="B99" t="s">
        <v>39</v>
      </c>
    </row>
    <row r="102" spans="2:5" x14ac:dyDescent="0.2">
      <c r="B102" t="s">
        <v>40</v>
      </c>
    </row>
    <row r="106" spans="2:5" x14ac:dyDescent="0.2">
      <c r="B106">
        <f>LEN("UTKARSH")</f>
        <v>7</v>
      </c>
    </row>
    <row r="108" spans="2:5" x14ac:dyDescent="0.2">
      <c r="B108" s="1"/>
      <c r="C108" s="1"/>
      <c r="D108" s="1"/>
    </row>
    <row r="110" spans="2:5" x14ac:dyDescent="0.2">
      <c r="B110" t="s">
        <v>41</v>
      </c>
    </row>
    <row r="111" spans="2:5" x14ac:dyDescent="0.2">
      <c r="D111" t="s">
        <v>43</v>
      </c>
      <c r="E111" t="s">
        <v>44</v>
      </c>
    </row>
    <row r="112" spans="2:5" x14ac:dyDescent="0.2">
      <c r="B112" t="s">
        <v>42</v>
      </c>
      <c r="C112" t="s">
        <v>42</v>
      </c>
      <c r="D112" t="b">
        <f>B112=C112</f>
        <v>1</v>
      </c>
      <c r="E112" t="b">
        <f>EXACT(B112,C112)</f>
        <v>1</v>
      </c>
    </row>
    <row r="115" spans="2:4" x14ac:dyDescent="0.2">
      <c r="B115" s="1"/>
      <c r="C115" s="1"/>
      <c r="D115" s="1"/>
    </row>
    <row r="117" spans="2:4" x14ac:dyDescent="0.2">
      <c r="B117" t="s">
        <v>45</v>
      </c>
      <c r="C117" t="s">
        <v>52</v>
      </c>
    </row>
    <row r="119" spans="2:4" x14ac:dyDescent="0.2">
      <c r="B119" t="s">
        <v>50</v>
      </c>
      <c r="C119" s="5">
        <v>1001108</v>
      </c>
      <c r="D119" t="s">
        <v>51</v>
      </c>
    </row>
    <row r="121" spans="2:4" x14ac:dyDescent="0.2">
      <c r="B121" t="str">
        <f>B119&amp;C119&amp;D119</f>
        <v>My name is1001108Sahu</v>
      </c>
    </row>
    <row r="123" spans="2:4" x14ac:dyDescent="0.2">
      <c r="B123" s="1"/>
      <c r="C123" s="1"/>
      <c r="D123" s="1"/>
    </row>
    <row r="125" spans="2:4" x14ac:dyDescent="0.2">
      <c r="B125" t="s">
        <v>53</v>
      </c>
    </row>
    <row r="127" spans="2:4" x14ac:dyDescent="0.2">
      <c r="B127" t="s">
        <v>55</v>
      </c>
    </row>
    <row r="130" spans="1:32" x14ac:dyDescent="0.2">
      <c r="B130" t="str" cm="1">
        <f t="array" ref="B130:F131">_xlfn.TEXTSPLIT(B127,", ","?",TRUE,1,"")</f>
        <v>SQL</v>
      </c>
      <c r="C130" t="str">
        <v>Java</v>
      </c>
      <c r="D130" t="str">
        <v>Python</v>
      </c>
      <c r="E130" t="str">
        <v>C++</v>
      </c>
      <c r="F130" t="str">
        <v xml:space="preserve">R </v>
      </c>
    </row>
    <row r="131" spans="1:32" x14ac:dyDescent="0.2">
      <c r="B131" t="str">
        <v xml:space="preserve"> Python</v>
      </c>
      <c r="C131" t="str">
        <v>C++</v>
      </c>
      <c r="D131" t="str">
        <v>R</v>
      </c>
      <c r="E131" t="str">
        <v/>
      </c>
      <c r="F131" t="str">
        <v/>
      </c>
    </row>
    <row r="135" spans="1:32" ht="18" x14ac:dyDescent="0.2">
      <c r="B135" s="6" t="s">
        <v>64</v>
      </c>
    </row>
    <row r="137" spans="1:32" x14ac:dyDescent="0.2">
      <c r="B137" s="1" t="s">
        <v>60</v>
      </c>
      <c r="C137" s="1" t="s">
        <v>61</v>
      </c>
      <c r="D137" s="1" t="s">
        <v>62</v>
      </c>
      <c r="E137" s="1" t="s">
        <v>63</v>
      </c>
    </row>
    <row r="138" spans="1:32" x14ac:dyDescent="0.2">
      <c r="A138" s="1" t="s">
        <v>57</v>
      </c>
      <c r="B138" t="str" cm="1">
        <f t="array" ref="B138:AF141">_xlfn.TEXTSPLIT(B135," ",".",TRUE,1,"")</f>
        <v>Lorem</v>
      </c>
      <c r="C138" t="str">
        <v>Ipsum</v>
      </c>
      <c r="D138" t="str">
        <v>is</v>
      </c>
      <c r="E138" t="str">
        <v>simply</v>
      </c>
      <c r="F138" t="str">
        <v>dummy</v>
      </c>
      <c r="G138" t="str">
        <v>text</v>
      </c>
      <c r="H138" t="str">
        <v>of</v>
      </c>
      <c r="I138" t="str">
        <v>the</v>
      </c>
      <c r="J138" t="str">
        <v>printing</v>
      </c>
      <c r="K138" t="str">
        <v>and</v>
      </c>
      <c r="L138" t="str">
        <v>typesetting</v>
      </c>
      <c r="M138" t="str">
        <v>industry</v>
      </c>
      <c r="N138" t="str">
        <v/>
      </c>
      <c r="O138" t="str">
        <v/>
      </c>
      <c r="P138" t="str">
        <v/>
      </c>
      <c r="Q138" t="str">
        <v/>
      </c>
      <c r="R138" t="str">
        <v/>
      </c>
      <c r="S138" t="str">
        <v/>
      </c>
      <c r="T138" t="str">
        <v/>
      </c>
      <c r="U138" t="str">
        <v/>
      </c>
      <c r="V138" t="str">
        <v/>
      </c>
      <c r="W138" t="str">
        <v/>
      </c>
      <c r="X138" t="str">
        <v/>
      </c>
      <c r="Y138" t="str">
        <v/>
      </c>
      <c r="Z138" t="str">
        <v/>
      </c>
      <c r="AA138" t="str">
        <v/>
      </c>
      <c r="AB138" t="str">
        <v/>
      </c>
      <c r="AC138" t="str">
        <v/>
      </c>
      <c r="AD138" t="str">
        <v/>
      </c>
      <c r="AE138" t="str">
        <v/>
      </c>
      <c r="AF138" t="str">
        <v/>
      </c>
    </row>
    <row r="139" spans="1:32" x14ac:dyDescent="0.2">
      <c r="A139" s="1" t="s">
        <v>58</v>
      </c>
      <c r="B139" t="str">
        <v>Lorem</v>
      </c>
      <c r="C139" t="str">
        <v>Ipsum</v>
      </c>
      <c r="D139" t="str">
        <v>has</v>
      </c>
      <c r="E139" t="str">
        <v>been</v>
      </c>
      <c r="F139" t="str">
        <v>the</v>
      </c>
      <c r="G139" t="str">
        <v>industry's</v>
      </c>
      <c r="H139" t="str">
        <v>standard</v>
      </c>
      <c r="I139" t="str">
        <v>dummy</v>
      </c>
      <c r="J139" t="str">
        <v>text</v>
      </c>
      <c r="K139" t="str">
        <v>ever</v>
      </c>
      <c r="L139" t="str">
        <v>since</v>
      </c>
      <c r="M139" t="str">
        <v>the</v>
      </c>
      <c r="N139" t="str">
        <v>1500s,</v>
      </c>
      <c r="O139" t="str">
        <v>when</v>
      </c>
      <c r="P139" t="str">
        <v>an</v>
      </c>
      <c r="Q139" t="str">
        <v>unknown</v>
      </c>
      <c r="R139" t="str">
        <v>printer</v>
      </c>
      <c r="S139" t="str">
        <v>took</v>
      </c>
      <c r="T139" t="str">
        <v>a</v>
      </c>
      <c r="U139" t="str">
        <v>galley</v>
      </c>
      <c r="V139" t="str">
        <v>of</v>
      </c>
      <c r="W139" t="str">
        <v>type</v>
      </c>
      <c r="X139" t="str">
        <v>and</v>
      </c>
      <c r="Y139" t="str">
        <v>scrambled</v>
      </c>
      <c r="Z139" t="str">
        <v>it</v>
      </c>
      <c r="AA139" t="str">
        <v>to</v>
      </c>
      <c r="AB139" t="str">
        <v>make</v>
      </c>
      <c r="AC139" t="str">
        <v>a</v>
      </c>
      <c r="AD139" t="str">
        <v>type</v>
      </c>
      <c r="AE139" t="str">
        <v>specimen</v>
      </c>
      <c r="AF139" t="str">
        <v>book</v>
      </c>
    </row>
    <row r="140" spans="1:32" x14ac:dyDescent="0.2">
      <c r="A140" s="1" t="s">
        <v>59</v>
      </c>
      <c r="B140" t="str">
        <v>It</v>
      </c>
      <c r="C140" t="str">
        <v>has</v>
      </c>
      <c r="D140" t="str">
        <v>survived</v>
      </c>
      <c r="E140" t="str">
        <v>not</v>
      </c>
      <c r="F140" t="str">
        <v>only</v>
      </c>
      <c r="G140" t="str">
        <v>five</v>
      </c>
      <c r="H140" t="str">
        <v>centuries,</v>
      </c>
      <c r="I140" t="str">
        <v>but</v>
      </c>
      <c r="J140" t="str">
        <v>also</v>
      </c>
      <c r="K140" t="str">
        <v>the</v>
      </c>
      <c r="L140" t="str">
        <v>leap</v>
      </c>
      <c r="M140" t="str">
        <v>into</v>
      </c>
      <c r="N140" t="str">
        <v>electronic</v>
      </c>
      <c r="O140" t="str">
        <v>typesetting,</v>
      </c>
      <c r="P140" t="str">
        <v>remaining</v>
      </c>
      <c r="Q140" t="str">
        <v>essentially</v>
      </c>
      <c r="R140" t="str">
        <v>unchanged</v>
      </c>
      <c r="S140" t="str">
        <v/>
      </c>
      <c r="T140" t="str">
        <v/>
      </c>
      <c r="U140" t="str">
        <v/>
      </c>
      <c r="V140" t="str">
        <v/>
      </c>
      <c r="W140" t="str">
        <v/>
      </c>
      <c r="X140" t="str">
        <v/>
      </c>
      <c r="Y140" t="str">
        <v/>
      </c>
      <c r="Z140" t="str">
        <v/>
      </c>
      <c r="AA140" t="str">
        <v/>
      </c>
      <c r="AB140" t="str">
        <v/>
      </c>
      <c r="AC140" t="str">
        <v/>
      </c>
      <c r="AD140" t="str">
        <v/>
      </c>
      <c r="AE140" t="str">
        <v/>
      </c>
      <c r="AF140" t="str">
        <v/>
      </c>
    </row>
    <row r="141" spans="1:32" x14ac:dyDescent="0.2">
      <c r="A141" s="1"/>
      <c r="B141" t="str">
        <v>It</v>
      </c>
      <c r="C141" t="str">
        <v>was</v>
      </c>
      <c r="D141" t="str">
        <v>popularised</v>
      </c>
      <c r="E141" t="str">
        <v>in</v>
      </c>
      <c r="F141" t="str">
        <v>the</v>
      </c>
      <c r="G141" t="str">
        <v>1960s</v>
      </c>
      <c r="H141" t="str">
        <v>with</v>
      </c>
      <c r="I141" t="str">
        <v>the</v>
      </c>
      <c r="J141" t="str">
        <v>release</v>
      </c>
      <c r="K141" t="str">
        <v>of</v>
      </c>
      <c r="L141" t="str">
        <v>Letraset</v>
      </c>
      <c r="M141" t="str">
        <v>sheets</v>
      </c>
      <c r="N141" t="str">
        <v>containing</v>
      </c>
      <c r="O141" t="str">
        <v>Lorem</v>
      </c>
      <c r="P141" t="str">
        <v>Ipsum</v>
      </c>
      <c r="Q141" t="str">
        <v>passages,</v>
      </c>
      <c r="R141" t="str">
        <v>and</v>
      </c>
      <c r="S141" t="str">
        <v>more</v>
      </c>
      <c r="T141" t="str">
        <v>recently</v>
      </c>
      <c r="U141" t="str">
        <v>with</v>
      </c>
      <c r="V141" t="str">
        <v>desktop</v>
      </c>
      <c r="W141" t="str">
        <v>publishing</v>
      </c>
      <c r="X141" t="str">
        <v>software</v>
      </c>
      <c r="Y141" t="str">
        <v>like</v>
      </c>
      <c r="Z141" t="str">
        <v>Aldus</v>
      </c>
      <c r="AA141" t="str">
        <v>PageMaker</v>
      </c>
      <c r="AB141" t="str">
        <v>including</v>
      </c>
      <c r="AC141" t="str">
        <v>versions</v>
      </c>
      <c r="AD141" t="str">
        <v>of</v>
      </c>
      <c r="AE141" t="str">
        <v>Lorem</v>
      </c>
      <c r="AF141" t="str">
        <v>Ipsum</v>
      </c>
    </row>
    <row r="145" spans="2:6" x14ac:dyDescent="0.2">
      <c r="B145" s="1"/>
      <c r="C145" s="1"/>
      <c r="D145" s="1"/>
      <c r="E145" s="1"/>
    </row>
    <row r="148" spans="2:6" x14ac:dyDescent="0.2">
      <c r="B148" t="s">
        <v>65</v>
      </c>
    </row>
    <row r="150" spans="2:6" x14ac:dyDescent="0.2">
      <c r="B150" t="str">
        <f>_xlfn.TEXTJOIN(" ",TRUE,B138:AF138)</f>
        <v>Lorem Ipsum is simply dummy text of the printing and typesetting industry</v>
      </c>
    </row>
    <row r="151" spans="2:6" x14ac:dyDescent="0.2">
      <c r="B151" t="str">
        <f>_xlfn.TEXTJOIN(" ",TRUE,B139:AF139)</f>
        <v>Lorem Ipsum has been the industry's standard dummy text ever since the 1500s, when an unknown printer took a galley of type and scrambled it to make a type specimen book</v>
      </c>
    </row>
    <row r="154" spans="2:6" x14ac:dyDescent="0.2">
      <c r="B154" t="s">
        <v>66</v>
      </c>
      <c r="D154" t="s">
        <v>67</v>
      </c>
      <c r="F154" t="str">
        <f>_xlfn.TEXTJOIN(";",TRUE,B154:D154)</f>
        <v>one;three</v>
      </c>
    </row>
    <row r="155" spans="2:6" x14ac:dyDescent="0.2">
      <c r="F155" t="str">
        <f>_xlfn.TEXTJOIN(";",FALSE,B154:D154)</f>
        <v>one;;three</v>
      </c>
    </row>
    <row r="158" spans="2:6" x14ac:dyDescent="0.2">
      <c r="B158" s="1"/>
      <c r="C158" s="1"/>
      <c r="D158" s="1"/>
    </row>
    <row r="160" spans="2:6" x14ac:dyDescent="0.2">
      <c r="B160" t="s">
        <v>68</v>
      </c>
    </row>
    <row r="162" spans="2:4" x14ac:dyDescent="0.2">
      <c r="B162" t="s">
        <v>69</v>
      </c>
      <c r="D162" t="str">
        <f>LEFT(B162,4)</f>
        <v>Utka</v>
      </c>
    </row>
    <row r="164" spans="2:4" x14ac:dyDescent="0.2">
      <c r="B164" t="s">
        <v>70</v>
      </c>
    </row>
    <row r="166" spans="2:4" x14ac:dyDescent="0.2">
      <c r="B166" t="s">
        <v>69</v>
      </c>
      <c r="D166" t="str">
        <f>RIGHT(B166,4)</f>
        <v>Sahu</v>
      </c>
    </row>
    <row r="168" spans="2:4" x14ac:dyDescent="0.2">
      <c r="B168" s="1"/>
      <c r="C168" s="1"/>
      <c r="D168" s="1"/>
    </row>
    <row r="170" spans="2:4" x14ac:dyDescent="0.2">
      <c r="B170" t="s">
        <v>71</v>
      </c>
    </row>
    <row r="172" spans="2:4" x14ac:dyDescent="0.2">
      <c r="B172" t="s">
        <v>69</v>
      </c>
      <c r="D172" t="str">
        <f>MID(B172,4,3)</f>
        <v>ars</v>
      </c>
    </row>
    <row r="175" spans="2:4" x14ac:dyDescent="0.2">
      <c r="B175" s="1"/>
      <c r="C175" s="1"/>
      <c r="D175" s="1"/>
    </row>
    <row r="177" spans="2:5" x14ac:dyDescent="0.2">
      <c r="B177" t="s">
        <v>72</v>
      </c>
    </row>
    <row r="179" spans="2:5" x14ac:dyDescent="0.2">
      <c r="B179" t="str">
        <f>REPT("A",5)</f>
        <v>AAAAA</v>
      </c>
    </row>
    <row r="180" spans="2:5" x14ac:dyDescent="0.2">
      <c r="B180" t="str">
        <f>REPT("*",10)</f>
        <v>**********</v>
      </c>
    </row>
    <row r="182" spans="2:5" x14ac:dyDescent="0.2">
      <c r="B182" s="1"/>
      <c r="C182" s="1"/>
      <c r="D182" s="1"/>
    </row>
    <row r="184" spans="2:5" x14ac:dyDescent="0.2">
      <c r="B184" t="s">
        <v>73</v>
      </c>
    </row>
    <row r="186" spans="2:5" x14ac:dyDescent="0.2">
      <c r="B186" t="s">
        <v>75</v>
      </c>
    </row>
    <row r="187" spans="2:5" x14ac:dyDescent="0.2">
      <c r="B187" t="s">
        <v>42</v>
      </c>
      <c r="C187" t="s">
        <v>74</v>
      </c>
      <c r="E187">
        <f>FIND(B187,C187)</f>
        <v>12</v>
      </c>
    </row>
    <row r="190" spans="2:5" x14ac:dyDescent="0.2">
      <c r="B190" s="1"/>
      <c r="C190" s="1"/>
      <c r="D190" s="1"/>
      <c r="E190" s="1"/>
    </row>
    <row r="191" spans="2:5" x14ac:dyDescent="0.2">
      <c r="C191" t="s">
        <v>76</v>
      </c>
    </row>
    <row r="193" spans="2:3" x14ac:dyDescent="0.2">
      <c r="B193" t="s">
        <v>77</v>
      </c>
    </row>
    <row r="197" spans="2:3" x14ac:dyDescent="0.2">
      <c r="B197" t="str" cm="1">
        <f t="array" ref="B197:C197">SUBSTITUTE(B193,"Utkarsh Sahu",C191,{1,3})</f>
        <v>My name is Ram Kumar. Utkarsh Sahu is teaching at accio. Utkarsh Sahu is good person</v>
      </c>
      <c r="C197" t="str">
        <v>My name is Utkarsh Sahu. Utkarsh Sahu is teaching at accio. Ram Kumar is good person</v>
      </c>
    </row>
  </sheetData>
  <phoneticPr fontId="3"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AGENDA</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Sahu</dc:creator>
  <cp:lastModifiedBy>Utkarsh Sahu</cp:lastModifiedBy>
  <dcterms:created xsi:type="dcterms:W3CDTF">2026-01-29T15:35:40Z</dcterms:created>
  <dcterms:modified xsi:type="dcterms:W3CDTF">2026-01-29T17:28:06Z</dcterms:modified>
</cp:coreProperties>
</file>