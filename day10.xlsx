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B807CE7-210C-3A4F-8DA0-5A3F2E65F748}" xr6:coauthVersionLast="47" xr6:coauthVersionMax="47" xr10:uidLastSave="{00000000-0000-0000-0000-000000000000}"/>
  <bookViews>
    <workbookView xWindow="380" yWindow="500" windowWidth="28040" windowHeight="16940" activeTab="4" xr2:uid="{BCCC5916-0B88-954D-B6FF-606E3F11659F}"/>
  </bookViews>
  <sheets>
    <sheet name="Revision" sheetId="1" r:id="rId1"/>
    <sheet name="Hlookup_demo" sheetId="4" r:id="rId2"/>
    <sheet name="Vlookup_demo" sheetId="2" r:id="rId3"/>
    <sheet name="Agenda" sheetId="3" r:id="rId4"/>
    <sheet name="XLOOKUP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4" l="1"/>
  <c r="D10" i="4"/>
  <c r="H4" i="2"/>
  <c r="I4" i="2"/>
  <c r="D12" i="1"/>
  <c r="E12" i="1"/>
  <c r="E10" i="1"/>
  <c r="D10" i="1"/>
</calcChain>
</file>

<file path=xl/sharedStrings.xml><?xml version="1.0" encoding="utf-8"?>
<sst xmlns="http://schemas.openxmlformats.org/spreadsheetml/2006/main" count="123" uniqueCount="71">
  <si>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</si>
  <si>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</si>
  <si>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</si>
  <si>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</si>
  <si>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</si>
  <si>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</si>
  <si>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</si>
  <si>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</si>
  <si>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</si>
  <si>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</si>
  <si>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</si>
  <si>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</si>
  <si>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</si>
  <si>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</si>
  <si>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</si>
  <si>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</si>
  <si>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Student ID</t>
  </si>
  <si>
    <t>Fake num 5</t>
  </si>
  <si>
    <t>Fake num 6</t>
  </si>
  <si>
    <t>Ba Soci</t>
  </si>
  <si>
    <t>MBA Ops</t>
  </si>
  <si>
    <t>VLOOKUP</t>
  </si>
  <si>
    <t xml:space="preserve">Vertical Lookup </t>
  </si>
  <si>
    <t>We are searching the query in a COLUMN</t>
  </si>
  <si>
    <t>Dolly</t>
  </si>
  <si>
    <t>Sonam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</si>
  <si>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</si>
  <si>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</si>
  <si>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</si>
  <si>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</si>
  <si>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t>if doing approximate match ( by default) data must be sorted in ascending orded…</t>
  </si>
  <si>
    <t>H Lookup</t>
  </si>
  <si>
    <t>Horizontal Lookup</t>
  </si>
  <si>
    <t>We are searching a query inside a ROW</t>
  </si>
  <si>
    <t>search only in TOP MOST row</t>
  </si>
  <si>
    <t>we can only get rows bottom to the search row... in the output</t>
  </si>
  <si>
    <t>Feature</t>
  </si>
  <si>
    <t>VLOOKUP()</t>
  </si>
  <si>
    <t>XLOOKUP()</t>
  </si>
  <si>
    <t>Default Match Mode</t>
  </si>
  <si>
    <t>Requires specifying FALSE for an exact match.</t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</si>
  <si>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</si>
  <si>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</si>
  <si>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</si>
  <si>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</si>
  <si>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</si>
  <si>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</si>
  <si>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</si>
  <si>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t>Does not support horizontal lookups (HLOOKUP() is required).</t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</si>
  <si>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</si>
  <si>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</si>
  <si>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</si>
  <si>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</si>
  <si>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</si>
  <si>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</si>
  <si>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t>Can search in both ascending and descending order using the search_mode argument.</t>
  </si>
  <si>
    <t>Custom Error Messages</t>
  </si>
  <si>
    <t>Displays #N/A error when no match is found.</t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</si>
  <si>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</si>
  <si>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</si>
  <si>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</si>
  <si>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</si>
  <si>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</si>
  <si>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</si>
  <si>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</si>
  <si>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</si>
  <si>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t>Can be slower, especially with unsorted data or when range_lookup is FALSE.</t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</si>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</sst>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453883</xdr:colOff>
      <xdr:row>6</xdr:row>
      <xdr:rowOff>68189</xdr:rowOff>
    </xdr:from>
    <xdr:to>
      <xdr:col>3</xdr:col>
      <xdr:colOff>205599</xdr:colOff>
      <xdr:row>9</xdr:row>
      <xdr:rowOff>32033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29462F-4415-5AFB-027C-66949CC51A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8728" y="1298911"/>
          <a:ext cx="1401407" cy="579204"/>
        </a:xfrm>
        <a:prstGeom prst="rect">
          <a:avLst/>
        </a:prstGeom>
      </xdr:spPr>
    </xdr:pic>
    <xdr:clientData/>
  </xdr:twoCellAnchor>
  <xdr:twoCellAnchor editAs="oneCell">
    <xdr:from>
      <xdr:col>1</xdr:col>
      <xdr:colOff>410241</xdr:colOff>
      <xdr:row>10</xdr:row>
      <xdr:rowOff>45178</xdr:rowOff>
    </xdr:from>
    <xdr:to>
      <xdr:col>3</xdr:col>
      <xdr:colOff>233312</xdr:colOff>
      <xdr:row>12</xdr:row>
      <xdr:rowOff>118097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FD7610-929C-2AC6-00DD-30EA866C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5086" y="2096381"/>
          <a:ext cx="1472762" cy="4831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82140-6062-204E-8667-A22DBE71AC6A}">
  <dimension ref="A1:E12"/>
  <sheetViews>
    <sheetView zoomScale="220" workbookViewId="0">
      <selection activeCell="C3" sqref="C3:D3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">
      <c r="A2" s="2">
        <v>1201</v>
      </c>
      <c r="B2" s="2" t="s">
        <v>4</v>
      </c>
      <c r="C2" s="2" t="s">
        <v>5</v>
      </c>
      <c r="D2" s="2" t="s">
        <v>6</v>
      </c>
    </row>
    <row r="3" spans="1:5" x14ac:dyDescent="0.2">
      <c r="A3" s="2">
        <v>1202</v>
      </c>
      <c r="B3" s="2" t="s">
        <v>7</v>
      </c>
      <c r="C3" s="2" t="s">
        <v>8</v>
      </c>
      <c r="D3" s="2" t="s">
        <v>9</v>
      </c>
    </row>
    <row r="4" spans="1:5" x14ac:dyDescent="0.2">
      <c r="A4" s="2">
        <v>1203</v>
      </c>
      <c r="B4" s="2" t="s">
        <v>10</v>
      </c>
      <c r="C4" s="2" t="s">
        <v>11</v>
      </c>
      <c r="D4" s="2" t="s">
        <v>12</v>
      </c>
    </row>
    <row r="5" spans="1:5" x14ac:dyDescent="0.2">
      <c r="A5" s="2">
        <v>1204</v>
      </c>
      <c r="B5" s="2" t="s">
        <v>13</v>
      </c>
      <c r="C5" s="2" t="s">
        <v>14</v>
      </c>
      <c r="D5" s="2" t="s">
        <v>15</v>
      </c>
    </row>
    <row r="9" spans="1:5" x14ac:dyDescent="0.2">
      <c r="B9" t="s">
        <v>16</v>
      </c>
      <c r="D9" t="s">
        <v>2</v>
      </c>
      <c r="E9" t="s">
        <v>3</v>
      </c>
    </row>
    <row r="10" spans="1:5" x14ac:dyDescent="0.2">
      <c r="B10">
        <v>1202</v>
      </c>
      <c r="D10" t="str">
        <f>INDEX(B2:D5,MATCH(B10,A2:A5,0),2)</f>
        <v>Bsc Chem</v>
      </c>
      <c r="E10" t="str">
        <f>INDEX(B2:D5,MATCH(B10,A2:A5,0),3)</f>
        <v>Fake num 2</v>
      </c>
    </row>
    <row r="12" spans="1:5" x14ac:dyDescent="0.2">
      <c r="D12" t="str">
        <f>INDEX(C2:C5,MATCH(B10,A2:A5,0))</f>
        <v>Bsc Chem</v>
      </c>
      <c r="E12" t="str">
        <f>INDEX(D2:D5,MATCH(B10,A2:A5,0))</f>
        <v>Fake num 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31E84-CD22-734E-898E-E76354B313D7}">
  <dimension ref="A1:G10"/>
  <sheetViews>
    <sheetView zoomScale="266" workbookViewId="0">
      <selection activeCell="C10" sqref="C10"/>
    </sheetView>
  </sheetViews>
  <sheetFormatPr baseColWidth="10" defaultRowHeight="16" x14ac:dyDescent="0.2"/>
  <sheetData>
    <row r="1" spans="1:7" x14ac:dyDescent="0.2">
      <c r="A1" s="3" t="s">
        <v>0</v>
      </c>
      <c r="B1" s="4">
        <v>1201</v>
      </c>
      <c r="C1" s="4">
        <v>1202</v>
      </c>
      <c r="D1" s="4">
        <v>1203</v>
      </c>
      <c r="E1" s="4">
        <v>1204</v>
      </c>
      <c r="F1" s="4">
        <v>1205</v>
      </c>
      <c r="G1" s="4">
        <v>1206</v>
      </c>
    </row>
    <row r="2" spans="1:7" x14ac:dyDescent="0.2">
      <c r="A2" s="3" t="s">
        <v>1</v>
      </c>
      <c r="B2" s="4" t="s">
        <v>4</v>
      </c>
      <c r="C2" s="4" t="s">
        <v>7</v>
      </c>
      <c r="D2" s="4" t="s">
        <v>10</v>
      </c>
      <c r="E2" s="4" t="s">
        <v>13</v>
      </c>
      <c r="F2" s="4" t="s">
        <v>24</v>
      </c>
      <c r="G2" s="4" t="s">
        <v>25</v>
      </c>
    </row>
    <row r="3" spans="1:7" x14ac:dyDescent="0.2">
      <c r="A3" s="3" t="s">
        <v>2</v>
      </c>
      <c r="B3" s="4" t="s">
        <v>5</v>
      </c>
      <c r="C3" s="4" t="s">
        <v>8</v>
      </c>
      <c r="D3" s="4" t="s">
        <v>11</v>
      </c>
      <c r="E3" s="4" t="s">
        <v>14</v>
      </c>
      <c r="F3" s="4" t="s">
        <v>19</v>
      </c>
      <c r="G3" s="4" t="s">
        <v>20</v>
      </c>
    </row>
    <row r="4" spans="1:7" x14ac:dyDescent="0.2">
      <c r="A4" s="3" t="s">
        <v>3</v>
      </c>
      <c r="B4" s="4" t="s">
        <v>6</v>
      </c>
      <c r="C4" s="4" t="s">
        <v>9</v>
      </c>
      <c r="D4" s="4" t="s">
        <v>12</v>
      </c>
      <c r="E4" s="4" t="s">
        <v>15</v>
      </c>
      <c r="F4" s="4" t="s">
        <v>17</v>
      </c>
      <c r="G4" s="4" t="s">
        <v>18</v>
      </c>
    </row>
    <row r="9" spans="1:7" x14ac:dyDescent="0.2">
      <c r="A9" s="5" t="s">
        <v>16</v>
      </c>
      <c r="B9" s="5"/>
      <c r="C9" s="5" t="s">
        <v>2</v>
      </c>
      <c r="D9" s="5" t="s">
        <v>3</v>
      </c>
    </row>
    <row r="10" spans="1:7" x14ac:dyDescent="0.2">
      <c r="A10">
        <v>1206</v>
      </c>
      <c r="C10" t="str">
        <f>HLOOKUP(A10,A1:G4,3,FALSE)</f>
        <v>MBA Ops</v>
      </c>
      <c r="D10" t="str">
        <f>HLOOKUP(A10,A1:G4,4,FALSE)</f>
        <v>Fake num 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86108-1CE3-064A-8B97-F56EB78A5BD4}">
  <dimension ref="A1:I8"/>
  <sheetViews>
    <sheetView topLeftCell="B1" zoomScale="268" workbookViewId="0">
      <selection activeCell="C8" sqref="C8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9" x14ac:dyDescent="0.2">
      <c r="A2" s="4">
        <v>1201</v>
      </c>
      <c r="B2" s="4" t="s">
        <v>4</v>
      </c>
      <c r="C2" s="4" t="s">
        <v>5</v>
      </c>
      <c r="D2" s="4" t="s">
        <v>6</v>
      </c>
    </row>
    <row r="3" spans="1:9" x14ac:dyDescent="0.2">
      <c r="A3" s="4">
        <v>1202</v>
      </c>
      <c r="B3" s="4" t="s">
        <v>7</v>
      </c>
      <c r="C3" s="4" t="s">
        <v>8</v>
      </c>
      <c r="D3" s="4" t="s">
        <v>9</v>
      </c>
      <c r="F3" s="5" t="s">
        <v>16</v>
      </c>
      <c r="G3" s="5"/>
      <c r="H3" s="5" t="s">
        <v>2</v>
      </c>
      <c r="I3" s="5" t="s">
        <v>3</v>
      </c>
    </row>
    <row r="4" spans="1:9" x14ac:dyDescent="0.2">
      <c r="A4" s="4">
        <v>1203</v>
      </c>
      <c r="B4" s="4" t="s">
        <v>10</v>
      </c>
      <c r="C4" s="4" t="s">
        <v>11</v>
      </c>
      <c r="D4" s="4" t="s">
        <v>12</v>
      </c>
      <c r="F4" s="5">
        <v>1205</v>
      </c>
      <c r="G4" s="5"/>
      <c r="H4" s="5" t="str">
        <f>VLOOKUP(F4,A2:D7,3)</f>
        <v>Ba Soci</v>
      </c>
      <c r="I4" s="5" t="str">
        <f>VLOOKUP(F4,A2:D7,4)</f>
        <v>Fake num 5</v>
      </c>
    </row>
    <row r="5" spans="1:9" x14ac:dyDescent="0.2">
      <c r="A5" s="4">
        <v>1204</v>
      </c>
      <c r="B5" s="4" t="s">
        <v>13</v>
      </c>
      <c r="C5" s="4" t="s">
        <v>14</v>
      </c>
      <c r="D5" s="4" t="s">
        <v>15</v>
      </c>
    </row>
    <row r="6" spans="1:9" x14ac:dyDescent="0.2">
      <c r="A6" s="4">
        <v>1205</v>
      </c>
      <c r="B6" s="4" t="s">
        <v>24</v>
      </c>
      <c r="C6" s="4" t="s">
        <v>19</v>
      </c>
      <c r="D6" s="4" t="s">
        <v>17</v>
      </c>
    </row>
    <row r="7" spans="1:9" x14ac:dyDescent="0.2">
      <c r="A7" s="4">
        <v>1206</v>
      </c>
      <c r="B7" s="4" t="s">
        <v>25</v>
      </c>
      <c r="C7" s="4" t="s">
        <v>20</v>
      </c>
      <c r="D7" s="4" t="s">
        <v>18</v>
      </c>
      <c r="F7" s="4" t="s">
        <v>1</v>
      </c>
      <c r="H7" t="s">
        <v>2</v>
      </c>
    </row>
    <row r="8" spans="1:9" x14ac:dyDescent="0.2">
      <c r="B8" s="4"/>
      <c r="D8" s="4"/>
      <c r="F8" t="s">
        <v>7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4239-9D1A-CE43-9758-B3B62BDE2CAC}">
  <dimension ref="B3:E23"/>
  <sheetViews>
    <sheetView topLeftCell="A10" zoomScale="291" workbookViewId="0">
      <selection activeCell="D24" sqref="D24"/>
    </sheetView>
  </sheetViews>
  <sheetFormatPr baseColWidth="10" defaultRowHeight="16" x14ac:dyDescent="0.2"/>
  <sheetData>
    <row r="3" spans="2:5" x14ac:dyDescent="0.2">
      <c r="B3" t="s">
        <v>21</v>
      </c>
      <c r="D3" t="s">
        <v>22</v>
      </c>
    </row>
    <row r="5" spans="2:5" x14ac:dyDescent="0.2">
      <c r="D5" t="s">
        <v>23</v>
      </c>
    </row>
    <row r="7" spans="2:5" x14ac:dyDescent="0.2">
      <c r="E7" s="6" t="s">
        <v>26</v>
      </c>
    </row>
    <row r="8" spans="2:5" x14ac:dyDescent="0.2">
      <c r="E8" t="s">
        <v>27</v>
      </c>
    </row>
    <row r="9" spans="2:5" x14ac:dyDescent="0.2">
      <c r="E9" t="s">
        <v>28</v>
      </c>
    </row>
    <row r="10" spans="2:5" x14ac:dyDescent="0.2">
      <c r="E10" t="s">
        <v>29</v>
      </c>
    </row>
    <row r="11" spans="2:5" x14ac:dyDescent="0.2">
      <c r="E11" t="s">
        <v>30</v>
      </c>
    </row>
    <row r="16" spans="2:5" x14ac:dyDescent="0.2">
      <c r="B16" t="s">
        <v>31</v>
      </c>
      <c r="D16" t="s">
        <v>32</v>
      </c>
    </row>
    <row r="18" spans="4:4" x14ac:dyDescent="0.2">
      <c r="D18" t="s">
        <v>33</v>
      </c>
    </row>
    <row r="20" spans="4:4" x14ac:dyDescent="0.2">
      <c r="D20" t="s">
        <v>34</v>
      </c>
    </row>
    <row r="21" spans="4:4" x14ac:dyDescent="0.2">
      <c r="D21" t="s">
        <v>28</v>
      </c>
    </row>
    <row r="22" spans="4:4" x14ac:dyDescent="0.2">
      <c r="D22" t="s">
        <v>35</v>
      </c>
    </row>
    <row r="23" spans="4:4" x14ac:dyDescent="0.2">
      <c r="D23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9154-4DA2-A841-AC79-ED9EE60DAF49}">
  <dimension ref="A1:C12"/>
  <sheetViews>
    <sheetView tabSelected="1" zoomScale="157" workbookViewId="0">
      <selection activeCell="B14" sqref="B14"/>
    </sheetView>
  </sheetViews>
  <sheetFormatPr baseColWidth="10" defaultRowHeight="16" x14ac:dyDescent="0.2"/>
  <cols>
    <col min="1" max="1" width="29.83203125" bestFit="1" customWidth="1"/>
    <col min="2" max="2" width="76.6640625" bestFit="1" customWidth="1"/>
  </cols>
  <sheetData>
    <row r="1" spans="1:3" x14ac:dyDescent="0.2">
      <c r="A1" s="7" t="s">
        <v>36</v>
      </c>
      <c r="B1" s="7" t="s">
        <v>37</v>
      </c>
      <c r="C1" s="7" t="s">
        <v>38</v>
      </c>
    </row>
    <row r="2" spans="1:3" x14ac:dyDescent="0.2">
      <c r="A2" s="8" t="s">
        <v>39</v>
      </c>
      <c r="B2" s="8" t="s">
        <v>40</v>
      </c>
      <c r="C2" s="8" t="s">
        <v>41</v>
      </c>
    </row>
    <row r="3" spans="1:3" x14ac:dyDescent="0.2">
      <c r="A3" s="8" t="s">
        <v>42</v>
      </c>
      <c r="B3" s="8" t="s">
        <v>43</v>
      </c>
      <c r="C3" s="8" t="s">
        <v>44</v>
      </c>
    </row>
    <row r="4" spans="1:3" x14ac:dyDescent="0.2">
      <c r="A4" s="8" t="s">
        <v>45</v>
      </c>
      <c r="B4" s="8" t="s">
        <v>46</v>
      </c>
      <c r="C4" s="8" t="s">
        <v>47</v>
      </c>
    </row>
    <row r="5" spans="1:3" x14ac:dyDescent="0.2">
      <c r="A5" s="8" t="s">
        <v>32</v>
      </c>
      <c r="B5" s="8" t="s">
        <v>48</v>
      </c>
      <c r="C5" s="8" t="s">
        <v>49</v>
      </c>
    </row>
    <row r="6" spans="1:3" x14ac:dyDescent="0.2">
      <c r="A6" s="8" t="s">
        <v>50</v>
      </c>
      <c r="B6" s="8" t="s">
        <v>51</v>
      </c>
      <c r="C6" s="8" t="s">
        <v>52</v>
      </c>
    </row>
    <row r="7" spans="1:3" x14ac:dyDescent="0.2">
      <c r="A7" s="8" t="s">
        <v>53</v>
      </c>
      <c r="B7" s="8" t="s">
        <v>54</v>
      </c>
      <c r="C7" s="8" t="s">
        <v>55</v>
      </c>
    </row>
    <row r="8" spans="1:3" x14ac:dyDescent="0.2">
      <c r="A8" s="8" t="s">
        <v>56</v>
      </c>
      <c r="B8" s="8" t="s">
        <v>57</v>
      </c>
      <c r="C8" s="8" t="s">
        <v>58</v>
      </c>
    </row>
    <row r="9" spans="1:3" x14ac:dyDescent="0.2">
      <c r="A9" s="8" t="s">
        <v>59</v>
      </c>
      <c r="B9" s="8" t="s">
        <v>60</v>
      </c>
      <c r="C9" s="8" t="s">
        <v>61</v>
      </c>
    </row>
    <row r="10" spans="1:3" x14ac:dyDescent="0.2">
      <c r="A10" s="8" t="s">
        <v>62</v>
      </c>
      <c r="B10" s="8" t="s">
        <v>63</v>
      </c>
      <c r="C10" s="8" t="s">
        <v>64</v>
      </c>
    </row>
    <row r="11" spans="1:3" x14ac:dyDescent="0.2">
      <c r="A11" s="8" t="s">
        <v>65</v>
      </c>
      <c r="B11" s="8" t="s">
        <v>66</v>
      </c>
      <c r="C11" s="8" t="s">
        <v>67</v>
      </c>
    </row>
    <row r="12" spans="1:3" x14ac:dyDescent="0.2">
      <c r="A12" s="8" t="s">
        <v>68</v>
      </c>
      <c r="B12" s="8" t="s">
        <v>69</v>
      </c>
      <c r="C12" s="8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Revision</vt:lpstr>
      <vt:lpstr>Hlookup_demo</vt:lpstr>
      <vt:lpstr>Vlookup_demo</vt:lpstr>
      <vt:lpstr>Agenda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2025-12-06T15:31:20Z</dcterms:created>
  <dcterms:modified xsi:type="dcterms:W3CDTF">2025-12-06T17:29:02Z</dcterms:modified>
</cp:coreProperties>
</file>