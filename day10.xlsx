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ink/ink1.xml" ContentType="application/inkml+xml"/>
  <Override PartName="/xl/ink/ink2.xml" ContentType="application/inkml+xml"/>
  <Override PartName="/xl/drawings/drawing2.xml" ContentType="application/vnd.openxmlformats-officedocument.drawing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ink/ink33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EE2723EC-18F8-814D-BD79-6492FC610F1B}" xr6:coauthVersionLast="47" xr6:coauthVersionMax="47" xr10:uidLastSave="{00000000-0000-0000-0000-000000000000}"/>
  <bookViews>
    <workbookView xWindow="0" yWindow="600" windowWidth="28800" windowHeight="17400" activeTab="4" xr2:uid="{04308D2D-E9F9-F649-B605-0946095EE02A}"/>
  </bookViews>
  <sheets>
    <sheet name="agenda" sheetId="1" r:id="rId1"/>
    <sheet name="VLOOKUP" sheetId="2" r:id="rId2"/>
    <sheet name="Sheet3" sheetId="6" r:id="rId3"/>
    <sheet name="Hlookup" sheetId="3" r:id="rId4"/>
    <sheet name="XLOOKUP" sheetId="4" r:id="rId5"/>
    <sheet name="Sheet2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4" l="1" a="1"/>
  <c r="C14" i="6"/>
  <c r="G22" i="2"/>
  <c r="G24" i="2"/>
  <c r="C13" i="6" a="1"/>
  <c r="E18" i="6"/>
  <c r="C19" i="6" a="1"/>
  <c r="D30" i="2" a="1"/>
  <c r="C21" i="4"/>
  <c r="C32" i="4"/>
  <c r="C31" i="4"/>
  <c r="E21" i="4"/>
  <c r="C18" i="4"/>
  <c r="D31" i="2"/>
  <c r="D29" i="2"/>
  <c r="C9" i="3"/>
  <c r="E9" i="3"/>
  <c r="E29" i="2"/>
  <c r="D13" i="2"/>
  <c r="E13" i="2"/>
  <c r="D12" i="2"/>
  <c r="E12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<sst xmlns="http://schemas.openxmlformats.org/spreadsheetml/2006/main" count="217" uniqueCount="91">
  <si>
    <t>LOOKUP funcs</t>
  </si>
  <si>
    <t>VLOOKUP</t>
  </si>
  <si>
    <t>HLOOKUP</t>
  </si>
  <si>
    <t>XLOOKUP</t>
  </si>
  <si>
    <t>Vertical Lookup</t>
  </si>
  <si>
    <t>Horizontal Lookup</t>
  </si>
  <si>
    <t>X Lookup</t>
  </si>
  <si>
    <t>Student Id</t>
  </si>
  <si>
    <t>Name</t>
  </si>
  <si>
    <t>Course</t>
  </si>
  <si>
    <t>Phn Num</t>
  </si>
  <si>
    <t>Jennifer</t>
  </si>
  <si>
    <t>Bsc Phy</t>
  </si>
  <si>
    <t>Fake num 1</t>
  </si>
  <si>
    <t>Shyaam</t>
  </si>
  <si>
    <t>Bsc Chem</t>
  </si>
  <si>
    <t>Fake num 2</t>
  </si>
  <si>
    <t>Meena</t>
  </si>
  <si>
    <t>Ba History</t>
  </si>
  <si>
    <t>Fake num 3</t>
  </si>
  <si>
    <t>Arjun</t>
  </si>
  <si>
    <t>MBA HR</t>
  </si>
  <si>
    <t>Fake num 4</t>
  </si>
  <si>
    <t>Dolly</t>
  </si>
  <si>
    <t>Ba Soci</t>
  </si>
  <si>
    <t>Fake num 5</t>
  </si>
  <si>
    <t>Sonam</t>
  </si>
  <si>
    <t>Fake num 6</t>
  </si>
  <si>
    <t>Student ID</t>
  </si>
  <si>
    <t xml:space="preserve">Lookup value </t>
  </si>
  <si>
    <t>Value used to search</t>
  </si>
  <si>
    <t>table array</t>
  </si>
  <si>
    <t>name of tbl</t>
  </si>
  <si>
    <t>address of array</t>
  </si>
  <si>
    <t>col_idx_num</t>
  </si>
  <si>
    <t>index (position) of returning col</t>
  </si>
  <si>
    <t>vlookup</t>
  </si>
  <si>
    <t>IMP</t>
  </si>
  <si>
    <t>We can only lookup in left most Column of given array</t>
  </si>
  <si>
    <t xml:space="preserve">If using EXACT match, the first found value is returned… </t>
  </si>
  <si>
    <t>we can only get right columns in the output</t>
  </si>
  <si>
    <r>
      <t xml:space="preserve">if doing approximate match ( by default) data must be sorted in </t>
    </r>
    <r>
      <rPr>
        <b/>
        <sz val="12"/>
        <color rgb="FF000000"/>
        <rFont val="Aptos Narrow"/>
        <scheme val="minor"/>
      </rPr>
      <t>ascending</t>
    </r>
    <r>
      <rPr>
        <sz val="12"/>
        <color rgb="FF000000"/>
        <rFont val="Aptos Narrow"/>
        <family val="2"/>
        <scheme val="minor"/>
      </rPr>
      <t xml:space="preserve"> orded…</t>
    </r>
  </si>
  <si>
    <t>BE CAREFUL of WHITE SPACE</t>
  </si>
  <si>
    <t>search only in TOP MOST row</t>
  </si>
  <si>
    <t>we can only get rows bottom to the search row... in the output</t>
  </si>
  <si>
    <t>if doing approximate match ( by default) data must be sorted in ascending orded…</t>
  </si>
  <si>
    <t>Sona</t>
  </si>
  <si>
    <t>Stu ID</t>
  </si>
  <si>
    <t>Default Match Mode</t>
  </si>
  <si>
    <t>Requires specifying FALSE for an exact match.</t>
  </si>
  <si>
    <t>Defaults to exact match.</t>
  </si>
  <si>
    <t>Lookup Direction</t>
  </si>
  <si>
    <t>Only searches to the right of the lookup column.</t>
  </si>
  <si>
    <t>Can search in any direction (left, right, top, bottom).</t>
  </si>
  <si>
    <t>Array References</t>
  </si>
  <si>
    <t>Requires defining the entire data range and column index within a single formula.</t>
  </si>
  <si>
    <t>Allows separate arrays for the lookup value and return values.</t>
  </si>
  <si>
    <t>Does not support horizontal lookups (HLOOKUP() is required).</t>
  </si>
  <si>
    <t>Supports both vertical and horizontal lookups.</t>
  </si>
  <si>
    <t>Handling Column Changes</t>
  </si>
  <si>
    <t>Affected by column insertions/deletions due to hardcoded column indices.</t>
  </si>
  <si>
    <t>Unaffected by column changes, continuing to function without adjustments.</t>
  </si>
  <si>
    <t>Sorting and Searching</t>
  </si>
  <si>
    <t>Limited to sorting in ascending order.</t>
  </si>
  <si>
    <t>Can search in both ascending and descending order using the search_mode argument.</t>
  </si>
  <si>
    <t>Custom Error Messages</t>
  </si>
  <si>
    <t>Displays #N/A error when no match is found.</t>
  </si>
  <si>
    <t>Allows customization of the output message when no match is found.</t>
  </si>
  <si>
    <t>Return Multiple Values</t>
  </si>
  <si>
    <t>Can return only one value at a time.</t>
  </si>
  <si>
    <t>Can retrieve values from multiple columns simultaneously.</t>
  </si>
  <si>
    <t>Search Mode</t>
  </si>
  <si>
    <t>Searches from top to bottom and returns the first match.</t>
  </si>
  <si>
    <t>Can search in both directions (top-down or bottom-up) for faster results in extensive lists.</t>
  </si>
  <si>
    <t>Performance in Large Datasets</t>
  </si>
  <si>
    <t>Can be slower, especially with unsorted data or when range_lookup is FALSE.</t>
  </si>
  <si>
    <t>Better performance, handles large datasets efficiently, and searches without sorting.</t>
  </si>
  <si>
    <t>Compatibility</t>
  </si>
  <si>
    <t>Works with all versions of Excel.</t>
  </si>
  <si>
    <t>Only available in Excel 2021 and Microsoft 365 (from 2019).</t>
  </si>
  <si>
    <t>Parameter</t>
  </si>
  <si>
    <t>VLOOKUP / HLOOKUP</t>
  </si>
  <si>
    <t>Fake Num 2</t>
  </si>
  <si>
    <t>ID</t>
  </si>
  <si>
    <t>CHOOSEROWS</t>
  </si>
  <si>
    <t>CHOOSECOLS</t>
  </si>
  <si>
    <t>MARKS</t>
  </si>
  <si>
    <t>Opt</t>
  </si>
  <si>
    <t>Error Message</t>
  </si>
  <si>
    <t>The message to show when value not value</t>
  </si>
  <si>
    <t>is 8 present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</si>
</sst>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0D0D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0" borderId="3" xfId="0" applyFont="1" applyBorder="1"/>
    <xf numFmtId="0" fontId="1" fillId="0" borderId="4" xfId="0" applyFont="1" applyBorder="1"/>
    <xf numFmtId="0" fontId="0" fillId="3" borderId="0" xfId="0" applyFill="1"/>
    <xf numFmtId="0" fontId="1" fillId="0" borderId="0" xfId="0" applyFont="1"/>
    <xf numFmtId="0" fontId="1" fillId="3" borderId="0" xfId="0" applyFont="1" applyFill="1"/>
    <xf numFmtId="0" fontId="1" fillId="0" borderId="5" xfId="0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0" borderId="6" xfId="0" applyFont="1" applyBorder="1"/>
    <xf numFmtId="0" fontId="1" fillId="4" borderId="0" xfId="0" applyFont="1" applyFill="1"/>
    <xf numFmtId="0" fontId="1" fillId="0" borderId="1" xfId="0" applyFont="1" applyBorder="1"/>
    <xf numFmtId="0" fontId="0" fillId="0" borderId="0" xfId="0" applyAlignment="1">
      <alignment horizontal="center"/>
    </xf>
    <xf numFmtId="0" fontId="1" fillId="0" borderId="0" xfId="0" applyFont="1" applyFill="1" applyBorder="1"/>
    <xf numFmtId="0" fontId="0" fillId="5" borderId="8" xfId="0" applyFill="1" applyBorder="1"/>
    <xf numFmtId="0" fontId="0" fillId="5" borderId="9" xfId="0" applyFill="1" applyBorder="1" applyAlignment="1">
      <alignment wrapText="1"/>
    </xf>
    <xf numFmtId="0" fontId="0" fillId="5" borderId="7" xfId="0" applyFill="1" applyBorder="1" applyAlignment="1">
      <alignment wrapText="1"/>
    </xf>
    <xf numFmtId="0" fontId="0" fillId="0" borderId="8" xfId="0" applyBorder="1"/>
    <xf numFmtId="0" fontId="0" fillId="0" borderId="9" xfId="0" applyBorder="1" applyAlignment="1">
      <alignment wrapText="1"/>
    </xf>
    <xf numFmtId="0" fontId="0" fillId="0" borderId="7" xfId="0" applyBorder="1" applyAlignment="1">
      <alignment wrapText="1"/>
    </xf>
    <xf numFmtId="0" fontId="1" fillId="2" borderId="0" xfId="0" applyFont="1" applyFill="1" applyBorder="1"/>
    <xf numFmtId="0" fontId="1" fillId="2" borderId="10" xfId="0" applyFont="1" applyFill="1" applyBorder="1"/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solid">
          <fgColor rgb="FF000000"/>
          <bgColor rgb="FFD0D0D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image" Target="../media/image9.png"/><Relationship Id="rId18" Type="http://schemas.openxmlformats.org/officeDocument/2006/relationships/customXml" Target="../ink/ink11.xml"/><Relationship Id="rId26" Type="http://schemas.openxmlformats.org/officeDocument/2006/relationships/customXml" Target="../ink/ink15.xml"/><Relationship Id="rId39" Type="http://schemas.openxmlformats.org/officeDocument/2006/relationships/image" Target="../media/image22.png"/><Relationship Id="rId21" Type="http://schemas.openxmlformats.org/officeDocument/2006/relationships/image" Target="../media/image13.png"/><Relationship Id="rId34" Type="http://schemas.openxmlformats.org/officeDocument/2006/relationships/customXml" Target="../ink/ink19.xml"/><Relationship Id="rId42" Type="http://schemas.openxmlformats.org/officeDocument/2006/relationships/customXml" Target="../ink/ink23.xml"/><Relationship Id="rId47" Type="http://schemas.openxmlformats.org/officeDocument/2006/relationships/image" Target="../media/image26.png"/><Relationship Id="rId50" Type="http://schemas.openxmlformats.org/officeDocument/2006/relationships/customXml" Target="../ink/ink27.xml"/><Relationship Id="rId55" Type="http://schemas.openxmlformats.org/officeDocument/2006/relationships/image" Target="../media/image30.png"/><Relationship Id="rId7" Type="http://schemas.openxmlformats.org/officeDocument/2006/relationships/image" Target="../media/image6.png"/><Relationship Id="rId2" Type="http://schemas.openxmlformats.org/officeDocument/2006/relationships/customXml" Target="../ink/ink3.xml"/><Relationship Id="rId16" Type="http://schemas.openxmlformats.org/officeDocument/2006/relationships/customXml" Target="../ink/ink10.xml"/><Relationship Id="rId29" Type="http://schemas.openxmlformats.org/officeDocument/2006/relationships/image" Target="../media/image17.png"/><Relationship Id="rId11" Type="http://schemas.openxmlformats.org/officeDocument/2006/relationships/image" Target="../media/image8.png"/><Relationship Id="rId24" Type="http://schemas.openxmlformats.org/officeDocument/2006/relationships/customXml" Target="../ink/ink14.xml"/><Relationship Id="rId32" Type="http://schemas.openxmlformats.org/officeDocument/2006/relationships/customXml" Target="../ink/ink18.xml"/><Relationship Id="rId37" Type="http://schemas.openxmlformats.org/officeDocument/2006/relationships/image" Target="../media/image21.png"/><Relationship Id="rId40" Type="http://schemas.openxmlformats.org/officeDocument/2006/relationships/customXml" Target="../ink/ink22.xml"/><Relationship Id="rId45" Type="http://schemas.openxmlformats.org/officeDocument/2006/relationships/image" Target="../media/image25.png"/><Relationship Id="rId53" Type="http://schemas.openxmlformats.org/officeDocument/2006/relationships/image" Target="../media/image29.png"/><Relationship Id="rId58" Type="http://schemas.openxmlformats.org/officeDocument/2006/relationships/customXml" Target="../ink/ink31.xml"/><Relationship Id="rId5" Type="http://schemas.openxmlformats.org/officeDocument/2006/relationships/image" Target="../media/image5.png"/><Relationship Id="rId61" Type="http://schemas.openxmlformats.org/officeDocument/2006/relationships/image" Target="../media/image33.png"/><Relationship Id="rId19" Type="http://schemas.openxmlformats.org/officeDocument/2006/relationships/image" Target="../media/image12.png"/><Relationship Id="rId14" Type="http://schemas.openxmlformats.org/officeDocument/2006/relationships/customXml" Target="../ink/ink9.xml"/><Relationship Id="rId22" Type="http://schemas.openxmlformats.org/officeDocument/2006/relationships/customXml" Target="../ink/ink13.xml"/><Relationship Id="rId27" Type="http://schemas.openxmlformats.org/officeDocument/2006/relationships/image" Target="../media/image16.png"/><Relationship Id="rId30" Type="http://schemas.openxmlformats.org/officeDocument/2006/relationships/customXml" Target="../ink/ink17.xml"/><Relationship Id="rId35" Type="http://schemas.openxmlformats.org/officeDocument/2006/relationships/image" Target="../media/image20.png"/><Relationship Id="rId43" Type="http://schemas.openxmlformats.org/officeDocument/2006/relationships/image" Target="../media/image24.png"/><Relationship Id="rId48" Type="http://schemas.openxmlformats.org/officeDocument/2006/relationships/customXml" Target="../ink/ink26.xml"/><Relationship Id="rId56" Type="http://schemas.openxmlformats.org/officeDocument/2006/relationships/customXml" Target="../ink/ink30.xml"/><Relationship Id="rId8" Type="http://schemas.openxmlformats.org/officeDocument/2006/relationships/customXml" Target="../ink/ink6.xml"/><Relationship Id="rId51" Type="http://schemas.openxmlformats.org/officeDocument/2006/relationships/image" Target="../media/image28.png"/><Relationship Id="rId3" Type="http://schemas.openxmlformats.org/officeDocument/2006/relationships/image" Target="../media/image4.png"/><Relationship Id="rId12" Type="http://schemas.openxmlformats.org/officeDocument/2006/relationships/customXml" Target="../ink/ink8.xml"/><Relationship Id="rId17" Type="http://schemas.openxmlformats.org/officeDocument/2006/relationships/image" Target="../media/image11.png"/><Relationship Id="rId25" Type="http://schemas.openxmlformats.org/officeDocument/2006/relationships/image" Target="../media/image15.png"/><Relationship Id="rId33" Type="http://schemas.openxmlformats.org/officeDocument/2006/relationships/image" Target="../media/image19.png"/><Relationship Id="rId38" Type="http://schemas.openxmlformats.org/officeDocument/2006/relationships/customXml" Target="../ink/ink21.xml"/><Relationship Id="rId46" Type="http://schemas.openxmlformats.org/officeDocument/2006/relationships/customXml" Target="../ink/ink25.xml"/><Relationship Id="rId59" Type="http://schemas.openxmlformats.org/officeDocument/2006/relationships/image" Target="../media/image32.png"/><Relationship Id="rId20" Type="http://schemas.openxmlformats.org/officeDocument/2006/relationships/customXml" Target="../ink/ink12.xml"/><Relationship Id="rId41" Type="http://schemas.openxmlformats.org/officeDocument/2006/relationships/image" Target="../media/image23.png"/><Relationship Id="rId54" Type="http://schemas.openxmlformats.org/officeDocument/2006/relationships/customXml" Target="../ink/ink29.xml"/><Relationship Id="rId62" Type="http://schemas.openxmlformats.org/officeDocument/2006/relationships/customXml" Target="../ink/ink33.xml"/><Relationship Id="rId1" Type="http://schemas.openxmlformats.org/officeDocument/2006/relationships/image" Target="../media/image3.png"/><Relationship Id="rId6" Type="http://schemas.openxmlformats.org/officeDocument/2006/relationships/customXml" Target="../ink/ink5.xml"/><Relationship Id="rId15" Type="http://schemas.openxmlformats.org/officeDocument/2006/relationships/image" Target="../media/image10.png"/><Relationship Id="rId23" Type="http://schemas.openxmlformats.org/officeDocument/2006/relationships/image" Target="../media/image14.png"/><Relationship Id="rId28" Type="http://schemas.openxmlformats.org/officeDocument/2006/relationships/customXml" Target="../ink/ink16.xml"/><Relationship Id="rId36" Type="http://schemas.openxmlformats.org/officeDocument/2006/relationships/customXml" Target="../ink/ink20.xml"/><Relationship Id="rId49" Type="http://schemas.openxmlformats.org/officeDocument/2006/relationships/image" Target="../media/image27.png"/><Relationship Id="rId57" Type="http://schemas.openxmlformats.org/officeDocument/2006/relationships/image" Target="../media/image31.png"/><Relationship Id="rId10" Type="http://schemas.openxmlformats.org/officeDocument/2006/relationships/customXml" Target="../ink/ink7.xml"/><Relationship Id="rId31" Type="http://schemas.openxmlformats.org/officeDocument/2006/relationships/image" Target="../media/image18.png"/><Relationship Id="rId44" Type="http://schemas.openxmlformats.org/officeDocument/2006/relationships/customXml" Target="../ink/ink24.xml"/><Relationship Id="rId52" Type="http://schemas.openxmlformats.org/officeDocument/2006/relationships/customXml" Target="../ink/ink28.xml"/><Relationship Id="rId60" Type="http://schemas.openxmlformats.org/officeDocument/2006/relationships/customXml" Target="../ink/ink32.xml"/><Relationship Id="rId4" Type="http://schemas.openxmlformats.org/officeDocument/2006/relationships/customXml" Target="../ink/ink4.xml"/><Relationship Id="rId9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291305</xdr:colOff>
      <xdr:row>29</xdr:row>
      <xdr:rowOff>43929</xdr:rowOff>
    </xdr:from>
    <xdr:to>
      <xdr:col>7</xdr:col>
      <xdr:colOff>639667</xdr:colOff>
      <xdr:row>29</xdr:row>
      <xdr:rowOff>86409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94A37D2C-F224-D41A-BFD7-A77E81BCBFD4}"/>
                </a:ext>
              </a:extLst>
            </xdr14:cNvPr>
            <xdr14:cNvContentPartPr/>
          </xdr14:nvContentPartPr>
          <xdr14:nvPr macro=""/>
          <xdr14:xfrm>
            <a:off x="4413600" y="5960880"/>
            <a:ext cx="1997280" cy="42480"/>
          </xdr14:xfrm>
        </xdr:contentPart>
      </mc:Choice>
      <mc:Fallback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94A37D2C-F224-D41A-BFD7-A77E81BCBFD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4407480" y="5954760"/>
              <a:ext cx="2009520" cy="54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763507</xdr:colOff>
      <xdr:row>26</xdr:row>
      <xdr:rowOff>91188</xdr:rowOff>
    </xdr:from>
    <xdr:to>
      <xdr:col>8</xdr:col>
      <xdr:colOff>31568</xdr:colOff>
      <xdr:row>27</xdr:row>
      <xdr:rowOff>172635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F1BB1971-8926-13B2-9E29-B751C39219AE}"/>
                </a:ext>
              </a:extLst>
            </xdr14:cNvPr>
            <xdr14:cNvContentPartPr/>
          </xdr14:nvContentPartPr>
          <xdr14:nvPr macro=""/>
          <xdr14:xfrm>
            <a:off x="6534720" y="5396040"/>
            <a:ext cx="92520" cy="285480"/>
          </xdr14:xfrm>
        </xdr:contentPart>
      </mc:Choice>
      <mc:Fallback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F1BB1971-8926-13B2-9E29-B751C39219AE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6528600" y="5389920"/>
              <a:ext cx="104760" cy="2977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266464</xdr:colOff>
      <xdr:row>10</xdr:row>
      <xdr:rowOff>172137</xdr:rowOff>
    </xdr:from>
    <xdr:to>
      <xdr:col>5</xdr:col>
      <xdr:colOff>152399</xdr:colOff>
      <xdr:row>13</xdr:row>
      <xdr:rowOff>59485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D67DF5-30E9-73E5-179B-B3778582E2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92729" y="2199547"/>
          <a:ext cx="3190995" cy="495571"/>
        </a:xfrm>
        <a:prstGeom prst="rect">
          <a:avLst/>
        </a:prstGeom>
      </xdr:spPr>
    </xdr:pic>
    <xdr:clientData/>
  </xdr:twoCellAnchor>
  <xdr:twoCellAnchor editAs="oneCell">
    <xdr:from>
      <xdr:col>1</xdr:col>
      <xdr:colOff>75748</xdr:colOff>
      <xdr:row>38</xdr:row>
      <xdr:rowOff>23923</xdr:rowOff>
    </xdr:from>
    <xdr:to>
      <xdr:col>5</xdr:col>
      <xdr:colOff>400698</xdr:colOff>
      <xdr:row>40</xdr:row>
      <xdr:rowOff>150746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57201CF3-39EE-E4A7-30FB-869D64F43552}"/>
                </a:ext>
              </a:extLst>
            </xdr14:cNvPr>
            <xdr14:cNvContentPartPr/>
          </xdr14:nvContentPartPr>
          <xdr14:nvPr macro=""/>
          <xdr14:xfrm>
            <a:off x="899640" y="7812720"/>
            <a:ext cx="3620520" cy="536760"/>
          </xdr14:xfrm>
        </xdr:contentPart>
      </mc:Choice>
      <mc:Fallback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57201CF3-39EE-E4A7-30FB-869D64F43552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893521" y="7806600"/>
              <a:ext cx="3632759" cy="549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128308</xdr:colOff>
      <xdr:row>37</xdr:row>
      <xdr:rowOff>6051</xdr:rowOff>
    </xdr:from>
    <xdr:to>
      <xdr:col>5</xdr:col>
      <xdr:colOff>520938</xdr:colOff>
      <xdr:row>38</xdr:row>
      <xdr:rowOff>36523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4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380ACC78-023D-E6BD-2488-14560ABDD119}"/>
                </a:ext>
              </a:extLst>
            </xdr14:cNvPr>
            <xdr14:cNvContentPartPr/>
          </xdr14:nvContentPartPr>
          <xdr14:nvPr macro=""/>
          <xdr14:xfrm>
            <a:off x="952200" y="7589880"/>
            <a:ext cx="3688200" cy="235440"/>
          </xdr14:xfrm>
        </xdr:contentPart>
      </mc:Choice>
      <mc:Fallback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380ACC78-023D-E6BD-2488-14560ABDD119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943559" y="7536240"/>
              <a:ext cx="3705842" cy="34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33988</xdr:colOff>
      <xdr:row>40</xdr:row>
      <xdr:rowOff>182426</xdr:rowOff>
    </xdr:from>
    <xdr:to>
      <xdr:col>5</xdr:col>
      <xdr:colOff>377658</xdr:colOff>
      <xdr:row>42</xdr:row>
      <xdr:rowOff>70569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6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C227F2F6-9D66-76FD-1817-CD5A6797DE19}"/>
                </a:ext>
              </a:extLst>
            </xdr14:cNvPr>
            <xdr14:cNvContentPartPr/>
          </xdr14:nvContentPartPr>
          <xdr14:nvPr macro=""/>
          <xdr14:xfrm>
            <a:off x="857880" y="8381160"/>
            <a:ext cx="3639240" cy="298080"/>
          </xdr14:xfrm>
        </xdr:contentPart>
      </mc:Choice>
      <mc:Fallback>
        <xdr:pic>
          <xdr:nvPicPr>
            <xdr:cNvPr id="16" name="Ink 15">
              <a:extLst>
                <a:ext uri="{FF2B5EF4-FFF2-40B4-BE49-F238E27FC236}">
                  <a16:creationId xmlns:a16="http://schemas.microsoft.com/office/drawing/2014/main" id="{C227F2F6-9D66-76FD-1817-CD5A6797DE19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849240" y="8327160"/>
              <a:ext cx="3656880" cy="405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129028</xdr:colOff>
      <xdr:row>45</xdr:row>
      <xdr:rowOff>114824</xdr:rowOff>
    </xdr:from>
    <xdr:to>
      <xdr:col>4</xdr:col>
      <xdr:colOff>332870</xdr:colOff>
      <xdr:row>49</xdr:row>
      <xdr:rowOff>39791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8">
          <xdr14:nvContentPartPr>
            <xdr14:cNvPr id="27" name="Ink 26">
              <a:extLst>
                <a:ext uri="{FF2B5EF4-FFF2-40B4-BE49-F238E27FC236}">
                  <a16:creationId xmlns:a16="http://schemas.microsoft.com/office/drawing/2014/main" id="{DC84DF24-D6B2-B55E-5D89-1BA1DC7E78AF}"/>
                </a:ext>
              </a:extLst>
            </xdr14:cNvPr>
            <xdr14:cNvContentPartPr/>
          </xdr14:nvContentPartPr>
          <xdr14:nvPr macro=""/>
          <xdr14:xfrm>
            <a:off x="952920" y="9338400"/>
            <a:ext cx="2675520" cy="744840"/>
          </xdr14:xfrm>
        </xdr:contentPart>
      </mc:Choice>
      <mc:Fallback>
        <xdr:pic>
          <xdr:nvPicPr>
            <xdr:cNvPr id="27" name="Ink 26">
              <a:extLst>
                <a:ext uri="{FF2B5EF4-FFF2-40B4-BE49-F238E27FC236}">
                  <a16:creationId xmlns:a16="http://schemas.microsoft.com/office/drawing/2014/main" id="{DC84DF24-D6B2-B55E-5D89-1BA1DC7E78AF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944280" y="9284760"/>
              <a:ext cx="2693160" cy="852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361800</xdr:colOff>
      <xdr:row>43</xdr:row>
      <xdr:rowOff>129121</xdr:rowOff>
    </xdr:from>
    <xdr:to>
      <xdr:col>1</xdr:col>
      <xdr:colOff>91228</xdr:colOff>
      <xdr:row>46</xdr:row>
      <xdr:rowOff>96696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10">
          <xdr14:nvContentPartPr>
            <xdr14:cNvPr id="30" name="Ink 29">
              <a:extLst>
                <a:ext uri="{FF2B5EF4-FFF2-40B4-BE49-F238E27FC236}">
                  <a16:creationId xmlns:a16="http://schemas.microsoft.com/office/drawing/2014/main" id="{E0FD7D9B-2C91-DC2C-6256-2FB6E3805107}"/>
                </a:ext>
              </a:extLst>
            </xdr14:cNvPr>
            <xdr14:cNvContentPartPr/>
          </xdr14:nvContentPartPr>
          <xdr14:nvPr macro=""/>
          <xdr14:xfrm>
            <a:off x="361800" y="8942760"/>
            <a:ext cx="553320" cy="582480"/>
          </xdr14:xfrm>
        </xdr:contentPart>
      </mc:Choice>
      <mc:Fallback>
        <xdr:pic>
          <xdr:nvPicPr>
            <xdr:cNvPr id="30" name="Ink 29">
              <a:extLst>
                <a:ext uri="{FF2B5EF4-FFF2-40B4-BE49-F238E27FC236}">
                  <a16:creationId xmlns:a16="http://schemas.microsoft.com/office/drawing/2014/main" id="{E0FD7D9B-2C91-DC2C-6256-2FB6E3805107}"/>
                </a:ext>
              </a:extLst>
            </xdr:cNvPr>
            <xdr:cNvPicPr/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352800" y="8888760"/>
              <a:ext cx="570960" cy="690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334800</xdr:colOff>
      <xdr:row>44</xdr:row>
      <xdr:rowOff>136552</xdr:rowOff>
    </xdr:from>
    <xdr:to>
      <xdr:col>0</xdr:col>
      <xdr:colOff>740520</xdr:colOff>
      <xdr:row>45</xdr:row>
      <xdr:rowOff>202304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">
          <xdr14:nvContentPartPr>
            <xdr14:cNvPr id="31" name="Ink 30">
              <a:extLst>
                <a:ext uri="{FF2B5EF4-FFF2-40B4-BE49-F238E27FC236}">
                  <a16:creationId xmlns:a16="http://schemas.microsoft.com/office/drawing/2014/main" id="{8670B0A0-6CD9-8C94-3EB2-170A583A0F55}"/>
                </a:ext>
              </a:extLst>
            </xdr14:cNvPr>
            <xdr14:cNvContentPartPr/>
          </xdr14:nvContentPartPr>
          <xdr14:nvPr macro=""/>
          <xdr14:xfrm>
            <a:off x="334800" y="9155160"/>
            <a:ext cx="405720" cy="270720"/>
          </xdr14:xfrm>
        </xdr:contentPart>
      </mc:Choice>
      <mc:Fallback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8670B0A0-6CD9-8C94-3EB2-170A583A0F55}"/>
                </a:ext>
              </a:extLst>
            </xdr:cNvPr>
            <xdr:cNvPicPr/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326160" y="9146520"/>
              <a:ext cx="423360" cy="288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329188</xdr:colOff>
      <xdr:row>43</xdr:row>
      <xdr:rowOff>139201</xdr:rowOff>
    </xdr:from>
    <xdr:to>
      <xdr:col>1</xdr:col>
      <xdr:colOff>774508</xdr:colOff>
      <xdr:row>45</xdr:row>
      <xdr:rowOff>182144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14">
          <xdr14:nvContentPartPr>
            <xdr14:cNvPr id="32" name="Ink 31">
              <a:extLst>
                <a:ext uri="{FF2B5EF4-FFF2-40B4-BE49-F238E27FC236}">
                  <a16:creationId xmlns:a16="http://schemas.microsoft.com/office/drawing/2014/main" id="{5E7AEF07-9BAF-2F65-F140-055073F4DDA1}"/>
                </a:ext>
              </a:extLst>
            </xdr14:cNvPr>
            <xdr14:cNvContentPartPr/>
          </xdr14:nvContentPartPr>
          <xdr14:nvPr macro=""/>
          <xdr14:xfrm>
            <a:off x="1153080" y="8952840"/>
            <a:ext cx="445320" cy="452880"/>
          </xdr14:xfrm>
        </xdr:contentPart>
      </mc:Choice>
      <mc:Fallback>
        <xdr:pic>
          <xdr:nvPicPr>
            <xdr:cNvPr id="32" name="Ink 31">
              <a:extLst>
                <a:ext uri="{FF2B5EF4-FFF2-40B4-BE49-F238E27FC236}">
                  <a16:creationId xmlns:a16="http://schemas.microsoft.com/office/drawing/2014/main" id="{5E7AEF07-9BAF-2F65-F140-055073F4DDA1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1144440" y="8898840"/>
              <a:ext cx="462960" cy="560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140548</xdr:colOff>
      <xdr:row>46</xdr:row>
      <xdr:rowOff>64296</xdr:rowOff>
    </xdr:from>
    <xdr:to>
      <xdr:col>1</xdr:col>
      <xdr:colOff>140908</xdr:colOff>
      <xdr:row>46</xdr:row>
      <xdr:rowOff>64656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">
          <xdr14:nvContentPartPr>
            <xdr14:cNvPr id="33" name="Ink 32">
              <a:extLst>
                <a:ext uri="{FF2B5EF4-FFF2-40B4-BE49-F238E27FC236}">
                  <a16:creationId xmlns:a16="http://schemas.microsoft.com/office/drawing/2014/main" id="{3DA6273B-B3AE-0245-7E1D-C4458477BEB6}"/>
                </a:ext>
              </a:extLst>
            </xdr14:cNvPr>
            <xdr14:cNvContentPartPr/>
          </xdr14:nvContentPartPr>
          <xdr14:nvPr macro=""/>
          <xdr14:xfrm>
            <a:off x="964440" y="9492840"/>
            <a:ext cx="360" cy="360"/>
          </xdr14:xfrm>
        </xdr:contentPart>
      </mc:Choice>
      <mc:Fallback>
        <xdr:pic>
          <xdr:nvPicPr>
            <xdr:cNvPr id="33" name="Ink 32">
              <a:extLst>
                <a:ext uri="{FF2B5EF4-FFF2-40B4-BE49-F238E27FC236}">
                  <a16:creationId xmlns:a16="http://schemas.microsoft.com/office/drawing/2014/main" id="{3DA6273B-B3AE-0245-7E1D-C4458477BEB6}"/>
                </a:ext>
              </a:extLst>
            </xdr:cNvPr>
            <xdr:cNvPicPr/>
          </xdr:nvPicPr>
          <xdr:blipFill>
            <a:blip xmlns:r="http://schemas.openxmlformats.org/officeDocument/2006/relationships" r:embed="rId17"/>
            <a:stretch>
              <a:fillRect/>
            </a:stretch>
          </xdr:blipFill>
          <xdr:spPr>
            <a:xfrm>
              <a:off x="955800" y="948420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75470</xdr:colOff>
      <xdr:row>46</xdr:row>
      <xdr:rowOff>149616</xdr:rowOff>
    </xdr:from>
    <xdr:to>
      <xdr:col>4</xdr:col>
      <xdr:colOff>76910</xdr:colOff>
      <xdr:row>47</xdr:row>
      <xdr:rowOff>115287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">
          <xdr14:nvContentPartPr>
            <xdr14:cNvPr id="34" name="Ink 33">
              <a:extLst>
                <a:ext uri="{FF2B5EF4-FFF2-40B4-BE49-F238E27FC236}">
                  <a16:creationId xmlns:a16="http://schemas.microsoft.com/office/drawing/2014/main" id="{D3FDE14C-7281-9C9B-BAB0-16A533CBA81E}"/>
                </a:ext>
              </a:extLst>
            </xdr14:cNvPr>
            <xdr14:cNvContentPartPr/>
          </xdr14:nvContentPartPr>
          <xdr14:nvPr macro=""/>
          <xdr14:xfrm>
            <a:off x="3371040" y="9578160"/>
            <a:ext cx="1440" cy="170640"/>
          </xdr14:xfrm>
        </xdr:contentPart>
      </mc:Choice>
      <mc:Fallback>
        <xdr:pic>
          <xdr:nvPicPr>
            <xdr:cNvPr id="34" name="Ink 33">
              <a:extLst>
                <a:ext uri="{FF2B5EF4-FFF2-40B4-BE49-F238E27FC236}">
                  <a16:creationId xmlns:a16="http://schemas.microsoft.com/office/drawing/2014/main" id="{D3FDE14C-7281-9C9B-BAB0-16A533CBA81E}"/>
                </a:ext>
              </a:extLst>
            </xdr:cNvPr>
            <xdr:cNvPicPr/>
          </xdr:nvPicPr>
          <xdr:blipFill>
            <a:blip xmlns:r="http://schemas.openxmlformats.org/officeDocument/2006/relationships" r:embed="rId19"/>
            <a:stretch>
              <a:fillRect/>
            </a:stretch>
          </xdr:blipFill>
          <xdr:spPr>
            <a:xfrm>
              <a:off x="3362400" y="9569520"/>
              <a:ext cx="19080" cy="188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587095</xdr:colOff>
      <xdr:row>46</xdr:row>
      <xdr:rowOff>35136</xdr:rowOff>
    </xdr:from>
    <xdr:to>
      <xdr:col>2</xdr:col>
      <xdr:colOff>595375</xdr:colOff>
      <xdr:row>47</xdr:row>
      <xdr:rowOff>113127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0">
          <xdr14:nvContentPartPr>
            <xdr14:cNvPr id="35" name="Ink 34">
              <a:extLst>
                <a:ext uri="{FF2B5EF4-FFF2-40B4-BE49-F238E27FC236}">
                  <a16:creationId xmlns:a16="http://schemas.microsoft.com/office/drawing/2014/main" id="{A880454B-FC2E-5465-4B1D-C3CA70D30B5C}"/>
                </a:ext>
              </a:extLst>
            </xdr14:cNvPr>
            <xdr14:cNvContentPartPr/>
          </xdr14:nvContentPartPr>
          <xdr14:nvPr macro=""/>
          <xdr14:xfrm>
            <a:off x="2234880" y="9463680"/>
            <a:ext cx="8280" cy="282960"/>
          </xdr14:xfrm>
        </xdr:contentPart>
      </mc:Choice>
      <mc:Fallback>
        <xdr:pic>
          <xdr:nvPicPr>
            <xdr:cNvPr id="35" name="Ink 34">
              <a:extLst>
                <a:ext uri="{FF2B5EF4-FFF2-40B4-BE49-F238E27FC236}">
                  <a16:creationId xmlns:a16="http://schemas.microsoft.com/office/drawing/2014/main" id="{A880454B-FC2E-5465-4B1D-C3CA70D30B5C}"/>
                </a:ext>
              </a:extLst>
            </xdr:cNvPr>
            <xdr:cNvPicPr/>
          </xdr:nvPicPr>
          <xdr:blipFill>
            <a:blip xmlns:r="http://schemas.openxmlformats.org/officeDocument/2006/relationships" r:embed="rId21"/>
            <a:stretch>
              <a:fillRect/>
            </a:stretch>
          </xdr:blipFill>
          <xdr:spPr>
            <a:xfrm>
              <a:off x="2225880" y="9455040"/>
              <a:ext cx="25920" cy="30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147028</xdr:colOff>
      <xdr:row>44</xdr:row>
      <xdr:rowOff>186232</xdr:rowOff>
    </xdr:from>
    <xdr:to>
      <xdr:col>2</xdr:col>
      <xdr:colOff>611935</xdr:colOff>
      <xdr:row>46</xdr:row>
      <xdr:rowOff>27216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2">
          <xdr14:nvContentPartPr>
            <xdr14:cNvPr id="36" name="Ink 35">
              <a:extLst>
                <a:ext uri="{FF2B5EF4-FFF2-40B4-BE49-F238E27FC236}">
                  <a16:creationId xmlns:a16="http://schemas.microsoft.com/office/drawing/2014/main" id="{02A52AF2-73EA-499B-C523-0BC77965D6D7}"/>
                </a:ext>
              </a:extLst>
            </xdr14:cNvPr>
            <xdr14:cNvContentPartPr/>
          </xdr14:nvContentPartPr>
          <xdr14:nvPr macro=""/>
          <xdr14:xfrm>
            <a:off x="970920" y="9204840"/>
            <a:ext cx="1288800" cy="250920"/>
          </xdr14:xfrm>
        </xdr:contentPart>
      </mc:Choice>
      <mc:Fallback>
        <xdr:pic>
          <xdr:nvPicPr>
            <xdr:cNvPr id="36" name="Ink 35">
              <a:extLst>
                <a:ext uri="{FF2B5EF4-FFF2-40B4-BE49-F238E27FC236}">
                  <a16:creationId xmlns:a16="http://schemas.microsoft.com/office/drawing/2014/main" id="{02A52AF2-73EA-499B-C523-0BC77965D6D7}"/>
                </a:ext>
              </a:extLst>
            </xdr:cNvPr>
            <xdr:cNvPicPr/>
          </xdr:nvPicPr>
          <xdr:blipFill>
            <a:blip xmlns:r="http://schemas.openxmlformats.org/officeDocument/2006/relationships" r:embed="rId23"/>
            <a:stretch>
              <a:fillRect/>
            </a:stretch>
          </xdr:blipFill>
          <xdr:spPr>
            <a:xfrm>
              <a:off x="962280" y="9196200"/>
              <a:ext cx="1306440" cy="268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530935</xdr:colOff>
      <xdr:row>43</xdr:row>
      <xdr:rowOff>199681</xdr:rowOff>
    </xdr:from>
    <xdr:to>
      <xdr:col>2</xdr:col>
      <xdr:colOff>765295</xdr:colOff>
      <xdr:row>44</xdr:row>
      <xdr:rowOff>204232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4">
          <xdr14:nvContentPartPr>
            <xdr14:cNvPr id="37" name="Ink 36">
              <a:extLst>
                <a:ext uri="{FF2B5EF4-FFF2-40B4-BE49-F238E27FC236}">
                  <a16:creationId xmlns:a16="http://schemas.microsoft.com/office/drawing/2014/main" id="{3C11DA82-8A52-EEDE-5BBA-334A1F4BC2AB}"/>
                </a:ext>
              </a:extLst>
            </xdr14:cNvPr>
            <xdr14:cNvContentPartPr/>
          </xdr14:nvContentPartPr>
          <xdr14:nvPr macro=""/>
          <xdr14:xfrm>
            <a:off x="2178720" y="9013320"/>
            <a:ext cx="234360" cy="209520"/>
          </xdr14:xfrm>
        </xdr:contentPart>
      </mc:Choice>
      <mc:Fallback>
        <xdr:pic>
          <xdr:nvPicPr>
            <xdr:cNvPr id="37" name="Ink 36">
              <a:extLst>
                <a:ext uri="{FF2B5EF4-FFF2-40B4-BE49-F238E27FC236}">
                  <a16:creationId xmlns:a16="http://schemas.microsoft.com/office/drawing/2014/main" id="{3C11DA82-8A52-EEDE-5BBA-334A1F4BC2AB}"/>
                </a:ext>
              </a:extLst>
            </xdr:cNvPr>
            <xdr:cNvPicPr/>
          </xdr:nvPicPr>
          <xdr:blipFill>
            <a:blip xmlns:r="http://schemas.openxmlformats.org/officeDocument/2006/relationships" r:embed="rId25"/>
            <a:stretch>
              <a:fillRect/>
            </a:stretch>
          </xdr:blipFill>
          <xdr:spPr>
            <a:xfrm>
              <a:off x="2170080" y="9004680"/>
              <a:ext cx="252000" cy="227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411055</xdr:colOff>
      <xdr:row>49</xdr:row>
      <xdr:rowOff>49871</xdr:rowOff>
    </xdr:from>
    <xdr:to>
      <xdr:col>3</xdr:col>
      <xdr:colOff>152723</xdr:colOff>
      <xdr:row>51</xdr:row>
      <xdr:rowOff>122334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6">
          <xdr14:nvContentPartPr>
            <xdr14:cNvPr id="38" name="Ink 37">
              <a:extLst>
                <a:ext uri="{FF2B5EF4-FFF2-40B4-BE49-F238E27FC236}">
                  <a16:creationId xmlns:a16="http://schemas.microsoft.com/office/drawing/2014/main" id="{741703BD-33EA-B3C8-46D0-F8658A60659C}"/>
                </a:ext>
              </a:extLst>
            </xdr14:cNvPr>
            <xdr14:cNvContentPartPr/>
          </xdr14:nvContentPartPr>
          <xdr14:nvPr macro=""/>
          <xdr14:xfrm>
            <a:off x="2058840" y="10093320"/>
            <a:ext cx="565560" cy="482400"/>
          </xdr14:xfrm>
        </xdr:contentPart>
      </mc:Choice>
      <mc:Fallback>
        <xdr:pic>
          <xdr:nvPicPr>
            <xdr:cNvPr id="38" name="Ink 37">
              <a:extLst>
                <a:ext uri="{FF2B5EF4-FFF2-40B4-BE49-F238E27FC236}">
                  <a16:creationId xmlns:a16="http://schemas.microsoft.com/office/drawing/2014/main" id="{741703BD-33EA-B3C8-46D0-F8658A60659C}"/>
                </a:ext>
              </a:extLst>
            </xdr:cNvPr>
            <xdr:cNvPicPr/>
          </xdr:nvPicPr>
          <xdr:blipFill>
            <a:blip xmlns:r="http://schemas.openxmlformats.org/officeDocument/2006/relationships" r:embed="rId27"/>
            <a:stretch>
              <a:fillRect/>
            </a:stretch>
          </xdr:blipFill>
          <xdr:spPr>
            <a:xfrm>
              <a:off x="2052720" y="10087200"/>
              <a:ext cx="577800" cy="494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234295</xdr:colOff>
      <xdr:row>43</xdr:row>
      <xdr:rowOff>56761</xdr:rowOff>
    </xdr:from>
    <xdr:to>
      <xdr:col>2</xdr:col>
      <xdr:colOff>344455</xdr:colOff>
      <xdr:row>43</xdr:row>
      <xdr:rowOff>138481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8">
          <xdr14:nvContentPartPr>
            <xdr14:cNvPr id="39" name="Ink 38">
              <a:extLst>
                <a:ext uri="{FF2B5EF4-FFF2-40B4-BE49-F238E27FC236}">
                  <a16:creationId xmlns:a16="http://schemas.microsoft.com/office/drawing/2014/main" id="{3D345829-7DCC-2D1C-E89D-54A50865326A}"/>
                </a:ext>
              </a:extLst>
            </xdr14:cNvPr>
            <xdr14:cNvContentPartPr/>
          </xdr14:nvContentPartPr>
          <xdr14:nvPr macro=""/>
          <xdr14:xfrm>
            <a:off x="1882080" y="8870400"/>
            <a:ext cx="110160" cy="81720"/>
          </xdr14:xfrm>
        </xdr:contentPart>
      </mc:Choice>
      <mc:Fallback>
        <xdr:pic>
          <xdr:nvPicPr>
            <xdr:cNvPr id="39" name="Ink 38">
              <a:extLst>
                <a:ext uri="{FF2B5EF4-FFF2-40B4-BE49-F238E27FC236}">
                  <a16:creationId xmlns:a16="http://schemas.microsoft.com/office/drawing/2014/main" id="{3D345829-7DCC-2D1C-E89D-54A50865326A}"/>
                </a:ext>
              </a:extLst>
            </xdr:cNvPr>
            <xdr:cNvPicPr/>
          </xdr:nvPicPr>
          <xdr:blipFill>
            <a:blip xmlns:r="http://schemas.openxmlformats.org/officeDocument/2006/relationships" r:embed="rId29"/>
            <a:stretch>
              <a:fillRect/>
            </a:stretch>
          </xdr:blipFill>
          <xdr:spPr>
            <a:xfrm>
              <a:off x="1875960" y="8864280"/>
              <a:ext cx="122400" cy="93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688255</xdr:colOff>
      <xdr:row>46</xdr:row>
      <xdr:rowOff>148896</xdr:rowOff>
    </xdr:from>
    <xdr:to>
      <xdr:col>4</xdr:col>
      <xdr:colOff>365270</xdr:colOff>
      <xdr:row>48</xdr:row>
      <xdr:rowOff>7159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0">
          <xdr14:nvContentPartPr>
            <xdr14:cNvPr id="42" name="Ink 41">
              <a:extLst>
                <a:ext uri="{FF2B5EF4-FFF2-40B4-BE49-F238E27FC236}">
                  <a16:creationId xmlns:a16="http://schemas.microsoft.com/office/drawing/2014/main" id="{52D2A4C7-CB61-E05E-D7FC-C5C13945EB04}"/>
                </a:ext>
              </a:extLst>
            </xdr14:cNvPr>
            <xdr14:cNvContentPartPr/>
          </xdr14:nvContentPartPr>
          <xdr14:nvPr macro=""/>
          <xdr14:xfrm>
            <a:off x="2336040" y="9577440"/>
            <a:ext cx="1324800" cy="268200"/>
          </xdr14:xfrm>
        </xdr:contentPart>
      </mc:Choice>
      <mc:Fallback>
        <xdr:pic>
          <xdr:nvPicPr>
            <xdr:cNvPr id="42" name="Ink 41">
              <a:extLst>
                <a:ext uri="{FF2B5EF4-FFF2-40B4-BE49-F238E27FC236}">
                  <a16:creationId xmlns:a16="http://schemas.microsoft.com/office/drawing/2014/main" id="{52D2A4C7-CB61-E05E-D7FC-C5C13945EB04}"/>
                </a:ext>
              </a:extLst>
            </xdr:cNvPr>
            <xdr:cNvPicPr/>
          </xdr:nvPicPr>
          <xdr:blipFill>
            <a:blip xmlns:r="http://schemas.openxmlformats.org/officeDocument/2006/relationships" r:embed="rId31"/>
            <a:stretch>
              <a:fillRect/>
            </a:stretch>
          </xdr:blipFill>
          <xdr:spPr>
            <a:xfrm>
              <a:off x="2329920" y="9571328"/>
              <a:ext cx="1337040" cy="28042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425603</xdr:colOff>
      <xdr:row>44</xdr:row>
      <xdr:rowOff>27112</xdr:rowOff>
    </xdr:from>
    <xdr:to>
      <xdr:col>3</xdr:col>
      <xdr:colOff>594803</xdr:colOff>
      <xdr:row>44</xdr:row>
      <xdr:rowOff>194512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2">
          <xdr14:nvContentPartPr>
            <xdr14:cNvPr id="43" name="Ink 42">
              <a:extLst>
                <a:ext uri="{FF2B5EF4-FFF2-40B4-BE49-F238E27FC236}">
                  <a16:creationId xmlns:a16="http://schemas.microsoft.com/office/drawing/2014/main" id="{23C67D0C-EF00-930A-AE91-691043C5B6A5}"/>
                </a:ext>
              </a:extLst>
            </xdr14:cNvPr>
            <xdr14:cNvContentPartPr/>
          </xdr14:nvContentPartPr>
          <xdr14:nvPr macro=""/>
          <xdr14:xfrm>
            <a:off x="2897280" y="9045720"/>
            <a:ext cx="169200" cy="167400"/>
          </xdr14:xfrm>
        </xdr:contentPart>
      </mc:Choice>
      <mc:Fallback>
        <xdr:pic>
          <xdr:nvPicPr>
            <xdr:cNvPr id="43" name="Ink 42">
              <a:extLst>
                <a:ext uri="{FF2B5EF4-FFF2-40B4-BE49-F238E27FC236}">
                  <a16:creationId xmlns:a16="http://schemas.microsoft.com/office/drawing/2014/main" id="{23C67D0C-EF00-930A-AE91-691043C5B6A5}"/>
                </a:ext>
              </a:extLst>
            </xdr:cNvPr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2891160" y="9039600"/>
              <a:ext cx="181440" cy="179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649015</xdr:colOff>
      <xdr:row>45</xdr:row>
      <xdr:rowOff>75944</xdr:rowOff>
    </xdr:from>
    <xdr:to>
      <xdr:col>3</xdr:col>
      <xdr:colOff>391403</xdr:colOff>
      <xdr:row>45</xdr:row>
      <xdr:rowOff>180704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4">
          <xdr14:nvContentPartPr>
            <xdr14:cNvPr id="44" name="Ink 43">
              <a:extLst>
                <a:ext uri="{FF2B5EF4-FFF2-40B4-BE49-F238E27FC236}">
                  <a16:creationId xmlns:a16="http://schemas.microsoft.com/office/drawing/2014/main" id="{4F26F119-4875-5BD9-9B9B-BEDC7F7A7CAF}"/>
                </a:ext>
              </a:extLst>
            </xdr14:cNvPr>
            <xdr14:cNvContentPartPr/>
          </xdr14:nvContentPartPr>
          <xdr14:nvPr macro=""/>
          <xdr14:xfrm>
            <a:off x="2296800" y="9299520"/>
            <a:ext cx="566280" cy="104760"/>
          </xdr14:xfrm>
        </xdr:contentPart>
      </mc:Choice>
      <mc:Fallback>
        <xdr:pic>
          <xdr:nvPicPr>
            <xdr:cNvPr id="44" name="Ink 43">
              <a:extLst>
                <a:ext uri="{FF2B5EF4-FFF2-40B4-BE49-F238E27FC236}">
                  <a16:creationId xmlns:a16="http://schemas.microsoft.com/office/drawing/2014/main" id="{4F26F119-4875-5BD9-9B9B-BEDC7F7A7CAF}"/>
                </a:ext>
              </a:extLst>
            </xdr:cNvPr>
            <xdr:cNvPicPr/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2290680" y="9293400"/>
              <a:ext cx="578520" cy="117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565643</xdr:colOff>
      <xdr:row>45</xdr:row>
      <xdr:rowOff>160184</xdr:rowOff>
    </xdr:from>
    <xdr:to>
      <xdr:col>4</xdr:col>
      <xdr:colOff>255110</xdr:colOff>
      <xdr:row>46</xdr:row>
      <xdr:rowOff>79056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6">
          <xdr14:nvContentPartPr>
            <xdr14:cNvPr id="45" name="Ink 44">
              <a:extLst>
                <a:ext uri="{FF2B5EF4-FFF2-40B4-BE49-F238E27FC236}">
                  <a16:creationId xmlns:a16="http://schemas.microsoft.com/office/drawing/2014/main" id="{2AE08253-6030-4AD5-A2B8-93AFB722F00E}"/>
                </a:ext>
              </a:extLst>
            </xdr14:cNvPr>
            <xdr14:cNvContentPartPr/>
          </xdr14:nvContentPartPr>
          <xdr14:nvPr macro=""/>
          <xdr14:xfrm>
            <a:off x="3037320" y="9383760"/>
            <a:ext cx="513360" cy="123840"/>
          </xdr14:xfrm>
        </xdr:contentPart>
      </mc:Choice>
      <mc:Fallback>
        <xdr:pic>
          <xdr:nvPicPr>
            <xdr:cNvPr id="45" name="Ink 44">
              <a:extLst>
                <a:ext uri="{FF2B5EF4-FFF2-40B4-BE49-F238E27FC236}">
                  <a16:creationId xmlns:a16="http://schemas.microsoft.com/office/drawing/2014/main" id="{2AE08253-6030-4AD5-A2B8-93AFB722F00E}"/>
                </a:ext>
              </a:extLst>
            </xdr:cNvPr>
            <xdr:cNvPicPr/>
          </xdr:nvPicPr>
          <xdr:blipFill>
            <a:blip xmlns:r="http://schemas.openxmlformats.org/officeDocument/2006/relationships" r:embed="rId37"/>
            <a:stretch>
              <a:fillRect/>
            </a:stretch>
          </xdr:blipFill>
          <xdr:spPr>
            <a:xfrm>
              <a:off x="2983320" y="9275760"/>
              <a:ext cx="621000" cy="339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447923</xdr:colOff>
      <xdr:row>47</xdr:row>
      <xdr:rowOff>73167</xdr:rowOff>
    </xdr:from>
    <xdr:to>
      <xdr:col>3</xdr:col>
      <xdr:colOff>550523</xdr:colOff>
      <xdr:row>47</xdr:row>
      <xdr:rowOff>143007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8">
          <xdr14:nvContentPartPr>
            <xdr14:cNvPr id="46" name="Ink 45">
              <a:extLst>
                <a:ext uri="{FF2B5EF4-FFF2-40B4-BE49-F238E27FC236}">
                  <a16:creationId xmlns:a16="http://schemas.microsoft.com/office/drawing/2014/main" id="{68547197-9E17-8FF4-5858-3B4A31F861FE}"/>
                </a:ext>
              </a:extLst>
            </xdr14:cNvPr>
            <xdr14:cNvContentPartPr/>
          </xdr14:nvContentPartPr>
          <xdr14:nvPr macro=""/>
          <xdr14:xfrm>
            <a:off x="2919600" y="9706680"/>
            <a:ext cx="102600" cy="69840"/>
          </xdr14:xfrm>
        </xdr:contentPart>
      </mc:Choice>
      <mc:Fallback>
        <xdr:pic>
          <xdr:nvPicPr>
            <xdr:cNvPr id="46" name="Ink 45">
              <a:extLst>
                <a:ext uri="{FF2B5EF4-FFF2-40B4-BE49-F238E27FC236}">
                  <a16:creationId xmlns:a16="http://schemas.microsoft.com/office/drawing/2014/main" id="{68547197-9E17-8FF4-5858-3B4A31F861FE}"/>
                </a:ext>
              </a:extLst>
            </xdr:cNvPr>
            <xdr:cNvPicPr/>
          </xdr:nvPicPr>
          <xdr:blipFill>
            <a:blip xmlns:r="http://schemas.openxmlformats.org/officeDocument/2006/relationships" r:embed="rId39"/>
            <a:stretch>
              <a:fillRect/>
            </a:stretch>
          </xdr:blipFill>
          <xdr:spPr>
            <a:xfrm>
              <a:off x="2910960" y="9698040"/>
              <a:ext cx="120240" cy="87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625615</xdr:colOff>
      <xdr:row>47</xdr:row>
      <xdr:rowOff>99807</xdr:rowOff>
    </xdr:from>
    <xdr:to>
      <xdr:col>3</xdr:col>
      <xdr:colOff>341003</xdr:colOff>
      <xdr:row>47</xdr:row>
      <xdr:rowOff>133647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0">
          <xdr14:nvContentPartPr>
            <xdr14:cNvPr id="47" name="Ink 46">
              <a:extLst>
                <a:ext uri="{FF2B5EF4-FFF2-40B4-BE49-F238E27FC236}">
                  <a16:creationId xmlns:a16="http://schemas.microsoft.com/office/drawing/2014/main" id="{76105DC3-6AAA-7D8B-CE75-B3A29F8A8EEA}"/>
                </a:ext>
              </a:extLst>
            </xdr14:cNvPr>
            <xdr14:cNvContentPartPr/>
          </xdr14:nvContentPartPr>
          <xdr14:nvPr macro=""/>
          <xdr14:xfrm>
            <a:off x="2273400" y="9733320"/>
            <a:ext cx="539280" cy="33840"/>
          </xdr14:xfrm>
        </xdr:contentPart>
      </mc:Choice>
      <mc:Fallback>
        <xdr:pic>
          <xdr:nvPicPr>
            <xdr:cNvPr id="47" name="Ink 46">
              <a:extLst>
                <a:ext uri="{FF2B5EF4-FFF2-40B4-BE49-F238E27FC236}">
                  <a16:creationId xmlns:a16="http://schemas.microsoft.com/office/drawing/2014/main" id="{76105DC3-6AAA-7D8B-CE75-B3A29F8A8EEA}"/>
                </a:ext>
              </a:extLst>
            </xdr:cNvPr>
            <xdr:cNvPicPr/>
          </xdr:nvPicPr>
          <xdr:blipFill>
            <a:blip xmlns:r="http://schemas.openxmlformats.org/officeDocument/2006/relationships" r:embed="rId41"/>
            <a:stretch>
              <a:fillRect/>
            </a:stretch>
          </xdr:blipFill>
          <xdr:spPr>
            <a:xfrm>
              <a:off x="2219400" y="9625320"/>
              <a:ext cx="646920" cy="249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223218</xdr:colOff>
      <xdr:row>47</xdr:row>
      <xdr:rowOff>66327</xdr:rowOff>
    </xdr:from>
    <xdr:to>
      <xdr:col>5</xdr:col>
      <xdr:colOff>223578</xdr:colOff>
      <xdr:row>47</xdr:row>
      <xdr:rowOff>66687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2">
          <xdr14:nvContentPartPr>
            <xdr14:cNvPr id="48" name="Ink 47">
              <a:extLst>
                <a:ext uri="{FF2B5EF4-FFF2-40B4-BE49-F238E27FC236}">
                  <a16:creationId xmlns:a16="http://schemas.microsoft.com/office/drawing/2014/main" id="{29A0EE5E-911D-7F8F-8309-1FB54FEB1FAD}"/>
                </a:ext>
              </a:extLst>
            </xdr14:cNvPr>
            <xdr14:cNvContentPartPr/>
          </xdr14:nvContentPartPr>
          <xdr14:nvPr macro=""/>
          <xdr14:xfrm>
            <a:off x="4342680" y="9699840"/>
            <a:ext cx="360" cy="360"/>
          </xdr14:xfrm>
        </xdr:contentPart>
      </mc:Choice>
      <mc:Fallback>
        <xdr:pic>
          <xdr:nvPicPr>
            <xdr:cNvPr id="48" name="Ink 47">
              <a:extLst>
                <a:ext uri="{FF2B5EF4-FFF2-40B4-BE49-F238E27FC236}">
                  <a16:creationId xmlns:a16="http://schemas.microsoft.com/office/drawing/2014/main" id="{29A0EE5E-911D-7F8F-8309-1FB54FEB1FAD}"/>
                </a:ext>
              </a:extLst>
            </xdr:cNvPr>
            <xdr:cNvPicPr/>
          </xdr:nvPicPr>
          <xdr:blipFill>
            <a:blip xmlns:r="http://schemas.openxmlformats.org/officeDocument/2006/relationships" r:embed="rId43"/>
            <a:stretch>
              <a:fillRect/>
            </a:stretch>
          </xdr:blipFill>
          <xdr:spPr>
            <a:xfrm>
              <a:off x="4288680" y="9592200"/>
              <a:ext cx="108000" cy="216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769108</xdr:colOff>
      <xdr:row>51</xdr:row>
      <xdr:rowOff>174174</xdr:rowOff>
    </xdr:from>
    <xdr:to>
      <xdr:col>6</xdr:col>
      <xdr:colOff>144166</xdr:colOff>
      <xdr:row>54</xdr:row>
      <xdr:rowOff>193589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44">
          <xdr14:nvContentPartPr>
            <xdr14:cNvPr id="51" name="Ink 50">
              <a:extLst>
                <a:ext uri="{FF2B5EF4-FFF2-40B4-BE49-F238E27FC236}">
                  <a16:creationId xmlns:a16="http://schemas.microsoft.com/office/drawing/2014/main" id="{AEEB3DF2-E14C-DF42-51A2-73DFBEF18086}"/>
                </a:ext>
              </a:extLst>
            </xdr14:cNvPr>
            <xdr14:cNvContentPartPr/>
          </xdr14:nvContentPartPr>
          <xdr14:nvPr macro=""/>
          <xdr14:xfrm>
            <a:off x="1593000" y="10627560"/>
            <a:ext cx="3494520" cy="634320"/>
          </xdr14:xfrm>
        </xdr:contentPart>
      </mc:Choice>
      <mc:Fallback>
        <xdr:pic>
          <xdr:nvPicPr>
            <xdr:cNvPr id="51" name="Ink 50">
              <a:extLst>
                <a:ext uri="{FF2B5EF4-FFF2-40B4-BE49-F238E27FC236}">
                  <a16:creationId xmlns:a16="http://schemas.microsoft.com/office/drawing/2014/main" id="{AEEB3DF2-E14C-DF42-51A2-73DFBEF18086}"/>
                </a:ext>
              </a:extLst>
            </xdr:cNvPr>
            <xdr:cNvPicPr/>
          </xdr:nvPicPr>
          <xdr:blipFill>
            <a:blip xmlns:r="http://schemas.openxmlformats.org/officeDocument/2006/relationships" r:embed="rId45"/>
            <a:stretch>
              <a:fillRect/>
            </a:stretch>
          </xdr:blipFill>
          <xdr:spPr>
            <a:xfrm>
              <a:off x="1584360" y="10573529"/>
              <a:ext cx="3512160" cy="74202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746068</xdr:colOff>
      <xdr:row>55</xdr:row>
      <xdr:rowOff>24981</xdr:rowOff>
    </xdr:from>
    <xdr:to>
      <xdr:col>4</xdr:col>
      <xdr:colOff>302630</xdr:colOff>
      <xdr:row>56</xdr:row>
      <xdr:rowOff>119892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6">
          <xdr14:nvContentPartPr>
            <xdr14:cNvPr id="52" name="Ink 51">
              <a:extLst>
                <a:ext uri="{FF2B5EF4-FFF2-40B4-BE49-F238E27FC236}">
                  <a16:creationId xmlns:a16="http://schemas.microsoft.com/office/drawing/2014/main" id="{10017E27-FEA3-E520-EEF8-3711362A877D}"/>
                </a:ext>
              </a:extLst>
            </xdr14:cNvPr>
            <xdr14:cNvContentPartPr/>
          </xdr14:nvContentPartPr>
          <xdr14:nvPr macro=""/>
          <xdr14:xfrm>
            <a:off x="1569960" y="11298240"/>
            <a:ext cx="2028240" cy="299880"/>
          </xdr14:xfrm>
        </xdr:contentPart>
      </mc:Choice>
      <mc:Fallback>
        <xdr:pic>
          <xdr:nvPicPr>
            <xdr:cNvPr id="52" name="Ink 51">
              <a:extLst>
                <a:ext uri="{FF2B5EF4-FFF2-40B4-BE49-F238E27FC236}">
                  <a16:creationId xmlns:a16="http://schemas.microsoft.com/office/drawing/2014/main" id="{10017E27-FEA3-E520-EEF8-3711362A877D}"/>
                </a:ext>
              </a:extLst>
            </xdr:cNvPr>
            <xdr:cNvPicPr/>
          </xdr:nvPicPr>
          <xdr:blipFill>
            <a:blip xmlns:r="http://schemas.openxmlformats.org/officeDocument/2006/relationships" r:embed="rId47"/>
            <a:stretch>
              <a:fillRect/>
            </a:stretch>
          </xdr:blipFill>
          <xdr:spPr>
            <a:xfrm>
              <a:off x="1563840" y="11292120"/>
              <a:ext cx="2040480" cy="312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797908</xdr:colOff>
      <xdr:row>55</xdr:row>
      <xdr:rowOff>49461</xdr:rowOff>
    </xdr:from>
    <xdr:to>
      <xdr:col>1</xdr:col>
      <xdr:colOff>799348</xdr:colOff>
      <xdr:row>56</xdr:row>
      <xdr:rowOff>147252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8">
          <xdr14:nvContentPartPr>
            <xdr14:cNvPr id="53" name="Ink 52">
              <a:extLst>
                <a:ext uri="{FF2B5EF4-FFF2-40B4-BE49-F238E27FC236}">
                  <a16:creationId xmlns:a16="http://schemas.microsoft.com/office/drawing/2014/main" id="{4C638376-04DE-C5AE-7CC7-FD89605E4248}"/>
                </a:ext>
              </a:extLst>
            </xdr14:cNvPr>
            <xdr14:cNvContentPartPr/>
          </xdr14:nvContentPartPr>
          <xdr14:nvPr macro=""/>
          <xdr14:xfrm>
            <a:off x="1621800" y="11322720"/>
            <a:ext cx="1440" cy="302760"/>
          </xdr14:xfrm>
        </xdr:contentPart>
      </mc:Choice>
      <mc:Fallback>
        <xdr:pic>
          <xdr:nvPicPr>
            <xdr:cNvPr id="53" name="Ink 52">
              <a:extLst>
                <a:ext uri="{FF2B5EF4-FFF2-40B4-BE49-F238E27FC236}">
                  <a16:creationId xmlns:a16="http://schemas.microsoft.com/office/drawing/2014/main" id="{4C638376-04DE-C5AE-7CC7-FD89605E4248}"/>
                </a:ext>
              </a:extLst>
            </xdr:cNvPr>
            <xdr:cNvPicPr/>
          </xdr:nvPicPr>
          <xdr:blipFill>
            <a:blip xmlns:r="http://schemas.openxmlformats.org/officeDocument/2006/relationships" r:embed="rId49"/>
            <a:stretch>
              <a:fillRect/>
            </a:stretch>
          </xdr:blipFill>
          <xdr:spPr>
            <a:xfrm>
              <a:off x="1612800" y="11314080"/>
              <a:ext cx="19080" cy="320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764363</xdr:colOff>
      <xdr:row>54</xdr:row>
      <xdr:rowOff>182789</xdr:rowOff>
    </xdr:from>
    <xdr:to>
      <xdr:col>3</xdr:col>
      <xdr:colOff>764723</xdr:colOff>
      <xdr:row>56</xdr:row>
      <xdr:rowOff>38892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0">
          <xdr14:nvContentPartPr>
            <xdr14:cNvPr id="54" name="Ink 53">
              <a:extLst>
                <a:ext uri="{FF2B5EF4-FFF2-40B4-BE49-F238E27FC236}">
                  <a16:creationId xmlns:a16="http://schemas.microsoft.com/office/drawing/2014/main" id="{E3A9D893-4F41-E464-F5BF-96E91DEE4024}"/>
                </a:ext>
              </a:extLst>
            </xdr14:cNvPr>
            <xdr14:cNvContentPartPr/>
          </xdr14:nvContentPartPr>
          <xdr14:nvPr macro=""/>
          <xdr14:xfrm>
            <a:off x="3236040" y="11251080"/>
            <a:ext cx="360" cy="266040"/>
          </xdr14:xfrm>
        </xdr:contentPart>
      </mc:Choice>
      <mc:Fallback>
        <xdr:pic>
          <xdr:nvPicPr>
            <xdr:cNvPr id="54" name="Ink 53">
              <a:extLst>
                <a:ext uri="{FF2B5EF4-FFF2-40B4-BE49-F238E27FC236}">
                  <a16:creationId xmlns:a16="http://schemas.microsoft.com/office/drawing/2014/main" id="{E3A9D893-4F41-E464-F5BF-96E91DEE4024}"/>
                </a:ext>
              </a:extLst>
            </xdr:cNvPr>
            <xdr:cNvPicPr/>
          </xdr:nvPicPr>
          <xdr:blipFill>
            <a:blip xmlns:r="http://schemas.openxmlformats.org/officeDocument/2006/relationships" r:embed="rId51"/>
            <a:stretch>
              <a:fillRect/>
            </a:stretch>
          </xdr:blipFill>
          <xdr:spPr>
            <a:xfrm>
              <a:off x="3227040" y="11242440"/>
              <a:ext cx="18000" cy="283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695603</xdr:colOff>
      <xdr:row>51</xdr:row>
      <xdr:rowOff>204774</xdr:rowOff>
    </xdr:from>
    <xdr:to>
      <xdr:col>3</xdr:col>
      <xdr:colOff>818723</xdr:colOff>
      <xdr:row>52</xdr:row>
      <xdr:rowOff>194566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2">
          <xdr14:nvContentPartPr>
            <xdr14:cNvPr id="55" name="Ink 54">
              <a:extLst>
                <a:ext uri="{FF2B5EF4-FFF2-40B4-BE49-F238E27FC236}">
                  <a16:creationId xmlns:a16="http://schemas.microsoft.com/office/drawing/2014/main" id="{F5FEDBCF-0B91-B7C0-A95C-0A90723B06A3}"/>
                </a:ext>
              </a:extLst>
            </xdr14:cNvPr>
            <xdr14:cNvContentPartPr/>
          </xdr14:nvContentPartPr>
          <xdr14:nvPr macro=""/>
          <xdr14:xfrm>
            <a:off x="3167280" y="10658160"/>
            <a:ext cx="123120" cy="194760"/>
          </xdr14:xfrm>
        </xdr:contentPart>
      </mc:Choice>
      <mc:Fallback>
        <xdr:pic>
          <xdr:nvPicPr>
            <xdr:cNvPr id="55" name="Ink 54">
              <a:extLst>
                <a:ext uri="{FF2B5EF4-FFF2-40B4-BE49-F238E27FC236}">
                  <a16:creationId xmlns:a16="http://schemas.microsoft.com/office/drawing/2014/main" id="{F5FEDBCF-0B91-B7C0-A95C-0A90723B06A3}"/>
                </a:ext>
              </a:extLst>
            </xdr:cNvPr>
            <xdr:cNvPicPr/>
          </xdr:nvPicPr>
          <xdr:blipFill>
            <a:blip xmlns:r="http://schemas.openxmlformats.org/officeDocument/2006/relationships" r:embed="rId53"/>
            <a:stretch>
              <a:fillRect/>
            </a:stretch>
          </xdr:blipFill>
          <xdr:spPr>
            <a:xfrm>
              <a:off x="3158280" y="10649160"/>
              <a:ext cx="140760" cy="212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96415</xdr:colOff>
      <xdr:row>53</xdr:row>
      <xdr:rowOff>84637</xdr:rowOff>
    </xdr:from>
    <xdr:to>
      <xdr:col>3</xdr:col>
      <xdr:colOff>643763</xdr:colOff>
      <xdr:row>53</xdr:row>
      <xdr:rowOff>171757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4">
          <xdr14:nvContentPartPr>
            <xdr14:cNvPr id="56" name="Ink 55">
              <a:extLst>
                <a:ext uri="{FF2B5EF4-FFF2-40B4-BE49-F238E27FC236}">
                  <a16:creationId xmlns:a16="http://schemas.microsoft.com/office/drawing/2014/main" id="{C239E228-C556-3D66-5258-2300AC420C03}"/>
                </a:ext>
              </a:extLst>
            </xdr14:cNvPr>
            <xdr14:cNvContentPartPr/>
          </xdr14:nvContentPartPr>
          <xdr14:nvPr macro=""/>
          <xdr14:xfrm>
            <a:off x="1744200" y="10947960"/>
            <a:ext cx="1371240" cy="87120"/>
          </xdr14:xfrm>
        </xdr:contentPart>
      </mc:Choice>
      <mc:Fallback>
        <xdr:pic>
          <xdr:nvPicPr>
            <xdr:cNvPr id="56" name="Ink 55">
              <a:extLst>
                <a:ext uri="{FF2B5EF4-FFF2-40B4-BE49-F238E27FC236}">
                  <a16:creationId xmlns:a16="http://schemas.microsoft.com/office/drawing/2014/main" id="{C239E228-C556-3D66-5258-2300AC420C03}"/>
                </a:ext>
              </a:extLst>
            </xdr:cNvPr>
            <xdr:cNvPicPr/>
          </xdr:nvPicPr>
          <xdr:blipFill>
            <a:blip xmlns:r="http://schemas.openxmlformats.org/officeDocument/2006/relationships" r:embed="rId55"/>
            <a:stretch>
              <a:fillRect/>
            </a:stretch>
          </xdr:blipFill>
          <xdr:spPr>
            <a:xfrm>
              <a:off x="1690200" y="10839960"/>
              <a:ext cx="1478880" cy="302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653990</xdr:colOff>
      <xdr:row>52</xdr:row>
      <xdr:rowOff>14206</xdr:rowOff>
    </xdr:from>
    <xdr:to>
      <xdr:col>5</xdr:col>
      <xdr:colOff>525618</xdr:colOff>
      <xdr:row>56</xdr:row>
      <xdr:rowOff>55092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6">
          <xdr14:nvContentPartPr>
            <xdr14:cNvPr id="59" name="Ink 58">
              <a:extLst>
                <a:ext uri="{FF2B5EF4-FFF2-40B4-BE49-F238E27FC236}">
                  <a16:creationId xmlns:a16="http://schemas.microsoft.com/office/drawing/2014/main" id="{0EFD9519-9DB4-6ABB-CF79-35B07A8D9992}"/>
                </a:ext>
              </a:extLst>
            </xdr14:cNvPr>
            <xdr14:cNvContentPartPr/>
          </xdr14:nvContentPartPr>
          <xdr14:nvPr macro=""/>
          <xdr14:xfrm>
            <a:off x="3949560" y="10672560"/>
            <a:ext cx="695520" cy="860760"/>
          </xdr14:xfrm>
        </xdr:contentPart>
      </mc:Choice>
      <mc:Fallback>
        <xdr:pic>
          <xdr:nvPicPr>
            <xdr:cNvPr id="59" name="Ink 58">
              <a:extLst>
                <a:ext uri="{FF2B5EF4-FFF2-40B4-BE49-F238E27FC236}">
                  <a16:creationId xmlns:a16="http://schemas.microsoft.com/office/drawing/2014/main" id="{0EFD9519-9DB4-6ABB-CF79-35B07A8D9992}"/>
                </a:ext>
              </a:extLst>
            </xdr:cNvPr>
            <xdr:cNvPicPr/>
          </xdr:nvPicPr>
          <xdr:blipFill>
            <a:blip xmlns:r="http://schemas.openxmlformats.org/officeDocument/2006/relationships" r:embed="rId57"/>
            <a:stretch>
              <a:fillRect/>
            </a:stretch>
          </xdr:blipFill>
          <xdr:spPr>
            <a:xfrm>
              <a:off x="3943440" y="10666437"/>
              <a:ext cx="707760" cy="87300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787763</xdr:colOff>
      <xdr:row>12</xdr:row>
      <xdr:rowOff>137060</xdr:rowOff>
    </xdr:from>
    <xdr:to>
      <xdr:col>4</xdr:col>
      <xdr:colOff>210110</xdr:colOff>
      <xdr:row>13</xdr:row>
      <xdr:rowOff>140891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8">
          <xdr14:nvContentPartPr>
            <xdr14:cNvPr id="62" name="Ink 61">
              <a:extLst>
                <a:ext uri="{FF2B5EF4-FFF2-40B4-BE49-F238E27FC236}">
                  <a16:creationId xmlns:a16="http://schemas.microsoft.com/office/drawing/2014/main" id="{6109DB2A-5B77-260F-5D11-C123A3BD142C}"/>
                </a:ext>
              </a:extLst>
            </xdr14:cNvPr>
            <xdr14:cNvContentPartPr/>
          </xdr14:nvContentPartPr>
          <xdr14:nvPr macro=""/>
          <xdr14:xfrm>
            <a:off x="3259440" y="2596680"/>
            <a:ext cx="246240" cy="208800"/>
          </xdr14:xfrm>
        </xdr:contentPart>
      </mc:Choice>
      <mc:Fallback>
        <xdr:pic>
          <xdr:nvPicPr>
            <xdr:cNvPr id="62" name="Ink 61">
              <a:extLst>
                <a:ext uri="{FF2B5EF4-FFF2-40B4-BE49-F238E27FC236}">
                  <a16:creationId xmlns:a16="http://schemas.microsoft.com/office/drawing/2014/main" id="{6109DB2A-5B77-260F-5D11-C123A3BD142C}"/>
                </a:ext>
              </a:extLst>
            </xdr:cNvPr>
            <xdr:cNvPicPr/>
          </xdr:nvPicPr>
          <xdr:blipFill>
            <a:blip xmlns:r="http://schemas.openxmlformats.org/officeDocument/2006/relationships" r:embed="rId59"/>
            <a:stretch>
              <a:fillRect/>
            </a:stretch>
          </xdr:blipFill>
          <xdr:spPr>
            <a:xfrm>
              <a:off x="3253320" y="2590571"/>
              <a:ext cx="258480" cy="22101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209030</xdr:colOff>
      <xdr:row>12</xdr:row>
      <xdr:rowOff>193580</xdr:rowOff>
    </xdr:from>
    <xdr:to>
      <xdr:col>4</xdr:col>
      <xdr:colOff>209390</xdr:colOff>
      <xdr:row>12</xdr:row>
      <xdr:rowOff>193940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0">
          <xdr14:nvContentPartPr>
            <xdr14:cNvPr id="63" name="Ink 62">
              <a:extLst>
                <a:ext uri="{FF2B5EF4-FFF2-40B4-BE49-F238E27FC236}">
                  <a16:creationId xmlns:a16="http://schemas.microsoft.com/office/drawing/2014/main" id="{01A64C36-E4C0-DD5C-284F-FA48D42499EC}"/>
                </a:ext>
              </a:extLst>
            </xdr14:cNvPr>
            <xdr14:cNvContentPartPr/>
          </xdr14:nvContentPartPr>
          <xdr14:nvPr macro=""/>
          <xdr14:xfrm>
            <a:off x="3504600" y="2653200"/>
            <a:ext cx="360" cy="360"/>
          </xdr14:xfrm>
        </xdr:contentPart>
      </mc:Choice>
      <mc:Fallback>
        <xdr:pic>
          <xdr:nvPicPr>
            <xdr:cNvPr id="63" name="Ink 62">
              <a:extLst>
                <a:ext uri="{FF2B5EF4-FFF2-40B4-BE49-F238E27FC236}">
                  <a16:creationId xmlns:a16="http://schemas.microsoft.com/office/drawing/2014/main" id="{01A64C36-E4C0-DD5C-284F-FA48D42499EC}"/>
                </a:ext>
              </a:extLst>
            </xdr:cNvPr>
            <xdr:cNvPicPr/>
          </xdr:nvPicPr>
          <xdr:blipFill>
            <a:blip xmlns:r="http://schemas.openxmlformats.org/officeDocument/2006/relationships" r:embed="rId61"/>
            <a:stretch>
              <a:fillRect/>
            </a:stretch>
          </xdr:blipFill>
          <xdr:spPr>
            <a:xfrm>
              <a:off x="3498480" y="264708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594868</xdr:colOff>
      <xdr:row>51</xdr:row>
      <xdr:rowOff>199734</xdr:rowOff>
    </xdr:from>
    <xdr:to>
      <xdr:col>1</xdr:col>
      <xdr:colOff>595228</xdr:colOff>
      <xdr:row>51</xdr:row>
      <xdr:rowOff>200094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2">
          <xdr14:nvContentPartPr>
            <xdr14:cNvPr id="64" name="Ink 63">
              <a:extLst>
                <a:ext uri="{FF2B5EF4-FFF2-40B4-BE49-F238E27FC236}">
                  <a16:creationId xmlns:a16="http://schemas.microsoft.com/office/drawing/2014/main" id="{4C97C6C1-DE41-10F5-65F3-BBB8BC8ED822}"/>
                </a:ext>
              </a:extLst>
            </xdr14:cNvPr>
            <xdr14:cNvContentPartPr/>
          </xdr14:nvContentPartPr>
          <xdr14:nvPr macro=""/>
          <xdr14:xfrm>
            <a:off x="1418760" y="10653120"/>
            <a:ext cx="360" cy="360"/>
          </xdr14:xfrm>
        </xdr:contentPart>
      </mc:Choice>
      <mc:Fallback>
        <xdr:pic>
          <xdr:nvPicPr>
            <xdr:cNvPr id="64" name="Ink 63">
              <a:extLst>
                <a:ext uri="{FF2B5EF4-FFF2-40B4-BE49-F238E27FC236}">
                  <a16:creationId xmlns:a16="http://schemas.microsoft.com/office/drawing/2014/main" id="{4C97C6C1-DE41-10F5-65F3-BBB8BC8ED822}"/>
                </a:ext>
              </a:extLst>
            </xdr:cNvPr>
            <xdr:cNvPicPr/>
          </xdr:nvPicPr>
          <xdr:blipFill>
            <a:blip xmlns:r="http://schemas.openxmlformats.org/officeDocument/2006/relationships" r:embed="rId61"/>
            <a:stretch>
              <a:fillRect/>
            </a:stretch>
          </xdr:blipFill>
          <xdr:spPr>
            <a:xfrm>
              <a:off x="1412640" y="1064700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2T15:52:55.855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 1 24575,'42'0'0,"26"0"0,-17 0 0,3 0 0,10 0 0,2 0 0,1 0 0,0 0 0,3 0 0,1 0 0,10 0 0,1 0 0,5 0 0,2 0 0,5 0 0,1 0 0,0 0 0,-2 0 0,-10 0 0,-1 0 0,-3 0 0,-1 0 0,-2 0 0,-1 0 0,3 0 0,-1 0 0,-3 0 0,-1 0 0,-4 0 0,-3 1 0,-9 0 0,-2 0 0,37 3 0,-8 1 0,-10-1 0,-4-1 0,-8 0 0,-2-2 0,-6 1 0,0 1 0,3-1 0,1 1 0,3-1 0,-4 0 0,-5 0 0,0-1 0,0 0 0,-1-1 0,-3 0 0,-3 0 0,-5 0 0,0 0 0,6 0 0,7 0 0,9-3 0,7 0 0,2 0 0,3 2 0,1 1 0,-2 0 0,-3 1 0,-5 3 0,-4 4 0,-5 3 0,-5 1 0,-5-1 0,-4-1 0,-1-2 0,-3-1 0,-3-2 0,-3-1 0,-2-1 0,0-2 0,1 0 0,5-1 0,3 0 0,6-1 0,3-1 0,2-2 0,1 1 0,-2-1 0,-1 1 0,-2 1 0,-1 0 0,-3 0 0,-5 1 0,-6 0 0,-4 0 0,-3 1 0,-4 0 0,-4 0 0,-5 0 0,-4 0 0,-3-1 0,-1 1 0,-1-1 0,1 0 0,2 1 0,2-1 0,3 0 0,1 1 0,0-1 0,-1 1 0,-2 0 0,-2 0 0,1 0 0,1 0 0,4 0 0,3 0 0,0 1 0,0 0 0,-2 1 0,-1 1 0,-2-1 0,-1 0 0,-5-1 0,-1 0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2T15:52:59.354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145 1 24575,'1'16'0,"0"14"0,-1 23 0,0 28 0,0-32 0,0 2 0,0 1 0,0 0 0,0 44 0,0-18 0,0-19 0,0-13 0,0-12 0,0-9 0,-2-6 0,1-5 0,-2-5 0,0-4 0,-1-4 0,-1-1 0,0-1 0,-1-2 0,-3-5 0,-3-5 0,-5-5 0,-3-4 0,2 1 0,3 2 0,4 5 0,5 3 0,1 1 0,2 1 0,2 1 0,1 2 0,2 4 0,4 6 0,6 9 0,7 10 0,2 6 0,0 1 0,-4-4 0,-5-6 0,-4-7 0,-3-4 0,-2-3 0,-2 0 0,1-2 0,-1-1 0,1-3 0,1-2 0,1-2 0,0-1 0,1-1 0,0-2 0,1 0 0,1-3 0,2-2 0,0 0 0,1 1 0,-2 2 0,0 3 0,-2 1 0,-1 2 0,-1 2 0,-1-1 0,-1 1 0,0-1 0,0 0 0,-1 0 0,1 0 0,0 0 0,1 0 0,-1-1 0,0 1 0,0-1 0,1 2 0,-1-1 0,0 1 0,-2 1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2T16:25:39.417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0 24575,'0'21'0,"0"44"0,0 1 0,0 11 0,0-6 0,0 5 0,0 3-543,0 7 1,0 4 0,0-1 542,0 1 0,0 1 0,0-5 0,0-12 0,0-3 0,0-5 263,0 11 1,0-8-264,0 24 269,0-53-269,0-28 0,0-10 0,0-10 0</inkml:trace>
  <inkml:trace contextRef="#ctx0" brushRef="#br0" timeOffset="1182">41 757 24575,'86'0'0,"-5"0"0,20 0 0,16 0 0,-39 0 0,7 0 0,6 0 0,6 0 0,4 0 0,3 0 0,4 0 0,1 0-703,-26 0 1,3 0 0,3 0 0,2 0 0,2 0 0,1 0-1,2 0 1,2 0 0,0 0 0,2 0 0,0 0 0,0 0 0,1 0-1,-1 0 615,-7 0 0,2 0 1,0 0-1,1 0 0,0-1 1,2 1-1,0 0 1,1 0-1,0 0 0,1 0 1,-1 0-1,2 0 0,-1 0 1,0 0-1,1 0 1,-1 0-1,0 1-26,-6-1 1,0 1-1,1-1 1,0 1 0,1 0-1,0-1 1,0 1-1,0 0 1,1-1 0,-1 1-1,0 0 1,0 0 0,0 0-1,-1 0 1,0 0-1,-1 1 1,-1-1 0,0 0-1,-1 1 114,8-1 0,0 1 0,0 0 0,-1-1 0,1 1 0,-1 0 0,-1 0 0,0 1 0,-1-1 0,-1 0 0,-1 0 0,-1 1 0,-1-1 0,-2 0 0,-1 1 0,-1-1-5,17 1 1,-1 1 0,-2-1-1,-2 1 1,-1-1 0,-1 1-1,-3-1 1,-1 1 0,-2 0-1,-2-1 1,-1 1 4,9 0 0,-2 1 0,-1 0 0,-2-1 0,-4 1 0,-3-1 0,-4 0 0,-5 0-49,27 1 1,-8-1 0,-8-1 0,-8 0 48,16-2 0,-13-1 1675,-22 1 0,-10-2-1675,-16 1 0,-28 0 0,-7 0 0,-3 0 0</inkml:trace>
  <inkml:trace contextRef="#ctx0" brushRef="#br0" timeOffset="2249">9963 277 24575,'0'18'0,"0"17"0,0 27 0,0 35 0,0-38 0,0 4 0,0 5 0,0 0 0,0 1 0,0 0 0,0-5 0,0-1 0,0-7 0,0-1 0,0 4 0,0-4 0,0 8 0,0-3 0,0-47 0,0-7 0,0-5 0,0-6 0,0-6 0,0 4 0,0-2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2T16:25:59.065"/>
    </inkml:context>
    <inkml:brush xml:id="br0">
      <inkml:brushProperty name="width" value="0.05" units="cm"/>
      <inkml:brushProperty name="height" value="0.3" units="cm"/>
      <inkml:brushProperty name="color" value="#849398"/>
      <inkml:brushProperty name="inkEffects" value="pencil"/>
    </inkml:brush>
  </inkml:definitions>
  <inkml:trace contextRef="#ctx0" brushRef="#br0">1 323 16383,'3'-23'0,"10"-8"0,12-10 0,12-2 0,5 6 0,-2 11 0,3 11 0,11 7 0,21 6 0,14 2 0,2 9 0,-9 8 0,-22 8 0,-19 8 0,-16 4 0,-11 8 0,-7 6 0,-4 4 0,-3-3 0,0-9 0,0-8 0,0-11 0,0-9 0,0-5 0,0-5 0,0-4 0,0-8 0,1 0 0,0-8 0,2 3 0,2-2 0,5-6 0,11-12 0,15-15 0,20-15 0,16-7 0,-32 34 0,3 2 0,2 2 0,3 3 0,3 4 0,3 4 0,5 4 0,3 5 0,5 3 0,2 5 0,5 6 0,-1 6 0,-1 5 0,-2 5 0,-8 2 0,-5 4 0,-10 0 0,-6 2 0,16 17 0,-22-9 0,-14-5 0,-8-5 0,-6-1 0,-2 0 0,-2-2 0,-2-4 0,-1-4 0,0-4 0,0-4 0,0-4 0,0-3 0,0-1 0</inkml:trace>
  <inkml:trace contextRef="#ctx0" brushRef="#br0" timeOffset="1467">2126 451 16383,'6'-21'0,"10"-7"0,15-10 0,18-4 0,17 0 0,22 2 0,-32 21 0,5 2 0,9 2 0,4 3 0,8 2 0,3 4 0,3 4 0,1 5 0,-4 6 0,-3 5 0,-6 6 0,-5 5 0,-12 3 0,-5 4 0,-10 0 0,-5 1 0,18 28 0,-19-9 0,-12-11 0,-11-11 0,-7-11 0,-5-8 0,-2-6 0,-1-5 0,0-11 0,1-9 0,7-23 0,14-16 0,12-10 0,14-4 0,6 10 0,8 15 0,22 14 0,-34 23 0,2 4 0,3 2 0,0 3 0,1 2 0,-3 4 0,37 10 0,-20 8 0,-15 5 0,-18 1 0,-13 0 0,-9 0 0,-5-1 0,-3-2 0,-3-5 0,-1-6 0,-3-4 0,1-6 0,-1-2 0</inkml:trace>
  <inkml:trace contextRef="#ctx0" brushRef="#br0" timeOffset="2934">4595 382 16383,'14'-17'0,"21"-16"0,3 4 0,8-1 0,17-5 0,9 2 0,15 1 0,6 4 0,-26 12 0,1 3 0,1 2 0,-2 4 0,1 2 0,-1 4 0,32 5 0,-3 7 0,-7 9 0,-2 7 0,-6 9 0,-5 8 0,-12 3 0,-6 4 0,-11-4 0,-6 1 0,15 30 0,-25-26 0,-15-19 0,-10-17 0,-4-13 0,1-7 0,4-13 0,16-16 0,24-22 0,-12 19 0,2-2 0,6-1 0,2 1 0,3 1 0,1 4 0,-1 7 0,2 4 0,0 7 0,2 6 0,2 6 0,0 7 0,0 9 0,0 8 0,-2 6 0,-3 5 0,-5 4 0,-4 2 0,-5 1 0,-3 0 0,14 28 0,-16-14 0,-10-14 0,-9-16 0,-6-9 0,-4-9 0,2-9 0,9-17 0,18-26 0,19-26 0,-19 31 0,3-1 0,0 1 0,0 2 0,29-26 0,-11 21 0,-12 19 0,-18 14 0,-10 10 0</inkml:trace>
  <inkml:trace contextRef="#ctx0" brushRef="#br0" timeOffset="5317">7823 191 16383,'12'0'0,"8"0"0,11 0 0,27 0 0,23 0 0,-31 2 0,1 1 0,2 1 0,-1 2 0,37 12 0,-22 3 0,-27-3 0,-16-5 0,-14-4 0,-6-3 0,-3-1 0,0 0 0,-1-2 0,1-17 0,7-10 0,17-25 0,19-7 0,21-5 0,13 10 0,11 19 0,-40 21 0,3 6 0,2 6 0,1 7 0,3 4 0,-1 6 0,0 4 0,-2 4 0,-5 4 0,-4 2 0,27 29 0,-22-9 0,-19-10 0,-12-11 0,-9-11 0,-6-8 0,-4-6 0,-1-8 0,3-14 0,7-21 0,7-13 0,5-4 0,0 8 0,-4 16 0,-2 14 0,7 9 0,16 9 0,22 13 0,19 19 0,4 15 0,-9 9 0,-20-8 0,-20-12 0,-16-14 0,-10-10 0,-7-6 0,-1-4 0,-1-2 0,-1-8 0,0 1 0,-1-4 0,0 5 0,1 1 0,-1 1 0,2 1 0,-1 0 0</inkml:trace>
  <inkml:trace contextRef="#ctx0" brushRef="#br0" timeOffset="6317">10042 177 16383,'13'14'0,"13"17"0,13 21 0,5 8 0,-7-5 0,-13-16 0,-11-16 0,-8-10 0,-4-7 0,-4-4 0,-4-1 0,-4-1 0,-4 0 0,-5 0 0,-11 0 0,-13 0 0,-5 0 0,-16 2 0,-15 3 0,-6 4 0,-1 1 0,25-1 0,27-3 0,21-3 0,10-2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2T16:26:07.915"/>
    </inkml:context>
    <inkml:brush xml:id="br0">
      <inkml:brushProperty name="width" value="0.05" units="cm"/>
      <inkml:brushProperty name="height" value="0.3" units="cm"/>
      <inkml:brushProperty name="color" value="#849398"/>
      <inkml:brushProperty name="inkEffects" value="pencil"/>
    </inkml:brush>
  </inkml:definitions>
  <inkml:trace contextRef="#ctx0" brushRef="#br0">10108 53 16383,'-1'62'0,"-5"15"0,-2-27 0,-2 1 0,-3-1 0,-4-1 0,-21 25 0,-7-23 0,-5-27 0,-12-14 0,-16-17 0,-7-18 0,39 3 0,1-3 0,2-5 0,4-2 0,-27-31 0,20 6 0,19 14 0,12 12 0,8 11 0,4 10 0,3 8 0,0 10 0,-3 3 0,-14 16 0,-31 19 0,9-13 0,-5 3 0,-13 9 0,-4 1 0,-2-2 0,0-1 0,5-6 0,2-5 0,6-6 0,3-6 0,-30 0 0,7-18 0,-1-27 0,-9-28 0,40 17 0,1-2 0,2-3 0,3 1 0,-19-31 0,22 23 0,16 20 0,9 19 0,3 14 0,-1 6 0,-9 6 0,-21 15 0,-42 24 0,11-14 0,-8 2 0,15-10 0,-4-1 0,-3-1 0,-5 1 0,-3-2 0,0-3 0,-2-3 0,-1-3 0,1-5 0,4-4 0,1-4 0,0-5 0,-28-5 0,3-10 0,15-6 0,6-7 0,15-4 0,6-3 0,-24-32 0,32 14 0,19 10 0,14 15 0,9 10 0,3 6 0,1 4 0,0 3 0,-13 10 0,-21 5 0,-48 18 0,17-11 0,-7-1 0,-19 3 0,-6-1 0,25-8 0,-3-1 0,0-1 0,-1-2 0,0-2 0,1-2 0,5-4 0,1-2 0,2-3 0,-17-5 0,6-6 0,17-3 0,7-4 0,-16-22 0,34 5 0,18 8 0,12 8 0,4 8 0,1 7 0,-3 5 0,-1 7 0,-4 4 0,-3 4 0,-7 4 0,-14 4 0,-22 3 0,-29 2 0,30-14 0,-2-1 0,-6-2 0,-2-3 0,3-1 0,2-2 0,5-3 0,4-2 0,-29-9 0,24-5 0,14-3 0,13 3 0,9 5 0,10 5 0,4 4 0</inkml:trace>
  <inkml:trace contextRef="#ctx0" brushRef="#br0" timeOffset="1466">4086 510 16383,'-35'24'0,"-41"23"0,14-11 0,-10 1 0,12-9 0,-4 0 0,-3-3 0,-10-2 0,-3-2 0,-1-3 0,-2-4 0,-1-4 0,0-4 0,2-6 0,0-4 0,0-6 0,1-7 0,0-5 0,3-6 0,4-5 0,2-6 0,3-4 0,4-5 0,4-3 0,3-2 0,6 1 0,3-2 0,5 1 0,-8-14 0,7 3 0,15 16 0,6 5 0,-3-12 0,20 33 0,6 18 0,1 9 0,-2 7 0,-2 2 0,-7 3 0,-14 6 0,-20 7 0,-27 7 0,24-18 0,-3-1 0,-8-1 0,-3-4 0,-4-2 0,0-3 0,0-4 0,1-3 0,7-6 0,3-3 0,-33-20 0,26-13 0,24-6 0,15 4 0,12 9 0,8 11 0,2 10 0,-2 9 0,-2 9 0,-7 10 0,-7 15 0,-13 16 0,-19 19 0,17-23 0,-3 1 0,-8 4 0,-3 1 0,-3-1 0,-2-3 0,0-6 0,0-4 0,7-9 0,0-5 0,-33 1 0,18-19 0,15-11 0,14-4 0,14-3 0,10 2 0,5 4 0,2 6 0,1 1 0</inkml:trace>
  <inkml:trace contextRef="#ctx0" brushRef="#br0" timeOffset="2718">125 382 16383,'-5'15'0,"-9"10"0,-9 10 0,-7 4 0,3-6 0,11-13 0,8-13 0,7-14 0,3-10 0,4-6 0,2-5 0,2 2 0,-1 4 0,-1 4 0,-1 5 0,-1 0 0,1-2 0,0 0 0,0 1 0,0 4 0,-1 4 0,-1 3 0,-1 2 0,0 1 0,0 0 0,4 0 0,8 2 0,14 1 0,18 1 0,19-1 0,4 2 0,-2 1 0,-14 1 0,-18-2 0,-14-2 0,-12-1 0,-7-1 0,-3 0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2T16:26:16.005"/>
    </inkml:context>
    <inkml:brush xml:id="br0">
      <inkml:brushProperty name="width" value="0.05" units="cm"/>
      <inkml:brushProperty name="height" value="0.3" units="cm"/>
      <inkml:brushProperty name="color" value="#849398"/>
      <inkml:brushProperty name="inkEffects" value="pencil"/>
    </inkml:brush>
  </inkml:definitions>
  <inkml:trace contextRef="#ctx0" brushRef="#br0">60 1 16383,'0'32'0,"0"31"0,0-9 0,0 7 0,0 22 0,0 7 0,0-15 0,0 3 0,0 2 0,0 4 0,0 1 0,0 0 0,0-1 0,0 0 0,0-3 0,0-9 0,0-3 0,0-3 0,0 8 0,0-7 0,0 22 0,0-46 0,0-27 0,-2-20 0,0-8 0</inkml:trace>
  <inkml:trace contextRef="#ctx0" brushRef="#br0" timeOffset="1468">1 733 16383,'44'0'0,"11"0"0,15 0 0,-2 0 0,10 0 0,8 0 0,2 0 0,-11 0 0,4 0 0,4 0 0,1 0 0,3 0 0,1 0 0,1 0 0,3 0 0,1 0 0,3 0 0,0 0 0,2 0 0,-1 0 0,-5 0 0,1 0 0,1 0 0,1 0 0,0 0 0,0 0 0,0 0 0,-1 0 0,-1 0 0,-1 0 0,1 0 0,-1 0 0,1 0 0,-1 0 0,0 0 0,1 0 0,-1 0 0,0 0 0,0 0 0,1 0 0,-1 0 0,0 0 0,-1 0 0,1 0 0,-2 0 0,-1 0 0,1 0 0,-1 0 0,0 0 0,0 0 0,-1 0 0,0 0 0,7 1 0,1 0 0,-2-1 0,0 2 0,-1-1 0,0 1 0,-1 0 0,-4 0 0,-1 1 0,0 0 0,-1 1 0,-1 0 0,-1 0 0,-2 1 0,6 0 0,-2 1 0,0 0 0,-3 1 0,-1 0 0,-3 0 0,20 3 0,-4 2 0,-4-1 0,-3 1 0,7 1 0,-5 0 0,-8-1 0,0 1 0,-11-1 0,11 1 0,-42-6 0,-28-5 0,-11-2 0,-3 0 0,-2 0 0</inkml:trace>
  <inkml:trace contextRef="#ctx0" brushRef="#br0" timeOffset="2602">7376 262 16383,'0'39'0,"0"25"0,0 35 0,0-39 0,0 3 0,0 4 0,0 1 0,0 0 0,0 0 0,0-1 0,0 0 0,0-5 0,0-1 0,-1-5 0,-1-1 0,-2 38 0,0-23 0,-1-21 0,3-22 0,2-15 0,-1-9 0,1-2 0</inkml:trace>
  <inkml:trace contextRef="#ctx0" brushRef="#br0" timeOffset="5887">2584 1827 16383,'0'22'0,"-1"2"0,-1-1 0,0-4 0,1-10 0,2-11 0,5-11 0,5-8 0,6-9 0,5-5 0,4-4 0,1-1 0,-1 4 0,-5 7 0,-6 10 0,-8 9 0,-4 9 0,-1 7 0,-2 7 0,0 7 0,0 7 0,0 6 0,0 6 0,0 3 0,0 1 0,0-2 0,0-5 0,0-8 0,0-9 0,0-7 0,-1-4 0,-1-2 0,-3-3 0,-3-1 0,-4-2 0,-5 0 0,-3 0 0,-3 0 0,1 0 0,4 0 0,9 0 0,10-1 0,11-2 0,13-2 0,13-1 0,8 0 0,0 1 0,-7 1 0,-11 1 0,-11 2 0,-9 0 0,-4 1 0</inkml:trace>
  <inkml:trace contextRef="#ctx0" brushRef="#br0" timeOffset="6854">3326 1646 16383,'-2'18'0,"1"5"0,1 8 0,0 0 0,0-2 0,0-4 0,1-2 0,0-2 0,2 1 0,0-2 0,-1-4 0,0-5 0,-1-3 0,-1-5 0,0-1 0</inkml:trace>
  <inkml:trace contextRef="#ctx0" brushRef="#br0" timeOffset="8221">3313 1866 16383,'27'0'0,"7"0"0,7 0 0,-1 0 0,-9 0 0,-13 0 0,-9-2 0,-7-4 0,-3-10 0,-4-10 0,-2-10 0,-1-3 0,1 5 0,1 10 0,2 10 0,2 10 0,0 9 0,-1 7 0,-1 5 0,-1 4 0,-1 3 0,1 3 0,0 3 0,1 4 0,2 4 0,1 4 0,1-1 0,0-7 0,0-9 0,-1-11 0,0-7 0,1-4 0</inkml:trace>
  <inkml:trace contextRef="#ctx0" brushRef="#br0" timeOffset="10172">3605 1877 16383,'13'0'0,"1"0"0,0 0 0,3 3 0,4 5 0,5 8 0,2 4 0,1 2 0,-5-1 0,-6-5 0,-6-3 0,-5-4 0,-3-1 0,-2-1 0,-2-2 0,0 0 0,-1-1 0,-1 0 0,-2 0 0,-2 1 0,1 0 0,-1 0 0,1-1 0,-1-1 0,-2-1 0,0 0 0,-1-1 0,2-2 0,0 0 0,1-2 0,1-3 0,2-2 0,0-4 0,2 0 0,1-3 0,1-1 0,2-1 0,3-1 0,5-1 0,2 2 0,1 0 0,0 4 0,-2 1 0,0 1 0,-1 2 0,-1 0 0,-1 1 0,0 1 0,-2 1 0,0 1 0,-1 1 0,-1 0 0,-1 1 0,-2-1 0,-2 2 0,-2 1 0,1 0 0,-1 1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2T16:27:29.482"/>
    </inkml:context>
    <inkml:brush xml:id="br0">
      <inkml:brushProperty name="width" value="0.05" units="cm"/>
      <inkml:brushProperty name="height" value="0.3" units="cm"/>
      <inkml:brushProperty name="color" value="#849398"/>
      <inkml:brushProperty name="inkEffects" value="pencil"/>
    </inkml:brush>
  </inkml:definitions>
  <inkml:trace contextRef="#ctx0" brushRef="#br0">73 132 16383,'0'49'0,"0"40"0,0-15 0,0 8 0,0-13 0,0 4 0,0 1 0,0 2 0,0 1 0,0-1 0,0 27 0,0-6 0,0-20 0,0-8 0,0 15 0,0-37 0,0-27 0,0-24 0,0-18 0,0-17 0,-1-14 0,-1-3 0,0 0 0,0-3 0,1-7 0,0-15 0,2 31 0,-1-2 0,2-2 0,-1 0 0,2 0 0,-1 2 0,4-40 0,-2 19 0,0 6 0,-2 6 0,-1 0 0,-1-3 0,0 4 0,0 5 0,0 13 0,0 17 0,0 13 0,0 8 0,1 4 0,2 1 0,2 0 0,4 0 0,14-1 0,29 0 0,42 2 0,-35-1 0,3 1 0,4 0 0,-1-1 0,-4 1 0,-2 0 0,-7-2 0,-3 1 0,46-1 0,-5 1 0,4 1 0,0-1 0,0 0 0,-7-1 0,-11 0 0,-14 0 0,-17 0 0,-15 0 0,-15 1 0,-10 0 0,-8 3 0,-5 3 0,-2 4 0,-1 5 0,-2 7 0,-3 9 0,-3 17 0,-4 22 0,10-22 0,-1 3 0,-1 13 0,0 5 0,-2 17 0,-1 5 0,5-26 0,1 1 0,0-1 0,0 1 0,0 0 0,1-1 0,-5 25 0,2-4 0,3-18 0,0-4 0,-4 31 0,5-38 0,3-29 0,4-18 0,0-7 0,0-2 0,-1-2 0,0 0 0,-2 0 0,-1 0 0,-11 0 0,-18 0 0,-26 0 0,-32 0 0,36 1 0,-4 1 0,-7 1 0,-2 0 0,-3 2 0,-1 1 0,3 1 0,1 0 0,5-1 0,3-1 0,9-1 0,4-1 0,-24-1 0,26-1 0,24-2 0,14 0 0,7-1 0,3 0 0,-1-1 0,1 0 0,-1 0 0,1 0 0,1-2 0,0-2 0,3-4 0,1-4 0,0-3 0,0 0 0,-1-1 0,-1 0 0,-1 2 0,-1-1 0,0 1 0,1 0 0,-1 2 0,2 3 0,0 2 0,1 2 0,-1 1 0,0 1 0,-1 2 0,-1 2 0,0 1 0</inkml:trace>
  <inkml:trace contextRef="#ctx0" brushRef="#br0" timeOffset="1567">303 584 16383,'16'0'0,"16"0"0,18 0 0,20 0 0,20-3 0,-37 0 0,1-1 0,4-2 0,0-1 0,-3 0 0,-1-1 0,32-5 0,-31 5 0,-23 4 0,-19 2 0,-11 2 0,-5 0 0,-2 0 0,-3 0 0,4 0 0,0 0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2T16:27:34.899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316 4 24575,'15'-2'0,"28"1"0,57 1 0,-29 0 0,4 0 0,8 0 0,0 0 0,-8 0 0,-4 0 0,22 0 0,-38 0 0,-28 0 0,-16 0 0,-6 0 0,-2 0 0,-2 1 0,-3 2 0,-5 6 0,-4 7 0,-4 12 0,-2 14 0,-2 20 0,-2 22 0,-1 11 0,10-46 0,1 0 0,-11 37 0,5-23 0,5-19 0,5-20 0,3-12 0,1-5 0,-1-5 0,0-1 0,-1-1 0,-3 0 0,-2 0 0,-3 0 0,-9 0 0,-32 0 0,-40 0 0,25 2 0,-5 2 0,-6 1 0,-1 2 0,5 1 0,3 1 0,11 0 0,6 1 0,-18 2 0,30-6 0,27-4 0,13-5 0,6-3 0,3-5 0,2-4 0,0-4 0,0-3 0,-1-3 0,2-9 0,0-8 0,2-12 0,2-11 0,2-4 0,0-1 0,-1 8 0,-2 15 0,-2 12 0,-4 14 0,-2 8 0,-1 2 0,-1 3 0,1 0 0,1 1 0,-2 1 0,2 0 0,-1 1 0,1 0 0,1-1 0,-1 2 0,1 0 0,-1 0 0,1 2 0,1 0 0,1 0 0,1-1 0,2 1 0,0 0 0,-1 2 0,-1 0 0,-1 0 0,0 0 0,-1 0 0,0 0 0,0 0 0,-2 0 0,0 0 0,0-2 0,0 1 0,-1-1 0,0-1 0,-1 2 0,-2-1 0,-4 1-1696,-6 1 0,3 0 0,0 0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2T16:27:46.298"/>
    </inkml:context>
    <inkml:brush xml:id="br0">
      <inkml:brushProperty name="width" value="0.05" units="cm"/>
      <inkml:brushProperty name="height" value="0.3" units="cm"/>
      <inkml:brushProperty name="color" value="#849398"/>
      <inkml:brushProperty name="inkEffects" value="pencil"/>
    </inkml:brush>
  </inkml:definitions>
  <inkml:trace contextRef="#ctx0" brushRef="#br0">287 33 16383,'-1'43'0,"-6"18"0,-8 33 0,5-36 0,-2 3 0,-2 3 0,-1 1 0,2-5 0,-1-2 0,-8 39 0,3-17 0,2-9 0,-1 2 0,-2-2 0,0-4 0,1-6 0,2-9 0,2-11 0,5-15 0,5-11 0,2-9 0,3-9 0,1-10 0,3-13 0,6-13 0,4-14 0,7-19 0,6-21 0,-12 38 0,1-2 0,0-1 0,-1 0 0,-1 4 0,-1 2 0,8-35 0,-7 24 0,-3 15 0,-2 6 0,2-8 0,6-16 0,4-7 0,2 1 0,-5 15 0,-5 21 0,-5 14 0,-3 14 0,-2 8 0,1 4 0,0 2 0,3 1 0,11-1 0,23 2 0,45 3 0,-26-5 0,5 0 0,12 0 0,1 1 0,-1 0 0,-1 0 0,-13 0 0,-4-1 0,29 6 0,-38-4 0,-23-3 0,-16-2 0,-7 0 0,-4 1 0,-1 1 0,-3 2 0,-3 2 0,-3 4 0,-1 6 0,-1 8 0,0 11 0,0 17 0,2 14 0,0 6 0,1 1 0,0-7 0,2-12 0,0-8 0,1-10 0,2-6 0,0-5 0,0-3 0,1-6 0,1-4 0,-1-3 0,0-1 0,1-3 0,-1-2 0,0-1 0,-1-2 0,0-1 0,-2 0 0,0 0 0,-1 1 0,-3 0 0,-6 2 0,-11 2 0,-10 5 0,-14 3 0,-13 7 0,-10 4 0,-3-1 0,2-2 0,8-4 0,9-3 0,8-1 0,11-3 0,6-2 0,4-2 0,3 0 0,2-2 0,3-1 0,3-2 0,3 0 0,0-1 0,-1 0 0,-2 0 0,-1 0 0,2 1 0,0-1 0,-1 2 0,0-2 0,1 1 0,3-1 0,4-2 0,6 1 0,1-1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2T16:28:30.181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1 1 24575,'0'0'0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2T16:28:34.714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4 1 24575,'-2'13'0,"1"18"0,1 26 0,0 20 0,0 10 0,0-10 0,0-19 0,0-20 0,0-18 0,0-10 0,0-6 0,0-6 0,0 1 0,0-5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2T16:28:46.147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23 1 24575,'0'35'0,"0"13"0,0 17 0,0 7 0,0-3 0,0-9 0,0-10 0,0-10 0,0-6 0,0-4 0,0-1 0,-1-1 0,0-2 0,-1-1 0,0-5 0,1-3 0,0-3 0,0-1 0,0 0 0,0-1 0,0-1 0,0 0 0,-1 0 0,2-1 0,-1 1 0,-1-2 0,2-1 0,-1-2 0,-1-1 0,1-2-1696,1-17 0,-1 10 0,1-12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2T16:28:53.047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3580 243 24575,'-17'0'0,"-32"0"0,1 0 0,-8 0 0,-29 0 0,-11 0 0,14 0 0,-5 0 0,-4 0-645,12 0 1,-2 0 0,-3 0 0,-1 0 644,-8 0 0,-1 0 0,-2 0 0,-1 0 0,-2 0 0,-1 0 0,0 0 0,1 0 0,4 0 0,1 0 0,1 0 0,2 0 0,7 0 0,0 1 0,3-1 0,1 1 7,-14 0 1,3 0 0,4 1-8,13-1 0,2 0 0,4 1 0,-20 0 0,7-1 0,18 0 0,5 0 0,-26-1 0,26 0 1902,15 0-1902,14 0 652,9 0-652,5-1 0,5 0 0,4-1 0,2 0 0,3 0 0,0-2 0,1-3 0,3-4 0,5-7 0,5-5 0,3-4 0,1-1 0,-2 3 0,-2 3 0,-2 3 0,-1 2 0,-1 2 0,0 3 0,-2 3 0,-1 3 0,-1 1 0,-1 4 0,-5 4 0,-5 6 0,-7 7 0,-6 6 0,-3 3 0,1 0 0,0-1 0,2-2 0,-2 2 0,-3 3 0,-3 2 0,1-2 0,6-8 0,8-6 0,7-8 0,4-3 0,6-7 0,9 1 0,18 0 0,19 15 0,26 19 0,-29-6 0,3 4 0,6 5 0,2 3 0,-2 0 0,0-1 0,-5-2 0,-3-2 0,27 17 0,-29-17 0,-20-12 0,-17-9 0,-6-5 0,-3-1 0,-1-3 0,0 1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2T16:28:56.630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3 101 24575,'-1'32'0,"0"19"0,1 20 0,0 12 0,0-8 0,0-19 0,0-19 0,0-17 0,0-12 0,1-10 0,2-13 0,0-14 0,-1-15 0,-1-8 0,0 2 0,0 9 0,2 9 0,2 6 0,2 4 0,-2 3 0,-1 4 0,-2 4 0,0 3 0,0 4 0,2 2 0,1-1 0,1 0 0,0-1 0,3-1 0,1-1 0,4-2 0,2-1 0,6-3 0,7-3 0,6-5 0,3-2 0,-2 0 0,-9 6 0,-8 5 0,-6 7 0,-3 3 0,7 1 0,11 0 0,11 0 0,8 0 0,2 0 0,-3 3 0,-10 1 0,-12 1 0,-10 1 0,-8 1 0,-4 2 0,-2 2 0,-1 3 0,-2 6 0,0 12 0,1 11 0,1 12 0,1 7 0,0-1 0,0-7 0,0-14 0,0-14 0,-1-9 0,-2-7 0,-1-4 0,-2-2 0,-1 0 0,-1 0 0,-2 0 0,-6 0 0,-10 2 0,-17 3 0,-23 3 0,-17 2 0,-4-1 0,6-3 0,17-3 0,18-4 0,15-1 0,14-2 0,11 0 0,3 0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2T16:29:16.56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3 183 24575,'-1'42'0,"-1"39"0,2-14 0,0 8 0,0 20 0,0 4 0,0-31 0,0 2 0,0-2 0,0 28 0,0-5 0,0-17 0,0-8 0,0 21 0,0-37 0,0-29 0,0-15 0,1-7 0,1-5 0,2-7 0,2-14 0,3-25 0,6-36 0,-5 27 0,1-4 0,2-12 0,0-1 0,0-1 0,0 1 0,-2 6 0,0 2 0,-3 10 0,0 4 0,4-31 0,-1 15 0,-4 12 0,-1 5 0,-3 3 0,-1 6 0,-1 8 0,1 13 0,-1 11 0,1 8 0,0 5 0,0 2 0,1 1 0,4 0 0,12 2 0,33 2 0,-4-2 0,7 0 0,24 2 0,8-1 0,-21-1 0,3 1 0,1-1 0,4 1 0,1-1 0,-2 1 0,-4-1 0,-1 1 0,-3-1 0,17 1 0,-6-1 0,-16 0 0,-6-2 0,11 1 0,-29-2 0,-22 0 0,-10 1 0,-3-1 0,-1 2 0,0 0 0,0 1 0,-2 0 0,-1 0 0,-1 4 0,0 6 0,1 15 0,1 15 0,2 25 0,3 28 0,-1-37 0,-1 1 0,1 5 0,0 0 0,-1-4 0,0-2 0,-3 40 0,-4-28 0,-3-20 0,-3-12 0,1-10 0,1-3 0,1-3 0,2-6 0,1-3 0,-1-5 0,1-2 0,-3-4 0,-5-2 0,-15 0 0,-24-1 0,-31 0 0,32-1 0,-2 0 0,-2 0 0,1 0 0,-45 0 0,15 0 0,14 0 0,6 0 0,3 0 0,7 0 0,3 0 0,6 0 0,6 0 0,8 1 0,10 0 0,7 0 0,8-1 0,4 0 0,3 0 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2T16:29:37.079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0 192 24575,'0'12'0,"1"-2"0,1-1 0,0-6 0,4-9 0,31-29 0,19-17 0,9-3 0,-3 9 0,-28 28 0,-14 9 0,-6 5 0,-10 3 0,-2 1 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2T16:29:44.36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0 480 24575,'0'16'0,"0"7"0,0 9 0,0 6 0,0-2 0,0-4 0,0-10 0,0-7 0,0-6 0,1-3 0,1-4 0,2-1 0,1 0 0,3-2 0,2-1 0,11-1 0,16 0 0,22 2 0,24 0 0,-31 1 0,2 0 0,8 0 0,3 0 0,6 0 0,2-1 0,7-1 0,2 0 0,5-1 0,3-1 0,-24 2 0,2-1 0,0 1-145,2 0 0,-1 0 1,2 1 144,3 0 0,2 0 0,1 0 0,3 1 0,1 0 0,0 0 0,-4 0 0,0 0 0,0 0 0,1 0 0,1 0 0,0 0 0,-5 1 0,-1 0 0,-1 1 0,-3 0 0,-2 1 0,-1 0 0,29 2 0,-3 1 0,-13 0 0,-3 1 0,-12-2 0,-4 1 0,35 1 0,-22-2 0,-17-4 0,-17-1 434,-10 0-434,-11 0 0,-7 0 0,-4 0 0,-1 0 0,-2 0 0,0 1 0,0 0 0,6 1 0,7 0 0,7 0 0,4-1 0,-3 0 0,-5-1 0,-6 0 0,-6-1 0,-4-1 0,-2-2 0,-1-3 0,-2-3 0,0-9 0,0-8 0,0-8 0,1-2 0,0 3 0,0 6 0,0 8 0,0 7 0,0 6 0,0 3 0,-1 1 0,-1 3 0,-1 0 0,-1 0 0,1 0 0,1 1 0</inkml:trace>
  <inkml:trace contextRef="#ctx0" brushRef="#br0" timeOffset="2366">1722 0 24575,'0'18'0,"0"5"0,0 7 0,0 4 0,0-1 0,0-6 0,0-5 0,0-9 0,0-5 0,0-8 0,2-9 0,2-8 0,2-5 0,1 0 0,0 1 0,-2 6 0,-1 4 0,0 2 0,-2 3 0,-1 0 0,0 2 0,-2 0 0,0 2 0,-2 1 0,-1 2 0,-1 2 0,1 5 0,1 6 0,2 3 0,0 3 0,0 2 0,1 1 0,0 1 0,0-1 0,0-3 0,0-6 0,0-6 0,-1-4 0,-1-8 0,-1-7 0,-1-12 0,-1-10 0,1-5 0,2 1 0,1 8 0,1 10 0,0 7 0,0 5 0,0 1 0,0 3 0,0 0 0,0 2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2T16:29:50.29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0 110 24575,'0'25'0,"0"6"0,0 11 0,0 1 0,0-5 0,0-9 0,0-10 0,0-6 0,0 0 0,0 3 0,0 4 0,0 0 0,0-4 0,0-6 0,0-6 0,0-5 0,0-4 0,0-4 0,0-6 0,1-4 0,1-4 0,1-3 0,0-4 0,-2-5 0,0-6 0,-1-3 0,0 1 0,0 7 0,1 9 0,0 11 0,1 7 0,0 5 0,2 3 0,0 0 0,2 1 0,4 0 0,8 0 0,12 0 0,15 0 0,10-1 0,5-3 0,-1-5 0,-5-4 0,-9-1 0,-12 2 0,-14 5 0,-10 4 0,-8 3 0,-5 6 0,-2 9 0,2 13 0,2 13 0,2 11 0,0 3 0,0-7 0,0-9 0,0-15 0,0-11 0,0-5 0,-1-4 0,0 0 0,-1-2 0,-1-1 0,1 1 0,0-1 0,-1 1 0,0-1 0,-4 1 0,-5 3 0,-11 2 0,-17 5 0,-15 3 0,-11 4 0,1 0 0,9-4 0,12-3 0,17-5 0,11-3 0,10-3 0,3-1 0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2T16:29:54.029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1573 146 24575,'-19'0'0,"-13"0"0,-21 0 0,-23 0 0,-16 0 0,41 0 0,0 0 0,0 0 0,-1 0 0,2 0 0,0 0 0,-1 0 0,0 0 0,-48 0 0,1 0 0,6 0 0,11 1 0,9 1 0,11 1 0,9 0 0,7 1 0,6-2 0,7-1 0,2 1 0,5 0 0,0-1 0,4 2 0,3-1 0,1 0 0,3 0 0,2 1 0,2-2 0,5 0 0,4-3 0,5-5 0,6-4 0,4-5 0,3-4 0,1-1 0,0 1 0,-1 0 0,-3 3 0,-2 1 0,-2 3 0,-3 5 0,-1 2 0,-3 3 0,-5 3 0,-8 4 0,-6 7 0,-5 5 0,-2 4 0,2 1 0,2-2 0,3-2 0,3-2 0,3-2 0,2 0 0,0-1 0,0-1 0,2 0 0,0-2 0,2-1 0,2-2 0,1-1 0,1-2 0,3-2 0,1-1 0,2 0 0,1 1 0,1 0 0,2 2 0,2 0 0,3 1 0,2 0 0,1 2 0,-2 1 0,-3-1 0,-2 1 0,-2-1 0,-2 0 0,0 0 0,-1-1 0,-1 0 0,-1-2 0,-2-2 0,-2 0 0,0-1 0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2T16:29:58.379"/>
    </inkml:context>
    <inkml:brush xml:id="br0">
      <inkml:brushProperty name="width" value="0.3" units="cm"/>
      <inkml:brushProperty name="height" value="0.6" units="cm"/>
      <inkml:brushProperty name="color" value="#00FDFF"/>
      <inkml:brushProperty name="tip" value="rectangle"/>
      <inkml:brushProperty name="rasterOp" value="maskPen"/>
    </inkml:brush>
  </inkml:definitions>
  <inkml:trace contextRef="#ctx0" brushRef="#br0">0 0,'55'0,"0"0,6 0,1 0,5 0,2 0,1 0,1 0,-2 0,-1 0,-8 0,-3 0,39 0,-19 0,-14 0,-7 0,-5 0,-7 0,-13 0,-11 0,-11 0,-64 1,16 0,-57 1,22 0,-24 0,41 0,-3-1,-3 1,-1 1,0 0,2 0,5 0,1 0,-38 3,19-3,23-2,22-1,18 0,72 0,24 0,-6 0,6 0,-1 1,0 1,2 1,-1 0,-12 1,-5 0,-10 1,-7-1,14 1,-27-2,-20-2,-7 0,10 1,-5 0,8 0,-10-1,-57 0,1-1,-6 0,-5 0,-35 0,-1 0,7 0,16 0,8 0,4 1,2 2,-1 2,3 3,7 0,11-3,11-1,12-3,60-3,16 1,4-1,9 1,-1 0,3 2,12 2,2 2,-7 1,-3 1,-11 1,-6 1,-13-1,-5-1,8 3,-24-4,-21-2,-60 2,-10 0,-3 0,-6 0,1 0,-1 1,-11 1,-2 1,-4 0,1 1,3 0,2 1,8 0,3-1,12-1,6 0,-19 4,28-5,22-4,12-3,6-1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2T16:30:04.612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1 27 24575,'0'8'0,"0"4"0,0 4 0,0 4 0,0-1 0,0-4 0,0-5 0,0-5 0,0-2 0,0-14 0,0 1 0,1-13 0,1 5 0,2 1 0,1 1 0,0 4 0,0 3 0,0 4 0,0 2 0,1 1 0,4 1 0,6 1 0,10-1 0,10-1 0,7 0 0,-4 1 0,-6 0 0,-10 1 0,-10 0 0,-7 1 0,-5 3 0,-3 4 0,-1 7 0,2 6 0,0 4 0,1 0 0,0-4 0,-1-4 0,0-4 0,-3-4 0,-2-2 0,-1-1 0,-3-1 0,-3-1 0,-2-1 0,-5 1 0,-3-2 0,-2 0 0,-1-1 0,1-1 0,2 0 0,2 0 0,6 0 0,4 0 0,5-1 0,4 1 0,0 0 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2T16:30:08.762"/>
    </inkml:context>
    <inkml:brush xml:id="br0">
      <inkml:brushProperty name="width" value="0.3" units="cm"/>
      <inkml:brushProperty name="height" value="0.6" units="cm"/>
      <inkml:brushProperty name="color" value="#00FDFF"/>
      <inkml:brushProperty name="tip" value="rectangle"/>
      <inkml:brushProperty name="rasterOp" value="maskPen"/>
    </inkml:brush>
  </inkml:definitions>
  <inkml:trace contextRef="#ctx0" brushRef="#br0">356 13,'54'0,"-1"0,7 0,1 0,2 0,2 0,7 0,1 0,-2 0,-2 0,-5 0,-1 0,-9 0,-2 0,30 0,-22 0,-17-1,-14-1,-7-1,-4 0,-5 1,-63 0,-5 5,-13-1,-9 2,-6 1,-4 2,20-3,-3 1,0 0,-3 0,-2 0,3 0,3 0,2 0,2-1,-14 3,4-1,14-1,5-1,-19 1,28-3,18-2,13 0,5 0,80 0,12-2,-1 2,8-2,-10 0,0-1,4 0,-1-1,-7 1,-3-1,-7 1,-2 0,-9 0,-3 2,32-3,-23 2,-18 0,-17 1,-11 1,0 0,9 0,11 0,11 0,4 0,-6 0,-11 0,-12 0,-10 0,-3 0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2T16:30:30.095"/>
    </inkml:context>
    <inkml:brush xml:id="br0">
      <inkml:brushProperty name="width" value="0.3" units="cm"/>
      <inkml:brushProperty name="height" value="0.6" units="cm"/>
      <inkml:brushProperty name="color" value="#00FDFF"/>
      <inkml:brushProperty name="tip" value="rectangle"/>
      <inkml:brushProperty name="rasterOp" value="maskPen"/>
    </inkml:brush>
  </inkml:definitions>
  <inkml:trace contextRef="#ctx0" brushRef="#br0">0 1,'0'0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2T16:31:42.810"/>
    </inkml:context>
    <inkml:brush xml:id="br0">
      <inkml:brushProperty name="width" value="0.05" units="cm"/>
      <inkml:brushProperty name="height" value="0.3" units="cm"/>
      <inkml:brushProperty name="color" value="#849398"/>
      <inkml:brushProperty name="inkEffects" value="pencil"/>
    </inkml:brush>
  </inkml:definitions>
  <inkml:trace contextRef="#ctx0" brushRef="#br0">1 784 16383,'25'-41'0,"37"-30"0,-8 18 0,8-2 0,13-5 0,6 0 0,-22 21 0,2 1 0,1 4 0,0 6 0,1 3 0,0 4 0,28 0 0,1 11 0,5 14 0,-2 14 0,-1 15 0,-4 11 0,-31-9 0,-1 5 0,-4 1 0,23 25 0,-7 3 0,-12-9 0,-6-1 0,-12-11 0,-4-3 0,11 15 0,-21-25 0,-14-21 0,-7-18 0,11-29 0,21-34 0,2 10 0,7-5 0,-3 10 0,3-1 0,3 1 0,6-2 0,3 0 0,4 2 0,8-2 0,5 3 0,1 4 0,2 7 0,2 4 0,0 4 0,-1 6 0,1 4 0,0 4 0,0 3 0,0 4 0,-2 5 0,-8 5 0,-2 5 0,-2 4 0,23 8 0,-3 8 0,-7 11 0,-5 10 0,-7 11 0,-5 9 0,-18-11 0,-3 3 0,-1 3 0,0 6 0,-1 2 0,-2 0 0,-3-2 0,-1 0 0,-2-2 0,9 22 0,-3-6 0,-12-22 0,-3-8 0,5 9 0,-14-33 0,-9-29 0,3-30 0,9-35 0,0 16 0,5-5 0,10-12 0,7-3 0,12-5 0,8 2 0,-14 26 0,4 1 0,3 4 0,3 4 0,2 4 0,3 5 0,30-8 0,3 12 0,4 17 0,1 13 0,-3 11 0,-1 13 0,-29 2 0,-1 7 0,-3 6 0,3 8 0,-4 7 0,-3 4 0,-3 7 0,-4 5 0,-3 1 0,-2 2 0,-4 1 0,-3-1 0,-9-6 0,-3-1 0,-3-2 0,3 18 0,-5-7 0,-7-22 0,-2-6 0,3 15 0,-8-34 0,-4-20 0,-2-9 0,1-2 0,1-4 0,0 2 0,0-2 0,-1 3 0</inkml:trace>
  <inkml:trace contextRef="#ctx0" brushRef="#br0" timeOffset="1700">6509 1381 16383,'5'-16'0,"36"-38"0,12-5 0,12-8 0,-5 10 0,7-3 0,6 0 0,-4 5 0,5 0 0,3 0 0,1 3 0,1 1 0,2 2 0,1 3 0,1 4 0,-1 5 0,1 4 0,1 4 0,0 3 0,-5 3 0,1 3 0,-2 4 0,-1 6 0,12 8 0,-2 8 0,-3 9 0,-2 9 0,-2 9 0,-6 9 0,-7 10 0,-5 9 0,-5 5 0,-1 11 0,-5 6 0,-4 1 0,-5-5 0,-4 0 0,-3-2 0,-6-9 0,-3-1 0,-3-5 0,1 10 0,-4-7 0,2 11 0,-9-31 0,-10-27 0,-6-14 0,-9-11 0,-17-14 0,-10-12 0,-5-10 0,4 2 0,13 9 0,10 12 0,11 10 0,17 13 0,25 21 0,31 24 0,-24-17 0,2 1 0,1 2 0,0-1 0,35 19 0,-21-19 0,-12-17 0,-11-29 0,-1-34 0,0-25 0,-5-12 0,-8 15 0,-8 25 0,-9 22 0,-3 14 0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2T16:31:51.943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1 347 24575,'25'0'0,"55"0"0,-10 0 0,17 0 0,9 0-1554,-24 0 0,6 0 0,5 0 1,4 0-1,3 0 0,1 0 1554,-3 0 0,3 0 0,3 0 0,2 0 0,2 0 0,1 0 0,0 0 0,1 0-274,-13 0 0,2 0 1,1 0-1,0 0 1,1 0-1,0 0 1,1 0-1,-1 0 1,0 0-1,-1 0 274,8 0 0,0 0 0,1 0 0,-1 0 0,0 0 0,-1 0 0,0 0 0,-1 0 0,-2 0 0,5 0 0,0 0 0,0 0 0,-2 0 0,-1 0 0,-1 0 0,-3 0 0,-2 0 138,11 0 1,-2 0-1,-2 0 1,-3 0-1,-3 0 1,-2 0-139,-2 0 0,-1 0 0,-4 0 0,-3 0 0,-5 0 0,19 0 0,-7 0 0,-10 0 0,-12 0 0,-10 0 3282,4 0-3282,-37-1 5483,-18-1-5483,-5-1 2463,-1-2-2463,-2-1 0,-2-1 0,-3-2 0,-5-4 0,-12-5 0,-17-10 0,-19-10 0,-13-9 0,-2-1 0,6 6 0,14 7 0,17 13 0,16 8 0,14 8 0,10 4 0,10 1 0,5 1 0,5 2 0,4 4 0,6 7 0,9 8 0,9 10 0,16 14 0,10 11 0,0 3 0,-7-4 0,-16-13 0,-18-13 0,-12-11 0,-10-9 0,-7-4 0,-6-1 0,-4 0 0,-6 1 0,-7 6 0,-19 15 0,-22 21 0,21-14 0,-2 3 0,-4 3 0,0 2 0,4-3 0,1-1 0,-23 22 0,23-22 0,21-19 0,13-12 0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2T16:32:01.310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3 1 24575,'-1'19'0,"-1"18"0,2 28 0,0 25 0,0-34 0,0 3 0,0 5 0,0 1 0,0-1 0,0-1 0,0-5 0,0-3 0,0 26 0,0-40 0,0-19 0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2T16:32:02.493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1 24575,'0'14'0,"0"17"0,0 22 0,0 33 0,0-31 0,0 1 0,0 5 0,0-1 0,0-4 0,0-3 0,0 35 0,0-26 0,0-26 0,0-17 0,0-12 0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2T16:32:04.326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157 0 24575,'0'50'0,"0"15"0,0 24 0,0 2 0,0-8 0,0-24 0,0-27 0,-2-17 0,-3-16 0,-4-8 0,-2-4 0,-3-3 0,-1 0 0,-2-3 0,-1-2 0,-2-2 0,2 1 0,3 4 0,6 6 0,5 5 0,6 8 0,4 7 0,4 7 0,2 4 0,1 3 0,1 0 0,0 1 0,2 2 0,2 1 0,-2-1 0,-1-6 0,-4-5 0,-3-6 0,-2-4 0,0-2 0,-1-3 0,4-6 0,6-9 0,4-9 0,3-9 0,0-3 0,-3 2 0,-4 4 0,-2 6 0,-4 6 0,0 6 0,-3 6 0,0 4 0,-3 1 0,-1 2 0,-2-2 0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2T16:32:17.743"/>
    </inkml:context>
    <inkml:brush xml:id="br0">
      <inkml:brushProperty name="width" value="0.3" units="cm"/>
      <inkml:brushProperty name="height" value="0.6" units="cm"/>
      <inkml:brushProperty name="color" value="#00FDFF"/>
      <inkml:brushProperty name="tip" value="rectangle"/>
      <inkml:brushProperty name="rasterOp" value="maskPen"/>
    </inkml:brush>
  </inkml:definitions>
  <inkml:trace contextRef="#ctx0" brushRef="#br0">3803 226,'-54'-1,"-1"0,-17 0,-7 1,9 0,-5 0,-3 0,-14 0,-5 0,-1 0,18 0,-2 0,-1 0,0 0,-2 0,-1 0,0 0,1 0,2-1,1 0,0-1,1 0,1-2,1 0,1-1,2-1,-19-3,2-1,1-2,5-1,1-1,2 0,6 0,1-1,3 2,-21-4,5 1,14 3,6 2,-23-2,41 6,29 3,16 1,-26 7,-3 1,-43 6,1-1,0 0,11-1,22-3,19-3,18-2,73-3,21 2,1 1,13 1,-13 0,6 2,5 0,-10-1,3 1,2 0,3 0,-10 0,3 0,1 0,0 0,1 1,3 0,2-1,0 1,-1 0,-2 0,-10 0,-1 0,-1 0,-2-1,0 1,12 1,-2 1,-1-1,-3 0,10 1,-3 0,-4 0,-12-1,-4 0,0 0,26 0,-4 0,-16-2,-4-1,-12-1,-4-1,27-1,-30 0,-21 0,-19 2,-91-4,17-3,-12-2,2 1,-11-1,-6-1,-2 1,1 0,-5-1,-2 0,-4 0,-1 1,14 1,-2 1,-3 0,0 0,-2 0,1 1,0-1,-1 2,-2-1,0 1,0 0,1 0,2 0,1 1,-4 0,1 1,1 0,2 0,3 0,3 0,-17 1,3 0,5 0,8 0,7 0,6 0,8 0,2 0,9 0,-10 0,44 1,16 0,4 1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2T16:32:20.24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449 1 24575,'55'40'0,"0"-1"0,-2 0 0,4 3 0,3 2 0,14 11 0,5 2 0,2 2-613,-15-11 0,1 1 1,1-1-1,-1 0 613,15 9 0,-2-1 0,-3-3 0,-12-9 0,-3-1 0,-3-4 391,11 9 1,-8-6-392,14 8 403,-36-23-403,-21-15 0,-12-8 0,-6-3 0</inkml:trace>
  <inkml:trace contextRef="#ctx0" brushRef="#br0" timeOffset="750">1663 30 24575,'-16'21'0,"-37"49"0,15-19 0,-7 8 0,-3 6-1231,5-8 1,-3 4 0,-3 4 0,-1 3 0,-1 1 1230,-2 2 0,-1 3 0,-2 2 0,-1 1 0,1 0 0,1-1 0,0 0 0,1 0 0,-1 1 0,1-1 0,1-1 0,2-2 0,-4 7 0,0-1 0,2-1 0,2-3 0,4-3 409,2-3 1,1-2 0,5-4 0,3-6-410,-5 13 0,6-9 1025,-10 15-1025,29-53 0,14-25 0,1-7 3323,-1 0-3323,0 3 41,1 2 0,0 1 0,1 2 0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2T16:32:43.642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97 142 24575,'4'22'0,"15"18"0,18 23 0,17 18 0,5-6 0,-5-12 0,-7-20 0,-5-17 0,0-10 0,0-9 0,-1-5 0,-8-4 0,-8-3 0,-10-2 0,-7 2 0,-4 2 0,-3 1 0</inkml:trace>
  <inkml:trace contextRef="#ctx0" brushRef="#br0" timeOffset="1967">78 145 24575,'0'8'0,"-2"7"0,-3 6 0,-4 5 0,-4-2 0,0-3 0,1-4 0,4-4 0,2-5 0,2-2 0,2-2 0,1-1 0,0-2 0,0 0 0,0-5 0,4-6 0,2-9 0,3-8 0,3-6 0,1-2 0,0-2 0,1 1 0,0 4 0,-2 7 0,-1 7 0,-1 6 0,-1 5 0,-1 3 0,1 0 0,-1 2 0,0-1 0,-1 1 0,0 0 0,-1 1 0,-1 1 0,0 1 0,1 1 0,6 2 0,19 4 0,25 5 0,27 7 0,10 4 0,-6 1 0,-17-3 0,-26-6 0,-16-5 0,-16-4 0,-7-4 0,-4-2 0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2T16:32:50.447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0 24575,'0'0'0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2T16:34:54.45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 24575,'0'0'0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5D1A7F-AFD2-E649-9770-7818E21F9C90}" name="stu_data" displayName="stu_data" ref="C3:F9" totalsRowShown="0" headerRowDxfId="7" dataDxfId="5" headerRowBorderDxfId="6" tableBorderDxfId="4">
  <autoFilter ref="C3:F9" xr:uid="{205D1A7F-AFD2-E649-9770-7818E21F9C90}"/>
  <tableColumns count="4">
    <tableColumn id="1" xr3:uid="{B5FCB513-20B3-3843-8A5C-C423B510F71A}" name="Student Id" dataDxfId="3"/>
    <tableColumn id="2" xr3:uid="{652CF61F-EA09-B340-84FA-CF12F093EE60}" name="Name" dataDxfId="2"/>
    <tableColumn id="3" xr3:uid="{40328B1D-F22A-B645-ACF7-13293140F2E8}" name="Course" dataDxfId="1"/>
    <tableColumn id="4" xr3:uid="{036832AE-1873-BC40-AAD4-FBCB7FFA7EB6}" name="Phn Nu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54DB0-AFFF-C34B-AEDB-37145C0702D8}">
  <dimension ref="A2:F33"/>
  <sheetViews>
    <sheetView topLeftCell="D18" zoomScale="376" workbookViewId="0">
      <selection activeCell="B10" sqref="B10:E10"/>
    </sheetView>
  </sheetViews>
  <sheetFormatPr baseColWidth="10" defaultRowHeight="16" x14ac:dyDescent="0.2"/>
  <sheetData>
    <row r="2" spans="1:6" x14ac:dyDescent="0.2">
      <c r="B2" s="14" t="s">
        <v>0</v>
      </c>
      <c r="C2" s="14"/>
    </row>
    <row r="3" spans="1:6" x14ac:dyDescent="0.2">
      <c r="B3" s="14"/>
      <c r="C3" s="14"/>
    </row>
    <row r="6" spans="1:6" x14ac:dyDescent="0.2">
      <c r="B6" t="s">
        <v>1</v>
      </c>
      <c r="D6" t="s">
        <v>4</v>
      </c>
    </row>
    <row r="8" spans="1:6" x14ac:dyDescent="0.2">
      <c r="B8" t="s">
        <v>2</v>
      </c>
      <c r="D8" t="s">
        <v>5</v>
      </c>
    </row>
    <row r="10" spans="1:6" x14ac:dyDescent="0.2">
      <c r="B10" t="s">
        <v>3</v>
      </c>
      <c r="D10" t="s">
        <v>6</v>
      </c>
    </row>
    <row r="12" spans="1:6" x14ac:dyDescent="0.2">
      <c r="A12" s="5"/>
      <c r="B12" s="5"/>
      <c r="C12" s="5"/>
      <c r="D12" s="5"/>
      <c r="E12" s="5"/>
      <c r="F12" s="5"/>
    </row>
    <row r="15" spans="1:6" x14ac:dyDescent="0.2">
      <c r="B15" t="s">
        <v>36</v>
      </c>
    </row>
    <row r="17" spans="2:3" x14ac:dyDescent="0.2">
      <c r="C17" s="12" t="s">
        <v>37</v>
      </c>
    </row>
    <row r="18" spans="2:3" x14ac:dyDescent="0.2">
      <c r="C18" s="6" t="s">
        <v>38</v>
      </c>
    </row>
    <row r="19" spans="2:3" x14ac:dyDescent="0.2">
      <c r="C19" s="6" t="s">
        <v>39</v>
      </c>
    </row>
    <row r="20" spans="2:3" x14ac:dyDescent="0.2">
      <c r="C20" s="6" t="s">
        <v>40</v>
      </c>
    </row>
    <row r="21" spans="2:3" x14ac:dyDescent="0.2">
      <c r="C21" s="6" t="s">
        <v>41</v>
      </c>
    </row>
    <row r="22" spans="2:3" x14ac:dyDescent="0.2">
      <c r="C22" s="6"/>
    </row>
    <row r="23" spans="2:3" x14ac:dyDescent="0.2">
      <c r="C23" s="6"/>
    </row>
    <row r="24" spans="2:3" x14ac:dyDescent="0.2">
      <c r="C24" s="6" t="s">
        <v>42</v>
      </c>
    </row>
    <row r="27" spans="2:3" x14ac:dyDescent="0.2">
      <c r="B27" t="s">
        <v>2</v>
      </c>
    </row>
    <row r="29" spans="2:3" x14ac:dyDescent="0.2">
      <c r="B29" s="12" t="s">
        <v>37</v>
      </c>
    </row>
    <row r="30" spans="2:3" x14ac:dyDescent="0.2">
      <c r="B30" s="6" t="s">
        <v>43</v>
      </c>
    </row>
    <row r="31" spans="2:3" x14ac:dyDescent="0.2">
      <c r="B31" s="6" t="s">
        <v>39</v>
      </c>
    </row>
    <row r="32" spans="2:3" x14ac:dyDescent="0.2">
      <c r="B32" s="6" t="s">
        <v>44</v>
      </c>
    </row>
    <row r="33" spans="2:2" x14ac:dyDescent="0.2">
      <c r="B33" s="6" t="s">
        <v>45</v>
      </c>
    </row>
  </sheetData>
  <mergeCells count="1">
    <mergeCell ref="B2:C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6F287-CD2F-0243-AD39-9ED996B93BEF}">
  <dimension ref="A3:I39"/>
  <sheetViews>
    <sheetView topLeftCell="B22" zoomScale="305" workbookViewId="0">
      <selection activeCell="C27" sqref="C27"/>
    </sheetView>
  </sheetViews>
  <sheetFormatPr baseColWidth="10" defaultRowHeight="16" x14ac:dyDescent="0.2"/>
  <sheetData>
    <row r="3" spans="1:9" x14ac:dyDescent="0.2">
      <c r="C3" s="9" t="s">
        <v>7</v>
      </c>
      <c r="D3" s="9" t="s">
        <v>8</v>
      </c>
      <c r="E3" s="9" t="s">
        <v>9</v>
      </c>
      <c r="F3" s="10" t="s">
        <v>10</v>
      </c>
    </row>
    <row r="4" spans="1:9" x14ac:dyDescent="0.2">
      <c r="C4" s="4">
        <v>1201</v>
      </c>
      <c r="D4" s="4" t="s">
        <v>11</v>
      </c>
      <c r="E4" s="4" t="s">
        <v>12</v>
      </c>
      <c r="F4" s="8" t="s">
        <v>13</v>
      </c>
    </row>
    <row r="5" spans="1:9" x14ac:dyDescent="0.2">
      <c r="C5" s="4">
        <v>1202</v>
      </c>
      <c r="D5" s="4" t="s">
        <v>14</v>
      </c>
      <c r="E5" s="4" t="s">
        <v>15</v>
      </c>
      <c r="F5" s="8" t="s">
        <v>16</v>
      </c>
    </row>
    <row r="6" spans="1:9" x14ac:dyDescent="0.2">
      <c r="C6" s="4">
        <v>1203</v>
      </c>
      <c r="D6" s="4" t="s">
        <v>26</v>
      </c>
      <c r="E6" s="4" t="s">
        <v>18</v>
      </c>
      <c r="F6" s="8" t="s">
        <v>19</v>
      </c>
    </row>
    <row r="7" spans="1:9" x14ac:dyDescent="0.2">
      <c r="C7" s="4">
        <v>1204</v>
      </c>
      <c r="D7" s="4" t="s">
        <v>20</v>
      </c>
      <c r="E7" s="4" t="s">
        <v>21</v>
      </c>
      <c r="F7" s="8" t="s">
        <v>22</v>
      </c>
    </row>
    <row r="8" spans="1:9" x14ac:dyDescent="0.2">
      <c r="C8" s="4">
        <v>1205</v>
      </c>
      <c r="D8" s="4" t="s">
        <v>23</v>
      </c>
      <c r="E8" s="4" t="s">
        <v>24</v>
      </c>
      <c r="F8" s="8" t="s">
        <v>25</v>
      </c>
    </row>
    <row r="9" spans="1:9" x14ac:dyDescent="0.2">
      <c r="C9" s="11">
        <v>1206</v>
      </c>
      <c r="D9" s="11" t="s">
        <v>26</v>
      </c>
      <c r="E9" s="11" t="s">
        <v>21</v>
      </c>
      <c r="F9" s="6" t="s">
        <v>27</v>
      </c>
    </row>
    <row r="11" spans="1:9" x14ac:dyDescent="0.2">
      <c r="C11" t="s">
        <v>28</v>
      </c>
      <c r="D11" s="7" t="s">
        <v>10</v>
      </c>
    </row>
    <row r="12" spans="1:9" x14ac:dyDescent="0.2">
      <c r="C12" s="7">
        <v>1205</v>
      </c>
      <c r="D12" t="str">
        <f>INDEX(D4:F9,MATCH(C12,C4:C9,0),MATCH(D11,D3:F3,0))</f>
        <v>Fake num 5</v>
      </c>
      <c r="E12" t="str">
        <f ca="1">_xlfn.FORMULATEXT(D12)</f>
        <v>=INDEX(D4:F9,MATCH(C12,C4:C9,0),MATCH(D11,D3:F3,0))</v>
      </c>
    </row>
    <row r="13" spans="1:9" x14ac:dyDescent="0.2">
      <c r="D13" t="str">
        <f>VLOOKUP(C12,C4:F9,MATCH(D11,C3:F3,0))</f>
        <v>Fake num 5</v>
      </c>
      <c r="E13" t="str">
        <f ca="1">_xlfn.FORMULATEXT(D13)</f>
        <v>=VLOOKUP(C12,C4:F9,MATCH(D11,C3:F3,0))</v>
      </c>
    </row>
    <row r="15" spans="1:9" x14ac:dyDescent="0.2">
      <c r="A15" s="5"/>
      <c r="B15" s="5"/>
      <c r="C15" s="5"/>
      <c r="D15" s="5"/>
      <c r="E15" s="5"/>
      <c r="F15" s="5"/>
      <c r="G15" s="5"/>
      <c r="H15" s="5"/>
      <c r="I15" s="5"/>
    </row>
    <row r="17" spans="2:7" x14ac:dyDescent="0.2">
      <c r="B17" t="s">
        <v>1</v>
      </c>
    </row>
    <row r="20" spans="2:7" x14ac:dyDescent="0.2">
      <c r="B20" s="1" t="s">
        <v>7</v>
      </c>
      <c r="C20" s="2" t="s">
        <v>8</v>
      </c>
      <c r="D20" s="2" t="s">
        <v>9</v>
      </c>
      <c r="E20" s="2" t="s">
        <v>10</v>
      </c>
      <c r="G20" s="22" t="s">
        <v>14</v>
      </c>
    </row>
    <row r="21" spans="2:7" x14ac:dyDescent="0.2">
      <c r="B21" s="3">
        <v>1201</v>
      </c>
      <c r="C21" s="4" t="s">
        <v>11</v>
      </c>
      <c r="D21" s="4" t="s">
        <v>12</v>
      </c>
      <c r="E21" s="4" t="s">
        <v>13</v>
      </c>
    </row>
    <row r="22" spans="2:7" x14ac:dyDescent="0.2">
      <c r="B22" s="3">
        <v>1202</v>
      </c>
      <c r="C22" s="4" t="s">
        <v>14</v>
      </c>
      <c r="D22" s="4" t="s">
        <v>15</v>
      </c>
      <c r="E22" s="4" t="s">
        <v>16</v>
      </c>
      <c r="G22">
        <f>VLOOKUP(G20,_xlfn.CHOOSECOLS(B21:E26,{2,1,4,3}),2,0)</f>
        <v>1202</v>
      </c>
    </row>
    <row r="23" spans="2:7" x14ac:dyDescent="0.2">
      <c r="B23" s="3">
        <v>1203</v>
      </c>
      <c r="C23" s="6" t="s">
        <v>17</v>
      </c>
      <c r="D23" s="4" t="s">
        <v>18</v>
      </c>
      <c r="E23" s="4" t="s">
        <v>19</v>
      </c>
    </row>
    <row r="24" spans="2:7" x14ac:dyDescent="0.2">
      <c r="B24" s="3">
        <v>1204</v>
      </c>
      <c r="C24" s="4" t="s">
        <v>20</v>
      </c>
      <c r="D24" s="4" t="s">
        <v>21</v>
      </c>
      <c r="E24" s="4" t="s">
        <v>22</v>
      </c>
      <c r="G24" t="str">
        <f ca="1">_xlfn.FORMULATEXT(G22)</f>
        <v>=VLOOKUP(G20,CHOOSECOLS(B21:E26,{2,1,4,3}),2,0)</v>
      </c>
    </row>
    <row r="25" spans="2:7" x14ac:dyDescent="0.2">
      <c r="B25" s="3">
        <v>1280</v>
      </c>
      <c r="C25" s="4" t="s">
        <v>23</v>
      </c>
      <c r="D25" s="4" t="s">
        <v>24</v>
      </c>
      <c r="E25" s="4" t="s">
        <v>25</v>
      </c>
    </row>
    <row r="26" spans="2:7" x14ac:dyDescent="0.2">
      <c r="B26" s="3">
        <v>1292</v>
      </c>
      <c r="C26" s="4" t="s">
        <v>26</v>
      </c>
      <c r="D26" s="4" t="s">
        <v>21</v>
      </c>
      <c r="E26" s="4" t="s">
        <v>27</v>
      </c>
    </row>
    <row r="29" spans="2:7" x14ac:dyDescent="0.2">
      <c r="C29" s="6" t="s">
        <v>46</v>
      </c>
      <c r="D29" t="str">
        <f>IFERROR(VLOOKUP(C29,stu_data[[#All],[Name]:[Phn Num]],3,FALSE),"Not Found")</f>
        <v>Not Found</v>
      </c>
      <c r="E29" t="str">
        <f ca="1">_xlfn.FORMULATEXT(D29)</f>
        <v>=IFERROR(VLOOKUP(C29,stu_data[[#All],[Name]:[Phn Num]],3,FALSE),"Not Found")</v>
      </c>
    </row>
    <row r="30" spans="2:7" x14ac:dyDescent="0.2">
      <c r="C30" s="6">
        <v>1205</v>
      </c>
      <c r="D30" t="str" cm="1">
        <f t="array" ref="D30:E30">VLOOKUP(C30,B21:E26,{4,3},TRUE)</f>
        <v>Fake num 4</v>
      </c>
      <c r="E30" t="str">
        <v>MBA HR</v>
      </c>
    </row>
    <row r="31" spans="2:7" x14ac:dyDescent="0.2">
      <c r="D31" t="str">
        <f ca="1">_xlfn.FORMULATEXT(D30)</f>
        <v>=VLOOKUP(C30,B21:E26,{4,3},TRUE)</v>
      </c>
    </row>
    <row r="34" spans="2:4" x14ac:dyDescent="0.2">
      <c r="B34" t="s">
        <v>29</v>
      </c>
      <c r="D34" t="s">
        <v>30</v>
      </c>
    </row>
    <row r="36" spans="2:4" x14ac:dyDescent="0.2">
      <c r="B36" t="s">
        <v>31</v>
      </c>
      <c r="D36" t="s">
        <v>32</v>
      </c>
    </row>
    <row r="37" spans="2:4" x14ac:dyDescent="0.2">
      <c r="D37" t="s">
        <v>33</v>
      </c>
    </row>
    <row r="39" spans="2:4" x14ac:dyDescent="0.2">
      <c r="B39" t="s">
        <v>34</v>
      </c>
      <c r="D39" t="s">
        <v>35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AAA69-1729-4F44-9B46-08702B199848}">
  <dimension ref="B4:F25"/>
  <sheetViews>
    <sheetView topLeftCell="A6" zoomScale="290" workbookViewId="0">
      <selection activeCell="C15" sqref="C15"/>
    </sheetView>
  </sheetViews>
  <sheetFormatPr baseColWidth="10" defaultRowHeight="16" x14ac:dyDescent="0.2"/>
  <sheetData>
    <row r="4" spans="2:5" x14ac:dyDescent="0.2">
      <c r="B4" s="1" t="s">
        <v>7</v>
      </c>
      <c r="C4" s="2" t="s">
        <v>8</v>
      </c>
      <c r="D4" s="2" t="s">
        <v>9</v>
      </c>
      <c r="E4" s="2" t="s">
        <v>10</v>
      </c>
    </row>
    <row r="5" spans="2:5" x14ac:dyDescent="0.2">
      <c r="B5" s="3">
        <v>1201</v>
      </c>
      <c r="C5" s="4" t="s">
        <v>11</v>
      </c>
      <c r="D5" s="4" t="s">
        <v>12</v>
      </c>
      <c r="E5" s="4" t="s">
        <v>13</v>
      </c>
    </row>
    <row r="6" spans="2:5" x14ac:dyDescent="0.2">
      <c r="B6" s="3">
        <v>1202</v>
      </c>
      <c r="C6" s="4" t="s">
        <v>14</v>
      </c>
      <c r="D6" s="4" t="s">
        <v>15</v>
      </c>
      <c r="E6" s="4" t="s">
        <v>16</v>
      </c>
    </row>
    <row r="7" spans="2:5" x14ac:dyDescent="0.2">
      <c r="B7" s="3">
        <v>1203</v>
      </c>
      <c r="C7" s="6" t="s">
        <v>17</v>
      </c>
      <c r="D7" s="4" t="s">
        <v>18</v>
      </c>
      <c r="E7" s="4" t="s">
        <v>19</v>
      </c>
    </row>
    <row r="8" spans="2:5" x14ac:dyDescent="0.2">
      <c r="B8" s="3">
        <v>1204</v>
      </c>
      <c r="C8" s="4" t="s">
        <v>20</v>
      </c>
      <c r="D8" s="4" t="s">
        <v>21</v>
      </c>
      <c r="E8" s="4" t="s">
        <v>22</v>
      </c>
    </row>
    <row r="9" spans="2:5" x14ac:dyDescent="0.2">
      <c r="B9" s="3">
        <v>1280</v>
      </c>
      <c r="C9" s="4" t="s">
        <v>23</v>
      </c>
      <c r="D9" s="4" t="s">
        <v>24</v>
      </c>
      <c r="E9" s="4" t="s">
        <v>25</v>
      </c>
    </row>
    <row r="10" spans="2:5" x14ac:dyDescent="0.2">
      <c r="B10" s="3">
        <v>1292</v>
      </c>
      <c r="C10" s="4" t="s">
        <v>26</v>
      </c>
      <c r="D10" s="4" t="s">
        <v>21</v>
      </c>
      <c r="E10" s="4" t="s">
        <v>27</v>
      </c>
    </row>
    <row r="12" spans="2:5" x14ac:dyDescent="0.2">
      <c r="C12" s="15" t="s">
        <v>8</v>
      </c>
      <c r="D12" s="15" t="s">
        <v>83</v>
      </c>
    </row>
    <row r="13" spans="2:5" x14ac:dyDescent="0.2">
      <c r="B13" t="s">
        <v>82</v>
      </c>
      <c r="C13" t="str" cm="1">
        <f t="array" ref="C13:D13">_xlfn.CHOOSECOLS(_xlfn.XLOOKUP(B13,E5:E10,B5:C10),{2,1})</f>
        <v>Shyaam</v>
      </c>
      <c r="D13">
        <v>1202</v>
      </c>
    </row>
    <row r="14" spans="2:5" x14ac:dyDescent="0.2">
      <c r="C14" t="str">
        <f ca="1">_xlfn.FORMULATEXT(C13)</f>
        <v>=CHOOSECOLS(XLOOKUP(B13,E5:E10,B5:C10),{2,1})</v>
      </c>
    </row>
    <row r="17" spans="2:6" x14ac:dyDescent="0.2">
      <c r="B17" t="s">
        <v>84</v>
      </c>
      <c r="E17" t="s">
        <v>85</v>
      </c>
    </row>
    <row r="18" spans="2:6" x14ac:dyDescent="0.2">
      <c r="E18" t="str">
        <f ca="1">_xlfn.FORMULATEXT(C19)</f>
        <v>=CHOOSECOLS(B4:E10,{4,2,1,3})</v>
      </c>
    </row>
    <row r="19" spans="2:6" x14ac:dyDescent="0.2">
      <c r="C19" t="str" cm="1">
        <f t="array" ref="C19:F25">_xlfn.CHOOSECOLS(B4:E10,{4,2,1,3})</f>
        <v>Phn Num</v>
      </c>
      <c r="D19" t="str">
        <v>Name</v>
      </c>
      <c r="E19" t="str">
        <v>Student Id</v>
      </c>
      <c r="F19" t="str">
        <v>Course</v>
      </c>
    </row>
    <row r="20" spans="2:6" x14ac:dyDescent="0.2">
      <c r="C20" t="str">
        <v>Fake num 1</v>
      </c>
      <c r="D20" t="str">
        <v>Jennifer</v>
      </c>
      <c r="E20">
        <v>1201</v>
      </c>
      <c r="F20" t="str">
        <v>Bsc Phy</v>
      </c>
    </row>
    <row r="21" spans="2:6" x14ac:dyDescent="0.2">
      <c r="C21" t="str">
        <v>Fake num 2</v>
      </c>
      <c r="D21" t="str">
        <v>Shyaam</v>
      </c>
      <c r="E21">
        <v>1202</v>
      </c>
      <c r="F21" t="str">
        <v>Bsc Chem</v>
      </c>
    </row>
    <row r="22" spans="2:6" x14ac:dyDescent="0.2">
      <c r="C22" t="str">
        <v>Fake num 3</v>
      </c>
      <c r="D22" t="str">
        <v>Meena</v>
      </c>
      <c r="E22">
        <v>1203</v>
      </c>
      <c r="F22" t="str">
        <v>Ba History</v>
      </c>
    </row>
    <row r="23" spans="2:6" x14ac:dyDescent="0.2">
      <c r="C23" t="str">
        <v>Fake num 4</v>
      </c>
      <c r="D23" t="str">
        <v>Arjun</v>
      </c>
      <c r="E23">
        <v>1204</v>
      </c>
      <c r="F23" t="str">
        <v>MBA HR</v>
      </c>
    </row>
    <row r="24" spans="2:6" x14ac:dyDescent="0.2">
      <c r="C24" t="str">
        <v>Fake num 5</v>
      </c>
      <c r="D24" t="str">
        <v>Dolly</v>
      </c>
      <c r="E24">
        <v>1280</v>
      </c>
      <c r="F24" t="str">
        <v>Ba Soci</v>
      </c>
    </row>
    <row r="25" spans="2:6" x14ac:dyDescent="0.2">
      <c r="C25" t="str">
        <v>Fake num 6</v>
      </c>
      <c r="D25" t="str">
        <v>Sonam</v>
      </c>
      <c r="E25">
        <v>1292</v>
      </c>
      <c r="F25" t="str">
        <v>MBA HR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112FC-48F4-3A48-96FC-B19CA120E992}">
  <dimension ref="B3:H9"/>
  <sheetViews>
    <sheetView zoomScale="271" workbookViewId="0">
      <selection activeCell="C4" sqref="B3:H6"/>
    </sheetView>
  </sheetViews>
  <sheetFormatPr baseColWidth="10" defaultRowHeight="16" x14ac:dyDescent="0.2"/>
  <sheetData>
    <row r="3" spans="2:8" x14ac:dyDescent="0.2">
      <c r="B3" s="1" t="s">
        <v>7</v>
      </c>
      <c r="C3" s="13">
        <v>1201</v>
      </c>
      <c r="D3" s="13">
        <v>1202</v>
      </c>
      <c r="E3" s="13">
        <v>1203</v>
      </c>
      <c r="F3" s="13">
        <v>1204</v>
      </c>
      <c r="G3" s="13">
        <v>1280</v>
      </c>
      <c r="H3" s="13">
        <v>1292</v>
      </c>
    </row>
    <row r="4" spans="2:8" x14ac:dyDescent="0.2">
      <c r="B4" s="1" t="s">
        <v>8</v>
      </c>
      <c r="C4" s="13" t="s">
        <v>11</v>
      </c>
      <c r="D4" s="13" t="s">
        <v>14</v>
      </c>
      <c r="E4" s="13" t="s">
        <v>17</v>
      </c>
      <c r="F4" s="13" t="s">
        <v>20</v>
      </c>
      <c r="G4" s="13" t="s">
        <v>23</v>
      </c>
      <c r="H4" s="13" t="s">
        <v>26</v>
      </c>
    </row>
    <row r="5" spans="2:8" x14ac:dyDescent="0.2">
      <c r="B5" s="1" t="s">
        <v>9</v>
      </c>
      <c r="C5" s="13" t="s">
        <v>12</v>
      </c>
      <c r="D5" s="13" t="s">
        <v>15</v>
      </c>
      <c r="E5" s="13" t="s">
        <v>18</v>
      </c>
      <c r="F5" s="13" t="s">
        <v>21</v>
      </c>
      <c r="G5" s="13" t="s">
        <v>24</v>
      </c>
      <c r="H5" s="13" t="s">
        <v>21</v>
      </c>
    </row>
    <row r="6" spans="2:8" x14ac:dyDescent="0.2">
      <c r="B6" s="1" t="s">
        <v>10</v>
      </c>
      <c r="C6" s="13" t="s">
        <v>13</v>
      </c>
      <c r="D6" s="13" t="s">
        <v>16</v>
      </c>
      <c r="E6" s="13" t="s">
        <v>19</v>
      </c>
      <c r="F6" s="13" t="s">
        <v>22</v>
      </c>
      <c r="G6" s="13" t="s">
        <v>25</v>
      </c>
      <c r="H6" s="13" t="s">
        <v>27</v>
      </c>
    </row>
    <row r="9" spans="2:8" x14ac:dyDescent="0.2">
      <c r="C9" t="str">
        <f>HLOOKUP(1202,B3:H6,3,FALSE)</f>
        <v>Bsc Chem</v>
      </c>
      <c r="E9" t="str">
        <f ca="1">_xlfn.FORMULATEXT(C9)</f>
        <v>=HLOOKUP(1202,B3:H6,3,FALSE)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E8E0F-4DD7-B241-AFA1-F726879F6529}">
  <dimension ref="B3:H58"/>
  <sheetViews>
    <sheetView tabSelected="1" topLeftCell="A51" zoomScale="316" workbookViewId="0">
      <selection activeCell="C59" sqref="C59"/>
    </sheetView>
  </sheetViews>
  <sheetFormatPr baseColWidth="10" defaultRowHeight="16" x14ac:dyDescent="0.2"/>
  <sheetData>
    <row r="3" spans="2:8" x14ac:dyDescent="0.2">
      <c r="B3" s="1" t="s">
        <v>7</v>
      </c>
      <c r="C3" s="2" t="s">
        <v>8</v>
      </c>
      <c r="D3" s="2" t="s">
        <v>9</v>
      </c>
      <c r="E3" s="2" t="s">
        <v>10</v>
      </c>
      <c r="G3" s="1" t="s">
        <v>7</v>
      </c>
      <c r="H3" s="23" t="s">
        <v>86</v>
      </c>
    </row>
    <row r="4" spans="2:8" x14ac:dyDescent="0.2">
      <c r="B4" s="3">
        <v>1201</v>
      </c>
      <c r="C4" s="4" t="s">
        <v>11</v>
      </c>
      <c r="D4" s="4" t="s">
        <v>12</v>
      </c>
      <c r="E4" s="4" t="s">
        <v>13</v>
      </c>
      <c r="G4" s="3">
        <v>1201</v>
      </c>
      <c r="H4">
        <v>87</v>
      </c>
    </row>
    <row r="5" spans="2:8" x14ac:dyDescent="0.2">
      <c r="B5" s="3">
        <v>1280</v>
      </c>
      <c r="C5" s="4" t="s">
        <v>14</v>
      </c>
      <c r="D5" s="4" t="s">
        <v>15</v>
      </c>
      <c r="E5" s="4" t="s">
        <v>16</v>
      </c>
      <c r="G5" s="3">
        <v>1202</v>
      </c>
      <c r="H5">
        <v>84</v>
      </c>
    </row>
    <row r="6" spans="2:8" x14ac:dyDescent="0.2">
      <c r="B6" s="3">
        <v>1203</v>
      </c>
      <c r="C6" s="6" t="s">
        <v>17</v>
      </c>
      <c r="D6" s="4" t="s">
        <v>18</v>
      </c>
      <c r="E6" s="4" t="s">
        <v>19</v>
      </c>
      <c r="G6" s="3">
        <v>1203</v>
      </c>
      <c r="H6">
        <v>95</v>
      </c>
    </row>
    <row r="7" spans="2:8" x14ac:dyDescent="0.2">
      <c r="B7" s="3">
        <v>1204</v>
      </c>
      <c r="C7" s="4" t="s">
        <v>20</v>
      </c>
      <c r="D7" s="4" t="s">
        <v>21</v>
      </c>
      <c r="E7" s="4" t="s">
        <v>22</v>
      </c>
      <c r="G7" s="3">
        <v>1204</v>
      </c>
      <c r="H7">
        <v>95</v>
      </c>
    </row>
    <row r="8" spans="2:8" x14ac:dyDescent="0.2">
      <c r="B8" s="3">
        <v>1280</v>
      </c>
      <c r="C8" s="4" t="s">
        <v>23</v>
      </c>
      <c r="D8" s="4" t="s">
        <v>24</v>
      </c>
      <c r="E8" s="4" t="s">
        <v>25</v>
      </c>
      <c r="G8" s="3">
        <v>1280</v>
      </c>
      <c r="H8">
        <v>90</v>
      </c>
    </row>
    <row r="9" spans="2:8" x14ac:dyDescent="0.2">
      <c r="B9" s="3">
        <v>1292</v>
      </c>
      <c r="C9" s="4" t="s">
        <v>26</v>
      </c>
      <c r="D9" s="4" t="s">
        <v>21</v>
      </c>
      <c r="E9" s="4" t="s">
        <v>27</v>
      </c>
      <c r="G9" s="3">
        <v>1292</v>
      </c>
      <c r="H9">
        <v>63</v>
      </c>
    </row>
    <row r="15" spans="2:8" x14ac:dyDescent="0.2">
      <c r="C15" t="s">
        <v>9</v>
      </c>
      <c r="D15" t="s">
        <v>10</v>
      </c>
    </row>
    <row r="16" spans="2:8" x14ac:dyDescent="0.2">
      <c r="B16">
        <v>1280</v>
      </c>
      <c r="C16" t="str" cm="1">
        <f t="array" ref="C16:D16">_xlfn.XLOOKUP(B16,B4:B9,D4:E9,"Not Found in the data",,1)</f>
        <v>Bsc Chem</v>
      </c>
      <c r="D16" t="str">
        <v>Fake num 2</v>
      </c>
    </row>
    <row r="18" spans="2:8" x14ac:dyDescent="0.2">
      <c r="C18" t="str">
        <f ca="1">_xlfn.FORMULATEXT(C16)</f>
        <v>=XLOOKUP(B16,B4:B9,D4:E9,"Not Found in the data",,1)</v>
      </c>
    </row>
    <row r="20" spans="2:8" x14ac:dyDescent="0.2">
      <c r="C20" t="s">
        <v>47</v>
      </c>
    </row>
    <row r="21" spans="2:8" x14ac:dyDescent="0.2">
      <c r="B21" t="s">
        <v>19</v>
      </c>
      <c r="C21">
        <f>_xlfn.XLOOKUP(B21,E4:E9,B4:B9)</f>
        <v>1203</v>
      </c>
      <c r="E21" t="str">
        <f ca="1">_xlfn.FORMULATEXT(C21)</f>
        <v>=XLOOKUP(B21,E4:E9,B4:B9)</v>
      </c>
    </row>
    <row r="24" spans="2:8" x14ac:dyDescent="0.2">
      <c r="B24" s="1" t="s">
        <v>7</v>
      </c>
      <c r="C24" s="13">
        <v>1201</v>
      </c>
      <c r="D24" s="13">
        <v>1202</v>
      </c>
      <c r="E24" s="13">
        <v>1203</v>
      </c>
      <c r="F24" s="13">
        <v>1204</v>
      </c>
      <c r="G24" s="13">
        <v>1280</v>
      </c>
      <c r="H24" s="13">
        <v>1292</v>
      </c>
    </row>
    <row r="25" spans="2:8" x14ac:dyDescent="0.2">
      <c r="B25" s="1" t="s">
        <v>8</v>
      </c>
      <c r="C25" s="13" t="s">
        <v>11</v>
      </c>
      <c r="D25" s="13" t="s">
        <v>14</v>
      </c>
      <c r="E25" s="13" t="s">
        <v>17</v>
      </c>
      <c r="F25" s="13" t="s">
        <v>20</v>
      </c>
      <c r="G25" s="13" t="s">
        <v>23</v>
      </c>
      <c r="H25" s="13" t="s">
        <v>26</v>
      </c>
    </row>
    <row r="26" spans="2:8" x14ac:dyDescent="0.2">
      <c r="B26" s="1" t="s">
        <v>9</v>
      </c>
      <c r="C26" s="13" t="s">
        <v>12</v>
      </c>
      <c r="D26" s="13" t="s">
        <v>15</v>
      </c>
      <c r="E26" s="13" t="s">
        <v>18</v>
      </c>
      <c r="F26" s="13" t="s">
        <v>21</v>
      </c>
      <c r="G26" s="13" t="s">
        <v>24</v>
      </c>
      <c r="H26" s="13" t="s">
        <v>21</v>
      </c>
    </row>
    <row r="27" spans="2:8" x14ac:dyDescent="0.2">
      <c r="B27" s="1" t="s">
        <v>10</v>
      </c>
      <c r="C27" s="13" t="s">
        <v>13</v>
      </c>
      <c r="D27" s="13" t="s">
        <v>16</v>
      </c>
      <c r="E27" s="13" t="s">
        <v>19</v>
      </c>
      <c r="F27" s="13" t="s">
        <v>22</v>
      </c>
      <c r="G27" s="13" t="s">
        <v>25</v>
      </c>
      <c r="H27" s="13" t="s">
        <v>27</v>
      </c>
    </row>
    <row r="29" spans="2:8" x14ac:dyDescent="0.2">
      <c r="C29" s="15" t="s">
        <v>18</v>
      </c>
    </row>
    <row r="31" spans="2:8" x14ac:dyDescent="0.2">
      <c r="B31" t="s">
        <v>47</v>
      </c>
      <c r="C31">
        <f>_xlfn.XLOOKUP(C29,C26:H26,C24:H24)</f>
        <v>1203</v>
      </c>
    </row>
    <row r="32" spans="2:8" x14ac:dyDescent="0.2">
      <c r="C32" t="str">
        <f ca="1">_xlfn.FORMULATEXT(C31)</f>
        <v>=XLOOKUP(C29,C26:H26,C24:H24)</v>
      </c>
    </row>
    <row r="34" spans="2:4" x14ac:dyDescent="0.2">
      <c r="B34" t="s">
        <v>87</v>
      </c>
    </row>
    <row r="36" spans="2:4" x14ac:dyDescent="0.2">
      <c r="B36" t="s">
        <v>88</v>
      </c>
      <c r="D36" t="s">
        <v>89</v>
      </c>
    </row>
    <row r="55" spans="2:6" x14ac:dyDescent="0.2">
      <c r="B55">
        <v>4</v>
      </c>
      <c r="C55">
        <v>7</v>
      </c>
      <c r="D55">
        <v>9</v>
      </c>
      <c r="E55">
        <v>11</v>
      </c>
      <c r="F55">
        <v>15</v>
      </c>
    </row>
    <row r="58" spans="2:6" x14ac:dyDescent="0.2">
      <c r="C58" t="s">
        <v>90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9F88D-C055-6047-96B3-6D983779D6CE}">
  <dimension ref="A1:C12"/>
  <sheetViews>
    <sheetView topLeftCell="A5" zoomScale="138" workbookViewId="0">
      <selection activeCell="A6" sqref="A6:C6"/>
    </sheetView>
  </sheetViews>
  <sheetFormatPr baseColWidth="10" defaultRowHeight="16" x14ac:dyDescent="0.2"/>
  <cols>
    <col min="1" max="1" width="26" bestFit="1" customWidth="1"/>
    <col min="2" max="3" width="68.33203125" customWidth="1"/>
  </cols>
  <sheetData>
    <row r="1" spans="1:3" x14ac:dyDescent="0.2">
      <c r="A1" t="s">
        <v>80</v>
      </c>
      <c r="B1" t="s">
        <v>81</v>
      </c>
      <c r="C1" t="s">
        <v>3</v>
      </c>
    </row>
    <row r="2" spans="1:3" ht="85" x14ac:dyDescent="0.2">
      <c r="A2" s="16" t="s">
        <v>48</v>
      </c>
      <c r="B2" s="17" t="s">
        <v>49</v>
      </c>
      <c r="C2" s="18" t="s">
        <v>50</v>
      </c>
    </row>
    <row r="3" spans="1:3" ht="102" x14ac:dyDescent="0.2">
      <c r="A3" s="19" t="s">
        <v>51</v>
      </c>
      <c r="B3" s="20" t="s">
        <v>52</v>
      </c>
      <c r="C3" s="21" t="s">
        <v>53</v>
      </c>
    </row>
    <row r="4" spans="1:3" ht="136" x14ac:dyDescent="0.2">
      <c r="A4" s="16" t="s">
        <v>54</v>
      </c>
      <c r="B4" s="17" t="s">
        <v>55</v>
      </c>
      <c r="C4" s="18" t="s">
        <v>56</v>
      </c>
    </row>
    <row r="5" spans="1:3" ht="119" x14ac:dyDescent="0.2">
      <c r="A5" s="19" t="s">
        <v>5</v>
      </c>
      <c r="B5" s="20" t="s">
        <v>57</v>
      </c>
      <c r="C5" s="21" t="s">
        <v>58</v>
      </c>
    </row>
    <row r="6" spans="1:3" ht="136" x14ac:dyDescent="0.2">
      <c r="A6" s="16" t="s">
        <v>59</v>
      </c>
      <c r="B6" s="17" t="s">
        <v>60</v>
      </c>
      <c r="C6" s="18" t="s">
        <v>61</v>
      </c>
    </row>
    <row r="7" spans="1:3" ht="170" x14ac:dyDescent="0.2">
      <c r="A7" s="19" t="s">
        <v>62</v>
      </c>
      <c r="B7" s="20" t="s">
        <v>63</v>
      </c>
      <c r="C7" s="21" t="s">
        <v>64</v>
      </c>
    </row>
    <row r="8" spans="1:3" ht="136" x14ac:dyDescent="0.2">
      <c r="A8" s="16" t="s">
        <v>65</v>
      </c>
      <c r="B8" s="17" t="s">
        <v>66</v>
      </c>
      <c r="C8" s="18" t="s">
        <v>67</v>
      </c>
    </row>
    <row r="9" spans="1:3" ht="119" x14ac:dyDescent="0.2">
      <c r="A9" s="19" t="s">
        <v>68</v>
      </c>
      <c r="B9" s="20" t="s">
        <v>69</v>
      </c>
      <c r="C9" s="21" t="s">
        <v>70</v>
      </c>
    </row>
    <row r="10" spans="1:3" ht="170" x14ac:dyDescent="0.2">
      <c r="A10" s="16" t="s">
        <v>71</v>
      </c>
      <c r="B10" s="17" t="s">
        <v>72</v>
      </c>
      <c r="C10" s="18" t="s">
        <v>73</v>
      </c>
    </row>
    <row r="11" spans="1:3" ht="170" x14ac:dyDescent="0.2">
      <c r="A11" s="19" t="s">
        <v>74</v>
      </c>
      <c r="B11" s="20" t="s">
        <v>75</v>
      </c>
      <c r="C11" s="21" t="s">
        <v>76</v>
      </c>
    </row>
    <row r="12" spans="1:3" ht="119" x14ac:dyDescent="0.2">
      <c r="A12" s="16" t="s">
        <v>77</v>
      </c>
      <c r="B12" s="17" t="s">
        <v>78</v>
      </c>
      <c r="C12" s="18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agenda</vt:lpstr>
      <vt:lpstr>VLOOKUP</vt:lpstr>
      <vt:lpstr>Sheet3</vt:lpstr>
      <vt:lpstr>Hlookup</vt:lpstr>
      <vt:lpstr>XLOOKUP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2026-08-21T15:36:35Z</dcterms:created>
  <dcterms:modified xsi:type="dcterms:W3CDTF">2026-08-22T16:34:54Z</dcterms:modified>
</cp:coreProperties>
</file>