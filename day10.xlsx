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Ex1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drawings/drawing6.xml" ContentType="application/vnd.openxmlformats-officedocument.drawing+xml"/>
  <Override PartName="/xl/charts/chartEx2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charts/chartEx3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D432C7CC-2ED2-E646-8858-8BDB246F9468}" xr6:coauthVersionLast="47" xr6:coauthVersionMax="47" xr10:uidLastSave="{00000000-0000-0000-0000-000000000000}"/>
  <bookViews>
    <workbookView xWindow="0" yWindow="600" windowWidth="28800" windowHeight="17400" activeTab="5" xr2:uid="{6F810DE6-6070-0D49-B865-7BB656856A99}"/>
  </bookViews>
  <sheets>
    <sheet name="AGENDA" sheetId="1" r:id="rId1"/>
    <sheet name="PIE CHART" sheetId="2" r:id="rId2"/>
    <sheet name="BAR" sheetId="3" r:id="rId3"/>
    <sheet name="Line" sheetId="4" r:id="rId4"/>
    <sheet name="SCATTER plot" sheetId="5" r:id="rId5"/>
    <sheet name="BOX-whisker" sheetId="6" r:id="rId6"/>
    <sheet name="pareto" sheetId="7" r:id="rId7"/>
    <sheet name="waterfall" sheetId="8" r:id="rId8"/>
    <sheet name="sunburst" sheetId="9" r:id="rId9"/>
    <sheet name="radar" sheetId="10" r:id="rId10"/>
    <sheet name="treemap" sheetId="12" r:id="rId11"/>
    <sheet name="sparklines" sheetId="11" r:id="rId12"/>
    <sheet name="map" sheetId="13" r:id="rId13"/>
  </sheets>
  <definedNames>
    <definedName name="_xlchart.v1.0" hidden="1">Line!$A$2:$A$13</definedName>
    <definedName name="_xlchart.v1.1" hidden="1">Line!$B$1</definedName>
    <definedName name="_xlchart.v1.10" hidden="1">Line!$A$2:$A$13</definedName>
    <definedName name="_xlchart.v1.11" hidden="1">Line!$B$1</definedName>
    <definedName name="_xlchart.v1.12" hidden="1">Line!$B$2:$B$13</definedName>
    <definedName name="_xlchart.v1.13" hidden="1">Line!$C$1</definedName>
    <definedName name="_xlchart.v1.14" hidden="1">Line!$C$2:$C$13</definedName>
    <definedName name="_xlchart.v1.15" hidden="1">'BOX-whisker'!$A$2:$A$16</definedName>
    <definedName name="_xlchart.v1.16" hidden="1">'BOX-whisker'!$B$1</definedName>
    <definedName name="_xlchart.v1.17" hidden="1">'BOX-whisker'!$B$2:$B$16</definedName>
    <definedName name="_xlchart.v1.18" hidden="1">'BOX-whisker'!$C$1</definedName>
    <definedName name="_xlchart.v1.19" hidden="1">'BOX-whisker'!$C$2:$C$16</definedName>
    <definedName name="_xlchart.v1.2" hidden="1">Line!$B$2:$B$13</definedName>
    <definedName name="_xlchart.v1.20" hidden="1">'BOX-whisker'!$D$1</definedName>
    <definedName name="_xlchart.v1.21" hidden="1">'BOX-whisker'!$D$2:$D$16</definedName>
    <definedName name="_xlchart.v1.22" hidden="1">'BOX-whisker'!$A$2:$A$16</definedName>
    <definedName name="_xlchart.v1.23" hidden="1">'BOX-whisker'!$B$1</definedName>
    <definedName name="_xlchart.v1.24" hidden="1">'BOX-whisker'!$B$2:$B$16</definedName>
    <definedName name="_xlchart.v1.25" hidden="1">'BOX-whisker'!$C$1</definedName>
    <definedName name="_xlchart.v1.26" hidden="1">'BOX-whisker'!$C$2:$C$16</definedName>
    <definedName name="_xlchart.v1.27" hidden="1">'BOX-whisker'!$D$1</definedName>
    <definedName name="_xlchart.v1.28" hidden="1">'BOX-whisker'!$D$2:$D$16</definedName>
    <definedName name="_xlchart.v1.29" hidden="1">'BOX-whisker'!$A$2:$A$16</definedName>
    <definedName name="_xlchart.v1.3" hidden="1">Line!$C$1</definedName>
    <definedName name="_xlchart.v1.30" hidden="1">'BOX-whisker'!$B$1</definedName>
    <definedName name="_xlchart.v1.31" hidden="1">'BOX-whisker'!$B$2:$B$16</definedName>
    <definedName name="_xlchart.v1.32" hidden="1">'BOX-whisker'!$C$1</definedName>
    <definedName name="_xlchart.v1.33" hidden="1">'BOX-whisker'!$C$2:$C$16</definedName>
    <definedName name="_xlchart.v1.34" hidden="1">'BOX-whisker'!$D$1</definedName>
    <definedName name="_xlchart.v1.35" hidden="1">'BOX-whisker'!$D$2:$D$16</definedName>
    <definedName name="_xlchart.v1.36" hidden="1">'BOX-whisker'!$A$2:$A$16</definedName>
    <definedName name="_xlchart.v1.37" hidden="1">'BOX-whisker'!$B$1</definedName>
    <definedName name="_xlchart.v1.38" hidden="1">'BOX-whisker'!$B$2:$B$16</definedName>
    <definedName name="_xlchart.v1.39" hidden="1">'BOX-whisker'!$C$1</definedName>
    <definedName name="_xlchart.v1.4" hidden="1">Line!$C$2:$C$13</definedName>
    <definedName name="_xlchart.v1.40" hidden="1">'BOX-whisker'!$C$2:$C$16</definedName>
    <definedName name="_xlchart.v1.41" hidden="1">'BOX-whisker'!$D$1</definedName>
    <definedName name="_xlchart.v1.42" hidden="1">'BOX-whisker'!$D$2:$D$16</definedName>
    <definedName name="_xlchart.v1.43" hidden="1">'BOX-whisker'!$A$2:$A$16</definedName>
    <definedName name="_xlchart.v1.44" hidden="1">'BOX-whisker'!$B$1</definedName>
    <definedName name="_xlchart.v1.45" hidden="1">'BOX-whisker'!$B$2:$B$16</definedName>
    <definedName name="_xlchart.v1.46" hidden="1">'BOX-whisker'!$C$1</definedName>
    <definedName name="_xlchart.v1.47" hidden="1">'BOX-whisker'!$C$2:$C$16</definedName>
    <definedName name="_xlchart.v1.48" hidden="1">'BOX-whisker'!$D$1</definedName>
    <definedName name="_xlchart.v1.49" hidden="1">'BOX-whisker'!$D$2:$D$16</definedName>
    <definedName name="_xlchart.v1.5" hidden="1">Line!$A$2:$A$13</definedName>
    <definedName name="_xlchart.v1.50" hidden="1">'BOX-whisker'!$A$2:$A$16</definedName>
    <definedName name="_xlchart.v1.51" hidden="1">'BOX-whisker'!$B$1</definedName>
    <definedName name="_xlchart.v1.52" hidden="1">'BOX-whisker'!$B$2:$B$16</definedName>
    <definedName name="_xlchart.v1.53" hidden="1">'BOX-whisker'!$C$1</definedName>
    <definedName name="_xlchart.v1.54" hidden="1">'BOX-whisker'!$C$2:$C$16</definedName>
    <definedName name="_xlchart.v1.55" hidden="1">'BOX-whisker'!$D$1</definedName>
    <definedName name="_xlchart.v1.56" hidden="1">'BOX-whisker'!$D$2:$D$16</definedName>
    <definedName name="_xlchart.v1.57" hidden="1">'BOX-whisker'!$A$2:$A$16</definedName>
    <definedName name="_xlchart.v1.58" hidden="1">'BOX-whisker'!$B$1</definedName>
    <definedName name="_xlchart.v1.59" hidden="1">'BOX-whisker'!$B$2:$B$16</definedName>
    <definedName name="_xlchart.v1.6" hidden="1">Line!$B$1</definedName>
    <definedName name="_xlchart.v1.60" hidden="1">'BOX-whisker'!$C$1</definedName>
    <definedName name="_xlchart.v1.61" hidden="1">'BOX-whisker'!$C$2:$C$16</definedName>
    <definedName name="_xlchart.v1.62" hidden="1">'BOX-whisker'!$D$1</definedName>
    <definedName name="_xlchart.v1.63" hidden="1">'BOX-whisker'!$D$2:$D$16</definedName>
    <definedName name="_xlchart.v1.64" hidden="1">pareto!$A$2:$A$26</definedName>
    <definedName name="_xlchart.v1.65" hidden="1">pareto!$B$1</definedName>
    <definedName name="_xlchart.v1.66" hidden="1">pareto!$B$2:$B$26</definedName>
    <definedName name="_xlchart.v1.67" hidden="1">waterfall!$A$2:$A$20</definedName>
    <definedName name="_xlchart.v1.68" hidden="1">waterfall!$B$1</definedName>
    <definedName name="_xlchart.v1.69" hidden="1">waterfall!$B$2:$B$20</definedName>
    <definedName name="_xlchart.v1.7" hidden="1">Line!$B$2:$B$13</definedName>
    <definedName name="_xlchart.v1.8" hidden="1">Line!$C$1</definedName>
    <definedName name="_xlchart.v1.9" hidden="1">Line!$C$2:$C$13</definedName>
    <definedName name="_xlchart.v5.70" hidden="1">map!$A$1</definedName>
    <definedName name="_xlchart.v5.71" hidden="1">map!$A$2:$A$9995</definedName>
    <definedName name="_xlchart.v5.72" hidden="1">map!$D$1</definedName>
    <definedName name="_xlchart.v5.73" hidden="1">map!$D$2:$D$9995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8" l="1"/>
  <c r="F5" i="6" a="1"/>
  <c r="F5" i="6" s="1"/>
  <c r="L5" i="5"/>
  <c r="C20" i="5"/>
  <c r="C21" i="5"/>
  <c r="C22" i="5"/>
  <c r="C23" i="5"/>
  <c r="C24" i="5"/>
  <c r="C2" i="4" a="1"/>
  <c r="C2" i="4" s="1"/>
  <c r="B2" i="4" a="1"/>
  <c r="B2" i="4" s="1"/>
  <c r="D44" i="3" a="1"/>
  <c r="D44" i="3" s="1"/>
  <c r="C44" i="3" a="1"/>
  <c r="C44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<sst xmlns="http://schemas.openxmlformats.org/spreadsheetml/2006/main" count="10309" uniqueCount="199">
  <si>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</si>
  <si>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</si>
  <si>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</si>
  <si>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</si>
  <si>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</si>
  <si>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</si>
  <si>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</si>
  <si>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</si>
  <si>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</si>
  <si>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</si>
  <si>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</si>
  <si>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</si>
  <si>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</si>
  <si>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</si>
  <si>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</si>
  <si>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</si>
  <si>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Comp 1</t>
  </si>
  <si>
    <t>Comp 2</t>
  </si>
  <si>
    <t>2012 VS 2014</t>
  </si>
  <si>
    <t>Company 1</t>
  </si>
  <si>
    <t>Company 2</t>
  </si>
  <si>
    <t>X</t>
  </si>
  <si>
    <t>Y ("=2x+7")</t>
  </si>
  <si>
    <t>Course</t>
  </si>
  <si>
    <t>School A</t>
  </si>
  <si>
    <t>School B</t>
  </si>
  <si>
    <t>School C</t>
  </si>
  <si>
    <t>English</t>
  </si>
  <si>
    <t>Physics</t>
  </si>
  <si>
    <t>Math</t>
  </si>
  <si>
    <t>Region</t>
  </si>
  <si>
    <t>Total Transaction</t>
  </si>
  <si>
    <t>Sub-Saharan Africa</t>
  </si>
  <si>
    <t>Europe</t>
  </si>
  <si>
    <t>Middle East and North Africa</t>
  </si>
  <si>
    <t>Asia</t>
  </si>
  <si>
    <t>Central America and the Caribbean</t>
  </si>
  <si>
    <t>Australia and Oceania</t>
  </si>
  <si>
    <t>Date</t>
  </si>
  <si>
    <t xml:space="preserve"> Daily Profit </t>
  </si>
  <si>
    <t>Quarter</t>
  </si>
  <si>
    <t>Month</t>
  </si>
  <si>
    <t>Week</t>
  </si>
  <si>
    <t>Sales</t>
  </si>
  <si>
    <t>1st</t>
  </si>
  <si>
    <t>Week 1</t>
  </si>
  <si>
    <t>Week 2</t>
  </si>
  <si>
    <t>Week 3</t>
  </si>
  <si>
    <t>Week 4</t>
  </si>
  <si>
    <t>2nd</t>
  </si>
  <si>
    <t>3rd</t>
  </si>
  <si>
    <t>July</t>
  </si>
  <si>
    <t>4th</t>
  </si>
  <si>
    <t>Name</t>
  </si>
  <si>
    <t>HP</t>
  </si>
  <si>
    <t>Attack</t>
  </si>
  <si>
    <t>Defense</t>
  </si>
  <si>
    <t>Sp. Atk</t>
  </si>
  <si>
    <t>Sp. Def</t>
  </si>
  <si>
    <t>Speed</t>
  </si>
  <si>
    <t>Bulbasaur</t>
  </si>
  <si>
    <t>Charmander</t>
  </si>
  <si>
    <t>Squirtle</t>
  </si>
  <si>
    <t>Data Analyst</t>
  </si>
  <si>
    <t>Senior Data Analyst</t>
  </si>
  <si>
    <t>Data Scientist</t>
  </si>
  <si>
    <t>Senior Data Scientist</t>
  </si>
  <si>
    <t>Data Engineer</t>
  </si>
  <si>
    <t>Senior Data Engineer</t>
  </si>
  <si>
    <t>Total</t>
  </si>
  <si>
    <t>Country</t>
  </si>
  <si>
    <t>Revenue</t>
  </si>
  <si>
    <t>Bangladesh</t>
  </si>
  <si>
    <t>Bhutan</t>
  </si>
  <si>
    <t>Cambodia</t>
  </si>
  <si>
    <t>China</t>
  </si>
  <si>
    <t>India</t>
  </si>
  <si>
    <t>Japan</t>
  </si>
  <si>
    <t>Laos</t>
  </si>
  <si>
    <t>Sri Lanka</t>
  </si>
  <si>
    <t>Australia</t>
  </si>
  <si>
    <t>Federated States of Micronesia</t>
  </si>
  <si>
    <t>Palau</t>
  </si>
  <si>
    <t xml:space="preserve">Samoa </t>
  </si>
  <si>
    <t xml:space="preserve">Antigua and Barbuda </t>
  </si>
  <si>
    <t>Cuba</t>
  </si>
  <si>
    <t>Dominica</t>
  </si>
  <si>
    <t>Dominican Republic</t>
  </si>
  <si>
    <t>Haiti</t>
  </si>
  <si>
    <t>Jamaica</t>
  </si>
  <si>
    <t>Nicaragua</t>
  </si>
  <si>
    <t>Saint Lucia</t>
  </si>
  <si>
    <t>Trinidad and Tobago</t>
  </si>
  <si>
    <t>Albania</t>
  </si>
  <si>
    <t>Andorra</t>
  </si>
  <si>
    <t>Austria</t>
  </si>
  <si>
    <t>Bosnia and Herzegovina</t>
  </si>
  <si>
    <t>Bulgaria</t>
  </si>
  <si>
    <t>Czech Republic</t>
  </si>
  <si>
    <t>Estonia</t>
  </si>
  <si>
    <t>France</t>
  </si>
  <si>
    <t>Georgia</t>
  </si>
  <si>
    <t>Germany</t>
  </si>
  <si>
    <t>Greece</t>
  </si>
  <si>
    <t>Hungary</t>
  </si>
  <si>
    <t>Iceland</t>
  </si>
  <si>
    <t>Italy</t>
  </si>
  <si>
    <t>Latvia</t>
  </si>
  <si>
    <t>Liechtenstein</t>
  </si>
  <si>
    <t>Lithuania</t>
  </si>
  <si>
    <t>Luxembourg</t>
  </si>
  <si>
    <t xml:space="preserve">Moldova </t>
  </si>
  <si>
    <t>Montenegro</t>
  </si>
  <si>
    <t>Poland</t>
  </si>
  <si>
    <t>Russia</t>
  </si>
  <si>
    <t>San Marino</t>
  </si>
  <si>
    <t>Serbia</t>
  </si>
  <si>
    <t>Slovenia</t>
  </si>
  <si>
    <t>Spain</t>
  </si>
  <si>
    <t>Switzerland</t>
  </si>
  <si>
    <t>Ukraine</t>
  </si>
  <si>
    <t>Vatican City</t>
  </si>
  <si>
    <t>Algeria</t>
  </si>
  <si>
    <t>Azerbaijan</t>
  </si>
  <si>
    <t>Kuwait</t>
  </si>
  <si>
    <t>Lebanon</t>
  </si>
  <si>
    <t>Libya</t>
  </si>
  <si>
    <t>Oman</t>
  </si>
  <si>
    <t>Pakistan</t>
  </si>
  <si>
    <t>Somalia</t>
  </si>
  <si>
    <t>Turkey</t>
  </si>
  <si>
    <t>North America</t>
  </si>
  <si>
    <t>United States of America</t>
  </si>
  <si>
    <t>Benin</t>
  </si>
  <si>
    <t>Central African Republic</t>
  </si>
  <si>
    <t>Chad</t>
  </si>
  <si>
    <t>Democratic Republic of the Congo</t>
  </si>
  <si>
    <t>Eritrea</t>
  </si>
  <si>
    <t>Ghana</t>
  </si>
  <si>
    <t>Guinea</t>
  </si>
  <si>
    <t>Madagascar</t>
  </si>
  <si>
    <t>Malawi</t>
  </si>
  <si>
    <t>Mauritania</t>
  </si>
  <si>
    <t xml:space="preserve">Mauritius </t>
  </si>
  <si>
    <t>Niger</t>
  </si>
  <si>
    <t>Senegal</t>
  </si>
  <si>
    <t xml:space="preserve">Seychelles </t>
  </si>
  <si>
    <t>South Africa</t>
  </si>
  <si>
    <t>State</t>
  </si>
  <si>
    <t>Kentucky</t>
  </si>
  <si>
    <t>California</t>
  </si>
  <si>
    <t>Florida</t>
  </si>
  <si>
    <t>North Carolina</t>
  </si>
  <si>
    <t>Washington</t>
  </si>
  <si>
    <t>Texas</t>
  </si>
  <si>
    <t>Wisconsin</t>
  </si>
  <si>
    <t>Utah</t>
  </si>
  <si>
    <t>Nebraska</t>
  </si>
  <si>
    <t>Pennsylvania</t>
  </si>
  <si>
    <t>Illinois</t>
  </si>
  <si>
    <t>Minnesota</t>
  </si>
  <si>
    <t>Michigan</t>
  </si>
  <si>
    <t>Delaware</t>
  </si>
  <si>
    <t>Indiana</t>
  </si>
  <si>
    <t>New York</t>
  </si>
  <si>
    <t>Arizona</t>
  </si>
  <si>
    <t>Virginia</t>
  </si>
  <si>
    <t>Tennessee</t>
  </si>
  <si>
    <t>Alabama</t>
  </si>
  <si>
    <t>South Carolina</t>
  </si>
  <si>
    <t>Oregon</t>
  </si>
  <si>
    <t>Colorado</t>
  </si>
  <si>
    <t>Iowa</t>
  </si>
  <si>
    <t>Ohio</t>
  </si>
  <si>
    <t>Missouri</t>
  </si>
  <si>
    <t>Oklahoma</t>
  </si>
  <si>
    <t>New Mexico</t>
  </si>
  <si>
    <t>Louisiana</t>
  </si>
  <si>
    <t>Connecticut</t>
  </si>
  <si>
    <t>New Jersey</t>
  </si>
  <si>
    <t>Massachusetts</t>
  </si>
  <si>
    <t>Nevada</t>
  </si>
  <si>
    <t>Rhode Island</t>
  </si>
  <si>
    <t>Mississippi</t>
  </si>
  <si>
    <t>Arkansas</t>
  </si>
  <si>
    <t>Montana</t>
  </si>
  <si>
    <t>New Hampshire</t>
  </si>
  <si>
    <t>Maryland</t>
  </si>
  <si>
    <t>District of Columbia</t>
  </si>
  <si>
    <t>Kansas</t>
  </si>
  <si>
    <t>Vermont</t>
  </si>
  <si>
    <t>Maine</t>
  </si>
  <si>
    <t>South Dakota</t>
  </si>
  <si>
    <t>Idaho</t>
  </si>
  <si>
    <t>North Dakota</t>
  </si>
  <si>
    <t>Wyoming</t>
  </si>
  <si>
    <t>West Virginia</t>
  </si>
  <si>
    <t>Quantity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</si>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</sst>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₹&quot;* #,##0.00_);_(&quot;₹&quot;* \(#,##0.00\);_(&quot;₹&quot;* &quot;-&quot;??_);_(@_)"/>
    <numFmt numFmtId="167" formatCode="_(* #,##0_);_(* \(#,##0\);_(* &quot;-&quot;??_);_(@_)"/>
  </numFmts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b/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83E28E"/>
        <bgColor rgb="FF000000"/>
      </patternFill>
    </fill>
    <fill>
      <patternFill patternType="solid">
        <fgColor rgb="FFA6C9EC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3" xfId="0" applyFont="1" applyBorder="1"/>
    <xf numFmtId="0" fontId="7" fillId="0" borderId="4" xfId="0" applyFont="1" applyBorder="1"/>
    <xf numFmtId="0" fontId="8" fillId="0" borderId="1" xfId="0" applyFont="1" applyBorder="1" applyAlignment="1">
      <alignment horizontal="center"/>
    </xf>
    <xf numFmtId="167" fontId="8" fillId="0" borderId="2" xfId="0" applyNumberFormat="1" applyFont="1" applyBorder="1" applyAlignment="1">
      <alignment horizontal="center"/>
    </xf>
    <xf numFmtId="14" fontId="7" fillId="0" borderId="3" xfId="0" applyNumberFormat="1" applyFont="1" applyBorder="1" applyAlignment="1">
      <alignment horizontal="center"/>
    </xf>
    <xf numFmtId="44" fontId="7" fillId="0" borderId="4" xfId="0" applyNumberFormat="1" applyFont="1" applyBorder="1"/>
    <xf numFmtId="0" fontId="5" fillId="2" borderId="0" xfId="0" applyFont="1" applyFill="1"/>
    <xf numFmtId="0" fontId="5" fillId="3" borderId="0" xfId="0" applyFont="1" applyFill="1"/>
    <xf numFmtId="0" fontId="9" fillId="0" borderId="0" xfId="0" applyFont="1"/>
    <xf numFmtId="0" fontId="10" fillId="0" borderId="0" xfId="0" applyFont="1"/>
    <xf numFmtId="0" fontId="11" fillId="0" borderId="1" xfId="0" applyFont="1" applyBorder="1" applyAlignment="1">
      <alignment horizontal="center"/>
    </xf>
    <xf numFmtId="0" fontId="0" fillId="0" borderId="1" xfId="0" applyBorder="1"/>
    <xf numFmtId="44" fontId="0" fillId="0" borderId="1" xfId="1" applyFont="1" applyBorder="1"/>
    <xf numFmtId="0" fontId="0" fillId="0" borderId="0" xfId="0" quotePrefix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'PIE CHART'!$B$1</c:f>
              <c:strCache>
                <c:ptCount val="1"/>
                <c:pt idx="0">
                  <c:v>2010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8A-1B4D-B783-0697E28789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8A-1B4D-B783-0697E28789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1C8A-1B4D-B783-0697E28789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1C8A-1B4D-B783-0697E2878997}"/>
              </c:ext>
            </c:extLst>
          </c:dPt>
          <c:dLbls>
            <c:dLbl>
              <c:idx val="0"/>
              <c:dLblPos val="outEnd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8A-1B4D-B783-0697E2878997}"/>
                </c:ext>
              </c:extLst>
            </c:dLbl>
            <c:dLbl>
              <c:idx val="1"/>
              <c:dLblPos val="outEnd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8A-1B4D-B783-0697E2878997}"/>
                </c:ext>
              </c:extLst>
            </c:dLbl>
            <c:dLbl>
              <c:idx val="2"/>
              <c:dLblPos val="outEnd"/>
              <c:showLegendKey val="0"/>
              <c:showVal val="1"/>
              <c:showCatName val="0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8A-1B4D-B783-0697E2878997}"/>
                </c:ext>
              </c:extLst>
            </c:dLbl>
            <c:dLbl>
              <c:idx val="3"/>
              <c:dLblPos val="outEnd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8A-1B4D-B783-0697E287899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'PIE CHART'!$A$2:$A$5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'PIE CHART'!$B$2:$B$5</c:f>
              <c:numCache>
                <c:formatCode>General</c:formatCode>
                <c:ptCount val="4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8A-1B4D-B783-0697E28789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'PIE CHART'!$A$2</c:f>
              <c:strCache>
                <c:ptCount val="1"/>
                <c:pt idx="0">
                  <c:v>Q1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numRef>
              <c:f>'PIE CHART'!$B$1:$F$1</c:f>
              <c:numCache>
                <c:formatCode>General</c:formatCode>
                <c:ptCount val="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</c:numCache>
            </c:numRef>
          </c:cat>
          <c:val>
            <c:numRef>
              <c:f>'PIE CHART'!$B$2:$F$2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9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14-8348-8666-25D24DE0A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Quarters by YEARS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BAR!$B$1</c:f>
              <c:strCache>
                <c:ptCount val="1"/>
                <c:pt idx="0">
                  <c:v>2010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BAR!$B$2:$B$5</c:f>
              <c:numCache>
                <c:formatCode>General</c:formatCode>
                <c:ptCount val="4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D4-7341-9822-C2ACD4CC77D2}"/>
            </c:ext>
          </c:extLst>
        </c:ser>
        <c:ser>
          <c:idx val="1"/>
          <c:order val="1"/>
          <c:tx>
            <c:strRef>
              <c:f>BAR!$C$1</c:f>
              <c:strCache>
                <c:ptCount val="1"/>
                <c:pt idx="0">
                  <c:v>2011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BAR!$C$2:$C$5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D4-7341-9822-C2ACD4CC77D2}"/>
            </c:ext>
          </c:extLst>
        </c:ser>
        <c:ser>
          <c:idx val="2"/>
          <c:order val="2"/>
          <c:tx>
            <c:strRef>
              <c:f>BAR!$D$1</c:f>
              <c:strCache>
                <c:ptCount val="1"/>
                <c:pt idx="0">
                  <c:v>2012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BAR!$D$2:$D$5</c:f>
              <c:numCache>
                <c:formatCode>General</c:formatCode>
                <c:ptCount val="4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D4-7341-9822-C2ACD4CC77D2}"/>
            </c:ext>
          </c:extLst>
        </c:ser>
        <c:ser>
          <c:idx val="3"/>
          <c:order val="3"/>
          <c:tx>
            <c:strRef>
              <c:f>BAR!$E$1</c:f>
              <c:strCache>
                <c:ptCount val="1"/>
                <c:pt idx="0">
                  <c:v>2013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BAR!$E$2:$E$5</c:f>
              <c:numCache>
                <c:formatCode>General</c:formatCode>
                <c:ptCount val="4"/>
                <c:pt idx="0">
                  <c:v>9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D4-7341-9822-C2ACD4CC77D2}"/>
            </c:ext>
          </c:extLst>
        </c:ser>
        <c:ser>
          <c:idx val="4"/>
          <c:order val="4"/>
          <c:tx>
            <c:strRef>
              <c:f>BAR!$F$1</c:f>
              <c:strCache>
                <c:ptCount val="1"/>
                <c:pt idx="0">
                  <c:v>2014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BAR!$F$2:$F$5</c:f>
              <c:numCache>
                <c:formatCode>General</c:formatCode>
                <c:ptCount val="4"/>
                <c:pt idx="0">
                  <c:v>5</c:v>
                </c:pt>
                <c:pt idx="1">
                  <c:v>3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D4-7341-9822-C2ACD4CC7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9367999"/>
        <c:axId val="1615089151"/>
      </c:barChart>
      <c:catAx>
        <c:axId val="1669367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089151"/>
        <c:crosses val="autoZero"/>
        <c:auto val="1"/>
        <c:lblAlgn val="ctr"/>
        <c:lblOffset val="100"/>
        <c:noMultiLvlLbl val="0"/>
      </c:catAx>
      <c:valAx>
        <c:axId val="1615089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367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2010</a:t>
            </a:r>
            <a:r>
              <a:rPr lang="en-GB" baseline="0"/>
              <a:t> vs 2011 by QUARTES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BAR!$B$1</c:f>
              <c:strCache>
                <c:ptCount val="1"/>
                <c:pt idx="0">
                  <c:v>2010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BAR!$B$2:$B$5</c:f>
              <c:numCache>
                <c:formatCode>General</c:formatCode>
                <c:ptCount val="4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B3-A643-81AA-D3BE422B5DF6}"/>
            </c:ext>
          </c:extLst>
        </c:ser>
        <c:ser>
          <c:idx val="1"/>
          <c:order val="1"/>
          <c:tx>
            <c:strRef>
              <c:f>BAR!$C$1</c:f>
              <c:strCache>
                <c:ptCount val="1"/>
                <c:pt idx="0">
                  <c:v>2011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BAR!$A$2:$A$5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BAR!$C$2:$C$5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B3-A643-81AA-D3BE422B5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7750975"/>
        <c:axId val="1621200831"/>
      </c:barChart>
      <c:catAx>
        <c:axId val="1587750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1200831"/>
        <c:crosses val="autoZero"/>
        <c:auto val="1"/>
        <c:lblAlgn val="ctr"/>
        <c:lblOffset val="100"/>
        <c:noMultiLvlLbl val="0"/>
      </c:catAx>
      <c:valAx>
        <c:axId val="1621200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50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BAR!$C$43</c:f>
              <c:strCache>
                <c:ptCount val="1"/>
                <c:pt idx="0">
                  <c:v>Comp 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BAR!$B$44:$B$55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BAR!$C$44:$C$55</c:f>
              <c:numCache>
                <c:formatCode>General</c:formatCode>
                <c:ptCount val="12"/>
                <c:pt idx="0">
                  <c:v>413</c:v>
                </c:pt>
                <c:pt idx="1">
                  <c:v>326</c:v>
                </c:pt>
                <c:pt idx="2">
                  <c:v>275</c:v>
                </c:pt>
                <c:pt idx="3">
                  <c:v>244</c:v>
                </c:pt>
                <c:pt idx="4">
                  <c:v>481</c:v>
                </c:pt>
                <c:pt idx="5">
                  <c:v>342</c:v>
                </c:pt>
                <c:pt idx="6">
                  <c:v>254</c:v>
                </c:pt>
                <c:pt idx="7">
                  <c:v>257</c:v>
                </c:pt>
                <c:pt idx="8">
                  <c:v>449</c:v>
                </c:pt>
                <c:pt idx="9">
                  <c:v>122</c:v>
                </c:pt>
                <c:pt idx="10">
                  <c:v>239</c:v>
                </c:pt>
                <c:pt idx="11">
                  <c:v>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C4-E743-8271-7011EB459DBA}"/>
            </c:ext>
          </c:extLst>
        </c:ser>
        <c:ser>
          <c:idx val="1"/>
          <c:order val="1"/>
          <c:tx>
            <c:strRef>
              <c:f>BAR!$D$43</c:f>
              <c:strCache>
                <c:ptCount val="1"/>
                <c:pt idx="0">
                  <c:v>Comp 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BAR!$B$44:$B$55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BAR!$D$44:$D$55</c:f>
              <c:numCache>
                <c:formatCode>General</c:formatCode>
                <c:ptCount val="12"/>
                <c:pt idx="0">
                  <c:v>283</c:v>
                </c:pt>
                <c:pt idx="1">
                  <c:v>274</c:v>
                </c:pt>
                <c:pt idx="2">
                  <c:v>421</c:v>
                </c:pt>
                <c:pt idx="3">
                  <c:v>202</c:v>
                </c:pt>
                <c:pt idx="4">
                  <c:v>484</c:v>
                </c:pt>
                <c:pt idx="5">
                  <c:v>449</c:v>
                </c:pt>
                <c:pt idx="6">
                  <c:v>219</c:v>
                </c:pt>
                <c:pt idx="7">
                  <c:v>184</c:v>
                </c:pt>
                <c:pt idx="8">
                  <c:v>223</c:v>
                </c:pt>
                <c:pt idx="9">
                  <c:v>203</c:v>
                </c:pt>
                <c:pt idx="10">
                  <c:v>119</c:v>
                </c:pt>
                <c:pt idx="11">
                  <c:v>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C4-E743-8271-7011EB459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75706495"/>
        <c:axId val="1575702463"/>
      </c:barChart>
      <c:catAx>
        <c:axId val="157570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702463"/>
        <c:crosses val="autoZero"/>
        <c:auto val="1"/>
        <c:lblAlgn val="ctr"/>
        <c:lblOffset val="100"/>
        <c:noMultiLvlLbl val="0"/>
      </c:catAx>
      <c:valAx>
        <c:axId val="15757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70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Sales by Comapany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Line!$B$1</c:f>
              <c:strCache>
                <c:ptCount val="1"/>
                <c:pt idx="0">
                  <c:v>Company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Line!$A$2:$A$13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Line!$B$2:$B$13</c:f>
              <c:numCache>
                <c:formatCode>General</c:formatCode>
                <c:ptCount val="12"/>
                <c:pt idx="0">
                  <c:v>451</c:v>
                </c:pt>
                <c:pt idx="1">
                  <c:v>313</c:v>
                </c:pt>
                <c:pt idx="2">
                  <c:v>286</c:v>
                </c:pt>
                <c:pt idx="3">
                  <c:v>278</c:v>
                </c:pt>
                <c:pt idx="4">
                  <c:v>286</c:v>
                </c:pt>
                <c:pt idx="5">
                  <c:v>404</c:v>
                </c:pt>
                <c:pt idx="6">
                  <c:v>144</c:v>
                </c:pt>
                <c:pt idx="7">
                  <c:v>424</c:v>
                </c:pt>
                <c:pt idx="8">
                  <c:v>180</c:v>
                </c:pt>
                <c:pt idx="9">
                  <c:v>415</c:v>
                </c:pt>
                <c:pt idx="10">
                  <c:v>411</c:v>
                </c:pt>
                <c:pt idx="11">
                  <c:v>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FF-C84D-BA8E-4D7EB921F8B4}"/>
            </c:ext>
          </c:extLst>
        </c:ser>
        <c:ser>
          <c:idx val="1"/>
          <c:order val="1"/>
          <c:tx>
            <c:strRef>
              <c:f>Line!$C$1</c:f>
              <c:strCache>
                <c:ptCount val="1"/>
                <c:pt idx="0">
                  <c:v>Company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Line!$A$2:$A$13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Line!$C$2:$C$13</c:f>
              <c:numCache>
                <c:formatCode>General</c:formatCode>
                <c:ptCount val="12"/>
                <c:pt idx="0">
                  <c:v>441</c:v>
                </c:pt>
                <c:pt idx="1">
                  <c:v>263</c:v>
                </c:pt>
                <c:pt idx="2">
                  <c:v>115</c:v>
                </c:pt>
                <c:pt idx="3">
                  <c:v>148</c:v>
                </c:pt>
                <c:pt idx="4">
                  <c:v>498</c:v>
                </c:pt>
                <c:pt idx="5">
                  <c:v>111</c:v>
                </c:pt>
                <c:pt idx="6">
                  <c:v>350</c:v>
                </c:pt>
                <c:pt idx="7">
                  <c:v>445</c:v>
                </c:pt>
                <c:pt idx="8">
                  <c:v>215</c:v>
                </c:pt>
                <c:pt idx="9">
                  <c:v>481</c:v>
                </c:pt>
                <c:pt idx="10">
                  <c:v>316</c:v>
                </c:pt>
                <c:pt idx="11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FF-C84D-BA8E-4D7EB921F8B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5932287"/>
        <c:axId val="1575939903"/>
      </c:lineChart>
      <c:catAx>
        <c:axId val="1575932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939903"/>
        <c:crosses val="autoZero"/>
        <c:auto val="1"/>
        <c:lblAlgn val="ctr"/>
        <c:lblOffset val="100"/>
        <c:noMultiLvlLbl val="0"/>
      </c:catAx>
      <c:valAx>
        <c:axId val="157593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5932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COMPANY 1 vs COMPANY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'SCATTER plot'!$C$1</c:f>
              <c:strCache>
                <c:ptCount val="1"/>
                <c:pt idx="0">
                  <c:v>Company 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'SCATTER plot'!$B$2:$B$13</c:f>
              <c:numCache>
                <c:formatCode>General</c:formatCode>
                <c:ptCount val="12"/>
                <c:pt idx="0">
                  <c:v>163</c:v>
                </c:pt>
                <c:pt idx="1">
                  <c:v>165</c:v>
                </c:pt>
                <c:pt idx="2">
                  <c:v>499</c:v>
                </c:pt>
                <c:pt idx="3">
                  <c:v>349</c:v>
                </c:pt>
                <c:pt idx="4">
                  <c:v>218</c:v>
                </c:pt>
                <c:pt idx="5">
                  <c:v>109</c:v>
                </c:pt>
                <c:pt idx="6">
                  <c:v>492</c:v>
                </c:pt>
                <c:pt idx="7">
                  <c:v>322</c:v>
                </c:pt>
                <c:pt idx="8">
                  <c:v>400</c:v>
                </c:pt>
                <c:pt idx="9">
                  <c:v>257</c:v>
                </c:pt>
                <c:pt idx="10">
                  <c:v>464</c:v>
                </c:pt>
                <c:pt idx="11">
                  <c:v>414</c:v>
                </c:pt>
              </c:numCache>
            </c:numRef>
          </c:xVal>
          <c:yVal>
            <c:numRef>
              <c:f>'SCATTER plot'!$C$2:$C$13</c:f>
              <c:numCache>
                <c:formatCode>General</c:formatCode>
                <c:ptCount val="12"/>
                <c:pt idx="0">
                  <c:v>491</c:v>
                </c:pt>
                <c:pt idx="1">
                  <c:v>481</c:v>
                </c:pt>
                <c:pt idx="2">
                  <c:v>488</c:v>
                </c:pt>
                <c:pt idx="3">
                  <c:v>374</c:v>
                </c:pt>
                <c:pt idx="4">
                  <c:v>254</c:v>
                </c:pt>
                <c:pt idx="5">
                  <c:v>394</c:v>
                </c:pt>
                <c:pt idx="6">
                  <c:v>486</c:v>
                </c:pt>
                <c:pt idx="7">
                  <c:v>213</c:v>
                </c:pt>
                <c:pt idx="8">
                  <c:v>491</c:v>
                </c:pt>
                <c:pt idx="9">
                  <c:v>104</c:v>
                </c:pt>
                <c:pt idx="10">
                  <c:v>410</c:v>
                </c:pt>
                <c:pt idx="11">
                  <c:v>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2E-624C-A339-85E7686F6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592063"/>
        <c:axId val="1659274111"/>
      </c:scatterChart>
      <c:valAx>
        <c:axId val="1587592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274111"/>
        <c:crosses val="autoZero"/>
        <c:crossBetween val="midCat"/>
      </c:valAx>
      <c:valAx>
        <c:axId val="165927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592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Scatter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'SCATTER plot'!$C$19</c:f>
              <c:strCache>
                <c:ptCount val="1"/>
                <c:pt idx="0">
                  <c:v>Y ("=2x+7")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638692038495178"/>
                  <c:y val="8.754629629629630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'SCATTER plot'!$B$20:$B$24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'SCATTER plot'!$C$20:$C$24</c:f>
              <c:numCache>
                <c:formatCode>General</c:formatCode>
                <c:ptCount val="5"/>
                <c:pt idx="0">
                  <c:v>11</c:v>
                </c:pt>
                <c:pt idx="1">
                  <c:v>9</c:v>
                </c:pt>
                <c:pt idx="2">
                  <c:v>12</c:v>
                </c:pt>
                <c:pt idx="3">
                  <c:v>14</c:v>
                </c:pt>
                <c:pt idx="4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EA-F845-B8E8-737270D11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2228287"/>
        <c:axId val="1546619071"/>
      </c:scatterChart>
      <c:valAx>
        <c:axId val="1622228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Weight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6619071"/>
        <c:crosses val="autoZero"/>
        <c:crossBetween val="midCat"/>
      </c:valAx>
      <c:valAx>
        <c:axId val="154661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2* weight + 7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228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_xlchart.v1.43</cx:f>
      </cx:strDim>
      <cx:numDim type="val">
        <cx:f>_xlchart.v1.45</cx:f>
      </cx:numDim>
    </cx:data>
    <cx:data id="1">
      <cx:strDim type="cat">
        <cx:f>_xlchart.v1.43</cx:f>
      </cx:strDim>
      <cx:numDim type="val">
        <cx:f>_xlchart.v1.47</cx:f>
      </cx:numDim>
    </cx:data>
    <cx:data id="2">
      <cx:strDim type="cat">
        <cx:f>_xlchart.v1.43</cx:f>
      </cx:strDim>
      <cx:numDim type="val">
        <cx:f>_xlchart.v1.49</cx:f>
      </cx:numDim>
    </cx:data>
  </cx:chartData>
  <cx:chart>
    <cx:plotArea>
      <cx:plotAreaRegion>
        <cx:series layoutId="boxWhisker" uniqueId="{88E9F638-9200-C14B-A5D9-D08F3C77FD6F}">
          <cx:tx>
            <cx:txData>
              <cx:f>_xlchart.v1.44</cx:f>
              <cx:v>School A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435CD270-BDB3-614B-9CCA-D7DA72C8A245}">
          <cx:tx>
            <cx:txData>
              <cx:f>_xlchart.v1.46</cx:f>
              <cx:v>School B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83F2EE7F-C224-AB43-A061-60FA3F278CEC}">
          <cx:tx>
            <cx:txData>
              <cx:f>_xlchart.v1.48</cx:f>
              <cx:v>School C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 max="70" min="43"/>
        <cx:majorGridlines/>
        <cx:majorTickMarks type="out"/>
        <cx:tickLabels/>
      </cx:axis>
    </cx:plotArea>
    <cx:legend pos="r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_xlchart.v1.64</cx:f>
      </cx:strDim>
      <cx:numDim type="val">
        <cx:f>_xlchart.v1.66</cx:f>
      </cx:numDim>
    </cx:data>
  </cx:chartData>
  <cx:chart>
    <cx:title pos="t" align="ctr" overlay="0"/>
    <cx:plotArea>
      <cx:plotAreaRegion>
        <cx:series layoutId="clusteredColumn" uniqueId="{371A7576-7097-364E-B95C-0FA78FF3A693}">
          <cx:tx>
            <cx:txData>
              <cx:f>_xlchart.v1.65</cx:f>
              <cx:v>Total Transaction</cx:v>
            </cx:txData>
          </cx:tx>
          <cx:dataId val="0"/>
          <cx:layoutPr>
            <cx:aggregation/>
          </cx:layoutPr>
          <cx:axisId val="1"/>
        </cx:series>
        <cx:series layoutId="paretoLine" ownerIdx="0" uniqueId="{7099E885-10C2-7F48-A876-5FE07943252F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_xlchart.v1.67</cx:f>
      </cx:strDim>
      <cx:numDim type="val">
        <cx:f>_xlchart.v1.69</cx:f>
      </cx:numDim>
    </cx:data>
  </cx:chartData>
  <cx:chart>
    <cx:title pos="t" align="ctr" overlay="0"/>
    <cx:plotArea>
      <cx:plotAreaRegion>
        <cx:series layoutId="waterfall" uniqueId="{B413CD15-594E-D541-B348-C862880E304A}">
          <cx:tx>
            <cx:txData>
              <cx:f>_xlchart.v1.68</cx:f>
              <cx:v>  Daily Profit  </cx:v>
            </cx:txData>
          </cx:tx>
          <cx:dataLabels pos="outEnd">
            <cx:numFmt formatCode="#,##.000,&quot;K&quot;" sourceLinked="0"/>
            <cx:visibility seriesName="0" categoryName="0" value="1"/>
          </cx:dataLabels>
          <cx:dataId val="0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ustomXml" Target="../ink/ink4.xml"/><Relationship Id="rId13" Type="http://schemas.openxmlformats.org/officeDocument/2006/relationships/image" Target="../media/image6.png"/><Relationship Id="rId18" Type="http://schemas.openxmlformats.org/officeDocument/2006/relationships/customXml" Target="../ink/ink9.xml"/><Relationship Id="rId3" Type="http://schemas.openxmlformats.org/officeDocument/2006/relationships/image" Target="../media/image1.png"/><Relationship Id="rId21" Type="http://schemas.openxmlformats.org/officeDocument/2006/relationships/image" Target="../media/image10.png"/><Relationship Id="rId7" Type="http://schemas.openxmlformats.org/officeDocument/2006/relationships/image" Target="../media/image3.png"/><Relationship Id="rId12" Type="http://schemas.openxmlformats.org/officeDocument/2006/relationships/customXml" Target="../ink/ink6.xml"/><Relationship Id="rId17" Type="http://schemas.openxmlformats.org/officeDocument/2006/relationships/image" Target="../media/image8.png"/><Relationship Id="rId2" Type="http://schemas.openxmlformats.org/officeDocument/2006/relationships/customXml" Target="../ink/ink1.xml"/><Relationship Id="rId16" Type="http://schemas.openxmlformats.org/officeDocument/2006/relationships/customXml" Target="../ink/ink8.xml"/><Relationship Id="rId20" Type="http://schemas.openxmlformats.org/officeDocument/2006/relationships/customXml" Target="../ink/ink10.xml"/><Relationship Id="rId1" Type="http://schemas.microsoft.com/office/2014/relationships/chartEx" Target="../charts/chartEx1.xml"/><Relationship Id="rId6" Type="http://schemas.openxmlformats.org/officeDocument/2006/relationships/customXml" Target="../ink/ink3.xml"/><Relationship Id="rId11" Type="http://schemas.openxmlformats.org/officeDocument/2006/relationships/image" Target="../media/image5.png"/><Relationship Id="rId5" Type="http://schemas.openxmlformats.org/officeDocument/2006/relationships/image" Target="../media/image2.png"/><Relationship Id="rId15" Type="http://schemas.openxmlformats.org/officeDocument/2006/relationships/image" Target="../media/image7.png"/><Relationship Id="rId23" Type="http://schemas.openxmlformats.org/officeDocument/2006/relationships/image" Target="../media/image11.png"/><Relationship Id="rId10" Type="http://schemas.openxmlformats.org/officeDocument/2006/relationships/customXml" Target="../ink/ink5.xml"/><Relationship Id="rId19" Type="http://schemas.openxmlformats.org/officeDocument/2006/relationships/image" Target="../media/image9.png"/><Relationship Id="rId4" Type="http://schemas.openxmlformats.org/officeDocument/2006/relationships/customXml" Target="../ink/ink2.xml"/><Relationship Id="rId9" Type="http://schemas.openxmlformats.org/officeDocument/2006/relationships/image" Target="../media/image4.png"/><Relationship Id="rId14" Type="http://schemas.openxmlformats.org/officeDocument/2006/relationships/customXml" Target="../ink/ink7.xml"/><Relationship Id="rId22" Type="http://schemas.openxmlformats.org/officeDocument/2006/relationships/customXml" Target="../ink/ink11.xml"/></Relationships>
</file>

<file path=xl/drawings/_rels/drawing6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7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369455</xdr:colOff>
      <xdr:row>20</xdr:row>
      <xdr:rowOff>163266</xdr:rowOff>
    </xdr:from>
    <xdr:to>
      <xdr:col>6</xdr:col>
      <xdr:colOff>798674</xdr:colOff>
      <xdr:row>34</xdr:row>
      <xdr:rowOff>54059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6EB751-FC03-4854-15B5-629E22747E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668278</xdr:colOff>
      <xdr:row>6</xdr:row>
      <xdr:rowOff>7063</xdr:rowOff>
    </xdr:from>
    <xdr:to>
      <xdr:col>8</xdr:col>
      <xdr:colOff>268941</xdr:colOff>
      <xdr:row>19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6E16997-BBD5-EB30-E0DB-2507D77968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140230</xdr:colOff>
      <xdr:row>7</xdr:row>
      <xdr:rowOff>41276</xdr:rowOff>
    </xdr:from>
    <xdr:to>
      <xdr:col>6</xdr:col>
      <xdr:colOff>584730</xdr:colOff>
      <xdr:row>20</xdr:row>
      <xdr:rowOff>170392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F9FA73-51DD-C25E-1290-50EBD480C0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171980</xdr:colOff>
      <xdr:row>22</xdr:row>
      <xdr:rowOff>141818</xdr:rowOff>
    </xdr:from>
    <xdr:to>
      <xdr:col>6</xdr:col>
      <xdr:colOff>616480</xdr:colOff>
      <xdr:row>36</xdr:row>
      <xdr:rowOff>69851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1F99A5-4995-6B62-7927-7857E9B806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814293</xdr:colOff>
      <xdr:row>41</xdr:row>
      <xdr:rowOff>85165</xdr:rowOff>
    </xdr:from>
    <xdr:to>
      <xdr:col>11</xdr:col>
      <xdr:colOff>455705</xdr:colOff>
      <xdr:row>54</xdr:row>
      <xdr:rowOff>192314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45F3829-9E5E-DD2F-2CDE-8559E8745E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707062</xdr:colOff>
      <xdr:row>3</xdr:row>
      <xdr:rowOff>155254</xdr:rowOff>
    </xdr:from>
    <xdr:to>
      <xdr:col>10</xdr:col>
      <xdr:colOff>313220</xdr:colOff>
      <xdr:row>17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89287D-6FD3-E493-66FD-C521576835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406688</xdr:colOff>
      <xdr:row>5</xdr:row>
      <xdr:rowOff>191365</xdr:rowOff>
    </xdr:from>
    <xdr:to>
      <xdr:col>11</xdr:col>
      <xdr:colOff>11834</xdr:colOff>
      <xdr:row>19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107378-36B8-C920-46C9-714072919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790948</xdr:colOff>
      <xdr:row>23</xdr:row>
      <xdr:rowOff>201892</xdr:rowOff>
    </xdr:from>
    <xdr:to>
      <xdr:col>9</xdr:col>
      <xdr:colOff>432360</xdr:colOff>
      <xdr:row>37</xdr:row>
      <xdr:rowOff>68915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56BE2C-2C8C-D04A-1236-579B287CBC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810074</xdr:colOff>
      <xdr:row>20</xdr:row>
      <xdr:rowOff>84953</xdr:rowOff>
    </xdr:from>
    <xdr:to>
      <xdr:col>10</xdr:col>
      <xdr:colOff>753390</xdr:colOff>
      <xdr:row>49</xdr:row>
      <xdr:rowOff>193729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CDBAB4CC-3E45-EC22-D8E5-4DE5A6CF6FF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60356" y="4103032"/>
              <a:ext cx="6544446" cy="5934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152449</xdr:colOff>
      <xdr:row>47</xdr:row>
      <xdr:rowOff>175994</xdr:rowOff>
    </xdr:from>
    <xdr:to>
      <xdr:col>9</xdr:col>
      <xdr:colOff>819169</xdr:colOff>
      <xdr:row>50</xdr:row>
      <xdr:rowOff>85922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3F3E8440-F28E-C866-396A-7E1508BF944F}"/>
                </a:ext>
              </a:extLst>
            </xdr14:cNvPr>
            <xdr14:cNvContentPartPr/>
          </xdr14:nvContentPartPr>
          <xdr14:nvPr macro=""/>
          <xdr14:xfrm>
            <a:off x="7578720" y="9618480"/>
            <a:ext cx="666720" cy="51264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3F3E8440-F28E-C866-396A-7E1508BF944F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7571160" y="9610920"/>
              <a:ext cx="681840" cy="527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801550</xdr:colOff>
      <xdr:row>23</xdr:row>
      <xdr:rowOff>71449</xdr:rowOff>
    </xdr:from>
    <xdr:to>
      <xdr:col>10</xdr:col>
      <xdr:colOff>420988</xdr:colOff>
      <xdr:row>37</xdr:row>
      <xdr:rowOff>82994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59" name="Ink 58">
              <a:extLst>
                <a:ext uri="{FF2B5EF4-FFF2-40B4-BE49-F238E27FC236}">
                  <a16:creationId xmlns:a16="http://schemas.microsoft.com/office/drawing/2014/main" id="{C931F95A-3FAE-BE2D-6591-0669512F5EF8}"/>
                </a:ext>
              </a:extLst>
            </xdr14:cNvPr>
            <xdr14:cNvContentPartPr/>
          </xdr14:nvContentPartPr>
          <xdr14:nvPr macro=""/>
          <xdr14:xfrm>
            <a:off x="7402680" y="4692240"/>
            <a:ext cx="1269720" cy="2824200"/>
          </xdr14:xfrm>
        </xdr:contentPart>
      </mc:Choice>
      <mc:Fallback>
        <xdr:pic>
          <xdr:nvPicPr>
            <xdr:cNvPr id="59" name="Ink 58">
              <a:extLst>
                <a:ext uri="{FF2B5EF4-FFF2-40B4-BE49-F238E27FC236}">
                  <a16:creationId xmlns:a16="http://schemas.microsoft.com/office/drawing/2014/main" id="{C931F95A-3FAE-BE2D-6591-0669512F5EF8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7395094" y="4684766"/>
              <a:ext cx="1284892" cy="28387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817856</xdr:colOff>
      <xdr:row>44</xdr:row>
      <xdr:rowOff>108386</xdr:rowOff>
    </xdr:from>
    <xdr:to>
      <xdr:col>4</xdr:col>
      <xdr:colOff>195395</xdr:colOff>
      <xdr:row>46</xdr:row>
      <xdr:rowOff>14738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75" name="Ink 74">
              <a:extLst>
                <a:ext uri="{FF2B5EF4-FFF2-40B4-BE49-F238E27FC236}">
                  <a16:creationId xmlns:a16="http://schemas.microsoft.com/office/drawing/2014/main" id="{0D95FCD1-FC47-DB2E-61E3-2E9234E288FE}"/>
                </a:ext>
              </a:extLst>
            </xdr14:cNvPr>
            <xdr14:cNvContentPartPr/>
          </xdr14:nvContentPartPr>
          <xdr14:nvPr macro=""/>
          <xdr14:xfrm>
            <a:off x="3293280" y="8948160"/>
            <a:ext cx="202680" cy="308160"/>
          </xdr14:xfrm>
        </xdr:contentPart>
      </mc:Choice>
      <mc:Fallback>
        <xdr:pic>
          <xdr:nvPicPr>
            <xdr:cNvPr id="75" name="Ink 74">
              <a:extLst>
                <a:ext uri="{FF2B5EF4-FFF2-40B4-BE49-F238E27FC236}">
                  <a16:creationId xmlns:a16="http://schemas.microsoft.com/office/drawing/2014/main" id="{0D95FCD1-FC47-DB2E-61E3-2E9234E288FE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3286080" y="8940600"/>
              <a:ext cx="217800" cy="323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86315</xdr:colOff>
      <xdr:row>33</xdr:row>
      <xdr:rowOff>56809</xdr:rowOff>
    </xdr:from>
    <xdr:to>
      <xdr:col>4</xdr:col>
      <xdr:colOff>94955</xdr:colOff>
      <xdr:row>33</xdr:row>
      <xdr:rowOff>67609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76" name="Ink 75">
              <a:extLst>
                <a:ext uri="{FF2B5EF4-FFF2-40B4-BE49-F238E27FC236}">
                  <a16:creationId xmlns:a16="http://schemas.microsoft.com/office/drawing/2014/main" id="{A9723E47-2C3C-C9BC-880A-F0795D556672}"/>
                </a:ext>
              </a:extLst>
            </xdr14:cNvPr>
            <xdr14:cNvContentPartPr/>
          </xdr14:nvContentPartPr>
          <xdr14:nvPr macro=""/>
          <xdr14:xfrm>
            <a:off x="3386880" y="6686640"/>
            <a:ext cx="8640" cy="10800"/>
          </xdr14:xfrm>
        </xdr:contentPart>
      </mc:Choice>
      <mc:Fallback>
        <xdr:pic>
          <xdr:nvPicPr>
            <xdr:cNvPr id="76" name="Ink 75">
              <a:extLst>
                <a:ext uri="{FF2B5EF4-FFF2-40B4-BE49-F238E27FC236}">
                  <a16:creationId xmlns:a16="http://schemas.microsoft.com/office/drawing/2014/main" id="{A9723E47-2C3C-C9BC-880A-F0795D556672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3379320" y="6679080"/>
              <a:ext cx="23400" cy="2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35915</xdr:colOff>
      <xdr:row>35</xdr:row>
      <xdr:rowOff>166922</xdr:rowOff>
    </xdr:from>
    <xdr:to>
      <xdr:col>4</xdr:col>
      <xdr:colOff>43115</xdr:colOff>
      <xdr:row>36</xdr:row>
      <xdr:rowOff>71138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79" name="Ink 78">
              <a:extLst>
                <a:ext uri="{FF2B5EF4-FFF2-40B4-BE49-F238E27FC236}">
                  <a16:creationId xmlns:a16="http://schemas.microsoft.com/office/drawing/2014/main" id="{3066CE4F-97BA-061B-948B-6B302602CAB3}"/>
                </a:ext>
              </a:extLst>
            </xdr14:cNvPr>
            <xdr14:cNvContentPartPr/>
          </xdr14:nvContentPartPr>
          <xdr14:nvPr macro=""/>
          <xdr14:xfrm>
            <a:off x="3336480" y="7198560"/>
            <a:ext cx="7200" cy="105120"/>
          </xdr14:xfrm>
        </xdr:contentPart>
      </mc:Choice>
      <mc:Fallback>
        <xdr:pic>
          <xdr:nvPicPr>
            <xdr:cNvPr id="79" name="Ink 78">
              <a:extLst>
                <a:ext uri="{FF2B5EF4-FFF2-40B4-BE49-F238E27FC236}">
                  <a16:creationId xmlns:a16="http://schemas.microsoft.com/office/drawing/2014/main" id="{3066CE4F-97BA-061B-948B-6B302602CAB3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3328920" y="7191000"/>
              <a:ext cx="21960" cy="12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793736</xdr:colOff>
      <xdr:row>43</xdr:row>
      <xdr:rowOff>64850</xdr:rowOff>
    </xdr:from>
    <xdr:to>
      <xdr:col>4</xdr:col>
      <xdr:colOff>85955</xdr:colOff>
      <xdr:row>44</xdr:row>
      <xdr:rowOff>33866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82" name="Ink 81">
              <a:extLst>
                <a:ext uri="{FF2B5EF4-FFF2-40B4-BE49-F238E27FC236}">
                  <a16:creationId xmlns:a16="http://schemas.microsoft.com/office/drawing/2014/main" id="{C73F800E-75A2-D93D-5827-5639ED935527}"/>
                </a:ext>
              </a:extLst>
            </xdr14:cNvPr>
            <xdr14:cNvContentPartPr/>
          </xdr14:nvContentPartPr>
          <xdr14:nvPr macro=""/>
          <xdr14:xfrm>
            <a:off x="3269160" y="8703720"/>
            <a:ext cx="117360" cy="169920"/>
          </xdr14:xfrm>
        </xdr:contentPart>
      </mc:Choice>
      <mc:Fallback>
        <xdr:pic>
          <xdr:nvPicPr>
            <xdr:cNvPr id="82" name="Ink 81">
              <a:extLst>
                <a:ext uri="{FF2B5EF4-FFF2-40B4-BE49-F238E27FC236}">
                  <a16:creationId xmlns:a16="http://schemas.microsoft.com/office/drawing/2014/main" id="{C73F800E-75A2-D93D-5827-5639ED935527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3261600" y="8696160"/>
              <a:ext cx="132480" cy="18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54995</xdr:colOff>
      <xdr:row>33</xdr:row>
      <xdr:rowOff>40249</xdr:rowOff>
    </xdr:from>
    <xdr:to>
      <xdr:col>4</xdr:col>
      <xdr:colOff>60395</xdr:colOff>
      <xdr:row>33</xdr:row>
      <xdr:rowOff>41329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457198F6-44DF-747A-94F3-48A7ECCE75C4}"/>
                </a:ext>
              </a:extLst>
            </xdr14:cNvPr>
            <xdr14:cNvContentPartPr/>
          </xdr14:nvContentPartPr>
          <xdr14:nvPr macro=""/>
          <xdr14:xfrm>
            <a:off x="3355560" y="6670080"/>
            <a:ext cx="5400" cy="1080"/>
          </xdr14:xfrm>
        </xdr:contentPart>
      </mc:Choice>
      <mc:Fallback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457198F6-44DF-747A-94F3-48A7ECCE75C4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3348000" y="6662520"/>
              <a:ext cx="20520" cy="1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3875</xdr:colOff>
      <xdr:row>37</xdr:row>
      <xdr:rowOff>36554</xdr:rowOff>
    </xdr:from>
    <xdr:to>
      <xdr:col>4</xdr:col>
      <xdr:colOff>41315</xdr:colOff>
      <xdr:row>42</xdr:row>
      <xdr:rowOff>119954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84F17694-34EB-6DF5-B6A6-52513B508C6A}"/>
                </a:ext>
              </a:extLst>
            </xdr14:cNvPr>
            <xdr14:cNvContentPartPr/>
          </xdr14:nvContentPartPr>
          <xdr14:nvPr macro=""/>
          <xdr14:xfrm>
            <a:off x="3304440" y="7470000"/>
            <a:ext cx="37440" cy="1087920"/>
          </xdr14:xfrm>
        </xdr:contentPart>
      </mc:Choice>
      <mc:Fallback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84F17694-34EB-6DF5-B6A6-52513B508C6A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3296880" y="7462440"/>
              <a:ext cx="52200" cy="1103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73355</xdr:colOff>
      <xdr:row>33</xdr:row>
      <xdr:rowOff>193249</xdr:rowOff>
    </xdr:from>
    <xdr:to>
      <xdr:col>4</xdr:col>
      <xdr:colOff>79475</xdr:colOff>
      <xdr:row>34</xdr:row>
      <xdr:rowOff>128066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85" name="Ink 84">
              <a:extLst>
                <a:ext uri="{FF2B5EF4-FFF2-40B4-BE49-F238E27FC236}">
                  <a16:creationId xmlns:a16="http://schemas.microsoft.com/office/drawing/2014/main" id="{69CB8108-F209-35FD-8DC9-B3C4683B34AF}"/>
                </a:ext>
              </a:extLst>
            </xdr14:cNvPr>
            <xdr14:cNvContentPartPr/>
          </xdr14:nvContentPartPr>
          <xdr14:nvPr macro=""/>
          <xdr14:xfrm>
            <a:off x="3373920" y="6823080"/>
            <a:ext cx="6120" cy="135720"/>
          </xdr14:xfrm>
        </xdr:contentPart>
      </mc:Choice>
      <mc:Fallback>
        <xdr:pic>
          <xdr:nvPicPr>
            <xdr:cNvPr id="85" name="Ink 84">
              <a:extLst>
                <a:ext uri="{FF2B5EF4-FFF2-40B4-BE49-F238E27FC236}">
                  <a16:creationId xmlns:a16="http://schemas.microsoft.com/office/drawing/2014/main" id="{69CB8108-F209-35FD-8DC9-B3C4683B34AF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3366360" y="6815500"/>
              <a:ext cx="21240" cy="15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814150</xdr:colOff>
      <xdr:row>45</xdr:row>
      <xdr:rowOff>51842</xdr:rowOff>
    </xdr:from>
    <xdr:to>
      <xdr:col>10</xdr:col>
      <xdr:colOff>506308</xdr:colOff>
      <xdr:row>46</xdr:row>
      <xdr:rowOff>170618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">
          <xdr14:nvContentPartPr>
            <xdr14:cNvPr id="86" name="Ink 85">
              <a:extLst>
                <a:ext uri="{FF2B5EF4-FFF2-40B4-BE49-F238E27FC236}">
                  <a16:creationId xmlns:a16="http://schemas.microsoft.com/office/drawing/2014/main" id="{DF9F1729-865A-A34A-C260-0D32490A10DF}"/>
                </a:ext>
              </a:extLst>
            </xdr14:cNvPr>
            <xdr14:cNvContentPartPr/>
          </xdr14:nvContentPartPr>
          <xdr14:nvPr macro=""/>
          <xdr14:xfrm>
            <a:off x="7415280" y="9092520"/>
            <a:ext cx="1342440" cy="319680"/>
          </xdr14:xfrm>
        </xdr:contentPart>
      </mc:Choice>
      <mc:Fallback>
        <xdr:pic>
          <xdr:nvPicPr>
            <xdr:cNvPr id="86" name="Ink 85">
              <a:extLst>
                <a:ext uri="{FF2B5EF4-FFF2-40B4-BE49-F238E27FC236}">
                  <a16:creationId xmlns:a16="http://schemas.microsoft.com/office/drawing/2014/main" id="{DF9F1729-865A-A34A-C260-0D32490A10DF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7407722" y="9084951"/>
              <a:ext cx="1357556" cy="33481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468635</xdr:colOff>
      <xdr:row>45</xdr:row>
      <xdr:rowOff>126722</xdr:rowOff>
    </xdr:from>
    <xdr:to>
      <xdr:col>4</xdr:col>
      <xdr:colOff>708395</xdr:colOff>
      <xdr:row>46</xdr:row>
      <xdr:rowOff>177818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253D6EB5-8288-5FC8-DE7B-93CE737B6BC0}"/>
                </a:ext>
              </a:extLst>
            </xdr14:cNvPr>
            <xdr14:cNvContentPartPr/>
          </xdr14:nvContentPartPr>
          <xdr14:nvPr macro=""/>
          <xdr14:xfrm>
            <a:off x="3769200" y="9167400"/>
            <a:ext cx="239760" cy="252000"/>
          </xdr14:xfrm>
        </xdr:contentPart>
      </mc:Choice>
      <mc:Fallback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253D6EB5-8288-5FC8-DE7B-93CE737B6BC0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3761640" y="9159840"/>
              <a:ext cx="254880" cy="2671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673100</xdr:colOff>
      <xdr:row>11</xdr:row>
      <xdr:rowOff>196850</xdr:rowOff>
    </xdr:from>
    <xdr:to>
      <xdr:col>13</xdr:col>
      <xdr:colOff>50800</xdr:colOff>
      <xdr:row>32</xdr:row>
      <xdr:rowOff>50800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B22DF458-68A4-3641-8046-F39290056D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86300" y="2432050"/>
              <a:ext cx="7632700" cy="4121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524934</xdr:colOff>
      <xdr:row>4</xdr:row>
      <xdr:rowOff>13555</xdr:rowOff>
    </xdr:from>
    <xdr:to>
      <xdr:col>11</xdr:col>
      <xdr:colOff>491067</xdr:colOff>
      <xdr:row>25</xdr:row>
      <xdr:rowOff>169333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D08627A9-3E94-E958-E46B-38FB7116F5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78667" y="826355"/>
              <a:ext cx="7433733" cy="44229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6:59.735"/>
    </inkml:context>
    <inkml:brush xml:id="br0">
      <inkml:brushProperty name="width" value="0.04286" units="cm"/>
      <inkml:brushProperty name="height" value="0.04286" units="cm"/>
      <inkml:brushProperty name="color" value="#66CC00"/>
    </inkml:brush>
  </inkml:definitions>
  <inkml:trace contextRef="#ctx0" brushRef="#br0">1355 403 9512,'-13'-28'5846,"-15"-2"-5126,-31-11-180,-31 9-271,27 18 1,-5 4 0,-10 6 0,-4 5-90,-12 9 0,-3 10-61,21 6 1,-1 8 0,3 6-188,3 4 0,3 7 1,4 4 67,2 6 0,4 4 0,10 3 0,12-5 0,7 3 0,12-1 0,14 29 0,21-4 45,21-10 0,17-8-45,-7-26 0,8-5 0,6-8 0,12-7 0,7-8 0,3-9-231,-10-8 0,3-6 0,1-4 0,0-4 276,4-5 0,0-3 0,0-4 0,-2-3-23,-3-1 1,-1-3-1,-2-2 1,-4-3 125,8-9 0,-4-4 1,-10-3 390,4-19 1,-16-6-180,-23-3 0,-15-6-135,-19-11 0,-17-2-195,-3 29 0,-9 1 0,-6 3-60,-6 3 0,-8 3 0,-6 9-470,-14 6 1,-7 9 0,-5 11-378,13 16 0,-4 8 0,-1 5 0,0 6-1581,-3 6 0,0 6 1,1 4-1,4-1 2410,-5 1 0,4 1 1,6 4-1,-17 18 1,18-1-1,28-11 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13.196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24 323 9602,'16'0'-750,"-8"1"0,0-2 1</inkml:trace>
  <inkml:trace contextRef="#ctx0" brushRef="#br0" timeOffset="149">124 299 9062,'14'-2'-270,"-6"0"0,-1 1 0</inkml:trace>
  <inkml:trace contextRef="#ctx0" brushRef="#br0" timeOffset="316">197 286 6813,'15'-1'1889,"1"1"-3418,-1-2 1529,1 0 0,-7 1 0,-2 0 0</inkml:trace>
  <inkml:trace contextRef="#ctx0" brushRef="#br0" timeOffset="599">322 278 7892,'16'0'270,"-1"0"720,1-1-2969,-1 0 1979,0 2 0,-6-1 0,-2 2 0</inkml:trace>
  <inkml:trace contextRef="#ctx0" brushRef="#br0" timeOffset="723">562 271 6363,'0'0'0</inkml:trace>
  <inkml:trace contextRef="#ctx0" brushRef="#br0" timeOffset="2366">981 178 9332,'-3'-14'5307,"-1"0"-5038,-5 8 181,-1 5-180,-16 22 360,2 12-181,0 9-179,13 12-90,24-4-180,9-10 90,24-12 90,15-44 180,-2-15 269,3-32-179,-36-6-360,-21 12-90,-34 6 0,-12 30 0,-16 12 0,10 22 0,14 14 0,19 18 0,26 6 0,17 0 0,11-9 0,-3-13-90,-2-7 180,-13-10-180,-5-1 90,-15 7-90,-4-4 90,-6 6 90,11-14-90,15-7 0,15-6 0,11 2 0,-2 9 0,-4 19 0,-14 10 90,-12 13 180,-16-3 90,-12-10-360,-7-14-1439,-11-17-1260,0-17-5576,4-10 8275,10-6 0,12 13 0,7 6 0</inkml:trace>
  <inkml:trace contextRef="#ctx0" brushRef="#br0" timeOffset="2649">1562 177 10141,'-5'-16'8635,"5"28"-8185,4 13-180,7 31-990,4 7-2698,-1-9 3418,0-5 0,-7-27 0,-1-6 0</inkml:trace>
  <inkml:trace contextRef="#ctx0" brushRef="#br0" timeOffset="2816">1523 353 9871,'-15'-10'6387,"1"-1"-5938,11 1-898,31-3-5218,12 3 5667,11 2 0,-20 4 0,-19 3 0</inkml:trace>
  <inkml:trace contextRef="#ctx0" brushRef="#br0" timeOffset="3132">1859 193 8342,'-3'-14'9830,"3"14"-6977,9 34-4292,3 13-3239,6 30 4678,-6-27 0,-5-18 0,-5-20 0</inkml:trace>
  <inkml:trace contextRef="#ctx0" brushRef="#br0" timeOffset="3299">2010 408 9602,'-8'-13'1371,"2"1"1,1 5 0,2 2-1</inkml:trace>
  <inkml:trace contextRef="#ctx0" brushRef="#br0" timeOffset="3632">2172 240 10681,'-3'-13'8545,"-1"0"-8365,4 15-90,9 16 0,14 34-90,9 5 180,0 2 359,-7-14-449,-17-21 0,-10-9-1529,-38-25-1439,3-7-3059,-25-20 5937,28 10 0,10 5 0,16 11 0</inkml:trace>
  <inkml:trace contextRef="#ctx0" brushRef="#br0" timeOffset="3766">2098 224 8702,'8'-32'6476,"7"-3"-9984,21 13-989,3 2 3434,5 10 0,-21 7 0,-15 3 0</inkml:trace>
  <inkml:trace contextRef="#ctx0" brushRef="#br0" timeOffset="3982">2443 86 8252,'10'-9'9830,"-3"14"-5718,-3 15-3842,-3 25-1799,2 18-2968,1 6 4497,0-9 0,-1-24 0,-1-18 0</inkml:trace>
  <inkml:trace contextRef="#ctx0" brushRef="#br0" timeOffset="4499">2697 213 9512,'-7'-26'9804,"1"17"-9534,3 27-90,5 24-90,10 21-90,14-10 0,15-20 90,9-27-90,-2-33-90,-16-26 90,-26-17 0,-29 1 0,-20 12 0,-5 20 0,-1 15 0,19 15 449,7 18-89,25 22-90,12 16-180,17 15-90,5-2-1169,-1-2-4498,-3-6 5667,-5-9 0,-14-20 0,-4-10 0</inkml:trace>
  <inkml:trace contextRef="#ctx0" brushRef="#br0" timeOffset="4982">2981 312 10591,'12'-47'7376,"1"7"-5487,10 4-1260,6 29-89,3 24-360,0 28-90,-9 12 0,-7-5 0,-13-19-180,-11-25 90,-15-33 0,-4-26 0,5-22 0,20-8 539,30 4 91,25 20 180,14 28-1,-6 35-449,-15 32-270,-19 23-2159,-12 8-1529,-3-1-360,10-14-3867,11-18 7825,0-18 0,-8-11 0,-14-6 0</inkml:trace>
  <inkml:trace contextRef="#ctx0" brushRef="#br0" timeOffset="7732">764 658 10231,'2'-12'6117,"4"6"-5578,4 4 271,6 7-450,15 8 179,-2 2 1,18 17 0,-5 14-270,-5 3-1,0 18 1,-10 1-180,-7-5 0,-2 14 0,-10-7-90,-3-15 180,-3 23 0,-7-19 0,-3 8-90,-9 5-90,-4-10 90,-5 8-90,-1 2 0,2 1 90,3 1 0,0 4 269,3 0-89,0 2-90,2 3-90,1 3 0,2 5-90,2 3 0,3 5 45,5-48 0,1 2 90,1 0 0,1 1 0,1 2 0,1 0 0,0 0 0,2 1-90,-1-1 0,1 0-45,0-1 0,1 0 44,1 1 1,0-1-45,2-1 0,2-1 0,1 2 0,3-2 0,14 44 0,6-11 0,3-13 0,7-9 0,5-9 0,4-11 0,1-10 0,-10-10 90,1-7-90,-10-7 0,4-8 0,-3-6 0,-3-7 0,-10-1 0,-11-2 0,-13 2 0,-10-1 0,-8 1-90,-12 4 180,-12 11-90,-3 12 90,-5 13-90,7 13 90,3 11 90,5 13 450,4 11-180,3 15-226,16-40 1,2 3-90,-1 7 0,2 3-90,0 8 0,1 2 0,0 6 0,1 1-45,0 3 0,0 2 0,1 0 0,0 0 0,-1 0 0,1-1-45,1-3 0,0 0 45,0-2 0,2 0 0,1-5 0,1-1 0,1-2 0,3-1 0,0-3 0,2 0 0,1-4 0,0-2 45,1-4 0,1-2-90,-1-2 0,0-1 45,3 45-90,0-3 0,1-2-90,-1 2 90,0 1 0,-4 1-89,-2 0-1,-2-5-360,-1-4 0,-2-7 91,-3-9 269,-4-4 90,-3-3 180,-4-2-180,-4-4 180,2-10-90,-7 0-90,1-12 0,-6 2-360,3-12 90,6-9-269,6-6 359,4-5 180,3-8 90,3-6-90,4-5 0,3-5-270,0 1 360,-2 0 0,1 7 0,0 2 0</inkml:trace>
  <inkml:trace contextRef="#ctx0" brushRef="#br0" timeOffset="8649">1779 2264 8702,'-25'-9'8905,"1"1"-7826,2 6 630,10 34-629,19 37-856,1-21 1,2 6-135,8 25 0,3 2-1124,-5-11 0,0-1-675,1 1 0,-1-2 1709,-5-14 0,-3-7 0,-3-7 0,0-7 0</inkml:trace>
  <inkml:trace contextRef="#ctx0" brushRef="#br0" timeOffset="9699">2035 2571 10501,'0'-29'8185,"10"34"-7465,0 18-180,15 55-450,-9-30 0,3 0-1,22 36-89,23-15 90,13-82-90,-9-35 0,-30-8 0,-10-12 0,-17-1 0,-10-1 0,-3 7 0,-9 3-45,-13 4 0,-11 11 45,-45 9 0,9 20 0,12 19 0,59 34 90,27-3 0,41 36 0,-30-33 0,1 0 0,27 38-180,-32-27 0,-4 3-1439,10 34-180,-1 0 360,-1-28 1079,0-47 360,2-57 674,-21 0 1,-3-5 134,-2-6 1,-2 0-181,-3 1 1,-2 4-270,0-12 0,-3 24-180,8 55-90,5 31-91,4 44 1,-4 11 90,-6-13-270,1-75 90,5-54 0,-3-12 0,-1-7 45,1 1 0,-1 1 45,-2 7 0,0 4 540,2-13 0,-14 62-181,5 38-269,-1 55-135,6-39 0,5 2-90,4 0 0,6-3-1080,9-7 1,6-8-1395,4-12 1,4-9 2518,5-9 0,-1-7 0,10-4 0,-16-6 0</inkml:trace>
  <inkml:trace contextRef="#ctx0" brushRef="#br0" timeOffset="12598">1 2065 8612,'13'-6'-90,"10"2"90,12 0 0,-13 3 0,2 0 0</inkml:trace>
  <inkml:trace contextRef="#ctx0" brushRef="#br0" timeOffset="12898">298 2064 9242,'13'-5'360,"1"0"-630,10 0-180,2 2 360,4 2-90,5 0 540,-12 1 359,5-1-449,-10 1-629,-1-1-541,1 0 900,12-1 0,-16 1 0,7 0 0</inkml:trace>
  <inkml:trace contextRef="#ctx0" brushRef="#br0" timeOffset="14465">914 1963 9961,'-2'7'2339,"6"19"-2249,3 18 0,5 5 450,-3-18-91,-3-32 91,-10-26 90,-3-21-271,-6-14-89,1 13-90,3 11-180,8 21 0,14 34 0,0-2 0,15 17 0,-5-24 180,11-9 180,-2-16 270,-3-11-271,-9-3-179,-8 6-90,-3 6-90,-4 19 0,3 16 0,4 25-90,0 2 90,8 5 0,0-23 90,4-19 0,0-18 0,0-16-180,-6 1 90,-4 5-90,5 19 90,-7 6-90,7 11 90,-5-6 90,2-3-90,-3-5 90,-6-15-90,-9 1 0,-7-6-90,-5 14-629,4 16-361,5 16 271,16 15 539,17-4 180,22-12 630,8-28 179,0-24 1,-15-17-271,-18-4-269,-19-3-90,-14 17-90,-4 16-90,-3 23-179,10 24-1,9 11 90,10-4 360,15-24 269,1-30-89,0-34 0,-8-20-180,-9 4-90,-6 6-90,-2 41 0,2 42-540,4 32-269,7 25 179,4-12 540,-4-23 180,4-21 450,-10-25-360,1-6-2609,-6-8-539,0 14 2968,-2 5 0,0 3 0,-3 2 0</inkml:trace>
  <inkml:trace contextRef="#ctx0" brushRef="#br0" timeOffset="14832">2063 1788 7623,'0'-12'3957,"-4"16"-5036,1 8 539,4 18 810,6-7 2159,15-6-1979,-8-14-1890,6 16-3057,-13 18 4497,-3 0 0,-5-1 0,1-26 0</inkml:trace>
  <inkml:trace contextRef="#ctx0" brushRef="#br0" timeOffset="16048">768 7356 9422,'-10'-5'4047,"0"4"-2787,-8 18-271,7 12-539,8 21-270,17 0-90,20-2 0,11-26 89,7-32 181,-5-31-90,-16-26-90,-24-9-90,-24 4-90,-19 17 0,-8 26 0,7 29 0,19 29 0,24 19 0,26 6 0,17-8-90,14-19 90,3-20 90,-6-14 90,-13-5 360,-16 2-91,-8 6-89,-5 16 0,1 19-990,3 21-1439,-2 7-7555,6 17 9624,-11-35 0,0-2 0,-12-33 0</inkml:trace>
  <inkml:trace contextRef="#ctx0" brushRef="#br0" timeOffset="16665">112 7601 8072,'0'-14'2339,"15"2"-2879,18 3-629,32 3 989,-2 3 720,5-1 809,-7-3-989,-26 3 90,10-4-1080,-18 6-1889,12 0 2519,3 1 0,-15 2 0,-7-2 0</inkml:trace>
  <inkml:trace contextRef="#ctx0" brushRef="#br0" timeOffset="16848">901 7542 9961,'14'-4'360,"2"2"-2159,9-1-90,6 2 826,0 1 0,-10 1 0,-12-1 1</inkml:trace>
  <inkml:trace contextRef="#ctx0" brushRef="#br0" timeOffset="16948">1110 7538 9062,'14'-5'314,"-1"1"1,-7 0 0,0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45.893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138 124 8342,'-16'-3'2789,"-7"9"-2430,1 16 451,-2 40-360,14 14-315,10-11 0,6 6-46,9 3 1,6-1-90,-2-4 0,5-4-135,7 0 1,7-12-316,37-19 180,-3-42 270,-25-26 0,-5-15 135,-6-15 0,-6-5 0,-2 4 0,-7-1 45,-7-11 0,-13 1 44,-17 17 1,-9 4-135,-1 5 0,-7 3 90,-13-1 0,-5 9 0,-40 0-1170,-5 28-1348,16 41 2338,24 32 0,25-18 0,20-3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47.226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 0 7892,'11'13'-270,"-4"-8"0,-3 6 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47.70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19 0 7623,'-12'80'-270,"7"-4"270,3-2 0,5-31 0,-1-24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48.90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149 1 6363,'3'49'1529,"4"15"-1349,5 19-180,3 1-90,0-19 360,-5-10-270,-6-22 90,-3-6 90,-12-16 180,-3-13 180,-13-15-1,-2-14 91,-3-10 179,-1-8 811,4 0-631,5 6-359,7 13-630,18 25 90,14 28-90,18 28-270,7 11-180,2 1 0,-9-21 450,1-23-90,-9-32 90,3-26-899,-4-18-1170,-2-5 2069,-7 14 0,-5 19 0,-7 17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52.192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0 3 6993,'8'-2'0,"-2"1"0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47.85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99 1 7353,'-9'55'1169,"2"1"-2968,5-9 1799,3-7 0,0-16 0,0-13 0</inkml:trace>
  <inkml:trace contextRef="#ctx0" brushRef="#br0" timeOffset="517">103 516 7803,'-4'50'1079,"1"-9"-1349,-2 24 90,3-21 90,-3 34 0,-1-5 90,0-3 450,-4 17 180,1-6-271,2-8-179,-1 9-180,2-11-180,0-4-89,1 20-226,2-34 0,0 3 180,1-3 1,0 2 134,-1 18 0,0 2 404,1-9 1,1-1 45,0-7 0,1 1-45,-1 3 0,2 1-135,-1-7 0,0 0-180,1-5 0,0 2-180,2 10 0,0 0 135,0-10 0,1-1 0,1 5 1,1-1-541,-2 1 0,1-4 675,1 16 0,-3-21 0,-2-36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47.40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16 1 8432,'-6'12'-899,"2"0"899,0 11 0,2-13 0,2 6 0</inkml:trace>
  <inkml:trace contextRef="#ctx0" brushRef="#br0" timeOffset="134">16 281 7443,'-3'28'90,"0"0"0,2-5 0,-1-7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8:34.027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71 701 7892,'16'0'-330,"-7"-1"1,-1 2-1</inkml:trace>
  <inkml:trace contextRef="#ctx0" brushRef="#br0" timeOffset="150">181 704 7623,'14'3'-270,"-6"-1"0,-2-1 0</inkml:trace>
  <inkml:trace contextRef="#ctx0" brushRef="#br0" timeOffset="300">304 718 6363,'16'-1'202,"0"-1"1,-8 1-1,-1-1 1</inkml:trace>
  <inkml:trace contextRef="#ctx0" brushRef="#br0" timeOffset="398">398 700 7713,'5'-6'0,"-1"2"0</inkml:trace>
  <inkml:trace contextRef="#ctx0" brushRef="#br0" timeOffset="1567">810 525 7443,'-9'-10'5577,"-3"3"-3958,-4 7-1260,4 15 1,11 26-270,16 8 0,20 8 0,19-20-90,-2-24 90,12-31 630,-18-37-361,-14-5-179,-17-24-180,-25 17 90,-13 2-90,-6 16 0,3 19 90,1 17 180,11 26-90,0 14-180,10 19 90,7 1-90,11 0 0,12-3-90,9-4-360,5-5-1169,-3-7-809,-12-10 2428,-1 1 0,-17-14 0,3 5 0</inkml:trace>
  <inkml:trace contextRef="#ctx0" brushRef="#br0" timeOffset="1783">1328 559 10051,'3'-9'7646,"0"18"-7916,-1 15-1619,3 29-1709,6-10 3598,0 4 0,-2-22 0,-4-15 0</inkml:trace>
  <inkml:trace contextRef="#ctx0" brushRef="#br0" timeOffset="2034">1492 597 9152,'-4'-16'7915,"1"1"-6925,3 1-810,10 0-810,9 3-2608,17 0-3958,19 3 7196,-16 3 0,-1 0 0,-30 4 0</inkml:trace>
  <inkml:trace contextRef="#ctx0" brushRef="#br0" timeOffset="2300">1886 344 12660,'-8'-20'8275,"5"24"-8095,7 16-1619,9 35-2519,4-1-1259,0 4 5217,-4-15 0,-7-20 0,-2-11 0</inkml:trace>
  <inkml:trace contextRef="#ctx0" brushRef="#br0" timeOffset="2450">2165 510 12390,'1'-25'210,"-1"9"0,0 9 0</inkml:trace>
  <inkml:trace contextRef="#ctx0" brushRef="#br0" timeOffset="2800">2273 365 10321,'5'-8'5217,"1"8"-5127,11 9 180,9 16-180,3 8 0,0 1 360,-3 2-181,-13-15-89,-7-4-180,-21-10-1439,-18-10-1979,-6-12 3418,2-12 0,19 10 0,11 3 0</inkml:trace>
  <inkml:trace contextRef="#ctx0" brushRef="#br0" timeOffset="2966">2295 262 10051,'11'-26'3059,"11"5"-7107,14 11 4048,10 5 0,-20 3 0,-4 2 0</inkml:trace>
  <inkml:trace contextRef="#ctx0" brushRef="#br0" timeOffset="3633">2746 149 14819,'-16'6'1439,"2"5"-1079,10 5-181,2 23 1,9 10-90,3 5-90,15 7 90,3-21 0,-3-14-90,7-17 0,-12-22 0,8-17 90,-5-13 270,-5-19-90,-8 5 90,-12-12-91,-14 13-269,-1 16 0,-16 4 0,-6 28 0,7 5 0,-8 21 90,27 7 0,14 15-90,21-4 90,18 5 270,7-5 0,-1 1 0,-7 6-360,-8 7-1170,-5 6-4137,-4 8 3149,-7-19 2158,-3-4 0,-8-29 0,-2-4 0</inkml:trace>
  <inkml:trace contextRef="#ctx0" brushRef="#br0" timeOffset="3967">2623 240 9781,'-9'-9'7916,"4"10"-7556,1 19-270,6 31-900,3 8-2248,9 24 3058,9-10 0,-10-28 0,3-8 0</inkml:trace>
  <inkml:trace contextRef="#ctx0" brushRef="#br0" timeOffset="4517">3027 292 9242,'2'-27'8545,"18"20"-8185,7 26-180,7 18-180,0 26 89,-12-17 1,-3-5-180,-9-44 180,-11-29-180,-5-44 180,0-16 360,11 0 0,13 11 90,7 23-360,-2 28-1,-5 36 271,-6 31-180,1 23-180,12 13-270,33-3-945,-16-40 1,5-5-1125,6-4 1,0-5 2248,34-1 0,-37-9 0,-32-5 0</inkml:trace>
  <inkml:trace contextRef="#ctx0" brushRef="#br0" timeOffset="5550">262 472 7443,'-42'5'3598,"0"3"-2609,-19 10-269,10 16-1,10 19-269,16 17-90,28 5-180,35-5-135,4-40 0,8-8 0,0-5 0,5-8-90,20-5 0,2-10 90,-9-8 0,-3-6 89,-5 0 1,-4-4 135,23-29 0,-62-17-270,-51 3 0,-32-4 0,7 39 0,-5 9-450,14 11 1,-1 7-721,-16 8 1,3 10 1169,-12 29 0,17 6 0,30-4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2T16:59:07.441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339 83 9242,'-40'-18'3598,"3"8"-3149,-11 10-89,9 8 90,1 5 90,5 4-91,4 7 1,3 8-90,6 3-90,3 10-180,7-2 0,9 4 0,10 5 0,5-10 89,11 13-179,-2-14-89,4 4 178,10 0-89,0-11-89,7 0-1,13-12 90,-7-13-90,7-8 90,5-18 90,-12-8 0,3-11 89,-5-19-179,-17-5 90,-3-9 90,-15-20 0,-17 16-90,-11-6 0,-32 7 0,-9 24-90,-13 3-270,-17 22-449,20 15-1800,-23 10-4317,15 13 6836,23-4 0,12 1 0,33-10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1555B-B197-CC47-9F69-F4EAF50D8189}">
  <dimension ref="A1"/>
  <sheetViews>
    <sheetView zoomScale="165" workbookViewId="0">
      <selection activeCell="C6" sqref="C6"/>
    </sheetView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33049-A30E-6440-BF60-244A98CF0047}">
  <dimension ref="A1:F5"/>
  <sheetViews>
    <sheetView zoomScale="187" workbookViewId="0">
      <selection activeCell="B7" sqref="B7"/>
    </sheetView>
  </sheetViews>
  <sheetFormatPr baseColWidth="10" defaultRowHeight="16" x14ac:dyDescent="0.2"/>
  <sheetData>
    <row r="1" spans="1:6" x14ac:dyDescent="0.2">
      <c r="A1" s="1"/>
      <c r="B1" s="1">
        <v>2010</v>
      </c>
      <c r="C1" s="1">
        <v>2011</v>
      </c>
      <c r="D1" s="1">
        <v>2012</v>
      </c>
      <c r="E1" s="1">
        <v>2013</v>
      </c>
      <c r="F1" s="1">
        <v>2014</v>
      </c>
    </row>
    <row r="2" spans="1:6" x14ac:dyDescent="0.2">
      <c r="A2" s="1" t="s">
        <v>0</v>
      </c>
      <c r="B2" s="1">
        <v>1</v>
      </c>
      <c r="C2" s="1">
        <v>2</v>
      </c>
      <c r="D2" s="1">
        <v>6</v>
      </c>
      <c r="E2" s="1">
        <v>9</v>
      </c>
      <c r="F2" s="1">
        <v>5</v>
      </c>
    </row>
    <row r="3" spans="1:6" x14ac:dyDescent="0.2">
      <c r="A3" s="1" t="s">
        <v>1</v>
      </c>
      <c r="B3" s="1">
        <v>4</v>
      </c>
      <c r="C3" s="1">
        <v>4</v>
      </c>
      <c r="D3" s="1">
        <v>4</v>
      </c>
      <c r="E3" s="1">
        <v>4</v>
      </c>
      <c r="F3" s="1">
        <v>3</v>
      </c>
    </row>
    <row r="4" spans="1:6" x14ac:dyDescent="0.2">
      <c r="A4" s="1" t="s">
        <v>2</v>
      </c>
      <c r="B4" s="1">
        <v>6</v>
      </c>
      <c r="C4" s="1">
        <v>6</v>
      </c>
      <c r="D4" s="1">
        <v>6</v>
      </c>
      <c r="E4" s="1">
        <v>6</v>
      </c>
      <c r="F4" s="1">
        <v>2</v>
      </c>
    </row>
    <row r="5" spans="1:6" x14ac:dyDescent="0.2">
      <c r="A5" s="1" t="s">
        <v>3</v>
      </c>
      <c r="B5" s="1">
        <v>8</v>
      </c>
      <c r="C5" s="1">
        <v>4</v>
      </c>
      <c r="D5" s="1">
        <v>9</v>
      </c>
      <c r="E5" s="1">
        <v>8</v>
      </c>
      <c r="F5" s="1">
        <v>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BBC86-AD8C-F344-AD94-B76E3C8427B1}">
  <dimension ref="A1:J55"/>
  <sheetViews>
    <sheetView topLeftCell="A29" zoomScale="119" zoomScaleNormal="100" workbookViewId="0">
      <selection activeCell="B43" sqref="B43:D55"/>
    </sheetView>
  </sheetViews>
  <sheetFormatPr baseColWidth="10" defaultRowHeight="16" x14ac:dyDescent="0.2"/>
  <sheetData>
    <row r="1" spans="1:6" x14ac:dyDescent="0.2">
      <c r="A1" s="1"/>
      <c r="B1" s="1">
        <v>2010</v>
      </c>
      <c r="C1" s="1">
        <v>2011</v>
      </c>
      <c r="D1" s="1">
        <v>2012</v>
      </c>
      <c r="E1" s="1">
        <v>2013</v>
      </c>
      <c r="F1" s="1">
        <v>2014</v>
      </c>
    </row>
    <row r="2" spans="1:6" x14ac:dyDescent="0.2">
      <c r="A2" s="1" t="s">
        <v>0</v>
      </c>
      <c r="B2" s="1">
        <v>1</v>
      </c>
      <c r="C2" s="1">
        <v>2</v>
      </c>
      <c r="D2" s="1">
        <v>6</v>
      </c>
      <c r="E2" s="1">
        <v>9</v>
      </c>
      <c r="F2" s="1">
        <v>5</v>
      </c>
    </row>
    <row r="3" spans="1:6" x14ac:dyDescent="0.2">
      <c r="A3" s="1" t="s">
        <v>1</v>
      </c>
      <c r="B3" s="1">
        <v>4</v>
      </c>
      <c r="C3" s="1">
        <v>4</v>
      </c>
      <c r="D3" s="1">
        <v>4</v>
      </c>
      <c r="E3" s="1">
        <v>4</v>
      </c>
      <c r="F3" s="1">
        <v>3</v>
      </c>
    </row>
    <row r="4" spans="1:6" x14ac:dyDescent="0.2">
      <c r="A4" s="1" t="s">
        <v>2</v>
      </c>
      <c r="B4" s="1">
        <v>6</v>
      </c>
      <c r="C4" s="1">
        <v>6</v>
      </c>
      <c r="D4" s="1">
        <v>6</v>
      </c>
      <c r="E4" s="1">
        <v>6</v>
      </c>
      <c r="F4" s="1">
        <v>2</v>
      </c>
    </row>
    <row r="5" spans="1:6" x14ac:dyDescent="0.2">
      <c r="A5" s="1" t="s">
        <v>3</v>
      </c>
      <c r="B5" s="1">
        <v>8</v>
      </c>
      <c r="C5" s="1">
        <v>4</v>
      </c>
      <c r="D5" s="1">
        <v>9</v>
      </c>
      <c r="E5" s="1">
        <v>8</v>
      </c>
      <c r="F5" s="1">
        <v>6</v>
      </c>
    </row>
    <row r="23" spans="10:10" x14ac:dyDescent="0.2">
      <c r="J23" t="s">
        <v>18</v>
      </c>
    </row>
    <row r="43" spans="2:4" x14ac:dyDescent="0.2">
      <c r="C43" t="s">
        <v>16</v>
      </c>
      <c r="D43" t="s">
        <v>17</v>
      </c>
    </row>
    <row r="44" spans="2:4" x14ac:dyDescent="0.2">
      <c r="B44" t="s">
        <v>4</v>
      </c>
      <c r="C44" cm="1">
        <f t="array" aca="1" ref="C44:C55" ca="1">_xlfn.RANDARRAY(12,1,100,500,TRUE)</f>
        <v>413</v>
      </c>
      <c r="D44" cm="1">
        <f t="array" aca="1" ref="D44:D55" ca="1">_xlfn.RANDARRAY(12,1,100,500,TRUE)</f>
        <v>283</v>
      </c>
    </row>
    <row r="45" spans="2:4" x14ac:dyDescent="0.2">
      <c r="B45" t="s">
        <v>5</v>
      </c>
      <c r="C45">
        <f ca="1"/>
        <v>326</v>
      </c>
      <c r="D45">
        <f ca="1"/>
        <v>274</v>
      </c>
    </row>
    <row r="46" spans="2:4" x14ac:dyDescent="0.2">
      <c r="B46" t="s">
        <v>6</v>
      </c>
      <c r="C46">
        <f ca="1"/>
        <v>275</v>
      </c>
      <c r="D46">
        <f ca="1"/>
        <v>421</v>
      </c>
    </row>
    <row r="47" spans="2:4" x14ac:dyDescent="0.2">
      <c r="B47" t="s">
        <v>7</v>
      </c>
      <c r="C47">
        <f ca="1"/>
        <v>244</v>
      </c>
      <c r="D47">
        <f ca="1"/>
        <v>202</v>
      </c>
    </row>
    <row r="48" spans="2:4" x14ac:dyDescent="0.2">
      <c r="B48" t="s">
        <v>8</v>
      </c>
      <c r="C48">
        <f ca="1"/>
        <v>481</v>
      </c>
      <c r="D48">
        <f ca="1"/>
        <v>484</v>
      </c>
    </row>
    <row r="49" spans="2:4" x14ac:dyDescent="0.2">
      <c r="B49" t="s">
        <v>9</v>
      </c>
      <c r="C49">
        <f ca="1"/>
        <v>342</v>
      </c>
      <c r="D49">
        <f ca="1"/>
        <v>449</v>
      </c>
    </row>
    <row r="50" spans="2:4" x14ac:dyDescent="0.2">
      <c r="B50" t="s">
        <v>10</v>
      </c>
      <c r="C50">
        <f ca="1"/>
        <v>254</v>
      </c>
      <c r="D50">
        <f ca="1"/>
        <v>219</v>
      </c>
    </row>
    <row r="51" spans="2:4" x14ac:dyDescent="0.2">
      <c r="B51" t="s">
        <v>11</v>
      </c>
      <c r="C51">
        <f ca="1"/>
        <v>257</v>
      </c>
      <c r="D51">
        <f ca="1"/>
        <v>184</v>
      </c>
    </row>
    <row r="52" spans="2:4" x14ac:dyDescent="0.2">
      <c r="B52" t="s">
        <v>12</v>
      </c>
      <c r="C52">
        <f ca="1"/>
        <v>449</v>
      </c>
      <c r="D52">
        <f ca="1"/>
        <v>223</v>
      </c>
    </row>
    <row r="53" spans="2:4" x14ac:dyDescent="0.2">
      <c r="B53" t="s">
        <v>13</v>
      </c>
      <c r="C53">
        <f ca="1"/>
        <v>122</v>
      </c>
      <c r="D53">
        <f ca="1"/>
        <v>203</v>
      </c>
    </row>
    <row r="54" spans="2:4" x14ac:dyDescent="0.2">
      <c r="B54" t="s">
        <v>14</v>
      </c>
      <c r="C54">
        <f ca="1"/>
        <v>239</v>
      </c>
      <c r="D54">
        <f ca="1"/>
        <v>119</v>
      </c>
    </row>
    <row r="55" spans="2:4" x14ac:dyDescent="0.2">
      <c r="B55" t="s">
        <v>15</v>
      </c>
      <c r="C55">
        <f ca="1"/>
        <v>317</v>
      </c>
      <c r="D55">
        <f ca="1"/>
        <v>294</v>
      </c>
    </row>
  </sheetData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D825-A017-064C-BA51-31C280F65842}">
  <dimension ref="A1:C13"/>
  <sheetViews>
    <sheetView zoomScale="178" zoomScaleNormal="100" workbookViewId="0">
      <selection sqref="A1:C13"/>
    </sheetView>
  </sheetViews>
  <sheetFormatPr baseColWidth="10" defaultRowHeight="16" x14ac:dyDescent="0.2"/>
  <sheetData>
    <row r="1" spans="1:3" x14ac:dyDescent="0.2">
      <c r="B1" t="s">
        <v>19</v>
      </c>
      <c r="C1" t="s">
        <v>20</v>
      </c>
    </row>
    <row r="2" spans="1:3" x14ac:dyDescent="0.2">
      <c r="A2" t="s">
        <v>4</v>
      </c>
      <c r="B2" cm="1">
        <f t="array" aca="1" ref="B2:B13" ca="1">_xlfn.RANDARRAY(12,1,100,500,TRUE)</f>
        <v>451</v>
      </c>
      <c r="C2" cm="1">
        <f t="array" aca="1" ref="C2:C13" ca="1">_xlfn.RANDARRAY(12,1,100,500,TRUE)</f>
        <v>441</v>
      </c>
    </row>
    <row r="3" spans="1:3" x14ac:dyDescent="0.2">
      <c r="A3" t="s">
        <v>5</v>
      </c>
      <c r="B3">
        <f ca="1"/>
        <v>313</v>
      </c>
      <c r="C3">
        <f ca="1"/>
        <v>263</v>
      </c>
    </row>
    <row r="4" spans="1:3" x14ac:dyDescent="0.2">
      <c r="A4" t="s">
        <v>6</v>
      </c>
      <c r="B4">
        <f ca="1"/>
        <v>286</v>
      </c>
      <c r="C4">
        <f ca="1"/>
        <v>115</v>
      </c>
    </row>
    <row r="5" spans="1:3" x14ac:dyDescent="0.2">
      <c r="A5" t="s">
        <v>7</v>
      </c>
      <c r="B5">
        <f ca="1"/>
        <v>278</v>
      </c>
      <c r="C5">
        <f ca="1"/>
        <v>148</v>
      </c>
    </row>
    <row r="6" spans="1:3" x14ac:dyDescent="0.2">
      <c r="A6" t="s">
        <v>8</v>
      </c>
      <c r="B6">
        <f ca="1"/>
        <v>286</v>
      </c>
      <c r="C6">
        <f ca="1"/>
        <v>498</v>
      </c>
    </row>
    <row r="7" spans="1:3" x14ac:dyDescent="0.2">
      <c r="A7" t="s">
        <v>9</v>
      </c>
      <c r="B7">
        <f ca="1"/>
        <v>404</v>
      </c>
      <c r="C7">
        <f ca="1"/>
        <v>111</v>
      </c>
    </row>
    <row r="8" spans="1:3" x14ac:dyDescent="0.2">
      <c r="A8" t="s">
        <v>10</v>
      </c>
      <c r="B8">
        <f ca="1"/>
        <v>144</v>
      </c>
      <c r="C8">
        <f ca="1"/>
        <v>350</v>
      </c>
    </row>
    <row r="9" spans="1:3" x14ac:dyDescent="0.2">
      <c r="A9" t="s">
        <v>11</v>
      </c>
      <c r="B9">
        <f ca="1"/>
        <v>424</v>
      </c>
      <c r="C9">
        <f ca="1"/>
        <v>445</v>
      </c>
    </row>
    <row r="10" spans="1:3" x14ac:dyDescent="0.2">
      <c r="A10" t="s">
        <v>12</v>
      </c>
      <c r="B10">
        <f ca="1"/>
        <v>180</v>
      </c>
      <c r="C10">
        <f ca="1"/>
        <v>215</v>
      </c>
    </row>
    <row r="11" spans="1:3" x14ac:dyDescent="0.2">
      <c r="A11" t="s">
        <v>13</v>
      </c>
      <c r="B11">
        <f ca="1"/>
        <v>415</v>
      </c>
      <c r="C11">
        <f ca="1"/>
        <v>481</v>
      </c>
    </row>
    <row r="12" spans="1:3" x14ac:dyDescent="0.2">
      <c r="A12" t="s">
        <v>14</v>
      </c>
      <c r="B12">
        <f ca="1"/>
        <v>411</v>
      </c>
      <c r="C12">
        <f ca="1"/>
        <v>316</v>
      </c>
    </row>
    <row r="13" spans="1:3" x14ac:dyDescent="0.2">
      <c r="A13" t="s">
        <v>15</v>
      </c>
      <c r="B13">
        <f ca="1"/>
        <v>458</v>
      </c>
      <c r="C13">
        <f ca="1"/>
        <v>127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1C69C-C366-E64C-ABE8-F4C1CCC7FA36}">
  <dimension ref="A1:L24"/>
  <sheetViews>
    <sheetView zoomScale="136" workbookViewId="0">
      <selection activeCell="D13" sqref="D13"/>
    </sheetView>
  </sheetViews>
  <sheetFormatPr baseColWidth="10" defaultRowHeight="16" x14ac:dyDescent="0.2"/>
  <sheetData>
    <row r="1" spans="1:12" x14ac:dyDescent="0.2">
      <c r="A1" s="2"/>
      <c r="B1" s="2" t="s">
        <v>19</v>
      </c>
      <c r="C1" s="2" t="s">
        <v>20</v>
      </c>
    </row>
    <row r="2" spans="1:12" x14ac:dyDescent="0.2">
      <c r="A2" s="2" t="s">
        <v>4</v>
      </c>
      <c r="B2" s="2">
        <v>163</v>
      </c>
      <c r="C2" s="2">
        <v>491</v>
      </c>
    </row>
    <row r="3" spans="1:12" x14ac:dyDescent="0.2">
      <c r="A3" s="2" t="s">
        <v>5</v>
      </c>
      <c r="B3" s="2">
        <v>165</v>
      </c>
      <c r="C3" s="2">
        <v>481</v>
      </c>
    </row>
    <row r="4" spans="1:12" x14ac:dyDescent="0.2">
      <c r="A4" s="2" t="s">
        <v>6</v>
      </c>
      <c r="B4" s="2">
        <v>499</v>
      </c>
      <c r="C4" s="2">
        <v>488</v>
      </c>
    </row>
    <row r="5" spans="1:12" x14ac:dyDescent="0.2">
      <c r="A5" s="2" t="s">
        <v>7</v>
      </c>
      <c r="B5" s="2">
        <v>349</v>
      </c>
      <c r="C5" s="2">
        <v>374</v>
      </c>
      <c r="L5">
        <f>CORREL(B2:B13,C2:C13)</f>
        <v>0.21605027541798258</v>
      </c>
    </row>
    <row r="6" spans="1:12" x14ac:dyDescent="0.2">
      <c r="A6" s="2" t="s">
        <v>8</v>
      </c>
      <c r="B6" s="2">
        <v>218</v>
      </c>
      <c r="C6" s="2">
        <v>254</v>
      </c>
    </row>
    <row r="7" spans="1:12" x14ac:dyDescent="0.2">
      <c r="A7" s="2" t="s">
        <v>9</v>
      </c>
      <c r="B7" s="2">
        <v>109</v>
      </c>
      <c r="C7" s="2">
        <v>394</v>
      </c>
    </row>
    <row r="8" spans="1:12" x14ac:dyDescent="0.2">
      <c r="A8" s="2" t="s">
        <v>10</v>
      </c>
      <c r="B8" s="2">
        <v>492</v>
      </c>
      <c r="C8" s="2">
        <v>486</v>
      </c>
    </row>
    <row r="9" spans="1:12" x14ac:dyDescent="0.2">
      <c r="A9" s="2" t="s">
        <v>11</v>
      </c>
      <c r="B9" s="2">
        <v>322</v>
      </c>
      <c r="C9" s="2">
        <v>213</v>
      </c>
    </row>
    <row r="10" spans="1:12" x14ac:dyDescent="0.2">
      <c r="A10" s="2" t="s">
        <v>12</v>
      </c>
      <c r="B10" s="2">
        <v>400</v>
      </c>
      <c r="C10" s="2">
        <v>491</v>
      </c>
    </row>
    <row r="11" spans="1:12" x14ac:dyDescent="0.2">
      <c r="A11" s="2" t="s">
        <v>13</v>
      </c>
      <c r="B11" s="2">
        <v>257</v>
      </c>
      <c r="C11" s="2">
        <v>104</v>
      </c>
    </row>
    <row r="12" spans="1:12" x14ac:dyDescent="0.2">
      <c r="A12" s="2" t="s">
        <v>14</v>
      </c>
      <c r="B12" s="2">
        <v>464</v>
      </c>
      <c r="C12" s="2">
        <v>410</v>
      </c>
    </row>
    <row r="13" spans="1:12" x14ac:dyDescent="0.2">
      <c r="A13" s="2" t="s">
        <v>15</v>
      </c>
      <c r="B13" s="2">
        <v>414</v>
      </c>
      <c r="C13" s="2">
        <v>349</v>
      </c>
    </row>
    <row r="19" spans="2:3" x14ac:dyDescent="0.2">
      <c r="B19" t="s">
        <v>21</v>
      </c>
      <c r="C19" t="s">
        <v>22</v>
      </c>
    </row>
    <row r="20" spans="2:3" x14ac:dyDescent="0.2">
      <c r="B20">
        <v>1</v>
      </c>
      <c r="C20">
        <f ca="1">2*B20+7 + RANDBETWEEN(-2,2)</f>
        <v>11</v>
      </c>
    </row>
    <row r="21" spans="2:3" x14ac:dyDescent="0.2">
      <c r="B21">
        <v>2</v>
      </c>
      <c r="C21">
        <f t="shared" ref="C21:C24" ca="1" si="0">2*B21+7 + RANDBETWEEN(-2,2)</f>
        <v>9</v>
      </c>
    </row>
    <row r="22" spans="2:3" x14ac:dyDescent="0.2">
      <c r="B22">
        <v>3</v>
      </c>
      <c r="C22">
        <f t="shared" ca="1" si="0"/>
        <v>12</v>
      </c>
    </row>
    <row r="23" spans="2:3" x14ac:dyDescent="0.2">
      <c r="B23">
        <v>4</v>
      </c>
      <c r="C23">
        <f t="shared" ca="1" si="0"/>
        <v>14</v>
      </c>
    </row>
    <row r="24" spans="2:3" x14ac:dyDescent="0.2">
      <c r="B24">
        <v>5</v>
      </c>
      <c r="C24">
        <f t="shared" ca="1" si="0"/>
        <v>19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95797-5278-6040-9B46-E44475BBC04C}">
  <dimension ref="A1:I16"/>
  <sheetViews>
    <sheetView tabSelected="1" topLeftCell="A20" zoomScale="125" workbookViewId="0">
      <selection activeCell="M36" sqref="M36"/>
    </sheetView>
  </sheetViews>
  <sheetFormatPr baseColWidth="10" defaultRowHeight="16" x14ac:dyDescent="0.2"/>
  <sheetData>
    <row r="1" spans="1:9" x14ac:dyDescent="0.2">
      <c r="A1" s="3" t="s">
        <v>23</v>
      </c>
      <c r="B1" s="3" t="s">
        <v>24</v>
      </c>
      <c r="C1" s="3" t="s">
        <v>25</v>
      </c>
      <c r="D1" s="3" t="s">
        <v>26</v>
      </c>
    </row>
    <row r="2" spans="1:9" x14ac:dyDescent="0.2">
      <c r="A2" s="3" t="s">
        <v>27</v>
      </c>
      <c r="B2" s="3">
        <v>63</v>
      </c>
      <c r="C2" s="3">
        <v>53</v>
      </c>
      <c r="D2" s="3">
        <v>45</v>
      </c>
    </row>
    <row r="3" spans="1:9" x14ac:dyDescent="0.2">
      <c r="A3" s="3" t="s">
        <v>28</v>
      </c>
      <c r="B3" s="3">
        <v>61</v>
      </c>
      <c r="C3" s="3">
        <v>55</v>
      </c>
      <c r="D3" s="3">
        <v>65</v>
      </c>
    </row>
    <row r="4" spans="1:9" x14ac:dyDescent="0.2">
      <c r="A4" s="3" t="s">
        <v>27</v>
      </c>
      <c r="B4" s="3">
        <v>63</v>
      </c>
      <c r="C4" s="3">
        <v>50</v>
      </c>
      <c r="D4" s="3">
        <v>65</v>
      </c>
    </row>
    <row r="5" spans="1:9" x14ac:dyDescent="0.2">
      <c r="A5" s="3" t="s">
        <v>29</v>
      </c>
      <c r="B5" s="3">
        <v>62</v>
      </c>
      <c r="C5" s="3">
        <v>51</v>
      </c>
      <c r="D5" s="3">
        <v>64</v>
      </c>
      <c r="F5" t="str" cm="1">
        <f t="array" ref="F5:I12">_xlfn._xlws.FILTER(A2:D16,A2:A16="English")</f>
        <v>English</v>
      </c>
      <c r="G5">
        <v>63</v>
      </c>
      <c r="H5">
        <v>53</v>
      </c>
      <c r="I5">
        <v>45</v>
      </c>
    </row>
    <row r="6" spans="1:9" x14ac:dyDescent="0.2">
      <c r="A6" s="3" t="s">
        <v>27</v>
      </c>
      <c r="B6" s="3">
        <v>46</v>
      </c>
      <c r="C6" s="3">
        <v>53</v>
      </c>
      <c r="D6" s="3">
        <v>66</v>
      </c>
      <c r="F6" t="str">
        <v>English</v>
      </c>
      <c r="G6">
        <v>63</v>
      </c>
      <c r="H6">
        <v>50</v>
      </c>
      <c r="I6">
        <v>65</v>
      </c>
    </row>
    <row r="7" spans="1:9" x14ac:dyDescent="0.2">
      <c r="A7" s="3" t="s">
        <v>27</v>
      </c>
      <c r="B7" s="3">
        <v>58</v>
      </c>
      <c r="C7" s="3">
        <v>56</v>
      </c>
      <c r="D7" s="3">
        <v>67</v>
      </c>
      <c r="F7" t="str">
        <v>English</v>
      </c>
      <c r="G7">
        <v>46</v>
      </c>
      <c r="H7">
        <v>53</v>
      </c>
      <c r="I7">
        <v>66</v>
      </c>
    </row>
    <row r="8" spans="1:9" x14ac:dyDescent="0.2">
      <c r="A8" s="3" t="s">
        <v>29</v>
      </c>
      <c r="B8" s="3">
        <v>60</v>
      </c>
      <c r="C8" s="3">
        <v>51</v>
      </c>
      <c r="D8" s="3">
        <v>67</v>
      </c>
      <c r="F8" t="str">
        <v>English</v>
      </c>
      <c r="G8">
        <v>58</v>
      </c>
      <c r="H8">
        <v>56</v>
      </c>
      <c r="I8">
        <v>67</v>
      </c>
    </row>
    <row r="9" spans="1:9" x14ac:dyDescent="0.2">
      <c r="A9" s="3" t="s">
        <v>29</v>
      </c>
      <c r="B9" s="3">
        <v>62</v>
      </c>
      <c r="C9" s="3">
        <v>53</v>
      </c>
      <c r="D9" s="3">
        <v>66</v>
      </c>
      <c r="F9" t="str">
        <v>English</v>
      </c>
      <c r="G9">
        <v>63</v>
      </c>
      <c r="H9">
        <v>54</v>
      </c>
      <c r="I9">
        <v>64</v>
      </c>
    </row>
    <row r="10" spans="1:9" x14ac:dyDescent="0.2">
      <c r="A10" s="3" t="s">
        <v>27</v>
      </c>
      <c r="B10" s="3">
        <v>63</v>
      </c>
      <c r="C10" s="3">
        <v>54</v>
      </c>
      <c r="D10" s="3">
        <v>64</v>
      </c>
      <c r="F10" t="str">
        <v>English</v>
      </c>
      <c r="G10">
        <v>63</v>
      </c>
      <c r="H10">
        <v>52</v>
      </c>
      <c r="I10">
        <v>67</v>
      </c>
    </row>
    <row r="11" spans="1:9" x14ac:dyDescent="0.2">
      <c r="A11" s="3" t="s">
        <v>27</v>
      </c>
      <c r="B11" s="3">
        <v>63</v>
      </c>
      <c r="C11" s="3">
        <v>52</v>
      </c>
      <c r="D11" s="3">
        <v>67</v>
      </c>
      <c r="F11" t="str">
        <v>English</v>
      </c>
      <c r="G11">
        <v>60</v>
      </c>
      <c r="H11">
        <v>56</v>
      </c>
      <c r="I11">
        <v>67</v>
      </c>
    </row>
    <row r="12" spans="1:9" x14ac:dyDescent="0.2">
      <c r="A12" s="3" t="s">
        <v>28</v>
      </c>
      <c r="B12" s="3">
        <v>60</v>
      </c>
      <c r="C12" s="3">
        <v>56</v>
      </c>
      <c r="D12" s="3">
        <v>64</v>
      </c>
      <c r="F12" t="str">
        <v>English</v>
      </c>
      <c r="G12">
        <v>59</v>
      </c>
      <c r="H12">
        <v>54</v>
      </c>
      <c r="I12">
        <v>65</v>
      </c>
    </row>
    <row r="13" spans="1:9" x14ac:dyDescent="0.2">
      <c r="A13" s="3" t="s">
        <v>27</v>
      </c>
      <c r="B13" s="3">
        <v>60</v>
      </c>
      <c r="C13" s="3">
        <v>56</v>
      </c>
      <c r="D13" s="3">
        <v>67</v>
      </c>
    </row>
    <row r="14" spans="1:9" x14ac:dyDescent="0.2">
      <c r="A14" s="3" t="s">
        <v>29</v>
      </c>
      <c r="B14" s="3">
        <v>61</v>
      </c>
      <c r="C14" s="3">
        <v>56</v>
      </c>
      <c r="D14" s="3">
        <v>45</v>
      </c>
    </row>
    <row r="15" spans="1:9" x14ac:dyDescent="0.2">
      <c r="A15" s="3" t="s">
        <v>29</v>
      </c>
      <c r="B15" s="3">
        <v>63</v>
      </c>
      <c r="C15" s="3">
        <v>58</v>
      </c>
      <c r="D15" s="3">
        <v>64</v>
      </c>
    </row>
    <row r="16" spans="1:9" x14ac:dyDescent="0.2">
      <c r="A16" s="3" t="s">
        <v>27</v>
      </c>
      <c r="B16" s="3">
        <v>59</v>
      </c>
      <c r="C16" s="3">
        <v>54</v>
      </c>
      <c r="D16" s="3">
        <v>65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6F55D-51C2-AF41-82FC-A0943828F29E}">
  <dimension ref="A1:B26"/>
  <sheetViews>
    <sheetView workbookViewId="0">
      <selection activeCell="N10" sqref="N10"/>
    </sheetView>
  </sheetViews>
  <sheetFormatPr baseColWidth="10" defaultRowHeight="16" x14ac:dyDescent="0.2"/>
  <cols>
    <col min="1" max="1" width="27.6640625" bestFit="1" customWidth="1"/>
    <col min="2" max="2" width="14.1640625" bestFit="1" customWidth="1"/>
  </cols>
  <sheetData>
    <row r="1" spans="1:2" x14ac:dyDescent="0.2">
      <c r="A1" s="4" t="s">
        <v>30</v>
      </c>
      <c r="B1" s="5" t="s">
        <v>31</v>
      </c>
    </row>
    <row r="2" spans="1:2" x14ac:dyDescent="0.2">
      <c r="A2" s="6" t="s">
        <v>32</v>
      </c>
      <c r="B2" s="7">
        <v>82</v>
      </c>
    </row>
    <row r="3" spans="1:2" x14ac:dyDescent="0.2">
      <c r="A3" s="6" t="s">
        <v>33</v>
      </c>
      <c r="B3" s="7">
        <v>50</v>
      </c>
    </row>
    <row r="4" spans="1:2" x14ac:dyDescent="0.2">
      <c r="A4" s="6" t="s">
        <v>34</v>
      </c>
      <c r="B4" s="7">
        <v>72</v>
      </c>
    </row>
    <row r="5" spans="1:2" x14ac:dyDescent="0.2">
      <c r="A5" s="6" t="s">
        <v>32</v>
      </c>
      <c r="B5" s="7">
        <v>79</v>
      </c>
    </row>
    <row r="6" spans="1:2" x14ac:dyDescent="0.2">
      <c r="A6" s="6" t="s">
        <v>33</v>
      </c>
      <c r="B6" s="7">
        <v>76</v>
      </c>
    </row>
    <row r="7" spans="1:2" x14ac:dyDescent="0.2">
      <c r="A7" s="6" t="s">
        <v>32</v>
      </c>
      <c r="B7" s="7">
        <v>100</v>
      </c>
    </row>
    <row r="8" spans="1:2" x14ac:dyDescent="0.2">
      <c r="A8" s="6" t="s">
        <v>35</v>
      </c>
      <c r="B8" s="7">
        <v>74</v>
      </c>
    </row>
    <row r="9" spans="1:2" x14ac:dyDescent="0.2">
      <c r="A9" s="6" t="s">
        <v>35</v>
      </c>
      <c r="B9" s="7">
        <v>82</v>
      </c>
    </row>
    <row r="10" spans="1:2" x14ac:dyDescent="0.2">
      <c r="A10" s="6" t="s">
        <v>32</v>
      </c>
      <c r="B10" s="7">
        <v>98</v>
      </c>
    </row>
    <row r="11" spans="1:2" x14ac:dyDescent="0.2">
      <c r="A11" s="6" t="s">
        <v>36</v>
      </c>
      <c r="B11" s="7">
        <v>66</v>
      </c>
    </row>
    <row r="12" spans="1:2" x14ac:dyDescent="0.2">
      <c r="A12" s="6" t="s">
        <v>32</v>
      </c>
      <c r="B12" s="7">
        <v>71</v>
      </c>
    </row>
    <row r="13" spans="1:2" x14ac:dyDescent="0.2">
      <c r="A13" s="6" t="s">
        <v>33</v>
      </c>
      <c r="B13" s="7">
        <v>85</v>
      </c>
    </row>
    <row r="14" spans="1:2" x14ac:dyDescent="0.2">
      <c r="A14" s="6" t="s">
        <v>33</v>
      </c>
      <c r="B14" s="7">
        <v>93</v>
      </c>
    </row>
    <row r="15" spans="1:2" x14ac:dyDescent="0.2">
      <c r="A15" s="6" t="s">
        <v>35</v>
      </c>
      <c r="B15" s="7">
        <v>93</v>
      </c>
    </row>
    <row r="16" spans="1:2" x14ac:dyDescent="0.2">
      <c r="A16" s="6" t="s">
        <v>34</v>
      </c>
      <c r="B16" s="7">
        <v>71</v>
      </c>
    </row>
    <row r="17" spans="1:2" x14ac:dyDescent="0.2">
      <c r="A17" s="6" t="s">
        <v>37</v>
      </c>
      <c r="B17" s="7">
        <v>56</v>
      </c>
    </row>
    <row r="18" spans="1:2" x14ac:dyDescent="0.2">
      <c r="A18" s="6" t="s">
        <v>36</v>
      </c>
      <c r="B18" s="7">
        <v>81</v>
      </c>
    </row>
    <row r="19" spans="1:2" x14ac:dyDescent="0.2">
      <c r="A19" s="6" t="s">
        <v>33</v>
      </c>
      <c r="B19" s="7">
        <v>85</v>
      </c>
    </row>
    <row r="20" spans="1:2" x14ac:dyDescent="0.2">
      <c r="A20" s="6" t="s">
        <v>34</v>
      </c>
      <c r="B20" s="7">
        <v>76</v>
      </c>
    </row>
    <row r="21" spans="1:2" x14ac:dyDescent="0.2">
      <c r="A21" s="6" t="s">
        <v>33</v>
      </c>
      <c r="B21" s="7">
        <v>62</v>
      </c>
    </row>
    <row r="22" spans="1:2" x14ac:dyDescent="0.2">
      <c r="A22" s="6" t="s">
        <v>32</v>
      </c>
      <c r="B22" s="7">
        <v>61</v>
      </c>
    </row>
    <row r="23" spans="1:2" x14ac:dyDescent="0.2">
      <c r="A23" s="6" t="s">
        <v>33</v>
      </c>
      <c r="B23" s="7">
        <v>85</v>
      </c>
    </row>
    <row r="24" spans="1:2" x14ac:dyDescent="0.2">
      <c r="A24" s="6" t="s">
        <v>33</v>
      </c>
      <c r="B24" s="7">
        <v>98</v>
      </c>
    </row>
    <row r="25" spans="1:2" x14ac:dyDescent="0.2">
      <c r="A25" s="6" t="s">
        <v>35</v>
      </c>
      <c r="B25" s="7">
        <v>51</v>
      </c>
    </row>
    <row r="26" spans="1:2" x14ac:dyDescent="0.2">
      <c r="A26" s="6" t="s">
        <v>33</v>
      </c>
      <c r="B26" s="7">
        <v>70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11F38-9463-4B48-A625-D28638618E4D}">
  <dimension ref="A1:B20"/>
  <sheetViews>
    <sheetView zoomScale="150" workbookViewId="0">
      <selection activeCell="M19" sqref="M19"/>
    </sheetView>
  </sheetViews>
  <sheetFormatPr baseColWidth="10" defaultRowHeight="16" x14ac:dyDescent="0.2"/>
  <cols>
    <col min="1" max="1" width="20" customWidth="1"/>
  </cols>
  <sheetData>
    <row r="1" spans="1:2" x14ac:dyDescent="0.2">
      <c r="A1" s="8" t="s">
        <v>38</v>
      </c>
      <c r="B1" s="9" t="s">
        <v>39</v>
      </c>
    </row>
    <row r="2" spans="1:2" x14ac:dyDescent="0.2">
      <c r="A2" s="10">
        <f ca="1">TODAY()</f>
        <v>46044</v>
      </c>
      <c r="B2" s="11">
        <v>8409</v>
      </c>
    </row>
    <row r="3" spans="1:2" x14ac:dyDescent="0.2">
      <c r="A3" s="10">
        <v>46045</v>
      </c>
      <c r="B3" s="11">
        <v>5443</v>
      </c>
    </row>
    <row r="4" spans="1:2" x14ac:dyDescent="0.2">
      <c r="A4" s="10">
        <v>46046</v>
      </c>
      <c r="B4" s="11">
        <v>-62</v>
      </c>
    </row>
    <row r="5" spans="1:2" x14ac:dyDescent="0.2">
      <c r="A5" s="10">
        <v>46047</v>
      </c>
      <c r="B5" s="11">
        <v>2493</v>
      </c>
    </row>
    <row r="6" spans="1:2" x14ac:dyDescent="0.2">
      <c r="A6" s="10">
        <v>46048</v>
      </c>
      <c r="B6" s="11">
        <v>9824</v>
      </c>
    </row>
    <row r="7" spans="1:2" x14ac:dyDescent="0.2">
      <c r="A7" s="10">
        <v>46049</v>
      </c>
      <c r="B7" s="11">
        <v>941</v>
      </c>
    </row>
    <row r="8" spans="1:2" x14ac:dyDescent="0.2">
      <c r="A8" s="10">
        <v>46050</v>
      </c>
      <c r="B8" s="11">
        <v>-3916</v>
      </c>
    </row>
    <row r="9" spans="1:2" x14ac:dyDescent="0.2">
      <c r="A9" s="10">
        <v>46051</v>
      </c>
      <c r="B9" s="11">
        <v>5230</v>
      </c>
    </row>
    <row r="10" spans="1:2" x14ac:dyDescent="0.2">
      <c r="A10" s="10">
        <v>46052</v>
      </c>
      <c r="B10" s="11">
        <v>1354</v>
      </c>
    </row>
    <row r="11" spans="1:2" x14ac:dyDescent="0.2">
      <c r="A11" s="10">
        <v>46053</v>
      </c>
      <c r="B11" s="11">
        <v>8767</v>
      </c>
    </row>
    <row r="12" spans="1:2" x14ac:dyDescent="0.2">
      <c r="A12" s="10">
        <v>46054</v>
      </c>
      <c r="B12" s="11">
        <v>-277</v>
      </c>
    </row>
    <row r="13" spans="1:2" x14ac:dyDescent="0.2">
      <c r="A13" s="10">
        <v>46055</v>
      </c>
      <c r="B13" s="11">
        <v>1264</v>
      </c>
    </row>
    <row r="14" spans="1:2" x14ac:dyDescent="0.2">
      <c r="A14" s="10">
        <v>46056</v>
      </c>
      <c r="B14" s="11">
        <v>9349</v>
      </c>
    </row>
    <row r="15" spans="1:2" x14ac:dyDescent="0.2">
      <c r="A15" s="10">
        <v>46057</v>
      </c>
      <c r="B15" s="11">
        <v>3448</v>
      </c>
    </row>
    <row r="16" spans="1:2" x14ac:dyDescent="0.2">
      <c r="A16" s="10">
        <v>46058</v>
      </c>
      <c r="B16" s="11">
        <v>-772</v>
      </c>
    </row>
    <row r="17" spans="1:2" x14ac:dyDescent="0.2">
      <c r="A17" s="10">
        <v>46059</v>
      </c>
      <c r="B17" s="11">
        <v>4945</v>
      </c>
    </row>
    <row r="18" spans="1:2" x14ac:dyDescent="0.2">
      <c r="A18" s="10">
        <v>46060</v>
      </c>
      <c r="B18" s="11">
        <v>-1099</v>
      </c>
    </row>
    <row r="19" spans="1:2" x14ac:dyDescent="0.2">
      <c r="A19" s="10">
        <v>46061</v>
      </c>
      <c r="B19" s="11">
        <v>-1110</v>
      </c>
    </row>
    <row r="20" spans="1:2" x14ac:dyDescent="0.2">
      <c r="A20" s="10">
        <v>46062</v>
      </c>
      <c r="B20" s="11">
        <v>6538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AF54F-70ED-6F40-9239-55C3951376DA}">
  <dimension ref="A1:D19"/>
  <sheetViews>
    <sheetView workbookViewId="0">
      <selection activeCell="E7" sqref="E7"/>
    </sheetView>
  </sheetViews>
  <sheetFormatPr baseColWidth="10" defaultRowHeight="16" x14ac:dyDescent="0.2"/>
  <sheetData>
    <row r="1" spans="1:4" x14ac:dyDescent="0.2">
      <c r="A1" s="2" t="s">
        <v>40</v>
      </c>
      <c r="B1" s="2" t="s">
        <v>41</v>
      </c>
      <c r="C1" s="2" t="s">
        <v>42</v>
      </c>
      <c r="D1" s="2" t="s">
        <v>43</v>
      </c>
    </row>
    <row r="2" spans="1:4" x14ac:dyDescent="0.2">
      <c r="A2" s="3" t="s">
        <v>44</v>
      </c>
      <c r="B2" s="3" t="s">
        <v>4</v>
      </c>
      <c r="C2" s="1"/>
      <c r="D2" s="3">
        <v>3.5</v>
      </c>
    </row>
    <row r="3" spans="1:4" x14ac:dyDescent="0.2">
      <c r="A3" s="1"/>
      <c r="B3" s="3" t="s">
        <v>5</v>
      </c>
      <c r="C3" s="3" t="s">
        <v>45</v>
      </c>
      <c r="D3" s="3">
        <v>1.2</v>
      </c>
    </row>
    <row r="4" spans="1:4" x14ac:dyDescent="0.2">
      <c r="A4" s="1"/>
      <c r="B4" s="1"/>
      <c r="C4" s="3" t="s">
        <v>46</v>
      </c>
      <c r="D4" s="3">
        <v>0.8</v>
      </c>
    </row>
    <row r="5" spans="1:4" x14ac:dyDescent="0.2">
      <c r="A5" s="1"/>
      <c r="B5" s="1"/>
      <c r="C5" s="3" t="s">
        <v>47</v>
      </c>
      <c r="D5" s="3">
        <v>0.6</v>
      </c>
    </row>
    <row r="6" spans="1:4" x14ac:dyDescent="0.2">
      <c r="A6" s="1"/>
      <c r="B6" s="1"/>
      <c r="C6" s="3" t="s">
        <v>48</v>
      </c>
      <c r="D6" s="3">
        <v>0.5</v>
      </c>
    </row>
    <row r="7" spans="1:4" x14ac:dyDescent="0.2">
      <c r="A7" s="1"/>
      <c r="B7" s="3" t="s">
        <v>6</v>
      </c>
      <c r="C7" s="1"/>
      <c r="D7" s="3">
        <v>1.7</v>
      </c>
    </row>
    <row r="8" spans="1:4" x14ac:dyDescent="0.2">
      <c r="A8" s="3" t="s">
        <v>49</v>
      </c>
      <c r="B8" s="3" t="s">
        <v>7</v>
      </c>
      <c r="C8" s="1"/>
      <c r="D8" s="3">
        <v>2.1</v>
      </c>
    </row>
    <row r="9" spans="1:4" x14ac:dyDescent="0.2">
      <c r="A9" s="1"/>
      <c r="B9" s="3" t="s">
        <v>8</v>
      </c>
      <c r="C9" s="1"/>
      <c r="D9" s="3">
        <v>0.8</v>
      </c>
    </row>
    <row r="10" spans="1:4" x14ac:dyDescent="0.2">
      <c r="A10" s="1"/>
      <c r="B10" s="3" t="s">
        <v>9</v>
      </c>
      <c r="C10" s="1"/>
      <c r="D10" s="3">
        <v>0.3</v>
      </c>
    </row>
    <row r="11" spans="1:4" x14ac:dyDescent="0.2">
      <c r="A11" s="3" t="s">
        <v>50</v>
      </c>
      <c r="B11" s="3" t="s">
        <v>51</v>
      </c>
      <c r="C11" s="1"/>
      <c r="D11" s="3">
        <v>0.7</v>
      </c>
    </row>
    <row r="12" spans="1:4" x14ac:dyDescent="0.2">
      <c r="A12" s="1"/>
      <c r="B12" s="3" t="s">
        <v>11</v>
      </c>
      <c r="C12" s="1"/>
      <c r="D12" s="3">
        <v>0.6</v>
      </c>
    </row>
    <row r="13" spans="1:4" x14ac:dyDescent="0.2">
      <c r="A13" s="1"/>
      <c r="B13" s="3" t="s">
        <v>12</v>
      </c>
      <c r="C13" s="1"/>
      <c r="D13" s="3">
        <v>0.1</v>
      </c>
    </row>
    <row r="14" spans="1:4" x14ac:dyDescent="0.2">
      <c r="A14" s="3" t="s">
        <v>52</v>
      </c>
      <c r="B14" s="3" t="s">
        <v>13</v>
      </c>
      <c r="C14" s="1"/>
      <c r="D14" s="3">
        <v>0.5</v>
      </c>
    </row>
    <row r="15" spans="1:4" x14ac:dyDescent="0.2">
      <c r="A15" s="1"/>
      <c r="B15" s="3" t="s">
        <v>14</v>
      </c>
      <c r="C15" s="1"/>
      <c r="D15" s="3">
        <v>0.4</v>
      </c>
    </row>
    <row r="16" spans="1:4" x14ac:dyDescent="0.2">
      <c r="A16" s="1"/>
      <c r="B16" s="3" t="s">
        <v>15</v>
      </c>
      <c r="C16" s="3" t="s">
        <v>45</v>
      </c>
      <c r="D16" s="3">
        <v>1.5</v>
      </c>
    </row>
    <row r="17" spans="1:4" x14ac:dyDescent="0.2">
      <c r="A17" s="2"/>
      <c r="B17" s="2"/>
      <c r="C17" s="3" t="s">
        <v>46</v>
      </c>
      <c r="D17" s="3">
        <v>1.8</v>
      </c>
    </row>
    <row r="18" spans="1:4" x14ac:dyDescent="0.2">
      <c r="A18" s="2"/>
      <c r="B18" s="2"/>
      <c r="C18" s="3" t="s">
        <v>47</v>
      </c>
      <c r="D18" s="3">
        <v>0.2</v>
      </c>
    </row>
    <row r="19" spans="1:4" x14ac:dyDescent="0.2">
      <c r="A19" s="2"/>
      <c r="B19" s="2"/>
      <c r="C19" s="3" t="s">
        <v>48</v>
      </c>
      <c r="D19" s="3">
        <v>0.3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653DF-77E1-7342-9C1E-155724363C1E}">
  <dimension ref="A1:G4"/>
  <sheetViews>
    <sheetView workbookViewId="0">
      <selection sqref="A1:G4"/>
    </sheetView>
  </sheetViews>
  <sheetFormatPr baseColWidth="10" defaultRowHeight="16" x14ac:dyDescent="0.2"/>
  <sheetData>
    <row r="1" spans="1:7" x14ac:dyDescent="0.2">
      <c r="A1" s="3" t="s">
        <v>53</v>
      </c>
      <c r="B1" s="12" t="s">
        <v>54</v>
      </c>
      <c r="C1" s="12" t="s">
        <v>55</v>
      </c>
      <c r="D1" s="12" t="s">
        <v>56</v>
      </c>
      <c r="E1" s="12" t="s">
        <v>57</v>
      </c>
      <c r="F1" s="12" t="s">
        <v>58</v>
      </c>
      <c r="G1" s="12" t="s">
        <v>59</v>
      </c>
    </row>
    <row r="2" spans="1:7" x14ac:dyDescent="0.2">
      <c r="A2" s="13" t="s">
        <v>60</v>
      </c>
      <c r="B2" s="3">
        <v>36</v>
      </c>
      <c r="C2" s="3">
        <v>49</v>
      </c>
      <c r="D2" s="3">
        <v>20</v>
      </c>
      <c r="E2" s="3">
        <v>65</v>
      </c>
      <c r="F2" s="3">
        <v>65</v>
      </c>
      <c r="G2" s="3">
        <v>45</v>
      </c>
    </row>
    <row r="3" spans="1:7" x14ac:dyDescent="0.2">
      <c r="A3" s="13" t="s">
        <v>61</v>
      </c>
      <c r="B3" s="3">
        <v>39</v>
      </c>
      <c r="C3" s="3">
        <v>52</v>
      </c>
      <c r="D3" s="3">
        <v>43</v>
      </c>
      <c r="E3" s="3">
        <v>60</v>
      </c>
      <c r="F3" s="3">
        <v>50</v>
      </c>
      <c r="G3" s="3">
        <v>65</v>
      </c>
    </row>
    <row r="4" spans="1:7" x14ac:dyDescent="0.2">
      <c r="A4" s="13" t="s">
        <v>62</v>
      </c>
      <c r="B4" s="3">
        <v>44</v>
      </c>
      <c r="C4" s="3">
        <v>48</v>
      </c>
      <c r="D4" s="3">
        <v>65</v>
      </c>
      <c r="E4" s="3">
        <v>50</v>
      </c>
      <c r="F4" s="3">
        <v>64</v>
      </c>
      <c r="G4" s="3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BDEF2-F9E0-5048-A8C4-F0E6AC71E657}">
  <dimension ref="A1:C76"/>
  <sheetViews>
    <sheetView workbookViewId="0">
      <selection activeCell="J6" sqref="J6"/>
    </sheetView>
  </sheetViews>
  <sheetFormatPr baseColWidth="10" defaultRowHeight="16" x14ac:dyDescent="0.2"/>
  <cols>
    <col min="1" max="1" width="30" bestFit="1" customWidth="1"/>
    <col min="2" max="2" width="29.1640625" bestFit="1" customWidth="1"/>
    <col min="3" max="3" width="14" bestFit="1" customWidth="1"/>
  </cols>
  <sheetData>
    <row r="1" spans="1:3" x14ac:dyDescent="0.2">
      <c r="A1" s="16" t="s">
        <v>30</v>
      </c>
      <c r="B1" s="16" t="s">
        <v>70</v>
      </c>
      <c r="C1" s="16" t="s">
        <v>71</v>
      </c>
    </row>
    <row r="2" spans="1:3" x14ac:dyDescent="0.2">
      <c r="A2" s="17" t="s">
        <v>35</v>
      </c>
      <c r="B2" s="17" t="s">
        <v>72</v>
      </c>
      <c r="C2" s="18">
        <v>2920025.64</v>
      </c>
    </row>
    <row r="3" spans="1:3" x14ac:dyDescent="0.2">
      <c r="A3" s="17" t="s">
        <v>35</v>
      </c>
      <c r="B3" s="17" t="s">
        <v>73</v>
      </c>
      <c r="C3" s="18">
        <v>51008.75</v>
      </c>
    </row>
    <row r="4" spans="1:3" x14ac:dyDescent="0.2">
      <c r="A4" s="17" t="s">
        <v>35</v>
      </c>
      <c r="B4" s="17" t="s">
        <v>74</v>
      </c>
      <c r="C4" s="18">
        <v>1003700.9</v>
      </c>
    </row>
    <row r="5" spans="1:3" x14ac:dyDescent="0.2">
      <c r="A5" s="17" t="s">
        <v>35</v>
      </c>
      <c r="B5" s="17" t="s">
        <v>75</v>
      </c>
      <c r="C5" s="18">
        <v>5134318.41</v>
      </c>
    </row>
    <row r="6" spans="1:3" x14ac:dyDescent="0.2">
      <c r="A6" s="17" t="s">
        <v>35</v>
      </c>
      <c r="B6" s="17" t="s">
        <v>76</v>
      </c>
      <c r="C6" s="18">
        <v>165647.95000000001</v>
      </c>
    </row>
    <row r="7" spans="1:3" x14ac:dyDescent="0.2">
      <c r="A7" s="17" t="s">
        <v>35</v>
      </c>
      <c r="B7" s="17" t="s">
        <v>77</v>
      </c>
      <c r="C7" s="18">
        <v>468806</v>
      </c>
    </row>
    <row r="8" spans="1:3" x14ac:dyDescent="0.2">
      <c r="A8" s="17" t="s">
        <v>35</v>
      </c>
      <c r="B8" s="17" t="s">
        <v>78</v>
      </c>
      <c r="C8" s="18">
        <v>743339.5</v>
      </c>
    </row>
    <row r="9" spans="1:3" x14ac:dyDescent="0.2">
      <c r="A9" s="17" t="s">
        <v>35</v>
      </c>
      <c r="B9" s="17" t="s">
        <v>79</v>
      </c>
      <c r="C9" s="18">
        <v>850082.4</v>
      </c>
    </row>
    <row r="10" spans="1:3" x14ac:dyDescent="0.2">
      <c r="A10" s="17" t="s">
        <v>37</v>
      </c>
      <c r="B10" s="17" t="s">
        <v>80</v>
      </c>
      <c r="C10" s="18">
        <v>1025614.59</v>
      </c>
    </row>
    <row r="11" spans="1:3" x14ac:dyDescent="0.2">
      <c r="A11" s="17" t="s">
        <v>37</v>
      </c>
      <c r="B11" s="17" t="s">
        <v>81</v>
      </c>
      <c r="C11" s="18">
        <v>4035548.37</v>
      </c>
    </row>
    <row r="12" spans="1:3" x14ac:dyDescent="0.2">
      <c r="A12" s="17" t="s">
        <v>37</v>
      </c>
      <c r="B12" s="17" t="s">
        <v>82</v>
      </c>
      <c r="C12" s="18">
        <v>148926.79999999999</v>
      </c>
    </row>
    <row r="13" spans="1:3" x14ac:dyDescent="0.2">
      <c r="A13" s="17" t="s">
        <v>37</v>
      </c>
      <c r="B13" s="17" t="s">
        <v>83</v>
      </c>
      <c r="C13" s="18">
        <v>2334535.6</v>
      </c>
    </row>
    <row r="14" spans="1:3" x14ac:dyDescent="0.2">
      <c r="A14" s="17" t="s">
        <v>36</v>
      </c>
      <c r="B14" s="17" t="s">
        <v>84</v>
      </c>
      <c r="C14" s="18">
        <v>4309707.78</v>
      </c>
    </row>
    <row r="15" spans="1:3" x14ac:dyDescent="0.2">
      <c r="A15" s="17" t="s">
        <v>36</v>
      </c>
      <c r="B15" s="17" t="s">
        <v>85</v>
      </c>
      <c r="C15" s="18">
        <v>3567225.26</v>
      </c>
    </row>
    <row r="16" spans="1:3" x14ac:dyDescent="0.2">
      <c r="A16" s="17" t="s">
        <v>36</v>
      </c>
      <c r="B16" s="17" t="s">
        <v>86</v>
      </c>
      <c r="C16" s="18">
        <v>1041110.56</v>
      </c>
    </row>
    <row r="17" spans="1:3" x14ac:dyDescent="0.2">
      <c r="A17" s="17" t="s">
        <v>36</v>
      </c>
      <c r="B17" s="17" t="s">
        <v>87</v>
      </c>
      <c r="C17" s="18">
        <v>67287.78</v>
      </c>
    </row>
    <row r="18" spans="1:3" x14ac:dyDescent="0.2">
      <c r="A18" s="17" t="s">
        <v>36</v>
      </c>
      <c r="B18" s="17" t="s">
        <v>88</v>
      </c>
      <c r="C18" s="18">
        <v>64769.25</v>
      </c>
    </row>
    <row r="19" spans="1:3" x14ac:dyDescent="0.2">
      <c r="A19" s="17" t="s">
        <v>36</v>
      </c>
      <c r="B19" s="17" t="s">
        <v>89</v>
      </c>
      <c r="C19" s="18">
        <v>124176.65</v>
      </c>
    </row>
    <row r="20" spans="1:3" x14ac:dyDescent="0.2">
      <c r="A20" s="17" t="s">
        <v>36</v>
      </c>
      <c r="B20" s="17" t="s">
        <v>90</v>
      </c>
      <c r="C20" s="18">
        <v>534922.85</v>
      </c>
    </row>
    <row r="21" spans="1:3" x14ac:dyDescent="0.2">
      <c r="A21" s="17" t="s">
        <v>36</v>
      </c>
      <c r="B21" s="17" t="s">
        <v>91</v>
      </c>
      <c r="C21" s="18">
        <v>386027.4</v>
      </c>
    </row>
    <row r="22" spans="1:3" x14ac:dyDescent="0.2">
      <c r="A22" s="17" t="s">
        <v>36</v>
      </c>
      <c r="B22" s="17" t="s">
        <v>92</v>
      </c>
      <c r="C22" s="18">
        <v>866967.6</v>
      </c>
    </row>
    <row r="23" spans="1:3" x14ac:dyDescent="0.2">
      <c r="A23" s="17" t="s">
        <v>33</v>
      </c>
      <c r="B23" s="17" t="s">
        <v>93</v>
      </c>
      <c r="C23" s="18">
        <v>2178297.4500000002</v>
      </c>
    </row>
    <row r="24" spans="1:3" x14ac:dyDescent="0.2">
      <c r="A24" s="17" t="s">
        <v>33</v>
      </c>
      <c r="B24" s="17" t="s">
        <v>94</v>
      </c>
      <c r="C24" s="18">
        <v>1081944.78</v>
      </c>
    </row>
    <row r="25" spans="1:3" x14ac:dyDescent="0.2">
      <c r="A25" s="17" t="s">
        <v>33</v>
      </c>
      <c r="B25" s="17" t="s">
        <v>95</v>
      </c>
      <c r="C25" s="18">
        <v>316970</v>
      </c>
    </row>
    <row r="26" spans="1:3" x14ac:dyDescent="0.2">
      <c r="A26" s="17" t="s">
        <v>33</v>
      </c>
      <c r="B26" s="17" t="s">
        <v>96</v>
      </c>
      <c r="C26" s="18">
        <v>1596431.76</v>
      </c>
    </row>
    <row r="27" spans="1:3" x14ac:dyDescent="0.2">
      <c r="A27" s="17" t="s">
        <v>33</v>
      </c>
      <c r="B27" s="17" t="s">
        <v>97</v>
      </c>
      <c r="C27" s="18">
        <v>436760.1</v>
      </c>
    </row>
    <row r="28" spans="1:3" x14ac:dyDescent="0.2">
      <c r="A28" s="17" t="s">
        <v>33</v>
      </c>
      <c r="B28" s="17" t="s">
        <v>98</v>
      </c>
      <c r="C28" s="18">
        <v>707806.56</v>
      </c>
    </row>
    <row r="29" spans="1:3" x14ac:dyDescent="0.2">
      <c r="A29" s="17" t="s">
        <v>33</v>
      </c>
      <c r="B29" s="17" t="s">
        <v>99</v>
      </c>
      <c r="C29" s="18">
        <v>86539.92</v>
      </c>
    </row>
    <row r="30" spans="1:3" x14ac:dyDescent="0.2">
      <c r="A30" s="17" t="s">
        <v>33</v>
      </c>
      <c r="B30" s="17" t="s">
        <v>100</v>
      </c>
      <c r="C30" s="18">
        <v>531748.24</v>
      </c>
    </row>
    <row r="31" spans="1:3" x14ac:dyDescent="0.2">
      <c r="A31" s="17" t="s">
        <v>33</v>
      </c>
      <c r="B31" s="17" t="s">
        <v>101</v>
      </c>
      <c r="C31" s="18">
        <v>303727.45</v>
      </c>
    </row>
    <row r="32" spans="1:3" x14ac:dyDescent="0.2">
      <c r="A32" s="17" t="s">
        <v>33</v>
      </c>
      <c r="B32" s="17" t="s">
        <v>102</v>
      </c>
      <c r="C32" s="18">
        <v>10419.36</v>
      </c>
    </row>
    <row r="33" spans="1:3" x14ac:dyDescent="0.2">
      <c r="A33" s="17" t="s">
        <v>33</v>
      </c>
      <c r="B33" s="17" t="s">
        <v>103</v>
      </c>
      <c r="C33" s="18">
        <v>546283.31999999995</v>
      </c>
    </row>
    <row r="34" spans="1:3" x14ac:dyDescent="0.2">
      <c r="A34" s="17" t="s">
        <v>33</v>
      </c>
      <c r="B34" s="17" t="s">
        <v>104</v>
      </c>
      <c r="C34" s="18">
        <v>559318.48</v>
      </c>
    </row>
    <row r="35" spans="1:3" x14ac:dyDescent="0.2">
      <c r="A35" s="17" t="s">
        <v>33</v>
      </c>
      <c r="B35" s="17" t="s">
        <v>105</v>
      </c>
      <c r="C35" s="18">
        <v>1440923.18</v>
      </c>
    </row>
    <row r="36" spans="1:3" x14ac:dyDescent="0.2">
      <c r="A36" s="17" t="s">
        <v>33</v>
      </c>
      <c r="B36" s="17" t="s">
        <v>106</v>
      </c>
      <c r="C36" s="18">
        <v>28176.6</v>
      </c>
    </row>
    <row r="37" spans="1:3" x14ac:dyDescent="0.2">
      <c r="A37" s="17" t="s">
        <v>33</v>
      </c>
      <c r="B37" s="17" t="s">
        <v>107</v>
      </c>
      <c r="C37" s="18">
        <v>2217478.4</v>
      </c>
    </row>
    <row r="38" spans="1:3" x14ac:dyDescent="0.2">
      <c r="A38" s="17" t="s">
        <v>33</v>
      </c>
      <c r="B38" s="17" t="s">
        <v>108</v>
      </c>
      <c r="C38" s="18">
        <v>769896.6</v>
      </c>
    </row>
    <row r="39" spans="1:3" x14ac:dyDescent="0.2">
      <c r="A39" s="17" t="s">
        <v>33</v>
      </c>
      <c r="B39" s="17" t="s">
        <v>109</v>
      </c>
      <c r="C39" s="18">
        <v>332387.25</v>
      </c>
    </row>
    <row r="40" spans="1:3" x14ac:dyDescent="0.2">
      <c r="A40" s="17" t="s">
        <v>33</v>
      </c>
      <c r="B40" s="17" t="s">
        <v>110</v>
      </c>
      <c r="C40" s="18">
        <v>7491.99</v>
      </c>
    </row>
    <row r="41" spans="1:3" x14ac:dyDescent="0.2">
      <c r="A41" s="17" t="s">
        <v>33</v>
      </c>
      <c r="B41" s="17" t="s">
        <v>111</v>
      </c>
      <c r="C41" s="18">
        <v>208308.48000000001</v>
      </c>
    </row>
    <row r="42" spans="1:3" x14ac:dyDescent="0.2">
      <c r="A42" s="17" t="s">
        <v>33</v>
      </c>
      <c r="B42" s="17" t="s">
        <v>112</v>
      </c>
      <c r="C42" s="18">
        <v>1868373.1</v>
      </c>
    </row>
    <row r="43" spans="1:3" x14ac:dyDescent="0.2">
      <c r="A43" s="17" t="s">
        <v>33</v>
      </c>
      <c r="B43" s="17" t="s">
        <v>113</v>
      </c>
      <c r="C43" s="18">
        <v>510337.6</v>
      </c>
    </row>
    <row r="44" spans="1:3" x14ac:dyDescent="0.2">
      <c r="A44" s="17" t="s">
        <v>33</v>
      </c>
      <c r="B44" s="17" t="s">
        <v>114</v>
      </c>
      <c r="C44" s="18">
        <v>948004</v>
      </c>
    </row>
    <row r="45" spans="1:3" x14ac:dyDescent="0.2">
      <c r="A45" s="17" t="s">
        <v>33</v>
      </c>
      <c r="B45" s="17" t="s">
        <v>115</v>
      </c>
      <c r="C45" s="18">
        <v>4034918.8</v>
      </c>
    </row>
    <row r="46" spans="1:3" x14ac:dyDescent="0.2">
      <c r="A46" s="17" t="s">
        <v>33</v>
      </c>
      <c r="B46" s="17" t="s">
        <v>116</v>
      </c>
      <c r="C46" s="18">
        <v>4339077.1100000003</v>
      </c>
    </row>
    <row r="47" spans="1:3" x14ac:dyDescent="0.2">
      <c r="A47" s="17" t="s">
        <v>33</v>
      </c>
      <c r="B47" s="17" t="s">
        <v>117</v>
      </c>
      <c r="C47" s="18">
        <v>1575456.3</v>
      </c>
    </row>
    <row r="48" spans="1:3" x14ac:dyDescent="0.2">
      <c r="A48" s="17" t="s">
        <v>33</v>
      </c>
      <c r="B48" s="17" t="s">
        <v>118</v>
      </c>
      <c r="C48" s="18">
        <v>497796</v>
      </c>
    </row>
    <row r="49" spans="1:3" x14ac:dyDescent="0.2">
      <c r="A49" s="17" t="s">
        <v>33</v>
      </c>
      <c r="B49" s="17" t="s">
        <v>119</v>
      </c>
      <c r="C49" s="18">
        <v>1435439.44</v>
      </c>
    </row>
    <row r="50" spans="1:3" x14ac:dyDescent="0.2">
      <c r="A50" s="17" t="s">
        <v>33</v>
      </c>
      <c r="B50" s="17" t="s">
        <v>120</v>
      </c>
      <c r="C50" s="18">
        <v>569004.26</v>
      </c>
    </row>
    <row r="51" spans="1:3" x14ac:dyDescent="0.2">
      <c r="A51" s="17" t="s">
        <v>33</v>
      </c>
      <c r="B51" s="17" t="s">
        <v>121</v>
      </c>
      <c r="C51" s="18">
        <v>11989.05</v>
      </c>
    </row>
    <row r="52" spans="1:3" x14ac:dyDescent="0.2">
      <c r="A52" s="17" t="s">
        <v>34</v>
      </c>
      <c r="B52" s="17" t="s">
        <v>122</v>
      </c>
      <c r="C52" s="18">
        <v>2597405.2000000002</v>
      </c>
    </row>
    <row r="53" spans="1:3" x14ac:dyDescent="0.2">
      <c r="A53" s="17" t="s">
        <v>34</v>
      </c>
      <c r="B53" s="17" t="s">
        <v>123</v>
      </c>
      <c r="C53" s="18">
        <v>580276.80000000005</v>
      </c>
    </row>
    <row r="54" spans="1:3" x14ac:dyDescent="0.2">
      <c r="A54" s="17" t="s">
        <v>34</v>
      </c>
      <c r="B54" s="17" t="s">
        <v>124</v>
      </c>
      <c r="C54" s="18">
        <v>1193471.3999999999</v>
      </c>
    </row>
    <row r="55" spans="1:3" x14ac:dyDescent="0.2">
      <c r="A55" s="17" t="s">
        <v>34</v>
      </c>
      <c r="B55" s="17" t="s">
        <v>125</v>
      </c>
      <c r="C55" s="18">
        <v>132645.66</v>
      </c>
    </row>
    <row r="56" spans="1:3" x14ac:dyDescent="0.2">
      <c r="A56" s="17" t="s">
        <v>34</v>
      </c>
      <c r="B56" s="17" t="s">
        <v>126</v>
      </c>
      <c r="C56" s="18">
        <v>3880560.39</v>
      </c>
    </row>
    <row r="57" spans="1:3" x14ac:dyDescent="0.2">
      <c r="A57" s="17" t="s">
        <v>34</v>
      </c>
      <c r="B57" s="17" t="s">
        <v>127</v>
      </c>
      <c r="C57" s="18">
        <v>1520069.67</v>
      </c>
    </row>
    <row r="58" spans="1:3" x14ac:dyDescent="0.2">
      <c r="A58" s="17" t="s">
        <v>34</v>
      </c>
      <c r="B58" s="17" t="s">
        <v>128</v>
      </c>
      <c r="C58" s="18">
        <v>77690.91</v>
      </c>
    </row>
    <row r="59" spans="1:3" x14ac:dyDescent="0.2">
      <c r="A59" s="17" t="s">
        <v>34</v>
      </c>
      <c r="B59" s="17" t="s">
        <v>129</v>
      </c>
      <c r="C59" s="18">
        <v>138859.26999999999</v>
      </c>
    </row>
    <row r="60" spans="1:3" x14ac:dyDescent="0.2">
      <c r="A60" s="17" t="s">
        <v>34</v>
      </c>
      <c r="B60" s="17" t="s">
        <v>130</v>
      </c>
      <c r="C60" s="18">
        <v>1505312.6</v>
      </c>
    </row>
    <row r="61" spans="1:3" x14ac:dyDescent="0.2">
      <c r="A61" s="17" t="s">
        <v>131</v>
      </c>
      <c r="B61" s="17" t="s">
        <v>132</v>
      </c>
      <c r="C61" s="18">
        <v>3880560.39</v>
      </c>
    </row>
    <row r="62" spans="1:3" x14ac:dyDescent="0.2">
      <c r="A62" s="17" t="s">
        <v>32</v>
      </c>
      <c r="B62" s="17" t="s">
        <v>133</v>
      </c>
      <c r="C62" s="18">
        <v>6413116.0800000001</v>
      </c>
    </row>
    <row r="63" spans="1:3" x14ac:dyDescent="0.2">
      <c r="A63" s="17" t="s">
        <v>32</v>
      </c>
      <c r="B63" s="17" t="s">
        <v>134</v>
      </c>
      <c r="C63" s="18">
        <v>85014.96</v>
      </c>
    </row>
    <row r="64" spans="1:3" x14ac:dyDescent="0.2">
      <c r="A64" s="17" t="s">
        <v>32</v>
      </c>
      <c r="B64" s="17" t="s">
        <v>135</v>
      </c>
      <c r="C64" s="18">
        <v>821139.8</v>
      </c>
    </row>
    <row r="65" spans="1:3" x14ac:dyDescent="0.2">
      <c r="A65" s="17" t="s">
        <v>32</v>
      </c>
      <c r="B65" s="17" t="s">
        <v>136</v>
      </c>
      <c r="C65" s="18">
        <v>3172760.4</v>
      </c>
    </row>
    <row r="66" spans="1:3" x14ac:dyDescent="0.2">
      <c r="A66" s="17" t="s">
        <v>32</v>
      </c>
      <c r="B66" s="17" t="s">
        <v>137</v>
      </c>
      <c r="C66" s="18">
        <v>866349.24</v>
      </c>
    </row>
    <row r="67" spans="1:3" x14ac:dyDescent="0.2">
      <c r="A67" s="17" t="s">
        <v>32</v>
      </c>
      <c r="B67" s="17" t="s">
        <v>138</v>
      </c>
      <c r="C67" s="18">
        <v>687512.76</v>
      </c>
    </row>
    <row r="68" spans="1:3" x14ac:dyDescent="0.2">
      <c r="A68" s="17" t="s">
        <v>32</v>
      </c>
      <c r="B68" s="17" t="s">
        <v>139</v>
      </c>
      <c r="C68" s="18">
        <v>3455971.47</v>
      </c>
    </row>
    <row r="69" spans="1:3" x14ac:dyDescent="0.2">
      <c r="A69" s="17" t="s">
        <v>32</v>
      </c>
      <c r="B69" s="17" t="s">
        <v>140</v>
      </c>
      <c r="C69" s="18">
        <v>1368189.27</v>
      </c>
    </row>
    <row r="70" spans="1:3" x14ac:dyDescent="0.2">
      <c r="A70" s="17" t="s">
        <v>32</v>
      </c>
      <c r="B70" s="17" t="s">
        <v>141</v>
      </c>
      <c r="C70" s="18">
        <v>92354.9</v>
      </c>
    </row>
    <row r="71" spans="1:3" x14ac:dyDescent="0.2">
      <c r="A71" s="17" t="s">
        <v>32</v>
      </c>
      <c r="B71" s="17" t="s">
        <v>142</v>
      </c>
      <c r="C71" s="18">
        <v>3282542.24</v>
      </c>
    </row>
    <row r="72" spans="1:3" x14ac:dyDescent="0.2">
      <c r="A72" s="17" t="s">
        <v>32</v>
      </c>
      <c r="B72" s="17" t="s">
        <v>143</v>
      </c>
      <c r="C72" s="18">
        <v>1080882.18</v>
      </c>
    </row>
    <row r="73" spans="1:3" x14ac:dyDescent="0.2">
      <c r="A73" s="17" t="s">
        <v>32</v>
      </c>
      <c r="B73" s="17" t="s">
        <v>144</v>
      </c>
      <c r="C73" s="18">
        <v>992699.52</v>
      </c>
    </row>
    <row r="74" spans="1:3" x14ac:dyDescent="0.2">
      <c r="A74" s="17" t="s">
        <v>32</v>
      </c>
      <c r="B74" s="17" t="s">
        <v>145</v>
      </c>
      <c r="C74" s="18">
        <v>387004.48</v>
      </c>
    </row>
    <row r="75" spans="1:3" x14ac:dyDescent="0.2">
      <c r="A75" s="17" t="s">
        <v>32</v>
      </c>
      <c r="B75" s="17" t="s">
        <v>146</v>
      </c>
      <c r="C75" s="18">
        <v>186193.8</v>
      </c>
    </row>
    <row r="76" spans="1:3" x14ac:dyDescent="0.2">
      <c r="A76" s="17" t="s">
        <v>32</v>
      </c>
      <c r="B76" s="17" t="s">
        <v>147</v>
      </c>
      <c r="C76" s="18">
        <v>263036.96000000002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2F3D7-B90D-CC4A-8D2A-95ADC54DB747}">
  <dimension ref="A1:M8"/>
  <sheetViews>
    <sheetView workbookViewId="0">
      <selection activeCell="K31" sqref="K31"/>
    </sheetView>
  </sheetViews>
  <sheetFormatPr baseColWidth="10" defaultRowHeight="16" x14ac:dyDescent="0.2"/>
  <cols>
    <col min="1" max="1" width="17.6640625" bestFit="1" customWidth="1"/>
  </cols>
  <sheetData>
    <row r="1" spans="1:13" x14ac:dyDescent="0.2">
      <c r="A1" s="1"/>
      <c r="B1" s="14" t="s">
        <v>4</v>
      </c>
      <c r="C1" s="14" t="s">
        <v>5</v>
      </c>
      <c r="D1" s="14" t="s">
        <v>6</v>
      </c>
      <c r="E1" s="14" t="s">
        <v>7</v>
      </c>
      <c r="F1" s="14" t="s">
        <v>8</v>
      </c>
      <c r="G1" s="14" t="s">
        <v>9</v>
      </c>
      <c r="H1" s="14" t="s">
        <v>10</v>
      </c>
      <c r="I1" s="14" t="s">
        <v>11</v>
      </c>
      <c r="J1" s="14" t="s">
        <v>12</v>
      </c>
      <c r="K1" s="14" t="s">
        <v>13</v>
      </c>
      <c r="L1" s="14" t="s">
        <v>14</v>
      </c>
      <c r="M1" s="14" t="s">
        <v>15</v>
      </c>
    </row>
    <row r="2" spans="1:13" x14ac:dyDescent="0.2">
      <c r="A2" s="14" t="s">
        <v>63</v>
      </c>
      <c r="B2" s="15">
        <v>982</v>
      </c>
      <c r="C2" s="15">
        <v>691</v>
      </c>
      <c r="D2" s="15">
        <v>776</v>
      </c>
      <c r="E2" s="15">
        <v>753</v>
      </c>
      <c r="F2" s="15">
        <v>746</v>
      </c>
      <c r="G2" s="15">
        <v>933</v>
      </c>
      <c r="H2" s="15">
        <v>856</v>
      </c>
      <c r="I2" s="15">
        <v>1031</v>
      </c>
      <c r="J2" s="15">
        <v>733</v>
      </c>
      <c r="K2" s="15">
        <v>797</v>
      </c>
      <c r="L2" s="15">
        <v>645</v>
      </c>
      <c r="M2" s="15">
        <v>663</v>
      </c>
    </row>
    <row r="3" spans="1:13" x14ac:dyDescent="0.2">
      <c r="A3" s="14" t="s">
        <v>64</v>
      </c>
      <c r="B3" s="15">
        <v>191</v>
      </c>
      <c r="C3" s="15">
        <v>116</v>
      </c>
      <c r="D3" s="15">
        <v>114</v>
      </c>
      <c r="E3" s="15">
        <v>139</v>
      </c>
      <c r="F3" s="15">
        <v>119</v>
      </c>
      <c r="G3" s="15">
        <v>161</v>
      </c>
      <c r="H3" s="15">
        <v>117</v>
      </c>
      <c r="I3" s="15">
        <v>172</v>
      </c>
      <c r="J3" s="15">
        <v>111</v>
      </c>
      <c r="K3" s="15">
        <v>95</v>
      </c>
      <c r="L3" s="15">
        <v>75</v>
      </c>
      <c r="M3" s="15">
        <v>74</v>
      </c>
    </row>
    <row r="4" spans="1:13" x14ac:dyDescent="0.2">
      <c r="A4" s="14" t="s">
        <v>65</v>
      </c>
      <c r="B4" s="15">
        <v>869</v>
      </c>
      <c r="C4" s="15">
        <v>620</v>
      </c>
      <c r="D4" s="15">
        <v>717</v>
      </c>
      <c r="E4" s="15">
        <v>653</v>
      </c>
      <c r="F4" s="15">
        <v>662</v>
      </c>
      <c r="G4" s="15">
        <v>806</v>
      </c>
      <c r="H4" s="15">
        <v>781</v>
      </c>
      <c r="I4" s="15">
        <v>965</v>
      </c>
      <c r="J4" s="15">
        <v>730</v>
      </c>
      <c r="K4" s="15">
        <v>655</v>
      </c>
      <c r="L4" s="15">
        <v>507</v>
      </c>
      <c r="M4" s="15">
        <v>530</v>
      </c>
    </row>
    <row r="5" spans="1:13" x14ac:dyDescent="0.2">
      <c r="A5" s="14" t="s">
        <v>66</v>
      </c>
      <c r="B5" s="15">
        <v>236</v>
      </c>
      <c r="C5" s="15">
        <v>165</v>
      </c>
      <c r="D5" s="15">
        <v>217</v>
      </c>
      <c r="E5" s="15">
        <v>146</v>
      </c>
      <c r="F5" s="15">
        <v>159</v>
      </c>
      <c r="G5" s="15">
        <v>205</v>
      </c>
      <c r="H5" s="15">
        <v>184</v>
      </c>
      <c r="I5" s="15">
        <v>234</v>
      </c>
      <c r="J5" s="15">
        <v>137</v>
      </c>
      <c r="K5" s="15">
        <v>124</v>
      </c>
      <c r="L5" s="15">
        <v>99</v>
      </c>
      <c r="M5" s="15">
        <v>103</v>
      </c>
    </row>
    <row r="6" spans="1:13" x14ac:dyDescent="0.2">
      <c r="A6" s="14" t="s">
        <v>67</v>
      </c>
      <c r="B6" s="15">
        <v>522</v>
      </c>
      <c r="C6" s="15">
        <v>590</v>
      </c>
      <c r="D6" s="15">
        <v>727</v>
      </c>
      <c r="E6" s="15">
        <v>515</v>
      </c>
      <c r="F6" s="15">
        <v>616</v>
      </c>
      <c r="G6" s="15">
        <v>711</v>
      </c>
      <c r="H6" s="15">
        <v>543</v>
      </c>
      <c r="I6" s="15">
        <v>671</v>
      </c>
      <c r="J6" s="15">
        <v>589</v>
      </c>
      <c r="K6" s="15">
        <v>522</v>
      </c>
      <c r="L6" s="15">
        <v>381</v>
      </c>
      <c r="M6" s="15">
        <v>396</v>
      </c>
    </row>
    <row r="7" spans="1:13" x14ac:dyDescent="0.2">
      <c r="A7" s="14" t="s">
        <v>68</v>
      </c>
      <c r="B7" s="15">
        <v>145</v>
      </c>
      <c r="C7" s="15">
        <v>175</v>
      </c>
      <c r="D7" s="15">
        <v>196</v>
      </c>
      <c r="E7" s="15">
        <v>167</v>
      </c>
      <c r="F7" s="15">
        <v>183</v>
      </c>
      <c r="G7" s="15">
        <v>228</v>
      </c>
      <c r="H7" s="15">
        <v>184</v>
      </c>
      <c r="I7" s="15">
        <v>242</v>
      </c>
      <c r="J7" s="15">
        <v>157</v>
      </c>
      <c r="K7" s="15">
        <v>140</v>
      </c>
      <c r="L7" s="15">
        <v>93</v>
      </c>
      <c r="M7" s="15">
        <v>104</v>
      </c>
    </row>
    <row r="8" spans="1:13" x14ac:dyDescent="0.2">
      <c r="A8" s="14" t="s">
        <v>69</v>
      </c>
      <c r="B8" s="14">
        <v>2945</v>
      </c>
      <c r="C8" s="14">
        <v>2357</v>
      </c>
      <c r="D8" s="14">
        <v>2747</v>
      </c>
      <c r="E8" s="14">
        <v>2373</v>
      </c>
      <c r="F8" s="14">
        <v>2485</v>
      </c>
      <c r="G8" s="14">
        <v>3044</v>
      </c>
      <c r="H8" s="14">
        <v>2665</v>
      </c>
      <c r="I8" s="14">
        <v>3315</v>
      </c>
      <c r="J8" s="14">
        <v>2457</v>
      </c>
      <c r="K8" s="14">
        <v>2333</v>
      </c>
      <c r="L8" s="14">
        <v>1800</v>
      </c>
      <c r="M8" s="14">
        <v>1870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0ABAB-EBE9-5842-B4B5-26868EBA5DD2}">
  <dimension ref="A1:D9995"/>
  <sheetViews>
    <sheetView zoomScale="137" workbookViewId="0">
      <selection activeCell="H11" sqref="H11"/>
    </sheetView>
  </sheetViews>
  <sheetFormatPr baseColWidth="10" defaultRowHeight="16" x14ac:dyDescent="0.2"/>
  <cols>
    <col min="1" max="1" width="17.5" bestFit="1" customWidth="1"/>
  </cols>
  <sheetData>
    <row r="1" spans="1:4" x14ac:dyDescent="0.2">
      <c r="A1" s="19" t="s">
        <v>148</v>
      </c>
      <c r="B1" s="19" t="s">
        <v>43</v>
      </c>
      <c r="C1" s="19" t="s">
        <v>197</v>
      </c>
      <c r="D1" s="19" t="s">
        <v>198</v>
      </c>
    </row>
    <row r="2" spans="1:4" x14ac:dyDescent="0.2">
      <c r="A2" s="19" t="s">
        <v>149</v>
      </c>
      <c r="B2" s="19">
        <v>261.95999999999998</v>
      </c>
      <c r="C2" s="19">
        <v>2</v>
      </c>
      <c r="D2" s="19">
        <v>41.913600000000002</v>
      </c>
    </row>
    <row r="3" spans="1:4" x14ac:dyDescent="0.2">
      <c r="A3" s="19" t="s">
        <v>149</v>
      </c>
      <c r="B3" s="19">
        <v>731.93999999999994</v>
      </c>
      <c r="C3" s="19">
        <v>3</v>
      </c>
      <c r="D3" s="19">
        <v>219.58199999999997</v>
      </c>
    </row>
    <row r="4" spans="1:4" x14ac:dyDescent="0.2">
      <c r="A4" s="19" t="s">
        <v>150</v>
      </c>
      <c r="B4" s="19">
        <v>14.62</v>
      </c>
      <c r="C4" s="19">
        <v>2</v>
      </c>
      <c r="D4" s="19">
        <v>6.8713999999999995</v>
      </c>
    </row>
    <row r="5" spans="1:4" x14ac:dyDescent="0.2">
      <c r="A5" s="19" t="s">
        <v>151</v>
      </c>
      <c r="B5" s="19">
        <v>957.57749999999999</v>
      </c>
      <c r="C5" s="19">
        <v>5</v>
      </c>
      <c r="D5" s="19">
        <v>-383.03100000000006</v>
      </c>
    </row>
    <row r="6" spans="1:4" x14ac:dyDescent="0.2">
      <c r="A6" s="19" t="s">
        <v>151</v>
      </c>
      <c r="B6" s="19">
        <v>22.368000000000002</v>
      </c>
      <c r="C6" s="19">
        <v>2</v>
      </c>
      <c r="D6" s="19">
        <v>2.5163999999999991</v>
      </c>
    </row>
    <row r="7" spans="1:4" x14ac:dyDescent="0.2">
      <c r="A7" s="19" t="s">
        <v>150</v>
      </c>
      <c r="B7" s="19">
        <v>48.86</v>
      </c>
      <c r="C7" s="19">
        <v>7</v>
      </c>
      <c r="D7" s="19">
        <v>14.169399999999996</v>
      </c>
    </row>
    <row r="8" spans="1:4" x14ac:dyDescent="0.2">
      <c r="A8" s="19" t="s">
        <v>150</v>
      </c>
      <c r="B8" s="19">
        <v>7.28</v>
      </c>
      <c r="C8" s="19">
        <v>4</v>
      </c>
      <c r="D8" s="19">
        <v>1.9656000000000002</v>
      </c>
    </row>
    <row r="9" spans="1:4" x14ac:dyDescent="0.2">
      <c r="A9" s="19" t="s">
        <v>150</v>
      </c>
      <c r="B9" s="19">
        <v>907.15200000000004</v>
      </c>
      <c r="C9" s="19">
        <v>6</v>
      </c>
      <c r="D9" s="19">
        <v>90.715200000000038</v>
      </c>
    </row>
    <row r="10" spans="1:4" x14ac:dyDescent="0.2">
      <c r="A10" s="19" t="s">
        <v>150</v>
      </c>
      <c r="B10" s="19">
        <v>18.504000000000001</v>
      </c>
      <c r="C10" s="19">
        <v>3</v>
      </c>
      <c r="D10" s="19">
        <v>5.7824999999999998</v>
      </c>
    </row>
    <row r="11" spans="1:4" x14ac:dyDescent="0.2">
      <c r="A11" s="19" t="s">
        <v>150</v>
      </c>
      <c r="B11" s="19">
        <v>114.9</v>
      </c>
      <c r="C11" s="19">
        <v>5</v>
      </c>
      <c r="D11" s="19">
        <v>34.469999999999992</v>
      </c>
    </row>
    <row r="12" spans="1:4" x14ac:dyDescent="0.2">
      <c r="A12" s="19" t="s">
        <v>150</v>
      </c>
      <c r="B12" s="19">
        <v>1706.1840000000002</v>
      </c>
      <c r="C12" s="19">
        <v>9</v>
      </c>
      <c r="D12" s="19">
        <v>85.309199999999805</v>
      </c>
    </row>
    <row r="13" spans="1:4" x14ac:dyDescent="0.2">
      <c r="A13" s="19" t="s">
        <v>150</v>
      </c>
      <c r="B13" s="19">
        <v>911.42399999999998</v>
      </c>
      <c r="C13" s="19">
        <v>4</v>
      </c>
      <c r="D13" s="19">
        <v>68.356800000000021</v>
      </c>
    </row>
    <row r="14" spans="1:4" x14ac:dyDescent="0.2">
      <c r="A14" s="19" t="s">
        <v>152</v>
      </c>
      <c r="B14" s="19">
        <v>15.552000000000003</v>
      </c>
      <c r="C14" s="19">
        <v>3</v>
      </c>
      <c r="D14" s="19">
        <v>5.4432</v>
      </c>
    </row>
    <row r="15" spans="1:4" x14ac:dyDescent="0.2">
      <c r="A15" s="19" t="s">
        <v>153</v>
      </c>
      <c r="B15" s="19">
        <v>407.97600000000006</v>
      </c>
      <c r="C15" s="19">
        <v>3</v>
      </c>
      <c r="D15" s="19">
        <v>132.59219999999993</v>
      </c>
    </row>
    <row r="16" spans="1:4" x14ac:dyDescent="0.2">
      <c r="A16" s="19" t="s">
        <v>154</v>
      </c>
      <c r="B16" s="19">
        <v>68.809999999999988</v>
      </c>
      <c r="C16" s="19">
        <v>5</v>
      </c>
      <c r="D16" s="19">
        <v>-123.858</v>
      </c>
    </row>
    <row r="17" spans="1:4" x14ac:dyDescent="0.2">
      <c r="A17" s="19" t="s">
        <v>154</v>
      </c>
      <c r="B17" s="19">
        <v>2.5439999999999996</v>
      </c>
      <c r="C17" s="19">
        <v>3</v>
      </c>
      <c r="D17" s="19">
        <v>-3.8160000000000016</v>
      </c>
    </row>
    <row r="18" spans="1:4" x14ac:dyDescent="0.2">
      <c r="A18" s="19" t="s">
        <v>155</v>
      </c>
      <c r="B18" s="19">
        <v>665.88</v>
      </c>
      <c r="C18" s="19">
        <v>6</v>
      </c>
      <c r="D18" s="19">
        <v>13.317599999999999</v>
      </c>
    </row>
    <row r="19" spans="1:4" x14ac:dyDescent="0.2">
      <c r="A19" s="19" t="s">
        <v>156</v>
      </c>
      <c r="B19" s="19">
        <v>55.5</v>
      </c>
      <c r="C19" s="19">
        <v>2</v>
      </c>
      <c r="D19" s="19">
        <v>9.9899999999999949</v>
      </c>
    </row>
    <row r="20" spans="1:4" x14ac:dyDescent="0.2">
      <c r="A20" s="19" t="s">
        <v>150</v>
      </c>
      <c r="B20" s="19">
        <v>8.56</v>
      </c>
      <c r="C20" s="19">
        <v>2</v>
      </c>
      <c r="D20" s="19">
        <v>2.4823999999999993</v>
      </c>
    </row>
    <row r="21" spans="1:4" x14ac:dyDescent="0.2">
      <c r="A21" s="19" t="s">
        <v>150</v>
      </c>
      <c r="B21" s="19">
        <v>213.48000000000002</v>
      </c>
      <c r="C21" s="19">
        <v>3</v>
      </c>
      <c r="D21" s="19">
        <v>16.010999999999981</v>
      </c>
    </row>
    <row r="22" spans="1:4" x14ac:dyDescent="0.2">
      <c r="A22" s="19" t="s">
        <v>150</v>
      </c>
      <c r="B22" s="19">
        <v>22.72</v>
      </c>
      <c r="C22" s="19">
        <v>4</v>
      </c>
      <c r="D22" s="19">
        <v>7.3839999999999986</v>
      </c>
    </row>
    <row r="23" spans="1:4" x14ac:dyDescent="0.2">
      <c r="A23" s="19" t="s">
        <v>157</v>
      </c>
      <c r="B23" s="19">
        <v>19.459999999999997</v>
      </c>
      <c r="C23" s="19">
        <v>7</v>
      </c>
      <c r="D23" s="19">
        <v>5.0595999999999997</v>
      </c>
    </row>
    <row r="24" spans="1:4" x14ac:dyDescent="0.2">
      <c r="A24" s="19" t="s">
        <v>157</v>
      </c>
      <c r="B24" s="19">
        <v>60.339999999999996</v>
      </c>
      <c r="C24" s="19">
        <v>7</v>
      </c>
      <c r="D24" s="19">
        <v>15.688400000000001</v>
      </c>
    </row>
    <row r="25" spans="1:4" x14ac:dyDescent="0.2">
      <c r="A25" s="19" t="s">
        <v>158</v>
      </c>
      <c r="B25" s="19">
        <v>71.371999999999986</v>
      </c>
      <c r="C25" s="19">
        <v>2</v>
      </c>
      <c r="D25" s="19">
        <v>-1.0196000000000005</v>
      </c>
    </row>
    <row r="26" spans="1:4" x14ac:dyDescent="0.2">
      <c r="A26" s="19" t="s">
        <v>156</v>
      </c>
      <c r="B26" s="19">
        <v>1044.6299999999999</v>
      </c>
      <c r="C26" s="19">
        <v>3</v>
      </c>
      <c r="D26" s="19">
        <v>240.26490000000001</v>
      </c>
    </row>
    <row r="27" spans="1:4" x14ac:dyDescent="0.2">
      <c r="A27" s="19" t="s">
        <v>150</v>
      </c>
      <c r="B27" s="19">
        <v>11.648000000000001</v>
      </c>
      <c r="C27" s="19">
        <v>2</v>
      </c>
      <c r="D27" s="19">
        <v>4.2224000000000004</v>
      </c>
    </row>
    <row r="28" spans="1:4" x14ac:dyDescent="0.2">
      <c r="A28" s="19" t="s">
        <v>150</v>
      </c>
      <c r="B28" s="19">
        <v>90.570000000000007</v>
      </c>
      <c r="C28" s="19">
        <v>3</v>
      </c>
      <c r="D28" s="19">
        <v>11.774100000000004</v>
      </c>
    </row>
    <row r="29" spans="1:4" x14ac:dyDescent="0.2">
      <c r="A29" s="19" t="s">
        <v>158</v>
      </c>
      <c r="B29" s="19">
        <v>3083.4300000000003</v>
      </c>
      <c r="C29" s="19">
        <v>7</v>
      </c>
      <c r="D29" s="19">
        <v>-1665.0522000000001</v>
      </c>
    </row>
    <row r="30" spans="1:4" x14ac:dyDescent="0.2">
      <c r="A30" s="19" t="s">
        <v>158</v>
      </c>
      <c r="B30" s="19">
        <v>9.6180000000000021</v>
      </c>
      <c r="C30" s="19">
        <v>2</v>
      </c>
      <c r="D30" s="19">
        <v>-7.0532000000000004</v>
      </c>
    </row>
    <row r="31" spans="1:4" x14ac:dyDescent="0.2">
      <c r="A31" s="19" t="s">
        <v>158</v>
      </c>
      <c r="B31" s="19">
        <v>124.20000000000002</v>
      </c>
      <c r="C31" s="19">
        <v>3</v>
      </c>
      <c r="D31" s="19">
        <v>15.524999999999991</v>
      </c>
    </row>
    <row r="32" spans="1:4" x14ac:dyDescent="0.2">
      <c r="A32" s="19" t="s">
        <v>158</v>
      </c>
      <c r="B32" s="19">
        <v>3.2640000000000002</v>
      </c>
      <c r="C32" s="19">
        <v>2</v>
      </c>
      <c r="D32" s="19">
        <v>1.1015999999999997</v>
      </c>
    </row>
    <row r="33" spans="1:4" x14ac:dyDescent="0.2">
      <c r="A33" s="19" t="s">
        <v>158</v>
      </c>
      <c r="B33" s="19">
        <v>86.304000000000002</v>
      </c>
      <c r="C33" s="19">
        <v>6</v>
      </c>
      <c r="D33" s="19">
        <v>9.7091999999999885</v>
      </c>
    </row>
    <row r="34" spans="1:4" x14ac:dyDescent="0.2">
      <c r="A34" s="19" t="s">
        <v>158</v>
      </c>
      <c r="B34" s="19">
        <v>6.8580000000000014</v>
      </c>
      <c r="C34" s="19">
        <v>6</v>
      </c>
      <c r="D34" s="19">
        <v>-5.7149999999999999</v>
      </c>
    </row>
    <row r="35" spans="1:4" x14ac:dyDescent="0.2">
      <c r="A35" s="19" t="s">
        <v>158</v>
      </c>
      <c r="B35" s="19">
        <v>15.76</v>
      </c>
      <c r="C35" s="19">
        <v>2</v>
      </c>
      <c r="D35" s="19">
        <v>3.5460000000000007</v>
      </c>
    </row>
    <row r="36" spans="1:4" x14ac:dyDescent="0.2">
      <c r="A36" s="19" t="s">
        <v>154</v>
      </c>
      <c r="B36" s="19">
        <v>29.472000000000001</v>
      </c>
      <c r="C36" s="19">
        <v>3</v>
      </c>
      <c r="D36" s="19">
        <v>9.9467999999999979</v>
      </c>
    </row>
    <row r="37" spans="1:4" x14ac:dyDescent="0.2">
      <c r="A37" s="19" t="s">
        <v>154</v>
      </c>
      <c r="B37" s="19">
        <v>1097.5440000000003</v>
      </c>
      <c r="C37" s="19">
        <v>7</v>
      </c>
      <c r="D37" s="19">
        <v>123.47369999999989</v>
      </c>
    </row>
    <row r="38" spans="1:4" x14ac:dyDescent="0.2">
      <c r="A38" s="19" t="s">
        <v>154</v>
      </c>
      <c r="B38" s="19">
        <v>190.92</v>
      </c>
      <c r="C38" s="19">
        <v>5</v>
      </c>
      <c r="D38" s="19">
        <v>-147.96300000000002</v>
      </c>
    </row>
    <row r="39" spans="1:4" x14ac:dyDescent="0.2">
      <c r="A39" s="19" t="s">
        <v>154</v>
      </c>
      <c r="B39" s="19">
        <v>113.328</v>
      </c>
      <c r="C39" s="19">
        <v>9</v>
      </c>
      <c r="D39" s="19">
        <v>35.414999999999999</v>
      </c>
    </row>
    <row r="40" spans="1:4" x14ac:dyDescent="0.2">
      <c r="A40" s="19" t="s">
        <v>154</v>
      </c>
      <c r="B40" s="19">
        <v>532.39919999999995</v>
      </c>
      <c r="C40" s="19">
        <v>3</v>
      </c>
      <c r="D40" s="19">
        <v>-46.976400000000012</v>
      </c>
    </row>
    <row r="41" spans="1:4" x14ac:dyDescent="0.2">
      <c r="A41" s="19" t="s">
        <v>154</v>
      </c>
      <c r="B41" s="19">
        <v>212.05799999999999</v>
      </c>
      <c r="C41" s="19">
        <v>3</v>
      </c>
      <c r="D41" s="19">
        <v>-15.146999999999991</v>
      </c>
    </row>
    <row r="42" spans="1:4" x14ac:dyDescent="0.2">
      <c r="A42" s="19" t="s">
        <v>154</v>
      </c>
      <c r="B42" s="19">
        <v>371.16800000000001</v>
      </c>
      <c r="C42" s="19">
        <v>4</v>
      </c>
      <c r="D42" s="19">
        <v>41.756399999999957</v>
      </c>
    </row>
    <row r="43" spans="1:4" x14ac:dyDescent="0.2">
      <c r="A43" s="19" t="s">
        <v>159</v>
      </c>
      <c r="B43" s="19">
        <v>147.16800000000001</v>
      </c>
      <c r="C43" s="19">
        <v>4</v>
      </c>
      <c r="D43" s="19">
        <v>16.556399999999996</v>
      </c>
    </row>
    <row r="44" spans="1:4" x14ac:dyDescent="0.2">
      <c r="A44" s="19" t="s">
        <v>150</v>
      </c>
      <c r="B44" s="19">
        <v>77.88</v>
      </c>
      <c r="C44" s="19">
        <v>2</v>
      </c>
      <c r="D44" s="19">
        <v>3.8939999999999912</v>
      </c>
    </row>
    <row r="45" spans="1:4" x14ac:dyDescent="0.2">
      <c r="A45" s="19" t="s">
        <v>151</v>
      </c>
      <c r="B45" s="19">
        <v>95.616</v>
      </c>
      <c r="C45" s="19">
        <v>2</v>
      </c>
      <c r="D45" s="19">
        <v>9.5616000000000092</v>
      </c>
    </row>
    <row r="46" spans="1:4" x14ac:dyDescent="0.2">
      <c r="A46" s="19" t="s">
        <v>160</v>
      </c>
      <c r="B46" s="19">
        <v>45.98</v>
      </c>
      <c r="C46" s="19">
        <v>2</v>
      </c>
      <c r="D46" s="19">
        <v>19.7714</v>
      </c>
    </row>
    <row r="47" spans="1:4" x14ac:dyDescent="0.2">
      <c r="A47" s="19" t="s">
        <v>160</v>
      </c>
      <c r="B47" s="19">
        <v>17.46</v>
      </c>
      <c r="C47" s="19">
        <v>2</v>
      </c>
      <c r="D47" s="19">
        <v>8.2061999999999991</v>
      </c>
    </row>
    <row r="48" spans="1:4" x14ac:dyDescent="0.2">
      <c r="A48" s="19" t="s">
        <v>161</v>
      </c>
      <c r="B48" s="19">
        <v>211.96</v>
      </c>
      <c r="C48" s="19">
        <v>4</v>
      </c>
      <c r="D48" s="19">
        <v>8.4783999999999935</v>
      </c>
    </row>
    <row r="49" spans="1:4" x14ac:dyDescent="0.2">
      <c r="A49" s="19" t="s">
        <v>162</v>
      </c>
      <c r="B49" s="19">
        <v>45</v>
      </c>
      <c r="C49" s="19">
        <v>3</v>
      </c>
      <c r="D49" s="19">
        <v>4.9500000000000011</v>
      </c>
    </row>
    <row r="50" spans="1:4" x14ac:dyDescent="0.2">
      <c r="A50" s="19" t="s">
        <v>162</v>
      </c>
      <c r="B50" s="19">
        <v>21.8</v>
      </c>
      <c r="C50" s="19">
        <v>2</v>
      </c>
      <c r="D50" s="19">
        <v>6.104000000000001</v>
      </c>
    </row>
    <row r="51" spans="1:4" x14ac:dyDescent="0.2">
      <c r="A51" s="19" t="s">
        <v>163</v>
      </c>
      <c r="B51" s="19">
        <v>38.22</v>
      </c>
      <c r="C51" s="19">
        <v>6</v>
      </c>
      <c r="D51" s="19">
        <v>17.9634</v>
      </c>
    </row>
    <row r="52" spans="1:4" x14ac:dyDescent="0.2">
      <c r="A52" s="19" t="s">
        <v>163</v>
      </c>
      <c r="B52" s="19">
        <v>75.179999999999993</v>
      </c>
      <c r="C52" s="19">
        <v>6</v>
      </c>
      <c r="D52" s="19">
        <v>35.334599999999995</v>
      </c>
    </row>
    <row r="53" spans="1:4" x14ac:dyDescent="0.2">
      <c r="A53" s="19" t="s">
        <v>163</v>
      </c>
      <c r="B53" s="19">
        <v>6.16</v>
      </c>
      <c r="C53" s="19">
        <v>2</v>
      </c>
      <c r="D53" s="19">
        <v>2.9567999999999999</v>
      </c>
    </row>
    <row r="54" spans="1:4" x14ac:dyDescent="0.2">
      <c r="A54" s="19" t="s">
        <v>163</v>
      </c>
      <c r="B54" s="19">
        <v>89.99</v>
      </c>
      <c r="C54" s="19">
        <v>1</v>
      </c>
      <c r="D54" s="19">
        <v>17.098099999999988</v>
      </c>
    </row>
    <row r="55" spans="1:4" x14ac:dyDescent="0.2">
      <c r="A55" s="19" t="s">
        <v>164</v>
      </c>
      <c r="B55" s="19">
        <v>15.260000000000002</v>
      </c>
      <c r="C55" s="19">
        <v>7</v>
      </c>
      <c r="D55" s="19">
        <v>6.2566000000000006</v>
      </c>
    </row>
    <row r="56" spans="1:4" x14ac:dyDescent="0.2">
      <c r="A56" s="19" t="s">
        <v>164</v>
      </c>
      <c r="B56" s="19">
        <v>1029.95</v>
      </c>
      <c r="C56" s="19">
        <v>5</v>
      </c>
      <c r="D56" s="19">
        <v>298.68549999999999</v>
      </c>
    </row>
    <row r="57" spans="1:4" x14ac:dyDescent="0.2">
      <c r="A57" s="19" t="s">
        <v>164</v>
      </c>
      <c r="B57" s="19">
        <v>208.56</v>
      </c>
      <c r="C57" s="19">
        <v>6</v>
      </c>
      <c r="D57" s="19">
        <v>52.139999999999986</v>
      </c>
    </row>
    <row r="58" spans="1:4" x14ac:dyDescent="0.2">
      <c r="A58" s="19" t="s">
        <v>164</v>
      </c>
      <c r="B58" s="19">
        <v>32.400000000000006</v>
      </c>
      <c r="C58" s="19">
        <v>5</v>
      </c>
      <c r="D58" s="19">
        <v>15.552000000000001</v>
      </c>
    </row>
    <row r="59" spans="1:4" x14ac:dyDescent="0.2">
      <c r="A59" s="19" t="s">
        <v>164</v>
      </c>
      <c r="B59" s="19">
        <v>319.41000000000003</v>
      </c>
      <c r="C59" s="19">
        <v>5</v>
      </c>
      <c r="D59" s="19">
        <v>7.0980000000000061</v>
      </c>
    </row>
    <row r="60" spans="1:4" x14ac:dyDescent="0.2">
      <c r="A60" s="19" t="s">
        <v>164</v>
      </c>
      <c r="B60" s="19">
        <v>14.56</v>
      </c>
      <c r="C60" s="19">
        <v>2</v>
      </c>
      <c r="D60" s="19">
        <v>6.9888000000000003</v>
      </c>
    </row>
    <row r="61" spans="1:4" x14ac:dyDescent="0.2">
      <c r="A61" s="19" t="s">
        <v>164</v>
      </c>
      <c r="B61" s="19">
        <v>30</v>
      </c>
      <c r="C61" s="19">
        <v>2</v>
      </c>
      <c r="D61" s="19">
        <v>3.3000000000000007</v>
      </c>
    </row>
    <row r="62" spans="1:4" x14ac:dyDescent="0.2">
      <c r="A62" s="19" t="s">
        <v>164</v>
      </c>
      <c r="B62" s="19">
        <v>48.480000000000004</v>
      </c>
      <c r="C62" s="19">
        <v>4</v>
      </c>
      <c r="D62" s="19">
        <v>16.361999999999998</v>
      </c>
    </row>
    <row r="63" spans="1:4" x14ac:dyDescent="0.2">
      <c r="A63" s="19" t="s">
        <v>164</v>
      </c>
      <c r="B63" s="19">
        <v>1.68</v>
      </c>
      <c r="C63" s="19">
        <v>1</v>
      </c>
      <c r="D63" s="19">
        <v>0.84</v>
      </c>
    </row>
    <row r="64" spans="1:4" x14ac:dyDescent="0.2">
      <c r="A64" s="19" t="s">
        <v>150</v>
      </c>
      <c r="B64" s="19">
        <v>13.98</v>
      </c>
      <c r="C64" s="19">
        <v>2</v>
      </c>
      <c r="D64" s="19">
        <v>6.1512000000000011</v>
      </c>
    </row>
    <row r="65" spans="1:4" x14ac:dyDescent="0.2">
      <c r="A65" s="19" t="s">
        <v>150</v>
      </c>
      <c r="B65" s="19">
        <v>25.824000000000002</v>
      </c>
      <c r="C65" s="19">
        <v>6</v>
      </c>
      <c r="D65" s="19">
        <v>9.3612000000000002</v>
      </c>
    </row>
    <row r="66" spans="1:4" x14ac:dyDescent="0.2">
      <c r="A66" s="19" t="s">
        <v>150</v>
      </c>
      <c r="B66" s="19">
        <v>146.72999999999999</v>
      </c>
      <c r="C66" s="19">
        <v>3</v>
      </c>
      <c r="D66" s="19">
        <v>68.963099999999997</v>
      </c>
    </row>
    <row r="67" spans="1:4" x14ac:dyDescent="0.2">
      <c r="A67" s="19" t="s">
        <v>150</v>
      </c>
      <c r="B67" s="19">
        <v>79.760000000000005</v>
      </c>
      <c r="C67" s="19">
        <v>4</v>
      </c>
      <c r="D67" s="19">
        <v>22.332800000000006</v>
      </c>
    </row>
    <row r="68" spans="1:4" x14ac:dyDescent="0.2">
      <c r="A68" s="19" t="s">
        <v>159</v>
      </c>
      <c r="B68" s="19">
        <v>213.11499999999998</v>
      </c>
      <c r="C68" s="19">
        <v>5</v>
      </c>
      <c r="D68" s="19">
        <v>-15.222500000000011</v>
      </c>
    </row>
    <row r="69" spans="1:4" x14ac:dyDescent="0.2">
      <c r="A69" s="19" t="s">
        <v>165</v>
      </c>
      <c r="B69" s="19">
        <v>1113.0240000000001</v>
      </c>
      <c r="C69" s="19">
        <v>8</v>
      </c>
      <c r="D69" s="19">
        <v>111.30239999999998</v>
      </c>
    </row>
    <row r="70" spans="1:4" x14ac:dyDescent="0.2">
      <c r="A70" s="19" t="s">
        <v>165</v>
      </c>
      <c r="B70" s="19">
        <v>167.96800000000002</v>
      </c>
      <c r="C70" s="19">
        <v>4</v>
      </c>
      <c r="D70" s="19">
        <v>62.988</v>
      </c>
    </row>
    <row r="71" spans="1:4" x14ac:dyDescent="0.2">
      <c r="A71" s="19" t="s">
        <v>166</v>
      </c>
      <c r="B71" s="19">
        <v>75.88</v>
      </c>
      <c r="C71" s="19">
        <v>2</v>
      </c>
      <c r="D71" s="19">
        <v>35.663599999999995</v>
      </c>
    </row>
    <row r="72" spans="1:4" x14ac:dyDescent="0.2">
      <c r="A72" s="19" t="s">
        <v>164</v>
      </c>
      <c r="B72" s="19">
        <v>4.6159999999999997</v>
      </c>
      <c r="C72" s="19">
        <v>1</v>
      </c>
      <c r="D72" s="19">
        <v>1.7309999999999999</v>
      </c>
    </row>
    <row r="73" spans="1:4" x14ac:dyDescent="0.2">
      <c r="A73" s="19" t="s">
        <v>161</v>
      </c>
      <c r="B73" s="19">
        <v>19.049999999999997</v>
      </c>
      <c r="C73" s="19">
        <v>3</v>
      </c>
      <c r="D73" s="19">
        <v>8.7629999999999999</v>
      </c>
    </row>
    <row r="74" spans="1:4" x14ac:dyDescent="0.2">
      <c r="A74" s="19" t="s">
        <v>167</v>
      </c>
      <c r="B74" s="19">
        <v>831.93600000000015</v>
      </c>
      <c r="C74" s="19">
        <v>8</v>
      </c>
      <c r="D74" s="19">
        <v>-114.39120000000003</v>
      </c>
    </row>
    <row r="75" spans="1:4" x14ac:dyDescent="0.2">
      <c r="A75" s="19" t="s">
        <v>167</v>
      </c>
      <c r="B75" s="19">
        <v>97.04</v>
      </c>
      <c r="C75" s="19">
        <v>2</v>
      </c>
      <c r="D75" s="19">
        <v>1.2129999999999974</v>
      </c>
    </row>
    <row r="76" spans="1:4" x14ac:dyDescent="0.2">
      <c r="A76" s="19" t="s">
        <v>167</v>
      </c>
      <c r="B76" s="19">
        <v>72.784000000000006</v>
      </c>
      <c r="C76" s="19">
        <v>1</v>
      </c>
      <c r="D76" s="19">
        <v>-18.196000000000002</v>
      </c>
    </row>
    <row r="77" spans="1:4" x14ac:dyDescent="0.2">
      <c r="A77" s="19" t="s">
        <v>154</v>
      </c>
      <c r="B77" s="19">
        <v>1.2479999999999998</v>
      </c>
      <c r="C77" s="19">
        <v>3</v>
      </c>
      <c r="D77" s="19">
        <v>-1.9344000000000006</v>
      </c>
    </row>
    <row r="78" spans="1:4" x14ac:dyDescent="0.2">
      <c r="A78" s="19" t="s">
        <v>154</v>
      </c>
      <c r="B78" s="19">
        <v>9.7080000000000002</v>
      </c>
      <c r="C78" s="19">
        <v>3</v>
      </c>
      <c r="D78" s="19">
        <v>-5.8248000000000015</v>
      </c>
    </row>
    <row r="79" spans="1:4" x14ac:dyDescent="0.2">
      <c r="A79" s="19" t="s">
        <v>154</v>
      </c>
      <c r="B79" s="19">
        <v>27.240000000000002</v>
      </c>
      <c r="C79" s="19">
        <v>3</v>
      </c>
      <c r="D79" s="19">
        <v>2.724000000000002</v>
      </c>
    </row>
    <row r="80" spans="1:4" x14ac:dyDescent="0.2">
      <c r="A80" s="19" t="s">
        <v>154</v>
      </c>
      <c r="B80" s="19">
        <v>19.3</v>
      </c>
      <c r="C80" s="19">
        <v>5</v>
      </c>
      <c r="D80" s="19">
        <v>-14.475000000000001</v>
      </c>
    </row>
    <row r="81" spans="1:4" x14ac:dyDescent="0.2">
      <c r="A81" s="19" t="s">
        <v>168</v>
      </c>
      <c r="B81" s="19">
        <v>208.16</v>
      </c>
      <c r="C81" s="19">
        <v>1</v>
      </c>
      <c r="D81" s="19">
        <v>56.20320000000001</v>
      </c>
    </row>
    <row r="82" spans="1:4" x14ac:dyDescent="0.2">
      <c r="A82" s="19" t="s">
        <v>168</v>
      </c>
      <c r="B82" s="19">
        <v>16.740000000000002</v>
      </c>
      <c r="C82" s="19">
        <v>3</v>
      </c>
      <c r="D82" s="19">
        <v>8.0351999999999997</v>
      </c>
    </row>
    <row r="83" spans="1:4" x14ac:dyDescent="0.2">
      <c r="A83" s="19" t="s">
        <v>150</v>
      </c>
      <c r="B83" s="19">
        <v>14.9</v>
      </c>
      <c r="C83" s="19">
        <v>5</v>
      </c>
      <c r="D83" s="19">
        <v>4.1720000000000006</v>
      </c>
    </row>
    <row r="84" spans="1:4" x14ac:dyDescent="0.2">
      <c r="A84" s="19" t="s">
        <v>150</v>
      </c>
      <c r="B84" s="19">
        <v>21.39</v>
      </c>
      <c r="C84" s="19">
        <v>1</v>
      </c>
      <c r="D84" s="19">
        <v>6.2030999999999992</v>
      </c>
    </row>
    <row r="85" spans="1:4" x14ac:dyDescent="0.2">
      <c r="A85" s="19" t="s">
        <v>152</v>
      </c>
      <c r="B85" s="19">
        <v>200.98400000000004</v>
      </c>
      <c r="C85" s="19">
        <v>7</v>
      </c>
      <c r="D85" s="19">
        <v>62.807499999999976</v>
      </c>
    </row>
    <row r="86" spans="1:4" x14ac:dyDescent="0.2">
      <c r="A86" s="19" t="s">
        <v>159</v>
      </c>
      <c r="B86" s="19">
        <v>230.376</v>
      </c>
      <c r="C86" s="19">
        <v>3</v>
      </c>
      <c r="D86" s="19">
        <v>-48.954900000000002</v>
      </c>
    </row>
    <row r="87" spans="1:4" x14ac:dyDescent="0.2">
      <c r="A87" s="19" t="s">
        <v>169</v>
      </c>
      <c r="B87" s="19">
        <v>301.95999999999998</v>
      </c>
      <c r="C87" s="19">
        <v>2</v>
      </c>
      <c r="D87" s="19">
        <v>33.215599999999995</v>
      </c>
    </row>
    <row r="88" spans="1:4" x14ac:dyDescent="0.2">
      <c r="A88" s="19" t="s">
        <v>160</v>
      </c>
      <c r="B88" s="19">
        <v>19.989999999999998</v>
      </c>
      <c r="C88" s="19">
        <v>1</v>
      </c>
      <c r="D88" s="19">
        <v>6.796599999999998</v>
      </c>
    </row>
    <row r="89" spans="1:4" x14ac:dyDescent="0.2">
      <c r="A89" s="19" t="s">
        <v>160</v>
      </c>
      <c r="B89" s="19">
        <v>6.16</v>
      </c>
      <c r="C89" s="19">
        <v>2</v>
      </c>
      <c r="D89" s="19">
        <v>2.9567999999999999</v>
      </c>
    </row>
    <row r="90" spans="1:4" x14ac:dyDescent="0.2">
      <c r="A90" s="19" t="s">
        <v>154</v>
      </c>
      <c r="B90" s="19">
        <v>158.36800000000002</v>
      </c>
      <c r="C90" s="19">
        <v>7</v>
      </c>
      <c r="D90" s="19">
        <v>13.857199999999999</v>
      </c>
    </row>
    <row r="91" spans="1:4" x14ac:dyDescent="0.2">
      <c r="A91" s="19" t="s">
        <v>150</v>
      </c>
      <c r="B91" s="19">
        <v>20.100000000000001</v>
      </c>
      <c r="C91" s="19">
        <v>3</v>
      </c>
      <c r="D91" s="19">
        <v>6.6329999999999982</v>
      </c>
    </row>
    <row r="92" spans="1:4" x14ac:dyDescent="0.2">
      <c r="A92" s="19" t="s">
        <v>150</v>
      </c>
      <c r="B92" s="19">
        <v>73.584000000000003</v>
      </c>
      <c r="C92" s="19">
        <v>2</v>
      </c>
      <c r="D92" s="19">
        <v>8.2781999999999982</v>
      </c>
    </row>
    <row r="93" spans="1:4" x14ac:dyDescent="0.2">
      <c r="A93" s="19" t="s">
        <v>150</v>
      </c>
      <c r="B93" s="19">
        <v>6.48</v>
      </c>
      <c r="C93" s="19">
        <v>1</v>
      </c>
      <c r="D93" s="19">
        <v>3.1104000000000003</v>
      </c>
    </row>
    <row r="94" spans="1:4" x14ac:dyDescent="0.2">
      <c r="A94" s="19" t="s">
        <v>160</v>
      </c>
      <c r="B94" s="19">
        <v>12.96</v>
      </c>
      <c r="C94" s="19">
        <v>2</v>
      </c>
      <c r="D94" s="19">
        <v>6.2208000000000006</v>
      </c>
    </row>
    <row r="95" spans="1:4" x14ac:dyDescent="0.2">
      <c r="A95" s="19" t="s">
        <v>160</v>
      </c>
      <c r="B95" s="19">
        <v>53.34</v>
      </c>
      <c r="C95" s="19">
        <v>3</v>
      </c>
      <c r="D95" s="19">
        <v>16.535399999999996</v>
      </c>
    </row>
    <row r="96" spans="1:4" x14ac:dyDescent="0.2">
      <c r="A96" s="19" t="s">
        <v>160</v>
      </c>
      <c r="B96" s="19">
        <v>32.96</v>
      </c>
      <c r="C96" s="19">
        <v>2</v>
      </c>
      <c r="D96" s="19">
        <v>16.150400000000001</v>
      </c>
    </row>
    <row r="97" spans="1:4" x14ac:dyDescent="0.2">
      <c r="A97" s="19" t="s">
        <v>170</v>
      </c>
      <c r="B97" s="19">
        <v>5.6820000000000013</v>
      </c>
      <c r="C97" s="19">
        <v>1</v>
      </c>
      <c r="D97" s="19">
        <v>-3.7880000000000003</v>
      </c>
    </row>
    <row r="98" spans="1:4" x14ac:dyDescent="0.2">
      <c r="A98" s="19" t="s">
        <v>164</v>
      </c>
      <c r="B98" s="19">
        <v>96.53</v>
      </c>
      <c r="C98" s="19">
        <v>7</v>
      </c>
      <c r="D98" s="19">
        <v>40.5426</v>
      </c>
    </row>
    <row r="99" spans="1:4" x14ac:dyDescent="0.2">
      <c r="A99" s="19" t="s">
        <v>150</v>
      </c>
      <c r="B99" s="19">
        <v>51.311999999999998</v>
      </c>
      <c r="C99" s="19">
        <v>3</v>
      </c>
      <c r="D99" s="19">
        <v>17.959199999999999</v>
      </c>
    </row>
    <row r="100" spans="1:4" x14ac:dyDescent="0.2">
      <c r="A100" s="19" t="s">
        <v>160</v>
      </c>
      <c r="B100" s="19">
        <v>77.88</v>
      </c>
      <c r="C100" s="19">
        <v>6</v>
      </c>
      <c r="D100" s="19">
        <v>22.585199999999993</v>
      </c>
    </row>
    <row r="101" spans="1:4" x14ac:dyDescent="0.2">
      <c r="A101" s="19" t="s">
        <v>159</v>
      </c>
      <c r="B101" s="19">
        <v>64.623999999999995</v>
      </c>
      <c r="C101" s="19">
        <v>7</v>
      </c>
      <c r="D101" s="19">
        <v>22.618399999999994</v>
      </c>
    </row>
    <row r="102" spans="1:4" x14ac:dyDescent="0.2">
      <c r="A102" s="19" t="s">
        <v>159</v>
      </c>
      <c r="B102" s="19">
        <v>95.976000000000013</v>
      </c>
      <c r="C102" s="19">
        <v>3</v>
      </c>
      <c r="D102" s="19">
        <v>-10.797300000000011</v>
      </c>
    </row>
    <row r="103" spans="1:4" x14ac:dyDescent="0.2">
      <c r="A103" s="19" t="s">
        <v>159</v>
      </c>
      <c r="B103" s="19">
        <v>1.7879999999999996</v>
      </c>
      <c r="C103" s="19">
        <v>3</v>
      </c>
      <c r="D103" s="19">
        <v>-3.0396000000000001</v>
      </c>
    </row>
    <row r="104" spans="1:4" x14ac:dyDescent="0.2">
      <c r="A104" s="19" t="s">
        <v>160</v>
      </c>
      <c r="B104" s="19">
        <v>23.92</v>
      </c>
      <c r="C104" s="19">
        <v>4</v>
      </c>
      <c r="D104" s="19">
        <v>11.720800000000001</v>
      </c>
    </row>
    <row r="105" spans="1:4" x14ac:dyDescent="0.2">
      <c r="A105" s="19" t="s">
        <v>171</v>
      </c>
      <c r="B105" s="19">
        <v>238.89600000000002</v>
      </c>
      <c r="C105" s="19">
        <v>6</v>
      </c>
      <c r="D105" s="19">
        <v>-26.875800000000012</v>
      </c>
    </row>
    <row r="106" spans="1:4" x14ac:dyDescent="0.2">
      <c r="A106" s="19" t="s">
        <v>171</v>
      </c>
      <c r="B106" s="19">
        <v>102.35999999999999</v>
      </c>
      <c r="C106" s="19">
        <v>3</v>
      </c>
      <c r="D106" s="19">
        <v>-3.8385000000000105</v>
      </c>
    </row>
    <row r="107" spans="1:4" x14ac:dyDescent="0.2">
      <c r="A107" s="19" t="s">
        <v>171</v>
      </c>
      <c r="B107" s="19">
        <v>36.882000000000005</v>
      </c>
      <c r="C107" s="19">
        <v>3</v>
      </c>
      <c r="D107" s="19">
        <v>-25.817399999999999</v>
      </c>
    </row>
    <row r="108" spans="1:4" x14ac:dyDescent="0.2">
      <c r="A108" s="19" t="s">
        <v>152</v>
      </c>
      <c r="B108" s="19">
        <v>74.112000000000009</v>
      </c>
      <c r="C108" s="19">
        <v>8</v>
      </c>
      <c r="D108" s="19">
        <v>17.601600000000001</v>
      </c>
    </row>
    <row r="109" spans="1:4" x14ac:dyDescent="0.2">
      <c r="A109" s="19" t="s">
        <v>152</v>
      </c>
      <c r="B109" s="19">
        <v>27.992000000000004</v>
      </c>
      <c r="C109" s="19">
        <v>1</v>
      </c>
      <c r="D109" s="19">
        <v>2.0993999999999993</v>
      </c>
    </row>
    <row r="110" spans="1:4" x14ac:dyDescent="0.2">
      <c r="A110" s="19" t="s">
        <v>152</v>
      </c>
      <c r="B110" s="19">
        <v>3.3040000000000003</v>
      </c>
      <c r="C110" s="19">
        <v>1</v>
      </c>
      <c r="D110" s="19">
        <v>1.0737999999999999</v>
      </c>
    </row>
    <row r="111" spans="1:4" x14ac:dyDescent="0.2">
      <c r="A111" s="19" t="s">
        <v>159</v>
      </c>
      <c r="B111" s="19">
        <v>339.96000000000004</v>
      </c>
      <c r="C111" s="19">
        <v>5</v>
      </c>
      <c r="D111" s="19">
        <v>67.991999999999962</v>
      </c>
    </row>
    <row r="112" spans="1:4" x14ac:dyDescent="0.2">
      <c r="A112" s="19" t="s">
        <v>164</v>
      </c>
      <c r="B112" s="19">
        <v>41.96</v>
      </c>
      <c r="C112" s="19">
        <v>2</v>
      </c>
      <c r="D112" s="19">
        <v>10.909600000000001</v>
      </c>
    </row>
    <row r="113" spans="1:4" x14ac:dyDescent="0.2">
      <c r="A113" s="19" t="s">
        <v>172</v>
      </c>
      <c r="B113" s="19">
        <v>75.959999999999994</v>
      </c>
      <c r="C113" s="19">
        <v>2</v>
      </c>
      <c r="D113" s="19">
        <v>22.78799999999999</v>
      </c>
    </row>
    <row r="114" spans="1:4" x14ac:dyDescent="0.2">
      <c r="A114" s="19" t="s">
        <v>172</v>
      </c>
      <c r="B114" s="19">
        <v>27.240000000000002</v>
      </c>
      <c r="C114" s="19">
        <v>6</v>
      </c>
      <c r="D114" s="19">
        <v>13.3476</v>
      </c>
    </row>
    <row r="115" spans="1:4" x14ac:dyDescent="0.2">
      <c r="A115" s="19" t="s">
        <v>173</v>
      </c>
      <c r="B115" s="19">
        <v>40.096000000000004</v>
      </c>
      <c r="C115" s="19">
        <v>14</v>
      </c>
      <c r="D115" s="19">
        <v>14.534799999999997</v>
      </c>
    </row>
    <row r="116" spans="1:4" x14ac:dyDescent="0.2">
      <c r="A116" s="19" t="s">
        <v>173</v>
      </c>
      <c r="B116" s="19">
        <v>4.7200000000000006</v>
      </c>
      <c r="C116" s="19">
        <v>2</v>
      </c>
      <c r="D116" s="19">
        <v>1.6519999999999997</v>
      </c>
    </row>
    <row r="117" spans="1:4" x14ac:dyDescent="0.2">
      <c r="A117" s="19" t="s">
        <v>173</v>
      </c>
      <c r="B117" s="19">
        <v>23.976000000000003</v>
      </c>
      <c r="C117" s="19">
        <v>3</v>
      </c>
      <c r="D117" s="19">
        <v>7.4924999999999988</v>
      </c>
    </row>
    <row r="118" spans="1:4" x14ac:dyDescent="0.2">
      <c r="A118" s="19" t="s">
        <v>173</v>
      </c>
      <c r="B118" s="19">
        <v>130.464</v>
      </c>
      <c r="C118" s="19">
        <v>6</v>
      </c>
      <c r="D118" s="19">
        <v>44.031599999999997</v>
      </c>
    </row>
    <row r="119" spans="1:4" x14ac:dyDescent="0.2">
      <c r="A119" s="19" t="s">
        <v>153</v>
      </c>
      <c r="B119" s="19">
        <v>787.53</v>
      </c>
      <c r="C119" s="19">
        <v>3</v>
      </c>
      <c r="D119" s="19">
        <v>165.38129999999995</v>
      </c>
    </row>
    <row r="120" spans="1:4" x14ac:dyDescent="0.2">
      <c r="A120" s="19" t="s">
        <v>167</v>
      </c>
      <c r="B120" s="19">
        <v>157.79400000000004</v>
      </c>
      <c r="C120" s="19">
        <v>1</v>
      </c>
      <c r="D120" s="19">
        <v>-115.71559999999999</v>
      </c>
    </row>
    <row r="121" spans="1:4" x14ac:dyDescent="0.2">
      <c r="A121" s="19" t="s">
        <v>162</v>
      </c>
      <c r="B121" s="19">
        <v>47.04</v>
      </c>
      <c r="C121" s="19">
        <v>3</v>
      </c>
      <c r="D121" s="19">
        <v>18.345599999999997</v>
      </c>
    </row>
    <row r="122" spans="1:4" x14ac:dyDescent="0.2">
      <c r="A122" s="19" t="s">
        <v>162</v>
      </c>
      <c r="B122" s="19">
        <v>30.84</v>
      </c>
      <c r="C122" s="19">
        <v>4</v>
      </c>
      <c r="D122" s="19">
        <v>13.878</v>
      </c>
    </row>
    <row r="123" spans="1:4" x14ac:dyDescent="0.2">
      <c r="A123" s="19" t="s">
        <v>162</v>
      </c>
      <c r="B123" s="19">
        <v>226.56</v>
      </c>
      <c r="C123" s="19">
        <v>6</v>
      </c>
      <c r="D123" s="19">
        <v>63.436800000000005</v>
      </c>
    </row>
    <row r="124" spans="1:4" x14ac:dyDescent="0.2">
      <c r="A124" s="19" t="s">
        <v>162</v>
      </c>
      <c r="B124" s="19">
        <v>115.02</v>
      </c>
      <c r="C124" s="19">
        <v>9</v>
      </c>
      <c r="D124" s="19">
        <v>51.758999999999993</v>
      </c>
    </row>
    <row r="125" spans="1:4" x14ac:dyDescent="0.2">
      <c r="A125" s="19" t="s">
        <v>162</v>
      </c>
      <c r="B125" s="19">
        <v>68.040000000000006</v>
      </c>
      <c r="C125" s="19">
        <v>7</v>
      </c>
      <c r="D125" s="19">
        <v>19.731599999999997</v>
      </c>
    </row>
    <row r="126" spans="1:4" x14ac:dyDescent="0.2">
      <c r="A126" s="19" t="s">
        <v>154</v>
      </c>
      <c r="B126" s="19">
        <v>600.55799999999999</v>
      </c>
      <c r="C126" s="19">
        <v>3</v>
      </c>
      <c r="D126" s="19">
        <v>-8.5794000000000779</v>
      </c>
    </row>
    <row r="127" spans="1:4" x14ac:dyDescent="0.2">
      <c r="A127" s="19" t="s">
        <v>159</v>
      </c>
      <c r="B127" s="19">
        <v>617.70000000000005</v>
      </c>
      <c r="C127" s="19">
        <v>6</v>
      </c>
      <c r="D127" s="19">
        <v>-407.68200000000013</v>
      </c>
    </row>
    <row r="128" spans="1:4" x14ac:dyDescent="0.2">
      <c r="A128" s="19" t="s">
        <v>165</v>
      </c>
      <c r="B128" s="19">
        <v>2.3880000000000003</v>
      </c>
      <c r="C128" s="19">
        <v>2</v>
      </c>
      <c r="D128" s="19">
        <v>-1.8308</v>
      </c>
    </row>
    <row r="129" spans="1:4" x14ac:dyDescent="0.2">
      <c r="A129" s="19" t="s">
        <v>165</v>
      </c>
      <c r="B129" s="19">
        <v>243.99200000000002</v>
      </c>
      <c r="C129" s="19">
        <v>7</v>
      </c>
      <c r="D129" s="19">
        <v>30.498999999999981</v>
      </c>
    </row>
    <row r="130" spans="1:4" x14ac:dyDescent="0.2">
      <c r="A130" s="19" t="s">
        <v>150</v>
      </c>
      <c r="B130" s="19">
        <v>81.424000000000007</v>
      </c>
      <c r="C130" s="19">
        <v>2</v>
      </c>
      <c r="D130" s="19">
        <v>-9.1601999999999961</v>
      </c>
    </row>
    <row r="131" spans="1:4" x14ac:dyDescent="0.2">
      <c r="A131" s="19" t="s">
        <v>150</v>
      </c>
      <c r="B131" s="19">
        <v>238.56</v>
      </c>
      <c r="C131" s="19">
        <v>3</v>
      </c>
      <c r="D131" s="19">
        <v>26.241599999999977</v>
      </c>
    </row>
    <row r="132" spans="1:4" x14ac:dyDescent="0.2">
      <c r="A132" s="19" t="s">
        <v>173</v>
      </c>
      <c r="B132" s="19">
        <v>59.969999999999992</v>
      </c>
      <c r="C132" s="19">
        <v>5</v>
      </c>
      <c r="D132" s="19">
        <v>-11.993999999999993</v>
      </c>
    </row>
    <row r="133" spans="1:4" x14ac:dyDescent="0.2">
      <c r="A133" s="19" t="s">
        <v>173</v>
      </c>
      <c r="B133" s="19">
        <v>78.304000000000002</v>
      </c>
      <c r="C133" s="19">
        <v>2</v>
      </c>
      <c r="D133" s="19">
        <v>29.363999999999997</v>
      </c>
    </row>
    <row r="134" spans="1:4" x14ac:dyDescent="0.2">
      <c r="A134" s="19" t="s">
        <v>173</v>
      </c>
      <c r="B134" s="19">
        <v>21.456</v>
      </c>
      <c r="C134" s="19">
        <v>9</v>
      </c>
      <c r="D134" s="19">
        <v>6.9731999999999976</v>
      </c>
    </row>
    <row r="135" spans="1:4" x14ac:dyDescent="0.2">
      <c r="A135" s="19" t="s">
        <v>150</v>
      </c>
      <c r="B135" s="19">
        <v>20.04</v>
      </c>
      <c r="C135" s="19">
        <v>3</v>
      </c>
      <c r="D135" s="19">
        <v>9.6191999999999993</v>
      </c>
    </row>
    <row r="136" spans="1:4" x14ac:dyDescent="0.2">
      <c r="A136" s="19" t="s">
        <v>150</v>
      </c>
      <c r="B136" s="19">
        <v>35.44</v>
      </c>
      <c r="C136" s="19">
        <v>1</v>
      </c>
      <c r="D136" s="19">
        <v>16.656799999999997</v>
      </c>
    </row>
    <row r="137" spans="1:4" x14ac:dyDescent="0.2">
      <c r="A137" s="19" t="s">
        <v>150</v>
      </c>
      <c r="B137" s="19">
        <v>11.52</v>
      </c>
      <c r="C137" s="19">
        <v>4</v>
      </c>
      <c r="D137" s="19">
        <v>3.4559999999999995</v>
      </c>
    </row>
    <row r="138" spans="1:4" x14ac:dyDescent="0.2">
      <c r="A138" s="19" t="s">
        <v>150</v>
      </c>
      <c r="B138" s="19">
        <v>4.0199999999999996</v>
      </c>
      <c r="C138" s="19">
        <v>2</v>
      </c>
      <c r="D138" s="19">
        <v>1.9697999999999998</v>
      </c>
    </row>
    <row r="139" spans="1:4" x14ac:dyDescent="0.2">
      <c r="A139" s="19" t="s">
        <v>150</v>
      </c>
      <c r="B139" s="19">
        <v>76.176000000000002</v>
      </c>
      <c r="C139" s="19">
        <v>3</v>
      </c>
      <c r="D139" s="19">
        <v>26.661599999999996</v>
      </c>
    </row>
    <row r="140" spans="1:4" x14ac:dyDescent="0.2">
      <c r="A140" s="19" t="s">
        <v>150</v>
      </c>
      <c r="B140" s="19">
        <v>65.88</v>
      </c>
      <c r="C140" s="19">
        <v>6</v>
      </c>
      <c r="D140" s="19">
        <v>18.446400000000004</v>
      </c>
    </row>
    <row r="141" spans="1:4" x14ac:dyDescent="0.2">
      <c r="A141" s="19" t="s">
        <v>150</v>
      </c>
      <c r="B141" s="19">
        <v>43.120000000000005</v>
      </c>
      <c r="C141" s="19">
        <v>14</v>
      </c>
      <c r="D141" s="19">
        <v>20.697599999999998</v>
      </c>
    </row>
    <row r="142" spans="1:4" x14ac:dyDescent="0.2">
      <c r="A142" s="19" t="s">
        <v>158</v>
      </c>
      <c r="B142" s="19">
        <v>82.800000000000011</v>
      </c>
      <c r="C142" s="19">
        <v>2</v>
      </c>
      <c r="D142" s="19">
        <v>10.349999999999994</v>
      </c>
    </row>
    <row r="143" spans="1:4" x14ac:dyDescent="0.2">
      <c r="A143" s="19" t="s">
        <v>150</v>
      </c>
      <c r="B143" s="19">
        <v>8.82</v>
      </c>
      <c r="C143" s="19">
        <v>3</v>
      </c>
      <c r="D143" s="19">
        <v>2.3814000000000002</v>
      </c>
    </row>
    <row r="144" spans="1:4" x14ac:dyDescent="0.2">
      <c r="A144" s="19" t="s">
        <v>150</v>
      </c>
      <c r="B144" s="19">
        <v>10.86</v>
      </c>
      <c r="C144" s="19">
        <v>3</v>
      </c>
      <c r="D144" s="19">
        <v>5.1042000000000005</v>
      </c>
    </row>
    <row r="145" spans="1:4" x14ac:dyDescent="0.2">
      <c r="A145" s="19" t="s">
        <v>150</v>
      </c>
      <c r="B145" s="19">
        <v>143.69999999999999</v>
      </c>
      <c r="C145" s="19">
        <v>3</v>
      </c>
      <c r="D145" s="19">
        <v>68.975999999999999</v>
      </c>
    </row>
    <row r="146" spans="1:4" x14ac:dyDescent="0.2">
      <c r="A146" s="19" t="s">
        <v>174</v>
      </c>
      <c r="B146" s="19">
        <v>839.43000000000006</v>
      </c>
      <c r="C146" s="19">
        <v>3</v>
      </c>
      <c r="D146" s="19">
        <v>218.25179999999997</v>
      </c>
    </row>
    <row r="147" spans="1:4" x14ac:dyDescent="0.2">
      <c r="A147" s="19" t="s">
        <v>150</v>
      </c>
      <c r="B147" s="19">
        <v>671.93</v>
      </c>
      <c r="C147" s="19">
        <v>7</v>
      </c>
      <c r="D147" s="19">
        <v>20.157899999999998</v>
      </c>
    </row>
    <row r="148" spans="1:4" x14ac:dyDescent="0.2">
      <c r="A148" s="19" t="s">
        <v>173</v>
      </c>
      <c r="B148" s="19">
        <v>93.888000000000005</v>
      </c>
      <c r="C148" s="19">
        <v>4</v>
      </c>
      <c r="D148" s="19">
        <v>12.90959999999999</v>
      </c>
    </row>
    <row r="149" spans="1:4" x14ac:dyDescent="0.2">
      <c r="A149" s="19" t="s">
        <v>155</v>
      </c>
      <c r="B149" s="19">
        <v>384.45000000000005</v>
      </c>
      <c r="C149" s="19">
        <v>11</v>
      </c>
      <c r="D149" s="19">
        <v>103.80150000000003</v>
      </c>
    </row>
    <row r="150" spans="1:4" x14ac:dyDescent="0.2">
      <c r="A150" s="19" t="s">
        <v>155</v>
      </c>
      <c r="B150" s="19">
        <v>149.97</v>
      </c>
      <c r="C150" s="19">
        <v>3</v>
      </c>
      <c r="D150" s="19">
        <v>5.9987999999999815</v>
      </c>
    </row>
    <row r="151" spans="1:4" x14ac:dyDescent="0.2">
      <c r="A151" s="19" t="s">
        <v>155</v>
      </c>
      <c r="B151" s="19">
        <v>1951.84</v>
      </c>
      <c r="C151" s="19">
        <v>8</v>
      </c>
      <c r="D151" s="19">
        <v>585.55199999999991</v>
      </c>
    </row>
    <row r="152" spans="1:4" x14ac:dyDescent="0.2">
      <c r="A152" s="19" t="s">
        <v>155</v>
      </c>
      <c r="B152" s="19">
        <v>171.55</v>
      </c>
      <c r="C152" s="19">
        <v>5</v>
      </c>
      <c r="D152" s="19">
        <v>80.628500000000003</v>
      </c>
    </row>
    <row r="153" spans="1:4" x14ac:dyDescent="0.2">
      <c r="A153" s="19" t="s">
        <v>165</v>
      </c>
      <c r="B153" s="19">
        <v>157.91999999999999</v>
      </c>
      <c r="C153" s="19">
        <v>5</v>
      </c>
      <c r="D153" s="19">
        <v>17.765999999999991</v>
      </c>
    </row>
    <row r="154" spans="1:4" x14ac:dyDescent="0.2">
      <c r="A154" s="19" t="s">
        <v>165</v>
      </c>
      <c r="B154" s="19">
        <v>203.184</v>
      </c>
      <c r="C154" s="19">
        <v>2</v>
      </c>
      <c r="D154" s="19">
        <v>15.238799999999991</v>
      </c>
    </row>
    <row r="155" spans="1:4" x14ac:dyDescent="0.2">
      <c r="A155" s="19" t="s">
        <v>150</v>
      </c>
      <c r="B155" s="19">
        <v>58.379999999999995</v>
      </c>
      <c r="C155" s="19">
        <v>7</v>
      </c>
      <c r="D155" s="19">
        <v>26.270999999999994</v>
      </c>
    </row>
    <row r="156" spans="1:4" x14ac:dyDescent="0.2">
      <c r="A156" s="19" t="s">
        <v>150</v>
      </c>
      <c r="B156" s="19">
        <v>105.52</v>
      </c>
      <c r="C156" s="19">
        <v>4</v>
      </c>
      <c r="D156" s="19">
        <v>48.539199999999994</v>
      </c>
    </row>
    <row r="157" spans="1:4" x14ac:dyDescent="0.2">
      <c r="A157" s="19" t="s">
        <v>150</v>
      </c>
      <c r="B157" s="19">
        <v>80.88</v>
      </c>
      <c r="C157" s="19">
        <v>6</v>
      </c>
      <c r="D157" s="19">
        <v>21.028799999999997</v>
      </c>
    </row>
    <row r="158" spans="1:4" x14ac:dyDescent="0.2">
      <c r="A158" s="19" t="s">
        <v>153</v>
      </c>
      <c r="B158" s="19">
        <v>6.63</v>
      </c>
      <c r="C158" s="19">
        <v>3</v>
      </c>
      <c r="D158" s="19">
        <v>1.7901</v>
      </c>
    </row>
    <row r="159" spans="1:4" x14ac:dyDescent="0.2">
      <c r="A159" s="19" t="s">
        <v>153</v>
      </c>
      <c r="B159" s="19">
        <v>457.56800000000004</v>
      </c>
      <c r="C159" s="19">
        <v>2</v>
      </c>
      <c r="D159" s="19">
        <v>51.476399999999941</v>
      </c>
    </row>
    <row r="160" spans="1:4" x14ac:dyDescent="0.2">
      <c r="A160" s="19" t="s">
        <v>175</v>
      </c>
      <c r="B160" s="19">
        <v>14.62</v>
      </c>
      <c r="C160" s="19">
        <v>2</v>
      </c>
      <c r="D160" s="19">
        <v>6.8713999999999995</v>
      </c>
    </row>
    <row r="161" spans="1:4" x14ac:dyDescent="0.2">
      <c r="A161" s="19" t="s">
        <v>175</v>
      </c>
      <c r="B161" s="19">
        <v>944.93000000000006</v>
      </c>
      <c r="C161" s="19">
        <v>7</v>
      </c>
      <c r="D161" s="19">
        <v>236.23250000000002</v>
      </c>
    </row>
    <row r="162" spans="1:4" x14ac:dyDescent="0.2">
      <c r="A162" s="19" t="s">
        <v>150</v>
      </c>
      <c r="B162" s="19">
        <v>5.98</v>
      </c>
      <c r="C162" s="19">
        <v>1</v>
      </c>
      <c r="D162" s="19">
        <v>2.6909999999999998</v>
      </c>
    </row>
    <row r="163" spans="1:4" x14ac:dyDescent="0.2">
      <c r="A163" s="19" t="s">
        <v>158</v>
      </c>
      <c r="B163" s="19">
        <v>54.384000000000007</v>
      </c>
      <c r="C163" s="19">
        <v>2</v>
      </c>
      <c r="D163" s="19">
        <v>1.359599999999995</v>
      </c>
    </row>
    <row r="164" spans="1:4" x14ac:dyDescent="0.2">
      <c r="A164" s="19" t="s">
        <v>176</v>
      </c>
      <c r="B164" s="19">
        <v>28.4</v>
      </c>
      <c r="C164" s="19">
        <v>5</v>
      </c>
      <c r="D164" s="19">
        <v>13.347999999999997</v>
      </c>
    </row>
    <row r="165" spans="1:4" x14ac:dyDescent="0.2">
      <c r="A165" s="19" t="s">
        <v>153</v>
      </c>
      <c r="B165" s="19">
        <v>27.680000000000003</v>
      </c>
      <c r="C165" s="19">
        <v>2</v>
      </c>
      <c r="D165" s="19">
        <v>9.6879999999999988</v>
      </c>
    </row>
    <row r="166" spans="1:4" x14ac:dyDescent="0.2">
      <c r="A166" s="19" t="s">
        <v>154</v>
      </c>
      <c r="B166" s="19">
        <v>9.9359999999999999</v>
      </c>
      <c r="C166" s="19">
        <v>3</v>
      </c>
      <c r="D166" s="19">
        <v>2.7324000000000002</v>
      </c>
    </row>
    <row r="167" spans="1:4" x14ac:dyDescent="0.2">
      <c r="A167" s="19" t="s">
        <v>154</v>
      </c>
      <c r="B167" s="19">
        <v>8159.9519999999993</v>
      </c>
      <c r="C167" s="19">
        <v>8</v>
      </c>
      <c r="D167" s="19">
        <v>-1359.992000000002</v>
      </c>
    </row>
    <row r="168" spans="1:4" x14ac:dyDescent="0.2">
      <c r="A168" s="19" t="s">
        <v>154</v>
      </c>
      <c r="B168" s="19">
        <v>275.928</v>
      </c>
      <c r="C168" s="19">
        <v>3</v>
      </c>
      <c r="D168" s="19">
        <v>-58.634699999999995</v>
      </c>
    </row>
    <row r="169" spans="1:4" x14ac:dyDescent="0.2">
      <c r="A169" s="19" t="s">
        <v>154</v>
      </c>
      <c r="B169" s="19">
        <v>1740.0599999999997</v>
      </c>
      <c r="C169" s="19">
        <v>9</v>
      </c>
      <c r="D169" s="19">
        <v>-24.858000000000175</v>
      </c>
    </row>
    <row r="170" spans="1:4" x14ac:dyDescent="0.2">
      <c r="A170" s="19" t="s">
        <v>154</v>
      </c>
      <c r="B170" s="19">
        <v>32.064</v>
      </c>
      <c r="C170" s="19">
        <v>6</v>
      </c>
      <c r="D170" s="19">
        <v>6.8135999999999974</v>
      </c>
    </row>
    <row r="171" spans="1:4" x14ac:dyDescent="0.2">
      <c r="A171" s="19" t="s">
        <v>154</v>
      </c>
      <c r="B171" s="19">
        <v>177.97999999999996</v>
      </c>
      <c r="C171" s="19">
        <v>5</v>
      </c>
      <c r="D171" s="19">
        <v>-453.84900000000005</v>
      </c>
    </row>
    <row r="172" spans="1:4" x14ac:dyDescent="0.2">
      <c r="A172" s="19" t="s">
        <v>154</v>
      </c>
      <c r="B172" s="19">
        <v>143.976</v>
      </c>
      <c r="C172" s="19">
        <v>3</v>
      </c>
      <c r="D172" s="19">
        <v>8.998500000000007</v>
      </c>
    </row>
    <row r="173" spans="1:4" x14ac:dyDescent="0.2">
      <c r="A173" s="19" t="s">
        <v>150</v>
      </c>
      <c r="B173" s="19">
        <v>20.94</v>
      </c>
      <c r="C173" s="19">
        <v>3</v>
      </c>
      <c r="D173" s="19">
        <v>9.841800000000001</v>
      </c>
    </row>
    <row r="174" spans="1:4" x14ac:dyDescent="0.2">
      <c r="A174" s="19" t="s">
        <v>150</v>
      </c>
      <c r="B174" s="19">
        <v>110.96</v>
      </c>
      <c r="C174" s="19">
        <v>2</v>
      </c>
      <c r="D174" s="19">
        <v>53.260799999999996</v>
      </c>
    </row>
    <row r="175" spans="1:4" x14ac:dyDescent="0.2">
      <c r="A175" s="19" t="s">
        <v>150</v>
      </c>
      <c r="B175" s="19">
        <v>340.14400000000006</v>
      </c>
      <c r="C175" s="19">
        <v>7</v>
      </c>
      <c r="D175" s="19">
        <v>21.259</v>
      </c>
    </row>
    <row r="176" spans="1:4" x14ac:dyDescent="0.2">
      <c r="A176" s="19" t="s">
        <v>159</v>
      </c>
      <c r="B176" s="19">
        <v>52.447999999999993</v>
      </c>
      <c r="C176" s="19">
        <v>2</v>
      </c>
      <c r="D176" s="19">
        <v>-131.12000000000003</v>
      </c>
    </row>
    <row r="177" spans="1:4" x14ac:dyDescent="0.2">
      <c r="A177" s="19" t="s">
        <v>159</v>
      </c>
      <c r="B177" s="19">
        <v>20.16</v>
      </c>
      <c r="C177" s="19">
        <v>4</v>
      </c>
      <c r="D177" s="19">
        <v>6.5519999999999987</v>
      </c>
    </row>
    <row r="178" spans="1:4" x14ac:dyDescent="0.2">
      <c r="A178" s="19" t="s">
        <v>154</v>
      </c>
      <c r="B178" s="19">
        <v>97.263999999999982</v>
      </c>
      <c r="C178" s="19">
        <v>4</v>
      </c>
      <c r="D178" s="19">
        <v>-243.16000000000008</v>
      </c>
    </row>
    <row r="179" spans="1:4" x14ac:dyDescent="0.2">
      <c r="A179" s="19" t="s">
        <v>173</v>
      </c>
      <c r="B179" s="19">
        <v>396.80200000000002</v>
      </c>
      <c r="C179" s="19">
        <v>7</v>
      </c>
      <c r="D179" s="19">
        <v>-11.337199999999939</v>
      </c>
    </row>
    <row r="180" spans="1:4" x14ac:dyDescent="0.2">
      <c r="A180" s="19" t="s">
        <v>173</v>
      </c>
      <c r="B180" s="19">
        <v>15.88</v>
      </c>
      <c r="C180" s="19">
        <v>5</v>
      </c>
      <c r="D180" s="19">
        <v>-3.771500000000001</v>
      </c>
    </row>
    <row r="181" spans="1:4" x14ac:dyDescent="0.2">
      <c r="A181" s="19" t="s">
        <v>164</v>
      </c>
      <c r="B181" s="19">
        <v>3.28</v>
      </c>
      <c r="C181" s="19">
        <v>1</v>
      </c>
      <c r="D181" s="19">
        <v>1.4104000000000001</v>
      </c>
    </row>
    <row r="182" spans="1:4" x14ac:dyDescent="0.2">
      <c r="A182" s="19" t="s">
        <v>159</v>
      </c>
      <c r="B182" s="19">
        <v>24.816000000000003</v>
      </c>
      <c r="C182" s="19">
        <v>2</v>
      </c>
      <c r="D182" s="19">
        <v>1.8612000000000002</v>
      </c>
    </row>
    <row r="183" spans="1:4" x14ac:dyDescent="0.2">
      <c r="A183" s="19" t="s">
        <v>159</v>
      </c>
      <c r="B183" s="19">
        <v>408.74399999999997</v>
      </c>
      <c r="C183" s="19">
        <v>7</v>
      </c>
      <c r="D183" s="19">
        <v>76.639499999999984</v>
      </c>
    </row>
    <row r="184" spans="1:4" x14ac:dyDescent="0.2">
      <c r="A184" s="19" t="s">
        <v>177</v>
      </c>
      <c r="B184" s="19">
        <v>503.96</v>
      </c>
      <c r="C184" s="19">
        <v>4</v>
      </c>
      <c r="D184" s="19">
        <v>131.02960000000002</v>
      </c>
    </row>
    <row r="185" spans="1:4" x14ac:dyDescent="0.2">
      <c r="A185" s="19" t="s">
        <v>177</v>
      </c>
      <c r="B185" s="19">
        <v>149.94999999999999</v>
      </c>
      <c r="C185" s="19">
        <v>5</v>
      </c>
      <c r="D185" s="19">
        <v>41.986000000000004</v>
      </c>
    </row>
    <row r="186" spans="1:4" x14ac:dyDescent="0.2">
      <c r="A186" s="19" t="s">
        <v>177</v>
      </c>
      <c r="B186" s="19">
        <v>29</v>
      </c>
      <c r="C186" s="19">
        <v>2</v>
      </c>
      <c r="D186" s="19">
        <v>7.25</v>
      </c>
    </row>
    <row r="187" spans="1:4" x14ac:dyDescent="0.2">
      <c r="A187" s="19" t="s">
        <v>178</v>
      </c>
      <c r="B187" s="19">
        <v>7.16</v>
      </c>
      <c r="C187" s="19">
        <v>2</v>
      </c>
      <c r="D187" s="19">
        <v>3.4367999999999999</v>
      </c>
    </row>
    <row r="188" spans="1:4" x14ac:dyDescent="0.2">
      <c r="A188" s="19" t="s">
        <v>150</v>
      </c>
      <c r="B188" s="19">
        <v>176.8</v>
      </c>
      <c r="C188" s="19">
        <v>8</v>
      </c>
      <c r="D188" s="19">
        <v>22.984000000000009</v>
      </c>
    </row>
    <row r="189" spans="1:4" x14ac:dyDescent="0.2">
      <c r="A189" s="19" t="s">
        <v>154</v>
      </c>
      <c r="B189" s="19">
        <v>37.224000000000004</v>
      </c>
      <c r="C189" s="19">
        <v>3</v>
      </c>
      <c r="D189" s="19">
        <v>3.7224000000000004</v>
      </c>
    </row>
    <row r="190" spans="1:4" x14ac:dyDescent="0.2">
      <c r="A190" s="19" t="s">
        <v>154</v>
      </c>
      <c r="B190" s="19">
        <v>20.016000000000002</v>
      </c>
      <c r="C190" s="19">
        <v>3</v>
      </c>
      <c r="D190" s="19">
        <v>6.2549999999999963</v>
      </c>
    </row>
    <row r="191" spans="1:4" x14ac:dyDescent="0.2">
      <c r="A191" s="19" t="s">
        <v>164</v>
      </c>
      <c r="B191" s="19">
        <v>899.13600000000008</v>
      </c>
      <c r="C191" s="19">
        <v>4</v>
      </c>
      <c r="D191" s="19">
        <v>112.39199999999991</v>
      </c>
    </row>
    <row r="192" spans="1:4" x14ac:dyDescent="0.2">
      <c r="A192" s="19" t="s">
        <v>164</v>
      </c>
      <c r="B192" s="19">
        <v>71.760000000000005</v>
      </c>
      <c r="C192" s="19">
        <v>6</v>
      </c>
      <c r="D192" s="19">
        <v>20.092800000000004</v>
      </c>
    </row>
    <row r="193" spans="1:4" x14ac:dyDescent="0.2">
      <c r="A193" s="19" t="s">
        <v>164</v>
      </c>
      <c r="B193" s="19">
        <v>51.84</v>
      </c>
      <c r="C193" s="19">
        <v>8</v>
      </c>
      <c r="D193" s="19">
        <v>24.883200000000002</v>
      </c>
    </row>
    <row r="194" spans="1:4" x14ac:dyDescent="0.2">
      <c r="A194" s="19" t="s">
        <v>164</v>
      </c>
      <c r="B194" s="19">
        <v>626.35200000000009</v>
      </c>
      <c r="C194" s="19">
        <v>3</v>
      </c>
      <c r="D194" s="19">
        <v>46.976400000000012</v>
      </c>
    </row>
    <row r="195" spans="1:4" x14ac:dyDescent="0.2">
      <c r="A195" s="19" t="s">
        <v>164</v>
      </c>
      <c r="B195" s="19">
        <v>19.899999999999999</v>
      </c>
      <c r="C195" s="19">
        <v>5</v>
      </c>
      <c r="D195" s="19">
        <v>6.5669999999999984</v>
      </c>
    </row>
    <row r="196" spans="1:4" x14ac:dyDescent="0.2">
      <c r="A196" s="19" t="s">
        <v>150</v>
      </c>
      <c r="B196" s="19">
        <v>14.280000000000001</v>
      </c>
      <c r="C196" s="19">
        <v>7</v>
      </c>
      <c r="D196" s="19">
        <v>6.7115999999999989</v>
      </c>
    </row>
    <row r="197" spans="1:4" x14ac:dyDescent="0.2">
      <c r="A197" s="19" t="s">
        <v>173</v>
      </c>
      <c r="B197" s="19">
        <v>7.4080000000000004</v>
      </c>
      <c r="C197" s="19">
        <v>2</v>
      </c>
      <c r="D197" s="19">
        <v>1.2037999999999995</v>
      </c>
    </row>
    <row r="198" spans="1:4" x14ac:dyDescent="0.2">
      <c r="A198" s="19" t="s">
        <v>173</v>
      </c>
      <c r="B198" s="19">
        <v>6.048</v>
      </c>
      <c r="C198" s="19">
        <v>3</v>
      </c>
      <c r="D198" s="19">
        <v>1.5876000000000006</v>
      </c>
    </row>
    <row r="199" spans="1:4" x14ac:dyDescent="0.2">
      <c r="A199" s="19" t="s">
        <v>179</v>
      </c>
      <c r="B199" s="19">
        <v>46.26</v>
      </c>
      <c r="C199" s="19">
        <v>3</v>
      </c>
      <c r="D199" s="19">
        <v>12.0276</v>
      </c>
    </row>
    <row r="200" spans="1:4" x14ac:dyDescent="0.2">
      <c r="A200" s="19" t="s">
        <v>158</v>
      </c>
      <c r="B200" s="19">
        <v>2.9460000000000006</v>
      </c>
      <c r="C200" s="19">
        <v>2</v>
      </c>
      <c r="D200" s="19">
        <v>-2.2585999999999995</v>
      </c>
    </row>
    <row r="201" spans="1:4" x14ac:dyDescent="0.2">
      <c r="A201" s="19" t="s">
        <v>158</v>
      </c>
      <c r="B201" s="19">
        <v>16.056000000000001</v>
      </c>
      <c r="C201" s="19">
        <v>3</v>
      </c>
      <c r="D201" s="19">
        <v>5.8203000000000005</v>
      </c>
    </row>
    <row r="202" spans="1:4" x14ac:dyDescent="0.2">
      <c r="A202" s="19" t="s">
        <v>173</v>
      </c>
      <c r="B202" s="19">
        <v>21.744000000000003</v>
      </c>
      <c r="C202" s="19">
        <v>3</v>
      </c>
      <c r="D202" s="19">
        <v>6.794999999999999</v>
      </c>
    </row>
    <row r="203" spans="1:4" x14ac:dyDescent="0.2">
      <c r="A203" s="19" t="s">
        <v>171</v>
      </c>
      <c r="B203" s="19">
        <v>218.75</v>
      </c>
      <c r="C203" s="19">
        <v>2</v>
      </c>
      <c r="D203" s="19">
        <v>-161.875</v>
      </c>
    </row>
    <row r="204" spans="1:4" x14ac:dyDescent="0.2">
      <c r="A204" s="19" t="s">
        <v>171</v>
      </c>
      <c r="B204" s="19">
        <v>2.6</v>
      </c>
      <c r="C204" s="19">
        <v>1</v>
      </c>
      <c r="D204" s="19">
        <v>0.29249999999999987</v>
      </c>
    </row>
    <row r="205" spans="1:4" x14ac:dyDescent="0.2">
      <c r="A205" s="19" t="s">
        <v>154</v>
      </c>
      <c r="B205" s="19">
        <v>66.283999999999992</v>
      </c>
      <c r="C205" s="19">
        <v>2</v>
      </c>
      <c r="D205" s="19">
        <v>-178.96680000000001</v>
      </c>
    </row>
    <row r="206" spans="1:4" x14ac:dyDescent="0.2">
      <c r="A206" s="19" t="s">
        <v>167</v>
      </c>
      <c r="B206" s="19">
        <v>35.168000000000006</v>
      </c>
      <c r="C206" s="19">
        <v>7</v>
      </c>
      <c r="D206" s="19">
        <v>9.6712000000000025</v>
      </c>
    </row>
    <row r="207" spans="1:4" x14ac:dyDescent="0.2">
      <c r="A207" s="19" t="s">
        <v>150</v>
      </c>
      <c r="B207" s="19">
        <v>444.76800000000003</v>
      </c>
      <c r="C207" s="19">
        <v>4</v>
      </c>
      <c r="D207" s="19">
        <v>44.476800000000026</v>
      </c>
    </row>
    <row r="208" spans="1:4" x14ac:dyDescent="0.2">
      <c r="A208" s="19" t="s">
        <v>161</v>
      </c>
      <c r="B208" s="19">
        <v>83.92</v>
      </c>
      <c r="C208" s="19">
        <v>4</v>
      </c>
      <c r="D208" s="19">
        <v>5.8743999999999943</v>
      </c>
    </row>
    <row r="209" spans="1:4" x14ac:dyDescent="0.2">
      <c r="A209" s="19" t="s">
        <v>161</v>
      </c>
      <c r="B209" s="19">
        <v>131.97999999999999</v>
      </c>
      <c r="C209" s="19">
        <v>2</v>
      </c>
      <c r="D209" s="19">
        <v>35.634600000000006</v>
      </c>
    </row>
    <row r="210" spans="1:4" x14ac:dyDescent="0.2">
      <c r="A210" s="19" t="s">
        <v>161</v>
      </c>
      <c r="B210" s="19">
        <v>15.92</v>
      </c>
      <c r="C210" s="19">
        <v>4</v>
      </c>
      <c r="D210" s="19">
        <v>7.4824000000000002</v>
      </c>
    </row>
    <row r="211" spans="1:4" x14ac:dyDescent="0.2">
      <c r="A211" s="19" t="s">
        <v>161</v>
      </c>
      <c r="B211" s="19">
        <v>52.29</v>
      </c>
      <c r="C211" s="19">
        <v>9</v>
      </c>
      <c r="D211" s="19">
        <v>16.209899999999998</v>
      </c>
    </row>
    <row r="212" spans="1:4" x14ac:dyDescent="0.2">
      <c r="A212" s="19" t="s">
        <v>161</v>
      </c>
      <c r="B212" s="19">
        <v>91.99</v>
      </c>
      <c r="C212" s="19">
        <v>1</v>
      </c>
      <c r="D212" s="19">
        <v>3.6795999999999935</v>
      </c>
    </row>
    <row r="213" spans="1:4" x14ac:dyDescent="0.2">
      <c r="A213" s="19" t="s">
        <v>154</v>
      </c>
      <c r="B213" s="19">
        <v>20.8</v>
      </c>
      <c r="C213" s="19">
        <v>2</v>
      </c>
      <c r="D213" s="19">
        <v>6.4999999999999991</v>
      </c>
    </row>
    <row r="214" spans="1:4" x14ac:dyDescent="0.2">
      <c r="A214" s="19" t="s">
        <v>173</v>
      </c>
      <c r="B214" s="19">
        <v>23.680000000000003</v>
      </c>
      <c r="C214" s="19">
        <v>2</v>
      </c>
      <c r="D214" s="19">
        <v>8.879999999999999</v>
      </c>
    </row>
    <row r="215" spans="1:4" x14ac:dyDescent="0.2">
      <c r="A215" s="19" t="s">
        <v>173</v>
      </c>
      <c r="B215" s="19">
        <v>452.45</v>
      </c>
      <c r="C215" s="19">
        <v>5</v>
      </c>
      <c r="D215" s="19">
        <v>-244.32300000000006</v>
      </c>
    </row>
    <row r="216" spans="1:4" x14ac:dyDescent="0.2">
      <c r="A216" s="19" t="s">
        <v>173</v>
      </c>
      <c r="B216" s="19">
        <v>62.981999999999999</v>
      </c>
      <c r="C216" s="19">
        <v>3</v>
      </c>
      <c r="D216" s="19">
        <v>-14.695800000000006</v>
      </c>
    </row>
    <row r="217" spans="1:4" x14ac:dyDescent="0.2">
      <c r="A217" s="19" t="s">
        <v>173</v>
      </c>
      <c r="B217" s="19">
        <v>1188.0000000000002</v>
      </c>
      <c r="C217" s="19">
        <v>9</v>
      </c>
      <c r="D217" s="19">
        <v>-950.40000000000009</v>
      </c>
    </row>
    <row r="218" spans="1:4" x14ac:dyDescent="0.2">
      <c r="A218" s="19" t="s">
        <v>173</v>
      </c>
      <c r="B218" s="19">
        <v>89.584000000000003</v>
      </c>
      <c r="C218" s="19">
        <v>2</v>
      </c>
      <c r="D218" s="19">
        <v>4.4792000000000058</v>
      </c>
    </row>
    <row r="219" spans="1:4" x14ac:dyDescent="0.2">
      <c r="A219" s="19" t="s">
        <v>150</v>
      </c>
      <c r="B219" s="19">
        <v>93.06</v>
      </c>
      <c r="C219" s="19">
        <v>6</v>
      </c>
      <c r="D219" s="19">
        <v>26.056800000000003</v>
      </c>
    </row>
    <row r="220" spans="1:4" x14ac:dyDescent="0.2">
      <c r="A220" s="19" t="s">
        <v>150</v>
      </c>
      <c r="B220" s="19">
        <v>302.37599999999998</v>
      </c>
      <c r="C220" s="19">
        <v>3</v>
      </c>
      <c r="D220" s="19">
        <v>22.678200000000018</v>
      </c>
    </row>
    <row r="221" spans="1:4" x14ac:dyDescent="0.2">
      <c r="A221" s="19" t="s">
        <v>173</v>
      </c>
      <c r="B221" s="19">
        <v>5.5840000000000005</v>
      </c>
      <c r="C221" s="19">
        <v>2</v>
      </c>
      <c r="D221" s="19">
        <v>1.8147999999999997</v>
      </c>
    </row>
    <row r="222" spans="1:4" x14ac:dyDescent="0.2">
      <c r="A222" s="19" t="s">
        <v>173</v>
      </c>
      <c r="B222" s="19">
        <v>22.704000000000004</v>
      </c>
      <c r="C222" s="19">
        <v>6</v>
      </c>
      <c r="D222" s="19">
        <v>8.2302</v>
      </c>
    </row>
    <row r="223" spans="1:4" x14ac:dyDescent="0.2">
      <c r="A223" s="19" t="s">
        <v>173</v>
      </c>
      <c r="B223" s="19">
        <v>19.776000000000003</v>
      </c>
      <c r="C223" s="19">
        <v>4</v>
      </c>
      <c r="D223" s="19">
        <v>-13.843199999999996</v>
      </c>
    </row>
    <row r="224" spans="1:4" x14ac:dyDescent="0.2">
      <c r="A224" s="19" t="s">
        <v>173</v>
      </c>
      <c r="B224" s="19">
        <v>72.703999999999994</v>
      </c>
      <c r="C224" s="19">
        <v>4</v>
      </c>
      <c r="D224" s="19">
        <v>19.084800000000005</v>
      </c>
    </row>
    <row r="225" spans="1:4" x14ac:dyDescent="0.2">
      <c r="A225" s="19" t="s">
        <v>173</v>
      </c>
      <c r="B225" s="19">
        <v>479.98800000000006</v>
      </c>
      <c r="C225" s="19">
        <v>4</v>
      </c>
      <c r="D225" s="19">
        <v>-383.99040000000002</v>
      </c>
    </row>
    <row r="226" spans="1:4" x14ac:dyDescent="0.2">
      <c r="A226" s="19" t="s">
        <v>173</v>
      </c>
      <c r="B226" s="19">
        <v>27.168000000000003</v>
      </c>
      <c r="C226" s="19">
        <v>2</v>
      </c>
      <c r="D226" s="19">
        <v>2.7168000000000001</v>
      </c>
    </row>
    <row r="227" spans="1:4" x14ac:dyDescent="0.2">
      <c r="A227" s="19" t="s">
        <v>161</v>
      </c>
      <c r="B227" s="19">
        <v>2.2000000000000002</v>
      </c>
      <c r="C227" s="19">
        <v>1</v>
      </c>
      <c r="D227" s="19">
        <v>0.96800000000000019</v>
      </c>
    </row>
    <row r="228" spans="1:4" x14ac:dyDescent="0.2">
      <c r="A228" s="19" t="s">
        <v>161</v>
      </c>
      <c r="B228" s="19">
        <v>622.44999999999993</v>
      </c>
      <c r="C228" s="19">
        <v>5</v>
      </c>
      <c r="D228" s="19">
        <v>136.93899999999999</v>
      </c>
    </row>
    <row r="229" spans="1:4" x14ac:dyDescent="0.2">
      <c r="A229" s="19" t="s">
        <v>161</v>
      </c>
      <c r="B229" s="19">
        <v>21.98</v>
      </c>
      <c r="C229" s="19">
        <v>1</v>
      </c>
      <c r="D229" s="19">
        <v>0.21979999999999933</v>
      </c>
    </row>
    <row r="230" spans="1:4" x14ac:dyDescent="0.2">
      <c r="A230" s="19" t="s">
        <v>167</v>
      </c>
      <c r="B230" s="19">
        <v>161.56800000000001</v>
      </c>
      <c r="C230" s="19">
        <v>2</v>
      </c>
      <c r="D230" s="19">
        <v>-28.274400000000021</v>
      </c>
    </row>
    <row r="231" spans="1:4" x14ac:dyDescent="0.2">
      <c r="A231" s="19" t="s">
        <v>167</v>
      </c>
      <c r="B231" s="19">
        <v>389.69600000000003</v>
      </c>
      <c r="C231" s="19">
        <v>8</v>
      </c>
      <c r="D231" s="19">
        <v>43.840799999999973</v>
      </c>
    </row>
    <row r="232" spans="1:4" x14ac:dyDescent="0.2">
      <c r="A232" s="19" t="s">
        <v>152</v>
      </c>
      <c r="B232" s="19">
        <v>18.648000000000003</v>
      </c>
      <c r="C232" s="19">
        <v>7</v>
      </c>
      <c r="D232" s="19">
        <v>-12.431999999999999</v>
      </c>
    </row>
    <row r="233" spans="1:4" x14ac:dyDescent="0.2">
      <c r="A233" s="19" t="s">
        <v>151</v>
      </c>
      <c r="B233" s="19">
        <v>233.86</v>
      </c>
      <c r="C233" s="19">
        <v>2</v>
      </c>
      <c r="D233" s="19">
        <v>-102.04800000000003</v>
      </c>
    </row>
    <row r="234" spans="1:4" x14ac:dyDescent="0.2">
      <c r="A234" s="19" t="s">
        <v>151</v>
      </c>
      <c r="B234" s="19">
        <v>620.61450000000013</v>
      </c>
      <c r="C234" s="19">
        <v>3</v>
      </c>
      <c r="D234" s="19">
        <v>-248.24579999999992</v>
      </c>
    </row>
    <row r="235" spans="1:4" x14ac:dyDescent="0.2">
      <c r="A235" s="19" t="s">
        <v>151</v>
      </c>
      <c r="B235" s="19">
        <v>5.3280000000000012</v>
      </c>
      <c r="C235" s="19">
        <v>2</v>
      </c>
      <c r="D235" s="19">
        <v>-3.5519999999999996</v>
      </c>
    </row>
    <row r="236" spans="1:4" x14ac:dyDescent="0.2">
      <c r="A236" s="19" t="s">
        <v>151</v>
      </c>
      <c r="B236" s="19">
        <v>258.072</v>
      </c>
      <c r="C236" s="19">
        <v>3</v>
      </c>
      <c r="D236" s="19">
        <v>0</v>
      </c>
    </row>
    <row r="237" spans="1:4" x14ac:dyDescent="0.2">
      <c r="A237" s="19" t="s">
        <v>151</v>
      </c>
      <c r="B237" s="19">
        <v>617.97600000000011</v>
      </c>
      <c r="C237" s="19">
        <v>3</v>
      </c>
      <c r="D237" s="19">
        <v>-7.724700000000098</v>
      </c>
    </row>
    <row r="238" spans="1:4" x14ac:dyDescent="0.2">
      <c r="A238" s="19" t="s">
        <v>150</v>
      </c>
      <c r="B238" s="19">
        <v>10.56</v>
      </c>
      <c r="C238" s="19">
        <v>2</v>
      </c>
      <c r="D238" s="19">
        <v>4.7519999999999998</v>
      </c>
    </row>
    <row r="239" spans="1:4" x14ac:dyDescent="0.2">
      <c r="A239" s="19" t="s">
        <v>159</v>
      </c>
      <c r="B239" s="19">
        <v>25.920000000000005</v>
      </c>
      <c r="C239" s="19">
        <v>5</v>
      </c>
      <c r="D239" s="19">
        <v>9.3960000000000008</v>
      </c>
    </row>
    <row r="240" spans="1:4" x14ac:dyDescent="0.2">
      <c r="A240" s="19" t="s">
        <v>159</v>
      </c>
      <c r="B240" s="19">
        <v>419.68000000000006</v>
      </c>
      <c r="C240" s="19">
        <v>5</v>
      </c>
      <c r="D240" s="19">
        <v>-356.72799999999995</v>
      </c>
    </row>
    <row r="241" spans="1:4" x14ac:dyDescent="0.2">
      <c r="A241" s="19" t="s">
        <v>159</v>
      </c>
      <c r="B241" s="19">
        <v>11.688000000000001</v>
      </c>
      <c r="C241" s="19">
        <v>3</v>
      </c>
      <c r="D241" s="19">
        <v>-4.6751999999999985</v>
      </c>
    </row>
    <row r="242" spans="1:4" x14ac:dyDescent="0.2">
      <c r="A242" s="19" t="s">
        <v>159</v>
      </c>
      <c r="B242" s="19">
        <v>31.983999999999998</v>
      </c>
      <c r="C242" s="19">
        <v>2</v>
      </c>
      <c r="D242" s="19">
        <v>11.194399999999998</v>
      </c>
    </row>
    <row r="243" spans="1:4" x14ac:dyDescent="0.2">
      <c r="A243" s="19" t="s">
        <v>159</v>
      </c>
      <c r="B243" s="19">
        <v>177.22499999999999</v>
      </c>
      <c r="C243" s="19">
        <v>5</v>
      </c>
      <c r="D243" s="19">
        <v>-120.51299999999998</v>
      </c>
    </row>
    <row r="244" spans="1:4" x14ac:dyDescent="0.2">
      <c r="A244" s="19" t="s">
        <v>159</v>
      </c>
      <c r="B244" s="19">
        <v>4.0440000000000005</v>
      </c>
      <c r="C244" s="19">
        <v>3</v>
      </c>
      <c r="D244" s="19">
        <v>-2.8307999999999995</v>
      </c>
    </row>
    <row r="245" spans="1:4" x14ac:dyDescent="0.2">
      <c r="A245" s="19" t="s">
        <v>159</v>
      </c>
      <c r="B245" s="19">
        <v>7.4080000000000004</v>
      </c>
      <c r="C245" s="19">
        <v>2</v>
      </c>
      <c r="D245" s="19">
        <v>1.2037999999999995</v>
      </c>
    </row>
    <row r="246" spans="1:4" x14ac:dyDescent="0.2">
      <c r="A246" s="19" t="s">
        <v>160</v>
      </c>
      <c r="B246" s="19">
        <v>2001.8600000000001</v>
      </c>
      <c r="C246" s="19">
        <v>7</v>
      </c>
      <c r="D246" s="19">
        <v>580.53939999999989</v>
      </c>
    </row>
    <row r="247" spans="1:4" x14ac:dyDescent="0.2">
      <c r="A247" s="19" t="s">
        <v>160</v>
      </c>
      <c r="B247" s="19">
        <v>166.72</v>
      </c>
      <c r="C247" s="19">
        <v>2</v>
      </c>
      <c r="D247" s="19">
        <v>41.680000000000007</v>
      </c>
    </row>
    <row r="248" spans="1:4" x14ac:dyDescent="0.2">
      <c r="A248" s="19" t="s">
        <v>160</v>
      </c>
      <c r="B248" s="19">
        <v>47.88</v>
      </c>
      <c r="C248" s="19">
        <v>6</v>
      </c>
      <c r="D248" s="19">
        <v>23.94</v>
      </c>
    </row>
    <row r="249" spans="1:4" x14ac:dyDescent="0.2">
      <c r="A249" s="19" t="s">
        <v>160</v>
      </c>
      <c r="B249" s="19">
        <v>1503.25</v>
      </c>
      <c r="C249" s="19">
        <v>5</v>
      </c>
      <c r="D249" s="19">
        <v>496.07249999999993</v>
      </c>
    </row>
    <row r="250" spans="1:4" x14ac:dyDescent="0.2">
      <c r="A250" s="19" t="s">
        <v>160</v>
      </c>
      <c r="B250" s="19">
        <v>25.92</v>
      </c>
      <c r="C250" s="19">
        <v>4</v>
      </c>
      <c r="D250" s="19">
        <v>12.441600000000001</v>
      </c>
    </row>
    <row r="251" spans="1:4" x14ac:dyDescent="0.2">
      <c r="A251" s="19" t="s">
        <v>150</v>
      </c>
      <c r="B251" s="19">
        <v>321.56799999999998</v>
      </c>
      <c r="C251" s="19">
        <v>2</v>
      </c>
      <c r="D251" s="19">
        <v>28.137200000000007</v>
      </c>
    </row>
    <row r="252" spans="1:4" x14ac:dyDescent="0.2">
      <c r="A252" s="19" t="s">
        <v>150</v>
      </c>
      <c r="B252" s="19">
        <v>7.61</v>
      </c>
      <c r="C252" s="19">
        <v>1</v>
      </c>
      <c r="D252" s="19">
        <v>3.5766999999999998</v>
      </c>
    </row>
    <row r="253" spans="1:4" x14ac:dyDescent="0.2">
      <c r="A253" s="19" t="s">
        <v>150</v>
      </c>
      <c r="B253" s="19">
        <v>3347.37</v>
      </c>
      <c r="C253" s="19">
        <v>13</v>
      </c>
      <c r="D253" s="19">
        <v>636.0002999999997</v>
      </c>
    </row>
    <row r="254" spans="1:4" x14ac:dyDescent="0.2">
      <c r="A254" s="19" t="s">
        <v>164</v>
      </c>
      <c r="B254" s="19">
        <v>80.58</v>
      </c>
      <c r="C254" s="19">
        <v>6</v>
      </c>
      <c r="D254" s="19">
        <v>22.562400000000004</v>
      </c>
    </row>
    <row r="255" spans="1:4" x14ac:dyDescent="0.2">
      <c r="A255" s="19" t="s">
        <v>164</v>
      </c>
      <c r="B255" s="19">
        <v>361.92</v>
      </c>
      <c r="C255" s="19">
        <v>4</v>
      </c>
      <c r="D255" s="19">
        <v>162.864</v>
      </c>
    </row>
    <row r="256" spans="1:4" x14ac:dyDescent="0.2">
      <c r="A256" s="19" t="s">
        <v>159</v>
      </c>
      <c r="B256" s="19">
        <v>12.132000000000001</v>
      </c>
      <c r="C256" s="19">
        <v>9</v>
      </c>
      <c r="D256" s="19">
        <v>-8.4923999999999982</v>
      </c>
    </row>
    <row r="257" spans="1:4" x14ac:dyDescent="0.2">
      <c r="A257" s="19" t="s">
        <v>159</v>
      </c>
      <c r="B257" s="19">
        <v>82.367999999999995</v>
      </c>
      <c r="C257" s="19">
        <v>2</v>
      </c>
      <c r="D257" s="19">
        <v>-19.562399999999997</v>
      </c>
    </row>
    <row r="258" spans="1:4" x14ac:dyDescent="0.2">
      <c r="A258" s="19" t="s">
        <v>159</v>
      </c>
      <c r="B258" s="19">
        <v>53.92</v>
      </c>
      <c r="C258" s="19">
        <v>5</v>
      </c>
      <c r="D258" s="19">
        <v>4.0439999999999969</v>
      </c>
    </row>
    <row r="259" spans="1:4" x14ac:dyDescent="0.2">
      <c r="A259" s="19" t="s">
        <v>159</v>
      </c>
      <c r="B259" s="19">
        <v>647.904</v>
      </c>
      <c r="C259" s="19">
        <v>6</v>
      </c>
      <c r="D259" s="19">
        <v>56.691599999999966</v>
      </c>
    </row>
    <row r="260" spans="1:4" x14ac:dyDescent="0.2">
      <c r="A260" s="19" t="s">
        <v>164</v>
      </c>
      <c r="B260" s="19">
        <v>20.37</v>
      </c>
      <c r="C260" s="19">
        <v>3</v>
      </c>
      <c r="D260" s="19">
        <v>6.9258000000000006</v>
      </c>
    </row>
    <row r="261" spans="1:4" x14ac:dyDescent="0.2">
      <c r="A261" s="19" t="s">
        <v>164</v>
      </c>
      <c r="B261" s="19">
        <v>221.54999999999998</v>
      </c>
      <c r="C261" s="19">
        <v>3</v>
      </c>
      <c r="D261" s="19">
        <v>6.6465000000000174</v>
      </c>
    </row>
    <row r="262" spans="1:4" x14ac:dyDescent="0.2">
      <c r="A262" s="19" t="s">
        <v>164</v>
      </c>
      <c r="B262" s="19">
        <v>17.52</v>
      </c>
      <c r="C262" s="19">
        <v>5</v>
      </c>
      <c r="D262" s="19">
        <v>6.1319999999999988</v>
      </c>
    </row>
    <row r="263" spans="1:4" x14ac:dyDescent="0.2">
      <c r="A263" s="19" t="s">
        <v>154</v>
      </c>
      <c r="B263" s="19">
        <v>1.6239999999999994</v>
      </c>
      <c r="C263" s="19">
        <v>2</v>
      </c>
      <c r="D263" s="19">
        <v>-4.4660000000000002</v>
      </c>
    </row>
    <row r="264" spans="1:4" x14ac:dyDescent="0.2">
      <c r="A264" s="19" t="s">
        <v>154</v>
      </c>
      <c r="B264" s="19">
        <v>3059.982</v>
      </c>
      <c r="C264" s="19">
        <v>3</v>
      </c>
      <c r="D264" s="19">
        <v>-509.99700000000075</v>
      </c>
    </row>
    <row r="265" spans="1:4" x14ac:dyDescent="0.2">
      <c r="A265" s="19" t="s">
        <v>154</v>
      </c>
      <c r="B265" s="19">
        <v>2519.9579999999996</v>
      </c>
      <c r="C265" s="19">
        <v>7</v>
      </c>
      <c r="D265" s="19">
        <v>-251.99579999999992</v>
      </c>
    </row>
    <row r="266" spans="1:4" x14ac:dyDescent="0.2">
      <c r="A266" s="19" t="s">
        <v>159</v>
      </c>
      <c r="B266" s="19">
        <v>328.22399999999999</v>
      </c>
      <c r="C266" s="19">
        <v>4</v>
      </c>
      <c r="D266" s="19">
        <v>28.7196</v>
      </c>
    </row>
    <row r="267" spans="1:4" x14ac:dyDescent="0.2">
      <c r="A267" s="19" t="s">
        <v>150</v>
      </c>
      <c r="B267" s="19">
        <v>79.900000000000006</v>
      </c>
      <c r="C267" s="19">
        <v>2</v>
      </c>
      <c r="D267" s="19">
        <v>35.156000000000006</v>
      </c>
    </row>
    <row r="268" spans="1:4" x14ac:dyDescent="0.2">
      <c r="A268" s="19" t="s">
        <v>152</v>
      </c>
      <c r="B268" s="19">
        <v>14.015999999999998</v>
      </c>
      <c r="C268" s="19">
        <v>3</v>
      </c>
      <c r="D268" s="19">
        <v>4.7303999999999995</v>
      </c>
    </row>
    <row r="269" spans="1:4" x14ac:dyDescent="0.2">
      <c r="A269" s="19" t="s">
        <v>179</v>
      </c>
      <c r="B269" s="19">
        <v>7.5600000000000005</v>
      </c>
      <c r="C269" s="19">
        <v>6</v>
      </c>
      <c r="D269" s="19">
        <v>0.3024</v>
      </c>
    </row>
    <row r="270" spans="1:4" x14ac:dyDescent="0.2">
      <c r="A270" s="19" t="s">
        <v>173</v>
      </c>
      <c r="B270" s="19">
        <v>37.207999999999998</v>
      </c>
      <c r="C270" s="19">
        <v>1</v>
      </c>
      <c r="D270" s="19">
        <v>-7.4416000000000011</v>
      </c>
    </row>
    <row r="271" spans="1:4" x14ac:dyDescent="0.2">
      <c r="A271" s="19" t="s">
        <v>173</v>
      </c>
      <c r="B271" s="19">
        <v>57.576000000000001</v>
      </c>
      <c r="C271" s="19">
        <v>3</v>
      </c>
      <c r="D271" s="19">
        <v>21.591000000000001</v>
      </c>
    </row>
    <row r="272" spans="1:4" x14ac:dyDescent="0.2">
      <c r="A272" s="19" t="s">
        <v>150</v>
      </c>
      <c r="B272" s="19">
        <v>725.84</v>
      </c>
      <c r="C272" s="19">
        <v>4</v>
      </c>
      <c r="D272" s="19">
        <v>210.4935999999999</v>
      </c>
    </row>
    <row r="273" spans="1:4" x14ac:dyDescent="0.2">
      <c r="A273" s="19" t="s">
        <v>150</v>
      </c>
      <c r="B273" s="19">
        <v>209.92999999999998</v>
      </c>
      <c r="C273" s="19">
        <v>7</v>
      </c>
      <c r="D273" s="19">
        <v>92.369200000000021</v>
      </c>
    </row>
    <row r="274" spans="1:4" x14ac:dyDescent="0.2">
      <c r="A274" s="19" t="s">
        <v>150</v>
      </c>
      <c r="B274" s="19">
        <v>5.28</v>
      </c>
      <c r="C274" s="19">
        <v>3</v>
      </c>
      <c r="D274" s="19">
        <v>2.3232000000000004</v>
      </c>
    </row>
    <row r="275" spans="1:4" x14ac:dyDescent="0.2">
      <c r="A275" s="19" t="s">
        <v>150</v>
      </c>
      <c r="B275" s="19">
        <v>10.92</v>
      </c>
      <c r="C275" s="19">
        <v>3</v>
      </c>
      <c r="D275" s="19">
        <v>4.0949999999999989</v>
      </c>
    </row>
    <row r="276" spans="1:4" x14ac:dyDescent="0.2">
      <c r="A276" s="19" t="s">
        <v>150</v>
      </c>
      <c r="B276" s="19">
        <v>8.82</v>
      </c>
      <c r="C276" s="19">
        <v>2</v>
      </c>
      <c r="D276" s="19">
        <v>4.0571999999999999</v>
      </c>
    </row>
    <row r="277" spans="1:4" x14ac:dyDescent="0.2">
      <c r="A277" s="19" t="s">
        <v>150</v>
      </c>
      <c r="B277" s="19">
        <v>5.98</v>
      </c>
      <c r="C277" s="19">
        <v>1</v>
      </c>
      <c r="D277" s="19">
        <v>1.5548000000000002</v>
      </c>
    </row>
    <row r="278" spans="1:4" x14ac:dyDescent="0.2">
      <c r="A278" s="19" t="s">
        <v>158</v>
      </c>
      <c r="B278" s="19">
        <v>11.648000000000001</v>
      </c>
      <c r="C278" s="19">
        <v>2</v>
      </c>
      <c r="D278" s="19">
        <v>4.0768000000000004</v>
      </c>
    </row>
    <row r="279" spans="1:4" x14ac:dyDescent="0.2">
      <c r="A279" s="19" t="s">
        <v>158</v>
      </c>
      <c r="B279" s="19">
        <v>18.175999999999998</v>
      </c>
      <c r="C279" s="19">
        <v>4</v>
      </c>
      <c r="D279" s="19">
        <v>5.9071999999999987</v>
      </c>
    </row>
    <row r="280" spans="1:4" x14ac:dyDescent="0.2">
      <c r="A280" s="19" t="s">
        <v>158</v>
      </c>
      <c r="B280" s="19">
        <v>59.712000000000003</v>
      </c>
      <c r="C280" s="19">
        <v>6</v>
      </c>
      <c r="D280" s="19">
        <v>5.9711999999999996</v>
      </c>
    </row>
    <row r="281" spans="1:4" x14ac:dyDescent="0.2">
      <c r="A281" s="19" t="s">
        <v>158</v>
      </c>
      <c r="B281" s="19">
        <v>24.839999999999996</v>
      </c>
      <c r="C281" s="19">
        <v>3</v>
      </c>
      <c r="D281" s="19">
        <v>8.6940000000000008</v>
      </c>
    </row>
    <row r="282" spans="1:4" x14ac:dyDescent="0.2">
      <c r="A282" s="19" t="s">
        <v>154</v>
      </c>
      <c r="B282" s="19">
        <v>2.0799999999999996</v>
      </c>
      <c r="C282" s="19">
        <v>5</v>
      </c>
      <c r="D282" s="19">
        <v>-3.4320000000000004</v>
      </c>
    </row>
    <row r="283" spans="1:4" x14ac:dyDescent="0.2">
      <c r="A283" s="19" t="s">
        <v>154</v>
      </c>
      <c r="B283" s="19">
        <v>1114.4000000000001</v>
      </c>
      <c r="C283" s="19">
        <v>7</v>
      </c>
      <c r="D283" s="19">
        <v>376.11</v>
      </c>
    </row>
    <row r="284" spans="1:4" x14ac:dyDescent="0.2">
      <c r="A284" s="19" t="s">
        <v>150</v>
      </c>
      <c r="B284" s="19">
        <v>1038.8399999999999</v>
      </c>
      <c r="C284" s="19">
        <v>5</v>
      </c>
      <c r="D284" s="19">
        <v>51.942000000000007</v>
      </c>
    </row>
    <row r="285" spans="1:4" x14ac:dyDescent="0.2">
      <c r="A285" s="19" t="s">
        <v>170</v>
      </c>
      <c r="B285" s="19">
        <v>141.76</v>
      </c>
      <c r="C285" s="19">
        <v>5</v>
      </c>
      <c r="D285" s="19">
        <v>47.843999999999994</v>
      </c>
    </row>
    <row r="286" spans="1:4" x14ac:dyDescent="0.2">
      <c r="A286" s="19" t="s">
        <v>170</v>
      </c>
      <c r="B286" s="19">
        <v>239.80000000000004</v>
      </c>
      <c r="C286" s="19">
        <v>5</v>
      </c>
      <c r="D286" s="19">
        <v>47.959999999999987</v>
      </c>
    </row>
    <row r="287" spans="1:4" x14ac:dyDescent="0.2">
      <c r="A287" s="19" t="s">
        <v>170</v>
      </c>
      <c r="B287" s="19">
        <v>31.104000000000006</v>
      </c>
      <c r="C287" s="19">
        <v>6</v>
      </c>
      <c r="D287" s="19">
        <v>10.8864</v>
      </c>
    </row>
    <row r="288" spans="1:4" x14ac:dyDescent="0.2">
      <c r="A288" s="19" t="s">
        <v>151</v>
      </c>
      <c r="B288" s="19">
        <v>254.05800000000002</v>
      </c>
      <c r="C288" s="19">
        <v>7</v>
      </c>
      <c r="D288" s="19">
        <v>-169.3719999999999</v>
      </c>
    </row>
    <row r="289" spans="1:4" x14ac:dyDescent="0.2">
      <c r="A289" s="19" t="s">
        <v>151</v>
      </c>
      <c r="B289" s="19">
        <v>194.52800000000002</v>
      </c>
      <c r="C289" s="19">
        <v>2</v>
      </c>
      <c r="D289" s="19">
        <v>24.315999999999974</v>
      </c>
    </row>
    <row r="290" spans="1:4" x14ac:dyDescent="0.2">
      <c r="A290" s="19" t="s">
        <v>151</v>
      </c>
      <c r="B290" s="19">
        <v>961.48000000000013</v>
      </c>
      <c r="C290" s="19">
        <v>5</v>
      </c>
      <c r="D290" s="19">
        <v>-204.31449999999995</v>
      </c>
    </row>
    <row r="291" spans="1:4" x14ac:dyDescent="0.2">
      <c r="A291" s="19" t="s">
        <v>173</v>
      </c>
      <c r="B291" s="19">
        <v>19.096</v>
      </c>
      <c r="C291" s="19">
        <v>7</v>
      </c>
      <c r="D291" s="19">
        <v>6.6835999999999993</v>
      </c>
    </row>
    <row r="292" spans="1:4" x14ac:dyDescent="0.2">
      <c r="A292" s="19" t="s">
        <v>173</v>
      </c>
      <c r="B292" s="19">
        <v>18.496000000000002</v>
      </c>
      <c r="C292" s="19">
        <v>8</v>
      </c>
      <c r="D292" s="19">
        <v>6.2423999999999999</v>
      </c>
    </row>
    <row r="293" spans="1:4" x14ac:dyDescent="0.2">
      <c r="A293" s="19" t="s">
        <v>173</v>
      </c>
      <c r="B293" s="19">
        <v>255.98400000000004</v>
      </c>
      <c r="C293" s="19">
        <v>2</v>
      </c>
      <c r="D293" s="19">
        <v>54.396600000000007</v>
      </c>
    </row>
    <row r="294" spans="1:4" x14ac:dyDescent="0.2">
      <c r="A294" s="19" t="s">
        <v>173</v>
      </c>
      <c r="B294" s="19">
        <v>86.97</v>
      </c>
      <c r="C294" s="19">
        <v>3</v>
      </c>
      <c r="D294" s="19">
        <v>-48.703199999999995</v>
      </c>
    </row>
    <row r="295" spans="1:4" x14ac:dyDescent="0.2">
      <c r="A295" s="19" t="s">
        <v>171</v>
      </c>
      <c r="B295" s="19">
        <v>300.416</v>
      </c>
      <c r="C295" s="19">
        <v>8</v>
      </c>
      <c r="D295" s="19">
        <v>78.859200000000001</v>
      </c>
    </row>
    <row r="296" spans="1:4" x14ac:dyDescent="0.2">
      <c r="A296" s="19" t="s">
        <v>171</v>
      </c>
      <c r="B296" s="19">
        <v>230.35200000000003</v>
      </c>
      <c r="C296" s="19">
        <v>3</v>
      </c>
      <c r="D296" s="19">
        <v>20.155800000000013</v>
      </c>
    </row>
    <row r="297" spans="1:4" x14ac:dyDescent="0.2">
      <c r="A297" s="19" t="s">
        <v>171</v>
      </c>
      <c r="B297" s="19">
        <v>218.35200000000003</v>
      </c>
      <c r="C297" s="19">
        <v>3</v>
      </c>
      <c r="D297" s="19">
        <v>-24.564599999999999</v>
      </c>
    </row>
    <row r="298" spans="1:4" x14ac:dyDescent="0.2">
      <c r="A298" s="19" t="s">
        <v>171</v>
      </c>
      <c r="B298" s="19">
        <v>78.600000000000009</v>
      </c>
      <c r="C298" s="19">
        <v>5</v>
      </c>
      <c r="D298" s="19">
        <v>-62.88000000000001</v>
      </c>
    </row>
    <row r="299" spans="1:4" x14ac:dyDescent="0.2">
      <c r="A299" s="19" t="s">
        <v>171</v>
      </c>
      <c r="B299" s="19">
        <v>27.552000000000003</v>
      </c>
      <c r="C299" s="19">
        <v>3</v>
      </c>
      <c r="D299" s="19">
        <v>9.2987999999999964</v>
      </c>
    </row>
    <row r="300" spans="1:4" x14ac:dyDescent="0.2">
      <c r="A300" s="19" t="s">
        <v>179</v>
      </c>
      <c r="B300" s="19">
        <v>32.400000000000006</v>
      </c>
      <c r="C300" s="19">
        <v>5</v>
      </c>
      <c r="D300" s="19">
        <v>15.552000000000001</v>
      </c>
    </row>
    <row r="301" spans="1:4" x14ac:dyDescent="0.2">
      <c r="A301" s="19" t="s">
        <v>179</v>
      </c>
      <c r="B301" s="19">
        <v>1082.48</v>
      </c>
      <c r="C301" s="19">
        <v>8</v>
      </c>
      <c r="D301" s="19">
        <v>10.824800000000096</v>
      </c>
    </row>
    <row r="302" spans="1:4" x14ac:dyDescent="0.2">
      <c r="A302" s="19" t="s">
        <v>179</v>
      </c>
      <c r="B302" s="19">
        <v>56.91</v>
      </c>
      <c r="C302" s="19">
        <v>3</v>
      </c>
      <c r="D302" s="19">
        <v>27.316799999999997</v>
      </c>
    </row>
    <row r="303" spans="1:4" x14ac:dyDescent="0.2">
      <c r="A303" s="19" t="s">
        <v>179</v>
      </c>
      <c r="B303" s="19">
        <v>77.599999999999994</v>
      </c>
      <c r="C303" s="19">
        <v>4</v>
      </c>
      <c r="D303" s="19">
        <v>38.023999999999994</v>
      </c>
    </row>
    <row r="304" spans="1:4" x14ac:dyDescent="0.2">
      <c r="A304" s="19" t="s">
        <v>179</v>
      </c>
      <c r="B304" s="19">
        <v>14.28</v>
      </c>
      <c r="C304" s="19">
        <v>1</v>
      </c>
      <c r="D304" s="19">
        <v>6.5687999999999995</v>
      </c>
    </row>
    <row r="305" spans="1:4" x14ac:dyDescent="0.2">
      <c r="A305" s="19" t="s">
        <v>159</v>
      </c>
      <c r="B305" s="19">
        <v>219.07500000000002</v>
      </c>
      <c r="C305" s="19">
        <v>3</v>
      </c>
      <c r="D305" s="19">
        <v>-131.44500000000005</v>
      </c>
    </row>
    <row r="306" spans="1:4" x14ac:dyDescent="0.2">
      <c r="A306" s="19" t="s">
        <v>164</v>
      </c>
      <c r="B306" s="19">
        <v>26.8</v>
      </c>
      <c r="C306" s="19">
        <v>2</v>
      </c>
      <c r="D306" s="19">
        <v>12.863999999999999</v>
      </c>
    </row>
    <row r="307" spans="1:4" x14ac:dyDescent="0.2">
      <c r="A307" s="19" t="s">
        <v>161</v>
      </c>
      <c r="B307" s="19">
        <v>9.84</v>
      </c>
      <c r="C307" s="19">
        <v>3</v>
      </c>
      <c r="D307" s="19">
        <v>2.8535999999999988</v>
      </c>
    </row>
    <row r="308" spans="1:4" x14ac:dyDescent="0.2">
      <c r="A308" s="19" t="s">
        <v>179</v>
      </c>
      <c r="B308" s="19">
        <v>45.480000000000004</v>
      </c>
      <c r="C308" s="19">
        <v>3</v>
      </c>
      <c r="D308" s="19">
        <v>20.9208</v>
      </c>
    </row>
    <row r="309" spans="1:4" x14ac:dyDescent="0.2">
      <c r="A309" s="19" t="s">
        <v>179</v>
      </c>
      <c r="B309" s="19">
        <v>289.20000000000005</v>
      </c>
      <c r="C309" s="19">
        <v>6</v>
      </c>
      <c r="D309" s="19">
        <v>83.867999999999967</v>
      </c>
    </row>
    <row r="310" spans="1:4" x14ac:dyDescent="0.2">
      <c r="A310" s="19" t="s">
        <v>166</v>
      </c>
      <c r="B310" s="19">
        <v>4.8899999999999997</v>
      </c>
      <c r="C310" s="19">
        <v>1</v>
      </c>
      <c r="D310" s="19">
        <v>2.0049000000000001</v>
      </c>
    </row>
    <row r="311" spans="1:4" x14ac:dyDescent="0.2">
      <c r="A311" s="19" t="s">
        <v>171</v>
      </c>
      <c r="B311" s="19">
        <v>15.136000000000003</v>
      </c>
      <c r="C311" s="19">
        <v>4</v>
      </c>
      <c r="D311" s="19">
        <v>3.5948000000000011</v>
      </c>
    </row>
    <row r="312" spans="1:4" x14ac:dyDescent="0.2">
      <c r="A312" s="19" t="s">
        <v>171</v>
      </c>
      <c r="B312" s="19">
        <v>466.76800000000003</v>
      </c>
      <c r="C312" s="19">
        <v>2</v>
      </c>
      <c r="D312" s="19">
        <v>52.511399999999981</v>
      </c>
    </row>
    <row r="313" spans="1:4" x14ac:dyDescent="0.2">
      <c r="A313" s="19" t="s">
        <v>171</v>
      </c>
      <c r="B313" s="19">
        <v>15.231999999999999</v>
      </c>
      <c r="C313" s="19">
        <v>1</v>
      </c>
      <c r="D313" s="19">
        <v>1.7135999999999978</v>
      </c>
    </row>
    <row r="314" spans="1:4" x14ac:dyDescent="0.2">
      <c r="A314" s="19" t="s">
        <v>171</v>
      </c>
      <c r="B314" s="19">
        <v>6.2640000000000002</v>
      </c>
      <c r="C314" s="19">
        <v>3</v>
      </c>
      <c r="D314" s="19">
        <v>2.0358000000000001</v>
      </c>
    </row>
    <row r="315" spans="1:4" x14ac:dyDescent="0.2">
      <c r="A315" s="19" t="s">
        <v>179</v>
      </c>
      <c r="B315" s="19">
        <v>87.539999999999992</v>
      </c>
      <c r="C315" s="19">
        <v>3</v>
      </c>
      <c r="D315" s="19">
        <v>37.642200000000003</v>
      </c>
    </row>
    <row r="316" spans="1:4" x14ac:dyDescent="0.2">
      <c r="A316" s="19" t="s">
        <v>151</v>
      </c>
      <c r="B316" s="19">
        <v>178.38400000000001</v>
      </c>
      <c r="C316" s="19">
        <v>2</v>
      </c>
      <c r="D316" s="19">
        <v>22.297999999999973</v>
      </c>
    </row>
    <row r="317" spans="1:4" x14ac:dyDescent="0.2">
      <c r="A317" s="19" t="s">
        <v>151</v>
      </c>
      <c r="B317" s="19">
        <v>15.552000000000003</v>
      </c>
      <c r="C317" s="19">
        <v>3</v>
      </c>
      <c r="D317" s="19">
        <v>5.4432</v>
      </c>
    </row>
    <row r="318" spans="1:4" x14ac:dyDescent="0.2">
      <c r="A318" s="19" t="s">
        <v>158</v>
      </c>
      <c r="B318" s="19">
        <v>99.13600000000001</v>
      </c>
      <c r="C318" s="19">
        <v>4</v>
      </c>
      <c r="D318" s="19">
        <v>8.674399999999995</v>
      </c>
    </row>
    <row r="319" spans="1:4" x14ac:dyDescent="0.2">
      <c r="A319" s="19" t="s">
        <v>164</v>
      </c>
      <c r="B319" s="19">
        <v>135.88200000000001</v>
      </c>
      <c r="C319" s="19">
        <v>1</v>
      </c>
      <c r="D319" s="19">
        <v>24.156800000000004</v>
      </c>
    </row>
    <row r="320" spans="1:4" x14ac:dyDescent="0.2">
      <c r="A320" s="19" t="s">
        <v>164</v>
      </c>
      <c r="B320" s="19">
        <v>3991.98</v>
      </c>
      <c r="C320" s="19">
        <v>2</v>
      </c>
      <c r="D320" s="19">
        <v>1995.99</v>
      </c>
    </row>
    <row r="321" spans="1:4" x14ac:dyDescent="0.2">
      <c r="A321" s="19" t="s">
        <v>164</v>
      </c>
      <c r="B321" s="19">
        <v>275.94</v>
      </c>
      <c r="C321" s="19">
        <v>6</v>
      </c>
      <c r="D321" s="19">
        <v>80.022599999999997</v>
      </c>
    </row>
    <row r="322" spans="1:4" x14ac:dyDescent="0.2">
      <c r="A322" s="19" t="s">
        <v>164</v>
      </c>
      <c r="B322" s="19">
        <v>360</v>
      </c>
      <c r="C322" s="19">
        <v>4</v>
      </c>
      <c r="D322" s="19">
        <v>129.6</v>
      </c>
    </row>
    <row r="323" spans="1:4" x14ac:dyDescent="0.2">
      <c r="A323" s="19" t="s">
        <v>164</v>
      </c>
      <c r="B323" s="19">
        <v>43.57</v>
      </c>
      <c r="C323" s="19">
        <v>1</v>
      </c>
      <c r="D323" s="19">
        <v>13.070999999999998</v>
      </c>
    </row>
    <row r="324" spans="1:4" x14ac:dyDescent="0.2">
      <c r="A324" s="19" t="s">
        <v>150</v>
      </c>
      <c r="B324" s="19">
        <v>7.16</v>
      </c>
      <c r="C324" s="19">
        <v>2</v>
      </c>
      <c r="D324" s="19">
        <v>3.58</v>
      </c>
    </row>
    <row r="325" spans="1:4" x14ac:dyDescent="0.2">
      <c r="A325" s="19" t="s">
        <v>150</v>
      </c>
      <c r="B325" s="19">
        <v>251.52</v>
      </c>
      <c r="C325" s="19">
        <v>6</v>
      </c>
      <c r="D325" s="19">
        <v>81.744</v>
      </c>
    </row>
    <row r="326" spans="1:4" x14ac:dyDescent="0.2">
      <c r="A326" s="19" t="s">
        <v>150</v>
      </c>
      <c r="B326" s="19">
        <v>99.99</v>
      </c>
      <c r="C326" s="19">
        <v>1</v>
      </c>
      <c r="D326" s="19">
        <v>34.996499999999997</v>
      </c>
    </row>
    <row r="327" spans="1:4" x14ac:dyDescent="0.2">
      <c r="A327" s="19" t="s">
        <v>167</v>
      </c>
      <c r="B327" s="19">
        <v>15.991999999999999</v>
      </c>
      <c r="C327" s="19">
        <v>1</v>
      </c>
      <c r="D327" s="19">
        <v>0.99949999999999894</v>
      </c>
    </row>
    <row r="328" spans="1:4" x14ac:dyDescent="0.2">
      <c r="A328" s="19" t="s">
        <v>158</v>
      </c>
      <c r="B328" s="19">
        <v>290.89800000000002</v>
      </c>
      <c r="C328" s="19">
        <v>3</v>
      </c>
      <c r="D328" s="19">
        <v>-67.876199999999997</v>
      </c>
    </row>
    <row r="329" spans="1:4" x14ac:dyDescent="0.2">
      <c r="A329" s="19" t="s">
        <v>158</v>
      </c>
      <c r="B329" s="19">
        <v>54.224000000000004</v>
      </c>
      <c r="C329" s="19">
        <v>2</v>
      </c>
      <c r="D329" s="19">
        <v>3.3889999999999993</v>
      </c>
    </row>
    <row r="330" spans="1:4" x14ac:dyDescent="0.2">
      <c r="A330" s="19" t="s">
        <v>158</v>
      </c>
      <c r="B330" s="19">
        <v>786.74400000000003</v>
      </c>
      <c r="C330" s="19">
        <v>4</v>
      </c>
      <c r="D330" s="19">
        <v>-258.50160000000011</v>
      </c>
    </row>
    <row r="331" spans="1:4" x14ac:dyDescent="0.2">
      <c r="A331" s="19" t="s">
        <v>158</v>
      </c>
      <c r="B331" s="19">
        <v>100.24000000000001</v>
      </c>
      <c r="C331" s="19">
        <v>10</v>
      </c>
      <c r="D331" s="19">
        <v>33.830999999999989</v>
      </c>
    </row>
    <row r="332" spans="1:4" x14ac:dyDescent="0.2">
      <c r="A332" s="19" t="s">
        <v>158</v>
      </c>
      <c r="B332" s="19">
        <v>37.76400000000001</v>
      </c>
      <c r="C332" s="19">
        <v>6</v>
      </c>
      <c r="D332" s="19">
        <v>-27.693600000000004</v>
      </c>
    </row>
    <row r="333" spans="1:4" x14ac:dyDescent="0.2">
      <c r="A333" s="19" t="s">
        <v>158</v>
      </c>
      <c r="B333" s="19">
        <v>82.8</v>
      </c>
      <c r="C333" s="19">
        <v>2</v>
      </c>
      <c r="D333" s="19">
        <v>-20.700000000000003</v>
      </c>
    </row>
    <row r="334" spans="1:4" x14ac:dyDescent="0.2">
      <c r="A334" s="19" t="s">
        <v>158</v>
      </c>
      <c r="B334" s="19">
        <v>20.724000000000004</v>
      </c>
      <c r="C334" s="19">
        <v>2</v>
      </c>
      <c r="D334" s="19">
        <v>-13.815999999999995</v>
      </c>
    </row>
    <row r="335" spans="1:4" x14ac:dyDescent="0.2">
      <c r="A335" s="19" t="s">
        <v>158</v>
      </c>
      <c r="B335" s="19">
        <v>4.8960000000000008</v>
      </c>
      <c r="C335" s="19">
        <v>3</v>
      </c>
      <c r="D335" s="19">
        <v>-3.4271999999999991</v>
      </c>
    </row>
    <row r="336" spans="1:4" x14ac:dyDescent="0.2">
      <c r="A336" s="19" t="s">
        <v>150</v>
      </c>
      <c r="B336" s="19">
        <v>4.7520000000000007</v>
      </c>
      <c r="C336" s="19">
        <v>1</v>
      </c>
      <c r="D336" s="19">
        <v>1.6037999999999997</v>
      </c>
    </row>
    <row r="337" spans="1:4" x14ac:dyDescent="0.2">
      <c r="A337" s="19" t="s">
        <v>150</v>
      </c>
      <c r="B337" s="19">
        <v>959.98400000000004</v>
      </c>
      <c r="C337" s="19">
        <v>2</v>
      </c>
      <c r="D337" s="19">
        <v>335.99440000000004</v>
      </c>
    </row>
    <row r="338" spans="1:4" x14ac:dyDescent="0.2">
      <c r="A338" s="19" t="s">
        <v>150</v>
      </c>
      <c r="B338" s="19">
        <v>14.368000000000002</v>
      </c>
      <c r="C338" s="19">
        <v>4</v>
      </c>
      <c r="D338" s="19">
        <v>4.4899999999999984</v>
      </c>
    </row>
    <row r="339" spans="1:4" x14ac:dyDescent="0.2">
      <c r="A339" s="19" t="s">
        <v>150</v>
      </c>
      <c r="B339" s="19">
        <v>7.7120000000000006</v>
      </c>
      <c r="C339" s="19">
        <v>2</v>
      </c>
      <c r="D339" s="19">
        <v>2.7956000000000003</v>
      </c>
    </row>
    <row r="340" spans="1:4" x14ac:dyDescent="0.2">
      <c r="A340" s="19" t="s">
        <v>150</v>
      </c>
      <c r="B340" s="19">
        <v>698.35200000000009</v>
      </c>
      <c r="C340" s="19">
        <v>3</v>
      </c>
      <c r="D340" s="19">
        <v>-17.458800000000053</v>
      </c>
    </row>
    <row r="341" spans="1:4" x14ac:dyDescent="0.2">
      <c r="A341" s="19" t="s">
        <v>156</v>
      </c>
      <c r="B341" s="19">
        <v>4.96</v>
      </c>
      <c r="C341" s="19">
        <v>4</v>
      </c>
      <c r="D341" s="19">
        <v>2.3311999999999999</v>
      </c>
    </row>
    <row r="342" spans="1:4" x14ac:dyDescent="0.2">
      <c r="A342" s="19" t="s">
        <v>158</v>
      </c>
      <c r="B342" s="19">
        <v>17.856000000000002</v>
      </c>
      <c r="C342" s="19">
        <v>4</v>
      </c>
      <c r="D342" s="19">
        <v>1.1159999999999979</v>
      </c>
    </row>
    <row r="343" spans="1:4" x14ac:dyDescent="0.2">
      <c r="A343" s="19" t="s">
        <v>158</v>
      </c>
      <c r="B343" s="19">
        <v>509.97000000000008</v>
      </c>
      <c r="C343" s="19">
        <v>10</v>
      </c>
      <c r="D343" s="19">
        <v>-407.97599999999989</v>
      </c>
    </row>
    <row r="344" spans="1:4" x14ac:dyDescent="0.2">
      <c r="A344" s="19" t="s">
        <v>158</v>
      </c>
      <c r="B344" s="19">
        <v>30.991999999999997</v>
      </c>
      <c r="C344" s="19">
        <v>13</v>
      </c>
      <c r="D344" s="19">
        <v>10.072399999999996</v>
      </c>
    </row>
    <row r="345" spans="1:4" x14ac:dyDescent="0.2">
      <c r="A345" s="19" t="s">
        <v>158</v>
      </c>
      <c r="B345" s="19">
        <v>71.927999999999997</v>
      </c>
      <c r="C345" s="19">
        <v>12</v>
      </c>
      <c r="D345" s="19">
        <v>8.3915999999999897</v>
      </c>
    </row>
    <row r="346" spans="1:4" x14ac:dyDescent="0.2">
      <c r="A346" s="19" t="s">
        <v>154</v>
      </c>
      <c r="B346" s="19">
        <v>88.800000000000011</v>
      </c>
      <c r="C346" s="19">
        <v>4</v>
      </c>
      <c r="D346" s="19">
        <v>-2.2200000000000131</v>
      </c>
    </row>
    <row r="347" spans="1:4" x14ac:dyDescent="0.2">
      <c r="A347" s="19" t="s">
        <v>150</v>
      </c>
      <c r="B347" s="19">
        <v>47.975999999999999</v>
      </c>
      <c r="C347" s="19">
        <v>3</v>
      </c>
      <c r="D347" s="19">
        <v>4.7976000000000028</v>
      </c>
    </row>
    <row r="348" spans="1:4" x14ac:dyDescent="0.2">
      <c r="A348" s="19" t="s">
        <v>180</v>
      </c>
      <c r="B348" s="19">
        <v>7.5600000000000005</v>
      </c>
      <c r="C348" s="19">
        <v>3</v>
      </c>
      <c r="D348" s="19">
        <v>3.0996000000000006</v>
      </c>
    </row>
    <row r="349" spans="1:4" x14ac:dyDescent="0.2">
      <c r="A349" s="19" t="s">
        <v>180</v>
      </c>
      <c r="B349" s="19">
        <v>24.56</v>
      </c>
      <c r="C349" s="19">
        <v>2</v>
      </c>
      <c r="D349" s="19">
        <v>11.543199999999999</v>
      </c>
    </row>
    <row r="350" spans="1:4" x14ac:dyDescent="0.2">
      <c r="A350" s="19" t="s">
        <v>180</v>
      </c>
      <c r="B350" s="19">
        <v>12.96</v>
      </c>
      <c r="C350" s="19">
        <v>2</v>
      </c>
      <c r="D350" s="19">
        <v>4.1471999999999998</v>
      </c>
    </row>
    <row r="351" spans="1:4" x14ac:dyDescent="0.2">
      <c r="A351" s="19" t="s">
        <v>164</v>
      </c>
      <c r="B351" s="19">
        <v>6.79</v>
      </c>
      <c r="C351" s="19">
        <v>1</v>
      </c>
      <c r="D351" s="19">
        <v>2.3086000000000002</v>
      </c>
    </row>
    <row r="352" spans="1:4" x14ac:dyDescent="0.2">
      <c r="A352" s="19" t="s">
        <v>164</v>
      </c>
      <c r="B352" s="19">
        <v>24.56</v>
      </c>
      <c r="C352" s="19">
        <v>2</v>
      </c>
      <c r="D352" s="19">
        <v>11.543199999999999</v>
      </c>
    </row>
    <row r="353" spans="1:4" x14ac:dyDescent="0.2">
      <c r="A353" s="19" t="s">
        <v>164</v>
      </c>
      <c r="B353" s="19">
        <v>3.048</v>
      </c>
      <c r="C353" s="19">
        <v>1</v>
      </c>
      <c r="D353" s="19">
        <v>1.0668</v>
      </c>
    </row>
    <row r="354" spans="1:4" x14ac:dyDescent="0.2">
      <c r="A354" s="19" t="s">
        <v>164</v>
      </c>
      <c r="B354" s="19">
        <v>49.12</v>
      </c>
      <c r="C354" s="19">
        <v>4</v>
      </c>
      <c r="D354" s="19">
        <v>23.086399999999998</v>
      </c>
    </row>
    <row r="355" spans="1:4" x14ac:dyDescent="0.2">
      <c r="A355" s="19" t="s">
        <v>164</v>
      </c>
      <c r="B355" s="19">
        <v>4355.1680000000006</v>
      </c>
      <c r="C355" s="19">
        <v>4</v>
      </c>
      <c r="D355" s="19">
        <v>1415.4295999999997</v>
      </c>
    </row>
    <row r="356" spans="1:4" x14ac:dyDescent="0.2">
      <c r="A356" s="19" t="s">
        <v>164</v>
      </c>
      <c r="B356" s="19">
        <v>388.70400000000006</v>
      </c>
      <c r="C356" s="19">
        <v>6</v>
      </c>
      <c r="D356" s="19">
        <v>-4.8588000000000022</v>
      </c>
    </row>
    <row r="357" spans="1:4" x14ac:dyDescent="0.2">
      <c r="A357" s="19" t="s">
        <v>164</v>
      </c>
      <c r="B357" s="19">
        <v>8.26</v>
      </c>
      <c r="C357" s="19">
        <v>2</v>
      </c>
      <c r="D357" s="19">
        <v>3.7995999999999999</v>
      </c>
    </row>
    <row r="358" spans="1:4" x14ac:dyDescent="0.2">
      <c r="A358" s="19" t="s">
        <v>164</v>
      </c>
      <c r="B358" s="19">
        <v>17.04</v>
      </c>
      <c r="C358" s="19">
        <v>4</v>
      </c>
      <c r="D358" s="19">
        <v>6.9863999999999997</v>
      </c>
    </row>
    <row r="359" spans="1:4" x14ac:dyDescent="0.2">
      <c r="A359" s="19" t="s">
        <v>164</v>
      </c>
      <c r="B359" s="19">
        <v>34.4</v>
      </c>
      <c r="C359" s="19">
        <v>5</v>
      </c>
      <c r="D359" s="19">
        <v>15.823999999999998</v>
      </c>
    </row>
    <row r="360" spans="1:4" x14ac:dyDescent="0.2">
      <c r="A360" s="19" t="s">
        <v>152</v>
      </c>
      <c r="B360" s="19">
        <v>36.240000000000009</v>
      </c>
      <c r="C360" s="19">
        <v>5</v>
      </c>
      <c r="D360" s="19">
        <v>11.324999999999996</v>
      </c>
    </row>
    <row r="361" spans="1:4" x14ac:dyDescent="0.2">
      <c r="A361" s="19" t="s">
        <v>101</v>
      </c>
      <c r="B361" s="19">
        <v>647.84</v>
      </c>
      <c r="C361" s="19">
        <v>8</v>
      </c>
      <c r="D361" s="19">
        <v>168.4384</v>
      </c>
    </row>
    <row r="362" spans="1:4" x14ac:dyDescent="0.2">
      <c r="A362" s="19" t="s">
        <v>101</v>
      </c>
      <c r="B362" s="19">
        <v>20.7</v>
      </c>
      <c r="C362" s="19">
        <v>2</v>
      </c>
      <c r="D362" s="19">
        <v>9.9359999999999999</v>
      </c>
    </row>
    <row r="363" spans="1:4" x14ac:dyDescent="0.2">
      <c r="A363" s="19" t="s">
        <v>164</v>
      </c>
      <c r="B363" s="19">
        <v>20.7</v>
      </c>
      <c r="C363" s="19">
        <v>2</v>
      </c>
      <c r="D363" s="19">
        <v>9.9359999999999999</v>
      </c>
    </row>
    <row r="364" spans="1:4" x14ac:dyDescent="0.2">
      <c r="A364" s="19" t="s">
        <v>164</v>
      </c>
      <c r="B364" s="19">
        <v>488.64600000000002</v>
      </c>
      <c r="C364" s="19">
        <v>3</v>
      </c>
      <c r="D364" s="19">
        <v>86.870400000000004</v>
      </c>
    </row>
    <row r="365" spans="1:4" x14ac:dyDescent="0.2">
      <c r="A365" s="19" t="s">
        <v>164</v>
      </c>
      <c r="B365" s="19">
        <v>5.56</v>
      </c>
      <c r="C365" s="19">
        <v>2</v>
      </c>
      <c r="D365" s="19">
        <v>1.4455999999999998</v>
      </c>
    </row>
    <row r="366" spans="1:4" x14ac:dyDescent="0.2">
      <c r="A366" s="19" t="s">
        <v>164</v>
      </c>
      <c r="B366" s="19">
        <v>47.12</v>
      </c>
      <c r="C366" s="19">
        <v>8</v>
      </c>
      <c r="D366" s="19">
        <v>20.732800000000001</v>
      </c>
    </row>
    <row r="367" spans="1:4" x14ac:dyDescent="0.2">
      <c r="A367" s="19" t="s">
        <v>150</v>
      </c>
      <c r="B367" s="19">
        <v>211.96</v>
      </c>
      <c r="C367" s="19">
        <v>4</v>
      </c>
      <c r="D367" s="19">
        <v>8.4783999999999935</v>
      </c>
    </row>
    <row r="368" spans="1:4" x14ac:dyDescent="0.2">
      <c r="A368" s="19" t="s">
        <v>178</v>
      </c>
      <c r="B368" s="19">
        <v>23.2</v>
      </c>
      <c r="C368" s="19">
        <v>4</v>
      </c>
      <c r="D368" s="19">
        <v>10.44</v>
      </c>
    </row>
    <row r="369" spans="1:4" x14ac:dyDescent="0.2">
      <c r="A369" s="19" t="s">
        <v>178</v>
      </c>
      <c r="B369" s="19">
        <v>7.36</v>
      </c>
      <c r="C369" s="19">
        <v>2</v>
      </c>
      <c r="D369" s="19">
        <v>0.14719999999999978</v>
      </c>
    </row>
    <row r="370" spans="1:4" x14ac:dyDescent="0.2">
      <c r="A370" s="19" t="s">
        <v>178</v>
      </c>
      <c r="B370" s="19">
        <v>104.79</v>
      </c>
      <c r="C370" s="19">
        <v>7</v>
      </c>
      <c r="D370" s="19">
        <v>29.341200000000008</v>
      </c>
    </row>
    <row r="371" spans="1:4" x14ac:dyDescent="0.2">
      <c r="A371" s="19" t="s">
        <v>178</v>
      </c>
      <c r="B371" s="19">
        <v>1043.92</v>
      </c>
      <c r="C371" s="19">
        <v>4</v>
      </c>
      <c r="D371" s="19">
        <v>271.41920000000005</v>
      </c>
    </row>
    <row r="372" spans="1:4" x14ac:dyDescent="0.2">
      <c r="A372" s="19" t="s">
        <v>154</v>
      </c>
      <c r="B372" s="19">
        <v>25.920000000000005</v>
      </c>
      <c r="C372" s="19">
        <v>5</v>
      </c>
      <c r="D372" s="19">
        <v>9.3960000000000008</v>
      </c>
    </row>
    <row r="373" spans="1:4" x14ac:dyDescent="0.2">
      <c r="A373" s="19" t="s">
        <v>154</v>
      </c>
      <c r="B373" s="19">
        <v>53.424000000000007</v>
      </c>
      <c r="C373" s="19">
        <v>3</v>
      </c>
      <c r="D373" s="19">
        <v>4.6746000000000016</v>
      </c>
    </row>
    <row r="374" spans="1:4" x14ac:dyDescent="0.2">
      <c r="A374" s="19" t="s">
        <v>165</v>
      </c>
      <c r="B374" s="19">
        <v>8.1600000000000019</v>
      </c>
      <c r="C374" s="19">
        <v>5</v>
      </c>
      <c r="D374" s="19">
        <v>-5.7119999999999997</v>
      </c>
    </row>
    <row r="375" spans="1:4" x14ac:dyDescent="0.2">
      <c r="A375" s="19" t="s">
        <v>165</v>
      </c>
      <c r="B375" s="19">
        <v>1023.9360000000001</v>
      </c>
      <c r="C375" s="19">
        <v>8</v>
      </c>
      <c r="D375" s="19">
        <v>179.1887999999999</v>
      </c>
    </row>
    <row r="376" spans="1:4" x14ac:dyDescent="0.2">
      <c r="A376" s="19" t="s">
        <v>165</v>
      </c>
      <c r="B376" s="19">
        <v>9.24</v>
      </c>
      <c r="C376" s="19">
        <v>1</v>
      </c>
      <c r="D376" s="19">
        <v>0.92399999999999993</v>
      </c>
    </row>
    <row r="377" spans="1:4" x14ac:dyDescent="0.2">
      <c r="A377" s="19" t="s">
        <v>165</v>
      </c>
      <c r="B377" s="19">
        <v>479.04</v>
      </c>
      <c r="C377" s="19">
        <v>10</v>
      </c>
      <c r="D377" s="19">
        <v>-29.940000000000012</v>
      </c>
    </row>
    <row r="378" spans="1:4" x14ac:dyDescent="0.2">
      <c r="A378" s="19" t="s">
        <v>159</v>
      </c>
      <c r="B378" s="19">
        <v>99.13600000000001</v>
      </c>
      <c r="C378" s="19">
        <v>4</v>
      </c>
      <c r="D378" s="19">
        <v>30.979999999999993</v>
      </c>
    </row>
    <row r="379" spans="1:4" x14ac:dyDescent="0.2">
      <c r="A379" s="19" t="s">
        <v>180</v>
      </c>
      <c r="B379" s="19">
        <v>1488.4239999999998</v>
      </c>
      <c r="C379" s="19">
        <v>7</v>
      </c>
      <c r="D379" s="19">
        <v>-297.68479999999983</v>
      </c>
    </row>
    <row r="380" spans="1:4" x14ac:dyDescent="0.2">
      <c r="A380" s="19" t="s">
        <v>154</v>
      </c>
      <c r="B380" s="19">
        <v>8.6519999999999975</v>
      </c>
      <c r="C380" s="19">
        <v>3</v>
      </c>
      <c r="D380" s="19">
        <v>-20.332200000000007</v>
      </c>
    </row>
    <row r="381" spans="1:4" x14ac:dyDescent="0.2">
      <c r="A381" s="19" t="s">
        <v>154</v>
      </c>
      <c r="B381" s="19">
        <v>23.832000000000001</v>
      </c>
      <c r="C381" s="19">
        <v>3</v>
      </c>
      <c r="D381" s="19">
        <v>2.6810999999999954</v>
      </c>
    </row>
    <row r="382" spans="1:4" x14ac:dyDescent="0.2">
      <c r="A382" s="19" t="s">
        <v>154</v>
      </c>
      <c r="B382" s="19">
        <v>12.175999999999998</v>
      </c>
      <c r="C382" s="19">
        <v>4</v>
      </c>
      <c r="D382" s="19">
        <v>-18.872800000000009</v>
      </c>
    </row>
    <row r="383" spans="1:4" x14ac:dyDescent="0.2">
      <c r="A383" s="19" t="s">
        <v>150</v>
      </c>
      <c r="B383" s="19">
        <v>50.96</v>
      </c>
      <c r="C383" s="19">
        <v>7</v>
      </c>
      <c r="D383" s="19">
        <v>25.48</v>
      </c>
    </row>
    <row r="384" spans="1:4" x14ac:dyDescent="0.2">
      <c r="A384" s="19" t="s">
        <v>150</v>
      </c>
      <c r="B384" s="19">
        <v>49.536000000000001</v>
      </c>
      <c r="C384" s="19">
        <v>3</v>
      </c>
      <c r="D384" s="19">
        <v>17.337599999999998</v>
      </c>
    </row>
    <row r="385" spans="1:4" x14ac:dyDescent="0.2">
      <c r="A385" s="19" t="s">
        <v>161</v>
      </c>
      <c r="B385" s="19">
        <v>41.9</v>
      </c>
      <c r="C385" s="19">
        <v>2</v>
      </c>
      <c r="D385" s="19">
        <v>8.7989999999999995</v>
      </c>
    </row>
    <row r="386" spans="1:4" x14ac:dyDescent="0.2">
      <c r="A386" s="19" t="s">
        <v>151</v>
      </c>
      <c r="B386" s="19">
        <v>375.45750000000004</v>
      </c>
      <c r="C386" s="19">
        <v>3</v>
      </c>
      <c r="D386" s="19">
        <v>-157.00949999999997</v>
      </c>
    </row>
    <row r="387" spans="1:4" x14ac:dyDescent="0.2">
      <c r="A387" s="19" t="s">
        <v>151</v>
      </c>
      <c r="B387" s="19">
        <v>83.976000000000013</v>
      </c>
      <c r="C387" s="19">
        <v>3</v>
      </c>
      <c r="D387" s="19">
        <v>-1.049700000000005</v>
      </c>
    </row>
    <row r="388" spans="1:4" x14ac:dyDescent="0.2">
      <c r="A388" s="19" t="s">
        <v>158</v>
      </c>
      <c r="B388" s="19">
        <v>482.34000000000003</v>
      </c>
      <c r="C388" s="19">
        <v>4</v>
      </c>
      <c r="D388" s="19">
        <v>-337.63799999999981</v>
      </c>
    </row>
    <row r="389" spans="1:4" x14ac:dyDescent="0.2">
      <c r="A389" s="19" t="s">
        <v>158</v>
      </c>
      <c r="B389" s="19">
        <v>2.9600000000000004</v>
      </c>
      <c r="C389" s="19">
        <v>1</v>
      </c>
      <c r="D389" s="19">
        <v>0.77700000000000025</v>
      </c>
    </row>
    <row r="390" spans="1:4" x14ac:dyDescent="0.2">
      <c r="A390" s="19" t="s">
        <v>173</v>
      </c>
      <c r="B390" s="19">
        <v>2.6240000000000001</v>
      </c>
      <c r="C390" s="19">
        <v>1</v>
      </c>
      <c r="D390" s="19">
        <v>0.42639999999999978</v>
      </c>
    </row>
    <row r="391" spans="1:4" x14ac:dyDescent="0.2">
      <c r="A391" s="19" t="s">
        <v>164</v>
      </c>
      <c r="B391" s="19">
        <v>23.36</v>
      </c>
      <c r="C391" s="19">
        <v>4</v>
      </c>
      <c r="D391" s="19">
        <v>7.8839999999999986</v>
      </c>
    </row>
    <row r="392" spans="1:4" x14ac:dyDescent="0.2">
      <c r="A392" s="19" t="s">
        <v>164</v>
      </c>
      <c r="B392" s="19">
        <v>39.979999999999997</v>
      </c>
      <c r="C392" s="19">
        <v>2</v>
      </c>
      <c r="D392" s="19">
        <v>13.593199999999996</v>
      </c>
    </row>
    <row r="393" spans="1:4" x14ac:dyDescent="0.2">
      <c r="A393" s="19" t="s">
        <v>153</v>
      </c>
      <c r="B393" s="19">
        <v>246.38400000000001</v>
      </c>
      <c r="C393" s="19">
        <v>2</v>
      </c>
      <c r="D393" s="19">
        <v>27.718199999999968</v>
      </c>
    </row>
    <row r="394" spans="1:4" x14ac:dyDescent="0.2">
      <c r="A394" s="19" t="s">
        <v>153</v>
      </c>
      <c r="B394" s="19">
        <v>1799.97</v>
      </c>
      <c r="C394" s="19">
        <v>3</v>
      </c>
      <c r="D394" s="19">
        <v>701.98829999999998</v>
      </c>
    </row>
    <row r="395" spans="1:4" x14ac:dyDescent="0.2">
      <c r="A395" s="19" t="s">
        <v>159</v>
      </c>
      <c r="B395" s="19">
        <v>12.461999999999996</v>
      </c>
      <c r="C395" s="19">
        <v>3</v>
      </c>
      <c r="D395" s="19">
        <v>-20.5623</v>
      </c>
    </row>
    <row r="396" spans="1:4" x14ac:dyDescent="0.2">
      <c r="A396" s="19" t="s">
        <v>181</v>
      </c>
      <c r="B396" s="19">
        <v>75.792000000000002</v>
      </c>
      <c r="C396" s="19">
        <v>3</v>
      </c>
      <c r="D396" s="19">
        <v>25.579799999999992</v>
      </c>
    </row>
    <row r="397" spans="1:4" x14ac:dyDescent="0.2">
      <c r="A397" s="19" t="s">
        <v>182</v>
      </c>
      <c r="B397" s="19">
        <v>49.96</v>
      </c>
      <c r="C397" s="19">
        <v>2</v>
      </c>
      <c r="D397" s="19">
        <v>9.4923999999999964</v>
      </c>
    </row>
    <row r="398" spans="1:4" x14ac:dyDescent="0.2">
      <c r="A398" s="19" t="s">
        <v>182</v>
      </c>
      <c r="B398" s="19">
        <v>12.96</v>
      </c>
      <c r="C398" s="19">
        <v>2</v>
      </c>
      <c r="D398" s="19">
        <v>6.2208000000000006</v>
      </c>
    </row>
    <row r="399" spans="1:4" x14ac:dyDescent="0.2">
      <c r="A399" s="19" t="s">
        <v>161</v>
      </c>
      <c r="B399" s="19">
        <v>70.12</v>
      </c>
      <c r="C399" s="19">
        <v>4</v>
      </c>
      <c r="D399" s="19">
        <v>21.035999999999994</v>
      </c>
    </row>
    <row r="400" spans="1:4" x14ac:dyDescent="0.2">
      <c r="A400" s="19" t="s">
        <v>154</v>
      </c>
      <c r="B400" s="19">
        <v>35.952000000000005</v>
      </c>
      <c r="C400" s="19">
        <v>3</v>
      </c>
      <c r="D400" s="19">
        <v>3.5951999999999984</v>
      </c>
    </row>
    <row r="401" spans="1:4" x14ac:dyDescent="0.2">
      <c r="A401" s="19" t="s">
        <v>154</v>
      </c>
      <c r="B401" s="19">
        <v>2396.2655999999997</v>
      </c>
      <c r="C401" s="19">
        <v>4</v>
      </c>
      <c r="D401" s="19">
        <v>-317.15280000000007</v>
      </c>
    </row>
    <row r="402" spans="1:4" x14ac:dyDescent="0.2">
      <c r="A402" s="19" t="s">
        <v>154</v>
      </c>
      <c r="B402" s="19">
        <v>131.136</v>
      </c>
      <c r="C402" s="19">
        <v>4</v>
      </c>
      <c r="D402" s="19">
        <v>-32.783999999999999</v>
      </c>
    </row>
    <row r="403" spans="1:4" x14ac:dyDescent="0.2">
      <c r="A403" s="19" t="s">
        <v>154</v>
      </c>
      <c r="B403" s="19">
        <v>57.584000000000003</v>
      </c>
      <c r="C403" s="19">
        <v>2</v>
      </c>
      <c r="D403" s="19">
        <v>0.71979999999999933</v>
      </c>
    </row>
    <row r="404" spans="1:4" x14ac:dyDescent="0.2">
      <c r="A404" s="19" t="s">
        <v>151</v>
      </c>
      <c r="B404" s="19">
        <v>9.5680000000000014</v>
      </c>
      <c r="C404" s="19">
        <v>2</v>
      </c>
      <c r="D404" s="19">
        <v>3.4683999999999999</v>
      </c>
    </row>
    <row r="405" spans="1:4" x14ac:dyDescent="0.2">
      <c r="A405" s="19" t="s">
        <v>152</v>
      </c>
      <c r="B405" s="19">
        <v>39.072000000000003</v>
      </c>
      <c r="C405" s="19">
        <v>6</v>
      </c>
      <c r="D405" s="19">
        <v>9.7680000000000007</v>
      </c>
    </row>
    <row r="406" spans="1:4" x14ac:dyDescent="0.2">
      <c r="A406" s="19" t="s">
        <v>164</v>
      </c>
      <c r="B406" s="19">
        <v>35.910000000000004</v>
      </c>
      <c r="C406" s="19">
        <v>3</v>
      </c>
      <c r="D406" s="19">
        <v>9.6956999999999987</v>
      </c>
    </row>
    <row r="407" spans="1:4" x14ac:dyDescent="0.2">
      <c r="A407" s="19" t="s">
        <v>150</v>
      </c>
      <c r="B407" s="19">
        <v>179.95000000000002</v>
      </c>
      <c r="C407" s="19">
        <v>5</v>
      </c>
      <c r="D407" s="19">
        <v>37.789500000000004</v>
      </c>
    </row>
    <row r="408" spans="1:4" x14ac:dyDescent="0.2">
      <c r="A408" s="19" t="s">
        <v>150</v>
      </c>
      <c r="B408" s="19">
        <v>1199.9760000000001</v>
      </c>
      <c r="C408" s="19">
        <v>3</v>
      </c>
      <c r="D408" s="19">
        <v>434.99130000000002</v>
      </c>
    </row>
    <row r="409" spans="1:4" x14ac:dyDescent="0.2">
      <c r="A409" s="19" t="s">
        <v>150</v>
      </c>
      <c r="B409" s="19">
        <v>27.15</v>
      </c>
      <c r="C409" s="19">
        <v>5</v>
      </c>
      <c r="D409" s="19">
        <v>13.3035</v>
      </c>
    </row>
    <row r="410" spans="1:4" x14ac:dyDescent="0.2">
      <c r="A410" s="19" t="s">
        <v>150</v>
      </c>
      <c r="B410" s="19">
        <v>1004.0239999999999</v>
      </c>
      <c r="C410" s="19">
        <v>7</v>
      </c>
      <c r="D410" s="19">
        <v>-112.95269999999994</v>
      </c>
    </row>
    <row r="411" spans="1:4" x14ac:dyDescent="0.2">
      <c r="A411" s="19" t="s">
        <v>150</v>
      </c>
      <c r="B411" s="19">
        <v>9.68</v>
      </c>
      <c r="C411" s="19">
        <v>1</v>
      </c>
      <c r="D411" s="19">
        <v>4.6463999999999999</v>
      </c>
    </row>
    <row r="412" spans="1:4" x14ac:dyDescent="0.2">
      <c r="A412" s="19" t="s">
        <v>150</v>
      </c>
      <c r="B412" s="19">
        <v>28.349999999999998</v>
      </c>
      <c r="C412" s="19">
        <v>9</v>
      </c>
      <c r="D412" s="19">
        <v>13.608000000000001</v>
      </c>
    </row>
    <row r="413" spans="1:4" x14ac:dyDescent="0.2">
      <c r="A413" s="19" t="s">
        <v>150</v>
      </c>
      <c r="B413" s="19">
        <v>55.98</v>
      </c>
      <c r="C413" s="19">
        <v>1</v>
      </c>
      <c r="D413" s="19">
        <v>27.430199999999999</v>
      </c>
    </row>
    <row r="414" spans="1:4" x14ac:dyDescent="0.2">
      <c r="A414" s="19" t="s">
        <v>150</v>
      </c>
      <c r="B414" s="19">
        <v>1336.829</v>
      </c>
      <c r="C414" s="19">
        <v>13</v>
      </c>
      <c r="D414" s="19">
        <v>31.454799999999949</v>
      </c>
    </row>
    <row r="415" spans="1:4" x14ac:dyDescent="0.2">
      <c r="A415" s="19" t="s">
        <v>150</v>
      </c>
      <c r="B415" s="19">
        <v>113.56800000000001</v>
      </c>
      <c r="C415" s="19">
        <v>2</v>
      </c>
      <c r="D415" s="19">
        <v>-18.454800000000013</v>
      </c>
    </row>
    <row r="416" spans="1:4" x14ac:dyDescent="0.2">
      <c r="A416" s="19" t="s">
        <v>153</v>
      </c>
      <c r="B416" s="19">
        <v>139.86000000000001</v>
      </c>
      <c r="C416" s="19">
        <v>7</v>
      </c>
      <c r="D416" s="19">
        <v>65.734199999999987</v>
      </c>
    </row>
    <row r="417" spans="1:4" x14ac:dyDescent="0.2">
      <c r="A417" s="19" t="s">
        <v>153</v>
      </c>
      <c r="B417" s="19">
        <v>307.13600000000002</v>
      </c>
      <c r="C417" s="19">
        <v>4</v>
      </c>
      <c r="D417" s="19">
        <v>26.874400000000023</v>
      </c>
    </row>
    <row r="418" spans="1:4" x14ac:dyDescent="0.2">
      <c r="A418" s="19" t="s">
        <v>150</v>
      </c>
      <c r="B418" s="19">
        <v>95.92</v>
      </c>
      <c r="C418" s="19">
        <v>8</v>
      </c>
      <c r="D418" s="19">
        <v>25.898399999999995</v>
      </c>
    </row>
    <row r="419" spans="1:4" x14ac:dyDescent="0.2">
      <c r="A419" s="19" t="s">
        <v>150</v>
      </c>
      <c r="B419" s="19">
        <v>383.8</v>
      </c>
      <c r="C419" s="19">
        <v>5</v>
      </c>
      <c r="D419" s="19">
        <v>38.379999999999981</v>
      </c>
    </row>
    <row r="420" spans="1:4" x14ac:dyDescent="0.2">
      <c r="A420" s="19" t="s">
        <v>149</v>
      </c>
      <c r="B420" s="19">
        <v>5.78</v>
      </c>
      <c r="C420" s="19">
        <v>1</v>
      </c>
      <c r="D420" s="19">
        <v>2.8322000000000003</v>
      </c>
    </row>
    <row r="421" spans="1:4" x14ac:dyDescent="0.2">
      <c r="A421" s="19" t="s">
        <v>150</v>
      </c>
      <c r="B421" s="19">
        <v>9.32</v>
      </c>
      <c r="C421" s="19">
        <v>4</v>
      </c>
      <c r="D421" s="19">
        <v>2.702799999999999</v>
      </c>
    </row>
    <row r="422" spans="1:4" x14ac:dyDescent="0.2">
      <c r="A422" s="19" t="s">
        <v>150</v>
      </c>
      <c r="B422" s="19">
        <v>15.25</v>
      </c>
      <c r="C422" s="19">
        <v>1</v>
      </c>
      <c r="D422" s="19">
        <v>7.0149999999999988</v>
      </c>
    </row>
    <row r="423" spans="1:4" x14ac:dyDescent="0.2">
      <c r="A423" s="19" t="s">
        <v>171</v>
      </c>
      <c r="B423" s="19">
        <v>196.75200000000001</v>
      </c>
      <c r="C423" s="19">
        <v>6</v>
      </c>
      <c r="D423" s="19">
        <v>56.566200000000009</v>
      </c>
    </row>
    <row r="424" spans="1:4" x14ac:dyDescent="0.2">
      <c r="A424" s="19" t="s">
        <v>180</v>
      </c>
      <c r="B424" s="19">
        <v>56.56</v>
      </c>
      <c r="C424" s="19">
        <v>4</v>
      </c>
      <c r="D424" s="19">
        <v>14.705600000000004</v>
      </c>
    </row>
    <row r="425" spans="1:4" x14ac:dyDescent="0.2">
      <c r="A425" s="19" t="s">
        <v>180</v>
      </c>
      <c r="B425" s="19">
        <v>32.700000000000003</v>
      </c>
      <c r="C425" s="19">
        <v>3</v>
      </c>
      <c r="D425" s="19">
        <v>8.5019999999999989</v>
      </c>
    </row>
    <row r="426" spans="1:4" x14ac:dyDescent="0.2">
      <c r="A426" s="19" t="s">
        <v>183</v>
      </c>
      <c r="B426" s="19">
        <v>866.4</v>
      </c>
      <c r="C426" s="19">
        <v>4</v>
      </c>
      <c r="D426" s="19">
        <v>225.26400000000001</v>
      </c>
    </row>
    <row r="427" spans="1:4" x14ac:dyDescent="0.2">
      <c r="A427" s="19" t="s">
        <v>161</v>
      </c>
      <c r="B427" s="19">
        <v>28.4</v>
      </c>
      <c r="C427" s="19">
        <v>2</v>
      </c>
      <c r="D427" s="19">
        <v>11.076000000000001</v>
      </c>
    </row>
    <row r="428" spans="1:4" x14ac:dyDescent="0.2">
      <c r="A428" s="19" t="s">
        <v>161</v>
      </c>
      <c r="B428" s="19">
        <v>287.92</v>
      </c>
      <c r="C428" s="19">
        <v>8</v>
      </c>
      <c r="D428" s="19">
        <v>138.20160000000001</v>
      </c>
    </row>
    <row r="429" spans="1:4" x14ac:dyDescent="0.2">
      <c r="A429" s="19" t="s">
        <v>164</v>
      </c>
      <c r="B429" s="19">
        <v>69.989999999999995</v>
      </c>
      <c r="C429" s="19">
        <v>1</v>
      </c>
      <c r="D429" s="19">
        <v>30.095700000000001</v>
      </c>
    </row>
    <row r="430" spans="1:4" x14ac:dyDescent="0.2">
      <c r="A430" s="19" t="s">
        <v>154</v>
      </c>
      <c r="B430" s="19">
        <v>6.6719999999999988</v>
      </c>
      <c r="C430" s="19">
        <v>6</v>
      </c>
      <c r="D430" s="19">
        <v>0.50039999999999996</v>
      </c>
    </row>
    <row r="431" spans="1:4" x14ac:dyDescent="0.2">
      <c r="A431" s="19" t="s">
        <v>152</v>
      </c>
      <c r="B431" s="19">
        <v>189.58800000000005</v>
      </c>
      <c r="C431" s="19">
        <v>2</v>
      </c>
      <c r="D431" s="19">
        <v>-145.35079999999999</v>
      </c>
    </row>
    <row r="432" spans="1:4" x14ac:dyDescent="0.2">
      <c r="A432" s="19" t="s">
        <v>152</v>
      </c>
      <c r="B432" s="19">
        <v>408.74399999999997</v>
      </c>
      <c r="C432" s="19">
        <v>7</v>
      </c>
      <c r="D432" s="19">
        <v>76.639499999999984</v>
      </c>
    </row>
    <row r="433" spans="1:4" x14ac:dyDescent="0.2">
      <c r="A433" s="19" t="s">
        <v>152</v>
      </c>
      <c r="B433" s="19">
        <v>291.95999999999998</v>
      </c>
      <c r="C433" s="19">
        <v>5</v>
      </c>
      <c r="D433" s="19">
        <v>54.742499999999978</v>
      </c>
    </row>
    <row r="434" spans="1:4" x14ac:dyDescent="0.2">
      <c r="A434" s="19" t="s">
        <v>152</v>
      </c>
      <c r="B434" s="19">
        <v>4.7679999999999998</v>
      </c>
      <c r="C434" s="19">
        <v>2</v>
      </c>
      <c r="D434" s="19">
        <v>-0.7748000000000006</v>
      </c>
    </row>
    <row r="435" spans="1:4" x14ac:dyDescent="0.2">
      <c r="A435" s="19" t="s">
        <v>180</v>
      </c>
      <c r="B435" s="19">
        <v>714.30000000000007</v>
      </c>
      <c r="C435" s="19">
        <v>5</v>
      </c>
      <c r="D435" s="19">
        <v>207.14699999999993</v>
      </c>
    </row>
    <row r="436" spans="1:4" x14ac:dyDescent="0.2">
      <c r="A436" s="19" t="s">
        <v>151</v>
      </c>
      <c r="B436" s="19">
        <v>4.8120000000000003</v>
      </c>
      <c r="C436" s="19">
        <v>2</v>
      </c>
      <c r="D436" s="19">
        <v>-3.6891999999999996</v>
      </c>
    </row>
    <row r="437" spans="1:4" x14ac:dyDescent="0.2">
      <c r="A437" s="19" t="s">
        <v>151</v>
      </c>
      <c r="B437" s="19">
        <v>247.8</v>
      </c>
      <c r="C437" s="19">
        <v>5</v>
      </c>
      <c r="D437" s="19">
        <v>-18.584999999999994</v>
      </c>
    </row>
    <row r="438" spans="1:4" x14ac:dyDescent="0.2">
      <c r="A438" s="19" t="s">
        <v>159</v>
      </c>
      <c r="B438" s="19">
        <v>1007.979</v>
      </c>
      <c r="C438" s="19">
        <v>3</v>
      </c>
      <c r="D438" s="19">
        <v>43.199100000000044</v>
      </c>
    </row>
    <row r="439" spans="1:4" x14ac:dyDescent="0.2">
      <c r="A439" s="19" t="s">
        <v>159</v>
      </c>
      <c r="B439" s="19">
        <v>313.488</v>
      </c>
      <c r="C439" s="19">
        <v>7</v>
      </c>
      <c r="D439" s="19">
        <v>113.63939999999998</v>
      </c>
    </row>
    <row r="440" spans="1:4" x14ac:dyDescent="0.2">
      <c r="A440" s="19" t="s">
        <v>154</v>
      </c>
      <c r="B440" s="19">
        <v>31.872000000000003</v>
      </c>
      <c r="C440" s="19">
        <v>8</v>
      </c>
      <c r="D440" s="19">
        <v>11.553600000000003</v>
      </c>
    </row>
    <row r="441" spans="1:4" x14ac:dyDescent="0.2">
      <c r="A441" s="19" t="s">
        <v>164</v>
      </c>
      <c r="B441" s="19">
        <v>207.84600000000003</v>
      </c>
      <c r="C441" s="19">
        <v>3</v>
      </c>
      <c r="D441" s="19">
        <v>2.3093999999999895</v>
      </c>
    </row>
    <row r="442" spans="1:4" x14ac:dyDescent="0.2">
      <c r="A442" s="19" t="s">
        <v>161</v>
      </c>
      <c r="B442" s="19">
        <v>12.22</v>
      </c>
      <c r="C442" s="19">
        <v>1</v>
      </c>
      <c r="D442" s="19">
        <v>3.6659999999999986</v>
      </c>
    </row>
    <row r="443" spans="1:4" x14ac:dyDescent="0.2">
      <c r="A443" s="19" t="s">
        <v>161</v>
      </c>
      <c r="B443" s="19">
        <v>194.94</v>
      </c>
      <c r="C443" s="19">
        <v>3</v>
      </c>
      <c r="D443" s="19">
        <v>23.392800000000008</v>
      </c>
    </row>
    <row r="444" spans="1:4" x14ac:dyDescent="0.2">
      <c r="A444" s="19" t="s">
        <v>161</v>
      </c>
      <c r="B444" s="19">
        <v>70.949999999999989</v>
      </c>
      <c r="C444" s="19">
        <v>3</v>
      </c>
      <c r="D444" s="19">
        <v>20.575499999999998</v>
      </c>
    </row>
    <row r="445" spans="1:4" x14ac:dyDescent="0.2">
      <c r="A445" s="19" t="s">
        <v>161</v>
      </c>
      <c r="B445" s="19">
        <v>91.36</v>
      </c>
      <c r="C445" s="19">
        <v>4</v>
      </c>
      <c r="D445" s="19">
        <v>42.025599999999997</v>
      </c>
    </row>
    <row r="446" spans="1:4" x14ac:dyDescent="0.2">
      <c r="A446" s="19" t="s">
        <v>161</v>
      </c>
      <c r="B446" s="19">
        <v>242.94</v>
      </c>
      <c r="C446" s="19">
        <v>3</v>
      </c>
      <c r="D446" s="19">
        <v>29.152800000000013</v>
      </c>
    </row>
    <row r="447" spans="1:4" x14ac:dyDescent="0.2">
      <c r="A447" s="19" t="s">
        <v>161</v>
      </c>
      <c r="B447" s="19">
        <v>22.05</v>
      </c>
      <c r="C447" s="19">
        <v>7</v>
      </c>
      <c r="D447" s="19">
        <v>10.584</v>
      </c>
    </row>
    <row r="448" spans="1:4" x14ac:dyDescent="0.2">
      <c r="A448" s="19" t="s">
        <v>163</v>
      </c>
      <c r="B448" s="19">
        <v>2.91</v>
      </c>
      <c r="C448" s="19">
        <v>1</v>
      </c>
      <c r="D448" s="19">
        <v>1.3676999999999999</v>
      </c>
    </row>
    <row r="449" spans="1:4" x14ac:dyDescent="0.2">
      <c r="A449" s="19" t="s">
        <v>164</v>
      </c>
      <c r="B449" s="19">
        <v>59.519999999999996</v>
      </c>
      <c r="C449" s="19">
        <v>3</v>
      </c>
      <c r="D449" s="19">
        <v>15.475200000000001</v>
      </c>
    </row>
    <row r="450" spans="1:4" x14ac:dyDescent="0.2">
      <c r="A450" s="19" t="s">
        <v>164</v>
      </c>
      <c r="B450" s="19">
        <v>161.94</v>
      </c>
      <c r="C450" s="19">
        <v>3</v>
      </c>
      <c r="D450" s="19">
        <v>9.716399999999993</v>
      </c>
    </row>
    <row r="451" spans="1:4" x14ac:dyDescent="0.2">
      <c r="A451" s="19" t="s">
        <v>164</v>
      </c>
      <c r="B451" s="19">
        <v>263.88</v>
      </c>
      <c r="C451" s="19">
        <v>6</v>
      </c>
      <c r="D451" s="19">
        <v>71.247600000000006</v>
      </c>
    </row>
    <row r="452" spans="1:4" x14ac:dyDescent="0.2">
      <c r="A452" s="19" t="s">
        <v>164</v>
      </c>
      <c r="B452" s="19">
        <v>30.48</v>
      </c>
      <c r="C452" s="19">
        <v>3</v>
      </c>
      <c r="D452" s="19">
        <v>7.9248000000000012</v>
      </c>
    </row>
    <row r="453" spans="1:4" x14ac:dyDescent="0.2">
      <c r="A453" s="19" t="s">
        <v>164</v>
      </c>
      <c r="B453" s="19">
        <v>9.84</v>
      </c>
      <c r="C453" s="19">
        <v>3</v>
      </c>
      <c r="D453" s="19">
        <v>2.8535999999999988</v>
      </c>
    </row>
    <row r="454" spans="1:4" x14ac:dyDescent="0.2">
      <c r="A454" s="19" t="s">
        <v>164</v>
      </c>
      <c r="B454" s="19">
        <v>35.119999999999997</v>
      </c>
      <c r="C454" s="19">
        <v>4</v>
      </c>
      <c r="D454" s="19">
        <v>9.1311999999999998</v>
      </c>
    </row>
    <row r="455" spans="1:4" x14ac:dyDescent="0.2">
      <c r="A455" s="19" t="s">
        <v>173</v>
      </c>
      <c r="B455" s="19">
        <v>284.36399999999998</v>
      </c>
      <c r="C455" s="19">
        <v>2</v>
      </c>
      <c r="D455" s="19">
        <v>-75.830400000000054</v>
      </c>
    </row>
    <row r="456" spans="1:4" x14ac:dyDescent="0.2">
      <c r="A456" s="19" t="s">
        <v>173</v>
      </c>
      <c r="B456" s="19">
        <v>665.40800000000002</v>
      </c>
      <c r="C456" s="19">
        <v>2</v>
      </c>
      <c r="D456" s="19">
        <v>66.540799999999962</v>
      </c>
    </row>
    <row r="457" spans="1:4" x14ac:dyDescent="0.2">
      <c r="A457" s="19" t="s">
        <v>175</v>
      </c>
      <c r="B457" s="19">
        <v>63.88</v>
      </c>
      <c r="C457" s="19">
        <v>4</v>
      </c>
      <c r="D457" s="19">
        <v>24.913200000000003</v>
      </c>
    </row>
    <row r="458" spans="1:4" x14ac:dyDescent="0.2">
      <c r="A458" s="19" t="s">
        <v>150</v>
      </c>
      <c r="B458" s="19">
        <v>129.56800000000001</v>
      </c>
      <c r="C458" s="19">
        <v>2</v>
      </c>
      <c r="D458" s="19">
        <v>-24.294000000000018</v>
      </c>
    </row>
    <row r="459" spans="1:4" x14ac:dyDescent="0.2">
      <c r="A459" s="19" t="s">
        <v>159</v>
      </c>
      <c r="B459" s="19">
        <v>747.55799999999999</v>
      </c>
      <c r="C459" s="19">
        <v>3</v>
      </c>
      <c r="D459" s="19">
        <v>-96.11460000000011</v>
      </c>
    </row>
    <row r="460" spans="1:4" x14ac:dyDescent="0.2">
      <c r="A460" s="19" t="s">
        <v>159</v>
      </c>
      <c r="B460" s="19">
        <v>8.9280000000000008</v>
      </c>
      <c r="C460" s="19">
        <v>2</v>
      </c>
      <c r="D460" s="19">
        <v>3.3479999999999999</v>
      </c>
    </row>
    <row r="461" spans="1:4" x14ac:dyDescent="0.2">
      <c r="A461" s="19" t="s">
        <v>153</v>
      </c>
      <c r="B461" s="19">
        <v>103.92</v>
      </c>
      <c r="C461" s="19">
        <v>4</v>
      </c>
      <c r="D461" s="19">
        <v>36.372</v>
      </c>
    </row>
    <row r="462" spans="1:4" x14ac:dyDescent="0.2">
      <c r="A462" s="19" t="s">
        <v>153</v>
      </c>
      <c r="B462" s="19">
        <v>899.91</v>
      </c>
      <c r="C462" s="19">
        <v>9</v>
      </c>
      <c r="D462" s="19">
        <v>377.96220000000005</v>
      </c>
    </row>
    <row r="463" spans="1:4" x14ac:dyDescent="0.2">
      <c r="A463" s="19" t="s">
        <v>153</v>
      </c>
      <c r="B463" s="19">
        <v>51.311999999999998</v>
      </c>
      <c r="C463" s="19">
        <v>3</v>
      </c>
      <c r="D463" s="19">
        <v>18.600599999999996</v>
      </c>
    </row>
    <row r="464" spans="1:4" x14ac:dyDescent="0.2">
      <c r="A464" s="19" t="s">
        <v>165</v>
      </c>
      <c r="B464" s="19">
        <v>23.56</v>
      </c>
      <c r="C464" s="19">
        <v>5</v>
      </c>
      <c r="D464" s="19">
        <v>7.0680000000000005</v>
      </c>
    </row>
    <row r="465" spans="1:4" x14ac:dyDescent="0.2">
      <c r="A465" s="19" t="s">
        <v>165</v>
      </c>
      <c r="B465" s="19">
        <v>1272.6299999999999</v>
      </c>
      <c r="C465" s="19">
        <v>6</v>
      </c>
      <c r="D465" s="19">
        <v>-814.4831999999999</v>
      </c>
    </row>
    <row r="466" spans="1:4" x14ac:dyDescent="0.2">
      <c r="A466" s="19" t="s">
        <v>165</v>
      </c>
      <c r="B466" s="19">
        <v>28.484999999999999</v>
      </c>
      <c r="C466" s="19">
        <v>5</v>
      </c>
      <c r="D466" s="19">
        <v>-20.888999999999989</v>
      </c>
    </row>
    <row r="467" spans="1:4" x14ac:dyDescent="0.2">
      <c r="A467" s="19" t="s">
        <v>165</v>
      </c>
      <c r="B467" s="19">
        <v>185.376</v>
      </c>
      <c r="C467" s="19">
        <v>2</v>
      </c>
      <c r="D467" s="19">
        <v>-34.758000000000017</v>
      </c>
    </row>
    <row r="468" spans="1:4" x14ac:dyDescent="0.2">
      <c r="A468" s="19" t="s">
        <v>165</v>
      </c>
      <c r="B468" s="19">
        <v>78.272000000000006</v>
      </c>
      <c r="C468" s="19">
        <v>2</v>
      </c>
      <c r="D468" s="19">
        <v>5.8704000000000001</v>
      </c>
    </row>
    <row r="469" spans="1:4" x14ac:dyDescent="0.2">
      <c r="A469" s="19" t="s">
        <v>159</v>
      </c>
      <c r="B469" s="19">
        <v>254.74400000000003</v>
      </c>
      <c r="C469" s="19">
        <v>7</v>
      </c>
      <c r="D469" s="19">
        <v>-312.06139999999994</v>
      </c>
    </row>
    <row r="470" spans="1:4" x14ac:dyDescent="0.2">
      <c r="A470" s="19" t="s">
        <v>154</v>
      </c>
      <c r="B470" s="19">
        <v>205.33279999999996</v>
      </c>
      <c r="C470" s="19">
        <v>2</v>
      </c>
      <c r="D470" s="19">
        <v>-36.235200000000006</v>
      </c>
    </row>
    <row r="471" spans="1:4" x14ac:dyDescent="0.2">
      <c r="A471" s="19" t="s">
        <v>159</v>
      </c>
      <c r="B471" s="19">
        <v>4.7879999999999985</v>
      </c>
      <c r="C471" s="19">
        <v>3</v>
      </c>
      <c r="D471" s="19">
        <v>-7.9001999999999999</v>
      </c>
    </row>
    <row r="472" spans="1:4" x14ac:dyDescent="0.2">
      <c r="A472" s="19" t="s">
        <v>164</v>
      </c>
      <c r="B472" s="19">
        <v>55.48</v>
      </c>
      <c r="C472" s="19">
        <v>1</v>
      </c>
      <c r="D472" s="19">
        <v>26.630399999999998</v>
      </c>
    </row>
    <row r="473" spans="1:4" x14ac:dyDescent="0.2">
      <c r="A473" s="19" t="s">
        <v>150</v>
      </c>
      <c r="B473" s="19">
        <v>340.92</v>
      </c>
      <c r="C473" s="19">
        <v>3</v>
      </c>
      <c r="D473" s="19">
        <v>3.4091999999999842</v>
      </c>
    </row>
    <row r="474" spans="1:4" x14ac:dyDescent="0.2">
      <c r="A474" s="19" t="s">
        <v>150</v>
      </c>
      <c r="B474" s="19">
        <v>222.66599999999997</v>
      </c>
      <c r="C474" s="19">
        <v>2</v>
      </c>
      <c r="D474" s="19">
        <v>10.478399999999979</v>
      </c>
    </row>
    <row r="475" spans="1:4" x14ac:dyDescent="0.2">
      <c r="A475" s="19" t="s">
        <v>150</v>
      </c>
      <c r="B475" s="19">
        <v>703.96800000000007</v>
      </c>
      <c r="C475" s="19">
        <v>4</v>
      </c>
      <c r="D475" s="19">
        <v>87.995999999999924</v>
      </c>
    </row>
    <row r="476" spans="1:4" x14ac:dyDescent="0.2">
      <c r="A476" s="19" t="s">
        <v>150</v>
      </c>
      <c r="B476" s="19">
        <v>92.52</v>
      </c>
      <c r="C476" s="19">
        <v>6</v>
      </c>
      <c r="D476" s="19">
        <v>24.980400000000007</v>
      </c>
    </row>
    <row r="477" spans="1:4" x14ac:dyDescent="0.2">
      <c r="A477" s="19" t="s">
        <v>150</v>
      </c>
      <c r="B477" s="19">
        <v>62.649999999999991</v>
      </c>
      <c r="C477" s="19">
        <v>7</v>
      </c>
      <c r="D477" s="19">
        <v>28.818999999999996</v>
      </c>
    </row>
    <row r="478" spans="1:4" x14ac:dyDescent="0.2">
      <c r="A478" s="19" t="s">
        <v>150</v>
      </c>
      <c r="B478" s="19">
        <v>94.85</v>
      </c>
      <c r="C478" s="19">
        <v>5</v>
      </c>
      <c r="D478" s="19">
        <v>45.527999999999992</v>
      </c>
    </row>
    <row r="479" spans="1:4" x14ac:dyDescent="0.2">
      <c r="A479" s="19" t="s">
        <v>150</v>
      </c>
      <c r="B479" s="19">
        <v>95.76</v>
      </c>
      <c r="C479" s="19">
        <v>6</v>
      </c>
      <c r="D479" s="19">
        <v>7.1819999999999951</v>
      </c>
    </row>
    <row r="480" spans="1:4" x14ac:dyDescent="0.2">
      <c r="A480" s="19" t="s">
        <v>164</v>
      </c>
      <c r="B480" s="19">
        <v>40.200000000000003</v>
      </c>
      <c r="C480" s="19">
        <v>3</v>
      </c>
      <c r="D480" s="19">
        <v>19.295999999999999</v>
      </c>
    </row>
    <row r="481" spans="1:4" x14ac:dyDescent="0.2">
      <c r="A481" s="19" t="s">
        <v>164</v>
      </c>
      <c r="B481" s="19">
        <v>14.7</v>
      </c>
      <c r="C481" s="19">
        <v>5</v>
      </c>
      <c r="D481" s="19">
        <v>6.6150000000000002</v>
      </c>
    </row>
    <row r="482" spans="1:4" x14ac:dyDescent="0.2">
      <c r="A482" s="19" t="s">
        <v>164</v>
      </c>
      <c r="B482" s="19">
        <v>704.25</v>
      </c>
      <c r="C482" s="19">
        <v>5</v>
      </c>
      <c r="D482" s="19">
        <v>84.51</v>
      </c>
    </row>
    <row r="483" spans="1:4" x14ac:dyDescent="0.2">
      <c r="A483" s="19" t="s">
        <v>150</v>
      </c>
      <c r="B483" s="19">
        <v>9.09</v>
      </c>
      <c r="C483" s="19">
        <v>3</v>
      </c>
      <c r="D483" s="19">
        <v>1.9088999999999996</v>
      </c>
    </row>
    <row r="484" spans="1:4" x14ac:dyDescent="0.2">
      <c r="A484" s="19" t="s">
        <v>164</v>
      </c>
      <c r="B484" s="19">
        <v>5.96</v>
      </c>
      <c r="C484" s="19">
        <v>2</v>
      </c>
      <c r="D484" s="19">
        <v>1.6688000000000001</v>
      </c>
    </row>
    <row r="485" spans="1:4" x14ac:dyDescent="0.2">
      <c r="A485" s="19" t="s">
        <v>164</v>
      </c>
      <c r="B485" s="19">
        <v>159.97999999999999</v>
      </c>
      <c r="C485" s="19">
        <v>2</v>
      </c>
      <c r="D485" s="19">
        <v>57.592799999999997</v>
      </c>
    </row>
    <row r="486" spans="1:4" x14ac:dyDescent="0.2">
      <c r="A486" s="19" t="s">
        <v>150</v>
      </c>
      <c r="B486" s="19">
        <v>29.6</v>
      </c>
      <c r="C486" s="19">
        <v>2</v>
      </c>
      <c r="D486" s="19">
        <v>14.8</v>
      </c>
    </row>
    <row r="487" spans="1:4" x14ac:dyDescent="0.2">
      <c r="A487" s="19" t="s">
        <v>150</v>
      </c>
      <c r="B487" s="19">
        <v>514.16499999999996</v>
      </c>
      <c r="C487" s="19">
        <v>5</v>
      </c>
      <c r="D487" s="19">
        <v>-30.24499999999999</v>
      </c>
    </row>
    <row r="488" spans="1:4" x14ac:dyDescent="0.2">
      <c r="A488" s="19" t="s">
        <v>150</v>
      </c>
      <c r="B488" s="19">
        <v>279.95999999999998</v>
      </c>
      <c r="C488" s="19">
        <v>5</v>
      </c>
      <c r="D488" s="19">
        <v>17.497500000000016</v>
      </c>
    </row>
    <row r="489" spans="1:4" x14ac:dyDescent="0.2">
      <c r="A489" s="19" t="s">
        <v>159</v>
      </c>
      <c r="B489" s="19">
        <v>2735.9520000000002</v>
      </c>
      <c r="C489" s="19">
        <v>6</v>
      </c>
      <c r="D489" s="19">
        <v>341.99399999999969</v>
      </c>
    </row>
    <row r="490" spans="1:4" x14ac:dyDescent="0.2">
      <c r="A490" s="19" t="s">
        <v>154</v>
      </c>
      <c r="B490" s="19">
        <v>7.9920000000000009</v>
      </c>
      <c r="C490" s="19">
        <v>1</v>
      </c>
      <c r="D490" s="19">
        <v>0.59940000000000015</v>
      </c>
    </row>
    <row r="491" spans="1:4" x14ac:dyDescent="0.2">
      <c r="A491" s="19" t="s">
        <v>154</v>
      </c>
      <c r="B491" s="19">
        <v>63.984000000000009</v>
      </c>
      <c r="C491" s="19">
        <v>2</v>
      </c>
      <c r="D491" s="19">
        <v>10.397399999999998</v>
      </c>
    </row>
    <row r="492" spans="1:4" x14ac:dyDescent="0.2">
      <c r="A492" s="19" t="s">
        <v>154</v>
      </c>
      <c r="B492" s="19">
        <v>70.367999999999995</v>
      </c>
      <c r="C492" s="19">
        <v>2</v>
      </c>
      <c r="D492" s="19">
        <v>6.1572000000000031</v>
      </c>
    </row>
    <row r="493" spans="1:4" x14ac:dyDescent="0.2">
      <c r="A493" s="19" t="s">
        <v>164</v>
      </c>
      <c r="B493" s="19">
        <v>449.15</v>
      </c>
      <c r="C493" s="19">
        <v>5</v>
      </c>
      <c r="D493" s="19">
        <v>8.9829999999999899</v>
      </c>
    </row>
    <row r="494" spans="1:4" x14ac:dyDescent="0.2">
      <c r="A494" s="19" t="s">
        <v>164</v>
      </c>
      <c r="B494" s="19">
        <v>11.07</v>
      </c>
      <c r="C494" s="19">
        <v>3</v>
      </c>
      <c r="D494" s="19">
        <v>5.0921999999999992</v>
      </c>
    </row>
    <row r="495" spans="1:4" x14ac:dyDescent="0.2">
      <c r="A495" s="19" t="s">
        <v>153</v>
      </c>
      <c r="B495" s="19">
        <v>93.98</v>
      </c>
      <c r="C495" s="19">
        <v>2</v>
      </c>
      <c r="D495" s="19">
        <v>13.157200000000003</v>
      </c>
    </row>
    <row r="496" spans="1:4" x14ac:dyDescent="0.2">
      <c r="A496" s="19" t="s">
        <v>167</v>
      </c>
      <c r="B496" s="19">
        <v>189.88200000000001</v>
      </c>
      <c r="C496" s="19">
        <v>3</v>
      </c>
      <c r="D496" s="19">
        <v>-94.941000000000017</v>
      </c>
    </row>
    <row r="497" spans="1:4" x14ac:dyDescent="0.2">
      <c r="A497" s="19" t="s">
        <v>184</v>
      </c>
      <c r="B497" s="19">
        <v>105.42</v>
      </c>
      <c r="C497" s="19">
        <v>2</v>
      </c>
      <c r="D497" s="19">
        <v>51.655799999999999</v>
      </c>
    </row>
    <row r="498" spans="1:4" x14ac:dyDescent="0.2">
      <c r="A498" s="19" t="s">
        <v>150</v>
      </c>
      <c r="B498" s="19">
        <v>119.61600000000001</v>
      </c>
      <c r="C498" s="19">
        <v>8</v>
      </c>
      <c r="D498" s="19">
        <v>40.370399999999997</v>
      </c>
    </row>
    <row r="499" spans="1:4" x14ac:dyDescent="0.2">
      <c r="A499" s="19" t="s">
        <v>150</v>
      </c>
      <c r="B499" s="19">
        <v>255.76</v>
      </c>
      <c r="C499" s="19">
        <v>4</v>
      </c>
      <c r="D499" s="19">
        <v>81.843199999999996</v>
      </c>
    </row>
    <row r="500" spans="1:4" x14ac:dyDescent="0.2">
      <c r="A500" s="19" t="s">
        <v>150</v>
      </c>
      <c r="B500" s="19">
        <v>241.56799999999998</v>
      </c>
      <c r="C500" s="19">
        <v>2</v>
      </c>
      <c r="D500" s="19">
        <v>18.11760000000001</v>
      </c>
    </row>
    <row r="501" spans="1:4" x14ac:dyDescent="0.2">
      <c r="A501" s="19" t="s">
        <v>150</v>
      </c>
      <c r="B501" s="19">
        <v>69.3</v>
      </c>
      <c r="C501" s="19">
        <v>9</v>
      </c>
      <c r="D501" s="19">
        <v>22.868999999999996</v>
      </c>
    </row>
    <row r="502" spans="1:4" x14ac:dyDescent="0.2">
      <c r="A502" s="19" t="s">
        <v>171</v>
      </c>
      <c r="B502" s="19">
        <v>22.620000000000005</v>
      </c>
      <c r="C502" s="19">
        <v>2</v>
      </c>
      <c r="D502" s="19">
        <v>-15.079999999999998</v>
      </c>
    </row>
    <row r="503" spans="1:4" x14ac:dyDescent="0.2">
      <c r="A503" s="19" t="s">
        <v>171</v>
      </c>
      <c r="B503" s="19">
        <v>14.952000000000004</v>
      </c>
      <c r="C503" s="19">
        <v>2</v>
      </c>
      <c r="D503" s="19">
        <v>-11.961599999999997</v>
      </c>
    </row>
    <row r="504" spans="1:4" x14ac:dyDescent="0.2">
      <c r="A504" s="19" t="s">
        <v>171</v>
      </c>
      <c r="B504" s="19">
        <v>801.5680000000001</v>
      </c>
      <c r="C504" s="19">
        <v>2</v>
      </c>
      <c r="D504" s="19">
        <v>50.097999999999985</v>
      </c>
    </row>
    <row r="505" spans="1:4" x14ac:dyDescent="0.2">
      <c r="A505" s="19" t="s">
        <v>171</v>
      </c>
      <c r="B505" s="19">
        <v>2.3760000000000003</v>
      </c>
      <c r="C505" s="19">
        <v>3</v>
      </c>
      <c r="D505" s="19">
        <v>-1.9007999999999998</v>
      </c>
    </row>
    <row r="506" spans="1:4" x14ac:dyDescent="0.2">
      <c r="A506" s="19" t="s">
        <v>171</v>
      </c>
      <c r="B506" s="19">
        <v>32.792000000000002</v>
      </c>
      <c r="C506" s="19">
        <v>1</v>
      </c>
      <c r="D506" s="19">
        <v>11.8871</v>
      </c>
    </row>
    <row r="507" spans="1:4" x14ac:dyDescent="0.2">
      <c r="A507" s="19" t="s">
        <v>164</v>
      </c>
      <c r="B507" s="19">
        <v>15.920000000000002</v>
      </c>
      <c r="C507" s="19">
        <v>5</v>
      </c>
      <c r="D507" s="19">
        <v>5.3729999999999993</v>
      </c>
    </row>
    <row r="508" spans="1:4" x14ac:dyDescent="0.2">
      <c r="A508" s="19" t="s">
        <v>101</v>
      </c>
      <c r="B508" s="19">
        <v>2.74</v>
      </c>
      <c r="C508" s="19">
        <v>1</v>
      </c>
      <c r="D508" s="19">
        <v>0.73980000000000024</v>
      </c>
    </row>
    <row r="509" spans="1:4" x14ac:dyDescent="0.2">
      <c r="A509" s="19" t="s">
        <v>101</v>
      </c>
      <c r="B509" s="19">
        <v>8.34</v>
      </c>
      <c r="C509" s="19">
        <v>3</v>
      </c>
      <c r="D509" s="19">
        <v>2.1683999999999997</v>
      </c>
    </row>
    <row r="510" spans="1:4" x14ac:dyDescent="0.2">
      <c r="A510" s="19" t="s">
        <v>101</v>
      </c>
      <c r="B510" s="19">
        <v>46.74</v>
      </c>
      <c r="C510" s="19">
        <v>3</v>
      </c>
      <c r="D510" s="19">
        <v>11.684999999999999</v>
      </c>
    </row>
    <row r="511" spans="1:4" x14ac:dyDescent="0.2">
      <c r="A511" s="19" t="s">
        <v>101</v>
      </c>
      <c r="B511" s="19">
        <v>6354.95</v>
      </c>
      <c r="C511" s="19">
        <v>5</v>
      </c>
      <c r="D511" s="19">
        <v>3177.4749999999999</v>
      </c>
    </row>
    <row r="512" spans="1:4" x14ac:dyDescent="0.2">
      <c r="A512" s="19" t="s">
        <v>174</v>
      </c>
      <c r="B512" s="19">
        <v>126.30000000000001</v>
      </c>
      <c r="C512" s="19">
        <v>3</v>
      </c>
      <c r="D512" s="19">
        <v>40.415999999999997</v>
      </c>
    </row>
    <row r="513" spans="1:4" x14ac:dyDescent="0.2">
      <c r="A513" s="19" t="s">
        <v>174</v>
      </c>
      <c r="B513" s="19">
        <v>38.04</v>
      </c>
      <c r="C513" s="19">
        <v>2</v>
      </c>
      <c r="D513" s="19">
        <v>12.172799999999999</v>
      </c>
    </row>
    <row r="514" spans="1:4" x14ac:dyDescent="0.2">
      <c r="A514" s="19" t="s">
        <v>173</v>
      </c>
      <c r="B514" s="19">
        <v>7.1519999999999992</v>
      </c>
      <c r="C514" s="19">
        <v>3</v>
      </c>
      <c r="D514" s="19">
        <v>0.71520000000000028</v>
      </c>
    </row>
    <row r="515" spans="1:4" x14ac:dyDescent="0.2">
      <c r="A515" s="19" t="s">
        <v>150</v>
      </c>
      <c r="B515" s="19">
        <v>6.63</v>
      </c>
      <c r="C515" s="19">
        <v>3</v>
      </c>
      <c r="D515" s="19">
        <v>1.7901</v>
      </c>
    </row>
    <row r="516" spans="1:4" x14ac:dyDescent="0.2">
      <c r="A516" s="19" t="s">
        <v>150</v>
      </c>
      <c r="B516" s="19">
        <v>5.88</v>
      </c>
      <c r="C516" s="19">
        <v>2</v>
      </c>
      <c r="D516" s="19">
        <v>1.7051999999999996</v>
      </c>
    </row>
    <row r="517" spans="1:4" x14ac:dyDescent="0.2">
      <c r="A517" s="19" t="s">
        <v>185</v>
      </c>
      <c r="B517" s="19">
        <v>2999.95</v>
      </c>
      <c r="C517" s="19">
        <v>5</v>
      </c>
      <c r="D517" s="19">
        <v>1379.9769999999999</v>
      </c>
    </row>
    <row r="518" spans="1:4" x14ac:dyDescent="0.2">
      <c r="A518" s="19" t="s">
        <v>185</v>
      </c>
      <c r="B518" s="19">
        <v>51.449999999999996</v>
      </c>
      <c r="C518" s="19">
        <v>3</v>
      </c>
      <c r="D518" s="19">
        <v>13.891499999999999</v>
      </c>
    </row>
    <row r="519" spans="1:4" x14ac:dyDescent="0.2">
      <c r="A519" s="19" t="s">
        <v>185</v>
      </c>
      <c r="B519" s="19">
        <v>11.96</v>
      </c>
      <c r="C519" s="19">
        <v>2</v>
      </c>
      <c r="D519" s="19">
        <v>5.3819999999999997</v>
      </c>
    </row>
    <row r="520" spans="1:4" x14ac:dyDescent="0.2">
      <c r="A520" s="19" t="s">
        <v>185</v>
      </c>
      <c r="B520" s="19">
        <v>1126.02</v>
      </c>
      <c r="C520" s="19">
        <v>3</v>
      </c>
      <c r="D520" s="19">
        <v>56.300999999999988</v>
      </c>
    </row>
    <row r="521" spans="1:4" x14ac:dyDescent="0.2">
      <c r="A521" s="19" t="s">
        <v>154</v>
      </c>
      <c r="B521" s="19">
        <v>18.391999999999999</v>
      </c>
      <c r="C521" s="19">
        <v>1</v>
      </c>
      <c r="D521" s="19">
        <v>5.2877000000000001</v>
      </c>
    </row>
    <row r="522" spans="1:4" x14ac:dyDescent="0.2">
      <c r="A522" s="19" t="s">
        <v>154</v>
      </c>
      <c r="B522" s="19">
        <v>129.56800000000001</v>
      </c>
      <c r="C522" s="19">
        <v>2</v>
      </c>
      <c r="D522" s="19">
        <v>-25.91360000000001</v>
      </c>
    </row>
    <row r="523" spans="1:4" x14ac:dyDescent="0.2">
      <c r="A523" s="19" t="s">
        <v>154</v>
      </c>
      <c r="B523" s="19">
        <v>14.111999999999997</v>
      </c>
      <c r="C523" s="19">
        <v>9</v>
      </c>
      <c r="D523" s="19">
        <v>-21.167999999999999</v>
      </c>
    </row>
    <row r="524" spans="1:4" x14ac:dyDescent="0.2">
      <c r="A524" s="19" t="s">
        <v>161</v>
      </c>
      <c r="B524" s="19">
        <v>210.98</v>
      </c>
      <c r="C524" s="19">
        <v>2</v>
      </c>
      <c r="D524" s="19">
        <v>21.097999999999985</v>
      </c>
    </row>
    <row r="525" spans="1:4" x14ac:dyDescent="0.2">
      <c r="A525" s="19" t="s">
        <v>150</v>
      </c>
      <c r="B525" s="19">
        <v>55.176000000000002</v>
      </c>
      <c r="C525" s="19">
        <v>3</v>
      </c>
      <c r="D525" s="19">
        <v>-12.414599999999997</v>
      </c>
    </row>
    <row r="526" spans="1:4" x14ac:dyDescent="0.2">
      <c r="A526" s="19" t="s">
        <v>150</v>
      </c>
      <c r="B526" s="19">
        <v>66.260000000000005</v>
      </c>
      <c r="C526" s="19">
        <v>2</v>
      </c>
      <c r="D526" s="19">
        <v>27.166600000000003</v>
      </c>
    </row>
    <row r="527" spans="1:4" x14ac:dyDescent="0.2">
      <c r="A527" s="19" t="s">
        <v>180</v>
      </c>
      <c r="B527" s="19">
        <v>22.200000000000003</v>
      </c>
      <c r="C527" s="19">
        <v>5</v>
      </c>
      <c r="D527" s="19">
        <v>10.434000000000001</v>
      </c>
    </row>
    <row r="528" spans="1:4" x14ac:dyDescent="0.2">
      <c r="A528" s="19" t="s">
        <v>151</v>
      </c>
      <c r="B528" s="19">
        <v>683.95200000000011</v>
      </c>
      <c r="C528" s="19">
        <v>3</v>
      </c>
      <c r="D528" s="19">
        <v>42.746999999999986</v>
      </c>
    </row>
    <row r="529" spans="1:4" x14ac:dyDescent="0.2">
      <c r="A529" s="19" t="s">
        <v>151</v>
      </c>
      <c r="B529" s="19">
        <v>45.695999999999998</v>
      </c>
      <c r="C529" s="19">
        <v>3</v>
      </c>
      <c r="D529" s="19">
        <v>5.1407999999999916</v>
      </c>
    </row>
    <row r="530" spans="1:4" x14ac:dyDescent="0.2">
      <c r="A530" s="19" t="s">
        <v>158</v>
      </c>
      <c r="B530" s="19">
        <v>36.336000000000006</v>
      </c>
      <c r="C530" s="19">
        <v>3</v>
      </c>
      <c r="D530" s="19">
        <v>-7.2672000000000043</v>
      </c>
    </row>
    <row r="531" spans="1:4" x14ac:dyDescent="0.2">
      <c r="A531" s="19" t="s">
        <v>158</v>
      </c>
      <c r="B531" s="19">
        <v>666.24800000000005</v>
      </c>
      <c r="C531" s="19">
        <v>1</v>
      </c>
      <c r="D531" s="19">
        <v>-149.9058</v>
      </c>
    </row>
    <row r="532" spans="1:4" x14ac:dyDescent="0.2">
      <c r="A532" s="19" t="s">
        <v>158</v>
      </c>
      <c r="B532" s="19">
        <v>52.512</v>
      </c>
      <c r="C532" s="19">
        <v>6</v>
      </c>
      <c r="D532" s="19">
        <v>19.692</v>
      </c>
    </row>
    <row r="533" spans="1:4" x14ac:dyDescent="0.2">
      <c r="A533" s="19" t="s">
        <v>150</v>
      </c>
      <c r="B533" s="19">
        <v>190.72000000000003</v>
      </c>
      <c r="C533" s="19">
        <v>1</v>
      </c>
      <c r="D533" s="19">
        <v>11.919999999999987</v>
      </c>
    </row>
    <row r="534" spans="1:4" x14ac:dyDescent="0.2">
      <c r="A534" s="19" t="s">
        <v>150</v>
      </c>
      <c r="B534" s="19">
        <v>47.94</v>
      </c>
      <c r="C534" s="19">
        <v>3</v>
      </c>
      <c r="D534" s="19">
        <v>2.3969999999999985</v>
      </c>
    </row>
    <row r="535" spans="1:4" x14ac:dyDescent="0.2">
      <c r="A535" s="19" t="s">
        <v>168</v>
      </c>
      <c r="B535" s="19">
        <v>979.95</v>
      </c>
      <c r="C535" s="19">
        <v>5</v>
      </c>
      <c r="D535" s="19">
        <v>274.38600000000008</v>
      </c>
    </row>
    <row r="536" spans="1:4" x14ac:dyDescent="0.2">
      <c r="A536" s="19" t="s">
        <v>168</v>
      </c>
      <c r="B536" s="19">
        <v>22.75</v>
      </c>
      <c r="C536" s="19">
        <v>5</v>
      </c>
      <c r="D536" s="19">
        <v>11.375</v>
      </c>
    </row>
    <row r="537" spans="1:4" x14ac:dyDescent="0.2">
      <c r="A537" s="19" t="s">
        <v>165</v>
      </c>
      <c r="B537" s="19">
        <v>16.768000000000001</v>
      </c>
      <c r="C537" s="19">
        <v>2</v>
      </c>
      <c r="D537" s="19">
        <v>1.4672000000000001</v>
      </c>
    </row>
    <row r="538" spans="1:4" x14ac:dyDescent="0.2">
      <c r="A538" s="19" t="s">
        <v>159</v>
      </c>
      <c r="B538" s="19">
        <v>42.615999999999993</v>
      </c>
      <c r="C538" s="19">
        <v>7</v>
      </c>
      <c r="D538" s="19">
        <v>-68.185600000000022</v>
      </c>
    </row>
    <row r="539" spans="1:4" x14ac:dyDescent="0.2">
      <c r="A539" s="19" t="s">
        <v>164</v>
      </c>
      <c r="B539" s="19">
        <v>10.752000000000001</v>
      </c>
      <c r="C539" s="19">
        <v>4</v>
      </c>
      <c r="D539" s="19">
        <v>3.359999999999999</v>
      </c>
    </row>
    <row r="540" spans="1:4" x14ac:dyDescent="0.2">
      <c r="A540" s="19" t="s">
        <v>149</v>
      </c>
      <c r="B540" s="19">
        <v>152.94</v>
      </c>
      <c r="C540" s="19">
        <v>3</v>
      </c>
      <c r="D540" s="19">
        <v>41.293800000000005</v>
      </c>
    </row>
    <row r="541" spans="1:4" x14ac:dyDescent="0.2">
      <c r="A541" s="19" t="s">
        <v>149</v>
      </c>
      <c r="B541" s="19">
        <v>283.92</v>
      </c>
      <c r="C541" s="19">
        <v>4</v>
      </c>
      <c r="D541" s="19">
        <v>70.980000000000018</v>
      </c>
    </row>
    <row r="542" spans="1:4" x14ac:dyDescent="0.2">
      <c r="A542" s="19" t="s">
        <v>155</v>
      </c>
      <c r="B542" s="19">
        <v>468.90000000000003</v>
      </c>
      <c r="C542" s="19">
        <v>6</v>
      </c>
      <c r="D542" s="19">
        <v>206.31600000000006</v>
      </c>
    </row>
    <row r="543" spans="1:4" x14ac:dyDescent="0.2">
      <c r="A543" s="19" t="s">
        <v>165</v>
      </c>
      <c r="B543" s="19">
        <v>380.86400000000003</v>
      </c>
      <c r="C543" s="19">
        <v>8</v>
      </c>
      <c r="D543" s="19">
        <v>38.086400000000026</v>
      </c>
    </row>
    <row r="544" spans="1:4" x14ac:dyDescent="0.2">
      <c r="A544" s="19" t="s">
        <v>173</v>
      </c>
      <c r="B544" s="19">
        <v>646.77600000000007</v>
      </c>
      <c r="C544" s="19">
        <v>9</v>
      </c>
      <c r="D544" s="19">
        <v>-145.52460000000002</v>
      </c>
    </row>
    <row r="545" spans="1:4" x14ac:dyDescent="0.2">
      <c r="A545" s="19" t="s">
        <v>154</v>
      </c>
      <c r="B545" s="19">
        <v>58.112000000000002</v>
      </c>
      <c r="C545" s="19">
        <v>2</v>
      </c>
      <c r="D545" s="19">
        <v>7.263999999999994</v>
      </c>
    </row>
    <row r="546" spans="1:4" x14ac:dyDescent="0.2">
      <c r="A546" s="19" t="s">
        <v>154</v>
      </c>
      <c r="B546" s="19">
        <v>100.792</v>
      </c>
      <c r="C546" s="19">
        <v>1</v>
      </c>
      <c r="D546" s="19">
        <v>6.2995000000000019</v>
      </c>
    </row>
    <row r="547" spans="1:4" x14ac:dyDescent="0.2">
      <c r="A547" s="19" t="s">
        <v>154</v>
      </c>
      <c r="B547" s="19">
        <v>66.112000000000009</v>
      </c>
      <c r="C547" s="19">
        <v>4</v>
      </c>
      <c r="D547" s="19">
        <v>-84.292799999999986</v>
      </c>
    </row>
    <row r="548" spans="1:4" x14ac:dyDescent="0.2">
      <c r="A548" s="19" t="s">
        <v>164</v>
      </c>
      <c r="B548" s="19">
        <v>41.28</v>
      </c>
      <c r="C548" s="19">
        <v>6</v>
      </c>
      <c r="D548" s="19">
        <v>13.931999999999999</v>
      </c>
    </row>
    <row r="549" spans="1:4" x14ac:dyDescent="0.2">
      <c r="A549" s="19" t="s">
        <v>164</v>
      </c>
      <c r="B549" s="19">
        <v>13.36</v>
      </c>
      <c r="C549" s="19">
        <v>2</v>
      </c>
      <c r="D549" s="19">
        <v>6.4127999999999998</v>
      </c>
    </row>
    <row r="550" spans="1:4" x14ac:dyDescent="0.2">
      <c r="A550" s="19" t="s">
        <v>159</v>
      </c>
      <c r="B550" s="19">
        <v>250.27199999999999</v>
      </c>
      <c r="C550" s="19">
        <v>9</v>
      </c>
      <c r="D550" s="19">
        <v>15.641999999999982</v>
      </c>
    </row>
    <row r="551" spans="1:4" x14ac:dyDescent="0.2">
      <c r="A551" s="19" t="s">
        <v>159</v>
      </c>
      <c r="B551" s="19">
        <v>11.363999999999997</v>
      </c>
      <c r="C551" s="19">
        <v>3</v>
      </c>
      <c r="D551" s="19">
        <v>-17.045999999999999</v>
      </c>
    </row>
    <row r="552" spans="1:4" x14ac:dyDescent="0.2">
      <c r="A552" s="19" t="s">
        <v>159</v>
      </c>
      <c r="B552" s="19">
        <v>8.7200000000000006</v>
      </c>
      <c r="C552" s="19">
        <v>5</v>
      </c>
      <c r="D552" s="19">
        <v>-1.7440000000000015</v>
      </c>
    </row>
    <row r="553" spans="1:4" x14ac:dyDescent="0.2">
      <c r="A553" s="19" t="s">
        <v>150</v>
      </c>
      <c r="B553" s="19">
        <v>1121.568</v>
      </c>
      <c r="C553" s="19">
        <v>2</v>
      </c>
      <c r="D553" s="19">
        <v>0</v>
      </c>
    </row>
    <row r="554" spans="1:4" x14ac:dyDescent="0.2">
      <c r="A554" s="19" t="s">
        <v>151</v>
      </c>
      <c r="B554" s="19">
        <v>34.504000000000005</v>
      </c>
      <c r="C554" s="19">
        <v>1</v>
      </c>
      <c r="D554" s="19">
        <v>6.0381999999999998</v>
      </c>
    </row>
    <row r="555" spans="1:4" x14ac:dyDescent="0.2">
      <c r="A555" s="19" t="s">
        <v>154</v>
      </c>
      <c r="B555" s="19">
        <v>10.824</v>
      </c>
      <c r="C555" s="19">
        <v>3</v>
      </c>
      <c r="D555" s="19">
        <v>2.5707</v>
      </c>
    </row>
    <row r="556" spans="1:4" x14ac:dyDescent="0.2">
      <c r="A556" s="19" t="s">
        <v>150</v>
      </c>
      <c r="B556" s="19">
        <v>1295.78</v>
      </c>
      <c r="C556" s="19">
        <v>2</v>
      </c>
      <c r="D556" s="19">
        <v>310.98720000000003</v>
      </c>
    </row>
    <row r="557" spans="1:4" x14ac:dyDescent="0.2">
      <c r="A557" s="19" t="s">
        <v>152</v>
      </c>
      <c r="B557" s="19">
        <v>19.456000000000003</v>
      </c>
      <c r="C557" s="19">
        <v>4</v>
      </c>
      <c r="D557" s="19">
        <v>3.4047999999999981</v>
      </c>
    </row>
    <row r="558" spans="1:4" x14ac:dyDescent="0.2">
      <c r="A558" s="19" t="s">
        <v>150</v>
      </c>
      <c r="B558" s="19">
        <v>20.7</v>
      </c>
      <c r="C558" s="19">
        <v>2</v>
      </c>
      <c r="D558" s="19">
        <v>9.9359999999999999</v>
      </c>
    </row>
    <row r="559" spans="1:4" x14ac:dyDescent="0.2">
      <c r="A559" s="19" t="s">
        <v>150</v>
      </c>
      <c r="B559" s="19">
        <v>1335.68</v>
      </c>
      <c r="C559" s="19">
        <v>4</v>
      </c>
      <c r="D559" s="19">
        <v>-217.04800000000017</v>
      </c>
    </row>
    <row r="560" spans="1:4" x14ac:dyDescent="0.2">
      <c r="A560" s="19" t="s">
        <v>150</v>
      </c>
      <c r="B560" s="19">
        <v>32.400000000000006</v>
      </c>
      <c r="C560" s="19">
        <v>5</v>
      </c>
      <c r="D560" s="19">
        <v>15.552000000000001</v>
      </c>
    </row>
    <row r="561" spans="1:4" x14ac:dyDescent="0.2">
      <c r="A561" s="19" t="s">
        <v>150</v>
      </c>
      <c r="B561" s="19">
        <v>42.599999999999994</v>
      </c>
      <c r="C561" s="19">
        <v>3</v>
      </c>
      <c r="D561" s="19">
        <v>16.614000000000001</v>
      </c>
    </row>
    <row r="562" spans="1:4" x14ac:dyDescent="0.2">
      <c r="A562" s="19" t="s">
        <v>150</v>
      </c>
      <c r="B562" s="19">
        <v>84.056000000000012</v>
      </c>
      <c r="C562" s="19">
        <v>7</v>
      </c>
      <c r="D562" s="19">
        <v>27.318199999999983</v>
      </c>
    </row>
    <row r="563" spans="1:4" x14ac:dyDescent="0.2">
      <c r="A563" s="19" t="s">
        <v>151</v>
      </c>
      <c r="B563" s="19">
        <v>13</v>
      </c>
      <c r="C563" s="19">
        <v>5</v>
      </c>
      <c r="D563" s="19">
        <v>1.3000000000000007</v>
      </c>
    </row>
    <row r="564" spans="1:4" x14ac:dyDescent="0.2">
      <c r="A564" s="19" t="s">
        <v>151</v>
      </c>
      <c r="B564" s="19">
        <v>13.128</v>
      </c>
      <c r="C564" s="19">
        <v>3</v>
      </c>
      <c r="D564" s="19">
        <v>3.7743000000000002</v>
      </c>
    </row>
    <row r="565" spans="1:4" x14ac:dyDescent="0.2">
      <c r="A565" s="19" t="s">
        <v>153</v>
      </c>
      <c r="B565" s="19">
        <v>3.96</v>
      </c>
      <c r="C565" s="19">
        <v>2</v>
      </c>
      <c r="D565" s="19">
        <v>0</v>
      </c>
    </row>
    <row r="566" spans="1:4" x14ac:dyDescent="0.2">
      <c r="A566" s="19" t="s">
        <v>153</v>
      </c>
      <c r="B566" s="19">
        <v>2.61</v>
      </c>
      <c r="C566" s="19">
        <v>1</v>
      </c>
      <c r="D566" s="19">
        <v>1.2005999999999999</v>
      </c>
    </row>
    <row r="567" spans="1:4" x14ac:dyDescent="0.2">
      <c r="A567" s="19" t="s">
        <v>150</v>
      </c>
      <c r="B567" s="19">
        <v>374.37600000000003</v>
      </c>
      <c r="C567" s="19">
        <v>3</v>
      </c>
      <c r="D567" s="19">
        <v>46.796999999999983</v>
      </c>
    </row>
    <row r="568" spans="1:4" x14ac:dyDescent="0.2">
      <c r="A568" s="19" t="s">
        <v>153</v>
      </c>
      <c r="B568" s="19">
        <v>91.84</v>
      </c>
      <c r="C568" s="19">
        <v>8</v>
      </c>
      <c r="D568" s="19">
        <v>45.001600000000003</v>
      </c>
    </row>
    <row r="569" spans="1:4" x14ac:dyDescent="0.2">
      <c r="A569" s="19" t="s">
        <v>153</v>
      </c>
      <c r="B569" s="19">
        <v>81.088000000000008</v>
      </c>
      <c r="C569" s="19">
        <v>7</v>
      </c>
      <c r="D569" s="19">
        <v>27.3672</v>
      </c>
    </row>
    <row r="570" spans="1:4" x14ac:dyDescent="0.2">
      <c r="A570" s="19" t="s">
        <v>153</v>
      </c>
      <c r="B570" s="19">
        <v>19.440000000000001</v>
      </c>
      <c r="C570" s="19">
        <v>3</v>
      </c>
      <c r="D570" s="19">
        <v>9.3312000000000008</v>
      </c>
    </row>
    <row r="571" spans="1:4" x14ac:dyDescent="0.2">
      <c r="A571" s="19" t="s">
        <v>153</v>
      </c>
      <c r="B571" s="19">
        <v>451.15199999999993</v>
      </c>
      <c r="C571" s="19">
        <v>3</v>
      </c>
      <c r="D571" s="19">
        <v>0</v>
      </c>
    </row>
    <row r="572" spans="1:4" x14ac:dyDescent="0.2">
      <c r="A572" s="19" t="s">
        <v>164</v>
      </c>
      <c r="B572" s="19">
        <v>72.45</v>
      </c>
      <c r="C572" s="19">
        <v>7</v>
      </c>
      <c r="D572" s="19">
        <v>34.775999999999996</v>
      </c>
    </row>
    <row r="573" spans="1:4" x14ac:dyDescent="0.2">
      <c r="A573" s="19" t="s">
        <v>164</v>
      </c>
      <c r="B573" s="19">
        <v>13.96</v>
      </c>
      <c r="C573" s="19">
        <v>4</v>
      </c>
      <c r="D573" s="19">
        <v>6.4215999999999998</v>
      </c>
    </row>
    <row r="574" spans="1:4" x14ac:dyDescent="0.2">
      <c r="A574" s="19" t="s">
        <v>164</v>
      </c>
      <c r="B574" s="19">
        <v>33.264000000000003</v>
      </c>
      <c r="C574" s="19">
        <v>7</v>
      </c>
      <c r="D574" s="19">
        <v>11.226599999999999</v>
      </c>
    </row>
    <row r="575" spans="1:4" x14ac:dyDescent="0.2">
      <c r="A575" s="19" t="s">
        <v>164</v>
      </c>
      <c r="B575" s="19">
        <v>14.850000000000001</v>
      </c>
      <c r="C575" s="19">
        <v>3</v>
      </c>
      <c r="D575" s="19">
        <v>4.0095000000000001</v>
      </c>
    </row>
    <row r="576" spans="1:4" x14ac:dyDescent="0.2">
      <c r="A576" s="19" t="s">
        <v>153</v>
      </c>
      <c r="B576" s="19">
        <v>8.82</v>
      </c>
      <c r="C576" s="19">
        <v>3</v>
      </c>
      <c r="D576" s="19">
        <v>2.3814000000000002</v>
      </c>
    </row>
    <row r="577" spans="1:4" x14ac:dyDescent="0.2">
      <c r="A577" s="19" t="s">
        <v>150</v>
      </c>
      <c r="B577" s="19">
        <v>160.72</v>
      </c>
      <c r="C577" s="19">
        <v>14</v>
      </c>
      <c r="D577" s="19">
        <v>78.752800000000008</v>
      </c>
    </row>
    <row r="578" spans="1:4" x14ac:dyDescent="0.2">
      <c r="A578" s="19" t="s">
        <v>150</v>
      </c>
      <c r="B578" s="19">
        <v>19.920000000000002</v>
      </c>
      <c r="C578" s="19">
        <v>4</v>
      </c>
      <c r="D578" s="19">
        <v>9.7608000000000015</v>
      </c>
    </row>
    <row r="579" spans="1:4" x14ac:dyDescent="0.2">
      <c r="A579" s="19" t="s">
        <v>150</v>
      </c>
      <c r="B579" s="19">
        <v>7.3</v>
      </c>
      <c r="C579" s="19">
        <v>2</v>
      </c>
      <c r="D579" s="19">
        <v>2.1899999999999995</v>
      </c>
    </row>
    <row r="580" spans="1:4" x14ac:dyDescent="0.2">
      <c r="A580" s="19" t="s">
        <v>159</v>
      </c>
      <c r="B580" s="19">
        <v>69.712000000000003</v>
      </c>
      <c r="C580" s="19">
        <v>2</v>
      </c>
      <c r="D580" s="19">
        <v>8.7139999999999951</v>
      </c>
    </row>
    <row r="581" spans="1:4" x14ac:dyDescent="0.2">
      <c r="A581" s="19" t="s">
        <v>159</v>
      </c>
      <c r="B581" s="19">
        <v>8.7919999999999998</v>
      </c>
      <c r="C581" s="19">
        <v>1</v>
      </c>
      <c r="D581" s="19">
        <v>-5.7148000000000003</v>
      </c>
    </row>
    <row r="582" spans="1:4" x14ac:dyDescent="0.2">
      <c r="A582" s="19" t="s">
        <v>150</v>
      </c>
      <c r="B582" s="19">
        <v>51.52</v>
      </c>
      <c r="C582" s="19">
        <v>4</v>
      </c>
      <c r="D582" s="19">
        <v>1.5456000000000003</v>
      </c>
    </row>
    <row r="583" spans="1:4" x14ac:dyDescent="0.2">
      <c r="A583" s="19" t="s">
        <v>171</v>
      </c>
      <c r="B583" s="19">
        <v>470.37600000000009</v>
      </c>
      <c r="C583" s="19">
        <v>3</v>
      </c>
      <c r="D583" s="19">
        <v>52.917299999999955</v>
      </c>
    </row>
    <row r="584" spans="1:4" x14ac:dyDescent="0.2">
      <c r="A584" s="19" t="s">
        <v>171</v>
      </c>
      <c r="B584" s="19">
        <v>105.584</v>
      </c>
      <c r="C584" s="19">
        <v>2</v>
      </c>
      <c r="D584" s="19">
        <v>9.2386000000000053</v>
      </c>
    </row>
    <row r="585" spans="1:4" x14ac:dyDescent="0.2">
      <c r="A585" s="19" t="s">
        <v>171</v>
      </c>
      <c r="B585" s="19">
        <v>31.152000000000001</v>
      </c>
      <c r="C585" s="19">
        <v>3</v>
      </c>
      <c r="D585" s="19">
        <v>3.5045999999999964</v>
      </c>
    </row>
    <row r="586" spans="1:4" x14ac:dyDescent="0.2">
      <c r="A586" s="19" t="s">
        <v>171</v>
      </c>
      <c r="B586" s="19">
        <v>6.7830000000000004</v>
      </c>
      <c r="C586" s="19">
        <v>7</v>
      </c>
      <c r="D586" s="19">
        <v>-4.7480999999999973</v>
      </c>
    </row>
    <row r="587" spans="1:4" x14ac:dyDescent="0.2">
      <c r="A587" s="19" t="s">
        <v>171</v>
      </c>
      <c r="B587" s="19">
        <v>406.36799999999999</v>
      </c>
      <c r="C587" s="19">
        <v>4</v>
      </c>
      <c r="D587" s="19">
        <v>30.477599999999981</v>
      </c>
    </row>
    <row r="588" spans="1:4" x14ac:dyDescent="0.2">
      <c r="A588" s="19" t="s">
        <v>149</v>
      </c>
      <c r="B588" s="19">
        <v>70.98</v>
      </c>
      <c r="C588" s="19">
        <v>1</v>
      </c>
      <c r="D588" s="19">
        <v>4.968599999999995</v>
      </c>
    </row>
    <row r="589" spans="1:4" x14ac:dyDescent="0.2">
      <c r="A589" s="19" t="s">
        <v>149</v>
      </c>
      <c r="B589" s="19">
        <v>294.93</v>
      </c>
      <c r="C589" s="19">
        <v>3</v>
      </c>
      <c r="D589" s="19">
        <v>144.51570000000001</v>
      </c>
    </row>
    <row r="590" spans="1:4" x14ac:dyDescent="0.2">
      <c r="A590" s="19" t="s">
        <v>170</v>
      </c>
      <c r="B590" s="19">
        <v>84.784000000000006</v>
      </c>
      <c r="C590" s="19">
        <v>2</v>
      </c>
      <c r="D590" s="19">
        <v>-20.136200000000006</v>
      </c>
    </row>
    <row r="591" spans="1:4" x14ac:dyDescent="0.2">
      <c r="A591" s="19" t="s">
        <v>170</v>
      </c>
      <c r="B591" s="19">
        <v>20.736000000000004</v>
      </c>
      <c r="C591" s="19">
        <v>4</v>
      </c>
      <c r="D591" s="19">
        <v>7.2576000000000001</v>
      </c>
    </row>
    <row r="592" spans="1:4" x14ac:dyDescent="0.2">
      <c r="A592" s="19" t="s">
        <v>170</v>
      </c>
      <c r="B592" s="19">
        <v>16.821000000000005</v>
      </c>
      <c r="C592" s="19">
        <v>3</v>
      </c>
      <c r="D592" s="19">
        <v>-12.896100000000004</v>
      </c>
    </row>
    <row r="593" spans="1:4" x14ac:dyDescent="0.2">
      <c r="A593" s="19" t="s">
        <v>170</v>
      </c>
      <c r="B593" s="19">
        <v>10.368000000000002</v>
      </c>
      <c r="C593" s="19">
        <v>2</v>
      </c>
      <c r="D593" s="19">
        <v>3.6288</v>
      </c>
    </row>
    <row r="594" spans="1:4" x14ac:dyDescent="0.2">
      <c r="A594" s="19" t="s">
        <v>154</v>
      </c>
      <c r="B594" s="19">
        <v>9.3439999999999994</v>
      </c>
      <c r="C594" s="19">
        <v>2</v>
      </c>
      <c r="D594" s="19">
        <v>1.1679999999999997</v>
      </c>
    </row>
    <row r="595" spans="1:4" x14ac:dyDescent="0.2">
      <c r="A595" s="19" t="s">
        <v>154</v>
      </c>
      <c r="B595" s="19">
        <v>31.200000000000003</v>
      </c>
      <c r="C595" s="19">
        <v>3</v>
      </c>
      <c r="D595" s="19">
        <v>9.7499999999999964</v>
      </c>
    </row>
    <row r="596" spans="1:4" x14ac:dyDescent="0.2">
      <c r="A596" s="19" t="s">
        <v>150</v>
      </c>
      <c r="B596" s="19">
        <v>76.12</v>
      </c>
      <c r="C596" s="19">
        <v>2</v>
      </c>
      <c r="D596" s="19">
        <v>22.074799999999996</v>
      </c>
    </row>
    <row r="597" spans="1:4" x14ac:dyDescent="0.2">
      <c r="A597" s="19" t="s">
        <v>150</v>
      </c>
      <c r="B597" s="19">
        <v>1199.9760000000001</v>
      </c>
      <c r="C597" s="19">
        <v>3</v>
      </c>
      <c r="D597" s="19">
        <v>434.99130000000002</v>
      </c>
    </row>
    <row r="598" spans="1:4" x14ac:dyDescent="0.2">
      <c r="A598" s="19" t="s">
        <v>150</v>
      </c>
      <c r="B598" s="19">
        <v>445.96000000000004</v>
      </c>
      <c r="C598" s="19">
        <v>5</v>
      </c>
      <c r="D598" s="19">
        <v>55.744999999999948</v>
      </c>
    </row>
    <row r="599" spans="1:4" x14ac:dyDescent="0.2">
      <c r="A599" s="19" t="s">
        <v>150</v>
      </c>
      <c r="B599" s="19">
        <v>327.76</v>
      </c>
      <c r="C599" s="19">
        <v>8</v>
      </c>
      <c r="D599" s="19">
        <v>91.772800000000018</v>
      </c>
    </row>
    <row r="600" spans="1:4" x14ac:dyDescent="0.2">
      <c r="A600" s="19" t="s">
        <v>158</v>
      </c>
      <c r="B600" s="19">
        <v>11.632</v>
      </c>
      <c r="C600" s="19">
        <v>2</v>
      </c>
      <c r="D600" s="19">
        <v>1.0178000000000007</v>
      </c>
    </row>
    <row r="601" spans="1:4" x14ac:dyDescent="0.2">
      <c r="A601" s="19" t="s">
        <v>158</v>
      </c>
      <c r="B601" s="19">
        <v>143.98199999999997</v>
      </c>
      <c r="C601" s="19">
        <v>3</v>
      </c>
      <c r="D601" s="19">
        <v>-28.796400000000006</v>
      </c>
    </row>
    <row r="602" spans="1:4" x14ac:dyDescent="0.2">
      <c r="A602" s="19" t="s">
        <v>158</v>
      </c>
      <c r="B602" s="19">
        <v>494.37599999999998</v>
      </c>
      <c r="C602" s="19">
        <v>4</v>
      </c>
      <c r="D602" s="19">
        <v>-115.35440000000006</v>
      </c>
    </row>
    <row r="603" spans="1:4" x14ac:dyDescent="0.2">
      <c r="A603" s="19" t="s">
        <v>158</v>
      </c>
      <c r="B603" s="19">
        <v>5.84</v>
      </c>
      <c r="C603" s="19">
        <v>2</v>
      </c>
      <c r="D603" s="19">
        <v>0.72999999999999954</v>
      </c>
    </row>
    <row r="604" spans="1:4" x14ac:dyDescent="0.2">
      <c r="A604" s="19" t="s">
        <v>151</v>
      </c>
      <c r="B604" s="19">
        <v>142.77600000000001</v>
      </c>
      <c r="C604" s="19">
        <v>1</v>
      </c>
      <c r="D604" s="19">
        <v>17.84699999999998</v>
      </c>
    </row>
    <row r="605" spans="1:4" x14ac:dyDescent="0.2">
      <c r="A605" s="19" t="s">
        <v>151</v>
      </c>
      <c r="B605" s="19">
        <v>45.695999999999998</v>
      </c>
      <c r="C605" s="19">
        <v>3</v>
      </c>
      <c r="D605" s="19">
        <v>5.1407999999999916</v>
      </c>
    </row>
    <row r="606" spans="1:4" x14ac:dyDescent="0.2">
      <c r="A606" s="19" t="s">
        <v>151</v>
      </c>
      <c r="B606" s="19">
        <v>7.218</v>
      </c>
      <c r="C606" s="19">
        <v>3</v>
      </c>
      <c r="D606" s="19">
        <v>-5.5338000000000012</v>
      </c>
    </row>
    <row r="607" spans="1:4" x14ac:dyDescent="0.2">
      <c r="A607" s="19" t="s">
        <v>151</v>
      </c>
      <c r="B607" s="19">
        <v>43.188000000000009</v>
      </c>
      <c r="C607" s="19">
        <v>4</v>
      </c>
      <c r="D607" s="19">
        <v>-31.671199999999999</v>
      </c>
    </row>
    <row r="608" spans="1:4" x14ac:dyDescent="0.2">
      <c r="A608" s="19" t="s">
        <v>151</v>
      </c>
      <c r="B608" s="19">
        <v>131.904</v>
      </c>
      <c r="C608" s="19">
        <v>3</v>
      </c>
      <c r="D608" s="19">
        <v>47.815200000000004</v>
      </c>
    </row>
    <row r="609" spans="1:4" x14ac:dyDescent="0.2">
      <c r="A609" s="19" t="s">
        <v>158</v>
      </c>
      <c r="B609" s="19">
        <v>3.2820000000000005</v>
      </c>
      <c r="C609" s="19">
        <v>2</v>
      </c>
      <c r="D609" s="19">
        <v>-2.6256000000000004</v>
      </c>
    </row>
    <row r="610" spans="1:4" x14ac:dyDescent="0.2">
      <c r="A610" s="19" t="s">
        <v>158</v>
      </c>
      <c r="B610" s="19">
        <v>21.167999999999999</v>
      </c>
      <c r="C610" s="19">
        <v>9</v>
      </c>
      <c r="D610" s="19">
        <v>2.3813999999999984</v>
      </c>
    </row>
    <row r="611" spans="1:4" x14ac:dyDescent="0.2">
      <c r="A611" s="19" t="s">
        <v>158</v>
      </c>
      <c r="B611" s="19">
        <v>55.188000000000002</v>
      </c>
      <c r="C611" s="19">
        <v>2</v>
      </c>
      <c r="D611" s="19">
        <v>-10.117800000000003</v>
      </c>
    </row>
    <row r="612" spans="1:4" x14ac:dyDescent="0.2">
      <c r="A612" s="19" t="s">
        <v>154</v>
      </c>
      <c r="B612" s="19">
        <v>369.57600000000002</v>
      </c>
      <c r="C612" s="19">
        <v>3</v>
      </c>
      <c r="D612" s="19">
        <v>41.577299999999951</v>
      </c>
    </row>
    <row r="613" spans="1:4" x14ac:dyDescent="0.2">
      <c r="A613" s="19" t="s">
        <v>154</v>
      </c>
      <c r="B613" s="19">
        <v>15.712000000000002</v>
      </c>
      <c r="C613" s="19">
        <v>4</v>
      </c>
      <c r="D613" s="19">
        <v>5.6955999999999989</v>
      </c>
    </row>
    <row r="614" spans="1:4" x14ac:dyDescent="0.2">
      <c r="A614" s="19" t="s">
        <v>158</v>
      </c>
      <c r="B614" s="19">
        <v>8.4480000000000004</v>
      </c>
      <c r="C614" s="19">
        <v>2</v>
      </c>
      <c r="D614" s="19">
        <v>2.6399999999999997</v>
      </c>
    </row>
    <row r="615" spans="1:4" x14ac:dyDescent="0.2">
      <c r="A615" s="19" t="s">
        <v>158</v>
      </c>
      <c r="B615" s="19">
        <v>728.94600000000003</v>
      </c>
      <c r="C615" s="19">
        <v>9</v>
      </c>
      <c r="D615" s="19">
        <v>-157.93830000000008</v>
      </c>
    </row>
    <row r="616" spans="1:4" x14ac:dyDescent="0.2">
      <c r="A616" s="19" t="s">
        <v>173</v>
      </c>
      <c r="B616" s="19">
        <v>119.93999999999998</v>
      </c>
      <c r="C616" s="19">
        <v>10</v>
      </c>
      <c r="D616" s="19">
        <v>15.99199999999999</v>
      </c>
    </row>
    <row r="617" spans="1:4" x14ac:dyDescent="0.2">
      <c r="A617" s="19" t="s">
        <v>173</v>
      </c>
      <c r="B617" s="19">
        <v>3.6480000000000006</v>
      </c>
      <c r="C617" s="19">
        <v>2</v>
      </c>
      <c r="D617" s="19">
        <v>-2.7967999999999993</v>
      </c>
    </row>
    <row r="618" spans="1:4" x14ac:dyDescent="0.2">
      <c r="A618" s="19" t="s">
        <v>164</v>
      </c>
      <c r="B618" s="19">
        <v>40.479999999999997</v>
      </c>
      <c r="C618" s="19">
        <v>2</v>
      </c>
      <c r="D618" s="19">
        <v>15.787199999999999</v>
      </c>
    </row>
    <row r="619" spans="1:4" x14ac:dyDescent="0.2">
      <c r="A619" s="19" t="s">
        <v>164</v>
      </c>
      <c r="B619" s="19">
        <v>9.94</v>
      </c>
      <c r="C619" s="19">
        <v>2</v>
      </c>
      <c r="D619" s="19">
        <v>3.0813999999999995</v>
      </c>
    </row>
    <row r="620" spans="1:4" x14ac:dyDescent="0.2">
      <c r="A620" s="19" t="s">
        <v>164</v>
      </c>
      <c r="B620" s="19">
        <v>107.42400000000001</v>
      </c>
      <c r="C620" s="19">
        <v>9</v>
      </c>
      <c r="D620" s="19">
        <v>33.569999999999986</v>
      </c>
    </row>
    <row r="621" spans="1:4" x14ac:dyDescent="0.2">
      <c r="A621" s="19" t="s">
        <v>164</v>
      </c>
      <c r="B621" s="19">
        <v>37.909999999999997</v>
      </c>
      <c r="C621" s="19">
        <v>1</v>
      </c>
      <c r="D621" s="19">
        <v>10.993899999999996</v>
      </c>
    </row>
    <row r="622" spans="1:4" x14ac:dyDescent="0.2">
      <c r="A622" s="19" t="s">
        <v>164</v>
      </c>
      <c r="B622" s="19">
        <v>88.02</v>
      </c>
      <c r="C622" s="19">
        <v>3</v>
      </c>
      <c r="D622" s="19">
        <v>27.286199999999994</v>
      </c>
    </row>
    <row r="623" spans="1:4" x14ac:dyDescent="0.2">
      <c r="A623" s="19" t="s">
        <v>159</v>
      </c>
      <c r="B623" s="19">
        <v>8.6899999999999977</v>
      </c>
      <c r="C623" s="19">
        <v>5</v>
      </c>
      <c r="D623" s="19">
        <v>-14.773</v>
      </c>
    </row>
    <row r="624" spans="1:4" x14ac:dyDescent="0.2">
      <c r="A624" s="19" t="s">
        <v>161</v>
      </c>
      <c r="B624" s="19">
        <v>301.95999999999998</v>
      </c>
      <c r="C624" s="19">
        <v>2</v>
      </c>
      <c r="D624" s="19">
        <v>87.568399999999968</v>
      </c>
    </row>
    <row r="625" spans="1:4" x14ac:dyDescent="0.2">
      <c r="A625" s="19" t="s">
        <v>161</v>
      </c>
      <c r="B625" s="19">
        <v>555.21</v>
      </c>
      <c r="C625" s="19">
        <v>5</v>
      </c>
      <c r="D625" s="19">
        <v>178.90100000000001</v>
      </c>
    </row>
    <row r="626" spans="1:4" x14ac:dyDescent="0.2">
      <c r="A626" s="19" t="s">
        <v>161</v>
      </c>
      <c r="B626" s="19">
        <v>523.48</v>
      </c>
      <c r="C626" s="19">
        <v>4</v>
      </c>
      <c r="D626" s="19">
        <v>130.87</v>
      </c>
    </row>
    <row r="627" spans="1:4" x14ac:dyDescent="0.2">
      <c r="A627" s="19" t="s">
        <v>161</v>
      </c>
      <c r="B627" s="19">
        <v>161.82</v>
      </c>
      <c r="C627" s="19">
        <v>9</v>
      </c>
      <c r="D627" s="19">
        <v>46.927799999999984</v>
      </c>
    </row>
    <row r="628" spans="1:4" x14ac:dyDescent="0.2">
      <c r="A628" s="19" t="s">
        <v>164</v>
      </c>
      <c r="B628" s="19">
        <v>35.56</v>
      </c>
      <c r="C628" s="19">
        <v>7</v>
      </c>
      <c r="D628" s="19">
        <v>12.090399999999999</v>
      </c>
    </row>
    <row r="629" spans="1:4" x14ac:dyDescent="0.2">
      <c r="A629" s="19" t="s">
        <v>153</v>
      </c>
      <c r="B629" s="19">
        <v>97.16</v>
      </c>
      <c r="C629" s="19">
        <v>2</v>
      </c>
      <c r="D629" s="19">
        <v>28.176399999999987</v>
      </c>
    </row>
    <row r="630" spans="1:4" x14ac:dyDescent="0.2">
      <c r="A630" s="19" t="s">
        <v>150</v>
      </c>
      <c r="B630" s="19">
        <v>15.24</v>
      </c>
      <c r="C630" s="19">
        <v>5</v>
      </c>
      <c r="D630" s="19">
        <v>5.1434999999999977</v>
      </c>
    </row>
    <row r="631" spans="1:4" x14ac:dyDescent="0.2">
      <c r="A631" s="19" t="s">
        <v>150</v>
      </c>
      <c r="B631" s="19">
        <v>13.23</v>
      </c>
      <c r="C631" s="19">
        <v>3</v>
      </c>
      <c r="D631" s="19">
        <v>6.0857999999999999</v>
      </c>
    </row>
    <row r="632" spans="1:4" x14ac:dyDescent="0.2">
      <c r="A632" s="19" t="s">
        <v>171</v>
      </c>
      <c r="B632" s="19">
        <v>243.38400000000001</v>
      </c>
      <c r="C632" s="19">
        <v>3</v>
      </c>
      <c r="D632" s="19">
        <v>-51.719100000000012</v>
      </c>
    </row>
    <row r="633" spans="1:4" x14ac:dyDescent="0.2">
      <c r="A633" s="19" t="s">
        <v>171</v>
      </c>
      <c r="B633" s="19">
        <v>119.80000000000001</v>
      </c>
      <c r="C633" s="19">
        <v>5</v>
      </c>
      <c r="D633" s="19">
        <v>29.950000000000003</v>
      </c>
    </row>
    <row r="634" spans="1:4" x14ac:dyDescent="0.2">
      <c r="A634" s="19" t="s">
        <v>171</v>
      </c>
      <c r="B634" s="19">
        <v>300.76799999999997</v>
      </c>
      <c r="C634" s="19">
        <v>4</v>
      </c>
      <c r="D634" s="19">
        <v>30.076800000000006</v>
      </c>
    </row>
    <row r="635" spans="1:4" x14ac:dyDescent="0.2">
      <c r="A635" s="19" t="s">
        <v>151</v>
      </c>
      <c r="B635" s="19">
        <v>17.880000000000003</v>
      </c>
      <c r="C635" s="19">
        <v>3</v>
      </c>
      <c r="D635" s="19">
        <v>2.458499999999999</v>
      </c>
    </row>
    <row r="636" spans="1:4" x14ac:dyDescent="0.2">
      <c r="A636" s="19" t="s">
        <v>151</v>
      </c>
      <c r="B636" s="19">
        <v>235.94400000000002</v>
      </c>
      <c r="C636" s="19">
        <v>3</v>
      </c>
      <c r="D636" s="19">
        <v>85.529700000000005</v>
      </c>
    </row>
    <row r="637" spans="1:4" x14ac:dyDescent="0.2">
      <c r="A637" s="19" t="s">
        <v>101</v>
      </c>
      <c r="B637" s="19">
        <v>392.93999999999994</v>
      </c>
      <c r="C637" s="19">
        <v>3</v>
      </c>
      <c r="D637" s="19">
        <v>43.223399999999984</v>
      </c>
    </row>
    <row r="638" spans="1:4" x14ac:dyDescent="0.2">
      <c r="A638" s="19" t="s">
        <v>171</v>
      </c>
      <c r="B638" s="19">
        <v>18.882000000000005</v>
      </c>
      <c r="C638" s="19">
        <v>3</v>
      </c>
      <c r="D638" s="19">
        <v>-13.846800000000002</v>
      </c>
    </row>
    <row r="639" spans="1:4" x14ac:dyDescent="0.2">
      <c r="A639" s="19" t="s">
        <v>171</v>
      </c>
      <c r="B639" s="19">
        <v>122.328</v>
      </c>
      <c r="C639" s="19">
        <v>3</v>
      </c>
      <c r="D639" s="19">
        <v>12.232799999999997</v>
      </c>
    </row>
    <row r="640" spans="1:4" x14ac:dyDescent="0.2">
      <c r="A640" s="19" t="s">
        <v>150</v>
      </c>
      <c r="B640" s="19">
        <v>1049.2</v>
      </c>
      <c r="C640" s="19">
        <v>5</v>
      </c>
      <c r="D640" s="19">
        <v>272.79200000000003</v>
      </c>
    </row>
    <row r="641" spans="1:4" x14ac:dyDescent="0.2">
      <c r="A641" s="19" t="s">
        <v>150</v>
      </c>
      <c r="B641" s="19">
        <v>15.424000000000001</v>
      </c>
      <c r="C641" s="19">
        <v>4</v>
      </c>
      <c r="D641" s="19">
        <v>5.0128000000000004</v>
      </c>
    </row>
    <row r="642" spans="1:4" x14ac:dyDescent="0.2">
      <c r="A642" s="19" t="s">
        <v>160</v>
      </c>
      <c r="B642" s="19">
        <v>18.84</v>
      </c>
      <c r="C642" s="19">
        <v>3</v>
      </c>
      <c r="D642" s="19">
        <v>6.0287999999999995</v>
      </c>
    </row>
    <row r="643" spans="1:4" x14ac:dyDescent="0.2">
      <c r="A643" s="19" t="s">
        <v>150</v>
      </c>
      <c r="B643" s="19">
        <v>330.4</v>
      </c>
      <c r="C643" s="19">
        <v>2</v>
      </c>
      <c r="D643" s="19">
        <v>85.903999999999996</v>
      </c>
    </row>
    <row r="644" spans="1:4" x14ac:dyDescent="0.2">
      <c r="A644" s="19" t="s">
        <v>150</v>
      </c>
      <c r="B644" s="19">
        <v>26.25</v>
      </c>
      <c r="C644" s="19">
        <v>7</v>
      </c>
      <c r="D644" s="19">
        <v>12.599999999999998</v>
      </c>
    </row>
    <row r="645" spans="1:4" x14ac:dyDescent="0.2">
      <c r="A645" s="19" t="s">
        <v>161</v>
      </c>
      <c r="B645" s="19">
        <v>132.52000000000001</v>
      </c>
      <c r="C645" s="19">
        <v>4</v>
      </c>
      <c r="D645" s="19">
        <v>54.333200000000005</v>
      </c>
    </row>
    <row r="646" spans="1:4" x14ac:dyDescent="0.2">
      <c r="A646" s="19" t="s">
        <v>179</v>
      </c>
      <c r="B646" s="19">
        <v>6.48</v>
      </c>
      <c r="C646" s="19">
        <v>1</v>
      </c>
      <c r="D646" s="19">
        <v>3.1752000000000002</v>
      </c>
    </row>
    <row r="647" spans="1:4" x14ac:dyDescent="0.2">
      <c r="A647" s="19" t="s">
        <v>163</v>
      </c>
      <c r="B647" s="19">
        <v>209.3</v>
      </c>
      <c r="C647" s="19">
        <v>2</v>
      </c>
      <c r="D647" s="19">
        <v>56.510999999999996</v>
      </c>
    </row>
    <row r="648" spans="1:4" x14ac:dyDescent="0.2">
      <c r="A648" s="19" t="s">
        <v>165</v>
      </c>
      <c r="B648" s="19">
        <v>31.560000000000002</v>
      </c>
      <c r="C648" s="19">
        <v>5</v>
      </c>
      <c r="D648" s="19">
        <v>9.8624999999999972</v>
      </c>
    </row>
    <row r="649" spans="1:4" x14ac:dyDescent="0.2">
      <c r="A649" s="19" t="s">
        <v>165</v>
      </c>
      <c r="B649" s="19">
        <v>30.144000000000002</v>
      </c>
      <c r="C649" s="19">
        <v>2</v>
      </c>
      <c r="D649" s="19">
        <v>3.0143999999999993</v>
      </c>
    </row>
    <row r="650" spans="1:4" x14ac:dyDescent="0.2">
      <c r="A650" s="19" t="s">
        <v>153</v>
      </c>
      <c r="B650" s="19">
        <v>14.8</v>
      </c>
      <c r="C650" s="19">
        <v>4</v>
      </c>
      <c r="D650" s="19">
        <v>6.0680000000000014</v>
      </c>
    </row>
    <row r="651" spans="1:4" x14ac:dyDescent="0.2">
      <c r="A651" s="19" t="s">
        <v>153</v>
      </c>
      <c r="B651" s="19">
        <v>302.37599999999998</v>
      </c>
      <c r="C651" s="19">
        <v>3</v>
      </c>
      <c r="D651" s="19">
        <v>22.678200000000018</v>
      </c>
    </row>
    <row r="652" spans="1:4" x14ac:dyDescent="0.2">
      <c r="A652" s="19" t="s">
        <v>153</v>
      </c>
      <c r="B652" s="19">
        <v>316</v>
      </c>
      <c r="C652" s="19">
        <v>4</v>
      </c>
      <c r="D652" s="19">
        <v>31.599999999999966</v>
      </c>
    </row>
    <row r="653" spans="1:4" x14ac:dyDescent="0.2">
      <c r="A653" s="19" t="s">
        <v>164</v>
      </c>
      <c r="B653" s="19">
        <v>379.4</v>
      </c>
      <c r="C653" s="19">
        <v>10</v>
      </c>
      <c r="D653" s="19">
        <v>178.31799999999998</v>
      </c>
    </row>
    <row r="654" spans="1:4" x14ac:dyDescent="0.2">
      <c r="A654" s="19" t="s">
        <v>164</v>
      </c>
      <c r="B654" s="19">
        <v>97.82</v>
      </c>
      <c r="C654" s="19">
        <v>2</v>
      </c>
      <c r="D654" s="19">
        <v>45.975399999999993</v>
      </c>
    </row>
    <row r="655" spans="1:4" x14ac:dyDescent="0.2">
      <c r="A655" s="19" t="s">
        <v>164</v>
      </c>
      <c r="B655" s="19">
        <v>103.12</v>
      </c>
      <c r="C655" s="19">
        <v>8</v>
      </c>
      <c r="D655" s="19">
        <v>10.311999999999998</v>
      </c>
    </row>
    <row r="656" spans="1:4" x14ac:dyDescent="0.2">
      <c r="A656" s="19" t="s">
        <v>173</v>
      </c>
      <c r="B656" s="19">
        <v>113.55200000000001</v>
      </c>
      <c r="C656" s="19">
        <v>2</v>
      </c>
      <c r="D656" s="19">
        <v>8.5163999999999938</v>
      </c>
    </row>
    <row r="657" spans="1:4" x14ac:dyDescent="0.2">
      <c r="A657" s="19" t="s">
        <v>173</v>
      </c>
      <c r="B657" s="19">
        <v>3.3180000000000005</v>
      </c>
      <c r="C657" s="19">
        <v>2</v>
      </c>
      <c r="D657" s="19">
        <v>-2.6543999999999999</v>
      </c>
    </row>
    <row r="658" spans="1:4" x14ac:dyDescent="0.2">
      <c r="A658" s="19" t="s">
        <v>173</v>
      </c>
      <c r="B658" s="19">
        <v>134.28800000000001</v>
      </c>
      <c r="C658" s="19">
        <v>2</v>
      </c>
      <c r="D658" s="19">
        <v>45.322199999999995</v>
      </c>
    </row>
    <row r="659" spans="1:4" x14ac:dyDescent="0.2">
      <c r="A659" s="19" t="s">
        <v>159</v>
      </c>
      <c r="B659" s="19">
        <v>701.37199999999996</v>
      </c>
      <c r="C659" s="19">
        <v>2</v>
      </c>
      <c r="D659" s="19">
        <v>-50.098000000000013</v>
      </c>
    </row>
    <row r="660" spans="1:4" x14ac:dyDescent="0.2">
      <c r="A660" s="19" t="s">
        <v>159</v>
      </c>
      <c r="B660" s="19">
        <v>2.3079999999999994</v>
      </c>
      <c r="C660" s="19">
        <v>2</v>
      </c>
      <c r="D660" s="19">
        <v>-3.4619999999999997</v>
      </c>
    </row>
    <row r="661" spans="1:4" x14ac:dyDescent="0.2">
      <c r="A661" s="19" t="s">
        <v>154</v>
      </c>
      <c r="B661" s="19">
        <v>999.43200000000002</v>
      </c>
      <c r="C661" s="19">
        <v>7</v>
      </c>
      <c r="D661" s="19">
        <v>124.92899999999986</v>
      </c>
    </row>
    <row r="662" spans="1:4" x14ac:dyDescent="0.2">
      <c r="A662" s="19" t="s">
        <v>154</v>
      </c>
      <c r="B662" s="19">
        <v>724.08</v>
      </c>
      <c r="C662" s="19">
        <v>14</v>
      </c>
      <c r="D662" s="19">
        <v>-135.7650000000001</v>
      </c>
    </row>
    <row r="663" spans="1:4" x14ac:dyDescent="0.2">
      <c r="A663" s="19" t="s">
        <v>154</v>
      </c>
      <c r="B663" s="19">
        <v>918.78499999999985</v>
      </c>
      <c r="C663" s="19">
        <v>5</v>
      </c>
      <c r="D663" s="19">
        <v>-118.12950000000006</v>
      </c>
    </row>
    <row r="664" spans="1:4" x14ac:dyDescent="0.2">
      <c r="A664" s="19" t="s">
        <v>154</v>
      </c>
      <c r="B664" s="19">
        <v>2.7239999999999993</v>
      </c>
      <c r="C664" s="19">
        <v>3</v>
      </c>
      <c r="D664" s="19">
        <v>-4.2222000000000008</v>
      </c>
    </row>
    <row r="665" spans="1:4" x14ac:dyDescent="0.2">
      <c r="A665" s="19" t="s">
        <v>164</v>
      </c>
      <c r="B665" s="19">
        <v>459.95</v>
      </c>
      <c r="C665" s="19">
        <v>5</v>
      </c>
      <c r="D665" s="19">
        <v>18.397999999999968</v>
      </c>
    </row>
    <row r="666" spans="1:4" x14ac:dyDescent="0.2">
      <c r="A666" s="19" t="s">
        <v>149</v>
      </c>
      <c r="B666" s="19">
        <v>10.74</v>
      </c>
      <c r="C666" s="19">
        <v>3</v>
      </c>
      <c r="D666" s="19">
        <v>5.2625999999999999</v>
      </c>
    </row>
    <row r="667" spans="1:4" x14ac:dyDescent="0.2">
      <c r="A667" s="19" t="s">
        <v>154</v>
      </c>
      <c r="B667" s="19">
        <v>23.76</v>
      </c>
      <c r="C667" s="19">
        <v>3</v>
      </c>
      <c r="D667" s="19">
        <v>2.0789999999999997</v>
      </c>
    </row>
    <row r="668" spans="1:4" x14ac:dyDescent="0.2">
      <c r="A668" s="19" t="s">
        <v>154</v>
      </c>
      <c r="B668" s="19">
        <v>85.055999999999997</v>
      </c>
      <c r="C668" s="19">
        <v>3</v>
      </c>
      <c r="D668" s="19">
        <v>28.706399999999991</v>
      </c>
    </row>
    <row r="669" spans="1:4" x14ac:dyDescent="0.2">
      <c r="A669" s="19" t="s">
        <v>154</v>
      </c>
      <c r="B669" s="19">
        <v>381.57600000000002</v>
      </c>
      <c r="C669" s="19">
        <v>3</v>
      </c>
      <c r="D669" s="19">
        <v>28.618200000000002</v>
      </c>
    </row>
    <row r="670" spans="1:4" x14ac:dyDescent="0.2">
      <c r="A670" s="19" t="s">
        <v>173</v>
      </c>
      <c r="B670" s="19">
        <v>30.36</v>
      </c>
      <c r="C670" s="19">
        <v>5</v>
      </c>
      <c r="D670" s="19">
        <v>8.7285000000000004</v>
      </c>
    </row>
    <row r="671" spans="1:4" x14ac:dyDescent="0.2">
      <c r="A671" s="19" t="s">
        <v>159</v>
      </c>
      <c r="B671" s="19">
        <v>23.976000000000003</v>
      </c>
      <c r="C671" s="19">
        <v>3</v>
      </c>
      <c r="D671" s="19">
        <v>-14.385599999999997</v>
      </c>
    </row>
    <row r="672" spans="1:4" x14ac:dyDescent="0.2">
      <c r="A672" s="19" t="s">
        <v>159</v>
      </c>
      <c r="B672" s="19">
        <v>108.925</v>
      </c>
      <c r="C672" s="19">
        <v>1</v>
      </c>
      <c r="D672" s="19">
        <v>-71.890500000000017</v>
      </c>
    </row>
    <row r="673" spans="1:4" x14ac:dyDescent="0.2">
      <c r="A673" s="19" t="s">
        <v>159</v>
      </c>
      <c r="B673" s="19">
        <v>36.351999999999997</v>
      </c>
      <c r="C673" s="19">
        <v>8</v>
      </c>
      <c r="D673" s="19">
        <v>11.359999999999998</v>
      </c>
    </row>
    <row r="674" spans="1:4" x14ac:dyDescent="0.2">
      <c r="A674" s="19" t="s">
        <v>159</v>
      </c>
      <c r="B674" s="19">
        <v>19.559999999999999</v>
      </c>
      <c r="C674" s="19">
        <v>5</v>
      </c>
      <c r="D674" s="19">
        <v>1.7115</v>
      </c>
    </row>
    <row r="675" spans="1:4" x14ac:dyDescent="0.2">
      <c r="A675" s="19" t="s">
        <v>163</v>
      </c>
      <c r="B675" s="19">
        <v>61.44</v>
      </c>
      <c r="C675" s="19">
        <v>3</v>
      </c>
      <c r="D675" s="19">
        <v>16.588799999999999</v>
      </c>
    </row>
    <row r="676" spans="1:4" x14ac:dyDescent="0.2">
      <c r="A676" s="19" t="s">
        <v>163</v>
      </c>
      <c r="B676" s="19">
        <v>38.9</v>
      </c>
      <c r="C676" s="19">
        <v>5</v>
      </c>
      <c r="D676" s="19">
        <v>17.504999999999995</v>
      </c>
    </row>
    <row r="677" spans="1:4" x14ac:dyDescent="0.2">
      <c r="A677" s="19" t="s">
        <v>163</v>
      </c>
      <c r="B677" s="19">
        <v>99.390000000000015</v>
      </c>
      <c r="C677" s="19">
        <v>3</v>
      </c>
      <c r="D677" s="19">
        <v>40.749900000000004</v>
      </c>
    </row>
    <row r="678" spans="1:4" x14ac:dyDescent="0.2">
      <c r="A678" s="19" t="s">
        <v>154</v>
      </c>
      <c r="B678" s="19">
        <v>2.6879999999999997</v>
      </c>
      <c r="C678" s="19">
        <v>3</v>
      </c>
      <c r="D678" s="19">
        <v>-7.3920000000000021</v>
      </c>
    </row>
    <row r="679" spans="1:4" x14ac:dyDescent="0.2">
      <c r="A679" s="19" t="s">
        <v>154</v>
      </c>
      <c r="B679" s="19">
        <v>27.816000000000003</v>
      </c>
      <c r="C679" s="19">
        <v>3</v>
      </c>
      <c r="D679" s="19">
        <v>4.5200999999999958</v>
      </c>
    </row>
    <row r="680" spans="1:4" x14ac:dyDescent="0.2">
      <c r="A680" s="19" t="s">
        <v>154</v>
      </c>
      <c r="B680" s="19">
        <v>82.524000000000001</v>
      </c>
      <c r="C680" s="19">
        <v>3</v>
      </c>
      <c r="D680" s="19">
        <v>-41.261999999999972</v>
      </c>
    </row>
    <row r="681" spans="1:4" x14ac:dyDescent="0.2">
      <c r="A681" s="19" t="s">
        <v>154</v>
      </c>
      <c r="B681" s="19">
        <v>182.99399999999997</v>
      </c>
      <c r="C681" s="19">
        <v>3</v>
      </c>
      <c r="D681" s="19">
        <v>-320.23950000000013</v>
      </c>
    </row>
    <row r="682" spans="1:4" x14ac:dyDescent="0.2">
      <c r="A682" s="19" t="s">
        <v>164</v>
      </c>
      <c r="B682" s="19">
        <v>14.352000000000002</v>
      </c>
      <c r="C682" s="19">
        <v>3</v>
      </c>
      <c r="D682" s="19">
        <v>4.6643999999999988</v>
      </c>
    </row>
    <row r="683" spans="1:4" x14ac:dyDescent="0.2">
      <c r="A683" s="19" t="s">
        <v>164</v>
      </c>
      <c r="B683" s="19">
        <v>64.959999999999994</v>
      </c>
      <c r="C683" s="19">
        <v>2</v>
      </c>
      <c r="D683" s="19">
        <v>2.598399999999998</v>
      </c>
    </row>
    <row r="684" spans="1:4" x14ac:dyDescent="0.2">
      <c r="A684" s="19" t="s">
        <v>164</v>
      </c>
      <c r="B684" s="19">
        <v>68.599999999999994</v>
      </c>
      <c r="C684" s="19">
        <v>4</v>
      </c>
      <c r="D684" s="19">
        <v>18.521999999999998</v>
      </c>
    </row>
    <row r="685" spans="1:4" x14ac:dyDescent="0.2">
      <c r="A685" s="19" t="s">
        <v>152</v>
      </c>
      <c r="B685" s="19">
        <v>7999.98</v>
      </c>
      <c r="C685" s="19">
        <v>4</v>
      </c>
      <c r="D685" s="19">
        <v>-3839.9903999999988</v>
      </c>
    </row>
    <row r="686" spans="1:4" x14ac:dyDescent="0.2">
      <c r="A686" s="19" t="s">
        <v>152</v>
      </c>
      <c r="B686" s="19">
        <v>167.44000000000003</v>
      </c>
      <c r="C686" s="19">
        <v>2</v>
      </c>
      <c r="D686" s="19">
        <v>14.650999999999989</v>
      </c>
    </row>
    <row r="687" spans="1:4" x14ac:dyDescent="0.2">
      <c r="A687" s="19" t="s">
        <v>183</v>
      </c>
      <c r="B687" s="19">
        <v>479.97</v>
      </c>
      <c r="C687" s="19">
        <v>3</v>
      </c>
      <c r="D687" s="19">
        <v>163.18979999999999</v>
      </c>
    </row>
    <row r="688" spans="1:4" x14ac:dyDescent="0.2">
      <c r="A688" s="19" t="s">
        <v>183</v>
      </c>
      <c r="B688" s="19">
        <v>14.62</v>
      </c>
      <c r="C688" s="19">
        <v>2</v>
      </c>
      <c r="D688" s="19">
        <v>6.8713999999999995</v>
      </c>
    </row>
    <row r="689" spans="1:4" x14ac:dyDescent="0.2">
      <c r="A689" s="19" t="s">
        <v>183</v>
      </c>
      <c r="B689" s="19">
        <v>19.440000000000001</v>
      </c>
      <c r="C689" s="19">
        <v>3</v>
      </c>
      <c r="D689" s="19">
        <v>9.3312000000000008</v>
      </c>
    </row>
    <row r="690" spans="1:4" x14ac:dyDescent="0.2">
      <c r="A690" s="19" t="s">
        <v>164</v>
      </c>
      <c r="B690" s="19">
        <v>191.98400000000001</v>
      </c>
      <c r="C690" s="19">
        <v>2</v>
      </c>
      <c r="D690" s="19">
        <v>4.7995999999999768</v>
      </c>
    </row>
    <row r="691" spans="1:4" x14ac:dyDescent="0.2">
      <c r="A691" s="19" t="s">
        <v>166</v>
      </c>
      <c r="B691" s="19">
        <v>104.01</v>
      </c>
      <c r="C691" s="19">
        <v>1</v>
      </c>
      <c r="D691" s="19">
        <v>14.561400000000006</v>
      </c>
    </row>
    <row r="692" spans="1:4" x14ac:dyDescent="0.2">
      <c r="A692" s="19" t="s">
        <v>166</v>
      </c>
      <c r="B692" s="19">
        <v>284.82</v>
      </c>
      <c r="C692" s="19">
        <v>1</v>
      </c>
      <c r="D692" s="19">
        <v>74.053200000000004</v>
      </c>
    </row>
    <row r="693" spans="1:4" x14ac:dyDescent="0.2">
      <c r="A693" s="19" t="s">
        <v>166</v>
      </c>
      <c r="B693" s="19">
        <v>36.839999999999996</v>
      </c>
      <c r="C693" s="19">
        <v>3</v>
      </c>
      <c r="D693" s="19">
        <v>10.315199999999999</v>
      </c>
    </row>
    <row r="694" spans="1:4" x14ac:dyDescent="0.2">
      <c r="A694" s="19" t="s">
        <v>150</v>
      </c>
      <c r="B694" s="19">
        <v>166.24</v>
      </c>
      <c r="C694" s="19">
        <v>1</v>
      </c>
      <c r="D694" s="19">
        <v>24.936000000000007</v>
      </c>
    </row>
    <row r="695" spans="1:4" x14ac:dyDescent="0.2">
      <c r="A695" s="19" t="s">
        <v>150</v>
      </c>
      <c r="B695" s="19">
        <v>33.4</v>
      </c>
      <c r="C695" s="19">
        <v>5</v>
      </c>
      <c r="D695" s="19">
        <v>16.032</v>
      </c>
    </row>
    <row r="696" spans="1:4" x14ac:dyDescent="0.2">
      <c r="A696" s="19" t="s">
        <v>158</v>
      </c>
      <c r="B696" s="19">
        <v>198.27200000000002</v>
      </c>
      <c r="C696" s="19">
        <v>8</v>
      </c>
      <c r="D696" s="19">
        <v>17.34879999999999</v>
      </c>
    </row>
    <row r="697" spans="1:4" x14ac:dyDescent="0.2">
      <c r="A697" s="19" t="s">
        <v>158</v>
      </c>
      <c r="B697" s="19">
        <v>47.360000000000007</v>
      </c>
      <c r="C697" s="19">
        <v>4</v>
      </c>
      <c r="D697" s="19">
        <v>17.759999999999998</v>
      </c>
    </row>
    <row r="698" spans="1:4" x14ac:dyDescent="0.2">
      <c r="A698" s="19" t="s">
        <v>158</v>
      </c>
      <c r="B698" s="19">
        <v>200.98400000000004</v>
      </c>
      <c r="C698" s="19">
        <v>7</v>
      </c>
      <c r="D698" s="19">
        <v>62.807499999999976</v>
      </c>
    </row>
    <row r="699" spans="1:4" x14ac:dyDescent="0.2">
      <c r="A699" s="19" t="s">
        <v>158</v>
      </c>
      <c r="B699" s="19">
        <v>97.696000000000012</v>
      </c>
      <c r="C699" s="19">
        <v>4</v>
      </c>
      <c r="D699" s="19">
        <v>31.751200000000001</v>
      </c>
    </row>
    <row r="700" spans="1:4" x14ac:dyDescent="0.2">
      <c r="A700" s="19" t="s">
        <v>158</v>
      </c>
      <c r="B700" s="19">
        <v>2.6960000000000002</v>
      </c>
      <c r="C700" s="19">
        <v>1</v>
      </c>
      <c r="D700" s="19">
        <v>0.8088000000000003</v>
      </c>
    </row>
    <row r="701" spans="1:4" x14ac:dyDescent="0.2">
      <c r="A701" s="19" t="s">
        <v>158</v>
      </c>
      <c r="B701" s="19">
        <v>18.588000000000005</v>
      </c>
      <c r="C701" s="19">
        <v>2</v>
      </c>
      <c r="D701" s="19">
        <v>-13.6312</v>
      </c>
    </row>
    <row r="702" spans="1:4" x14ac:dyDescent="0.2">
      <c r="A702" s="19" t="s">
        <v>158</v>
      </c>
      <c r="B702" s="19">
        <v>4.8960000000000008</v>
      </c>
      <c r="C702" s="19">
        <v>3</v>
      </c>
      <c r="D702" s="19">
        <v>-3.4271999999999991</v>
      </c>
    </row>
    <row r="703" spans="1:4" x14ac:dyDescent="0.2">
      <c r="A703" s="19" t="s">
        <v>173</v>
      </c>
      <c r="B703" s="19">
        <v>15.072000000000003</v>
      </c>
      <c r="C703" s="19">
        <v>3</v>
      </c>
      <c r="D703" s="19">
        <v>4.1448</v>
      </c>
    </row>
    <row r="704" spans="1:4" x14ac:dyDescent="0.2">
      <c r="A704" s="19" t="s">
        <v>153</v>
      </c>
      <c r="B704" s="19">
        <v>209.88</v>
      </c>
      <c r="C704" s="19">
        <v>3</v>
      </c>
      <c r="D704" s="19">
        <v>35.679599999999979</v>
      </c>
    </row>
    <row r="705" spans="1:4" x14ac:dyDescent="0.2">
      <c r="A705" s="19" t="s">
        <v>150</v>
      </c>
      <c r="B705" s="19">
        <v>369.91200000000003</v>
      </c>
      <c r="C705" s="19">
        <v>3</v>
      </c>
      <c r="D705" s="19">
        <v>-13.871700000000047</v>
      </c>
    </row>
    <row r="706" spans="1:4" x14ac:dyDescent="0.2">
      <c r="A706" s="19" t="s">
        <v>152</v>
      </c>
      <c r="B706" s="19">
        <v>10.368000000000002</v>
      </c>
      <c r="C706" s="19">
        <v>2</v>
      </c>
      <c r="D706" s="19">
        <v>3.6288</v>
      </c>
    </row>
    <row r="707" spans="1:4" x14ac:dyDescent="0.2">
      <c r="A707" s="19" t="s">
        <v>152</v>
      </c>
      <c r="B707" s="19">
        <v>166.84</v>
      </c>
      <c r="C707" s="19">
        <v>5</v>
      </c>
      <c r="D707" s="19">
        <v>18.769499999999987</v>
      </c>
    </row>
    <row r="708" spans="1:4" x14ac:dyDescent="0.2">
      <c r="A708" s="19" t="s">
        <v>152</v>
      </c>
      <c r="B708" s="19">
        <v>15.216000000000001</v>
      </c>
      <c r="C708" s="19">
        <v>1</v>
      </c>
      <c r="D708" s="19">
        <v>2.2823999999999991</v>
      </c>
    </row>
    <row r="709" spans="1:4" x14ac:dyDescent="0.2">
      <c r="A709" s="19" t="s">
        <v>164</v>
      </c>
      <c r="B709" s="19">
        <v>119.96</v>
      </c>
      <c r="C709" s="19">
        <v>4</v>
      </c>
      <c r="D709" s="19">
        <v>52.78240000000001</v>
      </c>
    </row>
    <row r="710" spans="1:4" x14ac:dyDescent="0.2">
      <c r="A710" s="19" t="s">
        <v>164</v>
      </c>
      <c r="B710" s="19">
        <v>883.92</v>
      </c>
      <c r="C710" s="19">
        <v>5</v>
      </c>
      <c r="D710" s="19">
        <v>-110.49000000000007</v>
      </c>
    </row>
    <row r="711" spans="1:4" x14ac:dyDescent="0.2">
      <c r="A711" s="19" t="s">
        <v>164</v>
      </c>
      <c r="B711" s="19">
        <v>46.72</v>
      </c>
      <c r="C711" s="19">
        <v>8</v>
      </c>
      <c r="D711" s="19">
        <v>15.767999999999997</v>
      </c>
    </row>
    <row r="712" spans="1:4" x14ac:dyDescent="0.2">
      <c r="A712" s="19" t="s">
        <v>164</v>
      </c>
      <c r="B712" s="19">
        <v>55.48</v>
      </c>
      <c r="C712" s="19">
        <v>1</v>
      </c>
      <c r="D712" s="19">
        <v>26.630399999999998</v>
      </c>
    </row>
    <row r="713" spans="1:4" x14ac:dyDescent="0.2">
      <c r="A713" s="19" t="s">
        <v>151</v>
      </c>
      <c r="B713" s="19">
        <v>24.448</v>
      </c>
      <c r="C713" s="19">
        <v>4</v>
      </c>
      <c r="D713" s="19">
        <v>8.8623999999999992</v>
      </c>
    </row>
    <row r="714" spans="1:4" x14ac:dyDescent="0.2">
      <c r="A714" s="19" t="s">
        <v>164</v>
      </c>
      <c r="B714" s="19">
        <v>281.34000000000003</v>
      </c>
      <c r="C714" s="19">
        <v>6</v>
      </c>
      <c r="D714" s="19">
        <v>109.72260000000001</v>
      </c>
    </row>
    <row r="715" spans="1:4" x14ac:dyDescent="0.2">
      <c r="A715" s="19" t="s">
        <v>164</v>
      </c>
      <c r="B715" s="19">
        <v>307.98</v>
      </c>
      <c r="C715" s="19">
        <v>2</v>
      </c>
      <c r="D715" s="19">
        <v>89.314199999999971</v>
      </c>
    </row>
    <row r="716" spans="1:4" x14ac:dyDescent="0.2">
      <c r="A716" s="19" t="s">
        <v>164</v>
      </c>
      <c r="B716" s="19">
        <v>299.96999999999997</v>
      </c>
      <c r="C716" s="19">
        <v>3</v>
      </c>
      <c r="D716" s="19">
        <v>113.98860000000001</v>
      </c>
    </row>
    <row r="717" spans="1:4" x14ac:dyDescent="0.2">
      <c r="A717" s="19" t="s">
        <v>153</v>
      </c>
      <c r="B717" s="19">
        <v>19.920000000000002</v>
      </c>
      <c r="C717" s="19">
        <v>5</v>
      </c>
      <c r="D717" s="19">
        <v>6.9719999999999995</v>
      </c>
    </row>
    <row r="718" spans="1:4" x14ac:dyDescent="0.2">
      <c r="A718" s="19" t="s">
        <v>162</v>
      </c>
      <c r="B718" s="19">
        <v>9.94</v>
      </c>
      <c r="C718" s="19">
        <v>2</v>
      </c>
      <c r="D718" s="19">
        <v>3.0813999999999995</v>
      </c>
    </row>
    <row r="719" spans="1:4" x14ac:dyDescent="0.2">
      <c r="A719" s="19" t="s">
        <v>173</v>
      </c>
      <c r="B719" s="19">
        <v>103.05599999999998</v>
      </c>
      <c r="C719" s="19">
        <v>3</v>
      </c>
      <c r="D719" s="19">
        <v>24.475800000000007</v>
      </c>
    </row>
    <row r="720" spans="1:4" x14ac:dyDescent="0.2">
      <c r="A720" s="19" t="s">
        <v>156</v>
      </c>
      <c r="B720" s="19">
        <v>59.808000000000007</v>
      </c>
      <c r="C720" s="19">
        <v>3</v>
      </c>
      <c r="D720" s="19">
        <v>19.4376</v>
      </c>
    </row>
    <row r="721" spans="1:4" x14ac:dyDescent="0.2">
      <c r="A721" s="19" t="s">
        <v>156</v>
      </c>
      <c r="B721" s="19">
        <v>73.320000000000007</v>
      </c>
      <c r="C721" s="19">
        <v>6</v>
      </c>
      <c r="D721" s="19">
        <v>21.995999999999992</v>
      </c>
    </row>
    <row r="722" spans="1:4" x14ac:dyDescent="0.2">
      <c r="A722" s="19" t="s">
        <v>150</v>
      </c>
      <c r="B722" s="19">
        <v>146.82</v>
      </c>
      <c r="C722" s="19">
        <v>3</v>
      </c>
      <c r="D722" s="19">
        <v>73.41</v>
      </c>
    </row>
    <row r="723" spans="1:4" x14ac:dyDescent="0.2">
      <c r="A723" s="19" t="s">
        <v>161</v>
      </c>
      <c r="B723" s="19">
        <v>1652.94</v>
      </c>
      <c r="C723" s="19">
        <v>3</v>
      </c>
      <c r="D723" s="19">
        <v>231.41160000000002</v>
      </c>
    </row>
    <row r="724" spans="1:4" x14ac:dyDescent="0.2">
      <c r="A724" s="19" t="s">
        <v>161</v>
      </c>
      <c r="B724" s="19">
        <v>296.37</v>
      </c>
      <c r="C724" s="19">
        <v>3</v>
      </c>
      <c r="D724" s="19">
        <v>80.019899999999993</v>
      </c>
    </row>
    <row r="725" spans="1:4" x14ac:dyDescent="0.2">
      <c r="A725" s="19" t="s">
        <v>158</v>
      </c>
      <c r="B725" s="19">
        <v>129.91999999999999</v>
      </c>
      <c r="C725" s="19">
        <v>5</v>
      </c>
      <c r="D725" s="19">
        <v>21.112000000000002</v>
      </c>
    </row>
    <row r="726" spans="1:4" x14ac:dyDescent="0.2">
      <c r="A726" s="19" t="s">
        <v>151</v>
      </c>
      <c r="B726" s="19">
        <v>45.584000000000003</v>
      </c>
      <c r="C726" s="19">
        <v>7</v>
      </c>
      <c r="D726" s="19">
        <v>5.1281999999999996</v>
      </c>
    </row>
    <row r="727" spans="1:4" x14ac:dyDescent="0.2">
      <c r="A727" s="19" t="s">
        <v>154</v>
      </c>
      <c r="B727" s="19">
        <v>17.568000000000001</v>
      </c>
      <c r="C727" s="19">
        <v>2</v>
      </c>
      <c r="D727" s="19">
        <v>6.3684000000000003</v>
      </c>
    </row>
    <row r="728" spans="1:4" x14ac:dyDescent="0.2">
      <c r="A728" s="19" t="s">
        <v>154</v>
      </c>
      <c r="B728" s="19">
        <v>55.991999999999997</v>
      </c>
      <c r="C728" s="19">
        <v>1</v>
      </c>
      <c r="D728" s="19">
        <v>5.5992000000000015</v>
      </c>
    </row>
    <row r="729" spans="1:4" x14ac:dyDescent="0.2">
      <c r="A729" s="19" t="s">
        <v>164</v>
      </c>
      <c r="B729" s="19">
        <v>182.72</v>
      </c>
      <c r="C729" s="19">
        <v>8</v>
      </c>
      <c r="D729" s="19">
        <v>84.051199999999994</v>
      </c>
    </row>
    <row r="730" spans="1:4" x14ac:dyDescent="0.2">
      <c r="A730" s="19" t="s">
        <v>164</v>
      </c>
      <c r="B730" s="19">
        <v>400.03199999999998</v>
      </c>
      <c r="C730" s="19">
        <v>2</v>
      </c>
      <c r="D730" s="19">
        <v>-153.34560000000005</v>
      </c>
    </row>
    <row r="731" spans="1:4" x14ac:dyDescent="0.2">
      <c r="A731" s="19" t="s">
        <v>164</v>
      </c>
      <c r="B731" s="19">
        <v>33.630000000000003</v>
      </c>
      <c r="C731" s="19">
        <v>3</v>
      </c>
      <c r="D731" s="19">
        <v>10.088999999999999</v>
      </c>
    </row>
    <row r="732" spans="1:4" x14ac:dyDescent="0.2">
      <c r="A732" s="19" t="s">
        <v>164</v>
      </c>
      <c r="B732" s="19">
        <v>542.64599999999996</v>
      </c>
      <c r="C732" s="19">
        <v>3</v>
      </c>
      <c r="D732" s="19">
        <v>102.49980000000001</v>
      </c>
    </row>
    <row r="733" spans="1:4" x14ac:dyDescent="0.2">
      <c r="A733" s="19" t="s">
        <v>164</v>
      </c>
      <c r="B733" s="19">
        <v>6.3</v>
      </c>
      <c r="C733" s="19">
        <v>2</v>
      </c>
      <c r="D733" s="19">
        <v>3.024</v>
      </c>
    </row>
    <row r="734" spans="1:4" x14ac:dyDescent="0.2">
      <c r="A734" s="19" t="s">
        <v>153</v>
      </c>
      <c r="B734" s="19">
        <v>242.94</v>
      </c>
      <c r="C734" s="19">
        <v>3</v>
      </c>
      <c r="D734" s="19">
        <v>9.7175999999999902</v>
      </c>
    </row>
    <row r="735" spans="1:4" x14ac:dyDescent="0.2">
      <c r="A735" s="19" t="s">
        <v>153</v>
      </c>
      <c r="B735" s="19">
        <v>179.97</v>
      </c>
      <c r="C735" s="19">
        <v>3</v>
      </c>
      <c r="D735" s="19">
        <v>86.385600000000011</v>
      </c>
    </row>
    <row r="736" spans="1:4" x14ac:dyDescent="0.2">
      <c r="A736" s="19" t="s">
        <v>153</v>
      </c>
      <c r="B736" s="19">
        <v>99.695999999999998</v>
      </c>
      <c r="C736" s="19">
        <v>6</v>
      </c>
      <c r="D736" s="19">
        <v>33.647399999999998</v>
      </c>
    </row>
    <row r="737" spans="1:4" x14ac:dyDescent="0.2">
      <c r="A737" s="19" t="s">
        <v>153</v>
      </c>
      <c r="B737" s="19">
        <v>27.936000000000003</v>
      </c>
      <c r="C737" s="19">
        <v>4</v>
      </c>
      <c r="D737" s="19">
        <v>9.4283999999999963</v>
      </c>
    </row>
    <row r="738" spans="1:4" x14ac:dyDescent="0.2">
      <c r="A738" s="19" t="s">
        <v>153</v>
      </c>
      <c r="B738" s="19">
        <v>84.98</v>
      </c>
      <c r="C738" s="19">
        <v>1</v>
      </c>
      <c r="D738" s="19">
        <v>18.695599999999999</v>
      </c>
    </row>
    <row r="739" spans="1:4" x14ac:dyDescent="0.2">
      <c r="A739" s="19" t="s">
        <v>153</v>
      </c>
      <c r="B739" s="19">
        <v>18.72</v>
      </c>
      <c r="C739" s="19">
        <v>5</v>
      </c>
      <c r="D739" s="19">
        <v>6.5519999999999996</v>
      </c>
    </row>
    <row r="740" spans="1:4" x14ac:dyDescent="0.2">
      <c r="A740" s="19" t="s">
        <v>150</v>
      </c>
      <c r="B740" s="19">
        <v>49.98</v>
      </c>
      <c r="C740" s="19">
        <v>2</v>
      </c>
      <c r="D740" s="19">
        <v>8.4965999999999937</v>
      </c>
    </row>
    <row r="741" spans="1:4" x14ac:dyDescent="0.2">
      <c r="A741" s="19" t="s">
        <v>159</v>
      </c>
      <c r="B741" s="19">
        <v>11.784000000000001</v>
      </c>
      <c r="C741" s="19">
        <v>3</v>
      </c>
      <c r="D741" s="19">
        <v>4.2716999999999992</v>
      </c>
    </row>
    <row r="742" spans="1:4" x14ac:dyDescent="0.2">
      <c r="A742" s="19" t="s">
        <v>159</v>
      </c>
      <c r="B742" s="19">
        <v>272.73599999999999</v>
      </c>
      <c r="C742" s="19">
        <v>3</v>
      </c>
      <c r="D742" s="19">
        <v>-64.774800000000013</v>
      </c>
    </row>
    <row r="743" spans="1:4" x14ac:dyDescent="0.2">
      <c r="A743" s="19" t="s">
        <v>159</v>
      </c>
      <c r="B743" s="19">
        <v>3.5399999999999991</v>
      </c>
      <c r="C743" s="19">
        <v>2</v>
      </c>
      <c r="D743" s="19">
        <v>-5.4870000000000001</v>
      </c>
    </row>
    <row r="744" spans="1:4" x14ac:dyDescent="0.2">
      <c r="A744" s="19" t="s">
        <v>154</v>
      </c>
      <c r="B744" s="19">
        <v>51.52000000000001</v>
      </c>
      <c r="C744" s="19">
        <v>5</v>
      </c>
      <c r="D744" s="19">
        <v>-10.948000000000002</v>
      </c>
    </row>
    <row r="745" spans="1:4" x14ac:dyDescent="0.2">
      <c r="A745" s="19" t="s">
        <v>154</v>
      </c>
      <c r="B745" s="19">
        <v>3.5280000000000005</v>
      </c>
      <c r="C745" s="19">
        <v>1</v>
      </c>
      <c r="D745" s="19">
        <v>1.1465999999999998</v>
      </c>
    </row>
    <row r="746" spans="1:4" x14ac:dyDescent="0.2">
      <c r="A746" s="19" t="s">
        <v>154</v>
      </c>
      <c r="B746" s="19">
        <v>4.6240000000000006</v>
      </c>
      <c r="C746" s="19">
        <v>1</v>
      </c>
      <c r="D746" s="19">
        <v>1.6762000000000001</v>
      </c>
    </row>
    <row r="747" spans="1:4" x14ac:dyDescent="0.2">
      <c r="A747" s="19" t="s">
        <v>154</v>
      </c>
      <c r="B747" s="19">
        <v>55.167999999999999</v>
      </c>
      <c r="C747" s="19">
        <v>4</v>
      </c>
      <c r="D747" s="19">
        <v>6.2063999999999897</v>
      </c>
    </row>
    <row r="748" spans="1:4" x14ac:dyDescent="0.2">
      <c r="A748" s="19" t="s">
        <v>150</v>
      </c>
      <c r="B748" s="19">
        <v>567.12</v>
      </c>
      <c r="C748" s="19">
        <v>10</v>
      </c>
      <c r="D748" s="19">
        <v>-28.355999999999952</v>
      </c>
    </row>
    <row r="749" spans="1:4" x14ac:dyDescent="0.2">
      <c r="A749" s="19" t="s">
        <v>150</v>
      </c>
      <c r="B749" s="19">
        <v>359.32</v>
      </c>
      <c r="C749" s="19">
        <v>4</v>
      </c>
      <c r="D749" s="19">
        <v>7.1863999999999919</v>
      </c>
    </row>
    <row r="750" spans="1:4" x14ac:dyDescent="0.2">
      <c r="A750" s="19" t="s">
        <v>159</v>
      </c>
      <c r="B750" s="19">
        <v>11.992000000000001</v>
      </c>
      <c r="C750" s="19">
        <v>1</v>
      </c>
      <c r="D750" s="19">
        <v>0.89939999999999909</v>
      </c>
    </row>
    <row r="751" spans="1:4" x14ac:dyDescent="0.2">
      <c r="A751" s="19" t="s">
        <v>161</v>
      </c>
      <c r="B751" s="19">
        <v>58.050000000000004</v>
      </c>
      <c r="C751" s="19">
        <v>3</v>
      </c>
      <c r="D751" s="19">
        <v>26.702999999999999</v>
      </c>
    </row>
    <row r="752" spans="1:4" x14ac:dyDescent="0.2">
      <c r="A752" s="19" t="s">
        <v>161</v>
      </c>
      <c r="B752" s="19">
        <v>157.74</v>
      </c>
      <c r="C752" s="19">
        <v>11</v>
      </c>
      <c r="D752" s="19">
        <v>56.7864</v>
      </c>
    </row>
    <row r="753" spans="1:4" x14ac:dyDescent="0.2">
      <c r="A753" s="19" t="s">
        <v>161</v>
      </c>
      <c r="B753" s="19">
        <v>56.980000000000004</v>
      </c>
      <c r="C753" s="19">
        <v>7</v>
      </c>
      <c r="D753" s="19">
        <v>22.792000000000002</v>
      </c>
    </row>
    <row r="754" spans="1:4" x14ac:dyDescent="0.2">
      <c r="A754" s="19" t="s">
        <v>161</v>
      </c>
      <c r="B754" s="19">
        <v>2.88</v>
      </c>
      <c r="C754" s="19">
        <v>1</v>
      </c>
      <c r="D754" s="19">
        <v>1.4112</v>
      </c>
    </row>
    <row r="755" spans="1:4" x14ac:dyDescent="0.2">
      <c r="A755" s="19" t="s">
        <v>150</v>
      </c>
      <c r="B755" s="19">
        <v>1199.9760000000001</v>
      </c>
      <c r="C755" s="19">
        <v>3</v>
      </c>
      <c r="D755" s="19">
        <v>374.99249999999995</v>
      </c>
    </row>
    <row r="756" spans="1:4" x14ac:dyDescent="0.2">
      <c r="A756" s="19" t="s">
        <v>150</v>
      </c>
      <c r="B756" s="19">
        <v>79.92</v>
      </c>
      <c r="C756" s="19">
        <v>4</v>
      </c>
      <c r="D756" s="19">
        <v>28.7712</v>
      </c>
    </row>
    <row r="757" spans="1:4" x14ac:dyDescent="0.2">
      <c r="A757" s="19" t="s">
        <v>151</v>
      </c>
      <c r="B757" s="19">
        <v>383.43799999999999</v>
      </c>
      <c r="C757" s="19">
        <v>4</v>
      </c>
      <c r="D757" s="19">
        <v>-167.3184</v>
      </c>
    </row>
    <row r="758" spans="1:4" x14ac:dyDescent="0.2">
      <c r="A758" s="19" t="s">
        <v>160</v>
      </c>
      <c r="B758" s="19">
        <v>24.56</v>
      </c>
      <c r="C758" s="19">
        <v>2</v>
      </c>
      <c r="D758" s="19">
        <v>6.8767999999999994</v>
      </c>
    </row>
    <row r="759" spans="1:4" x14ac:dyDescent="0.2">
      <c r="A759" s="19" t="s">
        <v>160</v>
      </c>
      <c r="B759" s="19">
        <v>119.8</v>
      </c>
      <c r="C759" s="19">
        <v>4</v>
      </c>
      <c r="D759" s="19">
        <v>47.92</v>
      </c>
    </row>
    <row r="760" spans="1:4" x14ac:dyDescent="0.2">
      <c r="A760" s="19" t="s">
        <v>164</v>
      </c>
      <c r="B760" s="19">
        <v>13.128</v>
      </c>
      <c r="C760" s="19">
        <v>3</v>
      </c>
      <c r="D760" s="19">
        <v>4.2665999999999986</v>
      </c>
    </row>
    <row r="761" spans="1:4" x14ac:dyDescent="0.2">
      <c r="A761" s="19" t="s">
        <v>155</v>
      </c>
      <c r="B761" s="19">
        <v>22.72</v>
      </c>
      <c r="C761" s="19">
        <v>4</v>
      </c>
      <c r="D761" s="19">
        <v>10.223999999999998</v>
      </c>
    </row>
    <row r="762" spans="1:4" x14ac:dyDescent="0.2">
      <c r="A762" s="19" t="s">
        <v>150</v>
      </c>
      <c r="B762" s="19">
        <v>58.320000000000007</v>
      </c>
      <c r="C762" s="19">
        <v>9</v>
      </c>
      <c r="D762" s="19">
        <v>27.993600000000001</v>
      </c>
    </row>
    <row r="763" spans="1:4" x14ac:dyDescent="0.2">
      <c r="A763" s="19" t="s">
        <v>101</v>
      </c>
      <c r="B763" s="19">
        <v>12.39</v>
      </c>
      <c r="C763" s="19">
        <v>3</v>
      </c>
      <c r="D763" s="19">
        <v>5.6993999999999998</v>
      </c>
    </row>
    <row r="764" spans="1:4" x14ac:dyDescent="0.2">
      <c r="A764" s="19" t="s">
        <v>173</v>
      </c>
      <c r="B764" s="19">
        <v>107.982</v>
      </c>
      <c r="C764" s="19">
        <v>3</v>
      </c>
      <c r="D764" s="19">
        <v>-26.995499999999993</v>
      </c>
    </row>
    <row r="765" spans="1:4" x14ac:dyDescent="0.2">
      <c r="A765" s="19" t="s">
        <v>177</v>
      </c>
      <c r="B765" s="19">
        <v>11.36</v>
      </c>
      <c r="C765" s="19">
        <v>2</v>
      </c>
      <c r="D765" s="19">
        <v>5.3391999999999991</v>
      </c>
    </row>
    <row r="766" spans="1:4" x14ac:dyDescent="0.2">
      <c r="A766" s="19" t="s">
        <v>177</v>
      </c>
      <c r="B766" s="19">
        <v>50.94</v>
      </c>
      <c r="C766" s="19">
        <v>3</v>
      </c>
      <c r="D766" s="19">
        <v>25.47</v>
      </c>
    </row>
    <row r="767" spans="1:4" x14ac:dyDescent="0.2">
      <c r="A767" s="19" t="s">
        <v>177</v>
      </c>
      <c r="B767" s="19">
        <v>646.74</v>
      </c>
      <c r="C767" s="19">
        <v>6</v>
      </c>
      <c r="D767" s="19">
        <v>258.69600000000003</v>
      </c>
    </row>
    <row r="768" spans="1:4" x14ac:dyDescent="0.2">
      <c r="A768" s="19" t="s">
        <v>177</v>
      </c>
      <c r="B768" s="19">
        <v>5.64</v>
      </c>
      <c r="C768" s="19">
        <v>3</v>
      </c>
      <c r="D768" s="19">
        <v>2.7071999999999994</v>
      </c>
    </row>
    <row r="769" spans="1:4" x14ac:dyDescent="0.2">
      <c r="A769" s="19" t="s">
        <v>177</v>
      </c>
      <c r="B769" s="19">
        <v>572.58000000000004</v>
      </c>
      <c r="C769" s="19">
        <v>6</v>
      </c>
      <c r="D769" s="19">
        <v>34.354799999999955</v>
      </c>
    </row>
    <row r="770" spans="1:4" x14ac:dyDescent="0.2">
      <c r="A770" s="19" t="s">
        <v>151</v>
      </c>
      <c r="B770" s="19">
        <v>310.88000000000005</v>
      </c>
      <c r="C770" s="19">
        <v>2</v>
      </c>
      <c r="D770" s="19">
        <v>23.315999999999988</v>
      </c>
    </row>
    <row r="771" spans="1:4" x14ac:dyDescent="0.2">
      <c r="A771" s="19" t="s">
        <v>166</v>
      </c>
      <c r="B771" s="19">
        <v>641.96</v>
      </c>
      <c r="C771" s="19">
        <v>2</v>
      </c>
      <c r="D771" s="19">
        <v>179.74880000000002</v>
      </c>
    </row>
    <row r="772" spans="1:4" x14ac:dyDescent="0.2">
      <c r="A772" s="19" t="s">
        <v>172</v>
      </c>
      <c r="B772" s="19">
        <v>18.28</v>
      </c>
      <c r="C772" s="19">
        <v>2</v>
      </c>
      <c r="D772" s="19">
        <v>9.14</v>
      </c>
    </row>
    <row r="773" spans="1:4" x14ac:dyDescent="0.2">
      <c r="A773" s="19" t="s">
        <v>172</v>
      </c>
      <c r="B773" s="19">
        <v>207</v>
      </c>
      <c r="C773" s="19">
        <v>3</v>
      </c>
      <c r="D773" s="19">
        <v>51.75</v>
      </c>
    </row>
    <row r="774" spans="1:4" x14ac:dyDescent="0.2">
      <c r="A774" s="19" t="s">
        <v>172</v>
      </c>
      <c r="B774" s="19">
        <v>32.35</v>
      </c>
      <c r="C774" s="19">
        <v>5</v>
      </c>
      <c r="D774" s="19">
        <v>16.175000000000001</v>
      </c>
    </row>
    <row r="775" spans="1:4" x14ac:dyDescent="0.2">
      <c r="A775" s="19" t="s">
        <v>172</v>
      </c>
      <c r="B775" s="19">
        <v>7.71</v>
      </c>
      <c r="C775" s="19">
        <v>1</v>
      </c>
      <c r="D775" s="19">
        <v>3.4695</v>
      </c>
    </row>
    <row r="776" spans="1:4" x14ac:dyDescent="0.2">
      <c r="A776" s="19" t="s">
        <v>172</v>
      </c>
      <c r="B776" s="19">
        <v>40.299999999999997</v>
      </c>
      <c r="C776" s="19">
        <v>2</v>
      </c>
      <c r="D776" s="19">
        <v>10.881</v>
      </c>
    </row>
    <row r="777" spans="1:4" x14ac:dyDescent="0.2">
      <c r="A777" s="19" t="s">
        <v>172</v>
      </c>
      <c r="B777" s="19">
        <v>34.580000000000005</v>
      </c>
      <c r="C777" s="19">
        <v>7</v>
      </c>
      <c r="D777" s="19">
        <v>14.523600000000002</v>
      </c>
    </row>
    <row r="778" spans="1:4" x14ac:dyDescent="0.2">
      <c r="A778" s="19" t="s">
        <v>173</v>
      </c>
      <c r="B778" s="19">
        <v>32.76</v>
      </c>
      <c r="C778" s="19">
        <v>7</v>
      </c>
      <c r="D778" s="19">
        <v>3.6854999999999958</v>
      </c>
    </row>
    <row r="779" spans="1:4" x14ac:dyDescent="0.2">
      <c r="A779" s="19" t="s">
        <v>150</v>
      </c>
      <c r="B779" s="19">
        <v>544.00800000000004</v>
      </c>
      <c r="C779" s="19">
        <v>3</v>
      </c>
      <c r="D779" s="19">
        <v>40.800600000000003</v>
      </c>
    </row>
    <row r="780" spans="1:4" x14ac:dyDescent="0.2">
      <c r="A780" s="19" t="s">
        <v>150</v>
      </c>
      <c r="B780" s="19">
        <v>59.94</v>
      </c>
      <c r="C780" s="19">
        <v>3</v>
      </c>
      <c r="D780" s="19">
        <v>28.171799999999998</v>
      </c>
    </row>
    <row r="781" spans="1:4" x14ac:dyDescent="0.2">
      <c r="A781" s="19" t="s">
        <v>150</v>
      </c>
      <c r="B781" s="19">
        <v>23.92</v>
      </c>
      <c r="C781" s="19">
        <v>4</v>
      </c>
      <c r="D781" s="19">
        <v>11.720800000000001</v>
      </c>
    </row>
    <row r="782" spans="1:4" x14ac:dyDescent="0.2">
      <c r="A782" s="19" t="s">
        <v>150</v>
      </c>
      <c r="B782" s="19">
        <v>4.28</v>
      </c>
      <c r="C782" s="19">
        <v>1</v>
      </c>
      <c r="D782" s="19">
        <v>1.9259999999999997</v>
      </c>
    </row>
    <row r="783" spans="1:4" x14ac:dyDescent="0.2">
      <c r="A783" s="19" t="s">
        <v>173</v>
      </c>
      <c r="B783" s="19">
        <v>32.07</v>
      </c>
      <c r="C783" s="19">
        <v>5</v>
      </c>
      <c r="D783" s="19">
        <v>-22.448999999999991</v>
      </c>
    </row>
    <row r="784" spans="1:4" x14ac:dyDescent="0.2">
      <c r="A784" s="19" t="s">
        <v>173</v>
      </c>
      <c r="B784" s="19">
        <v>24</v>
      </c>
      <c r="C784" s="19">
        <v>2</v>
      </c>
      <c r="D784" s="19">
        <v>-2.6999999999999993</v>
      </c>
    </row>
    <row r="785" spans="1:4" x14ac:dyDescent="0.2">
      <c r="A785" s="19" t="s">
        <v>173</v>
      </c>
      <c r="B785" s="19">
        <v>35.49</v>
      </c>
      <c r="C785" s="19">
        <v>1</v>
      </c>
      <c r="D785" s="19">
        <v>-15.615600000000001</v>
      </c>
    </row>
    <row r="786" spans="1:4" x14ac:dyDescent="0.2">
      <c r="A786" s="19" t="s">
        <v>173</v>
      </c>
      <c r="B786" s="19">
        <v>47.984000000000002</v>
      </c>
      <c r="C786" s="19">
        <v>2</v>
      </c>
      <c r="D786" s="19">
        <v>0.59979999999999656</v>
      </c>
    </row>
    <row r="787" spans="1:4" x14ac:dyDescent="0.2">
      <c r="A787" s="19" t="s">
        <v>169</v>
      </c>
      <c r="B787" s="19">
        <v>186.69</v>
      </c>
      <c r="C787" s="19">
        <v>3</v>
      </c>
      <c r="D787" s="19">
        <v>87.744299999999981</v>
      </c>
    </row>
    <row r="788" spans="1:4" x14ac:dyDescent="0.2">
      <c r="A788" s="19" t="s">
        <v>150</v>
      </c>
      <c r="B788" s="19">
        <v>17.456</v>
      </c>
      <c r="C788" s="19">
        <v>2</v>
      </c>
      <c r="D788" s="19">
        <v>5.8914</v>
      </c>
    </row>
    <row r="789" spans="1:4" x14ac:dyDescent="0.2">
      <c r="A789" s="19" t="s">
        <v>150</v>
      </c>
      <c r="B789" s="19">
        <v>348.92800000000005</v>
      </c>
      <c r="C789" s="19">
        <v>2</v>
      </c>
      <c r="D789" s="19">
        <v>34.89279999999998</v>
      </c>
    </row>
    <row r="790" spans="1:4" x14ac:dyDescent="0.2">
      <c r="A790" s="19" t="s">
        <v>166</v>
      </c>
      <c r="B790" s="19">
        <v>143.96</v>
      </c>
      <c r="C790" s="19">
        <v>4</v>
      </c>
      <c r="D790" s="19">
        <v>69.100800000000007</v>
      </c>
    </row>
    <row r="791" spans="1:4" x14ac:dyDescent="0.2">
      <c r="A791" s="19" t="s">
        <v>166</v>
      </c>
      <c r="B791" s="19">
        <v>15.42</v>
      </c>
      <c r="C791" s="19">
        <v>1</v>
      </c>
      <c r="D791" s="19">
        <v>4.1634000000000011</v>
      </c>
    </row>
    <row r="792" spans="1:4" x14ac:dyDescent="0.2">
      <c r="A792" s="19" t="s">
        <v>166</v>
      </c>
      <c r="B792" s="19">
        <v>43.04</v>
      </c>
      <c r="C792" s="19">
        <v>8</v>
      </c>
      <c r="D792" s="19">
        <v>21.089600000000001</v>
      </c>
    </row>
    <row r="793" spans="1:4" x14ac:dyDescent="0.2">
      <c r="A793" s="19" t="s">
        <v>166</v>
      </c>
      <c r="B793" s="19">
        <v>332.94</v>
      </c>
      <c r="C793" s="19">
        <v>3</v>
      </c>
      <c r="D793" s="19">
        <v>79.905599999999993</v>
      </c>
    </row>
    <row r="794" spans="1:4" x14ac:dyDescent="0.2">
      <c r="A794" s="19" t="s">
        <v>152</v>
      </c>
      <c r="B794" s="19">
        <v>1363.96</v>
      </c>
      <c r="C794" s="19">
        <v>5</v>
      </c>
      <c r="D794" s="19">
        <v>85.247500000000002</v>
      </c>
    </row>
    <row r="795" spans="1:4" x14ac:dyDescent="0.2">
      <c r="A795" s="19" t="s">
        <v>150</v>
      </c>
      <c r="B795" s="19">
        <v>9.9600000000000009</v>
      </c>
      <c r="C795" s="19">
        <v>2</v>
      </c>
      <c r="D795" s="19">
        <v>4.5815999999999999</v>
      </c>
    </row>
    <row r="796" spans="1:4" x14ac:dyDescent="0.2">
      <c r="A796" s="19" t="s">
        <v>150</v>
      </c>
      <c r="B796" s="19">
        <v>21.72</v>
      </c>
      <c r="C796" s="19">
        <v>4</v>
      </c>
      <c r="D796" s="19">
        <v>10.642799999999999</v>
      </c>
    </row>
    <row r="797" spans="1:4" x14ac:dyDescent="0.2">
      <c r="A797" s="19" t="s">
        <v>160</v>
      </c>
      <c r="B797" s="19">
        <v>20.16</v>
      </c>
      <c r="C797" s="19">
        <v>7</v>
      </c>
      <c r="D797" s="19">
        <v>9.8783999999999992</v>
      </c>
    </row>
    <row r="798" spans="1:4" x14ac:dyDescent="0.2">
      <c r="A798" s="19" t="s">
        <v>164</v>
      </c>
      <c r="B798" s="19">
        <v>132.79</v>
      </c>
      <c r="C798" s="19">
        <v>7</v>
      </c>
      <c r="D798" s="19">
        <v>63.739199999999997</v>
      </c>
    </row>
    <row r="799" spans="1:4" x14ac:dyDescent="0.2">
      <c r="A799" s="19" t="s">
        <v>164</v>
      </c>
      <c r="B799" s="19">
        <v>12.96</v>
      </c>
      <c r="C799" s="19">
        <v>2</v>
      </c>
      <c r="D799" s="19">
        <v>6.2208000000000006</v>
      </c>
    </row>
    <row r="800" spans="1:4" x14ac:dyDescent="0.2">
      <c r="A800" s="19" t="s">
        <v>164</v>
      </c>
      <c r="B800" s="19">
        <v>21.560000000000002</v>
      </c>
      <c r="C800" s="19">
        <v>7</v>
      </c>
      <c r="D800" s="19">
        <v>10.348799999999999</v>
      </c>
    </row>
    <row r="801" spans="1:4" x14ac:dyDescent="0.2">
      <c r="A801" s="19" t="s">
        <v>150</v>
      </c>
      <c r="B801" s="19">
        <v>283.92</v>
      </c>
      <c r="C801" s="19">
        <v>5</v>
      </c>
      <c r="D801" s="19">
        <v>17.745000000000019</v>
      </c>
    </row>
    <row r="802" spans="1:4" x14ac:dyDescent="0.2">
      <c r="A802" s="19" t="s">
        <v>150</v>
      </c>
      <c r="B802" s="19">
        <v>22.23</v>
      </c>
      <c r="C802" s="19">
        <v>1</v>
      </c>
      <c r="D802" s="19">
        <v>7.3358999999999988</v>
      </c>
    </row>
    <row r="803" spans="1:4" x14ac:dyDescent="0.2">
      <c r="A803" s="19" t="s">
        <v>150</v>
      </c>
      <c r="B803" s="19">
        <v>215.96799999999999</v>
      </c>
      <c r="C803" s="19">
        <v>2</v>
      </c>
      <c r="D803" s="19">
        <v>18.897199999999991</v>
      </c>
    </row>
    <row r="804" spans="1:4" x14ac:dyDescent="0.2">
      <c r="A804" s="19" t="s">
        <v>164</v>
      </c>
      <c r="B804" s="19">
        <v>355.32</v>
      </c>
      <c r="C804" s="19">
        <v>9</v>
      </c>
      <c r="D804" s="19">
        <v>99.48960000000001</v>
      </c>
    </row>
    <row r="805" spans="1:4" x14ac:dyDescent="0.2">
      <c r="A805" s="19" t="s">
        <v>177</v>
      </c>
      <c r="B805" s="19">
        <v>12.96</v>
      </c>
      <c r="C805" s="19">
        <v>2</v>
      </c>
      <c r="D805" s="19">
        <v>6.2208000000000006</v>
      </c>
    </row>
    <row r="806" spans="1:4" x14ac:dyDescent="0.2">
      <c r="A806" s="19" t="s">
        <v>150</v>
      </c>
      <c r="B806" s="19">
        <v>18.28</v>
      </c>
      <c r="C806" s="19">
        <v>2</v>
      </c>
      <c r="D806" s="19">
        <v>6.2151999999999994</v>
      </c>
    </row>
    <row r="807" spans="1:4" x14ac:dyDescent="0.2">
      <c r="A807" s="19" t="s">
        <v>171</v>
      </c>
      <c r="B807" s="19">
        <v>43.176000000000002</v>
      </c>
      <c r="C807" s="19">
        <v>3</v>
      </c>
      <c r="D807" s="19">
        <v>4.3176000000000005</v>
      </c>
    </row>
    <row r="808" spans="1:4" x14ac:dyDescent="0.2">
      <c r="A808" s="19" t="s">
        <v>171</v>
      </c>
      <c r="B808" s="19">
        <v>1983.9680000000001</v>
      </c>
      <c r="C808" s="19">
        <v>4</v>
      </c>
      <c r="D808" s="19">
        <v>247.99599999999981</v>
      </c>
    </row>
    <row r="809" spans="1:4" x14ac:dyDescent="0.2">
      <c r="A809" s="19" t="s">
        <v>157</v>
      </c>
      <c r="B809" s="19">
        <v>28.4</v>
      </c>
      <c r="C809" s="19">
        <v>2</v>
      </c>
      <c r="D809" s="19">
        <v>11.076000000000001</v>
      </c>
    </row>
    <row r="810" spans="1:4" x14ac:dyDescent="0.2">
      <c r="A810" s="19" t="s">
        <v>157</v>
      </c>
      <c r="B810" s="19">
        <v>149.97</v>
      </c>
      <c r="C810" s="19">
        <v>3</v>
      </c>
      <c r="D810" s="19">
        <v>50.989800000000002</v>
      </c>
    </row>
    <row r="811" spans="1:4" x14ac:dyDescent="0.2">
      <c r="A811" s="19" t="s">
        <v>153</v>
      </c>
      <c r="B811" s="19">
        <v>11.52</v>
      </c>
      <c r="C811" s="19">
        <v>4</v>
      </c>
      <c r="D811" s="19">
        <v>3.2256</v>
      </c>
    </row>
    <row r="812" spans="1:4" x14ac:dyDescent="0.2">
      <c r="A812" s="19" t="s">
        <v>153</v>
      </c>
      <c r="B812" s="19">
        <v>1298.55</v>
      </c>
      <c r="C812" s="19">
        <v>5</v>
      </c>
      <c r="D812" s="19">
        <v>311.65199999999999</v>
      </c>
    </row>
    <row r="813" spans="1:4" x14ac:dyDescent="0.2">
      <c r="A813" s="19" t="s">
        <v>153</v>
      </c>
      <c r="B813" s="19">
        <v>213.92</v>
      </c>
      <c r="C813" s="19">
        <v>4</v>
      </c>
      <c r="D813" s="19">
        <v>62.036799999999971</v>
      </c>
    </row>
    <row r="814" spans="1:4" x14ac:dyDescent="0.2">
      <c r="A814" s="19" t="s">
        <v>153</v>
      </c>
      <c r="B814" s="19">
        <v>25.78</v>
      </c>
      <c r="C814" s="19">
        <v>2</v>
      </c>
      <c r="D814" s="19">
        <v>2.5779999999999994</v>
      </c>
    </row>
    <row r="815" spans="1:4" x14ac:dyDescent="0.2">
      <c r="A815" s="19" t="s">
        <v>150</v>
      </c>
      <c r="B815" s="19">
        <v>18.28</v>
      </c>
      <c r="C815" s="19">
        <v>2</v>
      </c>
      <c r="D815" s="19">
        <v>6.2151999999999994</v>
      </c>
    </row>
    <row r="816" spans="1:4" x14ac:dyDescent="0.2">
      <c r="A816" s="19" t="s">
        <v>150</v>
      </c>
      <c r="B816" s="19">
        <v>1399.93</v>
      </c>
      <c r="C816" s="19">
        <v>7</v>
      </c>
      <c r="D816" s="19">
        <v>601.96990000000005</v>
      </c>
    </row>
    <row r="817" spans="1:4" x14ac:dyDescent="0.2">
      <c r="A817" s="19" t="s">
        <v>155</v>
      </c>
      <c r="B817" s="19">
        <v>51.84</v>
      </c>
      <c r="C817" s="19">
        <v>8</v>
      </c>
      <c r="D817" s="19">
        <v>24.883200000000002</v>
      </c>
    </row>
    <row r="818" spans="1:4" x14ac:dyDescent="0.2">
      <c r="A818" s="19" t="s">
        <v>158</v>
      </c>
      <c r="B818" s="19">
        <v>5.3440000000000003</v>
      </c>
      <c r="C818" s="19">
        <v>1</v>
      </c>
      <c r="D818" s="19">
        <v>1.8703999999999998</v>
      </c>
    </row>
    <row r="819" spans="1:4" x14ac:dyDescent="0.2">
      <c r="A819" s="19" t="s">
        <v>158</v>
      </c>
      <c r="B819" s="19">
        <v>41.472000000000008</v>
      </c>
      <c r="C819" s="19">
        <v>8</v>
      </c>
      <c r="D819" s="19">
        <v>14.5152</v>
      </c>
    </row>
    <row r="820" spans="1:4" x14ac:dyDescent="0.2">
      <c r="A820" s="19" t="s">
        <v>158</v>
      </c>
      <c r="B820" s="19">
        <v>3.168000000000001</v>
      </c>
      <c r="C820" s="19">
        <v>3</v>
      </c>
      <c r="D820" s="19">
        <v>-2.4287999999999998</v>
      </c>
    </row>
    <row r="821" spans="1:4" x14ac:dyDescent="0.2">
      <c r="A821" s="19" t="s">
        <v>158</v>
      </c>
      <c r="B821" s="19">
        <v>1228.4649999999999</v>
      </c>
      <c r="C821" s="19">
        <v>5</v>
      </c>
      <c r="D821" s="19">
        <v>0</v>
      </c>
    </row>
    <row r="822" spans="1:4" x14ac:dyDescent="0.2">
      <c r="A822" s="19" t="s">
        <v>158</v>
      </c>
      <c r="B822" s="19">
        <v>31.086000000000006</v>
      </c>
      <c r="C822" s="19">
        <v>3</v>
      </c>
      <c r="D822" s="19">
        <v>-22.796399999999991</v>
      </c>
    </row>
    <row r="823" spans="1:4" x14ac:dyDescent="0.2">
      <c r="A823" s="19" t="s">
        <v>158</v>
      </c>
      <c r="B823" s="19">
        <v>335.52</v>
      </c>
      <c r="C823" s="19">
        <v>4</v>
      </c>
      <c r="D823" s="19">
        <v>117.43199999999999</v>
      </c>
    </row>
    <row r="824" spans="1:4" x14ac:dyDescent="0.2">
      <c r="A824" s="19" t="s">
        <v>179</v>
      </c>
      <c r="B824" s="19">
        <v>239.96999999999997</v>
      </c>
      <c r="C824" s="19">
        <v>3</v>
      </c>
      <c r="D824" s="19">
        <v>71.990999999999985</v>
      </c>
    </row>
    <row r="825" spans="1:4" x14ac:dyDescent="0.2">
      <c r="A825" s="19" t="s">
        <v>179</v>
      </c>
      <c r="B825" s="19">
        <v>9.82</v>
      </c>
      <c r="C825" s="19">
        <v>2</v>
      </c>
      <c r="D825" s="19">
        <v>4.8117999999999999</v>
      </c>
    </row>
    <row r="826" spans="1:4" x14ac:dyDescent="0.2">
      <c r="A826" s="19" t="s">
        <v>150</v>
      </c>
      <c r="B826" s="19">
        <v>67.8</v>
      </c>
      <c r="C826" s="19">
        <v>4</v>
      </c>
      <c r="D826" s="19">
        <v>4.0679999999999978</v>
      </c>
    </row>
    <row r="827" spans="1:4" x14ac:dyDescent="0.2">
      <c r="A827" s="19" t="s">
        <v>150</v>
      </c>
      <c r="B827" s="19">
        <v>167.97</v>
      </c>
      <c r="C827" s="19">
        <v>3</v>
      </c>
      <c r="D827" s="19">
        <v>40.31280000000001</v>
      </c>
    </row>
    <row r="828" spans="1:4" x14ac:dyDescent="0.2">
      <c r="A828" s="19" t="s">
        <v>160</v>
      </c>
      <c r="B828" s="19">
        <v>35</v>
      </c>
      <c r="C828" s="19">
        <v>7</v>
      </c>
      <c r="D828" s="19">
        <v>16.8</v>
      </c>
    </row>
    <row r="829" spans="1:4" x14ac:dyDescent="0.2">
      <c r="A829" s="19" t="s">
        <v>160</v>
      </c>
      <c r="B829" s="19">
        <v>37.24</v>
      </c>
      <c r="C829" s="19">
        <v>4</v>
      </c>
      <c r="D829" s="19">
        <v>10.799599999999998</v>
      </c>
    </row>
    <row r="830" spans="1:4" x14ac:dyDescent="0.2">
      <c r="A830" s="19" t="s">
        <v>160</v>
      </c>
      <c r="B830" s="19">
        <v>15.28</v>
      </c>
      <c r="C830" s="19">
        <v>2</v>
      </c>
      <c r="D830" s="19">
        <v>7.4871999999999996</v>
      </c>
    </row>
    <row r="831" spans="1:4" x14ac:dyDescent="0.2">
      <c r="A831" s="19" t="s">
        <v>149</v>
      </c>
      <c r="B831" s="19">
        <v>301.95999999999998</v>
      </c>
      <c r="C831" s="19">
        <v>2</v>
      </c>
      <c r="D831" s="19">
        <v>90.587999999999965</v>
      </c>
    </row>
    <row r="832" spans="1:4" x14ac:dyDescent="0.2">
      <c r="A832" s="19" t="s">
        <v>149</v>
      </c>
      <c r="B832" s="19">
        <v>180.66</v>
      </c>
      <c r="C832" s="19">
        <v>3</v>
      </c>
      <c r="D832" s="19">
        <v>50.584800000000008</v>
      </c>
    </row>
    <row r="833" spans="1:4" x14ac:dyDescent="0.2">
      <c r="A833" s="19" t="s">
        <v>149</v>
      </c>
      <c r="B833" s="19">
        <v>191.98</v>
      </c>
      <c r="C833" s="19">
        <v>2</v>
      </c>
      <c r="D833" s="19">
        <v>51.834599999999995</v>
      </c>
    </row>
    <row r="834" spans="1:4" x14ac:dyDescent="0.2">
      <c r="A834" s="19" t="s">
        <v>149</v>
      </c>
      <c r="B834" s="19">
        <v>65.989999999999995</v>
      </c>
      <c r="C834" s="19">
        <v>1</v>
      </c>
      <c r="D834" s="19">
        <v>17.157400000000003</v>
      </c>
    </row>
    <row r="835" spans="1:4" x14ac:dyDescent="0.2">
      <c r="A835" s="19" t="s">
        <v>151</v>
      </c>
      <c r="B835" s="19">
        <v>35.216000000000001</v>
      </c>
      <c r="C835" s="19">
        <v>2</v>
      </c>
      <c r="D835" s="19">
        <v>2.6411999999999995</v>
      </c>
    </row>
    <row r="836" spans="1:4" x14ac:dyDescent="0.2">
      <c r="A836" s="19" t="s">
        <v>151</v>
      </c>
      <c r="B836" s="19">
        <v>23.696000000000002</v>
      </c>
      <c r="C836" s="19">
        <v>2</v>
      </c>
      <c r="D836" s="19">
        <v>6.5164</v>
      </c>
    </row>
    <row r="837" spans="1:4" x14ac:dyDescent="0.2">
      <c r="A837" s="19" t="s">
        <v>151</v>
      </c>
      <c r="B837" s="19">
        <v>265.47500000000002</v>
      </c>
      <c r="C837" s="19">
        <v>1</v>
      </c>
      <c r="D837" s="19">
        <v>-111.49950000000007</v>
      </c>
    </row>
    <row r="838" spans="1:4" x14ac:dyDescent="0.2">
      <c r="A838" s="19" t="s">
        <v>154</v>
      </c>
      <c r="B838" s="19">
        <v>51.183999999999983</v>
      </c>
      <c r="C838" s="19">
        <v>4</v>
      </c>
      <c r="D838" s="19">
        <v>-79.335199999999986</v>
      </c>
    </row>
    <row r="839" spans="1:4" x14ac:dyDescent="0.2">
      <c r="A839" s="19" t="s">
        <v>167</v>
      </c>
      <c r="B839" s="19">
        <v>9.6640000000000015</v>
      </c>
      <c r="C839" s="19">
        <v>2</v>
      </c>
      <c r="D839" s="19">
        <v>3.2615999999999996</v>
      </c>
    </row>
    <row r="840" spans="1:4" x14ac:dyDescent="0.2">
      <c r="A840" s="19" t="s">
        <v>154</v>
      </c>
      <c r="B840" s="19">
        <v>21.071999999999999</v>
      </c>
      <c r="C840" s="19">
        <v>3</v>
      </c>
      <c r="D840" s="19">
        <v>1.5804</v>
      </c>
    </row>
    <row r="841" spans="1:4" x14ac:dyDescent="0.2">
      <c r="A841" s="19" t="s">
        <v>164</v>
      </c>
      <c r="B841" s="19">
        <v>60.449999999999996</v>
      </c>
      <c r="C841" s="19">
        <v>3</v>
      </c>
      <c r="D841" s="19">
        <v>16.3215</v>
      </c>
    </row>
    <row r="842" spans="1:4" x14ac:dyDescent="0.2">
      <c r="A842" s="19" t="s">
        <v>164</v>
      </c>
      <c r="B842" s="19">
        <v>11.52</v>
      </c>
      <c r="C842" s="19">
        <v>4</v>
      </c>
      <c r="D842" s="19">
        <v>3.3407999999999998</v>
      </c>
    </row>
    <row r="843" spans="1:4" x14ac:dyDescent="0.2">
      <c r="A843" s="19" t="s">
        <v>164</v>
      </c>
      <c r="B843" s="19">
        <v>186.048</v>
      </c>
      <c r="C843" s="19">
        <v>4</v>
      </c>
      <c r="D843" s="19">
        <v>9.3024000000000058</v>
      </c>
    </row>
    <row r="844" spans="1:4" x14ac:dyDescent="0.2">
      <c r="A844" s="19" t="s">
        <v>150</v>
      </c>
      <c r="B844" s="19">
        <v>37.44</v>
      </c>
      <c r="C844" s="19">
        <v>4</v>
      </c>
      <c r="D844" s="19">
        <v>11.699999999999996</v>
      </c>
    </row>
    <row r="845" spans="1:4" x14ac:dyDescent="0.2">
      <c r="A845" s="19" t="s">
        <v>150</v>
      </c>
      <c r="B845" s="19">
        <v>26.975999999999999</v>
      </c>
      <c r="C845" s="19">
        <v>4</v>
      </c>
      <c r="D845" s="19">
        <v>8.767199999999999</v>
      </c>
    </row>
    <row r="846" spans="1:4" x14ac:dyDescent="0.2">
      <c r="A846" s="19" t="s">
        <v>150</v>
      </c>
      <c r="B846" s="19">
        <v>11.36</v>
      </c>
      <c r="C846" s="19">
        <v>2</v>
      </c>
      <c r="D846" s="19">
        <v>3.2943999999999996</v>
      </c>
    </row>
    <row r="847" spans="1:4" x14ac:dyDescent="0.2">
      <c r="A847" s="19" t="s">
        <v>150</v>
      </c>
      <c r="B847" s="19">
        <v>14.62</v>
      </c>
      <c r="C847" s="19">
        <v>2</v>
      </c>
      <c r="D847" s="19">
        <v>6.8713999999999995</v>
      </c>
    </row>
    <row r="848" spans="1:4" x14ac:dyDescent="0.2">
      <c r="A848" s="19" t="s">
        <v>149</v>
      </c>
      <c r="B848" s="19">
        <v>83.72</v>
      </c>
      <c r="C848" s="19">
        <v>7</v>
      </c>
      <c r="D848" s="19">
        <v>23.441600000000005</v>
      </c>
    </row>
    <row r="849" spans="1:4" x14ac:dyDescent="0.2">
      <c r="A849" s="19" t="s">
        <v>149</v>
      </c>
      <c r="B849" s="19">
        <v>287.94</v>
      </c>
      <c r="C849" s="19">
        <v>3</v>
      </c>
      <c r="D849" s="19">
        <v>77.743800000000022</v>
      </c>
    </row>
    <row r="850" spans="1:4" x14ac:dyDescent="0.2">
      <c r="A850" s="19" t="s">
        <v>173</v>
      </c>
      <c r="B850" s="19">
        <v>48.896000000000001</v>
      </c>
      <c r="C850" s="19">
        <v>4</v>
      </c>
      <c r="D850" s="19">
        <v>8.5567999999999991</v>
      </c>
    </row>
    <row r="851" spans="1:4" x14ac:dyDescent="0.2">
      <c r="A851" s="19" t="s">
        <v>179</v>
      </c>
      <c r="B851" s="19">
        <v>115.36</v>
      </c>
      <c r="C851" s="19">
        <v>7</v>
      </c>
      <c r="D851" s="19">
        <v>49.604800000000012</v>
      </c>
    </row>
    <row r="852" spans="1:4" x14ac:dyDescent="0.2">
      <c r="A852" s="19" t="s">
        <v>150</v>
      </c>
      <c r="B852" s="19">
        <v>5.16</v>
      </c>
      <c r="C852" s="19">
        <v>2</v>
      </c>
      <c r="D852" s="19">
        <v>1.3416000000000001</v>
      </c>
    </row>
    <row r="853" spans="1:4" x14ac:dyDescent="0.2">
      <c r="A853" s="19" t="s">
        <v>150</v>
      </c>
      <c r="B853" s="19">
        <v>38.880000000000003</v>
      </c>
      <c r="C853" s="19">
        <v>6</v>
      </c>
      <c r="D853" s="19">
        <v>18.662400000000002</v>
      </c>
    </row>
    <row r="854" spans="1:4" x14ac:dyDescent="0.2">
      <c r="A854" s="19" t="s">
        <v>183</v>
      </c>
      <c r="B854" s="19">
        <v>185.88</v>
      </c>
      <c r="C854" s="19">
        <v>6</v>
      </c>
      <c r="D854" s="19">
        <v>50.187599999999996</v>
      </c>
    </row>
    <row r="855" spans="1:4" x14ac:dyDescent="0.2">
      <c r="A855" s="19" t="s">
        <v>164</v>
      </c>
      <c r="B855" s="19">
        <v>44.46</v>
      </c>
      <c r="C855" s="19">
        <v>2</v>
      </c>
      <c r="D855" s="19">
        <v>14.671799999999998</v>
      </c>
    </row>
    <row r="856" spans="1:4" x14ac:dyDescent="0.2">
      <c r="A856" s="19" t="s">
        <v>164</v>
      </c>
      <c r="B856" s="19">
        <v>242.94</v>
      </c>
      <c r="C856" s="19">
        <v>3</v>
      </c>
      <c r="D856" s="19">
        <v>9.7175999999999902</v>
      </c>
    </row>
    <row r="857" spans="1:4" x14ac:dyDescent="0.2">
      <c r="A857" s="19" t="s">
        <v>164</v>
      </c>
      <c r="B857" s="19">
        <v>39.96</v>
      </c>
      <c r="C857" s="19">
        <v>2</v>
      </c>
      <c r="D857" s="19">
        <v>18.781199999999998</v>
      </c>
    </row>
    <row r="858" spans="1:4" x14ac:dyDescent="0.2">
      <c r="A858" s="19" t="s">
        <v>164</v>
      </c>
      <c r="B858" s="19">
        <v>102.30000000000001</v>
      </c>
      <c r="C858" s="19">
        <v>10</v>
      </c>
      <c r="D858" s="19">
        <v>26.598000000000006</v>
      </c>
    </row>
    <row r="859" spans="1:4" x14ac:dyDescent="0.2">
      <c r="A859" s="19" t="s">
        <v>164</v>
      </c>
      <c r="B859" s="19">
        <v>21.36</v>
      </c>
      <c r="C859" s="19">
        <v>2</v>
      </c>
      <c r="D859" s="19">
        <v>5.7672000000000008</v>
      </c>
    </row>
    <row r="860" spans="1:4" x14ac:dyDescent="0.2">
      <c r="A860" s="19" t="s">
        <v>179</v>
      </c>
      <c r="B860" s="19">
        <v>7.61</v>
      </c>
      <c r="C860" s="19">
        <v>1</v>
      </c>
      <c r="D860" s="19">
        <v>3.5766999999999998</v>
      </c>
    </row>
    <row r="861" spans="1:4" x14ac:dyDescent="0.2">
      <c r="A861" s="19" t="s">
        <v>179</v>
      </c>
      <c r="B861" s="19">
        <v>7.16</v>
      </c>
      <c r="C861" s="19">
        <v>2</v>
      </c>
      <c r="D861" s="19">
        <v>3.58</v>
      </c>
    </row>
    <row r="862" spans="1:4" x14ac:dyDescent="0.2">
      <c r="A862" s="19" t="s">
        <v>150</v>
      </c>
      <c r="B862" s="19">
        <v>7.36</v>
      </c>
      <c r="C862" s="19">
        <v>2</v>
      </c>
      <c r="D862" s="19">
        <v>0.14719999999999978</v>
      </c>
    </row>
    <row r="863" spans="1:4" x14ac:dyDescent="0.2">
      <c r="A863" s="19" t="s">
        <v>150</v>
      </c>
      <c r="B863" s="19">
        <v>23.1</v>
      </c>
      <c r="C863" s="19">
        <v>2</v>
      </c>
      <c r="D863" s="19">
        <v>10.625999999999999</v>
      </c>
    </row>
    <row r="864" spans="1:4" x14ac:dyDescent="0.2">
      <c r="A864" s="19" t="s">
        <v>151</v>
      </c>
      <c r="B864" s="19">
        <v>191.47200000000001</v>
      </c>
      <c r="C864" s="19">
        <v>6</v>
      </c>
      <c r="D864" s="19">
        <v>40.687800000000003</v>
      </c>
    </row>
    <row r="865" spans="1:4" x14ac:dyDescent="0.2">
      <c r="A865" s="19" t="s">
        <v>151</v>
      </c>
      <c r="B865" s="19">
        <v>5.2480000000000002</v>
      </c>
      <c r="C865" s="19">
        <v>2</v>
      </c>
      <c r="D865" s="19">
        <v>0.59039999999999915</v>
      </c>
    </row>
    <row r="866" spans="1:4" x14ac:dyDescent="0.2">
      <c r="A866" s="19" t="s">
        <v>151</v>
      </c>
      <c r="B866" s="19">
        <v>59.184000000000005</v>
      </c>
      <c r="C866" s="19">
        <v>2</v>
      </c>
      <c r="D866" s="19">
        <v>5.1786000000000012</v>
      </c>
    </row>
    <row r="867" spans="1:4" x14ac:dyDescent="0.2">
      <c r="A867" s="19" t="s">
        <v>166</v>
      </c>
      <c r="B867" s="19">
        <v>2.89</v>
      </c>
      <c r="C867" s="19">
        <v>1</v>
      </c>
      <c r="D867" s="19">
        <v>1.3583000000000001</v>
      </c>
    </row>
    <row r="868" spans="1:4" x14ac:dyDescent="0.2">
      <c r="A868" s="19" t="s">
        <v>166</v>
      </c>
      <c r="B868" s="19">
        <v>51.94</v>
      </c>
      <c r="C868" s="19">
        <v>1</v>
      </c>
      <c r="D868" s="19">
        <v>21.295400000000001</v>
      </c>
    </row>
    <row r="869" spans="1:4" x14ac:dyDescent="0.2">
      <c r="A869" s="19" t="s">
        <v>158</v>
      </c>
      <c r="B869" s="19">
        <v>15.936000000000002</v>
      </c>
      <c r="C869" s="19">
        <v>4</v>
      </c>
      <c r="D869" s="19">
        <v>5.1791999999999998</v>
      </c>
    </row>
    <row r="870" spans="1:4" x14ac:dyDescent="0.2">
      <c r="A870" s="19" t="s">
        <v>158</v>
      </c>
      <c r="B870" s="19">
        <v>44.910000000000011</v>
      </c>
      <c r="C870" s="19">
        <v>6</v>
      </c>
      <c r="D870" s="19">
        <v>-35.927999999999997</v>
      </c>
    </row>
    <row r="871" spans="1:4" x14ac:dyDescent="0.2">
      <c r="A871" s="19" t="s">
        <v>158</v>
      </c>
      <c r="B871" s="19">
        <v>1141.4700000000003</v>
      </c>
      <c r="C871" s="19">
        <v>5</v>
      </c>
      <c r="D871" s="19">
        <v>-760.98000000000025</v>
      </c>
    </row>
    <row r="872" spans="1:4" x14ac:dyDescent="0.2">
      <c r="A872" s="19" t="s">
        <v>158</v>
      </c>
      <c r="B872" s="19">
        <v>280.78200000000004</v>
      </c>
      <c r="C872" s="19">
        <v>3</v>
      </c>
      <c r="D872" s="19">
        <v>-46.797000000000025</v>
      </c>
    </row>
    <row r="873" spans="1:4" x14ac:dyDescent="0.2">
      <c r="A873" s="19" t="s">
        <v>186</v>
      </c>
      <c r="B873" s="19">
        <v>34.44</v>
      </c>
      <c r="C873" s="19">
        <v>3</v>
      </c>
      <c r="D873" s="19">
        <v>17.22</v>
      </c>
    </row>
    <row r="874" spans="1:4" x14ac:dyDescent="0.2">
      <c r="A874" s="19" t="s">
        <v>164</v>
      </c>
      <c r="B874" s="19">
        <v>11.36</v>
      </c>
      <c r="C874" s="19">
        <v>2</v>
      </c>
      <c r="D874" s="19">
        <v>5.2255999999999991</v>
      </c>
    </row>
    <row r="875" spans="1:4" x14ac:dyDescent="0.2">
      <c r="A875" s="19" t="s">
        <v>164</v>
      </c>
      <c r="B875" s="19">
        <v>106.34399999999999</v>
      </c>
      <c r="C875" s="19">
        <v>7</v>
      </c>
      <c r="D875" s="19">
        <v>37.220399999999998</v>
      </c>
    </row>
    <row r="876" spans="1:4" x14ac:dyDescent="0.2">
      <c r="A876" s="19" t="s">
        <v>152</v>
      </c>
      <c r="B876" s="19">
        <v>192.16000000000003</v>
      </c>
      <c r="C876" s="19">
        <v>5</v>
      </c>
      <c r="D876" s="19">
        <v>67.255999999999986</v>
      </c>
    </row>
    <row r="877" spans="1:4" x14ac:dyDescent="0.2">
      <c r="A877" s="19" t="s">
        <v>186</v>
      </c>
      <c r="B877" s="19">
        <v>322.59000000000003</v>
      </c>
      <c r="C877" s="19">
        <v>3</v>
      </c>
      <c r="D877" s="19">
        <v>64.518000000000001</v>
      </c>
    </row>
    <row r="878" spans="1:4" x14ac:dyDescent="0.2">
      <c r="A878" s="19" t="s">
        <v>186</v>
      </c>
      <c r="B878" s="19">
        <v>29.99</v>
      </c>
      <c r="C878" s="19">
        <v>1</v>
      </c>
      <c r="D878" s="19">
        <v>13.195600000000002</v>
      </c>
    </row>
    <row r="879" spans="1:4" x14ac:dyDescent="0.2">
      <c r="A879" s="19" t="s">
        <v>186</v>
      </c>
      <c r="B879" s="19">
        <v>371.96999999999997</v>
      </c>
      <c r="C879" s="19">
        <v>3</v>
      </c>
      <c r="D879" s="19">
        <v>66.954599999999971</v>
      </c>
    </row>
    <row r="880" spans="1:4" x14ac:dyDescent="0.2">
      <c r="A880" s="19" t="s">
        <v>158</v>
      </c>
      <c r="B880" s="19">
        <v>5.8920000000000012</v>
      </c>
      <c r="C880" s="19">
        <v>4</v>
      </c>
      <c r="D880" s="19">
        <v>-4.1243999999999996</v>
      </c>
    </row>
    <row r="881" spans="1:4" x14ac:dyDescent="0.2">
      <c r="A881" s="19" t="s">
        <v>164</v>
      </c>
      <c r="B881" s="19">
        <v>68.472000000000008</v>
      </c>
      <c r="C881" s="19">
        <v>3</v>
      </c>
      <c r="D881" s="19">
        <v>23.109299999999998</v>
      </c>
    </row>
    <row r="882" spans="1:4" x14ac:dyDescent="0.2">
      <c r="A882" s="19" t="s">
        <v>164</v>
      </c>
      <c r="B882" s="19">
        <v>1242.8999999999999</v>
      </c>
      <c r="C882" s="19">
        <v>5</v>
      </c>
      <c r="D882" s="19">
        <v>262.38999999999987</v>
      </c>
    </row>
    <row r="883" spans="1:4" x14ac:dyDescent="0.2">
      <c r="A883" s="19" t="s">
        <v>166</v>
      </c>
      <c r="B883" s="19">
        <v>30.84</v>
      </c>
      <c r="C883" s="19">
        <v>2</v>
      </c>
      <c r="D883" s="19">
        <v>8.3268000000000022</v>
      </c>
    </row>
    <row r="884" spans="1:4" x14ac:dyDescent="0.2">
      <c r="A884" s="19" t="s">
        <v>150</v>
      </c>
      <c r="B884" s="19">
        <v>13.48</v>
      </c>
      <c r="C884" s="19">
        <v>4</v>
      </c>
      <c r="D884" s="19">
        <v>5.9312000000000014</v>
      </c>
    </row>
    <row r="885" spans="1:4" x14ac:dyDescent="0.2">
      <c r="A885" s="19" t="s">
        <v>161</v>
      </c>
      <c r="B885" s="19">
        <v>31.400000000000002</v>
      </c>
      <c r="C885" s="19">
        <v>5</v>
      </c>
      <c r="D885" s="19">
        <v>10.047999999999998</v>
      </c>
    </row>
    <row r="886" spans="1:4" x14ac:dyDescent="0.2">
      <c r="A886" s="19" t="s">
        <v>164</v>
      </c>
      <c r="B886" s="19">
        <v>17.46</v>
      </c>
      <c r="C886" s="19">
        <v>2</v>
      </c>
      <c r="D886" s="19">
        <v>5.936399999999999</v>
      </c>
    </row>
    <row r="887" spans="1:4" x14ac:dyDescent="0.2">
      <c r="A887" s="19" t="s">
        <v>150</v>
      </c>
      <c r="B887" s="19">
        <v>13.943999999999999</v>
      </c>
      <c r="C887" s="19">
        <v>3</v>
      </c>
      <c r="D887" s="19">
        <v>4.5317999999999996</v>
      </c>
    </row>
    <row r="888" spans="1:4" x14ac:dyDescent="0.2">
      <c r="A888" s="19" t="s">
        <v>150</v>
      </c>
      <c r="B888" s="19">
        <v>83.76</v>
      </c>
      <c r="C888" s="19">
        <v>12</v>
      </c>
      <c r="D888" s="19">
        <v>1.6751999999999967</v>
      </c>
    </row>
    <row r="889" spans="1:4" x14ac:dyDescent="0.2">
      <c r="A889" s="19" t="s">
        <v>187</v>
      </c>
      <c r="B889" s="19">
        <v>37.659999999999997</v>
      </c>
      <c r="C889" s="19">
        <v>7</v>
      </c>
      <c r="D889" s="19">
        <v>18.453400000000002</v>
      </c>
    </row>
    <row r="890" spans="1:4" x14ac:dyDescent="0.2">
      <c r="A890" s="19" t="s">
        <v>150</v>
      </c>
      <c r="B890" s="19">
        <v>34.68</v>
      </c>
      <c r="C890" s="19">
        <v>6</v>
      </c>
      <c r="D890" s="19">
        <v>16.993200000000002</v>
      </c>
    </row>
    <row r="891" spans="1:4" x14ac:dyDescent="0.2">
      <c r="A891" s="19" t="s">
        <v>164</v>
      </c>
      <c r="B891" s="19">
        <v>149.94999999999999</v>
      </c>
      <c r="C891" s="19">
        <v>5</v>
      </c>
      <c r="D891" s="19">
        <v>14.994999999999994</v>
      </c>
    </row>
    <row r="892" spans="1:4" x14ac:dyDescent="0.2">
      <c r="A892" s="19" t="s">
        <v>164</v>
      </c>
      <c r="B892" s="19">
        <v>51.311999999999998</v>
      </c>
      <c r="C892" s="19">
        <v>3</v>
      </c>
      <c r="D892" s="19">
        <v>18.600599999999996</v>
      </c>
    </row>
    <row r="893" spans="1:4" x14ac:dyDescent="0.2">
      <c r="A893" s="19" t="s">
        <v>161</v>
      </c>
      <c r="B893" s="19">
        <v>4.54</v>
      </c>
      <c r="C893" s="19">
        <v>1</v>
      </c>
      <c r="D893" s="19">
        <v>2.0429999999999997</v>
      </c>
    </row>
    <row r="894" spans="1:4" x14ac:dyDescent="0.2">
      <c r="A894" s="19" t="s">
        <v>161</v>
      </c>
      <c r="B894" s="19">
        <v>15.92</v>
      </c>
      <c r="C894" s="19">
        <v>4</v>
      </c>
      <c r="D894" s="19">
        <v>5.4127999999999989</v>
      </c>
    </row>
    <row r="895" spans="1:4" x14ac:dyDescent="0.2">
      <c r="A895" s="19" t="s">
        <v>161</v>
      </c>
      <c r="B895" s="19">
        <v>543.91999999999996</v>
      </c>
      <c r="C895" s="19">
        <v>8</v>
      </c>
      <c r="D895" s="19">
        <v>135.98000000000002</v>
      </c>
    </row>
    <row r="896" spans="1:4" x14ac:dyDescent="0.2">
      <c r="A896" s="19" t="s">
        <v>150</v>
      </c>
      <c r="B896" s="19">
        <v>155.82000000000002</v>
      </c>
      <c r="C896" s="19">
        <v>7</v>
      </c>
      <c r="D896" s="19">
        <v>42.071400000000011</v>
      </c>
    </row>
    <row r="897" spans="1:4" x14ac:dyDescent="0.2">
      <c r="A897" s="19" t="s">
        <v>150</v>
      </c>
      <c r="B897" s="19">
        <v>70.00800000000001</v>
      </c>
      <c r="C897" s="19">
        <v>3</v>
      </c>
      <c r="D897" s="19">
        <v>24.502800000000001</v>
      </c>
    </row>
    <row r="898" spans="1:4" x14ac:dyDescent="0.2">
      <c r="A898" s="19" t="s">
        <v>154</v>
      </c>
      <c r="B898" s="19">
        <v>15.648</v>
      </c>
      <c r="C898" s="19">
        <v>2</v>
      </c>
      <c r="D898" s="19">
        <v>5.0855999999999986</v>
      </c>
    </row>
    <row r="899" spans="1:4" x14ac:dyDescent="0.2">
      <c r="A899" s="19" t="s">
        <v>161</v>
      </c>
      <c r="B899" s="19">
        <v>103.60000000000001</v>
      </c>
      <c r="C899" s="19">
        <v>7</v>
      </c>
      <c r="D899" s="19">
        <v>51.800000000000004</v>
      </c>
    </row>
    <row r="900" spans="1:4" x14ac:dyDescent="0.2">
      <c r="A900" s="19" t="s">
        <v>164</v>
      </c>
      <c r="B900" s="19">
        <v>46.96</v>
      </c>
      <c r="C900" s="19">
        <v>8</v>
      </c>
      <c r="D900" s="19">
        <v>22.540800000000001</v>
      </c>
    </row>
    <row r="901" spans="1:4" x14ac:dyDescent="0.2">
      <c r="A901" s="19" t="s">
        <v>173</v>
      </c>
      <c r="B901" s="19">
        <v>8.9040000000000017</v>
      </c>
      <c r="C901" s="19">
        <v>2</v>
      </c>
      <c r="D901" s="19">
        <v>-6.5296000000000003</v>
      </c>
    </row>
    <row r="902" spans="1:4" x14ac:dyDescent="0.2">
      <c r="A902" s="19" t="s">
        <v>154</v>
      </c>
      <c r="B902" s="19">
        <v>10.440000000000001</v>
      </c>
      <c r="C902" s="19">
        <v>5</v>
      </c>
      <c r="D902" s="19">
        <v>3.3929999999999989</v>
      </c>
    </row>
    <row r="903" spans="1:4" x14ac:dyDescent="0.2">
      <c r="A903" s="19" t="s">
        <v>154</v>
      </c>
      <c r="B903" s="19">
        <v>18.335999999999999</v>
      </c>
      <c r="C903" s="19">
        <v>4</v>
      </c>
      <c r="D903" s="19">
        <v>-32.088000000000008</v>
      </c>
    </row>
    <row r="904" spans="1:4" x14ac:dyDescent="0.2">
      <c r="A904" s="19" t="s">
        <v>159</v>
      </c>
      <c r="B904" s="19">
        <v>323.97600000000006</v>
      </c>
      <c r="C904" s="19">
        <v>3</v>
      </c>
      <c r="D904" s="19">
        <v>20.248499999999993</v>
      </c>
    </row>
    <row r="905" spans="1:4" x14ac:dyDescent="0.2">
      <c r="A905" s="19" t="s">
        <v>150</v>
      </c>
      <c r="B905" s="19">
        <v>20.04</v>
      </c>
      <c r="C905" s="19">
        <v>3</v>
      </c>
      <c r="D905" s="19">
        <v>9.6191999999999993</v>
      </c>
    </row>
    <row r="906" spans="1:4" x14ac:dyDescent="0.2">
      <c r="A906" s="19" t="s">
        <v>150</v>
      </c>
      <c r="B906" s="19">
        <v>64.959999999999994</v>
      </c>
      <c r="C906" s="19">
        <v>2</v>
      </c>
      <c r="D906" s="19">
        <v>2.598399999999998</v>
      </c>
    </row>
    <row r="907" spans="1:4" x14ac:dyDescent="0.2">
      <c r="A907" s="19" t="s">
        <v>150</v>
      </c>
      <c r="B907" s="19">
        <v>12.96</v>
      </c>
      <c r="C907" s="19">
        <v>2</v>
      </c>
      <c r="D907" s="19">
        <v>6.2208000000000006</v>
      </c>
    </row>
    <row r="908" spans="1:4" x14ac:dyDescent="0.2">
      <c r="A908" s="19" t="s">
        <v>164</v>
      </c>
      <c r="B908" s="19">
        <v>323.13600000000002</v>
      </c>
      <c r="C908" s="19">
        <v>4</v>
      </c>
      <c r="D908" s="19">
        <v>12.117599999999968</v>
      </c>
    </row>
    <row r="909" spans="1:4" x14ac:dyDescent="0.2">
      <c r="A909" s="19" t="s">
        <v>164</v>
      </c>
      <c r="B909" s="19">
        <v>90.93</v>
      </c>
      <c r="C909" s="19">
        <v>7</v>
      </c>
      <c r="D909" s="19">
        <v>2.7278999999999964</v>
      </c>
    </row>
    <row r="910" spans="1:4" x14ac:dyDescent="0.2">
      <c r="A910" s="19" t="s">
        <v>164</v>
      </c>
      <c r="B910" s="19">
        <v>52.775999999999996</v>
      </c>
      <c r="C910" s="19">
        <v>3</v>
      </c>
      <c r="D910" s="19">
        <v>19.791</v>
      </c>
    </row>
    <row r="911" spans="1:4" x14ac:dyDescent="0.2">
      <c r="A911" s="19" t="s">
        <v>161</v>
      </c>
      <c r="B911" s="19">
        <v>1199.8</v>
      </c>
      <c r="C911" s="19">
        <v>4</v>
      </c>
      <c r="D911" s="19">
        <v>323.94600000000003</v>
      </c>
    </row>
    <row r="912" spans="1:4" x14ac:dyDescent="0.2">
      <c r="A912" s="19" t="s">
        <v>161</v>
      </c>
      <c r="B912" s="19">
        <v>1928.7800000000002</v>
      </c>
      <c r="C912" s="19">
        <v>7</v>
      </c>
      <c r="D912" s="19">
        <v>829.37540000000024</v>
      </c>
    </row>
    <row r="913" spans="1:4" x14ac:dyDescent="0.2">
      <c r="A913" s="19" t="s">
        <v>161</v>
      </c>
      <c r="B913" s="19">
        <v>352.38</v>
      </c>
      <c r="C913" s="19">
        <v>2</v>
      </c>
      <c r="D913" s="19">
        <v>81.047399999999982</v>
      </c>
    </row>
    <row r="914" spans="1:4" x14ac:dyDescent="0.2">
      <c r="A914" s="19" t="s">
        <v>178</v>
      </c>
      <c r="B914" s="19">
        <v>22.200000000000003</v>
      </c>
      <c r="C914" s="19">
        <v>6</v>
      </c>
      <c r="D914" s="19">
        <v>9.1020000000000021</v>
      </c>
    </row>
    <row r="915" spans="1:4" x14ac:dyDescent="0.2">
      <c r="A915" s="19" t="s">
        <v>155</v>
      </c>
      <c r="B915" s="19">
        <v>46.94</v>
      </c>
      <c r="C915" s="19">
        <v>1</v>
      </c>
      <c r="D915" s="19">
        <v>19.2454</v>
      </c>
    </row>
    <row r="916" spans="1:4" x14ac:dyDescent="0.2">
      <c r="A916" s="19" t="s">
        <v>155</v>
      </c>
      <c r="B916" s="19">
        <v>143.73000000000002</v>
      </c>
      <c r="C916" s="19">
        <v>9</v>
      </c>
      <c r="D916" s="19">
        <v>56.054700000000011</v>
      </c>
    </row>
    <row r="917" spans="1:4" x14ac:dyDescent="0.2">
      <c r="A917" s="19" t="s">
        <v>154</v>
      </c>
      <c r="B917" s="19">
        <v>99.918000000000006</v>
      </c>
      <c r="C917" s="19">
        <v>2</v>
      </c>
      <c r="D917" s="19">
        <v>-18.556200000000018</v>
      </c>
    </row>
    <row r="918" spans="1:4" x14ac:dyDescent="0.2">
      <c r="A918" s="19" t="s">
        <v>154</v>
      </c>
      <c r="B918" s="19">
        <v>797.94399999999996</v>
      </c>
      <c r="C918" s="19">
        <v>4</v>
      </c>
      <c r="D918" s="19">
        <v>-56.995999999999981</v>
      </c>
    </row>
    <row r="919" spans="1:4" x14ac:dyDescent="0.2">
      <c r="A919" s="19" t="s">
        <v>154</v>
      </c>
      <c r="B919" s="19">
        <v>8.5679999999999978</v>
      </c>
      <c r="C919" s="19">
        <v>3</v>
      </c>
      <c r="D919" s="19">
        <v>-14.5656</v>
      </c>
    </row>
    <row r="920" spans="1:4" x14ac:dyDescent="0.2">
      <c r="A920" s="19" t="s">
        <v>154</v>
      </c>
      <c r="B920" s="19">
        <v>149.352</v>
      </c>
      <c r="C920" s="19">
        <v>3</v>
      </c>
      <c r="D920" s="19">
        <v>50.40629999999998</v>
      </c>
    </row>
    <row r="921" spans="1:4" x14ac:dyDescent="0.2">
      <c r="A921" s="19" t="s">
        <v>154</v>
      </c>
      <c r="B921" s="19">
        <v>12.991999999999999</v>
      </c>
      <c r="C921" s="19">
        <v>1</v>
      </c>
      <c r="D921" s="19">
        <v>-0.81199999999999983</v>
      </c>
    </row>
    <row r="922" spans="1:4" x14ac:dyDescent="0.2">
      <c r="A922" s="19" t="s">
        <v>166</v>
      </c>
      <c r="B922" s="19">
        <v>24.56</v>
      </c>
      <c r="C922" s="19">
        <v>2</v>
      </c>
      <c r="D922" s="19">
        <v>6.8767999999999994</v>
      </c>
    </row>
    <row r="923" spans="1:4" x14ac:dyDescent="0.2">
      <c r="A923" s="19" t="s">
        <v>164</v>
      </c>
      <c r="B923" s="19">
        <v>85.14</v>
      </c>
      <c r="C923" s="19">
        <v>3</v>
      </c>
      <c r="D923" s="19">
        <v>34.907399999999996</v>
      </c>
    </row>
    <row r="924" spans="1:4" x14ac:dyDescent="0.2">
      <c r="A924" s="19" t="s">
        <v>164</v>
      </c>
      <c r="B924" s="19">
        <v>21.99</v>
      </c>
      <c r="C924" s="19">
        <v>1</v>
      </c>
      <c r="D924" s="19">
        <v>10.555199999999999</v>
      </c>
    </row>
    <row r="925" spans="1:4" x14ac:dyDescent="0.2">
      <c r="A925" s="19" t="s">
        <v>164</v>
      </c>
      <c r="B925" s="19">
        <v>406.59999999999997</v>
      </c>
      <c r="C925" s="19">
        <v>5</v>
      </c>
      <c r="D925" s="19">
        <v>113.84799999999998</v>
      </c>
    </row>
    <row r="926" spans="1:4" x14ac:dyDescent="0.2">
      <c r="A926" s="19" t="s">
        <v>164</v>
      </c>
      <c r="B926" s="19">
        <v>841.5680000000001</v>
      </c>
      <c r="C926" s="19">
        <v>2</v>
      </c>
      <c r="D926" s="19">
        <v>294.54879999999991</v>
      </c>
    </row>
    <row r="927" spans="1:4" x14ac:dyDescent="0.2">
      <c r="A927" s="19" t="s">
        <v>158</v>
      </c>
      <c r="B927" s="19">
        <v>15.552000000000003</v>
      </c>
      <c r="C927" s="19">
        <v>3</v>
      </c>
      <c r="D927" s="19">
        <v>5.4432</v>
      </c>
    </row>
    <row r="928" spans="1:4" x14ac:dyDescent="0.2">
      <c r="A928" s="19" t="s">
        <v>158</v>
      </c>
      <c r="B928" s="19">
        <v>252.00000000000003</v>
      </c>
      <c r="C928" s="19">
        <v>5</v>
      </c>
      <c r="D928" s="19">
        <v>53.550000000000004</v>
      </c>
    </row>
    <row r="929" spans="1:4" x14ac:dyDescent="0.2">
      <c r="A929" s="19" t="s">
        <v>166</v>
      </c>
      <c r="B929" s="19">
        <v>46.2</v>
      </c>
      <c r="C929" s="19">
        <v>4</v>
      </c>
      <c r="D929" s="19">
        <v>12.936</v>
      </c>
    </row>
    <row r="930" spans="1:4" x14ac:dyDescent="0.2">
      <c r="A930" s="19" t="s">
        <v>166</v>
      </c>
      <c r="B930" s="19">
        <v>28.84</v>
      </c>
      <c r="C930" s="19">
        <v>2</v>
      </c>
      <c r="D930" s="19">
        <v>9.517199999999999</v>
      </c>
    </row>
    <row r="931" spans="1:4" x14ac:dyDescent="0.2">
      <c r="A931" s="19" t="s">
        <v>173</v>
      </c>
      <c r="B931" s="19">
        <v>14.592000000000002</v>
      </c>
      <c r="C931" s="19">
        <v>3</v>
      </c>
      <c r="D931" s="19">
        <v>2.5535999999999985</v>
      </c>
    </row>
    <row r="932" spans="1:4" x14ac:dyDescent="0.2">
      <c r="A932" s="19" t="s">
        <v>173</v>
      </c>
      <c r="B932" s="19">
        <v>89.855999999999995</v>
      </c>
      <c r="C932" s="19">
        <v>3</v>
      </c>
      <c r="D932" s="19">
        <v>21.340800000000002</v>
      </c>
    </row>
    <row r="933" spans="1:4" x14ac:dyDescent="0.2">
      <c r="A933" s="19" t="s">
        <v>173</v>
      </c>
      <c r="B933" s="19">
        <v>13.872000000000002</v>
      </c>
      <c r="C933" s="19">
        <v>3</v>
      </c>
      <c r="D933" s="19">
        <v>5.0286000000000008</v>
      </c>
    </row>
    <row r="934" spans="1:4" x14ac:dyDescent="0.2">
      <c r="A934" s="19" t="s">
        <v>158</v>
      </c>
      <c r="B934" s="19">
        <v>12.192</v>
      </c>
      <c r="C934" s="19">
        <v>3</v>
      </c>
      <c r="D934" s="19">
        <v>4.1147999999999998</v>
      </c>
    </row>
    <row r="935" spans="1:4" x14ac:dyDescent="0.2">
      <c r="A935" s="19" t="s">
        <v>158</v>
      </c>
      <c r="B935" s="19">
        <v>45.056000000000004</v>
      </c>
      <c r="C935" s="19">
        <v>8</v>
      </c>
      <c r="D935" s="19">
        <v>15.206399999999997</v>
      </c>
    </row>
    <row r="936" spans="1:4" x14ac:dyDescent="0.2">
      <c r="A936" s="19" t="s">
        <v>158</v>
      </c>
      <c r="B936" s="19">
        <v>29.718000000000007</v>
      </c>
      <c r="C936" s="19">
        <v>6</v>
      </c>
      <c r="D936" s="19">
        <v>-21.793199999999992</v>
      </c>
    </row>
    <row r="937" spans="1:4" x14ac:dyDescent="0.2">
      <c r="A937" s="19" t="s">
        <v>158</v>
      </c>
      <c r="B937" s="19">
        <v>15.552000000000003</v>
      </c>
      <c r="C937" s="19">
        <v>3</v>
      </c>
      <c r="D937" s="19">
        <v>5.4432</v>
      </c>
    </row>
    <row r="938" spans="1:4" x14ac:dyDescent="0.2">
      <c r="A938" s="19" t="s">
        <v>158</v>
      </c>
      <c r="B938" s="19">
        <v>447.69600000000003</v>
      </c>
      <c r="C938" s="19">
        <v>2</v>
      </c>
      <c r="D938" s="19">
        <v>33.577199999999976</v>
      </c>
    </row>
    <row r="939" spans="1:4" x14ac:dyDescent="0.2">
      <c r="A939" s="19" t="s">
        <v>176</v>
      </c>
      <c r="B939" s="19">
        <v>159.99</v>
      </c>
      <c r="C939" s="19">
        <v>1</v>
      </c>
      <c r="D939" s="19">
        <v>54.396599999999992</v>
      </c>
    </row>
    <row r="940" spans="1:4" x14ac:dyDescent="0.2">
      <c r="A940" s="19" t="s">
        <v>150</v>
      </c>
      <c r="B940" s="19">
        <v>12.96</v>
      </c>
      <c r="C940" s="19">
        <v>2</v>
      </c>
      <c r="D940" s="19">
        <v>6.2208000000000006</v>
      </c>
    </row>
    <row r="941" spans="1:4" x14ac:dyDescent="0.2">
      <c r="A941" s="19" t="s">
        <v>150</v>
      </c>
      <c r="B941" s="19">
        <v>134.47999999999999</v>
      </c>
      <c r="C941" s="19">
        <v>4</v>
      </c>
      <c r="D941" s="19">
        <v>34.964799999999997</v>
      </c>
    </row>
    <row r="942" spans="1:4" x14ac:dyDescent="0.2">
      <c r="A942" s="19" t="s">
        <v>150</v>
      </c>
      <c r="B942" s="19">
        <v>17.12</v>
      </c>
      <c r="C942" s="19">
        <v>2</v>
      </c>
      <c r="D942" s="19">
        <v>8.0464000000000002</v>
      </c>
    </row>
    <row r="943" spans="1:4" x14ac:dyDescent="0.2">
      <c r="A943" s="19" t="s">
        <v>150</v>
      </c>
      <c r="B943" s="19">
        <v>6.0960000000000001</v>
      </c>
      <c r="C943" s="19">
        <v>2</v>
      </c>
      <c r="D943" s="19">
        <v>2.2098</v>
      </c>
    </row>
    <row r="944" spans="1:4" x14ac:dyDescent="0.2">
      <c r="A944" s="19" t="s">
        <v>150</v>
      </c>
      <c r="B944" s="19">
        <v>1114.2719999999999</v>
      </c>
      <c r="C944" s="19">
        <v>4</v>
      </c>
      <c r="D944" s="19">
        <v>41.785200000000032</v>
      </c>
    </row>
    <row r="945" spans="1:4" x14ac:dyDescent="0.2">
      <c r="A945" s="19" t="s">
        <v>153</v>
      </c>
      <c r="B945" s="19">
        <v>32.400000000000006</v>
      </c>
      <c r="C945" s="19">
        <v>5</v>
      </c>
      <c r="D945" s="19">
        <v>15.552000000000001</v>
      </c>
    </row>
    <row r="946" spans="1:4" x14ac:dyDescent="0.2">
      <c r="A946" s="19" t="s">
        <v>153</v>
      </c>
      <c r="B946" s="19">
        <v>540.56999999999994</v>
      </c>
      <c r="C946" s="19">
        <v>3</v>
      </c>
      <c r="D946" s="19">
        <v>140.54820000000001</v>
      </c>
    </row>
    <row r="947" spans="1:4" x14ac:dyDescent="0.2">
      <c r="A947" s="19" t="s">
        <v>153</v>
      </c>
      <c r="B947" s="19">
        <v>167.76</v>
      </c>
      <c r="C947" s="19">
        <v>5</v>
      </c>
      <c r="D947" s="19">
        <v>62.91</v>
      </c>
    </row>
    <row r="948" spans="1:4" x14ac:dyDescent="0.2">
      <c r="A948" s="19" t="s">
        <v>165</v>
      </c>
      <c r="B948" s="19">
        <v>393.16500000000002</v>
      </c>
      <c r="C948" s="19">
        <v>3</v>
      </c>
      <c r="D948" s="19">
        <v>-204.44580000000005</v>
      </c>
    </row>
    <row r="949" spans="1:4" x14ac:dyDescent="0.2">
      <c r="A949" s="19" t="s">
        <v>158</v>
      </c>
      <c r="B949" s="19">
        <v>516.48800000000006</v>
      </c>
      <c r="C949" s="19">
        <v>7</v>
      </c>
      <c r="D949" s="19">
        <v>-12.912200000000027</v>
      </c>
    </row>
    <row r="950" spans="1:4" x14ac:dyDescent="0.2">
      <c r="A950" s="19" t="s">
        <v>158</v>
      </c>
      <c r="B950" s="19">
        <v>1007.2320000000001</v>
      </c>
      <c r="C950" s="19">
        <v>6</v>
      </c>
      <c r="D950" s="19">
        <v>75.542400000000015</v>
      </c>
    </row>
    <row r="951" spans="1:4" x14ac:dyDescent="0.2">
      <c r="A951" s="19" t="s">
        <v>158</v>
      </c>
      <c r="B951" s="19">
        <v>2065.3200000000002</v>
      </c>
      <c r="C951" s="19">
        <v>12</v>
      </c>
      <c r="D951" s="19">
        <v>-619.59600000000012</v>
      </c>
    </row>
    <row r="952" spans="1:4" x14ac:dyDescent="0.2">
      <c r="A952" s="19" t="s">
        <v>158</v>
      </c>
      <c r="B952" s="19">
        <v>15.552000000000003</v>
      </c>
      <c r="C952" s="19">
        <v>3</v>
      </c>
      <c r="D952" s="19">
        <v>5.4432</v>
      </c>
    </row>
    <row r="953" spans="1:4" x14ac:dyDescent="0.2">
      <c r="A953" s="19" t="s">
        <v>158</v>
      </c>
      <c r="B953" s="19">
        <v>25.344000000000001</v>
      </c>
      <c r="C953" s="19">
        <v>6</v>
      </c>
      <c r="D953" s="19">
        <v>7.92</v>
      </c>
    </row>
    <row r="954" spans="1:4" x14ac:dyDescent="0.2">
      <c r="A954" s="19" t="s">
        <v>158</v>
      </c>
      <c r="B954" s="19">
        <v>25.472000000000001</v>
      </c>
      <c r="C954" s="19">
        <v>4</v>
      </c>
      <c r="D954" s="19">
        <v>7.6416000000000022</v>
      </c>
    </row>
    <row r="955" spans="1:4" x14ac:dyDescent="0.2">
      <c r="A955" s="19" t="s">
        <v>154</v>
      </c>
      <c r="B955" s="19">
        <v>27.168000000000003</v>
      </c>
      <c r="C955" s="19">
        <v>2</v>
      </c>
      <c r="D955" s="19">
        <v>2.7168000000000001</v>
      </c>
    </row>
    <row r="956" spans="1:4" x14ac:dyDescent="0.2">
      <c r="A956" s="19" t="s">
        <v>154</v>
      </c>
      <c r="B956" s="19">
        <v>78.852799999999988</v>
      </c>
      <c r="C956" s="19">
        <v>2</v>
      </c>
      <c r="D956" s="19">
        <v>-11.595999999999997</v>
      </c>
    </row>
    <row r="957" spans="1:4" x14ac:dyDescent="0.2">
      <c r="A957" s="19" t="s">
        <v>183</v>
      </c>
      <c r="B957" s="19">
        <v>173.79999999999998</v>
      </c>
      <c r="C957" s="19">
        <v>5</v>
      </c>
      <c r="D957" s="19">
        <v>43.449999999999989</v>
      </c>
    </row>
    <row r="958" spans="1:4" x14ac:dyDescent="0.2">
      <c r="A958" s="19" t="s">
        <v>165</v>
      </c>
      <c r="B958" s="19">
        <v>29.592000000000002</v>
      </c>
      <c r="C958" s="19">
        <v>1</v>
      </c>
      <c r="D958" s="19">
        <v>2.5893000000000006</v>
      </c>
    </row>
    <row r="959" spans="1:4" x14ac:dyDescent="0.2">
      <c r="A959" s="19" t="s">
        <v>165</v>
      </c>
      <c r="B959" s="19">
        <v>4.7520000000000007</v>
      </c>
      <c r="C959" s="19">
        <v>2</v>
      </c>
      <c r="D959" s="19">
        <v>-3.1679999999999993</v>
      </c>
    </row>
    <row r="960" spans="1:4" x14ac:dyDescent="0.2">
      <c r="A960" s="19" t="s">
        <v>165</v>
      </c>
      <c r="B960" s="19">
        <v>15.552000000000003</v>
      </c>
      <c r="C960" s="19">
        <v>3</v>
      </c>
      <c r="D960" s="19">
        <v>5.6375999999999999</v>
      </c>
    </row>
    <row r="961" spans="1:4" x14ac:dyDescent="0.2">
      <c r="A961" s="19" t="s">
        <v>150</v>
      </c>
      <c r="B961" s="19">
        <v>204.6</v>
      </c>
      <c r="C961" s="19">
        <v>2</v>
      </c>
      <c r="D961" s="19">
        <v>53.195999999999998</v>
      </c>
    </row>
    <row r="962" spans="1:4" x14ac:dyDescent="0.2">
      <c r="A962" s="19" t="s">
        <v>150</v>
      </c>
      <c r="B962" s="19">
        <v>321.56799999999998</v>
      </c>
      <c r="C962" s="19">
        <v>2</v>
      </c>
      <c r="D962" s="19">
        <v>28.137200000000007</v>
      </c>
    </row>
    <row r="963" spans="1:4" x14ac:dyDescent="0.2">
      <c r="A963" s="19" t="s">
        <v>184</v>
      </c>
      <c r="B963" s="19">
        <v>6.24</v>
      </c>
      <c r="C963" s="19">
        <v>2</v>
      </c>
      <c r="D963" s="19">
        <v>3.0575999999999999</v>
      </c>
    </row>
    <row r="964" spans="1:4" x14ac:dyDescent="0.2">
      <c r="A964" s="19" t="s">
        <v>150</v>
      </c>
      <c r="B964" s="19">
        <v>21.88</v>
      </c>
      <c r="C964" s="19">
        <v>2</v>
      </c>
      <c r="D964" s="19">
        <v>10.94</v>
      </c>
    </row>
    <row r="965" spans="1:4" x14ac:dyDescent="0.2">
      <c r="A965" s="19" t="s">
        <v>151</v>
      </c>
      <c r="B965" s="19">
        <v>4.6079999999999997</v>
      </c>
      <c r="C965" s="19">
        <v>2</v>
      </c>
      <c r="D965" s="19">
        <v>1.6704000000000001</v>
      </c>
    </row>
    <row r="966" spans="1:4" x14ac:dyDescent="0.2">
      <c r="A966" s="19" t="s">
        <v>164</v>
      </c>
      <c r="B966" s="19">
        <v>9.82</v>
      </c>
      <c r="C966" s="19">
        <v>2</v>
      </c>
      <c r="D966" s="19">
        <v>4.8117999999999999</v>
      </c>
    </row>
    <row r="967" spans="1:4" x14ac:dyDescent="0.2">
      <c r="A967" s="19" t="s">
        <v>164</v>
      </c>
      <c r="B967" s="19">
        <v>35.97</v>
      </c>
      <c r="C967" s="19">
        <v>3</v>
      </c>
      <c r="D967" s="19">
        <v>9.7118999999999982</v>
      </c>
    </row>
    <row r="968" spans="1:4" x14ac:dyDescent="0.2">
      <c r="A968" s="19" t="s">
        <v>164</v>
      </c>
      <c r="B968" s="19">
        <v>12.96</v>
      </c>
      <c r="C968" s="19">
        <v>2</v>
      </c>
      <c r="D968" s="19">
        <v>6.2208000000000006</v>
      </c>
    </row>
    <row r="969" spans="1:4" x14ac:dyDescent="0.2">
      <c r="A969" s="19" t="s">
        <v>164</v>
      </c>
      <c r="B969" s="19">
        <v>191.6</v>
      </c>
      <c r="C969" s="19">
        <v>4</v>
      </c>
      <c r="D969" s="19">
        <v>91.967999999999989</v>
      </c>
    </row>
    <row r="970" spans="1:4" x14ac:dyDescent="0.2">
      <c r="A970" s="19" t="s">
        <v>164</v>
      </c>
      <c r="B970" s="19">
        <v>8.64</v>
      </c>
      <c r="C970" s="19">
        <v>3</v>
      </c>
      <c r="D970" s="19">
        <v>4.2336</v>
      </c>
    </row>
    <row r="971" spans="1:4" x14ac:dyDescent="0.2">
      <c r="A971" s="19" t="s">
        <v>164</v>
      </c>
      <c r="B971" s="19">
        <v>501.81000000000006</v>
      </c>
      <c r="C971" s="19">
        <v>3</v>
      </c>
      <c r="D971" s="19">
        <v>0</v>
      </c>
    </row>
    <row r="972" spans="1:4" x14ac:dyDescent="0.2">
      <c r="A972" s="19" t="s">
        <v>158</v>
      </c>
      <c r="B972" s="19">
        <v>127.10400000000001</v>
      </c>
      <c r="C972" s="19">
        <v>6</v>
      </c>
      <c r="D972" s="19">
        <v>28.598399999999998</v>
      </c>
    </row>
    <row r="973" spans="1:4" x14ac:dyDescent="0.2">
      <c r="A973" s="19" t="s">
        <v>158</v>
      </c>
      <c r="B973" s="19">
        <v>124.19999999999999</v>
      </c>
      <c r="C973" s="19">
        <v>3</v>
      </c>
      <c r="D973" s="19">
        <v>-31.050000000000011</v>
      </c>
    </row>
    <row r="974" spans="1:4" x14ac:dyDescent="0.2">
      <c r="A974" s="19" t="s">
        <v>158</v>
      </c>
      <c r="B974" s="19">
        <v>18.588000000000005</v>
      </c>
      <c r="C974" s="19">
        <v>2</v>
      </c>
      <c r="D974" s="19">
        <v>-13.6312</v>
      </c>
    </row>
    <row r="975" spans="1:4" x14ac:dyDescent="0.2">
      <c r="A975" s="19" t="s">
        <v>158</v>
      </c>
      <c r="B975" s="19">
        <v>30.072000000000003</v>
      </c>
      <c r="C975" s="19">
        <v>3</v>
      </c>
      <c r="D975" s="19">
        <v>10.149299999999997</v>
      </c>
    </row>
    <row r="976" spans="1:4" x14ac:dyDescent="0.2">
      <c r="A976" s="19" t="s">
        <v>164</v>
      </c>
      <c r="B976" s="19">
        <v>160.92999999999998</v>
      </c>
      <c r="C976" s="19">
        <v>7</v>
      </c>
      <c r="D976" s="19">
        <v>3.2186000000000092</v>
      </c>
    </row>
    <row r="977" spans="1:4" x14ac:dyDescent="0.2">
      <c r="A977" s="19" t="s">
        <v>164</v>
      </c>
      <c r="B977" s="19">
        <v>75.792000000000002</v>
      </c>
      <c r="C977" s="19">
        <v>3</v>
      </c>
      <c r="D977" s="19">
        <v>25.579799999999992</v>
      </c>
    </row>
    <row r="978" spans="1:4" x14ac:dyDescent="0.2">
      <c r="A978" s="19" t="s">
        <v>170</v>
      </c>
      <c r="B978" s="19">
        <v>1.0800000000000003</v>
      </c>
      <c r="C978" s="19">
        <v>2</v>
      </c>
      <c r="D978" s="19">
        <v>-0.79200000000000004</v>
      </c>
    </row>
    <row r="979" spans="1:4" x14ac:dyDescent="0.2">
      <c r="A979" s="19" t="s">
        <v>161</v>
      </c>
      <c r="B979" s="19">
        <v>3059.982</v>
      </c>
      <c r="C979" s="19">
        <v>2</v>
      </c>
      <c r="D979" s="19">
        <v>679.99599999999964</v>
      </c>
    </row>
    <row r="980" spans="1:4" x14ac:dyDescent="0.2">
      <c r="A980" s="19" t="s">
        <v>152</v>
      </c>
      <c r="B980" s="19">
        <v>3.2820000000000005</v>
      </c>
      <c r="C980" s="19">
        <v>2</v>
      </c>
      <c r="D980" s="19">
        <v>-2.6256000000000004</v>
      </c>
    </row>
    <row r="981" spans="1:4" x14ac:dyDescent="0.2">
      <c r="A981" s="19" t="s">
        <v>163</v>
      </c>
      <c r="B981" s="19">
        <v>34.019999999999996</v>
      </c>
      <c r="C981" s="19">
        <v>3</v>
      </c>
      <c r="D981" s="19">
        <v>16.669799999999999</v>
      </c>
    </row>
    <row r="982" spans="1:4" x14ac:dyDescent="0.2">
      <c r="A982" s="19" t="s">
        <v>164</v>
      </c>
      <c r="B982" s="19">
        <v>599.29200000000003</v>
      </c>
      <c r="C982" s="19">
        <v>6</v>
      </c>
      <c r="D982" s="19">
        <v>93.223199999999977</v>
      </c>
    </row>
    <row r="983" spans="1:4" x14ac:dyDescent="0.2">
      <c r="A983" s="19" t="s">
        <v>171</v>
      </c>
      <c r="B983" s="19">
        <v>3.3920000000000003</v>
      </c>
      <c r="C983" s="19">
        <v>1</v>
      </c>
      <c r="D983" s="19">
        <v>0.80559999999999987</v>
      </c>
    </row>
    <row r="984" spans="1:4" x14ac:dyDescent="0.2">
      <c r="A984" s="19" t="s">
        <v>171</v>
      </c>
      <c r="B984" s="19">
        <v>559.98400000000004</v>
      </c>
      <c r="C984" s="19">
        <v>2</v>
      </c>
      <c r="D984" s="19">
        <v>55.998400000000032</v>
      </c>
    </row>
    <row r="985" spans="1:4" x14ac:dyDescent="0.2">
      <c r="A985" s="19" t="s">
        <v>171</v>
      </c>
      <c r="B985" s="19">
        <v>603.91999999999996</v>
      </c>
      <c r="C985" s="19">
        <v>5</v>
      </c>
      <c r="D985" s="19">
        <v>75.489999999999924</v>
      </c>
    </row>
    <row r="986" spans="1:4" x14ac:dyDescent="0.2">
      <c r="A986" s="19" t="s">
        <v>154</v>
      </c>
      <c r="B986" s="19">
        <v>7.9680000000000009</v>
      </c>
      <c r="C986" s="19">
        <v>2</v>
      </c>
      <c r="D986" s="19">
        <v>2.5895999999999999</v>
      </c>
    </row>
    <row r="987" spans="1:4" x14ac:dyDescent="0.2">
      <c r="A987" s="19" t="s">
        <v>154</v>
      </c>
      <c r="B987" s="19">
        <v>27.968000000000004</v>
      </c>
      <c r="C987" s="19">
        <v>4</v>
      </c>
      <c r="D987" s="19">
        <v>9.4391999999999996</v>
      </c>
    </row>
    <row r="988" spans="1:4" x14ac:dyDescent="0.2">
      <c r="A988" s="19" t="s">
        <v>154</v>
      </c>
      <c r="B988" s="19">
        <v>336.51</v>
      </c>
      <c r="C988" s="19">
        <v>3</v>
      </c>
      <c r="D988" s="19">
        <v>44.867999999999967</v>
      </c>
    </row>
    <row r="989" spans="1:4" x14ac:dyDescent="0.2">
      <c r="A989" s="19" t="s">
        <v>154</v>
      </c>
      <c r="B989" s="19">
        <v>1.1119999999999997</v>
      </c>
      <c r="C989" s="19">
        <v>2</v>
      </c>
      <c r="D989" s="19">
        <v>-1.8904000000000001</v>
      </c>
    </row>
    <row r="990" spans="1:4" x14ac:dyDescent="0.2">
      <c r="A990" s="19" t="s">
        <v>164</v>
      </c>
      <c r="B990" s="19">
        <v>520.05000000000007</v>
      </c>
      <c r="C990" s="19">
        <v>5</v>
      </c>
      <c r="D990" s="19">
        <v>72.807000000000031</v>
      </c>
    </row>
    <row r="991" spans="1:4" x14ac:dyDescent="0.2">
      <c r="A991" s="19" t="s">
        <v>164</v>
      </c>
      <c r="B991" s="19">
        <v>17.97</v>
      </c>
      <c r="C991" s="19">
        <v>3</v>
      </c>
      <c r="D991" s="19">
        <v>5.2112999999999996</v>
      </c>
    </row>
    <row r="992" spans="1:4" x14ac:dyDescent="0.2">
      <c r="A992" s="19" t="s">
        <v>151</v>
      </c>
      <c r="B992" s="19">
        <v>1166.92</v>
      </c>
      <c r="C992" s="19">
        <v>5</v>
      </c>
      <c r="D992" s="19">
        <v>131.27849999999995</v>
      </c>
    </row>
    <row r="993" spans="1:4" x14ac:dyDescent="0.2">
      <c r="A993" s="19" t="s">
        <v>164</v>
      </c>
      <c r="B993" s="19">
        <v>14.624000000000002</v>
      </c>
      <c r="C993" s="19">
        <v>2</v>
      </c>
      <c r="D993" s="19">
        <v>5.484</v>
      </c>
    </row>
    <row r="994" spans="1:4" x14ac:dyDescent="0.2">
      <c r="A994" s="19" t="s">
        <v>150</v>
      </c>
      <c r="B994" s="19">
        <v>10.23</v>
      </c>
      <c r="C994" s="19">
        <v>3</v>
      </c>
      <c r="D994" s="19">
        <v>4.9104000000000001</v>
      </c>
    </row>
    <row r="995" spans="1:4" x14ac:dyDescent="0.2">
      <c r="A995" s="19" t="s">
        <v>150</v>
      </c>
      <c r="B995" s="19">
        <v>154.9</v>
      </c>
      <c r="C995" s="19">
        <v>5</v>
      </c>
      <c r="D995" s="19">
        <v>69.704999999999998</v>
      </c>
    </row>
    <row r="996" spans="1:4" x14ac:dyDescent="0.2">
      <c r="A996" s="19" t="s">
        <v>166</v>
      </c>
      <c r="B996" s="19">
        <v>2715.9300000000003</v>
      </c>
      <c r="C996" s="19">
        <v>7</v>
      </c>
      <c r="D996" s="19">
        <v>1276.4871000000001</v>
      </c>
    </row>
    <row r="997" spans="1:4" x14ac:dyDescent="0.2">
      <c r="A997" s="19" t="s">
        <v>166</v>
      </c>
      <c r="B997" s="19">
        <v>617.97</v>
      </c>
      <c r="C997" s="19">
        <v>3</v>
      </c>
      <c r="D997" s="19">
        <v>173.0316</v>
      </c>
    </row>
    <row r="998" spans="1:4" x14ac:dyDescent="0.2">
      <c r="A998" s="19" t="s">
        <v>149</v>
      </c>
      <c r="B998" s="19">
        <v>10.67</v>
      </c>
      <c r="C998" s="19">
        <v>1</v>
      </c>
      <c r="D998" s="19">
        <v>4.9081999999999999</v>
      </c>
    </row>
    <row r="999" spans="1:4" x14ac:dyDescent="0.2">
      <c r="A999" s="19" t="s">
        <v>149</v>
      </c>
      <c r="B999" s="19">
        <v>36.630000000000003</v>
      </c>
      <c r="C999" s="19">
        <v>3</v>
      </c>
      <c r="D999" s="19">
        <v>9.8901000000000039</v>
      </c>
    </row>
    <row r="1000" spans="1:4" x14ac:dyDescent="0.2">
      <c r="A1000" s="19" t="s">
        <v>149</v>
      </c>
      <c r="B1000" s="19">
        <v>24.1</v>
      </c>
      <c r="C1000" s="19">
        <v>5</v>
      </c>
      <c r="D1000" s="19">
        <v>9.1580000000000013</v>
      </c>
    </row>
    <row r="1001" spans="1:4" x14ac:dyDescent="0.2">
      <c r="A1001" s="19" t="s">
        <v>149</v>
      </c>
      <c r="B1001" s="19">
        <v>33.11</v>
      </c>
      <c r="C1001" s="19">
        <v>7</v>
      </c>
      <c r="D1001" s="19">
        <v>12.912900000000004</v>
      </c>
    </row>
    <row r="1002" spans="1:4" x14ac:dyDescent="0.2">
      <c r="A1002" s="19" t="s">
        <v>153</v>
      </c>
      <c r="B1002" s="19">
        <v>44.02</v>
      </c>
      <c r="C1002" s="19">
        <v>2</v>
      </c>
      <c r="D1002" s="19">
        <v>11.4452</v>
      </c>
    </row>
    <row r="1003" spans="1:4" x14ac:dyDescent="0.2">
      <c r="A1003" s="19" t="s">
        <v>164</v>
      </c>
      <c r="B1003" s="19">
        <v>2309.65</v>
      </c>
      <c r="C1003" s="19">
        <v>7</v>
      </c>
      <c r="D1003" s="19">
        <v>762.18449999999984</v>
      </c>
    </row>
    <row r="1004" spans="1:4" x14ac:dyDescent="0.2">
      <c r="A1004" s="19" t="s">
        <v>164</v>
      </c>
      <c r="B1004" s="19">
        <v>1090.7819999999999</v>
      </c>
      <c r="C1004" s="19">
        <v>7</v>
      </c>
      <c r="D1004" s="19">
        <v>-290.87520000000001</v>
      </c>
    </row>
    <row r="1005" spans="1:4" x14ac:dyDescent="0.2">
      <c r="A1005" s="19" t="s">
        <v>164</v>
      </c>
      <c r="B1005" s="19">
        <v>19.440000000000001</v>
      </c>
      <c r="C1005" s="19">
        <v>3</v>
      </c>
      <c r="D1005" s="19">
        <v>9.3312000000000008</v>
      </c>
    </row>
    <row r="1006" spans="1:4" x14ac:dyDescent="0.2">
      <c r="A1006" s="19" t="s">
        <v>150</v>
      </c>
      <c r="B1006" s="19">
        <v>484.65000000000003</v>
      </c>
      <c r="C1006" s="19">
        <v>3</v>
      </c>
      <c r="D1006" s="19">
        <v>92.083500000000015</v>
      </c>
    </row>
    <row r="1007" spans="1:4" x14ac:dyDescent="0.2">
      <c r="A1007" s="19" t="s">
        <v>152</v>
      </c>
      <c r="B1007" s="19">
        <v>115.29600000000001</v>
      </c>
      <c r="C1007" s="19">
        <v>3</v>
      </c>
      <c r="D1007" s="19">
        <v>40.353599999999986</v>
      </c>
    </row>
    <row r="1008" spans="1:4" x14ac:dyDescent="0.2">
      <c r="A1008" s="19" t="s">
        <v>165</v>
      </c>
      <c r="B1008" s="19">
        <v>7.080000000000001</v>
      </c>
      <c r="C1008" s="19">
        <v>3</v>
      </c>
      <c r="D1008" s="19">
        <v>2.4779999999999989</v>
      </c>
    </row>
    <row r="1009" spans="1:4" x14ac:dyDescent="0.2">
      <c r="A1009" s="19" t="s">
        <v>165</v>
      </c>
      <c r="B1009" s="19">
        <v>4.4009999999999998</v>
      </c>
      <c r="C1009" s="19">
        <v>3</v>
      </c>
      <c r="D1009" s="19">
        <v>-3.5207999999999995</v>
      </c>
    </row>
    <row r="1010" spans="1:4" x14ac:dyDescent="0.2">
      <c r="A1010" s="19" t="s">
        <v>172</v>
      </c>
      <c r="B1010" s="19">
        <v>44.75</v>
      </c>
      <c r="C1010" s="19">
        <v>5</v>
      </c>
      <c r="D1010" s="19">
        <v>20.584999999999994</v>
      </c>
    </row>
    <row r="1011" spans="1:4" x14ac:dyDescent="0.2">
      <c r="A1011" s="19" t="s">
        <v>159</v>
      </c>
      <c r="B1011" s="19">
        <v>95.984000000000009</v>
      </c>
      <c r="C1011" s="19">
        <v>2</v>
      </c>
      <c r="D1011" s="19">
        <v>5.9990000000000023</v>
      </c>
    </row>
    <row r="1012" spans="1:4" x14ac:dyDescent="0.2">
      <c r="A1012" s="19" t="s">
        <v>150</v>
      </c>
      <c r="B1012" s="19">
        <v>151.72</v>
      </c>
      <c r="C1012" s="19">
        <v>4</v>
      </c>
      <c r="D1012" s="19">
        <v>27.309599999999989</v>
      </c>
    </row>
    <row r="1013" spans="1:4" x14ac:dyDescent="0.2">
      <c r="A1013" s="19" t="s">
        <v>153</v>
      </c>
      <c r="B1013" s="19">
        <v>155.25</v>
      </c>
      <c r="C1013" s="19">
        <v>3</v>
      </c>
      <c r="D1013" s="19">
        <v>46.574999999999996</v>
      </c>
    </row>
    <row r="1014" spans="1:4" x14ac:dyDescent="0.2">
      <c r="A1014" s="19" t="s">
        <v>153</v>
      </c>
      <c r="B1014" s="19">
        <v>14.03</v>
      </c>
      <c r="C1014" s="19">
        <v>1</v>
      </c>
      <c r="D1014" s="19">
        <v>4.068699999999998</v>
      </c>
    </row>
    <row r="1015" spans="1:4" x14ac:dyDescent="0.2">
      <c r="A1015" s="19" t="s">
        <v>153</v>
      </c>
      <c r="B1015" s="19">
        <v>1618.37</v>
      </c>
      <c r="C1015" s="19">
        <v>13</v>
      </c>
      <c r="D1015" s="19">
        <v>356.04139999999995</v>
      </c>
    </row>
    <row r="1016" spans="1:4" x14ac:dyDescent="0.2">
      <c r="A1016" s="19" t="s">
        <v>153</v>
      </c>
      <c r="B1016" s="19">
        <v>99.6</v>
      </c>
      <c r="C1016" s="19">
        <v>1</v>
      </c>
      <c r="D1016" s="19">
        <v>36.851999999999997</v>
      </c>
    </row>
    <row r="1017" spans="1:4" x14ac:dyDescent="0.2">
      <c r="A1017" s="19" t="s">
        <v>150</v>
      </c>
      <c r="B1017" s="19">
        <v>32.400000000000006</v>
      </c>
      <c r="C1017" s="19">
        <v>5</v>
      </c>
      <c r="D1017" s="19">
        <v>15.552000000000001</v>
      </c>
    </row>
    <row r="1018" spans="1:4" x14ac:dyDescent="0.2">
      <c r="A1018" s="19" t="s">
        <v>164</v>
      </c>
      <c r="B1018" s="19">
        <v>13.96</v>
      </c>
      <c r="C1018" s="19">
        <v>2</v>
      </c>
      <c r="D1018" s="19">
        <v>6.7008000000000001</v>
      </c>
    </row>
    <row r="1019" spans="1:4" x14ac:dyDescent="0.2">
      <c r="A1019" s="19" t="s">
        <v>164</v>
      </c>
      <c r="B1019" s="19">
        <v>155.82</v>
      </c>
      <c r="C1019" s="19">
        <v>3</v>
      </c>
      <c r="D1019" s="19">
        <v>63.886200000000002</v>
      </c>
    </row>
    <row r="1020" spans="1:4" x14ac:dyDescent="0.2">
      <c r="A1020" s="19" t="s">
        <v>164</v>
      </c>
      <c r="B1020" s="19">
        <v>124.94999999999999</v>
      </c>
      <c r="C1020" s="19">
        <v>5</v>
      </c>
      <c r="D1020" s="19">
        <v>2.4990000000000023</v>
      </c>
    </row>
    <row r="1021" spans="1:4" x14ac:dyDescent="0.2">
      <c r="A1021" s="19" t="s">
        <v>164</v>
      </c>
      <c r="B1021" s="19">
        <v>601.65</v>
      </c>
      <c r="C1021" s="19">
        <v>5</v>
      </c>
      <c r="D1021" s="19">
        <v>156.42899999999997</v>
      </c>
    </row>
    <row r="1022" spans="1:4" x14ac:dyDescent="0.2">
      <c r="A1022" s="19" t="s">
        <v>188</v>
      </c>
      <c r="B1022" s="19">
        <v>22.740000000000002</v>
      </c>
      <c r="C1022" s="19">
        <v>3</v>
      </c>
      <c r="D1022" s="19">
        <v>8.8686000000000007</v>
      </c>
    </row>
    <row r="1023" spans="1:4" x14ac:dyDescent="0.2">
      <c r="A1023" s="19" t="s">
        <v>188</v>
      </c>
      <c r="B1023" s="19">
        <v>1267.53</v>
      </c>
      <c r="C1023" s="19">
        <v>3</v>
      </c>
      <c r="D1023" s="19">
        <v>316.88249999999999</v>
      </c>
    </row>
    <row r="1024" spans="1:4" x14ac:dyDescent="0.2">
      <c r="A1024" s="19" t="s">
        <v>188</v>
      </c>
      <c r="B1024" s="19">
        <v>1379.92</v>
      </c>
      <c r="C1024" s="19">
        <v>8</v>
      </c>
      <c r="D1024" s="19">
        <v>648.56240000000003</v>
      </c>
    </row>
    <row r="1025" spans="1:4" x14ac:dyDescent="0.2">
      <c r="A1025" s="19" t="s">
        <v>158</v>
      </c>
      <c r="B1025" s="19">
        <v>6.2080000000000002</v>
      </c>
      <c r="C1025" s="19">
        <v>2</v>
      </c>
      <c r="D1025" s="19">
        <v>2.1728000000000001</v>
      </c>
    </row>
    <row r="1026" spans="1:4" x14ac:dyDescent="0.2">
      <c r="A1026" s="19" t="s">
        <v>150</v>
      </c>
      <c r="B1026" s="19">
        <v>11.808</v>
      </c>
      <c r="C1026" s="19">
        <v>2</v>
      </c>
      <c r="D1026" s="19">
        <v>4.2804000000000002</v>
      </c>
    </row>
    <row r="1027" spans="1:4" x14ac:dyDescent="0.2">
      <c r="A1027" s="19" t="s">
        <v>173</v>
      </c>
      <c r="B1027" s="19">
        <v>15.552000000000003</v>
      </c>
      <c r="C1027" s="19">
        <v>3</v>
      </c>
      <c r="D1027" s="19">
        <v>5.4432</v>
      </c>
    </row>
    <row r="1028" spans="1:4" x14ac:dyDescent="0.2">
      <c r="A1028" s="19" t="s">
        <v>173</v>
      </c>
      <c r="B1028" s="19">
        <v>63.311999999999998</v>
      </c>
      <c r="C1028" s="19">
        <v>3</v>
      </c>
      <c r="D1028" s="19">
        <v>20.576399999999996</v>
      </c>
    </row>
    <row r="1029" spans="1:4" x14ac:dyDescent="0.2">
      <c r="A1029" s="19" t="s">
        <v>173</v>
      </c>
      <c r="B1029" s="19">
        <v>15.587999999999999</v>
      </c>
      <c r="C1029" s="19">
        <v>2</v>
      </c>
      <c r="D1029" s="19">
        <v>-9.8724000000000007</v>
      </c>
    </row>
    <row r="1030" spans="1:4" x14ac:dyDescent="0.2">
      <c r="A1030" s="19" t="s">
        <v>179</v>
      </c>
      <c r="B1030" s="19">
        <v>177.2</v>
      </c>
      <c r="C1030" s="19">
        <v>5</v>
      </c>
      <c r="D1030" s="19">
        <v>83.283999999999992</v>
      </c>
    </row>
    <row r="1031" spans="1:4" x14ac:dyDescent="0.2">
      <c r="A1031" s="19" t="s">
        <v>179</v>
      </c>
      <c r="B1031" s="19">
        <v>197.96999999999997</v>
      </c>
      <c r="C1031" s="19">
        <v>3</v>
      </c>
      <c r="D1031" s="19">
        <v>57.41129999999999</v>
      </c>
    </row>
    <row r="1032" spans="1:4" x14ac:dyDescent="0.2">
      <c r="A1032" s="19" t="s">
        <v>179</v>
      </c>
      <c r="B1032" s="19">
        <v>854.94</v>
      </c>
      <c r="C1032" s="19">
        <v>3</v>
      </c>
      <c r="D1032" s="19">
        <v>213.73500000000001</v>
      </c>
    </row>
    <row r="1033" spans="1:4" x14ac:dyDescent="0.2">
      <c r="A1033" s="19" t="s">
        <v>179</v>
      </c>
      <c r="B1033" s="19">
        <v>124.10999999999999</v>
      </c>
      <c r="C1033" s="19">
        <v>9</v>
      </c>
      <c r="D1033" s="19">
        <v>52.126200000000004</v>
      </c>
    </row>
    <row r="1034" spans="1:4" x14ac:dyDescent="0.2">
      <c r="A1034" s="19" t="s">
        <v>179</v>
      </c>
      <c r="B1034" s="19">
        <v>14.399999999999999</v>
      </c>
      <c r="C1034" s="19">
        <v>5</v>
      </c>
      <c r="D1034" s="19">
        <v>7.056</v>
      </c>
    </row>
    <row r="1035" spans="1:4" x14ac:dyDescent="0.2">
      <c r="A1035" s="19" t="s">
        <v>173</v>
      </c>
      <c r="B1035" s="19">
        <v>15.696000000000002</v>
      </c>
      <c r="C1035" s="19">
        <v>3</v>
      </c>
      <c r="D1035" s="19">
        <v>5.1011999999999995</v>
      </c>
    </row>
    <row r="1036" spans="1:4" x14ac:dyDescent="0.2">
      <c r="A1036" s="19" t="s">
        <v>173</v>
      </c>
      <c r="B1036" s="19">
        <v>2.6280000000000001</v>
      </c>
      <c r="C1036" s="19">
        <v>2</v>
      </c>
      <c r="D1036" s="19">
        <v>-1.9272</v>
      </c>
    </row>
    <row r="1037" spans="1:4" x14ac:dyDescent="0.2">
      <c r="A1037" s="19" t="s">
        <v>173</v>
      </c>
      <c r="B1037" s="19">
        <v>14.427000000000003</v>
      </c>
      <c r="C1037" s="19">
        <v>3</v>
      </c>
      <c r="D1037" s="19">
        <v>-10.579799999999999</v>
      </c>
    </row>
    <row r="1038" spans="1:4" x14ac:dyDescent="0.2">
      <c r="A1038" s="19" t="s">
        <v>174</v>
      </c>
      <c r="B1038" s="19">
        <v>86.62</v>
      </c>
      <c r="C1038" s="19">
        <v>2</v>
      </c>
      <c r="D1038" s="19">
        <v>8.6619999999999919</v>
      </c>
    </row>
    <row r="1039" spans="1:4" x14ac:dyDescent="0.2">
      <c r="A1039" s="19" t="s">
        <v>150</v>
      </c>
      <c r="B1039" s="19">
        <v>36.624000000000002</v>
      </c>
      <c r="C1039" s="19">
        <v>3</v>
      </c>
      <c r="D1039" s="19">
        <v>13.734</v>
      </c>
    </row>
    <row r="1040" spans="1:4" x14ac:dyDescent="0.2">
      <c r="A1040" s="19" t="s">
        <v>152</v>
      </c>
      <c r="B1040" s="19">
        <v>23.968000000000004</v>
      </c>
      <c r="C1040" s="19">
        <v>7</v>
      </c>
      <c r="D1040" s="19">
        <v>2.696399999999997</v>
      </c>
    </row>
    <row r="1041" spans="1:4" x14ac:dyDescent="0.2">
      <c r="A1041" s="19" t="s">
        <v>152</v>
      </c>
      <c r="B1041" s="19">
        <v>28.728000000000002</v>
      </c>
      <c r="C1041" s="19">
        <v>3</v>
      </c>
      <c r="D1041" s="19">
        <v>1.7954999999999988</v>
      </c>
    </row>
    <row r="1042" spans="1:4" x14ac:dyDescent="0.2">
      <c r="A1042" s="19" t="s">
        <v>174</v>
      </c>
      <c r="B1042" s="19">
        <v>697.16</v>
      </c>
      <c r="C1042" s="19">
        <v>4</v>
      </c>
      <c r="D1042" s="19">
        <v>146.40359999999998</v>
      </c>
    </row>
    <row r="1043" spans="1:4" x14ac:dyDescent="0.2">
      <c r="A1043" s="19" t="s">
        <v>164</v>
      </c>
      <c r="B1043" s="19">
        <v>31.86</v>
      </c>
      <c r="C1043" s="19">
        <v>2</v>
      </c>
      <c r="D1043" s="19">
        <v>11.151</v>
      </c>
    </row>
    <row r="1044" spans="1:4" x14ac:dyDescent="0.2">
      <c r="A1044" s="19" t="s">
        <v>164</v>
      </c>
      <c r="B1044" s="19">
        <v>722.35200000000009</v>
      </c>
      <c r="C1044" s="19">
        <v>3</v>
      </c>
      <c r="D1044" s="19">
        <v>90.293999999999926</v>
      </c>
    </row>
    <row r="1045" spans="1:4" x14ac:dyDescent="0.2">
      <c r="A1045" s="19" t="s">
        <v>159</v>
      </c>
      <c r="B1045" s="19">
        <v>8.84</v>
      </c>
      <c r="C1045" s="19">
        <v>5</v>
      </c>
      <c r="D1045" s="19">
        <v>2.9835000000000003</v>
      </c>
    </row>
    <row r="1046" spans="1:4" x14ac:dyDescent="0.2">
      <c r="A1046" s="19" t="s">
        <v>159</v>
      </c>
      <c r="B1046" s="19">
        <v>58.463999999999977</v>
      </c>
      <c r="C1046" s="19">
        <v>9</v>
      </c>
      <c r="D1046" s="19">
        <v>-146.16000000000003</v>
      </c>
    </row>
    <row r="1047" spans="1:4" x14ac:dyDescent="0.2">
      <c r="A1047" s="19" t="s">
        <v>159</v>
      </c>
      <c r="B1047" s="19">
        <v>254.60399999999998</v>
      </c>
      <c r="C1047" s="19">
        <v>14</v>
      </c>
      <c r="D1047" s="19">
        <v>-18.185999999999993</v>
      </c>
    </row>
    <row r="1048" spans="1:4" x14ac:dyDescent="0.2">
      <c r="A1048" s="19" t="s">
        <v>151</v>
      </c>
      <c r="B1048" s="19">
        <v>1363.96</v>
      </c>
      <c r="C1048" s="19">
        <v>5</v>
      </c>
      <c r="D1048" s="19">
        <v>85.247500000000002</v>
      </c>
    </row>
    <row r="1049" spans="1:4" x14ac:dyDescent="0.2">
      <c r="A1049" s="19" t="s">
        <v>151</v>
      </c>
      <c r="B1049" s="19">
        <v>102.35999999999999</v>
      </c>
      <c r="C1049" s="19">
        <v>3</v>
      </c>
      <c r="D1049" s="19">
        <v>-3.8385000000000105</v>
      </c>
    </row>
    <row r="1050" spans="1:4" x14ac:dyDescent="0.2">
      <c r="A1050" s="19" t="s">
        <v>150</v>
      </c>
      <c r="B1050" s="19">
        <v>1113.5039999999999</v>
      </c>
      <c r="C1050" s="19">
        <v>12</v>
      </c>
      <c r="D1050" s="19">
        <v>125.2691999999999</v>
      </c>
    </row>
    <row r="1051" spans="1:4" x14ac:dyDescent="0.2">
      <c r="A1051" s="19" t="s">
        <v>150</v>
      </c>
      <c r="B1051" s="19">
        <v>99.99</v>
      </c>
      <c r="C1051" s="19">
        <v>1</v>
      </c>
      <c r="D1051" s="19">
        <v>37.996200000000002</v>
      </c>
    </row>
    <row r="1052" spans="1:4" x14ac:dyDescent="0.2">
      <c r="A1052" s="19" t="s">
        <v>158</v>
      </c>
      <c r="B1052" s="19">
        <v>168.46400000000003</v>
      </c>
      <c r="C1052" s="19">
        <v>2</v>
      </c>
      <c r="D1052" s="19">
        <v>-29.481200000000022</v>
      </c>
    </row>
    <row r="1053" spans="1:4" x14ac:dyDescent="0.2">
      <c r="A1053" s="19" t="s">
        <v>158</v>
      </c>
      <c r="B1053" s="19">
        <v>6.7200000000000006</v>
      </c>
      <c r="C1053" s="19">
        <v>2</v>
      </c>
      <c r="D1053" s="19">
        <v>2.4359999999999995</v>
      </c>
    </row>
    <row r="1054" spans="1:4" x14ac:dyDescent="0.2">
      <c r="A1054" s="19" t="s">
        <v>158</v>
      </c>
      <c r="B1054" s="19">
        <v>282.88800000000003</v>
      </c>
      <c r="C1054" s="19">
        <v>9</v>
      </c>
      <c r="D1054" s="19">
        <v>56.577599999999961</v>
      </c>
    </row>
    <row r="1055" spans="1:4" x14ac:dyDescent="0.2">
      <c r="A1055" s="19" t="s">
        <v>164</v>
      </c>
      <c r="B1055" s="19">
        <v>11.16</v>
      </c>
      <c r="C1055" s="19">
        <v>2</v>
      </c>
      <c r="D1055" s="19">
        <v>4.3524000000000003</v>
      </c>
    </row>
    <row r="1056" spans="1:4" x14ac:dyDescent="0.2">
      <c r="A1056" s="19" t="s">
        <v>164</v>
      </c>
      <c r="B1056" s="19">
        <v>108.4</v>
      </c>
      <c r="C1056" s="19">
        <v>2</v>
      </c>
      <c r="D1056" s="19">
        <v>22.763999999999996</v>
      </c>
    </row>
    <row r="1057" spans="1:4" x14ac:dyDescent="0.2">
      <c r="A1057" s="19" t="s">
        <v>164</v>
      </c>
      <c r="B1057" s="19">
        <v>82.344000000000008</v>
      </c>
      <c r="C1057" s="19">
        <v>3</v>
      </c>
      <c r="D1057" s="19">
        <v>27.791100000000004</v>
      </c>
    </row>
    <row r="1058" spans="1:4" x14ac:dyDescent="0.2">
      <c r="A1058" s="19" t="s">
        <v>164</v>
      </c>
      <c r="B1058" s="19">
        <v>9.0879999999999992</v>
      </c>
      <c r="C1058" s="19">
        <v>4</v>
      </c>
      <c r="D1058" s="19">
        <v>3.2944</v>
      </c>
    </row>
    <row r="1059" spans="1:4" x14ac:dyDescent="0.2">
      <c r="A1059" s="19" t="s">
        <v>150</v>
      </c>
      <c r="B1059" s="19">
        <v>19.936000000000003</v>
      </c>
      <c r="C1059" s="19">
        <v>4</v>
      </c>
      <c r="D1059" s="19">
        <v>7.2267999999999999</v>
      </c>
    </row>
    <row r="1060" spans="1:4" x14ac:dyDescent="0.2">
      <c r="A1060" s="19" t="s">
        <v>150</v>
      </c>
      <c r="B1060" s="19">
        <v>65.567999999999998</v>
      </c>
      <c r="C1060" s="19">
        <v>2</v>
      </c>
      <c r="D1060" s="19">
        <v>22.948799999999995</v>
      </c>
    </row>
    <row r="1061" spans="1:4" x14ac:dyDescent="0.2">
      <c r="A1061" s="19" t="s">
        <v>158</v>
      </c>
      <c r="B1061" s="19">
        <v>4.4160000000000004</v>
      </c>
      <c r="C1061" s="19">
        <v>3</v>
      </c>
      <c r="D1061" s="19">
        <v>1.6008</v>
      </c>
    </row>
    <row r="1062" spans="1:4" x14ac:dyDescent="0.2">
      <c r="A1062" s="19" t="s">
        <v>154</v>
      </c>
      <c r="B1062" s="19">
        <v>107.77200000000001</v>
      </c>
      <c r="C1062" s="19">
        <v>2</v>
      </c>
      <c r="D1062" s="19">
        <v>-29.252400000000009</v>
      </c>
    </row>
    <row r="1063" spans="1:4" x14ac:dyDescent="0.2">
      <c r="A1063" s="19" t="s">
        <v>173</v>
      </c>
      <c r="B1063" s="19">
        <v>45.216000000000001</v>
      </c>
      <c r="C1063" s="19">
        <v>3</v>
      </c>
      <c r="D1063" s="19">
        <v>4.5215999999999994</v>
      </c>
    </row>
    <row r="1064" spans="1:4" x14ac:dyDescent="0.2">
      <c r="A1064" s="19" t="s">
        <v>173</v>
      </c>
      <c r="B1064" s="19">
        <v>10.416000000000002</v>
      </c>
      <c r="C1064" s="19">
        <v>7</v>
      </c>
      <c r="D1064" s="19">
        <v>-2.2134</v>
      </c>
    </row>
    <row r="1065" spans="1:4" x14ac:dyDescent="0.2">
      <c r="A1065" s="19" t="s">
        <v>173</v>
      </c>
      <c r="B1065" s="19">
        <v>7.8719999999999999</v>
      </c>
      <c r="C1065" s="19">
        <v>3</v>
      </c>
      <c r="D1065" s="19">
        <v>1.2791999999999994</v>
      </c>
    </row>
    <row r="1066" spans="1:4" x14ac:dyDescent="0.2">
      <c r="A1066" s="19" t="s">
        <v>173</v>
      </c>
      <c r="B1066" s="19">
        <v>118.78199999999998</v>
      </c>
      <c r="C1066" s="19">
        <v>3</v>
      </c>
      <c r="D1066" s="19">
        <v>-27.715799999999994</v>
      </c>
    </row>
    <row r="1067" spans="1:4" x14ac:dyDescent="0.2">
      <c r="A1067" s="19" t="s">
        <v>173</v>
      </c>
      <c r="B1067" s="19">
        <v>1.4480000000000002</v>
      </c>
      <c r="C1067" s="19">
        <v>1</v>
      </c>
      <c r="D1067" s="19">
        <v>0.2352999999999999</v>
      </c>
    </row>
    <row r="1068" spans="1:4" x14ac:dyDescent="0.2">
      <c r="A1068" s="19" t="s">
        <v>173</v>
      </c>
      <c r="B1068" s="19">
        <v>55.470000000000006</v>
      </c>
      <c r="C1068" s="19">
        <v>5</v>
      </c>
      <c r="D1068" s="19">
        <v>-46.224999999999994</v>
      </c>
    </row>
    <row r="1069" spans="1:4" x14ac:dyDescent="0.2">
      <c r="A1069" s="19" t="s">
        <v>150</v>
      </c>
      <c r="B1069" s="19">
        <v>194.84800000000001</v>
      </c>
      <c r="C1069" s="19">
        <v>4</v>
      </c>
      <c r="D1069" s="19">
        <v>12.177999999999983</v>
      </c>
    </row>
    <row r="1070" spans="1:4" x14ac:dyDescent="0.2">
      <c r="A1070" s="19" t="s">
        <v>154</v>
      </c>
      <c r="B1070" s="19">
        <v>1.7440000000000002</v>
      </c>
      <c r="C1070" s="19">
        <v>1</v>
      </c>
      <c r="D1070" s="19">
        <v>-0.34880000000000033</v>
      </c>
    </row>
    <row r="1071" spans="1:4" x14ac:dyDescent="0.2">
      <c r="A1071" s="19" t="s">
        <v>158</v>
      </c>
      <c r="B1071" s="19">
        <v>25.176000000000005</v>
      </c>
      <c r="C1071" s="19">
        <v>4</v>
      </c>
      <c r="D1071" s="19">
        <v>-18.462400000000002</v>
      </c>
    </row>
    <row r="1072" spans="1:4" x14ac:dyDescent="0.2">
      <c r="A1072" s="19" t="s">
        <v>150</v>
      </c>
      <c r="B1072" s="19">
        <v>19.459999999999997</v>
      </c>
      <c r="C1072" s="19">
        <v>7</v>
      </c>
      <c r="D1072" s="19">
        <v>5.0595999999999997</v>
      </c>
    </row>
    <row r="1073" spans="1:4" x14ac:dyDescent="0.2">
      <c r="A1073" s="19" t="s">
        <v>171</v>
      </c>
      <c r="B1073" s="19">
        <v>29.472000000000001</v>
      </c>
      <c r="C1073" s="19">
        <v>3</v>
      </c>
      <c r="D1073" s="19">
        <v>9.9467999999999979</v>
      </c>
    </row>
    <row r="1074" spans="1:4" x14ac:dyDescent="0.2">
      <c r="A1074" s="19" t="s">
        <v>164</v>
      </c>
      <c r="B1074" s="19">
        <v>8.64</v>
      </c>
      <c r="C1074" s="19">
        <v>2</v>
      </c>
      <c r="D1074" s="19">
        <v>3.024</v>
      </c>
    </row>
    <row r="1075" spans="1:4" x14ac:dyDescent="0.2">
      <c r="A1075" s="19" t="s">
        <v>165</v>
      </c>
      <c r="B1075" s="19">
        <v>6.27</v>
      </c>
      <c r="C1075" s="19">
        <v>5</v>
      </c>
      <c r="D1075" s="19">
        <v>-4.5980000000000008</v>
      </c>
    </row>
    <row r="1076" spans="1:4" x14ac:dyDescent="0.2">
      <c r="A1076" s="19" t="s">
        <v>165</v>
      </c>
      <c r="B1076" s="19">
        <v>4.3680000000000003</v>
      </c>
      <c r="C1076" s="19">
        <v>7</v>
      </c>
      <c r="D1076" s="19">
        <v>-3.3487999999999998</v>
      </c>
    </row>
    <row r="1077" spans="1:4" x14ac:dyDescent="0.2">
      <c r="A1077" s="19" t="s">
        <v>165</v>
      </c>
      <c r="B1077" s="19">
        <v>31.983999999999998</v>
      </c>
      <c r="C1077" s="19">
        <v>2</v>
      </c>
      <c r="D1077" s="19">
        <v>1.9989999999999979</v>
      </c>
    </row>
    <row r="1078" spans="1:4" x14ac:dyDescent="0.2">
      <c r="A1078" s="19" t="s">
        <v>163</v>
      </c>
      <c r="B1078" s="19">
        <v>40.879999999999995</v>
      </c>
      <c r="C1078" s="19">
        <v>7</v>
      </c>
      <c r="D1078" s="19">
        <v>10.628799999999998</v>
      </c>
    </row>
    <row r="1079" spans="1:4" x14ac:dyDescent="0.2">
      <c r="A1079" s="19" t="s">
        <v>153</v>
      </c>
      <c r="B1079" s="19">
        <v>119.96</v>
      </c>
      <c r="C1079" s="19">
        <v>2</v>
      </c>
      <c r="D1079" s="19">
        <v>33.588800000000006</v>
      </c>
    </row>
    <row r="1080" spans="1:4" x14ac:dyDescent="0.2">
      <c r="A1080" s="19" t="s">
        <v>153</v>
      </c>
      <c r="B1080" s="19">
        <v>31.44</v>
      </c>
      <c r="C1080" s="19">
        <v>3</v>
      </c>
      <c r="D1080" s="19">
        <v>8.4888000000000012</v>
      </c>
    </row>
    <row r="1081" spans="1:4" x14ac:dyDescent="0.2">
      <c r="A1081" s="19" t="s">
        <v>153</v>
      </c>
      <c r="B1081" s="19">
        <v>6.88</v>
      </c>
      <c r="C1081" s="19">
        <v>1</v>
      </c>
      <c r="D1081" s="19">
        <v>2.3220000000000001</v>
      </c>
    </row>
    <row r="1082" spans="1:4" x14ac:dyDescent="0.2">
      <c r="A1082" s="19" t="s">
        <v>161</v>
      </c>
      <c r="B1082" s="19">
        <v>19.920000000000002</v>
      </c>
      <c r="C1082" s="19">
        <v>4</v>
      </c>
      <c r="D1082" s="19">
        <v>9.3624000000000009</v>
      </c>
    </row>
    <row r="1083" spans="1:4" x14ac:dyDescent="0.2">
      <c r="A1083" s="19" t="s">
        <v>161</v>
      </c>
      <c r="B1083" s="19">
        <v>1106.9099999999999</v>
      </c>
      <c r="C1083" s="19">
        <v>9</v>
      </c>
      <c r="D1083" s="19">
        <v>121.76009999999994</v>
      </c>
    </row>
    <row r="1084" spans="1:4" x14ac:dyDescent="0.2">
      <c r="A1084" s="19" t="s">
        <v>164</v>
      </c>
      <c r="B1084" s="19">
        <v>836.59199999999998</v>
      </c>
      <c r="C1084" s="19">
        <v>8</v>
      </c>
      <c r="D1084" s="19">
        <v>-264.92079999999999</v>
      </c>
    </row>
    <row r="1085" spans="1:4" x14ac:dyDescent="0.2">
      <c r="A1085" s="19" t="s">
        <v>164</v>
      </c>
      <c r="B1085" s="19">
        <v>26.38</v>
      </c>
      <c r="C1085" s="19">
        <v>1</v>
      </c>
      <c r="D1085" s="19">
        <v>12.134799999999998</v>
      </c>
    </row>
    <row r="1086" spans="1:4" x14ac:dyDescent="0.2">
      <c r="A1086" s="19" t="s">
        <v>164</v>
      </c>
      <c r="B1086" s="19">
        <v>362.92</v>
      </c>
      <c r="C1086" s="19">
        <v>2</v>
      </c>
      <c r="D1086" s="19">
        <v>105.24679999999995</v>
      </c>
    </row>
    <row r="1087" spans="1:4" x14ac:dyDescent="0.2">
      <c r="A1087" s="19" t="s">
        <v>164</v>
      </c>
      <c r="B1087" s="19">
        <v>4899.93</v>
      </c>
      <c r="C1087" s="19">
        <v>7</v>
      </c>
      <c r="D1087" s="19">
        <v>2400.9656999999997</v>
      </c>
    </row>
    <row r="1088" spans="1:4" x14ac:dyDescent="0.2">
      <c r="A1088" s="19" t="s">
        <v>172</v>
      </c>
      <c r="B1088" s="19">
        <v>6.48</v>
      </c>
      <c r="C1088" s="19">
        <v>1</v>
      </c>
      <c r="D1088" s="19">
        <v>3.1104000000000003</v>
      </c>
    </row>
    <row r="1089" spans="1:4" x14ac:dyDescent="0.2">
      <c r="A1089" s="19" t="s">
        <v>150</v>
      </c>
      <c r="B1089" s="19">
        <v>71.975999999999999</v>
      </c>
      <c r="C1089" s="19">
        <v>3</v>
      </c>
      <c r="D1089" s="19">
        <v>7.1976000000000049</v>
      </c>
    </row>
    <row r="1090" spans="1:4" x14ac:dyDescent="0.2">
      <c r="A1090" s="19" t="s">
        <v>150</v>
      </c>
      <c r="B1090" s="19">
        <v>3.15</v>
      </c>
      <c r="C1090" s="19">
        <v>1</v>
      </c>
      <c r="D1090" s="19">
        <v>1.512</v>
      </c>
    </row>
    <row r="1091" spans="1:4" x14ac:dyDescent="0.2">
      <c r="A1091" s="19" t="s">
        <v>152</v>
      </c>
      <c r="B1091" s="19">
        <v>31.983999999999998</v>
      </c>
      <c r="C1091" s="19">
        <v>2</v>
      </c>
      <c r="D1091" s="19">
        <v>1.9989999999999979</v>
      </c>
    </row>
    <row r="1092" spans="1:4" x14ac:dyDescent="0.2">
      <c r="A1092" s="19" t="s">
        <v>152</v>
      </c>
      <c r="B1092" s="19">
        <v>71.984000000000009</v>
      </c>
      <c r="C1092" s="19">
        <v>2</v>
      </c>
      <c r="D1092" s="19">
        <v>25.194399999999995</v>
      </c>
    </row>
    <row r="1093" spans="1:4" x14ac:dyDescent="0.2">
      <c r="A1093" s="19" t="s">
        <v>150</v>
      </c>
      <c r="B1093" s="19">
        <v>120.14999999999999</v>
      </c>
      <c r="C1093" s="19">
        <v>9</v>
      </c>
      <c r="D1093" s="19">
        <v>33.641999999999996</v>
      </c>
    </row>
    <row r="1094" spans="1:4" x14ac:dyDescent="0.2">
      <c r="A1094" s="19" t="s">
        <v>150</v>
      </c>
      <c r="B1094" s="19">
        <v>219.18400000000003</v>
      </c>
      <c r="C1094" s="19">
        <v>2</v>
      </c>
      <c r="D1094" s="19">
        <v>19.178600000000003</v>
      </c>
    </row>
    <row r="1095" spans="1:4" x14ac:dyDescent="0.2">
      <c r="A1095" s="19" t="s">
        <v>187</v>
      </c>
      <c r="B1095" s="19">
        <v>28.900000000000002</v>
      </c>
      <c r="C1095" s="19">
        <v>5</v>
      </c>
      <c r="D1095" s="19">
        <v>14.161000000000001</v>
      </c>
    </row>
    <row r="1096" spans="1:4" x14ac:dyDescent="0.2">
      <c r="A1096" s="19" t="s">
        <v>187</v>
      </c>
      <c r="B1096" s="19">
        <v>355.96</v>
      </c>
      <c r="C1096" s="19">
        <v>2</v>
      </c>
      <c r="D1096" s="19">
        <v>103.22839999999997</v>
      </c>
    </row>
    <row r="1097" spans="1:4" x14ac:dyDescent="0.2">
      <c r="A1097" s="19" t="s">
        <v>152</v>
      </c>
      <c r="B1097" s="19">
        <v>348.20799999999997</v>
      </c>
      <c r="C1097" s="19">
        <v>7</v>
      </c>
      <c r="D1097" s="19">
        <v>30.468200000000024</v>
      </c>
    </row>
    <row r="1098" spans="1:4" x14ac:dyDescent="0.2">
      <c r="A1098" s="19" t="s">
        <v>152</v>
      </c>
      <c r="B1098" s="19">
        <v>35.783999999999999</v>
      </c>
      <c r="C1098" s="19">
        <v>7</v>
      </c>
      <c r="D1098" s="19">
        <v>-28.627200000000009</v>
      </c>
    </row>
    <row r="1099" spans="1:4" x14ac:dyDescent="0.2">
      <c r="A1099" s="19" t="s">
        <v>150</v>
      </c>
      <c r="B1099" s="19">
        <v>447.84</v>
      </c>
      <c r="C1099" s="19">
        <v>5</v>
      </c>
      <c r="D1099" s="19">
        <v>11.19599999999997</v>
      </c>
    </row>
    <row r="1100" spans="1:4" x14ac:dyDescent="0.2">
      <c r="A1100" s="19" t="s">
        <v>150</v>
      </c>
      <c r="B1100" s="19">
        <v>7.04</v>
      </c>
      <c r="C1100" s="19">
        <v>4</v>
      </c>
      <c r="D1100" s="19">
        <v>2.0415999999999999</v>
      </c>
    </row>
    <row r="1101" spans="1:4" x14ac:dyDescent="0.2">
      <c r="A1101" s="19" t="s">
        <v>150</v>
      </c>
      <c r="B1101" s="19">
        <v>8.73</v>
      </c>
      <c r="C1101" s="19">
        <v>3</v>
      </c>
      <c r="D1101" s="19">
        <v>4.1030999999999995</v>
      </c>
    </row>
    <row r="1102" spans="1:4" x14ac:dyDescent="0.2">
      <c r="A1102" s="19" t="s">
        <v>150</v>
      </c>
      <c r="B1102" s="19">
        <v>29.29</v>
      </c>
      <c r="C1102" s="19">
        <v>1</v>
      </c>
      <c r="D1102" s="19">
        <v>9.6656999999999975</v>
      </c>
    </row>
    <row r="1103" spans="1:4" x14ac:dyDescent="0.2">
      <c r="A1103" s="19" t="s">
        <v>150</v>
      </c>
      <c r="B1103" s="19">
        <v>8.64</v>
      </c>
      <c r="C1103" s="19">
        <v>3</v>
      </c>
      <c r="D1103" s="19">
        <v>2.5055999999999998</v>
      </c>
    </row>
    <row r="1104" spans="1:4" x14ac:dyDescent="0.2">
      <c r="A1104" s="19" t="s">
        <v>154</v>
      </c>
      <c r="B1104" s="19">
        <v>2.6939999999999995</v>
      </c>
      <c r="C1104" s="19">
        <v>3</v>
      </c>
      <c r="D1104" s="19">
        <v>-4.7145000000000028</v>
      </c>
    </row>
    <row r="1105" spans="1:4" x14ac:dyDescent="0.2">
      <c r="A1105" s="19" t="s">
        <v>154</v>
      </c>
      <c r="B1105" s="19">
        <v>2.9339999999999993</v>
      </c>
      <c r="C1105" s="19">
        <v>3</v>
      </c>
      <c r="D1105" s="19">
        <v>-4.9878000000000018</v>
      </c>
    </row>
    <row r="1106" spans="1:4" x14ac:dyDescent="0.2">
      <c r="A1106" s="19" t="s">
        <v>150</v>
      </c>
      <c r="B1106" s="19">
        <v>22.919999999999998</v>
      </c>
      <c r="C1106" s="19">
        <v>3</v>
      </c>
      <c r="D1106" s="19">
        <v>11.230799999999999</v>
      </c>
    </row>
    <row r="1107" spans="1:4" x14ac:dyDescent="0.2">
      <c r="A1107" s="19" t="s">
        <v>154</v>
      </c>
      <c r="B1107" s="19">
        <v>100.70400000000001</v>
      </c>
      <c r="C1107" s="19">
        <v>6</v>
      </c>
      <c r="D1107" s="19">
        <v>-16.36440000000001</v>
      </c>
    </row>
    <row r="1108" spans="1:4" x14ac:dyDescent="0.2">
      <c r="A1108" s="19" t="s">
        <v>154</v>
      </c>
      <c r="B1108" s="19">
        <v>2.3280000000000003</v>
      </c>
      <c r="C1108" s="19">
        <v>2</v>
      </c>
      <c r="D1108" s="19">
        <v>-0.75660000000000016</v>
      </c>
    </row>
    <row r="1109" spans="1:4" x14ac:dyDescent="0.2">
      <c r="A1109" s="19" t="s">
        <v>154</v>
      </c>
      <c r="B1109" s="19">
        <v>10.779999999999996</v>
      </c>
      <c r="C1109" s="19">
        <v>5</v>
      </c>
      <c r="D1109" s="19">
        <v>-17.248000000000008</v>
      </c>
    </row>
    <row r="1110" spans="1:4" x14ac:dyDescent="0.2">
      <c r="A1110" s="19" t="s">
        <v>154</v>
      </c>
      <c r="B1110" s="19">
        <v>58.368000000000009</v>
      </c>
      <c r="C1110" s="19">
        <v>12</v>
      </c>
      <c r="D1110" s="19">
        <v>21.888000000000002</v>
      </c>
    </row>
    <row r="1111" spans="1:4" x14ac:dyDescent="0.2">
      <c r="A1111" s="19" t="s">
        <v>154</v>
      </c>
      <c r="B1111" s="19">
        <v>40.968000000000004</v>
      </c>
      <c r="C1111" s="19">
        <v>3</v>
      </c>
      <c r="D1111" s="19">
        <v>13.826699999999999</v>
      </c>
    </row>
    <row r="1112" spans="1:4" x14ac:dyDescent="0.2">
      <c r="A1112" s="19" t="s">
        <v>154</v>
      </c>
      <c r="B1112" s="19">
        <v>71.959999999999994</v>
      </c>
      <c r="C1112" s="19">
        <v>5</v>
      </c>
      <c r="D1112" s="19">
        <v>25.185999999999996</v>
      </c>
    </row>
    <row r="1113" spans="1:4" x14ac:dyDescent="0.2">
      <c r="A1113" s="19" t="s">
        <v>154</v>
      </c>
      <c r="B1113" s="19">
        <v>10.368000000000002</v>
      </c>
      <c r="C1113" s="19">
        <v>2</v>
      </c>
      <c r="D1113" s="19">
        <v>3.6288</v>
      </c>
    </row>
    <row r="1114" spans="1:4" x14ac:dyDescent="0.2">
      <c r="A1114" s="19" t="s">
        <v>154</v>
      </c>
      <c r="B1114" s="19">
        <v>1.1919999999999997</v>
      </c>
      <c r="C1114" s="19">
        <v>2</v>
      </c>
      <c r="D1114" s="19">
        <v>-2.0264000000000002</v>
      </c>
    </row>
    <row r="1115" spans="1:4" x14ac:dyDescent="0.2">
      <c r="A1115" s="19" t="s">
        <v>150</v>
      </c>
      <c r="B1115" s="19">
        <v>46.672000000000004</v>
      </c>
      <c r="C1115" s="19">
        <v>2</v>
      </c>
      <c r="D1115" s="19">
        <v>16.3352</v>
      </c>
    </row>
    <row r="1116" spans="1:4" x14ac:dyDescent="0.2">
      <c r="A1116" s="19" t="s">
        <v>150</v>
      </c>
      <c r="B1116" s="19">
        <v>119.83299999999998</v>
      </c>
      <c r="C1116" s="19">
        <v>1</v>
      </c>
      <c r="D1116" s="19">
        <v>-12.688200000000002</v>
      </c>
    </row>
    <row r="1117" spans="1:4" x14ac:dyDescent="0.2">
      <c r="A1117" s="19" t="s">
        <v>150</v>
      </c>
      <c r="B1117" s="19">
        <v>119.98</v>
      </c>
      <c r="C1117" s="19">
        <v>2</v>
      </c>
      <c r="D1117" s="19">
        <v>57.590400000000002</v>
      </c>
    </row>
    <row r="1118" spans="1:4" x14ac:dyDescent="0.2">
      <c r="A1118" s="19" t="s">
        <v>150</v>
      </c>
      <c r="B1118" s="19">
        <v>6.3</v>
      </c>
      <c r="C1118" s="19">
        <v>2</v>
      </c>
      <c r="D1118" s="19">
        <v>3.024</v>
      </c>
    </row>
    <row r="1119" spans="1:4" x14ac:dyDescent="0.2">
      <c r="A1119" s="19" t="s">
        <v>101</v>
      </c>
      <c r="B1119" s="19">
        <v>279.89999999999998</v>
      </c>
      <c r="C1119" s="19">
        <v>5</v>
      </c>
      <c r="D1119" s="19">
        <v>137.15100000000001</v>
      </c>
    </row>
    <row r="1120" spans="1:4" x14ac:dyDescent="0.2">
      <c r="A1120" s="19" t="s">
        <v>101</v>
      </c>
      <c r="B1120" s="19">
        <v>619.94999999999993</v>
      </c>
      <c r="C1120" s="19">
        <v>5</v>
      </c>
      <c r="D1120" s="19">
        <v>111.59099999999995</v>
      </c>
    </row>
    <row r="1121" spans="1:4" x14ac:dyDescent="0.2">
      <c r="A1121" s="19" t="s">
        <v>101</v>
      </c>
      <c r="B1121" s="19">
        <v>4.3600000000000003</v>
      </c>
      <c r="C1121" s="19">
        <v>2</v>
      </c>
      <c r="D1121" s="19">
        <v>2.0491999999999999</v>
      </c>
    </row>
    <row r="1122" spans="1:4" x14ac:dyDescent="0.2">
      <c r="A1122" s="19" t="s">
        <v>101</v>
      </c>
      <c r="B1122" s="19">
        <v>15.28</v>
      </c>
      <c r="C1122" s="19">
        <v>2</v>
      </c>
      <c r="D1122" s="19">
        <v>7.4871999999999996</v>
      </c>
    </row>
    <row r="1123" spans="1:4" x14ac:dyDescent="0.2">
      <c r="A1123" s="19" t="s">
        <v>184</v>
      </c>
      <c r="B1123" s="19">
        <v>699.93</v>
      </c>
      <c r="C1123" s="19">
        <v>7</v>
      </c>
      <c r="D1123" s="19">
        <v>181.98179999999999</v>
      </c>
    </row>
    <row r="1124" spans="1:4" x14ac:dyDescent="0.2">
      <c r="A1124" s="19" t="s">
        <v>184</v>
      </c>
      <c r="B1124" s="19">
        <v>22.959999999999997</v>
      </c>
      <c r="C1124" s="19">
        <v>7</v>
      </c>
      <c r="D1124" s="19">
        <v>6.6583999999999968</v>
      </c>
    </row>
    <row r="1125" spans="1:4" x14ac:dyDescent="0.2">
      <c r="A1125" s="19" t="s">
        <v>184</v>
      </c>
      <c r="B1125" s="19">
        <v>38.6</v>
      </c>
      <c r="C1125" s="19">
        <v>4</v>
      </c>
      <c r="D1125" s="19">
        <v>11.579999999999998</v>
      </c>
    </row>
    <row r="1126" spans="1:4" x14ac:dyDescent="0.2">
      <c r="A1126" s="19" t="s">
        <v>184</v>
      </c>
      <c r="B1126" s="19">
        <v>6.63</v>
      </c>
      <c r="C1126" s="19">
        <v>3</v>
      </c>
      <c r="D1126" s="19">
        <v>1.7901</v>
      </c>
    </row>
    <row r="1127" spans="1:4" x14ac:dyDescent="0.2">
      <c r="A1127" s="19" t="s">
        <v>184</v>
      </c>
      <c r="B1127" s="19">
        <v>23.34</v>
      </c>
      <c r="C1127" s="19">
        <v>3</v>
      </c>
      <c r="D1127" s="19">
        <v>10.969799999999999</v>
      </c>
    </row>
    <row r="1128" spans="1:4" x14ac:dyDescent="0.2">
      <c r="A1128" s="19" t="s">
        <v>184</v>
      </c>
      <c r="B1128" s="19">
        <v>1067.94</v>
      </c>
      <c r="C1128" s="19">
        <v>3</v>
      </c>
      <c r="D1128" s="19">
        <v>224.2673999999999</v>
      </c>
    </row>
    <row r="1129" spans="1:4" x14ac:dyDescent="0.2">
      <c r="A1129" s="19" t="s">
        <v>163</v>
      </c>
      <c r="B1129" s="19">
        <v>10.16</v>
      </c>
      <c r="C1129" s="19">
        <v>1</v>
      </c>
      <c r="D1129" s="19">
        <v>2.6416000000000004</v>
      </c>
    </row>
    <row r="1130" spans="1:4" x14ac:dyDescent="0.2">
      <c r="A1130" s="19" t="s">
        <v>163</v>
      </c>
      <c r="B1130" s="19">
        <v>101.88</v>
      </c>
      <c r="C1130" s="19">
        <v>6</v>
      </c>
      <c r="D1130" s="19">
        <v>50.94</v>
      </c>
    </row>
    <row r="1131" spans="1:4" x14ac:dyDescent="0.2">
      <c r="A1131" s="19" t="s">
        <v>166</v>
      </c>
      <c r="B1131" s="19">
        <v>343.92</v>
      </c>
      <c r="C1131" s="19">
        <v>4</v>
      </c>
      <c r="D1131" s="19">
        <v>75.662399999999991</v>
      </c>
    </row>
    <row r="1132" spans="1:4" x14ac:dyDescent="0.2">
      <c r="A1132" s="19" t="s">
        <v>166</v>
      </c>
      <c r="B1132" s="19">
        <v>40.99</v>
      </c>
      <c r="C1132" s="19">
        <v>1</v>
      </c>
      <c r="D1132" s="19">
        <v>20.085100000000001</v>
      </c>
    </row>
    <row r="1133" spans="1:4" x14ac:dyDescent="0.2">
      <c r="A1133" s="19" t="s">
        <v>166</v>
      </c>
      <c r="B1133" s="19">
        <v>63.9</v>
      </c>
      <c r="C1133" s="19">
        <v>5</v>
      </c>
      <c r="D1133" s="19">
        <v>28.754999999999995</v>
      </c>
    </row>
    <row r="1134" spans="1:4" x14ac:dyDescent="0.2">
      <c r="A1134" s="19" t="s">
        <v>150</v>
      </c>
      <c r="B1134" s="19">
        <v>19.440000000000001</v>
      </c>
      <c r="C1134" s="19">
        <v>3</v>
      </c>
      <c r="D1134" s="19">
        <v>9.3312000000000008</v>
      </c>
    </row>
    <row r="1135" spans="1:4" x14ac:dyDescent="0.2">
      <c r="A1135" s="19" t="s">
        <v>158</v>
      </c>
      <c r="B1135" s="19">
        <v>124.608</v>
      </c>
      <c r="C1135" s="19">
        <v>4</v>
      </c>
      <c r="D1135" s="19">
        <v>-23.364000000000019</v>
      </c>
    </row>
    <row r="1136" spans="1:4" x14ac:dyDescent="0.2">
      <c r="A1136" s="19" t="s">
        <v>158</v>
      </c>
      <c r="B1136" s="19">
        <v>7.5600000000000005</v>
      </c>
      <c r="C1136" s="19">
        <v>3</v>
      </c>
      <c r="D1136" s="19">
        <v>2.6459999999999995</v>
      </c>
    </row>
    <row r="1137" spans="1:4" x14ac:dyDescent="0.2">
      <c r="A1137" s="19" t="s">
        <v>151</v>
      </c>
      <c r="B1137" s="19">
        <v>85.224000000000004</v>
      </c>
      <c r="C1137" s="19">
        <v>3</v>
      </c>
      <c r="D1137" s="19">
        <v>7.4571000000000041</v>
      </c>
    </row>
    <row r="1138" spans="1:4" x14ac:dyDescent="0.2">
      <c r="A1138" s="19" t="s">
        <v>163</v>
      </c>
      <c r="B1138" s="19">
        <v>287.52</v>
      </c>
      <c r="C1138" s="19">
        <v>8</v>
      </c>
      <c r="D1138" s="19">
        <v>129.38399999999999</v>
      </c>
    </row>
    <row r="1139" spans="1:4" x14ac:dyDescent="0.2">
      <c r="A1139" s="19" t="s">
        <v>163</v>
      </c>
      <c r="B1139" s="19">
        <v>37.68</v>
      </c>
      <c r="C1139" s="19">
        <v>2</v>
      </c>
      <c r="D1139" s="19">
        <v>10.5504</v>
      </c>
    </row>
    <row r="1140" spans="1:4" x14ac:dyDescent="0.2">
      <c r="A1140" s="19" t="s">
        <v>163</v>
      </c>
      <c r="B1140" s="19">
        <v>19.98</v>
      </c>
      <c r="C1140" s="19">
        <v>2</v>
      </c>
      <c r="D1140" s="19">
        <v>8.9909999999999997</v>
      </c>
    </row>
    <row r="1141" spans="1:4" x14ac:dyDescent="0.2">
      <c r="A1141" s="19" t="s">
        <v>163</v>
      </c>
      <c r="B1141" s="19">
        <v>20.58</v>
      </c>
      <c r="C1141" s="19">
        <v>7</v>
      </c>
      <c r="D1141" s="19">
        <v>5.5566000000000004</v>
      </c>
    </row>
    <row r="1142" spans="1:4" x14ac:dyDescent="0.2">
      <c r="A1142" s="19" t="s">
        <v>163</v>
      </c>
      <c r="B1142" s="19">
        <v>17.38</v>
      </c>
      <c r="C1142" s="19">
        <v>2</v>
      </c>
      <c r="D1142" s="19">
        <v>8.69</v>
      </c>
    </row>
    <row r="1143" spans="1:4" x14ac:dyDescent="0.2">
      <c r="A1143" s="19" t="s">
        <v>150</v>
      </c>
      <c r="B1143" s="19">
        <v>204.6</v>
      </c>
      <c r="C1143" s="19">
        <v>2</v>
      </c>
      <c r="D1143" s="19">
        <v>53.195999999999998</v>
      </c>
    </row>
    <row r="1144" spans="1:4" x14ac:dyDescent="0.2">
      <c r="A1144" s="19" t="s">
        <v>150</v>
      </c>
      <c r="B1144" s="19">
        <v>8.7200000000000006</v>
      </c>
      <c r="C1144" s="19">
        <v>4</v>
      </c>
      <c r="D1144" s="19">
        <v>2.8776000000000002</v>
      </c>
    </row>
    <row r="1145" spans="1:4" x14ac:dyDescent="0.2">
      <c r="A1145" s="19" t="s">
        <v>150</v>
      </c>
      <c r="B1145" s="19">
        <v>6.48</v>
      </c>
      <c r="C1145" s="19">
        <v>1</v>
      </c>
      <c r="D1145" s="19">
        <v>3.1104000000000003</v>
      </c>
    </row>
    <row r="1146" spans="1:4" x14ac:dyDescent="0.2">
      <c r="A1146" s="19" t="s">
        <v>150</v>
      </c>
      <c r="B1146" s="19">
        <v>686.32</v>
      </c>
      <c r="C1146" s="19">
        <v>2</v>
      </c>
      <c r="D1146" s="19">
        <v>223.05399999999995</v>
      </c>
    </row>
    <row r="1147" spans="1:4" x14ac:dyDescent="0.2">
      <c r="A1147" s="19" t="s">
        <v>150</v>
      </c>
      <c r="B1147" s="19">
        <v>62.18</v>
      </c>
      <c r="C1147" s="19">
        <v>1</v>
      </c>
      <c r="D1147" s="19">
        <v>16.788600000000002</v>
      </c>
    </row>
    <row r="1148" spans="1:4" x14ac:dyDescent="0.2">
      <c r="A1148" s="19" t="s">
        <v>161</v>
      </c>
      <c r="B1148" s="19">
        <v>644.07600000000002</v>
      </c>
      <c r="C1148" s="19">
        <v>2</v>
      </c>
      <c r="D1148" s="19">
        <v>107.34599999999996</v>
      </c>
    </row>
    <row r="1149" spans="1:4" x14ac:dyDescent="0.2">
      <c r="A1149" s="19" t="s">
        <v>161</v>
      </c>
      <c r="B1149" s="19">
        <v>5.84</v>
      </c>
      <c r="C1149" s="19">
        <v>2</v>
      </c>
      <c r="D1149" s="19">
        <v>2.6279999999999997</v>
      </c>
    </row>
    <row r="1150" spans="1:4" x14ac:dyDescent="0.2">
      <c r="A1150" s="19" t="s">
        <v>161</v>
      </c>
      <c r="B1150" s="19">
        <v>12.76</v>
      </c>
      <c r="C1150" s="19">
        <v>2</v>
      </c>
      <c r="D1150" s="19">
        <v>5.8695999999999993</v>
      </c>
    </row>
    <row r="1151" spans="1:4" x14ac:dyDescent="0.2">
      <c r="A1151" s="19" t="s">
        <v>161</v>
      </c>
      <c r="B1151" s="19">
        <v>10.95</v>
      </c>
      <c r="C1151" s="19">
        <v>1</v>
      </c>
      <c r="D1151" s="19">
        <v>0.43799999999999883</v>
      </c>
    </row>
    <row r="1152" spans="1:4" x14ac:dyDescent="0.2">
      <c r="A1152" s="19" t="s">
        <v>161</v>
      </c>
      <c r="B1152" s="19">
        <v>599.98</v>
      </c>
      <c r="C1152" s="19">
        <v>2</v>
      </c>
      <c r="D1152" s="19">
        <v>209.99299999999999</v>
      </c>
    </row>
    <row r="1153" spans="1:4" x14ac:dyDescent="0.2">
      <c r="A1153" s="19" t="s">
        <v>173</v>
      </c>
      <c r="B1153" s="19">
        <v>8.3520000000000003</v>
      </c>
      <c r="C1153" s="19">
        <v>6</v>
      </c>
      <c r="D1153" s="19">
        <v>1.2527999999999997</v>
      </c>
    </row>
    <row r="1154" spans="1:4" x14ac:dyDescent="0.2">
      <c r="A1154" s="19" t="s">
        <v>181</v>
      </c>
      <c r="B1154" s="19">
        <v>3.64</v>
      </c>
      <c r="C1154" s="19">
        <v>2</v>
      </c>
      <c r="D1154" s="19">
        <v>1.6379999999999999</v>
      </c>
    </row>
    <row r="1155" spans="1:4" x14ac:dyDescent="0.2">
      <c r="A1155" s="19" t="s">
        <v>181</v>
      </c>
      <c r="B1155" s="19">
        <v>159.768</v>
      </c>
      <c r="C1155" s="19">
        <v>7</v>
      </c>
      <c r="D1155" s="19">
        <v>53.921700000000008</v>
      </c>
    </row>
    <row r="1156" spans="1:4" x14ac:dyDescent="0.2">
      <c r="A1156" s="19" t="s">
        <v>166</v>
      </c>
      <c r="B1156" s="19">
        <v>122.48</v>
      </c>
      <c r="C1156" s="19">
        <v>2</v>
      </c>
      <c r="D1156" s="19">
        <v>0</v>
      </c>
    </row>
    <row r="1157" spans="1:4" x14ac:dyDescent="0.2">
      <c r="A1157" s="19" t="s">
        <v>166</v>
      </c>
      <c r="B1157" s="19">
        <v>2244.48</v>
      </c>
      <c r="C1157" s="19">
        <v>7</v>
      </c>
      <c r="D1157" s="19">
        <v>493.78559999999993</v>
      </c>
    </row>
    <row r="1158" spans="1:4" x14ac:dyDescent="0.2">
      <c r="A1158" s="19" t="s">
        <v>166</v>
      </c>
      <c r="B1158" s="19">
        <v>62.31</v>
      </c>
      <c r="C1158" s="19">
        <v>3</v>
      </c>
      <c r="D1158" s="19">
        <v>29.285699999999999</v>
      </c>
    </row>
    <row r="1159" spans="1:4" x14ac:dyDescent="0.2">
      <c r="A1159" s="19" t="s">
        <v>166</v>
      </c>
      <c r="B1159" s="19">
        <v>455.1</v>
      </c>
      <c r="C1159" s="19">
        <v>2</v>
      </c>
      <c r="D1159" s="19">
        <v>100.12200000000001</v>
      </c>
    </row>
    <row r="1160" spans="1:4" x14ac:dyDescent="0.2">
      <c r="A1160" s="19" t="s">
        <v>150</v>
      </c>
      <c r="B1160" s="19">
        <v>195.184</v>
      </c>
      <c r="C1160" s="19">
        <v>1</v>
      </c>
      <c r="D1160" s="19">
        <v>19.518400000000007</v>
      </c>
    </row>
    <row r="1161" spans="1:4" x14ac:dyDescent="0.2">
      <c r="A1161" s="19" t="s">
        <v>160</v>
      </c>
      <c r="B1161" s="19">
        <v>362.94</v>
      </c>
      <c r="C1161" s="19">
        <v>3</v>
      </c>
      <c r="D1161" s="19">
        <v>90.735000000000014</v>
      </c>
    </row>
    <row r="1162" spans="1:4" x14ac:dyDescent="0.2">
      <c r="A1162" s="19" t="s">
        <v>160</v>
      </c>
      <c r="B1162" s="19">
        <v>11.54</v>
      </c>
      <c r="C1162" s="19">
        <v>2</v>
      </c>
      <c r="D1162" s="19">
        <v>5.77</v>
      </c>
    </row>
    <row r="1163" spans="1:4" x14ac:dyDescent="0.2">
      <c r="A1163" s="19" t="s">
        <v>150</v>
      </c>
      <c r="B1163" s="19">
        <v>53.94</v>
      </c>
      <c r="C1163" s="19">
        <v>3</v>
      </c>
      <c r="D1163" s="19">
        <v>15.642599999999995</v>
      </c>
    </row>
    <row r="1164" spans="1:4" x14ac:dyDescent="0.2">
      <c r="A1164" s="19" t="s">
        <v>164</v>
      </c>
      <c r="B1164" s="19">
        <v>9.99</v>
      </c>
      <c r="C1164" s="19">
        <v>1</v>
      </c>
      <c r="D1164" s="19">
        <v>4.5953999999999997</v>
      </c>
    </row>
    <row r="1165" spans="1:4" x14ac:dyDescent="0.2">
      <c r="A1165" s="19" t="s">
        <v>164</v>
      </c>
      <c r="B1165" s="19">
        <v>125.76</v>
      </c>
      <c r="C1165" s="19">
        <v>3</v>
      </c>
      <c r="D1165" s="19">
        <v>40.872</v>
      </c>
    </row>
    <row r="1166" spans="1:4" x14ac:dyDescent="0.2">
      <c r="A1166" s="19" t="s">
        <v>164</v>
      </c>
      <c r="B1166" s="19">
        <v>25.32</v>
      </c>
      <c r="C1166" s="19">
        <v>5</v>
      </c>
      <c r="D1166" s="19">
        <v>9.1785000000000014</v>
      </c>
    </row>
    <row r="1167" spans="1:4" x14ac:dyDescent="0.2">
      <c r="A1167" s="19" t="s">
        <v>161</v>
      </c>
      <c r="B1167" s="19">
        <v>46.8</v>
      </c>
      <c r="C1167" s="19">
        <v>4</v>
      </c>
      <c r="D1167" s="19">
        <v>21.059999999999995</v>
      </c>
    </row>
    <row r="1168" spans="1:4" x14ac:dyDescent="0.2">
      <c r="A1168" s="19" t="s">
        <v>153</v>
      </c>
      <c r="B1168" s="19">
        <v>447.93</v>
      </c>
      <c r="C1168" s="19">
        <v>9</v>
      </c>
      <c r="D1168" s="19">
        <v>49.272299999999987</v>
      </c>
    </row>
    <row r="1169" spans="1:4" x14ac:dyDescent="0.2">
      <c r="A1169" s="19" t="s">
        <v>164</v>
      </c>
      <c r="B1169" s="19">
        <v>109.48</v>
      </c>
      <c r="C1169" s="19">
        <v>2</v>
      </c>
      <c r="D1169" s="19">
        <v>33.938800000000001</v>
      </c>
    </row>
    <row r="1170" spans="1:4" x14ac:dyDescent="0.2">
      <c r="A1170" s="19" t="s">
        <v>164</v>
      </c>
      <c r="B1170" s="19">
        <v>272.94</v>
      </c>
      <c r="C1170" s="19">
        <v>3</v>
      </c>
      <c r="D1170" s="19">
        <v>0</v>
      </c>
    </row>
    <row r="1171" spans="1:4" x14ac:dyDescent="0.2">
      <c r="A1171" s="19" t="s">
        <v>164</v>
      </c>
      <c r="B1171" s="19">
        <v>19.440000000000001</v>
      </c>
      <c r="C1171" s="19">
        <v>3</v>
      </c>
      <c r="D1171" s="19">
        <v>9.3312000000000008</v>
      </c>
    </row>
    <row r="1172" spans="1:4" x14ac:dyDescent="0.2">
      <c r="A1172" s="19" t="s">
        <v>164</v>
      </c>
      <c r="B1172" s="19">
        <v>31.92</v>
      </c>
      <c r="C1172" s="19">
        <v>4</v>
      </c>
      <c r="D1172" s="19">
        <v>8.299199999999999</v>
      </c>
    </row>
    <row r="1173" spans="1:4" x14ac:dyDescent="0.2">
      <c r="A1173" s="19" t="s">
        <v>161</v>
      </c>
      <c r="B1173" s="19">
        <v>22.38</v>
      </c>
      <c r="C1173" s="19">
        <v>2</v>
      </c>
      <c r="D1173" s="19">
        <v>10.7424</v>
      </c>
    </row>
    <row r="1174" spans="1:4" x14ac:dyDescent="0.2">
      <c r="A1174" s="19" t="s">
        <v>150</v>
      </c>
      <c r="B1174" s="19">
        <v>16.520000000000003</v>
      </c>
      <c r="C1174" s="19">
        <v>5</v>
      </c>
      <c r="D1174" s="19">
        <v>5.5754999999999999</v>
      </c>
    </row>
    <row r="1175" spans="1:4" x14ac:dyDescent="0.2">
      <c r="A1175" s="19" t="s">
        <v>159</v>
      </c>
      <c r="B1175" s="19">
        <v>5.1759999999999984</v>
      </c>
      <c r="C1175" s="19">
        <v>4</v>
      </c>
      <c r="D1175" s="19">
        <v>-7.7640000000000011</v>
      </c>
    </row>
    <row r="1176" spans="1:4" x14ac:dyDescent="0.2">
      <c r="A1176" s="19" t="s">
        <v>164</v>
      </c>
      <c r="B1176" s="19">
        <v>50.112000000000002</v>
      </c>
      <c r="C1176" s="19">
        <v>6</v>
      </c>
      <c r="D1176" s="19">
        <v>16.2864</v>
      </c>
    </row>
    <row r="1177" spans="1:4" x14ac:dyDescent="0.2">
      <c r="A1177" s="19" t="s">
        <v>186</v>
      </c>
      <c r="B1177" s="19">
        <v>27.93</v>
      </c>
      <c r="C1177" s="19">
        <v>3</v>
      </c>
      <c r="D1177" s="19">
        <v>8.0996999999999986</v>
      </c>
    </row>
    <row r="1178" spans="1:4" x14ac:dyDescent="0.2">
      <c r="A1178" s="19" t="s">
        <v>150</v>
      </c>
      <c r="B1178" s="19">
        <v>11.56</v>
      </c>
      <c r="C1178" s="19">
        <v>4</v>
      </c>
      <c r="D1178" s="19">
        <v>5.4332000000000003</v>
      </c>
    </row>
    <row r="1179" spans="1:4" x14ac:dyDescent="0.2">
      <c r="A1179" s="19" t="s">
        <v>187</v>
      </c>
      <c r="B1179" s="19">
        <v>172.5</v>
      </c>
      <c r="C1179" s="19">
        <v>2</v>
      </c>
      <c r="D1179" s="19">
        <v>51.749999999999986</v>
      </c>
    </row>
    <row r="1180" spans="1:4" x14ac:dyDescent="0.2">
      <c r="A1180" s="19" t="s">
        <v>187</v>
      </c>
      <c r="B1180" s="19">
        <v>179.97</v>
      </c>
      <c r="C1180" s="19">
        <v>3</v>
      </c>
      <c r="D1180" s="19">
        <v>44.992500000000007</v>
      </c>
    </row>
    <row r="1181" spans="1:4" x14ac:dyDescent="0.2">
      <c r="A1181" s="19" t="s">
        <v>154</v>
      </c>
      <c r="B1181" s="19">
        <v>258.69600000000003</v>
      </c>
      <c r="C1181" s="19">
        <v>3</v>
      </c>
      <c r="D1181" s="19">
        <v>64.674000000000007</v>
      </c>
    </row>
    <row r="1182" spans="1:4" x14ac:dyDescent="0.2">
      <c r="A1182" s="19" t="s">
        <v>179</v>
      </c>
      <c r="B1182" s="19">
        <v>1322.93</v>
      </c>
      <c r="C1182" s="19">
        <v>7</v>
      </c>
      <c r="D1182" s="19">
        <v>357.19110000000001</v>
      </c>
    </row>
    <row r="1183" spans="1:4" x14ac:dyDescent="0.2">
      <c r="A1183" s="19" t="s">
        <v>179</v>
      </c>
      <c r="B1183" s="19">
        <v>3.76</v>
      </c>
      <c r="C1183" s="19">
        <v>2</v>
      </c>
      <c r="D1183" s="19">
        <v>1.0903999999999998</v>
      </c>
    </row>
    <row r="1184" spans="1:4" x14ac:dyDescent="0.2">
      <c r="A1184" s="19" t="s">
        <v>152</v>
      </c>
      <c r="B1184" s="19">
        <v>21.744</v>
      </c>
      <c r="C1184" s="19">
        <v>1</v>
      </c>
      <c r="D1184" s="19">
        <v>7.3385999999999996</v>
      </c>
    </row>
    <row r="1185" spans="1:4" x14ac:dyDescent="0.2">
      <c r="A1185" s="19" t="s">
        <v>152</v>
      </c>
      <c r="B1185" s="19">
        <v>7.92</v>
      </c>
      <c r="C1185" s="19">
        <v>5</v>
      </c>
      <c r="D1185" s="19">
        <v>0.69300000000000006</v>
      </c>
    </row>
    <row r="1186" spans="1:4" x14ac:dyDescent="0.2">
      <c r="A1186" s="19" t="s">
        <v>153</v>
      </c>
      <c r="B1186" s="19">
        <v>12.096000000000002</v>
      </c>
      <c r="C1186" s="19">
        <v>7</v>
      </c>
      <c r="D1186" s="19">
        <v>4.2335999999999991</v>
      </c>
    </row>
    <row r="1187" spans="1:4" x14ac:dyDescent="0.2">
      <c r="A1187" s="19" t="s">
        <v>153</v>
      </c>
      <c r="B1187" s="19">
        <v>485.88</v>
      </c>
      <c r="C1187" s="19">
        <v>6</v>
      </c>
      <c r="D1187" s="19">
        <v>9.7176000000000329</v>
      </c>
    </row>
    <row r="1188" spans="1:4" x14ac:dyDescent="0.2">
      <c r="A1188" s="19" t="s">
        <v>153</v>
      </c>
      <c r="B1188" s="19">
        <v>25.92</v>
      </c>
      <c r="C1188" s="19">
        <v>4</v>
      </c>
      <c r="D1188" s="19">
        <v>12.441600000000001</v>
      </c>
    </row>
    <row r="1189" spans="1:4" x14ac:dyDescent="0.2">
      <c r="A1189" s="19" t="s">
        <v>153</v>
      </c>
      <c r="B1189" s="19">
        <v>197.58</v>
      </c>
      <c r="C1189" s="19">
        <v>2</v>
      </c>
      <c r="D1189" s="19">
        <v>53.346599999999995</v>
      </c>
    </row>
    <row r="1190" spans="1:4" x14ac:dyDescent="0.2">
      <c r="A1190" s="19" t="s">
        <v>150</v>
      </c>
      <c r="B1190" s="19">
        <v>81.92</v>
      </c>
      <c r="C1190" s="19">
        <v>4</v>
      </c>
      <c r="D1190" s="19">
        <v>22.118400000000001</v>
      </c>
    </row>
    <row r="1191" spans="1:4" x14ac:dyDescent="0.2">
      <c r="A1191" s="19" t="s">
        <v>150</v>
      </c>
      <c r="B1191" s="19">
        <v>889.53600000000006</v>
      </c>
      <c r="C1191" s="19">
        <v>8</v>
      </c>
      <c r="D1191" s="19">
        <v>66.715199999999982</v>
      </c>
    </row>
    <row r="1192" spans="1:4" x14ac:dyDescent="0.2">
      <c r="A1192" s="19" t="s">
        <v>150</v>
      </c>
      <c r="B1192" s="19">
        <v>892.22400000000005</v>
      </c>
      <c r="C1192" s="19">
        <v>3</v>
      </c>
      <c r="D1192" s="19">
        <v>89.222400000000022</v>
      </c>
    </row>
    <row r="1193" spans="1:4" x14ac:dyDescent="0.2">
      <c r="A1193" s="19" t="s">
        <v>150</v>
      </c>
      <c r="B1193" s="19">
        <v>223.92</v>
      </c>
      <c r="C1193" s="19">
        <v>4</v>
      </c>
      <c r="D1193" s="19">
        <v>109.7208</v>
      </c>
    </row>
    <row r="1194" spans="1:4" x14ac:dyDescent="0.2">
      <c r="A1194" s="19" t="s">
        <v>150</v>
      </c>
      <c r="B1194" s="19">
        <v>23.12</v>
      </c>
      <c r="C1194" s="19">
        <v>4</v>
      </c>
      <c r="D1194" s="19">
        <v>11.328800000000001</v>
      </c>
    </row>
    <row r="1195" spans="1:4" x14ac:dyDescent="0.2">
      <c r="A1195" s="19" t="s">
        <v>151</v>
      </c>
      <c r="B1195" s="19">
        <v>15.552000000000003</v>
      </c>
      <c r="C1195" s="19">
        <v>3</v>
      </c>
      <c r="D1195" s="19">
        <v>5.4432</v>
      </c>
    </row>
    <row r="1196" spans="1:4" x14ac:dyDescent="0.2">
      <c r="A1196" s="19" t="s">
        <v>151</v>
      </c>
      <c r="B1196" s="19">
        <v>15.712000000000002</v>
      </c>
      <c r="C1196" s="19">
        <v>4</v>
      </c>
      <c r="D1196" s="19">
        <v>2.553199999999999</v>
      </c>
    </row>
    <row r="1197" spans="1:4" x14ac:dyDescent="0.2">
      <c r="A1197" s="19" t="s">
        <v>151</v>
      </c>
      <c r="B1197" s="19">
        <v>24.672000000000001</v>
      </c>
      <c r="C1197" s="19">
        <v>2</v>
      </c>
      <c r="D1197" s="19">
        <v>2.1588000000000021</v>
      </c>
    </row>
    <row r="1198" spans="1:4" x14ac:dyDescent="0.2">
      <c r="A1198" s="19" t="s">
        <v>151</v>
      </c>
      <c r="B1198" s="19">
        <v>55.967999999999996</v>
      </c>
      <c r="C1198" s="19">
        <v>1</v>
      </c>
      <c r="D1198" s="19">
        <v>-2.098800000000006</v>
      </c>
    </row>
    <row r="1199" spans="1:4" x14ac:dyDescent="0.2">
      <c r="A1199" s="19" t="s">
        <v>154</v>
      </c>
      <c r="B1199" s="19">
        <v>431.92800000000005</v>
      </c>
      <c r="C1199" s="19">
        <v>9</v>
      </c>
      <c r="D1199" s="19">
        <v>64.789199999999951</v>
      </c>
    </row>
    <row r="1200" spans="1:4" x14ac:dyDescent="0.2">
      <c r="A1200" s="19" t="s">
        <v>154</v>
      </c>
      <c r="B1200" s="19">
        <v>95.983999999999995</v>
      </c>
      <c r="C1200" s="19">
        <v>4</v>
      </c>
      <c r="D1200" s="19">
        <v>-4.1135999999999981</v>
      </c>
    </row>
    <row r="1201" spans="1:4" x14ac:dyDescent="0.2">
      <c r="A1201" s="19" t="s">
        <v>154</v>
      </c>
      <c r="B1201" s="19">
        <v>1088.7919999999997</v>
      </c>
      <c r="C1201" s="19">
        <v>4</v>
      </c>
      <c r="D1201" s="19">
        <v>-1850.9464000000007</v>
      </c>
    </row>
    <row r="1202" spans="1:4" x14ac:dyDescent="0.2">
      <c r="A1202" s="19" t="s">
        <v>171</v>
      </c>
      <c r="B1202" s="19">
        <v>544.00800000000004</v>
      </c>
      <c r="C1202" s="19">
        <v>3</v>
      </c>
      <c r="D1202" s="19">
        <v>40.800600000000003</v>
      </c>
    </row>
    <row r="1203" spans="1:4" x14ac:dyDescent="0.2">
      <c r="A1203" s="19" t="s">
        <v>171</v>
      </c>
      <c r="B1203" s="19">
        <v>1.8720000000000003</v>
      </c>
      <c r="C1203" s="19">
        <v>3</v>
      </c>
      <c r="D1203" s="19">
        <v>-1.4352</v>
      </c>
    </row>
    <row r="1204" spans="1:4" x14ac:dyDescent="0.2">
      <c r="A1204" s="19" t="s">
        <v>171</v>
      </c>
      <c r="B1204" s="19">
        <v>854.35200000000009</v>
      </c>
      <c r="C1204" s="19">
        <v>3</v>
      </c>
      <c r="D1204" s="19">
        <v>10.679399999999873</v>
      </c>
    </row>
    <row r="1205" spans="1:4" x14ac:dyDescent="0.2">
      <c r="A1205" s="19" t="s">
        <v>171</v>
      </c>
      <c r="B1205" s="19">
        <v>593.5680000000001</v>
      </c>
      <c r="C1205" s="19">
        <v>2</v>
      </c>
      <c r="D1205" s="19">
        <v>0</v>
      </c>
    </row>
    <row r="1206" spans="1:4" x14ac:dyDescent="0.2">
      <c r="A1206" s="19" t="s">
        <v>171</v>
      </c>
      <c r="B1206" s="19">
        <v>338.04</v>
      </c>
      <c r="C1206" s="19">
        <v>3</v>
      </c>
      <c r="D1206" s="19">
        <v>-33.804000000000002</v>
      </c>
    </row>
    <row r="1207" spans="1:4" x14ac:dyDescent="0.2">
      <c r="A1207" s="19" t="s">
        <v>152</v>
      </c>
      <c r="B1207" s="19">
        <v>271.95999999999998</v>
      </c>
      <c r="C1207" s="19">
        <v>5</v>
      </c>
      <c r="D1207" s="19">
        <v>16.997500000000016</v>
      </c>
    </row>
    <row r="1208" spans="1:4" x14ac:dyDescent="0.2">
      <c r="A1208" s="19" t="s">
        <v>164</v>
      </c>
      <c r="B1208" s="19">
        <v>11.21</v>
      </c>
      <c r="C1208" s="19">
        <v>1</v>
      </c>
      <c r="D1208" s="19">
        <v>3.3629999999999995</v>
      </c>
    </row>
    <row r="1209" spans="1:4" x14ac:dyDescent="0.2">
      <c r="A1209" s="19" t="s">
        <v>164</v>
      </c>
      <c r="B1209" s="19">
        <v>9.1440000000000001</v>
      </c>
      <c r="C1209" s="19">
        <v>3</v>
      </c>
      <c r="D1209" s="19">
        <v>3.2003999999999997</v>
      </c>
    </row>
    <row r="1210" spans="1:4" x14ac:dyDescent="0.2">
      <c r="A1210" s="19" t="s">
        <v>164</v>
      </c>
      <c r="B1210" s="19">
        <v>14.069999999999999</v>
      </c>
      <c r="C1210" s="19">
        <v>7</v>
      </c>
      <c r="D1210" s="19">
        <v>6.8942999999999994</v>
      </c>
    </row>
    <row r="1211" spans="1:4" x14ac:dyDescent="0.2">
      <c r="A1211" s="19" t="s">
        <v>164</v>
      </c>
      <c r="B1211" s="19">
        <v>41.86</v>
      </c>
      <c r="C1211" s="19">
        <v>7</v>
      </c>
      <c r="D1211" s="19">
        <v>10.465</v>
      </c>
    </row>
    <row r="1212" spans="1:4" x14ac:dyDescent="0.2">
      <c r="A1212" s="19" t="s">
        <v>164</v>
      </c>
      <c r="B1212" s="19">
        <v>8.5440000000000005</v>
      </c>
      <c r="C1212" s="19">
        <v>2</v>
      </c>
      <c r="D1212" s="19">
        <v>2.8835999999999995</v>
      </c>
    </row>
    <row r="1213" spans="1:4" x14ac:dyDescent="0.2">
      <c r="A1213" s="19" t="s">
        <v>164</v>
      </c>
      <c r="B1213" s="19">
        <v>579.13599999999997</v>
      </c>
      <c r="C1213" s="19">
        <v>4</v>
      </c>
      <c r="D1213" s="19">
        <v>21.717599999999948</v>
      </c>
    </row>
    <row r="1214" spans="1:4" x14ac:dyDescent="0.2">
      <c r="A1214" s="19" t="s">
        <v>158</v>
      </c>
      <c r="B1214" s="19">
        <v>141.37199999999999</v>
      </c>
      <c r="C1214" s="19">
        <v>2</v>
      </c>
      <c r="D1214" s="19">
        <v>-48.470400000000019</v>
      </c>
    </row>
    <row r="1215" spans="1:4" x14ac:dyDescent="0.2">
      <c r="A1215" s="19" t="s">
        <v>158</v>
      </c>
      <c r="B1215" s="19">
        <v>3.036</v>
      </c>
      <c r="C1215" s="19">
        <v>2</v>
      </c>
      <c r="D1215" s="19">
        <v>-2.3275999999999994</v>
      </c>
    </row>
    <row r="1216" spans="1:4" x14ac:dyDescent="0.2">
      <c r="A1216" s="19" t="s">
        <v>158</v>
      </c>
      <c r="B1216" s="19">
        <v>4.503000000000001</v>
      </c>
      <c r="C1216" s="19">
        <v>1</v>
      </c>
      <c r="D1216" s="19">
        <v>-3.6024000000000012</v>
      </c>
    </row>
    <row r="1217" spans="1:4" x14ac:dyDescent="0.2">
      <c r="A1217" s="19" t="s">
        <v>158</v>
      </c>
      <c r="B1217" s="19">
        <v>4.6719999999999997</v>
      </c>
      <c r="C1217" s="19">
        <v>1</v>
      </c>
      <c r="D1217" s="19">
        <v>1.5767999999999998</v>
      </c>
    </row>
    <row r="1218" spans="1:4" x14ac:dyDescent="0.2">
      <c r="A1218" s="19" t="s">
        <v>158</v>
      </c>
      <c r="B1218" s="19">
        <v>95.88000000000001</v>
      </c>
      <c r="C1218" s="19">
        <v>3</v>
      </c>
      <c r="D1218" s="19">
        <v>28.764000000000006</v>
      </c>
    </row>
    <row r="1219" spans="1:4" x14ac:dyDescent="0.2">
      <c r="A1219" s="19" t="s">
        <v>158</v>
      </c>
      <c r="B1219" s="19">
        <v>17.024000000000001</v>
      </c>
      <c r="C1219" s="19">
        <v>2</v>
      </c>
      <c r="D1219" s="19">
        <v>1.7024000000000008</v>
      </c>
    </row>
    <row r="1220" spans="1:4" x14ac:dyDescent="0.2">
      <c r="A1220" s="19" t="s">
        <v>158</v>
      </c>
      <c r="B1220" s="19">
        <v>258.69600000000003</v>
      </c>
      <c r="C1220" s="19">
        <v>3</v>
      </c>
      <c r="D1220" s="19">
        <v>64.674000000000007</v>
      </c>
    </row>
    <row r="1221" spans="1:4" x14ac:dyDescent="0.2">
      <c r="A1221" s="19" t="s">
        <v>158</v>
      </c>
      <c r="B1221" s="19">
        <v>1931.9579999999999</v>
      </c>
      <c r="C1221" s="19">
        <v>7</v>
      </c>
      <c r="D1221" s="19">
        <v>-386.3915999999997</v>
      </c>
    </row>
    <row r="1222" spans="1:4" x14ac:dyDescent="0.2">
      <c r="A1222" s="19" t="s">
        <v>150</v>
      </c>
      <c r="B1222" s="19">
        <v>249.75</v>
      </c>
      <c r="C1222" s="19">
        <v>9</v>
      </c>
      <c r="D1222" s="19">
        <v>44.954999999999977</v>
      </c>
    </row>
    <row r="1223" spans="1:4" x14ac:dyDescent="0.2">
      <c r="A1223" s="19" t="s">
        <v>150</v>
      </c>
      <c r="B1223" s="19">
        <v>255.93600000000004</v>
      </c>
      <c r="C1223" s="19">
        <v>8</v>
      </c>
      <c r="D1223" s="19">
        <v>28.792799999999971</v>
      </c>
    </row>
    <row r="1224" spans="1:4" x14ac:dyDescent="0.2">
      <c r="A1224" s="19" t="s">
        <v>164</v>
      </c>
      <c r="B1224" s="19">
        <v>113.78999999999999</v>
      </c>
      <c r="C1224" s="19">
        <v>3</v>
      </c>
      <c r="D1224" s="19">
        <v>20.482199999999992</v>
      </c>
    </row>
    <row r="1225" spans="1:4" x14ac:dyDescent="0.2">
      <c r="A1225" s="19" t="s">
        <v>164</v>
      </c>
      <c r="B1225" s="19">
        <v>78.150000000000006</v>
      </c>
      <c r="C1225" s="19">
        <v>1</v>
      </c>
      <c r="D1225" s="19">
        <v>34.38600000000001</v>
      </c>
    </row>
    <row r="1226" spans="1:4" x14ac:dyDescent="0.2">
      <c r="A1226" s="19" t="s">
        <v>164</v>
      </c>
      <c r="B1226" s="19">
        <v>1.7280000000000002</v>
      </c>
      <c r="C1226" s="19">
        <v>1</v>
      </c>
      <c r="D1226" s="19">
        <v>0.60479999999999989</v>
      </c>
    </row>
    <row r="1227" spans="1:4" x14ac:dyDescent="0.2">
      <c r="A1227" s="19" t="s">
        <v>164</v>
      </c>
      <c r="B1227" s="19">
        <v>40.56</v>
      </c>
      <c r="C1227" s="19">
        <v>4</v>
      </c>
      <c r="D1227" s="19">
        <v>19.874400000000001</v>
      </c>
    </row>
    <row r="1228" spans="1:4" x14ac:dyDescent="0.2">
      <c r="A1228" s="19" t="s">
        <v>164</v>
      </c>
      <c r="B1228" s="19">
        <v>182.94</v>
      </c>
      <c r="C1228" s="19">
        <v>3</v>
      </c>
      <c r="D1228" s="19">
        <v>3.6587999999999994</v>
      </c>
    </row>
    <row r="1229" spans="1:4" x14ac:dyDescent="0.2">
      <c r="A1229" s="19" t="s">
        <v>164</v>
      </c>
      <c r="B1229" s="19">
        <v>193.86</v>
      </c>
      <c r="C1229" s="19">
        <v>2</v>
      </c>
      <c r="D1229" s="19">
        <v>11.631599999999992</v>
      </c>
    </row>
    <row r="1230" spans="1:4" x14ac:dyDescent="0.2">
      <c r="A1230" s="19" t="s">
        <v>150</v>
      </c>
      <c r="B1230" s="19">
        <v>15.28</v>
      </c>
      <c r="C1230" s="19">
        <v>2</v>
      </c>
      <c r="D1230" s="19">
        <v>7.4871999999999996</v>
      </c>
    </row>
    <row r="1231" spans="1:4" x14ac:dyDescent="0.2">
      <c r="A1231" s="19" t="s">
        <v>150</v>
      </c>
      <c r="B1231" s="19">
        <v>8.73</v>
      </c>
      <c r="C1231" s="19">
        <v>1</v>
      </c>
      <c r="D1231" s="19">
        <v>2.9681999999999995</v>
      </c>
    </row>
    <row r="1232" spans="1:4" x14ac:dyDescent="0.2">
      <c r="A1232" s="19" t="s">
        <v>150</v>
      </c>
      <c r="B1232" s="19">
        <v>5.68</v>
      </c>
      <c r="C1232" s="19">
        <v>2</v>
      </c>
      <c r="D1232" s="19">
        <v>1.7607999999999997</v>
      </c>
    </row>
    <row r="1233" spans="1:4" x14ac:dyDescent="0.2">
      <c r="A1233" s="19" t="s">
        <v>164</v>
      </c>
      <c r="B1233" s="19">
        <v>2.78</v>
      </c>
      <c r="C1233" s="19">
        <v>2</v>
      </c>
      <c r="D1233" s="19">
        <v>0.72279999999999989</v>
      </c>
    </row>
    <row r="1234" spans="1:4" x14ac:dyDescent="0.2">
      <c r="A1234" s="19" t="s">
        <v>164</v>
      </c>
      <c r="B1234" s="19">
        <v>79.959999999999994</v>
      </c>
      <c r="C1234" s="19">
        <v>2</v>
      </c>
      <c r="D1234" s="19">
        <v>35.981999999999992</v>
      </c>
    </row>
    <row r="1235" spans="1:4" x14ac:dyDescent="0.2">
      <c r="A1235" s="19" t="s">
        <v>173</v>
      </c>
      <c r="B1235" s="19">
        <v>839.98799999999994</v>
      </c>
      <c r="C1235" s="19">
        <v>2</v>
      </c>
      <c r="D1235" s="19">
        <v>69.99899999999991</v>
      </c>
    </row>
    <row r="1236" spans="1:4" x14ac:dyDescent="0.2">
      <c r="A1236" s="19" t="s">
        <v>151</v>
      </c>
      <c r="B1236" s="19">
        <v>47.952000000000005</v>
      </c>
      <c r="C1236" s="19">
        <v>3</v>
      </c>
      <c r="D1236" s="19">
        <v>13.786200000000006</v>
      </c>
    </row>
    <row r="1237" spans="1:4" x14ac:dyDescent="0.2">
      <c r="A1237" s="19" t="s">
        <v>151</v>
      </c>
      <c r="B1237" s="19">
        <v>37.425000000000004</v>
      </c>
      <c r="C1237" s="19">
        <v>5</v>
      </c>
      <c r="D1237" s="19">
        <v>-29.940000000000012</v>
      </c>
    </row>
    <row r="1238" spans="1:4" x14ac:dyDescent="0.2">
      <c r="A1238" s="19" t="s">
        <v>151</v>
      </c>
      <c r="B1238" s="19">
        <v>63.967999999999996</v>
      </c>
      <c r="C1238" s="19">
        <v>2</v>
      </c>
      <c r="D1238" s="19">
        <v>0</v>
      </c>
    </row>
    <row r="1239" spans="1:4" x14ac:dyDescent="0.2">
      <c r="A1239" s="19" t="s">
        <v>151</v>
      </c>
      <c r="B1239" s="19">
        <v>165.048</v>
      </c>
      <c r="C1239" s="19">
        <v>3</v>
      </c>
      <c r="D1239" s="19">
        <v>41.262</v>
      </c>
    </row>
    <row r="1240" spans="1:4" x14ac:dyDescent="0.2">
      <c r="A1240" s="19" t="s">
        <v>153</v>
      </c>
      <c r="B1240" s="19">
        <v>12.35</v>
      </c>
      <c r="C1240" s="19">
        <v>1</v>
      </c>
      <c r="D1240" s="19">
        <v>5.4340000000000002</v>
      </c>
    </row>
    <row r="1241" spans="1:4" x14ac:dyDescent="0.2">
      <c r="A1241" s="19" t="s">
        <v>153</v>
      </c>
      <c r="B1241" s="19">
        <v>40.97</v>
      </c>
      <c r="C1241" s="19">
        <v>1</v>
      </c>
      <c r="D1241" s="19">
        <v>10.652200000000001</v>
      </c>
    </row>
    <row r="1242" spans="1:4" x14ac:dyDescent="0.2">
      <c r="A1242" s="19" t="s">
        <v>153</v>
      </c>
      <c r="B1242" s="19">
        <v>22.96</v>
      </c>
      <c r="C1242" s="19">
        <v>2</v>
      </c>
      <c r="D1242" s="19">
        <v>10.7912</v>
      </c>
    </row>
    <row r="1243" spans="1:4" x14ac:dyDescent="0.2">
      <c r="A1243" s="19" t="s">
        <v>164</v>
      </c>
      <c r="B1243" s="19">
        <v>22</v>
      </c>
      <c r="C1243" s="19">
        <v>4</v>
      </c>
      <c r="D1243" s="19">
        <v>5.5</v>
      </c>
    </row>
    <row r="1244" spans="1:4" x14ac:dyDescent="0.2">
      <c r="A1244" s="19" t="s">
        <v>164</v>
      </c>
      <c r="B1244" s="19">
        <v>398.35199999999998</v>
      </c>
      <c r="C1244" s="19">
        <v>3</v>
      </c>
      <c r="D1244" s="19">
        <v>124.48499999999999</v>
      </c>
    </row>
    <row r="1245" spans="1:4" x14ac:dyDescent="0.2">
      <c r="A1245" s="19" t="s">
        <v>164</v>
      </c>
      <c r="B1245" s="19">
        <v>8.7200000000000006</v>
      </c>
      <c r="C1245" s="19">
        <v>4</v>
      </c>
      <c r="D1245" s="19">
        <v>3.5752000000000006</v>
      </c>
    </row>
    <row r="1246" spans="1:4" x14ac:dyDescent="0.2">
      <c r="A1246" s="19" t="s">
        <v>183</v>
      </c>
      <c r="B1246" s="19">
        <v>48.69</v>
      </c>
      <c r="C1246" s="19">
        <v>9</v>
      </c>
      <c r="D1246" s="19">
        <v>23.8581</v>
      </c>
    </row>
    <row r="1247" spans="1:4" x14ac:dyDescent="0.2">
      <c r="A1247" s="19" t="s">
        <v>150</v>
      </c>
      <c r="B1247" s="19">
        <v>764.6880000000001</v>
      </c>
      <c r="C1247" s="19">
        <v>6</v>
      </c>
      <c r="D1247" s="19">
        <v>95.585999999999899</v>
      </c>
    </row>
    <row r="1248" spans="1:4" x14ac:dyDescent="0.2">
      <c r="A1248" s="19" t="s">
        <v>150</v>
      </c>
      <c r="B1248" s="19">
        <v>3610.848</v>
      </c>
      <c r="C1248" s="19">
        <v>12</v>
      </c>
      <c r="D1248" s="19">
        <v>135.4068000000002</v>
      </c>
    </row>
    <row r="1249" spans="1:4" x14ac:dyDescent="0.2">
      <c r="A1249" s="19" t="s">
        <v>150</v>
      </c>
      <c r="B1249" s="19">
        <v>254.97449999999998</v>
      </c>
      <c r="C1249" s="19">
        <v>3</v>
      </c>
      <c r="D1249" s="19">
        <v>11.998799999999989</v>
      </c>
    </row>
    <row r="1250" spans="1:4" x14ac:dyDescent="0.2">
      <c r="A1250" s="19" t="s">
        <v>164</v>
      </c>
      <c r="B1250" s="19">
        <v>38.82</v>
      </c>
      <c r="C1250" s="19">
        <v>6</v>
      </c>
      <c r="D1250" s="19">
        <v>17.468999999999998</v>
      </c>
    </row>
    <row r="1251" spans="1:4" x14ac:dyDescent="0.2">
      <c r="A1251" s="19" t="s">
        <v>164</v>
      </c>
      <c r="B1251" s="19">
        <v>1141.9379999999999</v>
      </c>
      <c r="C1251" s="19">
        <v>9</v>
      </c>
      <c r="D1251" s="19">
        <v>139.57019999999989</v>
      </c>
    </row>
    <row r="1252" spans="1:4" x14ac:dyDescent="0.2">
      <c r="A1252" s="19" t="s">
        <v>164</v>
      </c>
      <c r="B1252" s="19">
        <v>1704.56</v>
      </c>
      <c r="C1252" s="19">
        <v>13</v>
      </c>
      <c r="D1252" s="19">
        <v>511.36799999999999</v>
      </c>
    </row>
    <row r="1253" spans="1:4" x14ac:dyDescent="0.2">
      <c r="A1253" s="19" t="s">
        <v>164</v>
      </c>
      <c r="B1253" s="19">
        <v>3.2</v>
      </c>
      <c r="C1253" s="19">
        <v>2</v>
      </c>
      <c r="D1253" s="19">
        <v>1.3760000000000003</v>
      </c>
    </row>
    <row r="1254" spans="1:4" x14ac:dyDescent="0.2">
      <c r="A1254" s="19" t="s">
        <v>155</v>
      </c>
      <c r="B1254" s="19">
        <v>1099.96</v>
      </c>
      <c r="C1254" s="19">
        <v>4</v>
      </c>
      <c r="D1254" s="19">
        <v>285.9896</v>
      </c>
    </row>
    <row r="1255" spans="1:4" x14ac:dyDescent="0.2">
      <c r="A1255" s="19" t="s">
        <v>158</v>
      </c>
      <c r="B1255" s="19">
        <v>5.2480000000000002</v>
      </c>
      <c r="C1255" s="19">
        <v>2</v>
      </c>
      <c r="D1255" s="19">
        <v>0.59039999999999915</v>
      </c>
    </row>
    <row r="1256" spans="1:4" x14ac:dyDescent="0.2">
      <c r="A1256" s="19" t="s">
        <v>158</v>
      </c>
      <c r="B1256" s="19">
        <v>35.909999999999997</v>
      </c>
      <c r="C1256" s="19">
        <v>3</v>
      </c>
      <c r="D1256" s="19">
        <v>-8.3790000000000031</v>
      </c>
    </row>
    <row r="1257" spans="1:4" x14ac:dyDescent="0.2">
      <c r="A1257" s="19" t="s">
        <v>158</v>
      </c>
      <c r="B1257" s="19">
        <v>6.6959999999999997</v>
      </c>
      <c r="C1257" s="19">
        <v>1</v>
      </c>
      <c r="D1257" s="19">
        <v>0.50219999999999976</v>
      </c>
    </row>
    <row r="1258" spans="1:4" x14ac:dyDescent="0.2">
      <c r="A1258" s="19" t="s">
        <v>158</v>
      </c>
      <c r="B1258" s="19">
        <v>43.872000000000007</v>
      </c>
      <c r="C1258" s="19">
        <v>2</v>
      </c>
      <c r="D1258" s="19">
        <v>11.516399999999999</v>
      </c>
    </row>
    <row r="1259" spans="1:4" x14ac:dyDescent="0.2">
      <c r="A1259" s="19" t="s">
        <v>152</v>
      </c>
      <c r="B1259" s="19">
        <v>27.882000000000005</v>
      </c>
      <c r="C1259" s="19">
        <v>3</v>
      </c>
      <c r="D1259" s="19">
        <v>-20.446799999999996</v>
      </c>
    </row>
    <row r="1260" spans="1:4" x14ac:dyDescent="0.2">
      <c r="A1260" s="19" t="s">
        <v>152</v>
      </c>
      <c r="B1260" s="19">
        <v>540.048</v>
      </c>
      <c r="C1260" s="19">
        <v>3</v>
      </c>
      <c r="D1260" s="19">
        <v>-47.254199999999997</v>
      </c>
    </row>
    <row r="1261" spans="1:4" x14ac:dyDescent="0.2">
      <c r="A1261" s="19" t="s">
        <v>152</v>
      </c>
      <c r="B1261" s="19">
        <v>255.68000000000004</v>
      </c>
      <c r="C1261" s="19">
        <v>8</v>
      </c>
      <c r="D1261" s="19">
        <v>76.704000000000008</v>
      </c>
    </row>
    <row r="1262" spans="1:4" x14ac:dyDescent="0.2">
      <c r="A1262" s="19" t="s">
        <v>151</v>
      </c>
      <c r="B1262" s="19">
        <v>863.87999999999988</v>
      </c>
      <c r="C1262" s="19">
        <v>3</v>
      </c>
      <c r="D1262" s="19">
        <v>107.98499999999996</v>
      </c>
    </row>
    <row r="1263" spans="1:4" x14ac:dyDescent="0.2">
      <c r="A1263" s="19" t="s">
        <v>152</v>
      </c>
      <c r="B1263" s="19">
        <v>17.616000000000003</v>
      </c>
      <c r="C1263" s="19">
        <v>4</v>
      </c>
      <c r="D1263" s="19">
        <v>-14.0928</v>
      </c>
    </row>
    <row r="1264" spans="1:4" x14ac:dyDescent="0.2">
      <c r="A1264" s="19" t="s">
        <v>164</v>
      </c>
      <c r="B1264" s="19">
        <v>17.472000000000001</v>
      </c>
      <c r="C1264" s="19">
        <v>3</v>
      </c>
      <c r="D1264" s="19">
        <v>6.3336000000000006</v>
      </c>
    </row>
    <row r="1265" spans="1:4" x14ac:dyDescent="0.2">
      <c r="A1265" s="19" t="s">
        <v>163</v>
      </c>
      <c r="B1265" s="19">
        <v>69.900000000000006</v>
      </c>
      <c r="C1265" s="19">
        <v>2</v>
      </c>
      <c r="D1265" s="19">
        <v>18.873000000000005</v>
      </c>
    </row>
    <row r="1266" spans="1:4" x14ac:dyDescent="0.2">
      <c r="A1266" s="19" t="s">
        <v>163</v>
      </c>
      <c r="B1266" s="19">
        <v>41.849999999999994</v>
      </c>
      <c r="C1266" s="19">
        <v>5</v>
      </c>
      <c r="D1266" s="19">
        <v>10.880999999999998</v>
      </c>
    </row>
    <row r="1267" spans="1:4" x14ac:dyDescent="0.2">
      <c r="A1267" s="19" t="s">
        <v>150</v>
      </c>
      <c r="B1267" s="19">
        <v>6.57</v>
      </c>
      <c r="C1267" s="19">
        <v>3</v>
      </c>
      <c r="D1267" s="19">
        <v>1.7738999999999998</v>
      </c>
    </row>
    <row r="1268" spans="1:4" x14ac:dyDescent="0.2">
      <c r="A1268" s="19" t="s">
        <v>150</v>
      </c>
      <c r="B1268" s="19">
        <v>142.86000000000001</v>
      </c>
      <c r="C1268" s="19">
        <v>1</v>
      </c>
      <c r="D1268" s="19">
        <v>41.429399999999987</v>
      </c>
    </row>
    <row r="1269" spans="1:4" x14ac:dyDescent="0.2">
      <c r="A1269" s="19" t="s">
        <v>150</v>
      </c>
      <c r="B1269" s="19">
        <v>292.27200000000005</v>
      </c>
      <c r="C1269" s="19">
        <v>6</v>
      </c>
      <c r="D1269" s="19">
        <v>18.266999999999967</v>
      </c>
    </row>
    <row r="1270" spans="1:4" x14ac:dyDescent="0.2">
      <c r="A1270" s="19" t="s">
        <v>171</v>
      </c>
      <c r="B1270" s="19">
        <v>29.328000000000003</v>
      </c>
      <c r="C1270" s="19">
        <v>3</v>
      </c>
      <c r="D1270" s="19">
        <v>3.665999999999995</v>
      </c>
    </row>
    <row r="1271" spans="1:4" x14ac:dyDescent="0.2">
      <c r="A1271" s="19" t="s">
        <v>168</v>
      </c>
      <c r="B1271" s="19">
        <v>12.48</v>
      </c>
      <c r="C1271" s="19">
        <v>2</v>
      </c>
      <c r="D1271" s="19">
        <v>5.6159999999999997</v>
      </c>
    </row>
    <row r="1272" spans="1:4" x14ac:dyDescent="0.2">
      <c r="A1272" s="19" t="s">
        <v>159</v>
      </c>
      <c r="B1272" s="19">
        <v>102.33600000000001</v>
      </c>
      <c r="C1272" s="19">
        <v>4</v>
      </c>
      <c r="D1272" s="19">
        <v>-12.792000000000002</v>
      </c>
    </row>
    <row r="1273" spans="1:4" x14ac:dyDescent="0.2">
      <c r="A1273" s="19" t="s">
        <v>159</v>
      </c>
      <c r="B1273" s="19">
        <v>48.791999999999987</v>
      </c>
      <c r="C1273" s="19">
        <v>3</v>
      </c>
      <c r="D1273" s="19">
        <v>-126.85920000000002</v>
      </c>
    </row>
    <row r="1274" spans="1:4" x14ac:dyDescent="0.2">
      <c r="A1274" s="19" t="s">
        <v>159</v>
      </c>
      <c r="B1274" s="19">
        <v>44.847999999999992</v>
      </c>
      <c r="C1274" s="19">
        <v>8</v>
      </c>
      <c r="D1274" s="19">
        <v>-67.27200000000002</v>
      </c>
    </row>
    <row r="1275" spans="1:4" x14ac:dyDescent="0.2">
      <c r="A1275" s="19" t="s">
        <v>154</v>
      </c>
      <c r="B1275" s="19">
        <v>10.368000000000002</v>
      </c>
      <c r="C1275" s="19">
        <v>2</v>
      </c>
      <c r="D1275" s="19">
        <v>3.6288</v>
      </c>
    </row>
    <row r="1276" spans="1:4" x14ac:dyDescent="0.2">
      <c r="A1276" s="19" t="s">
        <v>154</v>
      </c>
      <c r="B1276" s="19">
        <v>388.42999999999995</v>
      </c>
      <c r="C1276" s="19">
        <v>5</v>
      </c>
      <c r="D1276" s="19">
        <v>-88.783999999999978</v>
      </c>
    </row>
    <row r="1277" spans="1:4" x14ac:dyDescent="0.2">
      <c r="A1277" s="19" t="s">
        <v>154</v>
      </c>
      <c r="B1277" s="19">
        <v>14.352000000000002</v>
      </c>
      <c r="C1277" s="19">
        <v>3</v>
      </c>
      <c r="D1277" s="19">
        <v>5.2026000000000003</v>
      </c>
    </row>
    <row r="1278" spans="1:4" x14ac:dyDescent="0.2">
      <c r="A1278" s="19" t="s">
        <v>154</v>
      </c>
      <c r="B1278" s="19">
        <v>63.991999999999997</v>
      </c>
      <c r="C1278" s="19">
        <v>1</v>
      </c>
      <c r="D1278" s="19">
        <v>-7.1990999999999961</v>
      </c>
    </row>
    <row r="1279" spans="1:4" x14ac:dyDescent="0.2">
      <c r="A1279" s="19" t="s">
        <v>154</v>
      </c>
      <c r="B1279" s="19">
        <v>86.352000000000004</v>
      </c>
      <c r="C1279" s="19">
        <v>3</v>
      </c>
      <c r="D1279" s="19">
        <v>5.3969999999999914</v>
      </c>
    </row>
    <row r="1280" spans="1:4" x14ac:dyDescent="0.2">
      <c r="A1280" s="19" t="s">
        <v>101</v>
      </c>
      <c r="B1280" s="19">
        <v>32.97</v>
      </c>
      <c r="C1280" s="19">
        <v>3</v>
      </c>
      <c r="D1280" s="19">
        <v>12.8583</v>
      </c>
    </row>
    <row r="1281" spans="1:4" x14ac:dyDescent="0.2">
      <c r="A1281" s="19" t="s">
        <v>101</v>
      </c>
      <c r="B1281" s="19">
        <v>83.88</v>
      </c>
      <c r="C1281" s="19">
        <v>4</v>
      </c>
      <c r="D1281" s="19">
        <v>30.196799999999996</v>
      </c>
    </row>
    <row r="1282" spans="1:4" x14ac:dyDescent="0.2">
      <c r="A1282" s="19" t="s">
        <v>172</v>
      </c>
      <c r="B1282" s="19">
        <v>278.39999999999998</v>
      </c>
      <c r="C1282" s="19">
        <v>3</v>
      </c>
      <c r="D1282" s="19">
        <v>80.735999999999976</v>
      </c>
    </row>
    <row r="1283" spans="1:4" x14ac:dyDescent="0.2">
      <c r="A1283" s="19" t="s">
        <v>151</v>
      </c>
      <c r="B1283" s="19">
        <v>15.120000000000001</v>
      </c>
      <c r="C1283" s="19">
        <v>3</v>
      </c>
      <c r="D1283" s="19">
        <v>4.9139999999999988</v>
      </c>
    </row>
    <row r="1284" spans="1:4" x14ac:dyDescent="0.2">
      <c r="A1284" s="19" t="s">
        <v>151</v>
      </c>
      <c r="B1284" s="19">
        <v>17.430000000000003</v>
      </c>
      <c r="C1284" s="19">
        <v>1</v>
      </c>
      <c r="D1284" s="19">
        <v>-13.363000000000003</v>
      </c>
    </row>
    <row r="1285" spans="1:4" x14ac:dyDescent="0.2">
      <c r="A1285" s="19" t="s">
        <v>151</v>
      </c>
      <c r="B1285" s="19">
        <v>251.64</v>
      </c>
      <c r="C1285" s="19">
        <v>3</v>
      </c>
      <c r="D1285" s="19">
        <v>88.073999999999984</v>
      </c>
    </row>
    <row r="1286" spans="1:4" x14ac:dyDescent="0.2">
      <c r="A1286" s="19" t="s">
        <v>154</v>
      </c>
      <c r="B1286" s="19">
        <v>2.7719999999999994</v>
      </c>
      <c r="C1286" s="19">
        <v>7</v>
      </c>
      <c r="D1286" s="19">
        <v>-4.8510000000000009</v>
      </c>
    </row>
    <row r="1287" spans="1:4" x14ac:dyDescent="0.2">
      <c r="A1287" s="19" t="s">
        <v>182</v>
      </c>
      <c r="B1287" s="19">
        <v>14.9</v>
      </c>
      <c r="C1287" s="19">
        <v>5</v>
      </c>
      <c r="D1287" s="19">
        <v>1.0429999999999984</v>
      </c>
    </row>
    <row r="1288" spans="1:4" x14ac:dyDescent="0.2">
      <c r="A1288" s="19" t="s">
        <v>164</v>
      </c>
      <c r="B1288" s="19">
        <v>15.48</v>
      </c>
      <c r="C1288" s="19">
        <v>3</v>
      </c>
      <c r="D1288" s="19">
        <v>4.4891999999999985</v>
      </c>
    </row>
    <row r="1289" spans="1:4" x14ac:dyDescent="0.2">
      <c r="A1289" s="19" t="s">
        <v>164</v>
      </c>
      <c r="B1289" s="19">
        <v>39.880000000000003</v>
      </c>
      <c r="C1289" s="19">
        <v>2</v>
      </c>
      <c r="D1289" s="19">
        <v>11.166400000000003</v>
      </c>
    </row>
    <row r="1290" spans="1:4" x14ac:dyDescent="0.2">
      <c r="A1290" s="19" t="s">
        <v>164</v>
      </c>
      <c r="B1290" s="19">
        <v>12.192</v>
      </c>
      <c r="C1290" s="19">
        <v>4</v>
      </c>
      <c r="D1290" s="19">
        <v>4.1147999999999989</v>
      </c>
    </row>
    <row r="1291" spans="1:4" x14ac:dyDescent="0.2">
      <c r="A1291" s="19" t="s">
        <v>164</v>
      </c>
      <c r="B1291" s="19">
        <v>20.82</v>
      </c>
      <c r="C1291" s="19">
        <v>3</v>
      </c>
      <c r="D1291" s="19">
        <v>7.4952000000000005</v>
      </c>
    </row>
    <row r="1292" spans="1:4" x14ac:dyDescent="0.2">
      <c r="A1292" s="19" t="s">
        <v>150</v>
      </c>
      <c r="B1292" s="19">
        <v>13.216000000000001</v>
      </c>
      <c r="C1292" s="19">
        <v>4</v>
      </c>
      <c r="D1292" s="19">
        <v>4.4603999999999999</v>
      </c>
    </row>
    <row r="1293" spans="1:4" x14ac:dyDescent="0.2">
      <c r="A1293" s="19" t="s">
        <v>150</v>
      </c>
      <c r="B1293" s="19">
        <v>32.400000000000006</v>
      </c>
      <c r="C1293" s="19">
        <v>5</v>
      </c>
      <c r="D1293" s="19">
        <v>15.552000000000001</v>
      </c>
    </row>
    <row r="1294" spans="1:4" x14ac:dyDescent="0.2">
      <c r="A1294" s="19" t="s">
        <v>150</v>
      </c>
      <c r="B1294" s="19">
        <v>32.94</v>
      </c>
      <c r="C1294" s="19">
        <v>3</v>
      </c>
      <c r="D1294" s="19">
        <v>9.2232000000000021</v>
      </c>
    </row>
    <row r="1295" spans="1:4" x14ac:dyDescent="0.2">
      <c r="A1295" s="19" t="s">
        <v>150</v>
      </c>
      <c r="B1295" s="19">
        <v>114.2</v>
      </c>
      <c r="C1295" s="19">
        <v>5</v>
      </c>
      <c r="D1295" s="19">
        <v>52.531999999999996</v>
      </c>
    </row>
    <row r="1296" spans="1:4" x14ac:dyDescent="0.2">
      <c r="A1296" s="19" t="s">
        <v>150</v>
      </c>
      <c r="B1296" s="19">
        <v>3.08</v>
      </c>
      <c r="C1296" s="19">
        <v>1</v>
      </c>
      <c r="D1296" s="19">
        <v>1.4783999999999999</v>
      </c>
    </row>
    <row r="1297" spans="1:4" x14ac:dyDescent="0.2">
      <c r="A1297" s="19" t="s">
        <v>171</v>
      </c>
      <c r="B1297" s="19">
        <v>845.72799999999995</v>
      </c>
      <c r="C1297" s="19">
        <v>13</v>
      </c>
      <c r="D1297" s="19">
        <v>84.572799999999944</v>
      </c>
    </row>
    <row r="1298" spans="1:4" x14ac:dyDescent="0.2">
      <c r="A1298" s="19" t="s">
        <v>150</v>
      </c>
      <c r="B1298" s="19">
        <v>13.904</v>
      </c>
      <c r="C1298" s="19">
        <v>2</v>
      </c>
      <c r="D1298" s="19">
        <v>4.5187999999999997</v>
      </c>
    </row>
    <row r="1299" spans="1:4" x14ac:dyDescent="0.2">
      <c r="A1299" s="19" t="s">
        <v>150</v>
      </c>
      <c r="B1299" s="19">
        <v>20.72</v>
      </c>
      <c r="C1299" s="19">
        <v>2</v>
      </c>
      <c r="D1299" s="19">
        <v>6.4749999999999979</v>
      </c>
    </row>
    <row r="1300" spans="1:4" x14ac:dyDescent="0.2">
      <c r="A1300" s="19" t="s">
        <v>160</v>
      </c>
      <c r="B1300" s="19">
        <v>114.94999999999999</v>
      </c>
      <c r="C1300" s="19">
        <v>5</v>
      </c>
      <c r="D1300" s="19">
        <v>2.2990000000000066</v>
      </c>
    </row>
    <row r="1301" spans="1:4" x14ac:dyDescent="0.2">
      <c r="A1301" s="19" t="s">
        <v>150</v>
      </c>
      <c r="B1301" s="19">
        <v>26.96</v>
      </c>
      <c r="C1301" s="19">
        <v>2</v>
      </c>
      <c r="D1301" s="19">
        <v>7.0095999999999989</v>
      </c>
    </row>
    <row r="1302" spans="1:4" x14ac:dyDescent="0.2">
      <c r="A1302" s="19" t="s">
        <v>166</v>
      </c>
      <c r="B1302" s="19">
        <v>572.76</v>
      </c>
      <c r="C1302" s="19">
        <v>6</v>
      </c>
      <c r="D1302" s="19">
        <v>166.10039999999995</v>
      </c>
    </row>
    <row r="1303" spans="1:4" x14ac:dyDescent="0.2">
      <c r="A1303" s="19" t="s">
        <v>166</v>
      </c>
      <c r="B1303" s="19">
        <v>286.38</v>
      </c>
      <c r="C1303" s="19">
        <v>3</v>
      </c>
      <c r="D1303" s="19">
        <v>83.050199999999975</v>
      </c>
    </row>
    <row r="1304" spans="1:4" x14ac:dyDescent="0.2">
      <c r="A1304" s="19" t="s">
        <v>166</v>
      </c>
      <c r="B1304" s="19">
        <v>61.96</v>
      </c>
      <c r="C1304" s="19">
        <v>2</v>
      </c>
      <c r="D1304" s="19">
        <v>4.3371999999999957</v>
      </c>
    </row>
    <row r="1305" spans="1:4" x14ac:dyDescent="0.2">
      <c r="A1305" s="19" t="s">
        <v>101</v>
      </c>
      <c r="B1305" s="19">
        <v>23.99</v>
      </c>
      <c r="C1305" s="19">
        <v>1</v>
      </c>
      <c r="D1305" s="19">
        <v>5.5176999999999978</v>
      </c>
    </row>
    <row r="1306" spans="1:4" x14ac:dyDescent="0.2">
      <c r="A1306" s="19" t="s">
        <v>101</v>
      </c>
      <c r="B1306" s="19">
        <v>287.96999999999997</v>
      </c>
      <c r="C1306" s="19">
        <v>3</v>
      </c>
      <c r="D1306" s="19">
        <v>77.751899999999992</v>
      </c>
    </row>
    <row r="1307" spans="1:4" x14ac:dyDescent="0.2">
      <c r="A1307" s="19" t="s">
        <v>154</v>
      </c>
      <c r="B1307" s="19">
        <v>419.94399999999996</v>
      </c>
      <c r="C1307" s="19">
        <v>7</v>
      </c>
      <c r="D1307" s="19">
        <v>52.492999999999967</v>
      </c>
    </row>
    <row r="1308" spans="1:4" x14ac:dyDescent="0.2">
      <c r="A1308" s="19" t="s">
        <v>150</v>
      </c>
      <c r="B1308" s="19">
        <v>46.76</v>
      </c>
      <c r="C1308" s="19">
        <v>7</v>
      </c>
      <c r="D1308" s="19">
        <v>22.444800000000001</v>
      </c>
    </row>
    <row r="1309" spans="1:4" x14ac:dyDescent="0.2">
      <c r="A1309" s="19" t="s">
        <v>150</v>
      </c>
      <c r="B1309" s="19">
        <v>17.712</v>
      </c>
      <c r="C1309" s="19">
        <v>3</v>
      </c>
      <c r="D1309" s="19">
        <v>6.4206000000000012</v>
      </c>
    </row>
    <row r="1310" spans="1:4" x14ac:dyDescent="0.2">
      <c r="A1310" s="19" t="s">
        <v>150</v>
      </c>
      <c r="B1310" s="19">
        <v>21.78</v>
      </c>
      <c r="C1310" s="19">
        <v>2</v>
      </c>
      <c r="D1310" s="19">
        <v>5.6628000000000007</v>
      </c>
    </row>
    <row r="1311" spans="1:4" x14ac:dyDescent="0.2">
      <c r="A1311" s="19" t="s">
        <v>150</v>
      </c>
      <c r="B1311" s="19">
        <v>161.94</v>
      </c>
      <c r="C1311" s="19">
        <v>3</v>
      </c>
      <c r="D1311" s="19">
        <v>9.716399999999993</v>
      </c>
    </row>
    <row r="1312" spans="1:4" x14ac:dyDescent="0.2">
      <c r="A1312" s="19" t="s">
        <v>150</v>
      </c>
      <c r="B1312" s="19">
        <v>161.56800000000001</v>
      </c>
      <c r="C1312" s="19">
        <v>2</v>
      </c>
      <c r="D1312" s="19">
        <v>-8.0783999999999949</v>
      </c>
    </row>
    <row r="1313" spans="1:4" x14ac:dyDescent="0.2">
      <c r="A1313" s="19" t="s">
        <v>180</v>
      </c>
      <c r="B1313" s="19">
        <v>3.69</v>
      </c>
      <c r="C1313" s="19">
        <v>1</v>
      </c>
      <c r="D1313" s="19">
        <v>1.7343</v>
      </c>
    </row>
    <row r="1314" spans="1:4" x14ac:dyDescent="0.2">
      <c r="A1314" s="19" t="s">
        <v>180</v>
      </c>
      <c r="B1314" s="19">
        <v>122.12</v>
      </c>
      <c r="C1314" s="19">
        <v>4</v>
      </c>
      <c r="D1314" s="19">
        <v>56.175200000000004</v>
      </c>
    </row>
    <row r="1315" spans="1:4" x14ac:dyDescent="0.2">
      <c r="A1315" s="19" t="s">
        <v>173</v>
      </c>
      <c r="B1315" s="19">
        <v>155.37199999999999</v>
      </c>
      <c r="C1315" s="19">
        <v>2</v>
      </c>
      <c r="D1315" s="19">
        <v>-13.317599999999999</v>
      </c>
    </row>
    <row r="1316" spans="1:4" x14ac:dyDescent="0.2">
      <c r="A1316" s="19" t="s">
        <v>150</v>
      </c>
      <c r="B1316" s="19">
        <v>38.880000000000003</v>
      </c>
      <c r="C1316" s="19">
        <v>6</v>
      </c>
      <c r="D1316" s="19">
        <v>18.662400000000002</v>
      </c>
    </row>
    <row r="1317" spans="1:4" x14ac:dyDescent="0.2">
      <c r="A1317" s="19" t="s">
        <v>150</v>
      </c>
      <c r="B1317" s="19">
        <v>183.84</v>
      </c>
      <c r="C1317" s="19">
        <v>8</v>
      </c>
      <c r="D1317" s="19">
        <v>62.505600000000001</v>
      </c>
    </row>
    <row r="1318" spans="1:4" x14ac:dyDescent="0.2">
      <c r="A1318" s="19" t="s">
        <v>150</v>
      </c>
      <c r="B1318" s="19">
        <v>579.29999999999995</v>
      </c>
      <c r="C1318" s="19">
        <v>5</v>
      </c>
      <c r="D1318" s="19">
        <v>28.964999999999961</v>
      </c>
    </row>
    <row r="1319" spans="1:4" x14ac:dyDescent="0.2">
      <c r="A1319" s="19" t="s">
        <v>158</v>
      </c>
      <c r="B1319" s="19">
        <v>14.200000000000001</v>
      </c>
      <c r="C1319" s="19">
        <v>1</v>
      </c>
      <c r="D1319" s="19">
        <v>3.3724999999999992</v>
      </c>
    </row>
    <row r="1320" spans="1:4" x14ac:dyDescent="0.2">
      <c r="A1320" s="19" t="s">
        <v>151</v>
      </c>
      <c r="B1320" s="19">
        <v>575.91999999999996</v>
      </c>
      <c r="C1320" s="19">
        <v>2</v>
      </c>
      <c r="D1320" s="19">
        <v>71.989999999999981</v>
      </c>
    </row>
    <row r="1321" spans="1:4" x14ac:dyDescent="0.2">
      <c r="A1321" s="19" t="s">
        <v>151</v>
      </c>
      <c r="B1321" s="19">
        <v>5.1840000000000011</v>
      </c>
      <c r="C1321" s="19">
        <v>6</v>
      </c>
      <c r="D1321" s="19">
        <v>-3.6288</v>
      </c>
    </row>
    <row r="1322" spans="1:4" x14ac:dyDescent="0.2">
      <c r="A1322" s="19" t="s">
        <v>173</v>
      </c>
      <c r="B1322" s="19">
        <v>5.2290000000000001</v>
      </c>
      <c r="C1322" s="19">
        <v>3</v>
      </c>
      <c r="D1322" s="19">
        <v>-4.1831999999999976</v>
      </c>
    </row>
    <row r="1323" spans="1:4" x14ac:dyDescent="0.2">
      <c r="A1323" s="19" t="s">
        <v>173</v>
      </c>
      <c r="B1323" s="19">
        <v>285.55200000000002</v>
      </c>
      <c r="C1323" s="19">
        <v>2</v>
      </c>
      <c r="D1323" s="19">
        <v>35.69399999999996</v>
      </c>
    </row>
    <row r="1324" spans="1:4" x14ac:dyDescent="0.2">
      <c r="A1324" s="19" t="s">
        <v>149</v>
      </c>
      <c r="B1324" s="19">
        <v>72.8</v>
      </c>
      <c r="C1324" s="19">
        <v>5</v>
      </c>
      <c r="D1324" s="19">
        <v>19.656000000000002</v>
      </c>
    </row>
    <row r="1325" spans="1:4" x14ac:dyDescent="0.2">
      <c r="A1325" s="19" t="s">
        <v>152</v>
      </c>
      <c r="B1325" s="19">
        <v>10.816000000000001</v>
      </c>
      <c r="C1325" s="19">
        <v>4</v>
      </c>
      <c r="D1325" s="19">
        <v>3.5151999999999988</v>
      </c>
    </row>
    <row r="1326" spans="1:4" x14ac:dyDescent="0.2">
      <c r="A1326" s="19" t="s">
        <v>180</v>
      </c>
      <c r="B1326" s="19">
        <v>46.26</v>
      </c>
      <c r="C1326" s="19">
        <v>3</v>
      </c>
      <c r="D1326" s="19">
        <v>12.490200000000003</v>
      </c>
    </row>
    <row r="1327" spans="1:4" x14ac:dyDescent="0.2">
      <c r="A1327" s="19" t="s">
        <v>159</v>
      </c>
      <c r="B1327" s="19">
        <v>17.459999999999997</v>
      </c>
      <c r="C1327" s="19">
        <v>6</v>
      </c>
      <c r="D1327" s="19">
        <v>-30.555000000000007</v>
      </c>
    </row>
    <row r="1328" spans="1:4" x14ac:dyDescent="0.2">
      <c r="A1328" s="19" t="s">
        <v>158</v>
      </c>
      <c r="B1328" s="19">
        <v>51.072000000000003</v>
      </c>
      <c r="C1328" s="19">
        <v>6</v>
      </c>
      <c r="D1328" s="19">
        <v>5.1072000000000024</v>
      </c>
    </row>
    <row r="1329" spans="1:4" x14ac:dyDescent="0.2">
      <c r="A1329" s="19" t="s">
        <v>178</v>
      </c>
      <c r="B1329" s="19">
        <v>11.34</v>
      </c>
      <c r="C1329" s="19">
        <v>1</v>
      </c>
      <c r="D1329" s="19">
        <v>5.5565999999999995</v>
      </c>
    </row>
    <row r="1330" spans="1:4" x14ac:dyDescent="0.2">
      <c r="A1330" s="19" t="s">
        <v>150</v>
      </c>
      <c r="B1330" s="19">
        <v>87.92</v>
      </c>
      <c r="C1330" s="19">
        <v>4</v>
      </c>
      <c r="D1330" s="19">
        <v>26.375999999999998</v>
      </c>
    </row>
    <row r="1331" spans="1:4" x14ac:dyDescent="0.2">
      <c r="A1331" s="19" t="s">
        <v>150</v>
      </c>
      <c r="B1331" s="19">
        <v>37.049999999999997</v>
      </c>
      <c r="C1331" s="19">
        <v>3</v>
      </c>
      <c r="D1331" s="19">
        <v>16.302</v>
      </c>
    </row>
    <row r="1332" spans="1:4" x14ac:dyDescent="0.2">
      <c r="A1332" s="19" t="s">
        <v>173</v>
      </c>
      <c r="B1332" s="19">
        <v>2.97</v>
      </c>
      <c r="C1332" s="19">
        <v>1</v>
      </c>
      <c r="D1332" s="19">
        <v>-0.64350000000000018</v>
      </c>
    </row>
    <row r="1333" spans="1:4" x14ac:dyDescent="0.2">
      <c r="A1333" s="19" t="s">
        <v>173</v>
      </c>
      <c r="B1333" s="19">
        <v>27.439999999999998</v>
      </c>
      <c r="C1333" s="19">
        <v>2</v>
      </c>
      <c r="D1333" s="19">
        <v>2.4009999999999998</v>
      </c>
    </row>
    <row r="1334" spans="1:4" x14ac:dyDescent="0.2">
      <c r="A1334" s="19" t="s">
        <v>154</v>
      </c>
      <c r="B1334" s="19">
        <v>1.0799999999999998</v>
      </c>
      <c r="C1334" s="19">
        <v>3</v>
      </c>
      <c r="D1334" s="19">
        <v>-1.7280000000000002</v>
      </c>
    </row>
    <row r="1335" spans="1:4" x14ac:dyDescent="0.2">
      <c r="A1335" s="19" t="s">
        <v>154</v>
      </c>
      <c r="B1335" s="19">
        <v>7.9599999999999973</v>
      </c>
      <c r="C1335" s="19">
        <v>2</v>
      </c>
      <c r="D1335" s="19">
        <v>-13.930000000000003</v>
      </c>
    </row>
    <row r="1336" spans="1:4" x14ac:dyDescent="0.2">
      <c r="A1336" s="19" t="s">
        <v>150</v>
      </c>
      <c r="B1336" s="19">
        <v>140.73599999999999</v>
      </c>
      <c r="C1336" s="19">
        <v>8</v>
      </c>
      <c r="D1336" s="19">
        <v>52.775999999999996</v>
      </c>
    </row>
    <row r="1337" spans="1:4" x14ac:dyDescent="0.2">
      <c r="A1337" s="19" t="s">
        <v>178</v>
      </c>
      <c r="B1337" s="19">
        <v>552.55999999999995</v>
      </c>
      <c r="C1337" s="19">
        <v>4</v>
      </c>
      <c r="D1337" s="19">
        <v>0</v>
      </c>
    </row>
    <row r="1338" spans="1:4" x14ac:dyDescent="0.2">
      <c r="A1338" s="19" t="s">
        <v>150</v>
      </c>
      <c r="B1338" s="19">
        <v>25.11</v>
      </c>
      <c r="C1338" s="19">
        <v>3</v>
      </c>
      <c r="D1338" s="19">
        <v>6.5285999999999991</v>
      </c>
    </row>
    <row r="1339" spans="1:4" x14ac:dyDescent="0.2">
      <c r="A1339" s="19" t="s">
        <v>164</v>
      </c>
      <c r="B1339" s="19">
        <v>29.78</v>
      </c>
      <c r="C1339" s="19">
        <v>2</v>
      </c>
      <c r="D1339" s="19">
        <v>8.0406000000000013</v>
      </c>
    </row>
    <row r="1340" spans="1:4" x14ac:dyDescent="0.2">
      <c r="A1340" s="19" t="s">
        <v>164</v>
      </c>
      <c r="B1340" s="19">
        <v>677.58</v>
      </c>
      <c r="C1340" s="19">
        <v>3</v>
      </c>
      <c r="D1340" s="19">
        <v>176.17080000000001</v>
      </c>
    </row>
    <row r="1341" spans="1:4" x14ac:dyDescent="0.2">
      <c r="A1341" s="19" t="s">
        <v>164</v>
      </c>
      <c r="B1341" s="19">
        <v>75.040000000000006</v>
      </c>
      <c r="C1341" s="19">
        <v>8</v>
      </c>
      <c r="D1341" s="19">
        <v>36.019200000000005</v>
      </c>
    </row>
    <row r="1342" spans="1:4" x14ac:dyDescent="0.2">
      <c r="A1342" s="19" t="s">
        <v>152</v>
      </c>
      <c r="B1342" s="19">
        <v>695.7</v>
      </c>
      <c r="C1342" s="19">
        <v>2</v>
      </c>
      <c r="D1342" s="19">
        <v>-27.827999999999975</v>
      </c>
    </row>
    <row r="1343" spans="1:4" x14ac:dyDescent="0.2">
      <c r="A1343" s="19" t="s">
        <v>152</v>
      </c>
      <c r="B1343" s="19">
        <v>15.66</v>
      </c>
      <c r="C1343" s="19">
        <v>5</v>
      </c>
      <c r="D1343" s="19">
        <v>-12.527999999999995</v>
      </c>
    </row>
    <row r="1344" spans="1:4" x14ac:dyDescent="0.2">
      <c r="A1344" s="19" t="s">
        <v>152</v>
      </c>
      <c r="B1344" s="19">
        <v>28.854000000000006</v>
      </c>
      <c r="C1344" s="19">
        <v>6</v>
      </c>
      <c r="D1344" s="19">
        <v>-21.159599999999998</v>
      </c>
    </row>
    <row r="1345" spans="1:4" x14ac:dyDescent="0.2">
      <c r="A1345" s="19" t="s">
        <v>164</v>
      </c>
      <c r="B1345" s="19">
        <v>47.82</v>
      </c>
      <c r="C1345" s="19">
        <v>3</v>
      </c>
      <c r="D1345" s="19">
        <v>14.345999999999995</v>
      </c>
    </row>
    <row r="1346" spans="1:4" x14ac:dyDescent="0.2">
      <c r="A1346" s="19" t="s">
        <v>164</v>
      </c>
      <c r="B1346" s="19">
        <v>13.049999999999999</v>
      </c>
      <c r="C1346" s="19">
        <v>5</v>
      </c>
      <c r="D1346" s="19">
        <v>6.0029999999999992</v>
      </c>
    </row>
    <row r="1347" spans="1:4" x14ac:dyDescent="0.2">
      <c r="A1347" s="19" t="s">
        <v>160</v>
      </c>
      <c r="B1347" s="19">
        <v>93.78</v>
      </c>
      <c r="C1347" s="19">
        <v>2</v>
      </c>
      <c r="D1347" s="19">
        <v>36.574200000000005</v>
      </c>
    </row>
    <row r="1348" spans="1:4" x14ac:dyDescent="0.2">
      <c r="A1348" s="19" t="s">
        <v>160</v>
      </c>
      <c r="B1348" s="19">
        <v>47.18</v>
      </c>
      <c r="C1348" s="19">
        <v>7</v>
      </c>
      <c r="D1348" s="19">
        <v>23.59</v>
      </c>
    </row>
    <row r="1349" spans="1:4" x14ac:dyDescent="0.2">
      <c r="A1349" s="19" t="s">
        <v>160</v>
      </c>
      <c r="B1349" s="19">
        <v>19.68</v>
      </c>
      <c r="C1349" s="19">
        <v>6</v>
      </c>
      <c r="D1349" s="19">
        <v>5.7071999999999976</v>
      </c>
    </row>
    <row r="1350" spans="1:4" x14ac:dyDescent="0.2">
      <c r="A1350" s="19" t="s">
        <v>160</v>
      </c>
      <c r="B1350" s="19">
        <v>53.4</v>
      </c>
      <c r="C1350" s="19">
        <v>10</v>
      </c>
      <c r="D1350" s="19">
        <v>25.097999999999999</v>
      </c>
    </row>
    <row r="1351" spans="1:4" x14ac:dyDescent="0.2">
      <c r="A1351" s="19" t="s">
        <v>160</v>
      </c>
      <c r="B1351" s="19">
        <v>35.880000000000003</v>
      </c>
      <c r="C1351" s="19">
        <v>6</v>
      </c>
      <c r="D1351" s="19">
        <v>17.2224</v>
      </c>
    </row>
    <row r="1352" spans="1:4" x14ac:dyDescent="0.2">
      <c r="A1352" s="19" t="s">
        <v>159</v>
      </c>
      <c r="B1352" s="19">
        <v>258.279</v>
      </c>
      <c r="C1352" s="19">
        <v>3</v>
      </c>
      <c r="D1352" s="19">
        <v>-70.104300000000023</v>
      </c>
    </row>
    <row r="1353" spans="1:4" x14ac:dyDescent="0.2">
      <c r="A1353" s="19" t="s">
        <v>166</v>
      </c>
      <c r="B1353" s="19">
        <v>31.4</v>
      </c>
      <c r="C1353" s="19">
        <v>2</v>
      </c>
      <c r="D1353" s="19">
        <v>7.8500000000000014</v>
      </c>
    </row>
    <row r="1354" spans="1:4" x14ac:dyDescent="0.2">
      <c r="A1354" s="19" t="s">
        <v>150</v>
      </c>
      <c r="B1354" s="19">
        <v>183.96</v>
      </c>
      <c r="C1354" s="19">
        <v>5</v>
      </c>
      <c r="D1354" s="19">
        <v>20.695499999999988</v>
      </c>
    </row>
    <row r="1355" spans="1:4" x14ac:dyDescent="0.2">
      <c r="A1355" s="19" t="s">
        <v>150</v>
      </c>
      <c r="B1355" s="19">
        <v>17.61</v>
      </c>
      <c r="C1355" s="19">
        <v>3</v>
      </c>
      <c r="D1355" s="19">
        <v>8.4527999999999999</v>
      </c>
    </row>
    <row r="1356" spans="1:4" x14ac:dyDescent="0.2">
      <c r="A1356" s="19" t="s">
        <v>150</v>
      </c>
      <c r="B1356" s="19">
        <v>300.904</v>
      </c>
      <c r="C1356" s="19">
        <v>1</v>
      </c>
      <c r="D1356" s="19">
        <v>11.283900000000017</v>
      </c>
    </row>
    <row r="1357" spans="1:4" x14ac:dyDescent="0.2">
      <c r="A1357" s="19" t="s">
        <v>154</v>
      </c>
      <c r="B1357" s="19">
        <v>220.77600000000001</v>
      </c>
      <c r="C1357" s="19">
        <v>3</v>
      </c>
      <c r="D1357" s="19">
        <v>-44.155200000000022</v>
      </c>
    </row>
    <row r="1358" spans="1:4" x14ac:dyDescent="0.2">
      <c r="A1358" s="19" t="s">
        <v>154</v>
      </c>
      <c r="B1358" s="19">
        <v>281.42400000000004</v>
      </c>
      <c r="C1358" s="19">
        <v>11</v>
      </c>
      <c r="D1358" s="19">
        <v>-35.178000000000004</v>
      </c>
    </row>
    <row r="1359" spans="1:4" x14ac:dyDescent="0.2">
      <c r="A1359" s="19" t="s">
        <v>149</v>
      </c>
      <c r="B1359" s="19">
        <v>79.14</v>
      </c>
      <c r="C1359" s="19">
        <v>3</v>
      </c>
      <c r="D1359" s="19">
        <v>36.404399999999995</v>
      </c>
    </row>
    <row r="1360" spans="1:4" x14ac:dyDescent="0.2">
      <c r="A1360" s="19" t="s">
        <v>154</v>
      </c>
      <c r="B1360" s="19">
        <v>1.988</v>
      </c>
      <c r="C1360" s="19">
        <v>1</v>
      </c>
      <c r="D1360" s="19">
        <v>-1.4413</v>
      </c>
    </row>
    <row r="1361" spans="1:4" x14ac:dyDescent="0.2">
      <c r="A1361" s="19" t="s">
        <v>150</v>
      </c>
      <c r="B1361" s="19">
        <v>145.56800000000001</v>
      </c>
      <c r="C1361" s="19">
        <v>2</v>
      </c>
      <c r="D1361" s="19">
        <v>0</v>
      </c>
    </row>
    <row r="1362" spans="1:4" x14ac:dyDescent="0.2">
      <c r="A1362" s="19" t="s">
        <v>158</v>
      </c>
      <c r="B1362" s="19">
        <v>123.256</v>
      </c>
      <c r="C1362" s="19">
        <v>7</v>
      </c>
      <c r="D1362" s="19">
        <v>9.2441999999999993</v>
      </c>
    </row>
    <row r="1363" spans="1:4" x14ac:dyDescent="0.2">
      <c r="A1363" s="19" t="s">
        <v>158</v>
      </c>
      <c r="B1363" s="19">
        <v>23.680000000000003</v>
      </c>
      <c r="C1363" s="19">
        <v>4</v>
      </c>
      <c r="D1363" s="19">
        <v>7.3999999999999995</v>
      </c>
    </row>
    <row r="1364" spans="1:4" x14ac:dyDescent="0.2">
      <c r="A1364" s="19" t="s">
        <v>158</v>
      </c>
      <c r="B1364" s="19">
        <v>309.57600000000002</v>
      </c>
      <c r="C1364" s="19">
        <v>4</v>
      </c>
      <c r="D1364" s="19">
        <v>-56.755600000000015</v>
      </c>
    </row>
    <row r="1365" spans="1:4" x14ac:dyDescent="0.2">
      <c r="A1365" s="19" t="s">
        <v>165</v>
      </c>
      <c r="B1365" s="19">
        <v>38.388000000000005</v>
      </c>
      <c r="C1365" s="19">
        <v>14</v>
      </c>
      <c r="D1365" s="19">
        <v>-25.591999999999999</v>
      </c>
    </row>
    <row r="1366" spans="1:4" x14ac:dyDescent="0.2">
      <c r="A1366" s="19" t="s">
        <v>165</v>
      </c>
      <c r="B1366" s="19">
        <v>95.994000000000014</v>
      </c>
      <c r="C1366" s="19">
        <v>2</v>
      </c>
      <c r="D1366" s="19">
        <v>-63.995999999999981</v>
      </c>
    </row>
    <row r="1367" spans="1:4" x14ac:dyDescent="0.2">
      <c r="A1367" s="19" t="s">
        <v>165</v>
      </c>
      <c r="B1367" s="19">
        <v>239.95200000000003</v>
      </c>
      <c r="C1367" s="19">
        <v>6</v>
      </c>
      <c r="D1367" s="19">
        <v>-35.992800000000038</v>
      </c>
    </row>
    <row r="1368" spans="1:4" x14ac:dyDescent="0.2">
      <c r="A1368" s="19" t="s">
        <v>165</v>
      </c>
      <c r="B1368" s="19">
        <v>201.584</v>
      </c>
      <c r="C1368" s="19">
        <v>2</v>
      </c>
      <c r="D1368" s="19">
        <v>15.118800000000007</v>
      </c>
    </row>
    <row r="1369" spans="1:4" x14ac:dyDescent="0.2">
      <c r="A1369" s="19" t="s">
        <v>165</v>
      </c>
      <c r="B1369" s="19">
        <v>899.13600000000008</v>
      </c>
      <c r="C1369" s="19">
        <v>4</v>
      </c>
      <c r="D1369" s="19">
        <v>-146.10960000000014</v>
      </c>
    </row>
    <row r="1370" spans="1:4" x14ac:dyDescent="0.2">
      <c r="A1370" s="19" t="s">
        <v>150</v>
      </c>
      <c r="B1370" s="19">
        <v>145.9</v>
      </c>
      <c r="C1370" s="19">
        <v>5</v>
      </c>
      <c r="D1370" s="19">
        <v>62.736999999999995</v>
      </c>
    </row>
    <row r="1371" spans="1:4" x14ac:dyDescent="0.2">
      <c r="A1371" s="19" t="s">
        <v>171</v>
      </c>
      <c r="B1371" s="19">
        <v>590.05800000000011</v>
      </c>
      <c r="C1371" s="19">
        <v>7</v>
      </c>
      <c r="D1371" s="19">
        <v>-786.74400000000026</v>
      </c>
    </row>
    <row r="1372" spans="1:4" x14ac:dyDescent="0.2">
      <c r="A1372" s="19" t="s">
        <v>171</v>
      </c>
      <c r="B1372" s="19">
        <v>14.04</v>
      </c>
      <c r="C1372" s="19">
        <v>3</v>
      </c>
      <c r="D1372" s="19">
        <v>1.5794999999999986</v>
      </c>
    </row>
    <row r="1373" spans="1:4" x14ac:dyDescent="0.2">
      <c r="A1373" s="19" t="s">
        <v>187</v>
      </c>
      <c r="B1373" s="19">
        <v>49.08</v>
      </c>
      <c r="C1373" s="19">
        <v>3</v>
      </c>
      <c r="D1373" s="19">
        <v>4.9079999999999977</v>
      </c>
    </row>
    <row r="1374" spans="1:4" x14ac:dyDescent="0.2">
      <c r="A1374" s="19" t="s">
        <v>150</v>
      </c>
      <c r="B1374" s="19">
        <v>29.6</v>
      </c>
      <c r="C1374" s="19">
        <v>2</v>
      </c>
      <c r="D1374" s="19">
        <v>14.8</v>
      </c>
    </row>
    <row r="1375" spans="1:4" x14ac:dyDescent="0.2">
      <c r="A1375" s="19" t="s">
        <v>150</v>
      </c>
      <c r="B1375" s="19">
        <v>17.088000000000001</v>
      </c>
      <c r="C1375" s="19">
        <v>4</v>
      </c>
      <c r="D1375" s="19">
        <v>5.5535999999999994</v>
      </c>
    </row>
    <row r="1376" spans="1:4" x14ac:dyDescent="0.2">
      <c r="A1376" s="19" t="s">
        <v>156</v>
      </c>
      <c r="B1376" s="19">
        <v>912.75</v>
      </c>
      <c r="C1376" s="19">
        <v>5</v>
      </c>
      <c r="D1376" s="19">
        <v>118.65750000000006</v>
      </c>
    </row>
    <row r="1377" spans="1:4" x14ac:dyDescent="0.2">
      <c r="A1377" s="19" t="s">
        <v>156</v>
      </c>
      <c r="B1377" s="19">
        <v>1089.75</v>
      </c>
      <c r="C1377" s="19">
        <v>3</v>
      </c>
      <c r="D1377" s="19">
        <v>305.13000000000011</v>
      </c>
    </row>
    <row r="1378" spans="1:4" x14ac:dyDescent="0.2">
      <c r="A1378" s="19" t="s">
        <v>156</v>
      </c>
      <c r="B1378" s="19">
        <v>447.84</v>
      </c>
      <c r="C1378" s="19">
        <v>8</v>
      </c>
      <c r="D1378" s="19">
        <v>219.44159999999999</v>
      </c>
    </row>
    <row r="1379" spans="1:4" x14ac:dyDescent="0.2">
      <c r="A1379" s="19" t="s">
        <v>156</v>
      </c>
      <c r="B1379" s="19">
        <v>16.399999999999999</v>
      </c>
      <c r="C1379" s="19">
        <v>5</v>
      </c>
      <c r="D1379" s="19">
        <v>4.2639999999999993</v>
      </c>
    </row>
    <row r="1380" spans="1:4" x14ac:dyDescent="0.2">
      <c r="A1380" s="19" t="s">
        <v>156</v>
      </c>
      <c r="B1380" s="19">
        <v>399.96000000000004</v>
      </c>
      <c r="C1380" s="19">
        <v>5</v>
      </c>
      <c r="D1380" s="19">
        <v>34.996499999999969</v>
      </c>
    </row>
    <row r="1381" spans="1:4" x14ac:dyDescent="0.2">
      <c r="A1381" s="19" t="s">
        <v>156</v>
      </c>
      <c r="B1381" s="19">
        <v>158.9</v>
      </c>
      <c r="C1381" s="19">
        <v>5</v>
      </c>
      <c r="D1381" s="19">
        <v>7.9449999999999932</v>
      </c>
    </row>
    <row r="1382" spans="1:4" x14ac:dyDescent="0.2">
      <c r="A1382" s="19" t="s">
        <v>156</v>
      </c>
      <c r="B1382" s="19">
        <v>13.184000000000001</v>
      </c>
      <c r="C1382" s="19">
        <v>1</v>
      </c>
      <c r="D1382" s="19">
        <v>4.7792000000000003</v>
      </c>
    </row>
    <row r="1383" spans="1:4" x14ac:dyDescent="0.2">
      <c r="A1383" s="19" t="s">
        <v>159</v>
      </c>
      <c r="B1383" s="19">
        <v>83.951999999999998</v>
      </c>
      <c r="C1383" s="19">
        <v>3</v>
      </c>
      <c r="D1383" s="19">
        <v>-90.24839999999999</v>
      </c>
    </row>
    <row r="1384" spans="1:4" x14ac:dyDescent="0.2">
      <c r="A1384" s="19" t="s">
        <v>101</v>
      </c>
      <c r="B1384" s="19">
        <v>80.98</v>
      </c>
      <c r="C1384" s="19">
        <v>1</v>
      </c>
      <c r="D1384" s="19">
        <v>1.6196000000000055</v>
      </c>
    </row>
    <row r="1385" spans="1:4" x14ac:dyDescent="0.2">
      <c r="A1385" s="19" t="s">
        <v>101</v>
      </c>
      <c r="B1385" s="19">
        <v>348.84</v>
      </c>
      <c r="C1385" s="19">
        <v>9</v>
      </c>
      <c r="D1385" s="19">
        <v>170.9316</v>
      </c>
    </row>
    <row r="1386" spans="1:4" x14ac:dyDescent="0.2">
      <c r="A1386" s="19" t="s">
        <v>101</v>
      </c>
      <c r="B1386" s="19">
        <v>9.4499999999999993</v>
      </c>
      <c r="C1386" s="19">
        <v>5</v>
      </c>
      <c r="D1386" s="19">
        <v>0.18900000000000028</v>
      </c>
    </row>
    <row r="1387" spans="1:4" x14ac:dyDescent="0.2">
      <c r="A1387" s="19" t="s">
        <v>101</v>
      </c>
      <c r="B1387" s="19">
        <v>18.84</v>
      </c>
      <c r="C1387" s="19">
        <v>3</v>
      </c>
      <c r="D1387" s="19">
        <v>7.1592000000000002</v>
      </c>
    </row>
    <row r="1388" spans="1:4" x14ac:dyDescent="0.2">
      <c r="A1388" s="19" t="s">
        <v>101</v>
      </c>
      <c r="B1388" s="19">
        <v>239.98</v>
      </c>
      <c r="C1388" s="19">
        <v>2</v>
      </c>
      <c r="D1388" s="19">
        <v>52.795599999999979</v>
      </c>
    </row>
    <row r="1389" spans="1:4" x14ac:dyDescent="0.2">
      <c r="A1389" s="19" t="s">
        <v>101</v>
      </c>
      <c r="B1389" s="19">
        <v>167.96</v>
      </c>
      <c r="C1389" s="19">
        <v>2</v>
      </c>
      <c r="D1389" s="19">
        <v>78.941199999999995</v>
      </c>
    </row>
    <row r="1390" spans="1:4" x14ac:dyDescent="0.2">
      <c r="A1390" s="19" t="s">
        <v>101</v>
      </c>
      <c r="B1390" s="19">
        <v>104.85000000000001</v>
      </c>
      <c r="C1390" s="19">
        <v>3</v>
      </c>
      <c r="D1390" s="19">
        <v>28.309500000000007</v>
      </c>
    </row>
    <row r="1391" spans="1:4" x14ac:dyDescent="0.2">
      <c r="A1391" s="19" t="s">
        <v>101</v>
      </c>
      <c r="B1391" s="19">
        <v>484.83000000000004</v>
      </c>
      <c r="C1391" s="19">
        <v>3</v>
      </c>
      <c r="D1391" s="19">
        <v>126.05580000000002</v>
      </c>
    </row>
    <row r="1392" spans="1:4" x14ac:dyDescent="0.2">
      <c r="A1392" s="19" t="s">
        <v>101</v>
      </c>
      <c r="B1392" s="19">
        <v>122.97</v>
      </c>
      <c r="C1392" s="19">
        <v>3</v>
      </c>
      <c r="D1392" s="19">
        <v>60.255300000000005</v>
      </c>
    </row>
    <row r="1393" spans="1:4" x14ac:dyDescent="0.2">
      <c r="A1393" s="19" t="s">
        <v>101</v>
      </c>
      <c r="B1393" s="19">
        <v>154.44</v>
      </c>
      <c r="C1393" s="19">
        <v>3</v>
      </c>
      <c r="D1393" s="19">
        <v>1.5444000000000031</v>
      </c>
    </row>
    <row r="1394" spans="1:4" x14ac:dyDescent="0.2">
      <c r="A1394" s="19" t="s">
        <v>101</v>
      </c>
      <c r="B1394" s="19">
        <v>342.37</v>
      </c>
      <c r="C1394" s="19">
        <v>7</v>
      </c>
      <c r="D1394" s="19">
        <v>160.91389999999998</v>
      </c>
    </row>
    <row r="1395" spans="1:4" x14ac:dyDescent="0.2">
      <c r="A1395" s="19" t="s">
        <v>152</v>
      </c>
      <c r="B1395" s="19">
        <v>9.5519999999999996</v>
      </c>
      <c r="C1395" s="19">
        <v>3</v>
      </c>
      <c r="D1395" s="19">
        <v>1.5521999999999991</v>
      </c>
    </row>
    <row r="1396" spans="1:4" x14ac:dyDescent="0.2">
      <c r="A1396" s="19" t="s">
        <v>159</v>
      </c>
      <c r="B1396" s="19">
        <v>652.45000000000005</v>
      </c>
      <c r="C1396" s="19">
        <v>5</v>
      </c>
      <c r="D1396" s="19">
        <v>-430.61700000000019</v>
      </c>
    </row>
    <row r="1397" spans="1:4" x14ac:dyDescent="0.2">
      <c r="A1397" s="19" t="s">
        <v>159</v>
      </c>
      <c r="B1397" s="19">
        <v>66.644999999999996</v>
      </c>
      <c r="C1397" s="19">
        <v>3</v>
      </c>
      <c r="D1397" s="19">
        <v>-42.652799999999999</v>
      </c>
    </row>
    <row r="1398" spans="1:4" x14ac:dyDescent="0.2">
      <c r="A1398" s="19" t="s">
        <v>164</v>
      </c>
      <c r="B1398" s="19">
        <v>17.216000000000001</v>
      </c>
      <c r="C1398" s="19">
        <v>4</v>
      </c>
      <c r="D1398" s="19">
        <v>6.025599999999999</v>
      </c>
    </row>
    <row r="1399" spans="1:4" x14ac:dyDescent="0.2">
      <c r="A1399" s="19" t="s">
        <v>164</v>
      </c>
      <c r="B1399" s="19">
        <v>11.56</v>
      </c>
      <c r="C1399" s="19">
        <v>2</v>
      </c>
      <c r="D1399" s="19">
        <v>5.6644000000000005</v>
      </c>
    </row>
    <row r="1400" spans="1:4" x14ac:dyDescent="0.2">
      <c r="A1400" s="19" t="s">
        <v>164</v>
      </c>
      <c r="B1400" s="19">
        <v>88.4</v>
      </c>
      <c r="C1400" s="19">
        <v>4</v>
      </c>
      <c r="D1400" s="19">
        <v>11.492000000000004</v>
      </c>
    </row>
    <row r="1401" spans="1:4" x14ac:dyDescent="0.2">
      <c r="A1401" s="19" t="s">
        <v>164</v>
      </c>
      <c r="B1401" s="19">
        <v>6.48</v>
      </c>
      <c r="C1401" s="19">
        <v>1</v>
      </c>
      <c r="D1401" s="19">
        <v>3.1104000000000003</v>
      </c>
    </row>
    <row r="1402" spans="1:4" x14ac:dyDescent="0.2">
      <c r="A1402" s="19" t="s">
        <v>166</v>
      </c>
      <c r="B1402" s="19">
        <v>21.8</v>
      </c>
      <c r="C1402" s="19">
        <v>2</v>
      </c>
      <c r="D1402" s="19">
        <v>6.104000000000001</v>
      </c>
    </row>
    <row r="1403" spans="1:4" x14ac:dyDescent="0.2">
      <c r="A1403" s="19" t="s">
        <v>166</v>
      </c>
      <c r="B1403" s="19">
        <v>251.79000000000002</v>
      </c>
      <c r="C1403" s="19">
        <v>3</v>
      </c>
      <c r="D1403" s="19">
        <v>118.34129999999999</v>
      </c>
    </row>
    <row r="1404" spans="1:4" x14ac:dyDescent="0.2">
      <c r="A1404" s="19" t="s">
        <v>173</v>
      </c>
      <c r="B1404" s="19">
        <v>205.17599999999999</v>
      </c>
      <c r="C1404" s="19">
        <v>2</v>
      </c>
      <c r="D1404" s="19">
        <v>-58.133199999999988</v>
      </c>
    </row>
    <row r="1405" spans="1:4" x14ac:dyDescent="0.2">
      <c r="A1405" s="19" t="s">
        <v>173</v>
      </c>
      <c r="B1405" s="19">
        <v>419.4</v>
      </c>
      <c r="C1405" s="19">
        <v>5</v>
      </c>
      <c r="D1405" s="19">
        <v>146.79</v>
      </c>
    </row>
    <row r="1406" spans="1:4" x14ac:dyDescent="0.2">
      <c r="A1406" s="19" t="s">
        <v>158</v>
      </c>
      <c r="B1406" s="19">
        <v>10.304000000000002</v>
      </c>
      <c r="C1406" s="19">
        <v>1</v>
      </c>
      <c r="D1406" s="19">
        <v>-2.1896000000000004</v>
      </c>
    </row>
    <row r="1407" spans="1:4" x14ac:dyDescent="0.2">
      <c r="A1407" s="19" t="s">
        <v>158</v>
      </c>
      <c r="B1407" s="19">
        <v>154.76400000000001</v>
      </c>
      <c r="C1407" s="19">
        <v>3</v>
      </c>
      <c r="D1407" s="19">
        <v>-36.11160000000001</v>
      </c>
    </row>
    <row r="1408" spans="1:4" x14ac:dyDescent="0.2">
      <c r="A1408" s="19" t="s">
        <v>158</v>
      </c>
      <c r="B1408" s="19">
        <v>116.78399999999999</v>
      </c>
      <c r="C1408" s="19">
        <v>2</v>
      </c>
      <c r="D1408" s="19">
        <v>21.896999999999991</v>
      </c>
    </row>
    <row r="1409" spans="1:4" x14ac:dyDescent="0.2">
      <c r="A1409" s="19" t="s">
        <v>164</v>
      </c>
      <c r="B1409" s="19">
        <v>75.48</v>
      </c>
      <c r="C1409" s="19">
        <v>2</v>
      </c>
      <c r="D1409" s="19">
        <v>19.6248</v>
      </c>
    </row>
    <row r="1410" spans="1:4" x14ac:dyDescent="0.2">
      <c r="A1410" s="19" t="s">
        <v>164</v>
      </c>
      <c r="B1410" s="19">
        <v>39.979999999999997</v>
      </c>
      <c r="C1410" s="19">
        <v>2</v>
      </c>
      <c r="D1410" s="19">
        <v>9.9949999999999974</v>
      </c>
    </row>
    <row r="1411" spans="1:4" x14ac:dyDescent="0.2">
      <c r="A1411" s="19" t="s">
        <v>165</v>
      </c>
      <c r="B1411" s="19">
        <v>393.16500000000002</v>
      </c>
      <c r="C1411" s="19">
        <v>3</v>
      </c>
      <c r="D1411" s="19">
        <v>-204.44580000000005</v>
      </c>
    </row>
    <row r="1412" spans="1:4" x14ac:dyDescent="0.2">
      <c r="A1412" s="19" t="s">
        <v>154</v>
      </c>
      <c r="B1412" s="19">
        <v>23.680000000000003</v>
      </c>
      <c r="C1412" s="19">
        <v>2</v>
      </c>
      <c r="D1412" s="19">
        <v>8.879999999999999</v>
      </c>
    </row>
    <row r="1413" spans="1:4" x14ac:dyDescent="0.2">
      <c r="A1413" s="19" t="s">
        <v>164</v>
      </c>
      <c r="B1413" s="19">
        <v>408.00599999999997</v>
      </c>
      <c r="C1413" s="19">
        <v>2</v>
      </c>
      <c r="D1413" s="19">
        <v>72.534400000000005</v>
      </c>
    </row>
    <row r="1414" spans="1:4" x14ac:dyDescent="0.2">
      <c r="A1414" s="19" t="s">
        <v>164</v>
      </c>
      <c r="B1414" s="19">
        <v>165.28</v>
      </c>
      <c r="C1414" s="19">
        <v>4</v>
      </c>
      <c r="D1414" s="19">
        <v>14.875200000000007</v>
      </c>
    </row>
    <row r="1415" spans="1:4" x14ac:dyDescent="0.2">
      <c r="A1415" s="19" t="s">
        <v>164</v>
      </c>
      <c r="B1415" s="19">
        <v>334.76800000000003</v>
      </c>
      <c r="C1415" s="19">
        <v>7</v>
      </c>
      <c r="D1415" s="19">
        <v>108.79959999999997</v>
      </c>
    </row>
    <row r="1416" spans="1:4" x14ac:dyDescent="0.2">
      <c r="A1416" s="19" t="s">
        <v>150</v>
      </c>
      <c r="B1416" s="19">
        <v>239.96999999999997</v>
      </c>
      <c r="C1416" s="19">
        <v>3</v>
      </c>
      <c r="D1416" s="19">
        <v>26.39670000000001</v>
      </c>
    </row>
    <row r="1417" spans="1:4" x14ac:dyDescent="0.2">
      <c r="A1417" s="19" t="s">
        <v>150</v>
      </c>
      <c r="B1417" s="19">
        <v>37.74</v>
      </c>
      <c r="C1417" s="19">
        <v>3</v>
      </c>
      <c r="D1417" s="19">
        <v>12.831599999999996</v>
      </c>
    </row>
    <row r="1418" spans="1:4" x14ac:dyDescent="0.2">
      <c r="A1418" s="19" t="s">
        <v>154</v>
      </c>
      <c r="B1418" s="19">
        <v>946.34400000000005</v>
      </c>
      <c r="C1418" s="19">
        <v>7</v>
      </c>
      <c r="D1418" s="19">
        <v>118.29299999999989</v>
      </c>
    </row>
    <row r="1419" spans="1:4" x14ac:dyDescent="0.2">
      <c r="A1419" s="19" t="s">
        <v>154</v>
      </c>
      <c r="B1419" s="19">
        <v>151.20000000000002</v>
      </c>
      <c r="C1419" s="19">
        <v>3</v>
      </c>
      <c r="D1419" s="19">
        <v>32.130000000000003</v>
      </c>
    </row>
    <row r="1420" spans="1:4" x14ac:dyDescent="0.2">
      <c r="A1420" s="19" t="s">
        <v>154</v>
      </c>
      <c r="B1420" s="19">
        <v>4.9280000000000008</v>
      </c>
      <c r="C1420" s="19">
        <v>4</v>
      </c>
      <c r="D1420" s="19">
        <v>-1.4783999999999997</v>
      </c>
    </row>
    <row r="1421" spans="1:4" x14ac:dyDescent="0.2">
      <c r="A1421" s="19" t="s">
        <v>165</v>
      </c>
      <c r="B1421" s="19">
        <v>86.272000000000006</v>
      </c>
      <c r="C1421" s="19">
        <v>4</v>
      </c>
      <c r="D1421" s="19">
        <v>31.273599999999998</v>
      </c>
    </row>
    <row r="1422" spans="1:4" x14ac:dyDescent="0.2">
      <c r="A1422" s="19" t="s">
        <v>165</v>
      </c>
      <c r="B1422" s="19">
        <v>72.588000000000008</v>
      </c>
      <c r="C1422" s="19">
        <v>2</v>
      </c>
      <c r="D1422" s="19">
        <v>-48.391999999999982</v>
      </c>
    </row>
    <row r="1423" spans="1:4" x14ac:dyDescent="0.2">
      <c r="A1423" s="19" t="s">
        <v>165</v>
      </c>
      <c r="B1423" s="19">
        <v>60.672000000000004</v>
      </c>
      <c r="C1423" s="19">
        <v>2</v>
      </c>
      <c r="D1423" s="19">
        <v>14.409600000000003</v>
      </c>
    </row>
    <row r="1424" spans="1:4" x14ac:dyDescent="0.2">
      <c r="A1424" s="19" t="s">
        <v>165</v>
      </c>
      <c r="B1424" s="19">
        <v>77.031000000000006</v>
      </c>
      <c r="C1424" s="19">
        <v>9</v>
      </c>
      <c r="D1424" s="19">
        <v>-59.057100000000005</v>
      </c>
    </row>
    <row r="1425" spans="1:4" x14ac:dyDescent="0.2">
      <c r="A1425" s="19" t="s">
        <v>165</v>
      </c>
      <c r="B1425" s="19">
        <v>119.90400000000001</v>
      </c>
      <c r="C1425" s="19">
        <v>6</v>
      </c>
      <c r="D1425" s="19">
        <v>-1.4988000000000135</v>
      </c>
    </row>
    <row r="1426" spans="1:4" x14ac:dyDescent="0.2">
      <c r="A1426" s="19" t="s">
        <v>165</v>
      </c>
      <c r="B1426" s="19">
        <v>263.96000000000004</v>
      </c>
      <c r="C1426" s="19">
        <v>5</v>
      </c>
      <c r="D1426" s="19">
        <v>23.096500000000006</v>
      </c>
    </row>
    <row r="1427" spans="1:4" x14ac:dyDescent="0.2">
      <c r="A1427" s="19" t="s">
        <v>165</v>
      </c>
      <c r="B1427" s="19">
        <v>363.64800000000002</v>
      </c>
      <c r="C1427" s="19">
        <v>4</v>
      </c>
      <c r="D1427" s="19">
        <v>-86.366400000000027</v>
      </c>
    </row>
    <row r="1428" spans="1:4" x14ac:dyDescent="0.2">
      <c r="A1428" s="19" t="s">
        <v>150</v>
      </c>
      <c r="B1428" s="19">
        <v>9.7280000000000015</v>
      </c>
      <c r="C1428" s="19">
        <v>2</v>
      </c>
      <c r="D1428" s="19">
        <v>3.283199999999999</v>
      </c>
    </row>
    <row r="1429" spans="1:4" x14ac:dyDescent="0.2">
      <c r="A1429" s="19" t="s">
        <v>150</v>
      </c>
      <c r="B1429" s="19">
        <v>14.75</v>
      </c>
      <c r="C1429" s="19">
        <v>5</v>
      </c>
      <c r="D1429" s="19">
        <v>7.08</v>
      </c>
    </row>
    <row r="1430" spans="1:4" x14ac:dyDescent="0.2">
      <c r="A1430" s="19" t="s">
        <v>150</v>
      </c>
      <c r="B1430" s="19">
        <v>29.800000000000004</v>
      </c>
      <c r="C1430" s="19">
        <v>5</v>
      </c>
      <c r="D1430" s="19">
        <v>9.3124999999999982</v>
      </c>
    </row>
    <row r="1431" spans="1:4" x14ac:dyDescent="0.2">
      <c r="A1431" s="19" t="s">
        <v>150</v>
      </c>
      <c r="B1431" s="19">
        <v>427.42</v>
      </c>
      <c r="C1431" s="19">
        <v>14</v>
      </c>
      <c r="D1431" s="19">
        <v>196.61320000000001</v>
      </c>
    </row>
    <row r="1432" spans="1:4" x14ac:dyDescent="0.2">
      <c r="A1432" s="19" t="s">
        <v>173</v>
      </c>
      <c r="B1432" s="19">
        <v>220.75200000000001</v>
      </c>
      <c r="C1432" s="19">
        <v>8</v>
      </c>
      <c r="D1432" s="19">
        <v>-40.47120000000001</v>
      </c>
    </row>
    <row r="1433" spans="1:4" x14ac:dyDescent="0.2">
      <c r="A1433" s="19" t="s">
        <v>168</v>
      </c>
      <c r="B1433" s="19">
        <v>152.76</v>
      </c>
      <c r="C1433" s="19">
        <v>6</v>
      </c>
      <c r="D1433" s="19">
        <v>74.852400000000003</v>
      </c>
    </row>
    <row r="1434" spans="1:4" x14ac:dyDescent="0.2">
      <c r="A1434" s="19" t="s">
        <v>168</v>
      </c>
      <c r="B1434" s="19">
        <v>7.27</v>
      </c>
      <c r="C1434" s="19">
        <v>1</v>
      </c>
      <c r="D1434" s="19">
        <v>1.9629000000000003</v>
      </c>
    </row>
    <row r="1435" spans="1:4" x14ac:dyDescent="0.2">
      <c r="A1435" s="19" t="s">
        <v>168</v>
      </c>
      <c r="B1435" s="19">
        <v>1819.8600000000001</v>
      </c>
      <c r="C1435" s="19">
        <v>14</v>
      </c>
      <c r="D1435" s="19">
        <v>163.78740000000002</v>
      </c>
    </row>
    <row r="1436" spans="1:4" x14ac:dyDescent="0.2">
      <c r="A1436" s="19" t="s">
        <v>153</v>
      </c>
      <c r="B1436" s="19">
        <v>33.9</v>
      </c>
      <c r="C1436" s="19">
        <v>5</v>
      </c>
      <c r="D1436" s="19">
        <v>15.593999999999999</v>
      </c>
    </row>
    <row r="1437" spans="1:4" x14ac:dyDescent="0.2">
      <c r="A1437" s="19" t="s">
        <v>173</v>
      </c>
      <c r="B1437" s="19">
        <v>31.104000000000006</v>
      </c>
      <c r="C1437" s="19">
        <v>6</v>
      </c>
      <c r="D1437" s="19">
        <v>10.8864</v>
      </c>
    </row>
    <row r="1438" spans="1:4" x14ac:dyDescent="0.2">
      <c r="A1438" s="19" t="s">
        <v>173</v>
      </c>
      <c r="B1438" s="19">
        <v>5.2480000000000002</v>
      </c>
      <c r="C1438" s="19">
        <v>2</v>
      </c>
      <c r="D1438" s="19">
        <v>0.59039999999999915</v>
      </c>
    </row>
    <row r="1439" spans="1:4" x14ac:dyDescent="0.2">
      <c r="A1439" s="19" t="s">
        <v>154</v>
      </c>
      <c r="B1439" s="19">
        <v>263.88</v>
      </c>
      <c r="C1439" s="19">
        <v>3</v>
      </c>
      <c r="D1439" s="19">
        <v>42.880500000000012</v>
      </c>
    </row>
    <row r="1440" spans="1:4" x14ac:dyDescent="0.2">
      <c r="A1440" s="19" t="s">
        <v>154</v>
      </c>
      <c r="B1440" s="19">
        <v>2453.4299999999998</v>
      </c>
      <c r="C1440" s="19">
        <v>5</v>
      </c>
      <c r="D1440" s="19">
        <v>-350.4899999999999</v>
      </c>
    </row>
    <row r="1441" spans="1:4" x14ac:dyDescent="0.2">
      <c r="A1441" s="19" t="s">
        <v>182</v>
      </c>
      <c r="B1441" s="19">
        <v>29.700000000000003</v>
      </c>
      <c r="C1441" s="19">
        <v>5</v>
      </c>
      <c r="D1441" s="19">
        <v>13.365</v>
      </c>
    </row>
    <row r="1442" spans="1:4" x14ac:dyDescent="0.2">
      <c r="A1442" s="19" t="s">
        <v>182</v>
      </c>
      <c r="B1442" s="19">
        <v>39.96</v>
      </c>
      <c r="C1442" s="19">
        <v>4</v>
      </c>
      <c r="D1442" s="19">
        <v>17.981999999999999</v>
      </c>
    </row>
    <row r="1443" spans="1:4" x14ac:dyDescent="0.2">
      <c r="A1443" s="19" t="s">
        <v>150</v>
      </c>
      <c r="B1443" s="19">
        <v>36.672000000000004</v>
      </c>
      <c r="C1443" s="19">
        <v>2</v>
      </c>
      <c r="D1443" s="19">
        <v>11.459999999999999</v>
      </c>
    </row>
    <row r="1444" spans="1:4" x14ac:dyDescent="0.2">
      <c r="A1444" s="19" t="s">
        <v>149</v>
      </c>
      <c r="B1444" s="19">
        <v>13.76</v>
      </c>
      <c r="C1444" s="19">
        <v>2</v>
      </c>
      <c r="D1444" s="19">
        <v>6.3295999999999992</v>
      </c>
    </row>
    <row r="1445" spans="1:4" x14ac:dyDescent="0.2">
      <c r="A1445" s="19" t="s">
        <v>171</v>
      </c>
      <c r="B1445" s="19">
        <v>139.42400000000001</v>
      </c>
      <c r="C1445" s="19">
        <v>4</v>
      </c>
      <c r="D1445" s="19">
        <v>17.42799999999999</v>
      </c>
    </row>
    <row r="1446" spans="1:4" x14ac:dyDescent="0.2">
      <c r="A1446" s="19" t="s">
        <v>159</v>
      </c>
      <c r="B1446" s="19">
        <v>1979.9280000000001</v>
      </c>
      <c r="C1446" s="19">
        <v>9</v>
      </c>
      <c r="D1446" s="19">
        <v>148.49459999999993</v>
      </c>
    </row>
    <row r="1447" spans="1:4" x14ac:dyDescent="0.2">
      <c r="A1447" s="19" t="s">
        <v>159</v>
      </c>
      <c r="B1447" s="19">
        <v>164.73599999999999</v>
      </c>
      <c r="C1447" s="19">
        <v>4</v>
      </c>
      <c r="D1447" s="19">
        <v>-39.124799999999993</v>
      </c>
    </row>
    <row r="1448" spans="1:4" x14ac:dyDescent="0.2">
      <c r="A1448" s="19" t="s">
        <v>159</v>
      </c>
      <c r="B1448" s="19">
        <v>470.30199999999996</v>
      </c>
      <c r="C1448" s="19">
        <v>7</v>
      </c>
      <c r="D1448" s="19">
        <v>-87.341800000000035</v>
      </c>
    </row>
    <row r="1449" spans="1:4" x14ac:dyDescent="0.2">
      <c r="A1449" s="19" t="s">
        <v>159</v>
      </c>
      <c r="B1449" s="19">
        <v>47.984000000000002</v>
      </c>
      <c r="C1449" s="19">
        <v>2</v>
      </c>
      <c r="D1449" s="19">
        <v>5.9979999999999922</v>
      </c>
    </row>
    <row r="1450" spans="1:4" x14ac:dyDescent="0.2">
      <c r="A1450" s="19" t="s">
        <v>158</v>
      </c>
      <c r="B1450" s="19">
        <v>2.5020000000000002</v>
      </c>
      <c r="C1450" s="19">
        <v>3</v>
      </c>
      <c r="D1450" s="19">
        <v>-1.7513999999999994</v>
      </c>
    </row>
    <row r="1451" spans="1:4" x14ac:dyDescent="0.2">
      <c r="A1451" s="19" t="s">
        <v>150</v>
      </c>
      <c r="B1451" s="19">
        <v>88.751999999999995</v>
      </c>
      <c r="C1451" s="19">
        <v>3</v>
      </c>
      <c r="D1451" s="19">
        <v>11.093999999999998</v>
      </c>
    </row>
    <row r="1452" spans="1:4" x14ac:dyDescent="0.2">
      <c r="A1452" s="19" t="s">
        <v>165</v>
      </c>
      <c r="B1452" s="19">
        <v>2.0250000000000004</v>
      </c>
      <c r="C1452" s="19">
        <v>1</v>
      </c>
      <c r="D1452" s="19">
        <v>-1.3499999999999996</v>
      </c>
    </row>
    <row r="1453" spans="1:4" x14ac:dyDescent="0.2">
      <c r="A1453" s="19" t="s">
        <v>168</v>
      </c>
      <c r="B1453" s="19">
        <v>70.98</v>
      </c>
      <c r="C1453" s="19">
        <v>7</v>
      </c>
      <c r="D1453" s="19">
        <v>34.780200000000001</v>
      </c>
    </row>
    <row r="1454" spans="1:4" x14ac:dyDescent="0.2">
      <c r="A1454" s="19" t="s">
        <v>168</v>
      </c>
      <c r="B1454" s="19">
        <v>91.679999999999993</v>
      </c>
      <c r="C1454" s="19">
        <v>3</v>
      </c>
      <c r="D1454" s="19">
        <v>45.839999999999996</v>
      </c>
    </row>
    <row r="1455" spans="1:4" x14ac:dyDescent="0.2">
      <c r="A1455" s="19" t="s">
        <v>168</v>
      </c>
      <c r="B1455" s="19">
        <v>33.75</v>
      </c>
      <c r="C1455" s="19">
        <v>5</v>
      </c>
      <c r="D1455" s="19">
        <v>16.875</v>
      </c>
    </row>
    <row r="1456" spans="1:4" x14ac:dyDescent="0.2">
      <c r="A1456" s="19" t="s">
        <v>168</v>
      </c>
      <c r="B1456" s="19">
        <v>3040</v>
      </c>
      <c r="C1456" s="19">
        <v>8</v>
      </c>
      <c r="D1456" s="19">
        <v>1459.2</v>
      </c>
    </row>
    <row r="1457" spans="1:4" x14ac:dyDescent="0.2">
      <c r="A1457" s="19" t="s">
        <v>101</v>
      </c>
      <c r="B1457" s="19">
        <v>91.199999999999989</v>
      </c>
      <c r="C1457" s="19">
        <v>3</v>
      </c>
      <c r="D1457" s="19">
        <v>41.951999999999998</v>
      </c>
    </row>
    <row r="1458" spans="1:4" x14ac:dyDescent="0.2">
      <c r="A1458" s="19" t="s">
        <v>101</v>
      </c>
      <c r="B1458" s="19">
        <v>452.93999999999994</v>
      </c>
      <c r="C1458" s="19">
        <v>3</v>
      </c>
      <c r="D1458" s="19">
        <v>67.940999999999974</v>
      </c>
    </row>
    <row r="1459" spans="1:4" x14ac:dyDescent="0.2">
      <c r="A1459" s="19" t="s">
        <v>180</v>
      </c>
      <c r="B1459" s="19">
        <v>52.199999999999996</v>
      </c>
      <c r="C1459" s="19">
        <v>9</v>
      </c>
      <c r="D1459" s="19">
        <v>23.49</v>
      </c>
    </row>
    <row r="1460" spans="1:4" x14ac:dyDescent="0.2">
      <c r="A1460" s="19" t="s">
        <v>154</v>
      </c>
      <c r="B1460" s="19">
        <v>15.936000000000002</v>
      </c>
      <c r="C1460" s="19">
        <v>4</v>
      </c>
      <c r="D1460" s="19">
        <v>5.1791999999999998</v>
      </c>
    </row>
    <row r="1461" spans="1:4" x14ac:dyDescent="0.2">
      <c r="A1461" s="19" t="s">
        <v>178</v>
      </c>
      <c r="B1461" s="19">
        <v>27.46</v>
      </c>
      <c r="C1461" s="19">
        <v>2</v>
      </c>
      <c r="D1461" s="19">
        <v>9.8856000000000002</v>
      </c>
    </row>
    <row r="1462" spans="1:4" x14ac:dyDescent="0.2">
      <c r="A1462" s="19" t="s">
        <v>153</v>
      </c>
      <c r="B1462" s="19">
        <v>55.424000000000007</v>
      </c>
      <c r="C1462" s="19">
        <v>2</v>
      </c>
      <c r="D1462" s="19">
        <v>19.398399999999995</v>
      </c>
    </row>
    <row r="1463" spans="1:4" x14ac:dyDescent="0.2">
      <c r="A1463" s="19" t="s">
        <v>179</v>
      </c>
      <c r="B1463" s="19">
        <v>244.00599999999997</v>
      </c>
      <c r="C1463" s="19">
        <v>2</v>
      </c>
      <c r="D1463" s="19">
        <v>-31.372200000000007</v>
      </c>
    </row>
    <row r="1464" spans="1:4" x14ac:dyDescent="0.2">
      <c r="A1464" s="19" t="s">
        <v>154</v>
      </c>
      <c r="B1464" s="19">
        <v>159.98400000000001</v>
      </c>
      <c r="C1464" s="19">
        <v>2</v>
      </c>
      <c r="D1464" s="19">
        <v>43.995600000000003</v>
      </c>
    </row>
    <row r="1465" spans="1:4" x14ac:dyDescent="0.2">
      <c r="A1465" s="19" t="s">
        <v>154</v>
      </c>
      <c r="B1465" s="19">
        <v>1024.7159999999999</v>
      </c>
      <c r="C1465" s="19">
        <v>6</v>
      </c>
      <c r="D1465" s="19">
        <v>-29.277599999999893</v>
      </c>
    </row>
    <row r="1466" spans="1:4" x14ac:dyDescent="0.2">
      <c r="A1466" s="19" t="s">
        <v>164</v>
      </c>
      <c r="B1466" s="19">
        <v>3.68</v>
      </c>
      <c r="C1466" s="19">
        <v>2</v>
      </c>
      <c r="D1466" s="19">
        <v>1.8032000000000001</v>
      </c>
    </row>
    <row r="1467" spans="1:4" x14ac:dyDescent="0.2">
      <c r="A1467" s="19" t="s">
        <v>165</v>
      </c>
      <c r="B1467" s="19">
        <v>121.376</v>
      </c>
      <c r="C1467" s="19">
        <v>4</v>
      </c>
      <c r="D1467" s="19">
        <v>-3.0344000000000122</v>
      </c>
    </row>
    <row r="1468" spans="1:4" x14ac:dyDescent="0.2">
      <c r="A1468" s="19" t="s">
        <v>165</v>
      </c>
      <c r="B1468" s="19">
        <v>95.976000000000013</v>
      </c>
      <c r="C1468" s="19">
        <v>3</v>
      </c>
      <c r="D1468" s="19">
        <v>-10.797300000000011</v>
      </c>
    </row>
    <row r="1469" spans="1:4" x14ac:dyDescent="0.2">
      <c r="A1469" s="19" t="s">
        <v>151</v>
      </c>
      <c r="B1469" s="19">
        <v>255.96799999999999</v>
      </c>
      <c r="C1469" s="19">
        <v>4</v>
      </c>
      <c r="D1469" s="19">
        <v>31.995999999999974</v>
      </c>
    </row>
    <row r="1470" spans="1:4" x14ac:dyDescent="0.2">
      <c r="A1470" s="19" t="s">
        <v>161</v>
      </c>
      <c r="B1470" s="19">
        <v>872.94</v>
      </c>
      <c r="C1470" s="19">
        <v>3</v>
      </c>
      <c r="D1470" s="19">
        <v>226.96439999999998</v>
      </c>
    </row>
    <row r="1471" spans="1:4" x14ac:dyDescent="0.2">
      <c r="A1471" s="19" t="s">
        <v>161</v>
      </c>
      <c r="B1471" s="19">
        <v>41.54</v>
      </c>
      <c r="C1471" s="19">
        <v>2</v>
      </c>
      <c r="D1471" s="19">
        <v>19.523799999999998</v>
      </c>
    </row>
    <row r="1472" spans="1:4" x14ac:dyDescent="0.2">
      <c r="A1472" s="19" t="s">
        <v>161</v>
      </c>
      <c r="B1472" s="19">
        <v>12.96</v>
      </c>
      <c r="C1472" s="19">
        <v>2</v>
      </c>
      <c r="D1472" s="19">
        <v>6.2208000000000006</v>
      </c>
    </row>
    <row r="1473" spans="1:4" x14ac:dyDescent="0.2">
      <c r="A1473" s="19" t="s">
        <v>158</v>
      </c>
      <c r="B1473" s="19">
        <v>6.8480000000000008</v>
      </c>
      <c r="C1473" s="19">
        <v>2</v>
      </c>
      <c r="D1473" s="19">
        <v>0.59920000000000018</v>
      </c>
    </row>
    <row r="1474" spans="1:4" x14ac:dyDescent="0.2">
      <c r="A1474" s="19" t="s">
        <v>150</v>
      </c>
      <c r="B1474" s="19">
        <v>8.67</v>
      </c>
      <c r="C1474" s="19">
        <v>3</v>
      </c>
      <c r="D1474" s="19">
        <v>4.0749000000000004</v>
      </c>
    </row>
    <row r="1475" spans="1:4" x14ac:dyDescent="0.2">
      <c r="A1475" s="19" t="s">
        <v>154</v>
      </c>
      <c r="B1475" s="19">
        <v>6.6879999999999997</v>
      </c>
      <c r="C1475" s="19">
        <v>4</v>
      </c>
      <c r="D1475" s="19">
        <v>-4.0127999999999986</v>
      </c>
    </row>
    <row r="1476" spans="1:4" x14ac:dyDescent="0.2">
      <c r="A1476" s="19" t="s">
        <v>164</v>
      </c>
      <c r="B1476" s="19">
        <v>17.28</v>
      </c>
      <c r="C1476" s="19">
        <v>6</v>
      </c>
      <c r="D1476" s="19">
        <v>5.0111999999999997</v>
      </c>
    </row>
    <row r="1477" spans="1:4" x14ac:dyDescent="0.2">
      <c r="A1477" s="19" t="s">
        <v>164</v>
      </c>
      <c r="B1477" s="19">
        <v>17.712</v>
      </c>
      <c r="C1477" s="19">
        <v>3</v>
      </c>
      <c r="D1477" s="19">
        <v>6.4206000000000012</v>
      </c>
    </row>
    <row r="1478" spans="1:4" x14ac:dyDescent="0.2">
      <c r="A1478" s="19" t="s">
        <v>164</v>
      </c>
      <c r="B1478" s="19">
        <v>28.91</v>
      </c>
      <c r="C1478" s="19">
        <v>7</v>
      </c>
      <c r="D1478" s="19">
        <v>13.2986</v>
      </c>
    </row>
    <row r="1479" spans="1:4" x14ac:dyDescent="0.2">
      <c r="A1479" s="19" t="s">
        <v>152</v>
      </c>
      <c r="B1479" s="19">
        <v>52.136000000000003</v>
      </c>
      <c r="C1479" s="19">
        <v>7</v>
      </c>
      <c r="D1479" s="19">
        <v>5.865299999999996</v>
      </c>
    </row>
    <row r="1480" spans="1:4" x14ac:dyDescent="0.2">
      <c r="A1480" s="19" t="s">
        <v>150</v>
      </c>
      <c r="B1480" s="19">
        <v>31.968000000000004</v>
      </c>
      <c r="C1480" s="19">
        <v>4</v>
      </c>
      <c r="D1480" s="19">
        <v>2.3976000000000006</v>
      </c>
    </row>
    <row r="1481" spans="1:4" x14ac:dyDescent="0.2">
      <c r="A1481" s="19" t="s">
        <v>150</v>
      </c>
      <c r="B1481" s="19">
        <v>25.92</v>
      </c>
      <c r="C1481" s="19">
        <v>4</v>
      </c>
      <c r="D1481" s="19">
        <v>12.441600000000001</v>
      </c>
    </row>
    <row r="1482" spans="1:4" x14ac:dyDescent="0.2">
      <c r="A1482" s="19" t="s">
        <v>150</v>
      </c>
      <c r="B1482" s="19">
        <v>40.46</v>
      </c>
      <c r="C1482" s="19">
        <v>7</v>
      </c>
      <c r="D1482" s="19">
        <v>19.825400000000002</v>
      </c>
    </row>
    <row r="1483" spans="1:4" x14ac:dyDescent="0.2">
      <c r="A1483" s="19" t="s">
        <v>150</v>
      </c>
      <c r="B1483" s="19">
        <v>33.869999999999997</v>
      </c>
      <c r="C1483" s="19">
        <v>3</v>
      </c>
      <c r="D1483" s="19">
        <v>8.8061999999999987</v>
      </c>
    </row>
    <row r="1484" spans="1:4" x14ac:dyDescent="0.2">
      <c r="A1484" s="19" t="s">
        <v>167</v>
      </c>
      <c r="B1484" s="19">
        <v>9.7280000000000015</v>
      </c>
      <c r="C1484" s="19">
        <v>2</v>
      </c>
      <c r="D1484" s="19">
        <v>1.702399999999999</v>
      </c>
    </row>
    <row r="1485" spans="1:4" x14ac:dyDescent="0.2">
      <c r="A1485" s="19" t="s">
        <v>167</v>
      </c>
      <c r="B1485" s="19">
        <v>3.4240000000000004</v>
      </c>
      <c r="C1485" s="19">
        <v>1</v>
      </c>
      <c r="D1485" s="19">
        <v>1.0699999999999996</v>
      </c>
    </row>
    <row r="1486" spans="1:4" x14ac:dyDescent="0.2">
      <c r="A1486" s="19" t="s">
        <v>153</v>
      </c>
      <c r="B1486" s="19">
        <v>177</v>
      </c>
      <c r="C1486" s="19">
        <v>3</v>
      </c>
      <c r="D1486" s="19">
        <v>30.089999999999982</v>
      </c>
    </row>
    <row r="1487" spans="1:4" x14ac:dyDescent="0.2">
      <c r="A1487" s="19" t="s">
        <v>164</v>
      </c>
      <c r="B1487" s="19">
        <v>3.76</v>
      </c>
      <c r="C1487" s="19">
        <v>2</v>
      </c>
      <c r="D1487" s="19">
        <v>1.3159999999999998</v>
      </c>
    </row>
    <row r="1488" spans="1:4" x14ac:dyDescent="0.2">
      <c r="A1488" s="19" t="s">
        <v>150</v>
      </c>
      <c r="B1488" s="19">
        <v>1212.848</v>
      </c>
      <c r="C1488" s="19">
        <v>7</v>
      </c>
      <c r="D1488" s="19">
        <v>106.12420000000014</v>
      </c>
    </row>
    <row r="1489" spans="1:4" x14ac:dyDescent="0.2">
      <c r="A1489" s="19" t="s">
        <v>150</v>
      </c>
      <c r="B1489" s="19">
        <v>89.97</v>
      </c>
      <c r="C1489" s="19">
        <v>3</v>
      </c>
      <c r="D1489" s="19">
        <v>37.787400000000005</v>
      </c>
    </row>
    <row r="1490" spans="1:4" x14ac:dyDescent="0.2">
      <c r="A1490" s="19" t="s">
        <v>150</v>
      </c>
      <c r="B1490" s="19">
        <v>42.599999999999994</v>
      </c>
      <c r="C1490" s="19">
        <v>3</v>
      </c>
      <c r="D1490" s="19">
        <v>16.614000000000001</v>
      </c>
    </row>
    <row r="1491" spans="1:4" x14ac:dyDescent="0.2">
      <c r="A1491" s="19" t="s">
        <v>158</v>
      </c>
      <c r="B1491" s="19">
        <v>5.04</v>
      </c>
      <c r="C1491" s="19">
        <v>2</v>
      </c>
      <c r="D1491" s="19">
        <v>1.764</v>
      </c>
    </row>
    <row r="1492" spans="1:4" x14ac:dyDescent="0.2">
      <c r="A1492" s="19" t="s">
        <v>164</v>
      </c>
      <c r="B1492" s="19">
        <v>62.96</v>
      </c>
      <c r="C1492" s="19">
        <v>4</v>
      </c>
      <c r="D1492" s="19">
        <v>28.332000000000001</v>
      </c>
    </row>
    <row r="1493" spans="1:4" x14ac:dyDescent="0.2">
      <c r="A1493" s="19" t="s">
        <v>164</v>
      </c>
      <c r="B1493" s="19">
        <v>5.88</v>
      </c>
      <c r="C1493" s="19">
        <v>1</v>
      </c>
      <c r="D1493" s="19">
        <v>2.8811999999999998</v>
      </c>
    </row>
    <row r="1494" spans="1:4" x14ac:dyDescent="0.2">
      <c r="A1494" s="19" t="s">
        <v>164</v>
      </c>
      <c r="B1494" s="19">
        <v>977.29200000000003</v>
      </c>
      <c r="C1494" s="19">
        <v>6</v>
      </c>
      <c r="D1494" s="19">
        <v>173.74080000000001</v>
      </c>
    </row>
    <row r="1495" spans="1:4" x14ac:dyDescent="0.2">
      <c r="A1495" s="19" t="s">
        <v>153</v>
      </c>
      <c r="B1495" s="19">
        <v>9.64</v>
      </c>
      <c r="C1495" s="19">
        <v>2</v>
      </c>
      <c r="D1495" s="19">
        <v>3.6632000000000007</v>
      </c>
    </row>
    <row r="1496" spans="1:4" x14ac:dyDescent="0.2">
      <c r="A1496" s="19" t="s">
        <v>101</v>
      </c>
      <c r="B1496" s="19">
        <v>40.049999999999997</v>
      </c>
      <c r="C1496" s="19">
        <v>3</v>
      </c>
      <c r="D1496" s="19">
        <v>11.213999999999999</v>
      </c>
    </row>
    <row r="1497" spans="1:4" x14ac:dyDescent="0.2">
      <c r="A1497" s="19" t="s">
        <v>154</v>
      </c>
      <c r="B1497" s="19">
        <v>10.192000000000002</v>
      </c>
      <c r="C1497" s="19">
        <v>7</v>
      </c>
      <c r="D1497" s="19">
        <v>3.1849999999999992</v>
      </c>
    </row>
    <row r="1498" spans="1:4" x14ac:dyDescent="0.2">
      <c r="A1498" s="19" t="s">
        <v>154</v>
      </c>
      <c r="B1498" s="19">
        <v>16.784000000000002</v>
      </c>
      <c r="C1498" s="19">
        <v>1</v>
      </c>
      <c r="D1498" s="19">
        <v>-0.20980000000000043</v>
      </c>
    </row>
    <row r="1499" spans="1:4" x14ac:dyDescent="0.2">
      <c r="A1499" s="19" t="s">
        <v>154</v>
      </c>
      <c r="B1499" s="19">
        <v>13.120000000000001</v>
      </c>
      <c r="C1499" s="19">
        <v>5</v>
      </c>
      <c r="D1499" s="19">
        <v>3.7720000000000002</v>
      </c>
    </row>
    <row r="1500" spans="1:4" x14ac:dyDescent="0.2">
      <c r="A1500" s="19" t="s">
        <v>150</v>
      </c>
      <c r="B1500" s="19">
        <v>18.16</v>
      </c>
      <c r="C1500" s="19">
        <v>5</v>
      </c>
      <c r="D1500" s="19">
        <v>6.5830000000000011</v>
      </c>
    </row>
    <row r="1501" spans="1:4" x14ac:dyDescent="0.2">
      <c r="A1501" s="19" t="s">
        <v>154</v>
      </c>
      <c r="B1501" s="19">
        <v>16.056000000000001</v>
      </c>
      <c r="C1501" s="19">
        <v>3</v>
      </c>
      <c r="D1501" s="19">
        <v>5.8203000000000005</v>
      </c>
    </row>
    <row r="1502" spans="1:4" x14ac:dyDescent="0.2">
      <c r="A1502" s="19" t="s">
        <v>154</v>
      </c>
      <c r="B1502" s="19">
        <v>223.05600000000001</v>
      </c>
      <c r="C1502" s="19">
        <v>9</v>
      </c>
      <c r="D1502" s="19">
        <v>69.704999999999984</v>
      </c>
    </row>
    <row r="1503" spans="1:4" x14ac:dyDescent="0.2">
      <c r="A1503" s="19" t="s">
        <v>154</v>
      </c>
      <c r="B1503" s="19">
        <v>540.048</v>
      </c>
      <c r="C1503" s="19">
        <v>3</v>
      </c>
      <c r="D1503" s="19">
        <v>-47.254199999999997</v>
      </c>
    </row>
    <row r="1504" spans="1:4" x14ac:dyDescent="0.2">
      <c r="A1504" s="19" t="s">
        <v>150</v>
      </c>
      <c r="B1504" s="19">
        <v>33.520000000000003</v>
      </c>
      <c r="C1504" s="19">
        <v>2</v>
      </c>
      <c r="D1504" s="19">
        <v>3.3519999999999985</v>
      </c>
    </row>
    <row r="1505" spans="1:4" x14ac:dyDescent="0.2">
      <c r="A1505" s="19" t="s">
        <v>150</v>
      </c>
      <c r="B1505" s="19">
        <v>9.94</v>
      </c>
      <c r="C1505" s="19">
        <v>2</v>
      </c>
      <c r="D1505" s="19">
        <v>3.0813999999999995</v>
      </c>
    </row>
    <row r="1506" spans="1:4" x14ac:dyDescent="0.2">
      <c r="A1506" s="19" t="s">
        <v>150</v>
      </c>
      <c r="B1506" s="19">
        <v>6.72</v>
      </c>
      <c r="C1506" s="19">
        <v>4</v>
      </c>
      <c r="D1506" s="19">
        <v>3.36</v>
      </c>
    </row>
    <row r="1507" spans="1:4" x14ac:dyDescent="0.2">
      <c r="A1507" s="19" t="s">
        <v>150</v>
      </c>
      <c r="B1507" s="19">
        <v>1004.9760000000001</v>
      </c>
      <c r="C1507" s="19">
        <v>6</v>
      </c>
      <c r="D1507" s="19">
        <v>-175.87080000000009</v>
      </c>
    </row>
    <row r="1508" spans="1:4" x14ac:dyDescent="0.2">
      <c r="A1508" s="19" t="s">
        <v>164</v>
      </c>
      <c r="B1508" s="19">
        <v>17.880000000000003</v>
      </c>
      <c r="C1508" s="19">
        <v>3</v>
      </c>
      <c r="D1508" s="19">
        <v>5.5875000000000004</v>
      </c>
    </row>
    <row r="1509" spans="1:4" x14ac:dyDescent="0.2">
      <c r="A1509" s="19" t="s">
        <v>101</v>
      </c>
      <c r="B1509" s="19">
        <v>396</v>
      </c>
      <c r="C1509" s="19">
        <v>4</v>
      </c>
      <c r="D1509" s="19">
        <v>190.07999999999998</v>
      </c>
    </row>
    <row r="1510" spans="1:4" x14ac:dyDescent="0.2">
      <c r="A1510" s="19" t="s">
        <v>157</v>
      </c>
      <c r="B1510" s="19">
        <v>34.5</v>
      </c>
      <c r="C1510" s="19">
        <v>3</v>
      </c>
      <c r="D1510" s="19">
        <v>15.524999999999999</v>
      </c>
    </row>
    <row r="1511" spans="1:4" x14ac:dyDescent="0.2">
      <c r="A1511" s="19" t="s">
        <v>150</v>
      </c>
      <c r="B1511" s="19">
        <v>8.36</v>
      </c>
      <c r="C1511" s="19">
        <v>2</v>
      </c>
      <c r="D1511" s="19">
        <v>3.0095999999999998</v>
      </c>
    </row>
    <row r="1512" spans="1:4" x14ac:dyDescent="0.2">
      <c r="A1512" s="19" t="s">
        <v>150</v>
      </c>
      <c r="B1512" s="19">
        <v>385.6</v>
      </c>
      <c r="C1512" s="19">
        <v>8</v>
      </c>
      <c r="D1512" s="19">
        <v>111.82399999999996</v>
      </c>
    </row>
    <row r="1513" spans="1:4" x14ac:dyDescent="0.2">
      <c r="A1513" s="19" t="s">
        <v>150</v>
      </c>
      <c r="B1513" s="19">
        <v>35.82</v>
      </c>
      <c r="C1513" s="19">
        <v>9</v>
      </c>
      <c r="D1513" s="19">
        <v>11.820599999999997</v>
      </c>
    </row>
    <row r="1514" spans="1:4" x14ac:dyDescent="0.2">
      <c r="A1514" s="19" t="s">
        <v>154</v>
      </c>
      <c r="B1514" s="19">
        <v>200.06400000000002</v>
      </c>
      <c r="C1514" s="19">
        <v>3</v>
      </c>
      <c r="D1514" s="19">
        <v>12.504000000000005</v>
      </c>
    </row>
    <row r="1515" spans="1:4" x14ac:dyDescent="0.2">
      <c r="A1515" s="19" t="s">
        <v>154</v>
      </c>
      <c r="B1515" s="19">
        <v>21.379999999999995</v>
      </c>
      <c r="C1515" s="19">
        <v>5</v>
      </c>
      <c r="D1515" s="19">
        <v>-33.139000000000003</v>
      </c>
    </row>
    <row r="1516" spans="1:4" x14ac:dyDescent="0.2">
      <c r="A1516" s="19" t="s">
        <v>154</v>
      </c>
      <c r="B1516" s="19">
        <v>6.743999999999998</v>
      </c>
      <c r="C1516" s="19">
        <v>4</v>
      </c>
      <c r="D1516" s="19">
        <v>-11.4648</v>
      </c>
    </row>
    <row r="1517" spans="1:4" x14ac:dyDescent="0.2">
      <c r="A1517" s="19" t="s">
        <v>158</v>
      </c>
      <c r="B1517" s="19">
        <v>63.686</v>
      </c>
      <c r="C1517" s="19">
        <v>1</v>
      </c>
      <c r="D1517" s="19">
        <v>-9.0980000000000025</v>
      </c>
    </row>
    <row r="1518" spans="1:4" x14ac:dyDescent="0.2">
      <c r="A1518" s="19" t="s">
        <v>181</v>
      </c>
      <c r="B1518" s="19">
        <v>1669.6</v>
      </c>
      <c r="C1518" s="19">
        <v>4</v>
      </c>
      <c r="D1518" s="19">
        <v>116.87199999999984</v>
      </c>
    </row>
    <row r="1519" spans="1:4" x14ac:dyDescent="0.2">
      <c r="A1519" s="19" t="s">
        <v>153</v>
      </c>
      <c r="B1519" s="19">
        <v>83.84</v>
      </c>
      <c r="C1519" s="19">
        <v>2</v>
      </c>
      <c r="D1519" s="19">
        <v>27.247999999999998</v>
      </c>
    </row>
    <row r="1520" spans="1:4" x14ac:dyDescent="0.2">
      <c r="A1520" s="19" t="s">
        <v>153</v>
      </c>
      <c r="B1520" s="19">
        <v>13.272000000000002</v>
      </c>
      <c r="C1520" s="19">
        <v>3</v>
      </c>
      <c r="D1520" s="19">
        <v>4.3133999999999997</v>
      </c>
    </row>
    <row r="1521" spans="1:4" x14ac:dyDescent="0.2">
      <c r="A1521" s="19" t="s">
        <v>150</v>
      </c>
      <c r="B1521" s="19">
        <v>21.335999999999999</v>
      </c>
      <c r="C1521" s="19">
        <v>7</v>
      </c>
      <c r="D1521" s="19">
        <v>7.7343000000000011</v>
      </c>
    </row>
    <row r="1522" spans="1:4" x14ac:dyDescent="0.2">
      <c r="A1522" s="19" t="s">
        <v>159</v>
      </c>
      <c r="B1522" s="19">
        <v>16.520000000000003</v>
      </c>
      <c r="C1522" s="19">
        <v>5</v>
      </c>
      <c r="D1522" s="19">
        <v>2.0649999999999986</v>
      </c>
    </row>
    <row r="1523" spans="1:4" x14ac:dyDescent="0.2">
      <c r="A1523" s="19" t="s">
        <v>165</v>
      </c>
      <c r="B1523" s="19">
        <v>206.11199999999997</v>
      </c>
      <c r="C1523" s="19">
        <v>6</v>
      </c>
      <c r="D1523" s="19">
        <v>48.951600000000013</v>
      </c>
    </row>
    <row r="1524" spans="1:4" x14ac:dyDescent="0.2">
      <c r="A1524" s="19" t="s">
        <v>165</v>
      </c>
      <c r="B1524" s="19">
        <v>19.920000000000002</v>
      </c>
      <c r="C1524" s="19">
        <v>5</v>
      </c>
      <c r="D1524" s="19">
        <v>6.7230000000000008</v>
      </c>
    </row>
    <row r="1525" spans="1:4" x14ac:dyDescent="0.2">
      <c r="A1525" s="19" t="s">
        <v>165</v>
      </c>
      <c r="B1525" s="19">
        <v>198.27200000000002</v>
      </c>
      <c r="C1525" s="19">
        <v>8</v>
      </c>
      <c r="D1525" s="19">
        <v>61.959999999999987</v>
      </c>
    </row>
    <row r="1526" spans="1:4" x14ac:dyDescent="0.2">
      <c r="A1526" s="19" t="s">
        <v>165</v>
      </c>
      <c r="B1526" s="19">
        <v>247.10399999999998</v>
      </c>
      <c r="C1526" s="19">
        <v>6</v>
      </c>
      <c r="D1526" s="19">
        <v>-58.68719999999999</v>
      </c>
    </row>
    <row r="1527" spans="1:4" x14ac:dyDescent="0.2">
      <c r="A1527" s="19" t="s">
        <v>165</v>
      </c>
      <c r="B1527" s="19">
        <v>86.304000000000002</v>
      </c>
      <c r="C1527" s="19">
        <v>6</v>
      </c>
      <c r="D1527" s="19">
        <v>9.7091999999999885</v>
      </c>
    </row>
    <row r="1528" spans="1:4" x14ac:dyDescent="0.2">
      <c r="A1528" s="19" t="s">
        <v>158</v>
      </c>
      <c r="B1528" s="19">
        <v>4.16</v>
      </c>
      <c r="C1528" s="19">
        <v>2</v>
      </c>
      <c r="D1528" s="19">
        <v>0.36400000000000032</v>
      </c>
    </row>
    <row r="1529" spans="1:4" x14ac:dyDescent="0.2">
      <c r="A1529" s="19" t="s">
        <v>158</v>
      </c>
      <c r="B1529" s="19">
        <v>11.648000000000001</v>
      </c>
      <c r="C1529" s="19">
        <v>2</v>
      </c>
      <c r="D1529" s="19">
        <v>3.3488000000000011</v>
      </c>
    </row>
    <row r="1530" spans="1:4" x14ac:dyDescent="0.2">
      <c r="A1530" s="19" t="s">
        <v>162</v>
      </c>
      <c r="B1530" s="19">
        <v>26.18</v>
      </c>
      <c r="C1530" s="19">
        <v>7</v>
      </c>
      <c r="D1530" s="19">
        <v>0.5236000000000014</v>
      </c>
    </row>
    <row r="1531" spans="1:4" x14ac:dyDescent="0.2">
      <c r="A1531" s="19" t="s">
        <v>162</v>
      </c>
      <c r="B1531" s="19">
        <v>7.3</v>
      </c>
      <c r="C1531" s="19">
        <v>2</v>
      </c>
      <c r="D1531" s="19">
        <v>3.4309999999999996</v>
      </c>
    </row>
    <row r="1532" spans="1:4" x14ac:dyDescent="0.2">
      <c r="A1532" s="19" t="s">
        <v>151</v>
      </c>
      <c r="B1532" s="19">
        <v>74.352000000000004</v>
      </c>
      <c r="C1532" s="19">
        <v>3</v>
      </c>
      <c r="D1532" s="19">
        <v>23.234999999999992</v>
      </c>
    </row>
    <row r="1533" spans="1:4" x14ac:dyDescent="0.2">
      <c r="A1533" s="19" t="s">
        <v>165</v>
      </c>
      <c r="B1533" s="19">
        <v>10.744</v>
      </c>
      <c r="C1533" s="19">
        <v>1</v>
      </c>
      <c r="D1533" s="19">
        <v>0.80579999999999963</v>
      </c>
    </row>
    <row r="1534" spans="1:4" x14ac:dyDescent="0.2">
      <c r="A1534" s="19" t="s">
        <v>165</v>
      </c>
      <c r="B1534" s="19">
        <v>8.3760000000000012</v>
      </c>
      <c r="C1534" s="19">
        <v>3</v>
      </c>
      <c r="D1534" s="19">
        <v>2.7222</v>
      </c>
    </row>
    <row r="1535" spans="1:4" x14ac:dyDescent="0.2">
      <c r="A1535" s="19" t="s">
        <v>164</v>
      </c>
      <c r="B1535" s="19">
        <v>212.88</v>
      </c>
      <c r="C1535" s="19">
        <v>6</v>
      </c>
      <c r="D1535" s="19">
        <v>0</v>
      </c>
    </row>
    <row r="1536" spans="1:4" x14ac:dyDescent="0.2">
      <c r="A1536" s="19" t="s">
        <v>150</v>
      </c>
      <c r="B1536" s="19">
        <v>203.98299999999998</v>
      </c>
      <c r="C1536" s="19">
        <v>2</v>
      </c>
      <c r="D1536" s="19">
        <v>16.798599999999979</v>
      </c>
    </row>
    <row r="1537" spans="1:4" x14ac:dyDescent="0.2">
      <c r="A1537" s="19" t="s">
        <v>179</v>
      </c>
      <c r="B1537" s="19">
        <v>40.74</v>
      </c>
      <c r="C1537" s="19">
        <v>3</v>
      </c>
      <c r="D1537" s="19">
        <v>0.4073999999999991</v>
      </c>
    </row>
    <row r="1538" spans="1:4" x14ac:dyDescent="0.2">
      <c r="A1538" s="19" t="s">
        <v>179</v>
      </c>
      <c r="B1538" s="19">
        <v>11.67</v>
      </c>
      <c r="C1538" s="19">
        <v>3</v>
      </c>
      <c r="D1538" s="19">
        <v>3.0342000000000002</v>
      </c>
    </row>
    <row r="1539" spans="1:4" x14ac:dyDescent="0.2">
      <c r="A1539" s="19" t="s">
        <v>180</v>
      </c>
      <c r="B1539" s="19">
        <v>39.99</v>
      </c>
      <c r="C1539" s="19">
        <v>1</v>
      </c>
      <c r="D1539" s="19">
        <v>11.597099999999998</v>
      </c>
    </row>
    <row r="1540" spans="1:4" x14ac:dyDescent="0.2">
      <c r="A1540" s="19" t="s">
        <v>180</v>
      </c>
      <c r="B1540" s="19">
        <v>16.28</v>
      </c>
      <c r="C1540" s="19">
        <v>2</v>
      </c>
      <c r="D1540" s="19">
        <v>6.5120000000000005</v>
      </c>
    </row>
    <row r="1541" spans="1:4" x14ac:dyDescent="0.2">
      <c r="A1541" s="19" t="s">
        <v>180</v>
      </c>
      <c r="B1541" s="19">
        <v>782.94</v>
      </c>
      <c r="C1541" s="19">
        <v>3</v>
      </c>
      <c r="D1541" s="19">
        <v>203.56440000000003</v>
      </c>
    </row>
    <row r="1542" spans="1:4" x14ac:dyDescent="0.2">
      <c r="A1542" s="19" t="s">
        <v>180</v>
      </c>
      <c r="B1542" s="19">
        <v>242.48000000000002</v>
      </c>
      <c r="C1542" s="19">
        <v>7</v>
      </c>
      <c r="D1542" s="19">
        <v>116.39039999999999</v>
      </c>
    </row>
    <row r="1543" spans="1:4" x14ac:dyDescent="0.2">
      <c r="A1543" s="19" t="s">
        <v>173</v>
      </c>
      <c r="B1543" s="19">
        <v>8.32</v>
      </c>
      <c r="C1543" s="19">
        <v>5</v>
      </c>
      <c r="D1543" s="19">
        <v>2.2880000000000003</v>
      </c>
    </row>
    <row r="1544" spans="1:4" x14ac:dyDescent="0.2">
      <c r="A1544" s="19" t="s">
        <v>173</v>
      </c>
      <c r="B1544" s="19">
        <v>10.464000000000002</v>
      </c>
      <c r="C1544" s="19">
        <v>6</v>
      </c>
      <c r="D1544" s="19">
        <v>1.7003999999999992</v>
      </c>
    </row>
    <row r="1545" spans="1:4" x14ac:dyDescent="0.2">
      <c r="A1545" s="19" t="s">
        <v>150</v>
      </c>
      <c r="B1545" s="19">
        <v>82.896000000000001</v>
      </c>
      <c r="C1545" s="19">
        <v>3</v>
      </c>
      <c r="D1545" s="19">
        <v>29.0136</v>
      </c>
    </row>
    <row r="1546" spans="1:4" x14ac:dyDescent="0.2">
      <c r="A1546" s="19" t="s">
        <v>150</v>
      </c>
      <c r="B1546" s="19">
        <v>34.24</v>
      </c>
      <c r="C1546" s="19">
        <v>4</v>
      </c>
      <c r="D1546" s="19">
        <v>16.0928</v>
      </c>
    </row>
    <row r="1547" spans="1:4" x14ac:dyDescent="0.2">
      <c r="A1547" s="19" t="s">
        <v>164</v>
      </c>
      <c r="B1547" s="19">
        <v>1573.4880000000001</v>
      </c>
      <c r="C1547" s="19">
        <v>7</v>
      </c>
      <c r="D1547" s="19">
        <v>196.68599999999986</v>
      </c>
    </row>
    <row r="1548" spans="1:4" x14ac:dyDescent="0.2">
      <c r="A1548" s="19" t="s">
        <v>154</v>
      </c>
      <c r="B1548" s="19">
        <v>335.52</v>
      </c>
      <c r="C1548" s="19">
        <v>4</v>
      </c>
      <c r="D1548" s="19">
        <v>117.43199999999999</v>
      </c>
    </row>
    <row r="1549" spans="1:4" x14ac:dyDescent="0.2">
      <c r="A1549" s="19" t="s">
        <v>154</v>
      </c>
      <c r="B1549" s="19">
        <v>23.911999999999995</v>
      </c>
      <c r="C1549" s="19">
        <v>2</v>
      </c>
      <c r="D1549" s="19">
        <v>-40.650400000000019</v>
      </c>
    </row>
    <row r="1550" spans="1:4" x14ac:dyDescent="0.2">
      <c r="A1550" s="19" t="s">
        <v>154</v>
      </c>
      <c r="B1550" s="19">
        <v>27.056000000000001</v>
      </c>
      <c r="C1550" s="19">
        <v>2</v>
      </c>
      <c r="D1550" s="19">
        <v>2.3673999999999991</v>
      </c>
    </row>
    <row r="1551" spans="1:4" x14ac:dyDescent="0.2">
      <c r="A1551" s="19" t="s">
        <v>164</v>
      </c>
      <c r="B1551" s="19">
        <v>559.99200000000008</v>
      </c>
      <c r="C1551" s="19">
        <v>1</v>
      </c>
      <c r="D1551" s="19">
        <v>174.99749999999997</v>
      </c>
    </row>
    <row r="1552" spans="1:4" x14ac:dyDescent="0.2">
      <c r="A1552" s="19" t="s">
        <v>154</v>
      </c>
      <c r="B1552" s="19">
        <v>9.3239999999999981</v>
      </c>
      <c r="C1552" s="19">
        <v>6</v>
      </c>
      <c r="D1552" s="19">
        <v>-24.708599999999997</v>
      </c>
    </row>
    <row r="1553" spans="1:4" x14ac:dyDescent="0.2">
      <c r="A1553" s="19" t="s">
        <v>150</v>
      </c>
      <c r="B1553" s="19">
        <v>111.96</v>
      </c>
      <c r="C1553" s="19">
        <v>2</v>
      </c>
      <c r="D1553" s="19">
        <v>54.860399999999998</v>
      </c>
    </row>
    <row r="1554" spans="1:4" x14ac:dyDescent="0.2">
      <c r="A1554" s="19" t="s">
        <v>155</v>
      </c>
      <c r="B1554" s="19">
        <v>21.560000000000002</v>
      </c>
      <c r="C1554" s="19">
        <v>7</v>
      </c>
      <c r="D1554" s="19">
        <v>10.348799999999999</v>
      </c>
    </row>
    <row r="1555" spans="1:4" x14ac:dyDescent="0.2">
      <c r="A1555" s="19" t="s">
        <v>149</v>
      </c>
      <c r="B1555" s="19">
        <v>124.75</v>
      </c>
      <c r="C1555" s="19">
        <v>5</v>
      </c>
      <c r="D1555" s="19">
        <v>57.384999999999991</v>
      </c>
    </row>
    <row r="1556" spans="1:4" x14ac:dyDescent="0.2">
      <c r="A1556" s="19" t="s">
        <v>153</v>
      </c>
      <c r="B1556" s="19">
        <v>5.28</v>
      </c>
      <c r="C1556" s="19">
        <v>3</v>
      </c>
      <c r="D1556" s="19">
        <v>1.5311999999999999</v>
      </c>
    </row>
    <row r="1557" spans="1:4" x14ac:dyDescent="0.2">
      <c r="A1557" s="19" t="s">
        <v>164</v>
      </c>
      <c r="B1557" s="19">
        <v>91.96</v>
      </c>
      <c r="C1557" s="19">
        <v>4</v>
      </c>
      <c r="D1557" s="19">
        <v>39.5428</v>
      </c>
    </row>
    <row r="1558" spans="1:4" x14ac:dyDescent="0.2">
      <c r="A1558" s="19" t="s">
        <v>158</v>
      </c>
      <c r="B1558" s="19">
        <v>9.3439999999999994</v>
      </c>
      <c r="C1558" s="19">
        <v>1</v>
      </c>
      <c r="D1558" s="19">
        <v>3.504</v>
      </c>
    </row>
    <row r="1559" spans="1:4" x14ac:dyDescent="0.2">
      <c r="A1559" s="19" t="s">
        <v>158</v>
      </c>
      <c r="B1559" s="19">
        <v>79.36</v>
      </c>
      <c r="C1559" s="19">
        <v>5</v>
      </c>
      <c r="D1559" s="19">
        <v>9.919999999999991</v>
      </c>
    </row>
    <row r="1560" spans="1:4" x14ac:dyDescent="0.2">
      <c r="A1560" s="19" t="s">
        <v>153</v>
      </c>
      <c r="B1560" s="19">
        <v>171.96</v>
      </c>
      <c r="C1560" s="19">
        <v>2</v>
      </c>
      <c r="D1560" s="19">
        <v>44.709600000000009</v>
      </c>
    </row>
    <row r="1561" spans="1:4" x14ac:dyDescent="0.2">
      <c r="A1561" s="19" t="s">
        <v>153</v>
      </c>
      <c r="B1561" s="19">
        <v>35.352000000000004</v>
      </c>
      <c r="C1561" s="19">
        <v>9</v>
      </c>
      <c r="D1561" s="19">
        <v>12.815099999999997</v>
      </c>
    </row>
    <row r="1562" spans="1:4" x14ac:dyDescent="0.2">
      <c r="A1562" s="19" t="s">
        <v>150</v>
      </c>
      <c r="B1562" s="19">
        <v>18.899999999999999</v>
      </c>
      <c r="C1562" s="19">
        <v>6</v>
      </c>
      <c r="D1562" s="19">
        <v>9.0719999999999992</v>
      </c>
    </row>
    <row r="1563" spans="1:4" x14ac:dyDescent="0.2">
      <c r="A1563" s="19" t="s">
        <v>153</v>
      </c>
      <c r="B1563" s="19">
        <v>2.78</v>
      </c>
      <c r="C1563" s="19">
        <v>1</v>
      </c>
      <c r="D1563" s="19">
        <v>0.72279999999999989</v>
      </c>
    </row>
    <row r="1564" spans="1:4" x14ac:dyDescent="0.2">
      <c r="A1564" s="19" t="s">
        <v>164</v>
      </c>
      <c r="B1564" s="19">
        <v>1044.6299999999999</v>
      </c>
      <c r="C1564" s="19">
        <v>5</v>
      </c>
      <c r="D1564" s="19">
        <v>-295.97849999999994</v>
      </c>
    </row>
    <row r="1565" spans="1:4" x14ac:dyDescent="0.2">
      <c r="A1565" s="19" t="s">
        <v>158</v>
      </c>
      <c r="B1565" s="19">
        <v>11.352000000000002</v>
      </c>
      <c r="C1565" s="19">
        <v>3</v>
      </c>
      <c r="D1565" s="19">
        <v>4.1151</v>
      </c>
    </row>
    <row r="1566" spans="1:4" x14ac:dyDescent="0.2">
      <c r="A1566" s="19" t="s">
        <v>169</v>
      </c>
      <c r="B1566" s="19">
        <v>354.90000000000003</v>
      </c>
      <c r="C1566" s="19">
        <v>5</v>
      </c>
      <c r="D1566" s="19">
        <v>17.744999999999962</v>
      </c>
    </row>
    <row r="1567" spans="1:4" x14ac:dyDescent="0.2">
      <c r="A1567" s="19" t="s">
        <v>153</v>
      </c>
      <c r="B1567" s="19">
        <v>453.57600000000002</v>
      </c>
      <c r="C1567" s="19">
        <v>3</v>
      </c>
      <c r="D1567" s="19">
        <v>39.687899999999985</v>
      </c>
    </row>
    <row r="1568" spans="1:4" x14ac:dyDescent="0.2">
      <c r="A1568" s="19" t="s">
        <v>154</v>
      </c>
      <c r="B1568" s="19">
        <v>21.48</v>
      </c>
      <c r="C1568" s="19">
        <v>3</v>
      </c>
      <c r="D1568" s="19">
        <v>-0.26850000000000307</v>
      </c>
    </row>
    <row r="1569" spans="1:4" x14ac:dyDescent="0.2">
      <c r="A1569" s="19" t="s">
        <v>154</v>
      </c>
      <c r="B1569" s="19">
        <v>8.7839999999999989</v>
      </c>
      <c r="C1569" s="19">
        <v>4</v>
      </c>
      <c r="D1569" s="19">
        <v>-13.615200000000002</v>
      </c>
    </row>
    <row r="1570" spans="1:4" x14ac:dyDescent="0.2">
      <c r="A1570" s="19" t="s">
        <v>150</v>
      </c>
      <c r="B1570" s="19">
        <v>122.97</v>
      </c>
      <c r="C1570" s="19">
        <v>3</v>
      </c>
      <c r="D1570" s="19">
        <v>60.255300000000005</v>
      </c>
    </row>
    <row r="1571" spans="1:4" x14ac:dyDescent="0.2">
      <c r="A1571" s="19" t="s">
        <v>101</v>
      </c>
      <c r="B1571" s="19">
        <v>12.84</v>
      </c>
      <c r="C1571" s="19">
        <v>3</v>
      </c>
      <c r="D1571" s="19">
        <v>3.7235999999999989</v>
      </c>
    </row>
    <row r="1572" spans="1:4" x14ac:dyDescent="0.2">
      <c r="A1572" s="19" t="s">
        <v>150</v>
      </c>
      <c r="B1572" s="19">
        <v>603.91999999999996</v>
      </c>
      <c r="C1572" s="19">
        <v>5</v>
      </c>
      <c r="D1572" s="19">
        <v>-67.941000000000003</v>
      </c>
    </row>
    <row r="1573" spans="1:4" x14ac:dyDescent="0.2">
      <c r="A1573" s="19" t="s">
        <v>150</v>
      </c>
      <c r="B1573" s="19">
        <v>21.84</v>
      </c>
      <c r="C1573" s="19">
        <v>3</v>
      </c>
      <c r="D1573" s="19">
        <v>10.4832</v>
      </c>
    </row>
    <row r="1574" spans="1:4" x14ac:dyDescent="0.2">
      <c r="A1574" s="19" t="s">
        <v>150</v>
      </c>
      <c r="B1574" s="19">
        <v>29.99</v>
      </c>
      <c r="C1574" s="19">
        <v>1</v>
      </c>
      <c r="D1574" s="19">
        <v>6.2978999999999985</v>
      </c>
    </row>
    <row r="1575" spans="1:4" x14ac:dyDescent="0.2">
      <c r="A1575" s="19" t="s">
        <v>150</v>
      </c>
      <c r="B1575" s="19">
        <v>381.44000000000005</v>
      </c>
      <c r="C1575" s="19">
        <v>2</v>
      </c>
      <c r="D1575" s="19">
        <v>23.839999999999975</v>
      </c>
    </row>
    <row r="1576" spans="1:4" x14ac:dyDescent="0.2">
      <c r="A1576" s="19" t="s">
        <v>154</v>
      </c>
      <c r="B1576" s="19">
        <v>40.68</v>
      </c>
      <c r="C1576" s="19">
        <v>3</v>
      </c>
      <c r="D1576" s="19">
        <v>-9.153000000000004</v>
      </c>
    </row>
    <row r="1577" spans="1:4" x14ac:dyDescent="0.2">
      <c r="A1577" s="19" t="s">
        <v>154</v>
      </c>
      <c r="B1577" s="19">
        <v>763.28</v>
      </c>
      <c r="C1577" s="19">
        <v>5</v>
      </c>
      <c r="D1577" s="19">
        <v>-21.807999999999993</v>
      </c>
    </row>
    <row r="1578" spans="1:4" x14ac:dyDescent="0.2">
      <c r="A1578" s="19" t="s">
        <v>159</v>
      </c>
      <c r="B1578" s="19">
        <v>23.952000000000002</v>
      </c>
      <c r="C1578" s="19">
        <v>2</v>
      </c>
      <c r="D1578" s="19">
        <v>2.3952000000000018</v>
      </c>
    </row>
    <row r="1579" spans="1:4" x14ac:dyDescent="0.2">
      <c r="A1579" s="19" t="s">
        <v>168</v>
      </c>
      <c r="B1579" s="19">
        <v>4.9800000000000004</v>
      </c>
      <c r="C1579" s="19">
        <v>1</v>
      </c>
      <c r="D1579" s="19">
        <v>2.4402000000000004</v>
      </c>
    </row>
    <row r="1580" spans="1:4" x14ac:dyDescent="0.2">
      <c r="A1580" s="19" t="s">
        <v>164</v>
      </c>
      <c r="B1580" s="19">
        <v>170.88</v>
      </c>
      <c r="C1580" s="19">
        <v>3</v>
      </c>
      <c r="D1580" s="19">
        <v>49.555199999999978</v>
      </c>
    </row>
    <row r="1581" spans="1:4" x14ac:dyDescent="0.2">
      <c r="A1581" s="19" t="s">
        <v>164</v>
      </c>
      <c r="B1581" s="19">
        <v>307.98</v>
      </c>
      <c r="C1581" s="19">
        <v>2</v>
      </c>
      <c r="D1581" s="19">
        <v>89.314199999999971</v>
      </c>
    </row>
    <row r="1582" spans="1:4" x14ac:dyDescent="0.2">
      <c r="A1582" s="19" t="s">
        <v>164</v>
      </c>
      <c r="B1582" s="19">
        <v>382.80599999999998</v>
      </c>
      <c r="C1582" s="19">
        <v>9</v>
      </c>
      <c r="D1582" s="19">
        <v>-153.12239999999997</v>
      </c>
    </row>
    <row r="1583" spans="1:4" x14ac:dyDescent="0.2">
      <c r="A1583" s="19" t="s">
        <v>164</v>
      </c>
      <c r="B1583" s="19">
        <v>41.96</v>
      </c>
      <c r="C1583" s="19">
        <v>2</v>
      </c>
      <c r="D1583" s="19">
        <v>2.9371999999999971</v>
      </c>
    </row>
    <row r="1584" spans="1:4" x14ac:dyDescent="0.2">
      <c r="A1584" s="19" t="s">
        <v>164</v>
      </c>
      <c r="B1584" s="19">
        <v>1217.568</v>
      </c>
      <c r="C1584" s="19">
        <v>2</v>
      </c>
      <c r="D1584" s="19">
        <v>456.58800000000002</v>
      </c>
    </row>
    <row r="1585" spans="1:4" x14ac:dyDescent="0.2">
      <c r="A1585" s="19" t="s">
        <v>164</v>
      </c>
      <c r="B1585" s="19">
        <v>47.04</v>
      </c>
      <c r="C1585" s="19">
        <v>3</v>
      </c>
      <c r="D1585" s="19">
        <v>18.345599999999997</v>
      </c>
    </row>
    <row r="1586" spans="1:4" x14ac:dyDescent="0.2">
      <c r="A1586" s="19" t="s">
        <v>164</v>
      </c>
      <c r="B1586" s="19">
        <v>6.16</v>
      </c>
      <c r="C1586" s="19">
        <v>2</v>
      </c>
      <c r="D1586" s="19">
        <v>2.9567999999999999</v>
      </c>
    </row>
    <row r="1587" spans="1:4" x14ac:dyDescent="0.2">
      <c r="A1587" s="19" t="s">
        <v>164</v>
      </c>
      <c r="B1587" s="19">
        <v>979.95</v>
      </c>
      <c r="C1587" s="19">
        <v>5</v>
      </c>
      <c r="D1587" s="19">
        <v>274.38600000000008</v>
      </c>
    </row>
    <row r="1588" spans="1:4" x14ac:dyDescent="0.2">
      <c r="A1588" s="19" t="s">
        <v>164</v>
      </c>
      <c r="B1588" s="19">
        <v>143.69999999999999</v>
      </c>
      <c r="C1588" s="19">
        <v>3</v>
      </c>
      <c r="D1588" s="19">
        <v>68.975999999999999</v>
      </c>
    </row>
    <row r="1589" spans="1:4" x14ac:dyDescent="0.2">
      <c r="A1589" s="19" t="s">
        <v>164</v>
      </c>
      <c r="B1589" s="19">
        <v>10.649999999999999</v>
      </c>
      <c r="C1589" s="19">
        <v>3</v>
      </c>
      <c r="D1589" s="19">
        <v>5.0054999999999996</v>
      </c>
    </row>
    <row r="1590" spans="1:4" x14ac:dyDescent="0.2">
      <c r="A1590" s="19" t="s">
        <v>164</v>
      </c>
      <c r="B1590" s="19">
        <v>247.8</v>
      </c>
      <c r="C1590" s="19">
        <v>4</v>
      </c>
      <c r="D1590" s="19">
        <v>34.692000000000007</v>
      </c>
    </row>
    <row r="1591" spans="1:4" x14ac:dyDescent="0.2">
      <c r="A1591" s="19" t="s">
        <v>166</v>
      </c>
      <c r="B1591" s="19">
        <v>10.96</v>
      </c>
      <c r="C1591" s="19">
        <v>4</v>
      </c>
      <c r="D1591" s="19">
        <v>2.9592000000000009</v>
      </c>
    </row>
    <row r="1592" spans="1:4" x14ac:dyDescent="0.2">
      <c r="A1592" s="19" t="s">
        <v>154</v>
      </c>
      <c r="B1592" s="19">
        <v>33.488000000000007</v>
      </c>
      <c r="C1592" s="19">
        <v>7</v>
      </c>
      <c r="D1592" s="19">
        <v>5.8603999999999967</v>
      </c>
    </row>
    <row r="1593" spans="1:4" x14ac:dyDescent="0.2">
      <c r="A1593" s="19" t="s">
        <v>154</v>
      </c>
      <c r="B1593" s="19">
        <v>8.0399999999999991</v>
      </c>
      <c r="C1593" s="19">
        <v>5</v>
      </c>
      <c r="D1593" s="19">
        <v>2.9144999999999994</v>
      </c>
    </row>
    <row r="1594" spans="1:4" x14ac:dyDescent="0.2">
      <c r="A1594" s="19" t="s">
        <v>153</v>
      </c>
      <c r="B1594" s="19">
        <v>201.56800000000001</v>
      </c>
      <c r="C1594" s="19">
        <v>4</v>
      </c>
      <c r="D1594" s="19">
        <v>22.676399999999994</v>
      </c>
    </row>
    <row r="1595" spans="1:4" x14ac:dyDescent="0.2">
      <c r="A1595" s="19" t="s">
        <v>150</v>
      </c>
      <c r="B1595" s="19">
        <v>13.440000000000001</v>
      </c>
      <c r="C1595" s="19">
        <v>3</v>
      </c>
      <c r="D1595" s="19">
        <v>6.5856000000000012</v>
      </c>
    </row>
    <row r="1596" spans="1:4" x14ac:dyDescent="0.2">
      <c r="A1596" s="19" t="s">
        <v>159</v>
      </c>
      <c r="B1596" s="19">
        <v>359.05799999999994</v>
      </c>
      <c r="C1596" s="19">
        <v>3</v>
      </c>
      <c r="D1596" s="19">
        <v>-35.905799999999999</v>
      </c>
    </row>
    <row r="1597" spans="1:4" x14ac:dyDescent="0.2">
      <c r="A1597" s="19" t="s">
        <v>173</v>
      </c>
      <c r="B1597" s="19">
        <v>47.991999999999997</v>
      </c>
      <c r="C1597" s="19">
        <v>2</v>
      </c>
      <c r="D1597" s="19">
        <v>-2.0567999999999991</v>
      </c>
    </row>
    <row r="1598" spans="1:4" x14ac:dyDescent="0.2">
      <c r="A1598" s="19" t="s">
        <v>164</v>
      </c>
      <c r="B1598" s="19">
        <v>547.30000000000007</v>
      </c>
      <c r="C1598" s="19">
        <v>13</v>
      </c>
      <c r="D1598" s="19">
        <v>175.13599999999997</v>
      </c>
    </row>
    <row r="1599" spans="1:4" x14ac:dyDescent="0.2">
      <c r="A1599" s="19" t="s">
        <v>154</v>
      </c>
      <c r="B1599" s="19">
        <v>16.896000000000001</v>
      </c>
      <c r="C1599" s="19">
        <v>4</v>
      </c>
      <c r="D1599" s="19">
        <v>5.2799999999999994</v>
      </c>
    </row>
    <row r="1600" spans="1:4" x14ac:dyDescent="0.2">
      <c r="A1600" s="19" t="s">
        <v>154</v>
      </c>
      <c r="B1600" s="19">
        <v>6.6720000000000006</v>
      </c>
      <c r="C1600" s="19">
        <v>1</v>
      </c>
      <c r="D1600" s="19">
        <v>0.50039999999999996</v>
      </c>
    </row>
    <row r="1601" spans="1:4" x14ac:dyDescent="0.2">
      <c r="A1601" s="19" t="s">
        <v>154</v>
      </c>
      <c r="B1601" s="19">
        <v>99.13600000000001</v>
      </c>
      <c r="C1601" s="19">
        <v>4</v>
      </c>
      <c r="D1601" s="19">
        <v>8.674399999999995</v>
      </c>
    </row>
    <row r="1602" spans="1:4" x14ac:dyDescent="0.2">
      <c r="A1602" s="19" t="s">
        <v>154</v>
      </c>
      <c r="B1602" s="19">
        <v>15.991999999999999</v>
      </c>
      <c r="C1602" s="19">
        <v>2</v>
      </c>
      <c r="D1602" s="19">
        <v>-13.992999999999999</v>
      </c>
    </row>
    <row r="1603" spans="1:4" x14ac:dyDescent="0.2">
      <c r="A1603" s="19" t="s">
        <v>162</v>
      </c>
      <c r="B1603" s="19">
        <v>211.96</v>
      </c>
      <c r="C1603" s="19">
        <v>2</v>
      </c>
      <c r="D1603" s="19">
        <v>42.391999999999996</v>
      </c>
    </row>
    <row r="1604" spans="1:4" x14ac:dyDescent="0.2">
      <c r="A1604" s="19" t="s">
        <v>167</v>
      </c>
      <c r="B1604" s="19">
        <v>6.6719999999999988</v>
      </c>
      <c r="C1604" s="19">
        <v>3</v>
      </c>
      <c r="D1604" s="19">
        <v>1.6679999999999997</v>
      </c>
    </row>
    <row r="1605" spans="1:4" x14ac:dyDescent="0.2">
      <c r="A1605" s="19" t="s">
        <v>162</v>
      </c>
      <c r="B1605" s="19">
        <v>155.94</v>
      </c>
      <c r="C1605" s="19">
        <v>6</v>
      </c>
      <c r="D1605" s="19">
        <v>45.222599999999993</v>
      </c>
    </row>
    <row r="1606" spans="1:4" x14ac:dyDescent="0.2">
      <c r="A1606" s="19" t="s">
        <v>150</v>
      </c>
      <c r="B1606" s="19">
        <v>39.960000000000008</v>
      </c>
      <c r="C1606" s="19">
        <v>5</v>
      </c>
      <c r="D1606" s="19">
        <v>12.986999999999995</v>
      </c>
    </row>
    <row r="1607" spans="1:4" x14ac:dyDescent="0.2">
      <c r="A1607" s="19" t="s">
        <v>150</v>
      </c>
      <c r="B1607" s="19">
        <v>5.46</v>
      </c>
      <c r="C1607" s="19">
        <v>3</v>
      </c>
      <c r="D1607" s="19">
        <v>1.5288000000000002</v>
      </c>
    </row>
    <row r="1608" spans="1:4" x14ac:dyDescent="0.2">
      <c r="A1608" s="19" t="s">
        <v>150</v>
      </c>
      <c r="B1608" s="19">
        <v>73.2</v>
      </c>
      <c r="C1608" s="19">
        <v>5</v>
      </c>
      <c r="D1608" s="19">
        <v>21.227999999999998</v>
      </c>
    </row>
    <row r="1609" spans="1:4" x14ac:dyDescent="0.2">
      <c r="A1609" s="19" t="s">
        <v>150</v>
      </c>
      <c r="B1609" s="19">
        <v>5.84</v>
      </c>
      <c r="C1609" s="19">
        <v>1</v>
      </c>
      <c r="D1609" s="19">
        <v>1.9709999999999996</v>
      </c>
    </row>
    <row r="1610" spans="1:4" x14ac:dyDescent="0.2">
      <c r="A1610" s="19" t="s">
        <v>150</v>
      </c>
      <c r="B1610" s="19">
        <v>22.72</v>
      </c>
      <c r="C1610" s="19">
        <v>4</v>
      </c>
      <c r="D1610" s="19">
        <v>10.223999999999998</v>
      </c>
    </row>
    <row r="1611" spans="1:4" x14ac:dyDescent="0.2">
      <c r="A1611" s="19" t="s">
        <v>150</v>
      </c>
      <c r="B1611" s="19">
        <v>9.3360000000000003</v>
      </c>
      <c r="C1611" s="19">
        <v>3</v>
      </c>
      <c r="D1611" s="19">
        <v>3.2675999999999994</v>
      </c>
    </row>
    <row r="1612" spans="1:4" x14ac:dyDescent="0.2">
      <c r="A1612" s="19" t="s">
        <v>150</v>
      </c>
      <c r="B1612" s="19">
        <v>290.666</v>
      </c>
      <c r="C1612" s="19">
        <v>2</v>
      </c>
      <c r="D1612" s="19">
        <v>27.356800000000007</v>
      </c>
    </row>
    <row r="1613" spans="1:4" x14ac:dyDescent="0.2">
      <c r="A1613" s="19" t="s">
        <v>150</v>
      </c>
      <c r="B1613" s="19">
        <v>201.584</v>
      </c>
      <c r="C1613" s="19">
        <v>2</v>
      </c>
      <c r="D1613" s="19">
        <v>20.158400000000015</v>
      </c>
    </row>
    <row r="1614" spans="1:4" x14ac:dyDescent="0.2">
      <c r="A1614" s="19" t="s">
        <v>150</v>
      </c>
      <c r="B1614" s="19">
        <v>83.984000000000009</v>
      </c>
      <c r="C1614" s="19">
        <v>2</v>
      </c>
      <c r="D1614" s="19">
        <v>31.494</v>
      </c>
    </row>
    <row r="1615" spans="1:4" x14ac:dyDescent="0.2">
      <c r="A1615" s="19" t="s">
        <v>150</v>
      </c>
      <c r="B1615" s="19">
        <v>1000.0200000000001</v>
      </c>
      <c r="C1615" s="19">
        <v>7</v>
      </c>
      <c r="D1615" s="19">
        <v>290.00579999999991</v>
      </c>
    </row>
    <row r="1616" spans="1:4" x14ac:dyDescent="0.2">
      <c r="A1616" s="19" t="s">
        <v>158</v>
      </c>
      <c r="B1616" s="19">
        <v>83.976000000000013</v>
      </c>
      <c r="C1616" s="19">
        <v>3</v>
      </c>
      <c r="D1616" s="19">
        <v>-13.646100000000001</v>
      </c>
    </row>
    <row r="1617" spans="1:4" x14ac:dyDescent="0.2">
      <c r="A1617" s="19" t="s">
        <v>160</v>
      </c>
      <c r="B1617" s="19">
        <v>3.75</v>
      </c>
      <c r="C1617" s="19">
        <v>1</v>
      </c>
      <c r="D1617" s="19">
        <v>1.7999999999999998</v>
      </c>
    </row>
    <row r="1618" spans="1:4" x14ac:dyDescent="0.2">
      <c r="A1618" s="19" t="s">
        <v>160</v>
      </c>
      <c r="B1618" s="19">
        <v>41.4</v>
      </c>
      <c r="C1618" s="19">
        <v>4</v>
      </c>
      <c r="D1618" s="19">
        <v>19.872</v>
      </c>
    </row>
    <row r="1619" spans="1:4" x14ac:dyDescent="0.2">
      <c r="A1619" s="19" t="s">
        <v>160</v>
      </c>
      <c r="B1619" s="19">
        <v>29.79</v>
      </c>
      <c r="C1619" s="19">
        <v>3</v>
      </c>
      <c r="D1619" s="19">
        <v>12.511800000000001</v>
      </c>
    </row>
    <row r="1620" spans="1:4" x14ac:dyDescent="0.2">
      <c r="A1620" s="19" t="s">
        <v>164</v>
      </c>
      <c r="B1620" s="19">
        <v>59.48</v>
      </c>
      <c r="C1620" s="19">
        <v>2</v>
      </c>
      <c r="D1620" s="19">
        <v>8.9220000000000041</v>
      </c>
    </row>
    <row r="1621" spans="1:4" x14ac:dyDescent="0.2">
      <c r="A1621" s="19" t="s">
        <v>164</v>
      </c>
      <c r="B1621" s="19">
        <v>6.69</v>
      </c>
      <c r="C1621" s="19">
        <v>1</v>
      </c>
      <c r="D1621" s="19">
        <v>3.0773999999999999</v>
      </c>
    </row>
    <row r="1622" spans="1:4" x14ac:dyDescent="0.2">
      <c r="A1622" s="19" t="s">
        <v>153</v>
      </c>
      <c r="B1622" s="19">
        <v>198.46</v>
      </c>
      <c r="C1622" s="19">
        <v>2</v>
      </c>
      <c r="D1622" s="19">
        <v>99.23</v>
      </c>
    </row>
    <row r="1623" spans="1:4" x14ac:dyDescent="0.2">
      <c r="A1623" s="19" t="s">
        <v>153</v>
      </c>
      <c r="B1623" s="19">
        <v>786.48</v>
      </c>
      <c r="C1623" s="19">
        <v>8</v>
      </c>
      <c r="D1623" s="19">
        <v>385.37520000000001</v>
      </c>
    </row>
    <row r="1624" spans="1:4" x14ac:dyDescent="0.2">
      <c r="A1624" s="19" t="s">
        <v>153</v>
      </c>
      <c r="B1624" s="19">
        <v>23.168000000000003</v>
      </c>
      <c r="C1624" s="19">
        <v>2</v>
      </c>
      <c r="D1624" s="19">
        <v>7.8191999999999995</v>
      </c>
    </row>
    <row r="1625" spans="1:4" x14ac:dyDescent="0.2">
      <c r="A1625" s="19" t="s">
        <v>153</v>
      </c>
      <c r="B1625" s="19">
        <v>50</v>
      </c>
      <c r="C1625" s="19">
        <v>2</v>
      </c>
      <c r="D1625" s="19">
        <v>10.5</v>
      </c>
    </row>
    <row r="1626" spans="1:4" x14ac:dyDescent="0.2">
      <c r="A1626" s="19" t="s">
        <v>150</v>
      </c>
      <c r="B1626" s="19">
        <v>675.96</v>
      </c>
      <c r="C1626" s="19">
        <v>5</v>
      </c>
      <c r="D1626" s="19">
        <v>84.494999999999948</v>
      </c>
    </row>
    <row r="1627" spans="1:4" x14ac:dyDescent="0.2">
      <c r="A1627" s="19" t="s">
        <v>150</v>
      </c>
      <c r="B1627" s="19">
        <v>1265.8499999999999</v>
      </c>
      <c r="C1627" s="19">
        <v>3</v>
      </c>
      <c r="D1627" s="19">
        <v>556.97400000000005</v>
      </c>
    </row>
    <row r="1628" spans="1:4" x14ac:dyDescent="0.2">
      <c r="A1628" s="19" t="s">
        <v>164</v>
      </c>
      <c r="B1628" s="19">
        <v>523.25</v>
      </c>
      <c r="C1628" s="19">
        <v>5</v>
      </c>
      <c r="D1628" s="19">
        <v>141.27749999999997</v>
      </c>
    </row>
    <row r="1629" spans="1:4" x14ac:dyDescent="0.2">
      <c r="A1629" s="19" t="s">
        <v>177</v>
      </c>
      <c r="B1629" s="19">
        <v>517.5</v>
      </c>
      <c r="C1629" s="19">
        <v>6</v>
      </c>
      <c r="D1629" s="19">
        <v>155.24999999999994</v>
      </c>
    </row>
    <row r="1630" spans="1:4" x14ac:dyDescent="0.2">
      <c r="A1630" s="19" t="s">
        <v>173</v>
      </c>
      <c r="B1630" s="19">
        <v>17.920000000000002</v>
      </c>
      <c r="C1630" s="19">
        <v>5</v>
      </c>
      <c r="D1630" s="19">
        <v>2.4639999999999986</v>
      </c>
    </row>
    <row r="1631" spans="1:4" x14ac:dyDescent="0.2">
      <c r="A1631" s="19" t="s">
        <v>173</v>
      </c>
      <c r="B1631" s="19">
        <v>41.256000000000007</v>
      </c>
      <c r="C1631" s="19">
        <v>6</v>
      </c>
      <c r="D1631" s="19">
        <v>-34.38000000000001</v>
      </c>
    </row>
    <row r="1632" spans="1:4" x14ac:dyDescent="0.2">
      <c r="A1632" s="19" t="s">
        <v>173</v>
      </c>
      <c r="B1632" s="19">
        <v>1006.056</v>
      </c>
      <c r="C1632" s="19">
        <v>3</v>
      </c>
      <c r="D1632" s="19">
        <v>88.029900000000055</v>
      </c>
    </row>
    <row r="1633" spans="1:4" x14ac:dyDescent="0.2">
      <c r="A1633" s="19" t="s">
        <v>173</v>
      </c>
      <c r="B1633" s="19">
        <v>10.688000000000001</v>
      </c>
      <c r="C1633" s="19">
        <v>2</v>
      </c>
      <c r="D1633" s="19">
        <v>3.7407999999999997</v>
      </c>
    </row>
    <row r="1634" spans="1:4" x14ac:dyDescent="0.2">
      <c r="A1634" s="19" t="s">
        <v>173</v>
      </c>
      <c r="B1634" s="19">
        <v>10.368000000000002</v>
      </c>
      <c r="C1634" s="19">
        <v>2</v>
      </c>
      <c r="D1634" s="19">
        <v>3.6288</v>
      </c>
    </row>
    <row r="1635" spans="1:4" x14ac:dyDescent="0.2">
      <c r="A1635" s="19" t="s">
        <v>173</v>
      </c>
      <c r="B1635" s="19">
        <v>25.12</v>
      </c>
      <c r="C1635" s="19">
        <v>2</v>
      </c>
      <c r="D1635" s="19">
        <v>1.5700000000000012</v>
      </c>
    </row>
    <row r="1636" spans="1:4" x14ac:dyDescent="0.2">
      <c r="A1636" s="19" t="s">
        <v>173</v>
      </c>
      <c r="B1636" s="19">
        <v>58.112000000000002</v>
      </c>
      <c r="C1636" s="19">
        <v>2</v>
      </c>
      <c r="D1636" s="19">
        <v>7.263999999999994</v>
      </c>
    </row>
    <row r="1637" spans="1:4" x14ac:dyDescent="0.2">
      <c r="A1637" s="19" t="s">
        <v>170</v>
      </c>
      <c r="B1637" s="19">
        <v>15.552000000000003</v>
      </c>
      <c r="C1637" s="19">
        <v>3</v>
      </c>
      <c r="D1637" s="19">
        <v>5.4432</v>
      </c>
    </row>
    <row r="1638" spans="1:4" x14ac:dyDescent="0.2">
      <c r="A1638" s="19" t="s">
        <v>170</v>
      </c>
      <c r="B1638" s="19">
        <v>669.08</v>
      </c>
      <c r="C1638" s="19">
        <v>5</v>
      </c>
      <c r="D1638" s="19">
        <v>-167.27</v>
      </c>
    </row>
    <row r="1639" spans="1:4" x14ac:dyDescent="0.2">
      <c r="A1639" s="19" t="s">
        <v>170</v>
      </c>
      <c r="B1639" s="19">
        <v>438.33600000000001</v>
      </c>
      <c r="C1639" s="19">
        <v>4</v>
      </c>
      <c r="D1639" s="19">
        <v>-87.667200000000037</v>
      </c>
    </row>
    <row r="1640" spans="1:4" x14ac:dyDescent="0.2">
      <c r="A1640" s="19" t="s">
        <v>188</v>
      </c>
      <c r="B1640" s="19">
        <v>19.440000000000001</v>
      </c>
      <c r="C1640" s="19">
        <v>3</v>
      </c>
      <c r="D1640" s="19">
        <v>9.3312000000000008</v>
      </c>
    </row>
    <row r="1641" spans="1:4" x14ac:dyDescent="0.2">
      <c r="A1641" s="19" t="s">
        <v>188</v>
      </c>
      <c r="B1641" s="19">
        <v>9.64</v>
      </c>
      <c r="C1641" s="19">
        <v>2</v>
      </c>
      <c r="D1641" s="19">
        <v>4.4344000000000001</v>
      </c>
    </row>
    <row r="1642" spans="1:4" x14ac:dyDescent="0.2">
      <c r="A1642" s="19" t="s">
        <v>188</v>
      </c>
      <c r="B1642" s="19">
        <v>12.7</v>
      </c>
      <c r="C1642" s="19">
        <v>2</v>
      </c>
      <c r="D1642" s="19">
        <v>5.8419999999999996</v>
      </c>
    </row>
    <row r="1643" spans="1:4" x14ac:dyDescent="0.2">
      <c r="A1643" s="19" t="s">
        <v>188</v>
      </c>
      <c r="B1643" s="19">
        <v>41.37</v>
      </c>
      <c r="C1643" s="19">
        <v>3</v>
      </c>
      <c r="D1643" s="19">
        <v>17.375399999999999</v>
      </c>
    </row>
    <row r="1644" spans="1:4" x14ac:dyDescent="0.2">
      <c r="A1644" s="19" t="s">
        <v>159</v>
      </c>
      <c r="B1644" s="19">
        <v>12.624000000000001</v>
      </c>
      <c r="C1644" s="19">
        <v>2</v>
      </c>
      <c r="D1644" s="19">
        <v>3.944999999999999</v>
      </c>
    </row>
    <row r="1645" spans="1:4" x14ac:dyDescent="0.2">
      <c r="A1645" s="19" t="s">
        <v>153</v>
      </c>
      <c r="B1645" s="19">
        <v>1247.6399999999999</v>
      </c>
      <c r="C1645" s="19">
        <v>3</v>
      </c>
      <c r="D1645" s="19">
        <v>349.33919999999995</v>
      </c>
    </row>
    <row r="1646" spans="1:4" x14ac:dyDescent="0.2">
      <c r="A1646" s="19" t="s">
        <v>153</v>
      </c>
      <c r="B1646" s="19">
        <v>3149.9300000000003</v>
      </c>
      <c r="C1646" s="19">
        <v>7</v>
      </c>
      <c r="D1646" s="19">
        <v>1480.4670999999998</v>
      </c>
    </row>
    <row r="1647" spans="1:4" x14ac:dyDescent="0.2">
      <c r="A1647" s="19" t="s">
        <v>153</v>
      </c>
      <c r="B1647" s="19">
        <v>209.7</v>
      </c>
      <c r="C1647" s="19">
        <v>2</v>
      </c>
      <c r="D1647" s="19">
        <v>100.65599999999999</v>
      </c>
    </row>
    <row r="1648" spans="1:4" x14ac:dyDescent="0.2">
      <c r="A1648" s="19" t="s">
        <v>158</v>
      </c>
      <c r="B1648" s="19">
        <v>35.360000000000007</v>
      </c>
      <c r="C1648" s="19">
        <v>2</v>
      </c>
      <c r="D1648" s="19">
        <v>-3.0939999999999994</v>
      </c>
    </row>
    <row r="1649" spans="1:4" x14ac:dyDescent="0.2">
      <c r="A1649" s="19" t="s">
        <v>158</v>
      </c>
      <c r="B1649" s="19">
        <v>3.1680000000000001</v>
      </c>
      <c r="C1649" s="19">
        <v>2</v>
      </c>
      <c r="D1649" s="19">
        <v>-0.71279999999999988</v>
      </c>
    </row>
    <row r="1650" spans="1:4" x14ac:dyDescent="0.2">
      <c r="A1650" s="19" t="s">
        <v>158</v>
      </c>
      <c r="B1650" s="19">
        <v>121.10400000000003</v>
      </c>
      <c r="C1650" s="19">
        <v>6</v>
      </c>
      <c r="D1650" s="19">
        <v>-100.91999999999999</v>
      </c>
    </row>
    <row r="1651" spans="1:4" x14ac:dyDescent="0.2">
      <c r="A1651" s="19" t="s">
        <v>158</v>
      </c>
      <c r="B1651" s="19">
        <v>45.893999999999998</v>
      </c>
      <c r="C1651" s="19">
        <v>1</v>
      </c>
      <c r="D1651" s="19">
        <v>-9.178799999999999</v>
      </c>
    </row>
    <row r="1652" spans="1:4" x14ac:dyDescent="0.2">
      <c r="A1652" s="19" t="s">
        <v>150</v>
      </c>
      <c r="B1652" s="19">
        <v>109.92</v>
      </c>
      <c r="C1652" s="19">
        <v>2</v>
      </c>
      <c r="D1652" s="19">
        <v>53.860799999999998</v>
      </c>
    </row>
    <row r="1653" spans="1:4" x14ac:dyDescent="0.2">
      <c r="A1653" s="19" t="s">
        <v>150</v>
      </c>
      <c r="B1653" s="19">
        <v>13.36</v>
      </c>
      <c r="C1653" s="19">
        <v>2</v>
      </c>
      <c r="D1653" s="19">
        <v>6.4127999999999998</v>
      </c>
    </row>
    <row r="1654" spans="1:4" x14ac:dyDescent="0.2">
      <c r="A1654" s="19" t="s">
        <v>153</v>
      </c>
      <c r="B1654" s="19">
        <v>169.68</v>
      </c>
      <c r="C1654" s="19">
        <v>6</v>
      </c>
      <c r="D1654" s="19">
        <v>45.813600000000001</v>
      </c>
    </row>
    <row r="1655" spans="1:4" x14ac:dyDescent="0.2">
      <c r="A1655" s="19" t="s">
        <v>153</v>
      </c>
      <c r="B1655" s="19">
        <v>132.52000000000001</v>
      </c>
      <c r="C1655" s="19">
        <v>4</v>
      </c>
      <c r="D1655" s="19">
        <v>54.333200000000005</v>
      </c>
    </row>
    <row r="1656" spans="1:4" x14ac:dyDescent="0.2">
      <c r="A1656" s="19" t="s">
        <v>153</v>
      </c>
      <c r="B1656" s="19">
        <v>2.96</v>
      </c>
      <c r="C1656" s="19">
        <v>2</v>
      </c>
      <c r="D1656" s="19">
        <v>1.4207999999999998</v>
      </c>
    </row>
    <row r="1657" spans="1:4" x14ac:dyDescent="0.2">
      <c r="A1657" s="19" t="s">
        <v>153</v>
      </c>
      <c r="B1657" s="19">
        <v>8.4480000000000004</v>
      </c>
      <c r="C1657" s="19">
        <v>2</v>
      </c>
      <c r="D1657" s="19">
        <v>2.9568000000000003</v>
      </c>
    </row>
    <row r="1658" spans="1:4" x14ac:dyDescent="0.2">
      <c r="A1658" s="19" t="s">
        <v>153</v>
      </c>
      <c r="B1658" s="19">
        <v>95.94</v>
      </c>
      <c r="C1658" s="19">
        <v>3</v>
      </c>
      <c r="D1658" s="19">
        <v>9.5940000000000012</v>
      </c>
    </row>
    <row r="1659" spans="1:4" x14ac:dyDescent="0.2">
      <c r="A1659" s="19" t="s">
        <v>155</v>
      </c>
      <c r="B1659" s="19">
        <v>34.79</v>
      </c>
      <c r="C1659" s="19">
        <v>7</v>
      </c>
      <c r="D1659" s="19">
        <v>10.784899999999999</v>
      </c>
    </row>
    <row r="1660" spans="1:4" x14ac:dyDescent="0.2">
      <c r="A1660" s="19" t="s">
        <v>150</v>
      </c>
      <c r="B1660" s="19">
        <v>160.77600000000001</v>
      </c>
      <c r="C1660" s="19">
        <v>3</v>
      </c>
      <c r="D1660" s="19">
        <v>10.048500000000004</v>
      </c>
    </row>
    <row r="1661" spans="1:4" x14ac:dyDescent="0.2">
      <c r="A1661" s="19" t="s">
        <v>153</v>
      </c>
      <c r="B1661" s="19">
        <v>88.751999999999995</v>
      </c>
      <c r="C1661" s="19">
        <v>3</v>
      </c>
      <c r="D1661" s="19">
        <v>27.734999999999996</v>
      </c>
    </row>
    <row r="1662" spans="1:4" x14ac:dyDescent="0.2">
      <c r="A1662" s="19" t="s">
        <v>153</v>
      </c>
      <c r="B1662" s="19">
        <v>13.904</v>
      </c>
      <c r="C1662" s="19">
        <v>2</v>
      </c>
      <c r="D1662" s="19">
        <v>5.2139999999999995</v>
      </c>
    </row>
    <row r="1663" spans="1:4" x14ac:dyDescent="0.2">
      <c r="A1663" s="19" t="s">
        <v>158</v>
      </c>
      <c r="B1663" s="19">
        <v>677.57999999999993</v>
      </c>
      <c r="C1663" s="19">
        <v>5</v>
      </c>
      <c r="D1663" s="19">
        <v>-158.10199999999998</v>
      </c>
    </row>
    <row r="1664" spans="1:4" x14ac:dyDescent="0.2">
      <c r="A1664" s="19" t="s">
        <v>158</v>
      </c>
      <c r="B1664" s="19">
        <v>13.896000000000001</v>
      </c>
      <c r="C1664" s="19">
        <v>3</v>
      </c>
      <c r="D1664" s="19">
        <v>-9.2639999999999993</v>
      </c>
    </row>
    <row r="1665" spans="1:4" x14ac:dyDescent="0.2">
      <c r="A1665" s="19" t="s">
        <v>154</v>
      </c>
      <c r="B1665" s="19">
        <v>41.92</v>
      </c>
      <c r="C1665" s="19">
        <v>5</v>
      </c>
      <c r="D1665" s="19">
        <v>3.6679999999999993</v>
      </c>
    </row>
    <row r="1666" spans="1:4" x14ac:dyDescent="0.2">
      <c r="A1666" s="19" t="s">
        <v>154</v>
      </c>
      <c r="B1666" s="19">
        <v>297.57600000000002</v>
      </c>
      <c r="C1666" s="19">
        <v>3</v>
      </c>
      <c r="D1666" s="19">
        <v>-7.4394000000000347</v>
      </c>
    </row>
    <row r="1667" spans="1:4" x14ac:dyDescent="0.2">
      <c r="A1667" s="19" t="s">
        <v>154</v>
      </c>
      <c r="B1667" s="19">
        <v>4.3440000000000003</v>
      </c>
      <c r="C1667" s="19">
        <v>3</v>
      </c>
      <c r="D1667" s="19">
        <v>0.86879999999999979</v>
      </c>
    </row>
    <row r="1668" spans="1:4" x14ac:dyDescent="0.2">
      <c r="A1668" s="19" t="s">
        <v>154</v>
      </c>
      <c r="B1668" s="19">
        <v>94.992000000000004</v>
      </c>
      <c r="C1668" s="19">
        <v>2</v>
      </c>
      <c r="D1668" s="19">
        <v>-2.374800000000004</v>
      </c>
    </row>
    <row r="1669" spans="1:4" x14ac:dyDescent="0.2">
      <c r="A1669" s="19" t="s">
        <v>154</v>
      </c>
      <c r="B1669" s="19">
        <v>74.352000000000004</v>
      </c>
      <c r="C1669" s="19">
        <v>3</v>
      </c>
      <c r="D1669" s="19">
        <v>23.234999999999992</v>
      </c>
    </row>
    <row r="1670" spans="1:4" x14ac:dyDescent="0.2">
      <c r="A1670" s="19" t="s">
        <v>154</v>
      </c>
      <c r="B1670" s="19">
        <v>14.04</v>
      </c>
      <c r="C1670" s="19">
        <v>3</v>
      </c>
      <c r="D1670" s="19">
        <v>1.5794999999999986</v>
      </c>
    </row>
    <row r="1671" spans="1:4" x14ac:dyDescent="0.2">
      <c r="A1671" s="19" t="s">
        <v>164</v>
      </c>
      <c r="B1671" s="19">
        <v>1018.1039999999999</v>
      </c>
      <c r="C1671" s="19">
        <v>4</v>
      </c>
      <c r="D1671" s="19">
        <v>-373.3048</v>
      </c>
    </row>
    <row r="1672" spans="1:4" x14ac:dyDescent="0.2">
      <c r="A1672" s="19" t="s">
        <v>154</v>
      </c>
      <c r="B1672" s="19">
        <v>16.68</v>
      </c>
      <c r="C1672" s="19">
        <v>3</v>
      </c>
      <c r="D1672" s="19">
        <v>5.2125000000000004</v>
      </c>
    </row>
    <row r="1673" spans="1:4" x14ac:dyDescent="0.2">
      <c r="A1673" s="19" t="s">
        <v>181</v>
      </c>
      <c r="B1673" s="19">
        <v>58.58</v>
      </c>
      <c r="C1673" s="19">
        <v>2</v>
      </c>
      <c r="D1673" s="19">
        <v>19.331399999999995</v>
      </c>
    </row>
    <row r="1674" spans="1:4" x14ac:dyDescent="0.2">
      <c r="A1674" s="19" t="s">
        <v>154</v>
      </c>
      <c r="B1674" s="19">
        <v>167.96800000000002</v>
      </c>
      <c r="C1674" s="19">
        <v>4</v>
      </c>
      <c r="D1674" s="19">
        <v>62.988</v>
      </c>
    </row>
    <row r="1675" spans="1:4" x14ac:dyDescent="0.2">
      <c r="A1675" s="19" t="s">
        <v>166</v>
      </c>
      <c r="B1675" s="19">
        <v>196.62</v>
      </c>
      <c r="C1675" s="19">
        <v>2</v>
      </c>
      <c r="D1675" s="19">
        <v>96.343800000000002</v>
      </c>
    </row>
    <row r="1676" spans="1:4" x14ac:dyDescent="0.2">
      <c r="A1676" s="19" t="s">
        <v>154</v>
      </c>
      <c r="B1676" s="19">
        <v>21.936000000000003</v>
      </c>
      <c r="C1676" s="19">
        <v>2</v>
      </c>
      <c r="D1676" s="19">
        <v>-10.419600000000003</v>
      </c>
    </row>
    <row r="1677" spans="1:4" x14ac:dyDescent="0.2">
      <c r="A1677" s="19" t="s">
        <v>154</v>
      </c>
      <c r="B1677" s="19">
        <v>6.5879999999999992</v>
      </c>
      <c r="C1677" s="19">
        <v>3</v>
      </c>
      <c r="D1677" s="19">
        <v>-10.211400000000005</v>
      </c>
    </row>
    <row r="1678" spans="1:4" x14ac:dyDescent="0.2">
      <c r="A1678" s="19" t="s">
        <v>150</v>
      </c>
      <c r="B1678" s="19">
        <v>104.28</v>
      </c>
      <c r="C1678" s="19">
        <v>3</v>
      </c>
      <c r="D1678" s="19">
        <v>26.069999999999993</v>
      </c>
    </row>
    <row r="1679" spans="1:4" x14ac:dyDescent="0.2">
      <c r="A1679" s="19" t="s">
        <v>150</v>
      </c>
      <c r="B1679" s="19">
        <v>17.940000000000001</v>
      </c>
      <c r="C1679" s="19">
        <v>3</v>
      </c>
      <c r="D1679" s="19">
        <v>8.7906000000000013</v>
      </c>
    </row>
    <row r="1680" spans="1:4" x14ac:dyDescent="0.2">
      <c r="A1680" s="19" t="s">
        <v>158</v>
      </c>
      <c r="B1680" s="19">
        <v>64.784000000000006</v>
      </c>
      <c r="C1680" s="19">
        <v>1</v>
      </c>
      <c r="D1680" s="19">
        <v>-14.576399999999996</v>
      </c>
    </row>
    <row r="1681" spans="1:4" x14ac:dyDescent="0.2">
      <c r="A1681" s="19" t="s">
        <v>158</v>
      </c>
      <c r="B1681" s="19">
        <v>32.381999999999998</v>
      </c>
      <c r="C1681" s="19">
        <v>3</v>
      </c>
      <c r="D1681" s="19">
        <v>4.3175999999999988</v>
      </c>
    </row>
    <row r="1682" spans="1:4" x14ac:dyDescent="0.2">
      <c r="A1682" s="19" t="s">
        <v>158</v>
      </c>
      <c r="B1682" s="19">
        <v>42.368000000000002</v>
      </c>
      <c r="C1682" s="19">
        <v>2</v>
      </c>
      <c r="D1682" s="19">
        <v>8.4735999999999958</v>
      </c>
    </row>
    <row r="1683" spans="1:4" x14ac:dyDescent="0.2">
      <c r="A1683" s="19" t="s">
        <v>158</v>
      </c>
      <c r="B1683" s="19">
        <v>399.54</v>
      </c>
      <c r="C1683" s="19">
        <v>4</v>
      </c>
      <c r="D1683" s="19">
        <v>-559.35599999999988</v>
      </c>
    </row>
    <row r="1684" spans="1:4" x14ac:dyDescent="0.2">
      <c r="A1684" s="19" t="s">
        <v>150</v>
      </c>
      <c r="B1684" s="19">
        <v>18.97</v>
      </c>
      <c r="C1684" s="19">
        <v>1</v>
      </c>
      <c r="D1684" s="19">
        <v>9.105599999999999</v>
      </c>
    </row>
    <row r="1685" spans="1:4" x14ac:dyDescent="0.2">
      <c r="A1685" s="19" t="s">
        <v>150</v>
      </c>
      <c r="B1685" s="19">
        <v>14.82</v>
      </c>
      <c r="C1685" s="19">
        <v>3</v>
      </c>
      <c r="D1685" s="19">
        <v>6.224400000000001</v>
      </c>
    </row>
    <row r="1686" spans="1:4" x14ac:dyDescent="0.2">
      <c r="A1686" s="19" t="s">
        <v>158</v>
      </c>
      <c r="B1686" s="19">
        <v>99.28</v>
      </c>
      <c r="C1686" s="19">
        <v>2</v>
      </c>
      <c r="D1686" s="19">
        <v>12.409999999999989</v>
      </c>
    </row>
    <row r="1687" spans="1:4" x14ac:dyDescent="0.2">
      <c r="A1687" s="19" t="s">
        <v>158</v>
      </c>
      <c r="B1687" s="19">
        <v>1.1880000000000002</v>
      </c>
      <c r="C1687" s="19">
        <v>2</v>
      </c>
      <c r="D1687" s="19">
        <v>-0.98999999999999977</v>
      </c>
    </row>
    <row r="1688" spans="1:4" x14ac:dyDescent="0.2">
      <c r="A1688" s="19" t="s">
        <v>158</v>
      </c>
      <c r="B1688" s="19">
        <v>7.5180000000000007</v>
      </c>
      <c r="C1688" s="19">
        <v>2</v>
      </c>
      <c r="D1688" s="19">
        <v>-5.7637999999999998</v>
      </c>
    </row>
    <row r="1689" spans="1:4" x14ac:dyDescent="0.2">
      <c r="A1689" s="19" t="s">
        <v>158</v>
      </c>
      <c r="B1689" s="19">
        <v>10.368000000000002</v>
      </c>
      <c r="C1689" s="19">
        <v>2</v>
      </c>
      <c r="D1689" s="19">
        <v>3.6288</v>
      </c>
    </row>
    <row r="1690" spans="1:4" x14ac:dyDescent="0.2">
      <c r="A1690" s="19" t="s">
        <v>158</v>
      </c>
      <c r="B1690" s="19">
        <v>310.88000000000005</v>
      </c>
      <c r="C1690" s="19">
        <v>2</v>
      </c>
      <c r="D1690" s="19">
        <v>23.315999999999988</v>
      </c>
    </row>
    <row r="1691" spans="1:4" x14ac:dyDescent="0.2">
      <c r="A1691" s="19" t="s">
        <v>158</v>
      </c>
      <c r="B1691" s="19">
        <v>853.09199999999987</v>
      </c>
      <c r="C1691" s="19">
        <v>6</v>
      </c>
      <c r="D1691" s="19">
        <v>-227.49120000000016</v>
      </c>
    </row>
    <row r="1692" spans="1:4" x14ac:dyDescent="0.2">
      <c r="A1692" s="19" t="s">
        <v>163</v>
      </c>
      <c r="B1692" s="19">
        <v>33.450000000000003</v>
      </c>
      <c r="C1692" s="19">
        <v>5</v>
      </c>
      <c r="D1692" s="19">
        <v>15.387</v>
      </c>
    </row>
    <row r="1693" spans="1:4" x14ac:dyDescent="0.2">
      <c r="A1693" s="19" t="s">
        <v>163</v>
      </c>
      <c r="B1693" s="19">
        <v>10.4</v>
      </c>
      <c r="C1693" s="19">
        <v>5</v>
      </c>
      <c r="D1693" s="19">
        <v>5.0960000000000001</v>
      </c>
    </row>
    <row r="1694" spans="1:4" x14ac:dyDescent="0.2">
      <c r="A1694" s="19" t="s">
        <v>173</v>
      </c>
      <c r="B1694" s="19">
        <v>21.880000000000003</v>
      </c>
      <c r="C1694" s="19">
        <v>5</v>
      </c>
      <c r="D1694" s="19">
        <v>6.2904999999999998</v>
      </c>
    </row>
    <row r="1695" spans="1:4" x14ac:dyDescent="0.2">
      <c r="A1695" s="19" t="s">
        <v>154</v>
      </c>
      <c r="B1695" s="19">
        <v>13.616</v>
      </c>
      <c r="C1695" s="19">
        <v>2</v>
      </c>
      <c r="D1695" s="19">
        <v>3.5742000000000012</v>
      </c>
    </row>
    <row r="1696" spans="1:4" x14ac:dyDescent="0.2">
      <c r="A1696" s="19" t="s">
        <v>179</v>
      </c>
      <c r="B1696" s="19">
        <v>63.96</v>
      </c>
      <c r="C1696" s="19">
        <v>4</v>
      </c>
      <c r="D1696" s="19">
        <v>19.827599999999997</v>
      </c>
    </row>
    <row r="1697" spans="1:4" x14ac:dyDescent="0.2">
      <c r="A1697" s="19" t="s">
        <v>179</v>
      </c>
      <c r="B1697" s="19">
        <v>14.46</v>
      </c>
      <c r="C1697" s="19">
        <v>3</v>
      </c>
      <c r="D1697" s="19">
        <v>7.0853999999999999</v>
      </c>
    </row>
    <row r="1698" spans="1:4" x14ac:dyDescent="0.2">
      <c r="A1698" s="19" t="s">
        <v>179</v>
      </c>
      <c r="B1698" s="19">
        <v>104.98</v>
      </c>
      <c r="C1698" s="19">
        <v>2</v>
      </c>
      <c r="D1698" s="19">
        <v>52.49</v>
      </c>
    </row>
    <row r="1699" spans="1:4" x14ac:dyDescent="0.2">
      <c r="A1699" s="19" t="s">
        <v>150</v>
      </c>
      <c r="B1699" s="19">
        <v>106.96</v>
      </c>
      <c r="C1699" s="19">
        <v>2</v>
      </c>
      <c r="D1699" s="19">
        <v>31.018399999999986</v>
      </c>
    </row>
    <row r="1700" spans="1:4" x14ac:dyDescent="0.2">
      <c r="A1700" s="19" t="s">
        <v>150</v>
      </c>
      <c r="B1700" s="19">
        <v>21.560000000000002</v>
      </c>
      <c r="C1700" s="19">
        <v>7</v>
      </c>
      <c r="D1700" s="19">
        <v>10.348799999999999</v>
      </c>
    </row>
    <row r="1701" spans="1:4" x14ac:dyDescent="0.2">
      <c r="A1701" s="19" t="s">
        <v>153</v>
      </c>
      <c r="B1701" s="19">
        <v>515.88</v>
      </c>
      <c r="C1701" s="19">
        <v>6</v>
      </c>
      <c r="D1701" s="19">
        <v>113.49359999999999</v>
      </c>
    </row>
    <row r="1702" spans="1:4" x14ac:dyDescent="0.2">
      <c r="A1702" s="19" t="s">
        <v>164</v>
      </c>
      <c r="B1702" s="19">
        <v>11.808</v>
      </c>
      <c r="C1702" s="19">
        <v>2</v>
      </c>
      <c r="D1702" s="19">
        <v>4.2804000000000002</v>
      </c>
    </row>
    <row r="1703" spans="1:4" x14ac:dyDescent="0.2">
      <c r="A1703" s="19" t="s">
        <v>164</v>
      </c>
      <c r="B1703" s="19">
        <v>1931.04</v>
      </c>
      <c r="C1703" s="19">
        <v>9</v>
      </c>
      <c r="D1703" s="19">
        <v>321.83999999999992</v>
      </c>
    </row>
    <row r="1704" spans="1:4" x14ac:dyDescent="0.2">
      <c r="A1704" s="19" t="s">
        <v>164</v>
      </c>
      <c r="B1704" s="19">
        <v>9.9600000000000009</v>
      </c>
      <c r="C1704" s="19">
        <v>2</v>
      </c>
      <c r="D1704" s="19">
        <v>4.6812000000000005</v>
      </c>
    </row>
    <row r="1705" spans="1:4" x14ac:dyDescent="0.2">
      <c r="A1705" s="19" t="s">
        <v>150</v>
      </c>
      <c r="B1705" s="19">
        <v>12.350000000000001</v>
      </c>
      <c r="C1705" s="19">
        <v>5</v>
      </c>
      <c r="D1705" s="19">
        <v>5.8045</v>
      </c>
    </row>
    <row r="1706" spans="1:4" x14ac:dyDescent="0.2">
      <c r="A1706" s="19" t="s">
        <v>165</v>
      </c>
      <c r="B1706" s="19">
        <v>9.7020000000000017</v>
      </c>
      <c r="C1706" s="19">
        <v>3</v>
      </c>
      <c r="D1706" s="19">
        <v>-7.1147999999999989</v>
      </c>
    </row>
    <row r="1707" spans="1:4" x14ac:dyDescent="0.2">
      <c r="A1707" s="19" t="s">
        <v>158</v>
      </c>
      <c r="B1707" s="19">
        <v>11.610000000000003</v>
      </c>
      <c r="C1707" s="19">
        <v>2</v>
      </c>
      <c r="D1707" s="19">
        <v>-9.2880000000000003</v>
      </c>
    </row>
    <row r="1708" spans="1:4" x14ac:dyDescent="0.2">
      <c r="A1708" s="19" t="s">
        <v>150</v>
      </c>
      <c r="B1708" s="19">
        <v>43.86</v>
      </c>
      <c r="C1708" s="19">
        <v>6</v>
      </c>
      <c r="D1708" s="19">
        <v>20.614199999999997</v>
      </c>
    </row>
    <row r="1709" spans="1:4" x14ac:dyDescent="0.2">
      <c r="A1709" s="19" t="s">
        <v>150</v>
      </c>
      <c r="B1709" s="19">
        <v>148.47999999999999</v>
      </c>
      <c r="C1709" s="19">
        <v>2</v>
      </c>
      <c r="D1709" s="19">
        <v>16.703999999999986</v>
      </c>
    </row>
    <row r="1710" spans="1:4" x14ac:dyDescent="0.2">
      <c r="A1710" s="19" t="s">
        <v>150</v>
      </c>
      <c r="B1710" s="19">
        <v>7.42</v>
      </c>
      <c r="C1710" s="19">
        <v>2</v>
      </c>
      <c r="D1710" s="19">
        <v>3.71</v>
      </c>
    </row>
    <row r="1711" spans="1:4" x14ac:dyDescent="0.2">
      <c r="A1711" s="19" t="s">
        <v>150</v>
      </c>
      <c r="B1711" s="19">
        <v>71.992000000000004</v>
      </c>
      <c r="C1711" s="19">
        <v>1</v>
      </c>
      <c r="D1711" s="19">
        <v>-0.89990000000001302</v>
      </c>
    </row>
    <row r="1712" spans="1:4" x14ac:dyDescent="0.2">
      <c r="A1712" s="19" t="s">
        <v>150</v>
      </c>
      <c r="B1712" s="19">
        <v>19.899999999999999</v>
      </c>
      <c r="C1712" s="19">
        <v>5</v>
      </c>
      <c r="D1712" s="19">
        <v>6.5669999999999984</v>
      </c>
    </row>
    <row r="1713" spans="1:4" x14ac:dyDescent="0.2">
      <c r="A1713" s="19" t="s">
        <v>150</v>
      </c>
      <c r="B1713" s="19">
        <v>1702.12</v>
      </c>
      <c r="C1713" s="19">
        <v>14</v>
      </c>
      <c r="D1713" s="19">
        <v>510.63599999999985</v>
      </c>
    </row>
    <row r="1714" spans="1:4" x14ac:dyDescent="0.2">
      <c r="A1714" s="19" t="s">
        <v>154</v>
      </c>
      <c r="B1714" s="19">
        <v>14.303999999999998</v>
      </c>
      <c r="C1714" s="19">
        <v>6</v>
      </c>
      <c r="D1714" s="19">
        <v>5.0064000000000002</v>
      </c>
    </row>
    <row r="1715" spans="1:4" x14ac:dyDescent="0.2">
      <c r="A1715" s="19" t="s">
        <v>159</v>
      </c>
      <c r="B1715" s="19">
        <v>765.625</v>
      </c>
      <c r="C1715" s="19">
        <v>7</v>
      </c>
      <c r="D1715" s="19">
        <v>-566.5625</v>
      </c>
    </row>
    <row r="1716" spans="1:4" x14ac:dyDescent="0.2">
      <c r="A1716" s="19" t="s">
        <v>150</v>
      </c>
      <c r="B1716" s="19">
        <v>307.666</v>
      </c>
      <c r="C1716" s="19">
        <v>2</v>
      </c>
      <c r="D1716" s="19">
        <v>-14.478399999999979</v>
      </c>
    </row>
    <row r="1717" spans="1:4" x14ac:dyDescent="0.2">
      <c r="A1717" s="19" t="s">
        <v>164</v>
      </c>
      <c r="B1717" s="19">
        <v>7.7120000000000006</v>
      </c>
      <c r="C1717" s="19">
        <v>2</v>
      </c>
      <c r="D1717" s="19">
        <v>2.7956000000000003</v>
      </c>
    </row>
    <row r="1718" spans="1:4" x14ac:dyDescent="0.2">
      <c r="A1718" s="19" t="s">
        <v>164</v>
      </c>
      <c r="B1718" s="19">
        <v>242.89999999999998</v>
      </c>
      <c r="C1718" s="19">
        <v>5</v>
      </c>
      <c r="D1718" s="19">
        <v>70.440999999999974</v>
      </c>
    </row>
    <row r="1719" spans="1:4" x14ac:dyDescent="0.2">
      <c r="A1719" s="19" t="s">
        <v>164</v>
      </c>
      <c r="B1719" s="19">
        <v>454.90000000000003</v>
      </c>
      <c r="C1719" s="19">
        <v>5</v>
      </c>
      <c r="D1719" s="19">
        <v>0</v>
      </c>
    </row>
    <row r="1720" spans="1:4" x14ac:dyDescent="0.2">
      <c r="A1720" s="19" t="s">
        <v>164</v>
      </c>
      <c r="B1720" s="19">
        <v>35.92</v>
      </c>
      <c r="C1720" s="19">
        <v>4</v>
      </c>
      <c r="D1720" s="19">
        <v>15.086400000000001</v>
      </c>
    </row>
    <row r="1721" spans="1:4" x14ac:dyDescent="0.2">
      <c r="A1721" s="19" t="s">
        <v>164</v>
      </c>
      <c r="B1721" s="19">
        <v>39.76</v>
      </c>
      <c r="C1721" s="19">
        <v>8</v>
      </c>
      <c r="D1721" s="19">
        <v>12.325599999999998</v>
      </c>
    </row>
    <row r="1722" spans="1:4" x14ac:dyDescent="0.2">
      <c r="A1722" s="19" t="s">
        <v>164</v>
      </c>
      <c r="B1722" s="19">
        <v>47.744</v>
      </c>
      <c r="C1722" s="19">
        <v>4</v>
      </c>
      <c r="D1722" s="19">
        <v>14.919999999999995</v>
      </c>
    </row>
    <row r="1723" spans="1:4" x14ac:dyDescent="0.2">
      <c r="A1723" s="19" t="s">
        <v>159</v>
      </c>
      <c r="B1723" s="19">
        <v>159.98400000000001</v>
      </c>
      <c r="C1723" s="19">
        <v>2</v>
      </c>
      <c r="D1723" s="19">
        <v>11.998799999999996</v>
      </c>
    </row>
    <row r="1724" spans="1:4" x14ac:dyDescent="0.2">
      <c r="A1724" s="19" t="s">
        <v>159</v>
      </c>
      <c r="B1724" s="19">
        <v>255.96799999999999</v>
      </c>
      <c r="C1724" s="19">
        <v>4</v>
      </c>
      <c r="D1724" s="19">
        <v>51.193599999999996</v>
      </c>
    </row>
    <row r="1725" spans="1:4" x14ac:dyDescent="0.2">
      <c r="A1725" s="19" t="s">
        <v>159</v>
      </c>
      <c r="B1725" s="19">
        <v>359.05799999999994</v>
      </c>
      <c r="C1725" s="19">
        <v>3</v>
      </c>
      <c r="D1725" s="19">
        <v>-71.811600000000027</v>
      </c>
    </row>
    <row r="1726" spans="1:4" x14ac:dyDescent="0.2">
      <c r="A1726" s="19" t="s">
        <v>158</v>
      </c>
      <c r="B1726" s="19">
        <v>434.35199999999998</v>
      </c>
      <c r="C1726" s="19">
        <v>3</v>
      </c>
      <c r="D1726" s="19">
        <v>43.43519999999998</v>
      </c>
    </row>
    <row r="1727" spans="1:4" x14ac:dyDescent="0.2">
      <c r="A1727" s="19" t="s">
        <v>158</v>
      </c>
      <c r="B1727" s="19">
        <v>3.5520000000000005</v>
      </c>
      <c r="C1727" s="19">
        <v>2</v>
      </c>
      <c r="D1727" s="19">
        <v>0.44399999999999973</v>
      </c>
    </row>
    <row r="1728" spans="1:4" x14ac:dyDescent="0.2">
      <c r="A1728" s="19" t="s">
        <v>158</v>
      </c>
      <c r="B1728" s="19">
        <v>88.832000000000008</v>
      </c>
      <c r="C1728" s="19">
        <v>4</v>
      </c>
      <c r="D1728" s="19">
        <v>7.7728000000000002</v>
      </c>
    </row>
    <row r="1729" spans="1:4" x14ac:dyDescent="0.2">
      <c r="A1729" s="19" t="s">
        <v>173</v>
      </c>
      <c r="B1729" s="19">
        <v>1048.3499999999999</v>
      </c>
      <c r="C1729" s="19">
        <v>5</v>
      </c>
      <c r="D1729" s="19">
        <v>-69.889999999999986</v>
      </c>
    </row>
    <row r="1730" spans="1:4" x14ac:dyDescent="0.2">
      <c r="A1730" s="19" t="s">
        <v>166</v>
      </c>
      <c r="B1730" s="19">
        <v>100</v>
      </c>
      <c r="C1730" s="19">
        <v>4</v>
      </c>
      <c r="D1730" s="19">
        <v>21</v>
      </c>
    </row>
    <row r="1731" spans="1:4" x14ac:dyDescent="0.2">
      <c r="A1731" s="19" t="s">
        <v>166</v>
      </c>
      <c r="B1731" s="19">
        <v>7.83</v>
      </c>
      <c r="C1731" s="19">
        <v>3</v>
      </c>
      <c r="D1731" s="19">
        <v>3.6017999999999999</v>
      </c>
    </row>
    <row r="1732" spans="1:4" x14ac:dyDescent="0.2">
      <c r="A1732" s="19" t="s">
        <v>152</v>
      </c>
      <c r="B1732" s="19">
        <v>96.256</v>
      </c>
      <c r="C1732" s="19">
        <v>8</v>
      </c>
      <c r="D1732" s="19">
        <v>31.283199999999987</v>
      </c>
    </row>
    <row r="1733" spans="1:4" x14ac:dyDescent="0.2">
      <c r="A1733" s="19" t="s">
        <v>152</v>
      </c>
      <c r="B1733" s="19">
        <v>10.688000000000001</v>
      </c>
      <c r="C1733" s="19">
        <v>2</v>
      </c>
      <c r="D1733" s="19">
        <v>3.7407999999999997</v>
      </c>
    </row>
    <row r="1734" spans="1:4" x14ac:dyDescent="0.2">
      <c r="A1734" s="19" t="s">
        <v>154</v>
      </c>
      <c r="B1734" s="19">
        <v>338.04</v>
      </c>
      <c r="C1734" s="19">
        <v>3</v>
      </c>
      <c r="D1734" s="19">
        <v>-33.804000000000002</v>
      </c>
    </row>
    <row r="1735" spans="1:4" x14ac:dyDescent="0.2">
      <c r="A1735" s="19" t="s">
        <v>154</v>
      </c>
      <c r="B1735" s="19">
        <v>154.24</v>
      </c>
      <c r="C1735" s="19">
        <v>4</v>
      </c>
      <c r="D1735" s="19">
        <v>17.351999999999975</v>
      </c>
    </row>
    <row r="1736" spans="1:4" x14ac:dyDescent="0.2">
      <c r="A1736" s="19" t="s">
        <v>152</v>
      </c>
      <c r="B1736" s="19">
        <v>34.848000000000006</v>
      </c>
      <c r="C1736" s="19">
        <v>2</v>
      </c>
      <c r="D1736" s="19">
        <v>6.5339999999999971</v>
      </c>
    </row>
    <row r="1737" spans="1:4" x14ac:dyDescent="0.2">
      <c r="A1737" s="19" t="s">
        <v>152</v>
      </c>
      <c r="B1737" s="19">
        <v>22</v>
      </c>
      <c r="C1737" s="19">
        <v>5</v>
      </c>
      <c r="D1737" s="19">
        <v>1.375</v>
      </c>
    </row>
    <row r="1738" spans="1:4" x14ac:dyDescent="0.2">
      <c r="A1738" s="19" t="s">
        <v>152</v>
      </c>
      <c r="B1738" s="19">
        <v>4.3680000000000003</v>
      </c>
      <c r="C1738" s="19">
        <v>3</v>
      </c>
      <c r="D1738" s="19">
        <v>0.3822000000000001</v>
      </c>
    </row>
    <row r="1739" spans="1:4" x14ac:dyDescent="0.2">
      <c r="A1739" s="19" t="s">
        <v>150</v>
      </c>
      <c r="B1739" s="19">
        <v>31.44</v>
      </c>
      <c r="C1739" s="19">
        <v>3</v>
      </c>
      <c r="D1739" s="19">
        <v>8.4888000000000012</v>
      </c>
    </row>
    <row r="1740" spans="1:4" x14ac:dyDescent="0.2">
      <c r="A1740" s="19" t="s">
        <v>150</v>
      </c>
      <c r="B1740" s="19">
        <v>17.899999999999999</v>
      </c>
      <c r="C1740" s="19">
        <v>2</v>
      </c>
      <c r="D1740" s="19">
        <v>3.400999999999998</v>
      </c>
    </row>
    <row r="1741" spans="1:4" x14ac:dyDescent="0.2">
      <c r="A1741" s="19" t="s">
        <v>150</v>
      </c>
      <c r="B1741" s="19">
        <v>129.44999999999999</v>
      </c>
      <c r="C1741" s="19">
        <v>5</v>
      </c>
      <c r="D1741" s="19">
        <v>46.601999999999997</v>
      </c>
    </row>
    <row r="1742" spans="1:4" x14ac:dyDescent="0.2">
      <c r="A1742" s="19" t="s">
        <v>150</v>
      </c>
      <c r="B1742" s="19">
        <v>20.88</v>
      </c>
      <c r="C1742" s="19">
        <v>8</v>
      </c>
      <c r="D1742" s="19">
        <v>9.6047999999999991</v>
      </c>
    </row>
    <row r="1743" spans="1:4" x14ac:dyDescent="0.2">
      <c r="A1743" s="19" t="s">
        <v>158</v>
      </c>
      <c r="B1743" s="19">
        <v>20.736000000000004</v>
      </c>
      <c r="C1743" s="19">
        <v>4</v>
      </c>
      <c r="D1743" s="19">
        <v>7.2576000000000001</v>
      </c>
    </row>
    <row r="1744" spans="1:4" x14ac:dyDescent="0.2">
      <c r="A1744" s="19" t="s">
        <v>158</v>
      </c>
      <c r="B1744" s="19">
        <v>7.168000000000001</v>
      </c>
      <c r="C1744" s="19">
        <v>2</v>
      </c>
      <c r="D1744" s="19">
        <v>0.98559999999999937</v>
      </c>
    </row>
    <row r="1745" spans="1:4" x14ac:dyDescent="0.2">
      <c r="A1745" s="19" t="s">
        <v>158</v>
      </c>
      <c r="B1745" s="19">
        <v>11.168000000000001</v>
      </c>
      <c r="C1745" s="19">
        <v>2</v>
      </c>
      <c r="D1745" s="19">
        <v>-2.5128000000000008</v>
      </c>
    </row>
    <row r="1746" spans="1:4" x14ac:dyDescent="0.2">
      <c r="A1746" s="19" t="s">
        <v>158</v>
      </c>
      <c r="B1746" s="19">
        <v>442.40000000000003</v>
      </c>
      <c r="C1746" s="19">
        <v>7</v>
      </c>
      <c r="D1746" s="19">
        <v>-55.300000000000068</v>
      </c>
    </row>
    <row r="1747" spans="1:4" x14ac:dyDescent="0.2">
      <c r="A1747" s="19" t="s">
        <v>164</v>
      </c>
      <c r="B1747" s="19">
        <v>13.36</v>
      </c>
      <c r="C1747" s="19">
        <v>2</v>
      </c>
      <c r="D1747" s="19">
        <v>4.9431999999999992</v>
      </c>
    </row>
    <row r="1748" spans="1:4" x14ac:dyDescent="0.2">
      <c r="A1748" s="19" t="s">
        <v>152</v>
      </c>
      <c r="B1748" s="19">
        <v>11.232000000000001</v>
      </c>
      <c r="C1748" s="19">
        <v>8</v>
      </c>
      <c r="D1748" s="19">
        <v>-8.2367999999999988</v>
      </c>
    </row>
    <row r="1749" spans="1:4" x14ac:dyDescent="0.2">
      <c r="A1749" s="19" t="s">
        <v>152</v>
      </c>
      <c r="B1749" s="19">
        <v>10.272000000000002</v>
      </c>
      <c r="C1749" s="19">
        <v>3</v>
      </c>
      <c r="D1749" s="19">
        <v>3.2099999999999982</v>
      </c>
    </row>
    <row r="1750" spans="1:4" x14ac:dyDescent="0.2">
      <c r="A1750" s="19" t="s">
        <v>154</v>
      </c>
      <c r="B1750" s="19">
        <v>10.368000000000002</v>
      </c>
      <c r="C1750" s="19">
        <v>2</v>
      </c>
      <c r="D1750" s="19">
        <v>3.6288</v>
      </c>
    </row>
    <row r="1751" spans="1:4" x14ac:dyDescent="0.2">
      <c r="A1751" s="19" t="s">
        <v>154</v>
      </c>
      <c r="B1751" s="19">
        <v>6.24</v>
      </c>
      <c r="C1751" s="19">
        <v>3</v>
      </c>
      <c r="D1751" s="19">
        <v>0.54600000000000071</v>
      </c>
    </row>
    <row r="1752" spans="1:4" x14ac:dyDescent="0.2">
      <c r="A1752" s="19" t="s">
        <v>154</v>
      </c>
      <c r="B1752" s="19">
        <v>206.96200000000002</v>
      </c>
      <c r="C1752" s="19">
        <v>2</v>
      </c>
      <c r="D1752" s="19">
        <v>-32.522600000000011</v>
      </c>
    </row>
    <row r="1753" spans="1:4" x14ac:dyDescent="0.2">
      <c r="A1753" s="19" t="s">
        <v>150</v>
      </c>
      <c r="B1753" s="19">
        <v>9.4600000000000009</v>
      </c>
      <c r="C1753" s="19">
        <v>2</v>
      </c>
      <c r="D1753" s="19">
        <v>3.6894000000000009</v>
      </c>
    </row>
    <row r="1754" spans="1:4" x14ac:dyDescent="0.2">
      <c r="A1754" s="19" t="s">
        <v>150</v>
      </c>
      <c r="B1754" s="19">
        <v>559.62</v>
      </c>
      <c r="C1754" s="19">
        <v>9</v>
      </c>
      <c r="D1754" s="19">
        <v>151.09740000000002</v>
      </c>
    </row>
    <row r="1755" spans="1:4" x14ac:dyDescent="0.2">
      <c r="A1755" s="19" t="s">
        <v>150</v>
      </c>
      <c r="B1755" s="19">
        <v>109.92</v>
      </c>
      <c r="C1755" s="19">
        <v>2</v>
      </c>
      <c r="D1755" s="19">
        <v>53.860799999999998</v>
      </c>
    </row>
    <row r="1756" spans="1:4" x14ac:dyDescent="0.2">
      <c r="A1756" s="19" t="s">
        <v>150</v>
      </c>
      <c r="B1756" s="19">
        <v>8.56</v>
      </c>
      <c r="C1756" s="19">
        <v>2</v>
      </c>
      <c r="D1756" s="19">
        <v>3.8519999999999994</v>
      </c>
    </row>
    <row r="1757" spans="1:4" x14ac:dyDescent="0.2">
      <c r="A1757" s="19" t="s">
        <v>154</v>
      </c>
      <c r="B1757" s="19">
        <v>360.71199999999999</v>
      </c>
      <c r="C1757" s="19">
        <v>11</v>
      </c>
      <c r="D1757" s="19">
        <v>130.75810000000001</v>
      </c>
    </row>
    <row r="1758" spans="1:4" x14ac:dyDescent="0.2">
      <c r="A1758" s="19" t="s">
        <v>154</v>
      </c>
      <c r="B1758" s="19">
        <v>1718.4</v>
      </c>
      <c r="C1758" s="19">
        <v>6</v>
      </c>
      <c r="D1758" s="19">
        <v>150.36000000000013</v>
      </c>
    </row>
    <row r="1759" spans="1:4" x14ac:dyDescent="0.2">
      <c r="A1759" s="19" t="s">
        <v>154</v>
      </c>
      <c r="B1759" s="19">
        <v>41.567999999999991</v>
      </c>
      <c r="C1759" s="19">
        <v>6</v>
      </c>
      <c r="D1759" s="19">
        <v>-66.508800000000036</v>
      </c>
    </row>
    <row r="1760" spans="1:4" x14ac:dyDescent="0.2">
      <c r="A1760" s="19" t="s">
        <v>154</v>
      </c>
      <c r="B1760" s="19">
        <v>46.864000000000004</v>
      </c>
      <c r="C1760" s="19">
        <v>2</v>
      </c>
      <c r="D1760" s="19">
        <v>7.615399999999994</v>
      </c>
    </row>
    <row r="1761" spans="1:4" x14ac:dyDescent="0.2">
      <c r="A1761" s="19" t="s">
        <v>158</v>
      </c>
      <c r="B1761" s="19">
        <v>19.536000000000001</v>
      </c>
      <c r="C1761" s="19">
        <v>3</v>
      </c>
      <c r="D1761" s="19">
        <v>4.8840000000000003</v>
      </c>
    </row>
    <row r="1762" spans="1:4" x14ac:dyDescent="0.2">
      <c r="A1762" s="19" t="s">
        <v>150</v>
      </c>
      <c r="B1762" s="19">
        <v>411.33199999999999</v>
      </c>
      <c r="C1762" s="19">
        <v>4</v>
      </c>
      <c r="D1762" s="19">
        <v>-4.8391999999999769</v>
      </c>
    </row>
    <row r="1763" spans="1:4" x14ac:dyDescent="0.2">
      <c r="A1763" s="19" t="s">
        <v>150</v>
      </c>
      <c r="B1763" s="19">
        <v>28.752000000000002</v>
      </c>
      <c r="C1763" s="19">
        <v>6</v>
      </c>
      <c r="D1763" s="19">
        <v>9.7037999999999993</v>
      </c>
    </row>
    <row r="1764" spans="1:4" x14ac:dyDescent="0.2">
      <c r="A1764" s="19" t="s">
        <v>150</v>
      </c>
      <c r="B1764" s="19">
        <v>293.19900000000001</v>
      </c>
      <c r="C1764" s="19">
        <v>3</v>
      </c>
      <c r="D1764" s="19">
        <v>-20.696400000000025</v>
      </c>
    </row>
    <row r="1765" spans="1:4" x14ac:dyDescent="0.2">
      <c r="A1765" s="19" t="s">
        <v>166</v>
      </c>
      <c r="B1765" s="19">
        <v>35.06</v>
      </c>
      <c r="C1765" s="19">
        <v>2</v>
      </c>
      <c r="D1765" s="19">
        <v>10.517999999999997</v>
      </c>
    </row>
    <row r="1766" spans="1:4" x14ac:dyDescent="0.2">
      <c r="A1766" s="19" t="s">
        <v>166</v>
      </c>
      <c r="B1766" s="19">
        <v>4.13</v>
      </c>
      <c r="C1766" s="19">
        <v>1</v>
      </c>
      <c r="D1766" s="19">
        <v>1.8997999999999999</v>
      </c>
    </row>
    <row r="1767" spans="1:4" x14ac:dyDescent="0.2">
      <c r="A1767" s="19" t="s">
        <v>166</v>
      </c>
      <c r="B1767" s="19">
        <v>109.8</v>
      </c>
      <c r="C1767" s="19">
        <v>9</v>
      </c>
      <c r="D1767" s="19">
        <v>46.116000000000007</v>
      </c>
    </row>
    <row r="1768" spans="1:4" x14ac:dyDescent="0.2">
      <c r="A1768" s="19" t="s">
        <v>166</v>
      </c>
      <c r="B1768" s="19">
        <v>9.82</v>
      </c>
      <c r="C1768" s="19">
        <v>2</v>
      </c>
      <c r="D1768" s="19">
        <v>4.8117999999999999</v>
      </c>
    </row>
    <row r="1769" spans="1:4" x14ac:dyDescent="0.2">
      <c r="A1769" s="19" t="s">
        <v>152</v>
      </c>
      <c r="B1769" s="19">
        <v>7.644000000000001</v>
      </c>
      <c r="C1769" s="19">
        <v>4</v>
      </c>
      <c r="D1769" s="19">
        <v>-5.8603999999999985</v>
      </c>
    </row>
    <row r="1770" spans="1:4" x14ac:dyDescent="0.2">
      <c r="A1770" s="19" t="s">
        <v>152</v>
      </c>
      <c r="B1770" s="19">
        <v>51.465000000000018</v>
      </c>
      <c r="C1770" s="19">
        <v>5</v>
      </c>
      <c r="D1770" s="19">
        <v>-39.456499999999991</v>
      </c>
    </row>
    <row r="1771" spans="1:4" x14ac:dyDescent="0.2">
      <c r="A1771" s="19" t="s">
        <v>154</v>
      </c>
      <c r="B1771" s="19">
        <v>6.9760000000000009</v>
      </c>
      <c r="C1771" s="19">
        <v>4</v>
      </c>
      <c r="D1771" s="19">
        <v>-1.3952000000000013</v>
      </c>
    </row>
    <row r="1772" spans="1:4" x14ac:dyDescent="0.2">
      <c r="A1772" s="19" t="s">
        <v>154</v>
      </c>
      <c r="B1772" s="19">
        <v>12.221999999999998</v>
      </c>
      <c r="C1772" s="19">
        <v>7</v>
      </c>
      <c r="D1772" s="19">
        <v>-20.166300000000007</v>
      </c>
    </row>
    <row r="1773" spans="1:4" x14ac:dyDescent="0.2">
      <c r="A1773" s="19" t="s">
        <v>159</v>
      </c>
      <c r="B1773" s="19">
        <v>97.984000000000009</v>
      </c>
      <c r="C1773" s="19">
        <v>2</v>
      </c>
      <c r="D1773" s="19">
        <v>-24.496000000000002</v>
      </c>
    </row>
    <row r="1774" spans="1:4" x14ac:dyDescent="0.2">
      <c r="A1774" s="19" t="s">
        <v>159</v>
      </c>
      <c r="B1774" s="19">
        <v>62.400000000000006</v>
      </c>
      <c r="C1774" s="19">
        <v>6</v>
      </c>
      <c r="D1774" s="19">
        <v>19.499999999999993</v>
      </c>
    </row>
    <row r="1775" spans="1:4" x14ac:dyDescent="0.2">
      <c r="A1775" s="19" t="s">
        <v>187</v>
      </c>
      <c r="B1775" s="19">
        <v>20.86</v>
      </c>
      <c r="C1775" s="19">
        <v>2</v>
      </c>
      <c r="D1775" s="19">
        <v>9.3869999999999987</v>
      </c>
    </row>
    <row r="1776" spans="1:4" x14ac:dyDescent="0.2">
      <c r="A1776" s="19" t="s">
        <v>187</v>
      </c>
      <c r="B1776" s="19">
        <v>497.61</v>
      </c>
      <c r="C1776" s="19">
        <v>9</v>
      </c>
      <c r="D1776" s="19">
        <v>129.37860000000001</v>
      </c>
    </row>
    <row r="1777" spans="1:4" x14ac:dyDescent="0.2">
      <c r="A1777" s="19" t="s">
        <v>187</v>
      </c>
      <c r="B1777" s="19">
        <v>5.34</v>
      </c>
      <c r="C1777" s="19">
        <v>2</v>
      </c>
      <c r="D1777" s="19">
        <v>1.4952000000000001</v>
      </c>
    </row>
    <row r="1778" spans="1:4" x14ac:dyDescent="0.2">
      <c r="A1778" s="19" t="s">
        <v>187</v>
      </c>
      <c r="B1778" s="19">
        <v>3.15</v>
      </c>
      <c r="C1778" s="19">
        <v>1</v>
      </c>
      <c r="D1778" s="19">
        <v>1.512</v>
      </c>
    </row>
    <row r="1779" spans="1:4" x14ac:dyDescent="0.2">
      <c r="A1779" s="19" t="s">
        <v>150</v>
      </c>
      <c r="B1779" s="19">
        <v>368.91</v>
      </c>
      <c r="C1779" s="19">
        <v>9</v>
      </c>
      <c r="D1779" s="19">
        <v>180.76590000000002</v>
      </c>
    </row>
    <row r="1780" spans="1:4" x14ac:dyDescent="0.2">
      <c r="A1780" s="19" t="s">
        <v>150</v>
      </c>
      <c r="B1780" s="19">
        <v>14.7</v>
      </c>
      <c r="C1780" s="19">
        <v>5</v>
      </c>
      <c r="D1780" s="19">
        <v>6.6150000000000002</v>
      </c>
    </row>
    <row r="1781" spans="1:4" x14ac:dyDescent="0.2">
      <c r="A1781" s="19" t="s">
        <v>164</v>
      </c>
      <c r="B1781" s="19">
        <v>59.97</v>
      </c>
      <c r="C1781" s="19">
        <v>3</v>
      </c>
      <c r="D1781" s="19">
        <v>14.992499999999996</v>
      </c>
    </row>
    <row r="1782" spans="1:4" x14ac:dyDescent="0.2">
      <c r="A1782" s="19" t="s">
        <v>164</v>
      </c>
      <c r="B1782" s="19">
        <v>83.36</v>
      </c>
      <c r="C1782" s="19">
        <v>1</v>
      </c>
      <c r="D1782" s="19">
        <v>20.840000000000003</v>
      </c>
    </row>
    <row r="1783" spans="1:4" x14ac:dyDescent="0.2">
      <c r="A1783" s="19" t="s">
        <v>180</v>
      </c>
      <c r="B1783" s="19">
        <v>6.58</v>
      </c>
      <c r="C1783" s="19">
        <v>2</v>
      </c>
      <c r="D1783" s="19">
        <v>3.0267999999999997</v>
      </c>
    </row>
    <row r="1784" spans="1:4" x14ac:dyDescent="0.2">
      <c r="A1784" s="19" t="s">
        <v>180</v>
      </c>
      <c r="B1784" s="19">
        <v>122.94</v>
      </c>
      <c r="C1784" s="19">
        <v>3</v>
      </c>
      <c r="D1784" s="19">
        <v>59.011199999999988</v>
      </c>
    </row>
    <row r="1785" spans="1:4" x14ac:dyDescent="0.2">
      <c r="A1785" s="19" t="s">
        <v>155</v>
      </c>
      <c r="B1785" s="19">
        <v>219.84</v>
      </c>
      <c r="C1785" s="19">
        <v>4</v>
      </c>
      <c r="D1785" s="19">
        <v>107.7216</v>
      </c>
    </row>
    <row r="1786" spans="1:4" x14ac:dyDescent="0.2">
      <c r="A1786" s="19" t="s">
        <v>155</v>
      </c>
      <c r="B1786" s="19">
        <v>98.16</v>
      </c>
      <c r="C1786" s="19">
        <v>6</v>
      </c>
      <c r="D1786" s="19">
        <v>9.8159999999999954</v>
      </c>
    </row>
    <row r="1787" spans="1:4" x14ac:dyDescent="0.2">
      <c r="A1787" s="19" t="s">
        <v>155</v>
      </c>
      <c r="B1787" s="19">
        <v>33.04</v>
      </c>
      <c r="C1787" s="19">
        <v>8</v>
      </c>
      <c r="D1787" s="19">
        <v>15.5288</v>
      </c>
    </row>
    <row r="1788" spans="1:4" x14ac:dyDescent="0.2">
      <c r="A1788" s="19" t="s">
        <v>155</v>
      </c>
      <c r="B1788" s="19">
        <v>86.97</v>
      </c>
      <c r="C1788" s="19">
        <v>3</v>
      </c>
      <c r="D1788" s="19">
        <v>25.221299999999989</v>
      </c>
    </row>
    <row r="1789" spans="1:4" x14ac:dyDescent="0.2">
      <c r="A1789" s="19" t="s">
        <v>155</v>
      </c>
      <c r="B1789" s="19">
        <v>134.97</v>
      </c>
      <c r="C1789" s="19">
        <v>3</v>
      </c>
      <c r="D1789" s="19">
        <v>64.785599999999988</v>
      </c>
    </row>
    <row r="1790" spans="1:4" x14ac:dyDescent="0.2">
      <c r="A1790" s="19" t="s">
        <v>155</v>
      </c>
      <c r="B1790" s="19">
        <v>699.98</v>
      </c>
      <c r="C1790" s="19">
        <v>2</v>
      </c>
      <c r="D1790" s="19">
        <v>195.99440000000004</v>
      </c>
    </row>
    <row r="1791" spans="1:4" x14ac:dyDescent="0.2">
      <c r="A1791" s="19" t="s">
        <v>155</v>
      </c>
      <c r="B1791" s="19">
        <v>139.94999999999999</v>
      </c>
      <c r="C1791" s="19">
        <v>5</v>
      </c>
      <c r="D1791" s="19">
        <v>26.590499999999988</v>
      </c>
    </row>
    <row r="1792" spans="1:4" x14ac:dyDescent="0.2">
      <c r="A1792" s="19" t="s">
        <v>164</v>
      </c>
      <c r="B1792" s="19">
        <v>48.94</v>
      </c>
      <c r="C1792" s="19">
        <v>1</v>
      </c>
      <c r="D1792" s="19">
        <v>24.47</v>
      </c>
    </row>
    <row r="1793" spans="1:4" x14ac:dyDescent="0.2">
      <c r="A1793" s="19" t="s">
        <v>155</v>
      </c>
      <c r="B1793" s="19">
        <v>2807.84</v>
      </c>
      <c r="C1793" s="19">
        <v>8</v>
      </c>
      <c r="D1793" s="19">
        <v>673.88160000000016</v>
      </c>
    </row>
    <row r="1794" spans="1:4" x14ac:dyDescent="0.2">
      <c r="A1794" s="19" t="s">
        <v>155</v>
      </c>
      <c r="B1794" s="19">
        <v>46.64</v>
      </c>
      <c r="C1794" s="19">
        <v>4</v>
      </c>
      <c r="D1794" s="19">
        <v>12.592800000000004</v>
      </c>
    </row>
    <row r="1795" spans="1:4" x14ac:dyDescent="0.2">
      <c r="A1795" s="19" t="s">
        <v>154</v>
      </c>
      <c r="B1795" s="19">
        <v>60.415999999999997</v>
      </c>
      <c r="C1795" s="19">
        <v>2</v>
      </c>
      <c r="D1795" s="19">
        <v>6.0416000000000025</v>
      </c>
    </row>
    <row r="1796" spans="1:4" x14ac:dyDescent="0.2">
      <c r="A1796" s="19" t="s">
        <v>189</v>
      </c>
      <c r="B1796" s="19">
        <v>107.94</v>
      </c>
      <c r="C1796" s="19">
        <v>3</v>
      </c>
      <c r="D1796" s="19">
        <v>26.984999999999992</v>
      </c>
    </row>
    <row r="1797" spans="1:4" x14ac:dyDescent="0.2">
      <c r="A1797" s="19" t="s">
        <v>164</v>
      </c>
      <c r="B1797" s="19">
        <v>63.84</v>
      </c>
      <c r="C1797" s="19">
        <v>8</v>
      </c>
      <c r="D1797" s="19">
        <v>16.598399999999998</v>
      </c>
    </row>
    <row r="1798" spans="1:4" x14ac:dyDescent="0.2">
      <c r="A1798" s="19" t="s">
        <v>164</v>
      </c>
      <c r="B1798" s="19">
        <v>347.96999999999997</v>
      </c>
      <c r="C1798" s="19">
        <v>3</v>
      </c>
      <c r="D1798" s="19">
        <v>100.91129999999997</v>
      </c>
    </row>
    <row r="1799" spans="1:4" x14ac:dyDescent="0.2">
      <c r="A1799" s="19" t="s">
        <v>164</v>
      </c>
      <c r="B1799" s="19">
        <v>37.008000000000003</v>
      </c>
      <c r="C1799" s="19">
        <v>6</v>
      </c>
      <c r="D1799" s="19">
        <v>11.565</v>
      </c>
    </row>
    <row r="1800" spans="1:4" x14ac:dyDescent="0.2">
      <c r="A1800" s="19" t="s">
        <v>150</v>
      </c>
      <c r="B1800" s="19">
        <v>215.65</v>
      </c>
      <c r="C1800" s="19">
        <v>5</v>
      </c>
      <c r="D1800" s="19">
        <v>73.320999999999998</v>
      </c>
    </row>
    <row r="1801" spans="1:4" x14ac:dyDescent="0.2">
      <c r="A1801" s="19" t="s">
        <v>154</v>
      </c>
      <c r="B1801" s="19">
        <v>11.168000000000001</v>
      </c>
      <c r="C1801" s="19">
        <v>4</v>
      </c>
      <c r="D1801" s="19">
        <v>3.6295999999999995</v>
      </c>
    </row>
    <row r="1802" spans="1:4" x14ac:dyDescent="0.2">
      <c r="A1802" s="19" t="s">
        <v>154</v>
      </c>
      <c r="B1802" s="19">
        <v>53.952000000000005</v>
      </c>
      <c r="C1802" s="19">
        <v>3</v>
      </c>
      <c r="D1802" s="19">
        <v>17.534399999999998</v>
      </c>
    </row>
    <row r="1803" spans="1:4" x14ac:dyDescent="0.2">
      <c r="A1803" s="19" t="s">
        <v>153</v>
      </c>
      <c r="B1803" s="19">
        <v>4.18</v>
      </c>
      <c r="C1803" s="19">
        <v>1</v>
      </c>
      <c r="D1803" s="19">
        <v>1.5047999999999999</v>
      </c>
    </row>
    <row r="1804" spans="1:4" x14ac:dyDescent="0.2">
      <c r="A1804" s="19" t="s">
        <v>158</v>
      </c>
      <c r="B1804" s="19">
        <v>5.6070000000000011</v>
      </c>
      <c r="C1804" s="19">
        <v>1</v>
      </c>
      <c r="D1804" s="19">
        <v>-4.2987000000000002</v>
      </c>
    </row>
    <row r="1805" spans="1:4" x14ac:dyDescent="0.2">
      <c r="A1805" s="19" t="s">
        <v>158</v>
      </c>
      <c r="B1805" s="19">
        <v>4663.7360000000008</v>
      </c>
      <c r="C1805" s="19">
        <v>7</v>
      </c>
      <c r="D1805" s="19">
        <v>-1049.3406</v>
      </c>
    </row>
    <row r="1806" spans="1:4" x14ac:dyDescent="0.2">
      <c r="A1806" s="19" t="s">
        <v>158</v>
      </c>
      <c r="B1806" s="19">
        <v>79.984000000000009</v>
      </c>
      <c r="C1806" s="19">
        <v>2</v>
      </c>
      <c r="D1806" s="19">
        <v>22.995400000000004</v>
      </c>
    </row>
    <row r="1807" spans="1:4" x14ac:dyDescent="0.2">
      <c r="A1807" s="19" t="s">
        <v>150</v>
      </c>
      <c r="B1807" s="19">
        <v>2575.944</v>
      </c>
      <c r="C1807" s="19">
        <v>7</v>
      </c>
      <c r="D1807" s="19">
        <v>257.59440000000029</v>
      </c>
    </row>
    <row r="1808" spans="1:4" x14ac:dyDescent="0.2">
      <c r="A1808" s="19" t="s">
        <v>150</v>
      </c>
      <c r="B1808" s="19">
        <v>45.36</v>
      </c>
      <c r="C1808" s="19">
        <v>7</v>
      </c>
      <c r="D1808" s="19">
        <v>21.772800000000004</v>
      </c>
    </row>
    <row r="1809" spans="1:4" x14ac:dyDescent="0.2">
      <c r="A1809" s="19" t="s">
        <v>150</v>
      </c>
      <c r="B1809" s="19">
        <v>254.24</v>
      </c>
      <c r="C1809" s="19">
        <v>7</v>
      </c>
      <c r="D1809" s="19">
        <v>76.271999999999977</v>
      </c>
    </row>
    <row r="1810" spans="1:4" x14ac:dyDescent="0.2">
      <c r="A1810" s="19" t="s">
        <v>175</v>
      </c>
      <c r="B1810" s="19">
        <v>69.930000000000007</v>
      </c>
      <c r="C1810" s="19">
        <v>7</v>
      </c>
      <c r="D1810" s="19">
        <v>0.69929999999999914</v>
      </c>
    </row>
    <row r="1811" spans="1:4" x14ac:dyDescent="0.2">
      <c r="A1811" s="19" t="s">
        <v>159</v>
      </c>
      <c r="B1811" s="19">
        <v>16.155999999999999</v>
      </c>
      <c r="C1811" s="19">
        <v>7</v>
      </c>
      <c r="D1811" s="19">
        <v>-12.116999999999999</v>
      </c>
    </row>
    <row r="1812" spans="1:4" x14ac:dyDescent="0.2">
      <c r="A1812" s="19" t="s">
        <v>159</v>
      </c>
      <c r="B1812" s="19">
        <v>54.816000000000003</v>
      </c>
      <c r="C1812" s="19">
        <v>3</v>
      </c>
      <c r="D1812" s="19">
        <v>17.815199999999997</v>
      </c>
    </row>
    <row r="1813" spans="1:4" x14ac:dyDescent="0.2">
      <c r="A1813" s="19" t="s">
        <v>166</v>
      </c>
      <c r="B1813" s="19">
        <v>1441.3</v>
      </c>
      <c r="C1813" s="19">
        <v>7</v>
      </c>
      <c r="D1813" s="19">
        <v>245.0209999999999</v>
      </c>
    </row>
    <row r="1814" spans="1:4" x14ac:dyDescent="0.2">
      <c r="A1814" s="19" t="s">
        <v>173</v>
      </c>
      <c r="B1814" s="19">
        <v>77.599999999999994</v>
      </c>
      <c r="C1814" s="19">
        <v>5</v>
      </c>
      <c r="D1814" s="19">
        <v>28.129999999999995</v>
      </c>
    </row>
    <row r="1815" spans="1:4" x14ac:dyDescent="0.2">
      <c r="A1815" s="19" t="s">
        <v>173</v>
      </c>
      <c r="B1815" s="19">
        <v>4.6560000000000006</v>
      </c>
      <c r="C1815" s="19">
        <v>2</v>
      </c>
      <c r="D1815" s="19">
        <v>1.5713999999999997</v>
      </c>
    </row>
    <row r="1816" spans="1:4" x14ac:dyDescent="0.2">
      <c r="A1816" s="19" t="s">
        <v>150</v>
      </c>
      <c r="B1816" s="19">
        <v>170.13600000000002</v>
      </c>
      <c r="C1816" s="19">
        <v>3</v>
      </c>
      <c r="D1816" s="19">
        <v>-8.5067999999999913</v>
      </c>
    </row>
    <row r="1817" spans="1:4" x14ac:dyDescent="0.2">
      <c r="A1817" s="19" t="s">
        <v>153</v>
      </c>
      <c r="B1817" s="19">
        <v>7.38</v>
      </c>
      <c r="C1817" s="19">
        <v>2</v>
      </c>
      <c r="D1817" s="19">
        <v>3.4685999999999999</v>
      </c>
    </row>
    <row r="1818" spans="1:4" x14ac:dyDescent="0.2">
      <c r="A1818" s="19" t="s">
        <v>153</v>
      </c>
      <c r="B1818" s="19">
        <v>9.26</v>
      </c>
      <c r="C1818" s="19">
        <v>2</v>
      </c>
      <c r="D1818" s="19">
        <v>3.0557999999999996</v>
      </c>
    </row>
    <row r="1819" spans="1:4" x14ac:dyDescent="0.2">
      <c r="A1819" s="19" t="s">
        <v>150</v>
      </c>
      <c r="B1819" s="19">
        <v>9.9600000000000009</v>
      </c>
      <c r="C1819" s="19">
        <v>2</v>
      </c>
      <c r="D1819" s="19">
        <v>4.5815999999999999</v>
      </c>
    </row>
    <row r="1820" spans="1:4" x14ac:dyDescent="0.2">
      <c r="A1820" s="19" t="s">
        <v>159</v>
      </c>
      <c r="B1820" s="19">
        <v>75.59999999999998</v>
      </c>
      <c r="C1820" s="19">
        <v>2</v>
      </c>
      <c r="D1820" s="19">
        <v>-166.32000000000005</v>
      </c>
    </row>
    <row r="1821" spans="1:4" x14ac:dyDescent="0.2">
      <c r="A1821" s="19" t="s">
        <v>159</v>
      </c>
      <c r="B1821" s="19">
        <v>29.32</v>
      </c>
      <c r="C1821" s="19">
        <v>2</v>
      </c>
      <c r="D1821" s="19">
        <v>-24.188999999999993</v>
      </c>
    </row>
    <row r="1822" spans="1:4" x14ac:dyDescent="0.2">
      <c r="A1822" s="19" t="s">
        <v>159</v>
      </c>
      <c r="B1822" s="19">
        <v>92.063999999999979</v>
      </c>
      <c r="C1822" s="19">
        <v>6</v>
      </c>
      <c r="D1822" s="19">
        <v>-225.55680000000007</v>
      </c>
    </row>
    <row r="1823" spans="1:4" x14ac:dyDescent="0.2">
      <c r="A1823" s="19" t="s">
        <v>159</v>
      </c>
      <c r="B1823" s="19">
        <v>6.9760000000000009</v>
      </c>
      <c r="C1823" s="19">
        <v>4</v>
      </c>
      <c r="D1823" s="19">
        <v>1.8312000000000004</v>
      </c>
    </row>
    <row r="1824" spans="1:4" x14ac:dyDescent="0.2">
      <c r="A1824" s="19" t="s">
        <v>159</v>
      </c>
      <c r="B1824" s="19">
        <v>62.957999999999998</v>
      </c>
      <c r="C1824" s="19">
        <v>3</v>
      </c>
      <c r="D1824" s="19">
        <v>-2.6981999999999999</v>
      </c>
    </row>
    <row r="1825" spans="1:4" x14ac:dyDescent="0.2">
      <c r="A1825" s="19" t="s">
        <v>159</v>
      </c>
      <c r="B1825" s="19">
        <v>5.1840000000000011</v>
      </c>
      <c r="C1825" s="19">
        <v>1</v>
      </c>
      <c r="D1825" s="19">
        <v>1.8144</v>
      </c>
    </row>
    <row r="1826" spans="1:4" x14ac:dyDescent="0.2">
      <c r="A1826" s="19" t="s">
        <v>170</v>
      </c>
      <c r="B1826" s="19">
        <v>31.32</v>
      </c>
      <c r="C1826" s="19">
        <v>10</v>
      </c>
      <c r="D1826" s="19">
        <v>-25.05599999999999</v>
      </c>
    </row>
    <row r="1827" spans="1:4" x14ac:dyDescent="0.2">
      <c r="A1827" s="19" t="s">
        <v>170</v>
      </c>
      <c r="B1827" s="19">
        <v>11.840000000000002</v>
      </c>
      <c r="C1827" s="19">
        <v>4</v>
      </c>
      <c r="D1827" s="19">
        <v>3.108000000000001</v>
      </c>
    </row>
    <row r="1828" spans="1:4" x14ac:dyDescent="0.2">
      <c r="A1828" s="19" t="s">
        <v>170</v>
      </c>
      <c r="B1828" s="19">
        <v>22.784000000000002</v>
      </c>
      <c r="C1828" s="19">
        <v>1</v>
      </c>
      <c r="D1828" s="19">
        <v>4.8416000000000006</v>
      </c>
    </row>
    <row r="1829" spans="1:4" x14ac:dyDescent="0.2">
      <c r="A1829" s="19" t="s">
        <v>152</v>
      </c>
      <c r="B1829" s="19">
        <v>1127.9760000000001</v>
      </c>
      <c r="C1829" s="19">
        <v>3</v>
      </c>
      <c r="D1829" s="19">
        <v>126.8972999999998</v>
      </c>
    </row>
    <row r="1830" spans="1:4" x14ac:dyDescent="0.2">
      <c r="A1830" s="19" t="s">
        <v>101</v>
      </c>
      <c r="B1830" s="19">
        <v>38.880000000000003</v>
      </c>
      <c r="C1830" s="19">
        <v>6</v>
      </c>
      <c r="D1830" s="19">
        <v>18.662400000000002</v>
      </c>
    </row>
    <row r="1831" spans="1:4" x14ac:dyDescent="0.2">
      <c r="A1831" s="19" t="s">
        <v>173</v>
      </c>
      <c r="B1831" s="19">
        <v>779.79600000000005</v>
      </c>
      <c r="C1831" s="19">
        <v>2</v>
      </c>
      <c r="D1831" s="19">
        <v>-168.95579999999995</v>
      </c>
    </row>
    <row r="1832" spans="1:4" x14ac:dyDescent="0.2">
      <c r="A1832" s="19" t="s">
        <v>175</v>
      </c>
      <c r="B1832" s="19">
        <v>1439.92</v>
      </c>
      <c r="C1832" s="19">
        <v>8</v>
      </c>
      <c r="D1832" s="19">
        <v>374.37920000000008</v>
      </c>
    </row>
    <row r="1833" spans="1:4" x14ac:dyDescent="0.2">
      <c r="A1833" s="19" t="s">
        <v>175</v>
      </c>
      <c r="B1833" s="19">
        <v>262.11</v>
      </c>
      <c r="C1833" s="19">
        <v>1</v>
      </c>
      <c r="D1833" s="19">
        <v>62.906399999999991</v>
      </c>
    </row>
    <row r="1834" spans="1:4" x14ac:dyDescent="0.2">
      <c r="A1834" s="19" t="s">
        <v>152</v>
      </c>
      <c r="B1834" s="19">
        <v>207</v>
      </c>
      <c r="C1834" s="19">
        <v>3</v>
      </c>
      <c r="D1834" s="19">
        <v>25.874999999999972</v>
      </c>
    </row>
    <row r="1835" spans="1:4" x14ac:dyDescent="0.2">
      <c r="A1835" s="19" t="s">
        <v>154</v>
      </c>
      <c r="B1835" s="19">
        <v>1439.982</v>
      </c>
      <c r="C1835" s="19">
        <v>3</v>
      </c>
      <c r="D1835" s="19">
        <v>-263.99670000000026</v>
      </c>
    </row>
    <row r="1836" spans="1:4" x14ac:dyDescent="0.2">
      <c r="A1836" s="19" t="s">
        <v>154</v>
      </c>
      <c r="B1836" s="19">
        <v>36.288000000000011</v>
      </c>
      <c r="C1836" s="19">
        <v>7</v>
      </c>
      <c r="D1836" s="19">
        <v>12.700800000000001</v>
      </c>
    </row>
    <row r="1837" spans="1:4" x14ac:dyDescent="0.2">
      <c r="A1837" s="19" t="s">
        <v>178</v>
      </c>
      <c r="B1837" s="19">
        <v>21.400000000000002</v>
      </c>
      <c r="C1837" s="19">
        <v>5</v>
      </c>
      <c r="D1837" s="19">
        <v>6.2059999999999977</v>
      </c>
    </row>
    <row r="1838" spans="1:4" x14ac:dyDescent="0.2">
      <c r="A1838" s="19" t="s">
        <v>101</v>
      </c>
      <c r="B1838" s="19">
        <v>1245.8599999999999</v>
      </c>
      <c r="C1838" s="19">
        <v>7</v>
      </c>
      <c r="D1838" s="19">
        <v>361.29939999999988</v>
      </c>
    </row>
    <row r="1839" spans="1:4" x14ac:dyDescent="0.2">
      <c r="A1839" s="19" t="s">
        <v>152</v>
      </c>
      <c r="B1839" s="19">
        <v>17.544</v>
      </c>
      <c r="C1839" s="19">
        <v>3</v>
      </c>
      <c r="D1839" s="19">
        <v>5.9210999999999983</v>
      </c>
    </row>
    <row r="1840" spans="1:4" x14ac:dyDescent="0.2">
      <c r="A1840" s="19" t="s">
        <v>152</v>
      </c>
      <c r="B1840" s="19">
        <v>44.128</v>
      </c>
      <c r="C1840" s="19">
        <v>4</v>
      </c>
      <c r="D1840" s="19">
        <v>12.135200000000001</v>
      </c>
    </row>
    <row r="1841" spans="1:4" x14ac:dyDescent="0.2">
      <c r="A1841" s="19" t="s">
        <v>152</v>
      </c>
      <c r="B1841" s="19">
        <v>62.920000000000009</v>
      </c>
      <c r="C1841" s="19">
        <v>1</v>
      </c>
      <c r="D1841" s="19">
        <v>10.224499999999994</v>
      </c>
    </row>
    <row r="1842" spans="1:4" x14ac:dyDescent="0.2">
      <c r="A1842" s="19" t="s">
        <v>152</v>
      </c>
      <c r="B1842" s="19">
        <v>78.304000000000002</v>
      </c>
      <c r="C1842" s="19">
        <v>2</v>
      </c>
      <c r="D1842" s="19">
        <v>29.363999999999997</v>
      </c>
    </row>
    <row r="1843" spans="1:4" x14ac:dyDescent="0.2">
      <c r="A1843" s="19" t="s">
        <v>149</v>
      </c>
      <c r="B1843" s="19">
        <v>140.81</v>
      </c>
      <c r="C1843" s="19">
        <v>1</v>
      </c>
      <c r="D1843" s="19">
        <v>39.4268</v>
      </c>
    </row>
    <row r="1844" spans="1:4" x14ac:dyDescent="0.2">
      <c r="A1844" s="19" t="s">
        <v>154</v>
      </c>
      <c r="B1844" s="19">
        <v>40.096000000000004</v>
      </c>
      <c r="C1844" s="19">
        <v>4</v>
      </c>
      <c r="D1844" s="19">
        <v>13.532399999999996</v>
      </c>
    </row>
    <row r="1845" spans="1:4" x14ac:dyDescent="0.2">
      <c r="A1845" s="19" t="s">
        <v>154</v>
      </c>
      <c r="B1845" s="19">
        <v>40.783999999999999</v>
      </c>
      <c r="C1845" s="19">
        <v>2</v>
      </c>
      <c r="D1845" s="19">
        <v>-30.588000000000001</v>
      </c>
    </row>
    <row r="1846" spans="1:4" x14ac:dyDescent="0.2">
      <c r="A1846" s="19" t="s">
        <v>153</v>
      </c>
      <c r="B1846" s="19">
        <v>90.570000000000007</v>
      </c>
      <c r="C1846" s="19">
        <v>3</v>
      </c>
      <c r="D1846" s="19">
        <v>11.774100000000004</v>
      </c>
    </row>
    <row r="1847" spans="1:4" x14ac:dyDescent="0.2">
      <c r="A1847" s="19" t="s">
        <v>188</v>
      </c>
      <c r="B1847" s="19">
        <v>40.08</v>
      </c>
      <c r="C1847" s="19">
        <v>6</v>
      </c>
      <c r="D1847" s="19">
        <v>19.238399999999999</v>
      </c>
    </row>
    <row r="1848" spans="1:4" x14ac:dyDescent="0.2">
      <c r="A1848" s="19" t="s">
        <v>188</v>
      </c>
      <c r="B1848" s="19">
        <v>37.68</v>
      </c>
      <c r="C1848" s="19">
        <v>2</v>
      </c>
      <c r="D1848" s="19">
        <v>15.825600000000001</v>
      </c>
    </row>
    <row r="1849" spans="1:4" x14ac:dyDescent="0.2">
      <c r="A1849" s="19" t="s">
        <v>150</v>
      </c>
      <c r="B1849" s="19">
        <v>362.35199999999998</v>
      </c>
      <c r="C1849" s="19">
        <v>3</v>
      </c>
      <c r="D1849" s="19">
        <v>27.176400000000015</v>
      </c>
    </row>
    <row r="1850" spans="1:4" x14ac:dyDescent="0.2">
      <c r="A1850" s="19" t="s">
        <v>150</v>
      </c>
      <c r="B1850" s="19">
        <v>7.1840000000000011</v>
      </c>
      <c r="C1850" s="19">
        <v>2</v>
      </c>
      <c r="D1850" s="19">
        <v>2.2449999999999992</v>
      </c>
    </row>
    <row r="1851" spans="1:4" x14ac:dyDescent="0.2">
      <c r="A1851" s="19" t="s">
        <v>163</v>
      </c>
      <c r="B1851" s="19">
        <v>34.76</v>
      </c>
      <c r="C1851" s="19">
        <v>1</v>
      </c>
      <c r="D1851" s="19">
        <v>9.732800000000001</v>
      </c>
    </row>
    <row r="1852" spans="1:4" x14ac:dyDescent="0.2">
      <c r="A1852" s="19" t="s">
        <v>163</v>
      </c>
      <c r="B1852" s="19">
        <v>831.2</v>
      </c>
      <c r="C1852" s="19">
        <v>5</v>
      </c>
      <c r="D1852" s="19">
        <v>124.68000000000004</v>
      </c>
    </row>
    <row r="1853" spans="1:4" x14ac:dyDescent="0.2">
      <c r="A1853" s="19" t="s">
        <v>163</v>
      </c>
      <c r="B1853" s="19">
        <v>26.400000000000002</v>
      </c>
      <c r="C1853" s="19">
        <v>5</v>
      </c>
      <c r="D1853" s="19">
        <v>11.879999999999999</v>
      </c>
    </row>
    <row r="1854" spans="1:4" x14ac:dyDescent="0.2">
      <c r="A1854" s="19" t="s">
        <v>163</v>
      </c>
      <c r="B1854" s="19">
        <v>106.75</v>
      </c>
      <c r="C1854" s="19">
        <v>7</v>
      </c>
      <c r="D1854" s="19">
        <v>49.10499999999999</v>
      </c>
    </row>
    <row r="1855" spans="1:4" x14ac:dyDescent="0.2">
      <c r="A1855" s="19" t="s">
        <v>163</v>
      </c>
      <c r="B1855" s="19">
        <v>97.82</v>
      </c>
      <c r="C1855" s="19">
        <v>2</v>
      </c>
      <c r="D1855" s="19">
        <v>45.975399999999993</v>
      </c>
    </row>
    <row r="1856" spans="1:4" x14ac:dyDescent="0.2">
      <c r="A1856" s="19" t="s">
        <v>163</v>
      </c>
      <c r="B1856" s="19">
        <v>141.4</v>
      </c>
      <c r="C1856" s="19">
        <v>5</v>
      </c>
      <c r="D1856" s="19">
        <v>38.177999999999997</v>
      </c>
    </row>
    <row r="1857" spans="1:4" x14ac:dyDescent="0.2">
      <c r="A1857" s="19" t="s">
        <v>150</v>
      </c>
      <c r="B1857" s="19">
        <v>14.52</v>
      </c>
      <c r="C1857" s="19">
        <v>3</v>
      </c>
      <c r="D1857" s="19">
        <v>4.7915999999999999</v>
      </c>
    </row>
    <row r="1858" spans="1:4" x14ac:dyDescent="0.2">
      <c r="A1858" s="19" t="s">
        <v>154</v>
      </c>
      <c r="B1858" s="19">
        <v>127.92000000000002</v>
      </c>
      <c r="C1858" s="19">
        <v>5</v>
      </c>
      <c r="D1858" s="19">
        <v>-15.990000000000002</v>
      </c>
    </row>
    <row r="1859" spans="1:4" x14ac:dyDescent="0.2">
      <c r="A1859" s="19" t="s">
        <v>154</v>
      </c>
      <c r="B1859" s="19">
        <v>34.239999999999988</v>
      </c>
      <c r="C1859" s="19">
        <v>4</v>
      </c>
      <c r="D1859" s="19">
        <v>-53.072000000000017</v>
      </c>
    </row>
    <row r="1860" spans="1:4" x14ac:dyDescent="0.2">
      <c r="A1860" s="19" t="s">
        <v>178</v>
      </c>
      <c r="B1860" s="19">
        <v>137.62</v>
      </c>
      <c r="C1860" s="19">
        <v>2</v>
      </c>
      <c r="D1860" s="19">
        <v>60.552800000000005</v>
      </c>
    </row>
    <row r="1861" spans="1:4" x14ac:dyDescent="0.2">
      <c r="A1861" s="19" t="s">
        <v>178</v>
      </c>
      <c r="B1861" s="19">
        <v>100.49</v>
      </c>
      <c r="C1861" s="19">
        <v>1</v>
      </c>
      <c r="D1861" s="19">
        <v>25.122500000000002</v>
      </c>
    </row>
    <row r="1862" spans="1:4" x14ac:dyDescent="0.2">
      <c r="A1862" s="19" t="s">
        <v>164</v>
      </c>
      <c r="B1862" s="19">
        <v>257.56799999999998</v>
      </c>
      <c r="C1862" s="19">
        <v>2</v>
      </c>
      <c r="D1862" s="19">
        <v>-28.976400000000012</v>
      </c>
    </row>
    <row r="1863" spans="1:4" x14ac:dyDescent="0.2">
      <c r="A1863" s="19" t="s">
        <v>164</v>
      </c>
      <c r="B1863" s="19">
        <v>119.96</v>
      </c>
      <c r="C1863" s="19">
        <v>4</v>
      </c>
      <c r="D1863" s="19">
        <v>33.588800000000006</v>
      </c>
    </row>
    <row r="1864" spans="1:4" x14ac:dyDescent="0.2">
      <c r="A1864" s="19" t="s">
        <v>154</v>
      </c>
      <c r="B1864" s="19">
        <v>49.632000000000005</v>
      </c>
      <c r="C1864" s="19">
        <v>4</v>
      </c>
      <c r="D1864" s="19">
        <v>4.9632000000000005</v>
      </c>
    </row>
    <row r="1865" spans="1:4" x14ac:dyDescent="0.2">
      <c r="A1865" s="19" t="s">
        <v>171</v>
      </c>
      <c r="B1865" s="19">
        <v>727.45</v>
      </c>
      <c r="C1865" s="19">
        <v>5</v>
      </c>
      <c r="D1865" s="19">
        <v>-465.5680000000001</v>
      </c>
    </row>
    <row r="1866" spans="1:4" x14ac:dyDescent="0.2">
      <c r="A1866" s="19" t="s">
        <v>171</v>
      </c>
      <c r="B1866" s="19">
        <v>24.96</v>
      </c>
      <c r="C1866" s="19">
        <v>3</v>
      </c>
      <c r="D1866" s="19">
        <v>4.3679999999999986</v>
      </c>
    </row>
    <row r="1867" spans="1:4" x14ac:dyDescent="0.2">
      <c r="A1867" s="19" t="s">
        <v>173</v>
      </c>
      <c r="B1867" s="19">
        <v>370.78199999999998</v>
      </c>
      <c r="C1867" s="19">
        <v>3</v>
      </c>
      <c r="D1867" s="19">
        <v>-92.695500000000038</v>
      </c>
    </row>
    <row r="1868" spans="1:4" x14ac:dyDescent="0.2">
      <c r="A1868" s="19" t="s">
        <v>181</v>
      </c>
      <c r="B1868" s="19">
        <v>196.45</v>
      </c>
      <c r="C1868" s="19">
        <v>5</v>
      </c>
      <c r="D1868" s="19">
        <v>70.72199999999998</v>
      </c>
    </row>
    <row r="1869" spans="1:4" x14ac:dyDescent="0.2">
      <c r="A1869" s="19" t="s">
        <v>158</v>
      </c>
      <c r="B1869" s="19">
        <v>31.104000000000006</v>
      </c>
      <c r="C1869" s="19">
        <v>6</v>
      </c>
      <c r="D1869" s="19">
        <v>10.8864</v>
      </c>
    </row>
    <row r="1870" spans="1:4" x14ac:dyDescent="0.2">
      <c r="A1870" s="19" t="s">
        <v>158</v>
      </c>
      <c r="B1870" s="19">
        <v>78.256</v>
      </c>
      <c r="C1870" s="19">
        <v>2</v>
      </c>
      <c r="D1870" s="19">
        <v>-17.607599999999998</v>
      </c>
    </row>
    <row r="1871" spans="1:4" x14ac:dyDescent="0.2">
      <c r="A1871" s="19" t="s">
        <v>153</v>
      </c>
      <c r="B1871" s="19">
        <v>6.48</v>
      </c>
      <c r="C1871" s="19">
        <v>1</v>
      </c>
      <c r="D1871" s="19">
        <v>3.1104000000000003</v>
      </c>
    </row>
    <row r="1872" spans="1:4" x14ac:dyDescent="0.2">
      <c r="A1872" s="19" t="s">
        <v>150</v>
      </c>
      <c r="B1872" s="19">
        <v>99.2</v>
      </c>
      <c r="C1872" s="19">
        <v>5</v>
      </c>
      <c r="D1872" s="19">
        <v>25.792000000000002</v>
      </c>
    </row>
    <row r="1873" spans="1:4" x14ac:dyDescent="0.2">
      <c r="A1873" s="19" t="s">
        <v>150</v>
      </c>
      <c r="B1873" s="19">
        <v>801.5680000000001</v>
      </c>
      <c r="C1873" s="19">
        <v>2</v>
      </c>
      <c r="D1873" s="19">
        <v>50.097999999999985</v>
      </c>
    </row>
    <row r="1874" spans="1:4" x14ac:dyDescent="0.2">
      <c r="A1874" s="19" t="s">
        <v>150</v>
      </c>
      <c r="B1874" s="19">
        <v>272.84800000000001</v>
      </c>
      <c r="C1874" s="19">
        <v>1</v>
      </c>
      <c r="D1874" s="19">
        <v>27.284800000000004</v>
      </c>
    </row>
    <row r="1875" spans="1:4" x14ac:dyDescent="0.2">
      <c r="A1875" s="19" t="s">
        <v>153</v>
      </c>
      <c r="B1875" s="19">
        <v>70.98</v>
      </c>
      <c r="C1875" s="19">
        <v>1</v>
      </c>
      <c r="D1875" s="19">
        <v>20.584199999999996</v>
      </c>
    </row>
    <row r="1876" spans="1:4" x14ac:dyDescent="0.2">
      <c r="A1876" s="19" t="s">
        <v>173</v>
      </c>
      <c r="B1876" s="19">
        <v>16.224</v>
      </c>
      <c r="C1876" s="19">
        <v>2</v>
      </c>
      <c r="D1876" s="19">
        <v>5.8812000000000006</v>
      </c>
    </row>
    <row r="1877" spans="1:4" x14ac:dyDescent="0.2">
      <c r="A1877" s="19" t="s">
        <v>164</v>
      </c>
      <c r="B1877" s="19">
        <v>176.78399999999999</v>
      </c>
      <c r="C1877" s="19">
        <v>1</v>
      </c>
      <c r="D1877" s="19">
        <v>-22.098000000000013</v>
      </c>
    </row>
    <row r="1878" spans="1:4" x14ac:dyDescent="0.2">
      <c r="A1878" s="19" t="s">
        <v>154</v>
      </c>
      <c r="B1878" s="19">
        <v>470.37600000000009</v>
      </c>
      <c r="C1878" s="19">
        <v>3</v>
      </c>
      <c r="D1878" s="19">
        <v>47.037600000000026</v>
      </c>
    </row>
    <row r="1879" spans="1:4" x14ac:dyDescent="0.2">
      <c r="A1879" s="19" t="s">
        <v>150</v>
      </c>
      <c r="B1879" s="19">
        <v>393.56799999999998</v>
      </c>
      <c r="C1879" s="19">
        <v>4</v>
      </c>
      <c r="D1879" s="19">
        <v>-44.276400000000024</v>
      </c>
    </row>
    <row r="1880" spans="1:4" x14ac:dyDescent="0.2">
      <c r="A1880" s="19" t="s">
        <v>150</v>
      </c>
      <c r="B1880" s="19">
        <v>302.37599999999998</v>
      </c>
      <c r="C1880" s="19">
        <v>3</v>
      </c>
      <c r="D1880" s="19">
        <v>22.678200000000018</v>
      </c>
    </row>
    <row r="1881" spans="1:4" x14ac:dyDescent="0.2">
      <c r="A1881" s="19" t="s">
        <v>151</v>
      </c>
      <c r="B1881" s="19">
        <v>68.742000000000019</v>
      </c>
      <c r="C1881" s="19">
        <v>9</v>
      </c>
      <c r="D1881" s="19">
        <v>-48.119399999999985</v>
      </c>
    </row>
    <row r="1882" spans="1:4" x14ac:dyDescent="0.2">
      <c r="A1882" s="19" t="s">
        <v>164</v>
      </c>
      <c r="B1882" s="19">
        <v>29.339999999999996</v>
      </c>
      <c r="C1882" s="19">
        <v>3</v>
      </c>
      <c r="D1882" s="19">
        <v>14.669999999999998</v>
      </c>
    </row>
    <row r="1883" spans="1:4" x14ac:dyDescent="0.2">
      <c r="A1883" s="19" t="s">
        <v>164</v>
      </c>
      <c r="B1883" s="19">
        <v>383.60700000000003</v>
      </c>
      <c r="C1883" s="19">
        <v>7</v>
      </c>
      <c r="D1883" s="19">
        <v>63.934499999999971</v>
      </c>
    </row>
    <row r="1884" spans="1:4" x14ac:dyDescent="0.2">
      <c r="A1884" s="19" t="s">
        <v>164</v>
      </c>
      <c r="B1884" s="19">
        <v>563.4</v>
      </c>
      <c r="C1884" s="19">
        <v>4</v>
      </c>
      <c r="D1884" s="19">
        <v>67.608000000000004</v>
      </c>
    </row>
    <row r="1885" spans="1:4" x14ac:dyDescent="0.2">
      <c r="A1885" s="19" t="s">
        <v>158</v>
      </c>
      <c r="B1885" s="19">
        <v>217.05599999999998</v>
      </c>
      <c r="C1885" s="19">
        <v>7</v>
      </c>
      <c r="D1885" s="19">
        <v>78.6828</v>
      </c>
    </row>
    <row r="1886" spans="1:4" x14ac:dyDescent="0.2">
      <c r="A1886" s="19" t="s">
        <v>154</v>
      </c>
      <c r="B1886" s="19">
        <v>6</v>
      </c>
      <c r="C1886" s="19">
        <v>2</v>
      </c>
      <c r="D1886" s="19">
        <v>2.0999999999999996</v>
      </c>
    </row>
    <row r="1887" spans="1:4" x14ac:dyDescent="0.2">
      <c r="A1887" s="19" t="s">
        <v>150</v>
      </c>
      <c r="B1887" s="19">
        <v>31.56</v>
      </c>
      <c r="C1887" s="19">
        <v>3</v>
      </c>
      <c r="D1887" s="19">
        <v>10.4148</v>
      </c>
    </row>
    <row r="1888" spans="1:4" x14ac:dyDescent="0.2">
      <c r="A1888" s="19" t="s">
        <v>151</v>
      </c>
      <c r="B1888" s="19">
        <v>7.104000000000001</v>
      </c>
      <c r="C1888" s="19">
        <v>2</v>
      </c>
      <c r="D1888" s="19">
        <v>2.3976000000000002</v>
      </c>
    </row>
    <row r="1889" spans="1:4" x14ac:dyDescent="0.2">
      <c r="A1889" s="19" t="s">
        <v>151</v>
      </c>
      <c r="B1889" s="19">
        <v>398.35200000000003</v>
      </c>
      <c r="C1889" s="19">
        <v>8</v>
      </c>
      <c r="D1889" s="19">
        <v>-331.95999999999992</v>
      </c>
    </row>
    <row r="1890" spans="1:4" x14ac:dyDescent="0.2">
      <c r="A1890" s="19" t="s">
        <v>173</v>
      </c>
      <c r="B1890" s="19">
        <v>121.79200000000002</v>
      </c>
      <c r="C1890" s="19">
        <v>4</v>
      </c>
      <c r="D1890" s="19">
        <v>13.701599999999988</v>
      </c>
    </row>
    <row r="1891" spans="1:4" x14ac:dyDescent="0.2">
      <c r="A1891" s="19" t="s">
        <v>173</v>
      </c>
      <c r="B1891" s="19">
        <v>409.59000000000003</v>
      </c>
      <c r="C1891" s="19">
        <v>3</v>
      </c>
      <c r="D1891" s="19">
        <v>-122.87700000000004</v>
      </c>
    </row>
    <row r="1892" spans="1:4" x14ac:dyDescent="0.2">
      <c r="A1892" s="19" t="s">
        <v>150</v>
      </c>
      <c r="B1892" s="19">
        <v>10.56</v>
      </c>
      <c r="C1892" s="19">
        <v>2</v>
      </c>
      <c r="D1892" s="19">
        <v>4.7519999999999998</v>
      </c>
    </row>
    <row r="1893" spans="1:4" x14ac:dyDescent="0.2">
      <c r="A1893" s="19" t="s">
        <v>150</v>
      </c>
      <c r="B1893" s="19">
        <v>3.38</v>
      </c>
      <c r="C1893" s="19">
        <v>1</v>
      </c>
      <c r="D1893" s="19">
        <v>1.2505999999999999</v>
      </c>
    </row>
    <row r="1894" spans="1:4" x14ac:dyDescent="0.2">
      <c r="A1894" s="19" t="s">
        <v>151</v>
      </c>
      <c r="B1894" s="19">
        <v>7.8239999999999998</v>
      </c>
      <c r="C1894" s="19">
        <v>1</v>
      </c>
      <c r="D1894" s="19">
        <v>2.9339999999999997</v>
      </c>
    </row>
    <row r="1895" spans="1:4" x14ac:dyDescent="0.2">
      <c r="A1895" s="19" t="s">
        <v>170</v>
      </c>
      <c r="B1895" s="19">
        <v>24.784000000000002</v>
      </c>
      <c r="C1895" s="19">
        <v>1</v>
      </c>
      <c r="D1895" s="19">
        <v>7.7449999999999983</v>
      </c>
    </row>
    <row r="1896" spans="1:4" x14ac:dyDescent="0.2">
      <c r="A1896" s="19" t="s">
        <v>166</v>
      </c>
      <c r="B1896" s="19">
        <v>34.650000000000006</v>
      </c>
      <c r="C1896" s="19">
        <v>3</v>
      </c>
      <c r="D1896" s="19">
        <v>10.395</v>
      </c>
    </row>
    <row r="1897" spans="1:4" x14ac:dyDescent="0.2">
      <c r="A1897" s="19" t="s">
        <v>185</v>
      </c>
      <c r="B1897" s="19">
        <v>487.98400000000004</v>
      </c>
      <c r="C1897" s="19">
        <v>2</v>
      </c>
      <c r="D1897" s="19">
        <v>152.49499999999998</v>
      </c>
    </row>
    <row r="1898" spans="1:4" x14ac:dyDescent="0.2">
      <c r="A1898" s="19" t="s">
        <v>160</v>
      </c>
      <c r="B1898" s="19">
        <v>1793.98</v>
      </c>
      <c r="C1898" s="19">
        <v>2</v>
      </c>
      <c r="D1898" s="19">
        <v>843.17059999999992</v>
      </c>
    </row>
    <row r="1899" spans="1:4" x14ac:dyDescent="0.2">
      <c r="A1899" s="19" t="s">
        <v>151</v>
      </c>
      <c r="B1899" s="19">
        <v>29.808</v>
      </c>
      <c r="C1899" s="19">
        <v>2</v>
      </c>
      <c r="D1899" s="19">
        <v>10.805399999999997</v>
      </c>
    </row>
    <row r="1900" spans="1:4" x14ac:dyDescent="0.2">
      <c r="A1900" s="19" t="s">
        <v>151</v>
      </c>
      <c r="B1900" s="19">
        <v>505.1760000000001</v>
      </c>
      <c r="C1900" s="19">
        <v>4</v>
      </c>
      <c r="D1900" s="19">
        <v>-336.78399999999988</v>
      </c>
    </row>
    <row r="1901" spans="1:4" x14ac:dyDescent="0.2">
      <c r="A1901" s="19" t="s">
        <v>151</v>
      </c>
      <c r="B1901" s="19">
        <v>174.05850000000001</v>
      </c>
      <c r="C1901" s="19">
        <v>3</v>
      </c>
      <c r="D1901" s="19">
        <v>-110.76450000000001</v>
      </c>
    </row>
    <row r="1902" spans="1:4" x14ac:dyDescent="0.2">
      <c r="A1902" s="19" t="s">
        <v>169</v>
      </c>
      <c r="B1902" s="19">
        <v>191.88</v>
      </c>
      <c r="C1902" s="19">
        <v>6</v>
      </c>
      <c r="D1902" s="19">
        <v>19.188000000000002</v>
      </c>
    </row>
    <row r="1903" spans="1:4" x14ac:dyDescent="0.2">
      <c r="A1903" s="19" t="s">
        <v>161</v>
      </c>
      <c r="B1903" s="19">
        <v>14.78</v>
      </c>
      <c r="C1903" s="19">
        <v>2</v>
      </c>
      <c r="D1903" s="19">
        <v>3.9906000000000006</v>
      </c>
    </row>
    <row r="1904" spans="1:4" x14ac:dyDescent="0.2">
      <c r="A1904" s="19" t="s">
        <v>170</v>
      </c>
      <c r="B1904" s="19">
        <v>5.1840000000000011</v>
      </c>
      <c r="C1904" s="19">
        <v>1</v>
      </c>
      <c r="D1904" s="19">
        <v>1.8144</v>
      </c>
    </row>
    <row r="1905" spans="1:4" x14ac:dyDescent="0.2">
      <c r="A1905" s="19" t="s">
        <v>170</v>
      </c>
      <c r="B1905" s="19">
        <v>478.48</v>
      </c>
      <c r="C1905" s="19">
        <v>2</v>
      </c>
      <c r="D1905" s="19">
        <v>47.848000000000013</v>
      </c>
    </row>
    <row r="1906" spans="1:4" x14ac:dyDescent="0.2">
      <c r="A1906" s="19" t="s">
        <v>170</v>
      </c>
      <c r="B1906" s="19">
        <v>28.400000000000002</v>
      </c>
      <c r="C1906" s="19">
        <v>2</v>
      </c>
      <c r="D1906" s="19">
        <v>6.7449999999999983</v>
      </c>
    </row>
    <row r="1907" spans="1:4" x14ac:dyDescent="0.2">
      <c r="A1907" s="19" t="s">
        <v>163</v>
      </c>
      <c r="B1907" s="19">
        <v>909.12</v>
      </c>
      <c r="C1907" s="19">
        <v>8</v>
      </c>
      <c r="D1907" s="19">
        <v>9.091199999999958</v>
      </c>
    </row>
    <row r="1908" spans="1:4" x14ac:dyDescent="0.2">
      <c r="A1908" s="19" t="s">
        <v>151</v>
      </c>
      <c r="B1908" s="19">
        <v>2.9520000000000004</v>
      </c>
      <c r="C1908" s="19">
        <v>2</v>
      </c>
      <c r="D1908" s="19">
        <v>-2.1648000000000005</v>
      </c>
    </row>
    <row r="1909" spans="1:4" x14ac:dyDescent="0.2">
      <c r="A1909" s="19" t="s">
        <v>151</v>
      </c>
      <c r="B1909" s="19">
        <v>27.018000000000008</v>
      </c>
      <c r="C1909" s="19">
        <v>6</v>
      </c>
      <c r="D1909" s="19">
        <v>-21.61440000000001</v>
      </c>
    </row>
    <row r="1910" spans="1:4" x14ac:dyDescent="0.2">
      <c r="A1910" s="19" t="s">
        <v>150</v>
      </c>
      <c r="B1910" s="19">
        <v>136.91999999999999</v>
      </c>
      <c r="C1910" s="19">
        <v>4</v>
      </c>
      <c r="D1910" s="19">
        <v>41.075999999999993</v>
      </c>
    </row>
    <row r="1911" spans="1:4" x14ac:dyDescent="0.2">
      <c r="A1911" s="19" t="s">
        <v>164</v>
      </c>
      <c r="B1911" s="19">
        <v>18.96</v>
      </c>
      <c r="C1911" s="19">
        <v>2</v>
      </c>
      <c r="D1911" s="19">
        <v>8.532</v>
      </c>
    </row>
    <row r="1912" spans="1:4" x14ac:dyDescent="0.2">
      <c r="A1912" s="19" t="s">
        <v>150</v>
      </c>
      <c r="B1912" s="19">
        <v>99.390000000000015</v>
      </c>
      <c r="C1912" s="19">
        <v>3</v>
      </c>
      <c r="D1912" s="19">
        <v>40.749900000000004</v>
      </c>
    </row>
    <row r="1913" spans="1:4" x14ac:dyDescent="0.2">
      <c r="A1913" s="19" t="s">
        <v>154</v>
      </c>
      <c r="B1913" s="19">
        <v>273.89600000000002</v>
      </c>
      <c r="C1913" s="19">
        <v>7</v>
      </c>
      <c r="D1913" s="19">
        <v>92.43989999999998</v>
      </c>
    </row>
    <row r="1914" spans="1:4" x14ac:dyDescent="0.2">
      <c r="A1914" s="19" t="s">
        <v>154</v>
      </c>
      <c r="B1914" s="19">
        <v>597.13200000000006</v>
      </c>
      <c r="C1914" s="19">
        <v>3</v>
      </c>
      <c r="D1914" s="19">
        <v>49.760999999999967</v>
      </c>
    </row>
    <row r="1915" spans="1:4" x14ac:dyDescent="0.2">
      <c r="A1915" s="19" t="s">
        <v>101</v>
      </c>
      <c r="B1915" s="19">
        <v>149.94999999999999</v>
      </c>
      <c r="C1915" s="19">
        <v>5</v>
      </c>
      <c r="D1915" s="19">
        <v>65.978000000000009</v>
      </c>
    </row>
    <row r="1916" spans="1:4" x14ac:dyDescent="0.2">
      <c r="A1916" s="19" t="s">
        <v>151</v>
      </c>
      <c r="B1916" s="19">
        <v>4.6079999999999997</v>
      </c>
      <c r="C1916" s="19">
        <v>2</v>
      </c>
      <c r="D1916" s="19">
        <v>1.6704000000000001</v>
      </c>
    </row>
    <row r="1917" spans="1:4" x14ac:dyDescent="0.2">
      <c r="A1917" s="19" t="s">
        <v>151</v>
      </c>
      <c r="B1917" s="19">
        <v>15.528</v>
      </c>
      <c r="C1917" s="19">
        <v>3</v>
      </c>
      <c r="D1917" s="19">
        <v>4.8524999999999991</v>
      </c>
    </row>
    <row r="1918" spans="1:4" x14ac:dyDescent="0.2">
      <c r="A1918" s="19" t="s">
        <v>151</v>
      </c>
      <c r="B1918" s="19">
        <v>11.952000000000002</v>
      </c>
      <c r="C1918" s="19">
        <v>3</v>
      </c>
      <c r="D1918" s="19">
        <v>3.8843999999999994</v>
      </c>
    </row>
    <row r="1919" spans="1:4" x14ac:dyDescent="0.2">
      <c r="A1919" s="19" t="s">
        <v>180</v>
      </c>
      <c r="B1919" s="19">
        <v>11.65</v>
      </c>
      <c r="C1919" s="19">
        <v>5</v>
      </c>
      <c r="D1919" s="19">
        <v>3.3784999999999989</v>
      </c>
    </row>
    <row r="1920" spans="1:4" x14ac:dyDescent="0.2">
      <c r="A1920" s="19" t="s">
        <v>161</v>
      </c>
      <c r="B1920" s="19">
        <v>299.89999999999998</v>
      </c>
      <c r="C1920" s="19">
        <v>2</v>
      </c>
      <c r="D1920" s="19">
        <v>74.974999999999994</v>
      </c>
    </row>
    <row r="1921" spans="1:4" x14ac:dyDescent="0.2">
      <c r="A1921" s="19" t="s">
        <v>164</v>
      </c>
      <c r="B1921" s="19">
        <v>895.92</v>
      </c>
      <c r="C1921" s="19">
        <v>5</v>
      </c>
      <c r="D1921" s="19">
        <v>302.37299999999993</v>
      </c>
    </row>
    <row r="1922" spans="1:4" x14ac:dyDescent="0.2">
      <c r="A1922" s="19" t="s">
        <v>164</v>
      </c>
      <c r="B1922" s="19">
        <v>462.56400000000002</v>
      </c>
      <c r="C1922" s="19">
        <v>2</v>
      </c>
      <c r="D1922" s="19">
        <v>97.652399999999943</v>
      </c>
    </row>
    <row r="1923" spans="1:4" x14ac:dyDescent="0.2">
      <c r="A1923" s="19" t="s">
        <v>158</v>
      </c>
      <c r="B1923" s="19">
        <v>15.008000000000003</v>
      </c>
      <c r="C1923" s="19">
        <v>2</v>
      </c>
      <c r="D1923" s="19">
        <v>1.5007999999999999</v>
      </c>
    </row>
    <row r="1924" spans="1:4" x14ac:dyDescent="0.2">
      <c r="A1924" s="19" t="s">
        <v>154</v>
      </c>
      <c r="B1924" s="19">
        <v>863.6400000000001</v>
      </c>
      <c r="C1924" s="19">
        <v>9</v>
      </c>
      <c r="D1924" s="19">
        <v>107.95499999999998</v>
      </c>
    </row>
    <row r="1925" spans="1:4" x14ac:dyDescent="0.2">
      <c r="A1925" s="19" t="s">
        <v>154</v>
      </c>
      <c r="B1925" s="19">
        <v>47.616</v>
      </c>
      <c r="C1925" s="19">
        <v>3</v>
      </c>
      <c r="D1925" s="19">
        <v>3.571200000000001</v>
      </c>
    </row>
    <row r="1926" spans="1:4" x14ac:dyDescent="0.2">
      <c r="A1926" s="19" t="s">
        <v>150</v>
      </c>
      <c r="B1926" s="19">
        <v>92.94</v>
      </c>
      <c r="C1926" s="19">
        <v>3</v>
      </c>
      <c r="D1926" s="19">
        <v>41.822999999999993</v>
      </c>
    </row>
    <row r="1927" spans="1:4" x14ac:dyDescent="0.2">
      <c r="A1927" s="19" t="s">
        <v>150</v>
      </c>
      <c r="B1927" s="19">
        <v>199.98</v>
      </c>
      <c r="C1927" s="19">
        <v>2</v>
      </c>
      <c r="D1927" s="19">
        <v>69.992999999999995</v>
      </c>
    </row>
    <row r="1928" spans="1:4" x14ac:dyDescent="0.2">
      <c r="A1928" s="19" t="s">
        <v>150</v>
      </c>
      <c r="B1928" s="19">
        <v>177.48000000000002</v>
      </c>
      <c r="C1928" s="19">
        <v>3</v>
      </c>
      <c r="D1928" s="19">
        <v>19.966499999999982</v>
      </c>
    </row>
    <row r="1929" spans="1:4" x14ac:dyDescent="0.2">
      <c r="A1929" s="19" t="s">
        <v>171</v>
      </c>
      <c r="B1929" s="19">
        <v>88.768000000000001</v>
      </c>
      <c r="C1929" s="19">
        <v>2</v>
      </c>
      <c r="D1929" s="19">
        <v>31.068799999999996</v>
      </c>
    </row>
    <row r="1930" spans="1:4" x14ac:dyDescent="0.2">
      <c r="A1930" s="19" t="s">
        <v>153</v>
      </c>
      <c r="B1930" s="19">
        <v>6.48</v>
      </c>
      <c r="C1930" s="19">
        <v>1</v>
      </c>
      <c r="D1930" s="19">
        <v>3.1104000000000003</v>
      </c>
    </row>
    <row r="1931" spans="1:4" x14ac:dyDescent="0.2">
      <c r="A1931" s="19" t="s">
        <v>153</v>
      </c>
      <c r="B1931" s="19">
        <v>46.51</v>
      </c>
      <c r="C1931" s="19">
        <v>1</v>
      </c>
      <c r="D1931" s="19">
        <v>1.8603999999999985</v>
      </c>
    </row>
    <row r="1932" spans="1:4" x14ac:dyDescent="0.2">
      <c r="A1932" s="19" t="s">
        <v>153</v>
      </c>
      <c r="B1932" s="19">
        <v>659.97600000000011</v>
      </c>
      <c r="C1932" s="19">
        <v>3</v>
      </c>
      <c r="D1932" s="19">
        <v>49.498199999999969</v>
      </c>
    </row>
    <row r="1933" spans="1:4" x14ac:dyDescent="0.2">
      <c r="A1933" s="19" t="s">
        <v>165</v>
      </c>
      <c r="B1933" s="19">
        <v>271.99200000000002</v>
      </c>
      <c r="C1933" s="19">
        <v>1</v>
      </c>
      <c r="D1933" s="19">
        <v>23.799300000000002</v>
      </c>
    </row>
    <row r="1934" spans="1:4" x14ac:dyDescent="0.2">
      <c r="A1934" s="19" t="s">
        <v>177</v>
      </c>
      <c r="B1934" s="19">
        <v>145.74</v>
      </c>
      <c r="C1934" s="19">
        <v>3</v>
      </c>
      <c r="D1934" s="19">
        <v>23.318400000000011</v>
      </c>
    </row>
    <row r="1935" spans="1:4" x14ac:dyDescent="0.2">
      <c r="A1935" s="19" t="s">
        <v>177</v>
      </c>
      <c r="B1935" s="19">
        <v>15.4</v>
      </c>
      <c r="C1935" s="19">
        <v>5</v>
      </c>
      <c r="D1935" s="19">
        <v>7.3919999999999995</v>
      </c>
    </row>
    <row r="1936" spans="1:4" x14ac:dyDescent="0.2">
      <c r="A1936" s="19" t="s">
        <v>150</v>
      </c>
      <c r="B1936" s="19">
        <v>244.54999999999998</v>
      </c>
      <c r="C1936" s="19">
        <v>5</v>
      </c>
      <c r="D1936" s="19">
        <v>114.93849999999998</v>
      </c>
    </row>
    <row r="1937" spans="1:4" x14ac:dyDescent="0.2">
      <c r="A1937" s="19" t="s">
        <v>150</v>
      </c>
      <c r="B1937" s="19">
        <v>166.16</v>
      </c>
      <c r="C1937" s="19">
        <v>8</v>
      </c>
      <c r="D1937" s="19">
        <v>59.817599999999999</v>
      </c>
    </row>
    <row r="1938" spans="1:4" x14ac:dyDescent="0.2">
      <c r="A1938" s="19" t="s">
        <v>150</v>
      </c>
      <c r="B1938" s="19">
        <v>14.73</v>
      </c>
      <c r="C1938" s="19">
        <v>3</v>
      </c>
      <c r="D1938" s="19">
        <v>4.8608999999999991</v>
      </c>
    </row>
    <row r="1939" spans="1:4" x14ac:dyDescent="0.2">
      <c r="A1939" s="19" t="s">
        <v>171</v>
      </c>
      <c r="B1939" s="19">
        <v>19.968000000000004</v>
      </c>
      <c r="C1939" s="19">
        <v>2</v>
      </c>
      <c r="D1939" s="19">
        <v>-13.311999999999998</v>
      </c>
    </row>
    <row r="1940" spans="1:4" x14ac:dyDescent="0.2">
      <c r="A1940" s="19" t="s">
        <v>171</v>
      </c>
      <c r="B1940" s="19">
        <v>33.488000000000007</v>
      </c>
      <c r="C1940" s="19">
        <v>7</v>
      </c>
      <c r="D1940" s="19">
        <v>-1.2558000000000051</v>
      </c>
    </row>
    <row r="1941" spans="1:4" x14ac:dyDescent="0.2">
      <c r="A1941" s="19" t="s">
        <v>171</v>
      </c>
      <c r="B1941" s="19">
        <v>8.7360000000000024</v>
      </c>
      <c r="C1941" s="19">
        <v>4</v>
      </c>
      <c r="D1941" s="19">
        <v>-6.1151999999999997</v>
      </c>
    </row>
    <row r="1942" spans="1:4" x14ac:dyDescent="0.2">
      <c r="A1942" s="19" t="s">
        <v>171</v>
      </c>
      <c r="B1942" s="19">
        <v>662.88</v>
      </c>
      <c r="C1942" s="19">
        <v>3</v>
      </c>
      <c r="D1942" s="19">
        <v>74.573999999999955</v>
      </c>
    </row>
    <row r="1943" spans="1:4" x14ac:dyDescent="0.2">
      <c r="A1943" s="19" t="s">
        <v>159</v>
      </c>
      <c r="B1943" s="19">
        <v>47.360000000000007</v>
      </c>
      <c r="C1943" s="19">
        <v>4</v>
      </c>
      <c r="D1943" s="19">
        <v>17.759999999999998</v>
      </c>
    </row>
    <row r="1944" spans="1:4" x14ac:dyDescent="0.2">
      <c r="A1944" s="19" t="s">
        <v>159</v>
      </c>
      <c r="B1944" s="19">
        <v>27.439999999999998</v>
      </c>
      <c r="C1944" s="19">
        <v>2</v>
      </c>
      <c r="D1944" s="19">
        <v>2.4009999999999998</v>
      </c>
    </row>
    <row r="1945" spans="1:4" x14ac:dyDescent="0.2">
      <c r="A1945" s="19" t="s">
        <v>159</v>
      </c>
      <c r="B1945" s="19">
        <v>3.2399999999999993</v>
      </c>
      <c r="C1945" s="19">
        <v>9</v>
      </c>
      <c r="D1945" s="19">
        <v>-5.1840000000000011</v>
      </c>
    </row>
    <row r="1946" spans="1:4" x14ac:dyDescent="0.2">
      <c r="A1946" s="19" t="s">
        <v>154</v>
      </c>
      <c r="B1946" s="19">
        <v>95.968000000000004</v>
      </c>
      <c r="C1946" s="19">
        <v>4</v>
      </c>
      <c r="D1946" s="19">
        <v>26.391200000000001</v>
      </c>
    </row>
    <row r="1947" spans="1:4" x14ac:dyDescent="0.2">
      <c r="A1947" s="19" t="s">
        <v>154</v>
      </c>
      <c r="B1947" s="19">
        <v>10.368000000000002</v>
      </c>
      <c r="C1947" s="19">
        <v>2</v>
      </c>
      <c r="D1947" s="19">
        <v>3.6288</v>
      </c>
    </row>
    <row r="1948" spans="1:4" x14ac:dyDescent="0.2">
      <c r="A1948" s="19" t="s">
        <v>164</v>
      </c>
      <c r="B1948" s="19">
        <v>23.1</v>
      </c>
      <c r="C1948" s="19">
        <v>2</v>
      </c>
      <c r="D1948" s="19">
        <v>6.468</v>
      </c>
    </row>
    <row r="1949" spans="1:4" x14ac:dyDescent="0.2">
      <c r="A1949" s="19" t="s">
        <v>164</v>
      </c>
      <c r="B1949" s="19">
        <v>11.54</v>
      </c>
      <c r="C1949" s="19">
        <v>2</v>
      </c>
      <c r="D1949" s="19">
        <v>3.4619999999999997</v>
      </c>
    </row>
    <row r="1950" spans="1:4" x14ac:dyDescent="0.2">
      <c r="A1950" s="19" t="s">
        <v>164</v>
      </c>
      <c r="B1950" s="19">
        <v>254.52599999999998</v>
      </c>
      <c r="C1950" s="19">
        <v>1</v>
      </c>
      <c r="D1950" s="19">
        <v>-93.3262</v>
      </c>
    </row>
    <row r="1951" spans="1:4" x14ac:dyDescent="0.2">
      <c r="A1951" s="19" t="s">
        <v>164</v>
      </c>
      <c r="B1951" s="19">
        <v>12.98</v>
      </c>
      <c r="C1951" s="19">
        <v>1</v>
      </c>
      <c r="D1951" s="19">
        <v>3.7641999999999989</v>
      </c>
    </row>
    <row r="1952" spans="1:4" x14ac:dyDescent="0.2">
      <c r="A1952" s="19" t="s">
        <v>164</v>
      </c>
      <c r="B1952" s="19">
        <v>26.432000000000002</v>
      </c>
      <c r="C1952" s="19">
        <v>8</v>
      </c>
      <c r="D1952" s="19">
        <v>8.9207999999999998</v>
      </c>
    </row>
    <row r="1953" spans="1:4" x14ac:dyDescent="0.2">
      <c r="A1953" s="19" t="s">
        <v>164</v>
      </c>
      <c r="B1953" s="19">
        <v>197.96999999999997</v>
      </c>
      <c r="C1953" s="19">
        <v>3</v>
      </c>
      <c r="D1953" s="19">
        <v>57.41129999999999</v>
      </c>
    </row>
    <row r="1954" spans="1:4" x14ac:dyDescent="0.2">
      <c r="A1954" s="19" t="s">
        <v>164</v>
      </c>
      <c r="B1954" s="19">
        <v>18.899999999999999</v>
      </c>
      <c r="C1954" s="19">
        <v>6</v>
      </c>
      <c r="D1954" s="19">
        <v>9.0719999999999992</v>
      </c>
    </row>
    <row r="1955" spans="1:4" x14ac:dyDescent="0.2">
      <c r="A1955" s="19" t="s">
        <v>164</v>
      </c>
      <c r="B1955" s="19">
        <v>1282.4100000000001</v>
      </c>
      <c r="C1955" s="19">
        <v>5</v>
      </c>
      <c r="D1955" s="19">
        <v>213.73500000000001</v>
      </c>
    </row>
    <row r="1956" spans="1:4" x14ac:dyDescent="0.2">
      <c r="A1956" s="19" t="s">
        <v>164</v>
      </c>
      <c r="B1956" s="19">
        <v>4.92</v>
      </c>
      <c r="C1956" s="19">
        <v>3</v>
      </c>
      <c r="D1956" s="19">
        <v>2.2139999999999995</v>
      </c>
    </row>
    <row r="1957" spans="1:4" x14ac:dyDescent="0.2">
      <c r="A1957" s="19" t="s">
        <v>164</v>
      </c>
      <c r="B1957" s="19">
        <v>238</v>
      </c>
      <c r="C1957" s="19">
        <v>2</v>
      </c>
      <c r="D1957" s="19">
        <v>38.080000000000013</v>
      </c>
    </row>
    <row r="1958" spans="1:4" x14ac:dyDescent="0.2">
      <c r="A1958" s="19" t="s">
        <v>164</v>
      </c>
      <c r="B1958" s="19">
        <v>167.97</v>
      </c>
      <c r="C1958" s="19">
        <v>3</v>
      </c>
      <c r="D1958" s="19">
        <v>40.31280000000001</v>
      </c>
    </row>
    <row r="1959" spans="1:4" x14ac:dyDescent="0.2">
      <c r="A1959" s="19" t="s">
        <v>164</v>
      </c>
      <c r="B1959" s="19">
        <v>17.12</v>
      </c>
      <c r="C1959" s="19">
        <v>4</v>
      </c>
      <c r="D1959" s="19">
        <v>7.7039999999999988</v>
      </c>
    </row>
    <row r="1960" spans="1:4" x14ac:dyDescent="0.2">
      <c r="A1960" s="19" t="s">
        <v>174</v>
      </c>
      <c r="B1960" s="19">
        <v>16.200000000000003</v>
      </c>
      <c r="C1960" s="19">
        <v>3</v>
      </c>
      <c r="D1960" s="19">
        <v>7.7759999999999998</v>
      </c>
    </row>
    <row r="1961" spans="1:4" x14ac:dyDescent="0.2">
      <c r="A1961" s="19" t="s">
        <v>174</v>
      </c>
      <c r="B1961" s="19">
        <v>33.99</v>
      </c>
      <c r="C1961" s="19">
        <v>3</v>
      </c>
      <c r="D1961" s="19">
        <v>14.615700000000004</v>
      </c>
    </row>
    <row r="1962" spans="1:4" x14ac:dyDescent="0.2">
      <c r="A1962" s="19" t="s">
        <v>174</v>
      </c>
      <c r="B1962" s="19">
        <v>296.84999999999997</v>
      </c>
      <c r="C1962" s="19">
        <v>5</v>
      </c>
      <c r="D1962" s="19">
        <v>53.432999999999993</v>
      </c>
    </row>
    <row r="1963" spans="1:4" x14ac:dyDescent="0.2">
      <c r="A1963" s="19" t="s">
        <v>174</v>
      </c>
      <c r="B1963" s="19">
        <v>112.80000000000001</v>
      </c>
      <c r="C1963" s="19">
        <v>6</v>
      </c>
      <c r="D1963" s="19">
        <v>6.7680000000000007</v>
      </c>
    </row>
    <row r="1964" spans="1:4" x14ac:dyDescent="0.2">
      <c r="A1964" s="19" t="s">
        <v>174</v>
      </c>
      <c r="B1964" s="19">
        <v>13.71</v>
      </c>
      <c r="C1964" s="19">
        <v>3</v>
      </c>
      <c r="D1964" s="19">
        <v>6.5808</v>
      </c>
    </row>
    <row r="1965" spans="1:4" x14ac:dyDescent="0.2">
      <c r="A1965" s="19" t="s">
        <v>174</v>
      </c>
      <c r="B1965" s="19">
        <v>24.900000000000002</v>
      </c>
      <c r="C1965" s="19">
        <v>5</v>
      </c>
      <c r="D1965" s="19">
        <v>11.703000000000001</v>
      </c>
    </row>
    <row r="1966" spans="1:4" x14ac:dyDescent="0.2">
      <c r="A1966" s="19" t="s">
        <v>174</v>
      </c>
      <c r="B1966" s="19">
        <v>286.29000000000002</v>
      </c>
      <c r="C1966" s="19">
        <v>3</v>
      </c>
      <c r="D1966" s="19">
        <v>17.177399999999977</v>
      </c>
    </row>
    <row r="1967" spans="1:4" x14ac:dyDescent="0.2">
      <c r="A1967" s="19" t="s">
        <v>174</v>
      </c>
      <c r="B1967" s="19">
        <v>24.18</v>
      </c>
      <c r="C1967" s="19">
        <v>2</v>
      </c>
      <c r="D1967" s="19">
        <v>7.2539999999999978</v>
      </c>
    </row>
    <row r="1968" spans="1:4" x14ac:dyDescent="0.2">
      <c r="A1968" s="19" t="s">
        <v>179</v>
      </c>
      <c r="B1968" s="19">
        <v>281.96999999999997</v>
      </c>
      <c r="C1968" s="19">
        <v>3</v>
      </c>
      <c r="D1968" s="19">
        <v>78.951599999999999</v>
      </c>
    </row>
    <row r="1969" spans="1:4" x14ac:dyDescent="0.2">
      <c r="A1969" s="19" t="s">
        <v>179</v>
      </c>
      <c r="B1969" s="19">
        <v>69.5</v>
      </c>
      <c r="C1969" s="19">
        <v>5</v>
      </c>
      <c r="D1969" s="19">
        <v>20.154999999999994</v>
      </c>
    </row>
    <row r="1970" spans="1:4" x14ac:dyDescent="0.2">
      <c r="A1970" s="19" t="s">
        <v>179</v>
      </c>
      <c r="B1970" s="19">
        <v>166.44</v>
      </c>
      <c r="C1970" s="19">
        <v>3</v>
      </c>
      <c r="D1970" s="19">
        <v>79.891199999999998</v>
      </c>
    </row>
    <row r="1971" spans="1:4" x14ac:dyDescent="0.2">
      <c r="A1971" s="19" t="s">
        <v>175</v>
      </c>
      <c r="B1971" s="19">
        <v>291.95999999999998</v>
      </c>
      <c r="C1971" s="19">
        <v>4</v>
      </c>
      <c r="D1971" s="19">
        <v>102.18599999999998</v>
      </c>
    </row>
    <row r="1972" spans="1:4" x14ac:dyDescent="0.2">
      <c r="A1972" s="19" t="s">
        <v>159</v>
      </c>
      <c r="B1972" s="19">
        <v>6.4080000000000004</v>
      </c>
      <c r="C1972" s="19">
        <v>3</v>
      </c>
      <c r="D1972" s="19">
        <v>0.64079999999999981</v>
      </c>
    </row>
    <row r="1973" spans="1:4" x14ac:dyDescent="0.2">
      <c r="A1973" s="19" t="s">
        <v>159</v>
      </c>
      <c r="B1973" s="19">
        <v>408.74399999999997</v>
      </c>
      <c r="C1973" s="19">
        <v>7</v>
      </c>
      <c r="D1973" s="19">
        <v>76.639499999999984</v>
      </c>
    </row>
    <row r="1974" spans="1:4" x14ac:dyDescent="0.2">
      <c r="A1974" s="19" t="s">
        <v>159</v>
      </c>
      <c r="B1974" s="19">
        <v>5.1039999999999992</v>
      </c>
      <c r="C1974" s="19">
        <v>4</v>
      </c>
      <c r="D1974" s="19">
        <v>-8.6768000000000018</v>
      </c>
    </row>
    <row r="1975" spans="1:4" x14ac:dyDescent="0.2">
      <c r="A1975" s="19" t="s">
        <v>159</v>
      </c>
      <c r="B1975" s="19">
        <v>2.8960000000000004</v>
      </c>
      <c r="C1975" s="19">
        <v>2</v>
      </c>
      <c r="D1975" s="19">
        <v>0.4705999999999998</v>
      </c>
    </row>
    <row r="1976" spans="1:4" x14ac:dyDescent="0.2">
      <c r="A1976" s="19" t="s">
        <v>159</v>
      </c>
      <c r="B1976" s="19">
        <v>35.016000000000005</v>
      </c>
      <c r="C1976" s="19">
        <v>3</v>
      </c>
      <c r="D1976" s="19">
        <v>-2.188500000000003</v>
      </c>
    </row>
    <row r="1977" spans="1:4" x14ac:dyDescent="0.2">
      <c r="A1977" s="19" t="s">
        <v>168</v>
      </c>
      <c r="B1977" s="19">
        <v>275.96999999999997</v>
      </c>
      <c r="C1977" s="19">
        <v>3</v>
      </c>
      <c r="D1977" s="19">
        <v>11.038799999999981</v>
      </c>
    </row>
    <row r="1978" spans="1:4" x14ac:dyDescent="0.2">
      <c r="A1978" s="19" t="s">
        <v>168</v>
      </c>
      <c r="B1978" s="19">
        <v>1394.95</v>
      </c>
      <c r="C1978" s="19">
        <v>5</v>
      </c>
      <c r="D1978" s="19">
        <v>362.68699999999995</v>
      </c>
    </row>
    <row r="1979" spans="1:4" x14ac:dyDescent="0.2">
      <c r="A1979" s="19" t="s">
        <v>168</v>
      </c>
      <c r="B1979" s="19">
        <v>545.88</v>
      </c>
      <c r="C1979" s="19">
        <v>6</v>
      </c>
      <c r="D1979" s="19">
        <v>70.964399999999983</v>
      </c>
    </row>
    <row r="1980" spans="1:4" x14ac:dyDescent="0.2">
      <c r="A1980" s="19" t="s">
        <v>170</v>
      </c>
      <c r="B1980" s="19">
        <v>5.2480000000000002</v>
      </c>
      <c r="C1980" s="19">
        <v>2</v>
      </c>
      <c r="D1980" s="19">
        <v>0.59039999999999915</v>
      </c>
    </row>
    <row r="1981" spans="1:4" x14ac:dyDescent="0.2">
      <c r="A1981" s="19" t="s">
        <v>165</v>
      </c>
      <c r="B1981" s="19">
        <v>933.53600000000006</v>
      </c>
      <c r="C1981" s="19">
        <v>4</v>
      </c>
      <c r="D1981" s="19">
        <v>105.02279999999996</v>
      </c>
    </row>
    <row r="1982" spans="1:4" x14ac:dyDescent="0.2">
      <c r="A1982" s="19" t="s">
        <v>165</v>
      </c>
      <c r="B1982" s="19">
        <v>42.975999999999999</v>
      </c>
      <c r="C1982" s="19">
        <v>4</v>
      </c>
      <c r="D1982" s="19">
        <v>4.2976000000000028</v>
      </c>
    </row>
    <row r="1983" spans="1:4" x14ac:dyDescent="0.2">
      <c r="A1983" s="19" t="s">
        <v>101</v>
      </c>
      <c r="B1983" s="19">
        <v>3.76</v>
      </c>
      <c r="C1983" s="19">
        <v>2</v>
      </c>
      <c r="D1983" s="19">
        <v>1.8047999999999997</v>
      </c>
    </row>
    <row r="1984" spans="1:4" x14ac:dyDescent="0.2">
      <c r="A1984" s="19" t="s">
        <v>175</v>
      </c>
      <c r="B1984" s="19">
        <v>479.96</v>
      </c>
      <c r="C1984" s="19">
        <v>4</v>
      </c>
      <c r="D1984" s="19">
        <v>134.3888</v>
      </c>
    </row>
    <row r="1985" spans="1:4" x14ac:dyDescent="0.2">
      <c r="A1985" s="19" t="s">
        <v>150</v>
      </c>
      <c r="B1985" s="19">
        <v>320.88</v>
      </c>
      <c r="C1985" s="19">
        <v>6</v>
      </c>
      <c r="D1985" s="19">
        <v>93.055199999999957</v>
      </c>
    </row>
    <row r="1986" spans="1:4" x14ac:dyDescent="0.2">
      <c r="A1986" s="19" t="s">
        <v>150</v>
      </c>
      <c r="B1986" s="19">
        <v>23.88</v>
      </c>
      <c r="C1986" s="19">
        <v>3</v>
      </c>
      <c r="D1986" s="19">
        <v>10.507200000000001</v>
      </c>
    </row>
    <row r="1987" spans="1:4" x14ac:dyDescent="0.2">
      <c r="A1987" s="19" t="s">
        <v>150</v>
      </c>
      <c r="B1987" s="19">
        <v>26.76</v>
      </c>
      <c r="C1987" s="19">
        <v>4</v>
      </c>
      <c r="D1987" s="19">
        <v>12.3096</v>
      </c>
    </row>
    <row r="1988" spans="1:4" x14ac:dyDescent="0.2">
      <c r="A1988" s="19" t="s">
        <v>173</v>
      </c>
      <c r="B1988" s="19">
        <v>1439.9759999999999</v>
      </c>
      <c r="C1988" s="19">
        <v>4</v>
      </c>
      <c r="D1988" s="19">
        <v>191.99680000000001</v>
      </c>
    </row>
    <row r="1989" spans="1:4" x14ac:dyDescent="0.2">
      <c r="A1989" s="19" t="s">
        <v>174</v>
      </c>
      <c r="B1989" s="19">
        <v>17.22</v>
      </c>
      <c r="C1989" s="19">
        <v>3</v>
      </c>
      <c r="D1989" s="19">
        <v>7.9212000000000007</v>
      </c>
    </row>
    <row r="1990" spans="1:4" x14ac:dyDescent="0.2">
      <c r="A1990" s="19" t="s">
        <v>174</v>
      </c>
      <c r="B1990" s="19">
        <v>1024.3800000000001</v>
      </c>
      <c r="C1990" s="19">
        <v>7</v>
      </c>
      <c r="D1990" s="19">
        <v>215.11979999999994</v>
      </c>
    </row>
    <row r="1991" spans="1:4" x14ac:dyDescent="0.2">
      <c r="A1991" s="19" t="s">
        <v>174</v>
      </c>
      <c r="B1991" s="19">
        <v>26.22</v>
      </c>
      <c r="C1991" s="19">
        <v>3</v>
      </c>
      <c r="D1991" s="19">
        <v>12.323399999999999</v>
      </c>
    </row>
    <row r="1992" spans="1:4" x14ac:dyDescent="0.2">
      <c r="A1992" s="19" t="s">
        <v>174</v>
      </c>
      <c r="B1992" s="19">
        <v>17.34</v>
      </c>
      <c r="C1992" s="19">
        <v>3</v>
      </c>
      <c r="D1992" s="19">
        <v>8.4966000000000008</v>
      </c>
    </row>
    <row r="1993" spans="1:4" x14ac:dyDescent="0.2">
      <c r="A1993" s="19" t="s">
        <v>158</v>
      </c>
      <c r="B1993" s="19">
        <v>4.9560000000000004</v>
      </c>
      <c r="C1993" s="19">
        <v>4</v>
      </c>
      <c r="D1993" s="19">
        <v>-3.7995999999999981</v>
      </c>
    </row>
    <row r="1994" spans="1:4" x14ac:dyDescent="0.2">
      <c r="A1994" s="19" t="s">
        <v>170</v>
      </c>
      <c r="B1994" s="19">
        <v>71.040000000000006</v>
      </c>
      <c r="C1994" s="19">
        <v>6</v>
      </c>
      <c r="D1994" s="19">
        <v>26.640000000000004</v>
      </c>
    </row>
    <row r="1995" spans="1:4" x14ac:dyDescent="0.2">
      <c r="A1995" s="19" t="s">
        <v>170</v>
      </c>
      <c r="B1995" s="19">
        <v>5.3440000000000003</v>
      </c>
      <c r="C1995" s="19">
        <v>2</v>
      </c>
      <c r="D1995" s="19">
        <v>0.73479999999999923</v>
      </c>
    </row>
    <row r="1996" spans="1:4" x14ac:dyDescent="0.2">
      <c r="A1996" s="19" t="s">
        <v>170</v>
      </c>
      <c r="B1996" s="19">
        <v>11.304</v>
      </c>
      <c r="C1996" s="19">
        <v>3</v>
      </c>
      <c r="D1996" s="19">
        <v>-2.1194999999999999</v>
      </c>
    </row>
    <row r="1997" spans="1:4" x14ac:dyDescent="0.2">
      <c r="A1997" s="19" t="s">
        <v>154</v>
      </c>
      <c r="B1997" s="19">
        <v>294.61999999999995</v>
      </c>
      <c r="C1997" s="19">
        <v>5</v>
      </c>
      <c r="D1997" s="19">
        <v>-766.01199999999994</v>
      </c>
    </row>
    <row r="1998" spans="1:4" x14ac:dyDescent="0.2">
      <c r="A1998" s="19" t="s">
        <v>154</v>
      </c>
      <c r="B1998" s="19">
        <v>8.7520000000000007</v>
      </c>
      <c r="C1998" s="19">
        <v>4</v>
      </c>
      <c r="D1998" s="19">
        <v>-3.719599999999998</v>
      </c>
    </row>
    <row r="1999" spans="1:4" x14ac:dyDescent="0.2">
      <c r="A1999" s="19" t="s">
        <v>166</v>
      </c>
      <c r="B1999" s="19">
        <v>15</v>
      </c>
      <c r="C1999" s="19">
        <v>4</v>
      </c>
      <c r="D1999" s="19">
        <v>7.1999999999999993</v>
      </c>
    </row>
    <row r="2000" spans="1:4" x14ac:dyDescent="0.2">
      <c r="A2000" s="19" t="s">
        <v>166</v>
      </c>
      <c r="B2000" s="19">
        <v>161.61000000000001</v>
      </c>
      <c r="C2000" s="19">
        <v>1</v>
      </c>
      <c r="D2000" s="19">
        <v>42.018600000000006</v>
      </c>
    </row>
    <row r="2001" spans="1:4" x14ac:dyDescent="0.2">
      <c r="A2001" s="19" t="s">
        <v>166</v>
      </c>
      <c r="B2001" s="19">
        <v>144.94999999999999</v>
      </c>
      <c r="C2001" s="19">
        <v>5</v>
      </c>
      <c r="D2001" s="19">
        <v>42.035499999999985</v>
      </c>
    </row>
    <row r="2002" spans="1:4" x14ac:dyDescent="0.2">
      <c r="A2002" s="19" t="s">
        <v>150</v>
      </c>
      <c r="B2002" s="19">
        <v>199.95000000000002</v>
      </c>
      <c r="C2002" s="19">
        <v>5</v>
      </c>
      <c r="D2002" s="19">
        <v>21.994499999999988</v>
      </c>
    </row>
    <row r="2003" spans="1:4" x14ac:dyDescent="0.2">
      <c r="A2003" s="19" t="s">
        <v>150</v>
      </c>
      <c r="B2003" s="19">
        <v>41.86</v>
      </c>
      <c r="C2003" s="19">
        <v>7</v>
      </c>
      <c r="D2003" s="19">
        <v>14.232399999999998</v>
      </c>
    </row>
    <row r="2004" spans="1:4" x14ac:dyDescent="0.2">
      <c r="A2004" s="19" t="s">
        <v>149</v>
      </c>
      <c r="B2004" s="19">
        <v>95.94</v>
      </c>
      <c r="C2004" s="19">
        <v>3</v>
      </c>
      <c r="D2004" s="19">
        <v>9.5940000000000012</v>
      </c>
    </row>
    <row r="2005" spans="1:4" x14ac:dyDescent="0.2">
      <c r="A2005" s="19" t="s">
        <v>149</v>
      </c>
      <c r="B2005" s="19">
        <v>304.45</v>
      </c>
      <c r="C2005" s="19">
        <v>5</v>
      </c>
      <c r="D2005" s="19">
        <v>76.112499999999983</v>
      </c>
    </row>
    <row r="2006" spans="1:4" x14ac:dyDescent="0.2">
      <c r="A2006" s="19" t="s">
        <v>154</v>
      </c>
      <c r="B2006" s="19">
        <v>11.363999999999997</v>
      </c>
      <c r="C2006" s="19">
        <v>3</v>
      </c>
      <c r="D2006" s="19">
        <v>-17.045999999999999</v>
      </c>
    </row>
    <row r="2007" spans="1:4" x14ac:dyDescent="0.2">
      <c r="A2007" s="19" t="s">
        <v>174</v>
      </c>
      <c r="B2007" s="19">
        <v>29.68</v>
      </c>
      <c r="C2007" s="19">
        <v>7</v>
      </c>
      <c r="D2007" s="19">
        <v>11.575199999999999</v>
      </c>
    </row>
    <row r="2008" spans="1:4" x14ac:dyDescent="0.2">
      <c r="A2008" s="19" t="s">
        <v>174</v>
      </c>
      <c r="B2008" s="19">
        <v>47.53</v>
      </c>
      <c r="C2008" s="19">
        <v>7</v>
      </c>
      <c r="D2008" s="19">
        <v>16.160200000000003</v>
      </c>
    </row>
    <row r="2009" spans="1:4" x14ac:dyDescent="0.2">
      <c r="A2009" s="19" t="s">
        <v>159</v>
      </c>
      <c r="B2009" s="19">
        <v>183.37199999999999</v>
      </c>
      <c r="C2009" s="19">
        <v>2</v>
      </c>
      <c r="D2009" s="19">
        <v>-36.674399999999991</v>
      </c>
    </row>
    <row r="2010" spans="1:4" x14ac:dyDescent="0.2">
      <c r="A2010" s="19" t="s">
        <v>167</v>
      </c>
      <c r="B2010" s="19">
        <v>4.2240000000000002</v>
      </c>
      <c r="C2010" s="19">
        <v>3</v>
      </c>
      <c r="D2010" s="19">
        <v>0.47519999999999984</v>
      </c>
    </row>
    <row r="2011" spans="1:4" x14ac:dyDescent="0.2">
      <c r="A2011" s="19" t="s">
        <v>167</v>
      </c>
      <c r="B2011" s="19">
        <v>333.05600000000004</v>
      </c>
      <c r="C2011" s="19">
        <v>2</v>
      </c>
      <c r="D2011" s="19">
        <v>29.142400000000009</v>
      </c>
    </row>
    <row r="2012" spans="1:4" x14ac:dyDescent="0.2">
      <c r="A2012" s="19" t="s">
        <v>167</v>
      </c>
      <c r="B2012" s="19">
        <v>24.896000000000001</v>
      </c>
      <c r="C2012" s="19">
        <v>4</v>
      </c>
      <c r="D2012" s="19">
        <v>7.7799999999999976</v>
      </c>
    </row>
    <row r="2013" spans="1:4" x14ac:dyDescent="0.2">
      <c r="A2013" s="19" t="s">
        <v>154</v>
      </c>
      <c r="B2013" s="19">
        <v>159.98400000000001</v>
      </c>
      <c r="C2013" s="19">
        <v>2</v>
      </c>
      <c r="D2013" s="19">
        <v>35.996400000000001</v>
      </c>
    </row>
    <row r="2014" spans="1:4" x14ac:dyDescent="0.2">
      <c r="A2014" s="19" t="s">
        <v>154</v>
      </c>
      <c r="B2014" s="19">
        <v>46.344000000000001</v>
      </c>
      <c r="C2014" s="19">
        <v>3</v>
      </c>
      <c r="D2014" s="19">
        <v>4.6344000000000012</v>
      </c>
    </row>
    <row r="2015" spans="1:4" x14ac:dyDescent="0.2">
      <c r="A2015" s="19" t="s">
        <v>168</v>
      </c>
      <c r="B2015" s="19">
        <v>350.98</v>
      </c>
      <c r="C2015" s="19">
        <v>1</v>
      </c>
      <c r="D2015" s="19">
        <v>84.23520000000002</v>
      </c>
    </row>
    <row r="2016" spans="1:4" x14ac:dyDescent="0.2">
      <c r="A2016" s="19" t="s">
        <v>168</v>
      </c>
      <c r="B2016" s="19">
        <v>13.08</v>
      </c>
      <c r="C2016" s="19">
        <v>2</v>
      </c>
      <c r="D2016" s="19">
        <v>6.0167999999999999</v>
      </c>
    </row>
    <row r="2017" spans="1:4" x14ac:dyDescent="0.2">
      <c r="A2017" s="19" t="s">
        <v>168</v>
      </c>
      <c r="B2017" s="19">
        <v>900.08</v>
      </c>
      <c r="C2017" s="19">
        <v>4</v>
      </c>
      <c r="D2017" s="19">
        <v>117.0104</v>
      </c>
    </row>
    <row r="2018" spans="1:4" x14ac:dyDescent="0.2">
      <c r="A2018" s="19" t="s">
        <v>150</v>
      </c>
      <c r="B2018" s="19">
        <v>17.568000000000001</v>
      </c>
      <c r="C2018" s="19">
        <v>2</v>
      </c>
      <c r="D2018" s="19">
        <v>6.3684000000000003</v>
      </c>
    </row>
    <row r="2019" spans="1:4" x14ac:dyDescent="0.2">
      <c r="A2019" s="19" t="s">
        <v>150</v>
      </c>
      <c r="B2019" s="19">
        <v>14.62</v>
      </c>
      <c r="C2019" s="19">
        <v>2</v>
      </c>
      <c r="D2019" s="19">
        <v>6.8713999999999995</v>
      </c>
    </row>
    <row r="2020" spans="1:4" x14ac:dyDescent="0.2">
      <c r="A2020" s="19" t="s">
        <v>150</v>
      </c>
      <c r="B2020" s="19">
        <v>33.36</v>
      </c>
      <c r="C2020" s="19">
        <v>4</v>
      </c>
      <c r="D2020" s="19">
        <v>8.6736000000000004</v>
      </c>
    </row>
    <row r="2021" spans="1:4" x14ac:dyDescent="0.2">
      <c r="A2021" s="19" t="s">
        <v>150</v>
      </c>
      <c r="B2021" s="19">
        <v>40.14</v>
      </c>
      <c r="C2021" s="19">
        <v>6</v>
      </c>
      <c r="D2021" s="19">
        <v>19.668600000000001</v>
      </c>
    </row>
    <row r="2022" spans="1:4" x14ac:dyDescent="0.2">
      <c r="A2022" s="19" t="s">
        <v>182</v>
      </c>
      <c r="B2022" s="19">
        <v>1606.23</v>
      </c>
      <c r="C2022" s="19">
        <v>9</v>
      </c>
      <c r="D2022" s="19">
        <v>481.86899999999986</v>
      </c>
    </row>
    <row r="2023" spans="1:4" x14ac:dyDescent="0.2">
      <c r="A2023" s="19" t="s">
        <v>182</v>
      </c>
      <c r="B2023" s="19">
        <v>17.04</v>
      </c>
      <c r="C2023" s="19">
        <v>3</v>
      </c>
      <c r="D2023" s="19">
        <v>7.6679999999999993</v>
      </c>
    </row>
    <row r="2024" spans="1:4" x14ac:dyDescent="0.2">
      <c r="A2024" s="19" t="s">
        <v>182</v>
      </c>
      <c r="B2024" s="19">
        <v>49.53</v>
      </c>
      <c r="C2024" s="19">
        <v>3</v>
      </c>
      <c r="D2024" s="19">
        <v>23.774400000000004</v>
      </c>
    </row>
    <row r="2025" spans="1:4" x14ac:dyDescent="0.2">
      <c r="A2025" s="19" t="s">
        <v>182</v>
      </c>
      <c r="B2025" s="19">
        <v>872.32</v>
      </c>
      <c r="C2025" s="19">
        <v>4</v>
      </c>
      <c r="D2025" s="19">
        <v>244.24959999999999</v>
      </c>
    </row>
    <row r="2026" spans="1:4" x14ac:dyDescent="0.2">
      <c r="A2026" s="19" t="s">
        <v>150</v>
      </c>
      <c r="B2026" s="19">
        <v>239.12000000000003</v>
      </c>
      <c r="C2026" s="19">
        <v>5</v>
      </c>
      <c r="D2026" s="19">
        <v>77.71399999999997</v>
      </c>
    </row>
    <row r="2027" spans="1:4" x14ac:dyDescent="0.2">
      <c r="A2027" s="19" t="s">
        <v>153</v>
      </c>
      <c r="B2027" s="19">
        <v>141.96</v>
      </c>
      <c r="C2027" s="19">
        <v>2</v>
      </c>
      <c r="D2027" s="19">
        <v>39.748800000000003</v>
      </c>
    </row>
    <row r="2028" spans="1:4" x14ac:dyDescent="0.2">
      <c r="A2028" s="19" t="s">
        <v>150</v>
      </c>
      <c r="B2028" s="19">
        <v>33.024000000000001</v>
      </c>
      <c r="C2028" s="19">
        <v>2</v>
      </c>
      <c r="D2028" s="19">
        <v>11.558399999999999</v>
      </c>
    </row>
    <row r="2029" spans="1:4" x14ac:dyDescent="0.2">
      <c r="A2029" s="19" t="s">
        <v>150</v>
      </c>
      <c r="B2029" s="19">
        <v>67.13600000000001</v>
      </c>
      <c r="C2029" s="19">
        <v>4</v>
      </c>
      <c r="D2029" s="19">
        <v>23.497599999999995</v>
      </c>
    </row>
    <row r="2030" spans="1:4" x14ac:dyDescent="0.2">
      <c r="A2030" s="19" t="s">
        <v>180</v>
      </c>
      <c r="B2030" s="19">
        <v>14.73</v>
      </c>
      <c r="C2030" s="19">
        <v>3</v>
      </c>
      <c r="D2030" s="19">
        <v>6.9230999999999998</v>
      </c>
    </row>
    <row r="2031" spans="1:4" x14ac:dyDescent="0.2">
      <c r="A2031" s="19" t="s">
        <v>180</v>
      </c>
      <c r="B2031" s="19">
        <v>104.9</v>
      </c>
      <c r="C2031" s="19">
        <v>5</v>
      </c>
      <c r="D2031" s="19">
        <v>25.175999999999998</v>
      </c>
    </row>
    <row r="2032" spans="1:4" x14ac:dyDescent="0.2">
      <c r="A2032" s="19" t="s">
        <v>180</v>
      </c>
      <c r="B2032" s="19">
        <v>61.04</v>
      </c>
      <c r="C2032" s="19">
        <v>4</v>
      </c>
      <c r="D2032" s="19">
        <v>30.52</v>
      </c>
    </row>
    <row r="2033" spans="1:4" x14ac:dyDescent="0.2">
      <c r="A2033" s="19" t="s">
        <v>180</v>
      </c>
      <c r="B2033" s="19">
        <v>10.95</v>
      </c>
      <c r="C2033" s="19">
        <v>3</v>
      </c>
      <c r="D2033" s="19">
        <v>5.1464999999999996</v>
      </c>
    </row>
    <row r="2034" spans="1:4" x14ac:dyDescent="0.2">
      <c r="A2034" s="19" t="s">
        <v>154</v>
      </c>
      <c r="B2034" s="19">
        <v>9.3920000000000012</v>
      </c>
      <c r="C2034" s="19">
        <v>2</v>
      </c>
      <c r="D2034" s="19">
        <v>3.2871999999999999</v>
      </c>
    </row>
    <row r="2035" spans="1:4" x14ac:dyDescent="0.2">
      <c r="A2035" s="19" t="s">
        <v>154</v>
      </c>
      <c r="B2035" s="19">
        <v>9.3280000000000012</v>
      </c>
      <c r="C2035" s="19">
        <v>1</v>
      </c>
      <c r="D2035" s="19">
        <v>0.8162000000000007</v>
      </c>
    </row>
    <row r="2036" spans="1:4" x14ac:dyDescent="0.2">
      <c r="A2036" s="19" t="s">
        <v>160</v>
      </c>
      <c r="B2036" s="19">
        <v>8.26</v>
      </c>
      <c r="C2036" s="19">
        <v>2</v>
      </c>
      <c r="D2036" s="19">
        <v>3.8822000000000001</v>
      </c>
    </row>
    <row r="2037" spans="1:4" x14ac:dyDescent="0.2">
      <c r="A2037" s="19" t="s">
        <v>160</v>
      </c>
      <c r="B2037" s="19">
        <v>269.96999999999997</v>
      </c>
      <c r="C2037" s="19">
        <v>3</v>
      </c>
      <c r="D2037" s="19">
        <v>51.294299999999964</v>
      </c>
    </row>
    <row r="2038" spans="1:4" x14ac:dyDescent="0.2">
      <c r="A2038" s="19" t="s">
        <v>185</v>
      </c>
      <c r="B2038" s="19">
        <v>29.04</v>
      </c>
      <c r="C2038" s="19">
        <v>3</v>
      </c>
      <c r="D2038" s="19">
        <v>13.9392</v>
      </c>
    </row>
    <row r="2039" spans="1:4" x14ac:dyDescent="0.2">
      <c r="A2039" s="19" t="s">
        <v>185</v>
      </c>
      <c r="B2039" s="19">
        <v>14.62</v>
      </c>
      <c r="C2039" s="19">
        <v>2</v>
      </c>
      <c r="D2039" s="19">
        <v>6.8713999999999995</v>
      </c>
    </row>
    <row r="2040" spans="1:4" x14ac:dyDescent="0.2">
      <c r="A2040" s="19" t="s">
        <v>165</v>
      </c>
      <c r="B2040" s="19">
        <v>11.952000000000002</v>
      </c>
      <c r="C2040" s="19">
        <v>3</v>
      </c>
      <c r="D2040" s="19">
        <v>4.3326000000000002</v>
      </c>
    </row>
    <row r="2041" spans="1:4" x14ac:dyDescent="0.2">
      <c r="A2041" s="19" t="s">
        <v>165</v>
      </c>
      <c r="B2041" s="19">
        <v>4.5360000000000014</v>
      </c>
      <c r="C2041" s="19">
        <v>7</v>
      </c>
      <c r="D2041" s="19">
        <v>-3.3263999999999996</v>
      </c>
    </row>
    <row r="2042" spans="1:4" x14ac:dyDescent="0.2">
      <c r="A2042" s="19" t="s">
        <v>165</v>
      </c>
      <c r="B2042" s="19">
        <v>9.1560000000000006</v>
      </c>
      <c r="C2042" s="19">
        <v>2</v>
      </c>
      <c r="D2042" s="19">
        <v>-6.1039999999999974</v>
      </c>
    </row>
    <row r="2043" spans="1:4" x14ac:dyDescent="0.2">
      <c r="A2043" s="19" t="s">
        <v>165</v>
      </c>
      <c r="B2043" s="19">
        <v>75.36</v>
      </c>
      <c r="C2043" s="19">
        <v>5</v>
      </c>
      <c r="D2043" s="19">
        <v>20.724000000000007</v>
      </c>
    </row>
    <row r="2044" spans="1:4" x14ac:dyDescent="0.2">
      <c r="A2044" s="19" t="s">
        <v>150</v>
      </c>
      <c r="B2044" s="19">
        <v>57.504000000000005</v>
      </c>
      <c r="C2044" s="19">
        <v>6</v>
      </c>
      <c r="D2044" s="19">
        <v>20.1264</v>
      </c>
    </row>
    <row r="2045" spans="1:4" x14ac:dyDescent="0.2">
      <c r="A2045" s="19" t="s">
        <v>173</v>
      </c>
      <c r="B2045" s="19">
        <v>38.864000000000004</v>
      </c>
      <c r="C2045" s="19">
        <v>7</v>
      </c>
      <c r="D2045" s="19">
        <v>7.7728000000000002</v>
      </c>
    </row>
    <row r="2046" spans="1:4" x14ac:dyDescent="0.2">
      <c r="A2046" s="19" t="s">
        <v>154</v>
      </c>
      <c r="B2046" s="19">
        <v>15.552000000000003</v>
      </c>
      <c r="C2046" s="19">
        <v>3</v>
      </c>
      <c r="D2046" s="19">
        <v>5.4432</v>
      </c>
    </row>
    <row r="2047" spans="1:4" x14ac:dyDescent="0.2">
      <c r="A2047" s="19" t="s">
        <v>179</v>
      </c>
      <c r="B2047" s="19">
        <v>162.63999999999999</v>
      </c>
      <c r="C2047" s="19">
        <v>2</v>
      </c>
      <c r="D2047" s="19">
        <v>45.539199999999994</v>
      </c>
    </row>
    <row r="2048" spans="1:4" x14ac:dyDescent="0.2">
      <c r="A2048" s="19" t="s">
        <v>179</v>
      </c>
      <c r="B2048" s="19">
        <v>597</v>
      </c>
      <c r="C2048" s="19">
        <v>3</v>
      </c>
      <c r="D2048" s="19">
        <v>280.59000000000003</v>
      </c>
    </row>
    <row r="2049" spans="1:4" x14ac:dyDescent="0.2">
      <c r="A2049" s="19" t="s">
        <v>179</v>
      </c>
      <c r="B2049" s="19">
        <v>55.48</v>
      </c>
      <c r="C2049" s="19">
        <v>1</v>
      </c>
      <c r="D2049" s="19">
        <v>26.630399999999998</v>
      </c>
    </row>
    <row r="2050" spans="1:4" x14ac:dyDescent="0.2">
      <c r="A2050" s="19" t="s">
        <v>158</v>
      </c>
      <c r="B2050" s="19">
        <v>289.80000000000007</v>
      </c>
      <c r="C2050" s="19">
        <v>7</v>
      </c>
      <c r="D2050" s="19">
        <v>36.224999999999966</v>
      </c>
    </row>
    <row r="2051" spans="1:4" x14ac:dyDescent="0.2">
      <c r="A2051" s="19" t="s">
        <v>158</v>
      </c>
      <c r="B2051" s="19">
        <v>2.5020000000000002</v>
      </c>
      <c r="C2051" s="19">
        <v>3</v>
      </c>
      <c r="D2051" s="19">
        <v>-2.0015999999999998</v>
      </c>
    </row>
    <row r="2052" spans="1:4" x14ac:dyDescent="0.2">
      <c r="A2052" s="19" t="s">
        <v>158</v>
      </c>
      <c r="B2052" s="19">
        <v>6.4800000000000013</v>
      </c>
      <c r="C2052" s="19">
        <v>4</v>
      </c>
      <c r="D2052" s="19">
        <v>-4.7519999999999989</v>
      </c>
    </row>
    <row r="2053" spans="1:4" x14ac:dyDescent="0.2">
      <c r="A2053" s="19" t="s">
        <v>158</v>
      </c>
      <c r="B2053" s="19">
        <v>341.48799999999994</v>
      </c>
      <c r="C2053" s="19">
        <v>8</v>
      </c>
      <c r="D2053" s="19">
        <v>-73.175999999999988</v>
      </c>
    </row>
    <row r="2054" spans="1:4" x14ac:dyDescent="0.2">
      <c r="A2054" s="19" t="s">
        <v>158</v>
      </c>
      <c r="B2054" s="19">
        <v>11.12</v>
      </c>
      <c r="C2054" s="19">
        <v>5</v>
      </c>
      <c r="D2054" s="19">
        <v>0.83399999999999963</v>
      </c>
    </row>
    <row r="2055" spans="1:4" x14ac:dyDescent="0.2">
      <c r="A2055" s="19" t="s">
        <v>158</v>
      </c>
      <c r="B2055" s="19">
        <v>25.344000000000001</v>
      </c>
      <c r="C2055" s="19">
        <v>6</v>
      </c>
      <c r="D2055" s="19">
        <v>3.4847999999999981</v>
      </c>
    </row>
    <row r="2056" spans="1:4" x14ac:dyDescent="0.2">
      <c r="A2056" s="19" t="s">
        <v>163</v>
      </c>
      <c r="B2056" s="19">
        <v>17.309999999999999</v>
      </c>
      <c r="C2056" s="19">
        <v>3</v>
      </c>
      <c r="D2056" s="19">
        <v>5.1929999999999996</v>
      </c>
    </row>
    <row r="2057" spans="1:4" x14ac:dyDescent="0.2">
      <c r="A2057" s="19" t="s">
        <v>161</v>
      </c>
      <c r="B2057" s="19">
        <v>199.95000000000002</v>
      </c>
      <c r="C2057" s="19">
        <v>5</v>
      </c>
      <c r="D2057" s="19">
        <v>63.983999999999988</v>
      </c>
    </row>
    <row r="2058" spans="1:4" x14ac:dyDescent="0.2">
      <c r="A2058" s="19" t="s">
        <v>161</v>
      </c>
      <c r="B2058" s="19">
        <v>1586.6899999999998</v>
      </c>
      <c r="C2058" s="19">
        <v>7</v>
      </c>
      <c r="D2058" s="19">
        <v>412.5394</v>
      </c>
    </row>
    <row r="2059" spans="1:4" x14ac:dyDescent="0.2">
      <c r="A2059" s="19" t="s">
        <v>161</v>
      </c>
      <c r="B2059" s="19">
        <v>84.99</v>
      </c>
      <c r="C2059" s="19">
        <v>1</v>
      </c>
      <c r="D2059" s="19">
        <v>30.596399999999996</v>
      </c>
    </row>
    <row r="2060" spans="1:4" x14ac:dyDescent="0.2">
      <c r="A2060" s="19" t="s">
        <v>161</v>
      </c>
      <c r="B2060" s="19">
        <v>411.8</v>
      </c>
      <c r="C2060" s="19">
        <v>2</v>
      </c>
      <c r="D2060" s="19">
        <v>70.005999999999972</v>
      </c>
    </row>
    <row r="2061" spans="1:4" x14ac:dyDescent="0.2">
      <c r="A2061" s="19" t="s">
        <v>150</v>
      </c>
      <c r="B2061" s="19">
        <v>11.34</v>
      </c>
      <c r="C2061" s="19">
        <v>3</v>
      </c>
      <c r="D2061" s="19">
        <v>5.2164000000000001</v>
      </c>
    </row>
    <row r="2062" spans="1:4" x14ac:dyDescent="0.2">
      <c r="A2062" s="19" t="s">
        <v>150</v>
      </c>
      <c r="B2062" s="19">
        <v>80.3</v>
      </c>
      <c r="C2062" s="19">
        <v>5</v>
      </c>
      <c r="D2062" s="19">
        <v>20.877999999999997</v>
      </c>
    </row>
    <row r="2063" spans="1:4" x14ac:dyDescent="0.2">
      <c r="A2063" s="19" t="s">
        <v>150</v>
      </c>
      <c r="B2063" s="19">
        <v>15.968000000000002</v>
      </c>
      <c r="C2063" s="19">
        <v>2</v>
      </c>
      <c r="D2063" s="19">
        <v>5.3891999999999989</v>
      </c>
    </row>
    <row r="2064" spans="1:4" x14ac:dyDescent="0.2">
      <c r="A2064" s="19" t="s">
        <v>150</v>
      </c>
      <c r="B2064" s="19">
        <v>64.740000000000009</v>
      </c>
      <c r="C2064" s="19">
        <v>13</v>
      </c>
      <c r="D2064" s="19">
        <v>30.427800000000005</v>
      </c>
    </row>
    <row r="2065" spans="1:4" x14ac:dyDescent="0.2">
      <c r="A2065" s="19" t="s">
        <v>150</v>
      </c>
      <c r="B2065" s="19">
        <v>19.295999999999999</v>
      </c>
      <c r="C2065" s="19">
        <v>3</v>
      </c>
      <c r="D2065" s="19">
        <v>6.0299999999999994</v>
      </c>
    </row>
    <row r="2066" spans="1:4" x14ac:dyDescent="0.2">
      <c r="A2066" s="19" t="s">
        <v>150</v>
      </c>
      <c r="B2066" s="19">
        <v>405.64</v>
      </c>
      <c r="C2066" s="19">
        <v>4</v>
      </c>
      <c r="D2066" s="19">
        <v>12.169199999999989</v>
      </c>
    </row>
    <row r="2067" spans="1:4" x14ac:dyDescent="0.2">
      <c r="A2067" s="19" t="s">
        <v>150</v>
      </c>
      <c r="B2067" s="19">
        <v>146.352</v>
      </c>
      <c r="C2067" s="19">
        <v>3</v>
      </c>
      <c r="D2067" s="19">
        <v>-9.1470000000000056</v>
      </c>
    </row>
    <row r="2068" spans="1:4" x14ac:dyDescent="0.2">
      <c r="A2068" s="19" t="s">
        <v>150</v>
      </c>
      <c r="B2068" s="19">
        <v>251.91</v>
      </c>
      <c r="C2068" s="19">
        <v>9</v>
      </c>
      <c r="D2068" s="19">
        <v>47.862899999999982</v>
      </c>
    </row>
    <row r="2069" spans="1:4" x14ac:dyDescent="0.2">
      <c r="A2069" s="19" t="s">
        <v>150</v>
      </c>
      <c r="B2069" s="19">
        <v>12.39</v>
      </c>
      <c r="C2069" s="19">
        <v>3</v>
      </c>
      <c r="D2069" s="19">
        <v>3.7169999999999996</v>
      </c>
    </row>
    <row r="2070" spans="1:4" x14ac:dyDescent="0.2">
      <c r="A2070" s="19" t="s">
        <v>150</v>
      </c>
      <c r="B2070" s="19">
        <v>199.96</v>
      </c>
      <c r="C2070" s="19">
        <v>4</v>
      </c>
      <c r="D2070" s="19">
        <v>69.98599999999999</v>
      </c>
    </row>
    <row r="2071" spans="1:4" x14ac:dyDescent="0.2">
      <c r="A2071" s="19" t="s">
        <v>150</v>
      </c>
      <c r="B2071" s="19">
        <v>710.83200000000011</v>
      </c>
      <c r="C2071" s="19">
        <v>3</v>
      </c>
      <c r="D2071" s="19">
        <v>-97.739399999999989</v>
      </c>
    </row>
    <row r="2072" spans="1:4" x14ac:dyDescent="0.2">
      <c r="A2072" s="19" t="s">
        <v>158</v>
      </c>
      <c r="B2072" s="19">
        <v>1.9410000000000003</v>
      </c>
      <c r="C2072" s="19">
        <v>1</v>
      </c>
      <c r="D2072" s="19">
        <v>-1.294</v>
      </c>
    </row>
    <row r="2073" spans="1:4" x14ac:dyDescent="0.2">
      <c r="A2073" s="19" t="s">
        <v>150</v>
      </c>
      <c r="B2073" s="19">
        <v>283.92</v>
      </c>
      <c r="C2073" s="19">
        <v>5</v>
      </c>
      <c r="D2073" s="19">
        <v>-46.137000000000029</v>
      </c>
    </row>
    <row r="2074" spans="1:4" x14ac:dyDescent="0.2">
      <c r="A2074" s="19" t="s">
        <v>153</v>
      </c>
      <c r="B2074" s="19">
        <v>7.3120000000000012</v>
      </c>
      <c r="C2074" s="19">
        <v>2</v>
      </c>
      <c r="D2074" s="19">
        <v>2.5591999999999997</v>
      </c>
    </row>
    <row r="2075" spans="1:4" x14ac:dyDescent="0.2">
      <c r="A2075" s="19" t="s">
        <v>150</v>
      </c>
      <c r="B2075" s="19">
        <v>59.97</v>
      </c>
      <c r="C2075" s="19">
        <v>3</v>
      </c>
      <c r="D2075" s="19">
        <v>13.793099999999999</v>
      </c>
    </row>
    <row r="2076" spans="1:4" x14ac:dyDescent="0.2">
      <c r="A2076" s="19" t="s">
        <v>150</v>
      </c>
      <c r="B2076" s="19">
        <v>761.5440000000001</v>
      </c>
      <c r="C2076" s="19">
        <v>7</v>
      </c>
      <c r="D2076" s="19">
        <v>66.635100000000023</v>
      </c>
    </row>
    <row r="2077" spans="1:4" x14ac:dyDescent="0.2">
      <c r="A2077" s="19" t="s">
        <v>150</v>
      </c>
      <c r="B2077" s="19">
        <v>58.199999999999996</v>
      </c>
      <c r="C2077" s="19">
        <v>3</v>
      </c>
      <c r="D2077" s="19">
        <v>28.517999999999994</v>
      </c>
    </row>
    <row r="2078" spans="1:4" x14ac:dyDescent="0.2">
      <c r="A2078" s="19" t="s">
        <v>187</v>
      </c>
      <c r="B2078" s="19">
        <v>39.900000000000006</v>
      </c>
      <c r="C2078" s="19">
        <v>5</v>
      </c>
      <c r="D2078" s="19">
        <v>19.950000000000003</v>
      </c>
    </row>
    <row r="2079" spans="1:4" x14ac:dyDescent="0.2">
      <c r="A2079" s="19" t="s">
        <v>187</v>
      </c>
      <c r="B2079" s="19">
        <v>90.86</v>
      </c>
      <c r="C2079" s="19">
        <v>7</v>
      </c>
      <c r="D2079" s="19">
        <v>26.349399999999992</v>
      </c>
    </row>
    <row r="2080" spans="1:4" x14ac:dyDescent="0.2">
      <c r="A2080" s="19" t="s">
        <v>187</v>
      </c>
      <c r="B2080" s="19">
        <v>94.85</v>
      </c>
      <c r="C2080" s="19">
        <v>5</v>
      </c>
      <c r="D2080" s="19">
        <v>45.527999999999992</v>
      </c>
    </row>
    <row r="2081" spans="1:4" x14ac:dyDescent="0.2">
      <c r="A2081" s="19" t="s">
        <v>165</v>
      </c>
      <c r="B2081" s="19">
        <v>106.232</v>
      </c>
      <c r="C2081" s="19">
        <v>7</v>
      </c>
      <c r="D2081" s="19">
        <v>37.181199999999997</v>
      </c>
    </row>
    <row r="2082" spans="1:4" x14ac:dyDescent="0.2">
      <c r="A2082" s="19" t="s">
        <v>165</v>
      </c>
      <c r="B2082" s="19">
        <v>111.98399999999999</v>
      </c>
      <c r="C2082" s="19">
        <v>2</v>
      </c>
      <c r="D2082" s="19">
        <v>11.198400000000003</v>
      </c>
    </row>
    <row r="2083" spans="1:4" x14ac:dyDescent="0.2">
      <c r="A2083" s="19" t="s">
        <v>165</v>
      </c>
      <c r="B2083" s="19">
        <v>7.7120000000000006</v>
      </c>
      <c r="C2083" s="19">
        <v>2</v>
      </c>
      <c r="D2083" s="19">
        <v>1.7352000000000005</v>
      </c>
    </row>
    <row r="2084" spans="1:4" x14ac:dyDescent="0.2">
      <c r="A2084" s="19" t="s">
        <v>150</v>
      </c>
      <c r="B2084" s="19">
        <v>37.44</v>
      </c>
      <c r="C2084" s="19">
        <v>6</v>
      </c>
      <c r="D2084" s="19">
        <v>16.847999999999999</v>
      </c>
    </row>
    <row r="2085" spans="1:4" x14ac:dyDescent="0.2">
      <c r="A2085" s="19" t="s">
        <v>154</v>
      </c>
      <c r="B2085" s="19">
        <v>23.680000000000003</v>
      </c>
      <c r="C2085" s="19">
        <v>2</v>
      </c>
      <c r="D2085" s="19">
        <v>8.879999999999999</v>
      </c>
    </row>
    <row r="2086" spans="1:4" x14ac:dyDescent="0.2">
      <c r="A2086" s="19" t="s">
        <v>164</v>
      </c>
      <c r="B2086" s="19">
        <v>122.12</v>
      </c>
      <c r="C2086" s="19">
        <v>4</v>
      </c>
      <c r="D2086" s="19">
        <v>56.175200000000004</v>
      </c>
    </row>
    <row r="2087" spans="1:4" x14ac:dyDescent="0.2">
      <c r="A2087" s="19" t="s">
        <v>164</v>
      </c>
      <c r="B2087" s="19">
        <v>18.45</v>
      </c>
      <c r="C2087" s="19">
        <v>5</v>
      </c>
      <c r="D2087" s="19">
        <v>8.6715</v>
      </c>
    </row>
    <row r="2088" spans="1:4" x14ac:dyDescent="0.2">
      <c r="A2088" s="19" t="s">
        <v>164</v>
      </c>
      <c r="B2088" s="19">
        <v>324.90000000000003</v>
      </c>
      <c r="C2088" s="19">
        <v>5</v>
      </c>
      <c r="D2088" s="19">
        <v>38.988000000000014</v>
      </c>
    </row>
    <row r="2089" spans="1:4" x14ac:dyDescent="0.2">
      <c r="A2089" s="19" t="s">
        <v>164</v>
      </c>
      <c r="B2089" s="19">
        <v>146.72999999999999</v>
      </c>
      <c r="C2089" s="19">
        <v>3</v>
      </c>
      <c r="D2089" s="19">
        <v>68.963099999999997</v>
      </c>
    </row>
    <row r="2090" spans="1:4" x14ac:dyDescent="0.2">
      <c r="A2090" s="19" t="s">
        <v>164</v>
      </c>
      <c r="B2090" s="19">
        <v>3.96</v>
      </c>
      <c r="C2090" s="19">
        <v>2</v>
      </c>
      <c r="D2090" s="19">
        <v>1.4651999999999998</v>
      </c>
    </row>
    <row r="2091" spans="1:4" x14ac:dyDescent="0.2">
      <c r="A2091" s="19" t="s">
        <v>150</v>
      </c>
      <c r="B2091" s="19">
        <v>5.76</v>
      </c>
      <c r="C2091" s="19">
        <v>2</v>
      </c>
      <c r="D2091" s="19">
        <v>2.6495999999999995</v>
      </c>
    </row>
    <row r="2092" spans="1:4" x14ac:dyDescent="0.2">
      <c r="A2092" s="19" t="s">
        <v>162</v>
      </c>
      <c r="B2092" s="19">
        <v>26.549999999999997</v>
      </c>
      <c r="C2092" s="19">
        <v>3</v>
      </c>
      <c r="D2092" s="19">
        <v>13.009499999999999</v>
      </c>
    </row>
    <row r="2093" spans="1:4" x14ac:dyDescent="0.2">
      <c r="A2093" s="19" t="s">
        <v>162</v>
      </c>
      <c r="B2093" s="19">
        <v>310.44300000000004</v>
      </c>
      <c r="C2093" s="19">
        <v>3</v>
      </c>
      <c r="D2093" s="19">
        <v>-48.783900000000031</v>
      </c>
    </row>
    <row r="2094" spans="1:4" x14ac:dyDescent="0.2">
      <c r="A2094" s="19" t="s">
        <v>160</v>
      </c>
      <c r="B2094" s="19">
        <v>479.90000000000003</v>
      </c>
      <c r="C2094" s="19">
        <v>5</v>
      </c>
      <c r="D2094" s="19">
        <v>81.58299999999997</v>
      </c>
    </row>
    <row r="2095" spans="1:4" x14ac:dyDescent="0.2">
      <c r="A2095" s="19" t="s">
        <v>176</v>
      </c>
      <c r="B2095" s="19">
        <v>12.88</v>
      </c>
      <c r="C2095" s="19">
        <v>1</v>
      </c>
      <c r="D2095" s="19">
        <v>0.38640000000000008</v>
      </c>
    </row>
    <row r="2096" spans="1:4" x14ac:dyDescent="0.2">
      <c r="A2096" s="19" t="s">
        <v>152</v>
      </c>
      <c r="B2096" s="19">
        <v>13.120000000000001</v>
      </c>
      <c r="C2096" s="19">
        <v>5</v>
      </c>
      <c r="D2096" s="19">
        <v>1.4759999999999982</v>
      </c>
    </row>
    <row r="2097" spans="1:4" x14ac:dyDescent="0.2">
      <c r="A2097" s="19" t="s">
        <v>183</v>
      </c>
      <c r="B2097" s="19">
        <v>511.84</v>
      </c>
      <c r="C2097" s="19">
        <v>8</v>
      </c>
      <c r="D2097" s="19">
        <v>240.56479999999999</v>
      </c>
    </row>
    <row r="2098" spans="1:4" x14ac:dyDescent="0.2">
      <c r="A2098" s="19" t="s">
        <v>183</v>
      </c>
      <c r="B2098" s="19">
        <v>91.96</v>
      </c>
      <c r="C2098" s="19">
        <v>4</v>
      </c>
      <c r="D2098" s="19">
        <v>25.748800000000003</v>
      </c>
    </row>
    <row r="2099" spans="1:4" x14ac:dyDescent="0.2">
      <c r="A2099" s="19" t="s">
        <v>183</v>
      </c>
      <c r="B2099" s="19">
        <v>8.34</v>
      </c>
      <c r="C2099" s="19">
        <v>3</v>
      </c>
      <c r="D2099" s="19">
        <v>2.1683999999999997</v>
      </c>
    </row>
    <row r="2100" spans="1:4" x14ac:dyDescent="0.2">
      <c r="A2100" s="19" t="s">
        <v>170</v>
      </c>
      <c r="B2100" s="19">
        <v>37.68</v>
      </c>
      <c r="C2100" s="19">
        <v>3</v>
      </c>
      <c r="D2100" s="19">
        <v>2.3550000000000022</v>
      </c>
    </row>
    <row r="2101" spans="1:4" x14ac:dyDescent="0.2">
      <c r="A2101" s="19" t="s">
        <v>170</v>
      </c>
      <c r="B2101" s="19">
        <v>279.94400000000002</v>
      </c>
      <c r="C2101" s="19">
        <v>7</v>
      </c>
      <c r="D2101" s="19">
        <v>80.48390000000002</v>
      </c>
    </row>
    <row r="2102" spans="1:4" x14ac:dyDescent="0.2">
      <c r="A2102" s="19" t="s">
        <v>171</v>
      </c>
      <c r="B2102" s="19">
        <v>636.40800000000013</v>
      </c>
      <c r="C2102" s="19">
        <v>3</v>
      </c>
      <c r="D2102" s="19">
        <v>-15.910200000000088</v>
      </c>
    </row>
    <row r="2103" spans="1:4" x14ac:dyDescent="0.2">
      <c r="A2103" s="19" t="s">
        <v>171</v>
      </c>
      <c r="B2103" s="19">
        <v>83.168000000000006</v>
      </c>
      <c r="C2103" s="19">
        <v>4</v>
      </c>
      <c r="D2103" s="19">
        <v>9.3563999999999936</v>
      </c>
    </row>
    <row r="2104" spans="1:4" x14ac:dyDescent="0.2">
      <c r="A2104" s="19" t="s">
        <v>165</v>
      </c>
      <c r="B2104" s="19">
        <v>259.13600000000002</v>
      </c>
      <c r="C2104" s="19">
        <v>4</v>
      </c>
      <c r="D2104" s="19">
        <v>-25.913599999999988</v>
      </c>
    </row>
    <row r="2105" spans="1:4" x14ac:dyDescent="0.2">
      <c r="A2105" s="19" t="s">
        <v>164</v>
      </c>
      <c r="B2105" s="19">
        <v>221.92</v>
      </c>
      <c r="C2105" s="19">
        <v>4</v>
      </c>
      <c r="D2105" s="19">
        <v>106.52159999999999</v>
      </c>
    </row>
    <row r="2106" spans="1:4" x14ac:dyDescent="0.2">
      <c r="A2106" s="19" t="s">
        <v>164</v>
      </c>
      <c r="B2106" s="19">
        <v>26</v>
      </c>
      <c r="C2106" s="19">
        <v>2</v>
      </c>
      <c r="D2106" s="19">
        <v>11.7</v>
      </c>
    </row>
    <row r="2107" spans="1:4" x14ac:dyDescent="0.2">
      <c r="A2107" s="19" t="s">
        <v>151</v>
      </c>
      <c r="B2107" s="19">
        <v>15.552000000000003</v>
      </c>
      <c r="C2107" s="19">
        <v>3</v>
      </c>
      <c r="D2107" s="19">
        <v>5.4432</v>
      </c>
    </row>
    <row r="2108" spans="1:4" x14ac:dyDescent="0.2">
      <c r="A2108" s="19" t="s">
        <v>154</v>
      </c>
      <c r="B2108" s="19">
        <v>0.87599999999999978</v>
      </c>
      <c r="C2108" s="19">
        <v>1</v>
      </c>
      <c r="D2108" s="19">
        <v>-1.4016000000000002</v>
      </c>
    </row>
    <row r="2109" spans="1:4" x14ac:dyDescent="0.2">
      <c r="A2109" s="19" t="s">
        <v>150</v>
      </c>
      <c r="B2109" s="19">
        <v>19.98</v>
      </c>
      <c r="C2109" s="19">
        <v>1</v>
      </c>
      <c r="D2109" s="19">
        <v>9.3905999999999992</v>
      </c>
    </row>
    <row r="2110" spans="1:4" x14ac:dyDescent="0.2">
      <c r="A2110" s="19" t="s">
        <v>150</v>
      </c>
      <c r="B2110" s="19">
        <v>398.35199999999998</v>
      </c>
      <c r="C2110" s="19">
        <v>3</v>
      </c>
      <c r="D2110" s="19">
        <v>124.48499999999999</v>
      </c>
    </row>
    <row r="2111" spans="1:4" x14ac:dyDescent="0.2">
      <c r="A2111" s="19" t="s">
        <v>150</v>
      </c>
      <c r="B2111" s="19">
        <v>5.04</v>
      </c>
      <c r="C2111" s="19">
        <v>3</v>
      </c>
      <c r="D2111" s="19">
        <v>1.2599999999999998</v>
      </c>
    </row>
    <row r="2112" spans="1:4" x14ac:dyDescent="0.2">
      <c r="A2112" s="19" t="s">
        <v>150</v>
      </c>
      <c r="B2112" s="19">
        <v>17.450000000000003</v>
      </c>
      <c r="C2112" s="19">
        <v>5</v>
      </c>
      <c r="D2112" s="19">
        <v>8.0269999999999992</v>
      </c>
    </row>
    <row r="2113" spans="1:4" x14ac:dyDescent="0.2">
      <c r="A2113" s="19" t="s">
        <v>150</v>
      </c>
      <c r="B2113" s="19">
        <v>323.13600000000002</v>
      </c>
      <c r="C2113" s="19">
        <v>4</v>
      </c>
      <c r="D2113" s="19">
        <v>20.196000000000012</v>
      </c>
    </row>
    <row r="2114" spans="1:4" x14ac:dyDescent="0.2">
      <c r="A2114" s="19" t="s">
        <v>150</v>
      </c>
      <c r="B2114" s="19">
        <v>29.700000000000003</v>
      </c>
      <c r="C2114" s="19">
        <v>3</v>
      </c>
      <c r="D2114" s="19">
        <v>8.0190000000000001</v>
      </c>
    </row>
    <row r="2115" spans="1:4" x14ac:dyDescent="0.2">
      <c r="A2115" s="19" t="s">
        <v>150</v>
      </c>
      <c r="B2115" s="19">
        <v>1295.8400000000001</v>
      </c>
      <c r="C2115" s="19">
        <v>4</v>
      </c>
      <c r="D2115" s="19">
        <v>145.78199999999993</v>
      </c>
    </row>
    <row r="2116" spans="1:4" x14ac:dyDescent="0.2">
      <c r="A2116" s="19" t="s">
        <v>150</v>
      </c>
      <c r="B2116" s="19">
        <v>46.84</v>
      </c>
      <c r="C2116" s="19">
        <v>2</v>
      </c>
      <c r="D2116" s="19">
        <v>12.646799999999999</v>
      </c>
    </row>
    <row r="2117" spans="1:4" x14ac:dyDescent="0.2">
      <c r="A2117" s="19" t="s">
        <v>150</v>
      </c>
      <c r="B2117" s="19">
        <v>425.83300000000003</v>
      </c>
      <c r="C2117" s="19">
        <v>1</v>
      </c>
      <c r="D2117" s="19">
        <v>20.03919999999998</v>
      </c>
    </row>
    <row r="2118" spans="1:4" x14ac:dyDescent="0.2">
      <c r="A2118" s="19" t="s">
        <v>164</v>
      </c>
      <c r="B2118" s="19">
        <v>209.67</v>
      </c>
      <c r="C2118" s="19">
        <v>1</v>
      </c>
      <c r="D2118" s="19">
        <v>-13.978000000000009</v>
      </c>
    </row>
    <row r="2119" spans="1:4" x14ac:dyDescent="0.2">
      <c r="A2119" s="19" t="s">
        <v>150</v>
      </c>
      <c r="B2119" s="19">
        <v>159.88</v>
      </c>
      <c r="C2119" s="19">
        <v>7</v>
      </c>
      <c r="D2119" s="19">
        <v>73.544799999999995</v>
      </c>
    </row>
    <row r="2120" spans="1:4" x14ac:dyDescent="0.2">
      <c r="A2120" s="19" t="s">
        <v>153</v>
      </c>
      <c r="B2120" s="19">
        <v>5.28</v>
      </c>
      <c r="C2120" s="19">
        <v>1</v>
      </c>
      <c r="D2120" s="19">
        <v>2.3759999999999999</v>
      </c>
    </row>
    <row r="2121" spans="1:4" x14ac:dyDescent="0.2">
      <c r="A2121" s="19" t="s">
        <v>153</v>
      </c>
      <c r="B2121" s="19">
        <v>895.92</v>
      </c>
      <c r="C2121" s="19">
        <v>5</v>
      </c>
      <c r="D2121" s="19">
        <v>302.37299999999993</v>
      </c>
    </row>
    <row r="2122" spans="1:4" x14ac:dyDescent="0.2">
      <c r="A2122" s="19" t="s">
        <v>151</v>
      </c>
      <c r="B2122" s="19">
        <v>2.8080000000000007</v>
      </c>
      <c r="C2122" s="19">
        <v>3</v>
      </c>
      <c r="D2122" s="19">
        <v>-1.9656000000000002</v>
      </c>
    </row>
    <row r="2123" spans="1:4" x14ac:dyDescent="0.2">
      <c r="A2123" s="19" t="s">
        <v>150</v>
      </c>
      <c r="B2123" s="19">
        <v>215.976</v>
      </c>
      <c r="C2123" s="19">
        <v>3</v>
      </c>
      <c r="D2123" s="19">
        <v>-2.6997000000000355</v>
      </c>
    </row>
    <row r="2124" spans="1:4" x14ac:dyDescent="0.2">
      <c r="A2124" s="19" t="s">
        <v>161</v>
      </c>
      <c r="B2124" s="19">
        <v>241.96</v>
      </c>
      <c r="C2124" s="19">
        <v>2</v>
      </c>
      <c r="D2124" s="19">
        <v>41.133199999999988</v>
      </c>
    </row>
    <row r="2125" spans="1:4" x14ac:dyDescent="0.2">
      <c r="A2125" s="19" t="s">
        <v>161</v>
      </c>
      <c r="B2125" s="19">
        <v>27.72</v>
      </c>
      <c r="C2125" s="19">
        <v>9</v>
      </c>
      <c r="D2125" s="19">
        <v>13.3056</v>
      </c>
    </row>
    <row r="2126" spans="1:4" x14ac:dyDescent="0.2">
      <c r="A2126" s="19" t="s">
        <v>158</v>
      </c>
      <c r="B2126" s="19">
        <v>104.68000000000002</v>
      </c>
      <c r="C2126" s="19">
        <v>5</v>
      </c>
      <c r="D2126" s="19">
        <v>35.329499999999996</v>
      </c>
    </row>
    <row r="2127" spans="1:4" x14ac:dyDescent="0.2">
      <c r="A2127" s="19" t="s">
        <v>158</v>
      </c>
      <c r="B2127" s="19">
        <v>62.957999999999998</v>
      </c>
      <c r="C2127" s="19">
        <v>7</v>
      </c>
      <c r="D2127" s="19">
        <v>9.4436999999999998</v>
      </c>
    </row>
    <row r="2128" spans="1:4" x14ac:dyDescent="0.2">
      <c r="A2128" s="19" t="s">
        <v>158</v>
      </c>
      <c r="B2128" s="19">
        <v>86.376000000000005</v>
      </c>
      <c r="C2128" s="19">
        <v>3</v>
      </c>
      <c r="D2128" s="19">
        <v>1.079699999999999</v>
      </c>
    </row>
    <row r="2129" spans="1:4" x14ac:dyDescent="0.2">
      <c r="A2129" s="19" t="s">
        <v>158</v>
      </c>
      <c r="B2129" s="19">
        <v>64.944000000000003</v>
      </c>
      <c r="C2129" s="19">
        <v>3</v>
      </c>
      <c r="D2129" s="19">
        <v>6.4943999999999953</v>
      </c>
    </row>
    <row r="2130" spans="1:4" x14ac:dyDescent="0.2">
      <c r="A2130" s="19" t="s">
        <v>158</v>
      </c>
      <c r="B2130" s="19">
        <v>20.736000000000004</v>
      </c>
      <c r="C2130" s="19">
        <v>4</v>
      </c>
      <c r="D2130" s="19">
        <v>7.2576000000000001</v>
      </c>
    </row>
    <row r="2131" spans="1:4" x14ac:dyDescent="0.2">
      <c r="A2131" s="19" t="s">
        <v>186</v>
      </c>
      <c r="B2131" s="19">
        <v>33.28</v>
      </c>
      <c r="C2131" s="19">
        <v>4</v>
      </c>
      <c r="D2131" s="19">
        <v>9.3184000000000005</v>
      </c>
    </row>
    <row r="2132" spans="1:4" x14ac:dyDescent="0.2">
      <c r="A2132" s="19" t="s">
        <v>186</v>
      </c>
      <c r="B2132" s="19">
        <v>38.520000000000003</v>
      </c>
      <c r="C2132" s="19">
        <v>9</v>
      </c>
      <c r="D2132" s="19">
        <v>11.9412</v>
      </c>
    </row>
    <row r="2133" spans="1:4" x14ac:dyDescent="0.2">
      <c r="A2133" s="19" t="s">
        <v>186</v>
      </c>
      <c r="B2133" s="19">
        <v>139.86000000000001</v>
      </c>
      <c r="C2133" s="19">
        <v>7</v>
      </c>
      <c r="D2133" s="19">
        <v>60.139800000000015</v>
      </c>
    </row>
    <row r="2134" spans="1:4" x14ac:dyDescent="0.2">
      <c r="A2134" s="19" t="s">
        <v>164</v>
      </c>
      <c r="B2134" s="19">
        <v>19.649999999999999</v>
      </c>
      <c r="C2134" s="19">
        <v>3</v>
      </c>
      <c r="D2134" s="19">
        <v>9.0389999999999997</v>
      </c>
    </row>
    <row r="2135" spans="1:4" x14ac:dyDescent="0.2">
      <c r="A2135" s="19" t="s">
        <v>158</v>
      </c>
      <c r="B2135" s="19">
        <v>152.99100000000001</v>
      </c>
      <c r="C2135" s="19">
        <v>3</v>
      </c>
      <c r="D2135" s="19">
        <v>-122.39280000000002</v>
      </c>
    </row>
    <row r="2136" spans="1:4" x14ac:dyDescent="0.2">
      <c r="A2136" s="19" t="s">
        <v>158</v>
      </c>
      <c r="B2136" s="19">
        <v>10.584</v>
      </c>
      <c r="C2136" s="19">
        <v>7</v>
      </c>
      <c r="D2136" s="19">
        <v>-2.3813999999999993</v>
      </c>
    </row>
    <row r="2137" spans="1:4" x14ac:dyDescent="0.2">
      <c r="A2137" s="19" t="s">
        <v>158</v>
      </c>
      <c r="B2137" s="19">
        <v>94.919999999999987</v>
      </c>
      <c r="C2137" s="19">
        <v>4</v>
      </c>
      <c r="D2137" s="19">
        <v>15.819999999999993</v>
      </c>
    </row>
    <row r="2138" spans="1:4" x14ac:dyDescent="0.2">
      <c r="A2138" s="19" t="s">
        <v>154</v>
      </c>
      <c r="B2138" s="19">
        <v>14.76</v>
      </c>
      <c r="C2138" s="19">
        <v>5</v>
      </c>
      <c r="D2138" s="19">
        <v>-11.439000000000004</v>
      </c>
    </row>
    <row r="2139" spans="1:4" x14ac:dyDescent="0.2">
      <c r="A2139" s="19" t="s">
        <v>154</v>
      </c>
      <c r="B2139" s="19">
        <v>3.6559999999999993</v>
      </c>
      <c r="C2139" s="19">
        <v>4</v>
      </c>
      <c r="D2139" s="19">
        <v>-5.8496000000000024</v>
      </c>
    </row>
    <row r="2140" spans="1:4" x14ac:dyDescent="0.2">
      <c r="A2140" s="19" t="s">
        <v>164</v>
      </c>
      <c r="B2140" s="19">
        <v>146.82</v>
      </c>
      <c r="C2140" s="19">
        <v>3</v>
      </c>
      <c r="D2140" s="19">
        <v>73.41</v>
      </c>
    </row>
    <row r="2141" spans="1:4" x14ac:dyDescent="0.2">
      <c r="A2141" s="19" t="s">
        <v>164</v>
      </c>
      <c r="B2141" s="19">
        <v>149.54399999999998</v>
      </c>
      <c r="C2141" s="19">
        <v>9</v>
      </c>
      <c r="D2141" s="19">
        <v>50.471099999999993</v>
      </c>
    </row>
    <row r="2142" spans="1:4" x14ac:dyDescent="0.2">
      <c r="A2142" s="19" t="s">
        <v>164</v>
      </c>
      <c r="B2142" s="19">
        <v>17.14</v>
      </c>
      <c r="C2142" s="19">
        <v>2</v>
      </c>
      <c r="D2142" s="19">
        <v>4.4564000000000004</v>
      </c>
    </row>
    <row r="2143" spans="1:4" x14ac:dyDescent="0.2">
      <c r="A2143" s="19" t="s">
        <v>164</v>
      </c>
      <c r="B2143" s="19">
        <v>991.76400000000012</v>
      </c>
      <c r="C2143" s="19">
        <v>3</v>
      </c>
      <c r="D2143" s="19">
        <v>-347.11740000000009</v>
      </c>
    </row>
    <row r="2144" spans="1:4" x14ac:dyDescent="0.2">
      <c r="A2144" s="19" t="s">
        <v>158</v>
      </c>
      <c r="B2144" s="19">
        <v>30.48</v>
      </c>
      <c r="C2144" s="19">
        <v>6</v>
      </c>
      <c r="D2144" s="19">
        <v>9.9059999999999988</v>
      </c>
    </row>
    <row r="2145" spans="1:4" x14ac:dyDescent="0.2">
      <c r="A2145" s="19" t="s">
        <v>158</v>
      </c>
      <c r="B2145" s="19">
        <v>23.987999999999996</v>
      </c>
      <c r="C2145" s="19">
        <v>2</v>
      </c>
      <c r="D2145" s="19">
        <v>-4.7975999999999974</v>
      </c>
    </row>
    <row r="2146" spans="1:4" x14ac:dyDescent="0.2">
      <c r="A2146" s="19" t="s">
        <v>158</v>
      </c>
      <c r="B2146" s="19">
        <v>16.687999999999999</v>
      </c>
      <c r="C2146" s="19">
        <v>7</v>
      </c>
      <c r="D2146" s="19">
        <v>5.4235999999999995</v>
      </c>
    </row>
    <row r="2147" spans="1:4" x14ac:dyDescent="0.2">
      <c r="A2147" s="19" t="s">
        <v>158</v>
      </c>
      <c r="B2147" s="19">
        <v>422.05799999999994</v>
      </c>
      <c r="C2147" s="19">
        <v>3</v>
      </c>
      <c r="D2147" s="19">
        <v>-18.088200000000001</v>
      </c>
    </row>
    <row r="2148" spans="1:4" x14ac:dyDescent="0.2">
      <c r="A2148" s="19" t="s">
        <v>158</v>
      </c>
      <c r="B2148" s="19">
        <v>38.088000000000001</v>
      </c>
      <c r="C2148" s="19">
        <v>4</v>
      </c>
      <c r="D2148" s="19">
        <v>-27.93119999999999</v>
      </c>
    </row>
    <row r="2149" spans="1:4" x14ac:dyDescent="0.2">
      <c r="A2149" s="19" t="s">
        <v>158</v>
      </c>
      <c r="B2149" s="19">
        <v>254.35200000000003</v>
      </c>
      <c r="C2149" s="19">
        <v>6</v>
      </c>
      <c r="D2149" s="19">
        <v>-50.870400000000018</v>
      </c>
    </row>
    <row r="2150" spans="1:4" x14ac:dyDescent="0.2">
      <c r="A2150" s="19" t="s">
        <v>150</v>
      </c>
      <c r="B2150" s="19">
        <v>43.31</v>
      </c>
      <c r="C2150" s="19">
        <v>1</v>
      </c>
      <c r="D2150" s="19">
        <v>4.330999999999996</v>
      </c>
    </row>
    <row r="2151" spans="1:4" x14ac:dyDescent="0.2">
      <c r="A2151" s="19" t="s">
        <v>164</v>
      </c>
      <c r="B2151" s="19">
        <v>84.949999999999989</v>
      </c>
      <c r="C2151" s="19">
        <v>5</v>
      </c>
      <c r="D2151" s="19">
        <v>22.086999999999996</v>
      </c>
    </row>
    <row r="2152" spans="1:4" x14ac:dyDescent="0.2">
      <c r="A2152" s="19" t="s">
        <v>154</v>
      </c>
      <c r="B2152" s="19">
        <v>233.05799999999999</v>
      </c>
      <c r="C2152" s="19">
        <v>3</v>
      </c>
      <c r="D2152" s="19">
        <v>-53.270399999999995</v>
      </c>
    </row>
    <row r="2153" spans="1:4" x14ac:dyDescent="0.2">
      <c r="A2153" s="19" t="s">
        <v>174</v>
      </c>
      <c r="B2153" s="19">
        <v>111.79</v>
      </c>
      <c r="C2153" s="19">
        <v>7</v>
      </c>
      <c r="D2153" s="19">
        <v>43.598100000000002</v>
      </c>
    </row>
    <row r="2154" spans="1:4" x14ac:dyDescent="0.2">
      <c r="A2154" s="19" t="s">
        <v>180</v>
      </c>
      <c r="B2154" s="19">
        <v>14.940000000000001</v>
      </c>
      <c r="C2154" s="19">
        <v>3</v>
      </c>
      <c r="D2154" s="19">
        <v>7.0218000000000007</v>
      </c>
    </row>
    <row r="2155" spans="1:4" x14ac:dyDescent="0.2">
      <c r="A2155" s="19" t="s">
        <v>164</v>
      </c>
      <c r="B2155" s="19">
        <v>14.16</v>
      </c>
      <c r="C2155" s="19">
        <v>2</v>
      </c>
      <c r="D2155" s="19">
        <v>5.133</v>
      </c>
    </row>
    <row r="2156" spans="1:4" x14ac:dyDescent="0.2">
      <c r="A2156" s="19" t="s">
        <v>154</v>
      </c>
      <c r="B2156" s="19">
        <v>22.608000000000001</v>
      </c>
      <c r="C2156" s="19">
        <v>3</v>
      </c>
      <c r="D2156" s="19">
        <v>-10.173599999999997</v>
      </c>
    </row>
    <row r="2157" spans="1:4" x14ac:dyDescent="0.2">
      <c r="A2157" s="19" t="s">
        <v>150</v>
      </c>
      <c r="B2157" s="19">
        <v>21.48</v>
      </c>
      <c r="C2157" s="19">
        <v>6</v>
      </c>
      <c r="D2157" s="19">
        <v>10.74</v>
      </c>
    </row>
    <row r="2158" spans="1:4" x14ac:dyDescent="0.2">
      <c r="A2158" s="19" t="s">
        <v>160</v>
      </c>
      <c r="B2158" s="19">
        <v>501.81000000000006</v>
      </c>
      <c r="C2158" s="19">
        <v>3</v>
      </c>
      <c r="D2158" s="19">
        <v>0</v>
      </c>
    </row>
    <row r="2159" spans="1:4" x14ac:dyDescent="0.2">
      <c r="A2159" s="19" t="s">
        <v>160</v>
      </c>
      <c r="B2159" s="19">
        <v>161.94</v>
      </c>
      <c r="C2159" s="19">
        <v>3</v>
      </c>
      <c r="D2159" s="19">
        <v>9.716399999999993</v>
      </c>
    </row>
    <row r="2160" spans="1:4" x14ac:dyDescent="0.2">
      <c r="A2160" s="19" t="s">
        <v>151</v>
      </c>
      <c r="B2160" s="19">
        <v>17.856000000000002</v>
      </c>
      <c r="C2160" s="19">
        <v>4</v>
      </c>
      <c r="D2160" s="19">
        <v>2.0087999999999973</v>
      </c>
    </row>
    <row r="2161" spans="1:4" x14ac:dyDescent="0.2">
      <c r="A2161" s="19" t="s">
        <v>159</v>
      </c>
      <c r="B2161" s="19">
        <v>8.8079999999999981</v>
      </c>
      <c r="C2161" s="19">
        <v>3</v>
      </c>
      <c r="D2161" s="19">
        <v>-14.973600000000001</v>
      </c>
    </row>
    <row r="2162" spans="1:4" x14ac:dyDescent="0.2">
      <c r="A2162" s="19" t="s">
        <v>173</v>
      </c>
      <c r="B2162" s="19">
        <v>79.384000000000015</v>
      </c>
      <c r="C2162" s="19">
        <v>1</v>
      </c>
      <c r="D2162" s="19">
        <v>29.768999999999998</v>
      </c>
    </row>
    <row r="2163" spans="1:4" x14ac:dyDescent="0.2">
      <c r="A2163" s="19" t="s">
        <v>150</v>
      </c>
      <c r="B2163" s="19">
        <v>34.58</v>
      </c>
      <c r="C2163" s="19">
        <v>1</v>
      </c>
      <c r="D2163" s="19">
        <v>10.028199999999998</v>
      </c>
    </row>
    <row r="2164" spans="1:4" x14ac:dyDescent="0.2">
      <c r="A2164" s="19" t="s">
        <v>150</v>
      </c>
      <c r="B2164" s="19">
        <v>314.54999999999995</v>
      </c>
      <c r="C2164" s="19">
        <v>3</v>
      </c>
      <c r="D2164" s="19">
        <v>150.98399999999998</v>
      </c>
    </row>
    <row r="2165" spans="1:4" x14ac:dyDescent="0.2">
      <c r="A2165" s="19" t="s">
        <v>154</v>
      </c>
      <c r="B2165" s="19">
        <v>191.976</v>
      </c>
      <c r="C2165" s="19">
        <v>3</v>
      </c>
      <c r="D2165" s="19">
        <v>23.996999999999986</v>
      </c>
    </row>
    <row r="2166" spans="1:4" x14ac:dyDescent="0.2">
      <c r="A2166" s="19" t="s">
        <v>154</v>
      </c>
      <c r="B2166" s="19">
        <v>8.2880000000000003</v>
      </c>
      <c r="C2166" s="19">
        <v>2</v>
      </c>
      <c r="D2166" s="19">
        <v>3.0043999999999995</v>
      </c>
    </row>
    <row r="2167" spans="1:4" x14ac:dyDescent="0.2">
      <c r="A2167" s="19" t="s">
        <v>154</v>
      </c>
      <c r="B2167" s="19">
        <v>139.91999999999999</v>
      </c>
      <c r="C2167" s="19">
        <v>5</v>
      </c>
      <c r="D2167" s="19">
        <v>-150.41399999999999</v>
      </c>
    </row>
    <row r="2168" spans="1:4" x14ac:dyDescent="0.2">
      <c r="A2168" s="19" t="s">
        <v>154</v>
      </c>
      <c r="B2168" s="19">
        <v>15.872</v>
      </c>
      <c r="C2168" s="19">
        <v>1</v>
      </c>
      <c r="D2168" s="19">
        <v>1.1904000000000003</v>
      </c>
    </row>
    <row r="2169" spans="1:4" x14ac:dyDescent="0.2">
      <c r="A2169" s="19" t="s">
        <v>154</v>
      </c>
      <c r="B2169" s="19">
        <v>6.2859999999999987</v>
      </c>
      <c r="C2169" s="19">
        <v>7</v>
      </c>
      <c r="D2169" s="19">
        <v>-11.000500000000008</v>
      </c>
    </row>
    <row r="2170" spans="1:4" x14ac:dyDescent="0.2">
      <c r="A2170" s="19" t="s">
        <v>173</v>
      </c>
      <c r="B2170" s="19">
        <v>14.015999999999998</v>
      </c>
      <c r="C2170" s="19">
        <v>3</v>
      </c>
      <c r="D2170" s="19">
        <v>1.7519999999999998</v>
      </c>
    </row>
    <row r="2171" spans="1:4" x14ac:dyDescent="0.2">
      <c r="A2171" s="19" t="s">
        <v>173</v>
      </c>
      <c r="B2171" s="19">
        <v>71.975999999999999</v>
      </c>
      <c r="C2171" s="19">
        <v>3</v>
      </c>
      <c r="D2171" s="19">
        <v>-8.9970000000000034</v>
      </c>
    </row>
    <row r="2172" spans="1:4" x14ac:dyDescent="0.2">
      <c r="A2172" s="19" t="s">
        <v>173</v>
      </c>
      <c r="B2172" s="19">
        <v>107.982</v>
      </c>
      <c r="C2172" s="19">
        <v>3</v>
      </c>
      <c r="D2172" s="19">
        <v>-26.995499999999993</v>
      </c>
    </row>
    <row r="2173" spans="1:4" x14ac:dyDescent="0.2">
      <c r="A2173" s="19" t="s">
        <v>154</v>
      </c>
      <c r="B2173" s="19">
        <v>305.31200000000001</v>
      </c>
      <c r="C2173" s="19">
        <v>2</v>
      </c>
      <c r="D2173" s="19">
        <v>-8.7232000000000198</v>
      </c>
    </row>
    <row r="2174" spans="1:4" x14ac:dyDescent="0.2">
      <c r="A2174" s="19" t="s">
        <v>150</v>
      </c>
      <c r="B2174" s="19">
        <v>19.752000000000002</v>
      </c>
      <c r="C2174" s="19">
        <v>3</v>
      </c>
      <c r="D2174" s="19">
        <v>6.9131999999999998</v>
      </c>
    </row>
    <row r="2175" spans="1:4" x14ac:dyDescent="0.2">
      <c r="A2175" s="19" t="s">
        <v>154</v>
      </c>
      <c r="B2175" s="19">
        <v>9.2639999999999976</v>
      </c>
      <c r="C2175" s="19">
        <v>3</v>
      </c>
      <c r="D2175" s="19">
        <v>-13.895999999999997</v>
      </c>
    </row>
    <row r="2176" spans="1:4" x14ac:dyDescent="0.2">
      <c r="A2176" s="19" t="s">
        <v>154</v>
      </c>
      <c r="B2176" s="19">
        <v>61.792000000000002</v>
      </c>
      <c r="C2176" s="19">
        <v>4</v>
      </c>
      <c r="D2176" s="19">
        <v>6.1792000000000016</v>
      </c>
    </row>
    <row r="2177" spans="1:4" x14ac:dyDescent="0.2">
      <c r="A2177" s="19" t="s">
        <v>156</v>
      </c>
      <c r="B2177" s="19">
        <v>45.68</v>
      </c>
      <c r="C2177" s="19">
        <v>2</v>
      </c>
      <c r="D2177" s="19">
        <v>21.012799999999999</v>
      </c>
    </row>
    <row r="2178" spans="1:4" x14ac:dyDescent="0.2">
      <c r="A2178" s="19" t="s">
        <v>156</v>
      </c>
      <c r="B2178" s="19">
        <v>60.12</v>
      </c>
      <c r="C2178" s="19">
        <v>9</v>
      </c>
      <c r="D2178" s="19">
        <v>28.857599999999998</v>
      </c>
    </row>
    <row r="2179" spans="1:4" x14ac:dyDescent="0.2">
      <c r="A2179" s="19" t="s">
        <v>156</v>
      </c>
      <c r="B2179" s="19">
        <v>41.72</v>
      </c>
      <c r="C2179" s="19">
        <v>5</v>
      </c>
      <c r="D2179" s="19">
        <v>13.037499999999998</v>
      </c>
    </row>
    <row r="2180" spans="1:4" x14ac:dyDescent="0.2">
      <c r="A2180" s="19" t="s">
        <v>156</v>
      </c>
      <c r="B2180" s="19">
        <v>71.599999999999994</v>
      </c>
      <c r="C2180" s="19">
        <v>8</v>
      </c>
      <c r="D2180" s="19">
        <v>32.935999999999993</v>
      </c>
    </row>
    <row r="2181" spans="1:4" x14ac:dyDescent="0.2">
      <c r="A2181" s="19" t="s">
        <v>164</v>
      </c>
      <c r="B2181" s="19">
        <v>85.232000000000014</v>
      </c>
      <c r="C2181" s="19">
        <v>7</v>
      </c>
      <c r="D2181" s="19">
        <v>30.896599999999996</v>
      </c>
    </row>
    <row r="2182" spans="1:4" x14ac:dyDescent="0.2">
      <c r="A2182" s="19" t="s">
        <v>164</v>
      </c>
      <c r="B2182" s="19">
        <v>44.400000000000006</v>
      </c>
      <c r="C2182" s="19">
        <v>3</v>
      </c>
      <c r="D2182" s="19">
        <v>22.200000000000003</v>
      </c>
    </row>
    <row r="2183" spans="1:4" x14ac:dyDescent="0.2">
      <c r="A2183" s="19" t="s">
        <v>164</v>
      </c>
      <c r="B2183" s="19">
        <v>442.76400000000001</v>
      </c>
      <c r="C2183" s="19">
        <v>4</v>
      </c>
      <c r="D2183" s="19">
        <v>59.035200000000003</v>
      </c>
    </row>
    <row r="2184" spans="1:4" x14ac:dyDescent="0.2">
      <c r="A2184" s="19" t="s">
        <v>164</v>
      </c>
      <c r="B2184" s="19">
        <v>3999.95</v>
      </c>
      <c r="C2184" s="19">
        <v>5</v>
      </c>
      <c r="D2184" s="19">
        <v>1159.9854999999998</v>
      </c>
    </row>
    <row r="2185" spans="1:4" x14ac:dyDescent="0.2">
      <c r="A2185" s="19" t="s">
        <v>164</v>
      </c>
      <c r="B2185" s="19">
        <v>199.95000000000002</v>
      </c>
      <c r="C2185" s="19">
        <v>5</v>
      </c>
      <c r="D2185" s="19">
        <v>21.994499999999988</v>
      </c>
    </row>
    <row r="2186" spans="1:4" x14ac:dyDescent="0.2">
      <c r="A2186" s="19" t="s">
        <v>164</v>
      </c>
      <c r="B2186" s="19">
        <v>63.68</v>
      </c>
      <c r="C2186" s="19">
        <v>8</v>
      </c>
      <c r="D2186" s="19">
        <v>28.019200000000005</v>
      </c>
    </row>
    <row r="2187" spans="1:4" x14ac:dyDescent="0.2">
      <c r="A2187" s="19" t="s">
        <v>150</v>
      </c>
      <c r="B2187" s="19">
        <v>54.896000000000008</v>
      </c>
      <c r="C2187" s="19">
        <v>2</v>
      </c>
      <c r="D2187" s="19">
        <v>18.5274</v>
      </c>
    </row>
    <row r="2188" spans="1:4" x14ac:dyDescent="0.2">
      <c r="A2188" s="19" t="s">
        <v>168</v>
      </c>
      <c r="B2188" s="19">
        <v>29</v>
      </c>
      <c r="C2188" s="19">
        <v>2</v>
      </c>
      <c r="D2188" s="19">
        <v>7.25</v>
      </c>
    </row>
    <row r="2189" spans="1:4" x14ac:dyDescent="0.2">
      <c r="A2189" s="19" t="s">
        <v>163</v>
      </c>
      <c r="B2189" s="19">
        <v>70.08</v>
      </c>
      <c r="C2189" s="19">
        <v>6</v>
      </c>
      <c r="D2189" s="19">
        <v>35.04</v>
      </c>
    </row>
    <row r="2190" spans="1:4" x14ac:dyDescent="0.2">
      <c r="A2190" s="19" t="s">
        <v>163</v>
      </c>
      <c r="B2190" s="19">
        <v>121.3</v>
      </c>
      <c r="C2190" s="19">
        <v>2</v>
      </c>
      <c r="D2190" s="19">
        <v>25.472999999999999</v>
      </c>
    </row>
    <row r="2191" spans="1:4" x14ac:dyDescent="0.2">
      <c r="A2191" s="19" t="s">
        <v>163</v>
      </c>
      <c r="B2191" s="19">
        <v>1454.4900000000002</v>
      </c>
      <c r="C2191" s="19">
        <v>9</v>
      </c>
      <c r="D2191" s="19">
        <v>378.16740000000004</v>
      </c>
    </row>
    <row r="2192" spans="1:4" x14ac:dyDescent="0.2">
      <c r="A2192" s="19" t="s">
        <v>150</v>
      </c>
      <c r="B2192" s="19">
        <v>60.81</v>
      </c>
      <c r="C2192" s="19">
        <v>3</v>
      </c>
      <c r="D2192" s="19">
        <v>17.026800000000001</v>
      </c>
    </row>
    <row r="2193" spans="1:4" x14ac:dyDescent="0.2">
      <c r="A2193" s="19" t="s">
        <v>153</v>
      </c>
      <c r="B2193" s="19">
        <v>153.55199999999999</v>
      </c>
      <c r="C2193" s="19">
        <v>3</v>
      </c>
      <c r="D2193" s="19">
        <v>51.823799999999999</v>
      </c>
    </row>
    <row r="2194" spans="1:4" x14ac:dyDescent="0.2">
      <c r="A2194" s="19" t="s">
        <v>153</v>
      </c>
      <c r="B2194" s="19">
        <v>65.34</v>
      </c>
      <c r="C2194" s="19">
        <v>3</v>
      </c>
      <c r="D2194" s="19">
        <v>22.869</v>
      </c>
    </row>
    <row r="2195" spans="1:4" x14ac:dyDescent="0.2">
      <c r="A2195" s="19" t="s">
        <v>153</v>
      </c>
      <c r="B2195" s="19">
        <v>123.92</v>
      </c>
      <c r="C2195" s="19">
        <v>4</v>
      </c>
      <c r="D2195" s="19">
        <v>55.763999999999996</v>
      </c>
    </row>
    <row r="2196" spans="1:4" x14ac:dyDescent="0.2">
      <c r="A2196" s="19" t="s">
        <v>153</v>
      </c>
      <c r="B2196" s="19">
        <v>35.099999999999994</v>
      </c>
      <c r="C2196" s="19">
        <v>3</v>
      </c>
      <c r="D2196" s="19">
        <v>12.285</v>
      </c>
    </row>
    <row r="2197" spans="1:4" x14ac:dyDescent="0.2">
      <c r="A2197" s="19" t="s">
        <v>153</v>
      </c>
      <c r="B2197" s="19">
        <v>44.75</v>
      </c>
      <c r="C2197" s="19">
        <v>5</v>
      </c>
      <c r="D2197" s="19">
        <v>8.5024999999999942</v>
      </c>
    </row>
    <row r="2198" spans="1:4" x14ac:dyDescent="0.2">
      <c r="A2198" s="19" t="s">
        <v>167</v>
      </c>
      <c r="B2198" s="19">
        <v>4.7039999999999997</v>
      </c>
      <c r="C2198" s="19">
        <v>2</v>
      </c>
      <c r="D2198" s="19">
        <v>0.41160000000000019</v>
      </c>
    </row>
    <row r="2199" spans="1:4" x14ac:dyDescent="0.2">
      <c r="A2199" s="19" t="s">
        <v>168</v>
      </c>
      <c r="B2199" s="19">
        <v>14.669999999999998</v>
      </c>
      <c r="C2199" s="19">
        <v>3</v>
      </c>
      <c r="D2199" s="19">
        <v>3.9609000000000001</v>
      </c>
    </row>
    <row r="2200" spans="1:4" x14ac:dyDescent="0.2">
      <c r="A2200" s="19" t="s">
        <v>158</v>
      </c>
      <c r="B2200" s="19">
        <v>15.552000000000003</v>
      </c>
      <c r="C2200" s="19">
        <v>3</v>
      </c>
      <c r="D2200" s="19">
        <v>5.4432</v>
      </c>
    </row>
    <row r="2201" spans="1:4" x14ac:dyDescent="0.2">
      <c r="A2201" s="19" t="s">
        <v>158</v>
      </c>
      <c r="B2201" s="19">
        <v>5.2320000000000002</v>
      </c>
      <c r="C2201" s="19">
        <v>1</v>
      </c>
      <c r="D2201" s="19">
        <v>1.7003999999999999</v>
      </c>
    </row>
    <row r="2202" spans="1:4" x14ac:dyDescent="0.2">
      <c r="A2202" s="19" t="s">
        <v>184</v>
      </c>
      <c r="B2202" s="19">
        <v>22.200000000000003</v>
      </c>
      <c r="C2202" s="19">
        <v>6</v>
      </c>
      <c r="D2202" s="19">
        <v>9.1020000000000021</v>
      </c>
    </row>
    <row r="2203" spans="1:4" x14ac:dyDescent="0.2">
      <c r="A2203" s="19" t="s">
        <v>184</v>
      </c>
      <c r="B2203" s="19">
        <v>881.93</v>
      </c>
      <c r="C2203" s="19">
        <v>7</v>
      </c>
      <c r="D2203" s="19">
        <v>229.30180000000001</v>
      </c>
    </row>
    <row r="2204" spans="1:4" x14ac:dyDescent="0.2">
      <c r="A2204" s="19" t="s">
        <v>153</v>
      </c>
      <c r="B2204" s="19">
        <v>6.0960000000000001</v>
      </c>
      <c r="C2204" s="19">
        <v>2</v>
      </c>
      <c r="D2204" s="19">
        <v>2.1335999999999999</v>
      </c>
    </row>
    <row r="2205" spans="1:4" x14ac:dyDescent="0.2">
      <c r="A2205" s="19" t="s">
        <v>153</v>
      </c>
      <c r="B2205" s="19">
        <v>191.82</v>
      </c>
      <c r="C2205" s="19">
        <v>3</v>
      </c>
      <c r="D2205" s="19">
        <v>74.809799999999996</v>
      </c>
    </row>
    <row r="2206" spans="1:4" x14ac:dyDescent="0.2">
      <c r="A2206" s="19" t="s">
        <v>158</v>
      </c>
      <c r="B2206" s="19">
        <v>20.103999999999999</v>
      </c>
      <c r="C2206" s="19">
        <v>1</v>
      </c>
      <c r="D2206" s="19">
        <v>1.7591000000000001</v>
      </c>
    </row>
    <row r="2207" spans="1:4" x14ac:dyDescent="0.2">
      <c r="A2207" s="19" t="s">
        <v>167</v>
      </c>
      <c r="B2207" s="19">
        <v>67.56</v>
      </c>
      <c r="C2207" s="19">
        <v>3</v>
      </c>
      <c r="D2207" s="19">
        <v>8.4449999999999896</v>
      </c>
    </row>
    <row r="2208" spans="1:4" x14ac:dyDescent="0.2">
      <c r="A2208" s="19" t="s">
        <v>159</v>
      </c>
      <c r="B2208" s="19">
        <v>29.931999999999992</v>
      </c>
      <c r="C2208" s="19">
        <v>7</v>
      </c>
      <c r="D2208" s="19">
        <v>-46.394600000000011</v>
      </c>
    </row>
    <row r="2209" spans="1:4" x14ac:dyDescent="0.2">
      <c r="A2209" s="19" t="s">
        <v>159</v>
      </c>
      <c r="B2209" s="19">
        <v>38.272000000000006</v>
      </c>
      <c r="C2209" s="19">
        <v>4</v>
      </c>
      <c r="D2209" s="19">
        <v>3.8272000000000013</v>
      </c>
    </row>
    <row r="2210" spans="1:4" x14ac:dyDescent="0.2">
      <c r="A2210" s="19" t="s">
        <v>164</v>
      </c>
      <c r="B2210" s="19">
        <v>16.52</v>
      </c>
      <c r="C2210" s="19">
        <v>4</v>
      </c>
      <c r="D2210" s="19">
        <v>7.5991999999999997</v>
      </c>
    </row>
    <row r="2211" spans="1:4" x14ac:dyDescent="0.2">
      <c r="A2211" s="19" t="s">
        <v>178</v>
      </c>
      <c r="B2211" s="19">
        <v>832.93</v>
      </c>
      <c r="C2211" s="19">
        <v>7</v>
      </c>
      <c r="D2211" s="19">
        <v>233.22039999999998</v>
      </c>
    </row>
    <row r="2212" spans="1:4" x14ac:dyDescent="0.2">
      <c r="A2212" s="19" t="s">
        <v>178</v>
      </c>
      <c r="B2212" s="19">
        <v>43.8</v>
      </c>
      <c r="C2212" s="19">
        <v>10</v>
      </c>
      <c r="D2212" s="19">
        <v>21.023999999999997</v>
      </c>
    </row>
    <row r="2213" spans="1:4" x14ac:dyDescent="0.2">
      <c r="A2213" s="19" t="s">
        <v>161</v>
      </c>
      <c r="B2213" s="19">
        <v>167.292</v>
      </c>
      <c r="C2213" s="19">
        <v>6</v>
      </c>
      <c r="D2213" s="19">
        <v>29.7408</v>
      </c>
    </row>
    <row r="2214" spans="1:4" x14ac:dyDescent="0.2">
      <c r="A2214" s="19" t="s">
        <v>164</v>
      </c>
      <c r="B2214" s="19">
        <v>27.42</v>
      </c>
      <c r="C2214" s="19">
        <v>1</v>
      </c>
      <c r="D2214" s="19">
        <v>11.2422</v>
      </c>
    </row>
    <row r="2215" spans="1:4" x14ac:dyDescent="0.2">
      <c r="A2215" s="19" t="s">
        <v>150</v>
      </c>
      <c r="B2215" s="19">
        <v>1.4400000000000002</v>
      </c>
      <c r="C2215" s="19">
        <v>1</v>
      </c>
      <c r="D2215" s="19">
        <v>0.504</v>
      </c>
    </row>
    <row r="2216" spans="1:4" x14ac:dyDescent="0.2">
      <c r="A2216" s="19" t="s">
        <v>150</v>
      </c>
      <c r="B2216" s="19">
        <v>61.77600000000001</v>
      </c>
      <c r="C2216" s="19">
        <v>13</v>
      </c>
      <c r="D2216" s="19">
        <v>20.849399999999996</v>
      </c>
    </row>
    <row r="2217" spans="1:4" x14ac:dyDescent="0.2">
      <c r="A2217" s="19" t="s">
        <v>150</v>
      </c>
      <c r="B2217" s="19">
        <v>241.96</v>
      </c>
      <c r="C2217" s="19">
        <v>2</v>
      </c>
      <c r="D2217" s="19">
        <v>60.490000000000009</v>
      </c>
    </row>
    <row r="2218" spans="1:4" x14ac:dyDescent="0.2">
      <c r="A2218" s="19" t="s">
        <v>150</v>
      </c>
      <c r="B2218" s="19">
        <v>108.608</v>
      </c>
      <c r="C2218" s="19">
        <v>4</v>
      </c>
      <c r="D2218" s="19">
        <v>9.5031999999999925</v>
      </c>
    </row>
    <row r="2219" spans="1:4" x14ac:dyDescent="0.2">
      <c r="A2219" s="19" t="s">
        <v>151</v>
      </c>
      <c r="B2219" s="19">
        <v>2.8160000000000003</v>
      </c>
      <c r="C2219" s="19">
        <v>2</v>
      </c>
      <c r="D2219" s="19">
        <v>0.98559999999999992</v>
      </c>
    </row>
    <row r="2220" spans="1:4" x14ac:dyDescent="0.2">
      <c r="A2220" s="19" t="s">
        <v>150</v>
      </c>
      <c r="B2220" s="19">
        <v>9.9840000000000018</v>
      </c>
      <c r="C2220" s="19">
        <v>4</v>
      </c>
      <c r="D2220" s="19">
        <v>3.6191999999999993</v>
      </c>
    </row>
    <row r="2221" spans="1:4" x14ac:dyDescent="0.2">
      <c r="A2221" s="19" t="s">
        <v>150</v>
      </c>
      <c r="B2221" s="19">
        <v>14.98</v>
      </c>
      <c r="C2221" s="19">
        <v>1</v>
      </c>
      <c r="D2221" s="19">
        <v>4.1943999999999999</v>
      </c>
    </row>
    <row r="2222" spans="1:4" x14ac:dyDescent="0.2">
      <c r="A2222" s="19" t="s">
        <v>150</v>
      </c>
      <c r="B2222" s="19">
        <v>1145.6000000000001</v>
      </c>
      <c r="C2222" s="19">
        <v>4</v>
      </c>
      <c r="D2222" s="19">
        <v>100.24000000000007</v>
      </c>
    </row>
    <row r="2223" spans="1:4" x14ac:dyDescent="0.2">
      <c r="A2223" s="19" t="s">
        <v>173</v>
      </c>
      <c r="B2223" s="19">
        <v>485.93999999999994</v>
      </c>
      <c r="C2223" s="19">
        <v>2</v>
      </c>
      <c r="D2223" s="19">
        <v>-89.089000000000055</v>
      </c>
    </row>
    <row r="2224" spans="1:4" x14ac:dyDescent="0.2">
      <c r="A2224" s="19" t="s">
        <v>173</v>
      </c>
      <c r="B2224" s="19">
        <v>37.375999999999998</v>
      </c>
      <c r="C2224" s="19">
        <v>8</v>
      </c>
      <c r="D2224" s="19">
        <v>4.6719999999999988</v>
      </c>
    </row>
    <row r="2225" spans="1:4" x14ac:dyDescent="0.2">
      <c r="A2225" s="19" t="s">
        <v>173</v>
      </c>
      <c r="B2225" s="19">
        <v>70.685999999999993</v>
      </c>
      <c r="C2225" s="19">
        <v>1</v>
      </c>
      <c r="D2225" s="19">
        <v>-24.23520000000001</v>
      </c>
    </row>
    <row r="2226" spans="1:4" x14ac:dyDescent="0.2">
      <c r="A2226" s="19" t="s">
        <v>158</v>
      </c>
      <c r="B2226" s="19">
        <v>54.816000000000003</v>
      </c>
      <c r="C2226" s="19">
        <v>3</v>
      </c>
      <c r="D2226" s="19">
        <v>17.815199999999997</v>
      </c>
    </row>
    <row r="2227" spans="1:4" x14ac:dyDescent="0.2">
      <c r="A2227" s="19" t="s">
        <v>171</v>
      </c>
      <c r="B2227" s="19">
        <v>72.294000000000011</v>
      </c>
      <c r="C2227" s="19">
        <v>1</v>
      </c>
      <c r="D2227" s="19">
        <v>-98.801799999999986</v>
      </c>
    </row>
    <row r="2228" spans="1:4" x14ac:dyDescent="0.2">
      <c r="A2228" s="19" t="s">
        <v>154</v>
      </c>
      <c r="B2228" s="19">
        <v>2.8960000000000004</v>
      </c>
      <c r="C2228" s="19">
        <v>2</v>
      </c>
      <c r="D2228" s="19">
        <v>0.4705999999999998</v>
      </c>
    </row>
    <row r="2229" spans="1:4" x14ac:dyDescent="0.2">
      <c r="A2229" s="19" t="s">
        <v>154</v>
      </c>
      <c r="B2229" s="19">
        <v>124.79200000000002</v>
      </c>
      <c r="C2229" s="19">
        <v>1</v>
      </c>
      <c r="D2229" s="19">
        <v>15.598999999999993</v>
      </c>
    </row>
    <row r="2230" spans="1:4" x14ac:dyDescent="0.2">
      <c r="A2230" s="19" t="s">
        <v>164</v>
      </c>
      <c r="B2230" s="19">
        <v>330.58800000000002</v>
      </c>
      <c r="C2230" s="19">
        <v>1</v>
      </c>
      <c r="D2230" s="19">
        <v>-115.70580000000004</v>
      </c>
    </row>
    <row r="2231" spans="1:4" x14ac:dyDescent="0.2">
      <c r="A2231" s="19" t="s">
        <v>150</v>
      </c>
      <c r="B2231" s="19">
        <v>673.5680000000001</v>
      </c>
      <c r="C2231" s="19">
        <v>2</v>
      </c>
      <c r="D2231" s="19">
        <v>252.58799999999999</v>
      </c>
    </row>
    <row r="2232" spans="1:4" x14ac:dyDescent="0.2">
      <c r="A2232" s="19" t="s">
        <v>150</v>
      </c>
      <c r="B2232" s="19">
        <v>52.98</v>
      </c>
      <c r="C2232" s="19">
        <v>2</v>
      </c>
      <c r="D2232" s="19">
        <v>14.834400000000002</v>
      </c>
    </row>
    <row r="2233" spans="1:4" x14ac:dyDescent="0.2">
      <c r="A2233" s="19" t="s">
        <v>163</v>
      </c>
      <c r="B2233" s="19">
        <v>526.45000000000005</v>
      </c>
      <c r="C2233" s="19">
        <v>5</v>
      </c>
      <c r="D2233" s="19">
        <v>31.586999999999961</v>
      </c>
    </row>
    <row r="2234" spans="1:4" x14ac:dyDescent="0.2">
      <c r="A2234" s="19" t="s">
        <v>159</v>
      </c>
      <c r="B2234" s="19">
        <v>228.92</v>
      </c>
      <c r="C2234" s="19">
        <v>5</v>
      </c>
      <c r="D2234" s="19">
        <v>14.307499999999997</v>
      </c>
    </row>
    <row r="2235" spans="1:4" x14ac:dyDescent="0.2">
      <c r="A2235" s="19" t="s">
        <v>170</v>
      </c>
      <c r="B2235" s="19">
        <v>319.96800000000002</v>
      </c>
      <c r="C2235" s="19">
        <v>4</v>
      </c>
      <c r="D2235" s="19">
        <v>35.996399999999952</v>
      </c>
    </row>
    <row r="2236" spans="1:4" x14ac:dyDescent="0.2">
      <c r="A2236" s="19" t="s">
        <v>190</v>
      </c>
      <c r="B2236" s="19">
        <v>205.03</v>
      </c>
      <c r="C2236" s="19">
        <v>7</v>
      </c>
      <c r="D2236" s="19">
        <v>67.659899999999979</v>
      </c>
    </row>
    <row r="2237" spans="1:4" x14ac:dyDescent="0.2">
      <c r="A2237" s="19" t="s">
        <v>163</v>
      </c>
      <c r="B2237" s="19">
        <v>190.86</v>
      </c>
      <c r="C2237" s="19">
        <v>2</v>
      </c>
      <c r="D2237" s="19">
        <v>11.451599999999985</v>
      </c>
    </row>
    <row r="2238" spans="1:4" x14ac:dyDescent="0.2">
      <c r="A2238" s="19" t="s">
        <v>163</v>
      </c>
      <c r="B2238" s="19">
        <v>24.32</v>
      </c>
      <c r="C2238" s="19">
        <v>8</v>
      </c>
      <c r="D2238" s="19">
        <v>8.2687999999999988</v>
      </c>
    </row>
    <row r="2239" spans="1:4" x14ac:dyDescent="0.2">
      <c r="A2239" s="19" t="s">
        <v>156</v>
      </c>
      <c r="B2239" s="19">
        <v>44.400000000000006</v>
      </c>
      <c r="C2239" s="19">
        <v>5</v>
      </c>
      <c r="D2239" s="19">
        <v>12.432000000000002</v>
      </c>
    </row>
    <row r="2240" spans="1:4" x14ac:dyDescent="0.2">
      <c r="A2240" s="19" t="s">
        <v>159</v>
      </c>
      <c r="B2240" s="19">
        <v>44.400000000000006</v>
      </c>
      <c r="C2240" s="19">
        <v>2</v>
      </c>
      <c r="D2240" s="19">
        <v>-52.169999999999987</v>
      </c>
    </row>
    <row r="2241" spans="1:4" x14ac:dyDescent="0.2">
      <c r="A2241" s="19" t="s">
        <v>150</v>
      </c>
      <c r="B2241" s="19">
        <v>1016.792</v>
      </c>
      <c r="C2241" s="19">
        <v>1</v>
      </c>
      <c r="D2241" s="19">
        <v>381.29700000000003</v>
      </c>
    </row>
    <row r="2242" spans="1:4" x14ac:dyDescent="0.2">
      <c r="A2242" s="19" t="s">
        <v>150</v>
      </c>
      <c r="B2242" s="19">
        <v>38.136000000000003</v>
      </c>
      <c r="C2242" s="19">
        <v>7</v>
      </c>
      <c r="D2242" s="19">
        <v>13.347599999999998</v>
      </c>
    </row>
    <row r="2243" spans="1:4" x14ac:dyDescent="0.2">
      <c r="A2243" s="19" t="s">
        <v>158</v>
      </c>
      <c r="B2243" s="19">
        <v>494.98199999999997</v>
      </c>
      <c r="C2243" s="19">
        <v>3</v>
      </c>
      <c r="D2243" s="19">
        <v>-115.49580000000006</v>
      </c>
    </row>
    <row r="2244" spans="1:4" x14ac:dyDescent="0.2">
      <c r="A2244" s="19" t="s">
        <v>150</v>
      </c>
      <c r="B2244" s="19">
        <v>56.56</v>
      </c>
      <c r="C2244" s="19">
        <v>2</v>
      </c>
      <c r="D2244" s="19">
        <v>15.2712</v>
      </c>
    </row>
    <row r="2245" spans="1:4" x14ac:dyDescent="0.2">
      <c r="A2245" s="19" t="s">
        <v>150</v>
      </c>
      <c r="B2245" s="19">
        <v>5.56</v>
      </c>
      <c r="C2245" s="19">
        <v>2</v>
      </c>
      <c r="D2245" s="19">
        <v>1.4455999999999998</v>
      </c>
    </row>
    <row r="2246" spans="1:4" x14ac:dyDescent="0.2">
      <c r="A2246" s="19" t="s">
        <v>150</v>
      </c>
      <c r="B2246" s="19">
        <v>9.02</v>
      </c>
      <c r="C2246" s="19">
        <v>2</v>
      </c>
      <c r="D2246" s="19">
        <v>3.5178000000000003</v>
      </c>
    </row>
    <row r="2247" spans="1:4" x14ac:dyDescent="0.2">
      <c r="A2247" s="19" t="s">
        <v>150</v>
      </c>
      <c r="B2247" s="19">
        <v>8.6199999999999992</v>
      </c>
      <c r="C2247" s="19">
        <v>1</v>
      </c>
      <c r="D2247" s="19">
        <v>2.2412000000000001</v>
      </c>
    </row>
    <row r="2248" spans="1:4" x14ac:dyDescent="0.2">
      <c r="A2248" s="19" t="s">
        <v>150</v>
      </c>
      <c r="B2248" s="19">
        <v>659.97600000000011</v>
      </c>
      <c r="C2248" s="19">
        <v>3</v>
      </c>
      <c r="D2248" s="19">
        <v>49.498199999999969</v>
      </c>
    </row>
    <row r="2249" spans="1:4" x14ac:dyDescent="0.2">
      <c r="A2249" s="19" t="s">
        <v>150</v>
      </c>
      <c r="B2249" s="19">
        <v>13.36</v>
      </c>
      <c r="C2249" s="19">
        <v>2</v>
      </c>
      <c r="D2249" s="19">
        <v>6.4127999999999998</v>
      </c>
    </row>
    <row r="2250" spans="1:4" x14ac:dyDescent="0.2">
      <c r="A2250" s="19" t="s">
        <v>150</v>
      </c>
      <c r="B2250" s="19">
        <v>41.72</v>
      </c>
      <c r="C2250" s="19">
        <v>5</v>
      </c>
      <c r="D2250" s="19">
        <v>13.037499999999998</v>
      </c>
    </row>
    <row r="2251" spans="1:4" x14ac:dyDescent="0.2">
      <c r="A2251" s="19" t="s">
        <v>150</v>
      </c>
      <c r="B2251" s="19">
        <v>11.52</v>
      </c>
      <c r="C2251" s="19">
        <v>5</v>
      </c>
      <c r="D2251" s="19">
        <v>4.1760000000000002</v>
      </c>
    </row>
    <row r="2252" spans="1:4" x14ac:dyDescent="0.2">
      <c r="A2252" s="19" t="s">
        <v>150</v>
      </c>
      <c r="B2252" s="19">
        <v>541.43999999999994</v>
      </c>
      <c r="C2252" s="19">
        <v>6</v>
      </c>
      <c r="D2252" s="19">
        <v>157.01759999999993</v>
      </c>
    </row>
    <row r="2253" spans="1:4" x14ac:dyDescent="0.2">
      <c r="A2253" s="19" t="s">
        <v>150</v>
      </c>
      <c r="B2253" s="19">
        <v>19.440000000000001</v>
      </c>
      <c r="C2253" s="19">
        <v>3</v>
      </c>
      <c r="D2253" s="19">
        <v>9.3312000000000008</v>
      </c>
    </row>
    <row r="2254" spans="1:4" x14ac:dyDescent="0.2">
      <c r="A2254" s="19" t="s">
        <v>150</v>
      </c>
      <c r="B2254" s="19">
        <v>143.69999999999999</v>
      </c>
      <c r="C2254" s="19">
        <v>3</v>
      </c>
      <c r="D2254" s="19">
        <v>68.975999999999999</v>
      </c>
    </row>
    <row r="2255" spans="1:4" x14ac:dyDescent="0.2">
      <c r="A2255" s="19" t="s">
        <v>150</v>
      </c>
      <c r="B2255" s="19">
        <v>43.26</v>
      </c>
      <c r="C2255" s="19">
        <v>3</v>
      </c>
      <c r="D2255" s="19">
        <v>14.275799999999998</v>
      </c>
    </row>
    <row r="2256" spans="1:4" x14ac:dyDescent="0.2">
      <c r="A2256" s="19" t="s">
        <v>150</v>
      </c>
      <c r="B2256" s="19">
        <v>43.56</v>
      </c>
      <c r="C2256" s="19">
        <v>2</v>
      </c>
      <c r="D2256" s="19">
        <v>15.245999999999999</v>
      </c>
    </row>
    <row r="2257" spans="1:4" x14ac:dyDescent="0.2">
      <c r="A2257" s="19" t="s">
        <v>191</v>
      </c>
      <c r="B2257" s="19">
        <v>437.84999999999997</v>
      </c>
      <c r="C2257" s="19">
        <v>3</v>
      </c>
      <c r="D2257" s="19">
        <v>131.35499999999996</v>
      </c>
    </row>
    <row r="2258" spans="1:4" x14ac:dyDescent="0.2">
      <c r="A2258" s="19" t="s">
        <v>191</v>
      </c>
      <c r="B2258" s="19">
        <v>109.48</v>
      </c>
      <c r="C2258" s="19">
        <v>2</v>
      </c>
      <c r="D2258" s="19">
        <v>33.938800000000001</v>
      </c>
    </row>
    <row r="2259" spans="1:4" x14ac:dyDescent="0.2">
      <c r="A2259" s="19" t="s">
        <v>150</v>
      </c>
      <c r="B2259" s="19">
        <v>1212.96</v>
      </c>
      <c r="C2259" s="19">
        <v>7</v>
      </c>
      <c r="D2259" s="19">
        <v>90.97199999999998</v>
      </c>
    </row>
    <row r="2260" spans="1:4" x14ac:dyDescent="0.2">
      <c r="A2260" s="19" t="s">
        <v>150</v>
      </c>
      <c r="B2260" s="19">
        <v>18.54</v>
      </c>
      <c r="C2260" s="19">
        <v>2</v>
      </c>
      <c r="D2260" s="19">
        <v>8.7137999999999991</v>
      </c>
    </row>
    <row r="2261" spans="1:4" x14ac:dyDescent="0.2">
      <c r="A2261" s="19" t="s">
        <v>150</v>
      </c>
      <c r="B2261" s="19">
        <v>5</v>
      </c>
      <c r="C2261" s="19">
        <v>1</v>
      </c>
      <c r="D2261" s="19">
        <v>2.4</v>
      </c>
    </row>
    <row r="2262" spans="1:4" x14ac:dyDescent="0.2">
      <c r="A2262" s="19" t="s">
        <v>150</v>
      </c>
      <c r="B2262" s="19">
        <v>371.96999999999997</v>
      </c>
      <c r="C2262" s="19">
        <v>3</v>
      </c>
      <c r="D2262" s="19">
        <v>66.954599999999971</v>
      </c>
    </row>
    <row r="2263" spans="1:4" x14ac:dyDescent="0.2">
      <c r="A2263" s="19" t="s">
        <v>164</v>
      </c>
      <c r="B2263" s="19">
        <v>166.24</v>
      </c>
      <c r="C2263" s="19">
        <v>1</v>
      </c>
      <c r="D2263" s="19">
        <v>24.936000000000007</v>
      </c>
    </row>
    <row r="2264" spans="1:4" x14ac:dyDescent="0.2">
      <c r="A2264" s="19" t="s">
        <v>166</v>
      </c>
      <c r="B2264" s="19">
        <v>359.96999999999997</v>
      </c>
      <c r="C2264" s="19">
        <v>3</v>
      </c>
      <c r="D2264" s="19">
        <v>79.193399999999968</v>
      </c>
    </row>
    <row r="2265" spans="1:4" x14ac:dyDescent="0.2">
      <c r="A2265" s="19" t="s">
        <v>101</v>
      </c>
      <c r="B2265" s="19">
        <v>499.98</v>
      </c>
      <c r="C2265" s="19">
        <v>2</v>
      </c>
      <c r="D2265" s="19">
        <v>114.99540000000002</v>
      </c>
    </row>
    <row r="2266" spans="1:4" x14ac:dyDescent="0.2">
      <c r="A2266" s="19" t="s">
        <v>101</v>
      </c>
      <c r="B2266" s="19">
        <v>5.28</v>
      </c>
      <c r="C2266" s="19">
        <v>1</v>
      </c>
      <c r="D2266" s="19">
        <v>2.3759999999999999</v>
      </c>
    </row>
    <row r="2267" spans="1:4" x14ac:dyDescent="0.2">
      <c r="A2267" s="19" t="s">
        <v>101</v>
      </c>
      <c r="B2267" s="19">
        <v>8.26</v>
      </c>
      <c r="C2267" s="19">
        <v>2</v>
      </c>
      <c r="D2267" s="19">
        <v>3.8822000000000001</v>
      </c>
    </row>
    <row r="2268" spans="1:4" x14ac:dyDescent="0.2">
      <c r="A2268" s="19" t="s">
        <v>152</v>
      </c>
      <c r="B2268" s="19">
        <v>7.9680000000000009</v>
      </c>
      <c r="C2268" s="19">
        <v>2</v>
      </c>
      <c r="D2268" s="19">
        <v>2.6892000000000005</v>
      </c>
    </row>
    <row r="2269" spans="1:4" x14ac:dyDescent="0.2">
      <c r="A2269" s="19" t="s">
        <v>153</v>
      </c>
      <c r="B2269" s="19">
        <v>12.96</v>
      </c>
      <c r="C2269" s="19">
        <v>2</v>
      </c>
      <c r="D2269" s="19">
        <v>6.3504000000000005</v>
      </c>
    </row>
    <row r="2270" spans="1:4" x14ac:dyDescent="0.2">
      <c r="A2270" s="19" t="s">
        <v>164</v>
      </c>
      <c r="B2270" s="19">
        <v>6.48</v>
      </c>
      <c r="C2270" s="19">
        <v>1</v>
      </c>
      <c r="D2270" s="19">
        <v>3.1104000000000003</v>
      </c>
    </row>
    <row r="2271" spans="1:4" x14ac:dyDescent="0.2">
      <c r="A2271" s="19" t="s">
        <v>164</v>
      </c>
      <c r="B2271" s="19">
        <v>6.9840000000000009</v>
      </c>
      <c r="C2271" s="19">
        <v>1</v>
      </c>
      <c r="D2271" s="19">
        <v>2.3570999999999991</v>
      </c>
    </row>
    <row r="2272" spans="1:4" x14ac:dyDescent="0.2">
      <c r="A2272" s="19" t="s">
        <v>151</v>
      </c>
      <c r="B2272" s="19">
        <v>47.96</v>
      </c>
      <c r="C2272" s="19">
        <v>5</v>
      </c>
      <c r="D2272" s="19">
        <v>4.196499999999995</v>
      </c>
    </row>
    <row r="2273" spans="1:4" x14ac:dyDescent="0.2">
      <c r="A2273" s="19" t="s">
        <v>153</v>
      </c>
      <c r="B2273" s="19">
        <v>199.74</v>
      </c>
      <c r="C2273" s="19">
        <v>6</v>
      </c>
      <c r="D2273" s="19">
        <v>47.937599999999996</v>
      </c>
    </row>
    <row r="2274" spans="1:4" x14ac:dyDescent="0.2">
      <c r="A2274" s="19" t="s">
        <v>150</v>
      </c>
      <c r="B2274" s="19">
        <v>435.26</v>
      </c>
      <c r="C2274" s="19">
        <v>7</v>
      </c>
      <c r="D2274" s="19">
        <v>95.757200000000012</v>
      </c>
    </row>
    <row r="2275" spans="1:4" x14ac:dyDescent="0.2">
      <c r="A2275" s="19" t="s">
        <v>150</v>
      </c>
      <c r="B2275" s="19">
        <v>1119.9840000000002</v>
      </c>
      <c r="C2275" s="19">
        <v>2</v>
      </c>
      <c r="D2275" s="19">
        <v>377.99459999999993</v>
      </c>
    </row>
    <row r="2276" spans="1:4" x14ac:dyDescent="0.2">
      <c r="A2276" s="19" t="s">
        <v>150</v>
      </c>
      <c r="B2276" s="19">
        <v>143.43199999999999</v>
      </c>
      <c r="C2276" s="19">
        <v>1</v>
      </c>
      <c r="D2276" s="19">
        <v>3.5857999999999848</v>
      </c>
    </row>
    <row r="2277" spans="1:4" x14ac:dyDescent="0.2">
      <c r="A2277" s="19" t="s">
        <v>150</v>
      </c>
      <c r="B2277" s="19">
        <v>122.352</v>
      </c>
      <c r="C2277" s="19">
        <v>3</v>
      </c>
      <c r="D2277" s="19">
        <v>13.764599999999994</v>
      </c>
    </row>
    <row r="2278" spans="1:4" x14ac:dyDescent="0.2">
      <c r="A2278" s="19" t="s">
        <v>183</v>
      </c>
      <c r="B2278" s="19">
        <v>306.2</v>
      </c>
      <c r="C2278" s="19">
        <v>5</v>
      </c>
      <c r="D2278" s="19">
        <v>0</v>
      </c>
    </row>
    <row r="2279" spans="1:4" x14ac:dyDescent="0.2">
      <c r="A2279" s="19" t="s">
        <v>183</v>
      </c>
      <c r="B2279" s="19">
        <v>85.98</v>
      </c>
      <c r="C2279" s="19">
        <v>1</v>
      </c>
      <c r="D2279" s="19">
        <v>22.354800000000004</v>
      </c>
    </row>
    <row r="2280" spans="1:4" x14ac:dyDescent="0.2">
      <c r="A2280" s="19" t="s">
        <v>183</v>
      </c>
      <c r="B2280" s="19">
        <v>223.96</v>
      </c>
      <c r="C2280" s="19">
        <v>4</v>
      </c>
      <c r="D2280" s="19">
        <v>53.750400000000013</v>
      </c>
    </row>
    <row r="2281" spans="1:4" x14ac:dyDescent="0.2">
      <c r="A2281" s="19" t="s">
        <v>153</v>
      </c>
      <c r="B2281" s="19">
        <v>97.567999999999998</v>
      </c>
      <c r="C2281" s="19">
        <v>2</v>
      </c>
      <c r="D2281" s="19">
        <v>-6.0980000000000025</v>
      </c>
    </row>
    <row r="2282" spans="1:4" x14ac:dyDescent="0.2">
      <c r="A2282" s="19" t="s">
        <v>153</v>
      </c>
      <c r="B2282" s="19">
        <v>614.27200000000005</v>
      </c>
      <c r="C2282" s="19">
        <v>8</v>
      </c>
      <c r="D2282" s="19">
        <v>-23.03520000000006</v>
      </c>
    </row>
    <row r="2283" spans="1:4" x14ac:dyDescent="0.2">
      <c r="A2283" s="19" t="s">
        <v>153</v>
      </c>
      <c r="B2283" s="19">
        <v>199.98</v>
      </c>
      <c r="C2283" s="19">
        <v>2</v>
      </c>
      <c r="D2283" s="19">
        <v>37.996199999999988</v>
      </c>
    </row>
    <row r="2284" spans="1:4" x14ac:dyDescent="0.2">
      <c r="A2284" s="19" t="s">
        <v>178</v>
      </c>
      <c r="B2284" s="19">
        <v>48.16</v>
      </c>
      <c r="C2284" s="19">
        <v>7</v>
      </c>
      <c r="D2284" s="19">
        <v>22.153599999999997</v>
      </c>
    </row>
    <row r="2285" spans="1:4" x14ac:dyDescent="0.2">
      <c r="A2285" s="19" t="s">
        <v>163</v>
      </c>
      <c r="B2285" s="19">
        <v>23.92</v>
      </c>
      <c r="C2285" s="19">
        <v>2</v>
      </c>
      <c r="D2285" s="19">
        <v>6.6976000000000013</v>
      </c>
    </row>
    <row r="2286" spans="1:4" x14ac:dyDescent="0.2">
      <c r="A2286" s="19" t="s">
        <v>163</v>
      </c>
      <c r="B2286" s="19">
        <v>60.69</v>
      </c>
      <c r="C2286" s="19">
        <v>7</v>
      </c>
      <c r="D2286" s="19">
        <v>16.386300000000002</v>
      </c>
    </row>
    <row r="2287" spans="1:4" x14ac:dyDescent="0.2">
      <c r="A2287" s="19" t="s">
        <v>167</v>
      </c>
      <c r="B2287" s="19">
        <v>14.352000000000002</v>
      </c>
      <c r="C2287" s="19">
        <v>3</v>
      </c>
      <c r="D2287" s="19">
        <v>5.2026000000000003</v>
      </c>
    </row>
    <row r="2288" spans="1:4" x14ac:dyDescent="0.2">
      <c r="A2288" s="19" t="s">
        <v>166</v>
      </c>
      <c r="B2288" s="19">
        <v>35.04</v>
      </c>
      <c r="C2288" s="19">
        <v>2</v>
      </c>
      <c r="D2288" s="19">
        <v>12.263999999999999</v>
      </c>
    </row>
    <row r="2289" spans="1:4" x14ac:dyDescent="0.2">
      <c r="A2289" s="19" t="s">
        <v>173</v>
      </c>
      <c r="B2289" s="19">
        <v>17.480000000000004</v>
      </c>
      <c r="C2289" s="19">
        <v>5</v>
      </c>
      <c r="D2289" s="19">
        <v>1.3109999999999999</v>
      </c>
    </row>
    <row r="2290" spans="1:4" x14ac:dyDescent="0.2">
      <c r="A2290" s="19" t="s">
        <v>150</v>
      </c>
      <c r="B2290" s="19">
        <v>16.399999999999999</v>
      </c>
      <c r="C2290" s="19">
        <v>5</v>
      </c>
      <c r="D2290" s="19">
        <v>4.7559999999999985</v>
      </c>
    </row>
    <row r="2291" spans="1:4" x14ac:dyDescent="0.2">
      <c r="A2291" s="19" t="s">
        <v>153</v>
      </c>
      <c r="B2291" s="19">
        <v>892.98</v>
      </c>
      <c r="C2291" s="19">
        <v>2</v>
      </c>
      <c r="D2291" s="19">
        <v>80.368200000000002</v>
      </c>
    </row>
    <row r="2292" spans="1:4" x14ac:dyDescent="0.2">
      <c r="A2292" s="19" t="s">
        <v>101</v>
      </c>
      <c r="B2292" s="19">
        <v>287.96999999999997</v>
      </c>
      <c r="C2292" s="19">
        <v>3</v>
      </c>
      <c r="D2292" s="19">
        <v>77.751899999999992</v>
      </c>
    </row>
    <row r="2293" spans="1:4" x14ac:dyDescent="0.2">
      <c r="A2293" s="19" t="s">
        <v>101</v>
      </c>
      <c r="B2293" s="19">
        <v>595.38</v>
      </c>
      <c r="C2293" s="19">
        <v>6</v>
      </c>
      <c r="D2293" s="19">
        <v>297.69</v>
      </c>
    </row>
    <row r="2294" spans="1:4" x14ac:dyDescent="0.2">
      <c r="A2294" s="19" t="s">
        <v>101</v>
      </c>
      <c r="B2294" s="19">
        <v>12.96</v>
      </c>
      <c r="C2294" s="19">
        <v>2</v>
      </c>
      <c r="D2294" s="19">
        <v>6.2208000000000006</v>
      </c>
    </row>
    <row r="2295" spans="1:4" x14ac:dyDescent="0.2">
      <c r="A2295" s="19" t="s">
        <v>164</v>
      </c>
      <c r="B2295" s="19">
        <v>4.95</v>
      </c>
      <c r="C2295" s="19">
        <v>1</v>
      </c>
      <c r="D2295" s="19">
        <v>1.3365</v>
      </c>
    </row>
    <row r="2296" spans="1:4" x14ac:dyDescent="0.2">
      <c r="A2296" s="19" t="s">
        <v>178</v>
      </c>
      <c r="B2296" s="19">
        <v>181.95</v>
      </c>
      <c r="C2296" s="19">
        <v>3</v>
      </c>
      <c r="D2296" s="19">
        <v>38.209499999999998</v>
      </c>
    </row>
    <row r="2297" spans="1:4" x14ac:dyDescent="0.2">
      <c r="A2297" s="19" t="s">
        <v>164</v>
      </c>
      <c r="B2297" s="19">
        <v>13.52</v>
      </c>
      <c r="C2297" s="19">
        <v>4</v>
      </c>
      <c r="D2297" s="19">
        <v>6.219199999999999</v>
      </c>
    </row>
    <row r="2298" spans="1:4" x14ac:dyDescent="0.2">
      <c r="A2298" s="19" t="s">
        <v>164</v>
      </c>
      <c r="B2298" s="19">
        <v>259.7</v>
      </c>
      <c r="C2298" s="19">
        <v>5</v>
      </c>
      <c r="D2298" s="19">
        <v>106.477</v>
      </c>
    </row>
    <row r="2299" spans="1:4" x14ac:dyDescent="0.2">
      <c r="A2299" s="19" t="s">
        <v>164</v>
      </c>
      <c r="B2299" s="19">
        <v>42.95</v>
      </c>
      <c r="C2299" s="19">
        <v>1</v>
      </c>
      <c r="D2299" s="19">
        <v>1.2884999999999991</v>
      </c>
    </row>
    <row r="2300" spans="1:4" x14ac:dyDescent="0.2">
      <c r="A2300" s="19" t="s">
        <v>164</v>
      </c>
      <c r="B2300" s="19">
        <v>1399.93</v>
      </c>
      <c r="C2300" s="19">
        <v>7</v>
      </c>
      <c r="D2300" s="19">
        <v>601.96990000000005</v>
      </c>
    </row>
    <row r="2301" spans="1:4" x14ac:dyDescent="0.2">
      <c r="A2301" s="19" t="s">
        <v>164</v>
      </c>
      <c r="B2301" s="19">
        <v>503.96</v>
      </c>
      <c r="C2301" s="19">
        <v>4</v>
      </c>
      <c r="D2301" s="19">
        <v>125.99000000000001</v>
      </c>
    </row>
    <row r="2302" spans="1:4" x14ac:dyDescent="0.2">
      <c r="A2302" s="19" t="s">
        <v>161</v>
      </c>
      <c r="B2302" s="19">
        <v>12.72</v>
      </c>
      <c r="C2302" s="19">
        <v>3</v>
      </c>
      <c r="D2302" s="19">
        <v>6.36</v>
      </c>
    </row>
    <row r="2303" spans="1:4" x14ac:dyDescent="0.2">
      <c r="A2303" s="19" t="s">
        <v>161</v>
      </c>
      <c r="B2303" s="19">
        <v>11.52</v>
      </c>
      <c r="C2303" s="19">
        <v>4</v>
      </c>
      <c r="D2303" s="19">
        <v>5.6448</v>
      </c>
    </row>
    <row r="2304" spans="1:4" x14ac:dyDescent="0.2">
      <c r="A2304" s="19" t="s">
        <v>101</v>
      </c>
      <c r="B2304" s="19">
        <v>316</v>
      </c>
      <c r="C2304" s="19">
        <v>4</v>
      </c>
      <c r="D2304" s="19">
        <v>31.599999999999966</v>
      </c>
    </row>
    <row r="2305" spans="1:4" x14ac:dyDescent="0.2">
      <c r="A2305" s="19" t="s">
        <v>101</v>
      </c>
      <c r="B2305" s="19">
        <v>723.92</v>
      </c>
      <c r="C2305" s="19">
        <v>4</v>
      </c>
      <c r="D2305" s="19">
        <v>188.2192</v>
      </c>
    </row>
    <row r="2306" spans="1:4" x14ac:dyDescent="0.2">
      <c r="A2306" s="19" t="s">
        <v>101</v>
      </c>
      <c r="B2306" s="19">
        <v>106.32</v>
      </c>
      <c r="C2306" s="19">
        <v>3</v>
      </c>
      <c r="D2306" s="19">
        <v>49.970399999999991</v>
      </c>
    </row>
    <row r="2307" spans="1:4" x14ac:dyDescent="0.2">
      <c r="A2307" s="19" t="s">
        <v>159</v>
      </c>
      <c r="B2307" s="19">
        <v>141.37199999999999</v>
      </c>
      <c r="C2307" s="19">
        <v>2</v>
      </c>
      <c r="D2307" s="19">
        <v>-14.137200000000014</v>
      </c>
    </row>
    <row r="2308" spans="1:4" x14ac:dyDescent="0.2">
      <c r="A2308" s="19" t="s">
        <v>154</v>
      </c>
      <c r="B2308" s="19">
        <v>27.216000000000001</v>
      </c>
      <c r="C2308" s="19">
        <v>3</v>
      </c>
      <c r="D2308" s="19">
        <v>9.8657999999999983</v>
      </c>
    </row>
    <row r="2309" spans="1:4" x14ac:dyDescent="0.2">
      <c r="A2309" s="19" t="s">
        <v>164</v>
      </c>
      <c r="B2309" s="19">
        <v>390.75</v>
      </c>
      <c r="C2309" s="19">
        <v>5</v>
      </c>
      <c r="D2309" s="19">
        <v>171.93000000000006</v>
      </c>
    </row>
    <row r="2310" spans="1:4" x14ac:dyDescent="0.2">
      <c r="A2310" s="19" t="s">
        <v>165</v>
      </c>
      <c r="B2310" s="19">
        <v>280.79200000000003</v>
      </c>
      <c r="C2310" s="19">
        <v>1</v>
      </c>
      <c r="D2310" s="19">
        <v>35.098999999999961</v>
      </c>
    </row>
    <row r="2311" spans="1:4" x14ac:dyDescent="0.2">
      <c r="A2311" s="19" t="s">
        <v>165</v>
      </c>
      <c r="B2311" s="19">
        <v>68.448000000000008</v>
      </c>
      <c r="C2311" s="19">
        <v>4</v>
      </c>
      <c r="D2311" s="19">
        <v>7.7003999999999948</v>
      </c>
    </row>
    <row r="2312" spans="1:4" x14ac:dyDescent="0.2">
      <c r="A2312" s="19" t="s">
        <v>165</v>
      </c>
      <c r="B2312" s="19">
        <v>88.04</v>
      </c>
      <c r="C2312" s="19">
        <v>5</v>
      </c>
      <c r="D2312" s="19">
        <v>6.602999999999998</v>
      </c>
    </row>
    <row r="2313" spans="1:4" x14ac:dyDescent="0.2">
      <c r="A2313" s="19" t="s">
        <v>165</v>
      </c>
      <c r="B2313" s="19">
        <v>15.872</v>
      </c>
      <c r="C2313" s="19">
        <v>1</v>
      </c>
      <c r="D2313" s="19">
        <v>1.9839999999999982</v>
      </c>
    </row>
    <row r="2314" spans="1:4" x14ac:dyDescent="0.2">
      <c r="A2314" s="19" t="s">
        <v>165</v>
      </c>
      <c r="B2314" s="19">
        <v>215.59200000000001</v>
      </c>
      <c r="C2314" s="19">
        <v>3</v>
      </c>
      <c r="D2314" s="19">
        <v>-48.508200000000009</v>
      </c>
    </row>
    <row r="2315" spans="1:4" x14ac:dyDescent="0.2">
      <c r="A2315" s="19" t="s">
        <v>192</v>
      </c>
      <c r="B2315" s="19">
        <v>14.62</v>
      </c>
      <c r="C2315" s="19">
        <v>2</v>
      </c>
      <c r="D2315" s="19">
        <v>6.8713999999999995</v>
      </c>
    </row>
    <row r="2316" spans="1:4" x14ac:dyDescent="0.2">
      <c r="A2316" s="19" t="s">
        <v>192</v>
      </c>
      <c r="B2316" s="19">
        <v>416.32</v>
      </c>
      <c r="C2316" s="19">
        <v>2</v>
      </c>
      <c r="D2316" s="19">
        <v>112.40640000000002</v>
      </c>
    </row>
    <row r="2317" spans="1:4" x14ac:dyDescent="0.2">
      <c r="A2317" s="19" t="s">
        <v>192</v>
      </c>
      <c r="B2317" s="19">
        <v>43</v>
      </c>
      <c r="C2317" s="19">
        <v>5</v>
      </c>
      <c r="D2317" s="19">
        <v>20.21</v>
      </c>
    </row>
    <row r="2318" spans="1:4" x14ac:dyDescent="0.2">
      <c r="A2318" s="19" t="s">
        <v>192</v>
      </c>
      <c r="B2318" s="19">
        <v>182.94</v>
      </c>
      <c r="C2318" s="19">
        <v>3</v>
      </c>
      <c r="D2318" s="19">
        <v>27.440999999999995</v>
      </c>
    </row>
    <row r="2319" spans="1:4" x14ac:dyDescent="0.2">
      <c r="A2319" s="19" t="s">
        <v>192</v>
      </c>
      <c r="B2319" s="19">
        <v>60.83</v>
      </c>
      <c r="C2319" s="19">
        <v>7</v>
      </c>
      <c r="D2319" s="19">
        <v>30.414999999999999</v>
      </c>
    </row>
    <row r="2320" spans="1:4" x14ac:dyDescent="0.2">
      <c r="A2320" s="19" t="s">
        <v>192</v>
      </c>
      <c r="B2320" s="19">
        <v>389.97</v>
      </c>
      <c r="C2320" s="19">
        <v>3</v>
      </c>
      <c r="D2320" s="19">
        <v>132.58980000000003</v>
      </c>
    </row>
    <row r="2321" spans="1:4" x14ac:dyDescent="0.2">
      <c r="A2321" s="19" t="s">
        <v>166</v>
      </c>
      <c r="B2321" s="19">
        <v>194.32</v>
      </c>
      <c r="C2321" s="19">
        <v>4</v>
      </c>
      <c r="D2321" s="19">
        <v>56.352799999999974</v>
      </c>
    </row>
    <row r="2322" spans="1:4" x14ac:dyDescent="0.2">
      <c r="A2322" s="19" t="s">
        <v>153</v>
      </c>
      <c r="B2322" s="19">
        <v>265.93</v>
      </c>
      <c r="C2322" s="19">
        <v>7</v>
      </c>
      <c r="D2322" s="19">
        <v>63.8232</v>
      </c>
    </row>
    <row r="2323" spans="1:4" x14ac:dyDescent="0.2">
      <c r="A2323" s="19" t="s">
        <v>149</v>
      </c>
      <c r="B2323" s="19">
        <v>94.74</v>
      </c>
      <c r="C2323" s="19">
        <v>3</v>
      </c>
      <c r="D2323" s="19">
        <v>44.527799999999992</v>
      </c>
    </row>
    <row r="2324" spans="1:4" x14ac:dyDescent="0.2">
      <c r="A2324" s="19" t="s">
        <v>149</v>
      </c>
      <c r="B2324" s="19">
        <v>60.64</v>
      </c>
      <c r="C2324" s="19">
        <v>4</v>
      </c>
      <c r="D2324" s="19">
        <v>27.894399999999997</v>
      </c>
    </row>
    <row r="2325" spans="1:4" x14ac:dyDescent="0.2">
      <c r="A2325" s="19" t="s">
        <v>149</v>
      </c>
      <c r="B2325" s="19">
        <v>76.3</v>
      </c>
      <c r="C2325" s="19">
        <v>5</v>
      </c>
      <c r="D2325" s="19">
        <v>38.15</v>
      </c>
    </row>
    <row r="2326" spans="1:4" x14ac:dyDescent="0.2">
      <c r="A2326" s="19" t="s">
        <v>149</v>
      </c>
      <c r="B2326" s="19">
        <v>364.79999999999995</v>
      </c>
      <c r="C2326" s="19">
        <v>12</v>
      </c>
      <c r="D2326" s="19">
        <v>167.80799999999999</v>
      </c>
    </row>
    <row r="2327" spans="1:4" x14ac:dyDescent="0.2">
      <c r="A2327" s="19" t="s">
        <v>164</v>
      </c>
      <c r="B2327" s="19">
        <v>79.872000000000014</v>
      </c>
      <c r="C2327" s="19">
        <v>3</v>
      </c>
      <c r="D2327" s="19">
        <v>29.951999999999998</v>
      </c>
    </row>
    <row r="2328" spans="1:4" x14ac:dyDescent="0.2">
      <c r="A2328" s="19" t="s">
        <v>164</v>
      </c>
      <c r="B2328" s="19">
        <v>46.384</v>
      </c>
      <c r="C2328" s="19">
        <v>1</v>
      </c>
      <c r="D2328" s="19">
        <v>1.1596000000000011</v>
      </c>
    </row>
    <row r="2329" spans="1:4" x14ac:dyDescent="0.2">
      <c r="A2329" s="19" t="s">
        <v>164</v>
      </c>
      <c r="B2329" s="19">
        <v>12.96</v>
      </c>
      <c r="C2329" s="19">
        <v>2</v>
      </c>
      <c r="D2329" s="19">
        <v>6.2208000000000006</v>
      </c>
    </row>
    <row r="2330" spans="1:4" x14ac:dyDescent="0.2">
      <c r="A2330" s="19" t="s">
        <v>171</v>
      </c>
      <c r="B2330" s="19">
        <v>14.352000000000002</v>
      </c>
      <c r="C2330" s="19">
        <v>3</v>
      </c>
      <c r="D2330" s="19">
        <v>5.2026000000000003</v>
      </c>
    </row>
    <row r="2331" spans="1:4" x14ac:dyDescent="0.2">
      <c r="A2331" s="19" t="s">
        <v>158</v>
      </c>
      <c r="B2331" s="19">
        <v>547.13599999999997</v>
      </c>
      <c r="C2331" s="19">
        <v>4</v>
      </c>
      <c r="D2331" s="19">
        <v>-68.392000000000053</v>
      </c>
    </row>
    <row r="2332" spans="1:4" x14ac:dyDescent="0.2">
      <c r="A2332" s="19" t="s">
        <v>150</v>
      </c>
      <c r="B2332" s="19">
        <v>41.96</v>
      </c>
      <c r="C2332" s="19">
        <v>2</v>
      </c>
      <c r="D2332" s="19">
        <v>2.9371999999999971</v>
      </c>
    </row>
    <row r="2333" spans="1:4" x14ac:dyDescent="0.2">
      <c r="A2333" s="19" t="s">
        <v>150</v>
      </c>
      <c r="B2333" s="19">
        <v>41.7</v>
      </c>
      <c r="C2333" s="19">
        <v>5</v>
      </c>
      <c r="D2333" s="19">
        <v>20.85</v>
      </c>
    </row>
    <row r="2334" spans="1:4" x14ac:dyDescent="0.2">
      <c r="A2334" s="19" t="s">
        <v>163</v>
      </c>
      <c r="B2334" s="19">
        <v>277.39999999999998</v>
      </c>
      <c r="C2334" s="19">
        <v>5</v>
      </c>
      <c r="D2334" s="19">
        <v>133.15199999999999</v>
      </c>
    </row>
    <row r="2335" spans="1:4" x14ac:dyDescent="0.2">
      <c r="A2335" s="19" t="s">
        <v>163</v>
      </c>
      <c r="B2335" s="19">
        <v>5.78</v>
      </c>
      <c r="C2335" s="19">
        <v>1</v>
      </c>
      <c r="D2335" s="19">
        <v>2.8322000000000003</v>
      </c>
    </row>
    <row r="2336" spans="1:4" x14ac:dyDescent="0.2">
      <c r="A2336" s="19" t="s">
        <v>167</v>
      </c>
      <c r="B2336" s="19">
        <v>69.216000000000008</v>
      </c>
      <c r="C2336" s="19">
        <v>6</v>
      </c>
      <c r="D2336" s="19">
        <v>11.247599999999995</v>
      </c>
    </row>
    <row r="2337" spans="1:4" x14ac:dyDescent="0.2">
      <c r="A2337" s="19" t="s">
        <v>178</v>
      </c>
      <c r="B2337" s="19">
        <v>10.86</v>
      </c>
      <c r="C2337" s="19">
        <v>3</v>
      </c>
      <c r="D2337" s="19">
        <v>5.1042000000000005</v>
      </c>
    </row>
    <row r="2338" spans="1:4" x14ac:dyDescent="0.2">
      <c r="A2338" s="19" t="s">
        <v>178</v>
      </c>
      <c r="B2338" s="19">
        <v>426.78999999999996</v>
      </c>
      <c r="C2338" s="19">
        <v>7</v>
      </c>
      <c r="D2338" s="19">
        <v>123.76909999999995</v>
      </c>
    </row>
    <row r="2339" spans="1:4" x14ac:dyDescent="0.2">
      <c r="A2339" s="19" t="s">
        <v>164</v>
      </c>
      <c r="B2339" s="19">
        <v>25.92</v>
      </c>
      <c r="C2339" s="19">
        <v>4</v>
      </c>
      <c r="D2339" s="19">
        <v>12.441600000000001</v>
      </c>
    </row>
    <row r="2340" spans="1:4" x14ac:dyDescent="0.2">
      <c r="A2340" s="19" t="s">
        <v>164</v>
      </c>
      <c r="B2340" s="19">
        <v>45.92</v>
      </c>
      <c r="C2340" s="19">
        <v>4</v>
      </c>
      <c r="D2340" s="19">
        <v>22.500800000000002</v>
      </c>
    </row>
    <row r="2341" spans="1:4" x14ac:dyDescent="0.2">
      <c r="A2341" s="19" t="s">
        <v>173</v>
      </c>
      <c r="B2341" s="19">
        <v>10.72</v>
      </c>
      <c r="C2341" s="19">
        <v>2</v>
      </c>
      <c r="D2341" s="19">
        <v>1.7419999999999987</v>
      </c>
    </row>
    <row r="2342" spans="1:4" x14ac:dyDescent="0.2">
      <c r="A2342" s="19" t="s">
        <v>101</v>
      </c>
      <c r="B2342" s="19">
        <v>41.86</v>
      </c>
      <c r="C2342" s="19">
        <v>7</v>
      </c>
      <c r="D2342" s="19">
        <v>10.465</v>
      </c>
    </row>
    <row r="2343" spans="1:4" x14ac:dyDescent="0.2">
      <c r="A2343" s="19" t="s">
        <v>180</v>
      </c>
      <c r="B2343" s="19">
        <v>63.2</v>
      </c>
      <c r="C2343" s="19">
        <v>5</v>
      </c>
      <c r="D2343" s="19">
        <v>23.384</v>
      </c>
    </row>
    <row r="2344" spans="1:4" x14ac:dyDescent="0.2">
      <c r="A2344" s="19" t="s">
        <v>180</v>
      </c>
      <c r="B2344" s="19">
        <v>113.97</v>
      </c>
      <c r="C2344" s="19">
        <v>3</v>
      </c>
      <c r="D2344" s="19">
        <v>27.352799999999998</v>
      </c>
    </row>
    <row r="2345" spans="1:4" x14ac:dyDescent="0.2">
      <c r="A2345" s="19" t="s">
        <v>159</v>
      </c>
      <c r="B2345" s="19">
        <v>123.55199999999999</v>
      </c>
      <c r="C2345" s="19">
        <v>3</v>
      </c>
      <c r="D2345" s="19">
        <v>-29.343599999999995</v>
      </c>
    </row>
    <row r="2346" spans="1:4" x14ac:dyDescent="0.2">
      <c r="A2346" s="19" t="s">
        <v>155</v>
      </c>
      <c r="B2346" s="19">
        <v>490.32</v>
      </c>
      <c r="C2346" s="19">
        <v>9</v>
      </c>
      <c r="D2346" s="19">
        <v>137.28960000000004</v>
      </c>
    </row>
    <row r="2347" spans="1:4" x14ac:dyDescent="0.2">
      <c r="A2347" s="19" t="s">
        <v>154</v>
      </c>
      <c r="B2347" s="19">
        <v>70.08</v>
      </c>
      <c r="C2347" s="19">
        <v>5</v>
      </c>
      <c r="D2347" s="19">
        <v>24.527999999999995</v>
      </c>
    </row>
    <row r="2348" spans="1:4" x14ac:dyDescent="0.2">
      <c r="A2348" s="19" t="s">
        <v>154</v>
      </c>
      <c r="B2348" s="19">
        <v>1.2719999999999998</v>
      </c>
      <c r="C2348" s="19">
        <v>2</v>
      </c>
      <c r="D2348" s="19">
        <v>-2.1624000000000012</v>
      </c>
    </row>
    <row r="2349" spans="1:4" x14ac:dyDescent="0.2">
      <c r="A2349" s="19" t="s">
        <v>154</v>
      </c>
      <c r="B2349" s="19">
        <v>557.58500000000004</v>
      </c>
      <c r="C2349" s="19">
        <v>5</v>
      </c>
      <c r="D2349" s="19">
        <v>0</v>
      </c>
    </row>
    <row r="2350" spans="1:4" x14ac:dyDescent="0.2">
      <c r="A2350" s="19" t="s">
        <v>150</v>
      </c>
      <c r="B2350" s="19">
        <v>9.0240000000000009</v>
      </c>
      <c r="C2350" s="19">
        <v>6</v>
      </c>
      <c r="D2350" s="19">
        <v>3.1583999999999985</v>
      </c>
    </row>
    <row r="2351" spans="1:4" x14ac:dyDescent="0.2">
      <c r="A2351" s="19" t="s">
        <v>150</v>
      </c>
      <c r="B2351" s="19">
        <v>69.456000000000003</v>
      </c>
      <c r="C2351" s="19">
        <v>2</v>
      </c>
      <c r="D2351" s="19">
        <v>22.573199999999996</v>
      </c>
    </row>
    <row r="2352" spans="1:4" x14ac:dyDescent="0.2">
      <c r="A2352" s="19" t="s">
        <v>150</v>
      </c>
      <c r="B2352" s="19">
        <v>10.86</v>
      </c>
      <c r="C2352" s="19">
        <v>2</v>
      </c>
      <c r="D2352" s="19">
        <v>5.3213999999999997</v>
      </c>
    </row>
    <row r="2353" spans="1:4" x14ac:dyDescent="0.2">
      <c r="A2353" s="19" t="s">
        <v>150</v>
      </c>
      <c r="B2353" s="19">
        <v>79.47</v>
      </c>
      <c r="C2353" s="19">
        <v>3</v>
      </c>
      <c r="D2353" s="19">
        <v>22.251600000000003</v>
      </c>
    </row>
    <row r="2354" spans="1:4" x14ac:dyDescent="0.2">
      <c r="A2354" s="19" t="s">
        <v>150</v>
      </c>
      <c r="B2354" s="19">
        <v>10.08</v>
      </c>
      <c r="C2354" s="19">
        <v>6</v>
      </c>
      <c r="D2354" s="19">
        <v>5.04</v>
      </c>
    </row>
    <row r="2355" spans="1:4" x14ac:dyDescent="0.2">
      <c r="A2355" s="19" t="s">
        <v>150</v>
      </c>
      <c r="B2355" s="19">
        <v>1552.8309999999999</v>
      </c>
      <c r="C2355" s="19">
        <v>7</v>
      </c>
      <c r="D2355" s="19">
        <v>200.95460000000008</v>
      </c>
    </row>
    <row r="2356" spans="1:4" x14ac:dyDescent="0.2">
      <c r="A2356" s="19" t="s">
        <v>150</v>
      </c>
      <c r="B2356" s="19">
        <v>137.24</v>
      </c>
      <c r="C2356" s="19">
        <v>5</v>
      </c>
      <c r="D2356" s="19">
        <v>46.3185</v>
      </c>
    </row>
    <row r="2357" spans="1:4" x14ac:dyDescent="0.2">
      <c r="A2357" s="19" t="s">
        <v>150</v>
      </c>
      <c r="B2357" s="19">
        <v>36.51</v>
      </c>
      <c r="C2357" s="19">
        <v>1</v>
      </c>
      <c r="D2357" s="19">
        <v>15.699300000000001</v>
      </c>
    </row>
    <row r="2358" spans="1:4" x14ac:dyDescent="0.2">
      <c r="A2358" s="19" t="s">
        <v>150</v>
      </c>
      <c r="B2358" s="19">
        <v>239.976</v>
      </c>
      <c r="C2358" s="19">
        <v>3</v>
      </c>
      <c r="D2358" s="19">
        <v>80.991899999999987</v>
      </c>
    </row>
    <row r="2359" spans="1:4" x14ac:dyDescent="0.2">
      <c r="A2359" s="19" t="s">
        <v>164</v>
      </c>
      <c r="B2359" s="19">
        <v>1579.7460000000001</v>
      </c>
      <c r="C2359" s="19">
        <v>7</v>
      </c>
      <c r="D2359" s="19">
        <v>-447.59469999999988</v>
      </c>
    </row>
    <row r="2360" spans="1:4" x14ac:dyDescent="0.2">
      <c r="A2360" s="19" t="s">
        <v>164</v>
      </c>
      <c r="B2360" s="19">
        <v>1071.576</v>
      </c>
      <c r="C2360" s="19">
        <v>4</v>
      </c>
      <c r="D2360" s="19">
        <v>-553.64760000000001</v>
      </c>
    </row>
    <row r="2361" spans="1:4" x14ac:dyDescent="0.2">
      <c r="A2361" s="19" t="s">
        <v>164</v>
      </c>
      <c r="B2361" s="19">
        <v>613.90800000000002</v>
      </c>
      <c r="C2361" s="19">
        <v>3</v>
      </c>
      <c r="D2361" s="19">
        <v>-122.78160000000003</v>
      </c>
    </row>
    <row r="2362" spans="1:4" x14ac:dyDescent="0.2">
      <c r="A2362" s="19" t="s">
        <v>164</v>
      </c>
      <c r="B2362" s="19">
        <v>34.86</v>
      </c>
      <c r="C2362" s="19">
        <v>7</v>
      </c>
      <c r="D2362" s="19">
        <v>16.3842</v>
      </c>
    </row>
    <row r="2363" spans="1:4" x14ac:dyDescent="0.2">
      <c r="A2363" s="19" t="s">
        <v>164</v>
      </c>
      <c r="B2363" s="19">
        <v>155.04</v>
      </c>
      <c r="C2363" s="19">
        <v>4</v>
      </c>
      <c r="D2363" s="19">
        <v>75.9696</v>
      </c>
    </row>
    <row r="2364" spans="1:4" x14ac:dyDescent="0.2">
      <c r="A2364" s="19" t="s">
        <v>173</v>
      </c>
      <c r="B2364" s="19">
        <v>13.710000000000003</v>
      </c>
      <c r="C2364" s="19">
        <v>5</v>
      </c>
      <c r="D2364" s="19">
        <v>-10.053999999999998</v>
      </c>
    </row>
    <row r="2365" spans="1:4" x14ac:dyDescent="0.2">
      <c r="A2365" s="19" t="s">
        <v>166</v>
      </c>
      <c r="B2365" s="19">
        <v>127.88</v>
      </c>
      <c r="C2365" s="19">
        <v>2</v>
      </c>
      <c r="D2365" s="19">
        <v>40.921599999999998</v>
      </c>
    </row>
    <row r="2366" spans="1:4" x14ac:dyDescent="0.2">
      <c r="A2366" s="19" t="s">
        <v>166</v>
      </c>
      <c r="B2366" s="19">
        <v>160.32</v>
      </c>
      <c r="C2366" s="19">
        <v>2</v>
      </c>
      <c r="D2366" s="19">
        <v>44.889600000000002</v>
      </c>
    </row>
    <row r="2367" spans="1:4" x14ac:dyDescent="0.2">
      <c r="A2367" s="19" t="s">
        <v>166</v>
      </c>
      <c r="B2367" s="19">
        <v>46</v>
      </c>
      <c r="C2367" s="19">
        <v>4</v>
      </c>
      <c r="D2367" s="19">
        <v>20.7</v>
      </c>
    </row>
    <row r="2368" spans="1:4" x14ac:dyDescent="0.2">
      <c r="A2368" s="19" t="s">
        <v>150</v>
      </c>
      <c r="B2368" s="19">
        <v>120.71199999999999</v>
      </c>
      <c r="C2368" s="19">
        <v>1</v>
      </c>
      <c r="D2368" s="19">
        <v>-18.106799999999993</v>
      </c>
    </row>
    <row r="2369" spans="1:4" x14ac:dyDescent="0.2">
      <c r="A2369" s="19" t="s">
        <v>187</v>
      </c>
      <c r="B2369" s="19">
        <v>23.12</v>
      </c>
      <c r="C2369" s="19">
        <v>4</v>
      </c>
      <c r="D2369" s="19">
        <v>11.328800000000001</v>
      </c>
    </row>
    <row r="2370" spans="1:4" x14ac:dyDescent="0.2">
      <c r="A2370" s="19" t="s">
        <v>173</v>
      </c>
      <c r="B2370" s="19">
        <v>532.70400000000006</v>
      </c>
      <c r="C2370" s="19">
        <v>6</v>
      </c>
      <c r="D2370" s="19">
        <v>-26.635200000000026</v>
      </c>
    </row>
    <row r="2371" spans="1:4" x14ac:dyDescent="0.2">
      <c r="A2371" s="19" t="s">
        <v>173</v>
      </c>
      <c r="B2371" s="19">
        <v>4.9119999999999999</v>
      </c>
      <c r="C2371" s="19">
        <v>2</v>
      </c>
      <c r="D2371" s="19">
        <v>0.30700000000000016</v>
      </c>
    </row>
    <row r="2372" spans="1:4" x14ac:dyDescent="0.2">
      <c r="A2372" s="19" t="s">
        <v>182</v>
      </c>
      <c r="B2372" s="19">
        <v>252</v>
      </c>
      <c r="C2372" s="19">
        <v>4</v>
      </c>
      <c r="D2372" s="19">
        <v>93.240000000000009</v>
      </c>
    </row>
    <row r="2373" spans="1:4" x14ac:dyDescent="0.2">
      <c r="A2373" s="19" t="s">
        <v>159</v>
      </c>
      <c r="B2373" s="19">
        <v>60.288000000000004</v>
      </c>
      <c r="C2373" s="19">
        <v>8</v>
      </c>
      <c r="D2373" s="19">
        <v>-27.129599999999996</v>
      </c>
    </row>
    <row r="2374" spans="1:4" x14ac:dyDescent="0.2">
      <c r="A2374" s="19" t="s">
        <v>159</v>
      </c>
      <c r="B2374" s="19">
        <v>2.6320000000000001</v>
      </c>
      <c r="C2374" s="19">
        <v>1</v>
      </c>
      <c r="D2374" s="19">
        <v>0.8224999999999999</v>
      </c>
    </row>
    <row r="2375" spans="1:4" x14ac:dyDescent="0.2">
      <c r="A2375" s="19" t="s">
        <v>159</v>
      </c>
      <c r="B2375" s="19">
        <v>23.688000000000002</v>
      </c>
      <c r="C2375" s="19">
        <v>9</v>
      </c>
      <c r="D2375" s="19">
        <v>7.698599999999999</v>
      </c>
    </row>
    <row r="2376" spans="1:4" x14ac:dyDescent="0.2">
      <c r="A2376" s="19" t="s">
        <v>159</v>
      </c>
      <c r="B2376" s="19">
        <v>253.37199999999996</v>
      </c>
      <c r="C2376" s="19">
        <v>2</v>
      </c>
      <c r="D2376" s="19">
        <v>-14.478399999999993</v>
      </c>
    </row>
    <row r="2377" spans="1:4" x14ac:dyDescent="0.2">
      <c r="A2377" s="19" t="s">
        <v>101</v>
      </c>
      <c r="B2377" s="19">
        <v>5.67</v>
      </c>
      <c r="C2377" s="19">
        <v>3</v>
      </c>
      <c r="D2377" s="19">
        <v>0.11340000000000017</v>
      </c>
    </row>
    <row r="2378" spans="1:4" x14ac:dyDescent="0.2">
      <c r="A2378" s="19" t="s">
        <v>173</v>
      </c>
      <c r="B2378" s="19">
        <v>76.77600000000001</v>
      </c>
      <c r="C2378" s="19">
        <v>4</v>
      </c>
      <c r="D2378" s="19">
        <v>-58.861599999999981</v>
      </c>
    </row>
    <row r="2379" spans="1:4" x14ac:dyDescent="0.2">
      <c r="A2379" s="19" t="s">
        <v>173</v>
      </c>
      <c r="B2379" s="19">
        <v>9.1840000000000011</v>
      </c>
      <c r="C2379" s="19">
        <v>2</v>
      </c>
      <c r="D2379" s="19">
        <v>1.1479999999999988</v>
      </c>
    </row>
    <row r="2380" spans="1:4" x14ac:dyDescent="0.2">
      <c r="A2380" s="19" t="s">
        <v>150</v>
      </c>
      <c r="B2380" s="19">
        <v>32.75</v>
      </c>
      <c r="C2380" s="19">
        <v>5</v>
      </c>
      <c r="D2380" s="19">
        <v>15.065</v>
      </c>
    </row>
    <row r="2381" spans="1:4" x14ac:dyDescent="0.2">
      <c r="A2381" s="19" t="s">
        <v>173</v>
      </c>
      <c r="B2381" s="19">
        <v>7.2160000000000002</v>
      </c>
      <c r="C2381" s="19">
        <v>2</v>
      </c>
      <c r="D2381" s="19">
        <v>1.7138000000000002</v>
      </c>
    </row>
    <row r="2382" spans="1:4" x14ac:dyDescent="0.2">
      <c r="A2382" s="19" t="s">
        <v>173</v>
      </c>
      <c r="B2382" s="19">
        <v>49.568000000000005</v>
      </c>
      <c r="C2382" s="19">
        <v>2</v>
      </c>
      <c r="D2382" s="19">
        <v>15.489999999999997</v>
      </c>
    </row>
    <row r="2383" spans="1:4" x14ac:dyDescent="0.2">
      <c r="A2383" s="19" t="s">
        <v>173</v>
      </c>
      <c r="B2383" s="19">
        <v>54.711999999999996</v>
      </c>
      <c r="C2383" s="19">
        <v>7</v>
      </c>
      <c r="D2383" s="19">
        <v>11.626299999999999</v>
      </c>
    </row>
    <row r="2384" spans="1:4" x14ac:dyDescent="0.2">
      <c r="A2384" s="19" t="s">
        <v>150</v>
      </c>
      <c r="B2384" s="19">
        <v>176.04</v>
      </c>
      <c r="C2384" s="19">
        <v>4</v>
      </c>
      <c r="D2384" s="19">
        <v>45.770399999999995</v>
      </c>
    </row>
    <row r="2385" spans="1:4" x14ac:dyDescent="0.2">
      <c r="A2385" s="19" t="s">
        <v>150</v>
      </c>
      <c r="B2385" s="19">
        <v>16.02</v>
      </c>
      <c r="C2385" s="19">
        <v>9</v>
      </c>
      <c r="D2385" s="19">
        <v>4.4855999999999998</v>
      </c>
    </row>
    <row r="2386" spans="1:4" x14ac:dyDescent="0.2">
      <c r="A2386" s="19" t="s">
        <v>150</v>
      </c>
      <c r="B2386" s="19">
        <v>185.92000000000002</v>
      </c>
      <c r="C2386" s="19">
        <v>4</v>
      </c>
      <c r="D2386" s="19">
        <v>62.74799999999999</v>
      </c>
    </row>
    <row r="2387" spans="1:4" x14ac:dyDescent="0.2">
      <c r="A2387" s="19" t="s">
        <v>150</v>
      </c>
      <c r="B2387" s="19">
        <v>211.16800000000001</v>
      </c>
      <c r="C2387" s="19">
        <v>4</v>
      </c>
      <c r="D2387" s="19">
        <v>15.837600000000009</v>
      </c>
    </row>
    <row r="2388" spans="1:4" x14ac:dyDescent="0.2">
      <c r="A2388" s="19" t="s">
        <v>150</v>
      </c>
      <c r="B2388" s="19">
        <v>479.98400000000004</v>
      </c>
      <c r="C2388" s="19">
        <v>2</v>
      </c>
      <c r="D2388" s="19">
        <v>59.997999999999962</v>
      </c>
    </row>
    <row r="2389" spans="1:4" x14ac:dyDescent="0.2">
      <c r="A2389" s="19" t="s">
        <v>150</v>
      </c>
      <c r="B2389" s="19">
        <v>7.86</v>
      </c>
      <c r="C2389" s="19">
        <v>2</v>
      </c>
      <c r="D2389" s="19">
        <v>3.6155999999999997</v>
      </c>
    </row>
    <row r="2390" spans="1:4" x14ac:dyDescent="0.2">
      <c r="A2390" s="19" t="s">
        <v>150</v>
      </c>
      <c r="B2390" s="19">
        <v>24.448</v>
      </c>
      <c r="C2390" s="19">
        <v>2</v>
      </c>
      <c r="D2390" s="19">
        <v>8.8623999999999992</v>
      </c>
    </row>
    <row r="2391" spans="1:4" x14ac:dyDescent="0.2">
      <c r="A2391" s="19" t="s">
        <v>164</v>
      </c>
      <c r="B2391" s="19">
        <v>6.48</v>
      </c>
      <c r="C2391" s="19">
        <v>1</v>
      </c>
      <c r="D2391" s="19">
        <v>3.1104000000000003</v>
      </c>
    </row>
    <row r="2392" spans="1:4" x14ac:dyDescent="0.2">
      <c r="A2392" s="19" t="s">
        <v>164</v>
      </c>
      <c r="B2392" s="19">
        <v>41.86</v>
      </c>
      <c r="C2392" s="19">
        <v>7</v>
      </c>
      <c r="D2392" s="19">
        <v>20.511400000000002</v>
      </c>
    </row>
    <row r="2393" spans="1:4" x14ac:dyDescent="0.2">
      <c r="A2393" s="19" t="s">
        <v>164</v>
      </c>
      <c r="B2393" s="19">
        <v>1619.91</v>
      </c>
      <c r="C2393" s="19">
        <v>9</v>
      </c>
      <c r="D2393" s="19">
        <v>97.194599999999923</v>
      </c>
    </row>
    <row r="2394" spans="1:4" x14ac:dyDescent="0.2">
      <c r="A2394" s="19" t="s">
        <v>164</v>
      </c>
      <c r="B2394" s="19">
        <v>113.92</v>
      </c>
      <c r="C2394" s="19">
        <v>4</v>
      </c>
      <c r="D2394" s="19">
        <v>42.150400000000005</v>
      </c>
    </row>
    <row r="2395" spans="1:4" x14ac:dyDescent="0.2">
      <c r="A2395" s="19" t="s">
        <v>180</v>
      </c>
      <c r="B2395" s="19">
        <v>39.68</v>
      </c>
      <c r="C2395" s="19">
        <v>2</v>
      </c>
      <c r="D2395" s="19">
        <v>10.316800000000001</v>
      </c>
    </row>
    <row r="2396" spans="1:4" x14ac:dyDescent="0.2">
      <c r="A2396" s="19" t="s">
        <v>164</v>
      </c>
      <c r="B2396" s="19">
        <v>37.6</v>
      </c>
      <c r="C2396" s="19">
        <v>2</v>
      </c>
      <c r="D2396" s="19">
        <v>2.2560000000000002</v>
      </c>
    </row>
    <row r="2397" spans="1:4" x14ac:dyDescent="0.2">
      <c r="A2397" s="19" t="s">
        <v>164</v>
      </c>
      <c r="B2397" s="19">
        <v>59.9</v>
      </c>
      <c r="C2397" s="19">
        <v>2</v>
      </c>
      <c r="D2397" s="19">
        <v>23.96</v>
      </c>
    </row>
    <row r="2398" spans="1:4" x14ac:dyDescent="0.2">
      <c r="A2398" s="19" t="s">
        <v>164</v>
      </c>
      <c r="B2398" s="19">
        <v>37</v>
      </c>
      <c r="C2398" s="19">
        <v>5</v>
      </c>
      <c r="D2398" s="19">
        <v>16.649999999999999</v>
      </c>
    </row>
    <row r="2399" spans="1:4" x14ac:dyDescent="0.2">
      <c r="A2399" s="19" t="s">
        <v>150</v>
      </c>
      <c r="B2399" s="19">
        <v>5.76</v>
      </c>
      <c r="C2399" s="19">
        <v>2</v>
      </c>
      <c r="D2399" s="19">
        <v>2.8224</v>
      </c>
    </row>
    <row r="2400" spans="1:4" x14ac:dyDescent="0.2">
      <c r="A2400" s="19" t="s">
        <v>150</v>
      </c>
      <c r="B2400" s="19">
        <v>16.68</v>
      </c>
      <c r="C2400" s="19">
        <v>6</v>
      </c>
      <c r="D2400" s="19">
        <v>4.3367999999999993</v>
      </c>
    </row>
    <row r="2401" spans="1:4" x14ac:dyDescent="0.2">
      <c r="A2401" s="19" t="s">
        <v>169</v>
      </c>
      <c r="B2401" s="19">
        <v>628.80999999999995</v>
      </c>
      <c r="C2401" s="19">
        <v>7</v>
      </c>
      <c r="D2401" s="19">
        <v>12.576199999999986</v>
      </c>
    </row>
    <row r="2402" spans="1:4" x14ac:dyDescent="0.2">
      <c r="A2402" s="19" t="s">
        <v>169</v>
      </c>
      <c r="B2402" s="19">
        <v>56.449999999999996</v>
      </c>
      <c r="C2402" s="19">
        <v>5</v>
      </c>
      <c r="D2402" s="19">
        <v>14.676999999999998</v>
      </c>
    </row>
    <row r="2403" spans="1:4" x14ac:dyDescent="0.2">
      <c r="A2403" s="19" t="s">
        <v>174</v>
      </c>
      <c r="B2403" s="19">
        <v>94.199999999999989</v>
      </c>
      <c r="C2403" s="19">
        <v>6</v>
      </c>
      <c r="D2403" s="19">
        <v>23.550000000000004</v>
      </c>
    </row>
    <row r="2404" spans="1:4" x14ac:dyDescent="0.2">
      <c r="A2404" s="19" t="s">
        <v>174</v>
      </c>
      <c r="B2404" s="19">
        <v>28.4</v>
      </c>
      <c r="C2404" s="19">
        <v>5</v>
      </c>
      <c r="D2404" s="19">
        <v>13.347999999999997</v>
      </c>
    </row>
    <row r="2405" spans="1:4" x14ac:dyDescent="0.2">
      <c r="A2405" s="19" t="s">
        <v>154</v>
      </c>
      <c r="B2405" s="19">
        <v>956.6647999999999</v>
      </c>
      <c r="C2405" s="19">
        <v>7</v>
      </c>
      <c r="D2405" s="19">
        <v>-225.09759999999991</v>
      </c>
    </row>
    <row r="2406" spans="1:4" x14ac:dyDescent="0.2">
      <c r="A2406" s="19" t="s">
        <v>150</v>
      </c>
      <c r="B2406" s="19">
        <v>1115.9099999999999</v>
      </c>
      <c r="C2406" s="19">
        <v>9</v>
      </c>
      <c r="D2406" s="19">
        <v>200.86379999999991</v>
      </c>
    </row>
    <row r="2407" spans="1:4" x14ac:dyDescent="0.2">
      <c r="A2407" s="19" t="s">
        <v>150</v>
      </c>
      <c r="B2407" s="19">
        <v>128.744</v>
      </c>
      <c r="C2407" s="19">
        <v>7</v>
      </c>
      <c r="D2407" s="19">
        <v>-28.967399999999991</v>
      </c>
    </row>
    <row r="2408" spans="1:4" x14ac:dyDescent="0.2">
      <c r="A2408" s="19" t="s">
        <v>150</v>
      </c>
      <c r="B2408" s="19">
        <v>79.920000000000016</v>
      </c>
      <c r="C2408" s="19">
        <v>10</v>
      </c>
      <c r="D2408" s="19">
        <v>26.972999999999992</v>
      </c>
    </row>
    <row r="2409" spans="1:4" x14ac:dyDescent="0.2">
      <c r="A2409" s="19" t="s">
        <v>150</v>
      </c>
      <c r="B2409" s="19">
        <v>24.2</v>
      </c>
      <c r="C2409" s="19">
        <v>5</v>
      </c>
      <c r="D2409" s="19">
        <v>7.9859999999999998</v>
      </c>
    </row>
    <row r="2410" spans="1:4" x14ac:dyDescent="0.2">
      <c r="A2410" s="19" t="s">
        <v>150</v>
      </c>
      <c r="B2410" s="19">
        <v>359.97600000000006</v>
      </c>
      <c r="C2410" s="19">
        <v>3</v>
      </c>
      <c r="D2410" s="19">
        <v>130.49130000000002</v>
      </c>
    </row>
    <row r="2411" spans="1:4" x14ac:dyDescent="0.2">
      <c r="A2411" s="19" t="s">
        <v>150</v>
      </c>
      <c r="B2411" s="19">
        <v>211.84</v>
      </c>
      <c r="C2411" s="19">
        <v>8</v>
      </c>
      <c r="D2411" s="19">
        <v>76.262399999999985</v>
      </c>
    </row>
    <row r="2412" spans="1:4" x14ac:dyDescent="0.2">
      <c r="A2412" s="19" t="s">
        <v>158</v>
      </c>
      <c r="B2412" s="19">
        <v>5.68</v>
      </c>
      <c r="C2412" s="19">
        <v>2</v>
      </c>
      <c r="D2412" s="19">
        <v>1.9169999999999998</v>
      </c>
    </row>
    <row r="2413" spans="1:4" x14ac:dyDescent="0.2">
      <c r="A2413" s="19" t="s">
        <v>150</v>
      </c>
      <c r="B2413" s="19">
        <v>7.52</v>
      </c>
      <c r="C2413" s="19">
        <v>5</v>
      </c>
      <c r="D2413" s="19">
        <v>2.6319999999999997</v>
      </c>
    </row>
    <row r="2414" spans="1:4" x14ac:dyDescent="0.2">
      <c r="A2414" s="19" t="s">
        <v>150</v>
      </c>
      <c r="B2414" s="19">
        <v>11.96</v>
      </c>
      <c r="C2414" s="19">
        <v>2</v>
      </c>
      <c r="D2414" s="19">
        <v>5.8604000000000003</v>
      </c>
    </row>
    <row r="2415" spans="1:4" x14ac:dyDescent="0.2">
      <c r="A2415" s="19" t="s">
        <v>150</v>
      </c>
      <c r="B2415" s="19">
        <v>629.06400000000008</v>
      </c>
      <c r="C2415" s="19">
        <v>3</v>
      </c>
      <c r="D2415" s="19">
        <v>31.453199999999953</v>
      </c>
    </row>
    <row r="2416" spans="1:4" x14ac:dyDescent="0.2">
      <c r="A2416" s="19" t="s">
        <v>155</v>
      </c>
      <c r="B2416" s="19">
        <v>754.44999999999993</v>
      </c>
      <c r="C2416" s="19">
        <v>5</v>
      </c>
      <c r="D2416" s="19">
        <v>60.356000000000023</v>
      </c>
    </row>
    <row r="2417" spans="1:4" x14ac:dyDescent="0.2">
      <c r="A2417" s="19" t="s">
        <v>180</v>
      </c>
      <c r="B2417" s="19">
        <v>301.95999999999998</v>
      </c>
      <c r="C2417" s="19">
        <v>2</v>
      </c>
      <c r="D2417" s="19">
        <v>60.391999999999996</v>
      </c>
    </row>
    <row r="2418" spans="1:4" x14ac:dyDescent="0.2">
      <c r="A2418" s="19" t="s">
        <v>176</v>
      </c>
      <c r="B2418" s="19">
        <v>595</v>
      </c>
      <c r="C2418" s="19">
        <v>5</v>
      </c>
      <c r="D2418" s="19">
        <v>95.200000000000031</v>
      </c>
    </row>
    <row r="2419" spans="1:4" x14ac:dyDescent="0.2">
      <c r="A2419" s="19" t="s">
        <v>176</v>
      </c>
      <c r="B2419" s="19">
        <v>79.872000000000014</v>
      </c>
      <c r="C2419" s="19">
        <v>3</v>
      </c>
      <c r="D2419" s="19">
        <v>29.951999999999998</v>
      </c>
    </row>
    <row r="2420" spans="1:4" x14ac:dyDescent="0.2">
      <c r="A2420" s="19" t="s">
        <v>181</v>
      </c>
      <c r="B2420" s="19">
        <v>2396.4</v>
      </c>
      <c r="C2420" s="19">
        <v>10</v>
      </c>
      <c r="D2420" s="19">
        <v>179.73000000000013</v>
      </c>
    </row>
    <row r="2421" spans="1:4" x14ac:dyDescent="0.2">
      <c r="A2421" s="19" t="s">
        <v>150</v>
      </c>
      <c r="B2421" s="19">
        <v>63.56</v>
      </c>
      <c r="C2421" s="19">
        <v>2</v>
      </c>
      <c r="D2421" s="19">
        <v>3.1779999999999973</v>
      </c>
    </row>
    <row r="2422" spans="1:4" x14ac:dyDescent="0.2">
      <c r="A2422" s="19" t="s">
        <v>150</v>
      </c>
      <c r="B2422" s="19">
        <v>99.99</v>
      </c>
      <c r="C2422" s="19">
        <v>1</v>
      </c>
      <c r="D2422" s="19">
        <v>43.995600000000003</v>
      </c>
    </row>
    <row r="2423" spans="1:4" x14ac:dyDescent="0.2">
      <c r="A2423" s="19" t="s">
        <v>159</v>
      </c>
      <c r="B2423" s="19">
        <v>230.376</v>
      </c>
      <c r="C2423" s="19">
        <v>3</v>
      </c>
      <c r="D2423" s="19">
        <v>-48.954900000000002</v>
      </c>
    </row>
    <row r="2424" spans="1:4" x14ac:dyDescent="0.2">
      <c r="A2424" s="19" t="s">
        <v>159</v>
      </c>
      <c r="B2424" s="19">
        <v>9.6640000000000015</v>
      </c>
      <c r="C2424" s="19">
        <v>2</v>
      </c>
      <c r="D2424" s="19">
        <v>3.2615999999999996</v>
      </c>
    </row>
    <row r="2425" spans="1:4" x14ac:dyDescent="0.2">
      <c r="A2425" s="19" t="s">
        <v>173</v>
      </c>
      <c r="B2425" s="19">
        <v>158.928</v>
      </c>
      <c r="C2425" s="19">
        <v>7</v>
      </c>
      <c r="D2425" s="19">
        <v>41.718599999999995</v>
      </c>
    </row>
    <row r="2426" spans="1:4" x14ac:dyDescent="0.2">
      <c r="A2426" s="19" t="s">
        <v>173</v>
      </c>
      <c r="B2426" s="19">
        <v>13.023000000000001</v>
      </c>
      <c r="C2426" s="19">
        <v>1</v>
      </c>
      <c r="D2426" s="19">
        <v>-10.418399999999998</v>
      </c>
    </row>
    <row r="2427" spans="1:4" x14ac:dyDescent="0.2">
      <c r="A2427" s="19" t="s">
        <v>173</v>
      </c>
      <c r="B2427" s="19">
        <v>273.06</v>
      </c>
      <c r="C2427" s="19">
        <v>2</v>
      </c>
      <c r="D2427" s="19">
        <v>-104.67300000000006</v>
      </c>
    </row>
    <row r="2428" spans="1:4" x14ac:dyDescent="0.2">
      <c r="A2428" s="19" t="s">
        <v>173</v>
      </c>
      <c r="B2428" s="19">
        <v>39.311999999999998</v>
      </c>
      <c r="C2428" s="19">
        <v>13</v>
      </c>
      <c r="D2428" s="19">
        <v>12.776399999999999</v>
      </c>
    </row>
    <row r="2429" spans="1:4" x14ac:dyDescent="0.2">
      <c r="A2429" s="19" t="s">
        <v>154</v>
      </c>
      <c r="B2429" s="19">
        <v>1.3439999999999996</v>
      </c>
      <c r="C2429" s="19">
        <v>4</v>
      </c>
      <c r="D2429" s="19">
        <v>-2.1504000000000008</v>
      </c>
    </row>
    <row r="2430" spans="1:4" x14ac:dyDescent="0.2">
      <c r="A2430" s="19" t="s">
        <v>154</v>
      </c>
      <c r="B2430" s="19">
        <v>8.2719999999999985</v>
      </c>
      <c r="C2430" s="19">
        <v>4</v>
      </c>
      <c r="D2430" s="19">
        <v>-13.648800000000001</v>
      </c>
    </row>
    <row r="2431" spans="1:4" x14ac:dyDescent="0.2">
      <c r="A2431" s="19" t="s">
        <v>154</v>
      </c>
      <c r="B2431" s="19">
        <v>12.544000000000002</v>
      </c>
      <c r="C2431" s="19">
        <v>7</v>
      </c>
      <c r="D2431" s="19">
        <v>-9.0944000000000038</v>
      </c>
    </row>
    <row r="2432" spans="1:4" x14ac:dyDescent="0.2">
      <c r="A2432" s="19" t="s">
        <v>150</v>
      </c>
      <c r="B2432" s="19">
        <v>58.48</v>
      </c>
      <c r="C2432" s="19">
        <v>8</v>
      </c>
      <c r="D2432" s="19">
        <v>27.485599999999998</v>
      </c>
    </row>
    <row r="2433" spans="1:4" x14ac:dyDescent="0.2">
      <c r="A2433" s="19" t="s">
        <v>153</v>
      </c>
      <c r="B2433" s="19">
        <v>7.4</v>
      </c>
      <c r="C2433" s="19">
        <v>2</v>
      </c>
      <c r="D2433" s="19">
        <v>3.0340000000000007</v>
      </c>
    </row>
    <row r="2434" spans="1:4" x14ac:dyDescent="0.2">
      <c r="A2434" s="19" t="s">
        <v>164</v>
      </c>
      <c r="B2434" s="19">
        <v>366.786</v>
      </c>
      <c r="C2434" s="19">
        <v>7</v>
      </c>
      <c r="D2434" s="19">
        <v>65.206400000000002</v>
      </c>
    </row>
    <row r="2435" spans="1:4" x14ac:dyDescent="0.2">
      <c r="A2435" s="19" t="s">
        <v>154</v>
      </c>
      <c r="B2435" s="19">
        <v>54.367999999999995</v>
      </c>
      <c r="C2435" s="19">
        <v>4</v>
      </c>
      <c r="D2435" s="19">
        <v>4.0775999999999968</v>
      </c>
    </row>
    <row r="2436" spans="1:4" x14ac:dyDescent="0.2">
      <c r="A2436" s="19" t="s">
        <v>166</v>
      </c>
      <c r="B2436" s="19">
        <v>33.96</v>
      </c>
      <c r="C2436" s="19">
        <v>2</v>
      </c>
      <c r="D2436" s="19">
        <v>16.98</v>
      </c>
    </row>
    <row r="2437" spans="1:4" x14ac:dyDescent="0.2">
      <c r="A2437" s="19" t="s">
        <v>166</v>
      </c>
      <c r="B2437" s="19">
        <v>826.11</v>
      </c>
      <c r="C2437" s="19">
        <v>3</v>
      </c>
      <c r="D2437" s="19">
        <v>322.18290000000002</v>
      </c>
    </row>
    <row r="2438" spans="1:4" x14ac:dyDescent="0.2">
      <c r="A2438" s="19" t="s">
        <v>176</v>
      </c>
      <c r="B2438" s="19">
        <v>545.85</v>
      </c>
      <c r="C2438" s="19">
        <v>9</v>
      </c>
      <c r="D2438" s="19">
        <v>114.6285</v>
      </c>
    </row>
    <row r="2439" spans="1:4" x14ac:dyDescent="0.2">
      <c r="A2439" s="19" t="s">
        <v>171</v>
      </c>
      <c r="B2439" s="19">
        <v>145.97999999999999</v>
      </c>
      <c r="C2439" s="19">
        <v>2</v>
      </c>
      <c r="D2439" s="19">
        <v>-99.266399999999976</v>
      </c>
    </row>
    <row r="2440" spans="1:4" x14ac:dyDescent="0.2">
      <c r="A2440" s="19" t="s">
        <v>171</v>
      </c>
      <c r="B2440" s="19">
        <v>35.808</v>
      </c>
      <c r="C2440" s="19">
        <v>4</v>
      </c>
      <c r="D2440" s="19">
        <v>12.5328</v>
      </c>
    </row>
    <row r="2441" spans="1:4" x14ac:dyDescent="0.2">
      <c r="A2441" s="19" t="s">
        <v>151</v>
      </c>
      <c r="B2441" s="19">
        <v>7.9040000000000008</v>
      </c>
      <c r="C2441" s="19">
        <v>2</v>
      </c>
      <c r="D2441" s="19">
        <v>2.1736000000000004</v>
      </c>
    </row>
    <row r="2442" spans="1:4" x14ac:dyDescent="0.2">
      <c r="A2442" s="19" t="s">
        <v>179</v>
      </c>
      <c r="B2442" s="19">
        <v>345</v>
      </c>
      <c r="C2442" s="19">
        <v>5</v>
      </c>
      <c r="D2442" s="19">
        <v>86.25</v>
      </c>
    </row>
    <row r="2443" spans="1:4" x14ac:dyDescent="0.2">
      <c r="A2443" s="19" t="s">
        <v>179</v>
      </c>
      <c r="B2443" s="19">
        <v>174.28599999999997</v>
      </c>
      <c r="C2443" s="19">
        <v>2</v>
      </c>
      <c r="D2443" s="19">
        <v>-19.918399999999991</v>
      </c>
    </row>
    <row r="2444" spans="1:4" x14ac:dyDescent="0.2">
      <c r="A2444" s="19" t="s">
        <v>179</v>
      </c>
      <c r="B2444" s="19">
        <v>662.84</v>
      </c>
      <c r="C2444" s="19">
        <v>4</v>
      </c>
      <c r="D2444" s="19">
        <v>172.33840000000004</v>
      </c>
    </row>
    <row r="2445" spans="1:4" x14ac:dyDescent="0.2">
      <c r="A2445" s="19" t="s">
        <v>179</v>
      </c>
      <c r="B2445" s="19">
        <v>95.1</v>
      </c>
      <c r="C2445" s="19">
        <v>5</v>
      </c>
      <c r="D2445" s="19">
        <v>30.431999999999995</v>
      </c>
    </row>
    <row r="2446" spans="1:4" x14ac:dyDescent="0.2">
      <c r="A2446" s="19" t="s">
        <v>179</v>
      </c>
      <c r="B2446" s="19">
        <v>26.880000000000003</v>
      </c>
      <c r="C2446" s="19">
        <v>6</v>
      </c>
      <c r="D2446" s="19">
        <v>12.902400000000002</v>
      </c>
    </row>
    <row r="2447" spans="1:4" x14ac:dyDescent="0.2">
      <c r="A2447" s="19" t="s">
        <v>179</v>
      </c>
      <c r="B2447" s="19">
        <v>257.98</v>
      </c>
      <c r="C2447" s="19">
        <v>2</v>
      </c>
      <c r="D2447" s="19">
        <v>74.8142</v>
      </c>
    </row>
    <row r="2448" spans="1:4" x14ac:dyDescent="0.2">
      <c r="A2448" s="19" t="s">
        <v>150</v>
      </c>
      <c r="B2448" s="19">
        <v>17.48</v>
      </c>
      <c r="C2448" s="19">
        <v>2</v>
      </c>
      <c r="D2448" s="19">
        <v>8.2156000000000002</v>
      </c>
    </row>
    <row r="2449" spans="1:4" x14ac:dyDescent="0.2">
      <c r="A2449" s="19" t="s">
        <v>158</v>
      </c>
      <c r="B2449" s="19">
        <v>492.83499999999998</v>
      </c>
      <c r="C2449" s="19">
        <v>5</v>
      </c>
      <c r="D2449" s="19">
        <v>-14.080999999999989</v>
      </c>
    </row>
    <row r="2450" spans="1:4" x14ac:dyDescent="0.2">
      <c r="A2450" s="19" t="s">
        <v>169</v>
      </c>
      <c r="B2450" s="19">
        <v>269.49</v>
      </c>
      <c r="C2450" s="19">
        <v>3</v>
      </c>
      <c r="D2450" s="19">
        <v>5.3897999999999939</v>
      </c>
    </row>
    <row r="2451" spans="1:4" x14ac:dyDescent="0.2">
      <c r="A2451" s="19" t="s">
        <v>150</v>
      </c>
      <c r="B2451" s="19">
        <v>29.120000000000005</v>
      </c>
      <c r="C2451" s="19">
        <v>5</v>
      </c>
      <c r="D2451" s="19">
        <v>9.8279999999999959</v>
      </c>
    </row>
    <row r="2452" spans="1:4" x14ac:dyDescent="0.2">
      <c r="A2452" s="19" t="s">
        <v>164</v>
      </c>
      <c r="B2452" s="19">
        <v>18.75</v>
      </c>
      <c r="C2452" s="19">
        <v>5</v>
      </c>
      <c r="D2452" s="19">
        <v>9</v>
      </c>
    </row>
    <row r="2453" spans="1:4" x14ac:dyDescent="0.2">
      <c r="A2453" s="19" t="s">
        <v>164</v>
      </c>
      <c r="B2453" s="19">
        <v>119.69999999999999</v>
      </c>
      <c r="C2453" s="19">
        <v>6</v>
      </c>
      <c r="D2453" s="19">
        <v>31.121999999999996</v>
      </c>
    </row>
    <row r="2454" spans="1:4" x14ac:dyDescent="0.2">
      <c r="A2454" s="19" t="s">
        <v>164</v>
      </c>
      <c r="B2454" s="19">
        <v>9.1440000000000001</v>
      </c>
      <c r="C2454" s="19">
        <v>3</v>
      </c>
      <c r="D2454" s="19">
        <v>3.0860999999999996</v>
      </c>
    </row>
    <row r="2455" spans="1:4" x14ac:dyDescent="0.2">
      <c r="A2455" s="19" t="s">
        <v>164</v>
      </c>
      <c r="B2455" s="19">
        <v>57.06</v>
      </c>
      <c r="C2455" s="19">
        <v>3</v>
      </c>
      <c r="D2455" s="19">
        <v>18.2592</v>
      </c>
    </row>
    <row r="2456" spans="1:4" x14ac:dyDescent="0.2">
      <c r="A2456" s="19" t="s">
        <v>164</v>
      </c>
      <c r="B2456" s="19">
        <v>71.599999999999994</v>
      </c>
      <c r="C2456" s="19">
        <v>8</v>
      </c>
      <c r="D2456" s="19">
        <v>13.603999999999992</v>
      </c>
    </row>
    <row r="2457" spans="1:4" x14ac:dyDescent="0.2">
      <c r="A2457" s="19" t="s">
        <v>164</v>
      </c>
      <c r="B2457" s="19">
        <v>107.44</v>
      </c>
      <c r="C2457" s="19">
        <v>8</v>
      </c>
      <c r="D2457" s="19">
        <v>27.934399999999997</v>
      </c>
    </row>
    <row r="2458" spans="1:4" x14ac:dyDescent="0.2">
      <c r="A2458" s="19" t="s">
        <v>164</v>
      </c>
      <c r="B2458" s="19">
        <v>7.31</v>
      </c>
      <c r="C2458" s="19">
        <v>1</v>
      </c>
      <c r="D2458" s="19">
        <v>3.4356999999999998</v>
      </c>
    </row>
    <row r="2459" spans="1:4" x14ac:dyDescent="0.2">
      <c r="A2459" s="19" t="s">
        <v>164</v>
      </c>
      <c r="B2459" s="19">
        <v>59.099999999999994</v>
      </c>
      <c r="C2459" s="19">
        <v>6</v>
      </c>
      <c r="D2459" s="19">
        <v>22.458000000000002</v>
      </c>
    </row>
    <row r="2460" spans="1:4" x14ac:dyDescent="0.2">
      <c r="A2460" s="19" t="s">
        <v>164</v>
      </c>
      <c r="B2460" s="19">
        <v>46.53</v>
      </c>
      <c r="C2460" s="19">
        <v>3</v>
      </c>
      <c r="D2460" s="19">
        <v>12.097800000000001</v>
      </c>
    </row>
    <row r="2461" spans="1:4" x14ac:dyDescent="0.2">
      <c r="A2461" s="19" t="s">
        <v>179</v>
      </c>
      <c r="B2461" s="19">
        <v>97.84</v>
      </c>
      <c r="C2461" s="19">
        <v>2</v>
      </c>
      <c r="D2461" s="19">
        <v>25.438400000000001</v>
      </c>
    </row>
    <row r="2462" spans="1:4" x14ac:dyDescent="0.2">
      <c r="A2462" s="19" t="s">
        <v>153</v>
      </c>
      <c r="B2462" s="19">
        <v>29.97</v>
      </c>
      <c r="C2462" s="19">
        <v>3</v>
      </c>
      <c r="D2462" s="19">
        <v>13.486499999999999</v>
      </c>
    </row>
    <row r="2463" spans="1:4" x14ac:dyDescent="0.2">
      <c r="A2463" s="19" t="s">
        <v>153</v>
      </c>
      <c r="B2463" s="19">
        <v>98.352000000000004</v>
      </c>
      <c r="C2463" s="19">
        <v>3</v>
      </c>
      <c r="D2463" s="19">
        <v>34.423199999999987</v>
      </c>
    </row>
    <row r="2464" spans="1:4" x14ac:dyDescent="0.2">
      <c r="A2464" s="19" t="s">
        <v>164</v>
      </c>
      <c r="B2464" s="19">
        <v>83.920000000000016</v>
      </c>
      <c r="C2464" s="19">
        <v>5</v>
      </c>
      <c r="D2464" s="19">
        <v>29.371999999999993</v>
      </c>
    </row>
    <row r="2465" spans="1:4" x14ac:dyDescent="0.2">
      <c r="A2465" s="19" t="s">
        <v>164</v>
      </c>
      <c r="B2465" s="19">
        <v>14.624000000000002</v>
      </c>
      <c r="C2465" s="19">
        <v>2</v>
      </c>
      <c r="D2465" s="19">
        <v>5.1183999999999994</v>
      </c>
    </row>
    <row r="2466" spans="1:4" x14ac:dyDescent="0.2">
      <c r="A2466" s="19" t="s">
        <v>164</v>
      </c>
      <c r="B2466" s="19">
        <v>136.99</v>
      </c>
      <c r="C2466" s="19">
        <v>1</v>
      </c>
      <c r="D2466" s="19">
        <v>36.987300000000005</v>
      </c>
    </row>
    <row r="2467" spans="1:4" x14ac:dyDescent="0.2">
      <c r="A2467" s="19" t="s">
        <v>164</v>
      </c>
      <c r="B2467" s="19">
        <v>3.15</v>
      </c>
      <c r="C2467" s="19">
        <v>1</v>
      </c>
      <c r="D2467" s="19">
        <v>1.512</v>
      </c>
    </row>
    <row r="2468" spans="1:4" x14ac:dyDescent="0.2">
      <c r="A2468" s="19" t="s">
        <v>166</v>
      </c>
      <c r="B2468" s="19">
        <v>9.11</v>
      </c>
      <c r="C2468" s="19">
        <v>1</v>
      </c>
      <c r="D2468" s="19">
        <v>4.099499999999999</v>
      </c>
    </row>
    <row r="2469" spans="1:4" x14ac:dyDescent="0.2">
      <c r="A2469" s="19" t="s">
        <v>166</v>
      </c>
      <c r="B2469" s="19">
        <v>571.44000000000005</v>
      </c>
      <c r="C2469" s="19">
        <v>4</v>
      </c>
      <c r="D2469" s="19">
        <v>165.71759999999995</v>
      </c>
    </row>
    <row r="2470" spans="1:4" x14ac:dyDescent="0.2">
      <c r="A2470" s="19" t="s">
        <v>166</v>
      </c>
      <c r="B2470" s="19">
        <v>32.400000000000006</v>
      </c>
      <c r="C2470" s="19">
        <v>5</v>
      </c>
      <c r="D2470" s="19">
        <v>15.552000000000001</v>
      </c>
    </row>
    <row r="2471" spans="1:4" x14ac:dyDescent="0.2">
      <c r="A2471" s="19" t="s">
        <v>166</v>
      </c>
      <c r="B2471" s="19">
        <v>16.91</v>
      </c>
      <c r="C2471" s="19">
        <v>1</v>
      </c>
      <c r="D2471" s="19">
        <v>4.5656999999999996</v>
      </c>
    </row>
    <row r="2472" spans="1:4" x14ac:dyDescent="0.2">
      <c r="A2472" s="19" t="s">
        <v>152</v>
      </c>
      <c r="B2472" s="19">
        <v>14.272</v>
      </c>
      <c r="C2472" s="19">
        <v>8</v>
      </c>
      <c r="D2472" s="19">
        <v>4.281600000000001</v>
      </c>
    </row>
    <row r="2473" spans="1:4" x14ac:dyDescent="0.2">
      <c r="A2473" s="19" t="s">
        <v>152</v>
      </c>
      <c r="B2473" s="19">
        <v>451.13599999999997</v>
      </c>
      <c r="C2473" s="19">
        <v>4</v>
      </c>
      <c r="D2473" s="19">
        <v>-67.670399999999972</v>
      </c>
    </row>
    <row r="2474" spans="1:4" x14ac:dyDescent="0.2">
      <c r="A2474" s="19" t="s">
        <v>152</v>
      </c>
      <c r="B2474" s="19">
        <v>64.864000000000004</v>
      </c>
      <c r="C2474" s="19">
        <v>4</v>
      </c>
      <c r="D2474" s="19">
        <v>6.4864000000000033</v>
      </c>
    </row>
    <row r="2475" spans="1:4" x14ac:dyDescent="0.2">
      <c r="A2475" s="19" t="s">
        <v>150</v>
      </c>
      <c r="B2475" s="19">
        <v>217.58400000000003</v>
      </c>
      <c r="C2475" s="19">
        <v>2</v>
      </c>
      <c r="D2475" s="19">
        <v>-29.917800000000021</v>
      </c>
    </row>
    <row r="2476" spans="1:4" x14ac:dyDescent="0.2">
      <c r="A2476" s="19" t="s">
        <v>150</v>
      </c>
      <c r="B2476" s="19">
        <v>82.95</v>
      </c>
      <c r="C2476" s="19">
        <v>5</v>
      </c>
      <c r="D2476" s="19">
        <v>29.032499999999999</v>
      </c>
    </row>
    <row r="2477" spans="1:4" x14ac:dyDescent="0.2">
      <c r="A2477" s="19" t="s">
        <v>150</v>
      </c>
      <c r="B2477" s="19">
        <v>87.71</v>
      </c>
      <c r="C2477" s="19">
        <v>7</v>
      </c>
      <c r="D2477" s="19">
        <v>41.223699999999994</v>
      </c>
    </row>
    <row r="2478" spans="1:4" x14ac:dyDescent="0.2">
      <c r="A2478" s="19" t="s">
        <v>150</v>
      </c>
      <c r="B2478" s="19">
        <v>1101.48</v>
      </c>
      <c r="C2478" s="19">
        <v>4</v>
      </c>
      <c r="D2478" s="19">
        <v>429.57720000000006</v>
      </c>
    </row>
    <row r="2479" spans="1:4" x14ac:dyDescent="0.2">
      <c r="A2479" s="19" t="s">
        <v>150</v>
      </c>
      <c r="B2479" s="19">
        <v>1322.3520000000001</v>
      </c>
      <c r="C2479" s="19">
        <v>3</v>
      </c>
      <c r="D2479" s="19">
        <v>-99.176400000000001</v>
      </c>
    </row>
    <row r="2480" spans="1:4" x14ac:dyDescent="0.2">
      <c r="A2480" s="19" t="s">
        <v>164</v>
      </c>
      <c r="B2480" s="19">
        <v>5.46</v>
      </c>
      <c r="C2480" s="19">
        <v>3</v>
      </c>
      <c r="D2480" s="19">
        <v>1.4742000000000002</v>
      </c>
    </row>
    <row r="2481" spans="1:4" x14ac:dyDescent="0.2">
      <c r="A2481" s="19" t="s">
        <v>154</v>
      </c>
      <c r="B2481" s="19">
        <v>11.184000000000001</v>
      </c>
      <c r="C2481" s="19">
        <v>1</v>
      </c>
      <c r="D2481" s="19">
        <v>0.83879999999999999</v>
      </c>
    </row>
    <row r="2482" spans="1:4" x14ac:dyDescent="0.2">
      <c r="A2482" s="19" t="s">
        <v>154</v>
      </c>
      <c r="B2482" s="19">
        <v>153.584</v>
      </c>
      <c r="C2482" s="19">
        <v>2</v>
      </c>
      <c r="D2482" s="19">
        <v>-32.636600000000001</v>
      </c>
    </row>
    <row r="2483" spans="1:4" x14ac:dyDescent="0.2">
      <c r="A2483" s="19" t="s">
        <v>153</v>
      </c>
      <c r="B2483" s="19">
        <v>1003.6200000000001</v>
      </c>
      <c r="C2483" s="19">
        <v>6</v>
      </c>
      <c r="D2483" s="19">
        <v>0</v>
      </c>
    </row>
    <row r="2484" spans="1:4" x14ac:dyDescent="0.2">
      <c r="A2484" s="19" t="s">
        <v>153</v>
      </c>
      <c r="B2484" s="19">
        <v>35.167999999999999</v>
      </c>
      <c r="C2484" s="19">
        <v>4</v>
      </c>
      <c r="D2484" s="19">
        <v>11.429599999999999</v>
      </c>
    </row>
    <row r="2485" spans="1:4" x14ac:dyDescent="0.2">
      <c r="A2485" s="19" t="s">
        <v>153</v>
      </c>
      <c r="B2485" s="19">
        <v>1137.75</v>
      </c>
      <c r="C2485" s="19">
        <v>5</v>
      </c>
      <c r="D2485" s="19">
        <v>250.30500000000004</v>
      </c>
    </row>
    <row r="2486" spans="1:4" x14ac:dyDescent="0.2">
      <c r="A2486" s="19" t="s">
        <v>153</v>
      </c>
      <c r="B2486" s="19">
        <v>99.680000000000021</v>
      </c>
      <c r="C2486" s="19">
        <v>5</v>
      </c>
      <c r="D2486" s="19">
        <v>32.396000000000001</v>
      </c>
    </row>
    <row r="2487" spans="1:4" x14ac:dyDescent="0.2">
      <c r="A2487" s="19" t="s">
        <v>153</v>
      </c>
      <c r="B2487" s="19">
        <v>5.56</v>
      </c>
      <c r="C2487" s="19">
        <v>2</v>
      </c>
      <c r="D2487" s="19">
        <v>1.4455999999999998</v>
      </c>
    </row>
    <row r="2488" spans="1:4" x14ac:dyDescent="0.2">
      <c r="A2488" s="19" t="s">
        <v>162</v>
      </c>
      <c r="B2488" s="19">
        <v>85.52</v>
      </c>
      <c r="C2488" s="19">
        <v>2</v>
      </c>
      <c r="D2488" s="19">
        <v>22.235199999999999</v>
      </c>
    </row>
    <row r="2489" spans="1:4" x14ac:dyDescent="0.2">
      <c r="A2489" s="19" t="s">
        <v>162</v>
      </c>
      <c r="B2489" s="19">
        <v>9.84</v>
      </c>
      <c r="C2489" s="19">
        <v>3</v>
      </c>
      <c r="D2489" s="19">
        <v>2.6568000000000005</v>
      </c>
    </row>
    <row r="2490" spans="1:4" x14ac:dyDescent="0.2">
      <c r="A2490" s="19" t="s">
        <v>162</v>
      </c>
      <c r="B2490" s="19">
        <v>20.04</v>
      </c>
      <c r="C2490" s="19">
        <v>3</v>
      </c>
      <c r="D2490" s="19">
        <v>9.6191999999999993</v>
      </c>
    </row>
    <row r="2491" spans="1:4" x14ac:dyDescent="0.2">
      <c r="A2491" s="19" t="s">
        <v>164</v>
      </c>
      <c r="B2491" s="19">
        <v>631.96</v>
      </c>
      <c r="C2491" s="19">
        <v>4</v>
      </c>
      <c r="D2491" s="19">
        <v>303.3408</v>
      </c>
    </row>
    <row r="2492" spans="1:4" x14ac:dyDescent="0.2">
      <c r="A2492" s="19" t="s">
        <v>164</v>
      </c>
      <c r="B2492" s="19">
        <v>23.92</v>
      </c>
      <c r="C2492" s="19">
        <v>4</v>
      </c>
      <c r="D2492" s="19">
        <v>10.763999999999999</v>
      </c>
    </row>
    <row r="2493" spans="1:4" x14ac:dyDescent="0.2">
      <c r="A2493" s="19" t="s">
        <v>150</v>
      </c>
      <c r="B2493" s="19">
        <v>90.24</v>
      </c>
      <c r="C2493" s="19">
        <v>6</v>
      </c>
      <c r="D2493" s="19">
        <v>41.51039999999999</v>
      </c>
    </row>
    <row r="2494" spans="1:4" x14ac:dyDescent="0.2">
      <c r="A2494" s="19" t="s">
        <v>164</v>
      </c>
      <c r="B2494" s="19">
        <v>4548.8100000000004</v>
      </c>
      <c r="C2494" s="19">
        <v>7</v>
      </c>
      <c r="D2494" s="19">
        <v>1228.1787000000004</v>
      </c>
    </row>
    <row r="2495" spans="1:4" x14ac:dyDescent="0.2">
      <c r="A2495" s="19" t="s">
        <v>154</v>
      </c>
      <c r="B2495" s="19">
        <v>300.93</v>
      </c>
      <c r="C2495" s="19">
        <v>5</v>
      </c>
      <c r="D2495" s="19">
        <v>-34.39200000000001</v>
      </c>
    </row>
    <row r="2496" spans="1:4" x14ac:dyDescent="0.2">
      <c r="A2496" s="19" t="s">
        <v>154</v>
      </c>
      <c r="B2496" s="19">
        <v>719.96</v>
      </c>
      <c r="C2496" s="19">
        <v>5</v>
      </c>
      <c r="D2496" s="19">
        <v>53.997000000000043</v>
      </c>
    </row>
    <row r="2497" spans="1:4" x14ac:dyDescent="0.2">
      <c r="A2497" s="19" t="s">
        <v>163</v>
      </c>
      <c r="B2497" s="19">
        <v>647.84</v>
      </c>
      <c r="C2497" s="19">
        <v>8</v>
      </c>
      <c r="D2497" s="19">
        <v>32.391999999999939</v>
      </c>
    </row>
    <row r="2498" spans="1:4" x14ac:dyDescent="0.2">
      <c r="A2498" s="19" t="s">
        <v>150</v>
      </c>
      <c r="B2498" s="19">
        <v>64.17</v>
      </c>
      <c r="C2498" s="19">
        <v>3</v>
      </c>
      <c r="D2498" s="19">
        <v>18.609299999999998</v>
      </c>
    </row>
    <row r="2499" spans="1:4" x14ac:dyDescent="0.2">
      <c r="A2499" s="19" t="s">
        <v>150</v>
      </c>
      <c r="B2499" s="19">
        <v>124.46</v>
      </c>
      <c r="C2499" s="19">
        <v>2</v>
      </c>
      <c r="D2499" s="19">
        <v>58.496199999999988</v>
      </c>
    </row>
    <row r="2500" spans="1:4" x14ac:dyDescent="0.2">
      <c r="A2500" s="19" t="s">
        <v>150</v>
      </c>
      <c r="B2500" s="19">
        <v>9.5840000000000014</v>
      </c>
      <c r="C2500" s="19">
        <v>1</v>
      </c>
      <c r="D2500" s="19">
        <v>3.3543999999999996</v>
      </c>
    </row>
    <row r="2501" spans="1:4" x14ac:dyDescent="0.2">
      <c r="A2501" s="19" t="s">
        <v>151</v>
      </c>
      <c r="B2501" s="19">
        <v>37.608000000000004</v>
      </c>
      <c r="C2501" s="19">
        <v>3</v>
      </c>
      <c r="D2501" s="19">
        <v>12.692699999999995</v>
      </c>
    </row>
    <row r="2502" spans="1:4" x14ac:dyDescent="0.2">
      <c r="A2502" s="19" t="s">
        <v>159</v>
      </c>
      <c r="B2502" s="19">
        <v>12.224</v>
      </c>
      <c r="C2502" s="19">
        <v>2</v>
      </c>
      <c r="D2502" s="19">
        <v>4.4311999999999996</v>
      </c>
    </row>
    <row r="2503" spans="1:4" x14ac:dyDescent="0.2">
      <c r="A2503" s="19" t="s">
        <v>159</v>
      </c>
      <c r="B2503" s="19">
        <v>2.3039999999999994</v>
      </c>
      <c r="C2503" s="19">
        <v>4</v>
      </c>
      <c r="D2503" s="19">
        <v>-3.5711999999999993</v>
      </c>
    </row>
    <row r="2504" spans="1:4" x14ac:dyDescent="0.2">
      <c r="A2504" s="19" t="s">
        <v>159</v>
      </c>
      <c r="B2504" s="19">
        <v>9.3599999999999977</v>
      </c>
      <c r="C2504" s="19">
        <v>4</v>
      </c>
      <c r="D2504" s="19">
        <v>-16.380000000000003</v>
      </c>
    </row>
    <row r="2505" spans="1:4" x14ac:dyDescent="0.2">
      <c r="A2505" s="19" t="s">
        <v>150</v>
      </c>
      <c r="B2505" s="19">
        <v>7.38</v>
      </c>
      <c r="C2505" s="19">
        <v>2</v>
      </c>
      <c r="D2505" s="19">
        <v>3.4685999999999999</v>
      </c>
    </row>
    <row r="2506" spans="1:4" x14ac:dyDescent="0.2">
      <c r="A2506" s="19" t="s">
        <v>150</v>
      </c>
      <c r="B2506" s="19">
        <v>53.72</v>
      </c>
      <c r="C2506" s="19">
        <v>4</v>
      </c>
      <c r="D2506" s="19">
        <v>15.041600000000003</v>
      </c>
    </row>
    <row r="2507" spans="1:4" x14ac:dyDescent="0.2">
      <c r="A2507" s="19" t="s">
        <v>150</v>
      </c>
      <c r="B2507" s="19">
        <v>8187.65</v>
      </c>
      <c r="C2507" s="19">
        <v>5</v>
      </c>
      <c r="D2507" s="19">
        <v>327.50599999999963</v>
      </c>
    </row>
    <row r="2508" spans="1:4" x14ac:dyDescent="0.2">
      <c r="A2508" s="19" t="s">
        <v>150</v>
      </c>
      <c r="B2508" s="19">
        <v>77.92</v>
      </c>
      <c r="C2508" s="19">
        <v>8</v>
      </c>
      <c r="D2508" s="19">
        <v>34.284800000000004</v>
      </c>
    </row>
    <row r="2509" spans="1:4" x14ac:dyDescent="0.2">
      <c r="A2509" s="19" t="s">
        <v>154</v>
      </c>
      <c r="B2509" s="19">
        <v>32.783999999999992</v>
      </c>
      <c r="C2509" s="19">
        <v>4</v>
      </c>
      <c r="D2509" s="19">
        <v>-85.238399999999999</v>
      </c>
    </row>
    <row r="2510" spans="1:4" x14ac:dyDescent="0.2">
      <c r="A2510" s="19" t="s">
        <v>150</v>
      </c>
      <c r="B2510" s="19">
        <v>196.77600000000001</v>
      </c>
      <c r="C2510" s="19">
        <v>3</v>
      </c>
      <c r="D2510" s="19">
        <v>14.758199999999995</v>
      </c>
    </row>
    <row r="2511" spans="1:4" x14ac:dyDescent="0.2">
      <c r="A2511" s="19" t="s">
        <v>150</v>
      </c>
      <c r="B2511" s="19">
        <v>479.93999999999994</v>
      </c>
      <c r="C2511" s="19">
        <v>6</v>
      </c>
      <c r="D2511" s="19">
        <v>52.79340000000002</v>
      </c>
    </row>
    <row r="2512" spans="1:4" x14ac:dyDescent="0.2">
      <c r="A2512" s="19" t="s">
        <v>175</v>
      </c>
      <c r="B2512" s="19">
        <v>1117.92</v>
      </c>
      <c r="C2512" s="19">
        <v>4</v>
      </c>
      <c r="D2512" s="19">
        <v>55.895999999999958</v>
      </c>
    </row>
    <row r="2513" spans="1:4" x14ac:dyDescent="0.2">
      <c r="A2513" s="19" t="s">
        <v>177</v>
      </c>
      <c r="B2513" s="19">
        <v>106.5</v>
      </c>
      <c r="C2513" s="19">
        <v>6</v>
      </c>
      <c r="D2513" s="19">
        <v>41.534999999999997</v>
      </c>
    </row>
    <row r="2514" spans="1:4" x14ac:dyDescent="0.2">
      <c r="A2514" s="19" t="s">
        <v>151</v>
      </c>
      <c r="B2514" s="19">
        <v>45.660000000000011</v>
      </c>
      <c r="C2514" s="19">
        <v>5</v>
      </c>
      <c r="D2514" s="19">
        <v>-33.483999999999995</v>
      </c>
    </row>
    <row r="2515" spans="1:4" x14ac:dyDescent="0.2">
      <c r="A2515" s="19" t="s">
        <v>159</v>
      </c>
      <c r="B2515" s="19">
        <v>95.968000000000004</v>
      </c>
      <c r="C2515" s="19">
        <v>4</v>
      </c>
      <c r="D2515" s="19">
        <v>1.1995999999999931</v>
      </c>
    </row>
    <row r="2516" spans="1:4" x14ac:dyDescent="0.2">
      <c r="A2516" s="19" t="s">
        <v>159</v>
      </c>
      <c r="B2516" s="19">
        <v>47.991999999999997</v>
      </c>
      <c r="C2516" s="19">
        <v>2</v>
      </c>
      <c r="D2516" s="19">
        <v>-2.0567999999999991</v>
      </c>
    </row>
    <row r="2517" spans="1:4" x14ac:dyDescent="0.2">
      <c r="A2517" s="19" t="s">
        <v>173</v>
      </c>
      <c r="B2517" s="19">
        <v>264.32</v>
      </c>
      <c r="C2517" s="19">
        <v>2</v>
      </c>
      <c r="D2517" s="19">
        <v>19.823999999999998</v>
      </c>
    </row>
    <row r="2518" spans="1:4" x14ac:dyDescent="0.2">
      <c r="A2518" s="19" t="s">
        <v>154</v>
      </c>
      <c r="B2518" s="19">
        <v>604.65600000000006</v>
      </c>
      <c r="C2518" s="19">
        <v>9</v>
      </c>
      <c r="D2518" s="19">
        <v>204.07139999999995</v>
      </c>
    </row>
    <row r="2519" spans="1:4" x14ac:dyDescent="0.2">
      <c r="A2519" s="19" t="s">
        <v>179</v>
      </c>
      <c r="B2519" s="19">
        <v>129.93</v>
      </c>
      <c r="C2519" s="19">
        <v>3</v>
      </c>
      <c r="D2519" s="19">
        <v>12.992999999999988</v>
      </c>
    </row>
    <row r="2520" spans="1:4" x14ac:dyDescent="0.2">
      <c r="A2520" s="19" t="s">
        <v>175</v>
      </c>
      <c r="B2520" s="19">
        <v>20.16</v>
      </c>
      <c r="C2520" s="19">
        <v>7</v>
      </c>
      <c r="D2520" s="19">
        <v>9.8783999999999992</v>
      </c>
    </row>
    <row r="2521" spans="1:4" x14ac:dyDescent="0.2">
      <c r="A2521" s="19" t="s">
        <v>175</v>
      </c>
      <c r="B2521" s="19">
        <v>29.46</v>
      </c>
      <c r="C2521" s="19">
        <v>6</v>
      </c>
      <c r="D2521" s="19">
        <v>14.4354</v>
      </c>
    </row>
    <row r="2522" spans="1:4" x14ac:dyDescent="0.2">
      <c r="A2522" s="19" t="s">
        <v>175</v>
      </c>
      <c r="B2522" s="19">
        <v>868.58999999999992</v>
      </c>
      <c r="C2522" s="19">
        <v>3</v>
      </c>
      <c r="D2522" s="19">
        <v>251.89109999999988</v>
      </c>
    </row>
    <row r="2523" spans="1:4" x14ac:dyDescent="0.2">
      <c r="A2523" s="19" t="s">
        <v>175</v>
      </c>
      <c r="B2523" s="19">
        <v>12.96</v>
      </c>
      <c r="C2523" s="19">
        <v>2</v>
      </c>
      <c r="D2523" s="19">
        <v>6.2208000000000006</v>
      </c>
    </row>
    <row r="2524" spans="1:4" x14ac:dyDescent="0.2">
      <c r="A2524" s="19" t="s">
        <v>175</v>
      </c>
      <c r="B2524" s="19">
        <v>5.5</v>
      </c>
      <c r="C2524" s="19">
        <v>1</v>
      </c>
      <c r="D2524" s="19">
        <v>1.375</v>
      </c>
    </row>
    <row r="2525" spans="1:4" x14ac:dyDescent="0.2">
      <c r="A2525" s="19" t="s">
        <v>175</v>
      </c>
      <c r="B2525" s="19">
        <v>121.6</v>
      </c>
      <c r="C2525" s="19">
        <v>4</v>
      </c>
      <c r="D2525" s="19">
        <v>55.935999999999993</v>
      </c>
    </row>
    <row r="2526" spans="1:4" x14ac:dyDescent="0.2">
      <c r="A2526" s="19" t="s">
        <v>154</v>
      </c>
      <c r="B2526" s="19">
        <v>42.047999999999995</v>
      </c>
      <c r="C2526" s="19">
        <v>9</v>
      </c>
      <c r="D2526" s="19">
        <v>5.2559999999999985</v>
      </c>
    </row>
    <row r="2527" spans="1:4" x14ac:dyDescent="0.2">
      <c r="A2527" s="19" t="s">
        <v>154</v>
      </c>
      <c r="B2527" s="19">
        <v>25.488</v>
      </c>
      <c r="C2527" s="19">
        <v>2</v>
      </c>
      <c r="D2527" s="19">
        <v>4.4603999999999999</v>
      </c>
    </row>
    <row r="2528" spans="1:4" x14ac:dyDescent="0.2">
      <c r="A2528" s="19" t="s">
        <v>154</v>
      </c>
      <c r="B2528" s="19">
        <v>6.8999999999999986</v>
      </c>
      <c r="C2528" s="19">
        <v>3</v>
      </c>
      <c r="D2528" s="19">
        <v>-12.075000000000003</v>
      </c>
    </row>
    <row r="2529" spans="1:4" x14ac:dyDescent="0.2">
      <c r="A2529" s="19" t="s">
        <v>154</v>
      </c>
      <c r="B2529" s="19">
        <v>9.6479999999999961</v>
      </c>
      <c r="C2529" s="19">
        <v>6</v>
      </c>
      <c r="D2529" s="19">
        <v>-16.884</v>
      </c>
    </row>
    <row r="2530" spans="1:4" x14ac:dyDescent="0.2">
      <c r="A2530" s="19" t="s">
        <v>154</v>
      </c>
      <c r="B2530" s="19">
        <v>7.9680000000000009</v>
      </c>
      <c r="C2530" s="19">
        <v>2</v>
      </c>
      <c r="D2530" s="19">
        <v>2.8884000000000007</v>
      </c>
    </row>
    <row r="2531" spans="1:4" x14ac:dyDescent="0.2">
      <c r="A2531" s="19" t="s">
        <v>151</v>
      </c>
      <c r="B2531" s="19">
        <v>10.368000000000002</v>
      </c>
      <c r="C2531" s="19">
        <v>2</v>
      </c>
      <c r="D2531" s="19">
        <v>3.6288</v>
      </c>
    </row>
    <row r="2532" spans="1:4" x14ac:dyDescent="0.2">
      <c r="A2532" s="19" t="s">
        <v>184</v>
      </c>
      <c r="B2532" s="19">
        <v>114.2</v>
      </c>
      <c r="C2532" s="19">
        <v>5</v>
      </c>
      <c r="D2532" s="19">
        <v>52.531999999999996</v>
      </c>
    </row>
    <row r="2533" spans="1:4" x14ac:dyDescent="0.2">
      <c r="A2533" s="19" t="s">
        <v>184</v>
      </c>
      <c r="B2533" s="19">
        <v>17.96</v>
      </c>
      <c r="C2533" s="19">
        <v>4</v>
      </c>
      <c r="D2533" s="19">
        <v>8.2615999999999996</v>
      </c>
    </row>
    <row r="2534" spans="1:4" x14ac:dyDescent="0.2">
      <c r="A2534" s="19" t="s">
        <v>184</v>
      </c>
      <c r="B2534" s="19">
        <v>12.67</v>
      </c>
      <c r="C2534" s="19">
        <v>7</v>
      </c>
      <c r="D2534" s="19">
        <v>4.5611999999999995</v>
      </c>
    </row>
    <row r="2535" spans="1:4" x14ac:dyDescent="0.2">
      <c r="A2535" s="19" t="s">
        <v>184</v>
      </c>
      <c r="B2535" s="19">
        <v>339.96</v>
      </c>
      <c r="C2535" s="19">
        <v>4</v>
      </c>
      <c r="D2535" s="19">
        <v>122.38559999999998</v>
      </c>
    </row>
    <row r="2536" spans="1:4" x14ac:dyDescent="0.2">
      <c r="A2536" s="19" t="s">
        <v>158</v>
      </c>
      <c r="B2536" s="19">
        <v>1801.6320000000001</v>
      </c>
      <c r="C2536" s="19">
        <v>6</v>
      </c>
      <c r="D2536" s="19">
        <v>-337.80600000000004</v>
      </c>
    </row>
    <row r="2537" spans="1:4" x14ac:dyDescent="0.2">
      <c r="A2537" s="19" t="s">
        <v>150</v>
      </c>
      <c r="B2537" s="19">
        <v>46.32</v>
      </c>
      <c r="C2537" s="19">
        <v>4</v>
      </c>
      <c r="D2537" s="19">
        <v>18.064800000000002</v>
      </c>
    </row>
    <row r="2538" spans="1:4" x14ac:dyDescent="0.2">
      <c r="A2538" s="19" t="s">
        <v>173</v>
      </c>
      <c r="B2538" s="19">
        <v>181.98599999999999</v>
      </c>
      <c r="C2538" s="19">
        <v>2</v>
      </c>
      <c r="D2538" s="19">
        <v>-54.595799999999997</v>
      </c>
    </row>
    <row r="2539" spans="1:4" x14ac:dyDescent="0.2">
      <c r="A2539" s="19" t="s">
        <v>173</v>
      </c>
      <c r="B2539" s="19">
        <v>431.976</v>
      </c>
      <c r="C2539" s="19">
        <v>4</v>
      </c>
      <c r="D2539" s="19">
        <v>-100.7944</v>
      </c>
    </row>
    <row r="2540" spans="1:4" x14ac:dyDescent="0.2">
      <c r="A2540" s="19" t="s">
        <v>173</v>
      </c>
      <c r="B2540" s="19">
        <v>155.36999999999998</v>
      </c>
      <c r="C2540" s="19">
        <v>1</v>
      </c>
      <c r="D2540" s="19">
        <v>-36.253</v>
      </c>
    </row>
    <row r="2541" spans="1:4" x14ac:dyDescent="0.2">
      <c r="A2541" s="19" t="s">
        <v>150</v>
      </c>
      <c r="B2541" s="19">
        <v>1348.7040000000002</v>
      </c>
      <c r="C2541" s="19">
        <v>6</v>
      </c>
      <c r="D2541" s="19">
        <v>-219.16440000000023</v>
      </c>
    </row>
    <row r="2542" spans="1:4" x14ac:dyDescent="0.2">
      <c r="A2542" s="19" t="s">
        <v>150</v>
      </c>
      <c r="B2542" s="19">
        <v>700.15200000000004</v>
      </c>
      <c r="C2542" s="19">
        <v>3</v>
      </c>
      <c r="D2542" s="19">
        <v>78.767099999999971</v>
      </c>
    </row>
    <row r="2543" spans="1:4" x14ac:dyDescent="0.2">
      <c r="A2543" s="19" t="s">
        <v>165</v>
      </c>
      <c r="B2543" s="19">
        <v>111.88800000000001</v>
      </c>
      <c r="C2543" s="19">
        <v>7</v>
      </c>
      <c r="D2543" s="19">
        <v>22.377600000000001</v>
      </c>
    </row>
    <row r="2544" spans="1:4" x14ac:dyDescent="0.2">
      <c r="A2544" s="19" t="s">
        <v>158</v>
      </c>
      <c r="B2544" s="19">
        <v>143.952</v>
      </c>
      <c r="C2544" s="19">
        <v>3</v>
      </c>
      <c r="D2544" s="19">
        <v>14.39520000000001</v>
      </c>
    </row>
    <row r="2545" spans="1:4" x14ac:dyDescent="0.2">
      <c r="A2545" s="19" t="s">
        <v>180</v>
      </c>
      <c r="B2545" s="19">
        <v>173.94</v>
      </c>
      <c r="C2545" s="19">
        <v>3</v>
      </c>
      <c r="D2545" s="19">
        <v>13.915199999999992</v>
      </c>
    </row>
    <row r="2546" spans="1:4" x14ac:dyDescent="0.2">
      <c r="A2546" s="19" t="s">
        <v>180</v>
      </c>
      <c r="B2546" s="19">
        <v>14.76</v>
      </c>
      <c r="C2546" s="19">
        <v>4</v>
      </c>
      <c r="D2546" s="19">
        <v>6.9371999999999998</v>
      </c>
    </row>
    <row r="2547" spans="1:4" x14ac:dyDescent="0.2">
      <c r="A2547" s="19" t="s">
        <v>150</v>
      </c>
      <c r="B2547" s="19">
        <v>205.92</v>
      </c>
      <c r="C2547" s="19">
        <v>4</v>
      </c>
      <c r="D2547" s="19">
        <v>2.0592000000000041</v>
      </c>
    </row>
    <row r="2548" spans="1:4" x14ac:dyDescent="0.2">
      <c r="A2548" s="19" t="s">
        <v>150</v>
      </c>
      <c r="B2548" s="19">
        <v>102.833</v>
      </c>
      <c r="C2548" s="19">
        <v>1</v>
      </c>
      <c r="D2548" s="19">
        <v>-6.0489999999999995</v>
      </c>
    </row>
    <row r="2549" spans="1:4" x14ac:dyDescent="0.2">
      <c r="A2549" s="19" t="s">
        <v>165</v>
      </c>
      <c r="B2549" s="19">
        <v>2.3039999999999998</v>
      </c>
      <c r="C2549" s="19">
        <v>1</v>
      </c>
      <c r="D2549" s="19">
        <v>0.25919999999999999</v>
      </c>
    </row>
    <row r="2550" spans="1:4" x14ac:dyDescent="0.2">
      <c r="A2550" s="19" t="s">
        <v>165</v>
      </c>
      <c r="B2550" s="19">
        <v>1879.96</v>
      </c>
      <c r="C2550" s="19">
        <v>5</v>
      </c>
      <c r="D2550" s="19">
        <v>211.49549999999977</v>
      </c>
    </row>
    <row r="2551" spans="1:4" x14ac:dyDescent="0.2">
      <c r="A2551" s="19" t="s">
        <v>165</v>
      </c>
      <c r="B2551" s="19">
        <v>313.024</v>
      </c>
      <c r="C2551" s="19">
        <v>8</v>
      </c>
      <c r="D2551" s="19">
        <v>105.64559999999997</v>
      </c>
    </row>
    <row r="2552" spans="1:4" x14ac:dyDescent="0.2">
      <c r="A2552" s="19" t="s">
        <v>165</v>
      </c>
      <c r="B2552" s="19">
        <v>5.04</v>
      </c>
      <c r="C2552" s="19">
        <v>2</v>
      </c>
      <c r="D2552" s="19">
        <v>1.764</v>
      </c>
    </row>
    <row r="2553" spans="1:4" x14ac:dyDescent="0.2">
      <c r="A2553" s="19" t="s">
        <v>149</v>
      </c>
      <c r="B2553" s="19">
        <v>821.87999999999988</v>
      </c>
      <c r="C2553" s="19">
        <v>6</v>
      </c>
      <c r="D2553" s="19">
        <v>213.68880000000001</v>
      </c>
    </row>
    <row r="2554" spans="1:4" x14ac:dyDescent="0.2">
      <c r="A2554" s="19" t="s">
        <v>149</v>
      </c>
      <c r="B2554" s="19">
        <v>21.96</v>
      </c>
      <c r="C2554" s="19">
        <v>2</v>
      </c>
      <c r="D2554" s="19">
        <v>10.760400000000001</v>
      </c>
    </row>
    <row r="2555" spans="1:4" x14ac:dyDescent="0.2">
      <c r="A2555" s="19" t="s">
        <v>169</v>
      </c>
      <c r="B2555" s="19">
        <v>25.92</v>
      </c>
      <c r="C2555" s="19">
        <v>4</v>
      </c>
      <c r="D2555" s="19">
        <v>12.441600000000001</v>
      </c>
    </row>
    <row r="2556" spans="1:4" x14ac:dyDescent="0.2">
      <c r="A2556" s="19" t="s">
        <v>151</v>
      </c>
      <c r="B2556" s="19">
        <v>705.54399999999998</v>
      </c>
      <c r="C2556" s="19">
        <v>7</v>
      </c>
      <c r="D2556" s="19">
        <v>70.554400000000072</v>
      </c>
    </row>
    <row r="2557" spans="1:4" x14ac:dyDescent="0.2">
      <c r="A2557" s="19" t="s">
        <v>164</v>
      </c>
      <c r="B2557" s="19">
        <v>50</v>
      </c>
      <c r="C2557" s="19">
        <v>2</v>
      </c>
      <c r="D2557" s="19">
        <v>12</v>
      </c>
    </row>
    <row r="2558" spans="1:4" x14ac:dyDescent="0.2">
      <c r="A2558" s="19" t="s">
        <v>154</v>
      </c>
      <c r="B2558" s="19">
        <v>51.712000000000003</v>
      </c>
      <c r="C2558" s="19">
        <v>8</v>
      </c>
      <c r="D2558" s="19">
        <v>-32.320000000000007</v>
      </c>
    </row>
    <row r="2559" spans="1:4" x14ac:dyDescent="0.2">
      <c r="A2559" s="19" t="s">
        <v>151</v>
      </c>
      <c r="B2559" s="19">
        <v>6.9920000000000009</v>
      </c>
      <c r="C2559" s="19">
        <v>2</v>
      </c>
      <c r="D2559" s="19">
        <v>0.52439999999999998</v>
      </c>
    </row>
    <row r="2560" spans="1:4" x14ac:dyDescent="0.2">
      <c r="A2560" s="19" t="s">
        <v>156</v>
      </c>
      <c r="B2560" s="19">
        <v>1406.86</v>
      </c>
      <c r="C2560" s="19">
        <v>7</v>
      </c>
      <c r="D2560" s="19">
        <v>140.68599999999989</v>
      </c>
    </row>
    <row r="2561" spans="1:4" x14ac:dyDescent="0.2">
      <c r="A2561" s="19" t="s">
        <v>156</v>
      </c>
      <c r="B2561" s="19">
        <v>15.75</v>
      </c>
      <c r="C2561" s="19">
        <v>5</v>
      </c>
      <c r="D2561" s="19">
        <v>7.5600000000000005</v>
      </c>
    </row>
    <row r="2562" spans="1:4" x14ac:dyDescent="0.2">
      <c r="A2562" s="19" t="s">
        <v>156</v>
      </c>
      <c r="B2562" s="19">
        <v>323.10000000000002</v>
      </c>
      <c r="C2562" s="19">
        <v>2</v>
      </c>
      <c r="D2562" s="19">
        <v>61.38900000000001</v>
      </c>
    </row>
    <row r="2563" spans="1:4" x14ac:dyDescent="0.2">
      <c r="A2563" s="19" t="s">
        <v>167</v>
      </c>
      <c r="B2563" s="19">
        <v>9.2159999999999993</v>
      </c>
      <c r="C2563" s="19">
        <v>4</v>
      </c>
      <c r="D2563" s="19">
        <v>3.3408000000000002</v>
      </c>
    </row>
    <row r="2564" spans="1:4" x14ac:dyDescent="0.2">
      <c r="A2564" s="19" t="s">
        <v>167</v>
      </c>
      <c r="B2564" s="19">
        <v>10.368000000000002</v>
      </c>
      <c r="C2564" s="19">
        <v>2</v>
      </c>
      <c r="D2564" s="19">
        <v>3.6288</v>
      </c>
    </row>
    <row r="2565" spans="1:4" x14ac:dyDescent="0.2">
      <c r="A2565" s="19" t="s">
        <v>164</v>
      </c>
      <c r="B2565" s="19">
        <v>15.02</v>
      </c>
      <c r="C2565" s="19">
        <v>1</v>
      </c>
      <c r="D2565" s="19">
        <v>2.7035999999999998</v>
      </c>
    </row>
    <row r="2566" spans="1:4" x14ac:dyDescent="0.2">
      <c r="A2566" s="19" t="s">
        <v>164</v>
      </c>
      <c r="B2566" s="19">
        <v>33.82</v>
      </c>
      <c r="C2566" s="19">
        <v>2</v>
      </c>
      <c r="D2566" s="19">
        <v>9.1313999999999993</v>
      </c>
    </row>
    <row r="2567" spans="1:4" x14ac:dyDescent="0.2">
      <c r="A2567" s="19" t="s">
        <v>149</v>
      </c>
      <c r="B2567" s="19">
        <v>71</v>
      </c>
      <c r="C2567" s="19">
        <v>4</v>
      </c>
      <c r="D2567" s="19">
        <v>27.689999999999998</v>
      </c>
    </row>
    <row r="2568" spans="1:4" x14ac:dyDescent="0.2">
      <c r="A2568" s="19" t="s">
        <v>153</v>
      </c>
      <c r="B2568" s="19">
        <v>25.120000000000005</v>
      </c>
      <c r="C2568" s="19">
        <v>5</v>
      </c>
      <c r="D2568" s="19">
        <v>7.8499999999999979</v>
      </c>
    </row>
    <row r="2569" spans="1:4" x14ac:dyDescent="0.2">
      <c r="A2569" s="19" t="s">
        <v>153</v>
      </c>
      <c r="B2569" s="19">
        <v>2665.62</v>
      </c>
      <c r="C2569" s="19">
        <v>9</v>
      </c>
      <c r="D2569" s="19">
        <v>239.90580000000011</v>
      </c>
    </row>
    <row r="2570" spans="1:4" x14ac:dyDescent="0.2">
      <c r="A2570" s="19" t="s">
        <v>164</v>
      </c>
      <c r="B2570" s="19">
        <v>478.08</v>
      </c>
      <c r="C2570" s="19">
        <v>8</v>
      </c>
      <c r="D2570" s="19">
        <v>133.86240000000004</v>
      </c>
    </row>
    <row r="2571" spans="1:4" x14ac:dyDescent="0.2">
      <c r="A2571" s="19" t="s">
        <v>173</v>
      </c>
      <c r="B2571" s="19">
        <v>164.38800000000001</v>
      </c>
      <c r="C2571" s="19">
        <v>2</v>
      </c>
      <c r="D2571" s="19">
        <v>-35.617400000000004</v>
      </c>
    </row>
    <row r="2572" spans="1:4" x14ac:dyDescent="0.2">
      <c r="A2572" s="19" t="s">
        <v>173</v>
      </c>
      <c r="B2572" s="19">
        <v>13.247999999999999</v>
      </c>
      <c r="C2572" s="19">
        <v>4</v>
      </c>
      <c r="D2572" s="19">
        <v>3.6431999999999998</v>
      </c>
    </row>
    <row r="2573" spans="1:4" x14ac:dyDescent="0.2">
      <c r="A2573" s="19" t="s">
        <v>159</v>
      </c>
      <c r="B2573" s="19">
        <v>2.9120000000000004</v>
      </c>
      <c r="C2573" s="19">
        <v>2</v>
      </c>
      <c r="D2573" s="19">
        <v>0.90999999999999981</v>
      </c>
    </row>
    <row r="2574" spans="1:4" x14ac:dyDescent="0.2">
      <c r="A2574" s="19" t="s">
        <v>154</v>
      </c>
      <c r="B2574" s="19">
        <v>1399.9440000000002</v>
      </c>
      <c r="C2574" s="19">
        <v>7</v>
      </c>
      <c r="D2574" s="19">
        <v>52.497900000000016</v>
      </c>
    </row>
    <row r="2575" spans="1:4" x14ac:dyDescent="0.2">
      <c r="A2575" s="19" t="s">
        <v>163</v>
      </c>
      <c r="B2575" s="19">
        <v>526.45000000000005</v>
      </c>
      <c r="C2575" s="19">
        <v>5</v>
      </c>
      <c r="D2575" s="19">
        <v>31.586999999999961</v>
      </c>
    </row>
    <row r="2576" spans="1:4" x14ac:dyDescent="0.2">
      <c r="A2576" s="19" t="s">
        <v>101</v>
      </c>
      <c r="B2576" s="19">
        <v>16.23</v>
      </c>
      <c r="C2576" s="19">
        <v>3</v>
      </c>
      <c r="D2576" s="19">
        <v>7.9527000000000001</v>
      </c>
    </row>
    <row r="2577" spans="1:4" x14ac:dyDescent="0.2">
      <c r="A2577" s="19" t="s">
        <v>101</v>
      </c>
      <c r="B2577" s="19">
        <v>319.89999999999998</v>
      </c>
      <c r="C2577" s="19">
        <v>5</v>
      </c>
      <c r="D2577" s="19">
        <v>156.751</v>
      </c>
    </row>
    <row r="2578" spans="1:4" x14ac:dyDescent="0.2">
      <c r="A2578" s="19" t="s">
        <v>101</v>
      </c>
      <c r="B2578" s="19">
        <v>11.36</v>
      </c>
      <c r="C2578" s="19">
        <v>2</v>
      </c>
      <c r="D2578" s="19">
        <v>5.3391999999999991</v>
      </c>
    </row>
    <row r="2579" spans="1:4" x14ac:dyDescent="0.2">
      <c r="A2579" s="19" t="s">
        <v>101</v>
      </c>
      <c r="B2579" s="19">
        <v>675.12</v>
      </c>
      <c r="C2579" s="19">
        <v>3</v>
      </c>
      <c r="D2579" s="19">
        <v>290.30160000000001</v>
      </c>
    </row>
    <row r="2580" spans="1:4" x14ac:dyDescent="0.2">
      <c r="A2580" s="19" t="s">
        <v>166</v>
      </c>
      <c r="B2580" s="19">
        <v>62.820000000000007</v>
      </c>
      <c r="C2580" s="19">
        <v>3</v>
      </c>
      <c r="D2580" s="19">
        <v>30.7818</v>
      </c>
    </row>
    <row r="2581" spans="1:4" x14ac:dyDescent="0.2">
      <c r="A2581" s="19" t="s">
        <v>166</v>
      </c>
      <c r="B2581" s="19">
        <v>489.92</v>
      </c>
      <c r="C2581" s="19">
        <v>8</v>
      </c>
      <c r="D2581" s="19">
        <v>0</v>
      </c>
    </row>
    <row r="2582" spans="1:4" x14ac:dyDescent="0.2">
      <c r="A2582" s="19" t="s">
        <v>166</v>
      </c>
      <c r="B2582" s="19">
        <v>19.440000000000001</v>
      </c>
      <c r="C2582" s="19">
        <v>3</v>
      </c>
      <c r="D2582" s="19">
        <v>9.3312000000000008</v>
      </c>
    </row>
    <row r="2583" spans="1:4" x14ac:dyDescent="0.2">
      <c r="A2583" s="19" t="s">
        <v>166</v>
      </c>
      <c r="B2583" s="19">
        <v>16.68</v>
      </c>
      <c r="C2583" s="19">
        <v>2</v>
      </c>
      <c r="D2583" s="19">
        <v>8.34</v>
      </c>
    </row>
    <row r="2584" spans="1:4" x14ac:dyDescent="0.2">
      <c r="A2584" s="19" t="s">
        <v>166</v>
      </c>
      <c r="B2584" s="19">
        <v>155.35</v>
      </c>
      <c r="C2584" s="19">
        <v>13</v>
      </c>
      <c r="D2584" s="19">
        <v>0</v>
      </c>
    </row>
    <row r="2585" spans="1:4" x14ac:dyDescent="0.2">
      <c r="A2585" s="19" t="s">
        <v>166</v>
      </c>
      <c r="B2585" s="19">
        <v>12.419999999999998</v>
      </c>
      <c r="C2585" s="19">
        <v>3</v>
      </c>
      <c r="D2585" s="19">
        <v>4.4711999999999996</v>
      </c>
    </row>
    <row r="2586" spans="1:4" x14ac:dyDescent="0.2">
      <c r="A2586" s="19" t="s">
        <v>166</v>
      </c>
      <c r="B2586" s="19">
        <v>187.98</v>
      </c>
      <c r="C2586" s="19">
        <v>2</v>
      </c>
      <c r="D2586" s="19">
        <v>52.634399999999999</v>
      </c>
    </row>
    <row r="2587" spans="1:4" x14ac:dyDescent="0.2">
      <c r="A2587" s="19" t="s">
        <v>154</v>
      </c>
      <c r="B2587" s="19">
        <v>6.6080000000000005</v>
      </c>
      <c r="C2587" s="19">
        <v>2</v>
      </c>
      <c r="D2587" s="19">
        <v>2.1475999999999997</v>
      </c>
    </row>
    <row r="2588" spans="1:4" x14ac:dyDescent="0.2">
      <c r="A2588" s="19" t="s">
        <v>164</v>
      </c>
      <c r="B2588" s="19">
        <v>248.57</v>
      </c>
      <c r="C2588" s="19">
        <v>7</v>
      </c>
      <c r="D2588" s="19">
        <v>67.113900000000015</v>
      </c>
    </row>
    <row r="2589" spans="1:4" x14ac:dyDescent="0.2">
      <c r="A2589" s="19" t="s">
        <v>164</v>
      </c>
      <c r="B2589" s="19">
        <v>22.23</v>
      </c>
      <c r="C2589" s="19">
        <v>1</v>
      </c>
      <c r="D2589" s="19">
        <v>9.7812000000000019</v>
      </c>
    </row>
    <row r="2590" spans="1:4" x14ac:dyDescent="0.2">
      <c r="A2590" s="19" t="s">
        <v>150</v>
      </c>
      <c r="B2590" s="19">
        <v>5.98</v>
      </c>
      <c r="C2590" s="19">
        <v>1</v>
      </c>
      <c r="D2590" s="19">
        <v>1.0165999999999995</v>
      </c>
    </row>
    <row r="2591" spans="1:4" x14ac:dyDescent="0.2">
      <c r="A2591" s="19" t="s">
        <v>150</v>
      </c>
      <c r="B2591" s="19">
        <v>246.16800000000001</v>
      </c>
      <c r="C2591" s="19">
        <v>3</v>
      </c>
      <c r="D2591" s="19">
        <v>21.539699999999996</v>
      </c>
    </row>
    <row r="2592" spans="1:4" x14ac:dyDescent="0.2">
      <c r="A2592" s="19" t="s">
        <v>159</v>
      </c>
      <c r="B2592" s="19">
        <v>14.136000000000003</v>
      </c>
      <c r="C2592" s="19">
        <v>2</v>
      </c>
      <c r="D2592" s="19">
        <v>-7.774799999999999</v>
      </c>
    </row>
    <row r="2593" spans="1:4" x14ac:dyDescent="0.2">
      <c r="A2593" s="19" t="s">
        <v>159</v>
      </c>
      <c r="B2593" s="19">
        <v>601.47</v>
      </c>
      <c r="C2593" s="19">
        <v>3</v>
      </c>
      <c r="D2593" s="19">
        <v>-300.73500000000001</v>
      </c>
    </row>
    <row r="2594" spans="1:4" x14ac:dyDescent="0.2">
      <c r="A2594" s="19" t="s">
        <v>169</v>
      </c>
      <c r="B2594" s="19">
        <v>79.099999999999994</v>
      </c>
      <c r="C2594" s="19">
        <v>2</v>
      </c>
      <c r="D2594" s="19">
        <v>39.549999999999997</v>
      </c>
    </row>
    <row r="2595" spans="1:4" x14ac:dyDescent="0.2">
      <c r="A2595" s="19" t="s">
        <v>169</v>
      </c>
      <c r="B2595" s="19">
        <v>327.84</v>
      </c>
      <c r="C2595" s="19">
        <v>8</v>
      </c>
      <c r="D2595" s="19">
        <v>157.36319999999998</v>
      </c>
    </row>
    <row r="2596" spans="1:4" x14ac:dyDescent="0.2">
      <c r="A2596" s="19" t="s">
        <v>163</v>
      </c>
      <c r="B2596" s="19">
        <v>180.96</v>
      </c>
      <c r="C2596" s="19">
        <v>2</v>
      </c>
      <c r="D2596" s="19">
        <v>81.432000000000002</v>
      </c>
    </row>
    <row r="2597" spans="1:4" x14ac:dyDescent="0.2">
      <c r="A2597" s="19" t="s">
        <v>163</v>
      </c>
      <c r="B2597" s="19">
        <v>914.97</v>
      </c>
      <c r="C2597" s="19">
        <v>3</v>
      </c>
      <c r="D2597" s="19">
        <v>411.73649999999998</v>
      </c>
    </row>
    <row r="2598" spans="1:4" x14ac:dyDescent="0.2">
      <c r="A2598" s="19" t="s">
        <v>163</v>
      </c>
      <c r="B2598" s="19">
        <v>587.97</v>
      </c>
      <c r="C2598" s="19">
        <v>3</v>
      </c>
      <c r="D2598" s="19">
        <v>158.75190000000003</v>
      </c>
    </row>
    <row r="2599" spans="1:4" x14ac:dyDescent="0.2">
      <c r="A2599" s="19" t="s">
        <v>163</v>
      </c>
      <c r="B2599" s="19">
        <v>530.34</v>
      </c>
      <c r="C2599" s="19">
        <v>2</v>
      </c>
      <c r="D2599" s="19">
        <v>95.461199999999963</v>
      </c>
    </row>
    <row r="2600" spans="1:4" x14ac:dyDescent="0.2">
      <c r="A2600" s="19" t="s">
        <v>163</v>
      </c>
      <c r="B2600" s="19">
        <v>14.940000000000001</v>
      </c>
      <c r="C2600" s="19">
        <v>3</v>
      </c>
      <c r="D2600" s="19">
        <v>7.3206000000000007</v>
      </c>
    </row>
    <row r="2601" spans="1:4" x14ac:dyDescent="0.2">
      <c r="A2601" s="19" t="s">
        <v>164</v>
      </c>
      <c r="B2601" s="19">
        <v>121.94</v>
      </c>
      <c r="C2601" s="19">
        <v>2</v>
      </c>
      <c r="D2601" s="19">
        <v>35.362599999999986</v>
      </c>
    </row>
    <row r="2602" spans="1:4" x14ac:dyDescent="0.2">
      <c r="A2602" s="19" t="s">
        <v>164</v>
      </c>
      <c r="B2602" s="19">
        <v>122.71000000000001</v>
      </c>
      <c r="C2602" s="19">
        <v>7</v>
      </c>
      <c r="D2602" s="19">
        <v>36.812999999999988</v>
      </c>
    </row>
    <row r="2603" spans="1:4" x14ac:dyDescent="0.2">
      <c r="A2603" s="19" t="s">
        <v>164</v>
      </c>
      <c r="B2603" s="19">
        <v>14.940000000000001</v>
      </c>
      <c r="C2603" s="19">
        <v>3</v>
      </c>
      <c r="D2603" s="19">
        <v>7.0218000000000007</v>
      </c>
    </row>
    <row r="2604" spans="1:4" x14ac:dyDescent="0.2">
      <c r="A2604" s="19" t="s">
        <v>164</v>
      </c>
      <c r="B2604" s="19">
        <v>1349.85</v>
      </c>
      <c r="C2604" s="19">
        <v>3</v>
      </c>
      <c r="D2604" s="19">
        <v>364.45949999999993</v>
      </c>
    </row>
    <row r="2605" spans="1:4" x14ac:dyDescent="0.2">
      <c r="A2605" s="19" t="s">
        <v>164</v>
      </c>
      <c r="B2605" s="19">
        <v>136.78399999999999</v>
      </c>
      <c r="C2605" s="19">
        <v>1</v>
      </c>
      <c r="D2605" s="19">
        <v>5.129400000000004</v>
      </c>
    </row>
    <row r="2606" spans="1:4" x14ac:dyDescent="0.2">
      <c r="A2606" s="19" t="s">
        <v>164</v>
      </c>
      <c r="B2606" s="19">
        <v>61.12</v>
      </c>
      <c r="C2606" s="19">
        <v>4</v>
      </c>
      <c r="D2606" s="19">
        <v>20.780799999999999</v>
      </c>
    </row>
    <row r="2607" spans="1:4" x14ac:dyDescent="0.2">
      <c r="A2607" s="19" t="s">
        <v>151</v>
      </c>
      <c r="B2607" s="19">
        <v>1.1670000000000003</v>
      </c>
      <c r="C2607" s="19">
        <v>1</v>
      </c>
      <c r="D2607" s="19">
        <v>-0.85579999999999989</v>
      </c>
    </row>
    <row r="2608" spans="1:4" x14ac:dyDescent="0.2">
      <c r="A2608" s="19" t="s">
        <v>150</v>
      </c>
      <c r="B2608" s="19">
        <v>16.989999999999998</v>
      </c>
      <c r="C2608" s="19">
        <v>1</v>
      </c>
      <c r="D2608" s="19">
        <v>4.9270999999999976</v>
      </c>
    </row>
    <row r="2609" spans="1:4" x14ac:dyDescent="0.2">
      <c r="A2609" s="19" t="s">
        <v>154</v>
      </c>
      <c r="B2609" s="19">
        <v>24.672000000000001</v>
      </c>
      <c r="C2609" s="19">
        <v>3</v>
      </c>
      <c r="D2609" s="19">
        <v>0</v>
      </c>
    </row>
    <row r="2610" spans="1:4" x14ac:dyDescent="0.2">
      <c r="A2610" s="19" t="s">
        <v>154</v>
      </c>
      <c r="B2610" s="19">
        <v>2.52</v>
      </c>
      <c r="C2610" s="19">
        <v>1</v>
      </c>
      <c r="D2610" s="19">
        <v>0.88200000000000001</v>
      </c>
    </row>
    <row r="2611" spans="1:4" x14ac:dyDescent="0.2">
      <c r="A2611" s="19" t="s">
        <v>154</v>
      </c>
      <c r="B2611" s="19">
        <v>1218.7349999999997</v>
      </c>
      <c r="C2611" s="19">
        <v>5</v>
      </c>
      <c r="D2611" s="19">
        <v>-121.87349999999992</v>
      </c>
    </row>
    <row r="2612" spans="1:4" x14ac:dyDescent="0.2">
      <c r="A2612" s="19" t="s">
        <v>154</v>
      </c>
      <c r="B2612" s="19">
        <v>5.9039999999999999</v>
      </c>
      <c r="C2612" s="19">
        <v>2</v>
      </c>
      <c r="D2612" s="19">
        <v>1.9925999999999999</v>
      </c>
    </row>
    <row r="2613" spans="1:4" x14ac:dyDescent="0.2">
      <c r="A2613" s="19" t="s">
        <v>154</v>
      </c>
      <c r="B2613" s="19">
        <v>15.696000000000002</v>
      </c>
      <c r="C2613" s="19">
        <v>3</v>
      </c>
      <c r="D2613" s="19">
        <v>5.1011999999999995</v>
      </c>
    </row>
    <row r="2614" spans="1:4" x14ac:dyDescent="0.2">
      <c r="A2614" s="19" t="s">
        <v>154</v>
      </c>
      <c r="B2614" s="19">
        <v>6.0960000000000001</v>
      </c>
      <c r="C2614" s="19">
        <v>3</v>
      </c>
      <c r="D2614" s="19">
        <v>-3.9624000000000006</v>
      </c>
    </row>
    <row r="2615" spans="1:4" x14ac:dyDescent="0.2">
      <c r="A2615" s="19" t="s">
        <v>150</v>
      </c>
      <c r="B2615" s="19">
        <v>41.568000000000005</v>
      </c>
      <c r="C2615" s="19">
        <v>2</v>
      </c>
      <c r="D2615" s="19">
        <v>2.5980000000000008</v>
      </c>
    </row>
    <row r="2616" spans="1:4" x14ac:dyDescent="0.2">
      <c r="A2616" s="19" t="s">
        <v>150</v>
      </c>
      <c r="B2616" s="19">
        <v>230.28000000000003</v>
      </c>
      <c r="C2616" s="19">
        <v>3</v>
      </c>
      <c r="D2616" s="19">
        <v>23.027999999999992</v>
      </c>
    </row>
    <row r="2617" spans="1:4" x14ac:dyDescent="0.2">
      <c r="A2617" s="19" t="s">
        <v>150</v>
      </c>
      <c r="B2617" s="19">
        <v>18.288</v>
      </c>
      <c r="C2617" s="19">
        <v>6</v>
      </c>
      <c r="D2617" s="19">
        <v>5.714999999999999</v>
      </c>
    </row>
    <row r="2618" spans="1:4" x14ac:dyDescent="0.2">
      <c r="A2618" s="19" t="s">
        <v>150</v>
      </c>
      <c r="B2618" s="19">
        <v>5.78</v>
      </c>
      <c r="C2618" s="19">
        <v>2</v>
      </c>
      <c r="D2618" s="19">
        <v>2.7166000000000001</v>
      </c>
    </row>
    <row r="2619" spans="1:4" x14ac:dyDescent="0.2">
      <c r="A2619" s="19" t="s">
        <v>150</v>
      </c>
      <c r="B2619" s="19">
        <v>121.67999999999999</v>
      </c>
      <c r="C2619" s="19">
        <v>13</v>
      </c>
      <c r="D2619" s="19">
        <v>38.024999999999977</v>
      </c>
    </row>
    <row r="2620" spans="1:4" x14ac:dyDescent="0.2">
      <c r="A2620" s="19" t="s">
        <v>176</v>
      </c>
      <c r="B2620" s="19">
        <v>4.17</v>
      </c>
      <c r="C2620" s="19">
        <v>3</v>
      </c>
      <c r="D2620" s="19">
        <v>1.0841999999999998</v>
      </c>
    </row>
    <row r="2621" spans="1:4" x14ac:dyDescent="0.2">
      <c r="A2621" s="19" t="s">
        <v>176</v>
      </c>
      <c r="B2621" s="19">
        <v>67.040000000000006</v>
      </c>
      <c r="C2621" s="19">
        <v>4</v>
      </c>
      <c r="D2621" s="19">
        <v>6.7039999999999971</v>
      </c>
    </row>
    <row r="2622" spans="1:4" x14ac:dyDescent="0.2">
      <c r="A2622" s="19" t="s">
        <v>176</v>
      </c>
      <c r="B2622" s="19">
        <v>37.32</v>
      </c>
      <c r="C2622" s="19">
        <v>3</v>
      </c>
      <c r="D2622" s="19">
        <v>10.4496</v>
      </c>
    </row>
    <row r="2623" spans="1:4" x14ac:dyDescent="0.2">
      <c r="A2623" s="19" t="s">
        <v>176</v>
      </c>
      <c r="B2623" s="19">
        <v>18.45</v>
      </c>
      <c r="C2623" s="19">
        <v>5</v>
      </c>
      <c r="D2623" s="19">
        <v>8.6715</v>
      </c>
    </row>
    <row r="2624" spans="1:4" x14ac:dyDescent="0.2">
      <c r="A2624" s="19" t="s">
        <v>174</v>
      </c>
      <c r="B2624" s="19">
        <v>25.92</v>
      </c>
      <c r="C2624" s="19">
        <v>4</v>
      </c>
      <c r="D2624" s="19">
        <v>12.441600000000001</v>
      </c>
    </row>
    <row r="2625" spans="1:4" x14ac:dyDescent="0.2">
      <c r="A2625" s="19" t="s">
        <v>164</v>
      </c>
      <c r="B2625" s="19">
        <v>11199.968000000001</v>
      </c>
      <c r="C2625" s="19">
        <v>4</v>
      </c>
      <c r="D2625" s="19">
        <v>3919.9887999999992</v>
      </c>
    </row>
    <row r="2626" spans="1:4" x14ac:dyDescent="0.2">
      <c r="A2626" s="19" t="s">
        <v>164</v>
      </c>
      <c r="B2626" s="19">
        <v>2399.6</v>
      </c>
      <c r="C2626" s="19">
        <v>8</v>
      </c>
      <c r="D2626" s="19">
        <v>647.89200000000005</v>
      </c>
    </row>
    <row r="2627" spans="1:4" x14ac:dyDescent="0.2">
      <c r="A2627" s="19" t="s">
        <v>164</v>
      </c>
      <c r="B2627" s="19">
        <v>63.9</v>
      </c>
      <c r="C2627" s="19">
        <v>5</v>
      </c>
      <c r="D2627" s="19">
        <v>28.754999999999995</v>
      </c>
    </row>
    <row r="2628" spans="1:4" x14ac:dyDescent="0.2">
      <c r="A2628" s="19" t="s">
        <v>164</v>
      </c>
      <c r="B2628" s="19">
        <v>52.99</v>
      </c>
      <c r="C2628" s="19">
        <v>1</v>
      </c>
      <c r="D2628" s="19">
        <v>0.52989999999999782</v>
      </c>
    </row>
    <row r="2629" spans="1:4" x14ac:dyDescent="0.2">
      <c r="A2629" s="19" t="s">
        <v>173</v>
      </c>
      <c r="B2629" s="19">
        <v>60.864000000000004</v>
      </c>
      <c r="C2629" s="19">
        <v>4</v>
      </c>
      <c r="D2629" s="19">
        <v>9.1295999999999964</v>
      </c>
    </row>
    <row r="2630" spans="1:4" x14ac:dyDescent="0.2">
      <c r="A2630" s="19" t="s">
        <v>173</v>
      </c>
      <c r="B2630" s="19">
        <v>652.99500000000012</v>
      </c>
      <c r="C2630" s="19">
        <v>7</v>
      </c>
      <c r="D2630" s="19">
        <v>-935.95949999999993</v>
      </c>
    </row>
    <row r="2631" spans="1:4" x14ac:dyDescent="0.2">
      <c r="A2631" s="19" t="s">
        <v>173</v>
      </c>
      <c r="B2631" s="19">
        <v>11.220000000000002</v>
      </c>
      <c r="C2631" s="19">
        <v>10</v>
      </c>
      <c r="D2631" s="19">
        <v>-7.4799999999999969</v>
      </c>
    </row>
    <row r="2632" spans="1:4" x14ac:dyDescent="0.2">
      <c r="A2632" s="19" t="s">
        <v>175</v>
      </c>
      <c r="B2632" s="19">
        <v>14.940000000000001</v>
      </c>
      <c r="C2632" s="19">
        <v>3</v>
      </c>
      <c r="D2632" s="19">
        <v>7.0218000000000007</v>
      </c>
    </row>
    <row r="2633" spans="1:4" x14ac:dyDescent="0.2">
      <c r="A2633" s="19" t="s">
        <v>153</v>
      </c>
      <c r="B2633" s="19">
        <v>39.96</v>
      </c>
      <c r="C2633" s="19">
        <v>2</v>
      </c>
      <c r="D2633" s="19">
        <v>17.182800000000004</v>
      </c>
    </row>
    <row r="2634" spans="1:4" x14ac:dyDescent="0.2">
      <c r="A2634" s="19" t="s">
        <v>153</v>
      </c>
      <c r="B2634" s="19">
        <v>42.624000000000002</v>
      </c>
      <c r="C2634" s="19">
        <v>2</v>
      </c>
      <c r="D2634" s="19">
        <v>4.2623999999999977</v>
      </c>
    </row>
    <row r="2635" spans="1:4" x14ac:dyDescent="0.2">
      <c r="A2635" s="19" t="s">
        <v>153</v>
      </c>
      <c r="B2635" s="19">
        <v>220.96</v>
      </c>
      <c r="C2635" s="19">
        <v>1</v>
      </c>
      <c r="D2635" s="19">
        <v>24.857999999999983</v>
      </c>
    </row>
    <row r="2636" spans="1:4" x14ac:dyDescent="0.2">
      <c r="A2636" s="19" t="s">
        <v>152</v>
      </c>
      <c r="B2636" s="19">
        <v>4.9280000000000008</v>
      </c>
      <c r="C2636" s="19">
        <v>2</v>
      </c>
      <c r="D2636" s="19">
        <v>0.73919999999999941</v>
      </c>
    </row>
    <row r="2637" spans="1:4" x14ac:dyDescent="0.2">
      <c r="A2637" s="19" t="s">
        <v>152</v>
      </c>
      <c r="B2637" s="19">
        <v>7.2300000000000022</v>
      </c>
      <c r="C2637" s="19">
        <v>5</v>
      </c>
      <c r="D2637" s="19">
        <v>-5.7840000000000007</v>
      </c>
    </row>
    <row r="2638" spans="1:4" x14ac:dyDescent="0.2">
      <c r="A2638" s="19" t="s">
        <v>150</v>
      </c>
      <c r="B2638" s="19">
        <v>323.10000000000002</v>
      </c>
      <c r="C2638" s="19">
        <v>2</v>
      </c>
      <c r="D2638" s="19">
        <v>61.38900000000001</v>
      </c>
    </row>
    <row r="2639" spans="1:4" x14ac:dyDescent="0.2">
      <c r="A2639" s="19" t="s">
        <v>164</v>
      </c>
      <c r="B2639" s="19">
        <v>19.04</v>
      </c>
      <c r="C2639" s="19">
        <v>4</v>
      </c>
      <c r="D2639" s="19">
        <v>9.3295999999999992</v>
      </c>
    </row>
    <row r="2640" spans="1:4" x14ac:dyDescent="0.2">
      <c r="A2640" s="19" t="s">
        <v>164</v>
      </c>
      <c r="B2640" s="19">
        <v>13.128</v>
      </c>
      <c r="C2640" s="19">
        <v>3</v>
      </c>
      <c r="D2640" s="19">
        <v>4.2665999999999986</v>
      </c>
    </row>
    <row r="2641" spans="1:4" x14ac:dyDescent="0.2">
      <c r="A2641" s="19" t="s">
        <v>164</v>
      </c>
      <c r="B2641" s="19">
        <v>64.14</v>
      </c>
      <c r="C2641" s="19">
        <v>3</v>
      </c>
      <c r="D2641" s="19">
        <v>16.676400000000001</v>
      </c>
    </row>
    <row r="2642" spans="1:4" x14ac:dyDescent="0.2">
      <c r="A2642" s="19" t="s">
        <v>164</v>
      </c>
      <c r="B2642" s="19">
        <v>858.24</v>
      </c>
      <c r="C2642" s="19">
        <v>4</v>
      </c>
      <c r="D2642" s="19">
        <v>143.03999999999996</v>
      </c>
    </row>
    <row r="2643" spans="1:4" x14ac:dyDescent="0.2">
      <c r="A2643" s="19" t="s">
        <v>184</v>
      </c>
      <c r="B2643" s="19">
        <v>29.99</v>
      </c>
      <c r="C2643" s="19">
        <v>1</v>
      </c>
      <c r="D2643" s="19">
        <v>2.9989999999999988</v>
      </c>
    </row>
    <row r="2644" spans="1:4" x14ac:dyDescent="0.2">
      <c r="A2644" s="19" t="s">
        <v>159</v>
      </c>
      <c r="B2644" s="19">
        <v>186.048</v>
      </c>
      <c r="C2644" s="19">
        <v>6</v>
      </c>
      <c r="D2644" s="19">
        <v>67.442399999999992</v>
      </c>
    </row>
    <row r="2645" spans="1:4" x14ac:dyDescent="0.2">
      <c r="A2645" s="19" t="s">
        <v>152</v>
      </c>
      <c r="B2645" s="19">
        <v>36.792000000000002</v>
      </c>
      <c r="C2645" s="19">
        <v>1</v>
      </c>
      <c r="D2645" s="19">
        <v>4.1390999999999991</v>
      </c>
    </row>
    <row r="2646" spans="1:4" x14ac:dyDescent="0.2">
      <c r="A2646" s="19" t="s">
        <v>152</v>
      </c>
      <c r="B2646" s="19">
        <v>18.624000000000002</v>
      </c>
      <c r="C2646" s="19">
        <v>8</v>
      </c>
      <c r="D2646" s="19">
        <v>6.2855999999999987</v>
      </c>
    </row>
    <row r="2647" spans="1:4" x14ac:dyDescent="0.2">
      <c r="A2647" s="19" t="s">
        <v>175</v>
      </c>
      <c r="B2647" s="19">
        <v>57.69</v>
      </c>
      <c r="C2647" s="19">
        <v>3</v>
      </c>
      <c r="D2647" s="19">
        <v>23.652900000000002</v>
      </c>
    </row>
    <row r="2648" spans="1:4" x14ac:dyDescent="0.2">
      <c r="A2648" s="19" t="s">
        <v>175</v>
      </c>
      <c r="B2648" s="19">
        <v>42.81</v>
      </c>
      <c r="C2648" s="19">
        <v>3</v>
      </c>
      <c r="D2648" s="19">
        <v>20.120699999999999</v>
      </c>
    </row>
    <row r="2649" spans="1:4" x14ac:dyDescent="0.2">
      <c r="A2649" s="19" t="s">
        <v>175</v>
      </c>
      <c r="B2649" s="19">
        <v>12.96</v>
      </c>
      <c r="C2649" s="19">
        <v>2</v>
      </c>
      <c r="D2649" s="19">
        <v>6.2208000000000006</v>
      </c>
    </row>
    <row r="2650" spans="1:4" x14ac:dyDescent="0.2">
      <c r="A2650" s="19" t="s">
        <v>175</v>
      </c>
      <c r="B2650" s="19">
        <v>821.87999999999988</v>
      </c>
      <c r="C2650" s="19">
        <v>6</v>
      </c>
      <c r="D2650" s="19">
        <v>213.68880000000001</v>
      </c>
    </row>
    <row r="2651" spans="1:4" x14ac:dyDescent="0.2">
      <c r="A2651" s="19" t="s">
        <v>175</v>
      </c>
      <c r="B2651" s="19">
        <v>104.85000000000001</v>
      </c>
      <c r="C2651" s="19">
        <v>3</v>
      </c>
      <c r="D2651" s="19">
        <v>28.309500000000007</v>
      </c>
    </row>
    <row r="2652" spans="1:4" x14ac:dyDescent="0.2">
      <c r="A2652" s="19" t="s">
        <v>150</v>
      </c>
      <c r="B2652" s="19">
        <v>424.95749999999992</v>
      </c>
      <c r="C2652" s="19">
        <v>5</v>
      </c>
      <c r="D2652" s="19">
        <v>19.997999999999976</v>
      </c>
    </row>
    <row r="2653" spans="1:4" x14ac:dyDescent="0.2">
      <c r="A2653" s="19" t="s">
        <v>156</v>
      </c>
      <c r="B2653" s="19">
        <v>10.776000000000002</v>
      </c>
      <c r="C2653" s="19">
        <v>3</v>
      </c>
      <c r="D2653" s="19">
        <v>3.5021999999999989</v>
      </c>
    </row>
    <row r="2654" spans="1:4" x14ac:dyDescent="0.2">
      <c r="A2654" s="19" t="s">
        <v>156</v>
      </c>
      <c r="B2654" s="19">
        <v>11.784000000000001</v>
      </c>
      <c r="C2654" s="19">
        <v>3</v>
      </c>
      <c r="D2654" s="19">
        <v>4.2716999999999992</v>
      </c>
    </row>
    <row r="2655" spans="1:4" x14ac:dyDescent="0.2">
      <c r="A2655" s="19" t="s">
        <v>156</v>
      </c>
      <c r="B2655" s="19">
        <v>164.88</v>
      </c>
      <c r="C2655" s="19">
        <v>3</v>
      </c>
      <c r="D2655" s="19">
        <v>80.791200000000003</v>
      </c>
    </row>
    <row r="2656" spans="1:4" x14ac:dyDescent="0.2">
      <c r="A2656" s="19" t="s">
        <v>156</v>
      </c>
      <c r="B2656" s="19">
        <v>1292.94</v>
      </c>
      <c r="C2656" s="19">
        <v>3</v>
      </c>
      <c r="D2656" s="19">
        <v>77.576399999999921</v>
      </c>
    </row>
    <row r="2657" spans="1:4" x14ac:dyDescent="0.2">
      <c r="A2657" s="19" t="s">
        <v>156</v>
      </c>
      <c r="B2657" s="19">
        <v>25.584000000000003</v>
      </c>
      <c r="C2657" s="19">
        <v>2</v>
      </c>
      <c r="D2657" s="19">
        <v>8.9543999999999997</v>
      </c>
    </row>
    <row r="2658" spans="1:4" x14ac:dyDescent="0.2">
      <c r="A2658" s="19" t="s">
        <v>156</v>
      </c>
      <c r="B2658" s="19">
        <v>261.74</v>
      </c>
      <c r="C2658" s="19">
        <v>2</v>
      </c>
      <c r="D2658" s="19">
        <v>65.435000000000002</v>
      </c>
    </row>
    <row r="2659" spans="1:4" x14ac:dyDescent="0.2">
      <c r="A2659" s="19" t="s">
        <v>156</v>
      </c>
      <c r="B2659" s="19">
        <v>14.399999999999999</v>
      </c>
      <c r="C2659" s="19">
        <v>5</v>
      </c>
      <c r="D2659" s="19">
        <v>7.056</v>
      </c>
    </row>
    <row r="2660" spans="1:4" x14ac:dyDescent="0.2">
      <c r="A2660" s="19" t="s">
        <v>150</v>
      </c>
      <c r="B2660" s="19">
        <v>10.86</v>
      </c>
      <c r="C2660" s="19">
        <v>3</v>
      </c>
      <c r="D2660" s="19">
        <v>5.1042000000000005</v>
      </c>
    </row>
    <row r="2661" spans="1:4" x14ac:dyDescent="0.2">
      <c r="A2661" s="19" t="s">
        <v>165</v>
      </c>
      <c r="B2661" s="19">
        <v>883.84</v>
      </c>
      <c r="C2661" s="19">
        <v>4</v>
      </c>
      <c r="D2661" s="19">
        <v>99.431999999999931</v>
      </c>
    </row>
    <row r="2662" spans="1:4" x14ac:dyDescent="0.2">
      <c r="A2662" s="19" t="s">
        <v>164</v>
      </c>
      <c r="B2662" s="19">
        <v>1979.89</v>
      </c>
      <c r="C2662" s="19">
        <v>11</v>
      </c>
      <c r="D2662" s="19">
        <v>494.97250000000003</v>
      </c>
    </row>
    <row r="2663" spans="1:4" x14ac:dyDescent="0.2">
      <c r="A2663" s="19" t="s">
        <v>164</v>
      </c>
      <c r="B2663" s="19">
        <v>79.959999999999994</v>
      </c>
      <c r="C2663" s="19">
        <v>2</v>
      </c>
      <c r="D2663" s="19">
        <v>35.981999999999992</v>
      </c>
    </row>
    <row r="2664" spans="1:4" x14ac:dyDescent="0.2">
      <c r="A2664" s="19" t="s">
        <v>174</v>
      </c>
      <c r="B2664" s="19">
        <v>8.76</v>
      </c>
      <c r="C2664" s="19">
        <v>2</v>
      </c>
      <c r="D2664" s="19">
        <v>4.2047999999999996</v>
      </c>
    </row>
    <row r="2665" spans="1:4" x14ac:dyDescent="0.2">
      <c r="A2665" s="19" t="s">
        <v>167</v>
      </c>
      <c r="B2665" s="19">
        <v>3.9840000000000004</v>
      </c>
      <c r="C2665" s="19">
        <v>1</v>
      </c>
      <c r="D2665" s="19">
        <v>1.2948</v>
      </c>
    </row>
    <row r="2666" spans="1:4" x14ac:dyDescent="0.2">
      <c r="A2666" s="19" t="s">
        <v>167</v>
      </c>
      <c r="B2666" s="19">
        <v>370.62</v>
      </c>
      <c r="C2666" s="19">
        <v>3</v>
      </c>
      <c r="D2666" s="19">
        <v>-142.07100000000008</v>
      </c>
    </row>
    <row r="2667" spans="1:4" x14ac:dyDescent="0.2">
      <c r="A2667" s="19" t="s">
        <v>167</v>
      </c>
      <c r="B2667" s="19">
        <v>2.7420000000000004</v>
      </c>
      <c r="C2667" s="19">
        <v>2</v>
      </c>
      <c r="D2667" s="19">
        <v>-2.0107999999999997</v>
      </c>
    </row>
    <row r="2668" spans="1:4" x14ac:dyDescent="0.2">
      <c r="A2668" s="19" t="s">
        <v>154</v>
      </c>
      <c r="B2668" s="19">
        <v>79.512000000000015</v>
      </c>
      <c r="C2668" s="19">
        <v>3</v>
      </c>
      <c r="D2668" s="19">
        <v>20.8719</v>
      </c>
    </row>
    <row r="2669" spans="1:4" x14ac:dyDescent="0.2">
      <c r="A2669" s="19" t="s">
        <v>154</v>
      </c>
      <c r="B2669" s="19">
        <v>28.352</v>
      </c>
      <c r="C2669" s="19">
        <v>1</v>
      </c>
      <c r="D2669" s="19">
        <v>9.568799999999996</v>
      </c>
    </row>
    <row r="2670" spans="1:4" x14ac:dyDescent="0.2">
      <c r="A2670" s="19" t="s">
        <v>150</v>
      </c>
      <c r="B2670" s="19">
        <v>40.783999999999999</v>
      </c>
      <c r="C2670" s="19">
        <v>1</v>
      </c>
      <c r="D2670" s="19">
        <v>4.5881999999999987</v>
      </c>
    </row>
    <row r="2671" spans="1:4" x14ac:dyDescent="0.2">
      <c r="A2671" s="19" t="s">
        <v>150</v>
      </c>
      <c r="B2671" s="19">
        <v>105.96</v>
      </c>
      <c r="C2671" s="19">
        <v>4</v>
      </c>
      <c r="D2671" s="19">
        <v>29.668800000000005</v>
      </c>
    </row>
    <row r="2672" spans="1:4" x14ac:dyDescent="0.2">
      <c r="A2672" s="19" t="s">
        <v>180</v>
      </c>
      <c r="B2672" s="19">
        <v>166.44</v>
      </c>
      <c r="C2672" s="19">
        <v>3</v>
      </c>
      <c r="D2672" s="19">
        <v>79.891199999999998</v>
      </c>
    </row>
    <row r="2673" spans="1:4" x14ac:dyDescent="0.2">
      <c r="A2673" s="19" t="s">
        <v>180</v>
      </c>
      <c r="B2673" s="19">
        <v>785.87999999999988</v>
      </c>
      <c r="C2673" s="19">
        <v>6</v>
      </c>
      <c r="D2673" s="19">
        <v>212.18759999999997</v>
      </c>
    </row>
    <row r="2674" spans="1:4" x14ac:dyDescent="0.2">
      <c r="A2674" s="19" t="s">
        <v>180</v>
      </c>
      <c r="B2674" s="19">
        <v>26.2</v>
      </c>
      <c r="C2674" s="19">
        <v>2</v>
      </c>
      <c r="D2674" s="19">
        <v>12.837999999999999</v>
      </c>
    </row>
    <row r="2675" spans="1:4" x14ac:dyDescent="0.2">
      <c r="A2675" s="19" t="s">
        <v>180</v>
      </c>
      <c r="B2675" s="19">
        <v>1325.8500000000001</v>
      </c>
      <c r="C2675" s="19">
        <v>5</v>
      </c>
      <c r="D2675" s="19">
        <v>238.65299999999991</v>
      </c>
    </row>
    <row r="2676" spans="1:4" x14ac:dyDescent="0.2">
      <c r="A2676" s="19" t="s">
        <v>150</v>
      </c>
      <c r="B2676" s="19">
        <v>166.44</v>
      </c>
      <c r="C2676" s="19">
        <v>3</v>
      </c>
      <c r="D2676" s="19">
        <v>79.891199999999998</v>
      </c>
    </row>
    <row r="2677" spans="1:4" x14ac:dyDescent="0.2">
      <c r="A2677" s="19" t="s">
        <v>152</v>
      </c>
      <c r="B2677" s="19">
        <v>8.76</v>
      </c>
      <c r="C2677" s="19">
        <v>5</v>
      </c>
      <c r="D2677" s="19">
        <v>0.76649999999999974</v>
      </c>
    </row>
    <row r="2678" spans="1:4" x14ac:dyDescent="0.2">
      <c r="A2678" s="19" t="s">
        <v>152</v>
      </c>
      <c r="B2678" s="19">
        <v>43.584000000000003</v>
      </c>
      <c r="C2678" s="19">
        <v>1</v>
      </c>
      <c r="D2678" s="19">
        <v>4.3584000000000032</v>
      </c>
    </row>
    <row r="2679" spans="1:4" x14ac:dyDescent="0.2">
      <c r="A2679" s="19" t="s">
        <v>171</v>
      </c>
      <c r="B2679" s="19">
        <v>11.088000000000003</v>
      </c>
      <c r="C2679" s="19">
        <v>7</v>
      </c>
      <c r="D2679" s="19">
        <v>-8.1311999999999998</v>
      </c>
    </row>
    <row r="2680" spans="1:4" x14ac:dyDescent="0.2">
      <c r="A2680" s="19" t="s">
        <v>171</v>
      </c>
      <c r="B2680" s="19">
        <v>25.164000000000001</v>
      </c>
      <c r="C2680" s="19">
        <v>2</v>
      </c>
      <c r="D2680" s="19">
        <v>-16.775999999999996</v>
      </c>
    </row>
    <row r="2681" spans="1:4" x14ac:dyDescent="0.2">
      <c r="A2681" s="19" t="s">
        <v>161</v>
      </c>
      <c r="B2681" s="19">
        <v>14.399999999999999</v>
      </c>
      <c r="C2681" s="19">
        <v>5</v>
      </c>
      <c r="D2681" s="19">
        <v>7.056</v>
      </c>
    </row>
    <row r="2682" spans="1:4" x14ac:dyDescent="0.2">
      <c r="A2682" s="19" t="s">
        <v>161</v>
      </c>
      <c r="B2682" s="19">
        <v>619.94999999999993</v>
      </c>
      <c r="C2682" s="19">
        <v>5</v>
      </c>
      <c r="D2682" s="19">
        <v>111.59099999999995</v>
      </c>
    </row>
    <row r="2683" spans="1:4" x14ac:dyDescent="0.2">
      <c r="A2683" s="19" t="s">
        <v>161</v>
      </c>
      <c r="B2683" s="19">
        <v>89.52</v>
      </c>
      <c r="C2683" s="19">
        <v>4</v>
      </c>
      <c r="D2683" s="19">
        <v>42.074399999999997</v>
      </c>
    </row>
    <row r="2684" spans="1:4" x14ac:dyDescent="0.2">
      <c r="A2684" s="19" t="s">
        <v>161</v>
      </c>
      <c r="B2684" s="19">
        <v>350.97300000000007</v>
      </c>
      <c r="C2684" s="19">
        <v>3</v>
      </c>
      <c r="D2684" s="19">
        <v>152.08829999999998</v>
      </c>
    </row>
    <row r="2685" spans="1:4" x14ac:dyDescent="0.2">
      <c r="A2685" s="19" t="s">
        <v>161</v>
      </c>
      <c r="B2685" s="19">
        <v>164.99</v>
      </c>
      <c r="C2685" s="19">
        <v>1</v>
      </c>
      <c r="D2685" s="19">
        <v>49.496999999999986</v>
      </c>
    </row>
    <row r="2686" spans="1:4" x14ac:dyDescent="0.2">
      <c r="A2686" s="19" t="s">
        <v>150</v>
      </c>
      <c r="B2686" s="19">
        <v>312.55200000000002</v>
      </c>
      <c r="C2686" s="19">
        <v>9</v>
      </c>
      <c r="D2686" s="19">
        <v>101.57939999999999</v>
      </c>
    </row>
    <row r="2687" spans="1:4" x14ac:dyDescent="0.2">
      <c r="A2687" s="19" t="s">
        <v>152</v>
      </c>
      <c r="B2687" s="19">
        <v>95.951999999999998</v>
      </c>
      <c r="C2687" s="19">
        <v>3</v>
      </c>
      <c r="D2687" s="19">
        <v>29.984999999999985</v>
      </c>
    </row>
    <row r="2688" spans="1:4" x14ac:dyDescent="0.2">
      <c r="A2688" s="19" t="s">
        <v>152</v>
      </c>
      <c r="B2688" s="19">
        <v>3.2040000000000002</v>
      </c>
      <c r="C2688" s="19">
        <v>2</v>
      </c>
      <c r="D2688" s="19">
        <v>-2.4563999999999995</v>
      </c>
    </row>
    <row r="2689" spans="1:4" x14ac:dyDescent="0.2">
      <c r="A2689" s="19" t="s">
        <v>159</v>
      </c>
      <c r="B2689" s="19">
        <v>3.9799999999999991</v>
      </c>
      <c r="C2689" s="19">
        <v>5</v>
      </c>
      <c r="D2689" s="19">
        <v>-6.5670000000000019</v>
      </c>
    </row>
    <row r="2690" spans="1:4" x14ac:dyDescent="0.2">
      <c r="A2690" s="19" t="s">
        <v>150</v>
      </c>
      <c r="B2690" s="19">
        <v>15.700000000000001</v>
      </c>
      <c r="C2690" s="19">
        <v>5</v>
      </c>
      <c r="D2690" s="19">
        <v>7.0649999999999995</v>
      </c>
    </row>
    <row r="2691" spans="1:4" x14ac:dyDescent="0.2">
      <c r="A2691" s="19" t="s">
        <v>159</v>
      </c>
      <c r="B2691" s="19">
        <v>5.2480000000000002</v>
      </c>
      <c r="C2691" s="19">
        <v>4</v>
      </c>
      <c r="D2691" s="19">
        <v>1.6399999999999995</v>
      </c>
    </row>
    <row r="2692" spans="1:4" x14ac:dyDescent="0.2">
      <c r="A2692" s="19" t="s">
        <v>158</v>
      </c>
      <c r="B2692" s="19">
        <v>5.3460000000000019</v>
      </c>
      <c r="C2692" s="19">
        <v>3</v>
      </c>
      <c r="D2692" s="19">
        <v>-4.4550000000000001</v>
      </c>
    </row>
    <row r="2693" spans="1:4" x14ac:dyDescent="0.2">
      <c r="A2693" s="19" t="s">
        <v>171</v>
      </c>
      <c r="B2693" s="19">
        <v>15.48</v>
      </c>
      <c r="C2693" s="19">
        <v>3</v>
      </c>
      <c r="D2693" s="19">
        <v>5.6115000000000004</v>
      </c>
    </row>
    <row r="2694" spans="1:4" x14ac:dyDescent="0.2">
      <c r="A2694" s="19" t="s">
        <v>171</v>
      </c>
      <c r="B2694" s="19">
        <v>108.57599999999999</v>
      </c>
      <c r="C2694" s="19">
        <v>3</v>
      </c>
      <c r="D2694" s="19">
        <v>8.1432000000000002</v>
      </c>
    </row>
    <row r="2695" spans="1:4" x14ac:dyDescent="0.2">
      <c r="A2695" s="19" t="s">
        <v>153</v>
      </c>
      <c r="B2695" s="19">
        <v>109.9</v>
      </c>
      <c r="C2695" s="19">
        <v>5</v>
      </c>
      <c r="D2695" s="19">
        <v>37.366</v>
      </c>
    </row>
    <row r="2696" spans="1:4" x14ac:dyDescent="0.2">
      <c r="A2696" s="19" t="s">
        <v>151</v>
      </c>
      <c r="B2696" s="19">
        <v>15.384</v>
      </c>
      <c r="C2696" s="19">
        <v>1</v>
      </c>
      <c r="D2696" s="19">
        <v>4.0383000000000013</v>
      </c>
    </row>
    <row r="2697" spans="1:4" x14ac:dyDescent="0.2">
      <c r="A2697" s="19" t="s">
        <v>173</v>
      </c>
      <c r="B2697" s="19">
        <v>30.352</v>
      </c>
      <c r="C2697" s="19">
        <v>2</v>
      </c>
      <c r="D2697" s="19">
        <v>10.623199999999997</v>
      </c>
    </row>
    <row r="2698" spans="1:4" x14ac:dyDescent="0.2">
      <c r="A2698" s="19" t="s">
        <v>151</v>
      </c>
      <c r="B2698" s="19">
        <v>821.3</v>
      </c>
      <c r="C2698" s="19">
        <v>4</v>
      </c>
      <c r="D2698" s="19">
        <v>-16.426000000000045</v>
      </c>
    </row>
    <row r="2699" spans="1:4" x14ac:dyDescent="0.2">
      <c r="A2699" s="19" t="s">
        <v>151</v>
      </c>
      <c r="B2699" s="19">
        <v>22638.48</v>
      </c>
      <c r="C2699" s="19">
        <v>6</v>
      </c>
      <c r="D2699" s="19">
        <v>-1811.0784000000021</v>
      </c>
    </row>
    <row r="2700" spans="1:4" x14ac:dyDescent="0.2">
      <c r="A2700" s="19" t="s">
        <v>151</v>
      </c>
      <c r="B2700" s="19">
        <v>21.376000000000001</v>
      </c>
      <c r="C2700" s="19">
        <v>4</v>
      </c>
      <c r="D2700" s="19">
        <v>7.4815999999999994</v>
      </c>
    </row>
    <row r="2701" spans="1:4" x14ac:dyDescent="0.2">
      <c r="A2701" s="19" t="s">
        <v>151</v>
      </c>
      <c r="B2701" s="19">
        <v>8.016</v>
      </c>
      <c r="C2701" s="19">
        <v>3</v>
      </c>
      <c r="D2701" s="19">
        <v>1.0019999999999993</v>
      </c>
    </row>
    <row r="2702" spans="1:4" x14ac:dyDescent="0.2">
      <c r="A2702" s="19" t="s">
        <v>151</v>
      </c>
      <c r="B2702" s="19">
        <v>30.768000000000001</v>
      </c>
      <c r="C2702" s="19">
        <v>2</v>
      </c>
      <c r="D2702" s="19">
        <v>8.0766000000000027</v>
      </c>
    </row>
    <row r="2703" spans="1:4" x14ac:dyDescent="0.2">
      <c r="A2703" s="19" t="s">
        <v>151</v>
      </c>
      <c r="B2703" s="19">
        <v>18.936</v>
      </c>
      <c r="C2703" s="19">
        <v>3</v>
      </c>
      <c r="D2703" s="19">
        <v>5.9174999999999986</v>
      </c>
    </row>
    <row r="2704" spans="1:4" x14ac:dyDescent="0.2">
      <c r="A2704" s="19" t="s">
        <v>151</v>
      </c>
      <c r="B2704" s="19">
        <v>122.352</v>
      </c>
      <c r="C2704" s="19">
        <v>3</v>
      </c>
      <c r="D2704" s="19">
        <v>15.29399999999999</v>
      </c>
    </row>
    <row r="2705" spans="1:4" x14ac:dyDescent="0.2">
      <c r="A2705" s="19" t="s">
        <v>187</v>
      </c>
      <c r="B2705" s="19">
        <v>116.28</v>
      </c>
      <c r="C2705" s="19">
        <v>3</v>
      </c>
      <c r="D2705" s="19">
        <v>56.977199999999996</v>
      </c>
    </row>
    <row r="2706" spans="1:4" x14ac:dyDescent="0.2">
      <c r="A2706" s="19" t="s">
        <v>164</v>
      </c>
      <c r="B2706" s="19">
        <v>132.60000000000002</v>
      </c>
      <c r="C2706" s="19">
        <v>6</v>
      </c>
      <c r="D2706" s="19">
        <v>17.238000000000007</v>
      </c>
    </row>
    <row r="2707" spans="1:4" x14ac:dyDescent="0.2">
      <c r="A2707" s="19" t="s">
        <v>176</v>
      </c>
      <c r="B2707" s="19">
        <v>16.68</v>
      </c>
      <c r="C2707" s="19">
        <v>2</v>
      </c>
      <c r="D2707" s="19">
        <v>4.3368000000000002</v>
      </c>
    </row>
    <row r="2708" spans="1:4" x14ac:dyDescent="0.2">
      <c r="A2708" s="19" t="s">
        <v>176</v>
      </c>
      <c r="B2708" s="19">
        <v>19.440000000000001</v>
      </c>
      <c r="C2708" s="19">
        <v>3</v>
      </c>
      <c r="D2708" s="19">
        <v>9.3312000000000008</v>
      </c>
    </row>
    <row r="2709" spans="1:4" x14ac:dyDescent="0.2">
      <c r="A2709" s="19" t="s">
        <v>176</v>
      </c>
      <c r="B2709" s="19">
        <v>192.16</v>
      </c>
      <c r="C2709" s="19">
        <v>4</v>
      </c>
      <c r="D2709" s="19">
        <v>92.236799999999988</v>
      </c>
    </row>
    <row r="2710" spans="1:4" x14ac:dyDescent="0.2">
      <c r="A2710" s="19" t="s">
        <v>150</v>
      </c>
      <c r="B2710" s="19">
        <v>227.35999999999999</v>
      </c>
      <c r="C2710" s="19">
        <v>7</v>
      </c>
      <c r="D2710" s="19">
        <v>81.849599999999981</v>
      </c>
    </row>
    <row r="2711" spans="1:4" x14ac:dyDescent="0.2">
      <c r="A2711" s="19" t="s">
        <v>150</v>
      </c>
      <c r="B2711" s="19">
        <v>1919.9760000000001</v>
      </c>
      <c r="C2711" s="19">
        <v>3</v>
      </c>
      <c r="D2711" s="19">
        <v>215.99729999999977</v>
      </c>
    </row>
    <row r="2712" spans="1:4" x14ac:dyDescent="0.2">
      <c r="A2712" s="19" t="s">
        <v>151</v>
      </c>
      <c r="B2712" s="19">
        <v>12.828000000000001</v>
      </c>
      <c r="C2712" s="19">
        <v>2</v>
      </c>
      <c r="D2712" s="19">
        <v>-8.9795999999999978</v>
      </c>
    </row>
    <row r="2713" spans="1:4" x14ac:dyDescent="0.2">
      <c r="A2713" s="19" t="s">
        <v>173</v>
      </c>
      <c r="B2713" s="19">
        <v>45.888000000000005</v>
      </c>
      <c r="C2713" s="19">
        <v>4</v>
      </c>
      <c r="D2713" s="19">
        <v>9.1775999999999982</v>
      </c>
    </row>
    <row r="2714" spans="1:4" x14ac:dyDescent="0.2">
      <c r="A2714" s="19" t="s">
        <v>164</v>
      </c>
      <c r="B2714" s="19">
        <v>60.12</v>
      </c>
      <c r="C2714" s="19">
        <v>9</v>
      </c>
      <c r="D2714" s="19">
        <v>22.244399999999995</v>
      </c>
    </row>
    <row r="2715" spans="1:4" x14ac:dyDescent="0.2">
      <c r="A2715" s="19" t="s">
        <v>152</v>
      </c>
      <c r="B2715" s="19">
        <v>302.37599999999998</v>
      </c>
      <c r="C2715" s="19">
        <v>3</v>
      </c>
      <c r="D2715" s="19">
        <v>37.796999999999997</v>
      </c>
    </row>
    <row r="2716" spans="1:4" x14ac:dyDescent="0.2">
      <c r="A2716" s="19" t="s">
        <v>153</v>
      </c>
      <c r="B2716" s="19">
        <v>13.899999999999999</v>
      </c>
      <c r="C2716" s="19">
        <v>5</v>
      </c>
      <c r="D2716" s="19">
        <v>5.56</v>
      </c>
    </row>
    <row r="2717" spans="1:4" x14ac:dyDescent="0.2">
      <c r="A2717" s="19" t="s">
        <v>164</v>
      </c>
      <c r="B2717" s="19">
        <v>129.97999999999999</v>
      </c>
      <c r="C2717" s="19">
        <v>2</v>
      </c>
      <c r="D2717" s="19">
        <v>62.3904</v>
      </c>
    </row>
    <row r="2718" spans="1:4" x14ac:dyDescent="0.2">
      <c r="A2718" s="19" t="s">
        <v>101</v>
      </c>
      <c r="B2718" s="19">
        <v>71.98</v>
      </c>
      <c r="C2718" s="19">
        <v>2</v>
      </c>
      <c r="D2718" s="19">
        <v>15.1158</v>
      </c>
    </row>
    <row r="2719" spans="1:4" x14ac:dyDescent="0.2">
      <c r="A2719" s="19" t="s">
        <v>164</v>
      </c>
      <c r="B2719" s="19">
        <v>377.96999999999997</v>
      </c>
      <c r="C2719" s="19">
        <v>3</v>
      </c>
      <c r="D2719" s="19">
        <v>109.61129999999999</v>
      </c>
    </row>
    <row r="2720" spans="1:4" x14ac:dyDescent="0.2">
      <c r="A2720" s="19" t="s">
        <v>150</v>
      </c>
      <c r="B2720" s="19">
        <v>124.36</v>
      </c>
      <c r="C2720" s="19">
        <v>2</v>
      </c>
      <c r="D2720" s="19">
        <v>33.577200000000005</v>
      </c>
    </row>
    <row r="2721" spans="1:4" x14ac:dyDescent="0.2">
      <c r="A2721" s="19" t="s">
        <v>154</v>
      </c>
      <c r="B2721" s="19">
        <v>23.976000000000003</v>
      </c>
      <c r="C2721" s="19">
        <v>3</v>
      </c>
      <c r="D2721" s="19">
        <v>-14.385599999999997</v>
      </c>
    </row>
    <row r="2722" spans="1:4" x14ac:dyDescent="0.2">
      <c r="A2722" s="19" t="s">
        <v>152</v>
      </c>
      <c r="B2722" s="19">
        <v>8.3760000000000012</v>
      </c>
      <c r="C2722" s="19">
        <v>3</v>
      </c>
      <c r="D2722" s="19">
        <v>2.7222</v>
      </c>
    </row>
    <row r="2723" spans="1:4" x14ac:dyDescent="0.2">
      <c r="A2723" s="19" t="s">
        <v>152</v>
      </c>
      <c r="B2723" s="19">
        <v>58.240000000000009</v>
      </c>
      <c r="C2723" s="19">
        <v>5</v>
      </c>
      <c r="D2723" s="19">
        <v>5.0960000000000001</v>
      </c>
    </row>
    <row r="2724" spans="1:4" x14ac:dyDescent="0.2">
      <c r="A2724" s="19" t="s">
        <v>166</v>
      </c>
      <c r="B2724" s="19">
        <v>81.199999999999989</v>
      </c>
      <c r="C2724" s="19">
        <v>5</v>
      </c>
      <c r="D2724" s="19">
        <v>12.18</v>
      </c>
    </row>
    <row r="2725" spans="1:4" x14ac:dyDescent="0.2">
      <c r="A2725" s="19" t="s">
        <v>150</v>
      </c>
      <c r="B2725" s="19">
        <v>14.450000000000001</v>
      </c>
      <c r="C2725" s="19">
        <v>5</v>
      </c>
      <c r="D2725" s="19">
        <v>6.7915000000000001</v>
      </c>
    </row>
    <row r="2726" spans="1:4" x14ac:dyDescent="0.2">
      <c r="A2726" s="19" t="s">
        <v>150</v>
      </c>
      <c r="B2726" s="19">
        <v>95.64800000000001</v>
      </c>
      <c r="C2726" s="19">
        <v>2</v>
      </c>
      <c r="D2726" s="19">
        <v>31.085599999999989</v>
      </c>
    </row>
    <row r="2727" spans="1:4" x14ac:dyDescent="0.2">
      <c r="A2727" s="19" t="s">
        <v>158</v>
      </c>
      <c r="B2727" s="19">
        <v>359.97</v>
      </c>
      <c r="C2727" s="19">
        <v>5</v>
      </c>
      <c r="D2727" s="19">
        <v>-71.994000000000028</v>
      </c>
    </row>
    <row r="2728" spans="1:4" x14ac:dyDescent="0.2">
      <c r="A2728" s="19" t="s">
        <v>158</v>
      </c>
      <c r="B2728" s="19">
        <v>350.35199999999998</v>
      </c>
      <c r="C2728" s="19">
        <v>4</v>
      </c>
      <c r="D2728" s="19">
        <v>-140.14079999999996</v>
      </c>
    </row>
    <row r="2729" spans="1:4" x14ac:dyDescent="0.2">
      <c r="A2729" s="19" t="s">
        <v>173</v>
      </c>
      <c r="B2729" s="19">
        <v>1.6410000000000002</v>
      </c>
      <c r="C2729" s="19">
        <v>1</v>
      </c>
      <c r="D2729" s="19">
        <v>-1.3128000000000002</v>
      </c>
    </row>
    <row r="2730" spans="1:4" x14ac:dyDescent="0.2">
      <c r="A2730" s="19" t="s">
        <v>173</v>
      </c>
      <c r="B2730" s="19">
        <v>629.95799999999997</v>
      </c>
      <c r="C2730" s="19">
        <v>7</v>
      </c>
      <c r="D2730" s="19">
        <v>94.49369999999999</v>
      </c>
    </row>
    <row r="2731" spans="1:4" x14ac:dyDescent="0.2">
      <c r="A2731" s="19" t="s">
        <v>153</v>
      </c>
      <c r="B2731" s="19">
        <v>6.63</v>
      </c>
      <c r="C2731" s="19">
        <v>3</v>
      </c>
      <c r="D2731" s="19">
        <v>1.7901</v>
      </c>
    </row>
    <row r="2732" spans="1:4" x14ac:dyDescent="0.2">
      <c r="A2732" s="19" t="s">
        <v>153</v>
      </c>
      <c r="B2732" s="19">
        <v>799.96</v>
      </c>
      <c r="C2732" s="19">
        <v>4</v>
      </c>
      <c r="D2732" s="19">
        <v>343.98280000000005</v>
      </c>
    </row>
    <row r="2733" spans="1:4" x14ac:dyDescent="0.2">
      <c r="A2733" s="19" t="s">
        <v>153</v>
      </c>
      <c r="B2733" s="19">
        <v>107.53</v>
      </c>
      <c r="C2733" s="19">
        <v>1</v>
      </c>
      <c r="D2733" s="19">
        <v>21.506</v>
      </c>
    </row>
    <row r="2734" spans="1:4" x14ac:dyDescent="0.2">
      <c r="A2734" s="19" t="s">
        <v>179</v>
      </c>
      <c r="B2734" s="19">
        <v>73.98</v>
      </c>
      <c r="C2734" s="19">
        <v>2</v>
      </c>
      <c r="D2734" s="19">
        <v>19.974600000000002</v>
      </c>
    </row>
    <row r="2735" spans="1:4" x14ac:dyDescent="0.2">
      <c r="A2735" s="19" t="s">
        <v>179</v>
      </c>
      <c r="B2735" s="19">
        <v>5.58</v>
      </c>
      <c r="C2735" s="19">
        <v>1</v>
      </c>
      <c r="D2735" s="19">
        <v>2.1762000000000001</v>
      </c>
    </row>
    <row r="2736" spans="1:4" x14ac:dyDescent="0.2">
      <c r="A2736" s="19" t="s">
        <v>176</v>
      </c>
      <c r="B2736" s="19">
        <v>49.12</v>
      </c>
      <c r="C2736" s="19">
        <v>4</v>
      </c>
      <c r="D2736" s="19">
        <v>23.086399999999998</v>
      </c>
    </row>
    <row r="2737" spans="1:4" x14ac:dyDescent="0.2">
      <c r="A2737" s="19" t="s">
        <v>162</v>
      </c>
      <c r="B2737" s="19">
        <v>377.96999999999997</v>
      </c>
      <c r="C2737" s="19">
        <v>3</v>
      </c>
      <c r="D2737" s="19">
        <v>94.492500000000007</v>
      </c>
    </row>
    <row r="2738" spans="1:4" x14ac:dyDescent="0.2">
      <c r="A2738" s="19" t="s">
        <v>162</v>
      </c>
      <c r="B2738" s="19">
        <v>42.28</v>
      </c>
      <c r="C2738" s="19">
        <v>7</v>
      </c>
      <c r="D2738" s="19">
        <v>19.871600000000001</v>
      </c>
    </row>
    <row r="2739" spans="1:4" x14ac:dyDescent="0.2">
      <c r="A2739" s="19" t="s">
        <v>162</v>
      </c>
      <c r="B2739" s="19">
        <v>299.96999999999997</v>
      </c>
      <c r="C2739" s="19">
        <v>3</v>
      </c>
      <c r="D2739" s="19">
        <v>56.994299999999981</v>
      </c>
    </row>
    <row r="2740" spans="1:4" x14ac:dyDescent="0.2">
      <c r="A2740" s="19" t="s">
        <v>162</v>
      </c>
      <c r="B2740" s="19">
        <v>89.98</v>
      </c>
      <c r="C2740" s="19">
        <v>2</v>
      </c>
      <c r="D2740" s="19">
        <v>43.190399999999997</v>
      </c>
    </row>
    <row r="2741" spans="1:4" x14ac:dyDescent="0.2">
      <c r="A2741" s="19" t="s">
        <v>168</v>
      </c>
      <c r="B2741" s="19">
        <v>477.24</v>
      </c>
      <c r="C2741" s="19">
        <v>4</v>
      </c>
      <c r="D2741" s="19">
        <v>9.5448000000000093</v>
      </c>
    </row>
    <row r="2742" spans="1:4" x14ac:dyDescent="0.2">
      <c r="A2742" s="19" t="s">
        <v>168</v>
      </c>
      <c r="B2742" s="19">
        <v>25.98</v>
      </c>
      <c r="C2742" s="19">
        <v>2</v>
      </c>
      <c r="D2742" s="19">
        <v>1.558799999999998</v>
      </c>
    </row>
    <row r="2743" spans="1:4" x14ac:dyDescent="0.2">
      <c r="A2743" s="19" t="s">
        <v>173</v>
      </c>
      <c r="B2743" s="19">
        <v>46.72</v>
      </c>
      <c r="C2743" s="19">
        <v>5</v>
      </c>
      <c r="D2743" s="19">
        <v>17.52</v>
      </c>
    </row>
    <row r="2744" spans="1:4" x14ac:dyDescent="0.2">
      <c r="A2744" s="19" t="s">
        <v>150</v>
      </c>
      <c r="B2744" s="19">
        <v>35.340000000000003</v>
      </c>
      <c r="C2744" s="19">
        <v>2</v>
      </c>
      <c r="D2744" s="19">
        <v>13.429200000000002</v>
      </c>
    </row>
    <row r="2745" spans="1:4" x14ac:dyDescent="0.2">
      <c r="A2745" s="19" t="s">
        <v>150</v>
      </c>
      <c r="B2745" s="19">
        <v>257.64</v>
      </c>
      <c r="C2745" s="19">
        <v>6</v>
      </c>
      <c r="D2745" s="19">
        <v>100.4796</v>
      </c>
    </row>
    <row r="2746" spans="1:4" x14ac:dyDescent="0.2">
      <c r="A2746" s="19" t="s">
        <v>150</v>
      </c>
      <c r="B2746" s="19">
        <v>125.97600000000001</v>
      </c>
      <c r="C2746" s="19">
        <v>3</v>
      </c>
      <c r="D2746" s="19">
        <v>47.241</v>
      </c>
    </row>
    <row r="2747" spans="1:4" x14ac:dyDescent="0.2">
      <c r="A2747" s="19" t="s">
        <v>152</v>
      </c>
      <c r="B2747" s="19">
        <v>79.992000000000004</v>
      </c>
      <c r="C2747" s="19">
        <v>1</v>
      </c>
      <c r="D2747" s="19">
        <v>21.997800000000002</v>
      </c>
    </row>
    <row r="2748" spans="1:4" x14ac:dyDescent="0.2">
      <c r="A2748" s="19" t="s">
        <v>180</v>
      </c>
      <c r="B2748" s="19">
        <v>700.05600000000004</v>
      </c>
      <c r="C2748" s="19">
        <v>3</v>
      </c>
      <c r="D2748" s="19">
        <v>-130.0104</v>
      </c>
    </row>
    <row r="2749" spans="1:4" x14ac:dyDescent="0.2">
      <c r="A2749" s="19" t="s">
        <v>154</v>
      </c>
      <c r="B2749" s="19">
        <v>27.168000000000003</v>
      </c>
      <c r="C2749" s="19">
        <v>4</v>
      </c>
      <c r="D2749" s="19">
        <v>-1.3583999999999987</v>
      </c>
    </row>
    <row r="2750" spans="1:4" x14ac:dyDescent="0.2">
      <c r="A2750" s="19" t="s">
        <v>151</v>
      </c>
      <c r="B2750" s="19">
        <v>8.2260000000000009</v>
      </c>
      <c r="C2750" s="19">
        <v>3</v>
      </c>
      <c r="D2750" s="19">
        <v>-6.0323999999999991</v>
      </c>
    </row>
    <row r="2751" spans="1:4" x14ac:dyDescent="0.2">
      <c r="A2751" s="19" t="s">
        <v>153</v>
      </c>
      <c r="B2751" s="19">
        <v>585.55200000000002</v>
      </c>
      <c r="C2751" s="19">
        <v>3</v>
      </c>
      <c r="D2751" s="19">
        <v>73.19399999999996</v>
      </c>
    </row>
    <row r="2752" spans="1:4" x14ac:dyDescent="0.2">
      <c r="A2752" s="19" t="s">
        <v>150</v>
      </c>
      <c r="B2752" s="19">
        <v>423.28</v>
      </c>
      <c r="C2752" s="19">
        <v>11</v>
      </c>
      <c r="D2752" s="19">
        <v>110.05279999999999</v>
      </c>
    </row>
    <row r="2753" spans="1:4" x14ac:dyDescent="0.2">
      <c r="A2753" s="19" t="s">
        <v>150</v>
      </c>
      <c r="B2753" s="19">
        <v>225.29600000000002</v>
      </c>
      <c r="C2753" s="19">
        <v>2</v>
      </c>
      <c r="D2753" s="19">
        <v>22.529599999999995</v>
      </c>
    </row>
    <row r="2754" spans="1:4" x14ac:dyDescent="0.2">
      <c r="A2754" s="19" t="s">
        <v>150</v>
      </c>
      <c r="B2754" s="19">
        <v>5.56</v>
      </c>
      <c r="C2754" s="19">
        <v>2</v>
      </c>
      <c r="D2754" s="19">
        <v>2.2239999999999998</v>
      </c>
    </row>
    <row r="2755" spans="1:4" x14ac:dyDescent="0.2">
      <c r="A2755" s="19" t="s">
        <v>150</v>
      </c>
      <c r="B2755" s="19">
        <v>323.37</v>
      </c>
      <c r="C2755" s="19">
        <v>3</v>
      </c>
      <c r="D2755" s="19">
        <v>129.34800000000001</v>
      </c>
    </row>
    <row r="2756" spans="1:4" x14ac:dyDescent="0.2">
      <c r="A2756" s="19" t="s">
        <v>150</v>
      </c>
      <c r="B2756" s="19">
        <v>783.96000000000015</v>
      </c>
      <c r="C2756" s="19">
        <v>5</v>
      </c>
      <c r="D2756" s="19">
        <v>68.59650000000002</v>
      </c>
    </row>
    <row r="2757" spans="1:4" x14ac:dyDescent="0.2">
      <c r="A2757" s="19" t="s">
        <v>150</v>
      </c>
      <c r="B2757" s="19">
        <v>1447.6499999999999</v>
      </c>
      <c r="C2757" s="19">
        <v>5</v>
      </c>
      <c r="D2757" s="19">
        <v>419.8184999999998</v>
      </c>
    </row>
    <row r="2758" spans="1:4" x14ac:dyDescent="0.2">
      <c r="A2758" s="19" t="s">
        <v>150</v>
      </c>
      <c r="B2758" s="19">
        <v>11.96</v>
      </c>
      <c r="C2758" s="19">
        <v>2</v>
      </c>
      <c r="D2758" s="19">
        <v>5.8604000000000003</v>
      </c>
    </row>
    <row r="2759" spans="1:4" x14ac:dyDescent="0.2">
      <c r="A2759" s="19" t="s">
        <v>164</v>
      </c>
      <c r="B2759" s="19">
        <v>239.96999999999997</v>
      </c>
      <c r="C2759" s="19">
        <v>3</v>
      </c>
      <c r="D2759" s="19">
        <v>71.990999999999985</v>
      </c>
    </row>
    <row r="2760" spans="1:4" x14ac:dyDescent="0.2">
      <c r="A2760" s="19" t="s">
        <v>101</v>
      </c>
      <c r="B2760" s="19">
        <v>76.92</v>
      </c>
      <c r="C2760" s="19">
        <v>4</v>
      </c>
      <c r="D2760" s="19">
        <v>31.537200000000006</v>
      </c>
    </row>
    <row r="2761" spans="1:4" x14ac:dyDescent="0.2">
      <c r="A2761" s="19" t="s">
        <v>101</v>
      </c>
      <c r="B2761" s="19">
        <v>481.32</v>
      </c>
      <c r="C2761" s="19">
        <v>4</v>
      </c>
      <c r="D2761" s="19">
        <v>125.14319999999998</v>
      </c>
    </row>
    <row r="2762" spans="1:4" x14ac:dyDescent="0.2">
      <c r="A2762" s="19" t="s">
        <v>156</v>
      </c>
      <c r="B2762" s="19">
        <v>48.4</v>
      </c>
      <c r="C2762" s="19">
        <v>5</v>
      </c>
      <c r="D2762" s="19">
        <v>23.231999999999999</v>
      </c>
    </row>
    <row r="2763" spans="1:4" x14ac:dyDescent="0.2">
      <c r="A2763" s="19" t="s">
        <v>150</v>
      </c>
      <c r="B2763" s="19">
        <v>0.99</v>
      </c>
      <c r="C2763" s="19">
        <v>1</v>
      </c>
      <c r="D2763" s="19">
        <v>0.4356000000000001</v>
      </c>
    </row>
    <row r="2764" spans="1:4" x14ac:dyDescent="0.2">
      <c r="A2764" s="19" t="s">
        <v>150</v>
      </c>
      <c r="B2764" s="19">
        <v>101.84</v>
      </c>
      <c r="C2764" s="19">
        <v>5</v>
      </c>
      <c r="D2764" s="19">
        <v>36.917000000000002</v>
      </c>
    </row>
    <row r="2765" spans="1:4" x14ac:dyDescent="0.2">
      <c r="A2765" s="19" t="s">
        <v>158</v>
      </c>
      <c r="B2765" s="19">
        <v>10.332000000000003</v>
      </c>
      <c r="C2765" s="19">
        <v>3</v>
      </c>
      <c r="D2765" s="19">
        <v>-7.5767999999999986</v>
      </c>
    </row>
    <row r="2766" spans="1:4" x14ac:dyDescent="0.2">
      <c r="A2766" s="19" t="s">
        <v>158</v>
      </c>
      <c r="B2766" s="19">
        <v>31.155000000000005</v>
      </c>
      <c r="C2766" s="19">
        <v>5</v>
      </c>
      <c r="D2766" s="19">
        <v>-23.8855</v>
      </c>
    </row>
    <row r="2767" spans="1:4" x14ac:dyDescent="0.2">
      <c r="A2767" s="19" t="s">
        <v>158</v>
      </c>
      <c r="B2767" s="19">
        <v>8.9280000000000008</v>
      </c>
      <c r="C2767" s="19">
        <v>2</v>
      </c>
      <c r="D2767" s="19">
        <v>0.66959999999999997</v>
      </c>
    </row>
    <row r="2768" spans="1:4" x14ac:dyDescent="0.2">
      <c r="A2768" s="19" t="s">
        <v>158</v>
      </c>
      <c r="B2768" s="19">
        <v>34.384</v>
      </c>
      <c r="C2768" s="19">
        <v>1</v>
      </c>
      <c r="D2768" s="19">
        <v>3.8681999999999945</v>
      </c>
    </row>
    <row r="2769" spans="1:4" x14ac:dyDescent="0.2">
      <c r="A2769" s="19" t="s">
        <v>158</v>
      </c>
      <c r="B2769" s="19">
        <v>1924.1599999999999</v>
      </c>
      <c r="C2769" s="19">
        <v>8</v>
      </c>
      <c r="D2769" s="19">
        <v>312.67599999999993</v>
      </c>
    </row>
    <row r="2770" spans="1:4" x14ac:dyDescent="0.2">
      <c r="A2770" s="19" t="s">
        <v>154</v>
      </c>
      <c r="B2770" s="19">
        <v>32.191999999999993</v>
      </c>
      <c r="C2770" s="19">
        <v>2</v>
      </c>
      <c r="D2770" s="19">
        <v>-80.48</v>
      </c>
    </row>
    <row r="2771" spans="1:4" x14ac:dyDescent="0.2">
      <c r="A2771" s="19" t="s">
        <v>154</v>
      </c>
      <c r="B2771" s="19">
        <v>50.120000000000005</v>
      </c>
      <c r="C2771" s="19">
        <v>7</v>
      </c>
      <c r="D2771" s="19">
        <v>-0.62650000000000716</v>
      </c>
    </row>
    <row r="2772" spans="1:4" x14ac:dyDescent="0.2">
      <c r="A2772" s="19" t="s">
        <v>154</v>
      </c>
      <c r="B2772" s="19">
        <v>47.975999999999999</v>
      </c>
      <c r="C2772" s="19">
        <v>3</v>
      </c>
      <c r="D2772" s="19">
        <v>1.7990999999999993</v>
      </c>
    </row>
    <row r="2773" spans="1:4" x14ac:dyDescent="0.2">
      <c r="A2773" s="19" t="s">
        <v>155</v>
      </c>
      <c r="B2773" s="19">
        <v>54.5</v>
      </c>
      <c r="C2773" s="19">
        <v>5</v>
      </c>
      <c r="D2773" s="19">
        <v>14.169999999999998</v>
      </c>
    </row>
    <row r="2774" spans="1:4" x14ac:dyDescent="0.2">
      <c r="A2774" s="19" t="s">
        <v>151</v>
      </c>
      <c r="B2774" s="19">
        <v>19.103999999999999</v>
      </c>
      <c r="C2774" s="19">
        <v>3</v>
      </c>
      <c r="D2774" s="19">
        <v>5.7312000000000012</v>
      </c>
    </row>
    <row r="2775" spans="1:4" x14ac:dyDescent="0.2">
      <c r="A2775" s="19" t="s">
        <v>161</v>
      </c>
      <c r="B2775" s="19">
        <v>49.44</v>
      </c>
      <c r="C2775" s="19">
        <v>3</v>
      </c>
      <c r="D2775" s="19">
        <v>24.2256</v>
      </c>
    </row>
    <row r="2776" spans="1:4" x14ac:dyDescent="0.2">
      <c r="A2776" s="19" t="s">
        <v>173</v>
      </c>
      <c r="B2776" s="19">
        <v>10.368000000000002</v>
      </c>
      <c r="C2776" s="19">
        <v>2</v>
      </c>
      <c r="D2776" s="19">
        <v>3.6288</v>
      </c>
    </row>
    <row r="2777" spans="1:4" x14ac:dyDescent="0.2">
      <c r="A2777" s="19" t="s">
        <v>150</v>
      </c>
      <c r="B2777" s="19">
        <v>154.44</v>
      </c>
      <c r="C2777" s="19">
        <v>3</v>
      </c>
      <c r="D2777" s="19">
        <v>1.5444000000000031</v>
      </c>
    </row>
    <row r="2778" spans="1:4" x14ac:dyDescent="0.2">
      <c r="A2778" s="19" t="s">
        <v>171</v>
      </c>
      <c r="B2778" s="19">
        <v>60.984000000000009</v>
      </c>
      <c r="C2778" s="19">
        <v>7</v>
      </c>
      <c r="D2778" s="19">
        <v>4.5737999999999985</v>
      </c>
    </row>
    <row r="2779" spans="1:4" x14ac:dyDescent="0.2">
      <c r="A2779" s="19" t="s">
        <v>150</v>
      </c>
      <c r="B2779" s="19">
        <v>195.46600000000001</v>
      </c>
      <c r="C2779" s="19">
        <v>2</v>
      </c>
      <c r="D2779" s="19">
        <v>-13.797600000000017</v>
      </c>
    </row>
    <row r="2780" spans="1:4" x14ac:dyDescent="0.2">
      <c r="A2780" s="19" t="s">
        <v>151</v>
      </c>
      <c r="B2780" s="19">
        <v>23.680000000000003</v>
      </c>
      <c r="C2780" s="19">
        <v>8</v>
      </c>
      <c r="D2780" s="19">
        <v>6.216000000000002</v>
      </c>
    </row>
    <row r="2781" spans="1:4" x14ac:dyDescent="0.2">
      <c r="A2781" s="19" t="s">
        <v>151</v>
      </c>
      <c r="B2781" s="19">
        <v>2.3760000000000003</v>
      </c>
      <c r="C2781" s="19">
        <v>3</v>
      </c>
      <c r="D2781" s="19">
        <v>0.74249999999999994</v>
      </c>
    </row>
    <row r="2782" spans="1:4" x14ac:dyDescent="0.2">
      <c r="A2782" s="19" t="s">
        <v>164</v>
      </c>
      <c r="B2782" s="19">
        <v>59.2</v>
      </c>
      <c r="C2782" s="19">
        <v>4</v>
      </c>
      <c r="D2782" s="19">
        <v>29.6</v>
      </c>
    </row>
    <row r="2783" spans="1:4" x14ac:dyDescent="0.2">
      <c r="A2783" s="19" t="s">
        <v>160</v>
      </c>
      <c r="B2783" s="19">
        <v>22</v>
      </c>
      <c r="C2783" s="19">
        <v>10</v>
      </c>
      <c r="D2783" s="19">
        <v>9.6800000000000015</v>
      </c>
    </row>
    <row r="2784" spans="1:4" x14ac:dyDescent="0.2">
      <c r="A2784" s="19" t="s">
        <v>161</v>
      </c>
      <c r="B2784" s="19">
        <v>257.98</v>
      </c>
      <c r="C2784" s="19">
        <v>2</v>
      </c>
      <c r="D2784" s="19">
        <v>74.8142</v>
      </c>
    </row>
    <row r="2785" spans="1:4" x14ac:dyDescent="0.2">
      <c r="A2785" s="19" t="s">
        <v>158</v>
      </c>
      <c r="B2785" s="19">
        <v>23.987999999999996</v>
      </c>
      <c r="C2785" s="19">
        <v>2</v>
      </c>
      <c r="D2785" s="19">
        <v>-15.991999999999999</v>
      </c>
    </row>
    <row r="2786" spans="1:4" x14ac:dyDescent="0.2">
      <c r="A2786" s="19" t="s">
        <v>173</v>
      </c>
      <c r="B2786" s="19">
        <v>23.975999999999999</v>
      </c>
      <c r="C2786" s="19">
        <v>4</v>
      </c>
      <c r="D2786" s="19">
        <v>-15.584400000000002</v>
      </c>
    </row>
    <row r="2787" spans="1:4" x14ac:dyDescent="0.2">
      <c r="A2787" s="19" t="s">
        <v>150</v>
      </c>
      <c r="B2787" s="19">
        <v>601.53599999999994</v>
      </c>
      <c r="C2787" s="19">
        <v>4</v>
      </c>
      <c r="D2787" s="19">
        <v>0</v>
      </c>
    </row>
    <row r="2788" spans="1:4" x14ac:dyDescent="0.2">
      <c r="A2788" s="19" t="s">
        <v>150</v>
      </c>
      <c r="B2788" s="19">
        <v>7.9</v>
      </c>
      <c r="C2788" s="19">
        <v>2</v>
      </c>
      <c r="D2788" s="19">
        <v>2.5279999999999996</v>
      </c>
    </row>
    <row r="2789" spans="1:4" x14ac:dyDescent="0.2">
      <c r="A2789" s="19" t="s">
        <v>154</v>
      </c>
      <c r="B2789" s="19">
        <v>58.36</v>
      </c>
      <c r="C2789" s="19">
        <v>5</v>
      </c>
      <c r="D2789" s="19">
        <v>-24.802999999999997</v>
      </c>
    </row>
    <row r="2790" spans="1:4" x14ac:dyDescent="0.2">
      <c r="A2790" s="19" t="s">
        <v>154</v>
      </c>
      <c r="B2790" s="19">
        <v>16.463999999999999</v>
      </c>
      <c r="C2790" s="19">
        <v>7</v>
      </c>
      <c r="D2790" s="19">
        <v>1.4406000000000008</v>
      </c>
    </row>
    <row r="2791" spans="1:4" x14ac:dyDescent="0.2">
      <c r="A2791" s="19" t="s">
        <v>154</v>
      </c>
      <c r="B2791" s="19">
        <v>39.960000000000008</v>
      </c>
      <c r="C2791" s="19">
        <v>5</v>
      </c>
      <c r="D2791" s="19">
        <v>-23.975999999999999</v>
      </c>
    </row>
    <row r="2792" spans="1:4" x14ac:dyDescent="0.2">
      <c r="A2792" s="19" t="s">
        <v>157</v>
      </c>
      <c r="B2792" s="19">
        <v>25.96</v>
      </c>
      <c r="C2792" s="19">
        <v>2</v>
      </c>
      <c r="D2792" s="19">
        <v>7.5283999999999978</v>
      </c>
    </row>
    <row r="2793" spans="1:4" x14ac:dyDescent="0.2">
      <c r="A2793" s="19" t="s">
        <v>157</v>
      </c>
      <c r="B2793" s="19">
        <v>36.269999999999996</v>
      </c>
      <c r="C2793" s="19">
        <v>3</v>
      </c>
      <c r="D2793" s="19">
        <v>10.880999999999997</v>
      </c>
    </row>
    <row r="2794" spans="1:4" x14ac:dyDescent="0.2">
      <c r="A2794" s="19" t="s">
        <v>157</v>
      </c>
      <c r="B2794" s="19">
        <v>6.48</v>
      </c>
      <c r="C2794" s="19">
        <v>1</v>
      </c>
      <c r="D2794" s="19">
        <v>3.1104000000000003</v>
      </c>
    </row>
    <row r="2795" spans="1:4" x14ac:dyDescent="0.2">
      <c r="A2795" s="19" t="s">
        <v>150</v>
      </c>
      <c r="B2795" s="19">
        <v>1075.088</v>
      </c>
      <c r="C2795" s="19">
        <v>14</v>
      </c>
      <c r="D2795" s="19">
        <v>94.070199999999943</v>
      </c>
    </row>
    <row r="2796" spans="1:4" x14ac:dyDescent="0.2">
      <c r="A2796" s="19" t="s">
        <v>150</v>
      </c>
      <c r="B2796" s="19">
        <v>438.36800000000005</v>
      </c>
      <c r="C2796" s="19">
        <v>4</v>
      </c>
      <c r="D2796" s="19">
        <v>38.357200000000006</v>
      </c>
    </row>
    <row r="2797" spans="1:4" x14ac:dyDescent="0.2">
      <c r="A2797" s="19" t="s">
        <v>150</v>
      </c>
      <c r="B2797" s="19">
        <v>18.088000000000001</v>
      </c>
      <c r="C2797" s="19">
        <v>7</v>
      </c>
      <c r="D2797" s="19">
        <v>6.5569000000000006</v>
      </c>
    </row>
    <row r="2798" spans="1:4" x14ac:dyDescent="0.2">
      <c r="A2798" s="19" t="s">
        <v>150</v>
      </c>
      <c r="B2798" s="19">
        <v>308.49900000000002</v>
      </c>
      <c r="C2798" s="19">
        <v>3</v>
      </c>
      <c r="D2798" s="19">
        <v>-18.146999999999998</v>
      </c>
    </row>
    <row r="2799" spans="1:4" x14ac:dyDescent="0.2">
      <c r="A2799" s="19" t="s">
        <v>184</v>
      </c>
      <c r="B2799" s="19">
        <v>13.36</v>
      </c>
      <c r="C2799" s="19">
        <v>4</v>
      </c>
      <c r="D2799" s="19">
        <v>4.1415999999999986</v>
      </c>
    </row>
    <row r="2800" spans="1:4" x14ac:dyDescent="0.2">
      <c r="A2800" s="19" t="s">
        <v>184</v>
      </c>
      <c r="B2800" s="19">
        <v>39.96</v>
      </c>
      <c r="C2800" s="19">
        <v>2</v>
      </c>
      <c r="D2800" s="19">
        <v>18.781199999999998</v>
      </c>
    </row>
    <row r="2801" spans="1:4" x14ac:dyDescent="0.2">
      <c r="A2801" s="19" t="s">
        <v>184</v>
      </c>
      <c r="B2801" s="19">
        <v>145.85000000000002</v>
      </c>
      <c r="C2801" s="19">
        <v>5</v>
      </c>
      <c r="D2801" s="19">
        <v>70.007999999999996</v>
      </c>
    </row>
    <row r="2802" spans="1:4" x14ac:dyDescent="0.2">
      <c r="A2802" s="19" t="s">
        <v>151</v>
      </c>
      <c r="B2802" s="19">
        <v>783.96000000000015</v>
      </c>
      <c r="C2802" s="19">
        <v>5</v>
      </c>
      <c r="D2802" s="19">
        <v>78.396000000000043</v>
      </c>
    </row>
    <row r="2803" spans="1:4" x14ac:dyDescent="0.2">
      <c r="A2803" s="19" t="s">
        <v>170</v>
      </c>
      <c r="B2803" s="19">
        <v>7.88</v>
      </c>
      <c r="C2803" s="19">
        <v>1</v>
      </c>
      <c r="D2803" s="19">
        <v>1.7730000000000004</v>
      </c>
    </row>
    <row r="2804" spans="1:4" x14ac:dyDescent="0.2">
      <c r="A2804" s="19" t="s">
        <v>176</v>
      </c>
      <c r="B2804" s="19">
        <v>41.37</v>
      </c>
      <c r="C2804" s="19">
        <v>3</v>
      </c>
      <c r="D2804" s="19">
        <v>17.375399999999999</v>
      </c>
    </row>
    <row r="2805" spans="1:4" x14ac:dyDescent="0.2">
      <c r="A2805" s="19" t="s">
        <v>150</v>
      </c>
      <c r="B2805" s="19">
        <v>12.84</v>
      </c>
      <c r="C2805" s="19">
        <v>3</v>
      </c>
      <c r="D2805" s="19">
        <v>5.7779999999999987</v>
      </c>
    </row>
    <row r="2806" spans="1:4" x14ac:dyDescent="0.2">
      <c r="A2806" s="19" t="s">
        <v>150</v>
      </c>
      <c r="B2806" s="19">
        <v>25.68</v>
      </c>
      <c r="C2806" s="19">
        <v>6</v>
      </c>
      <c r="D2806" s="19">
        <v>11.555999999999997</v>
      </c>
    </row>
    <row r="2807" spans="1:4" x14ac:dyDescent="0.2">
      <c r="A2807" s="19" t="s">
        <v>154</v>
      </c>
      <c r="B2807" s="19">
        <v>47.515999999999991</v>
      </c>
      <c r="C2807" s="19">
        <v>2</v>
      </c>
      <c r="D2807" s="19">
        <v>-2.0364000000000004</v>
      </c>
    </row>
    <row r="2808" spans="1:4" x14ac:dyDescent="0.2">
      <c r="A2808" s="19" t="s">
        <v>153</v>
      </c>
      <c r="B2808" s="19">
        <v>9.42</v>
      </c>
      <c r="C2808" s="19">
        <v>2</v>
      </c>
      <c r="D2808" s="19">
        <v>0.47100000000000009</v>
      </c>
    </row>
    <row r="2809" spans="1:4" x14ac:dyDescent="0.2">
      <c r="A2809" s="19" t="s">
        <v>153</v>
      </c>
      <c r="B2809" s="19">
        <v>12.96</v>
      </c>
      <c r="C2809" s="19">
        <v>2</v>
      </c>
      <c r="D2809" s="19">
        <v>6.2208000000000006</v>
      </c>
    </row>
    <row r="2810" spans="1:4" x14ac:dyDescent="0.2">
      <c r="A2810" s="19" t="s">
        <v>153</v>
      </c>
      <c r="B2810" s="19">
        <v>704.9</v>
      </c>
      <c r="C2810" s="19">
        <v>5</v>
      </c>
      <c r="D2810" s="19">
        <v>56.392000000000024</v>
      </c>
    </row>
    <row r="2811" spans="1:4" x14ac:dyDescent="0.2">
      <c r="A2811" s="19" t="s">
        <v>153</v>
      </c>
      <c r="B2811" s="19">
        <v>561.5680000000001</v>
      </c>
      <c r="C2811" s="19">
        <v>2</v>
      </c>
      <c r="D2811" s="19">
        <v>28.078400000000016</v>
      </c>
    </row>
    <row r="2812" spans="1:4" x14ac:dyDescent="0.2">
      <c r="A2812" s="19" t="s">
        <v>155</v>
      </c>
      <c r="B2812" s="19">
        <v>179.82</v>
      </c>
      <c r="C2812" s="19">
        <v>9</v>
      </c>
      <c r="D2812" s="19">
        <v>84.5154</v>
      </c>
    </row>
    <row r="2813" spans="1:4" x14ac:dyDescent="0.2">
      <c r="A2813" s="19" t="s">
        <v>155</v>
      </c>
      <c r="B2813" s="19">
        <v>185.57999999999998</v>
      </c>
      <c r="C2813" s="19">
        <v>6</v>
      </c>
      <c r="D2813" s="19">
        <v>76.087800000000001</v>
      </c>
    </row>
    <row r="2814" spans="1:4" x14ac:dyDescent="0.2">
      <c r="A2814" s="19" t="s">
        <v>155</v>
      </c>
      <c r="B2814" s="19">
        <v>214.11</v>
      </c>
      <c r="C2814" s="19">
        <v>3</v>
      </c>
      <c r="D2814" s="19">
        <v>36.398699999999977</v>
      </c>
    </row>
    <row r="2815" spans="1:4" x14ac:dyDescent="0.2">
      <c r="A2815" s="19" t="s">
        <v>155</v>
      </c>
      <c r="B2815" s="19">
        <v>999.96</v>
      </c>
      <c r="C2815" s="19">
        <v>4</v>
      </c>
      <c r="D2815" s="19">
        <v>229.99080000000004</v>
      </c>
    </row>
    <row r="2816" spans="1:4" x14ac:dyDescent="0.2">
      <c r="A2816" s="19" t="s">
        <v>155</v>
      </c>
      <c r="B2816" s="19">
        <v>653.54999999999995</v>
      </c>
      <c r="C2816" s="19">
        <v>3</v>
      </c>
      <c r="D2816" s="19">
        <v>111.10349999999994</v>
      </c>
    </row>
    <row r="2817" spans="1:4" x14ac:dyDescent="0.2">
      <c r="A2817" s="19" t="s">
        <v>180</v>
      </c>
      <c r="B2817" s="19">
        <v>114.60000000000001</v>
      </c>
      <c r="C2817" s="19">
        <v>5</v>
      </c>
      <c r="D2817" s="19">
        <v>51.57</v>
      </c>
    </row>
    <row r="2818" spans="1:4" x14ac:dyDescent="0.2">
      <c r="A2818" s="19" t="s">
        <v>180</v>
      </c>
      <c r="B2818" s="19">
        <v>60.74</v>
      </c>
      <c r="C2818" s="19">
        <v>1</v>
      </c>
      <c r="D2818" s="19">
        <v>15.185000000000002</v>
      </c>
    </row>
    <row r="2819" spans="1:4" x14ac:dyDescent="0.2">
      <c r="A2819" s="19" t="s">
        <v>180</v>
      </c>
      <c r="B2819" s="19">
        <v>124.36</v>
      </c>
      <c r="C2819" s="19">
        <v>2</v>
      </c>
      <c r="D2819" s="19">
        <v>27.359200000000001</v>
      </c>
    </row>
    <row r="2820" spans="1:4" x14ac:dyDescent="0.2">
      <c r="A2820" s="19" t="s">
        <v>180</v>
      </c>
      <c r="B2820" s="19">
        <v>1088.76</v>
      </c>
      <c r="C2820" s="19">
        <v>6</v>
      </c>
      <c r="D2820" s="19">
        <v>315.74039999999985</v>
      </c>
    </row>
    <row r="2821" spans="1:4" x14ac:dyDescent="0.2">
      <c r="A2821" s="19" t="s">
        <v>150</v>
      </c>
      <c r="B2821" s="19">
        <v>6.7200000000000006</v>
      </c>
      <c r="C2821" s="19">
        <v>5</v>
      </c>
      <c r="D2821" s="19">
        <v>2.351999999999999</v>
      </c>
    </row>
    <row r="2822" spans="1:4" x14ac:dyDescent="0.2">
      <c r="A2822" s="19" t="s">
        <v>150</v>
      </c>
      <c r="B2822" s="19">
        <v>298.77600000000001</v>
      </c>
      <c r="C2822" s="19">
        <v>3</v>
      </c>
      <c r="D2822" s="19">
        <v>7.4693999999999932</v>
      </c>
    </row>
    <row r="2823" spans="1:4" x14ac:dyDescent="0.2">
      <c r="A2823" s="19" t="s">
        <v>150</v>
      </c>
      <c r="B2823" s="19">
        <v>302.37599999999998</v>
      </c>
      <c r="C2823" s="19">
        <v>3</v>
      </c>
      <c r="D2823" s="19">
        <v>22.678200000000018</v>
      </c>
    </row>
    <row r="2824" spans="1:4" x14ac:dyDescent="0.2">
      <c r="A2824" s="19" t="s">
        <v>154</v>
      </c>
      <c r="B2824" s="19">
        <v>8.9280000000000008</v>
      </c>
      <c r="C2824" s="19">
        <v>2</v>
      </c>
      <c r="D2824" s="19">
        <v>0.55799999999999894</v>
      </c>
    </row>
    <row r="2825" spans="1:4" x14ac:dyDescent="0.2">
      <c r="A2825" s="19" t="s">
        <v>154</v>
      </c>
      <c r="B2825" s="19">
        <v>47.584000000000003</v>
      </c>
      <c r="C2825" s="19">
        <v>2</v>
      </c>
      <c r="D2825" s="19">
        <v>-2.9739999999999966</v>
      </c>
    </row>
    <row r="2826" spans="1:4" x14ac:dyDescent="0.2">
      <c r="A2826" s="19" t="s">
        <v>154</v>
      </c>
      <c r="B2826" s="19">
        <v>33.792000000000002</v>
      </c>
      <c r="C2826" s="19">
        <v>8</v>
      </c>
      <c r="D2826" s="19">
        <v>10.559999999999999</v>
      </c>
    </row>
    <row r="2827" spans="1:4" x14ac:dyDescent="0.2">
      <c r="A2827" s="19" t="s">
        <v>154</v>
      </c>
      <c r="B2827" s="19">
        <v>300.53279999999995</v>
      </c>
      <c r="C2827" s="19">
        <v>2</v>
      </c>
      <c r="D2827" s="19">
        <v>-97.23120000000003</v>
      </c>
    </row>
    <row r="2828" spans="1:4" x14ac:dyDescent="0.2">
      <c r="A2828" s="19" t="s">
        <v>154</v>
      </c>
      <c r="B2828" s="19">
        <v>2.7239999999999993</v>
      </c>
      <c r="C2828" s="19">
        <v>2</v>
      </c>
      <c r="D2828" s="19">
        <v>-4.3584000000000014</v>
      </c>
    </row>
    <row r="2829" spans="1:4" x14ac:dyDescent="0.2">
      <c r="A2829" s="19" t="s">
        <v>154</v>
      </c>
      <c r="B2829" s="19">
        <v>3.2640000000000002</v>
      </c>
      <c r="C2829" s="19">
        <v>2</v>
      </c>
      <c r="D2829" s="19">
        <v>1.1015999999999997</v>
      </c>
    </row>
    <row r="2830" spans="1:4" x14ac:dyDescent="0.2">
      <c r="A2830" s="19" t="s">
        <v>173</v>
      </c>
      <c r="B2830" s="19">
        <v>108.33600000000001</v>
      </c>
      <c r="C2830" s="19">
        <v>6</v>
      </c>
      <c r="D2830" s="19">
        <v>37.917599999999993</v>
      </c>
    </row>
    <row r="2831" spans="1:4" x14ac:dyDescent="0.2">
      <c r="A2831" s="19" t="s">
        <v>173</v>
      </c>
      <c r="B2831" s="19">
        <v>55.92</v>
      </c>
      <c r="C2831" s="19">
        <v>5</v>
      </c>
      <c r="D2831" s="19">
        <v>6.2910000000000004</v>
      </c>
    </row>
    <row r="2832" spans="1:4" x14ac:dyDescent="0.2">
      <c r="A2832" s="19" t="s">
        <v>173</v>
      </c>
      <c r="B2832" s="19">
        <v>78.304000000000002</v>
      </c>
      <c r="C2832" s="19">
        <v>2</v>
      </c>
      <c r="D2832" s="19">
        <v>29.363999999999997</v>
      </c>
    </row>
    <row r="2833" spans="1:4" x14ac:dyDescent="0.2">
      <c r="A2833" s="19" t="s">
        <v>170</v>
      </c>
      <c r="B2833" s="19">
        <v>443.92</v>
      </c>
      <c r="C2833" s="19">
        <v>5</v>
      </c>
      <c r="D2833" s="19">
        <v>-94.33299999999997</v>
      </c>
    </row>
    <row r="2834" spans="1:4" x14ac:dyDescent="0.2">
      <c r="A2834" s="19" t="s">
        <v>170</v>
      </c>
      <c r="B2834" s="19">
        <v>155.976</v>
      </c>
      <c r="C2834" s="19">
        <v>3</v>
      </c>
      <c r="D2834" s="19">
        <v>54.5916</v>
      </c>
    </row>
    <row r="2835" spans="1:4" x14ac:dyDescent="0.2">
      <c r="A2835" s="19" t="s">
        <v>168</v>
      </c>
      <c r="B2835" s="19">
        <v>15.469999999999999</v>
      </c>
      <c r="C2835" s="19">
        <v>7</v>
      </c>
      <c r="D2835" s="19">
        <v>4.1768999999999998</v>
      </c>
    </row>
    <row r="2836" spans="1:4" x14ac:dyDescent="0.2">
      <c r="A2836" s="19" t="s">
        <v>168</v>
      </c>
      <c r="B2836" s="19">
        <v>7.16</v>
      </c>
      <c r="C2836" s="19">
        <v>2</v>
      </c>
      <c r="D2836" s="19">
        <v>3.4367999999999999</v>
      </c>
    </row>
    <row r="2837" spans="1:4" x14ac:dyDescent="0.2">
      <c r="A2837" s="19" t="s">
        <v>150</v>
      </c>
      <c r="B2837" s="19">
        <v>10.89</v>
      </c>
      <c r="C2837" s="19">
        <v>1</v>
      </c>
      <c r="D2837" s="19">
        <v>2.8314000000000004</v>
      </c>
    </row>
    <row r="2838" spans="1:4" x14ac:dyDescent="0.2">
      <c r="A2838" s="19" t="s">
        <v>150</v>
      </c>
      <c r="B2838" s="19">
        <v>19.440000000000001</v>
      </c>
      <c r="C2838" s="19">
        <v>3</v>
      </c>
      <c r="D2838" s="19">
        <v>9.3312000000000008</v>
      </c>
    </row>
    <row r="2839" spans="1:4" x14ac:dyDescent="0.2">
      <c r="A2839" s="19" t="s">
        <v>150</v>
      </c>
      <c r="B2839" s="19">
        <v>121.6</v>
      </c>
      <c r="C2839" s="19">
        <v>5</v>
      </c>
      <c r="D2839" s="19">
        <v>39.519999999999989</v>
      </c>
    </row>
    <row r="2840" spans="1:4" x14ac:dyDescent="0.2">
      <c r="A2840" s="19" t="s">
        <v>151</v>
      </c>
      <c r="B2840" s="19">
        <v>695.7</v>
      </c>
      <c r="C2840" s="19">
        <v>2</v>
      </c>
      <c r="D2840" s="19">
        <v>-27.827999999999975</v>
      </c>
    </row>
    <row r="2841" spans="1:4" x14ac:dyDescent="0.2">
      <c r="A2841" s="19" t="s">
        <v>164</v>
      </c>
      <c r="B2841" s="19">
        <v>120.33</v>
      </c>
      <c r="C2841" s="19">
        <v>1</v>
      </c>
      <c r="D2841" s="19">
        <v>31.285799999999995</v>
      </c>
    </row>
    <row r="2842" spans="1:4" x14ac:dyDescent="0.2">
      <c r="A2842" s="19" t="s">
        <v>166</v>
      </c>
      <c r="B2842" s="19">
        <v>1139.92</v>
      </c>
      <c r="C2842" s="19">
        <v>4</v>
      </c>
      <c r="D2842" s="19">
        <v>284.98</v>
      </c>
    </row>
    <row r="2843" spans="1:4" x14ac:dyDescent="0.2">
      <c r="A2843" s="19" t="s">
        <v>152</v>
      </c>
      <c r="B2843" s="19">
        <v>229.54400000000001</v>
      </c>
      <c r="C2843" s="19">
        <v>7</v>
      </c>
      <c r="D2843" s="19">
        <v>83.209699999999998</v>
      </c>
    </row>
    <row r="2844" spans="1:4" x14ac:dyDescent="0.2">
      <c r="A2844" s="19" t="s">
        <v>154</v>
      </c>
      <c r="B2844" s="19">
        <v>143.72800000000001</v>
      </c>
      <c r="C2844" s="19">
        <v>2</v>
      </c>
      <c r="D2844" s="19">
        <v>-32.338800000000006</v>
      </c>
    </row>
    <row r="2845" spans="1:4" x14ac:dyDescent="0.2">
      <c r="A2845" s="19" t="s">
        <v>158</v>
      </c>
      <c r="B2845" s="19">
        <v>36.048000000000002</v>
      </c>
      <c r="C2845" s="19">
        <v>3</v>
      </c>
      <c r="D2845" s="19">
        <v>-0.90120000000000111</v>
      </c>
    </row>
    <row r="2846" spans="1:4" x14ac:dyDescent="0.2">
      <c r="A2846" s="19" t="s">
        <v>159</v>
      </c>
      <c r="B2846" s="19">
        <v>845.48799999999994</v>
      </c>
      <c r="C2846" s="19">
        <v>8</v>
      </c>
      <c r="D2846" s="19">
        <v>-12.078400000000101</v>
      </c>
    </row>
    <row r="2847" spans="1:4" x14ac:dyDescent="0.2">
      <c r="A2847" s="19" t="s">
        <v>180</v>
      </c>
      <c r="B2847" s="19">
        <v>50.94</v>
      </c>
      <c r="C2847" s="19">
        <v>3</v>
      </c>
      <c r="D2847" s="19">
        <v>14.263200000000001</v>
      </c>
    </row>
    <row r="2848" spans="1:4" x14ac:dyDescent="0.2">
      <c r="A2848" s="19" t="s">
        <v>159</v>
      </c>
      <c r="B2848" s="19">
        <v>762.59399999999982</v>
      </c>
      <c r="C2848" s="19">
        <v>3</v>
      </c>
      <c r="D2848" s="19">
        <v>-1143.8910000000001</v>
      </c>
    </row>
    <row r="2849" spans="1:4" x14ac:dyDescent="0.2">
      <c r="A2849" s="19" t="s">
        <v>101</v>
      </c>
      <c r="B2849" s="19">
        <v>56.28</v>
      </c>
      <c r="C2849" s="19">
        <v>6</v>
      </c>
      <c r="D2849" s="19">
        <v>15.758400000000002</v>
      </c>
    </row>
    <row r="2850" spans="1:4" x14ac:dyDescent="0.2">
      <c r="A2850" s="19" t="s">
        <v>101</v>
      </c>
      <c r="B2850" s="19">
        <v>2690.9700000000003</v>
      </c>
      <c r="C2850" s="19">
        <v>3</v>
      </c>
      <c r="D2850" s="19">
        <v>1264.7558999999999</v>
      </c>
    </row>
    <row r="2851" spans="1:4" x14ac:dyDescent="0.2">
      <c r="A2851" s="19" t="s">
        <v>151</v>
      </c>
      <c r="B2851" s="19">
        <v>7.4340000000000011</v>
      </c>
      <c r="C2851" s="19">
        <v>6</v>
      </c>
      <c r="D2851" s="19">
        <v>-5.6993999999999971</v>
      </c>
    </row>
    <row r="2852" spans="1:4" x14ac:dyDescent="0.2">
      <c r="A2852" s="19" t="s">
        <v>158</v>
      </c>
      <c r="B2852" s="19">
        <v>64.784000000000006</v>
      </c>
      <c r="C2852" s="19">
        <v>1</v>
      </c>
      <c r="D2852" s="19">
        <v>-12.956800000000005</v>
      </c>
    </row>
    <row r="2853" spans="1:4" x14ac:dyDescent="0.2">
      <c r="A2853" s="19" t="s">
        <v>163</v>
      </c>
      <c r="B2853" s="19">
        <v>28.16</v>
      </c>
      <c r="C2853" s="19">
        <v>4</v>
      </c>
      <c r="D2853" s="19">
        <v>13.235199999999999</v>
      </c>
    </row>
    <row r="2854" spans="1:4" x14ac:dyDescent="0.2">
      <c r="A2854" s="19" t="s">
        <v>164</v>
      </c>
      <c r="B2854" s="19">
        <v>14.98</v>
      </c>
      <c r="C2854" s="19">
        <v>1</v>
      </c>
      <c r="D2854" s="19">
        <v>6.8908000000000005</v>
      </c>
    </row>
    <row r="2855" spans="1:4" x14ac:dyDescent="0.2">
      <c r="A2855" s="19" t="s">
        <v>164</v>
      </c>
      <c r="B2855" s="19">
        <v>20.32</v>
      </c>
      <c r="C2855" s="19">
        <v>4</v>
      </c>
      <c r="D2855" s="19">
        <v>6.9087999999999994</v>
      </c>
    </row>
    <row r="2856" spans="1:4" x14ac:dyDescent="0.2">
      <c r="A2856" s="19" t="s">
        <v>180</v>
      </c>
      <c r="B2856" s="19">
        <v>40.29</v>
      </c>
      <c r="C2856" s="19">
        <v>3</v>
      </c>
      <c r="D2856" s="19">
        <v>10.475399999999999</v>
      </c>
    </row>
    <row r="2857" spans="1:4" x14ac:dyDescent="0.2">
      <c r="A2857" s="19" t="s">
        <v>192</v>
      </c>
      <c r="B2857" s="19">
        <v>20.23</v>
      </c>
      <c r="C2857" s="19">
        <v>7</v>
      </c>
      <c r="D2857" s="19">
        <v>9.5081000000000007</v>
      </c>
    </row>
    <row r="2858" spans="1:4" x14ac:dyDescent="0.2">
      <c r="A2858" s="19" t="s">
        <v>150</v>
      </c>
      <c r="B2858" s="19">
        <v>1603.1360000000002</v>
      </c>
      <c r="C2858" s="19">
        <v>4</v>
      </c>
      <c r="D2858" s="19">
        <v>100.19599999999997</v>
      </c>
    </row>
    <row r="2859" spans="1:4" x14ac:dyDescent="0.2">
      <c r="A2859" s="19" t="s">
        <v>152</v>
      </c>
      <c r="B2859" s="19">
        <v>225.29600000000002</v>
      </c>
      <c r="C2859" s="19">
        <v>2</v>
      </c>
      <c r="D2859" s="19">
        <v>22.529599999999995</v>
      </c>
    </row>
    <row r="2860" spans="1:4" x14ac:dyDescent="0.2">
      <c r="A2860" s="19" t="s">
        <v>101</v>
      </c>
      <c r="B2860" s="19">
        <v>67.8</v>
      </c>
      <c r="C2860" s="19">
        <v>4</v>
      </c>
      <c r="D2860" s="19">
        <v>4.0679999999999978</v>
      </c>
    </row>
    <row r="2861" spans="1:4" x14ac:dyDescent="0.2">
      <c r="A2861" s="19" t="s">
        <v>101</v>
      </c>
      <c r="B2861" s="19">
        <v>377.96999999999997</v>
      </c>
      <c r="C2861" s="19">
        <v>3</v>
      </c>
      <c r="D2861" s="19">
        <v>98.272200000000012</v>
      </c>
    </row>
    <row r="2862" spans="1:4" x14ac:dyDescent="0.2">
      <c r="A2862" s="19" t="s">
        <v>101</v>
      </c>
      <c r="B2862" s="19">
        <v>1628.82</v>
      </c>
      <c r="C2862" s="19">
        <v>9</v>
      </c>
      <c r="D2862" s="19">
        <v>374.62859999999989</v>
      </c>
    </row>
    <row r="2863" spans="1:4" x14ac:dyDescent="0.2">
      <c r="A2863" s="19" t="s">
        <v>101</v>
      </c>
      <c r="B2863" s="19">
        <v>286.93</v>
      </c>
      <c r="C2863" s="19">
        <v>7</v>
      </c>
      <c r="D2863" s="19">
        <v>140.59569999999999</v>
      </c>
    </row>
    <row r="2864" spans="1:4" x14ac:dyDescent="0.2">
      <c r="A2864" s="19" t="s">
        <v>151</v>
      </c>
      <c r="B2864" s="19">
        <v>20.736000000000004</v>
      </c>
      <c r="C2864" s="19">
        <v>4</v>
      </c>
      <c r="D2864" s="19">
        <v>7.2576000000000001</v>
      </c>
    </row>
    <row r="2865" spans="1:4" x14ac:dyDescent="0.2">
      <c r="A2865" s="19" t="s">
        <v>150</v>
      </c>
      <c r="B2865" s="19">
        <v>31.44</v>
      </c>
      <c r="C2865" s="19">
        <v>3</v>
      </c>
      <c r="D2865" s="19">
        <v>8.4888000000000012</v>
      </c>
    </row>
    <row r="2866" spans="1:4" x14ac:dyDescent="0.2">
      <c r="A2866" s="19" t="s">
        <v>150</v>
      </c>
      <c r="B2866" s="19">
        <v>83.79</v>
      </c>
      <c r="C2866" s="19">
        <v>7</v>
      </c>
      <c r="D2866" s="19">
        <v>22.623299999999997</v>
      </c>
    </row>
    <row r="2867" spans="1:4" x14ac:dyDescent="0.2">
      <c r="A2867" s="19" t="s">
        <v>150</v>
      </c>
      <c r="B2867" s="19">
        <v>59.519999999999996</v>
      </c>
      <c r="C2867" s="19">
        <v>3</v>
      </c>
      <c r="D2867" s="19">
        <v>15.475200000000001</v>
      </c>
    </row>
    <row r="2868" spans="1:4" x14ac:dyDescent="0.2">
      <c r="A2868" s="19" t="s">
        <v>150</v>
      </c>
      <c r="B2868" s="19">
        <v>31.92</v>
      </c>
      <c r="C2868" s="19">
        <v>4</v>
      </c>
      <c r="D2868" s="19">
        <v>9.2567999999999984</v>
      </c>
    </row>
    <row r="2869" spans="1:4" x14ac:dyDescent="0.2">
      <c r="A2869" s="19" t="s">
        <v>173</v>
      </c>
      <c r="B2869" s="19">
        <v>14.720000000000002</v>
      </c>
      <c r="C2869" s="19">
        <v>5</v>
      </c>
      <c r="D2869" s="19">
        <v>-3.3120000000000012</v>
      </c>
    </row>
    <row r="2870" spans="1:4" x14ac:dyDescent="0.2">
      <c r="A2870" s="19" t="s">
        <v>173</v>
      </c>
      <c r="B2870" s="19">
        <v>38.975999999999999</v>
      </c>
      <c r="C2870" s="19">
        <v>3</v>
      </c>
      <c r="D2870" s="19">
        <v>-2.4359999999999999</v>
      </c>
    </row>
    <row r="2871" spans="1:4" x14ac:dyDescent="0.2">
      <c r="A2871" s="19" t="s">
        <v>151</v>
      </c>
      <c r="B2871" s="19">
        <v>17.088000000000001</v>
      </c>
      <c r="C2871" s="19">
        <v>2</v>
      </c>
      <c r="D2871" s="19">
        <v>1.0679999999999996</v>
      </c>
    </row>
    <row r="2872" spans="1:4" x14ac:dyDescent="0.2">
      <c r="A2872" s="19" t="s">
        <v>165</v>
      </c>
      <c r="B2872" s="19">
        <v>74.352000000000004</v>
      </c>
      <c r="C2872" s="19">
        <v>3</v>
      </c>
      <c r="D2872" s="19">
        <v>23.234999999999992</v>
      </c>
    </row>
    <row r="2873" spans="1:4" x14ac:dyDescent="0.2">
      <c r="A2873" s="19" t="s">
        <v>165</v>
      </c>
      <c r="B2873" s="19">
        <v>314.35199999999998</v>
      </c>
      <c r="C2873" s="19">
        <v>3</v>
      </c>
      <c r="D2873" s="19">
        <v>-35.36460000000001</v>
      </c>
    </row>
    <row r="2874" spans="1:4" x14ac:dyDescent="0.2">
      <c r="A2874" s="19" t="s">
        <v>150</v>
      </c>
      <c r="B2874" s="19">
        <v>4.26</v>
      </c>
      <c r="C2874" s="19">
        <v>1</v>
      </c>
      <c r="D2874" s="19">
        <v>1.7465999999999999</v>
      </c>
    </row>
    <row r="2875" spans="1:4" x14ac:dyDescent="0.2">
      <c r="A2875" s="19" t="s">
        <v>150</v>
      </c>
      <c r="B2875" s="19">
        <v>811.28</v>
      </c>
      <c r="C2875" s="19">
        <v>8</v>
      </c>
      <c r="D2875" s="19">
        <v>24.338399999999979</v>
      </c>
    </row>
    <row r="2876" spans="1:4" x14ac:dyDescent="0.2">
      <c r="A2876" s="19" t="s">
        <v>164</v>
      </c>
      <c r="B2876" s="19">
        <v>6.0299999999999994</v>
      </c>
      <c r="C2876" s="19">
        <v>3</v>
      </c>
      <c r="D2876" s="19">
        <v>2.9546999999999999</v>
      </c>
    </row>
    <row r="2877" spans="1:4" x14ac:dyDescent="0.2">
      <c r="A2877" s="19" t="s">
        <v>150</v>
      </c>
      <c r="B2877" s="19">
        <v>153.56800000000001</v>
      </c>
      <c r="C2877" s="19">
        <v>2</v>
      </c>
      <c r="D2877" s="19">
        <v>-5.758800000000015</v>
      </c>
    </row>
    <row r="2878" spans="1:4" x14ac:dyDescent="0.2">
      <c r="A2878" s="19" t="s">
        <v>150</v>
      </c>
      <c r="B2878" s="19">
        <v>1013.4879999999999</v>
      </c>
      <c r="C2878" s="19">
        <v>7</v>
      </c>
      <c r="D2878" s="19">
        <v>76.011600000000016</v>
      </c>
    </row>
    <row r="2879" spans="1:4" x14ac:dyDescent="0.2">
      <c r="A2879" s="19" t="s">
        <v>179</v>
      </c>
      <c r="B2879" s="19">
        <v>52.34</v>
      </c>
      <c r="C2879" s="19">
        <v>2</v>
      </c>
      <c r="D2879" s="19">
        <v>24.599800000000002</v>
      </c>
    </row>
    <row r="2880" spans="1:4" x14ac:dyDescent="0.2">
      <c r="A2880" s="19" t="s">
        <v>179</v>
      </c>
      <c r="B2880" s="19">
        <v>4.66</v>
      </c>
      <c r="C2880" s="19">
        <v>2</v>
      </c>
      <c r="D2880" s="19">
        <v>1.3513999999999995</v>
      </c>
    </row>
    <row r="2881" spans="1:4" x14ac:dyDescent="0.2">
      <c r="A2881" s="19" t="s">
        <v>179</v>
      </c>
      <c r="B2881" s="19">
        <v>254.96999999999997</v>
      </c>
      <c r="C2881" s="19">
        <v>3</v>
      </c>
      <c r="D2881" s="19">
        <v>91.789199999999994</v>
      </c>
    </row>
    <row r="2882" spans="1:4" x14ac:dyDescent="0.2">
      <c r="A2882" s="19" t="s">
        <v>179</v>
      </c>
      <c r="B2882" s="19">
        <v>25.44</v>
      </c>
      <c r="C2882" s="19">
        <v>6</v>
      </c>
      <c r="D2882" s="19">
        <v>12.72</v>
      </c>
    </row>
    <row r="2883" spans="1:4" x14ac:dyDescent="0.2">
      <c r="A2883" s="19" t="s">
        <v>179</v>
      </c>
      <c r="B2883" s="19">
        <v>27.93</v>
      </c>
      <c r="C2883" s="19">
        <v>3</v>
      </c>
      <c r="D2883" s="19">
        <v>8.0996999999999986</v>
      </c>
    </row>
    <row r="2884" spans="1:4" x14ac:dyDescent="0.2">
      <c r="A2884" s="19" t="s">
        <v>159</v>
      </c>
      <c r="B2884" s="19">
        <v>8.8499999999999979</v>
      </c>
      <c r="C2884" s="19">
        <v>5</v>
      </c>
      <c r="D2884" s="19">
        <v>-13.717499999999998</v>
      </c>
    </row>
    <row r="2885" spans="1:4" x14ac:dyDescent="0.2">
      <c r="A2885" s="19" t="s">
        <v>150</v>
      </c>
      <c r="B2885" s="19">
        <v>6.96</v>
      </c>
      <c r="C2885" s="19">
        <v>4</v>
      </c>
      <c r="D2885" s="19">
        <v>2.2271999999999998</v>
      </c>
    </row>
    <row r="2886" spans="1:4" x14ac:dyDescent="0.2">
      <c r="A2886" s="19" t="s">
        <v>150</v>
      </c>
      <c r="B2886" s="19">
        <v>17.456</v>
      </c>
      <c r="C2886" s="19">
        <v>2</v>
      </c>
      <c r="D2886" s="19">
        <v>5.8914</v>
      </c>
    </row>
    <row r="2887" spans="1:4" x14ac:dyDescent="0.2">
      <c r="A2887" s="19" t="s">
        <v>165</v>
      </c>
      <c r="B2887" s="19">
        <v>307.92</v>
      </c>
      <c r="C2887" s="19">
        <v>5</v>
      </c>
      <c r="D2887" s="19">
        <v>-34.64100000000002</v>
      </c>
    </row>
    <row r="2888" spans="1:4" x14ac:dyDescent="0.2">
      <c r="A2888" s="19" t="s">
        <v>150</v>
      </c>
      <c r="B2888" s="19">
        <v>6.63</v>
      </c>
      <c r="C2888" s="19">
        <v>3</v>
      </c>
      <c r="D2888" s="19">
        <v>1.7901</v>
      </c>
    </row>
    <row r="2889" spans="1:4" x14ac:dyDescent="0.2">
      <c r="A2889" s="19" t="s">
        <v>150</v>
      </c>
      <c r="B2889" s="19">
        <v>12.96</v>
      </c>
      <c r="C2889" s="19">
        <v>2</v>
      </c>
      <c r="D2889" s="19">
        <v>6.2208000000000006</v>
      </c>
    </row>
    <row r="2890" spans="1:4" x14ac:dyDescent="0.2">
      <c r="A2890" s="19" t="s">
        <v>150</v>
      </c>
      <c r="B2890" s="19">
        <v>32.400000000000006</v>
      </c>
      <c r="C2890" s="19">
        <v>5</v>
      </c>
      <c r="D2890" s="19">
        <v>15.552000000000001</v>
      </c>
    </row>
    <row r="2891" spans="1:4" x14ac:dyDescent="0.2">
      <c r="A2891" s="19" t="s">
        <v>153</v>
      </c>
      <c r="B2891" s="19">
        <v>23.849999999999998</v>
      </c>
      <c r="C2891" s="19">
        <v>5</v>
      </c>
      <c r="D2891" s="19">
        <v>10.732499999999998</v>
      </c>
    </row>
    <row r="2892" spans="1:4" x14ac:dyDescent="0.2">
      <c r="A2892" s="19" t="s">
        <v>177</v>
      </c>
      <c r="B2892" s="19">
        <v>51.96</v>
      </c>
      <c r="C2892" s="19">
        <v>2</v>
      </c>
      <c r="D2892" s="19">
        <v>12.990000000000002</v>
      </c>
    </row>
    <row r="2893" spans="1:4" x14ac:dyDescent="0.2">
      <c r="A2893" s="19" t="s">
        <v>177</v>
      </c>
      <c r="B2893" s="19">
        <v>17.940000000000001</v>
      </c>
      <c r="C2893" s="19">
        <v>3</v>
      </c>
      <c r="D2893" s="19">
        <v>8.6112000000000002</v>
      </c>
    </row>
    <row r="2894" spans="1:4" x14ac:dyDescent="0.2">
      <c r="A2894" s="19" t="s">
        <v>164</v>
      </c>
      <c r="B2894" s="19">
        <v>11.56</v>
      </c>
      <c r="C2894" s="19">
        <v>2</v>
      </c>
      <c r="D2894" s="19">
        <v>5.6644000000000005</v>
      </c>
    </row>
    <row r="2895" spans="1:4" x14ac:dyDescent="0.2">
      <c r="A2895" s="19" t="s">
        <v>164</v>
      </c>
      <c r="B2895" s="19">
        <v>26.400000000000002</v>
      </c>
      <c r="C2895" s="19">
        <v>5</v>
      </c>
      <c r="D2895" s="19">
        <v>11.879999999999999</v>
      </c>
    </row>
    <row r="2896" spans="1:4" x14ac:dyDescent="0.2">
      <c r="A2896" s="19" t="s">
        <v>164</v>
      </c>
      <c r="B2896" s="19">
        <v>69.08</v>
      </c>
      <c r="C2896" s="19">
        <v>11</v>
      </c>
      <c r="D2896" s="19">
        <v>29.013600000000004</v>
      </c>
    </row>
    <row r="2897" spans="1:4" x14ac:dyDescent="0.2">
      <c r="A2897" s="19" t="s">
        <v>164</v>
      </c>
      <c r="B2897" s="19">
        <v>35.880000000000003</v>
      </c>
      <c r="C2897" s="19">
        <v>3</v>
      </c>
      <c r="D2897" s="19">
        <v>10.046400000000002</v>
      </c>
    </row>
    <row r="2898" spans="1:4" x14ac:dyDescent="0.2">
      <c r="A2898" s="19" t="s">
        <v>164</v>
      </c>
      <c r="B2898" s="19">
        <v>49.65</v>
      </c>
      <c r="C2898" s="19">
        <v>5</v>
      </c>
      <c r="D2898" s="19">
        <v>20.853000000000002</v>
      </c>
    </row>
    <row r="2899" spans="1:4" x14ac:dyDescent="0.2">
      <c r="A2899" s="19" t="s">
        <v>152</v>
      </c>
      <c r="B2899" s="19">
        <v>959.96800000000007</v>
      </c>
      <c r="C2899" s="19">
        <v>4</v>
      </c>
      <c r="D2899" s="19">
        <v>119.99599999999992</v>
      </c>
    </row>
    <row r="2900" spans="1:4" x14ac:dyDescent="0.2">
      <c r="A2900" s="19" t="s">
        <v>154</v>
      </c>
      <c r="B2900" s="19">
        <v>408.42200000000003</v>
      </c>
      <c r="C2900" s="19">
        <v>2</v>
      </c>
      <c r="D2900" s="19">
        <v>-5.8346000000000231</v>
      </c>
    </row>
    <row r="2901" spans="1:4" x14ac:dyDescent="0.2">
      <c r="A2901" s="19" t="s">
        <v>164</v>
      </c>
      <c r="B2901" s="19">
        <v>479.98400000000004</v>
      </c>
      <c r="C2901" s="19">
        <v>2</v>
      </c>
      <c r="D2901" s="19">
        <v>59.997999999999962</v>
      </c>
    </row>
    <row r="2902" spans="1:4" x14ac:dyDescent="0.2">
      <c r="A2902" s="19" t="s">
        <v>164</v>
      </c>
      <c r="B2902" s="19">
        <v>12.6</v>
      </c>
      <c r="C2902" s="19">
        <v>4</v>
      </c>
      <c r="D2902" s="19">
        <v>6.048</v>
      </c>
    </row>
    <row r="2903" spans="1:4" x14ac:dyDescent="0.2">
      <c r="A2903" s="19" t="s">
        <v>101</v>
      </c>
      <c r="B2903" s="19">
        <v>184.66</v>
      </c>
      <c r="C2903" s="19">
        <v>7</v>
      </c>
      <c r="D2903" s="19">
        <v>84.943599999999989</v>
      </c>
    </row>
    <row r="2904" spans="1:4" x14ac:dyDescent="0.2">
      <c r="A2904" s="19" t="s">
        <v>159</v>
      </c>
      <c r="B2904" s="19">
        <v>23.120000000000005</v>
      </c>
      <c r="C2904" s="19">
        <v>5</v>
      </c>
      <c r="D2904" s="19">
        <v>8.3810000000000002</v>
      </c>
    </row>
    <row r="2905" spans="1:4" x14ac:dyDescent="0.2">
      <c r="A2905" s="19" t="s">
        <v>159</v>
      </c>
      <c r="B2905" s="19">
        <v>37.463999999999999</v>
      </c>
      <c r="C2905" s="19">
        <v>7</v>
      </c>
      <c r="D2905" s="19">
        <v>12.175799999999999</v>
      </c>
    </row>
    <row r="2906" spans="1:4" x14ac:dyDescent="0.2">
      <c r="A2906" s="19" t="s">
        <v>159</v>
      </c>
      <c r="B2906" s="19">
        <v>539.65800000000002</v>
      </c>
      <c r="C2906" s="19">
        <v>3</v>
      </c>
      <c r="D2906" s="19">
        <v>-7.7094000000001017</v>
      </c>
    </row>
    <row r="2907" spans="1:4" x14ac:dyDescent="0.2">
      <c r="A2907" s="19" t="s">
        <v>153</v>
      </c>
      <c r="B2907" s="19">
        <v>310.12</v>
      </c>
      <c r="C2907" s="19">
        <v>2</v>
      </c>
      <c r="D2907" s="19">
        <v>80.631200000000007</v>
      </c>
    </row>
    <row r="2908" spans="1:4" x14ac:dyDescent="0.2">
      <c r="A2908" s="19" t="s">
        <v>160</v>
      </c>
      <c r="B2908" s="19">
        <v>8.56</v>
      </c>
      <c r="C2908" s="19">
        <v>2</v>
      </c>
      <c r="D2908" s="19">
        <v>3.8519999999999994</v>
      </c>
    </row>
    <row r="2909" spans="1:4" x14ac:dyDescent="0.2">
      <c r="A2909" s="19" t="s">
        <v>160</v>
      </c>
      <c r="B2909" s="19">
        <v>52.400000000000006</v>
      </c>
      <c r="C2909" s="19">
        <v>5</v>
      </c>
      <c r="D2909" s="19">
        <v>14.148</v>
      </c>
    </row>
    <row r="2910" spans="1:4" x14ac:dyDescent="0.2">
      <c r="A2910" s="19" t="s">
        <v>160</v>
      </c>
      <c r="B2910" s="19">
        <v>14.940000000000001</v>
      </c>
      <c r="C2910" s="19">
        <v>3</v>
      </c>
      <c r="D2910" s="19">
        <v>6.8723999999999998</v>
      </c>
    </row>
    <row r="2911" spans="1:4" x14ac:dyDescent="0.2">
      <c r="A2911" s="19" t="s">
        <v>153</v>
      </c>
      <c r="B2911" s="19">
        <v>11.22</v>
      </c>
      <c r="C2911" s="19">
        <v>3</v>
      </c>
      <c r="D2911" s="19">
        <v>0.2244000000000006</v>
      </c>
    </row>
    <row r="2912" spans="1:4" x14ac:dyDescent="0.2">
      <c r="A2912" s="19" t="s">
        <v>151</v>
      </c>
      <c r="B2912" s="19">
        <v>387.13600000000002</v>
      </c>
      <c r="C2912" s="19">
        <v>4</v>
      </c>
      <c r="D2912" s="19">
        <v>24.196000000000012</v>
      </c>
    </row>
    <row r="2913" spans="1:4" x14ac:dyDescent="0.2">
      <c r="A2913" s="19" t="s">
        <v>164</v>
      </c>
      <c r="B2913" s="19">
        <v>41.4</v>
      </c>
      <c r="C2913" s="19">
        <v>5</v>
      </c>
      <c r="D2913" s="19">
        <v>19.457999999999998</v>
      </c>
    </row>
    <row r="2914" spans="1:4" x14ac:dyDescent="0.2">
      <c r="A2914" s="19" t="s">
        <v>164</v>
      </c>
      <c r="B2914" s="19">
        <v>35</v>
      </c>
      <c r="C2914" s="19">
        <v>4</v>
      </c>
      <c r="D2914" s="19">
        <v>10.499999999999996</v>
      </c>
    </row>
    <row r="2915" spans="1:4" x14ac:dyDescent="0.2">
      <c r="A2915" s="19" t="s">
        <v>164</v>
      </c>
      <c r="B2915" s="19">
        <v>39.552000000000007</v>
      </c>
      <c r="C2915" s="19">
        <v>3</v>
      </c>
      <c r="D2915" s="19">
        <v>14.337599999999998</v>
      </c>
    </row>
    <row r="2916" spans="1:4" x14ac:dyDescent="0.2">
      <c r="A2916" s="19" t="s">
        <v>163</v>
      </c>
      <c r="B2916" s="19">
        <v>135.72</v>
      </c>
      <c r="C2916" s="19">
        <v>3</v>
      </c>
      <c r="D2916" s="19">
        <v>35.287199999999999</v>
      </c>
    </row>
    <row r="2917" spans="1:4" x14ac:dyDescent="0.2">
      <c r="A2917" s="19" t="s">
        <v>163</v>
      </c>
      <c r="B2917" s="19">
        <v>12.56</v>
      </c>
      <c r="C2917" s="19">
        <v>2</v>
      </c>
      <c r="D2917" s="19">
        <v>5.6519999999999992</v>
      </c>
    </row>
    <row r="2918" spans="1:4" x14ac:dyDescent="0.2">
      <c r="A2918" s="19" t="s">
        <v>163</v>
      </c>
      <c r="B2918" s="19">
        <v>263.95999999999998</v>
      </c>
      <c r="C2918" s="19">
        <v>4</v>
      </c>
      <c r="D2918" s="19">
        <v>71.269200000000012</v>
      </c>
    </row>
    <row r="2919" spans="1:4" x14ac:dyDescent="0.2">
      <c r="A2919" s="19" t="s">
        <v>154</v>
      </c>
      <c r="B2919" s="19">
        <v>5.9520000000000008</v>
      </c>
      <c r="C2919" s="19">
        <v>1</v>
      </c>
      <c r="D2919" s="19">
        <v>0.37200000000000011</v>
      </c>
    </row>
    <row r="2920" spans="1:4" x14ac:dyDescent="0.2">
      <c r="A2920" s="19" t="s">
        <v>158</v>
      </c>
      <c r="B2920" s="19">
        <v>15.8</v>
      </c>
      <c r="C2920" s="19">
        <v>5</v>
      </c>
      <c r="D2920" s="19">
        <v>2.3699999999999983</v>
      </c>
    </row>
    <row r="2921" spans="1:4" x14ac:dyDescent="0.2">
      <c r="A2921" s="19" t="s">
        <v>158</v>
      </c>
      <c r="B2921" s="19">
        <v>14.368000000000002</v>
      </c>
      <c r="C2921" s="19">
        <v>2</v>
      </c>
      <c r="D2921" s="19">
        <v>3.9512</v>
      </c>
    </row>
    <row r="2922" spans="1:4" x14ac:dyDescent="0.2">
      <c r="A2922" s="19" t="s">
        <v>158</v>
      </c>
      <c r="B2922" s="19">
        <v>70.448000000000008</v>
      </c>
      <c r="C2922" s="19">
        <v>7</v>
      </c>
      <c r="D2922" s="19">
        <v>12.328399999999988</v>
      </c>
    </row>
    <row r="2923" spans="1:4" x14ac:dyDescent="0.2">
      <c r="A2923" s="19" t="s">
        <v>150</v>
      </c>
      <c r="B2923" s="19">
        <v>129.30000000000001</v>
      </c>
      <c r="C2923" s="19">
        <v>2</v>
      </c>
      <c r="D2923" s="19">
        <v>6.4649999999999892</v>
      </c>
    </row>
    <row r="2924" spans="1:4" x14ac:dyDescent="0.2">
      <c r="A2924" s="19" t="s">
        <v>154</v>
      </c>
      <c r="B2924" s="19">
        <v>3.8819999999999988</v>
      </c>
      <c r="C2924" s="19">
        <v>3</v>
      </c>
      <c r="D2924" s="19">
        <v>-5.8230000000000004</v>
      </c>
    </row>
    <row r="2925" spans="1:4" x14ac:dyDescent="0.2">
      <c r="A2925" s="19" t="s">
        <v>161</v>
      </c>
      <c r="B2925" s="19">
        <v>6.08</v>
      </c>
      <c r="C2925" s="19">
        <v>1</v>
      </c>
      <c r="D2925" s="19">
        <v>3.04</v>
      </c>
    </row>
    <row r="2926" spans="1:4" x14ac:dyDescent="0.2">
      <c r="A2926" s="19" t="s">
        <v>164</v>
      </c>
      <c r="B2926" s="19">
        <v>19.899999999999999</v>
      </c>
      <c r="C2926" s="19">
        <v>1</v>
      </c>
      <c r="D2926" s="19">
        <v>8.9549999999999983</v>
      </c>
    </row>
    <row r="2927" spans="1:4" x14ac:dyDescent="0.2">
      <c r="A2927" s="19" t="s">
        <v>164</v>
      </c>
      <c r="B2927" s="19">
        <v>70.709999999999994</v>
      </c>
      <c r="C2927" s="19">
        <v>1</v>
      </c>
      <c r="D2927" s="19">
        <v>4.9496999999999929</v>
      </c>
    </row>
    <row r="2928" spans="1:4" x14ac:dyDescent="0.2">
      <c r="A2928" s="19" t="s">
        <v>101</v>
      </c>
      <c r="B2928" s="19">
        <v>18.84</v>
      </c>
      <c r="C2928" s="19">
        <v>3</v>
      </c>
      <c r="D2928" s="19">
        <v>7.9128000000000007</v>
      </c>
    </row>
    <row r="2929" spans="1:4" x14ac:dyDescent="0.2">
      <c r="A2929" s="19" t="s">
        <v>160</v>
      </c>
      <c r="B2929" s="19">
        <v>8.64</v>
      </c>
      <c r="C2929" s="19">
        <v>3</v>
      </c>
      <c r="D2929" s="19">
        <v>2.5055999999999998</v>
      </c>
    </row>
    <row r="2930" spans="1:4" x14ac:dyDescent="0.2">
      <c r="A2930" s="19" t="s">
        <v>152</v>
      </c>
      <c r="B2930" s="19">
        <v>1633.1880000000003</v>
      </c>
      <c r="C2930" s="19">
        <v>4</v>
      </c>
      <c r="D2930" s="19">
        <v>-1306.5504000000001</v>
      </c>
    </row>
    <row r="2931" spans="1:4" x14ac:dyDescent="0.2">
      <c r="A2931" s="19" t="s">
        <v>161</v>
      </c>
      <c r="B2931" s="19">
        <v>19.760000000000002</v>
      </c>
      <c r="C2931" s="19">
        <v>4</v>
      </c>
      <c r="D2931" s="19">
        <v>8.2992000000000008</v>
      </c>
    </row>
    <row r="2932" spans="1:4" x14ac:dyDescent="0.2">
      <c r="A2932" s="19" t="s">
        <v>150</v>
      </c>
      <c r="B2932" s="19">
        <v>6.6080000000000005</v>
      </c>
      <c r="C2932" s="19">
        <v>2</v>
      </c>
      <c r="D2932" s="19">
        <v>2.2302</v>
      </c>
    </row>
    <row r="2933" spans="1:4" x14ac:dyDescent="0.2">
      <c r="A2933" s="19" t="s">
        <v>150</v>
      </c>
      <c r="B2933" s="19">
        <v>7.28</v>
      </c>
      <c r="C2933" s="19">
        <v>2</v>
      </c>
      <c r="D2933" s="19">
        <v>2.7299999999999995</v>
      </c>
    </row>
    <row r="2934" spans="1:4" x14ac:dyDescent="0.2">
      <c r="A2934" s="19" t="s">
        <v>150</v>
      </c>
      <c r="B2934" s="19">
        <v>144.78399999999999</v>
      </c>
      <c r="C2934" s="19">
        <v>1</v>
      </c>
      <c r="D2934" s="19">
        <v>10.858800000000002</v>
      </c>
    </row>
    <row r="2935" spans="1:4" x14ac:dyDescent="0.2">
      <c r="A2935" s="19" t="s">
        <v>153</v>
      </c>
      <c r="B2935" s="19">
        <v>156.79200000000003</v>
      </c>
      <c r="C2935" s="19">
        <v>1</v>
      </c>
      <c r="D2935" s="19">
        <v>13.719300000000004</v>
      </c>
    </row>
    <row r="2936" spans="1:4" x14ac:dyDescent="0.2">
      <c r="A2936" s="19" t="s">
        <v>153</v>
      </c>
      <c r="B2936" s="19">
        <v>431.97600000000006</v>
      </c>
      <c r="C2936" s="19">
        <v>3</v>
      </c>
      <c r="D2936" s="19">
        <v>26.998499999999993</v>
      </c>
    </row>
    <row r="2937" spans="1:4" x14ac:dyDescent="0.2">
      <c r="A2937" s="19" t="s">
        <v>153</v>
      </c>
      <c r="B2937" s="19">
        <v>35.89</v>
      </c>
      <c r="C2937" s="19">
        <v>1</v>
      </c>
      <c r="D2937" s="19">
        <v>16.150499999999997</v>
      </c>
    </row>
    <row r="2938" spans="1:4" x14ac:dyDescent="0.2">
      <c r="A2938" s="19" t="s">
        <v>153</v>
      </c>
      <c r="B2938" s="19">
        <v>47.207999999999998</v>
      </c>
      <c r="C2938" s="19">
        <v>7</v>
      </c>
      <c r="D2938" s="19">
        <v>15.342599999999997</v>
      </c>
    </row>
    <row r="2939" spans="1:4" x14ac:dyDescent="0.2">
      <c r="A2939" s="19" t="s">
        <v>153</v>
      </c>
      <c r="B2939" s="19">
        <v>248.07999999999998</v>
      </c>
      <c r="C2939" s="19">
        <v>7</v>
      </c>
      <c r="D2939" s="19">
        <v>116.59759999999997</v>
      </c>
    </row>
    <row r="2940" spans="1:4" x14ac:dyDescent="0.2">
      <c r="A2940" s="19" t="s">
        <v>153</v>
      </c>
      <c r="B2940" s="19">
        <v>189.7</v>
      </c>
      <c r="C2940" s="19">
        <v>5</v>
      </c>
      <c r="D2940" s="19">
        <v>89.158999999999992</v>
      </c>
    </row>
    <row r="2941" spans="1:4" x14ac:dyDescent="0.2">
      <c r="A2941" s="19" t="s">
        <v>153</v>
      </c>
      <c r="B2941" s="19">
        <v>59.808000000000007</v>
      </c>
      <c r="C2941" s="19">
        <v>3</v>
      </c>
      <c r="D2941" s="19">
        <v>19.4376</v>
      </c>
    </row>
    <row r="2942" spans="1:4" x14ac:dyDescent="0.2">
      <c r="A2942" s="19" t="s">
        <v>155</v>
      </c>
      <c r="B2942" s="19">
        <v>90.99</v>
      </c>
      <c r="C2942" s="19">
        <v>1</v>
      </c>
      <c r="D2942" s="19">
        <v>14.558400000000006</v>
      </c>
    </row>
    <row r="2943" spans="1:4" x14ac:dyDescent="0.2">
      <c r="A2943" s="19" t="s">
        <v>155</v>
      </c>
      <c r="B2943" s="19">
        <v>1526.5600000000002</v>
      </c>
      <c r="C2943" s="19">
        <v>7</v>
      </c>
      <c r="D2943" s="19">
        <v>427.43679999999995</v>
      </c>
    </row>
    <row r="2944" spans="1:4" x14ac:dyDescent="0.2">
      <c r="A2944" s="19" t="s">
        <v>155</v>
      </c>
      <c r="B2944" s="19">
        <v>368.96999999999997</v>
      </c>
      <c r="C2944" s="19">
        <v>3</v>
      </c>
      <c r="D2944" s="19">
        <v>40.586699999999979</v>
      </c>
    </row>
    <row r="2945" spans="1:4" x14ac:dyDescent="0.2">
      <c r="A2945" s="19" t="s">
        <v>150</v>
      </c>
      <c r="B2945" s="19">
        <v>305.01</v>
      </c>
      <c r="C2945" s="19">
        <v>9</v>
      </c>
      <c r="D2945" s="19">
        <v>76.252499999999998</v>
      </c>
    </row>
    <row r="2946" spans="1:4" x14ac:dyDescent="0.2">
      <c r="A2946" s="19" t="s">
        <v>150</v>
      </c>
      <c r="B2946" s="19">
        <v>18.7</v>
      </c>
      <c r="C2946" s="19">
        <v>1</v>
      </c>
      <c r="D2946" s="19">
        <v>7.1059999999999999</v>
      </c>
    </row>
    <row r="2947" spans="1:4" x14ac:dyDescent="0.2">
      <c r="A2947" s="19" t="s">
        <v>150</v>
      </c>
      <c r="B2947" s="19">
        <v>38.29</v>
      </c>
      <c r="C2947" s="19">
        <v>7</v>
      </c>
      <c r="D2947" s="19">
        <v>16.464700000000001</v>
      </c>
    </row>
    <row r="2948" spans="1:4" x14ac:dyDescent="0.2">
      <c r="A2948" s="19" t="s">
        <v>150</v>
      </c>
      <c r="B2948" s="19">
        <v>26.25</v>
      </c>
      <c r="C2948" s="19">
        <v>3</v>
      </c>
      <c r="D2948" s="19">
        <v>11.025000000000002</v>
      </c>
    </row>
    <row r="2949" spans="1:4" x14ac:dyDescent="0.2">
      <c r="A2949" s="19" t="s">
        <v>150</v>
      </c>
      <c r="B2949" s="19">
        <v>64.959999999999994</v>
      </c>
      <c r="C2949" s="19">
        <v>14</v>
      </c>
      <c r="D2949" s="19">
        <v>22.736000000000001</v>
      </c>
    </row>
    <row r="2950" spans="1:4" x14ac:dyDescent="0.2">
      <c r="A2950" s="19" t="s">
        <v>150</v>
      </c>
      <c r="B2950" s="19">
        <v>43.7</v>
      </c>
      <c r="C2950" s="19">
        <v>5</v>
      </c>
      <c r="D2950" s="19">
        <v>20.539000000000001</v>
      </c>
    </row>
    <row r="2951" spans="1:4" x14ac:dyDescent="0.2">
      <c r="A2951" s="19" t="s">
        <v>165</v>
      </c>
      <c r="B2951" s="19">
        <v>41.6</v>
      </c>
      <c r="C2951" s="19">
        <v>4</v>
      </c>
      <c r="D2951" s="19">
        <v>12.999999999999998</v>
      </c>
    </row>
    <row r="2952" spans="1:4" x14ac:dyDescent="0.2">
      <c r="A2952" s="19" t="s">
        <v>165</v>
      </c>
      <c r="B2952" s="19">
        <v>23.120000000000005</v>
      </c>
      <c r="C2952" s="19">
        <v>5</v>
      </c>
      <c r="D2952" s="19">
        <v>8.3810000000000002</v>
      </c>
    </row>
    <row r="2953" spans="1:4" x14ac:dyDescent="0.2">
      <c r="A2953" s="19" t="s">
        <v>165</v>
      </c>
      <c r="B2953" s="19">
        <v>113.88800000000002</v>
      </c>
      <c r="C2953" s="19">
        <v>2</v>
      </c>
      <c r="D2953" s="19">
        <v>9.9651999999999994</v>
      </c>
    </row>
    <row r="2954" spans="1:4" x14ac:dyDescent="0.2">
      <c r="A2954" s="19" t="s">
        <v>165</v>
      </c>
      <c r="B2954" s="19">
        <v>113.56800000000001</v>
      </c>
      <c r="C2954" s="19">
        <v>2</v>
      </c>
      <c r="D2954" s="19">
        <v>-5.6784000000000034</v>
      </c>
    </row>
    <row r="2955" spans="1:4" x14ac:dyDescent="0.2">
      <c r="A2955" s="19" t="s">
        <v>165</v>
      </c>
      <c r="B2955" s="19">
        <v>7.9200000000000008</v>
      </c>
      <c r="C2955" s="19">
        <v>2</v>
      </c>
      <c r="D2955" s="19">
        <v>0.69299999999999984</v>
      </c>
    </row>
    <row r="2956" spans="1:4" x14ac:dyDescent="0.2">
      <c r="A2956" s="19" t="s">
        <v>165</v>
      </c>
      <c r="B2956" s="19">
        <v>671.98400000000004</v>
      </c>
      <c r="C2956" s="19">
        <v>2</v>
      </c>
      <c r="D2956" s="19">
        <v>50.398800000000023</v>
      </c>
    </row>
    <row r="2957" spans="1:4" x14ac:dyDescent="0.2">
      <c r="A2957" s="19" t="s">
        <v>164</v>
      </c>
      <c r="B2957" s="19">
        <v>39.99</v>
      </c>
      <c r="C2957" s="19">
        <v>1</v>
      </c>
      <c r="D2957" s="19">
        <v>11.597099999999998</v>
      </c>
    </row>
    <row r="2958" spans="1:4" x14ac:dyDescent="0.2">
      <c r="A2958" s="19" t="s">
        <v>164</v>
      </c>
      <c r="B2958" s="19">
        <v>191.64600000000002</v>
      </c>
      <c r="C2958" s="19">
        <v>3</v>
      </c>
      <c r="D2958" s="19">
        <v>31.94100000000001</v>
      </c>
    </row>
    <row r="2959" spans="1:4" x14ac:dyDescent="0.2">
      <c r="A2959" s="19" t="s">
        <v>173</v>
      </c>
      <c r="B2959" s="19">
        <v>2.3130000000000002</v>
      </c>
      <c r="C2959" s="19">
        <v>1</v>
      </c>
      <c r="D2959" s="19">
        <v>-1.9274999999999993</v>
      </c>
    </row>
    <row r="2960" spans="1:4" x14ac:dyDescent="0.2">
      <c r="A2960" s="19" t="s">
        <v>150</v>
      </c>
      <c r="B2960" s="19">
        <v>19.936000000000003</v>
      </c>
      <c r="C2960" s="19">
        <v>4</v>
      </c>
      <c r="D2960" s="19">
        <v>7.2267999999999999</v>
      </c>
    </row>
    <row r="2961" spans="1:4" x14ac:dyDescent="0.2">
      <c r="A2961" s="19" t="s">
        <v>150</v>
      </c>
      <c r="B2961" s="19">
        <v>45.92</v>
      </c>
      <c r="C2961" s="19">
        <v>4</v>
      </c>
      <c r="D2961" s="19">
        <v>21.5824</v>
      </c>
    </row>
    <row r="2962" spans="1:4" x14ac:dyDescent="0.2">
      <c r="A2962" s="19" t="s">
        <v>153</v>
      </c>
      <c r="B2962" s="19">
        <v>20.34</v>
      </c>
      <c r="C2962" s="19">
        <v>3</v>
      </c>
      <c r="D2962" s="19">
        <v>9.3563999999999989</v>
      </c>
    </row>
    <row r="2963" spans="1:4" x14ac:dyDescent="0.2">
      <c r="A2963" s="19" t="s">
        <v>153</v>
      </c>
      <c r="B2963" s="19">
        <v>39.28</v>
      </c>
      <c r="C2963" s="19">
        <v>8</v>
      </c>
      <c r="D2963" s="19">
        <v>19.247199999999999</v>
      </c>
    </row>
    <row r="2964" spans="1:4" x14ac:dyDescent="0.2">
      <c r="A2964" s="19" t="s">
        <v>150</v>
      </c>
      <c r="B2964" s="19">
        <v>81.567999999999998</v>
      </c>
      <c r="C2964" s="19">
        <v>2</v>
      </c>
      <c r="D2964" s="19">
        <v>9.1763999999999974</v>
      </c>
    </row>
    <row r="2965" spans="1:4" x14ac:dyDescent="0.2">
      <c r="A2965" s="19" t="s">
        <v>150</v>
      </c>
      <c r="B2965" s="19">
        <v>97.184000000000012</v>
      </c>
      <c r="C2965" s="19">
        <v>2</v>
      </c>
      <c r="D2965" s="19">
        <v>6.0740000000000016</v>
      </c>
    </row>
    <row r="2966" spans="1:4" x14ac:dyDescent="0.2">
      <c r="A2966" s="19" t="s">
        <v>150</v>
      </c>
      <c r="B2966" s="19">
        <v>24.320000000000004</v>
      </c>
      <c r="C2966" s="19">
        <v>5</v>
      </c>
      <c r="D2966" s="19">
        <v>8.2079999999999984</v>
      </c>
    </row>
    <row r="2967" spans="1:4" x14ac:dyDescent="0.2">
      <c r="A2967" s="19" t="s">
        <v>150</v>
      </c>
      <c r="B2967" s="19">
        <v>18.96</v>
      </c>
      <c r="C2967" s="19">
        <v>2</v>
      </c>
      <c r="D2967" s="19">
        <v>7.5840000000000014</v>
      </c>
    </row>
    <row r="2968" spans="1:4" x14ac:dyDescent="0.2">
      <c r="A2968" s="19" t="s">
        <v>159</v>
      </c>
      <c r="B2968" s="19">
        <v>32.952000000000005</v>
      </c>
      <c r="C2968" s="19">
        <v>6</v>
      </c>
      <c r="D2968" s="19">
        <v>-19.771199999999997</v>
      </c>
    </row>
    <row r="2969" spans="1:4" x14ac:dyDescent="0.2">
      <c r="A2969" s="19" t="s">
        <v>159</v>
      </c>
      <c r="B2969" s="19">
        <v>30.016000000000005</v>
      </c>
      <c r="C2969" s="19">
        <v>4</v>
      </c>
      <c r="D2969" s="19">
        <v>3.0015999999999998</v>
      </c>
    </row>
    <row r="2970" spans="1:4" x14ac:dyDescent="0.2">
      <c r="A2970" s="19" t="s">
        <v>152</v>
      </c>
      <c r="B2970" s="19">
        <v>499.58400000000006</v>
      </c>
      <c r="C2970" s="19">
        <v>3</v>
      </c>
      <c r="D2970" s="19">
        <v>43.713600000000014</v>
      </c>
    </row>
    <row r="2971" spans="1:4" x14ac:dyDescent="0.2">
      <c r="A2971" s="19" t="s">
        <v>152</v>
      </c>
      <c r="B2971" s="19">
        <v>31.104000000000006</v>
      </c>
      <c r="C2971" s="19">
        <v>6</v>
      </c>
      <c r="D2971" s="19">
        <v>10.8864</v>
      </c>
    </row>
    <row r="2972" spans="1:4" x14ac:dyDescent="0.2">
      <c r="A2972" s="19" t="s">
        <v>152</v>
      </c>
      <c r="B2972" s="19">
        <v>13.272000000000002</v>
      </c>
      <c r="C2972" s="19">
        <v>8</v>
      </c>
      <c r="D2972" s="19">
        <v>-10.617599999999999</v>
      </c>
    </row>
    <row r="2973" spans="1:4" x14ac:dyDescent="0.2">
      <c r="A2973" s="19" t="s">
        <v>152</v>
      </c>
      <c r="B2973" s="19">
        <v>28.272000000000006</v>
      </c>
      <c r="C2973" s="19">
        <v>2</v>
      </c>
      <c r="D2973" s="19">
        <v>6.3612000000000002</v>
      </c>
    </row>
    <row r="2974" spans="1:4" x14ac:dyDescent="0.2">
      <c r="A2974" s="19" t="s">
        <v>152</v>
      </c>
      <c r="B2974" s="19">
        <v>259.13600000000002</v>
      </c>
      <c r="C2974" s="19">
        <v>4</v>
      </c>
      <c r="D2974" s="19">
        <v>-51.827200000000019</v>
      </c>
    </row>
    <row r="2975" spans="1:4" x14ac:dyDescent="0.2">
      <c r="A2975" s="19" t="s">
        <v>175</v>
      </c>
      <c r="B2975" s="19">
        <v>10.8</v>
      </c>
      <c r="C2975" s="19">
        <v>5</v>
      </c>
      <c r="D2975" s="19">
        <v>5.1839999999999993</v>
      </c>
    </row>
    <row r="2976" spans="1:4" x14ac:dyDescent="0.2">
      <c r="A2976" s="19" t="s">
        <v>154</v>
      </c>
      <c r="B2976" s="19">
        <v>244.00599999999997</v>
      </c>
      <c r="C2976" s="19">
        <v>2</v>
      </c>
      <c r="D2976" s="19">
        <v>-31.372200000000007</v>
      </c>
    </row>
    <row r="2977" spans="1:4" x14ac:dyDescent="0.2">
      <c r="A2977" s="19" t="s">
        <v>154</v>
      </c>
      <c r="B2977" s="19">
        <v>15.936000000000002</v>
      </c>
      <c r="C2977" s="19">
        <v>4</v>
      </c>
      <c r="D2977" s="19">
        <v>5.378400000000001</v>
      </c>
    </row>
    <row r="2978" spans="1:4" x14ac:dyDescent="0.2">
      <c r="A2978" s="19" t="s">
        <v>158</v>
      </c>
      <c r="B2978" s="19">
        <v>188.55199999999996</v>
      </c>
      <c r="C2978" s="19">
        <v>7</v>
      </c>
      <c r="D2978" s="19">
        <v>-2.693600000000032</v>
      </c>
    </row>
    <row r="2979" spans="1:4" x14ac:dyDescent="0.2">
      <c r="A2979" s="19" t="s">
        <v>164</v>
      </c>
      <c r="B2979" s="19">
        <v>22.58</v>
      </c>
      <c r="C2979" s="19">
        <v>2</v>
      </c>
      <c r="D2979" s="19">
        <v>5.8707999999999991</v>
      </c>
    </row>
    <row r="2980" spans="1:4" x14ac:dyDescent="0.2">
      <c r="A2980" s="19" t="s">
        <v>169</v>
      </c>
      <c r="B2980" s="19">
        <v>545.93999999999994</v>
      </c>
      <c r="C2980" s="19">
        <v>6</v>
      </c>
      <c r="D2980" s="19">
        <v>87.350400000000036</v>
      </c>
    </row>
    <row r="2981" spans="1:4" x14ac:dyDescent="0.2">
      <c r="A2981" s="19" t="s">
        <v>158</v>
      </c>
      <c r="B2981" s="19">
        <v>20.736000000000004</v>
      </c>
      <c r="C2981" s="19">
        <v>4</v>
      </c>
      <c r="D2981" s="19">
        <v>7.2576000000000001</v>
      </c>
    </row>
    <row r="2982" spans="1:4" x14ac:dyDescent="0.2">
      <c r="A2982" s="19" t="s">
        <v>158</v>
      </c>
      <c r="B2982" s="19">
        <v>43.295999999999999</v>
      </c>
      <c r="C2982" s="19">
        <v>2</v>
      </c>
      <c r="D2982" s="19">
        <v>4.3295999999999975</v>
      </c>
    </row>
    <row r="2983" spans="1:4" x14ac:dyDescent="0.2">
      <c r="A2983" s="19" t="s">
        <v>153</v>
      </c>
      <c r="B2983" s="19">
        <v>123.136</v>
      </c>
      <c r="C2983" s="19">
        <v>4</v>
      </c>
      <c r="D2983" s="19">
        <v>13.852799999999981</v>
      </c>
    </row>
    <row r="2984" spans="1:4" x14ac:dyDescent="0.2">
      <c r="A2984" s="19" t="s">
        <v>153</v>
      </c>
      <c r="B2984" s="19">
        <v>11.264000000000001</v>
      </c>
      <c r="C2984" s="19">
        <v>4</v>
      </c>
      <c r="D2984" s="19">
        <v>3.8015999999999992</v>
      </c>
    </row>
    <row r="2985" spans="1:4" x14ac:dyDescent="0.2">
      <c r="A2985" s="19" t="s">
        <v>170</v>
      </c>
      <c r="B2985" s="19">
        <v>53.424000000000007</v>
      </c>
      <c r="C2985" s="19">
        <v>3</v>
      </c>
      <c r="D2985" s="19">
        <v>4.6746000000000016</v>
      </c>
    </row>
    <row r="2986" spans="1:4" x14ac:dyDescent="0.2">
      <c r="A2986" s="19" t="s">
        <v>170</v>
      </c>
      <c r="B2986" s="19">
        <v>275.49</v>
      </c>
      <c r="C2986" s="19">
        <v>1</v>
      </c>
      <c r="D2986" s="19">
        <v>-170.80380000000002</v>
      </c>
    </row>
    <row r="2987" spans="1:4" x14ac:dyDescent="0.2">
      <c r="A2987" s="19" t="s">
        <v>101</v>
      </c>
      <c r="B2987" s="19">
        <v>24.96</v>
      </c>
      <c r="C2987" s="19">
        <v>4</v>
      </c>
      <c r="D2987" s="19">
        <v>6.240000000000002</v>
      </c>
    </row>
    <row r="2988" spans="1:4" x14ac:dyDescent="0.2">
      <c r="A2988" s="19" t="s">
        <v>101</v>
      </c>
      <c r="B2988" s="19">
        <v>19.36</v>
      </c>
      <c r="C2988" s="19">
        <v>2</v>
      </c>
      <c r="D2988" s="19">
        <v>9.2927999999999997</v>
      </c>
    </row>
    <row r="2989" spans="1:4" x14ac:dyDescent="0.2">
      <c r="A2989" s="19" t="s">
        <v>101</v>
      </c>
      <c r="B2989" s="19">
        <v>1267.6499999999999</v>
      </c>
      <c r="C2989" s="19">
        <v>9</v>
      </c>
      <c r="D2989" s="19">
        <v>152.11799999999999</v>
      </c>
    </row>
    <row r="2990" spans="1:4" x14ac:dyDescent="0.2">
      <c r="A2990" s="19" t="s">
        <v>150</v>
      </c>
      <c r="B2990" s="19">
        <v>12.99</v>
      </c>
      <c r="C2990" s="19">
        <v>1</v>
      </c>
      <c r="D2990" s="19">
        <v>0.77939999999999898</v>
      </c>
    </row>
    <row r="2991" spans="1:4" x14ac:dyDescent="0.2">
      <c r="A2991" s="19" t="s">
        <v>150</v>
      </c>
      <c r="B2991" s="19">
        <v>18.559999999999999</v>
      </c>
      <c r="C2991" s="19">
        <v>4</v>
      </c>
      <c r="D2991" s="19">
        <v>6.4959999999999996</v>
      </c>
    </row>
    <row r="2992" spans="1:4" x14ac:dyDescent="0.2">
      <c r="A2992" s="19" t="s">
        <v>150</v>
      </c>
      <c r="B2992" s="19">
        <v>449.15</v>
      </c>
      <c r="C2992" s="19">
        <v>5</v>
      </c>
      <c r="D2992" s="19">
        <v>8.9829999999999899</v>
      </c>
    </row>
    <row r="2993" spans="1:4" x14ac:dyDescent="0.2">
      <c r="A2993" s="19" t="s">
        <v>150</v>
      </c>
      <c r="B2993" s="19">
        <v>31.248000000000005</v>
      </c>
      <c r="C2993" s="19">
        <v>7</v>
      </c>
      <c r="D2993" s="19">
        <v>10.936799999999998</v>
      </c>
    </row>
    <row r="2994" spans="1:4" x14ac:dyDescent="0.2">
      <c r="A2994" s="19" t="s">
        <v>164</v>
      </c>
      <c r="B2994" s="19">
        <v>61.44</v>
      </c>
      <c r="C2994" s="19">
        <v>3</v>
      </c>
      <c r="D2994" s="19">
        <v>16.588799999999999</v>
      </c>
    </row>
    <row r="2995" spans="1:4" x14ac:dyDescent="0.2">
      <c r="A2995" s="19" t="s">
        <v>161</v>
      </c>
      <c r="B2995" s="19">
        <v>895.92</v>
      </c>
      <c r="C2995" s="19">
        <v>4</v>
      </c>
      <c r="D2995" s="19">
        <v>421.08239999999995</v>
      </c>
    </row>
    <row r="2996" spans="1:4" x14ac:dyDescent="0.2">
      <c r="A2996" s="19" t="s">
        <v>150</v>
      </c>
      <c r="B2996" s="19">
        <v>55.360000000000007</v>
      </c>
      <c r="C2996" s="19">
        <v>4</v>
      </c>
      <c r="D2996" s="19">
        <v>18.683999999999997</v>
      </c>
    </row>
    <row r="2997" spans="1:4" x14ac:dyDescent="0.2">
      <c r="A2997" s="19" t="s">
        <v>165</v>
      </c>
      <c r="B2997" s="19">
        <v>55.92</v>
      </c>
      <c r="C2997" s="19">
        <v>5</v>
      </c>
      <c r="D2997" s="19">
        <v>6.2910000000000004</v>
      </c>
    </row>
    <row r="2998" spans="1:4" x14ac:dyDescent="0.2">
      <c r="A2998" s="19" t="s">
        <v>158</v>
      </c>
      <c r="B2998" s="19">
        <v>24.896000000000001</v>
      </c>
      <c r="C2998" s="19">
        <v>4</v>
      </c>
      <c r="D2998" s="19">
        <v>8.4024000000000001</v>
      </c>
    </row>
    <row r="2999" spans="1:4" x14ac:dyDescent="0.2">
      <c r="A2999" s="19" t="s">
        <v>158</v>
      </c>
      <c r="B2999" s="19">
        <v>3.9840000000000004</v>
      </c>
      <c r="C2999" s="19">
        <v>1</v>
      </c>
      <c r="D2999" s="19">
        <v>0.64739999999999964</v>
      </c>
    </row>
    <row r="3000" spans="1:4" x14ac:dyDescent="0.2">
      <c r="A3000" s="19" t="s">
        <v>158</v>
      </c>
      <c r="B3000" s="19">
        <v>95.968000000000004</v>
      </c>
      <c r="C3000" s="19">
        <v>4</v>
      </c>
      <c r="D3000" s="19">
        <v>28.790400000000009</v>
      </c>
    </row>
    <row r="3001" spans="1:4" x14ac:dyDescent="0.2">
      <c r="A3001" s="19" t="s">
        <v>158</v>
      </c>
      <c r="B3001" s="19">
        <v>206.99100000000004</v>
      </c>
      <c r="C3001" s="19">
        <v>3</v>
      </c>
      <c r="D3001" s="19">
        <v>-172.49250000000001</v>
      </c>
    </row>
    <row r="3002" spans="1:4" x14ac:dyDescent="0.2">
      <c r="A3002" s="19" t="s">
        <v>158</v>
      </c>
      <c r="B3002" s="19">
        <v>44.416000000000004</v>
      </c>
      <c r="C3002" s="19">
        <v>2</v>
      </c>
      <c r="D3002" s="19">
        <v>3.8864000000000001</v>
      </c>
    </row>
    <row r="3003" spans="1:4" x14ac:dyDescent="0.2">
      <c r="A3003" s="19" t="s">
        <v>158</v>
      </c>
      <c r="B3003" s="19">
        <v>9.006000000000002</v>
      </c>
      <c r="C3003" s="19">
        <v>2</v>
      </c>
      <c r="D3003" s="19">
        <v>-7.2048000000000023</v>
      </c>
    </row>
    <row r="3004" spans="1:4" x14ac:dyDescent="0.2">
      <c r="A3004" s="19" t="s">
        <v>161</v>
      </c>
      <c r="B3004" s="19">
        <v>19</v>
      </c>
      <c r="C3004" s="19">
        <v>5</v>
      </c>
      <c r="D3004" s="19">
        <v>8.93</v>
      </c>
    </row>
    <row r="3005" spans="1:4" x14ac:dyDescent="0.2">
      <c r="A3005" s="19" t="s">
        <v>164</v>
      </c>
      <c r="B3005" s="19">
        <v>33.375999999999998</v>
      </c>
      <c r="C3005" s="19">
        <v>4</v>
      </c>
      <c r="D3005" s="19">
        <v>10.429999999999998</v>
      </c>
    </row>
    <row r="3006" spans="1:4" x14ac:dyDescent="0.2">
      <c r="A3006" s="19" t="s">
        <v>164</v>
      </c>
      <c r="B3006" s="19">
        <v>207.48</v>
      </c>
      <c r="C3006" s="19">
        <v>1</v>
      </c>
      <c r="D3006" s="19">
        <v>62.243999999999971</v>
      </c>
    </row>
    <row r="3007" spans="1:4" x14ac:dyDescent="0.2">
      <c r="A3007" s="19" t="s">
        <v>155</v>
      </c>
      <c r="B3007" s="19">
        <v>91.679999999999993</v>
      </c>
      <c r="C3007" s="19">
        <v>3</v>
      </c>
      <c r="D3007" s="19">
        <v>45.839999999999996</v>
      </c>
    </row>
    <row r="3008" spans="1:4" x14ac:dyDescent="0.2">
      <c r="A3008" s="19" t="s">
        <v>164</v>
      </c>
      <c r="B3008" s="19">
        <v>904.9</v>
      </c>
      <c r="C3008" s="19">
        <v>5</v>
      </c>
      <c r="D3008" s="19">
        <v>253.37199999999996</v>
      </c>
    </row>
    <row r="3009" spans="1:4" x14ac:dyDescent="0.2">
      <c r="A3009" s="19" t="s">
        <v>150</v>
      </c>
      <c r="B3009" s="19">
        <v>34.271999999999998</v>
      </c>
      <c r="C3009" s="19">
        <v>3</v>
      </c>
      <c r="D3009" s="19">
        <v>11.138399999999999</v>
      </c>
    </row>
    <row r="3010" spans="1:4" x14ac:dyDescent="0.2">
      <c r="A3010" s="19" t="s">
        <v>149</v>
      </c>
      <c r="B3010" s="19">
        <v>191.82</v>
      </c>
      <c r="C3010" s="19">
        <v>3</v>
      </c>
      <c r="D3010" s="19">
        <v>74.809799999999996</v>
      </c>
    </row>
    <row r="3011" spans="1:4" x14ac:dyDescent="0.2">
      <c r="A3011" s="19" t="s">
        <v>173</v>
      </c>
      <c r="B3011" s="19">
        <v>243.88000000000002</v>
      </c>
      <c r="C3011" s="19">
        <v>5</v>
      </c>
      <c r="D3011" s="19">
        <v>27.43649999999996</v>
      </c>
    </row>
    <row r="3012" spans="1:4" x14ac:dyDescent="0.2">
      <c r="A3012" s="19" t="s">
        <v>171</v>
      </c>
      <c r="B3012" s="19">
        <v>12.030000000000001</v>
      </c>
      <c r="C3012" s="19">
        <v>5</v>
      </c>
      <c r="D3012" s="19">
        <v>-9.222999999999999</v>
      </c>
    </row>
    <row r="3013" spans="1:4" x14ac:dyDescent="0.2">
      <c r="A3013" s="19" t="s">
        <v>171</v>
      </c>
      <c r="B3013" s="19">
        <v>2549.9850000000006</v>
      </c>
      <c r="C3013" s="19">
        <v>5</v>
      </c>
      <c r="D3013" s="19">
        <v>-3399.9800000000009</v>
      </c>
    </row>
    <row r="3014" spans="1:4" x14ac:dyDescent="0.2">
      <c r="A3014" s="19" t="s">
        <v>171</v>
      </c>
      <c r="B3014" s="19">
        <v>21.594000000000005</v>
      </c>
      <c r="C3014" s="19">
        <v>2</v>
      </c>
      <c r="D3014" s="19">
        <v>-15.835599999999999</v>
      </c>
    </row>
    <row r="3015" spans="1:4" x14ac:dyDescent="0.2">
      <c r="A3015" s="19" t="s">
        <v>171</v>
      </c>
      <c r="B3015" s="19">
        <v>8.9640000000000022</v>
      </c>
      <c r="C3015" s="19">
        <v>6</v>
      </c>
      <c r="D3015" s="19">
        <v>-6.573599999999999</v>
      </c>
    </row>
    <row r="3016" spans="1:4" x14ac:dyDescent="0.2">
      <c r="A3016" s="19" t="s">
        <v>171</v>
      </c>
      <c r="B3016" s="19">
        <v>20.736000000000004</v>
      </c>
      <c r="C3016" s="19">
        <v>4</v>
      </c>
      <c r="D3016" s="19">
        <v>7.2576000000000001</v>
      </c>
    </row>
    <row r="3017" spans="1:4" x14ac:dyDescent="0.2">
      <c r="A3017" s="19" t="s">
        <v>164</v>
      </c>
      <c r="B3017" s="19">
        <v>344.22</v>
      </c>
      <c r="C3017" s="19">
        <v>2</v>
      </c>
      <c r="D3017" s="19">
        <v>-103.26600000000002</v>
      </c>
    </row>
    <row r="3018" spans="1:4" x14ac:dyDescent="0.2">
      <c r="A3018" s="19" t="s">
        <v>154</v>
      </c>
      <c r="B3018" s="19">
        <v>727.29600000000005</v>
      </c>
      <c r="C3018" s="19">
        <v>8</v>
      </c>
      <c r="D3018" s="19">
        <v>-172.73280000000005</v>
      </c>
    </row>
    <row r="3019" spans="1:4" x14ac:dyDescent="0.2">
      <c r="A3019" s="19" t="s">
        <v>154</v>
      </c>
      <c r="B3019" s="19">
        <v>22.608000000000001</v>
      </c>
      <c r="C3019" s="19">
        <v>3</v>
      </c>
      <c r="D3019" s="19">
        <v>-10.173599999999997</v>
      </c>
    </row>
    <row r="3020" spans="1:4" x14ac:dyDescent="0.2">
      <c r="A3020" s="19" t="s">
        <v>154</v>
      </c>
      <c r="B3020" s="19">
        <v>666.4</v>
      </c>
      <c r="C3020" s="19">
        <v>7</v>
      </c>
      <c r="D3020" s="19">
        <v>-33.319999999999965</v>
      </c>
    </row>
    <row r="3021" spans="1:4" x14ac:dyDescent="0.2">
      <c r="A3021" s="19" t="s">
        <v>156</v>
      </c>
      <c r="B3021" s="19">
        <v>5.04</v>
      </c>
      <c r="C3021" s="19">
        <v>3</v>
      </c>
      <c r="D3021" s="19">
        <v>0.20159999999999978</v>
      </c>
    </row>
    <row r="3022" spans="1:4" x14ac:dyDescent="0.2">
      <c r="A3022" s="19" t="s">
        <v>156</v>
      </c>
      <c r="B3022" s="19">
        <v>92.94</v>
      </c>
      <c r="C3022" s="19">
        <v>3</v>
      </c>
      <c r="D3022" s="19">
        <v>41.822999999999993</v>
      </c>
    </row>
    <row r="3023" spans="1:4" x14ac:dyDescent="0.2">
      <c r="A3023" s="19" t="s">
        <v>156</v>
      </c>
      <c r="B3023" s="19">
        <v>66.69</v>
      </c>
      <c r="C3023" s="19">
        <v>3</v>
      </c>
      <c r="D3023" s="19">
        <v>22.007699999999996</v>
      </c>
    </row>
    <row r="3024" spans="1:4" x14ac:dyDescent="0.2">
      <c r="A3024" s="19" t="s">
        <v>156</v>
      </c>
      <c r="B3024" s="19">
        <v>91.68</v>
      </c>
      <c r="C3024" s="19">
        <v>5</v>
      </c>
      <c r="D3024" s="19">
        <v>28.65</v>
      </c>
    </row>
    <row r="3025" spans="1:4" x14ac:dyDescent="0.2">
      <c r="A3025" s="19" t="s">
        <v>154</v>
      </c>
      <c r="B3025" s="19">
        <v>327.73279999999994</v>
      </c>
      <c r="C3025" s="19">
        <v>2</v>
      </c>
      <c r="D3025" s="19">
        <v>-14.458800000000025</v>
      </c>
    </row>
    <row r="3026" spans="1:4" x14ac:dyDescent="0.2">
      <c r="A3026" s="19" t="s">
        <v>164</v>
      </c>
      <c r="B3026" s="19">
        <v>52.272000000000006</v>
      </c>
      <c r="C3026" s="19">
        <v>11</v>
      </c>
      <c r="D3026" s="19">
        <v>17.641799999999996</v>
      </c>
    </row>
    <row r="3027" spans="1:4" x14ac:dyDescent="0.2">
      <c r="A3027" s="19" t="s">
        <v>164</v>
      </c>
      <c r="B3027" s="19">
        <v>17.940000000000001</v>
      </c>
      <c r="C3027" s="19">
        <v>3</v>
      </c>
      <c r="D3027" s="19">
        <v>8.0730000000000004</v>
      </c>
    </row>
    <row r="3028" spans="1:4" x14ac:dyDescent="0.2">
      <c r="A3028" s="19" t="s">
        <v>158</v>
      </c>
      <c r="B3028" s="19">
        <v>254.35200000000003</v>
      </c>
      <c r="C3028" s="19">
        <v>3</v>
      </c>
      <c r="D3028" s="19">
        <v>0</v>
      </c>
    </row>
    <row r="3029" spans="1:4" x14ac:dyDescent="0.2">
      <c r="A3029" s="19" t="s">
        <v>185</v>
      </c>
      <c r="B3029" s="19">
        <v>8.2880000000000003</v>
      </c>
      <c r="C3029" s="19">
        <v>2</v>
      </c>
      <c r="D3029" s="19">
        <v>2.6935999999999991</v>
      </c>
    </row>
    <row r="3030" spans="1:4" x14ac:dyDescent="0.2">
      <c r="A3030" s="19" t="s">
        <v>166</v>
      </c>
      <c r="B3030" s="19">
        <v>504.90000000000003</v>
      </c>
      <c r="C3030" s="19">
        <v>5</v>
      </c>
      <c r="D3030" s="19">
        <v>80.78400000000002</v>
      </c>
    </row>
    <row r="3031" spans="1:4" x14ac:dyDescent="0.2">
      <c r="A3031" s="19" t="s">
        <v>170</v>
      </c>
      <c r="B3031" s="19">
        <v>403.16800000000001</v>
      </c>
      <c r="C3031" s="19">
        <v>4</v>
      </c>
      <c r="D3031" s="19">
        <v>25.198000000000008</v>
      </c>
    </row>
    <row r="3032" spans="1:4" x14ac:dyDescent="0.2">
      <c r="A3032" s="19" t="s">
        <v>161</v>
      </c>
      <c r="B3032" s="19">
        <v>194.32</v>
      </c>
      <c r="C3032" s="19">
        <v>4</v>
      </c>
      <c r="D3032" s="19">
        <v>31.091200000000015</v>
      </c>
    </row>
    <row r="3033" spans="1:4" x14ac:dyDescent="0.2">
      <c r="A3033" s="19" t="s">
        <v>161</v>
      </c>
      <c r="B3033" s="19">
        <v>25.99</v>
      </c>
      <c r="C3033" s="19">
        <v>1</v>
      </c>
      <c r="D3033" s="19">
        <v>7.5370999999999988</v>
      </c>
    </row>
    <row r="3034" spans="1:4" x14ac:dyDescent="0.2">
      <c r="A3034" s="19" t="s">
        <v>170</v>
      </c>
      <c r="B3034" s="19">
        <v>195.136</v>
      </c>
      <c r="C3034" s="19">
        <v>4</v>
      </c>
      <c r="D3034" s="19">
        <v>-12.196000000000005</v>
      </c>
    </row>
    <row r="3035" spans="1:4" x14ac:dyDescent="0.2">
      <c r="A3035" s="19" t="s">
        <v>158</v>
      </c>
      <c r="B3035" s="19">
        <v>20.736000000000004</v>
      </c>
      <c r="C3035" s="19">
        <v>4</v>
      </c>
      <c r="D3035" s="19">
        <v>7.2576000000000001</v>
      </c>
    </row>
    <row r="3036" spans="1:4" x14ac:dyDescent="0.2">
      <c r="A3036" s="19" t="s">
        <v>177</v>
      </c>
      <c r="B3036" s="19">
        <v>53.699999999999996</v>
      </c>
      <c r="C3036" s="19">
        <v>6</v>
      </c>
      <c r="D3036" s="19">
        <v>10.202999999999994</v>
      </c>
    </row>
    <row r="3037" spans="1:4" x14ac:dyDescent="0.2">
      <c r="A3037" s="19" t="s">
        <v>177</v>
      </c>
      <c r="B3037" s="19">
        <v>36.26</v>
      </c>
      <c r="C3037" s="19">
        <v>7</v>
      </c>
      <c r="D3037" s="19">
        <v>16.679599999999997</v>
      </c>
    </row>
    <row r="3038" spans="1:4" x14ac:dyDescent="0.2">
      <c r="A3038" s="19" t="s">
        <v>177</v>
      </c>
      <c r="B3038" s="19">
        <v>56.3</v>
      </c>
      <c r="C3038" s="19">
        <v>2</v>
      </c>
      <c r="D3038" s="19">
        <v>15.764000000000003</v>
      </c>
    </row>
    <row r="3039" spans="1:4" x14ac:dyDescent="0.2">
      <c r="A3039" s="19" t="s">
        <v>177</v>
      </c>
      <c r="B3039" s="19">
        <v>32.400000000000006</v>
      </c>
      <c r="C3039" s="19">
        <v>5</v>
      </c>
      <c r="D3039" s="19">
        <v>15.552000000000001</v>
      </c>
    </row>
    <row r="3040" spans="1:4" x14ac:dyDescent="0.2">
      <c r="A3040" s="19" t="s">
        <v>177</v>
      </c>
      <c r="B3040" s="19">
        <v>29.16</v>
      </c>
      <c r="C3040" s="19">
        <v>2</v>
      </c>
      <c r="D3040" s="19">
        <v>10.789200000000001</v>
      </c>
    </row>
    <row r="3041" spans="1:4" x14ac:dyDescent="0.2">
      <c r="A3041" s="19" t="s">
        <v>150</v>
      </c>
      <c r="B3041" s="19">
        <v>171.28800000000001</v>
      </c>
      <c r="C3041" s="19">
        <v>3</v>
      </c>
      <c r="D3041" s="19">
        <v>-6.423300000000026</v>
      </c>
    </row>
    <row r="3042" spans="1:4" x14ac:dyDescent="0.2">
      <c r="A3042" s="19" t="s">
        <v>167</v>
      </c>
      <c r="B3042" s="19">
        <v>16.72</v>
      </c>
      <c r="C3042" s="19">
        <v>5</v>
      </c>
      <c r="D3042" s="19">
        <v>3.3439999999999994</v>
      </c>
    </row>
    <row r="3043" spans="1:4" x14ac:dyDescent="0.2">
      <c r="A3043" s="19" t="s">
        <v>150</v>
      </c>
      <c r="B3043" s="19">
        <v>12.96</v>
      </c>
      <c r="C3043" s="19">
        <v>2</v>
      </c>
      <c r="D3043" s="19">
        <v>6.2208000000000006</v>
      </c>
    </row>
    <row r="3044" spans="1:4" x14ac:dyDescent="0.2">
      <c r="A3044" s="19" t="s">
        <v>150</v>
      </c>
      <c r="B3044" s="19">
        <v>22.18</v>
      </c>
      <c r="C3044" s="19">
        <v>2</v>
      </c>
      <c r="D3044" s="19">
        <v>10.8682</v>
      </c>
    </row>
    <row r="3045" spans="1:4" x14ac:dyDescent="0.2">
      <c r="A3045" s="19" t="s">
        <v>150</v>
      </c>
      <c r="B3045" s="19">
        <v>2054.2720000000004</v>
      </c>
      <c r="C3045" s="19">
        <v>8</v>
      </c>
      <c r="D3045" s="19">
        <v>256.78399999999976</v>
      </c>
    </row>
    <row r="3046" spans="1:4" x14ac:dyDescent="0.2">
      <c r="A3046" s="19" t="s">
        <v>173</v>
      </c>
      <c r="B3046" s="19">
        <v>1022.97</v>
      </c>
      <c r="C3046" s="19">
        <v>5</v>
      </c>
      <c r="D3046" s="19">
        <v>-255.74250000000001</v>
      </c>
    </row>
    <row r="3047" spans="1:4" x14ac:dyDescent="0.2">
      <c r="A3047" s="19" t="s">
        <v>160</v>
      </c>
      <c r="B3047" s="19">
        <v>13.899999999999999</v>
      </c>
      <c r="C3047" s="19">
        <v>5</v>
      </c>
      <c r="D3047" s="19">
        <v>3.6139999999999994</v>
      </c>
    </row>
    <row r="3048" spans="1:4" x14ac:dyDescent="0.2">
      <c r="A3048" s="19" t="s">
        <v>160</v>
      </c>
      <c r="B3048" s="19">
        <v>26.38</v>
      </c>
      <c r="C3048" s="19">
        <v>1</v>
      </c>
      <c r="D3048" s="19">
        <v>12.134799999999998</v>
      </c>
    </row>
    <row r="3049" spans="1:4" x14ac:dyDescent="0.2">
      <c r="A3049" s="19" t="s">
        <v>153</v>
      </c>
      <c r="B3049" s="19">
        <v>43.176000000000002</v>
      </c>
      <c r="C3049" s="19">
        <v>7</v>
      </c>
      <c r="D3049" s="19">
        <v>13.4925</v>
      </c>
    </row>
    <row r="3050" spans="1:4" x14ac:dyDescent="0.2">
      <c r="A3050" s="19" t="s">
        <v>101</v>
      </c>
      <c r="B3050" s="19">
        <v>411.8</v>
      </c>
      <c r="C3050" s="19">
        <v>2</v>
      </c>
      <c r="D3050" s="19">
        <v>70.005999999999972</v>
      </c>
    </row>
    <row r="3051" spans="1:4" x14ac:dyDescent="0.2">
      <c r="A3051" s="19" t="s">
        <v>101</v>
      </c>
      <c r="B3051" s="19">
        <v>360</v>
      </c>
      <c r="C3051" s="19">
        <v>4</v>
      </c>
      <c r="D3051" s="19">
        <v>129.6</v>
      </c>
    </row>
    <row r="3052" spans="1:4" x14ac:dyDescent="0.2">
      <c r="A3052" s="19" t="s">
        <v>193</v>
      </c>
      <c r="B3052" s="19">
        <v>41.96</v>
      </c>
      <c r="C3052" s="19">
        <v>2</v>
      </c>
      <c r="D3052" s="19">
        <v>2.9371999999999971</v>
      </c>
    </row>
    <row r="3053" spans="1:4" x14ac:dyDescent="0.2">
      <c r="A3053" s="19" t="s">
        <v>193</v>
      </c>
      <c r="B3053" s="19">
        <v>227.84</v>
      </c>
      <c r="C3053" s="19">
        <v>4</v>
      </c>
      <c r="D3053" s="19">
        <v>66.073599999999971</v>
      </c>
    </row>
    <row r="3054" spans="1:4" x14ac:dyDescent="0.2">
      <c r="A3054" s="19" t="s">
        <v>193</v>
      </c>
      <c r="B3054" s="19">
        <v>37.94</v>
      </c>
      <c r="C3054" s="19">
        <v>2</v>
      </c>
      <c r="D3054" s="19">
        <v>18.211199999999998</v>
      </c>
    </row>
    <row r="3055" spans="1:4" x14ac:dyDescent="0.2">
      <c r="A3055" s="19" t="s">
        <v>161</v>
      </c>
      <c r="B3055" s="19">
        <v>517.9</v>
      </c>
      <c r="C3055" s="19">
        <v>2</v>
      </c>
      <c r="D3055" s="19">
        <v>134.654</v>
      </c>
    </row>
    <row r="3056" spans="1:4" x14ac:dyDescent="0.2">
      <c r="A3056" s="19" t="s">
        <v>161</v>
      </c>
      <c r="B3056" s="19">
        <v>5.28</v>
      </c>
      <c r="C3056" s="19">
        <v>2</v>
      </c>
      <c r="D3056" s="19">
        <v>2.4287999999999998</v>
      </c>
    </row>
    <row r="3057" spans="1:4" x14ac:dyDescent="0.2">
      <c r="A3057" s="19" t="s">
        <v>159</v>
      </c>
      <c r="B3057" s="19">
        <v>2799.9600000000005</v>
      </c>
      <c r="C3057" s="19">
        <v>5</v>
      </c>
      <c r="D3057" s="19">
        <v>874.98749999999984</v>
      </c>
    </row>
    <row r="3058" spans="1:4" x14ac:dyDescent="0.2">
      <c r="A3058" s="19" t="s">
        <v>150</v>
      </c>
      <c r="B3058" s="19">
        <v>8.9600000000000009</v>
      </c>
      <c r="C3058" s="19">
        <v>2</v>
      </c>
      <c r="D3058" s="19">
        <v>4.3008000000000006</v>
      </c>
    </row>
    <row r="3059" spans="1:4" x14ac:dyDescent="0.2">
      <c r="A3059" s="19" t="s">
        <v>150</v>
      </c>
      <c r="B3059" s="19">
        <v>31.5</v>
      </c>
      <c r="C3059" s="19">
        <v>10</v>
      </c>
      <c r="D3059" s="19">
        <v>15.120000000000001</v>
      </c>
    </row>
    <row r="3060" spans="1:4" x14ac:dyDescent="0.2">
      <c r="A3060" s="19" t="s">
        <v>150</v>
      </c>
      <c r="B3060" s="19">
        <v>30.56</v>
      </c>
      <c r="C3060" s="19">
        <v>2</v>
      </c>
      <c r="D3060" s="19">
        <v>10.3904</v>
      </c>
    </row>
    <row r="3061" spans="1:4" x14ac:dyDescent="0.2">
      <c r="A3061" s="19" t="s">
        <v>150</v>
      </c>
      <c r="B3061" s="19">
        <v>24.368000000000002</v>
      </c>
      <c r="C3061" s="19">
        <v>2</v>
      </c>
      <c r="D3061" s="19">
        <v>-3.3506000000000018</v>
      </c>
    </row>
    <row r="3062" spans="1:4" x14ac:dyDescent="0.2">
      <c r="A3062" s="19" t="s">
        <v>173</v>
      </c>
      <c r="B3062" s="19">
        <v>119.97600000000001</v>
      </c>
      <c r="C3062" s="19">
        <v>3</v>
      </c>
      <c r="D3062" s="19">
        <v>22.495499999999989</v>
      </c>
    </row>
    <row r="3063" spans="1:4" x14ac:dyDescent="0.2">
      <c r="A3063" s="19" t="s">
        <v>154</v>
      </c>
      <c r="B3063" s="19">
        <v>26.880000000000003</v>
      </c>
      <c r="C3063" s="19">
        <v>8</v>
      </c>
      <c r="D3063" s="19">
        <v>9.743999999999998</v>
      </c>
    </row>
    <row r="3064" spans="1:4" x14ac:dyDescent="0.2">
      <c r="A3064" s="19" t="s">
        <v>162</v>
      </c>
      <c r="B3064" s="19">
        <v>83.97</v>
      </c>
      <c r="C3064" s="19">
        <v>3</v>
      </c>
      <c r="D3064" s="19">
        <v>23.511599999999998</v>
      </c>
    </row>
    <row r="3065" spans="1:4" x14ac:dyDescent="0.2">
      <c r="A3065" s="19" t="s">
        <v>162</v>
      </c>
      <c r="B3065" s="19">
        <v>104.97</v>
      </c>
      <c r="C3065" s="19">
        <v>3</v>
      </c>
      <c r="D3065" s="19">
        <v>7.3479000000000028</v>
      </c>
    </row>
    <row r="3066" spans="1:4" x14ac:dyDescent="0.2">
      <c r="A3066" s="19" t="s">
        <v>176</v>
      </c>
      <c r="B3066" s="19">
        <v>90.8</v>
      </c>
      <c r="C3066" s="19">
        <v>8</v>
      </c>
      <c r="D3066" s="19">
        <v>25.424000000000007</v>
      </c>
    </row>
    <row r="3067" spans="1:4" x14ac:dyDescent="0.2">
      <c r="A3067" s="19" t="s">
        <v>176</v>
      </c>
      <c r="B3067" s="19">
        <v>140.73599999999999</v>
      </c>
      <c r="C3067" s="19">
        <v>8</v>
      </c>
      <c r="D3067" s="19">
        <v>49.257599999999996</v>
      </c>
    </row>
    <row r="3068" spans="1:4" x14ac:dyDescent="0.2">
      <c r="A3068" s="19" t="s">
        <v>176</v>
      </c>
      <c r="B3068" s="19">
        <v>214.95000000000002</v>
      </c>
      <c r="C3068" s="19">
        <v>5</v>
      </c>
      <c r="D3068" s="19">
        <v>88.129500000000007</v>
      </c>
    </row>
    <row r="3069" spans="1:4" x14ac:dyDescent="0.2">
      <c r="A3069" s="19" t="s">
        <v>176</v>
      </c>
      <c r="B3069" s="19">
        <v>45.36</v>
      </c>
      <c r="C3069" s="19">
        <v>7</v>
      </c>
      <c r="D3069" s="19">
        <v>21.772800000000004</v>
      </c>
    </row>
    <row r="3070" spans="1:4" x14ac:dyDescent="0.2">
      <c r="A3070" s="19" t="s">
        <v>176</v>
      </c>
      <c r="B3070" s="19">
        <v>288.24</v>
      </c>
      <c r="C3070" s="19">
        <v>6</v>
      </c>
      <c r="D3070" s="19">
        <v>138.35519999999997</v>
      </c>
    </row>
    <row r="3071" spans="1:4" x14ac:dyDescent="0.2">
      <c r="A3071" s="19" t="s">
        <v>173</v>
      </c>
      <c r="B3071" s="19">
        <v>663.93600000000004</v>
      </c>
      <c r="C3071" s="19">
        <v>4</v>
      </c>
      <c r="D3071" s="19">
        <v>82.991999999999877</v>
      </c>
    </row>
    <row r="3072" spans="1:4" x14ac:dyDescent="0.2">
      <c r="A3072" s="19" t="s">
        <v>162</v>
      </c>
      <c r="B3072" s="19">
        <v>2934.33</v>
      </c>
      <c r="C3072" s="19">
        <v>7</v>
      </c>
      <c r="D3072" s="19">
        <v>792.26910000000021</v>
      </c>
    </row>
    <row r="3073" spans="1:4" x14ac:dyDescent="0.2">
      <c r="A3073" s="19" t="s">
        <v>162</v>
      </c>
      <c r="B3073" s="19">
        <v>124.41</v>
      </c>
      <c r="C3073" s="19">
        <v>3</v>
      </c>
      <c r="D3073" s="19">
        <v>14.929199999999994</v>
      </c>
    </row>
    <row r="3074" spans="1:4" x14ac:dyDescent="0.2">
      <c r="A3074" s="19" t="s">
        <v>162</v>
      </c>
      <c r="B3074" s="19">
        <v>57.75</v>
      </c>
      <c r="C3074" s="19">
        <v>5</v>
      </c>
      <c r="D3074" s="19">
        <v>26.564999999999998</v>
      </c>
    </row>
    <row r="3075" spans="1:4" x14ac:dyDescent="0.2">
      <c r="A3075" s="19" t="s">
        <v>150</v>
      </c>
      <c r="B3075" s="19">
        <v>114.46</v>
      </c>
      <c r="C3075" s="19">
        <v>2</v>
      </c>
      <c r="D3075" s="19">
        <v>28.614999999999995</v>
      </c>
    </row>
    <row r="3076" spans="1:4" x14ac:dyDescent="0.2">
      <c r="A3076" s="19" t="s">
        <v>150</v>
      </c>
      <c r="B3076" s="19">
        <v>120.666</v>
      </c>
      <c r="C3076" s="19">
        <v>2</v>
      </c>
      <c r="D3076" s="19">
        <v>18.454800000000002</v>
      </c>
    </row>
    <row r="3077" spans="1:4" x14ac:dyDescent="0.2">
      <c r="A3077" s="19" t="s">
        <v>154</v>
      </c>
      <c r="B3077" s="19">
        <v>342.86400000000003</v>
      </c>
      <c r="C3077" s="19">
        <v>3</v>
      </c>
      <c r="D3077" s="19">
        <v>38.572199999999953</v>
      </c>
    </row>
    <row r="3078" spans="1:4" x14ac:dyDescent="0.2">
      <c r="A3078" s="19" t="s">
        <v>154</v>
      </c>
      <c r="B3078" s="19">
        <v>16.739999999999998</v>
      </c>
      <c r="C3078" s="19">
        <v>5</v>
      </c>
      <c r="D3078" s="19">
        <v>-14.228999999999997</v>
      </c>
    </row>
    <row r="3079" spans="1:4" x14ac:dyDescent="0.2">
      <c r="A3079" s="19" t="s">
        <v>154</v>
      </c>
      <c r="B3079" s="19">
        <v>981.37199999999996</v>
      </c>
      <c r="C3079" s="19">
        <v>2</v>
      </c>
      <c r="D3079" s="19">
        <v>-140.19599999999997</v>
      </c>
    </row>
    <row r="3080" spans="1:4" x14ac:dyDescent="0.2">
      <c r="A3080" s="19" t="s">
        <v>150</v>
      </c>
      <c r="B3080" s="19">
        <v>31.84</v>
      </c>
      <c r="C3080" s="19">
        <v>8</v>
      </c>
      <c r="D3080" s="19">
        <v>10.507199999999997</v>
      </c>
    </row>
    <row r="3081" spans="1:4" x14ac:dyDescent="0.2">
      <c r="A3081" s="19" t="s">
        <v>150</v>
      </c>
      <c r="B3081" s="19">
        <v>12.96</v>
      </c>
      <c r="C3081" s="19">
        <v>2</v>
      </c>
      <c r="D3081" s="19">
        <v>6.2208000000000006</v>
      </c>
    </row>
    <row r="3082" spans="1:4" x14ac:dyDescent="0.2">
      <c r="A3082" s="19" t="s">
        <v>150</v>
      </c>
      <c r="B3082" s="19">
        <v>43.176000000000002</v>
      </c>
      <c r="C3082" s="19">
        <v>3</v>
      </c>
      <c r="D3082" s="19">
        <v>15.111599999999999</v>
      </c>
    </row>
    <row r="3083" spans="1:4" x14ac:dyDescent="0.2">
      <c r="A3083" s="19" t="s">
        <v>149</v>
      </c>
      <c r="B3083" s="19">
        <v>58.34</v>
      </c>
      <c r="C3083" s="19">
        <v>2</v>
      </c>
      <c r="D3083" s="19">
        <v>28.0032</v>
      </c>
    </row>
    <row r="3084" spans="1:4" x14ac:dyDescent="0.2">
      <c r="A3084" s="19" t="s">
        <v>149</v>
      </c>
      <c r="B3084" s="19">
        <v>539.97</v>
      </c>
      <c r="C3084" s="19">
        <v>3</v>
      </c>
      <c r="D3084" s="19">
        <v>134.99250000000001</v>
      </c>
    </row>
    <row r="3085" spans="1:4" x14ac:dyDescent="0.2">
      <c r="A3085" s="19" t="s">
        <v>164</v>
      </c>
      <c r="B3085" s="19">
        <v>3.9280000000000004</v>
      </c>
      <c r="C3085" s="19">
        <v>1</v>
      </c>
      <c r="D3085" s="19">
        <v>1.3256999999999999</v>
      </c>
    </row>
    <row r="3086" spans="1:4" x14ac:dyDescent="0.2">
      <c r="A3086" s="19" t="s">
        <v>154</v>
      </c>
      <c r="B3086" s="19">
        <v>252.78399999999996</v>
      </c>
      <c r="C3086" s="19">
        <v>4</v>
      </c>
      <c r="D3086" s="19">
        <v>-417.09360000000004</v>
      </c>
    </row>
    <row r="3087" spans="1:4" x14ac:dyDescent="0.2">
      <c r="A3087" s="19" t="s">
        <v>154</v>
      </c>
      <c r="B3087" s="19">
        <v>127.98399999999999</v>
      </c>
      <c r="C3087" s="19">
        <v>2</v>
      </c>
      <c r="D3087" s="19">
        <v>15.997999999999987</v>
      </c>
    </row>
    <row r="3088" spans="1:4" x14ac:dyDescent="0.2">
      <c r="A3088" s="19" t="s">
        <v>154</v>
      </c>
      <c r="B3088" s="19">
        <v>3.9840000000000004</v>
      </c>
      <c r="C3088" s="19">
        <v>2</v>
      </c>
      <c r="D3088" s="19">
        <v>-2.6892000000000005</v>
      </c>
    </row>
    <row r="3089" spans="1:4" x14ac:dyDescent="0.2">
      <c r="A3089" s="19" t="s">
        <v>154</v>
      </c>
      <c r="B3089" s="19">
        <v>12.991999999999996</v>
      </c>
      <c r="C3089" s="19">
        <v>2</v>
      </c>
      <c r="D3089" s="19">
        <v>-32.480000000000004</v>
      </c>
    </row>
    <row r="3090" spans="1:4" x14ac:dyDescent="0.2">
      <c r="A3090" s="19" t="s">
        <v>149</v>
      </c>
      <c r="B3090" s="19">
        <v>61</v>
      </c>
      <c r="C3090" s="19">
        <v>5</v>
      </c>
      <c r="D3090" s="19">
        <v>25.620000000000005</v>
      </c>
    </row>
    <row r="3091" spans="1:4" x14ac:dyDescent="0.2">
      <c r="A3091" s="19" t="s">
        <v>149</v>
      </c>
      <c r="B3091" s="19">
        <v>671.93</v>
      </c>
      <c r="C3091" s="19">
        <v>7</v>
      </c>
      <c r="D3091" s="19">
        <v>188.1404</v>
      </c>
    </row>
    <row r="3092" spans="1:4" x14ac:dyDescent="0.2">
      <c r="A3092" s="19" t="s">
        <v>162</v>
      </c>
      <c r="B3092" s="19">
        <v>447.85999999999996</v>
      </c>
      <c r="C3092" s="19">
        <v>7</v>
      </c>
      <c r="D3092" s="19">
        <v>219.45140000000001</v>
      </c>
    </row>
    <row r="3093" spans="1:4" x14ac:dyDescent="0.2">
      <c r="A3093" s="19" t="s">
        <v>162</v>
      </c>
      <c r="B3093" s="19">
        <v>479.95</v>
      </c>
      <c r="C3093" s="19">
        <v>5</v>
      </c>
      <c r="D3093" s="19">
        <v>129.5865</v>
      </c>
    </row>
    <row r="3094" spans="1:4" x14ac:dyDescent="0.2">
      <c r="A3094" s="19" t="s">
        <v>162</v>
      </c>
      <c r="B3094" s="19">
        <v>166.44</v>
      </c>
      <c r="C3094" s="19">
        <v>3</v>
      </c>
      <c r="D3094" s="19">
        <v>79.891199999999998</v>
      </c>
    </row>
    <row r="3095" spans="1:4" x14ac:dyDescent="0.2">
      <c r="A3095" s="19" t="s">
        <v>159</v>
      </c>
      <c r="B3095" s="19">
        <v>31.680000000000003</v>
      </c>
      <c r="C3095" s="19">
        <v>4</v>
      </c>
      <c r="D3095" s="19">
        <v>2.7719999999999994</v>
      </c>
    </row>
    <row r="3096" spans="1:4" x14ac:dyDescent="0.2">
      <c r="A3096" s="19" t="s">
        <v>159</v>
      </c>
      <c r="B3096" s="19">
        <v>10.368000000000002</v>
      </c>
      <c r="C3096" s="19">
        <v>2</v>
      </c>
      <c r="D3096" s="19">
        <v>3.6288</v>
      </c>
    </row>
    <row r="3097" spans="1:4" x14ac:dyDescent="0.2">
      <c r="A3097" s="19" t="s">
        <v>159</v>
      </c>
      <c r="B3097" s="19">
        <v>12.032</v>
      </c>
      <c r="C3097" s="19">
        <v>8</v>
      </c>
      <c r="D3097" s="19">
        <v>2.2559999999999993</v>
      </c>
    </row>
    <row r="3098" spans="1:4" x14ac:dyDescent="0.2">
      <c r="A3098" s="19" t="s">
        <v>159</v>
      </c>
      <c r="B3098" s="19">
        <v>5.7679999999999989</v>
      </c>
      <c r="C3098" s="19">
        <v>2</v>
      </c>
      <c r="D3098" s="19">
        <v>-13.554800000000004</v>
      </c>
    </row>
    <row r="3099" spans="1:4" x14ac:dyDescent="0.2">
      <c r="A3099" s="19" t="s">
        <v>154</v>
      </c>
      <c r="B3099" s="19">
        <v>33.119999999999997</v>
      </c>
      <c r="C3099" s="19">
        <v>4</v>
      </c>
      <c r="D3099" s="19">
        <v>11.592000000000001</v>
      </c>
    </row>
    <row r="3100" spans="1:4" x14ac:dyDescent="0.2">
      <c r="A3100" s="19" t="s">
        <v>154</v>
      </c>
      <c r="B3100" s="19">
        <v>220.26559999999998</v>
      </c>
      <c r="C3100" s="19">
        <v>4</v>
      </c>
      <c r="D3100" s="19">
        <v>-42.1096</v>
      </c>
    </row>
    <row r="3101" spans="1:4" x14ac:dyDescent="0.2">
      <c r="A3101" s="19" t="s">
        <v>164</v>
      </c>
      <c r="B3101" s="19">
        <v>10.776000000000002</v>
      </c>
      <c r="C3101" s="19">
        <v>3</v>
      </c>
      <c r="D3101" s="19">
        <v>3.5021999999999989</v>
      </c>
    </row>
    <row r="3102" spans="1:4" x14ac:dyDescent="0.2">
      <c r="A3102" s="19" t="s">
        <v>164</v>
      </c>
      <c r="B3102" s="19">
        <v>242.35200000000003</v>
      </c>
      <c r="C3102" s="19">
        <v>3</v>
      </c>
      <c r="D3102" s="19">
        <v>9.0881999999999721</v>
      </c>
    </row>
    <row r="3103" spans="1:4" x14ac:dyDescent="0.2">
      <c r="A3103" s="19" t="s">
        <v>182</v>
      </c>
      <c r="B3103" s="19">
        <v>695.16</v>
      </c>
      <c r="C3103" s="19">
        <v>6</v>
      </c>
      <c r="D3103" s="19">
        <v>34.757999999999953</v>
      </c>
    </row>
    <row r="3104" spans="1:4" x14ac:dyDescent="0.2">
      <c r="A3104" s="19" t="s">
        <v>182</v>
      </c>
      <c r="B3104" s="19">
        <v>220.98</v>
      </c>
      <c r="C3104" s="19">
        <v>1</v>
      </c>
      <c r="D3104" s="19">
        <v>50.825400000000002</v>
      </c>
    </row>
    <row r="3105" spans="1:4" x14ac:dyDescent="0.2">
      <c r="A3105" s="19" t="s">
        <v>173</v>
      </c>
      <c r="B3105" s="19">
        <v>12.957000000000001</v>
      </c>
      <c r="C3105" s="19">
        <v>7</v>
      </c>
      <c r="D3105" s="19">
        <v>-9.5018000000000029</v>
      </c>
    </row>
    <row r="3106" spans="1:4" x14ac:dyDescent="0.2">
      <c r="A3106" s="19" t="s">
        <v>164</v>
      </c>
      <c r="B3106" s="19">
        <v>25.68</v>
      </c>
      <c r="C3106" s="19">
        <v>6</v>
      </c>
      <c r="D3106" s="19">
        <v>11.555999999999997</v>
      </c>
    </row>
    <row r="3107" spans="1:4" x14ac:dyDescent="0.2">
      <c r="A3107" s="19" t="s">
        <v>154</v>
      </c>
      <c r="B3107" s="19">
        <v>15.712000000000002</v>
      </c>
      <c r="C3107" s="19">
        <v>4</v>
      </c>
      <c r="D3107" s="19">
        <v>5.6955999999999989</v>
      </c>
    </row>
    <row r="3108" spans="1:4" x14ac:dyDescent="0.2">
      <c r="A3108" s="19" t="s">
        <v>159</v>
      </c>
      <c r="B3108" s="19">
        <v>298.464</v>
      </c>
      <c r="C3108" s="19">
        <v>6</v>
      </c>
      <c r="D3108" s="19">
        <v>26.115600000000015</v>
      </c>
    </row>
    <row r="3109" spans="1:4" x14ac:dyDescent="0.2">
      <c r="A3109" s="19" t="s">
        <v>174</v>
      </c>
      <c r="B3109" s="19">
        <v>21.93</v>
      </c>
      <c r="C3109" s="19">
        <v>3</v>
      </c>
      <c r="D3109" s="19">
        <v>10.087799999999998</v>
      </c>
    </row>
    <row r="3110" spans="1:4" x14ac:dyDescent="0.2">
      <c r="A3110" s="19" t="s">
        <v>174</v>
      </c>
      <c r="B3110" s="19">
        <v>242.94</v>
      </c>
      <c r="C3110" s="19">
        <v>3</v>
      </c>
      <c r="D3110" s="19">
        <v>4.8588000000000164</v>
      </c>
    </row>
    <row r="3111" spans="1:4" x14ac:dyDescent="0.2">
      <c r="A3111" s="19" t="s">
        <v>174</v>
      </c>
      <c r="B3111" s="19">
        <v>7.64</v>
      </c>
      <c r="C3111" s="19">
        <v>1</v>
      </c>
      <c r="D3111" s="19">
        <v>3.7435999999999998</v>
      </c>
    </row>
    <row r="3112" spans="1:4" x14ac:dyDescent="0.2">
      <c r="A3112" s="19" t="s">
        <v>174</v>
      </c>
      <c r="B3112" s="19">
        <v>51.84</v>
      </c>
      <c r="C3112" s="19">
        <v>8</v>
      </c>
      <c r="D3112" s="19">
        <v>25.401600000000002</v>
      </c>
    </row>
    <row r="3113" spans="1:4" x14ac:dyDescent="0.2">
      <c r="A3113" s="19" t="s">
        <v>174</v>
      </c>
      <c r="B3113" s="19">
        <v>265.17</v>
      </c>
      <c r="C3113" s="19">
        <v>1</v>
      </c>
      <c r="D3113" s="19">
        <v>47.730599999999981</v>
      </c>
    </row>
    <row r="3114" spans="1:4" x14ac:dyDescent="0.2">
      <c r="A3114" s="19" t="s">
        <v>153</v>
      </c>
      <c r="B3114" s="19">
        <v>837.59999999999991</v>
      </c>
      <c r="C3114" s="19">
        <v>3</v>
      </c>
      <c r="D3114" s="19">
        <v>62.82000000000005</v>
      </c>
    </row>
    <row r="3115" spans="1:4" x14ac:dyDescent="0.2">
      <c r="A3115" s="19" t="s">
        <v>153</v>
      </c>
      <c r="B3115" s="19">
        <v>135.9</v>
      </c>
      <c r="C3115" s="19">
        <v>5</v>
      </c>
      <c r="D3115" s="19">
        <v>63.872999999999998</v>
      </c>
    </row>
    <row r="3116" spans="1:4" x14ac:dyDescent="0.2">
      <c r="A3116" s="19" t="s">
        <v>153</v>
      </c>
      <c r="B3116" s="19">
        <v>34.68</v>
      </c>
      <c r="C3116" s="19">
        <v>6</v>
      </c>
      <c r="D3116" s="19">
        <v>16.993200000000002</v>
      </c>
    </row>
    <row r="3117" spans="1:4" x14ac:dyDescent="0.2">
      <c r="A3117" s="19" t="s">
        <v>153</v>
      </c>
      <c r="B3117" s="19">
        <v>532.70400000000006</v>
      </c>
      <c r="C3117" s="19">
        <v>6</v>
      </c>
      <c r="D3117" s="19">
        <v>-39.952800000000025</v>
      </c>
    </row>
    <row r="3118" spans="1:4" x14ac:dyDescent="0.2">
      <c r="A3118" s="19" t="s">
        <v>153</v>
      </c>
      <c r="B3118" s="19">
        <v>43.099999999999994</v>
      </c>
      <c r="C3118" s="19">
        <v>5</v>
      </c>
      <c r="D3118" s="19">
        <v>11.206</v>
      </c>
    </row>
    <row r="3119" spans="1:4" x14ac:dyDescent="0.2">
      <c r="A3119" s="19" t="s">
        <v>153</v>
      </c>
      <c r="B3119" s="19">
        <v>15.88</v>
      </c>
      <c r="C3119" s="19">
        <v>4</v>
      </c>
      <c r="D3119" s="19">
        <v>0.15879999999999939</v>
      </c>
    </row>
    <row r="3120" spans="1:4" x14ac:dyDescent="0.2">
      <c r="A3120" s="19" t="s">
        <v>151</v>
      </c>
      <c r="B3120" s="19">
        <v>1123.92</v>
      </c>
      <c r="C3120" s="19">
        <v>5</v>
      </c>
      <c r="D3120" s="19">
        <v>-182.63700000000017</v>
      </c>
    </row>
    <row r="3121" spans="1:4" x14ac:dyDescent="0.2">
      <c r="A3121" s="19" t="s">
        <v>151</v>
      </c>
      <c r="B3121" s="19">
        <v>249.58400000000003</v>
      </c>
      <c r="C3121" s="19">
        <v>2</v>
      </c>
      <c r="D3121" s="19">
        <v>31.197999999999986</v>
      </c>
    </row>
    <row r="3122" spans="1:4" x14ac:dyDescent="0.2">
      <c r="A3122" s="19" t="s">
        <v>151</v>
      </c>
      <c r="B3122" s="19">
        <v>48.671999999999997</v>
      </c>
      <c r="C3122" s="19">
        <v>3</v>
      </c>
      <c r="D3122" s="19">
        <v>7.3007999999999988</v>
      </c>
    </row>
    <row r="3123" spans="1:4" x14ac:dyDescent="0.2">
      <c r="A3123" s="19" t="s">
        <v>151</v>
      </c>
      <c r="B3123" s="19">
        <v>60.768000000000001</v>
      </c>
      <c r="C3123" s="19">
        <v>2</v>
      </c>
      <c r="D3123" s="19">
        <v>7.5959999999999894</v>
      </c>
    </row>
    <row r="3124" spans="1:4" x14ac:dyDescent="0.2">
      <c r="A3124" s="19" t="s">
        <v>151</v>
      </c>
      <c r="B3124" s="19">
        <v>78.600000000000009</v>
      </c>
      <c r="C3124" s="19">
        <v>5</v>
      </c>
      <c r="D3124" s="19">
        <v>-62.88000000000001</v>
      </c>
    </row>
    <row r="3125" spans="1:4" x14ac:dyDescent="0.2">
      <c r="A3125" s="19" t="s">
        <v>151</v>
      </c>
      <c r="B3125" s="19">
        <v>3.7680000000000007</v>
      </c>
      <c r="C3125" s="19">
        <v>2</v>
      </c>
      <c r="D3125" s="19">
        <v>-3.1400000000000006</v>
      </c>
    </row>
    <row r="3126" spans="1:4" x14ac:dyDescent="0.2">
      <c r="A3126" s="19" t="s">
        <v>151</v>
      </c>
      <c r="B3126" s="19">
        <v>1036.624</v>
      </c>
      <c r="C3126" s="19">
        <v>2</v>
      </c>
      <c r="D3126" s="19">
        <v>51.831200000000024</v>
      </c>
    </row>
    <row r="3127" spans="1:4" x14ac:dyDescent="0.2">
      <c r="A3127" s="19" t="s">
        <v>151</v>
      </c>
      <c r="B3127" s="19">
        <v>563.80799999999999</v>
      </c>
      <c r="C3127" s="19">
        <v>4</v>
      </c>
      <c r="D3127" s="19">
        <v>21.142799999999966</v>
      </c>
    </row>
    <row r="3128" spans="1:4" x14ac:dyDescent="0.2">
      <c r="A3128" s="19" t="s">
        <v>158</v>
      </c>
      <c r="B3128" s="19">
        <v>258.52799999999996</v>
      </c>
      <c r="C3128" s="19">
        <v>2</v>
      </c>
      <c r="D3128" s="19">
        <v>-47.396800000000013</v>
      </c>
    </row>
    <row r="3129" spans="1:4" x14ac:dyDescent="0.2">
      <c r="A3129" s="19" t="s">
        <v>164</v>
      </c>
      <c r="B3129" s="19">
        <v>49.12</v>
      </c>
      <c r="C3129" s="19">
        <v>4</v>
      </c>
      <c r="D3129" s="19">
        <v>23.086399999999998</v>
      </c>
    </row>
    <row r="3130" spans="1:4" x14ac:dyDescent="0.2">
      <c r="A3130" s="19" t="s">
        <v>150</v>
      </c>
      <c r="B3130" s="19">
        <v>44.46</v>
      </c>
      <c r="C3130" s="19">
        <v>2</v>
      </c>
      <c r="D3130" s="19">
        <v>14.671799999999998</v>
      </c>
    </row>
    <row r="3131" spans="1:4" x14ac:dyDescent="0.2">
      <c r="A3131" s="19" t="s">
        <v>150</v>
      </c>
      <c r="B3131" s="19">
        <v>241.56799999999998</v>
      </c>
      <c r="C3131" s="19">
        <v>2</v>
      </c>
      <c r="D3131" s="19">
        <v>18.11760000000001</v>
      </c>
    </row>
    <row r="3132" spans="1:4" x14ac:dyDescent="0.2">
      <c r="A3132" s="19" t="s">
        <v>150</v>
      </c>
      <c r="B3132" s="19">
        <v>395</v>
      </c>
      <c r="C3132" s="19">
        <v>5</v>
      </c>
      <c r="D3132" s="19">
        <v>39.499999999999957</v>
      </c>
    </row>
    <row r="3133" spans="1:4" x14ac:dyDescent="0.2">
      <c r="A3133" s="19" t="s">
        <v>150</v>
      </c>
      <c r="B3133" s="19">
        <v>627.16800000000012</v>
      </c>
      <c r="C3133" s="19">
        <v>4</v>
      </c>
      <c r="D3133" s="19">
        <v>70.55639999999994</v>
      </c>
    </row>
    <row r="3134" spans="1:4" x14ac:dyDescent="0.2">
      <c r="A3134" s="19" t="s">
        <v>164</v>
      </c>
      <c r="B3134" s="19">
        <v>13.28</v>
      </c>
      <c r="C3134" s="19">
        <v>2</v>
      </c>
      <c r="D3134" s="19">
        <v>6.3743999999999996</v>
      </c>
    </row>
    <row r="3135" spans="1:4" x14ac:dyDescent="0.2">
      <c r="A3135" s="19" t="s">
        <v>164</v>
      </c>
      <c r="B3135" s="19">
        <v>12.672000000000001</v>
      </c>
      <c r="C3135" s="19">
        <v>3</v>
      </c>
      <c r="D3135" s="19">
        <v>4.4352000000000009</v>
      </c>
    </row>
    <row r="3136" spans="1:4" x14ac:dyDescent="0.2">
      <c r="A3136" s="19" t="s">
        <v>154</v>
      </c>
      <c r="B3136" s="19">
        <v>30.559999999999992</v>
      </c>
      <c r="C3136" s="19">
        <v>5</v>
      </c>
      <c r="D3136" s="19">
        <v>-45.840000000000018</v>
      </c>
    </row>
    <row r="3137" spans="1:4" x14ac:dyDescent="0.2">
      <c r="A3137" s="19" t="s">
        <v>154</v>
      </c>
      <c r="B3137" s="19">
        <v>77.951999999999998</v>
      </c>
      <c r="C3137" s="19">
        <v>3</v>
      </c>
      <c r="D3137" s="19">
        <v>-15.590400000000002</v>
      </c>
    </row>
    <row r="3138" spans="1:4" x14ac:dyDescent="0.2">
      <c r="A3138" s="19" t="s">
        <v>154</v>
      </c>
      <c r="B3138" s="19">
        <v>67.992000000000004</v>
      </c>
      <c r="C3138" s="19">
        <v>1</v>
      </c>
      <c r="D3138" s="19">
        <v>8.4989999999999917</v>
      </c>
    </row>
    <row r="3139" spans="1:4" x14ac:dyDescent="0.2">
      <c r="A3139" s="19" t="s">
        <v>154</v>
      </c>
      <c r="B3139" s="19">
        <v>12.224</v>
      </c>
      <c r="C3139" s="19">
        <v>2</v>
      </c>
      <c r="D3139" s="19">
        <v>4.4311999999999996</v>
      </c>
    </row>
    <row r="3140" spans="1:4" x14ac:dyDescent="0.2">
      <c r="A3140" s="19" t="s">
        <v>154</v>
      </c>
      <c r="B3140" s="19">
        <v>44.783999999999999</v>
      </c>
      <c r="C3140" s="19">
        <v>2</v>
      </c>
      <c r="D3140" s="19">
        <v>-0.55980000000000452</v>
      </c>
    </row>
    <row r="3141" spans="1:4" x14ac:dyDescent="0.2">
      <c r="A3141" s="19" t="s">
        <v>154</v>
      </c>
      <c r="B3141" s="19">
        <v>22.847999999999999</v>
      </c>
      <c r="C3141" s="19">
        <v>3</v>
      </c>
      <c r="D3141" s="19">
        <v>-17.707200000000007</v>
      </c>
    </row>
    <row r="3142" spans="1:4" x14ac:dyDescent="0.2">
      <c r="A3142" s="19" t="s">
        <v>164</v>
      </c>
      <c r="B3142" s="19">
        <v>206.43</v>
      </c>
      <c r="C3142" s="19">
        <v>3</v>
      </c>
      <c r="D3142" s="19">
        <v>90.829200000000014</v>
      </c>
    </row>
    <row r="3143" spans="1:4" x14ac:dyDescent="0.2">
      <c r="A3143" s="19" t="s">
        <v>154</v>
      </c>
      <c r="B3143" s="19">
        <v>210.39199999999997</v>
      </c>
      <c r="C3143" s="19">
        <v>2</v>
      </c>
      <c r="D3143" s="19">
        <v>-336.62720000000013</v>
      </c>
    </row>
    <row r="3144" spans="1:4" x14ac:dyDescent="0.2">
      <c r="A3144" s="19" t="s">
        <v>173</v>
      </c>
      <c r="B3144" s="19">
        <v>119.96000000000001</v>
      </c>
      <c r="C3144" s="19">
        <v>5</v>
      </c>
      <c r="D3144" s="19">
        <v>35.988000000000007</v>
      </c>
    </row>
    <row r="3145" spans="1:4" x14ac:dyDescent="0.2">
      <c r="A3145" s="19" t="s">
        <v>173</v>
      </c>
      <c r="B3145" s="19">
        <v>10.608000000000001</v>
      </c>
      <c r="C3145" s="19">
        <v>6</v>
      </c>
      <c r="D3145" s="19">
        <v>0.92819999999999991</v>
      </c>
    </row>
    <row r="3146" spans="1:4" x14ac:dyDescent="0.2">
      <c r="A3146" s="19" t="s">
        <v>154</v>
      </c>
      <c r="B3146" s="19">
        <v>347.80200000000002</v>
      </c>
      <c r="C3146" s="19">
        <v>7</v>
      </c>
      <c r="D3146" s="19">
        <v>-24.842999999999961</v>
      </c>
    </row>
    <row r="3147" spans="1:4" x14ac:dyDescent="0.2">
      <c r="A3147" s="19" t="s">
        <v>153</v>
      </c>
      <c r="B3147" s="19">
        <v>963.13600000000008</v>
      </c>
      <c r="C3147" s="19">
        <v>4</v>
      </c>
      <c r="D3147" s="19">
        <v>108.35279999999986</v>
      </c>
    </row>
    <row r="3148" spans="1:4" x14ac:dyDescent="0.2">
      <c r="A3148" s="19" t="s">
        <v>153</v>
      </c>
      <c r="B3148" s="19">
        <v>88.77600000000001</v>
      </c>
      <c r="C3148" s="19">
        <v>3</v>
      </c>
      <c r="D3148" s="19">
        <v>7.7679000000000009</v>
      </c>
    </row>
    <row r="3149" spans="1:4" x14ac:dyDescent="0.2">
      <c r="A3149" s="19" t="s">
        <v>150</v>
      </c>
      <c r="B3149" s="19">
        <v>32.400000000000006</v>
      </c>
      <c r="C3149" s="19">
        <v>5</v>
      </c>
      <c r="D3149" s="19">
        <v>10.367999999999999</v>
      </c>
    </row>
    <row r="3150" spans="1:4" x14ac:dyDescent="0.2">
      <c r="A3150" s="19" t="s">
        <v>164</v>
      </c>
      <c r="B3150" s="19">
        <v>32.400000000000006</v>
      </c>
      <c r="C3150" s="19">
        <v>5</v>
      </c>
      <c r="D3150" s="19">
        <v>15.552000000000001</v>
      </c>
    </row>
    <row r="3151" spans="1:4" x14ac:dyDescent="0.2">
      <c r="A3151" s="19" t="s">
        <v>153</v>
      </c>
      <c r="B3151" s="19">
        <v>31.049999999999997</v>
      </c>
      <c r="C3151" s="19">
        <v>3</v>
      </c>
      <c r="D3151" s="19">
        <v>14.904</v>
      </c>
    </row>
    <row r="3152" spans="1:4" x14ac:dyDescent="0.2">
      <c r="A3152" s="19" t="s">
        <v>173</v>
      </c>
      <c r="B3152" s="19">
        <v>2025.3600000000001</v>
      </c>
      <c r="C3152" s="19">
        <v>6</v>
      </c>
      <c r="D3152" s="19">
        <v>607.60800000000006</v>
      </c>
    </row>
    <row r="3153" spans="1:4" x14ac:dyDescent="0.2">
      <c r="A3153" s="19" t="s">
        <v>173</v>
      </c>
      <c r="B3153" s="19">
        <v>1799.9940000000001</v>
      </c>
      <c r="C3153" s="19">
        <v>2</v>
      </c>
      <c r="D3153" s="19">
        <v>-2639.9912000000004</v>
      </c>
    </row>
    <row r="3154" spans="1:4" x14ac:dyDescent="0.2">
      <c r="A3154" s="19" t="s">
        <v>173</v>
      </c>
      <c r="B3154" s="19">
        <v>101.98799999999999</v>
      </c>
      <c r="C3154" s="19">
        <v>2</v>
      </c>
      <c r="D3154" s="19">
        <v>-16.998000000000019</v>
      </c>
    </row>
    <row r="3155" spans="1:4" x14ac:dyDescent="0.2">
      <c r="A3155" s="19" t="s">
        <v>173</v>
      </c>
      <c r="B3155" s="19">
        <v>262.86399999999998</v>
      </c>
      <c r="C3155" s="19">
        <v>7</v>
      </c>
      <c r="D3155" s="19">
        <v>69.001800000000017</v>
      </c>
    </row>
    <row r="3156" spans="1:4" x14ac:dyDescent="0.2">
      <c r="A3156" s="19" t="s">
        <v>160</v>
      </c>
      <c r="B3156" s="19">
        <v>735.98</v>
      </c>
      <c r="C3156" s="19">
        <v>2</v>
      </c>
      <c r="D3156" s="19">
        <v>331.19099999999997</v>
      </c>
    </row>
    <row r="3157" spans="1:4" x14ac:dyDescent="0.2">
      <c r="A3157" s="19" t="s">
        <v>165</v>
      </c>
      <c r="B3157" s="19">
        <v>93.024000000000001</v>
      </c>
      <c r="C3157" s="19">
        <v>3</v>
      </c>
      <c r="D3157" s="19">
        <v>33.721199999999996</v>
      </c>
    </row>
    <row r="3158" spans="1:4" x14ac:dyDescent="0.2">
      <c r="A3158" s="19" t="s">
        <v>164</v>
      </c>
      <c r="B3158" s="19">
        <v>284.36399999999998</v>
      </c>
      <c r="C3158" s="19">
        <v>2</v>
      </c>
      <c r="D3158" s="19">
        <v>-75.830400000000054</v>
      </c>
    </row>
    <row r="3159" spans="1:4" x14ac:dyDescent="0.2">
      <c r="A3159" s="19" t="s">
        <v>164</v>
      </c>
      <c r="B3159" s="19">
        <v>26</v>
      </c>
      <c r="C3159" s="19">
        <v>2</v>
      </c>
      <c r="D3159" s="19">
        <v>11.7</v>
      </c>
    </row>
    <row r="3160" spans="1:4" x14ac:dyDescent="0.2">
      <c r="A3160" s="19" t="s">
        <v>152</v>
      </c>
      <c r="B3160" s="19">
        <v>67.64</v>
      </c>
      <c r="C3160" s="19">
        <v>5</v>
      </c>
      <c r="D3160" s="19">
        <v>5.9184999999999981</v>
      </c>
    </row>
    <row r="3161" spans="1:4" x14ac:dyDescent="0.2">
      <c r="A3161" s="19" t="s">
        <v>152</v>
      </c>
      <c r="B3161" s="19">
        <v>119.97600000000001</v>
      </c>
      <c r="C3161" s="19">
        <v>3</v>
      </c>
      <c r="D3161" s="19">
        <v>-17.996400000000019</v>
      </c>
    </row>
    <row r="3162" spans="1:4" x14ac:dyDescent="0.2">
      <c r="A3162" s="19" t="s">
        <v>154</v>
      </c>
      <c r="B3162" s="19">
        <v>5.1799999999999988</v>
      </c>
      <c r="C3162" s="19">
        <v>5</v>
      </c>
      <c r="D3162" s="19">
        <v>-8.0289999999999999</v>
      </c>
    </row>
    <row r="3163" spans="1:4" x14ac:dyDescent="0.2">
      <c r="A3163" s="19" t="s">
        <v>150</v>
      </c>
      <c r="B3163" s="19">
        <v>15.56</v>
      </c>
      <c r="C3163" s="19">
        <v>2</v>
      </c>
      <c r="D3163" s="19">
        <v>7.3132000000000001</v>
      </c>
    </row>
    <row r="3164" spans="1:4" x14ac:dyDescent="0.2">
      <c r="A3164" s="19" t="s">
        <v>150</v>
      </c>
      <c r="B3164" s="19">
        <v>78.349999999999994</v>
      </c>
      <c r="C3164" s="19">
        <v>5</v>
      </c>
      <c r="D3164" s="19">
        <v>36.824499999999993</v>
      </c>
    </row>
    <row r="3165" spans="1:4" x14ac:dyDescent="0.2">
      <c r="A3165" s="19" t="s">
        <v>150</v>
      </c>
      <c r="B3165" s="19">
        <v>59.519999999999996</v>
      </c>
      <c r="C3165" s="19">
        <v>3</v>
      </c>
      <c r="D3165" s="19">
        <v>15.475200000000001</v>
      </c>
    </row>
    <row r="3166" spans="1:4" x14ac:dyDescent="0.2">
      <c r="A3166" s="19" t="s">
        <v>150</v>
      </c>
      <c r="B3166" s="19">
        <v>38.520000000000003</v>
      </c>
      <c r="C3166" s="19">
        <v>9</v>
      </c>
      <c r="D3166" s="19">
        <v>17.333999999999996</v>
      </c>
    </row>
    <row r="3167" spans="1:4" x14ac:dyDescent="0.2">
      <c r="A3167" s="19" t="s">
        <v>150</v>
      </c>
      <c r="B3167" s="19">
        <v>239.98400000000004</v>
      </c>
      <c r="C3167" s="19">
        <v>2</v>
      </c>
      <c r="D3167" s="19">
        <v>23.998400000000004</v>
      </c>
    </row>
    <row r="3168" spans="1:4" x14ac:dyDescent="0.2">
      <c r="A3168" s="19" t="s">
        <v>150</v>
      </c>
      <c r="B3168" s="19">
        <v>19.350000000000001</v>
      </c>
      <c r="C3168" s="19">
        <v>3</v>
      </c>
      <c r="D3168" s="19">
        <v>9.4815000000000005</v>
      </c>
    </row>
    <row r="3169" spans="1:4" x14ac:dyDescent="0.2">
      <c r="A3169" s="19" t="s">
        <v>161</v>
      </c>
      <c r="B3169" s="19">
        <v>67</v>
      </c>
      <c r="C3169" s="19">
        <v>5</v>
      </c>
      <c r="D3169" s="19">
        <v>32.159999999999997</v>
      </c>
    </row>
    <row r="3170" spans="1:4" x14ac:dyDescent="0.2">
      <c r="A3170" s="19" t="s">
        <v>151</v>
      </c>
      <c r="B3170" s="19">
        <v>390.27199999999999</v>
      </c>
      <c r="C3170" s="19">
        <v>8</v>
      </c>
      <c r="D3170" s="19">
        <v>-24.39200000000001</v>
      </c>
    </row>
    <row r="3171" spans="1:4" x14ac:dyDescent="0.2">
      <c r="A3171" s="19" t="s">
        <v>151</v>
      </c>
      <c r="B3171" s="19">
        <v>62.192000000000007</v>
      </c>
      <c r="C3171" s="19">
        <v>13</v>
      </c>
      <c r="D3171" s="19">
        <v>19.434999999999995</v>
      </c>
    </row>
    <row r="3172" spans="1:4" x14ac:dyDescent="0.2">
      <c r="A3172" s="19" t="s">
        <v>169</v>
      </c>
      <c r="B3172" s="19">
        <v>23.88</v>
      </c>
      <c r="C3172" s="19">
        <v>6</v>
      </c>
      <c r="D3172" s="19">
        <v>11.223600000000001</v>
      </c>
    </row>
    <row r="3173" spans="1:4" x14ac:dyDescent="0.2">
      <c r="A3173" s="19" t="s">
        <v>159</v>
      </c>
      <c r="B3173" s="19">
        <v>3.1679999999999993</v>
      </c>
      <c r="C3173" s="19">
        <v>2</v>
      </c>
      <c r="D3173" s="19">
        <v>-4.7520000000000007</v>
      </c>
    </row>
    <row r="3174" spans="1:4" x14ac:dyDescent="0.2">
      <c r="A3174" s="19" t="s">
        <v>159</v>
      </c>
      <c r="B3174" s="19">
        <v>528.42999999999995</v>
      </c>
      <c r="C3174" s="19">
        <v>5</v>
      </c>
      <c r="D3174" s="19">
        <v>0</v>
      </c>
    </row>
    <row r="3175" spans="1:4" x14ac:dyDescent="0.2">
      <c r="A3175" s="19" t="s">
        <v>159</v>
      </c>
      <c r="B3175" s="19">
        <v>13.392000000000001</v>
      </c>
      <c r="C3175" s="19">
        <v>3</v>
      </c>
      <c r="D3175" s="19">
        <v>1.5065999999999975</v>
      </c>
    </row>
    <row r="3176" spans="1:4" x14ac:dyDescent="0.2">
      <c r="A3176" s="19" t="s">
        <v>161</v>
      </c>
      <c r="B3176" s="19">
        <v>181.86</v>
      </c>
      <c r="C3176" s="19">
        <v>7</v>
      </c>
      <c r="D3176" s="19">
        <v>50.9208</v>
      </c>
    </row>
    <row r="3177" spans="1:4" x14ac:dyDescent="0.2">
      <c r="A3177" s="19" t="s">
        <v>171</v>
      </c>
      <c r="B3177" s="19">
        <v>180.58800000000005</v>
      </c>
      <c r="C3177" s="19">
        <v>2</v>
      </c>
      <c r="D3177" s="19">
        <v>-240.78400000000005</v>
      </c>
    </row>
    <row r="3178" spans="1:4" x14ac:dyDescent="0.2">
      <c r="A3178" s="19" t="s">
        <v>171</v>
      </c>
      <c r="B3178" s="19">
        <v>47.984000000000002</v>
      </c>
      <c r="C3178" s="19">
        <v>2</v>
      </c>
      <c r="D3178" s="19">
        <v>0.59979999999999656</v>
      </c>
    </row>
    <row r="3179" spans="1:4" x14ac:dyDescent="0.2">
      <c r="A3179" s="19" t="s">
        <v>164</v>
      </c>
      <c r="B3179" s="19">
        <v>18.760000000000002</v>
      </c>
      <c r="C3179" s="19">
        <v>2</v>
      </c>
      <c r="D3179" s="19">
        <v>9.0048000000000012</v>
      </c>
    </row>
    <row r="3180" spans="1:4" x14ac:dyDescent="0.2">
      <c r="A3180" s="19" t="s">
        <v>164</v>
      </c>
      <c r="B3180" s="19">
        <v>20.94</v>
      </c>
      <c r="C3180" s="19">
        <v>3</v>
      </c>
      <c r="D3180" s="19">
        <v>6.0725999999999987</v>
      </c>
    </row>
    <row r="3181" spans="1:4" x14ac:dyDescent="0.2">
      <c r="A3181" s="19" t="s">
        <v>164</v>
      </c>
      <c r="B3181" s="19">
        <v>58.68</v>
      </c>
      <c r="C3181" s="19">
        <v>2</v>
      </c>
      <c r="D3181" s="19">
        <v>18.190799999999996</v>
      </c>
    </row>
    <row r="3182" spans="1:4" x14ac:dyDescent="0.2">
      <c r="A3182" s="19" t="s">
        <v>164</v>
      </c>
      <c r="B3182" s="19">
        <v>254.89999999999998</v>
      </c>
      <c r="C3182" s="19">
        <v>5</v>
      </c>
      <c r="D3182" s="19">
        <v>68.823000000000008</v>
      </c>
    </row>
    <row r="3183" spans="1:4" x14ac:dyDescent="0.2">
      <c r="A3183" s="19" t="s">
        <v>187</v>
      </c>
      <c r="B3183" s="19">
        <v>9.64</v>
      </c>
      <c r="C3183" s="19">
        <v>2</v>
      </c>
      <c r="D3183" s="19">
        <v>4.4344000000000001</v>
      </c>
    </row>
    <row r="3184" spans="1:4" x14ac:dyDescent="0.2">
      <c r="A3184" s="19" t="s">
        <v>187</v>
      </c>
      <c r="B3184" s="19">
        <v>826.62000000000012</v>
      </c>
      <c r="C3184" s="19">
        <v>3</v>
      </c>
      <c r="D3184" s="19">
        <v>355.4466000000001</v>
      </c>
    </row>
    <row r="3185" spans="1:4" x14ac:dyDescent="0.2">
      <c r="A3185" s="19" t="s">
        <v>187</v>
      </c>
      <c r="B3185" s="19">
        <v>1633.14</v>
      </c>
      <c r="C3185" s="19">
        <v>9</v>
      </c>
      <c r="D3185" s="19">
        <v>473.61059999999975</v>
      </c>
    </row>
    <row r="3186" spans="1:4" x14ac:dyDescent="0.2">
      <c r="A3186" s="19" t="s">
        <v>187</v>
      </c>
      <c r="B3186" s="19">
        <v>544.38</v>
      </c>
      <c r="C3186" s="19">
        <v>3</v>
      </c>
      <c r="D3186" s="19">
        <v>157.87019999999993</v>
      </c>
    </row>
    <row r="3187" spans="1:4" x14ac:dyDescent="0.2">
      <c r="A3187" s="19" t="s">
        <v>154</v>
      </c>
      <c r="B3187" s="19">
        <v>26.045999999999992</v>
      </c>
      <c r="C3187" s="19">
        <v>3</v>
      </c>
      <c r="D3187" s="19">
        <v>-44.278199999999998</v>
      </c>
    </row>
    <row r="3188" spans="1:4" x14ac:dyDescent="0.2">
      <c r="A3188" s="19" t="s">
        <v>154</v>
      </c>
      <c r="B3188" s="19">
        <v>74.352000000000004</v>
      </c>
      <c r="C3188" s="19">
        <v>3</v>
      </c>
      <c r="D3188" s="19">
        <v>26.952599999999997</v>
      </c>
    </row>
    <row r="3189" spans="1:4" x14ac:dyDescent="0.2">
      <c r="A3189" s="19" t="s">
        <v>180</v>
      </c>
      <c r="B3189" s="19">
        <v>69.930000000000007</v>
      </c>
      <c r="C3189" s="19">
        <v>7</v>
      </c>
      <c r="D3189" s="19">
        <v>32.1678</v>
      </c>
    </row>
    <row r="3190" spans="1:4" x14ac:dyDescent="0.2">
      <c r="A3190" s="19" t="s">
        <v>150</v>
      </c>
      <c r="B3190" s="19">
        <v>3.75</v>
      </c>
      <c r="C3190" s="19">
        <v>1</v>
      </c>
      <c r="D3190" s="19">
        <v>1.7999999999999998</v>
      </c>
    </row>
    <row r="3191" spans="1:4" x14ac:dyDescent="0.2">
      <c r="A3191" s="19" t="s">
        <v>150</v>
      </c>
      <c r="B3191" s="19">
        <v>20.928000000000001</v>
      </c>
      <c r="C3191" s="19">
        <v>4</v>
      </c>
      <c r="D3191" s="19">
        <v>7.5864000000000003</v>
      </c>
    </row>
    <row r="3192" spans="1:4" x14ac:dyDescent="0.2">
      <c r="A3192" s="19" t="s">
        <v>159</v>
      </c>
      <c r="B3192" s="19">
        <v>12.672000000000001</v>
      </c>
      <c r="C3192" s="19">
        <v>3</v>
      </c>
      <c r="D3192" s="19">
        <v>-3.1680000000000001</v>
      </c>
    </row>
    <row r="3193" spans="1:4" x14ac:dyDescent="0.2">
      <c r="A3193" s="19" t="s">
        <v>164</v>
      </c>
      <c r="B3193" s="19">
        <v>65.989999999999995</v>
      </c>
      <c r="C3193" s="19">
        <v>1</v>
      </c>
      <c r="D3193" s="19">
        <v>17.157400000000003</v>
      </c>
    </row>
    <row r="3194" spans="1:4" x14ac:dyDescent="0.2">
      <c r="A3194" s="19" t="s">
        <v>154</v>
      </c>
      <c r="B3194" s="19">
        <v>6.3699999999999983</v>
      </c>
      <c r="C3194" s="19">
        <v>7</v>
      </c>
      <c r="D3194" s="19">
        <v>-9.5550000000000015</v>
      </c>
    </row>
    <row r="3195" spans="1:4" x14ac:dyDescent="0.2">
      <c r="A3195" s="19" t="s">
        <v>154</v>
      </c>
      <c r="B3195" s="19">
        <v>3.6479999999999992</v>
      </c>
      <c r="C3195" s="19">
        <v>3</v>
      </c>
      <c r="D3195" s="19">
        <v>-6.0192000000000032</v>
      </c>
    </row>
    <row r="3196" spans="1:4" x14ac:dyDescent="0.2">
      <c r="A3196" s="19" t="s">
        <v>154</v>
      </c>
      <c r="B3196" s="19">
        <v>31.104000000000006</v>
      </c>
      <c r="C3196" s="19">
        <v>6</v>
      </c>
      <c r="D3196" s="19">
        <v>10.8864</v>
      </c>
    </row>
    <row r="3197" spans="1:4" x14ac:dyDescent="0.2">
      <c r="A3197" s="19" t="s">
        <v>183</v>
      </c>
      <c r="B3197" s="19">
        <v>23.34</v>
      </c>
      <c r="C3197" s="19">
        <v>3</v>
      </c>
      <c r="D3197" s="19">
        <v>0.23339999999999961</v>
      </c>
    </row>
    <row r="3198" spans="1:4" x14ac:dyDescent="0.2">
      <c r="A3198" s="19" t="s">
        <v>164</v>
      </c>
      <c r="B3198" s="19">
        <v>29.97</v>
      </c>
      <c r="C3198" s="19">
        <v>3</v>
      </c>
      <c r="D3198" s="19">
        <v>14.085899999999999</v>
      </c>
    </row>
    <row r="3199" spans="1:4" x14ac:dyDescent="0.2">
      <c r="A3199" s="19" t="s">
        <v>165</v>
      </c>
      <c r="B3199" s="19">
        <v>3.366000000000001</v>
      </c>
      <c r="C3199" s="19">
        <v>3</v>
      </c>
      <c r="D3199" s="19">
        <v>-2.2439999999999989</v>
      </c>
    </row>
    <row r="3200" spans="1:4" x14ac:dyDescent="0.2">
      <c r="A3200" s="19" t="s">
        <v>152</v>
      </c>
      <c r="B3200" s="19">
        <v>95.968000000000004</v>
      </c>
      <c r="C3200" s="19">
        <v>4</v>
      </c>
      <c r="D3200" s="19">
        <v>9.5968000000000053</v>
      </c>
    </row>
    <row r="3201" spans="1:4" x14ac:dyDescent="0.2">
      <c r="A3201" s="19" t="s">
        <v>158</v>
      </c>
      <c r="B3201" s="19">
        <v>18.704000000000001</v>
      </c>
      <c r="C3201" s="19">
        <v>7</v>
      </c>
      <c r="D3201" s="19">
        <v>2.3379999999999983</v>
      </c>
    </row>
    <row r="3202" spans="1:4" x14ac:dyDescent="0.2">
      <c r="A3202" s="19" t="s">
        <v>173</v>
      </c>
      <c r="B3202" s="19">
        <v>149.232</v>
      </c>
      <c r="C3202" s="19">
        <v>3</v>
      </c>
      <c r="D3202" s="19">
        <v>3.7308000000000021</v>
      </c>
    </row>
    <row r="3203" spans="1:4" x14ac:dyDescent="0.2">
      <c r="A3203" s="19" t="s">
        <v>173</v>
      </c>
      <c r="B3203" s="19">
        <v>15.936000000000002</v>
      </c>
      <c r="C3203" s="19">
        <v>4</v>
      </c>
      <c r="D3203" s="19">
        <v>5.7768000000000015</v>
      </c>
    </row>
    <row r="3204" spans="1:4" x14ac:dyDescent="0.2">
      <c r="A3204" s="19" t="s">
        <v>150</v>
      </c>
      <c r="B3204" s="19">
        <v>601.53599999999994</v>
      </c>
      <c r="C3204" s="19">
        <v>8</v>
      </c>
      <c r="D3204" s="19">
        <v>60.153600000000012</v>
      </c>
    </row>
    <row r="3205" spans="1:4" x14ac:dyDescent="0.2">
      <c r="A3205" s="19" t="s">
        <v>150</v>
      </c>
      <c r="B3205" s="19">
        <v>10.99</v>
      </c>
      <c r="C3205" s="19">
        <v>1</v>
      </c>
      <c r="D3205" s="19">
        <v>4.2861000000000002</v>
      </c>
    </row>
    <row r="3206" spans="1:4" x14ac:dyDescent="0.2">
      <c r="A3206" s="19" t="s">
        <v>150</v>
      </c>
      <c r="B3206" s="19">
        <v>39.880000000000003</v>
      </c>
      <c r="C3206" s="19">
        <v>2</v>
      </c>
      <c r="D3206" s="19">
        <v>11.166400000000003</v>
      </c>
    </row>
    <row r="3207" spans="1:4" x14ac:dyDescent="0.2">
      <c r="A3207" s="19" t="s">
        <v>150</v>
      </c>
      <c r="B3207" s="19">
        <v>62.24</v>
      </c>
      <c r="C3207" s="19">
        <v>8</v>
      </c>
      <c r="D3207" s="19">
        <v>28.007999999999996</v>
      </c>
    </row>
    <row r="3208" spans="1:4" x14ac:dyDescent="0.2">
      <c r="A3208" s="19" t="s">
        <v>150</v>
      </c>
      <c r="B3208" s="19">
        <v>53.2</v>
      </c>
      <c r="C3208" s="19">
        <v>5</v>
      </c>
      <c r="D3208" s="19">
        <v>14.896000000000003</v>
      </c>
    </row>
    <row r="3209" spans="1:4" x14ac:dyDescent="0.2">
      <c r="A3209" s="19" t="s">
        <v>150</v>
      </c>
      <c r="B3209" s="19">
        <v>39.840000000000003</v>
      </c>
      <c r="C3209" s="19">
        <v>8</v>
      </c>
      <c r="D3209" s="19">
        <v>18.3264</v>
      </c>
    </row>
    <row r="3210" spans="1:4" x14ac:dyDescent="0.2">
      <c r="A3210" s="19" t="s">
        <v>150</v>
      </c>
      <c r="B3210" s="19">
        <v>349.95</v>
      </c>
      <c r="C3210" s="19">
        <v>5</v>
      </c>
      <c r="D3210" s="19">
        <v>118.98299999999999</v>
      </c>
    </row>
    <row r="3211" spans="1:4" x14ac:dyDescent="0.2">
      <c r="A3211" s="19" t="s">
        <v>150</v>
      </c>
      <c r="B3211" s="19">
        <v>377.92800000000005</v>
      </c>
      <c r="C3211" s="19">
        <v>9</v>
      </c>
      <c r="D3211" s="19">
        <v>141.72300000000001</v>
      </c>
    </row>
    <row r="3212" spans="1:4" x14ac:dyDescent="0.2">
      <c r="A3212" s="19" t="s">
        <v>154</v>
      </c>
      <c r="B3212" s="19">
        <v>13.392000000000001</v>
      </c>
      <c r="C3212" s="19">
        <v>3</v>
      </c>
      <c r="D3212" s="19">
        <v>5.0220000000000002</v>
      </c>
    </row>
    <row r="3213" spans="1:4" x14ac:dyDescent="0.2">
      <c r="A3213" s="19" t="s">
        <v>154</v>
      </c>
      <c r="B3213" s="19">
        <v>11.227999999999998</v>
      </c>
      <c r="C3213" s="19">
        <v>7</v>
      </c>
      <c r="D3213" s="19">
        <v>-18.52620000000001</v>
      </c>
    </row>
    <row r="3214" spans="1:4" x14ac:dyDescent="0.2">
      <c r="A3214" s="19" t="s">
        <v>163</v>
      </c>
      <c r="B3214" s="19">
        <v>207.24</v>
      </c>
      <c r="C3214" s="19">
        <v>11</v>
      </c>
      <c r="D3214" s="19">
        <v>58.027200000000001</v>
      </c>
    </row>
    <row r="3215" spans="1:4" x14ac:dyDescent="0.2">
      <c r="A3215" s="19" t="s">
        <v>158</v>
      </c>
      <c r="B3215" s="19">
        <v>1.504</v>
      </c>
      <c r="C3215" s="19">
        <v>1</v>
      </c>
      <c r="D3215" s="19">
        <v>0.16919999999999991</v>
      </c>
    </row>
    <row r="3216" spans="1:4" x14ac:dyDescent="0.2">
      <c r="A3216" s="19" t="s">
        <v>158</v>
      </c>
      <c r="B3216" s="19">
        <v>34.848000000000006</v>
      </c>
      <c r="C3216" s="19">
        <v>2</v>
      </c>
      <c r="D3216" s="19">
        <v>6.5339999999999971</v>
      </c>
    </row>
    <row r="3217" spans="1:4" x14ac:dyDescent="0.2">
      <c r="A3217" s="19" t="s">
        <v>150</v>
      </c>
      <c r="B3217" s="19">
        <v>75.179999999999993</v>
      </c>
      <c r="C3217" s="19">
        <v>6</v>
      </c>
      <c r="D3217" s="19">
        <v>35.334599999999995</v>
      </c>
    </row>
    <row r="3218" spans="1:4" x14ac:dyDescent="0.2">
      <c r="A3218" s="19" t="s">
        <v>150</v>
      </c>
      <c r="B3218" s="19">
        <v>149.97</v>
      </c>
      <c r="C3218" s="19">
        <v>3</v>
      </c>
      <c r="D3218" s="19">
        <v>52.489499999999992</v>
      </c>
    </row>
    <row r="3219" spans="1:4" x14ac:dyDescent="0.2">
      <c r="A3219" s="19" t="s">
        <v>164</v>
      </c>
      <c r="B3219" s="19">
        <v>931.17600000000016</v>
      </c>
      <c r="C3219" s="19">
        <v>3</v>
      </c>
      <c r="D3219" s="19">
        <v>314.27190000000002</v>
      </c>
    </row>
    <row r="3220" spans="1:4" x14ac:dyDescent="0.2">
      <c r="A3220" s="19" t="s">
        <v>164</v>
      </c>
      <c r="B3220" s="19">
        <v>430.88</v>
      </c>
      <c r="C3220" s="19">
        <v>2</v>
      </c>
      <c r="D3220" s="19">
        <v>124.95519999999999</v>
      </c>
    </row>
    <row r="3221" spans="1:4" x14ac:dyDescent="0.2">
      <c r="A3221" s="19" t="s">
        <v>179</v>
      </c>
      <c r="B3221" s="19">
        <v>94.85</v>
      </c>
      <c r="C3221" s="19">
        <v>5</v>
      </c>
      <c r="D3221" s="19">
        <v>45.527999999999992</v>
      </c>
    </row>
    <row r="3222" spans="1:4" x14ac:dyDescent="0.2">
      <c r="A3222" s="19" t="s">
        <v>179</v>
      </c>
      <c r="B3222" s="19">
        <v>51.12</v>
      </c>
      <c r="C3222" s="19">
        <v>4</v>
      </c>
      <c r="D3222" s="19">
        <v>23.003999999999998</v>
      </c>
    </row>
    <row r="3223" spans="1:4" x14ac:dyDescent="0.2">
      <c r="A3223" s="19" t="s">
        <v>179</v>
      </c>
      <c r="B3223" s="19">
        <v>90</v>
      </c>
      <c r="C3223" s="19">
        <v>1</v>
      </c>
      <c r="D3223" s="19">
        <v>32.4</v>
      </c>
    </row>
    <row r="3224" spans="1:4" x14ac:dyDescent="0.2">
      <c r="A3224" s="19" t="s">
        <v>165</v>
      </c>
      <c r="B3224" s="19">
        <v>9.4079999999999995</v>
      </c>
      <c r="C3224" s="19">
        <v>2</v>
      </c>
      <c r="D3224" s="19">
        <v>3.4103999999999997</v>
      </c>
    </row>
    <row r="3225" spans="1:4" x14ac:dyDescent="0.2">
      <c r="A3225" s="19" t="s">
        <v>165</v>
      </c>
      <c r="B3225" s="19">
        <v>4.6719999999999997</v>
      </c>
      <c r="C3225" s="19">
        <v>2</v>
      </c>
      <c r="D3225" s="19">
        <v>1.4599999999999997</v>
      </c>
    </row>
    <row r="3226" spans="1:4" x14ac:dyDescent="0.2">
      <c r="A3226" s="19" t="s">
        <v>165</v>
      </c>
      <c r="B3226" s="19">
        <v>318.40000000000003</v>
      </c>
      <c r="C3226" s="19">
        <v>2</v>
      </c>
      <c r="D3226" s="19">
        <v>107.46</v>
      </c>
    </row>
    <row r="3227" spans="1:4" x14ac:dyDescent="0.2">
      <c r="A3227" s="19" t="s">
        <v>165</v>
      </c>
      <c r="B3227" s="19">
        <v>12.768000000000001</v>
      </c>
      <c r="C3227" s="19">
        <v>6</v>
      </c>
      <c r="D3227" s="19">
        <v>4.628400000000001</v>
      </c>
    </row>
    <row r="3228" spans="1:4" x14ac:dyDescent="0.2">
      <c r="A3228" s="19" t="s">
        <v>165</v>
      </c>
      <c r="B3228" s="19">
        <v>15.36</v>
      </c>
      <c r="C3228" s="19">
        <v>2</v>
      </c>
      <c r="D3228" s="19">
        <v>-3.2639999999999993</v>
      </c>
    </row>
    <row r="3229" spans="1:4" x14ac:dyDescent="0.2">
      <c r="A3229" s="19" t="s">
        <v>165</v>
      </c>
      <c r="B3229" s="19">
        <v>230.376</v>
      </c>
      <c r="C3229" s="19">
        <v>3</v>
      </c>
      <c r="D3229" s="19">
        <v>20.157899999999991</v>
      </c>
    </row>
    <row r="3230" spans="1:4" x14ac:dyDescent="0.2">
      <c r="A3230" s="19" t="s">
        <v>165</v>
      </c>
      <c r="B3230" s="19">
        <v>7.16</v>
      </c>
      <c r="C3230" s="19">
        <v>1</v>
      </c>
      <c r="D3230" s="19">
        <v>-8.9500000000001023E-2</v>
      </c>
    </row>
    <row r="3231" spans="1:4" x14ac:dyDescent="0.2">
      <c r="A3231" s="19" t="s">
        <v>164</v>
      </c>
      <c r="B3231" s="19">
        <v>375.34</v>
      </c>
      <c r="C3231" s="19">
        <v>1</v>
      </c>
      <c r="D3231" s="19">
        <v>18.766999999999996</v>
      </c>
    </row>
    <row r="3232" spans="1:4" x14ac:dyDescent="0.2">
      <c r="A3232" s="19" t="s">
        <v>164</v>
      </c>
      <c r="B3232" s="19">
        <v>114.9</v>
      </c>
      <c r="C3232" s="19">
        <v>5</v>
      </c>
      <c r="D3232" s="19">
        <v>39.066000000000003</v>
      </c>
    </row>
    <row r="3233" spans="1:4" x14ac:dyDescent="0.2">
      <c r="A3233" s="19" t="s">
        <v>154</v>
      </c>
      <c r="B3233" s="19">
        <v>26.045999999999992</v>
      </c>
      <c r="C3233" s="19">
        <v>3</v>
      </c>
      <c r="D3233" s="19">
        <v>-44.278199999999998</v>
      </c>
    </row>
    <row r="3234" spans="1:4" x14ac:dyDescent="0.2">
      <c r="A3234" s="19" t="s">
        <v>154</v>
      </c>
      <c r="B3234" s="19">
        <v>2.8959999999999995</v>
      </c>
      <c r="C3234" s="19">
        <v>1</v>
      </c>
      <c r="D3234" s="19">
        <v>-4.7784000000000013</v>
      </c>
    </row>
    <row r="3235" spans="1:4" x14ac:dyDescent="0.2">
      <c r="A3235" s="19" t="s">
        <v>154</v>
      </c>
      <c r="B3235" s="19">
        <v>32.544000000000004</v>
      </c>
      <c r="C3235" s="19">
        <v>2</v>
      </c>
      <c r="D3235" s="19">
        <v>-7.7292000000000041</v>
      </c>
    </row>
    <row r="3236" spans="1:4" x14ac:dyDescent="0.2">
      <c r="A3236" s="19" t="s">
        <v>150</v>
      </c>
      <c r="B3236" s="19">
        <v>3.9840000000000004</v>
      </c>
      <c r="C3236" s="19">
        <v>1</v>
      </c>
      <c r="D3236" s="19">
        <v>1.3944000000000001</v>
      </c>
    </row>
    <row r="3237" spans="1:4" x14ac:dyDescent="0.2">
      <c r="A3237" s="19" t="s">
        <v>178</v>
      </c>
      <c r="B3237" s="19">
        <v>181.79699999999997</v>
      </c>
      <c r="C3237" s="19">
        <v>1</v>
      </c>
      <c r="D3237" s="19">
        <v>-15.582599999999999</v>
      </c>
    </row>
    <row r="3238" spans="1:4" x14ac:dyDescent="0.2">
      <c r="A3238" s="19" t="s">
        <v>164</v>
      </c>
      <c r="B3238" s="19">
        <v>44.94</v>
      </c>
      <c r="C3238" s="19">
        <v>3</v>
      </c>
      <c r="D3238" s="19">
        <v>12.5832</v>
      </c>
    </row>
    <row r="3239" spans="1:4" x14ac:dyDescent="0.2">
      <c r="A3239" s="19" t="s">
        <v>164</v>
      </c>
      <c r="B3239" s="19">
        <v>45.576000000000001</v>
      </c>
      <c r="C3239" s="19">
        <v>3</v>
      </c>
      <c r="D3239" s="19">
        <v>15.951599999999997</v>
      </c>
    </row>
    <row r="3240" spans="1:4" x14ac:dyDescent="0.2">
      <c r="A3240" s="19" t="s">
        <v>154</v>
      </c>
      <c r="B3240" s="19">
        <v>318.43</v>
      </c>
      <c r="C3240" s="19">
        <v>5</v>
      </c>
      <c r="D3240" s="19">
        <v>-77.333000000000013</v>
      </c>
    </row>
    <row r="3241" spans="1:4" x14ac:dyDescent="0.2">
      <c r="A3241" s="19" t="s">
        <v>154</v>
      </c>
      <c r="B3241" s="19">
        <v>122.91999999999999</v>
      </c>
      <c r="C3241" s="19">
        <v>7</v>
      </c>
      <c r="D3241" s="19">
        <v>46.095000000000006</v>
      </c>
    </row>
    <row r="3242" spans="1:4" x14ac:dyDescent="0.2">
      <c r="A3242" s="19" t="s">
        <v>154</v>
      </c>
      <c r="B3242" s="19">
        <v>7.0679999999999996</v>
      </c>
      <c r="C3242" s="19">
        <v>3</v>
      </c>
      <c r="D3242" s="19">
        <v>-2.8271999999999995</v>
      </c>
    </row>
    <row r="3243" spans="1:4" x14ac:dyDescent="0.2">
      <c r="A3243" s="19" t="s">
        <v>166</v>
      </c>
      <c r="B3243" s="19">
        <v>56.449999999999996</v>
      </c>
      <c r="C3243" s="19">
        <v>5</v>
      </c>
      <c r="D3243" s="19">
        <v>14.676999999999998</v>
      </c>
    </row>
    <row r="3244" spans="1:4" x14ac:dyDescent="0.2">
      <c r="A3244" s="19" t="s">
        <v>159</v>
      </c>
      <c r="B3244" s="19">
        <v>13.467999999999998</v>
      </c>
      <c r="C3244" s="19">
        <v>13</v>
      </c>
      <c r="D3244" s="19">
        <v>-22.895600000000005</v>
      </c>
    </row>
    <row r="3245" spans="1:4" x14ac:dyDescent="0.2">
      <c r="A3245" s="19" t="s">
        <v>154</v>
      </c>
      <c r="B3245" s="19">
        <v>219.80000000000004</v>
      </c>
      <c r="C3245" s="19">
        <v>5</v>
      </c>
      <c r="D3245" s="19">
        <v>24.727499999999971</v>
      </c>
    </row>
    <row r="3246" spans="1:4" x14ac:dyDescent="0.2">
      <c r="A3246" s="19" t="s">
        <v>154</v>
      </c>
      <c r="B3246" s="19">
        <v>317.05799999999999</v>
      </c>
      <c r="C3246" s="19">
        <v>3</v>
      </c>
      <c r="D3246" s="19">
        <v>-18.117599999999996</v>
      </c>
    </row>
    <row r="3247" spans="1:4" x14ac:dyDescent="0.2">
      <c r="A3247" s="19" t="s">
        <v>153</v>
      </c>
      <c r="B3247" s="19">
        <v>49.08</v>
      </c>
      <c r="C3247" s="19">
        <v>3</v>
      </c>
      <c r="D3247" s="19">
        <v>4.9079999999999977</v>
      </c>
    </row>
    <row r="3248" spans="1:4" x14ac:dyDescent="0.2">
      <c r="A3248" s="19" t="s">
        <v>153</v>
      </c>
      <c r="B3248" s="19">
        <v>324.90000000000003</v>
      </c>
      <c r="C3248" s="19">
        <v>5</v>
      </c>
      <c r="D3248" s="19">
        <v>38.988000000000014</v>
      </c>
    </row>
    <row r="3249" spans="1:4" x14ac:dyDescent="0.2">
      <c r="A3249" s="19" t="s">
        <v>153</v>
      </c>
      <c r="B3249" s="19">
        <v>18.240000000000002</v>
      </c>
      <c r="C3249" s="19">
        <v>3</v>
      </c>
      <c r="D3249" s="19">
        <v>5.2895999999999983</v>
      </c>
    </row>
    <row r="3250" spans="1:4" x14ac:dyDescent="0.2">
      <c r="A3250" s="19" t="s">
        <v>153</v>
      </c>
      <c r="B3250" s="19">
        <v>113.88800000000002</v>
      </c>
      <c r="C3250" s="19">
        <v>2</v>
      </c>
      <c r="D3250" s="19">
        <v>9.9651999999999994</v>
      </c>
    </row>
    <row r="3251" spans="1:4" x14ac:dyDescent="0.2">
      <c r="A3251" s="19" t="s">
        <v>153</v>
      </c>
      <c r="B3251" s="19">
        <v>105.584</v>
      </c>
      <c r="C3251" s="19">
        <v>2</v>
      </c>
      <c r="D3251" s="19">
        <v>7.9188000000000045</v>
      </c>
    </row>
    <row r="3252" spans="1:4" x14ac:dyDescent="0.2">
      <c r="A3252" s="19" t="s">
        <v>161</v>
      </c>
      <c r="B3252" s="19">
        <v>24.849999999999998</v>
      </c>
      <c r="C3252" s="19">
        <v>7</v>
      </c>
      <c r="D3252" s="19">
        <v>11.679499999999999</v>
      </c>
    </row>
    <row r="3253" spans="1:4" x14ac:dyDescent="0.2">
      <c r="A3253" s="19" t="s">
        <v>158</v>
      </c>
      <c r="B3253" s="19">
        <v>60.311999999999998</v>
      </c>
      <c r="C3253" s="19">
        <v>3</v>
      </c>
      <c r="D3253" s="19">
        <v>5.2773000000000003</v>
      </c>
    </row>
    <row r="3254" spans="1:4" x14ac:dyDescent="0.2">
      <c r="A3254" s="19" t="s">
        <v>159</v>
      </c>
      <c r="B3254" s="19">
        <v>7.0559999999999992</v>
      </c>
      <c r="C3254" s="19">
        <v>3</v>
      </c>
      <c r="D3254" s="19">
        <v>2.2050000000000001</v>
      </c>
    </row>
    <row r="3255" spans="1:4" x14ac:dyDescent="0.2">
      <c r="A3255" s="19" t="s">
        <v>159</v>
      </c>
      <c r="B3255" s="19">
        <v>27.183999999999997</v>
      </c>
      <c r="C3255" s="19">
        <v>2</v>
      </c>
      <c r="D3255" s="19">
        <v>2.0387999999999984</v>
      </c>
    </row>
    <row r="3256" spans="1:4" x14ac:dyDescent="0.2">
      <c r="A3256" s="19" t="s">
        <v>153</v>
      </c>
      <c r="B3256" s="19">
        <v>107.98399999999999</v>
      </c>
      <c r="C3256" s="19">
        <v>1</v>
      </c>
      <c r="D3256" s="19">
        <v>9.4485999999999954</v>
      </c>
    </row>
    <row r="3257" spans="1:4" x14ac:dyDescent="0.2">
      <c r="A3257" s="19" t="s">
        <v>153</v>
      </c>
      <c r="B3257" s="19">
        <v>19.295999999999999</v>
      </c>
      <c r="C3257" s="19">
        <v>3</v>
      </c>
      <c r="D3257" s="19">
        <v>6.0299999999999994</v>
      </c>
    </row>
    <row r="3258" spans="1:4" x14ac:dyDescent="0.2">
      <c r="A3258" s="19" t="s">
        <v>151</v>
      </c>
      <c r="B3258" s="19">
        <v>4.6079999999999997</v>
      </c>
      <c r="C3258" s="19">
        <v>2</v>
      </c>
      <c r="D3258" s="19">
        <v>1.6704000000000001</v>
      </c>
    </row>
    <row r="3259" spans="1:4" x14ac:dyDescent="0.2">
      <c r="A3259" s="19" t="s">
        <v>167</v>
      </c>
      <c r="B3259" s="19">
        <v>79.97399999999999</v>
      </c>
      <c r="C3259" s="19">
        <v>3</v>
      </c>
      <c r="D3259" s="19">
        <v>-29.323800000000006</v>
      </c>
    </row>
    <row r="3260" spans="1:4" x14ac:dyDescent="0.2">
      <c r="A3260" s="19" t="s">
        <v>167</v>
      </c>
      <c r="B3260" s="19">
        <v>2.9460000000000006</v>
      </c>
      <c r="C3260" s="19">
        <v>2</v>
      </c>
      <c r="D3260" s="19">
        <v>-2.0621999999999998</v>
      </c>
    </row>
    <row r="3261" spans="1:4" x14ac:dyDescent="0.2">
      <c r="A3261" s="19" t="s">
        <v>159</v>
      </c>
      <c r="B3261" s="19">
        <v>3.1359999999999992</v>
      </c>
      <c r="C3261" s="19">
        <v>2</v>
      </c>
      <c r="D3261" s="19">
        <v>-4.7040000000000006</v>
      </c>
    </row>
    <row r="3262" spans="1:4" x14ac:dyDescent="0.2">
      <c r="A3262" s="19" t="s">
        <v>154</v>
      </c>
      <c r="B3262" s="19">
        <v>20.736000000000004</v>
      </c>
      <c r="C3262" s="19">
        <v>4</v>
      </c>
      <c r="D3262" s="19">
        <v>7.2576000000000001</v>
      </c>
    </row>
    <row r="3263" spans="1:4" x14ac:dyDescent="0.2">
      <c r="A3263" s="19" t="s">
        <v>150</v>
      </c>
      <c r="B3263" s="19">
        <v>99.98</v>
      </c>
      <c r="C3263" s="19">
        <v>2</v>
      </c>
      <c r="D3263" s="19">
        <v>7.9983999999999895</v>
      </c>
    </row>
    <row r="3264" spans="1:4" x14ac:dyDescent="0.2">
      <c r="A3264" s="19" t="s">
        <v>150</v>
      </c>
      <c r="B3264" s="19">
        <v>733.94999999999993</v>
      </c>
      <c r="C3264" s="19">
        <v>7</v>
      </c>
      <c r="D3264" s="19">
        <v>352.29599999999999</v>
      </c>
    </row>
    <row r="3265" spans="1:4" x14ac:dyDescent="0.2">
      <c r="A3265" s="19" t="s">
        <v>150</v>
      </c>
      <c r="B3265" s="19">
        <v>241.44</v>
      </c>
      <c r="C3265" s="19">
        <v>3</v>
      </c>
      <c r="D3265" s="19">
        <v>72.431999999999988</v>
      </c>
    </row>
    <row r="3266" spans="1:4" x14ac:dyDescent="0.2">
      <c r="A3266" s="19" t="s">
        <v>151</v>
      </c>
      <c r="B3266" s="19">
        <v>10.08</v>
      </c>
      <c r="C3266" s="19">
        <v>4</v>
      </c>
      <c r="D3266" s="19">
        <v>3.528</v>
      </c>
    </row>
    <row r="3267" spans="1:4" x14ac:dyDescent="0.2">
      <c r="A3267" s="19" t="s">
        <v>158</v>
      </c>
      <c r="B3267" s="19">
        <v>281.904</v>
      </c>
      <c r="C3267" s="19">
        <v>2</v>
      </c>
      <c r="D3267" s="19">
        <v>10.571399999999983</v>
      </c>
    </row>
    <row r="3268" spans="1:4" x14ac:dyDescent="0.2">
      <c r="A3268" s="19" t="s">
        <v>158</v>
      </c>
      <c r="B3268" s="19">
        <v>201.43200000000002</v>
      </c>
      <c r="C3268" s="19">
        <v>3</v>
      </c>
      <c r="D3268" s="19">
        <v>67.983299999999986</v>
      </c>
    </row>
    <row r="3269" spans="1:4" x14ac:dyDescent="0.2">
      <c r="A3269" s="19" t="s">
        <v>168</v>
      </c>
      <c r="B3269" s="19">
        <v>135.97999999999999</v>
      </c>
      <c r="C3269" s="19">
        <v>2</v>
      </c>
      <c r="D3269" s="19">
        <v>33.995000000000005</v>
      </c>
    </row>
    <row r="3270" spans="1:4" x14ac:dyDescent="0.2">
      <c r="A3270" s="19" t="s">
        <v>168</v>
      </c>
      <c r="B3270" s="19">
        <v>44.95</v>
      </c>
      <c r="C3270" s="19">
        <v>1</v>
      </c>
      <c r="D3270" s="19">
        <v>12.585999999999999</v>
      </c>
    </row>
    <row r="3271" spans="1:4" x14ac:dyDescent="0.2">
      <c r="A3271" s="19" t="s">
        <v>192</v>
      </c>
      <c r="B3271" s="19">
        <v>2.9699999999999998</v>
      </c>
      <c r="C3271" s="19">
        <v>3</v>
      </c>
      <c r="D3271" s="19">
        <v>1.3068000000000004</v>
      </c>
    </row>
    <row r="3272" spans="1:4" x14ac:dyDescent="0.2">
      <c r="A3272" s="19" t="s">
        <v>192</v>
      </c>
      <c r="B3272" s="19">
        <v>6.5400000000000009</v>
      </c>
      <c r="C3272" s="19">
        <v>3</v>
      </c>
      <c r="D3272" s="19">
        <v>2.6814000000000004</v>
      </c>
    </row>
    <row r="3273" spans="1:4" x14ac:dyDescent="0.2">
      <c r="A3273" s="19" t="s">
        <v>150</v>
      </c>
      <c r="B3273" s="19">
        <v>7.92</v>
      </c>
      <c r="C3273" s="19">
        <v>8</v>
      </c>
      <c r="D3273" s="19">
        <v>3.4848000000000008</v>
      </c>
    </row>
    <row r="3274" spans="1:4" x14ac:dyDescent="0.2">
      <c r="A3274" s="19" t="s">
        <v>150</v>
      </c>
      <c r="B3274" s="19">
        <v>203.92</v>
      </c>
      <c r="C3274" s="19">
        <v>5</v>
      </c>
      <c r="D3274" s="19">
        <v>22.940999999999995</v>
      </c>
    </row>
    <row r="3275" spans="1:4" x14ac:dyDescent="0.2">
      <c r="A3275" s="19" t="s">
        <v>150</v>
      </c>
      <c r="B3275" s="19">
        <v>3359.9520000000002</v>
      </c>
      <c r="C3275" s="19">
        <v>6</v>
      </c>
      <c r="D3275" s="19">
        <v>1049.9849999999999</v>
      </c>
    </row>
    <row r="3276" spans="1:4" x14ac:dyDescent="0.2">
      <c r="A3276" s="19" t="s">
        <v>189</v>
      </c>
      <c r="B3276" s="19">
        <v>18.240000000000002</v>
      </c>
      <c r="C3276" s="19">
        <v>3</v>
      </c>
      <c r="D3276" s="19">
        <v>9.120000000000001</v>
      </c>
    </row>
    <row r="3277" spans="1:4" x14ac:dyDescent="0.2">
      <c r="A3277" s="19" t="s">
        <v>189</v>
      </c>
      <c r="B3277" s="19">
        <v>27.78</v>
      </c>
      <c r="C3277" s="19">
        <v>6</v>
      </c>
      <c r="D3277" s="19">
        <v>9.1673999999999989</v>
      </c>
    </row>
    <row r="3278" spans="1:4" x14ac:dyDescent="0.2">
      <c r="A3278" s="19" t="s">
        <v>166</v>
      </c>
      <c r="B3278" s="19">
        <v>22.959999999999997</v>
      </c>
      <c r="C3278" s="19">
        <v>7</v>
      </c>
      <c r="D3278" s="19">
        <v>7.5767999999999986</v>
      </c>
    </row>
    <row r="3279" spans="1:4" x14ac:dyDescent="0.2">
      <c r="A3279" s="19" t="s">
        <v>166</v>
      </c>
      <c r="B3279" s="19">
        <v>28.99</v>
      </c>
      <c r="C3279" s="19">
        <v>1</v>
      </c>
      <c r="D3279" s="19">
        <v>8.4070999999999962</v>
      </c>
    </row>
    <row r="3280" spans="1:4" x14ac:dyDescent="0.2">
      <c r="A3280" s="19" t="s">
        <v>166</v>
      </c>
      <c r="B3280" s="19">
        <v>12.96</v>
      </c>
      <c r="C3280" s="19">
        <v>2</v>
      </c>
      <c r="D3280" s="19">
        <v>6.3504000000000005</v>
      </c>
    </row>
    <row r="3281" spans="1:4" x14ac:dyDescent="0.2">
      <c r="A3281" s="19" t="s">
        <v>166</v>
      </c>
      <c r="B3281" s="19">
        <v>22.959999999999997</v>
      </c>
      <c r="C3281" s="19">
        <v>7</v>
      </c>
      <c r="D3281" s="19">
        <v>6.6583999999999968</v>
      </c>
    </row>
    <row r="3282" spans="1:4" x14ac:dyDescent="0.2">
      <c r="A3282" s="19" t="s">
        <v>166</v>
      </c>
      <c r="B3282" s="19">
        <v>4164.0499999999993</v>
      </c>
      <c r="C3282" s="19">
        <v>5</v>
      </c>
      <c r="D3282" s="19">
        <v>83.281000000000063</v>
      </c>
    </row>
    <row r="3283" spans="1:4" x14ac:dyDescent="0.2">
      <c r="A3283" s="19" t="s">
        <v>152</v>
      </c>
      <c r="B3283" s="19">
        <v>47.984000000000002</v>
      </c>
      <c r="C3283" s="19">
        <v>2</v>
      </c>
      <c r="D3283" s="19">
        <v>13.195600000000001</v>
      </c>
    </row>
    <row r="3284" spans="1:4" x14ac:dyDescent="0.2">
      <c r="A3284" s="19" t="s">
        <v>152</v>
      </c>
      <c r="B3284" s="19">
        <v>4.6240000000000006</v>
      </c>
      <c r="C3284" s="19">
        <v>1</v>
      </c>
      <c r="D3284" s="19">
        <v>1.6762000000000001</v>
      </c>
    </row>
    <row r="3285" spans="1:4" x14ac:dyDescent="0.2">
      <c r="A3285" s="19" t="s">
        <v>164</v>
      </c>
      <c r="B3285" s="19">
        <v>15.24</v>
      </c>
      <c r="C3285" s="19">
        <v>3</v>
      </c>
      <c r="D3285" s="19">
        <v>5.1815999999999995</v>
      </c>
    </row>
    <row r="3286" spans="1:4" x14ac:dyDescent="0.2">
      <c r="A3286" s="19" t="s">
        <v>173</v>
      </c>
      <c r="B3286" s="19">
        <v>63.924000000000007</v>
      </c>
      <c r="C3286" s="19">
        <v>7</v>
      </c>
      <c r="D3286" s="19">
        <v>-46.877600000000001</v>
      </c>
    </row>
    <row r="3287" spans="1:4" x14ac:dyDescent="0.2">
      <c r="A3287" s="19" t="s">
        <v>175</v>
      </c>
      <c r="B3287" s="19">
        <v>6.56</v>
      </c>
      <c r="C3287" s="19">
        <v>2</v>
      </c>
      <c r="D3287" s="19">
        <v>1.9023999999999992</v>
      </c>
    </row>
    <row r="3288" spans="1:4" x14ac:dyDescent="0.2">
      <c r="A3288" s="19" t="s">
        <v>175</v>
      </c>
      <c r="B3288" s="19">
        <v>13.11</v>
      </c>
      <c r="C3288" s="19">
        <v>3</v>
      </c>
      <c r="D3288" s="19">
        <v>3.4086000000000003</v>
      </c>
    </row>
    <row r="3289" spans="1:4" x14ac:dyDescent="0.2">
      <c r="A3289" s="19" t="s">
        <v>150</v>
      </c>
      <c r="B3289" s="19">
        <v>494.37600000000009</v>
      </c>
      <c r="C3289" s="19">
        <v>3</v>
      </c>
      <c r="D3289" s="19">
        <v>49.437599999999975</v>
      </c>
    </row>
    <row r="3290" spans="1:4" x14ac:dyDescent="0.2">
      <c r="A3290" s="19" t="s">
        <v>150</v>
      </c>
      <c r="B3290" s="19">
        <v>29.2</v>
      </c>
      <c r="C3290" s="19">
        <v>5</v>
      </c>
      <c r="D3290" s="19">
        <v>9.8549999999999969</v>
      </c>
    </row>
    <row r="3291" spans="1:4" x14ac:dyDescent="0.2">
      <c r="A3291" s="19" t="s">
        <v>150</v>
      </c>
      <c r="B3291" s="19">
        <v>248.85000000000002</v>
      </c>
      <c r="C3291" s="19">
        <v>5</v>
      </c>
      <c r="D3291" s="19">
        <v>27.373499999999993</v>
      </c>
    </row>
    <row r="3292" spans="1:4" x14ac:dyDescent="0.2">
      <c r="A3292" s="19" t="s">
        <v>150</v>
      </c>
      <c r="B3292" s="19">
        <v>36.24</v>
      </c>
      <c r="C3292" s="19">
        <v>1</v>
      </c>
      <c r="D3292" s="19">
        <v>15.220800000000001</v>
      </c>
    </row>
    <row r="3293" spans="1:4" x14ac:dyDescent="0.2">
      <c r="A3293" s="19" t="s">
        <v>161</v>
      </c>
      <c r="B3293" s="19">
        <v>11.68</v>
      </c>
      <c r="C3293" s="19">
        <v>2</v>
      </c>
      <c r="D3293" s="19">
        <v>3.5039999999999996</v>
      </c>
    </row>
    <row r="3294" spans="1:4" x14ac:dyDescent="0.2">
      <c r="A3294" s="19" t="s">
        <v>150</v>
      </c>
      <c r="B3294" s="19">
        <v>11.91</v>
      </c>
      <c r="C3294" s="19">
        <v>3</v>
      </c>
      <c r="D3294" s="19">
        <v>0.11909999999999954</v>
      </c>
    </row>
    <row r="3295" spans="1:4" x14ac:dyDescent="0.2">
      <c r="A3295" s="19" t="s">
        <v>150</v>
      </c>
      <c r="B3295" s="19">
        <v>3.48</v>
      </c>
      <c r="C3295" s="19">
        <v>2</v>
      </c>
      <c r="D3295" s="19">
        <v>1.1135999999999999</v>
      </c>
    </row>
    <row r="3296" spans="1:4" x14ac:dyDescent="0.2">
      <c r="A3296" s="19" t="s">
        <v>154</v>
      </c>
      <c r="B3296" s="19">
        <v>30.959999999999994</v>
      </c>
      <c r="C3296" s="19">
        <v>8</v>
      </c>
      <c r="D3296" s="19">
        <v>-52.632000000000019</v>
      </c>
    </row>
    <row r="3297" spans="1:4" x14ac:dyDescent="0.2">
      <c r="A3297" s="19" t="s">
        <v>164</v>
      </c>
      <c r="B3297" s="19">
        <v>1704.89</v>
      </c>
      <c r="C3297" s="19">
        <v>11</v>
      </c>
      <c r="D3297" s="19">
        <v>767.20049999999992</v>
      </c>
    </row>
    <row r="3298" spans="1:4" x14ac:dyDescent="0.2">
      <c r="A3298" s="19" t="s">
        <v>165</v>
      </c>
      <c r="B3298" s="19">
        <v>19.194000000000003</v>
      </c>
      <c r="C3298" s="19">
        <v>7</v>
      </c>
      <c r="D3298" s="19">
        <v>-12.795999999999999</v>
      </c>
    </row>
    <row r="3299" spans="1:4" x14ac:dyDescent="0.2">
      <c r="A3299" s="19" t="s">
        <v>165</v>
      </c>
      <c r="B3299" s="19">
        <v>121.79200000000002</v>
      </c>
      <c r="C3299" s="19">
        <v>4</v>
      </c>
      <c r="D3299" s="19">
        <v>13.701599999999988</v>
      </c>
    </row>
    <row r="3300" spans="1:4" x14ac:dyDescent="0.2">
      <c r="A3300" s="19" t="s">
        <v>150</v>
      </c>
      <c r="B3300" s="19">
        <v>1919.9760000000001</v>
      </c>
      <c r="C3300" s="19">
        <v>3</v>
      </c>
      <c r="D3300" s="19">
        <v>215.99729999999977</v>
      </c>
    </row>
    <row r="3301" spans="1:4" x14ac:dyDescent="0.2">
      <c r="A3301" s="19" t="s">
        <v>158</v>
      </c>
      <c r="B3301" s="19">
        <v>50.997000000000007</v>
      </c>
      <c r="C3301" s="19">
        <v>1</v>
      </c>
      <c r="D3301" s="19">
        <v>-40.797600000000003</v>
      </c>
    </row>
    <row r="3302" spans="1:4" x14ac:dyDescent="0.2">
      <c r="A3302" s="19" t="s">
        <v>158</v>
      </c>
      <c r="B3302" s="19">
        <v>76.792000000000002</v>
      </c>
      <c r="C3302" s="19">
        <v>1</v>
      </c>
      <c r="D3302" s="19">
        <v>-16.318300000000001</v>
      </c>
    </row>
    <row r="3303" spans="1:4" x14ac:dyDescent="0.2">
      <c r="A3303" s="19" t="s">
        <v>158</v>
      </c>
      <c r="B3303" s="19">
        <v>539.96399999999994</v>
      </c>
      <c r="C3303" s="19">
        <v>6</v>
      </c>
      <c r="D3303" s="19">
        <v>-107.99280000000002</v>
      </c>
    </row>
    <row r="3304" spans="1:4" x14ac:dyDescent="0.2">
      <c r="A3304" s="19" t="s">
        <v>158</v>
      </c>
      <c r="B3304" s="19">
        <v>60.311999999999998</v>
      </c>
      <c r="C3304" s="19">
        <v>3</v>
      </c>
      <c r="D3304" s="19">
        <v>5.2773000000000003</v>
      </c>
    </row>
    <row r="3305" spans="1:4" x14ac:dyDescent="0.2">
      <c r="A3305" s="19" t="s">
        <v>158</v>
      </c>
      <c r="B3305" s="19">
        <v>1.9440000000000004</v>
      </c>
      <c r="C3305" s="19">
        <v>3</v>
      </c>
      <c r="D3305" s="19">
        <v>-1.4255999999999998</v>
      </c>
    </row>
    <row r="3306" spans="1:4" x14ac:dyDescent="0.2">
      <c r="A3306" s="19" t="s">
        <v>154</v>
      </c>
      <c r="B3306" s="19">
        <v>12.984000000000002</v>
      </c>
      <c r="C3306" s="19">
        <v>3</v>
      </c>
      <c r="D3306" s="19">
        <v>4.7066999999999997</v>
      </c>
    </row>
    <row r="3307" spans="1:4" x14ac:dyDescent="0.2">
      <c r="A3307" s="19" t="s">
        <v>154</v>
      </c>
      <c r="B3307" s="19">
        <v>217.58400000000003</v>
      </c>
      <c r="C3307" s="19">
        <v>2</v>
      </c>
      <c r="D3307" s="19">
        <v>19.03860000000001</v>
      </c>
    </row>
    <row r="3308" spans="1:4" x14ac:dyDescent="0.2">
      <c r="A3308" s="19" t="s">
        <v>154</v>
      </c>
      <c r="B3308" s="19">
        <v>328.77600000000007</v>
      </c>
      <c r="C3308" s="19">
        <v>3</v>
      </c>
      <c r="D3308" s="19">
        <v>28.767899999999997</v>
      </c>
    </row>
    <row r="3309" spans="1:4" x14ac:dyDescent="0.2">
      <c r="A3309" s="19" t="s">
        <v>154</v>
      </c>
      <c r="B3309" s="19">
        <v>2.2859999999999996</v>
      </c>
      <c r="C3309" s="19">
        <v>3</v>
      </c>
      <c r="D3309" s="19">
        <v>-3.6576000000000004</v>
      </c>
    </row>
    <row r="3310" spans="1:4" x14ac:dyDescent="0.2">
      <c r="A3310" s="19" t="s">
        <v>154</v>
      </c>
      <c r="B3310" s="19">
        <v>47.984000000000002</v>
      </c>
      <c r="C3310" s="19">
        <v>2</v>
      </c>
      <c r="D3310" s="19">
        <v>14.395200000000004</v>
      </c>
    </row>
    <row r="3311" spans="1:4" x14ac:dyDescent="0.2">
      <c r="A3311" s="19" t="s">
        <v>164</v>
      </c>
      <c r="B3311" s="19">
        <v>25.344000000000001</v>
      </c>
      <c r="C3311" s="19">
        <v>6</v>
      </c>
      <c r="D3311" s="19">
        <v>8.8704000000000018</v>
      </c>
    </row>
    <row r="3312" spans="1:4" x14ac:dyDescent="0.2">
      <c r="A3312" s="19" t="s">
        <v>164</v>
      </c>
      <c r="B3312" s="19">
        <v>232.40000000000003</v>
      </c>
      <c r="C3312" s="19">
        <v>5</v>
      </c>
      <c r="D3312" s="19">
        <v>78.434999999999988</v>
      </c>
    </row>
    <row r="3313" spans="1:4" x14ac:dyDescent="0.2">
      <c r="A3313" s="19" t="s">
        <v>183</v>
      </c>
      <c r="B3313" s="19">
        <v>86.45</v>
      </c>
      <c r="C3313" s="19">
        <v>7</v>
      </c>
      <c r="D3313" s="19">
        <v>38.038000000000004</v>
      </c>
    </row>
    <row r="3314" spans="1:4" x14ac:dyDescent="0.2">
      <c r="A3314" s="19" t="s">
        <v>150</v>
      </c>
      <c r="B3314" s="19">
        <v>603.91999999999996</v>
      </c>
      <c r="C3314" s="19">
        <v>5</v>
      </c>
      <c r="D3314" s="19">
        <v>45.294000000000011</v>
      </c>
    </row>
    <row r="3315" spans="1:4" x14ac:dyDescent="0.2">
      <c r="A3315" s="19" t="s">
        <v>150</v>
      </c>
      <c r="B3315" s="19">
        <v>81.98</v>
      </c>
      <c r="C3315" s="19">
        <v>2</v>
      </c>
      <c r="D3315" s="19">
        <v>40.170200000000001</v>
      </c>
    </row>
    <row r="3316" spans="1:4" x14ac:dyDescent="0.2">
      <c r="A3316" s="19" t="s">
        <v>164</v>
      </c>
      <c r="B3316" s="19">
        <v>271.76400000000001</v>
      </c>
      <c r="C3316" s="19">
        <v>2</v>
      </c>
      <c r="D3316" s="19">
        <v>48.313600000000008</v>
      </c>
    </row>
    <row r="3317" spans="1:4" x14ac:dyDescent="0.2">
      <c r="A3317" s="19" t="s">
        <v>164</v>
      </c>
      <c r="B3317" s="19">
        <v>14.376000000000001</v>
      </c>
      <c r="C3317" s="19">
        <v>3</v>
      </c>
      <c r="D3317" s="19">
        <v>4.8518999999999997</v>
      </c>
    </row>
    <row r="3318" spans="1:4" x14ac:dyDescent="0.2">
      <c r="A3318" s="19" t="s">
        <v>154</v>
      </c>
      <c r="B3318" s="19">
        <v>341.96</v>
      </c>
      <c r="C3318" s="19">
        <v>5</v>
      </c>
      <c r="D3318" s="19">
        <v>-427.45000000000005</v>
      </c>
    </row>
    <row r="3319" spans="1:4" x14ac:dyDescent="0.2">
      <c r="A3319" s="19" t="s">
        <v>150</v>
      </c>
      <c r="B3319" s="19">
        <v>181.35</v>
      </c>
      <c r="C3319" s="19">
        <v>9</v>
      </c>
      <c r="D3319" s="19">
        <v>48.964500000000001</v>
      </c>
    </row>
    <row r="3320" spans="1:4" x14ac:dyDescent="0.2">
      <c r="A3320" s="19" t="s">
        <v>150</v>
      </c>
      <c r="B3320" s="19">
        <v>8.64</v>
      </c>
      <c r="C3320" s="19">
        <v>3</v>
      </c>
      <c r="D3320" s="19">
        <v>4.2336</v>
      </c>
    </row>
    <row r="3321" spans="1:4" x14ac:dyDescent="0.2">
      <c r="A3321" s="19" t="s">
        <v>167</v>
      </c>
      <c r="B3321" s="19">
        <v>43.512</v>
      </c>
      <c r="C3321" s="19">
        <v>7</v>
      </c>
      <c r="D3321" s="19">
        <v>3.8073000000000015</v>
      </c>
    </row>
    <row r="3322" spans="1:4" x14ac:dyDescent="0.2">
      <c r="A3322" s="19" t="s">
        <v>167</v>
      </c>
      <c r="B3322" s="19">
        <v>662.88</v>
      </c>
      <c r="C3322" s="19">
        <v>3</v>
      </c>
      <c r="D3322" s="19">
        <v>74.573999999999955</v>
      </c>
    </row>
    <row r="3323" spans="1:4" x14ac:dyDescent="0.2">
      <c r="A3323" s="19" t="s">
        <v>167</v>
      </c>
      <c r="B3323" s="19">
        <v>25.920000000000005</v>
      </c>
      <c r="C3323" s="19">
        <v>5</v>
      </c>
      <c r="D3323" s="19">
        <v>9.0719999999999992</v>
      </c>
    </row>
    <row r="3324" spans="1:4" x14ac:dyDescent="0.2">
      <c r="A3324" s="19" t="s">
        <v>164</v>
      </c>
      <c r="B3324" s="19">
        <v>68.94</v>
      </c>
      <c r="C3324" s="19">
        <v>3</v>
      </c>
      <c r="D3324" s="19">
        <v>20.681999999999995</v>
      </c>
    </row>
    <row r="3325" spans="1:4" x14ac:dyDescent="0.2">
      <c r="A3325" s="19" t="s">
        <v>164</v>
      </c>
      <c r="B3325" s="19">
        <v>128.82</v>
      </c>
      <c r="C3325" s="19">
        <v>3</v>
      </c>
      <c r="D3325" s="19">
        <v>50.239800000000002</v>
      </c>
    </row>
    <row r="3326" spans="1:4" x14ac:dyDescent="0.2">
      <c r="A3326" s="19" t="s">
        <v>154</v>
      </c>
      <c r="B3326" s="19">
        <v>896.98999999999978</v>
      </c>
      <c r="C3326" s="19">
        <v>5</v>
      </c>
      <c r="D3326" s="19">
        <v>-1480.0335000000009</v>
      </c>
    </row>
    <row r="3327" spans="1:4" x14ac:dyDescent="0.2">
      <c r="A3327" s="19" t="s">
        <v>154</v>
      </c>
      <c r="B3327" s="19">
        <v>1.2339999999999998</v>
      </c>
      <c r="C3327" s="19">
        <v>1</v>
      </c>
      <c r="D3327" s="19">
        <v>-1.9744000000000002</v>
      </c>
    </row>
    <row r="3328" spans="1:4" x14ac:dyDescent="0.2">
      <c r="A3328" s="19" t="s">
        <v>154</v>
      </c>
      <c r="B3328" s="19">
        <v>67.56</v>
      </c>
      <c r="C3328" s="19">
        <v>3</v>
      </c>
      <c r="D3328" s="19">
        <v>6.7560000000000038</v>
      </c>
    </row>
    <row r="3329" spans="1:4" x14ac:dyDescent="0.2">
      <c r="A3329" s="19" t="s">
        <v>154</v>
      </c>
      <c r="B3329" s="19">
        <v>21.720000000000002</v>
      </c>
      <c r="C3329" s="19">
        <v>5</v>
      </c>
      <c r="D3329" s="19">
        <v>7.8734999999999991</v>
      </c>
    </row>
    <row r="3330" spans="1:4" x14ac:dyDescent="0.2">
      <c r="A3330" s="19" t="s">
        <v>154</v>
      </c>
      <c r="B3330" s="19">
        <v>262.33600000000001</v>
      </c>
      <c r="C3330" s="19">
        <v>8</v>
      </c>
      <c r="D3330" s="19">
        <v>95.096800000000002</v>
      </c>
    </row>
    <row r="3331" spans="1:4" x14ac:dyDescent="0.2">
      <c r="A3331" s="19" t="s">
        <v>154</v>
      </c>
      <c r="B3331" s="19">
        <v>148.47999999999999</v>
      </c>
      <c r="C3331" s="19">
        <v>2</v>
      </c>
      <c r="D3331" s="19">
        <v>16.703999999999986</v>
      </c>
    </row>
    <row r="3332" spans="1:4" x14ac:dyDescent="0.2">
      <c r="A3332" s="19" t="s">
        <v>154</v>
      </c>
      <c r="B3332" s="19">
        <v>241.17599999999999</v>
      </c>
      <c r="C3332" s="19">
        <v>3</v>
      </c>
      <c r="D3332" s="19">
        <v>15.07350000000001</v>
      </c>
    </row>
    <row r="3333" spans="1:4" x14ac:dyDescent="0.2">
      <c r="A3333" s="19" t="s">
        <v>159</v>
      </c>
      <c r="B3333" s="19">
        <v>227.976</v>
      </c>
      <c r="C3333" s="19">
        <v>3</v>
      </c>
      <c r="D3333" s="19">
        <v>28.496999999999957</v>
      </c>
    </row>
    <row r="3334" spans="1:4" x14ac:dyDescent="0.2">
      <c r="A3334" s="19" t="s">
        <v>159</v>
      </c>
      <c r="B3334" s="19">
        <v>52.679999999999993</v>
      </c>
      <c r="C3334" s="19">
        <v>3</v>
      </c>
      <c r="D3334" s="19">
        <v>19.754999999999999</v>
      </c>
    </row>
    <row r="3335" spans="1:4" x14ac:dyDescent="0.2">
      <c r="A3335" s="19" t="s">
        <v>159</v>
      </c>
      <c r="B3335" s="19">
        <v>2.032</v>
      </c>
      <c r="C3335" s="19">
        <v>1</v>
      </c>
      <c r="D3335" s="19">
        <v>-1.3208000000000002</v>
      </c>
    </row>
    <row r="3336" spans="1:4" x14ac:dyDescent="0.2">
      <c r="A3336" s="19" t="s">
        <v>150</v>
      </c>
      <c r="B3336" s="19">
        <v>17.12</v>
      </c>
      <c r="C3336" s="19">
        <v>4</v>
      </c>
      <c r="D3336" s="19">
        <v>4.9647999999999985</v>
      </c>
    </row>
    <row r="3337" spans="1:4" x14ac:dyDescent="0.2">
      <c r="A3337" s="19" t="s">
        <v>150</v>
      </c>
      <c r="B3337" s="19">
        <v>431.96800000000007</v>
      </c>
      <c r="C3337" s="19">
        <v>4</v>
      </c>
      <c r="D3337" s="19">
        <v>37.797199999999975</v>
      </c>
    </row>
    <row r="3338" spans="1:4" x14ac:dyDescent="0.2">
      <c r="A3338" s="19" t="s">
        <v>150</v>
      </c>
      <c r="B3338" s="19">
        <v>129.91999999999999</v>
      </c>
      <c r="C3338" s="19">
        <v>4</v>
      </c>
      <c r="D3338" s="19">
        <v>10.393599999999992</v>
      </c>
    </row>
    <row r="3339" spans="1:4" x14ac:dyDescent="0.2">
      <c r="A3339" s="19" t="s">
        <v>150</v>
      </c>
      <c r="B3339" s="19">
        <v>568.72800000000007</v>
      </c>
      <c r="C3339" s="19">
        <v>3</v>
      </c>
      <c r="D3339" s="19">
        <v>28.436399999999935</v>
      </c>
    </row>
    <row r="3340" spans="1:4" x14ac:dyDescent="0.2">
      <c r="A3340" s="19" t="s">
        <v>150</v>
      </c>
      <c r="B3340" s="19">
        <v>117.14400000000001</v>
      </c>
      <c r="C3340" s="19">
        <v>9</v>
      </c>
      <c r="D3340" s="19">
        <v>42.464699999999993</v>
      </c>
    </row>
    <row r="3341" spans="1:4" x14ac:dyDescent="0.2">
      <c r="A3341" s="19" t="s">
        <v>150</v>
      </c>
      <c r="B3341" s="19">
        <v>203.52</v>
      </c>
      <c r="C3341" s="19">
        <v>3</v>
      </c>
      <c r="D3341" s="19">
        <v>54.950400000000002</v>
      </c>
    </row>
    <row r="3342" spans="1:4" x14ac:dyDescent="0.2">
      <c r="A3342" s="19" t="s">
        <v>150</v>
      </c>
      <c r="B3342" s="19">
        <v>51.75</v>
      </c>
      <c r="C3342" s="19">
        <v>5</v>
      </c>
      <c r="D3342" s="19">
        <v>24.84</v>
      </c>
    </row>
    <row r="3343" spans="1:4" x14ac:dyDescent="0.2">
      <c r="A3343" s="19" t="s">
        <v>180</v>
      </c>
      <c r="B3343" s="19">
        <v>122.97</v>
      </c>
      <c r="C3343" s="19">
        <v>3</v>
      </c>
      <c r="D3343" s="19">
        <v>60.255300000000005</v>
      </c>
    </row>
    <row r="3344" spans="1:4" x14ac:dyDescent="0.2">
      <c r="A3344" s="19" t="s">
        <v>180</v>
      </c>
      <c r="B3344" s="19">
        <v>244.61499999999998</v>
      </c>
      <c r="C3344" s="19">
        <v>1</v>
      </c>
      <c r="D3344" s="19">
        <v>20.966999999999999</v>
      </c>
    </row>
    <row r="3345" spans="1:4" x14ac:dyDescent="0.2">
      <c r="A3345" s="19" t="s">
        <v>180</v>
      </c>
      <c r="B3345" s="19">
        <v>59.97</v>
      </c>
      <c r="C3345" s="19">
        <v>3</v>
      </c>
      <c r="D3345" s="19">
        <v>28.785599999999995</v>
      </c>
    </row>
    <row r="3346" spans="1:4" x14ac:dyDescent="0.2">
      <c r="A3346" s="19" t="s">
        <v>180</v>
      </c>
      <c r="B3346" s="19">
        <v>81.540000000000006</v>
      </c>
      <c r="C3346" s="19">
        <v>9</v>
      </c>
      <c r="D3346" s="19">
        <v>36.692999999999998</v>
      </c>
    </row>
    <row r="3347" spans="1:4" x14ac:dyDescent="0.2">
      <c r="A3347" s="19" t="s">
        <v>180</v>
      </c>
      <c r="B3347" s="19">
        <v>11.68</v>
      </c>
      <c r="C3347" s="19">
        <v>4</v>
      </c>
      <c r="D3347" s="19">
        <v>5.2559999999999993</v>
      </c>
    </row>
    <row r="3348" spans="1:4" x14ac:dyDescent="0.2">
      <c r="A3348" s="19" t="s">
        <v>180</v>
      </c>
      <c r="B3348" s="19">
        <v>29</v>
      </c>
      <c r="C3348" s="19">
        <v>5</v>
      </c>
      <c r="D3348" s="19">
        <v>13.919999999999998</v>
      </c>
    </row>
    <row r="3349" spans="1:4" x14ac:dyDescent="0.2">
      <c r="A3349" s="19" t="s">
        <v>150</v>
      </c>
      <c r="B3349" s="19">
        <v>50.8</v>
      </c>
      <c r="C3349" s="19">
        <v>5</v>
      </c>
      <c r="D3349" s="19">
        <v>13.208000000000002</v>
      </c>
    </row>
    <row r="3350" spans="1:4" x14ac:dyDescent="0.2">
      <c r="A3350" s="19" t="s">
        <v>159</v>
      </c>
      <c r="B3350" s="19">
        <v>16.029999999999998</v>
      </c>
      <c r="C3350" s="19">
        <v>5</v>
      </c>
      <c r="D3350" s="19">
        <v>-25.648000000000003</v>
      </c>
    </row>
    <row r="3351" spans="1:4" x14ac:dyDescent="0.2">
      <c r="A3351" s="19" t="s">
        <v>153</v>
      </c>
      <c r="B3351" s="19">
        <v>15.712000000000002</v>
      </c>
      <c r="C3351" s="19">
        <v>4</v>
      </c>
      <c r="D3351" s="19">
        <v>5.6955999999999989</v>
      </c>
    </row>
    <row r="3352" spans="1:4" x14ac:dyDescent="0.2">
      <c r="A3352" s="19" t="s">
        <v>164</v>
      </c>
      <c r="B3352" s="19">
        <v>89.97</v>
      </c>
      <c r="C3352" s="19">
        <v>3</v>
      </c>
      <c r="D3352" s="19">
        <v>18.893699999999995</v>
      </c>
    </row>
    <row r="3353" spans="1:4" x14ac:dyDescent="0.2">
      <c r="A3353" s="19" t="s">
        <v>150</v>
      </c>
      <c r="B3353" s="19">
        <v>435.99900000000002</v>
      </c>
      <c r="C3353" s="19">
        <v>3</v>
      </c>
      <c r="D3353" s="19">
        <v>20.517599999999987</v>
      </c>
    </row>
    <row r="3354" spans="1:4" x14ac:dyDescent="0.2">
      <c r="A3354" s="19" t="s">
        <v>150</v>
      </c>
      <c r="B3354" s="19">
        <v>83.984000000000009</v>
      </c>
      <c r="C3354" s="19">
        <v>2</v>
      </c>
      <c r="D3354" s="19">
        <v>31.494</v>
      </c>
    </row>
    <row r="3355" spans="1:4" x14ac:dyDescent="0.2">
      <c r="A3355" s="19" t="s">
        <v>178</v>
      </c>
      <c r="B3355" s="19">
        <v>359.98</v>
      </c>
      <c r="C3355" s="19">
        <v>2</v>
      </c>
      <c r="D3355" s="19">
        <v>93.594800000000021</v>
      </c>
    </row>
    <row r="3356" spans="1:4" x14ac:dyDescent="0.2">
      <c r="A3356" s="19" t="s">
        <v>178</v>
      </c>
      <c r="B3356" s="19">
        <v>70.559999999999988</v>
      </c>
      <c r="C3356" s="19">
        <v>1</v>
      </c>
      <c r="D3356" s="19">
        <v>-4.032</v>
      </c>
    </row>
    <row r="3357" spans="1:4" x14ac:dyDescent="0.2">
      <c r="A3357" s="19" t="s">
        <v>178</v>
      </c>
      <c r="B3357" s="19">
        <v>20.88</v>
      </c>
      <c r="C3357" s="19">
        <v>2</v>
      </c>
      <c r="D3357" s="19">
        <v>9.6047999999999991</v>
      </c>
    </row>
    <row r="3358" spans="1:4" x14ac:dyDescent="0.2">
      <c r="A3358" s="19" t="s">
        <v>178</v>
      </c>
      <c r="B3358" s="19">
        <v>3.81</v>
      </c>
      <c r="C3358" s="19">
        <v>1</v>
      </c>
      <c r="D3358" s="19">
        <v>1.8288</v>
      </c>
    </row>
    <row r="3359" spans="1:4" x14ac:dyDescent="0.2">
      <c r="A3359" s="19" t="s">
        <v>159</v>
      </c>
      <c r="B3359" s="19">
        <v>73.007999999999996</v>
      </c>
      <c r="C3359" s="19">
        <v>9</v>
      </c>
      <c r="D3359" s="19">
        <v>26.465400000000006</v>
      </c>
    </row>
    <row r="3360" spans="1:4" x14ac:dyDescent="0.2">
      <c r="A3360" s="19" t="s">
        <v>159</v>
      </c>
      <c r="B3360" s="19">
        <v>3.2079999999999993</v>
      </c>
      <c r="C3360" s="19">
        <v>2</v>
      </c>
      <c r="D3360" s="19">
        <v>-5.2932000000000023</v>
      </c>
    </row>
    <row r="3361" spans="1:4" x14ac:dyDescent="0.2">
      <c r="A3361" s="19" t="s">
        <v>159</v>
      </c>
      <c r="B3361" s="19">
        <v>26.176000000000002</v>
      </c>
      <c r="C3361" s="19">
        <v>2</v>
      </c>
      <c r="D3361" s="19">
        <v>-3.272000000000002</v>
      </c>
    </row>
    <row r="3362" spans="1:4" x14ac:dyDescent="0.2">
      <c r="A3362" s="19" t="s">
        <v>164</v>
      </c>
      <c r="B3362" s="19">
        <v>30.44</v>
      </c>
      <c r="C3362" s="19">
        <v>4</v>
      </c>
      <c r="D3362" s="19">
        <v>14.306799999999999</v>
      </c>
    </row>
    <row r="3363" spans="1:4" x14ac:dyDescent="0.2">
      <c r="A3363" s="19" t="s">
        <v>164</v>
      </c>
      <c r="B3363" s="19">
        <v>35.28</v>
      </c>
      <c r="C3363" s="19">
        <v>3</v>
      </c>
      <c r="D3363" s="19">
        <v>11.995199999999997</v>
      </c>
    </row>
    <row r="3364" spans="1:4" x14ac:dyDescent="0.2">
      <c r="A3364" s="19" t="s">
        <v>180</v>
      </c>
      <c r="B3364" s="19">
        <v>19.440000000000001</v>
      </c>
      <c r="C3364" s="19">
        <v>3</v>
      </c>
      <c r="D3364" s="19">
        <v>9.3312000000000008</v>
      </c>
    </row>
    <row r="3365" spans="1:4" x14ac:dyDescent="0.2">
      <c r="A3365" s="19" t="s">
        <v>180</v>
      </c>
      <c r="B3365" s="19">
        <v>37.880000000000003</v>
      </c>
      <c r="C3365" s="19">
        <v>2</v>
      </c>
      <c r="D3365" s="19">
        <v>18.940000000000001</v>
      </c>
    </row>
    <row r="3366" spans="1:4" x14ac:dyDescent="0.2">
      <c r="A3366" s="19" t="s">
        <v>154</v>
      </c>
      <c r="B3366" s="19">
        <v>9.5519999999999996</v>
      </c>
      <c r="C3366" s="19">
        <v>3</v>
      </c>
      <c r="D3366" s="19">
        <v>-3.8207999999999984</v>
      </c>
    </row>
    <row r="3367" spans="1:4" x14ac:dyDescent="0.2">
      <c r="A3367" s="19" t="s">
        <v>150</v>
      </c>
      <c r="B3367" s="19">
        <v>290.666</v>
      </c>
      <c r="C3367" s="19">
        <v>2</v>
      </c>
      <c r="D3367" s="19">
        <v>3.4195999999999884</v>
      </c>
    </row>
    <row r="3368" spans="1:4" x14ac:dyDescent="0.2">
      <c r="A3368" s="19" t="s">
        <v>154</v>
      </c>
      <c r="B3368" s="19">
        <v>10.368000000000002</v>
      </c>
      <c r="C3368" s="19">
        <v>2</v>
      </c>
      <c r="D3368" s="19">
        <v>3.6288</v>
      </c>
    </row>
    <row r="3369" spans="1:4" x14ac:dyDescent="0.2">
      <c r="A3369" s="19" t="s">
        <v>154</v>
      </c>
      <c r="B3369" s="19">
        <v>14.352000000000002</v>
      </c>
      <c r="C3369" s="19">
        <v>3</v>
      </c>
      <c r="D3369" s="19">
        <v>4.4849999999999994</v>
      </c>
    </row>
    <row r="3370" spans="1:4" x14ac:dyDescent="0.2">
      <c r="A3370" s="19" t="s">
        <v>181</v>
      </c>
      <c r="B3370" s="19">
        <v>141.96</v>
      </c>
      <c r="C3370" s="19">
        <v>2</v>
      </c>
      <c r="D3370" s="19">
        <v>41.168399999999991</v>
      </c>
    </row>
    <row r="3371" spans="1:4" x14ac:dyDescent="0.2">
      <c r="A3371" s="19" t="s">
        <v>181</v>
      </c>
      <c r="B3371" s="19">
        <v>66.048000000000002</v>
      </c>
      <c r="C3371" s="19">
        <v>4</v>
      </c>
      <c r="D3371" s="19">
        <v>23.116799999999998</v>
      </c>
    </row>
    <row r="3372" spans="1:4" x14ac:dyDescent="0.2">
      <c r="A3372" s="19" t="s">
        <v>175</v>
      </c>
      <c r="B3372" s="19">
        <v>1287.45</v>
      </c>
      <c r="C3372" s="19">
        <v>5</v>
      </c>
      <c r="D3372" s="19">
        <v>244.61549999999988</v>
      </c>
    </row>
    <row r="3373" spans="1:4" x14ac:dyDescent="0.2">
      <c r="A3373" s="19" t="s">
        <v>150</v>
      </c>
      <c r="B3373" s="19">
        <v>25.824000000000002</v>
      </c>
      <c r="C3373" s="19">
        <v>6</v>
      </c>
      <c r="D3373" s="19">
        <v>9.0383999999999993</v>
      </c>
    </row>
    <row r="3374" spans="1:4" x14ac:dyDescent="0.2">
      <c r="A3374" s="19" t="s">
        <v>150</v>
      </c>
      <c r="B3374" s="19">
        <v>160.96</v>
      </c>
      <c r="C3374" s="19">
        <v>2</v>
      </c>
      <c r="D3374" s="19">
        <v>48.287999999999997</v>
      </c>
    </row>
    <row r="3375" spans="1:4" x14ac:dyDescent="0.2">
      <c r="A3375" s="19" t="s">
        <v>164</v>
      </c>
      <c r="B3375" s="19">
        <v>28.44</v>
      </c>
      <c r="C3375" s="19">
        <v>3</v>
      </c>
      <c r="D3375" s="19">
        <v>11.376000000000001</v>
      </c>
    </row>
    <row r="3376" spans="1:4" x14ac:dyDescent="0.2">
      <c r="A3376" s="19" t="s">
        <v>164</v>
      </c>
      <c r="B3376" s="19">
        <v>364.41</v>
      </c>
      <c r="C3376" s="19">
        <v>5</v>
      </c>
      <c r="D3376" s="19">
        <v>8.0980000000000203</v>
      </c>
    </row>
    <row r="3377" spans="1:4" x14ac:dyDescent="0.2">
      <c r="A3377" s="19" t="s">
        <v>164</v>
      </c>
      <c r="B3377" s="19">
        <v>39.96</v>
      </c>
      <c r="C3377" s="19">
        <v>4</v>
      </c>
      <c r="D3377" s="19">
        <v>10.389600000000002</v>
      </c>
    </row>
    <row r="3378" spans="1:4" x14ac:dyDescent="0.2">
      <c r="A3378" s="19" t="s">
        <v>164</v>
      </c>
      <c r="B3378" s="19">
        <v>361.76400000000001</v>
      </c>
      <c r="C3378" s="19">
        <v>2</v>
      </c>
      <c r="D3378" s="19">
        <v>68.333200000000005</v>
      </c>
    </row>
    <row r="3379" spans="1:4" x14ac:dyDescent="0.2">
      <c r="A3379" s="19" t="s">
        <v>154</v>
      </c>
      <c r="B3379" s="19">
        <v>111.67200000000001</v>
      </c>
      <c r="C3379" s="19">
        <v>9</v>
      </c>
      <c r="D3379" s="19">
        <v>6.9794999999999909</v>
      </c>
    </row>
    <row r="3380" spans="1:4" x14ac:dyDescent="0.2">
      <c r="A3380" s="19" t="s">
        <v>154</v>
      </c>
      <c r="B3380" s="19">
        <v>13.775999999999996</v>
      </c>
      <c r="C3380" s="19">
        <v>6</v>
      </c>
      <c r="D3380" s="19">
        <v>-22.04160000000001</v>
      </c>
    </row>
    <row r="3381" spans="1:4" x14ac:dyDescent="0.2">
      <c r="A3381" s="19" t="s">
        <v>154</v>
      </c>
      <c r="B3381" s="19">
        <v>10.272000000000002</v>
      </c>
      <c r="C3381" s="19">
        <v>3</v>
      </c>
      <c r="D3381" s="19">
        <v>3.2099999999999982</v>
      </c>
    </row>
    <row r="3382" spans="1:4" x14ac:dyDescent="0.2">
      <c r="A3382" s="19" t="s">
        <v>158</v>
      </c>
      <c r="B3382" s="19">
        <v>24.048000000000002</v>
      </c>
      <c r="C3382" s="19">
        <v>9</v>
      </c>
      <c r="D3382" s="19">
        <v>7.2144000000000013</v>
      </c>
    </row>
    <row r="3383" spans="1:4" x14ac:dyDescent="0.2">
      <c r="A3383" s="19" t="s">
        <v>151</v>
      </c>
      <c r="B3383" s="19">
        <v>2.8960000000000004</v>
      </c>
      <c r="C3383" s="19">
        <v>1</v>
      </c>
      <c r="D3383" s="19">
        <v>0.97739999999999994</v>
      </c>
    </row>
    <row r="3384" spans="1:4" x14ac:dyDescent="0.2">
      <c r="A3384" s="19" t="s">
        <v>164</v>
      </c>
      <c r="B3384" s="19">
        <v>17.940000000000001</v>
      </c>
      <c r="C3384" s="19">
        <v>3</v>
      </c>
      <c r="D3384" s="19">
        <v>8.7906000000000013</v>
      </c>
    </row>
    <row r="3385" spans="1:4" x14ac:dyDescent="0.2">
      <c r="A3385" s="19" t="s">
        <v>164</v>
      </c>
      <c r="B3385" s="19">
        <v>384.17399999999998</v>
      </c>
      <c r="C3385" s="19">
        <v>7</v>
      </c>
      <c r="D3385" s="19">
        <v>29.880199999999981</v>
      </c>
    </row>
    <row r="3386" spans="1:4" x14ac:dyDescent="0.2">
      <c r="A3386" s="19" t="s">
        <v>164</v>
      </c>
      <c r="B3386" s="19">
        <v>1799.75</v>
      </c>
      <c r="C3386" s="19">
        <v>5</v>
      </c>
      <c r="D3386" s="19">
        <v>539.92499999999995</v>
      </c>
    </row>
    <row r="3387" spans="1:4" x14ac:dyDescent="0.2">
      <c r="A3387" s="19" t="s">
        <v>152</v>
      </c>
      <c r="B3387" s="19">
        <v>580.67200000000003</v>
      </c>
      <c r="C3387" s="19">
        <v>4</v>
      </c>
      <c r="D3387" s="19">
        <v>65.325599999999895</v>
      </c>
    </row>
    <row r="3388" spans="1:4" x14ac:dyDescent="0.2">
      <c r="A3388" s="19" t="s">
        <v>152</v>
      </c>
      <c r="B3388" s="19">
        <v>18.936</v>
      </c>
      <c r="C3388" s="19">
        <v>3</v>
      </c>
      <c r="D3388" s="19">
        <v>5.9174999999999986</v>
      </c>
    </row>
    <row r="3389" spans="1:4" x14ac:dyDescent="0.2">
      <c r="A3389" s="19" t="s">
        <v>152</v>
      </c>
      <c r="B3389" s="19">
        <v>222.38400000000001</v>
      </c>
      <c r="C3389" s="19">
        <v>2</v>
      </c>
      <c r="D3389" s="19">
        <v>16.678799999999995</v>
      </c>
    </row>
    <row r="3390" spans="1:4" x14ac:dyDescent="0.2">
      <c r="A3390" s="19" t="s">
        <v>152</v>
      </c>
      <c r="B3390" s="19">
        <v>50.454000000000015</v>
      </c>
      <c r="C3390" s="19">
        <v>6</v>
      </c>
      <c r="D3390" s="19">
        <v>-33.635999999999996</v>
      </c>
    </row>
    <row r="3391" spans="1:4" x14ac:dyDescent="0.2">
      <c r="A3391" s="19" t="s">
        <v>152</v>
      </c>
      <c r="B3391" s="19">
        <v>154.76400000000001</v>
      </c>
      <c r="C3391" s="19">
        <v>3</v>
      </c>
      <c r="D3391" s="19">
        <v>-36.11160000000001</v>
      </c>
    </row>
    <row r="3392" spans="1:4" x14ac:dyDescent="0.2">
      <c r="A3392" s="19" t="s">
        <v>154</v>
      </c>
      <c r="B3392" s="19">
        <v>6.8480000000000008</v>
      </c>
      <c r="C3392" s="19">
        <v>2</v>
      </c>
      <c r="D3392" s="19">
        <v>2.1399999999999992</v>
      </c>
    </row>
    <row r="3393" spans="1:4" x14ac:dyDescent="0.2">
      <c r="A3393" s="19" t="s">
        <v>153</v>
      </c>
      <c r="B3393" s="19">
        <v>1091.1680000000001</v>
      </c>
      <c r="C3393" s="19">
        <v>4</v>
      </c>
      <c r="D3393" s="19">
        <v>68.197999999999979</v>
      </c>
    </row>
    <row r="3394" spans="1:4" x14ac:dyDescent="0.2">
      <c r="A3394" s="19" t="s">
        <v>153</v>
      </c>
      <c r="B3394" s="19">
        <v>219.16800000000001</v>
      </c>
      <c r="C3394" s="19">
        <v>2</v>
      </c>
      <c r="D3394" s="19">
        <v>-43.833600000000018</v>
      </c>
    </row>
    <row r="3395" spans="1:4" x14ac:dyDescent="0.2">
      <c r="A3395" s="19" t="s">
        <v>154</v>
      </c>
      <c r="B3395" s="19">
        <v>6.9279999999999982</v>
      </c>
      <c r="C3395" s="19">
        <v>1</v>
      </c>
      <c r="D3395" s="19">
        <v>-11.084800000000005</v>
      </c>
    </row>
    <row r="3396" spans="1:4" x14ac:dyDescent="0.2">
      <c r="A3396" s="19" t="s">
        <v>158</v>
      </c>
      <c r="B3396" s="19">
        <v>40.032000000000004</v>
      </c>
      <c r="C3396" s="19">
        <v>6</v>
      </c>
      <c r="D3396" s="19">
        <v>15.011999999999999</v>
      </c>
    </row>
    <row r="3397" spans="1:4" x14ac:dyDescent="0.2">
      <c r="A3397" s="19" t="s">
        <v>163</v>
      </c>
      <c r="B3397" s="19">
        <v>443.92</v>
      </c>
      <c r="C3397" s="19">
        <v>4</v>
      </c>
      <c r="D3397" s="19">
        <v>13.317600000000027</v>
      </c>
    </row>
    <row r="3398" spans="1:4" x14ac:dyDescent="0.2">
      <c r="A3398" s="19" t="s">
        <v>163</v>
      </c>
      <c r="B3398" s="19">
        <v>169.99</v>
      </c>
      <c r="C3398" s="19">
        <v>1</v>
      </c>
      <c r="D3398" s="19">
        <v>78.195399999999992</v>
      </c>
    </row>
    <row r="3399" spans="1:4" x14ac:dyDescent="0.2">
      <c r="A3399" s="19" t="s">
        <v>163</v>
      </c>
      <c r="B3399" s="19">
        <v>25.92</v>
      </c>
      <c r="C3399" s="19">
        <v>4</v>
      </c>
      <c r="D3399" s="19">
        <v>12.441600000000001</v>
      </c>
    </row>
    <row r="3400" spans="1:4" x14ac:dyDescent="0.2">
      <c r="A3400" s="19" t="s">
        <v>149</v>
      </c>
      <c r="B3400" s="19">
        <v>36.99</v>
      </c>
      <c r="C3400" s="19">
        <v>1</v>
      </c>
      <c r="D3400" s="19">
        <v>9.9873000000000012</v>
      </c>
    </row>
    <row r="3401" spans="1:4" x14ac:dyDescent="0.2">
      <c r="A3401" s="19" t="s">
        <v>149</v>
      </c>
      <c r="B3401" s="19">
        <v>629.09999999999991</v>
      </c>
      <c r="C3401" s="19">
        <v>6</v>
      </c>
      <c r="D3401" s="19">
        <v>301.96799999999996</v>
      </c>
    </row>
    <row r="3402" spans="1:4" x14ac:dyDescent="0.2">
      <c r="A3402" s="19" t="s">
        <v>149</v>
      </c>
      <c r="B3402" s="19">
        <v>193.95000000000002</v>
      </c>
      <c r="C3402" s="19">
        <v>3</v>
      </c>
      <c r="D3402" s="19">
        <v>9.6974999999999838</v>
      </c>
    </row>
    <row r="3403" spans="1:4" x14ac:dyDescent="0.2">
      <c r="A3403" s="19" t="s">
        <v>149</v>
      </c>
      <c r="B3403" s="19">
        <v>5.46</v>
      </c>
      <c r="C3403" s="19">
        <v>3</v>
      </c>
      <c r="D3403" s="19">
        <v>1.4742000000000002</v>
      </c>
    </row>
    <row r="3404" spans="1:4" x14ac:dyDescent="0.2">
      <c r="A3404" s="19" t="s">
        <v>159</v>
      </c>
      <c r="B3404" s="19">
        <v>22.288</v>
      </c>
      <c r="C3404" s="19">
        <v>7</v>
      </c>
      <c r="D3404" s="19">
        <v>-8.9151999999999987</v>
      </c>
    </row>
    <row r="3405" spans="1:4" x14ac:dyDescent="0.2">
      <c r="A3405" s="19" t="s">
        <v>154</v>
      </c>
      <c r="B3405" s="19">
        <v>65.424000000000007</v>
      </c>
      <c r="C3405" s="19">
        <v>4</v>
      </c>
      <c r="D3405" s="19">
        <v>-52.339199999999991</v>
      </c>
    </row>
    <row r="3406" spans="1:4" x14ac:dyDescent="0.2">
      <c r="A3406" s="19" t="s">
        <v>150</v>
      </c>
      <c r="B3406" s="19">
        <v>77.88</v>
      </c>
      <c r="C3406" s="19">
        <v>2</v>
      </c>
      <c r="D3406" s="19">
        <v>3.8939999999999912</v>
      </c>
    </row>
    <row r="3407" spans="1:4" x14ac:dyDescent="0.2">
      <c r="A3407" s="19" t="s">
        <v>173</v>
      </c>
      <c r="B3407" s="19">
        <v>281.37199999999996</v>
      </c>
      <c r="C3407" s="19">
        <v>2</v>
      </c>
      <c r="D3407" s="19">
        <v>-12.058799999999991</v>
      </c>
    </row>
    <row r="3408" spans="1:4" x14ac:dyDescent="0.2">
      <c r="A3408" s="19" t="s">
        <v>173</v>
      </c>
      <c r="B3408" s="19">
        <v>281.37199999999996</v>
      </c>
      <c r="C3408" s="19">
        <v>2</v>
      </c>
      <c r="D3408" s="19">
        <v>-12.058799999999991</v>
      </c>
    </row>
    <row r="3409" spans="1:4" x14ac:dyDescent="0.2">
      <c r="A3409" s="19" t="s">
        <v>173</v>
      </c>
      <c r="B3409" s="19">
        <v>7.4880000000000013</v>
      </c>
      <c r="C3409" s="19">
        <v>8</v>
      </c>
      <c r="D3409" s="19">
        <v>-5.2415999999999983</v>
      </c>
    </row>
    <row r="3410" spans="1:4" x14ac:dyDescent="0.2">
      <c r="A3410" s="19" t="s">
        <v>173</v>
      </c>
      <c r="B3410" s="19">
        <v>22.336000000000002</v>
      </c>
      <c r="C3410" s="19">
        <v>4</v>
      </c>
      <c r="D3410" s="19">
        <v>7.8175999999999997</v>
      </c>
    </row>
    <row r="3411" spans="1:4" x14ac:dyDescent="0.2">
      <c r="A3411" s="19" t="s">
        <v>173</v>
      </c>
      <c r="B3411" s="19">
        <v>10.368000000000002</v>
      </c>
      <c r="C3411" s="19">
        <v>2</v>
      </c>
      <c r="D3411" s="19">
        <v>3.6288</v>
      </c>
    </row>
    <row r="3412" spans="1:4" x14ac:dyDescent="0.2">
      <c r="A3412" s="19" t="s">
        <v>150</v>
      </c>
      <c r="B3412" s="19">
        <v>65.789999999999992</v>
      </c>
      <c r="C3412" s="19">
        <v>9</v>
      </c>
      <c r="D3412" s="19">
        <v>30.263399999999997</v>
      </c>
    </row>
    <row r="3413" spans="1:4" x14ac:dyDescent="0.2">
      <c r="A3413" s="19" t="s">
        <v>150</v>
      </c>
      <c r="B3413" s="19">
        <v>271.98400000000004</v>
      </c>
      <c r="C3413" s="19">
        <v>2</v>
      </c>
      <c r="D3413" s="19">
        <v>88.394799999999975</v>
      </c>
    </row>
    <row r="3414" spans="1:4" x14ac:dyDescent="0.2">
      <c r="A3414" s="19" t="s">
        <v>150</v>
      </c>
      <c r="B3414" s="19">
        <v>11.76</v>
      </c>
      <c r="C3414" s="19">
        <v>4</v>
      </c>
      <c r="D3414" s="19">
        <v>3.1752000000000002</v>
      </c>
    </row>
    <row r="3415" spans="1:4" x14ac:dyDescent="0.2">
      <c r="A3415" s="19" t="s">
        <v>150</v>
      </c>
      <c r="B3415" s="19">
        <v>77.52</v>
      </c>
      <c r="C3415" s="19">
        <v>2</v>
      </c>
      <c r="D3415" s="19">
        <v>37.9848</v>
      </c>
    </row>
    <row r="3416" spans="1:4" x14ac:dyDescent="0.2">
      <c r="A3416" s="19" t="s">
        <v>150</v>
      </c>
      <c r="B3416" s="19">
        <v>48.64</v>
      </c>
      <c r="C3416" s="19">
        <v>2</v>
      </c>
      <c r="D3416" s="19">
        <v>15.807999999999996</v>
      </c>
    </row>
    <row r="3417" spans="1:4" x14ac:dyDescent="0.2">
      <c r="A3417" s="19" t="s">
        <v>155</v>
      </c>
      <c r="B3417" s="19">
        <v>1.81</v>
      </c>
      <c r="C3417" s="19">
        <v>1</v>
      </c>
      <c r="D3417" s="19">
        <v>0.65159999999999996</v>
      </c>
    </row>
    <row r="3418" spans="1:4" x14ac:dyDescent="0.2">
      <c r="A3418" s="19" t="s">
        <v>155</v>
      </c>
      <c r="B3418" s="19">
        <v>8.26</v>
      </c>
      <c r="C3418" s="19">
        <v>2</v>
      </c>
      <c r="D3418" s="19">
        <v>3.8822000000000001</v>
      </c>
    </row>
    <row r="3419" spans="1:4" x14ac:dyDescent="0.2">
      <c r="A3419" s="19" t="s">
        <v>171</v>
      </c>
      <c r="B3419" s="19">
        <v>43.560000000000009</v>
      </c>
      <c r="C3419" s="19">
        <v>5</v>
      </c>
      <c r="D3419" s="19">
        <v>3.2669999999999995</v>
      </c>
    </row>
    <row r="3420" spans="1:4" x14ac:dyDescent="0.2">
      <c r="A3420" s="19" t="s">
        <v>171</v>
      </c>
      <c r="B3420" s="19">
        <v>5.84</v>
      </c>
      <c r="C3420" s="19">
        <v>2</v>
      </c>
      <c r="D3420" s="19">
        <v>0.72999999999999954</v>
      </c>
    </row>
    <row r="3421" spans="1:4" x14ac:dyDescent="0.2">
      <c r="A3421" s="19" t="s">
        <v>164</v>
      </c>
      <c r="B3421" s="19">
        <v>271.76400000000001</v>
      </c>
      <c r="C3421" s="19">
        <v>2</v>
      </c>
      <c r="D3421" s="19">
        <v>60.391999999999967</v>
      </c>
    </row>
    <row r="3422" spans="1:4" x14ac:dyDescent="0.2">
      <c r="A3422" s="19" t="s">
        <v>150</v>
      </c>
      <c r="B3422" s="19">
        <v>262.24</v>
      </c>
      <c r="C3422" s="19">
        <v>2</v>
      </c>
      <c r="D3422" s="19">
        <v>78.671999999999997</v>
      </c>
    </row>
    <row r="3423" spans="1:4" x14ac:dyDescent="0.2">
      <c r="A3423" s="19" t="s">
        <v>150</v>
      </c>
      <c r="B3423" s="19">
        <v>182.72</v>
      </c>
      <c r="C3423" s="19">
        <v>8</v>
      </c>
      <c r="D3423" s="19">
        <v>84.051199999999994</v>
      </c>
    </row>
    <row r="3424" spans="1:4" x14ac:dyDescent="0.2">
      <c r="A3424" s="19" t="s">
        <v>150</v>
      </c>
      <c r="B3424" s="19">
        <v>131.6</v>
      </c>
      <c r="C3424" s="19">
        <v>7</v>
      </c>
      <c r="D3424" s="19">
        <v>7.8960000000000008</v>
      </c>
    </row>
    <row r="3425" spans="1:4" x14ac:dyDescent="0.2">
      <c r="A3425" s="19" t="s">
        <v>150</v>
      </c>
      <c r="B3425" s="19">
        <v>22.72</v>
      </c>
      <c r="C3425" s="19">
        <v>4</v>
      </c>
      <c r="D3425" s="19">
        <v>7.3839999999999986</v>
      </c>
    </row>
    <row r="3426" spans="1:4" x14ac:dyDescent="0.2">
      <c r="A3426" s="19" t="s">
        <v>150</v>
      </c>
      <c r="B3426" s="19">
        <v>558.4</v>
      </c>
      <c r="C3426" s="19">
        <v>2</v>
      </c>
      <c r="D3426" s="19">
        <v>41.880000000000024</v>
      </c>
    </row>
    <row r="3427" spans="1:4" x14ac:dyDescent="0.2">
      <c r="A3427" s="19" t="s">
        <v>172</v>
      </c>
      <c r="B3427" s="19">
        <v>15.24</v>
      </c>
      <c r="C3427" s="19">
        <v>4</v>
      </c>
      <c r="D3427" s="19">
        <v>6.8579999999999988</v>
      </c>
    </row>
    <row r="3428" spans="1:4" x14ac:dyDescent="0.2">
      <c r="A3428" s="19" t="s">
        <v>172</v>
      </c>
      <c r="B3428" s="19">
        <v>1408.1</v>
      </c>
      <c r="C3428" s="19">
        <v>10</v>
      </c>
      <c r="D3428" s="19">
        <v>394.26800000000003</v>
      </c>
    </row>
    <row r="3429" spans="1:4" x14ac:dyDescent="0.2">
      <c r="A3429" s="19" t="s">
        <v>173</v>
      </c>
      <c r="B3429" s="19">
        <v>32.896000000000001</v>
      </c>
      <c r="C3429" s="19">
        <v>4</v>
      </c>
      <c r="D3429" s="19">
        <v>11.102399999999996</v>
      </c>
    </row>
    <row r="3430" spans="1:4" x14ac:dyDescent="0.2">
      <c r="A3430" s="19" t="s">
        <v>173</v>
      </c>
      <c r="B3430" s="19">
        <v>215.148</v>
      </c>
      <c r="C3430" s="19">
        <v>2</v>
      </c>
      <c r="D3430" s="19">
        <v>-103.98819999999998</v>
      </c>
    </row>
    <row r="3431" spans="1:4" x14ac:dyDescent="0.2">
      <c r="A3431" s="19" t="s">
        <v>173</v>
      </c>
      <c r="B3431" s="19">
        <v>30.96</v>
      </c>
      <c r="C3431" s="19">
        <v>6</v>
      </c>
      <c r="D3431" s="19">
        <v>11.223000000000001</v>
      </c>
    </row>
    <row r="3432" spans="1:4" x14ac:dyDescent="0.2">
      <c r="A3432" s="19" t="s">
        <v>150</v>
      </c>
      <c r="B3432" s="19">
        <v>29.79</v>
      </c>
      <c r="C3432" s="19">
        <v>3</v>
      </c>
      <c r="D3432" s="19">
        <v>8.6390999999999956</v>
      </c>
    </row>
    <row r="3433" spans="1:4" x14ac:dyDescent="0.2">
      <c r="A3433" s="19" t="s">
        <v>150</v>
      </c>
      <c r="B3433" s="19">
        <v>128.9</v>
      </c>
      <c r="C3433" s="19">
        <v>2</v>
      </c>
      <c r="D3433" s="19">
        <v>15.468000000000004</v>
      </c>
    </row>
    <row r="3434" spans="1:4" x14ac:dyDescent="0.2">
      <c r="A3434" s="19" t="s">
        <v>150</v>
      </c>
      <c r="B3434" s="19">
        <v>60.12</v>
      </c>
      <c r="C3434" s="19">
        <v>9</v>
      </c>
      <c r="D3434" s="19">
        <v>28.857599999999998</v>
      </c>
    </row>
    <row r="3435" spans="1:4" x14ac:dyDescent="0.2">
      <c r="A3435" s="19" t="s">
        <v>153</v>
      </c>
      <c r="B3435" s="19">
        <v>24.816000000000003</v>
      </c>
      <c r="C3435" s="19">
        <v>3</v>
      </c>
      <c r="D3435" s="19">
        <v>8.3753999999999991</v>
      </c>
    </row>
    <row r="3436" spans="1:4" x14ac:dyDescent="0.2">
      <c r="A3436" s="19" t="s">
        <v>153</v>
      </c>
      <c r="B3436" s="19">
        <v>14.976000000000003</v>
      </c>
      <c r="C3436" s="19">
        <v>6</v>
      </c>
      <c r="D3436" s="19">
        <v>5.4287999999999981</v>
      </c>
    </row>
    <row r="3437" spans="1:4" x14ac:dyDescent="0.2">
      <c r="A3437" s="19" t="s">
        <v>159</v>
      </c>
      <c r="B3437" s="19">
        <v>15.079999999999998</v>
      </c>
      <c r="C3437" s="19">
        <v>2</v>
      </c>
      <c r="D3437" s="19">
        <v>-22.620000000000005</v>
      </c>
    </row>
    <row r="3438" spans="1:4" x14ac:dyDescent="0.2">
      <c r="A3438" s="19" t="s">
        <v>159</v>
      </c>
      <c r="B3438" s="19">
        <v>24.288</v>
      </c>
      <c r="C3438" s="19">
        <v>3</v>
      </c>
      <c r="D3438" s="19">
        <v>-12.751199999999997</v>
      </c>
    </row>
    <row r="3439" spans="1:4" x14ac:dyDescent="0.2">
      <c r="A3439" s="19" t="s">
        <v>154</v>
      </c>
      <c r="B3439" s="19">
        <v>16.192</v>
      </c>
      <c r="C3439" s="19">
        <v>2</v>
      </c>
      <c r="D3439" s="19">
        <v>-8.5007999999999981</v>
      </c>
    </row>
    <row r="3440" spans="1:4" x14ac:dyDescent="0.2">
      <c r="A3440" s="19" t="s">
        <v>154</v>
      </c>
      <c r="B3440" s="19">
        <v>251.00599999999997</v>
      </c>
      <c r="C3440" s="19">
        <v>2</v>
      </c>
      <c r="D3440" s="19">
        <v>-68.130199999999988</v>
      </c>
    </row>
    <row r="3441" spans="1:4" x14ac:dyDescent="0.2">
      <c r="A3441" s="19" t="s">
        <v>154</v>
      </c>
      <c r="B3441" s="19">
        <v>54.192</v>
      </c>
      <c r="C3441" s="19">
        <v>6</v>
      </c>
      <c r="D3441" s="19">
        <v>4.0643999999999973</v>
      </c>
    </row>
    <row r="3442" spans="1:4" x14ac:dyDescent="0.2">
      <c r="A3442" s="19" t="s">
        <v>150</v>
      </c>
      <c r="B3442" s="19">
        <v>4.3040000000000003</v>
      </c>
      <c r="C3442" s="19">
        <v>1</v>
      </c>
      <c r="D3442" s="19">
        <v>1.5602</v>
      </c>
    </row>
    <row r="3443" spans="1:4" x14ac:dyDescent="0.2">
      <c r="A3443" s="19" t="s">
        <v>164</v>
      </c>
      <c r="B3443" s="19">
        <v>108.92</v>
      </c>
      <c r="C3443" s="19">
        <v>14</v>
      </c>
      <c r="D3443" s="19">
        <v>49.013999999999996</v>
      </c>
    </row>
    <row r="3444" spans="1:4" x14ac:dyDescent="0.2">
      <c r="A3444" s="19" t="s">
        <v>164</v>
      </c>
      <c r="B3444" s="19">
        <v>16.740000000000002</v>
      </c>
      <c r="C3444" s="19">
        <v>3</v>
      </c>
      <c r="D3444" s="19">
        <v>8.370000000000001</v>
      </c>
    </row>
    <row r="3445" spans="1:4" x14ac:dyDescent="0.2">
      <c r="A3445" s="19" t="s">
        <v>164</v>
      </c>
      <c r="B3445" s="19">
        <v>2504.7399999999998</v>
      </c>
      <c r="C3445" s="19">
        <v>7</v>
      </c>
      <c r="D3445" s="19">
        <v>626.18499999999995</v>
      </c>
    </row>
    <row r="3446" spans="1:4" x14ac:dyDescent="0.2">
      <c r="A3446" s="19" t="s">
        <v>158</v>
      </c>
      <c r="B3446" s="19">
        <v>84.784000000000006</v>
      </c>
      <c r="C3446" s="19">
        <v>2</v>
      </c>
      <c r="D3446" s="19">
        <v>-16.956800000000005</v>
      </c>
    </row>
    <row r="3447" spans="1:4" x14ac:dyDescent="0.2">
      <c r="A3447" s="19" t="s">
        <v>162</v>
      </c>
      <c r="B3447" s="19">
        <v>29.900000000000002</v>
      </c>
      <c r="C3447" s="19">
        <v>5</v>
      </c>
      <c r="D3447" s="19">
        <v>5.0829999999999975</v>
      </c>
    </row>
    <row r="3448" spans="1:4" x14ac:dyDescent="0.2">
      <c r="A3448" s="19" t="s">
        <v>164</v>
      </c>
      <c r="B3448" s="19">
        <v>70.88</v>
      </c>
      <c r="C3448" s="19">
        <v>2</v>
      </c>
      <c r="D3448" s="19">
        <v>33.313599999999994</v>
      </c>
    </row>
    <row r="3449" spans="1:4" x14ac:dyDescent="0.2">
      <c r="A3449" s="19" t="s">
        <v>168</v>
      </c>
      <c r="B3449" s="19">
        <v>3.76</v>
      </c>
      <c r="C3449" s="19">
        <v>2</v>
      </c>
      <c r="D3449" s="19">
        <v>1.0903999999999998</v>
      </c>
    </row>
    <row r="3450" spans="1:4" x14ac:dyDescent="0.2">
      <c r="A3450" s="19" t="s">
        <v>150</v>
      </c>
      <c r="B3450" s="19">
        <v>27.263999999999999</v>
      </c>
      <c r="C3450" s="19">
        <v>2</v>
      </c>
      <c r="D3450" s="19">
        <v>8.8607999999999976</v>
      </c>
    </row>
    <row r="3451" spans="1:4" x14ac:dyDescent="0.2">
      <c r="A3451" s="19" t="s">
        <v>150</v>
      </c>
      <c r="B3451" s="19">
        <v>56.65</v>
      </c>
      <c r="C3451" s="19">
        <v>5</v>
      </c>
      <c r="D3451" s="19">
        <v>24.359500000000004</v>
      </c>
    </row>
    <row r="3452" spans="1:4" x14ac:dyDescent="0.2">
      <c r="A3452" s="19" t="s">
        <v>150</v>
      </c>
      <c r="B3452" s="19">
        <v>14.97</v>
      </c>
      <c r="C3452" s="19">
        <v>1</v>
      </c>
      <c r="D3452" s="19">
        <v>4.1916000000000011</v>
      </c>
    </row>
    <row r="3453" spans="1:4" x14ac:dyDescent="0.2">
      <c r="A3453" s="19" t="s">
        <v>150</v>
      </c>
      <c r="B3453" s="19">
        <v>4.0199999999999996</v>
      </c>
      <c r="C3453" s="19">
        <v>2</v>
      </c>
      <c r="D3453" s="19">
        <v>1.9697999999999998</v>
      </c>
    </row>
    <row r="3454" spans="1:4" x14ac:dyDescent="0.2">
      <c r="A3454" s="19" t="s">
        <v>152</v>
      </c>
      <c r="B3454" s="19">
        <v>471.92</v>
      </c>
      <c r="C3454" s="19">
        <v>2</v>
      </c>
      <c r="D3454" s="19">
        <v>29.495000000000019</v>
      </c>
    </row>
    <row r="3455" spans="1:4" x14ac:dyDescent="0.2">
      <c r="A3455" s="19" t="s">
        <v>101</v>
      </c>
      <c r="B3455" s="19">
        <v>58.72</v>
      </c>
      <c r="C3455" s="19">
        <v>4</v>
      </c>
      <c r="D3455" s="19">
        <v>27.011199999999999</v>
      </c>
    </row>
    <row r="3456" spans="1:4" x14ac:dyDescent="0.2">
      <c r="A3456" s="19" t="s">
        <v>167</v>
      </c>
      <c r="B3456" s="19">
        <v>5.16</v>
      </c>
      <c r="C3456" s="19">
        <v>3</v>
      </c>
      <c r="D3456" s="19">
        <v>0.83849999999999936</v>
      </c>
    </row>
    <row r="3457" spans="1:4" x14ac:dyDescent="0.2">
      <c r="A3457" s="19" t="s">
        <v>167</v>
      </c>
      <c r="B3457" s="19">
        <v>16.496000000000002</v>
      </c>
      <c r="C3457" s="19">
        <v>2</v>
      </c>
      <c r="D3457" s="19">
        <v>5.5673999999999992</v>
      </c>
    </row>
    <row r="3458" spans="1:4" x14ac:dyDescent="0.2">
      <c r="A3458" s="19" t="s">
        <v>158</v>
      </c>
      <c r="B3458" s="19">
        <v>71.975999999999999</v>
      </c>
      <c r="C3458" s="19">
        <v>3</v>
      </c>
      <c r="D3458" s="19">
        <v>19.793400000000005</v>
      </c>
    </row>
    <row r="3459" spans="1:4" x14ac:dyDescent="0.2">
      <c r="A3459" s="19" t="s">
        <v>158</v>
      </c>
      <c r="B3459" s="19">
        <v>22.512000000000004</v>
      </c>
      <c r="C3459" s="19">
        <v>3</v>
      </c>
      <c r="D3459" s="19">
        <v>2.2511999999999999</v>
      </c>
    </row>
    <row r="3460" spans="1:4" x14ac:dyDescent="0.2">
      <c r="A3460" s="19" t="s">
        <v>158</v>
      </c>
      <c r="B3460" s="19">
        <v>3.4440000000000008</v>
      </c>
      <c r="C3460" s="19">
        <v>2</v>
      </c>
      <c r="D3460" s="19">
        <v>-2.7551999999999994</v>
      </c>
    </row>
    <row r="3461" spans="1:4" x14ac:dyDescent="0.2">
      <c r="A3461" s="19" t="s">
        <v>158</v>
      </c>
      <c r="B3461" s="19">
        <v>538.19400000000007</v>
      </c>
      <c r="C3461" s="19">
        <v>2</v>
      </c>
      <c r="D3461" s="19">
        <v>-412.61539999999991</v>
      </c>
    </row>
    <row r="3462" spans="1:4" x14ac:dyDescent="0.2">
      <c r="A3462" s="19" t="s">
        <v>158</v>
      </c>
      <c r="B3462" s="19">
        <v>47.984000000000002</v>
      </c>
      <c r="C3462" s="19">
        <v>2</v>
      </c>
      <c r="D3462" s="19">
        <v>14.395200000000004</v>
      </c>
    </row>
    <row r="3463" spans="1:4" x14ac:dyDescent="0.2">
      <c r="A3463" s="19" t="s">
        <v>154</v>
      </c>
      <c r="B3463" s="19">
        <v>492.76800000000003</v>
      </c>
      <c r="C3463" s="19">
        <v>4</v>
      </c>
      <c r="D3463" s="19">
        <v>55.436399999999935</v>
      </c>
    </row>
    <row r="3464" spans="1:4" x14ac:dyDescent="0.2">
      <c r="A3464" s="19" t="s">
        <v>179</v>
      </c>
      <c r="B3464" s="19">
        <v>286.78999999999996</v>
      </c>
      <c r="C3464" s="19">
        <v>7</v>
      </c>
      <c r="D3464" s="19">
        <v>74.565400000000011</v>
      </c>
    </row>
    <row r="3465" spans="1:4" x14ac:dyDescent="0.2">
      <c r="A3465" s="19" t="s">
        <v>151</v>
      </c>
      <c r="B3465" s="19">
        <v>5.08</v>
      </c>
      <c r="C3465" s="19">
        <v>1</v>
      </c>
      <c r="D3465" s="19">
        <v>1.6509999999999998</v>
      </c>
    </row>
    <row r="3466" spans="1:4" x14ac:dyDescent="0.2">
      <c r="A3466" s="19" t="s">
        <v>151</v>
      </c>
      <c r="B3466" s="19">
        <v>47.992000000000004</v>
      </c>
      <c r="C3466" s="19">
        <v>1</v>
      </c>
      <c r="D3466" s="19">
        <v>7.198799999999995</v>
      </c>
    </row>
    <row r="3467" spans="1:4" x14ac:dyDescent="0.2">
      <c r="A3467" s="19" t="s">
        <v>180</v>
      </c>
      <c r="B3467" s="19">
        <v>61.96</v>
      </c>
      <c r="C3467" s="19">
        <v>2</v>
      </c>
      <c r="D3467" s="19">
        <v>16.1096</v>
      </c>
    </row>
    <row r="3468" spans="1:4" x14ac:dyDescent="0.2">
      <c r="A3468" s="19" t="s">
        <v>180</v>
      </c>
      <c r="B3468" s="19">
        <v>361.96</v>
      </c>
      <c r="C3468" s="19">
        <v>2</v>
      </c>
      <c r="D3468" s="19">
        <v>83.25079999999997</v>
      </c>
    </row>
    <row r="3469" spans="1:4" x14ac:dyDescent="0.2">
      <c r="A3469" s="19" t="s">
        <v>180</v>
      </c>
      <c r="B3469" s="19">
        <v>278.82</v>
      </c>
      <c r="C3469" s="19">
        <v>9</v>
      </c>
      <c r="D3469" s="19">
        <v>125.46899999999999</v>
      </c>
    </row>
    <row r="3470" spans="1:4" x14ac:dyDescent="0.2">
      <c r="A3470" s="19" t="s">
        <v>183</v>
      </c>
      <c r="B3470" s="19">
        <v>133.38</v>
      </c>
      <c r="C3470" s="19">
        <v>6</v>
      </c>
      <c r="D3470" s="19">
        <v>58.687200000000011</v>
      </c>
    </row>
    <row r="3471" spans="1:4" x14ac:dyDescent="0.2">
      <c r="A3471" s="19" t="s">
        <v>152</v>
      </c>
      <c r="B3471" s="19">
        <v>47.952000000000005</v>
      </c>
      <c r="C3471" s="19">
        <v>3</v>
      </c>
      <c r="D3471" s="19">
        <v>16.183799999999998</v>
      </c>
    </row>
    <row r="3472" spans="1:4" x14ac:dyDescent="0.2">
      <c r="A3472" s="19" t="s">
        <v>150</v>
      </c>
      <c r="B3472" s="19">
        <v>16.739999999999998</v>
      </c>
      <c r="C3472" s="19">
        <v>2</v>
      </c>
      <c r="D3472" s="19">
        <v>4.3523999999999994</v>
      </c>
    </row>
    <row r="3473" spans="1:4" x14ac:dyDescent="0.2">
      <c r="A3473" s="19" t="s">
        <v>173</v>
      </c>
      <c r="B3473" s="19">
        <v>10.848000000000001</v>
      </c>
      <c r="C3473" s="19">
        <v>2</v>
      </c>
      <c r="D3473" s="19">
        <v>3.5255999999999994</v>
      </c>
    </row>
    <row r="3474" spans="1:4" x14ac:dyDescent="0.2">
      <c r="A3474" s="19" t="s">
        <v>173</v>
      </c>
      <c r="B3474" s="19">
        <v>18.544</v>
      </c>
      <c r="C3474" s="19">
        <v>2</v>
      </c>
      <c r="D3474" s="19">
        <v>3.0133999999999981</v>
      </c>
    </row>
    <row r="3475" spans="1:4" x14ac:dyDescent="0.2">
      <c r="A3475" s="19" t="s">
        <v>161</v>
      </c>
      <c r="B3475" s="19">
        <v>180.98</v>
      </c>
      <c r="C3475" s="19">
        <v>1</v>
      </c>
      <c r="D3475" s="19">
        <v>47.0548</v>
      </c>
    </row>
    <row r="3476" spans="1:4" x14ac:dyDescent="0.2">
      <c r="A3476" s="19" t="s">
        <v>161</v>
      </c>
      <c r="B3476" s="19">
        <v>99.98</v>
      </c>
      <c r="C3476" s="19">
        <v>2</v>
      </c>
      <c r="D3476" s="19">
        <v>42.991400000000006</v>
      </c>
    </row>
    <row r="3477" spans="1:4" x14ac:dyDescent="0.2">
      <c r="A3477" s="19" t="s">
        <v>189</v>
      </c>
      <c r="B3477" s="19">
        <v>34.950000000000003</v>
      </c>
      <c r="C3477" s="19">
        <v>5</v>
      </c>
      <c r="D3477" s="19">
        <v>15.378000000000004</v>
      </c>
    </row>
    <row r="3478" spans="1:4" x14ac:dyDescent="0.2">
      <c r="A3478" s="19" t="s">
        <v>189</v>
      </c>
      <c r="B3478" s="19">
        <v>152</v>
      </c>
      <c r="C3478" s="19">
        <v>5</v>
      </c>
      <c r="D3478" s="19">
        <v>69.919999999999987</v>
      </c>
    </row>
    <row r="3479" spans="1:4" x14ac:dyDescent="0.2">
      <c r="A3479" s="19" t="s">
        <v>176</v>
      </c>
      <c r="B3479" s="19">
        <v>92.52</v>
      </c>
      <c r="C3479" s="19">
        <v>9</v>
      </c>
      <c r="D3479" s="19">
        <v>18.503999999999991</v>
      </c>
    </row>
    <row r="3480" spans="1:4" x14ac:dyDescent="0.2">
      <c r="A3480" s="19" t="s">
        <v>150</v>
      </c>
      <c r="B3480" s="19">
        <v>8.56</v>
      </c>
      <c r="C3480" s="19">
        <v>2</v>
      </c>
      <c r="D3480" s="19">
        <v>2.4823999999999993</v>
      </c>
    </row>
    <row r="3481" spans="1:4" x14ac:dyDescent="0.2">
      <c r="A3481" s="19" t="s">
        <v>150</v>
      </c>
      <c r="B3481" s="19">
        <v>45.36</v>
      </c>
      <c r="C3481" s="19">
        <v>7</v>
      </c>
      <c r="D3481" s="19">
        <v>21.772800000000004</v>
      </c>
    </row>
    <row r="3482" spans="1:4" x14ac:dyDescent="0.2">
      <c r="A3482" s="19" t="s">
        <v>150</v>
      </c>
      <c r="B3482" s="19">
        <v>1421.6640000000002</v>
      </c>
      <c r="C3482" s="19">
        <v>6</v>
      </c>
      <c r="D3482" s="19">
        <v>-195.47879999999998</v>
      </c>
    </row>
    <row r="3483" spans="1:4" x14ac:dyDescent="0.2">
      <c r="A3483" s="19" t="s">
        <v>168</v>
      </c>
      <c r="B3483" s="19">
        <v>8.9600000000000009</v>
      </c>
      <c r="C3483" s="19">
        <v>2</v>
      </c>
      <c r="D3483" s="19">
        <v>2.7775999999999996</v>
      </c>
    </row>
    <row r="3484" spans="1:4" x14ac:dyDescent="0.2">
      <c r="A3484" s="19" t="s">
        <v>166</v>
      </c>
      <c r="B3484" s="19">
        <v>579.94999999999993</v>
      </c>
      <c r="C3484" s="19">
        <v>5</v>
      </c>
      <c r="D3484" s="19">
        <v>168.18549999999993</v>
      </c>
    </row>
    <row r="3485" spans="1:4" x14ac:dyDescent="0.2">
      <c r="A3485" s="19" t="s">
        <v>166</v>
      </c>
      <c r="B3485" s="19">
        <v>29.12</v>
      </c>
      <c r="C3485" s="19">
        <v>4</v>
      </c>
      <c r="D3485" s="19">
        <v>12.521600000000003</v>
      </c>
    </row>
    <row r="3486" spans="1:4" x14ac:dyDescent="0.2">
      <c r="A3486" s="19" t="s">
        <v>166</v>
      </c>
      <c r="B3486" s="19">
        <v>1202.94</v>
      </c>
      <c r="C3486" s="19">
        <v>3</v>
      </c>
      <c r="D3486" s="19">
        <v>300.73500000000001</v>
      </c>
    </row>
    <row r="3487" spans="1:4" x14ac:dyDescent="0.2">
      <c r="A3487" s="19" t="s">
        <v>162</v>
      </c>
      <c r="B3487" s="19">
        <v>7.92</v>
      </c>
      <c r="C3487" s="19">
        <v>4</v>
      </c>
      <c r="D3487" s="19">
        <v>3.5640000000000001</v>
      </c>
    </row>
    <row r="3488" spans="1:4" x14ac:dyDescent="0.2">
      <c r="A3488" s="19" t="s">
        <v>152</v>
      </c>
      <c r="B3488" s="19">
        <v>36.192</v>
      </c>
      <c r="C3488" s="19">
        <v>1</v>
      </c>
      <c r="D3488" s="19">
        <v>2.7143999999999995</v>
      </c>
    </row>
    <row r="3489" spans="1:4" x14ac:dyDescent="0.2">
      <c r="A3489" s="19" t="s">
        <v>151</v>
      </c>
      <c r="B3489" s="19">
        <v>147.184</v>
      </c>
      <c r="C3489" s="19">
        <v>2</v>
      </c>
      <c r="D3489" s="19">
        <v>-29.436800000000012</v>
      </c>
    </row>
    <row r="3490" spans="1:4" x14ac:dyDescent="0.2">
      <c r="A3490" s="19" t="s">
        <v>159</v>
      </c>
      <c r="B3490" s="19">
        <v>408.42200000000003</v>
      </c>
      <c r="C3490" s="19">
        <v>2</v>
      </c>
      <c r="D3490" s="19">
        <v>-5.8346000000000231</v>
      </c>
    </row>
    <row r="3491" spans="1:4" x14ac:dyDescent="0.2">
      <c r="A3491" s="19" t="s">
        <v>159</v>
      </c>
      <c r="B3491" s="19">
        <v>382.11599999999999</v>
      </c>
      <c r="C3491" s="19">
        <v>6</v>
      </c>
      <c r="D3491" s="19">
        <v>-92.799600000000027</v>
      </c>
    </row>
    <row r="3492" spans="1:4" x14ac:dyDescent="0.2">
      <c r="A3492" s="19" t="s">
        <v>159</v>
      </c>
      <c r="B3492" s="19">
        <v>68.599999999999994</v>
      </c>
      <c r="C3492" s="19">
        <v>5</v>
      </c>
      <c r="D3492" s="19">
        <v>6.0024999999999977</v>
      </c>
    </row>
    <row r="3493" spans="1:4" x14ac:dyDescent="0.2">
      <c r="A3493" s="19" t="s">
        <v>159</v>
      </c>
      <c r="B3493" s="19">
        <v>435.50400000000002</v>
      </c>
      <c r="C3493" s="19">
        <v>3</v>
      </c>
      <c r="D3493" s="19">
        <v>48.994199999999921</v>
      </c>
    </row>
    <row r="3494" spans="1:4" x14ac:dyDescent="0.2">
      <c r="A3494" s="19" t="s">
        <v>159</v>
      </c>
      <c r="B3494" s="19">
        <v>11.168000000000001</v>
      </c>
      <c r="C3494" s="19">
        <v>2</v>
      </c>
      <c r="D3494" s="19">
        <v>3.7692000000000001</v>
      </c>
    </row>
    <row r="3495" spans="1:4" x14ac:dyDescent="0.2">
      <c r="A3495" s="19" t="s">
        <v>160</v>
      </c>
      <c r="B3495" s="19">
        <v>72</v>
      </c>
      <c r="C3495" s="19">
        <v>4</v>
      </c>
      <c r="D3495" s="19">
        <v>12.959999999999994</v>
      </c>
    </row>
    <row r="3496" spans="1:4" x14ac:dyDescent="0.2">
      <c r="A3496" s="19" t="s">
        <v>160</v>
      </c>
      <c r="B3496" s="19">
        <v>655.90000000000009</v>
      </c>
      <c r="C3496" s="19">
        <v>5</v>
      </c>
      <c r="D3496" s="19">
        <v>275.47800000000001</v>
      </c>
    </row>
    <row r="3497" spans="1:4" x14ac:dyDescent="0.2">
      <c r="A3497" s="19" t="s">
        <v>160</v>
      </c>
      <c r="B3497" s="19">
        <v>603.91999999999996</v>
      </c>
      <c r="C3497" s="19">
        <v>4</v>
      </c>
      <c r="D3497" s="19">
        <v>181.17599999999993</v>
      </c>
    </row>
    <row r="3498" spans="1:4" x14ac:dyDescent="0.2">
      <c r="A3498" s="19" t="s">
        <v>150</v>
      </c>
      <c r="B3498" s="19">
        <v>513.024</v>
      </c>
      <c r="C3498" s="19">
        <v>2</v>
      </c>
      <c r="D3498" s="19">
        <v>12.82559999999998</v>
      </c>
    </row>
    <row r="3499" spans="1:4" x14ac:dyDescent="0.2">
      <c r="A3499" s="19" t="s">
        <v>150</v>
      </c>
      <c r="B3499" s="19">
        <v>487.91999999999996</v>
      </c>
      <c r="C3499" s="19">
        <v>6</v>
      </c>
      <c r="D3499" s="19">
        <v>136.61759999999998</v>
      </c>
    </row>
    <row r="3500" spans="1:4" x14ac:dyDescent="0.2">
      <c r="A3500" s="19" t="s">
        <v>150</v>
      </c>
      <c r="B3500" s="19">
        <v>15.24</v>
      </c>
      <c r="C3500" s="19">
        <v>5</v>
      </c>
      <c r="D3500" s="19">
        <v>5.3339999999999996</v>
      </c>
    </row>
    <row r="3501" spans="1:4" x14ac:dyDescent="0.2">
      <c r="A3501" s="19" t="s">
        <v>168</v>
      </c>
      <c r="B3501" s="19">
        <v>209.96999999999997</v>
      </c>
      <c r="C3501" s="19">
        <v>3</v>
      </c>
      <c r="D3501" s="19">
        <v>71.389799999999994</v>
      </c>
    </row>
    <row r="3502" spans="1:4" x14ac:dyDescent="0.2">
      <c r="A3502" s="19" t="s">
        <v>168</v>
      </c>
      <c r="B3502" s="19">
        <v>62.94</v>
      </c>
      <c r="C3502" s="19">
        <v>3</v>
      </c>
      <c r="D3502" s="19">
        <v>30.211199999999998</v>
      </c>
    </row>
    <row r="3503" spans="1:4" x14ac:dyDescent="0.2">
      <c r="A3503" s="19" t="s">
        <v>168</v>
      </c>
      <c r="B3503" s="19">
        <v>25.919999999999998</v>
      </c>
      <c r="C3503" s="19">
        <v>9</v>
      </c>
      <c r="D3503" s="19">
        <v>7.7759999999999989</v>
      </c>
    </row>
    <row r="3504" spans="1:4" x14ac:dyDescent="0.2">
      <c r="A3504" s="19" t="s">
        <v>154</v>
      </c>
      <c r="B3504" s="19">
        <v>10.368000000000002</v>
      </c>
      <c r="C3504" s="19">
        <v>2</v>
      </c>
      <c r="D3504" s="19">
        <v>3.6288</v>
      </c>
    </row>
    <row r="3505" spans="1:4" x14ac:dyDescent="0.2">
      <c r="A3505" s="19" t="s">
        <v>154</v>
      </c>
      <c r="B3505" s="19">
        <v>95.736000000000004</v>
      </c>
      <c r="C3505" s="19">
        <v>3</v>
      </c>
      <c r="D3505" s="19">
        <v>20.343900000000001</v>
      </c>
    </row>
    <row r="3506" spans="1:4" x14ac:dyDescent="0.2">
      <c r="A3506" s="19" t="s">
        <v>164</v>
      </c>
      <c r="B3506" s="19">
        <v>900.08</v>
      </c>
      <c r="C3506" s="19">
        <v>4</v>
      </c>
      <c r="D3506" s="19">
        <v>117.0104</v>
      </c>
    </row>
    <row r="3507" spans="1:4" x14ac:dyDescent="0.2">
      <c r="A3507" s="19" t="s">
        <v>154</v>
      </c>
      <c r="B3507" s="19">
        <v>201.584</v>
      </c>
      <c r="C3507" s="19">
        <v>2</v>
      </c>
      <c r="D3507" s="19">
        <v>20.158400000000015</v>
      </c>
    </row>
    <row r="3508" spans="1:4" x14ac:dyDescent="0.2">
      <c r="A3508" s="19" t="s">
        <v>154</v>
      </c>
      <c r="B3508" s="19">
        <v>3.3919999999999995</v>
      </c>
      <c r="C3508" s="19">
        <v>4</v>
      </c>
      <c r="D3508" s="19">
        <v>-5.088000000000001</v>
      </c>
    </row>
    <row r="3509" spans="1:4" x14ac:dyDescent="0.2">
      <c r="A3509" s="19" t="s">
        <v>154</v>
      </c>
      <c r="B3509" s="19">
        <v>193.06559999999999</v>
      </c>
      <c r="C3509" s="19">
        <v>4</v>
      </c>
      <c r="D3509" s="19">
        <v>-19.874399999999994</v>
      </c>
    </row>
    <row r="3510" spans="1:4" x14ac:dyDescent="0.2">
      <c r="A3510" s="19" t="s">
        <v>154</v>
      </c>
      <c r="B3510" s="19">
        <v>15.552000000000003</v>
      </c>
      <c r="C3510" s="19">
        <v>3</v>
      </c>
      <c r="D3510" s="19">
        <v>5.4432</v>
      </c>
    </row>
    <row r="3511" spans="1:4" x14ac:dyDescent="0.2">
      <c r="A3511" s="19" t="s">
        <v>154</v>
      </c>
      <c r="B3511" s="19">
        <v>11.648000000000001</v>
      </c>
      <c r="C3511" s="19">
        <v>2</v>
      </c>
      <c r="D3511" s="19">
        <v>4.0768000000000004</v>
      </c>
    </row>
    <row r="3512" spans="1:4" x14ac:dyDescent="0.2">
      <c r="A3512" s="19" t="s">
        <v>154</v>
      </c>
      <c r="B3512" s="19">
        <v>418.8</v>
      </c>
      <c r="C3512" s="19">
        <v>2</v>
      </c>
      <c r="D3512" s="19">
        <v>-97.71999999999997</v>
      </c>
    </row>
    <row r="3513" spans="1:4" x14ac:dyDescent="0.2">
      <c r="A3513" s="19" t="s">
        <v>154</v>
      </c>
      <c r="B3513" s="19">
        <v>509.48800000000006</v>
      </c>
      <c r="C3513" s="19">
        <v>7</v>
      </c>
      <c r="D3513" s="19">
        <v>-127.37200000000001</v>
      </c>
    </row>
    <row r="3514" spans="1:4" x14ac:dyDescent="0.2">
      <c r="A3514" s="19" t="s">
        <v>159</v>
      </c>
      <c r="B3514" s="19">
        <v>825.17399999999998</v>
      </c>
      <c r="C3514" s="19">
        <v>9</v>
      </c>
      <c r="D3514" s="19">
        <v>-117.88199999999998</v>
      </c>
    </row>
    <row r="3515" spans="1:4" x14ac:dyDescent="0.2">
      <c r="A3515" s="19" t="s">
        <v>159</v>
      </c>
      <c r="B3515" s="19">
        <v>17.760000000000002</v>
      </c>
      <c r="C3515" s="19">
        <v>3</v>
      </c>
      <c r="D3515" s="19">
        <v>5.55</v>
      </c>
    </row>
    <row r="3516" spans="1:4" x14ac:dyDescent="0.2">
      <c r="A3516" s="19" t="s">
        <v>159</v>
      </c>
      <c r="B3516" s="19">
        <v>6.911999999999999</v>
      </c>
      <c r="C3516" s="19">
        <v>3</v>
      </c>
      <c r="D3516" s="19">
        <v>0.86399999999999988</v>
      </c>
    </row>
    <row r="3517" spans="1:4" x14ac:dyDescent="0.2">
      <c r="A3517" s="19" t="s">
        <v>183</v>
      </c>
      <c r="B3517" s="19">
        <v>66.300000000000011</v>
      </c>
      <c r="C3517" s="19">
        <v>3</v>
      </c>
      <c r="D3517" s="19">
        <v>8.6190000000000033</v>
      </c>
    </row>
    <row r="3518" spans="1:4" x14ac:dyDescent="0.2">
      <c r="A3518" s="19" t="s">
        <v>152</v>
      </c>
      <c r="B3518" s="19">
        <v>30.816000000000003</v>
      </c>
      <c r="C3518" s="19">
        <v>9</v>
      </c>
      <c r="D3518" s="19">
        <v>9.6299999999999955</v>
      </c>
    </row>
    <row r="3519" spans="1:4" x14ac:dyDescent="0.2">
      <c r="A3519" s="19" t="s">
        <v>152</v>
      </c>
      <c r="B3519" s="19">
        <v>44.783999999999999</v>
      </c>
      <c r="C3519" s="19">
        <v>2</v>
      </c>
      <c r="D3519" s="19">
        <v>4.4783999999999988</v>
      </c>
    </row>
    <row r="3520" spans="1:4" x14ac:dyDescent="0.2">
      <c r="A3520" s="19" t="s">
        <v>152</v>
      </c>
      <c r="B3520" s="19">
        <v>569.53599999999994</v>
      </c>
      <c r="C3520" s="19">
        <v>4</v>
      </c>
      <c r="D3520" s="19">
        <v>64.072799999999944</v>
      </c>
    </row>
    <row r="3521" spans="1:4" x14ac:dyDescent="0.2">
      <c r="A3521" s="19" t="s">
        <v>159</v>
      </c>
      <c r="B3521" s="19">
        <v>796.42500000000007</v>
      </c>
      <c r="C3521" s="19">
        <v>7</v>
      </c>
      <c r="D3521" s="19">
        <v>-525.6405000000002</v>
      </c>
    </row>
    <row r="3522" spans="1:4" x14ac:dyDescent="0.2">
      <c r="A3522" s="19" t="s">
        <v>150</v>
      </c>
      <c r="B3522" s="19">
        <v>12.832000000000001</v>
      </c>
      <c r="C3522" s="19">
        <v>2</v>
      </c>
      <c r="D3522" s="19">
        <v>4.3307999999999982</v>
      </c>
    </row>
    <row r="3523" spans="1:4" x14ac:dyDescent="0.2">
      <c r="A3523" s="19" t="s">
        <v>172</v>
      </c>
      <c r="B3523" s="19">
        <v>40.46</v>
      </c>
      <c r="C3523" s="19">
        <v>7</v>
      </c>
      <c r="D3523" s="19">
        <v>19.825400000000002</v>
      </c>
    </row>
    <row r="3524" spans="1:4" x14ac:dyDescent="0.2">
      <c r="A3524" s="19" t="s">
        <v>172</v>
      </c>
      <c r="B3524" s="19">
        <v>404.93999999999994</v>
      </c>
      <c r="C3524" s="19">
        <v>3</v>
      </c>
      <c r="D3524" s="19">
        <v>109.33379999999998</v>
      </c>
    </row>
    <row r="3525" spans="1:4" x14ac:dyDescent="0.2">
      <c r="A3525" s="19" t="s">
        <v>150</v>
      </c>
      <c r="B3525" s="19">
        <v>116</v>
      </c>
      <c r="C3525" s="19">
        <v>8</v>
      </c>
      <c r="D3525" s="19">
        <v>29</v>
      </c>
    </row>
    <row r="3526" spans="1:4" x14ac:dyDescent="0.2">
      <c r="A3526" s="19" t="s">
        <v>154</v>
      </c>
      <c r="B3526" s="19">
        <v>657.55200000000013</v>
      </c>
      <c r="C3526" s="19">
        <v>6</v>
      </c>
      <c r="D3526" s="19">
        <v>49.316399999999987</v>
      </c>
    </row>
    <row r="3527" spans="1:4" x14ac:dyDescent="0.2">
      <c r="A3527" s="19" t="s">
        <v>183</v>
      </c>
      <c r="B3527" s="19">
        <v>599.97</v>
      </c>
      <c r="C3527" s="19">
        <v>3</v>
      </c>
      <c r="D3527" s="19">
        <v>257.98710000000005</v>
      </c>
    </row>
    <row r="3528" spans="1:4" x14ac:dyDescent="0.2">
      <c r="A3528" s="19" t="s">
        <v>183</v>
      </c>
      <c r="B3528" s="19">
        <v>38.97</v>
      </c>
      <c r="C3528" s="19">
        <v>3</v>
      </c>
      <c r="D3528" s="19">
        <v>0.77940000000000076</v>
      </c>
    </row>
    <row r="3529" spans="1:4" x14ac:dyDescent="0.2">
      <c r="A3529" s="19" t="s">
        <v>183</v>
      </c>
      <c r="B3529" s="19">
        <v>45.84</v>
      </c>
      <c r="C3529" s="19">
        <v>8</v>
      </c>
      <c r="D3529" s="19">
        <v>22.0032</v>
      </c>
    </row>
    <row r="3530" spans="1:4" x14ac:dyDescent="0.2">
      <c r="A3530" s="19" t="s">
        <v>150</v>
      </c>
      <c r="B3530" s="19">
        <v>38.24</v>
      </c>
      <c r="C3530" s="19">
        <v>4</v>
      </c>
      <c r="D3530" s="19">
        <v>-9.56</v>
      </c>
    </row>
    <row r="3531" spans="1:4" x14ac:dyDescent="0.2">
      <c r="A3531" s="19" t="s">
        <v>151</v>
      </c>
      <c r="B3531" s="19">
        <v>87.168000000000006</v>
      </c>
      <c r="C3531" s="19">
        <v>3</v>
      </c>
      <c r="D3531" s="19">
        <v>10.895999999999987</v>
      </c>
    </row>
    <row r="3532" spans="1:4" x14ac:dyDescent="0.2">
      <c r="A3532" s="19" t="s">
        <v>163</v>
      </c>
      <c r="B3532" s="19">
        <v>21.400000000000002</v>
      </c>
      <c r="C3532" s="19">
        <v>5</v>
      </c>
      <c r="D3532" s="19">
        <v>6.2059999999999977</v>
      </c>
    </row>
    <row r="3533" spans="1:4" x14ac:dyDescent="0.2">
      <c r="A3533" s="19" t="s">
        <v>164</v>
      </c>
      <c r="B3533" s="19">
        <v>54.900000000000006</v>
      </c>
      <c r="C3533" s="19">
        <v>5</v>
      </c>
      <c r="D3533" s="19">
        <v>15.372000000000003</v>
      </c>
    </row>
    <row r="3534" spans="1:4" x14ac:dyDescent="0.2">
      <c r="A3534" s="19" t="s">
        <v>150</v>
      </c>
      <c r="B3534" s="19">
        <v>287.96800000000002</v>
      </c>
      <c r="C3534" s="19">
        <v>4</v>
      </c>
      <c r="D3534" s="19">
        <v>97.189199999999985</v>
      </c>
    </row>
    <row r="3535" spans="1:4" x14ac:dyDescent="0.2">
      <c r="A3535" s="19" t="s">
        <v>150</v>
      </c>
      <c r="B3535" s="19">
        <v>13.12</v>
      </c>
      <c r="C3535" s="19">
        <v>4</v>
      </c>
      <c r="D3535" s="19">
        <v>3.8047999999999984</v>
      </c>
    </row>
    <row r="3536" spans="1:4" x14ac:dyDescent="0.2">
      <c r="A3536" s="19" t="s">
        <v>150</v>
      </c>
      <c r="B3536" s="19">
        <v>10.75</v>
      </c>
      <c r="C3536" s="19">
        <v>5</v>
      </c>
      <c r="D3536" s="19">
        <v>3.547499999999999</v>
      </c>
    </row>
    <row r="3537" spans="1:4" x14ac:dyDescent="0.2">
      <c r="A3537" s="19" t="s">
        <v>150</v>
      </c>
      <c r="B3537" s="19">
        <v>11.62</v>
      </c>
      <c r="C3537" s="19">
        <v>2</v>
      </c>
      <c r="D3537" s="19">
        <v>3.6021999999999998</v>
      </c>
    </row>
    <row r="3538" spans="1:4" x14ac:dyDescent="0.2">
      <c r="A3538" s="19" t="s">
        <v>164</v>
      </c>
      <c r="B3538" s="19">
        <v>40.74</v>
      </c>
      <c r="C3538" s="19">
        <v>3</v>
      </c>
      <c r="D3538" s="19">
        <v>0.4073999999999991</v>
      </c>
    </row>
    <row r="3539" spans="1:4" x14ac:dyDescent="0.2">
      <c r="A3539" s="19" t="s">
        <v>149</v>
      </c>
      <c r="B3539" s="19">
        <v>83.25</v>
      </c>
      <c r="C3539" s="19">
        <v>3</v>
      </c>
      <c r="D3539" s="19">
        <v>14.984999999999992</v>
      </c>
    </row>
    <row r="3540" spans="1:4" x14ac:dyDescent="0.2">
      <c r="A3540" s="19" t="s">
        <v>149</v>
      </c>
      <c r="B3540" s="19">
        <v>9.4499999999999993</v>
      </c>
      <c r="C3540" s="19">
        <v>3</v>
      </c>
      <c r="D3540" s="19">
        <v>4.5359999999999996</v>
      </c>
    </row>
    <row r="3541" spans="1:4" x14ac:dyDescent="0.2">
      <c r="A3541" s="19" t="s">
        <v>149</v>
      </c>
      <c r="B3541" s="19">
        <v>20.65</v>
      </c>
      <c r="C3541" s="19">
        <v>5</v>
      </c>
      <c r="D3541" s="19">
        <v>9.4989999999999988</v>
      </c>
    </row>
    <row r="3542" spans="1:4" x14ac:dyDescent="0.2">
      <c r="A3542" s="19" t="s">
        <v>149</v>
      </c>
      <c r="B3542" s="19">
        <v>45.36</v>
      </c>
      <c r="C3542" s="19">
        <v>7</v>
      </c>
      <c r="D3542" s="19">
        <v>21.772800000000004</v>
      </c>
    </row>
    <row r="3543" spans="1:4" x14ac:dyDescent="0.2">
      <c r="A3543" s="19" t="s">
        <v>173</v>
      </c>
      <c r="B3543" s="19">
        <v>5.3520000000000003</v>
      </c>
      <c r="C3543" s="19">
        <v>3</v>
      </c>
      <c r="D3543" s="19">
        <v>1.6055999999999999</v>
      </c>
    </row>
    <row r="3544" spans="1:4" x14ac:dyDescent="0.2">
      <c r="A3544" s="19" t="s">
        <v>173</v>
      </c>
      <c r="B3544" s="19">
        <v>99.372</v>
      </c>
      <c r="C3544" s="19">
        <v>2</v>
      </c>
      <c r="D3544" s="19">
        <v>-7.0979999999999919</v>
      </c>
    </row>
    <row r="3545" spans="1:4" x14ac:dyDescent="0.2">
      <c r="A3545" s="19" t="s">
        <v>173</v>
      </c>
      <c r="B3545" s="19">
        <v>2.6720000000000002</v>
      </c>
      <c r="C3545" s="19">
        <v>1</v>
      </c>
      <c r="D3545" s="19">
        <v>0.36739999999999962</v>
      </c>
    </row>
    <row r="3546" spans="1:4" x14ac:dyDescent="0.2">
      <c r="A3546" s="19" t="s">
        <v>154</v>
      </c>
      <c r="B3546" s="19">
        <v>28.672000000000004</v>
      </c>
      <c r="C3546" s="19">
        <v>8</v>
      </c>
      <c r="D3546" s="19">
        <v>10.393600000000001</v>
      </c>
    </row>
    <row r="3547" spans="1:4" x14ac:dyDescent="0.2">
      <c r="A3547" s="19" t="s">
        <v>154</v>
      </c>
      <c r="B3547" s="19">
        <v>29.311999999999994</v>
      </c>
      <c r="C3547" s="19">
        <v>8</v>
      </c>
      <c r="D3547" s="19">
        <v>-74.74560000000001</v>
      </c>
    </row>
    <row r="3548" spans="1:4" x14ac:dyDescent="0.2">
      <c r="A3548" s="19" t="s">
        <v>149</v>
      </c>
      <c r="B3548" s="19">
        <v>105.98</v>
      </c>
      <c r="C3548" s="19">
        <v>7</v>
      </c>
      <c r="D3548" s="19">
        <v>4.2391999999999932</v>
      </c>
    </row>
    <row r="3549" spans="1:4" x14ac:dyDescent="0.2">
      <c r="A3549" s="19" t="s">
        <v>149</v>
      </c>
      <c r="B3549" s="19">
        <v>35.06</v>
      </c>
      <c r="C3549" s="19">
        <v>2</v>
      </c>
      <c r="D3549" s="19">
        <v>10.517999999999997</v>
      </c>
    </row>
    <row r="3550" spans="1:4" x14ac:dyDescent="0.2">
      <c r="A3550" s="19" t="s">
        <v>149</v>
      </c>
      <c r="B3550" s="19">
        <v>33.94</v>
      </c>
      <c r="C3550" s="19">
        <v>1</v>
      </c>
      <c r="D3550" s="19">
        <v>9.1637999999999984</v>
      </c>
    </row>
    <row r="3551" spans="1:4" x14ac:dyDescent="0.2">
      <c r="A3551" s="19" t="s">
        <v>149</v>
      </c>
      <c r="B3551" s="19">
        <v>30</v>
      </c>
      <c r="C3551" s="19">
        <v>8</v>
      </c>
      <c r="D3551" s="19">
        <v>14.399999999999999</v>
      </c>
    </row>
    <row r="3552" spans="1:4" x14ac:dyDescent="0.2">
      <c r="A3552" s="19" t="s">
        <v>159</v>
      </c>
      <c r="B3552" s="19">
        <v>45.527999999999999</v>
      </c>
      <c r="C3552" s="19">
        <v>3</v>
      </c>
      <c r="D3552" s="19">
        <v>15.934799999999997</v>
      </c>
    </row>
    <row r="3553" spans="1:4" x14ac:dyDescent="0.2">
      <c r="A3553" s="19" t="s">
        <v>159</v>
      </c>
      <c r="B3553" s="19">
        <v>844.11599999999987</v>
      </c>
      <c r="C3553" s="19">
        <v>6</v>
      </c>
      <c r="D3553" s="19">
        <v>-36.176400000000001</v>
      </c>
    </row>
    <row r="3554" spans="1:4" x14ac:dyDescent="0.2">
      <c r="A3554" s="19" t="s">
        <v>159</v>
      </c>
      <c r="B3554" s="19">
        <v>812.73599999999999</v>
      </c>
      <c r="C3554" s="19">
        <v>8</v>
      </c>
      <c r="D3554" s="19">
        <v>60.955199999999962</v>
      </c>
    </row>
    <row r="3555" spans="1:4" x14ac:dyDescent="0.2">
      <c r="A3555" s="19" t="s">
        <v>158</v>
      </c>
      <c r="B3555" s="19">
        <v>7.4760000000000018</v>
      </c>
      <c r="C3555" s="19">
        <v>1</v>
      </c>
      <c r="D3555" s="19">
        <v>-5.9807999999999986</v>
      </c>
    </row>
    <row r="3556" spans="1:4" x14ac:dyDescent="0.2">
      <c r="A3556" s="19" t="s">
        <v>150</v>
      </c>
      <c r="B3556" s="19">
        <v>330.4</v>
      </c>
      <c r="C3556" s="19">
        <v>2</v>
      </c>
      <c r="D3556" s="19">
        <v>85.903999999999996</v>
      </c>
    </row>
    <row r="3557" spans="1:4" x14ac:dyDescent="0.2">
      <c r="A3557" s="19" t="s">
        <v>150</v>
      </c>
      <c r="B3557" s="19">
        <v>604.75199999999995</v>
      </c>
      <c r="C3557" s="19">
        <v>6</v>
      </c>
      <c r="D3557" s="19">
        <v>37.797000000000025</v>
      </c>
    </row>
    <row r="3558" spans="1:4" x14ac:dyDescent="0.2">
      <c r="A3558" s="19" t="s">
        <v>150</v>
      </c>
      <c r="B3558" s="19">
        <v>45.36</v>
      </c>
      <c r="C3558" s="19">
        <v>7</v>
      </c>
      <c r="D3558" s="19">
        <v>21.772800000000004</v>
      </c>
    </row>
    <row r="3559" spans="1:4" x14ac:dyDescent="0.2">
      <c r="A3559" s="19" t="s">
        <v>150</v>
      </c>
      <c r="B3559" s="19">
        <v>10.128</v>
      </c>
      <c r="C3559" s="19">
        <v>2</v>
      </c>
      <c r="D3559" s="19">
        <v>3.6714000000000002</v>
      </c>
    </row>
    <row r="3560" spans="1:4" x14ac:dyDescent="0.2">
      <c r="A3560" s="19" t="s">
        <v>150</v>
      </c>
      <c r="B3560" s="19">
        <v>21.792000000000002</v>
      </c>
      <c r="C3560" s="19">
        <v>4</v>
      </c>
      <c r="D3560" s="19">
        <v>7.6271999999999984</v>
      </c>
    </row>
    <row r="3561" spans="1:4" x14ac:dyDescent="0.2">
      <c r="A3561" s="19" t="s">
        <v>150</v>
      </c>
      <c r="B3561" s="19">
        <v>439.8</v>
      </c>
      <c r="C3561" s="19">
        <v>4</v>
      </c>
      <c r="D3561" s="19">
        <v>145.13400000000001</v>
      </c>
    </row>
    <row r="3562" spans="1:4" x14ac:dyDescent="0.2">
      <c r="A3562" s="19" t="s">
        <v>173</v>
      </c>
      <c r="B3562" s="19">
        <v>8.2560000000000002</v>
      </c>
      <c r="C3562" s="19">
        <v>4</v>
      </c>
      <c r="D3562" s="19">
        <v>0.61920000000000019</v>
      </c>
    </row>
    <row r="3563" spans="1:4" x14ac:dyDescent="0.2">
      <c r="A3563" s="19" t="s">
        <v>173</v>
      </c>
      <c r="B3563" s="19">
        <v>25.560000000000002</v>
      </c>
      <c r="C3563" s="19">
        <v>5</v>
      </c>
      <c r="D3563" s="19">
        <v>-20.448</v>
      </c>
    </row>
    <row r="3564" spans="1:4" x14ac:dyDescent="0.2">
      <c r="A3564" s="19" t="s">
        <v>173</v>
      </c>
      <c r="B3564" s="19">
        <v>4.3680000000000012</v>
      </c>
      <c r="C3564" s="19">
        <v>2</v>
      </c>
      <c r="D3564" s="19">
        <v>-3.0575999999999999</v>
      </c>
    </row>
    <row r="3565" spans="1:4" x14ac:dyDescent="0.2">
      <c r="A3565" s="19" t="s">
        <v>173</v>
      </c>
      <c r="B3565" s="19">
        <v>11.520000000000001</v>
      </c>
      <c r="C3565" s="19">
        <v>4</v>
      </c>
      <c r="D3565" s="19">
        <v>3.7439999999999993</v>
      </c>
    </row>
    <row r="3566" spans="1:4" x14ac:dyDescent="0.2">
      <c r="A3566" s="19" t="s">
        <v>150</v>
      </c>
      <c r="B3566" s="19">
        <v>12.96</v>
      </c>
      <c r="C3566" s="19">
        <v>2</v>
      </c>
      <c r="D3566" s="19">
        <v>6.2208000000000006</v>
      </c>
    </row>
    <row r="3567" spans="1:4" x14ac:dyDescent="0.2">
      <c r="A3567" s="19" t="s">
        <v>150</v>
      </c>
      <c r="B3567" s="19">
        <v>3.96</v>
      </c>
      <c r="C3567" s="19">
        <v>2</v>
      </c>
      <c r="D3567" s="19">
        <v>7.9200000000000159E-2</v>
      </c>
    </row>
    <row r="3568" spans="1:4" x14ac:dyDescent="0.2">
      <c r="A3568" s="19" t="s">
        <v>174</v>
      </c>
      <c r="B3568" s="19">
        <v>1577.94</v>
      </c>
      <c r="C3568" s="19">
        <v>3</v>
      </c>
      <c r="D3568" s="19">
        <v>757.41120000000001</v>
      </c>
    </row>
    <row r="3569" spans="1:4" x14ac:dyDescent="0.2">
      <c r="A3569" s="19" t="s">
        <v>154</v>
      </c>
      <c r="B3569" s="19">
        <v>15.008000000000003</v>
      </c>
      <c r="C3569" s="19">
        <v>4</v>
      </c>
      <c r="D3569" s="19">
        <v>-12.006399999999999</v>
      </c>
    </row>
    <row r="3570" spans="1:4" x14ac:dyDescent="0.2">
      <c r="A3570" s="19" t="s">
        <v>153</v>
      </c>
      <c r="B3570" s="19">
        <v>59.98</v>
      </c>
      <c r="C3570" s="19">
        <v>2</v>
      </c>
      <c r="D3570" s="19">
        <v>26.391200000000005</v>
      </c>
    </row>
    <row r="3571" spans="1:4" x14ac:dyDescent="0.2">
      <c r="A3571" s="19" t="s">
        <v>153</v>
      </c>
      <c r="B3571" s="19">
        <v>2395.2000000000003</v>
      </c>
      <c r="C3571" s="19">
        <v>6</v>
      </c>
      <c r="D3571" s="19">
        <v>209.58000000000004</v>
      </c>
    </row>
    <row r="3572" spans="1:4" x14ac:dyDescent="0.2">
      <c r="A3572" s="19" t="s">
        <v>153</v>
      </c>
      <c r="B3572" s="19">
        <v>1687.8</v>
      </c>
      <c r="C3572" s="19">
        <v>4</v>
      </c>
      <c r="D3572" s="19">
        <v>742.63200000000006</v>
      </c>
    </row>
    <row r="3573" spans="1:4" x14ac:dyDescent="0.2">
      <c r="A3573" s="19" t="s">
        <v>153</v>
      </c>
      <c r="B3573" s="19">
        <v>7.9920000000000009</v>
      </c>
      <c r="C3573" s="19">
        <v>1</v>
      </c>
      <c r="D3573" s="19">
        <v>2.6972999999999994</v>
      </c>
    </row>
    <row r="3574" spans="1:4" x14ac:dyDescent="0.2">
      <c r="A3574" s="19" t="s">
        <v>154</v>
      </c>
      <c r="B3574" s="19">
        <v>5.1840000000000011</v>
      </c>
      <c r="C3574" s="19">
        <v>1</v>
      </c>
      <c r="D3574" s="19">
        <v>1.8144</v>
      </c>
    </row>
    <row r="3575" spans="1:4" x14ac:dyDescent="0.2">
      <c r="A3575" s="19" t="s">
        <v>164</v>
      </c>
      <c r="B3575" s="19">
        <v>11.68</v>
      </c>
      <c r="C3575" s="19">
        <v>2</v>
      </c>
      <c r="D3575" s="19">
        <v>5.4895999999999994</v>
      </c>
    </row>
    <row r="3576" spans="1:4" x14ac:dyDescent="0.2">
      <c r="A3576" s="19" t="s">
        <v>164</v>
      </c>
      <c r="B3576" s="19">
        <v>104.80000000000001</v>
      </c>
      <c r="C3576" s="19">
        <v>10</v>
      </c>
      <c r="D3576" s="19">
        <v>26.200000000000003</v>
      </c>
    </row>
    <row r="3577" spans="1:4" x14ac:dyDescent="0.2">
      <c r="A3577" s="19" t="s">
        <v>151</v>
      </c>
      <c r="B3577" s="19">
        <v>14.496000000000002</v>
      </c>
      <c r="C3577" s="19">
        <v>3</v>
      </c>
      <c r="D3577" s="19">
        <v>4.8924000000000003</v>
      </c>
    </row>
    <row r="3578" spans="1:4" x14ac:dyDescent="0.2">
      <c r="A3578" s="19" t="s">
        <v>150</v>
      </c>
      <c r="B3578" s="19">
        <v>4.7840000000000007</v>
      </c>
      <c r="C3578" s="19">
        <v>1</v>
      </c>
      <c r="D3578" s="19">
        <v>1.5547999999999997</v>
      </c>
    </row>
    <row r="3579" spans="1:4" x14ac:dyDescent="0.2">
      <c r="A3579" s="19" t="s">
        <v>150</v>
      </c>
      <c r="B3579" s="19">
        <v>4.7300000000000004</v>
      </c>
      <c r="C3579" s="19">
        <v>1</v>
      </c>
      <c r="D3579" s="19">
        <v>2.3177000000000003</v>
      </c>
    </row>
    <row r="3580" spans="1:4" x14ac:dyDescent="0.2">
      <c r="A3580" s="19" t="s">
        <v>183</v>
      </c>
      <c r="B3580" s="19">
        <v>7.89</v>
      </c>
      <c r="C3580" s="19">
        <v>1</v>
      </c>
      <c r="D3580" s="19">
        <v>0.31559999999999899</v>
      </c>
    </row>
    <row r="3581" spans="1:4" x14ac:dyDescent="0.2">
      <c r="A3581" s="19" t="s">
        <v>183</v>
      </c>
      <c r="B3581" s="19">
        <v>65.5</v>
      </c>
      <c r="C3581" s="19">
        <v>5</v>
      </c>
      <c r="D3581" s="19">
        <v>32.094999999999999</v>
      </c>
    </row>
    <row r="3582" spans="1:4" x14ac:dyDescent="0.2">
      <c r="A3582" s="19" t="s">
        <v>183</v>
      </c>
      <c r="B3582" s="19">
        <v>2430.08</v>
      </c>
      <c r="C3582" s="19">
        <v>8</v>
      </c>
      <c r="D3582" s="19">
        <v>388.81280000000015</v>
      </c>
    </row>
    <row r="3583" spans="1:4" x14ac:dyDescent="0.2">
      <c r="A3583" s="19" t="s">
        <v>157</v>
      </c>
      <c r="B3583" s="19">
        <v>104.85</v>
      </c>
      <c r="C3583" s="19">
        <v>1</v>
      </c>
      <c r="D3583" s="19">
        <v>50.327999999999996</v>
      </c>
    </row>
    <row r="3584" spans="1:4" x14ac:dyDescent="0.2">
      <c r="A3584" s="19" t="s">
        <v>161</v>
      </c>
      <c r="B3584" s="19">
        <v>3.9</v>
      </c>
      <c r="C3584" s="19">
        <v>2</v>
      </c>
      <c r="D3584" s="19">
        <v>1.5209999999999999</v>
      </c>
    </row>
    <row r="3585" spans="1:4" x14ac:dyDescent="0.2">
      <c r="A3585" s="19" t="s">
        <v>161</v>
      </c>
      <c r="B3585" s="19">
        <v>801.96</v>
      </c>
      <c r="C3585" s="19">
        <v>2</v>
      </c>
      <c r="D3585" s="19">
        <v>200.49</v>
      </c>
    </row>
    <row r="3586" spans="1:4" x14ac:dyDescent="0.2">
      <c r="A3586" s="19" t="s">
        <v>161</v>
      </c>
      <c r="B3586" s="19">
        <v>191.96</v>
      </c>
      <c r="C3586" s="19">
        <v>2</v>
      </c>
      <c r="D3586" s="19">
        <v>32.633199999999988</v>
      </c>
    </row>
    <row r="3587" spans="1:4" x14ac:dyDescent="0.2">
      <c r="A3587" s="19" t="s">
        <v>161</v>
      </c>
      <c r="B3587" s="19">
        <v>2.61</v>
      </c>
      <c r="C3587" s="19">
        <v>1</v>
      </c>
      <c r="D3587" s="19">
        <v>1.2005999999999999</v>
      </c>
    </row>
    <row r="3588" spans="1:4" x14ac:dyDescent="0.2">
      <c r="A3588" s="19" t="s">
        <v>150</v>
      </c>
      <c r="B3588" s="19">
        <v>5.96</v>
      </c>
      <c r="C3588" s="19">
        <v>2</v>
      </c>
      <c r="D3588" s="19">
        <v>1.6688000000000001</v>
      </c>
    </row>
    <row r="3589" spans="1:4" x14ac:dyDescent="0.2">
      <c r="A3589" s="19" t="s">
        <v>173</v>
      </c>
      <c r="B3589" s="19">
        <v>1169.694</v>
      </c>
      <c r="C3589" s="19">
        <v>3</v>
      </c>
      <c r="D3589" s="19">
        <v>-253.43369999999993</v>
      </c>
    </row>
    <row r="3590" spans="1:4" x14ac:dyDescent="0.2">
      <c r="A3590" s="19" t="s">
        <v>177</v>
      </c>
      <c r="B3590" s="19">
        <v>1665.62</v>
      </c>
      <c r="C3590" s="19">
        <v>2</v>
      </c>
      <c r="D3590" s="19">
        <v>33.312400000000025</v>
      </c>
    </row>
    <row r="3591" spans="1:4" x14ac:dyDescent="0.2">
      <c r="A3591" s="19" t="s">
        <v>149</v>
      </c>
      <c r="B3591" s="19">
        <v>2.88</v>
      </c>
      <c r="C3591" s="19">
        <v>1</v>
      </c>
      <c r="D3591" s="19">
        <v>1.4112</v>
      </c>
    </row>
    <row r="3592" spans="1:4" x14ac:dyDescent="0.2">
      <c r="A3592" s="19" t="s">
        <v>149</v>
      </c>
      <c r="B3592" s="19">
        <v>1443.96</v>
      </c>
      <c r="C3592" s="19">
        <v>12</v>
      </c>
      <c r="D3592" s="19">
        <v>375.42959999999994</v>
      </c>
    </row>
    <row r="3593" spans="1:4" x14ac:dyDescent="0.2">
      <c r="A3593" s="19" t="s">
        <v>154</v>
      </c>
      <c r="B3593" s="19">
        <v>2.92</v>
      </c>
      <c r="C3593" s="19">
        <v>1</v>
      </c>
      <c r="D3593" s="19">
        <v>0.36499999999999977</v>
      </c>
    </row>
    <row r="3594" spans="1:4" x14ac:dyDescent="0.2">
      <c r="A3594" s="19" t="s">
        <v>164</v>
      </c>
      <c r="B3594" s="19">
        <v>465.18</v>
      </c>
      <c r="C3594" s="19">
        <v>3</v>
      </c>
      <c r="D3594" s="19">
        <v>120.94680000000001</v>
      </c>
    </row>
    <row r="3595" spans="1:4" x14ac:dyDescent="0.2">
      <c r="A3595" s="19" t="s">
        <v>173</v>
      </c>
      <c r="B3595" s="19">
        <v>22.428000000000004</v>
      </c>
      <c r="C3595" s="19">
        <v>3</v>
      </c>
      <c r="D3595" s="19">
        <v>-17.942399999999992</v>
      </c>
    </row>
    <row r="3596" spans="1:4" x14ac:dyDescent="0.2">
      <c r="A3596" s="19" t="s">
        <v>173</v>
      </c>
      <c r="B3596" s="19">
        <v>37.52000000000001</v>
      </c>
      <c r="C3596" s="19">
        <v>5</v>
      </c>
      <c r="D3596" s="19">
        <v>3.7519999999999989</v>
      </c>
    </row>
    <row r="3597" spans="1:4" x14ac:dyDescent="0.2">
      <c r="A3597" s="19" t="s">
        <v>158</v>
      </c>
      <c r="B3597" s="19">
        <v>2.6240000000000001</v>
      </c>
      <c r="C3597" s="19">
        <v>1</v>
      </c>
      <c r="D3597" s="19">
        <v>0.42639999999999978</v>
      </c>
    </row>
    <row r="3598" spans="1:4" x14ac:dyDescent="0.2">
      <c r="A3598" s="19" t="s">
        <v>158</v>
      </c>
      <c r="B3598" s="19">
        <v>15.552000000000003</v>
      </c>
      <c r="C3598" s="19">
        <v>3</v>
      </c>
      <c r="D3598" s="19">
        <v>5.4432</v>
      </c>
    </row>
    <row r="3599" spans="1:4" x14ac:dyDescent="0.2">
      <c r="A3599" s="19" t="s">
        <v>158</v>
      </c>
      <c r="B3599" s="19">
        <v>64.704000000000008</v>
      </c>
      <c r="C3599" s="19">
        <v>6</v>
      </c>
      <c r="D3599" s="19">
        <v>-4.852800000000002</v>
      </c>
    </row>
    <row r="3600" spans="1:4" x14ac:dyDescent="0.2">
      <c r="A3600" s="19" t="s">
        <v>158</v>
      </c>
      <c r="B3600" s="19">
        <v>17.472000000000001</v>
      </c>
      <c r="C3600" s="19">
        <v>3</v>
      </c>
      <c r="D3600" s="19">
        <v>5.023200000000001</v>
      </c>
    </row>
    <row r="3601" spans="1:4" x14ac:dyDescent="0.2">
      <c r="A3601" s="19" t="s">
        <v>158</v>
      </c>
      <c r="B3601" s="19">
        <v>135.51599999999999</v>
      </c>
      <c r="C3601" s="19">
        <v>1</v>
      </c>
      <c r="D3601" s="19">
        <v>-31.620400000000004</v>
      </c>
    </row>
    <row r="3602" spans="1:4" x14ac:dyDescent="0.2">
      <c r="A3602" s="19" t="s">
        <v>171</v>
      </c>
      <c r="B3602" s="19">
        <v>431.92800000000005</v>
      </c>
      <c r="C3602" s="19">
        <v>9</v>
      </c>
      <c r="D3602" s="19">
        <v>64.789199999999951</v>
      </c>
    </row>
    <row r="3603" spans="1:4" x14ac:dyDescent="0.2">
      <c r="A3603" s="19" t="s">
        <v>158</v>
      </c>
      <c r="B3603" s="19">
        <v>12.448</v>
      </c>
      <c r="C3603" s="19">
        <v>2</v>
      </c>
      <c r="D3603" s="19">
        <v>3.8899999999999988</v>
      </c>
    </row>
    <row r="3604" spans="1:4" x14ac:dyDescent="0.2">
      <c r="A3604" s="19" t="s">
        <v>158</v>
      </c>
      <c r="B3604" s="19">
        <v>657.93</v>
      </c>
      <c r="C3604" s="19">
        <v>5</v>
      </c>
      <c r="D3604" s="19">
        <v>-93.989999999999952</v>
      </c>
    </row>
    <row r="3605" spans="1:4" x14ac:dyDescent="0.2">
      <c r="A3605" s="19" t="s">
        <v>187</v>
      </c>
      <c r="B3605" s="19">
        <v>277.39999999999998</v>
      </c>
      <c r="C3605" s="19">
        <v>5</v>
      </c>
      <c r="D3605" s="19">
        <v>133.15199999999999</v>
      </c>
    </row>
    <row r="3606" spans="1:4" x14ac:dyDescent="0.2">
      <c r="A3606" s="19" t="s">
        <v>187</v>
      </c>
      <c r="B3606" s="19">
        <v>25.16</v>
      </c>
      <c r="C3606" s="19">
        <v>2</v>
      </c>
      <c r="D3606" s="19">
        <v>8.5543999999999976</v>
      </c>
    </row>
    <row r="3607" spans="1:4" x14ac:dyDescent="0.2">
      <c r="A3607" s="19" t="s">
        <v>187</v>
      </c>
      <c r="B3607" s="19">
        <v>91.92</v>
      </c>
      <c r="C3607" s="19">
        <v>4</v>
      </c>
      <c r="D3607" s="19">
        <v>31.252800000000001</v>
      </c>
    </row>
    <row r="3608" spans="1:4" x14ac:dyDescent="0.2">
      <c r="A3608" s="19" t="s">
        <v>164</v>
      </c>
      <c r="B3608" s="19">
        <v>29.339999999999996</v>
      </c>
      <c r="C3608" s="19">
        <v>3</v>
      </c>
      <c r="D3608" s="19">
        <v>13.496399999999998</v>
      </c>
    </row>
    <row r="3609" spans="1:4" x14ac:dyDescent="0.2">
      <c r="A3609" s="19" t="s">
        <v>164</v>
      </c>
      <c r="B3609" s="19">
        <v>139.44</v>
      </c>
      <c r="C3609" s="19">
        <v>3</v>
      </c>
      <c r="D3609" s="19">
        <v>47.060999999999993</v>
      </c>
    </row>
    <row r="3610" spans="1:4" x14ac:dyDescent="0.2">
      <c r="A3610" s="19" t="s">
        <v>173</v>
      </c>
      <c r="B3610" s="19">
        <v>6.911999999999999</v>
      </c>
      <c r="C3610" s="19">
        <v>3</v>
      </c>
      <c r="D3610" s="19">
        <v>2.5056000000000003</v>
      </c>
    </row>
    <row r="3611" spans="1:4" x14ac:dyDescent="0.2">
      <c r="A3611" s="19" t="s">
        <v>173</v>
      </c>
      <c r="B3611" s="19">
        <v>27.096</v>
      </c>
      <c r="C3611" s="19">
        <v>3</v>
      </c>
      <c r="D3611" s="19">
        <v>2.0321999999999987</v>
      </c>
    </row>
    <row r="3612" spans="1:4" x14ac:dyDescent="0.2">
      <c r="A3612" s="19" t="s">
        <v>173</v>
      </c>
      <c r="B3612" s="19">
        <v>177.56800000000001</v>
      </c>
      <c r="C3612" s="19">
        <v>2</v>
      </c>
      <c r="D3612" s="19">
        <v>-37.733199999999989</v>
      </c>
    </row>
    <row r="3613" spans="1:4" x14ac:dyDescent="0.2">
      <c r="A3613" s="19" t="s">
        <v>154</v>
      </c>
      <c r="B3613" s="19">
        <v>58.415999999999997</v>
      </c>
      <c r="C3613" s="19">
        <v>2</v>
      </c>
      <c r="D3613" s="19">
        <v>16.794600000000003</v>
      </c>
    </row>
    <row r="3614" spans="1:4" x14ac:dyDescent="0.2">
      <c r="A3614" s="19" t="s">
        <v>158</v>
      </c>
      <c r="B3614" s="19">
        <v>16.448</v>
      </c>
      <c r="C3614" s="19">
        <v>2</v>
      </c>
      <c r="D3614" s="19">
        <v>5.5511999999999979</v>
      </c>
    </row>
    <row r="3615" spans="1:4" x14ac:dyDescent="0.2">
      <c r="A3615" s="19" t="s">
        <v>158</v>
      </c>
      <c r="B3615" s="19">
        <v>36.783999999999999</v>
      </c>
      <c r="C3615" s="19">
        <v>2</v>
      </c>
      <c r="D3615" s="19">
        <v>10.5754</v>
      </c>
    </row>
    <row r="3616" spans="1:4" x14ac:dyDescent="0.2">
      <c r="A3616" s="19" t="s">
        <v>154</v>
      </c>
      <c r="B3616" s="19">
        <v>718.11599999999987</v>
      </c>
      <c r="C3616" s="19">
        <v>6</v>
      </c>
      <c r="D3616" s="19">
        <v>-71.811599999999999</v>
      </c>
    </row>
    <row r="3617" spans="1:4" x14ac:dyDescent="0.2">
      <c r="A3617" s="19" t="s">
        <v>154</v>
      </c>
      <c r="B3617" s="19">
        <v>31.776</v>
      </c>
      <c r="C3617" s="19">
        <v>4</v>
      </c>
      <c r="D3617" s="19">
        <v>8.7384000000000022</v>
      </c>
    </row>
    <row r="3618" spans="1:4" x14ac:dyDescent="0.2">
      <c r="A3618" s="19" t="s">
        <v>158</v>
      </c>
      <c r="B3618" s="19">
        <v>9.5550000000000015</v>
      </c>
      <c r="C3618" s="19">
        <v>5</v>
      </c>
      <c r="D3618" s="19">
        <v>-7.3254999999999981</v>
      </c>
    </row>
    <row r="3619" spans="1:4" x14ac:dyDescent="0.2">
      <c r="A3619" s="19" t="s">
        <v>150</v>
      </c>
      <c r="B3619" s="19">
        <v>487.98400000000004</v>
      </c>
      <c r="C3619" s="19">
        <v>2</v>
      </c>
      <c r="D3619" s="19">
        <v>152.49499999999998</v>
      </c>
    </row>
    <row r="3620" spans="1:4" x14ac:dyDescent="0.2">
      <c r="A3620" s="19" t="s">
        <v>150</v>
      </c>
      <c r="B3620" s="19">
        <v>5.5600000000000005</v>
      </c>
      <c r="C3620" s="19">
        <v>1</v>
      </c>
      <c r="D3620" s="19">
        <v>1.7374999999999998</v>
      </c>
    </row>
    <row r="3621" spans="1:4" x14ac:dyDescent="0.2">
      <c r="A3621" s="19" t="s">
        <v>150</v>
      </c>
      <c r="B3621" s="19">
        <v>217.85</v>
      </c>
      <c r="C3621" s="19">
        <v>5</v>
      </c>
      <c r="D3621" s="19">
        <v>65.35499999999999</v>
      </c>
    </row>
    <row r="3622" spans="1:4" x14ac:dyDescent="0.2">
      <c r="A3622" s="19" t="s">
        <v>167</v>
      </c>
      <c r="B3622" s="19">
        <v>40.775999999999996</v>
      </c>
      <c r="C3622" s="19">
        <v>3</v>
      </c>
      <c r="D3622" s="19">
        <v>4.5872999999999937</v>
      </c>
    </row>
    <row r="3623" spans="1:4" x14ac:dyDescent="0.2">
      <c r="A3623" s="19" t="s">
        <v>167</v>
      </c>
      <c r="B3623" s="19">
        <v>63.936000000000007</v>
      </c>
      <c r="C3623" s="19">
        <v>8</v>
      </c>
      <c r="D3623" s="19">
        <v>5.5944000000000003</v>
      </c>
    </row>
    <row r="3624" spans="1:4" x14ac:dyDescent="0.2">
      <c r="A3624" s="19" t="s">
        <v>101</v>
      </c>
      <c r="B3624" s="19">
        <v>142.4</v>
      </c>
      <c r="C3624" s="19">
        <v>5</v>
      </c>
      <c r="D3624" s="19">
        <v>52.688000000000002</v>
      </c>
    </row>
    <row r="3625" spans="1:4" x14ac:dyDescent="0.2">
      <c r="A3625" s="19" t="s">
        <v>101</v>
      </c>
      <c r="B3625" s="19">
        <v>7.16</v>
      </c>
      <c r="C3625" s="19">
        <v>2</v>
      </c>
      <c r="D3625" s="19">
        <v>3.4367999999999999</v>
      </c>
    </row>
    <row r="3626" spans="1:4" x14ac:dyDescent="0.2">
      <c r="A3626" s="19" t="s">
        <v>150</v>
      </c>
      <c r="B3626" s="19">
        <v>681.40800000000013</v>
      </c>
      <c r="C3626" s="19">
        <v>12</v>
      </c>
      <c r="D3626" s="19">
        <v>42.588000000000022</v>
      </c>
    </row>
    <row r="3627" spans="1:4" x14ac:dyDescent="0.2">
      <c r="A3627" s="19" t="s">
        <v>150</v>
      </c>
      <c r="B3627" s="19">
        <v>3.52</v>
      </c>
      <c r="C3627" s="19">
        <v>2</v>
      </c>
      <c r="D3627" s="19">
        <v>1.0207999999999999</v>
      </c>
    </row>
    <row r="3628" spans="1:4" x14ac:dyDescent="0.2">
      <c r="A3628" s="19" t="s">
        <v>150</v>
      </c>
      <c r="B3628" s="19">
        <v>5.58</v>
      </c>
      <c r="C3628" s="19">
        <v>1</v>
      </c>
      <c r="D3628" s="19">
        <v>1.3949999999999996</v>
      </c>
    </row>
    <row r="3629" spans="1:4" x14ac:dyDescent="0.2">
      <c r="A3629" s="19" t="s">
        <v>150</v>
      </c>
      <c r="B3629" s="19">
        <v>36.32</v>
      </c>
      <c r="C3629" s="19">
        <v>1</v>
      </c>
      <c r="D3629" s="19">
        <v>10.895999999999997</v>
      </c>
    </row>
    <row r="3630" spans="1:4" x14ac:dyDescent="0.2">
      <c r="A3630" s="19" t="s">
        <v>153</v>
      </c>
      <c r="B3630" s="19">
        <v>2060.7440000000001</v>
      </c>
      <c r="C3630" s="19">
        <v>7</v>
      </c>
      <c r="D3630" s="19">
        <v>643.98249999999996</v>
      </c>
    </row>
    <row r="3631" spans="1:4" x14ac:dyDescent="0.2">
      <c r="A3631" s="19" t="s">
        <v>173</v>
      </c>
      <c r="B3631" s="19">
        <v>52.272000000000006</v>
      </c>
      <c r="C3631" s="19">
        <v>3</v>
      </c>
      <c r="D3631" s="19">
        <v>9.8009999999999984</v>
      </c>
    </row>
    <row r="3632" spans="1:4" x14ac:dyDescent="0.2">
      <c r="A3632" s="19" t="s">
        <v>173</v>
      </c>
      <c r="B3632" s="19">
        <v>213.13600000000002</v>
      </c>
      <c r="C3632" s="19">
        <v>7</v>
      </c>
      <c r="D3632" s="19">
        <v>23.977799999999988</v>
      </c>
    </row>
    <row r="3633" spans="1:4" x14ac:dyDescent="0.2">
      <c r="A3633" s="19" t="s">
        <v>150</v>
      </c>
      <c r="B3633" s="19">
        <v>69.52</v>
      </c>
      <c r="C3633" s="19">
        <v>2</v>
      </c>
      <c r="D3633" s="19">
        <v>19.465600000000002</v>
      </c>
    </row>
    <row r="3634" spans="1:4" x14ac:dyDescent="0.2">
      <c r="A3634" s="19" t="s">
        <v>150</v>
      </c>
      <c r="B3634" s="19">
        <v>763.44</v>
      </c>
      <c r="C3634" s="19">
        <v>8</v>
      </c>
      <c r="D3634" s="19">
        <v>45.80639999999994</v>
      </c>
    </row>
    <row r="3635" spans="1:4" x14ac:dyDescent="0.2">
      <c r="A3635" s="19" t="s">
        <v>173</v>
      </c>
      <c r="B3635" s="19">
        <v>9.2159999999999993</v>
      </c>
      <c r="C3635" s="19">
        <v>4</v>
      </c>
      <c r="D3635" s="19">
        <v>3.3408000000000002</v>
      </c>
    </row>
    <row r="3636" spans="1:4" x14ac:dyDescent="0.2">
      <c r="A3636" s="19" t="s">
        <v>173</v>
      </c>
      <c r="B3636" s="19">
        <v>41.957999999999998</v>
      </c>
      <c r="C3636" s="19">
        <v>7</v>
      </c>
      <c r="D3636" s="19">
        <v>-9.7901999999999987</v>
      </c>
    </row>
    <row r="3637" spans="1:4" x14ac:dyDescent="0.2">
      <c r="A3637" s="19" t="s">
        <v>173</v>
      </c>
      <c r="B3637" s="19">
        <v>89.567999999999998</v>
      </c>
      <c r="C3637" s="19">
        <v>2</v>
      </c>
      <c r="D3637" s="19">
        <v>32.468400000000003</v>
      </c>
    </row>
    <row r="3638" spans="1:4" x14ac:dyDescent="0.2">
      <c r="A3638" s="19" t="s">
        <v>173</v>
      </c>
      <c r="B3638" s="19">
        <v>22.248000000000001</v>
      </c>
      <c r="C3638" s="19">
        <v>3</v>
      </c>
      <c r="D3638" s="19">
        <v>7.5086999999999984</v>
      </c>
    </row>
    <row r="3639" spans="1:4" x14ac:dyDescent="0.2">
      <c r="A3639" s="19" t="s">
        <v>173</v>
      </c>
      <c r="B3639" s="19">
        <v>334.88000000000005</v>
      </c>
      <c r="C3639" s="19">
        <v>4</v>
      </c>
      <c r="D3639" s="19">
        <v>29.301999999999978</v>
      </c>
    </row>
    <row r="3640" spans="1:4" x14ac:dyDescent="0.2">
      <c r="A3640" s="19" t="s">
        <v>173</v>
      </c>
      <c r="B3640" s="19">
        <v>148.28800000000001</v>
      </c>
      <c r="C3640" s="19">
        <v>7</v>
      </c>
      <c r="D3640" s="19">
        <v>29.657599999999988</v>
      </c>
    </row>
    <row r="3641" spans="1:4" x14ac:dyDescent="0.2">
      <c r="A3641" s="19" t="s">
        <v>173</v>
      </c>
      <c r="B3641" s="19">
        <v>4.6240000000000006</v>
      </c>
      <c r="C3641" s="19">
        <v>1</v>
      </c>
      <c r="D3641" s="19">
        <v>1.6762000000000001</v>
      </c>
    </row>
    <row r="3642" spans="1:4" x14ac:dyDescent="0.2">
      <c r="A3642" s="19" t="s">
        <v>173</v>
      </c>
      <c r="B3642" s="19">
        <v>178.92000000000002</v>
      </c>
      <c r="C3642" s="19">
        <v>7</v>
      </c>
      <c r="D3642" s="19">
        <v>-29.074500000000008</v>
      </c>
    </row>
    <row r="3643" spans="1:4" x14ac:dyDescent="0.2">
      <c r="A3643" s="19" t="s">
        <v>173</v>
      </c>
      <c r="B3643" s="19">
        <v>69.888000000000005</v>
      </c>
      <c r="C3643" s="19">
        <v>7</v>
      </c>
      <c r="D3643" s="19">
        <v>-46.591999999999999</v>
      </c>
    </row>
    <row r="3644" spans="1:4" x14ac:dyDescent="0.2">
      <c r="A3644" s="19" t="s">
        <v>150</v>
      </c>
      <c r="B3644" s="19">
        <v>487.98400000000004</v>
      </c>
      <c r="C3644" s="19">
        <v>2</v>
      </c>
      <c r="D3644" s="19">
        <v>152.49499999999998</v>
      </c>
    </row>
    <row r="3645" spans="1:4" x14ac:dyDescent="0.2">
      <c r="A3645" s="19" t="s">
        <v>150</v>
      </c>
      <c r="B3645" s="19">
        <v>47.3</v>
      </c>
      <c r="C3645" s="19">
        <v>2</v>
      </c>
      <c r="D3645" s="19">
        <v>12.298000000000002</v>
      </c>
    </row>
    <row r="3646" spans="1:4" x14ac:dyDescent="0.2">
      <c r="A3646" s="19" t="s">
        <v>150</v>
      </c>
      <c r="B3646" s="19">
        <v>4.13</v>
      </c>
      <c r="C3646" s="19">
        <v>1</v>
      </c>
      <c r="D3646" s="19">
        <v>1.1564000000000001</v>
      </c>
    </row>
    <row r="3647" spans="1:4" x14ac:dyDescent="0.2">
      <c r="A3647" s="19" t="s">
        <v>150</v>
      </c>
      <c r="B3647" s="19">
        <v>155.12</v>
      </c>
      <c r="C3647" s="19">
        <v>5</v>
      </c>
      <c r="D3647" s="19">
        <v>50.413999999999987</v>
      </c>
    </row>
    <row r="3648" spans="1:4" x14ac:dyDescent="0.2">
      <c r="A3648" s="19" t="s">
        <v>150</v>
      </c>
      <c r="B3648" s="19">
        <v>6.48</v>
      </c>
      <c r="C3648" s="19">
        <v>1</v>
      </c>
      <c r="D3648" s="19">
        <v>3.1752000000000002</v>
      </c>
    </row>
    <row r="3649" spans="1:4" x14ac:dyDescent="0.2">
      <c r="A3649" s="19" t="s">
        <v>150</v>
      </c>
      <c r="B3649" s="19">
        <v>15.52</v>
      </c>
      <c r="C3649" s="19">
        <v>4</v>
      </c>
      <c r="D3649" s="19">
        <v>4.5007999999999981</v>
      </c>
    </row>
    <row r="3650" spans="1:4" x14ac:dyDescent="0.2">
      <c r="A3650" s="19" t="s">
        <v>167</v>
      </c>
      <c r="B3650" s="19">
        <v>2.9460000000000006</v>
      </c>
      <c r="C3650" s="19">
        <v>2</v>
      </c>
      <c r="D3650" s="19">
        <v>-2.0621999999999998</v>
      </c>
    </row>
    <row r="3651" spans="1:4" x14ac:dyDescent="0.2">
      <c r="A3651" s="19" t="s">
        <v>167</v>
      </c>
      <c r="B3651" s="19">
        <v>55.104000000000006</v>
      </c>
      <c r="C3651" s="19">
        <v>6</v>
      </c>
      <c r="D3651" s="19">
        <v>18.597599999999993</v>
      </c>
    </row>
    <row r="3652" spans="1:4" x14ac:dyDescent="0.2">
      <c r="A3652" s="19" t="s">
        <v>161</v>
      </c>
      <c r="B3652" s="19">
        <v>104.88</v>
      </c>
      <c r="C3652" s="19">
        <v>6</v>
      </c>
      <c r="D3652" s="19">
        <v>41.952000000000005</v>
      </c>
    </row>
    <row r="3653" spans="1:4" x14ac:dyDescent="0.2">
      <c r="A3653" s="19" t="s">
        <v>161</v>
      </c>
      <c r="B3653" s="19">
        <v>34.700000000000003</v>
      </c>
      <c r="C3653" s="19">
        <v>5</v>
      </c>
      <c r="D3653" s="19">
        <v>12.492000000000001</v>
      </c>
    </row>
    <row r="3654" spans="1:4" x14ac:dyDescent="0.2">
      <c r="A3654" s="19" t="s">
        <v>161</v>
      </c>
      <c r="B3654" s="19">
        <v>33.72</v>
      </c>
      <c r="C3654" s="19">
        <v>4</v>
      </c>
      <c r="D3654" s="19">
        <v>15.511199999999999</v>
      </c>
    </row>
    <row r="3655" spans="1:4" x14ac:dyDescent="0.2">
      <c r="A3655" s="19" t="s">
        <v>161</v>
      </c>
      <c r="B3655" s="19">
        <v>14.940000000000001</v>
      </c>
      <c r="C3655" s="19">
        <v>3</v>
      </c>
      <c r="D3655" s="19">
        <v>7.0218000000000007</v>
      </c>
    </row>
    <row r="3656" spans="1:4" x14ac:dyDescent="0.2">
      <c r="A3656" s="19" t="s">
        <v>163</v>
      </c>
      <c r="B3656" s="19">
        <v>638.73</v>
      </c>
      <c r="C3656" s="19">
        <v>9</v>
      </c>
      <c r="D3656" s="19">
        <v>166.06979999999999</v>
      </c>
    </row>
    <row r="3657" spans="1:4" x14ac:dyDescent="0.2">
      <c r="A3657" s="19" t="s">
        <v>151</v>
      </c>
      <c r="B3657" s="19">
        <v>113.56800000000001</v>
      </c>
      <c r="C3657" s="19">
        <v>2</v>
      </c>
      <c r="D3657" s="19">
        <v>-21.294000000000018</v>
      </c>
    </row>
    <row r="3658" spans="1:4" x14ac:dyDescent="0.2">
      <c r="A3658" s="19" t="s">
        <v>173</v>
      </c>
      <c r="B3658" s="19">
        <v>9.0960000000000001</v>
      </c>
      <c r="C3658" s="19">
        <v>1</v>
      </c>
      <c r="D3658" s="19">
        <v>1.7054999999999998</v>
      </c>
    </row>
    <row r="3659" spans="1:4" x14ac:dyDescent="0.2">
      <c r="A3659" s="19" t="s">
        <v>151</v>
      </c>
      <c r="B3659" s="19">
        <v>8.6880000000000006</v>
      </c>
      <c r="C3659" s="19">
        <v>3</v>
      </c>
      <c r="D3659" s="19">
        <v>2.9322000000000004</v>
      </c>
    </row>
    <row r="3660" spans="1:4" x14ac:dyDescent="0.2">
      <c r="A3660" s="19" t="s">
        <v>151</v>
      </c>
      <c r="B3660" s="19">
        <v>30.880000000000003</v>
      </c>
      <c r="C3660" s="19">
        <v>4</v>
      </c>
      <c r="D3660" s="19">
        <v>3.8599999999999977</v>
      </c>
    </row>
    <row r="3661" spans="1:4" x14ac:dyDescent="0.2">
      <c r="A3661" s="19" t="s">
        <v>151</v>
      </c>
      <c r="B3661" s="19">
        <v>6.4080000000000004</v>
      </c>
      <c r="C3661" s="19">
        <v>3</v>
      </c>
      <c r="D3661" s="19">
        <v>1.4418</v>
      </c>
    </row>
    <row r="3662" spans="1:4" x14ac:dyDescent="0.2">
      <c r="A3662" s="19" t="s">
        <v>165</v>
      </c>
      <c r="B3662" s="19">
        <v>33.799999999999997</v>
      </c>
      <c r="C3662" s="19">
        <v>5</v>
      </c>
      <c r="D3662" s="19">
        <v>4.2249999999999979</v>
      </c>
    </row>
    <row r="3663" spans="1:4" x14ac:dyDescent="0.2">
      <c r="A3663" s="19" t="s">
        <v>161</v>
      </c>
      <c r="B3663" s="19">
        <v>377.96999999999997</v>
      </c>
      <c r="C3663" s="19">
        <v>3</v>
      </c>
      <c r="D3663" s="19">
        <v>94.492500000000007</v>
      </c>
    </row>
    <row r="3664" spans="1:4" x14ac:dyDescent="0.2">
      <c r="A3664" s="19" t="s">
        <v>180</v>
      </c>
      <c r="B3664" s="19">
        <v>258.89999999999998</v>
      </c>
      <c r="C3664" s="19">
        <v>10</v>
      </c>
      <c r="D3664" s="19">
        <v>93.203999999999994</v>
      </c>
    </row>
    <row r="3665" spans="1:4" x14ac:dyDescent="0.2">
      <c r="A3665" s="19" t="s">
        <v>180</v>
      </c>
      <c r="B3665" s="19">
        <v>24.56</v>
      </c>
      <c r="C3665" s="19">
        <v>2</v>
      </c>
      <c r="D3665" s="19">
        <v>11.543199999999999</v>
      </c>
    </row>
    <row r="3666" spans="1:4" x14ac:dyDescent="0.2">
      <c r="A3666" s="19" t="s">
        <v>170</v>
      </c>
      <c r="B3666" s="19">
        <v>27.888000000000002</v>
      </c>
      <c r="C3666" s="19">
        <v>7</v>
      </c>
      <c r="D3666" s="19">
        <v>9.0635999999999974</v>
      </c>
    </row>
    <row r="3667" spans="1:4" x14ac:dyDescent="0.2">
      <c r="A3667" s="19" t="s">
        <v>170</v>
      </c>
      <c r="B3667" s="19">
        <v>6.4560000000000004</v>
      </c>
      <c r="C3667" s="19">
        <v>4</v>
      </c>
      <c r="D3667" s="19">
        <v>-4.5191999999999979</v>
      </c>
    </row>
    <row r="3668" spans="1:4" x14ac:dyDescent="0.2">
      <c r="A3668" s="19" t="s">
        <v>170</v>
      </c>
      <c r="B3668" s="19">
        <v>52.679999999999993</v>
      </c>
      <c r="C3668" s="19">
        <v>3</v>
      </c>
      <c r="D3668" s="19">
        <v>19.754999999999999</v>
      </c>
    </row>
    <row r="3669" spans="1:4" x14ac:dyDescent="0.2">
      <c r="A3669" s="19" t="s">
        <v>170</v>
      </c>
      <c r="B3669" s="19">
        <v>13.88</v>
      </c>
      <c r="C3669" s="19">
        <v>5</v>
      </c>
      <c r="D3669" s="19">
        <v>-2.6025000000000014</v>
      </c>
    </row>
    <row r="3670" spans="1:4" x14ac:dyDescent="0.2">
      <c r="A3670" s="19" t="s">
        <v>170</v>
      </c>
      <c r="B3670" s="19">
        <v>103.92000000000002</v>
      </c>
      <c r="C3670" s="19">
        <v>10</v>
      </c>
      <c r="D3670" s="19">
        <v>-18.186000000000014</v>
      </c>
    </row>
    <row r="3671" spans="1:4" x14ac:dyDescent="0.2">
      <c r="A3671" s="19" t="s">
        <v>170</v>
      </c>
      <c r="B3671" s="19">
        <v>11.52</v>
      </c>
      <c r="C3671" s="19">
        <v>5</v>
      </c>
      <c r="D3671" s="19">
        <v>3.7439999999999989</v>
      </c>
    </row>
    <row r="3672" spans="1:4" x14ac:dyDescent="0.2">
      <c r="A3672" s="19" t="s">
        <v>170</v>
      </c>
      <c r="B3672" s="19">
        <v>10.368000000000002</v>
      </c>
      <c r="C3672" s="19">
        <v>2</v>
      </c>
      <c r="D3672" s="19">
        <v>3.6288</v>
      </c>
    </row>
    <row r="3673" spans="1:4" x14ac:dyDescent="0.2">
      <c r="A3673" s="19" t="s">
        <v>170</v>
      </c>
      <c r="B3673" s="19">
        <v>39.072000000000003</v>
      </c>
      <c r="C3673" s="19">
        <v>3</v>
      </c>
      <c r="D3673" s="19">
        <v>2.9304000000000023</v>
      </c>
    </row>
    <row r="3674" spans="1:4" x14ac:dyDescent="0.2">
      <c r="A3674" s="19" t="s">
        <v>173</v>
      </c>
      <c r="B3674" s="19">
        <v>8.8719999999999999</v>
      </c>
      <c r="C3674" s="19">
        <v>1</v>
      </c>
      <c r="D3674" s="19">
        <v>3.2161</v>
      </c>
    </row>
    <row r="3675" spans="1:4" x14ac:dyDescent="0.2">
      <c r="A3675" s="19" t="s">
        <v>173</v>
      </c>
      <c r="B3675" s="19">
        <v>121.10400000000003</v>
      </c>
      <c r="C3675" s="19">
        <v>6</v>
      </c>
      <c r="D3675" s="19">
        <v>-100.91999999999999</v>
      </c>
    </row>
    <row r="3676" spans="1:4" x14ac:dyDescent="0.2">
      <c r="A3676" s="19" t="s">
        <v>158</v>
      </c>
      <c r="B3676" s="19">
        <v>127.372</v>
      </c>
      <c r="C3676" s="19">
        <v>2</v>
      </c>
      <c r="D3676" s="19">
        <v>-30.933200000000006</v>
      </c>
    </row>
    <row r="3677" spans="1:4" x14ac:dyDescent="0.2">
      <c r="A3677" s="19" t="s">
        <v>158</v>
      </c>
      <c r="B3677" s="19">
        <v>47.952000000000005</v>
      </c>
      <c r="C3677" s="19">
        <v>3</v>
      </c>
      <c r="D3677" s="19">
        <v>16.183799999999998</v>
      </c>
    </row>
    <row r="3678" spans="1:4" x14ac:dyDescent="0.2">
      <c r="A3678" s="19" t="s">
        <v>150</v>
      </c>
      <c r="B3678" s="19">
        <v>44.46</v>
      </c>
      <c r="C3678" s="19">
        <v>2</v>
      </c>
      <c r="D3678" s="19">
        <v>14.671799999999998</v>
      </c>
    </row>
    <row r="3679" spans="1:4" x14ac:dyDescent="0.2">
      <c r="A3679" s="19" t="s">
        <v>187</v>
      </c>
      <c r="B3679" s="19">
        <v>15.8</v>
      </c>
      <c r="C3679" s="19">
        <v>4</v>
      </c>
      <c r="D3679" s="19">
        <v>5.0559999999999992</v>
      </c>
    </row>
    <row r="3680" spans="1:4" x14ac:dyDescent="0.2">
      <c r="A3680" s="19" t="s">
        <v>187</v>
      </c>
      <c r="B3680" s="19">
        <v>464.97</v>
      </c>
      <c r="C3680" s="19">
        <v>3</v>
      </c>
      <c r="D3680" s="19">
        <v>209.23649999999998</v>
      </c>
    </row>
    <row r="3681" spans="1:4" x14ac:dyDescent="0.2">
      <c r="A3681" s="19" t="s">
        <v>187</v>
      </c>
      <c r="B3681" s="19">
        <v>181.96</v>
      </c>
      <c r="C3681" s="19">
        <v>2</v>
      </c>
      <c r="D3681" s="19">
        <v>20.015600000000006</v>
      </c>
    </row>
    <row r="3682" spans="1:4" x14ac:dyDescent="0.2">
      <c r="A3682" s="19" t="s">
        <v>187</v>
      </c>
      <c r="B3682" s="19">
        <v>12.39</v>
      </c>
      <c r="C3682" s="19">
        <v>3</v>
      </c>
      <c r="D3682" s="19">
        <v>5.6993999999999998</v>
      </c>
    </row>
    <row r="3683" spans="1:4" x14ac:dyDescent="0.2">
      <c r="A3683" s="19" t="s">
        <v>187</v>
      </c>
      <c r="B3683" s="19">
        <v>84.09</v>
      </c>
      <c r="C3683" s="19">
        <v>3</v>
      </c>
      <c r="D3683" s="19">
        <v>42.045000000000002</v>
      </c>
    </row>
    <row r="3684" spans="1:4" x14ac:dyDescent="0.2">
      <c r="A3684" s="19" t="s">
        <v>187</v>
      </c>
      <c r="B3684" s="19">
        <v>79.36</v>
      </c>
      <c r="C3684" s="19">
        <v>4</v>
      </c>
      <c r="D3684" s="19">
        <v>32.537600000000005</v>
      </c>
    </row>
    <row r="3685" spans="1:4" x14ac:dyDescent="0.2">
      <c r="A3685" s="19" t="s">
        <v>187</v>
      </c>
      <c r="B3685" s="19">
        <v>153.35999999999999</v>
      </c>
      <c r="C3685" s="19">
        <v>9</v>
      </c>
      <c r="D3685" s="19">
        <v>70.545599999999979</v>
      </c>
    </row>
    <row r="3686" spans="1:4" x14ac:dyDescent="0.2">
      <c r="A3686" s="19" t="s">
        <v>187</v>
      </c>
      <c r="B3686" s="19">
        <v>43.68</v>
      </c>
      <c r="C3686" s="19">
        <v>6</v>
      </c>
      <c r="D3686" s="19">
        <v>21.403200000000002</v>
      </c>
    </row>
    <row r="3687" spans="1:4" x14ac:dyDescent="0.2">
      <c r="A3687" s="19" t="s">
        <v>187</v>
      </c>
      <c r="B3687" s="19">
        <v>98.21</v>
      </c>
      <c r="C3687" s="19">
        <v>7</v>
      </c>
      <c r="D3687" s="19">
        <v>28.480899999999984</v>
      </c>
    </row>
    <row r="3688" spans="1:4" x14ac:dyDescent="0.2">
      <c r="A3688" s="19" t="s">
        <v>150</v>
      </c>
      <c r="B3688" s="19">
        <v>9.84</v>
      </c>
      <c r="C3688" s="19">
        <v>3</v>
      </c>
      <c r="D3688" s="19">
        <v>3.2471999999999994</v>
      </c>
    </row>
    <row r="3689" spans="1:4" x14ac:dyDescent="0.2">
      <c r="A3689" s="19" t="s">
        <v>151</v>
      </c>
      <c r="B3689" s="19">
        <v>2.6940000000000004</v>
      </c>
      <c r="C3689" s="19">
        <v>2</v>
      </c>
      <c r="D3689" s="19">
        <v>-2.2450000000000001</v>
      </c>
    </row>
    <row r="3690" spans="1:4" x14ac:dyDescent="0.2">
      <c r="A3690" s="19" t="s">
        <v>165</v>
      </c>
      <c r="B3690" s="19">
        <v>25.344000000000001</v>
      </c>
      <c r="C3690" s="19">
        <v>6</v>
      </c>
      <c r="D3690" s="19">
        <v>7.92</v>
      </c>
    </row>
    <row r="3691" spans="1:4" x14ac:dyDescent="0.2">
      <c r="A3691" s="19" t="s">
        <v>165</v>
      </c>
      <c r="B3691" s="19">
        <v>43.92</v>
      </c>
      <c r="C3691" s="19">
        <v>5</v>
      </c>
      <c r="D3691" s="19">
        <v>15.921000000000003</v>
      </c>
    </row>
    <row r="3692" spans="1:4" x14ac:dyDescent="0.2">
      <c r="A3692" s="19" t="s">
        <v>171</v>
      </c>
      <c r="B3692" s="19">
        <v>59.994000000000007</v>
      </c>
      <c r="C3692" s="19">
        <v>2</v>
      </c>
      <c r="D3692" s="19">
        <v>-45.995400000000004</v>
      </c>
    </row>
    <row r="3693" spans="1:4" x14ac:dyDescent="0.2">
      <c r="A3693" s="19" t="s">
        <v>171</v>
      </c>
      <c r="B3693" s="19">
        <v>439.99200000000002</v>
      </c>
      <c r="C3693" s="19">
        <v>1</v>
      </c>
      <c r="D3693" s="19">
        <v>164.99700000000001</v>
      </c>
    </row>
    <row r="3694" spans="1:4" x14ac:dyDescent="0.2">
      <c r="A3694" s="19" t="s">
        <v>171</v>
      </c>
      <c r="B3694" s="19">
        <v>87.96</v>
      </c>
      <c r="C3694" s="19">
        <v>5</v>
      </c>
      <c r="D3694" s="19">
        <v>30.785999999999998</v>
      </c>
    </row>
    <row r="3695" spans="1:4" x14ac:dyDescent="0.2">
      <c r="A3695" s="19" t="s">
        <v>171</v>
      </c>
      <c r="B3695" s="19">
        <v>15.488</v>
      </c>
      <c r="C3695" s="19">
        <v>4</v>
      </c>
      <c r="D3695" s="19">
        <v>3.6783999999999999</v>
      </c>
    </row>
    <row r="3696" spans="1:4" x14ac:dyDescent="0.2">
      <c r="A3696" s="19" t="s">
        <v>166</v>
      </c>
      <c r="B3696" s="19">
        <v>232.96</v>
      </c>
      <c r="C3696" s="19">
        <v>7</v>
      </c>
      <c r="D3696" s="19">
        <v>116.48</v>
      </c>
    </row>
    <row r="3697" spans="1:4" x14ac:dyDescent="0.2">
      <c r="A3697" s="19" t="s">
        <v>166</v>
      </c>
      <c r="B3697" s="19">
        <v>66.539999999999992</v>
      </c>
      <c r="C3697" s="19">
        <v>6</v>
      </c>
      <c r="D3697" s="19">
        <v>32.604599999999998</v>
      </c>
    </row>
    <row r="3698" spans="1:4" x14ac:dyDescent="0.2">
      <c r="A3698" s="19" t="s">
        <v>166</v>
      </c>
      <c r="B3698" s="19">
        <v>43.26</v>
      </c>
      <c r="C3698" s="19">
        <v>3</v>
      </c>
      <c r="D3698" s="19">
        <v>14.275799999999998</v>
      </c>
    </row>
    <row r="3699" spans="1:4" x14ac:dyDescent="0.2">
      <c r="A3699" s="19" t="s">
        <v>153</v>
      </c>
      <c r="B3699" s="19">
        <v>141.96</v>
      </c>
      <c r="C3699" s="19">
        <v>2</v>
      </c>
      <c r="D3699" s="19">
        <v>22.7136</v>
      </c>
    </row>
    <row r="3700" spans="1:4" x14ac:dyDescent="0.2">
      <c r="A3700" s="19" t="s">
        <v>165</v>
      </c>
      <c r="B3700" s="19">
        <v>79.400000000000006</v>
      </c>
      <c r="C3700" s="19">
        <v>5</v>
      </c>
      <c r="D3700" s="19">
        <v>5.9550000000000054</v>
      </c>
    </row>
    <row r="3701" spans="1:4" x14ac:dyDescent="0.2">
      <c r="A3701" s="19" t="s">
        <v>164</v>
      </c>
      <c r="B3701" s="19">
        <v>163.96</v>
      </c>
      <c r="C3701" s="19">
        <v>4</v>
      </c>
      <c r="D3701" s="19">
        <v>70.502800000000008</v>
      </c>
    </row>
    <row r="3702" spans="1:4" x14ac:dyDescent="0.2">
      <c r="A3702" s="19" t="s">
        <v>164</v>
      </c>
      <c r="B3702" s="19">
        <v>37.93</v>
      </c>
      <c r="C3702" s="19">
        <v>1</v>
      </c>
      <c r="D3702" s="19">
        <v>6.8273999999999972</v>
      </c>
    </row>
    <row r="3703" spans="1:4" x14ac:dyDescent="0.2">
      <c r="A3703" s="19" t="s">
        <v>173</v>
      </c>
      <c r="B3703" s="19">
        <v>15.168000000000001</v>
      </c>
      <c r="C3703" s="19">
        <v>2</v>
      </c>
      <c r="D3703" s="19">
        <v>3.7920000000000011</v>
      </c>
    </row>
    <row r="3704" spans="1:4" x14ac:dyDescent="0.2">
      <c r="A3704" s="19" t="s">
        <v>168</v>
      </c>
      <c r="B3704" s="19">
        <v>24.78</v>
      </c>
      <c r="C3704" s="19">
        <v>6</v>
      </c>
      <c r="D3704" s="19">
        <v>6.9384000000000006</v>
      </c>
    </row>
    <row r="3705" spans="1:4" x14ac:dyDescent="0.2">
      <c r="A3705" s="19" t="s">
        <v>168</v>
      </c>
      <c r="B3705" s="19">
        <v>19.14</v>
      </c>
      <c r="C3705" s="19">
        <v>3</v>
      </c>
      <c r="D3705" s="19">
        <v>8.8043999999999993</v>
      </c>
    </row>
    <row r="3706" spans="1:4" x14ac:dyDescent="0.2">
      <c r="A3706" s="19" t="s">
        <v>168</v>
      </c>
      <c r="B3706" s="19">
        <v>899.97</v>
      </c>
      <c r="C3706" s="19">
        <v>3</v>
      </c>
      <c r="D3706" s="19">
        <v>314.98950000000002</v>
      </c>
    </row>
    <row r="3707" spans="1:4" x14ac:dyDescent="0.2">
      <c r="A3707" s="19" t="s">
        <v>168</v>
      </c>
      <c r="B3707" s="19">
        <v>32.400000000000006</v>
      </c>
      <c r="C3707" s="19">
        <v>5</v>
      </c>
      <c r="D3707" s="19">
        <v>15.552000000000001</v>
      </c>
    </row>
    <row r="3708" spans="1:4" x14ac:dyDescent="0.2">
      <c r="A3708" s="19" t="s">
        <v>154</v>
      </c>
      <c r="B3708" s="19">
        <v>23.832000000000001</v>
      </c>
      <c r="C3708" s="19">
        <v>3</v>
      </c>
      <c r="D3708" s="19">
        <v>6.5538000000000007</v>
      </c>
    </row>
    <row r="3709" spans="1:4" x14ac:dyDescent="0.2">
      <c r="A3709" s="19" t="s">
        <v>154</v>
      </c>
      <c r="B3709" s="19">
        <v>6.3680000000000003</v>
      </c>
      <c r="C3709" s="19">
        <v>2</v>
      </c>
      <c r="D3709" s="19">
        <v>-2.5471999999999984</v>
      </c>
    </row>
    <row r="3710" spans="1:4" x14ac:dyDescent="0.2">
      <c r="A3710" s="19" t="s">
        <v>154</v>
      </c>
      <c r="B3710" s="19">
        <v>34.175999999999995</v>
      </c>
      <c r="C3710" s="19">
        <v>3</v>
      </c>
      <c r="D3710" s="19">
        <v>-87.148800000000023</v>
      </c>
    </row>
    <row r="3711" spans="1:4" x14ac:dyDescent="0.2">
      <c r="A3711" s="19" t="s">
        <v>154</v>
      </c>
      <c r="B3711" s="19">
        <v>5.5440000000000005</v>
      </c>
      <c r="C3711" s="19">
        <v>7</v>
      </c>
      <c r="D3711" s="19">
        <v>1.6632000000000007</v>
      </c>
    </row>
    <row r="3712" spans="1:4" x14ac:dyDescent="0.2">
      <c r="A3712" s="19" t="s">
        <v>150</v>
      </c>
      <c r="B3712" s="19">
        <v>510.24</v>
      </c>
      <c r="C3712" s="19">
        <v>3</v>
      </c>
      <c r="D3712" s="19">
        <v>6.3779999999999575</v>
      </c>
    </row>
    <row r="3713" spans="1:4" x14ac:dyDescent="0.2">
      <c r="A3713" s="19" t="s">
        <v>150</v>
      </c>
      <c r="B3713" s="19">
        <v>204.95000000000002</v>
      </c>
      <c r="C3713" s="19">
        <v>5</v>
      </c>
      <c r="D3713" s="19">
        <v>100.4255</v>
      </c>
    </row>
    <row r="3714" spans="1:4" x14ac:dyDescent="0.2">
      <c r="A3714" s="19" t="s">
        <v>153</v>
      </c>
      <c r="B3714" s="19">
        <v>11.54</v>
      </c>
      <c r="C3714" s="19">
        <v>1</v>
      </c>
      <c r="D3714" s="19">
        <v>3.4619999999999997</v>
      </c>
    </row>
    <row r="3715" spans="1:4" x14ac:dyDescent="0.2">
      <c r="A3715" s="19" t="s">
        <v>153</v>
      </c>
      <c r="B3715" s="19">
        <v>162.60000000000002</v>
      </c>
      <c r="C3715" s="19">
        <v>3</v>
      </c>
      <c r="D3715" s="19">
        <v>34.145999999999994</v>
      </c>
    </row>
    <row r="3716" spans="1:4" x14ac:dyDescent="0.2">
      <c r="A3716" s="19" t="s">
        <v>153</v>
      </c>
      <c r="B3716" s="19">
        <v>45.68</v>
      </c>
      <c r="C3716" s="19">
        <v>2</v>
      </c>
      <c r="D3716" s="19">
        <v>21.012799999999999</v>
      </c>
    </row>
    <row r="3717" spans="1:4" x14ac:dyDescent="0.2">
      <c r="A3717" s="19" t="s">
        <v>153</v>
      </c>
      <c r="B3717" s="19">
        <v>603.91999999999996</v>
      </c>
      <c r="C3717" s="19">
        <v>5</v>
      </c>
      <c r="D3717" s="19">
        <v>45.294000000000011</v>
      </c>
    </row>
    <row r="3718" spans="1:4" x14ac:dyDescent="0.2">
      <c r="A3718" s="19" t="s">
        <v>157</v>
      </c>
      <c r="B3718" s="19">
        <v>23.55</v>
      </c>
      <c r="C3718" s="19">
        <v>5</v>
      </c>
      <c r="D3718" s="19">
        <v>1.1775000000000002</v>
      </c>
    </row>
    <row r="3719" spans="1:4" x14ac:dyDescent="0.2">
      <c r="A3719" s="19" t="s">
        <v>101</v>
      </c>
      <c r="B3719" s="19">
        <v>5.04</v>
      </c>
      <c r="C3719" s="19">
        <v>2</v>
      </c>
      <c r="D3719" s="19">
        <v>0.15120000000000022</v>
      </c>
    </row>
    <row r="3720" spans="1:4" x14ac:dyDescent="0.2">
      <c r="A3720" s="19" t="s">
        <v>101</v>
      </c>
      <c r="B3720" s="19">
        <v>249.95000000000002</v>
      </c>
      <c r="C3720" s="19">
        <v>5</v>
      </c>
      <c r="D3720" s="19">
        <v>107.47850000000001</v>
      </c>
    </row>
    <row r="3721" spans="1:4" x14ac:dyDescent="0.2">
      <c r="A3721" s="19" t="s">
        <v>163</v>
      </c>
      <c r="B3721" s="19">
        <v>33.4</v>
      </c>
      <c r="C3721" s="19">
        <v>5</v>
      </c>
      <c r="D3721" s="19">
        <v>12.357999999999997</v>
      </c>
    </row>
    <row r="3722" spans="1:4" x14ac:dyDescent="0.2">
      <c r="A3722" s="19" t="s">
        <v>183</v>
      </c>
      <c r="B3722" s="19">
        <v>18.920000000000002</v>
      </c>
      <c r="C3722" s="19">
        <v>4</v>
      </c>
      <c r="D3722" s="19">
        <v>7.3788000000000018</v>
      </c>
    </row>
    <row r="3723" spans="1:4" x14ac:dyDescent="0.2">
      <c r="A3723" s="19" t="s">
        <v>183</v>
      </c>
      <c r="B3723" s="19">
        <v>15.42</v>
      </c>
      <c r="C3723" s="19">
        <v>2</v>
      </c>
      <c r="D3723" s="19">
        <v>6.9390000000000001</v>
      </c>
    </row>
    <row r="3724" spans="1:4" x14ac:dyDescent="0.2">
      <c r="A3724" s="19" t="s">
        <v>154</v>
      </c>
      <c r="B3724" s="19">
        <v>35.712000000000003</v>
      </c>
      <c r="C3724" s="19">
        <v>8</v>
      </c>
      <c r="D3724" s="19">
        <v>2.2319999999999958</v>
      </c>
    </row>
    <row r="3725" spans="1:4" x14ac:dyDescent="0.2">
      <c r="A3725" s="19" t="s">
        <v>165</v>
      </c>
      <c r="B3725" s="19">
        <v>551.98500000000013</v>
      </c>
      <c r="C3725" s="19">
        <v>5</v>
      </c>
      <c r="D3725" s="19">
        <v>-459.98750000000018</v>
      </c>
    </row>
    <row r="3726" spans="1:4" x14ac:dyDescent="0.2">
      <c r="A3726" s="19" t="s">
        <v>159</v>
      </c>
      <c r="B3726" s="19">
        <v>7.0559999999999992</v>
      </c>
      <c r="C3726" s="19">
        <v>3</v>
      </c>
      <c r="D3726" s="19">
        <v>2.2050000000000001</v>
      </c>
    </row>
    <row r="3727" spans="1:4" x14ac:dyDescent="0.2">
      <c r="A3727" s="19" t="s">
        <v>171</v>
      </c>
      <c r="B3727" s="19">
        <v>18.72</v>
      </c>
      <c r="C3727" s="19">
        <v>2</v>
      </c>
      <c r="D3727" s="19">
        <v>3.51</v>
      </c>
    </row>
    <row r="3728" spans="1:4" x14ac:dyDescent="0.2">
      <c r="A3728" s="19" t="s">
        <v>162</v>
      </c>
      <c r="B3728" s="19">
        <v>360.38</v>
      </c>
      <c r="C3728" s="19">
        <v>2</v>
      </c>
      <c r="D3728" s="19">
        <v>93.698800000000006</v>
      </c>
    </row>
    <row r="3729" spans="1:4" x14ac:dyDescent="0.2">
      <c r="A3729" s="19" t="s">
        <v>162</v>
      </c>
      <c r="B3729" s="19">
        <v>11.16</v>
      </c>
      <c r="C3729" s="19">
        <v>2</v>
      </c>
      <c r="D3729" s="19">
        <v>2.7899999999999991</v>
      </c>
    </row>
    <row r="3730" spans="1:4" x14ac:dyDescent="0.2">
      <c r="A3730" s="19" t="s">
        <v>162</v>
      </c>
      <c r="B3730" s="19">
        <v>14.940000000000001</v>
      </c>
      <c r="C3730" s="19">
        <v>3</v>
      </c>
      <c r="D3730" s="19">
        <v>6.8723999999999998</v>
      </c>
    </row>
    <row r="3731" spans="1:4" x14ac:dyDescent="0.2">
      <c r="A3731" s="19" t="s">
        <v>187</v>
      </c>
      <c r="B3731" s="19">
        <v>41.96</v>
      </c>
      <c r="C3731" s="19">
        <v>2</v>
      </c>
      <c r="D3731" s="19">
        <v>7.9724000000000004</v>
      </c>
    </row>
    <row r="3732" spans="1:4" x14ac:dyDescent="0.2">
      <c r="A3732" s="19" t="s">
        <v>187</v>
      </c>
      <c r="B3732" s="19">
        <v>636.86</v>
      </c>
      <c r="C3732" s="19">
        <v>7</v>
      </c>
      <c r="D3732" s="19">
        <v>0</v>
      </c>
    </row>
    <row r="3733" spans="1:4" x14ac:dyDescent="0.2">
      <c r="A3733" s="19" t="s">
        <v>187</v>
      </c>
      <c r="B3733" s="19">
        <v>499.99</v>
      </c>
      <c r="C3733" s="19">
        <v>1</v>
      </c>
      <c r="D3733" s="19">
        <v>129.99740000000003</v>
      </c>
    </row>
    <row r="3734" spans="1:4" x14ac:dyDescent="0.2">
      <c r="A3734" s="19" t="s">
        <v>187</v>
      </c>
      <c r="B3734" s="19">
        <v>1259.93</v>
      </c>
      <c r="C3734" s="19">
        <v>7</v>
      </c>
      <c r="D3734" s="19">
        <v>327.58180000000004</v>
      </c>
    </row>
    <row r="3735" spans="1:4" x14ac:dyDescent="0.2">
      <c r="A3735" s="19" t="s">
        <v>187</v>
      </c>
      <c r="B3735" s="19">
        <v>65.08</v>
      </c>
      <c r="C3735" s="19">
        <v>4</v>
      </c>
      <c r="D3735" s="19">
        <v>31.889199999999995</v>
      </c>
    </row>
    <row r="3736" spans="1:4" x14ac:dyDescent="0.2">
      <c r="A3736" s="19" t="s">
        <v>164</v>
      </c>
      <c r="B3736" s="19">
        <v>26.38</v>
      </c>
      <c r="C3736" s="19">
        <v>1</v>
      </c>
      <c r="D3736" s="19">
        <v>12.134799999999998</v>
      </c>
    </row>
    <row r="3737" spans="1:4" x14ac:dyDescent="0.2">
      <c r="A3737" s="19" t="s">
        <v>164</v>
      </c>
      <c r="B3737" s="19">
        <v>71.97</v>
      </c>
      <c r="C3737" s="19">
        <v>3</v>
      </c>
      <c r="D3737" s="19">
        <v>16.553099999999993</v>
      </c>
    </row>
    <row r="3738" spans="1:4" x14ac:dyDescent="0.2">
      <c r="A3738" s="19" t="s">
        <v>162</v>
      </c>
      <c r="B3738" s="19">
        <v>129.97999999999999</v>
      </c>
      <c r="C3738" s="19">
        <v>2</v>
      </c>
      <c r="D3738" s="19">
        <v>62.3904</v>
      </c>
    </row>
    <row r="3739" spans="1:4" x14ac:dyDescent="0.2">
      <c r="A3739" s="19" t="s">
        <v>162</v>
      </c>
      <c r="B3739" s="19">
        <v>32.54</v>
      </c>
      <c r="C3739" s="19">
        <v>2</v>
      </c>
      <c r="D3739" s="19">
        <v>15.944599999999998</v>
      </c>
    </row>
    <row r="3740" spans="1:4" x14ac:dyDescent="0.2">
      <c r="A3740" s="19" t="s">
        <v>161</v>
      </c>
      <c r="B3740" s="19">
        <v>10.9</v>
      </c>
      <c r="C3740" s="19">
        <v>1</v>
      </c>
      <c r="D3740" s="19">
        <v>3.0520000000000005</v>
      </c>
    </row>
    <row r="3741" spans="1:4" x14ac:dyDescent="0.2">
      <c r="A3741" s="19" t="s">
        <v>161</v>
      </c>
      <c r="B3741" s="19">
        <v>59.98</v>
      </c>
      <c r="C3741" s="19">
        <v>2</v>
      </c>
      <c r="D3741" s="19">
        <v>25.191600000000001</v>
      </c>
    </row>
    <row r="3742" spans="1:4" x14ac:dyDescent="0.2">
      <c r="A3742" s="19" t="s">
        <v>161</v>
      </c>
      <c r="B3742" s="19">
        <v>61.929000000000002</v>
      </c>
      <c r="C3742" s="19">
        <v>1</v>
      </c>
      <c r="D3742" s="19">
        <v>23.395400000000002</v>
      </c>
    </row>
    <row r="3743" spans="1:4" x14ac:dyDescent="0.2">
      <c r="A3743" s="19" t="s">
        <v>164</v>
      </c>
      <c r="B3743" s="19">
        <v>16.52</v>
      </c>
      <c r="C3743" s="19">
        <v>4</v>
      </c>
      <c r="D3743" s="19">
        <v>7.5991999999999997</v>
      </c>
    </row>
    <row r="3744" spans="1:4" x14ac:dyDescent="0.2">
      <c r="A3744" s="19" t="s">
        <v>164</v>
      </c>
      <c r="B3744" s="19">
        <v>60.12</v>
      </c>
      <c r="C3744" s="19">
        <v>9</v>
      </c>
      <c r="D3744" s="19">
        <v>28.857599999999998</v>
      </c>
    </row>
    <row r="3745" spans="1:4" x14ac:dyDescent="0.2">
      <c r="A3745" s="19" t="s">
        <v>164</v>
      </c>
      <c r="B3745" s="19">
        <v>49.536000000000001</v>
      </c>
      <c r="C3745" s="19">
        <v>3</v>
      </c>
      <c r="D3745" s="19">
        <v>17.337599999999998</v>
      </c>
    </row>
    <row r="3746" spans="1:4" x14ac:dyDescent="0.2">
      <c r="A3746" s="19" t="s">
        <v>169</v>
      </c>
      <c r="B3746" s="19">
        <v>11.850000000000001</v>
      </c>
      <c r="C3746" s="19">
        <v>3</v>
      </c>
      <c r="D3746" s="19">
        <v>3.7919999999999994</v>
      </c>
    </row>
    <row r="3747" spans="1:4" x14ac:dyDescent="0.2">
      <c r="A3747" s="19" t="s">
        <v>101</v>
      </c>
      <c r="B3747" s="19">
        <v>118.25</v>
      </c>
      <c r="C3747" s="19">
        <v>5</v>
      </c>
      <c r="D3747" s="19">
        <v>34.292499999999997</v>
      </c>
    </row>
    <row r="3748" spans="1:4" x14ac:dyDescent="0.2">
      <c r="A3748" s="19" t="s">
        <v>101</v>
      </c>
      <c r="B3748" s="19">
        <v>368.96999999999997</v>
      </c>
      <c r="C3748" s="19">
        <v>3</v>
      </c>
      <c r="D3748" s="19">
        <v>81.173400000000001</v>
      </c>
    </row>
    <row r="3749" spans="1:4" x14ac:dyDescent="0.2">
      <c r="A3749" s="19" t="s">
        <v>150</v>
      </c>
      <c r="B3749" s="19">
        <v>198.46</v>
      </c>
      <c r="C3749" s="19">
        <v>2</v>
      </c>
      <c r="D3749" s="19">
        <v>99.23</v>
      </c>
    </row>
    <row r="3750" spans="1:4" x14ac:dyDescent="0.2">
      <c r="A3750" s="19" t="s">
        <v>150</v>
      </c>
      <c r="B3750" s="19">
        <v>321.92</v>
      </c>
      <c r="C3750" s="19">
        <v>4</v>
      </c>
      <c r="D3750" s="19">
        <v>96.575999999999993</v>
      </c>
    </row>
    <row r="3751" spans="1:4" x14ac:dyDescent="0.2">
      <c r="A3751" s="19" t="s">
        <v>150</v>
      </c>
      <c r="B3751" s="19">
        <v>879.98400000000004</v>
      </c>
      <c r="C3751" s="19">
        <v>2</v>
      </c>
      <c r="D3751" s="19">
        <v>329.99400000000003</v>
      </c>
    </row>
    <row r="3752" spans="1:4" x14ac:dyDescent="0.2">
      <c r="A3752" s="19" t="s">
        <v>150</v>
      </c>
      <c r="B3752" s="19">
        <v>28.4</v>
      </c>
      <c r="C3752" s="19">
        <v>5</v>
      </c>
      <c r="D3752" s="19">
        <v>8.2359999999999989</v>
      </c>
    </row>
    <row r="3753" spans="1:4" x14ac:dyDescent="0.2">
      <c r="A3753" s="19" t="s">
        <v>150</v>
      </c>
      <c r="B3753" s="19">
        <v>230.28000000000003</v>
      </c>
      <c r="C3753" s="19">
        <v>3</v>
      </c>
      <c r="D3753" s="19">
        <v>23.027999999999992</v>
      </c>
    </row>
    <row r="3754" spans="1:4" x14ac:dyDescent="0.2">
      <c r="A3754" s="19" t="s">
        <v>150</v>
      </c>
      <c r="B3754" s="19">
        <v>116.28</v>
      </c>
      <c r="C3754" s="19">
        <v>3</v>
      </c>
      <c r="D3754" s="19">
        <v>56.977199999999996</v>
      </c>
    </row>
    <row r="3755" spans="1:4" x14ac:dyDescent="0.2">
      <c r="A3755" s="19" t="s">
        <v>150</v>
      </c>
      <c r="B3755" s="19">
        <v>841.5680000000001</v>
      </c>
      <c r="C3755" s="19">
        <v>2</v>
      </c>
      <c r="D3755" s="19">
        <v>294.54879999999991</v>
      </c>
    </row>
    <row r="3756" spans="1:4" x14ac:dyDescent="0.2">
      <c r="A3756" s="19" t="s">
        <v>150</v>
      </c>
      <c r="B3756" s="19">
        <v>354.90000000000003</v>
      </c>
      <c r="C3756" s="19">
        <v>5</v>
      </c>
      <c r="D3756" s="19">
        <v>17.744999999999962</v>
      </c>
    </row>
    <row r="3757" spans="1:4" x14ac:dyDescent="0.2">
      <c r="A3757" s="19" t="s">
        <v>154</v>
      </c>
      <c r="B3757" s="19">
        <v>42.783999999999999</v>
      </c>
      <c r="C3757" s="19">
        <v>7</v>
      </c>
      <c r="D3757" s="19">
        <v>15.509199999999998</v>
      </c>
    </row>
    <row r="3758" spans="1:4" x14ac:dyDescent="0.2">
      <c r="A3758" s="19" t="s">
        <v>154</v>
      </c>
      <c r="B3758" s="19">
        <v>563.42999999999984</v>
      </c>
      <c r="C3758" s="19">
        <v>5</v>
      </c>
      <c r="D3758" s="19">
        <v>-56.343000000000018</v>
      </c>
    </row>
    <row r="3759" spans="1:4" x14ac:dyDescent="0.2">
      <c r="A3759" s="19" t="s">
        <v>173</v>
      </c>
      <c r="B3759" s="19">
        <v>111.104</v>
      </c>
      <c r="C3759" s="19">
        <v>7</v>
      </c>
      <c r="D3759" s="19">
        <v>8.3328000000000024</v>
      </c>
    </row>
    <row r="3760" spans="1:4" x14ac:dyDescent="0.2">
      <c r="A3760" s="19" t="s">
        <v>150</v>
      </c>
      <c r="B3760" s="19">
        <v>11.68</v>
      </c>
      <c r="C3760" s="19">
        <v>2</v>
      </c>
      <c r="D3760" s="19">
        <v>5.4895999999999994</v>
      </c>
    </row>
    <row r="3761" spans="1:4" x14ac:dyDescent="0.2">
      <c r="A3761" s="19" t="s">
        <v>150</v>
      </c>
      <c r="B3761" s="19">
        <v>16.899999999999999</v>
      </c>
      <c r="C3761" s="19">
        <v>2</v>
      </c>
      <c r="D3761" s="19">
        <v>5.0699999999999985</v>
      </c>
    </row>
    <row r="3762" spans="1:4" x14ac:dyDescent="0.2">
      <c r="A3762" s="19" t="s">
        <v>150</v>
      </c>
      <c r="B3762" s="19">
        <v>24.4</v>
      </c>
      <c r="C3762" s="19">
        <v>2</v>
      </c>
      <c r="D3762" s="19">
        <v>10.248000000000001</v>
      </c>
    </row>
    <row r="3763" spans="1:4" x14ac:dyDescent="0.2">
      <c r="A3763" s="19" t="s">
        <v>180</v>
      </c>
      <c r="B3763" s="19">
        <v>87.6</v>
      </c>
      <c r="C3763" s="19">
        <v>5</v>
      </c>
      <c r="D3763" s="19">
        <v>42.047999999999995</v>
      </c>
    </row>
    <row r="3764" spans="1:4" x14ac:dyDescent="0.2">
      <c r="A3764" s="19" t="s">
        <v>155</v>
      </c>
      <c r="B3764" s="19">
        <v>241.96</v>
      </c>
      <c r="C3764" s="19">
        <v>2</v>
      </c>
      <c r="D3764" s="19">
        <v>24.195999999999998</v>
      </c>
    </row>
    <row r="3765" spans="1:4" x14ac:dyDescent="0.2">
      <c r="A3765" s="19" t="s">
        <v>155</v>
      </c>
      <c r="B3765" s="19">
        <v>8.52</v>
      </c>
      <c r="C3765" s="19">
        <v>3</v>
      </c>
      <c r="D3765" s="19">
        <v>4.1747999999999994</v>
      </c>
    </row>
    <row r="3766" spans="1:4" x14ac:dyDescent="0.2">
      <c r="A3766" s="19" t="s">
        <v>159</v>
      </c>
      <c r="B3766" s="19">
        <v>1.7879999999999996</v>
      </c>
      <c r="C3766" s="19">
        <v>3</v>
      </c>
      <c r="D3766" s="19">
        <v>-3.0396000000000001</v>
      </c>
    </row>
    <row r="3767" spans="1:4" x14ac:dyDescent="0.2">
      <c r="A3767" s="19" t="s">
        <v>154</v>
      </c>
      <c r="B3767" s="19">
        <v>99.372</v>
      </c>
      <c r="C3767" s="19">
        <v>2</v>
      </c>
      <c r="D3767" s="19">
        <v>-1.4196000000000097</v>
      </c>
    </row>
    <row r="3768" spans="1:4" x14ac:dyDescent="0.2">
      <c r="A3768" s="19" t="s">
        <v>154</v>
      </c>
      <c r="B3768" s="19">
        <v>1.3440000000000001</v>
      </c>
      <c r="C3768" s="19">
        <v>1</v>
      </c>
      <c r="D3768" s="19">
        <v>0.504</v>
      </c>
    </row>
    <row r="3769" spans="1:4" x14ac:dyDescent="0.2">
      <c r="A3769" s="19" t="s">
        <v>154</v>
      </c>
      <c r="B3769" s="19">
        <v>119.96000000000001</v>
      </c>
      <c r="C3769" s="19">
        <v>5</v>
      </c>
      <c r="D3769" s="19">
        <v>11.996000000000002</v>
      </c>
    </row>
    <row r="3770" spans="1:4" x14ac:dyDescent="0.2">
      <c r="A3770" s="19" t="s">
        <v>151</v>
      </c>
      <c r="B3770" s="19">
        <v>1013.8320000000001</v>
      </c>
      <c r="C3770" s="19">
        <v>9</v>
      </c>
      <c r="D3770" s="19">
        <v>101.38319999999999</v>
      </c>
    </row>
    <row r="3771" spans="1:4" x14ac:dyDescent="0.2">
      <c r="A3771" s="19" t="s">
        <v>151</v>
      </c>
      <c r="B3771" s="19">
        <v>1.984</v>
      </c>
      <c r="C3771" s="19">
        <v>2</v>
      </c>
      <c r="D3771" s="19">
        <v>0.66959999999999997</v>
      </c>
    </row>
    <row r="3772" spans="1:4" x14ac:dyDescent="0.2">
      <c r="A3772" s="19" t="s">
        <v>150</v>
      </c>
      <c r="B3772" s="19">
        <v>2003.52</v>
      </c>
      <c r="C3772" s="19">
        <v>6</v>
      </c>
      <c r="D3772" s="19">
        <v>-325.57200000000023</v>
      </c>
    </row>
    <row r="3773" spans="1:4" x14ac:dyDescent="0.2">
      <c r="A3773" s="19" t="s">
        <v>158</v>
      </c>
      <c r="B3773" s="19">
        <v>82.367999999999995</v>
      </c>
      <c r="C3773" s="19">
        <v>2</v>
      </c>
      <c r="D3773" s="19">
        <v>-19.562399999999997</v>
      </c>
    </row>
    <row r="3774" spans="1:4" x14ac:dyDescent="0.2">
      <c r="A3774" s="19" t="s">
        <v>169</v>
      </c>
      <c r="B3774" s="19">
        <v>62.91</v>
      </c>
      <c r="C3774" s="19">
        <v>3</v>
      </c>
      <c r="D3774" s="19">
        <v>22.647599999999997</v>
      </c>
    </row>
    <row r="3775" spans="1:4" x14ac:dyDescent="0.2">
      <c r="A3775" s="19" t="s">
        <v>151</v>
      </c>
      <c r="B3775" s="19">
        <v>6.911999999999999</v>
      </c>
      <c r="C3775" s="19">
        <v>3</v>
      </c>
      <c r="D3775" s="19">
        <v>2.3327999999999998</v>
      </c>
    </row>
    <row r="3776" spans="1:4" x14ac:dyDescent="0.2">
      <c r="A3776" s="19" t="s">
        <v>151</v>
      </c>
      <c r="B3776" s="19">
        <v>383.97600000000006</v>
      </c>
      <c r="C3776" s="19">
        <v>3</v>
      </c>
      <c r="D3776" s="19">
        <v>81.59490000000001</v>
      </c>
    </row>
    <row r="3777" spans="1:4" x14ac:dyDescent="0.2">
      <c r="A3777" s="19" t="s">
        <v>151</v>
      </c>
      <c r="B3777" s="19">
        <v>10.368000000000002</v>
      </c>
      <c r="C3777" s="19">
        <v>2</v>
      </c>
      <c r="D3777" s="19">
        <v>3.6288</v>
      </c>
    </row>
    <row r="3778" spans="1:4" x14ac:dyDescent="0.2">
      <c r="A3778" s="19" t="s">
        <v>151</v>
      </c>
      <c r="B3778" s="19">
        <v>335.94400000000002</v>
      </c>
      <c r="C3778" s="19">
        <v>7</v>
      </c>
      <c r="D3778" s="19">
        <v>41.992999999999995</v>
      </c>
    </row>
    <row r="3779" spans="1:4" x14ac:dyDescent="0.2">
      <c r="A3779" s="19" t="s">
        <v>150</v>
      </c>
      <c r="B3779" s="19">
        <v>665.88</v>
      </c>
      <c r="C3779" s="19">
        <v>6</v>
      </c>
      <c r="D3779" s="19">
        <v>106.54079999999999</v>
      </c>
    </row>
    <row r="3780" spans="1:4" x14ac:dyDescent="0.2">
      <c r="A3780" s="19" t="s">
        <v>151</v>
      </c>
      <c r="B3780" s="19">
        <v>71.975999999999999</v>
      </c>
      <c r="C3780" s="19">
        <v>3</v>
      </c>
      <c r="D3780" s="19">
        <v>8.9969999999999892</v>
      </c>
    </row>
    <row r="3781" spans="1:4" x14ac:dyDescent="0.2">
      <c r="A3781" s="19" t="s">
        <v>164</v>
      </c>
      <c r="B3781" s="19">
        <v>37.94</v>
      </c>
      <c r="C3781" s="19">
        <v>2</v>
      </c>
      <c r="D3781" s="19">
        <v>18.211199999999998</v>
      </c>
    </row>
    <row r="3782" spans="1:4" x14ac:dyDescent="0.2">
      <c r="A3782" s="19" t="s">
        <v>189</v>
      </c>
      <c r="B3782" s="19">
        <v>273.95999999999998</v>
      </c>
      <c r="C3782" s="19">
        <v>2</v>
      </c>
      <c r="D3782" s="19">
        <v>10.958399999999983</v>
      </c>
    </row>
    <row r="3783" spans="1:4" x14ac:dyDescent="0.2">
      <c r="A3783" s="19" t="s">
        <v>158</v>
      </c>
      <c r="B3783" s="19">
        <v>269.98199999999997</v>
      </c>
      <c r="C3783" s="19">
        <v>3</v>
      </c>
      <c r="D3783" s="19">
        <v>40.497299999999996</v>
      </c>
    </row>
    <row r="3784" spans="1:4" x14ac:dyDescent="0.2">
      <c r="A3784" s="19" t="s">
        <v>167</v>
      </c>
      <c r="B3784" s="19">
        <v>8.9039999999999999</v>
      </c>
      <c r="C3784" s="19">
        <v>3</v>
      </c>
      <c r="D3784" s="19">
        <v>3.3389999999999995</v>
      </c>
    </row>
    <row r="3785" spans="1:4" x14ac:dyDescent="0.2">
      <c r="A3785" s="19" t="s">
        <v>167</v>
      </c>
      <c r="B3785" s="19">
        <v>720.06400000000008</v>
      </c>
      <c r="C3785" s="19">
        <v>4</v>
      </c>
      <c r="D3785" s="19">
        <v>-63.005600000000015</v>
      </c>
    </row>
    <row r="3786" spans="1:4" x14ac:dyDescent="0.2">
      <c r="A3786" s="19" t="s">
        <v>151</v>
      </c>
      <c r="B3786" s="19">
        <v>41.424000000000007</v>
      </c>
      <c r="C3786" s="19">
        <v>2</v>
      </c>
      <c r="D3786" s="19">
        <v>8.2847999999999971</v>
      </c>
    </row>
    <row r="3787" spans="1:4" x14ac:dyDescent="0.2">
      <c r="A3787" s="19" t="s">
        <v>173</v>
      </c>
      <c r="B3787" s="19">
        <v>3.1320000000000001</v>
      </c>
      <c r="C3787" s="19">
        <v>2</v>
      </c>
      <c r="D3787" s="19">
        <v>-2.6099999999999994</v>
      </c>
    </row>
    <row r="3788" spans="1:4" x14ac:dyDescent="0.2">
      <c r="A3788" s="19" t="s">
        <v>150</v>
      </c>
      <c r="B3788" s="19">
        <v>1085.42</v>
      </c>
      <c r="C3788" s="19">
        <v>7</v>
      </c>
      <c r="D3788" s="19">
        <v>282.20920000000001</v>
      </c>
    </row>
    <row r="3789" spans="1:4" x14ac:dyDescent="0.2">
      <c r="A3789" s="19" t="s">
        <v>154</v>
      </c>
      <c r="B3789" s="19">
        <v>3.9119999999999999</v>
      </c>
      <c r="C3789" s="19">
        <v>1</v>
      </c>
      <c r="D3789" s="19">
        <v>1.0269000000000001</v>
      </c>
    </row>
    <row r="3790" spans="1:4" x14ac:dyDescent="0.2">
      <c r="A3790" s="19" t="s">
        <v>154</v>
      </c>
      <c r="B3790" s="19">
        <v>62.376000000000005</v>
      </c>
      <c r="C3790" s="19">
        <v>3</v>
      </c>
      <c r="D3790" s="19">
        <v>7.0172999999999952</v>
      </c>
    </row>
    <row r="3791" spans="1:4" x14ac:dyDescent="0.2">
      <c r="A3791" s="19" t="s">
        <v>157</v>
      </c>
      <c r="B3791" s="19">
        <v>29.049999999999997</v>
      </c>
      <c r="C3791" s="19">
        <v>5</v>
      </c>
      <c r="D3791" s="19">
        <v>9.0054999999999996</v>
      </c>
    </row>
    <row r="3792" spans="1:4" x14ac:dyDescent="0.2">
      <c r="A3792" s="19" t="s">
        <v>150</v>
      </c>
      <c r="B3792" s="19">
        <v>180.96000000000004</v>
      </c>
      <c r="C3792" s="19">
        <v>6</v>
      </c>
      <c r="D3792" s="19">
        <v>67.86</v>
      </c>
    </row>
    <row r="3793" spans="1:4" x14ac:dyDescent="0.2">
      <c r="A3793" s="19" t="s">
        <v>158</v>
      </c>
      <c r="B3793" s="19">
        <v>4.4190000000000005</v>
      </c>
      <c r="C3793" s="19">
        <v>3</v>
      </c>
      <c r="D3793" s="19">
        <v>-3.3879000000000001</v>
      </c>
    </row>
    <row r="3794" spans="1:4" x14ac:dyDescent="0.2">
      <c r="A3794" s="19" t="s">
        <v>158</v>
      </c>
      <c r="B3794" s="19">
        <v>16.032</v>
      </c>
      <c r="C3794" s="19">
        <v>6</v>
      </c>
      <c r="D3794" s="19">
        <v>2.2043999999999979</v>
      </c>
    </row>
    <row r="3795" spans="1:4" x14ac:dyDescent="0.2">
      <c r="A3795" s="19" t="s">
        <v>164</v>
      </c>
      <c r="B3795" s="19">
        <v>29.79</v>
      </c>
      <c r="C3795" s="19">
        <v>3</v>
      </c>
      <c r="D3795" s="19">
        <v>12.511800000000001</v>
      </c>
    </row>
    <row r="3796" spans="1:4" x14ac:dyDescent="0.2">
      <c r="A3796" s="19" t="s">
        <v>150</v>
      </c>
      <c r="B3796" s="19">
        <v>57.23</v>
      </c>
      <c r="C3796" s="19">
        <v>1</v>
      </c>
      <c r="D3796" s="19">
        <v>14.307499999999997</v>
      </c>
    </row>
    <row r="3797" spans="1:4" x14ac:dyDescent="0.2">
      <c r="A3797" s="19" t="s">
        <v>150</v>
      </c>
      <c r="B3797" s="19">
        <v>333</v>
      </c>
      <c r="C3797" s="19">
        <v>3</v>
      </c>
      <c r="D3797" s="19">
        <v>-16.649999999999991</v>
      </c>
    </row>
    <row r="3798" spans="1:4" x14ac:dyDescent="0.2">
      <c r="A3798" s="19" t="s">
        <v>150</v>
      </c>
      <c r="B3798" s="19">
        <v>36.44</v>
      </c>
      <c r="C3798" s="19">
        <v>4</v>
      </c>
      <c r="D3798" s="19">
        <v>12.025199999999998</v>
      </c>
    </row>
    <row r="3799" spans="1:4" x14ac:dyDescent="0.2">
      <c r="A3799" s="19" t="s">
        <v>151</v>
      </c>
      <c r="B3799" s="19">
        <v>251.64</v>
      </c>
      <c r="C3799" s="19">
        <v>3</v>
      </c>
      <c r="D3799" s="19">
        <v>88.073999999999984</v>
      </c>
    </row>
    <row r="3800" spans="1:4" x14ac:dyDescent="0.2">
      <c r="A3800" s="19" t="s">
        <v>152</v>
      </c>
      <c r="B3800" s="19">
        <v>523.76400000000001</v>
      </c>
      <c r="C3800" s="19">
        <v>3</v>
      </c>
      <c r="D3800" s="19">
        <v>-192.04680000000008</v>
      </c>
    </row>
    <row r="3801" spans="1:4" x14ac:dyDescent="0.2">
      <c r="A3801" s="19" t="s">
        <v>152</v>
      </c>
      <c r="B3801" s="19">
        <v>1359.96</v>
      </c>
      <c r="C3801" s="19">
        <v>5</v>
      </c>
      <c r="D3801" s="19">
        <v>118.99650000000003</v>
      </c>
    </row>
    <row r="3802" spans="1:4" x14ac:dyDescent="0.2">
      <c r="A3802" s="19" t="s">
        <v>152</v>
      </c>
      <c r="B3802" s="19">
        <v>102.59200000000001</v>
      </c>
      <c r="C3802" s="19">
        <v>1</v>
      </c>
      <c r="D3802" s="19">
        <v>10.2592</v>
      </c>
    </row>
    <row r="3803" spans="1:4" x14ac:dyDescent="0.2">
      <c r="A3803" s="19" t="s">
        <v>152</v>
      </c>
      <c r="B3803" s="19">
        <v>22.704000000000001</v>
      </c>
      <c r="C3803" s="19">
        <v>1</v>
      </c>
      <c r="D3803" s="19">
        <v>5.9597999999999995</v>
      </c>
    </row>
    <row r="3804" spans="1:4" x14ac:dyDescent="0.2">
      <c r="A3804" s="19" t="s">
        <v>152</v>
      </c>
      <c r="B3804" s="19">
        <v>93.024000000000001</v>
      </c>
      <c r="C3804" s="19">
        <v>3</v>
      </c>
      <c r="D3804" s="19">
        <v>33.721199999999996</v>
      </c>
    </row>
    <row r="3805" spans="1:4" x14ac:dyDescent="0.2">
      <c r="A3805" s="19" t="s">
        <v>152</v>
      </c>
      <c r="B3805" s="19">
        <v>12.768000000000001</v>
      </c>
      <c r="C3805" s="19">
        <v>2</v>
      </c>
      <c r="D3805" s="19">
        <v>1.436399999999999</v>
      </c>
    </row>
    <row r="3806" spans="1:4" x14ac:dyDescent="0.2">
      <c r="A3806" s="19" t="s">
        <v>152</v>
      </c>
      <c r="B3806" s="19">
        <v>35.008000000000003</v>
      </c>
      <c r="C3806" s="19">
        <v>4</v>
      </c>
      <c r="D3806" s="19">
        <v>13.127999999999998</v>
      </c>
    </row>
    <row r="3807" spans="1:4" x14ac:dyDescent="0.2">
      <c r="A3807" s="19" t="s">
        <v>152</v>
      </c>
      <c r="B3807" s="19">
        <v>39.152000000000001</v>
      </c>
      <c r="C3807" s="19">
        <v>1</v>
      </c>
      <c r="D3807" s="19">
        <v>14.681999999999999</v>
      </c>
    </row>
    <row r="3808" spans="1:4" x14ac:dyDescent="0.2">
      <c r="A3808" s="19" t="s">
        <v>151</v>
      </c>
      <c r="B3808" s="19">
        <v>11.76</v>
      </c>
      <c r="C3808" s="19">
        <v>5</v>
      </c>
      <c r="D3808" s="19">
        <v>1.3229999999999991</v>
      </c>
    </row>
    <row r="3809" spans="1:4" x14ac:dyDescent="0.2">
      <c r="A3809" s="19" t="s">
        <v>151</v>
      </c>
      <c r="B3809" s="19">
        <v>5.2380000000000013</v>
      </c>
      <c r="C3809" s="19">
        <v>2</v>
      </c>
      <c r="D3809" s="19">
        <v>-4.0158000000000005</v>
      </c>
    </row>
    <row r="3810" spans="1:4" x14ac:dyDescent="0.2">
      <c r="A3810" s="19" t="s">
        <v>151</v>
      </c>
      <c r="B3810" s="19">
        <v>4.6619999999999999</v>
      </c>
      <c r="C3810" s="19">
        <v>3</v>
      </c>
      <c r="D3810" s="19">
        <v>-3.7295999999999996</v>
      </c>
    </row>
    <row r="3811" spans="1:4" x14ac:dyDescent="0.2">
      <c r="A3811" s="19" t="s">
        <v>151</v>
      </c>
      <c r="B3811" s="19">
        <v>523.91999999999996</v>
      </c>
      <c r="C3811" s="19">
        <v>5</v>
      </c>
      <c r="D3811" s="19">
        <v>-72.039000000000044</v>
      </c>
    </row>
    <row r="3812" spans="1:4" x14ac:dyDescent="0.2">
      <c r="A3812" s="19" t="s">
        <v>151</v>
      </c>
      <c r="B3812" s="19">
        <v>100.792</v>
      </c>
      <c r="C3812" s="19">
        <v>1</v>
      </c>
      <c r="D3812" s="19">
        <v>10.079200000000007</v>
      </c>
    </row>
    <row r="3813" spans="1:4" x14ac:dyDescent="0.2">
      <c r="A3813" s="19" t="s">
        <v>151</v>
      </c>
      <c r="B3813" s="19">
        <v>146.13600000000002</v>
      </c>
      <c r="C3813" s="19">
        <v>3</v>
      </c>
      <c r="D3813" s="19">
        <v>16.440299999999986</v>
      </c>
    </row>
    <row r="3814" spans="1:4" x14ac:dyDescent="0.2">
      <c r="A3814" s="19" t="s">
        <v>155</v>
      </c>
      <c r="B3814" s="19">
        <v>25.06</v>
      </c>
      <c r="C3814" s="19">
        <v>2</v>
      </c>
      <c r="D3814" s="19">
        <v>11.778199999999998</v>
      </c>
    </row>
    <row r="3815" spans="1:4" x14ac:dyDescent="0.2">
      <c r="A3815" s="19" t="s">
        <v>159</v>
      </c>
      <c r="B3815" s="19">
        <v>19.824000000000002</v>
      </c>
      <c r="C3815" s="19">
        <v>6</v>
      </c>
      <c r="D3815" s="19">
        <v>6.4427999999999992</v>
      </c>
    </row>
    <row r="3816" spans="1:4" x14ac:dyDescent="0.2">
      <c r="A3816" s="19" t="s">
        <v>151</v>
      </c>
      <c r="B3816" s="19">
        <v>823.96000000000015</v>
      </c>
      <c r="C3816" s="19">
        <v>5</v>
      </c>
      <c r="D3816" s="19">
        <v>51.497499999999974</v>
      </c>
    </row>
    <row r="3817" spans="1:4" x14ac:dyDescent="0.2">
      <c r="A3817" s="19" t="s">
        <v>151</v>
      </c>
      <c r="B3817" s="19">
        <v>15.984000000000002</v>
      </c>
      <c r="C3817" s="19">
        <v>2</v>
      </c>
      <c r="D3817" s="19">
        <v>4.9949999999999992</v>
      </c>
    </row>
    <row r="3818" spans="1:4" x14ac:dyDescent="0.2">
      <c r="A3818" s="19" t="s">
        <v>168</v>
      </c>
      <c r="B3818" s="19">
        <v>801.96</v>
      </c>
      <c r="C3818" s="19">
        <v>2</v>
      </c>
      <c r="D3818" s="19">
        <v>200.49</v>
      </c>
    </row>
    <row r="3819" spans="1:4" x14ac:dyDescent="0.2">
      <c r="A3819" s="19" t="s">
        <v>168</v>
      </c>
      <c r="B3819" s="19">
        <v>59.97</v>
      </c>
      <c r="C3819" s="19">
        <v>3</v>
      </c>
      <c r="D3819" s="19">
        <v>0</v>
      </c>
    </row>
    <row r="3820" spans="1:4" x14ac:dyDescent="0.2">
      <c r="A3820" s="19" t="s">
        <v>168</v>
      </c>
      <c r="B3820" s="19">
        <v>1056.8599999999999</v>
      </c>
      <c r="C3820" s="19">
        <v>7</v>
      </c>
      <c r="D3820" s="19">
        <v>306.48939999999988</v>
      </c>
    </row>
    <row r="3821" spans="1:4" x14ac:dyDescent="0.2">
      <c r="A3821" s="19" t="s">
        <v>164</v>
      </c>
      <c r="B3821" s="19">
        <v>12.816000000000001</v>
      </c>
      <c r="C3821" s="19">
        <v>3</v>
      </c>
      <c r="D3821" s="19">
        <v>4.3253999999999984</v>
      </c>
    </row>
    <row r="3822" spans="1:4" x14ac:dyDescent="0.2">
      <c r="A3822" s="19" t="s">
        <v>164</v>
      </c>
      <c r="B3822" s="19">
        <v>314.35199999999998</v>
      </c>
      <c r="C3822" s="19">
        <v>3</v>
      </c>
      <c r="D3822" s="19">
        <v>-15.71759999999999</v>
      </c>
    </row>
    <row r="3823" spans="1:4" x14ac:dyDescent="0.2">
      <c r="A3823" s="19" t="s">
        <v>164</v>
      </c>
      <c r="B3823" s="19">
        <v>18.98</v>
      </c>
      <c r="C3823" s="19">
        <v>2</v>
      </c>
      <c r="D3823" s="19">
        <v>8.9206000000000003</v>
      </c>
    </row>
    <row r="3824" spans="1:4" x14ac:dyDescent="0.2">
      <c r="A3824" s="19" t="s">
        <v>164</v>
      </c>
      <c r="B3824" s="19">
        <v>18.240000000000002</v>
      </c>
      <c r="C3824" s="19">
        <v>6</v>
      </c>
      <c r="D3824" s="19">
        <v>6.1560000000000006</v>
      </c>
    </row>
    <row r="3825" spans="1:4" x14ac:dyDescent="0.2">
      <c r="A3825" s="19" t="s">
        <v>164</v>
      </c>
      <c r="B3825" s="19">
        <v>991.19999999999993</v>
      </c>
      <c r="C3825" s="19">
        <v>6</v>
      </c>
      <c r="D3825" s="19">
        <v>257.71199999999999</v>
      </c>
    </row>
    <row r="3826" spans="1:4" x14ac:dyDescent="0.2">
      <c r="A3826" s="19" t="s">
        <v>164</v>
      </c>
      <c r="B3826" s="19">
        <v>879.98400000000004</v>
      </c>
      <c r="C3826" s="19">
        <v>2</v>
      </c>
      <c r="D3826" s="19">
        <v>329.99400000000003</v>
      </c>
    </row>
    <row r="3827" spans="1:4" x14ac:dyDescent="0.2">
      <c r="A3827" s="19" t="s">
        <v>164</v>
      </c>
      <c r="B3827" s="19">
        <v>12.96</v>
      </c>
      <c r="C3827" s="19">
        <v>9</v>
      </c>
      <c r="D3827" s="19">
        <v>4.5359999999999996</v>
      </c>
    </row>
    <row r="3828" spans="1:4" x14ac:dyDescent="0.2">
      <c r="A3828" s="19" t="s">
        <v>154</v>
      </c>
      <c r="B3828" s="19">
        <v>107.44</v>
      </c>
      <c r="C3828" s="19">
        <v>10</v>
      </c>
      <c r="D3828" s="19">
        <v>10.744000000000007</v>
      </c>
    </row>
    <row r="3829" spans="1:4" x14ac:dyDescent="0.2">
      <c r="A3829" s="19" t="s">
        <v>161</v>
      </c>
      <c r="B3829" s="19">
        <v>1458.65</v>
      </c>
      <c r="C3829" s="19">
        <v>5</v>
      </c>
      <c r="D3829" s="19">
        <v>423.00849999999997</v>
      </c>
    </row>
    <row r="3830" spans="1:4" x14ac:dyDescent="0.2">
      <c r="A3830" s="19" t="s">
        <v>161</v>
      </c>
      <c r="B3830" s="19">
        <v>26.64</v>
      </c>
      <c r="C3830" s="19">
        <v>1</v>
      </c>
      <c r="D3830" s="19">
        <v>7.4591999999999992</v>
      </c>
    </row>
    <row r="3831" spans="1:4" x14ac:dyDescent="0.2">
      <c r="A3831" s="19" t="s">
        <v>161</v>
      </c>
      <c r="B3831" s="19">
        <v>476.8</v>
      </c>
      <c r="C3831" s="19">
        <v>2</v>
      </c>
      <c r="D3831" s="19">
        <v>119.19999999999999</v>
      </c>
    </row>
    <row r="3832" spans="1:4" x14ac:dyDescent="0.2">
      <c r="A3832" s="19" t="s">
        <v>161</v>
      </c>
      <c r="B3832" s="19">
        <v>87.444000000000003</v>
      </c>
      <c r="C3832" s="19">
        <v>2</v>
      </c>
      <c r="D3832" s="19">
        <v>18.460399999999986</v>
      </c>
    </row>
    <row r="3833" spans="1:4" x14ac:dyDescent="0.2">
      <c r="A3833" s="19" t="s">
        <v>162</v>
      </c>
      <c r="B3833" s="19">
        <v>76.14</v>
      </c>
      <c r="C3833" s="19">
        <v>3</v>
      </c>
      <c r="D3833" s="19">
        <v>26.648999999999997</v>
      </c>
    </row>
    <row r="3834" spans="1:4" x14ac:dyDescent="0.2">
      <c r="A3834" s="19" t="s">
        <v>162</v>
      </c>
      <c r="B3834" s="19">
        <v>19.96</v>
      </c>
      <c r="C3834" s="19">
        <v>2</v>
      </c>
      <c r="D3834" s="19">
        <v>9.3811999999999998</v>
      </c>
    </row>
    <row r="3835" spans="1:4" x14ac:dyDescent="0.2">
      <c r="A3835" s="19" t="s">
        <v>173</v>
      </c>
      <c r="B3835" s="19">
        <v>1049.97</v>
      </c>
      <c r="C3835" s="19">
        <v>5</v>
      </c>
      <c r="D3835" s="19">
        <v>-209.99399999999991</v>
      </c>
    </row>
    <row r="3836" spans="1:4" x14ac:dyDescent="0.2">
      <c r="A3836" s="19" t="s">
        <v>173</v>
      </c>
      <c r="B3836" s="19">
        <v>611.05799999999999</v>
      </c>
      <c r="C3836" s="19">
        <v>3</v>
      </c>
      <c r="D3836" s="19">
        <v>-34.917600000000022</v>
      </c>
    </row>
    <row r="3837" spans="1:4" x14ac:dyDescent="0.2">
      <c r="A3837" s="19" t="s">
        <v>165</v>
      </c>
      <c r="B3837" s="19">
        <v>2.3679999999999999</v>
      </c>
      <c r="C3837" s="19">
        <v>2</v>
      </c>
      <c r="D3837" s="19">
        <v>0.82879999999999987</v>
      </c>
    </row>
    <row r="3838" spans="1:4" x14ac:dyDescent="0.2">
      <c r="A3838" s="19" t="s">
        <v>165</v>
      </c>
      <c r="B3838" s="19">
        <v>19.008000000000003</v>
      </c>
      <c r="C3838" s="19">
        <v>3</v>
      </c>
      <c r="D3838" s="19">
        <v>6.8903999999999979</v>
      </c>
    </row>
    <row r="3839" spans="1:4" x14ac:dyDescent="0.2">
      <c r="A3839" s="19" t="s">
        <v>181</v>
      </c>
      <c r="B3839" s="19">
        <v>911.98400000000004</v>
      </c>
      <c r="C3839" s="19">
        <v>2</v>
      </c>
      <c r="D3839" s="19">
        <v>113.99799999999991</v>
      </c>
    </row>
    <row r="3840" spans="1:4" x14ac:dyDescent="0.2">
      <c r="A3840" s="19" t="s">
        <v>181</v>
      </c>
      <c r="B3840" s="19">
        <v>674.35200000000009</v>
      </c>
      <c r="C3840" s="19">
        <v>3</v>
      </c>
      <c r="D3840" s="19">
        <v>-109.58220000000011</v>
      </c>
    </row>
    <row r="3841" spans="1:4" x14ac:dyDescent="0.2">
      <c r="A3841" s="19" t="s">
        <v>181</v>
      </c>
      <c r="B3841" s="19">
        <v>134.01</v>
      </c>
      <c r="C3841" s="19">
        <v>9</v>
      </c>
      <c r="D3841" s="19">
        <v>36.182700000000004</v>
      </c>
    </row>
    <row r="3842" spans="1:4" x14ac:dyDescent="0.2">
      <c r="A3842" s="19" t="s">
        <v>181</v>
      </c>
      <c r="B3842" s="19">
        <v>170.97</v>
      </c>
      <c r="C3842" s="19">
        <v>3</v>
      </c>
      <c r="D3842" s="19">
        <v>70.097700000000003</v>
      </c>
    </row>
    <row r="3843" spans="1:4" x14ac:dyDescent="0.2">
      <c r="A3843" s="19" t="s">
        <v>167</v>
      </c>
      <c r="B3843" s="19">
        <v>170.35200000000003</v>
      </c>
      <c r="C3843" s="19">
        <v>3</v>
      </c>
      <c r="D3843" s="19">
        <v>10.647000000000006</v>
      </c>
    </row>
    <row r="3844" spans="1:4" x14ac:dyDescent="0.2">
      <c r="A3844" s="19" t="s">
        <v>150</v>
      </c>
      <c r="B3844" s="19">
        <v>7.1840000000000011</v>
      </c>
      <c r="C3844" s="19">
        <v>2</v>
      </c>
      <c r="D3844" s="19">
        <v>2.2449999999999992</v>
      </c>
    </row>
    <row r="3845" spans="1:4" x14ac:dyDescent="0.2">
      <c r="A3845" s="19" t="s">
        <v>150</v>
      </c>
      <c r="B3845" s="19">
        <v>6.28</v>
      </c>
      <c r="C3845" s="19">
        <v>2</v>
      </c>
      <c r="D3845" s="19">
        <v>6.2800000000000189E-2</v>
      </c>
    </row>
    <row r="3846" spans="1:4" x14ac:dyDescent="0.2">
      <c r="A3846" s="19" t="s">
        <v>150</v>
      </c>
      <c r="B3846" s="19">
        <v>480.74</v>
      </c>
      <c r="C3846" s="19">
        <v>2</v>
      </c>
      <c r="D3846" s="19">
        <v>14.422200000000032</v>
      </c>
    </row>
    <row r="3847" spans="1:4" x14ac:dyDescent="0.2">
      <c r="A3847" s="19" t="s">
        <v>150</v>
      </c>
      <c r="B3847" s="19">
        <v>616.99800000000005</v>
      </c>
      <c r="C3847" s="19">
        <v>6</v>
      </c>
      <c r="D3847" s="19">
        <v>-36.293999999999997</v>
      </c>
    </row>
    <row r="3848" spans="1:4" x14ac:dyDescent="0.2">
      <c r="A3848" s="19" t="s">
        <v>150</v>
      </c>
      <c r="B3848" s="19">
        <v>141.4</v>
      </c>
      <c r="C3848" s="19">
        <v>5</v>
      </c>
      <c r="D3848" s="19">
        <v>38.177999999999997</v>
      </c>
    </row>
    <row r="3849" spans="1:4" x14ac:dyDescent="0.2">
      <c r="A3849" s="19" t="s">
        <v>161</v>
      </c>
      <c r="B3849" s="19">
        <v>501.81000000000006</v>
      </c>
      <c r="C3849" s="19">
        <v>3</v>
      </c>
      <c r="D3849" s="19">
        <v>0</v>
      </c>
    </row>
    <row r="3850" spans="1:4" x14ac:dyDescent="0.2">
      <c r="A3850" s="19" t="s">
        <v>184</v>
      </c>
      <c r="B3850" s="19">
        <v>691.96</v>
      </c>
      <c r="C3850" s="19">
        <v>4</v>
      </c>
      <c r="D3850" s="19">
        <v>318.30160000000001</v>
      </c>
    </row>
    <row r="3851" spans="1:4" x14ac:dyDescent="0.2">
      <c r="A3851" s="19" t="s">
        <v>184</v>
      </c>
      <c r="B3851" s="19">
        <v>34.950000000000003</v>
      </c>
      <c r="C3851" s="19">
        <v>5</v>
      </c>
      <c r="D3851" s="19">
        <v>15.378000000000004</v>
      </c>
    </row>
    <row r="3852" spans="1:4" x14ac:dyDescent="0.2">
      <c r="A3852" s="19" t="s">
        <v>174</v>
      </c>
      <c r="B3852" s="19">
        <v>85.96</v>
      </c>
      <c r="C3852" s="19">
        <v>7</v>
      </c>
      <c r="D3852" s="19">
        <v>40.401199999999996</v>
      </c>
    </row>
    <row r="3853" spans="1:4" x14ac:dyDescent="0.2">
      <c r="A3853" s="19" t="s">
        <v>180</v>
      </c>
      <c r="B3853" s="19">
        <v>85.3</v>
      </c>
      <c r="C3853" s="19">
        <v>2</v>
      </c>
      <c r="D3853" s="19">
        <v>14.500999999999991</v>
      </c>
    </row>
    <row r="3854" spans="1:4" x14ac:dyDescent="0.2">
      <c r="A3854" s="19" t="s">
        <v>159</v>
      </c>
      <c r="B3854" s="19">
        <v>33.567999999999991</v>
      </c>
      <c r="C3854" s="19">
        <v>8</v>
      </c>
      <c r="D3854" s="19">
        <v>-53.708800000000025</v>
      </c>
    </row>
    <row r="3855" spans="1:4" x14ac:dyDescent="0.2">
      <c r="A3855" s="19" t="s">
        <v>150</v>
      </c>
      <c r="B3855" s="19">
        <v>4.95</v>
      </c>
      <c r="C3855" s="19">
        <v>1</v>
      </c>
      <c r="D3855" s="19">
        <v>2.1780000000000004</v>
      </c>
    </row>
    <row r="3856" spans="1:4" x14ac:dyDescent="0.2">
      <c r="A3856" s="19" t="s">
        <v>150</v>
      </c>
      <c r="B3856" s="19">
        <v>26.400000000000002</v>
      </c>
      <c r="C3856" s="19">
        <v>5</v>
      </c>
      <c r="D3856" s="19">
        <v>0</v>
      </c>
    </row>
    <row r="3857" spans="1:4" x14ac:dyDescent="0.2">
      <c r="A3857" s="19" t="s">
        <v>154</v>
      </c>
      <c r="B3857" s="19">
        <v>3.5639999999999992</v>
      </c>
      <c r="C3857" s="19">
        <v>3</v>
      </c>
      <c r="D3857" s="19">
        <v>-6.2370000000000019</v>
      </c>
    </row>
    <row r="3858" spans="1:4" x14ac:dyDescent="0.2">
      <c r="A3858" s="19" t="s">
        <v>154</v>
      </c>
      <c r="B3858" s="19">
        <v>823.96000000000015</v>
      </c>
      <c r="C3858" s="19">
        <v>5</v>
      </c>
      <c r="D3858" s="19">
        <v>51.497499999999974</v>
      </c>
    </row>
    <row r="3859" spans="1:4" x14ac:dyDescent="0.2">
      <c r="A3859" s="19" t="s">
        <v>154</v>
      </c>
      <c r="B3859" s="19">
        <v>10.272000000000002</v>
      </c>
      <c r="C3859" s="19">
        <v>3</v>
      </c>
      <c r="D3859" s="19">
        <v>0.89880000000000004</v>
      </c>
    </row>
    <row r="3860" spans="1:4" x14ac:dyDescent="0.2">
      <c r="A3860" s="19" t="s">
        <v>171</v>
      </c>
      <c r="B3860" s="19">
        <v>447.94399999999996</v>
      </c>
      <c r="C3860" s="19">
        <v>7</v>
      </c>
      <c r="D3860" s="19">
        <v>89.588799999999992</v>
      </c>
    </row>
    <row r="3861" spans="1:4" x14ac:dyDescent="0.2">
      <c r="A3861" s="19" t="s">
        <v>159</v>
      </c>
      <c r="B3861" s="19">
        <v>480.96</v>
      </c>
      <c r="C3861" s="19">
        <v>3</v>
      </c>
      <c r="D3861" s="19">
        <v>-269.33760000000001</v>
      </c>
    </row>
    <row r="3862" spans="1:4" x14ac:dyDescent="0.2">
      <c r="A3862" s="19" t="s">
        <v>159</v>
      </c>
      <c r="B3862" s="19">
        <v>124.79200000000002</v>
      </c>
      <c r="C3862" s="19">
        <v>1</v>
      </c>
      <c r="D3862" s="19">
        <v>10.919299999999996</v>
      </c>
    </row>
    <row r="3863" spans="1:4" x14ac:dyDescent="0.2">
      <c r="A3863" s="19" t="s">
        <v>164</v>
      </c>
      <c r="B3863" s="19">
        <v>40.176000000000002</v>
      </c>
      <c r="C3863" s="19">
        <v>3</v>
      </c>
      <c r="D3863" s="19">
        <v>14.563799999999997</v>
      </c>
    </row>
    <row r="3864" spans="1:4" x14ac:dyDescent="0.2">
      <c r="A3864" s="19" t="s">
        <v>164</v>
      </c>
      <c r="B3864" s="19">
        <v>10.896000000000001</v>
      </c>
      <c r="C3864" s="19">
        <v>3</v>
      </c>
      <c r="D3864" s="19">
        <v>3.9497999999999998</v>
      </c>
    </row>
    <row r="3865" spans="1:4" x14ac:dyDescent="0.2">
      <c r="A3865" s="19" t="s">
        <v>150</v>
      </c>
      <c r="B3865" s="19">
        <v>10.64</v>
      </c>
      <c r="C3865" s="19">
        <v>4</v>
      </c>
      <c r="D3865" s="19">
        <v>2.7664</v>
      </c>
    </row>
    <row r="3866" spans="1:4" x14ac:dyDescent="0.2">
      <c r="A3866" s="19" t="s">
        <v>159</v>
      </c>
      <c r="B3866" s="19">
        <v>151.96</v>
      </c>
      <c r="C3866" s="19">
        <v>5</v>
      </c>
      <c r="D3866" s="19">
        <v>-182.35200000000003</v>
      </c>
    </row>
    <row r="3867" spans="1:4" x14ac:dyDescent="0.2">
      <c r="A3867" s="19" t="s">
        <v>150</v>
      </c>
      <c r="B3867" s="19">
        <v>238</v>
      </c>
      <c r="C3867" s="19">
        <v>2</v>
      </c>
      <c r="D3867" s="19">
        <v>38.080000000000013</v>
      </c>
    </row>
    <row r="3868" spans="1:4" x14ac:dyDescent="0.2">
      <c r="A3868" s="19" t="s">
        <v>163</v>
      </c>
      <c r="B3868" s="19">
        <v>155.34</v>
      </c>
      <c r="C3868" s="19">
        <v>6</v>
      </c>
      <c r="D3868" s="19">
        <v>55.922399999999996</v>
      </c>
    </row>
    <row r="3869" spans="1:4" x14ac:dyDescent="0.2">
      <c r="A3869" s="19" t="s">
        <v>150</v>
      </c>
      <c r="B3869" s="19">
        <v>148.32</v>
      </c>
      <c r="C3869" s="19">
        <v>9</v>
      </c>
      <c r="D3869" s="19">
        <v>63.777600000000007</v>
      </c>
    </row>
    <row r="3870" spans="1:4" x14ac:dyDescent="0.2">
      <c r="A3870" s="19" t="s">
        <v>150</v>
      </c>
      <c r="B3870" s="19">
        <v>240.78400000000002</v>
      </c>
      <c r="C3870" s="19">
        <v>1</v>
      </c>
      <c r="D3870" s="19">
        <v>27.088199999999965</v>
      </c>
    </row>
    <row r="3871" spans="1:4" x14ac:dyDescent="0.2">
      <c r="A3871" s="19" t="s">
        <v>150</v>
      </c>
      <c r="B3871" s="19">
        <v>191.96800000000002</v>
      </c>
      <c r="C3871" s="19">
        <v>7</v>
      </c>
      <c r="D3871" s="19">
        <v>16.797200000000004</v>
      </c>
    </row>
    <row r="3872" spans="1:4" x14ac:dyDescent="0.2">
      <c r="A3872" s="19" t="s">
        <v>150</v>
      </c>
      <c r="B3872" s="19">
        <v>11.56</v>
      </c>
      <c r="C3872" s="19">
        <v>2</v>
      </c>
      <c r="D3872" s="19">
        <v>5.6644000000000005</v>
      </c>
    </row>
    <row r="3873" spans="1:4" x14ac:dyDescent="0.2">
      <c r="A3873" s="19" t="s">
        <v>150</v>
      </c>
      <c r="B3873" s="19">
        <v>11.8</v>
      </c>
      <c r="C3873" s="19">
        <v>4</v>
      </c>
      <c r="D3873" s="19">
        <v>5.6639999999999997</v>
      </c>
    </row>
    <row r="3874" spans="1:4" x14ac:dyDescent="0.2">
      <c r="A3874" s="19" t="s">
        <v>150</v>
      </c>
      <c r="B3874" s="19">
        <v>842.35200000000009</v>
      </c>
      <c r="C3874" s="19">
        <v>3</v>
      </c>
      <c r="D3874" s="19">
        <v>42.117600000000039</v>
      </c>
    </row>
    <row r="3875" spans="1:4" x14ac:dyDescent="0.2">
      <c r="A3875" s="19" t="s">
        <v>167</v>
      </c>
      <c r="B3875" s="19">
        <v>23.472000000000001</v>
      </c>
      <c r="C3875" s="19">
        <v>3</v>
      </c>
      <c r="D3875" s="19">
        <v>7.6283999999999974</v>
      </c>
    </row>
    <row r="3876" spans="1:4" x14ac:dyDescent="0.2">
      <c r="A3876" s="19" t="s">
        <v>167</v>
      </c>
      <c r="B3876" s="19">
        <v>86.058000000000007</v>
      </c>
      <c r="C3876" s="19">
        <v>7</v>
      </c>
      <c r="D3876" s="19">
        <v>-63.109199999999987</v>
      </c>
    </row>
    <row r="3877" spans="1:4" x14ac:dyDescent="0.2">
      <c r="A3877" s="19" t="s">
        <v>167</v>
      </c>
      <c r="B3877" s="19">
        <v>108.78399999999999</v>
      </c>
      <c r="C3877" s="19">
        <v>2</v>
      </c>
      <c r="D3877" s="19">
        <v>6.7990000000000066</v>
      </c>
    </row>
    <row r="3878" spans="1:4" x14ac:dyDescent="0.2">
      <c r="A3878" s="19" t="s">
        <v>167</v>
      </c>
      <c r="B3878" s="19">
        <v>10.272000000000002</v>
      </c>
      <c r="C3878" s="19">
        <v>3</v>
      </c>
      <c r="D3878" s="19">
        <v>3.2099999999999982</v>
      </c>
    </row>
    <row r="3879" spans="1:4" x14ac:dyDescent="0.2">
      <c r="A3879" s="19" t="s">
        <v>151</v>
      </c>
      <c r="B3879" s="19">
        <v>38.190000000000012</v>
      </c>
      <c r="C3879" s="19">
        <v>5</v>
      </c>
      <c r="D3879" s="19">
        <v>-26.732999999999997</v>
      </c>
    </row>
    <row r="3880" spans="1:4" x14ac:dyDescent="0.2">
      <c r="A3880" s="19" t="s">
        <v>159</v>
      </c>
      <c r="B3880" s="19">
        <v>49.632000000000005</v>
      </c>
      <c r="C3880" s="19">
        <v>4</v>
      </c>
      <c r="D3880" s="19">
        <v>3.7224000000000004</v>
      </c>
    </row>
    <row r="3881" spans="1:4" x14ac:dyDescent="0.2">
      <c r="A3881" s="19" t="s">
        <v>159</v>
      </c>
      <c r="B3881" s="19">
        <v>52.096000000000004</v>
      </c>
      <c r="C3881" s="19">
        <v>4</v>
      </c>
      <c r="D3881" s="19">
        <v>3.9072000000000031</v>
      </c>
    </row>
    <row r="3882" spans="1:4" x14ac:dyDescent="0.2">
      <c r="A3882" s="19" t="s">
        <v>165</v>
      </c>
      <c r="B3882" s="19">
        <v>9.5680000000000014</v>
      </c>
      <c r="C3882" s="19">
        <v>2</v>
      </c>
      <c r="D3882" s="19">
        <v>2.9899999999999993</v>
      </c>
    </row>
    <row r="3883" spans="1:4" x14ac:dyDescent="0.2">
      <c r="A3883" s="19" t="s">
        <v>165</v>
      </c>
      <c r="B3883" s="19">
        <v>82.367999999999995</v>
      </c>
      <c r="C3883" s="19">
        <v>2</v>
      </c>
      <c r="D3883" s="19">
        <v>-19.562399999999997</v>
      </c>
    </row>
    <row r="3884" spans="1:4" x14ac:dyDescent="0.2">
      <c r="A3884" s="19" t="s">
        <v>165</v>
      </c>
      <c r="B3884" s="19">
        <v>364.70400000000006</v>
      </c>
      <c r="C3884" s="19">
        <v>6</v>
      </c>
      <c r="D3884" s="19">
        <v>-36.470400000000041</v>
      </c>
    </row>
    <row r="3885" spans="1:4" x14ac:dyDescent="0.2">
      <c r="A3885" s="19" t="s">
        <v>165</v>
      </c>
      <c r="B3885" s="19">
        <v>40.256</v>
      </c>
      <c r="C3885" s="19">
        <v>4</v>
      </c>
      <c r="D3885" s="19">
        <v>11.070400000000003</v>
      </c>
    </row>
    <row r="3886" spans="1:4" x14ac:dyDescent="0.2">
      <c r="A3886" s="19" t="s">
        <v>167</v>
      </c>
      <c r="B3886" s="19">
        <v>4.3680000000000003</v>
      </c>
      <c r="C3886" s="19">
        <v>3</v>
      </c>
      <c r="D3886" s="19">
        <v>0.3822000000000001</v>
      </c>
    </row>
    <row r="3887" spans="1:4" x14ac:dyDescent="0.2">
      <c r="A3887" s="19" t="s">
        <v>159</v>
      </c>
      <c r="B3887" s="19">
        <v>12.127999999999997</v>
      </c>
      <c r="C3887" s="19">
        <v>4</v>
      </c>
      <c r="D3887" s="19">
        <v>-20.617600000000003</v>
      </c>
    </row>
    <row r="3888" spans="1:4" x14ac:dyDescent="0.2">
      <c r="A3888" s="19" t="s">
        <v>163</v>
      </c>
      <c r="B3888" s="19">
        <v>134.85000000000002</v>
      </c>
      <c r="C3888" s="19">
        <v>3</v>
      </c>
      <c r="D3888" s="19">
        <v>37.757999999999996</v>
      </c>
    </row>
    <row r="3889" spans="1:4" x14ac:dyDescent="0.2">
      <c r="A3889" s="19" t="s">
        <v>101</v>
      </c>
      <c r="B3889" s="19">
        <v>8.56</v>
      </c>
      <c r="C3889" s="19">
        <v>2</v>
      </c>
      <c r="D3889" s="19">
        <v>2.6536</v>
      </c>
    </row>
    <row r="3890" spans="1:4" x14ac:dyDescent="0.2">
      <c r="A3890" s="19" t="s">
        <v>101</v>
      </c>
      <c r="B3890" s="19">
        <v>239.96999999999997</v>
      </c>
      <c r="C3890" s="19">
        <v>3</v>
      </c>
      <c r="D3890" s="19">
        <v>67.191599999999994</v>
      </c>
    </row>
    <row r="3891" spans="1:4" x14ac:dyDescent="0.2">
      <c r="A3891" s="19" t="s">
        <v>101</v>
      </c>
      <c r="B3891" s="19">
        <v>356.94</v>
      </c>
      <c r="C3891" s="19">
        <v>2</v>
      </c>
      <c r="D3891" s="19">
        <v>107.08199999999997</v>
      </c>
    </row>
    <row r="3892" spans="1:4" x14ac:dyDescent="0.2">
      <c r="A3892" s="19" t="s">
        <v>150</v>
      </c>
      <c r="B3892" s="19">
        <v>659.9</v>
      </c>
      <c r="C3892" s="19">
        <v>2</v>
      </c>
      <c r="D3892" s="19">
        <v>217.76699999999994</v>
      </c>
    </row>
    <row r="3893" spans="1:4" x14ac:dyDescent="0.2">
      <c r="A3893" s="19" t="s">
        <v>150</v>
      </c>
      <c r="B3893" s="19">
        <v>1684.7520000000002</v>
      </c>
      <c r="C3893" s="19">
        <v>6</v>
      </c>
      <c r="D3893" s="19">
        <v>210.59399999999977</v>
      </c>
    </row>
    <row r="3894" spans="1:4" x14ac:dyDescent="0.2">
      <c r="A3894" s="19" t="s">
        <v>150</v>
      </c>
      <c r="B3894" s="19">
        <v>559.91999999999996</v>
      </c>
      <c r="C3894" s="19">
        <v>8</v>
      </c>
      <c r="D3894" s="19">
        <v>190.37279999999998</v>
      </c>
    </row>
    <row r="3895" spans="1:4" x14ac:dyDescent="0.2">
      <c r="A3895" s="19" t="s">
        <v>154</v>
      </c>
      <c r="B3895" s="19">
        <v>279.94400000000002</v>
      </c>
      <c r="C3895" s="19">
        <v>7</v>
      </c>
      <c r="D3895" s="19">
        <v>48.990200000000002</v>
      </c>
    </row>
    <row r="3896" spans="1:4" x14ac:dyDescent="0.2">
      <c r="A3896" s="19" t="s">
        <v>159</v>
      </c>
      <c r="B3896" s="19">
        <v>9.9799999999999969</v>
      </c>
      <c r="C3896" s="19">
        <v>5</v>
      </c>
      <c r="D3896" s="19">
        <v>-16.467000000000002</v>
      </c>
    </row>
    <row r="3897" spans="1:4" x14ac:dyDescent="0.2">
      <c r="A3897" s="19" t="s">
        <v>184</v>
      </c>
      <c r="B3897" s="19">
        <v>48.9</v>
      </c>
      <c r="C3897" s="19">
        <v>5</v>
      </c>
      <c r="D3897" s="19">
        <v>18.093</v>
      </c>
    </row>
    <row r="3898" spans="1:4" x14ac:dyDescent="0.2">
      <c r="A3898" s="19" t="s">
        <v>154</v>
      </c>
      <c r="B3898" s="19">
        <v>3.5519999999999996</v>
      </c>
      <c r="C3898" s="19">
        <v>3</v>
      </c>
      <c r="D3898" s="19">
        <v>1.2431999999999999</v>
      </c>
    </row>
    <row r="3899" spans="1:4" x14ac:dyDescent="0.2">
      <c r="A3899" s="19" t="s">
        <v>154</v>
      </c>
      <c r="B3899" s="19">
        <v>15.552000000000003</v>
      </c>
      <c r="C3899" s="19">
        <v>3</v>
      </c>
      <c r="D3899" s="19">
        <v>5.4432</v>
      </c>
    </row>
    <row r="3900" spans="1:4" x14ac:dyDescent="0.2">
      <c r="A3900" s="19" t="s">
        <v>154</v>
      </c>
      <c r="B3900" s="19">
        <v>2.3679999999999999</v>
      </c>
      <c r="C3900" s="19">
        <v>2</v>
      </c>
      <c r="D3900" s="19">
        <v>0.82879999999999987</v>
      </c>
    </row>
    <row r="3901" spans="1:4" x14ac:dyDescent="0.2">
      <c r="A3901" s="19" t="s">
        <v>173</v>
      </c>
      <c r="B3901" s="19">
        <v>127.98399999999999</v>
      </c>
      <c r="C3901" s="19">
        <v>2</v>
      </c>
      <c r="D3901" s="19">
        <v>25.596799999999998</v>
      </c>
    </row>
    <row r="3902" spans="1:4" x14ac:dyDescent="0.2">
      <c r="A3902" s="19" t="s">
        <v>154</v>
      </c>
      <c r="B3902" s="19">
        <v>10.368000000000002</v>
      </c>
      <c r="C3902" s="19">
        <v>2</v>
      </c>
      <c r="D3902" s="19">
        <v>3.6288</v>
      </c>
    </row>
    <row r="3903" spans="1:4" x14ac:dyDescent="0.2">
      <c r="A3903" s="19" t="s">
        <v>158</v>
      </c>
      <c r="B3903" s="19">
        <v>47.984000000000002</v>
      </c>
      <c r="C3903" s="19">
        <v>2</v>
      </c>
      <c r="D3903" s="19">
        <v>-1.199600000000002</v>
      </c>
    </row>
    <row r="3904" spans="1:4" x14ac:dyDescent="0.2">
      <c r="A3904" s="19" t="s">
        <v>150</v>
      </c>
      <c r="B3904" s="19">
        <v>270.33999999999997</v>
      </c>
      <c r="C3904" s="19">
        <v>14</v>
      </c>
      <c r="D3904" s="19">
        <v>75.6952</v>
      </c>
    </row>
    <row r="3905" spans="1:4" x14ac:dyDescent="0.2">
      <c r="A3905" s="19" t="s">
        <v>158</v>
      </c>
      <c r="B3905" s="19">
        <v>98.111999999999995</v>
      </c>
      <c r="C3905" s="19">
        <v>7</v>
      </c>
      <c r="D3905" s="19">
        <v>18.396000000000001</v>
      </c>
    </row>
    <row r="3906" spans="1:4" x14ac:dyDescent="0.2">
      <c r="A3906" s="19" t="s">
        <v>158</v>
      </c>
      <c r="B3906" s="19">
        <v>563.80799999999999</v>
      </c>
      <c r="C3906" s="19">
        <v>4</v>
      </c>
      <c r="D3906" s="19">
        <v>21.142799999999966</v>
      </c>
    </row>
    <row r="3907" spans="1:4" x14ac:dyDescent="0.2">
      <c r="A3907" s="19" t="s">
        <v>158</v>
      </c>
      <c r="B3907" s="19">
        <v>10.428000000000001</v>
      </c>
      <c r="C3907" s="19">
        <v>4</v>
      </c>
      <c r="D3907" s="19">
        <v>-6.9519999999999982</v>
      </c>
    </row>
    <row r="3908" spans="1:4" x14ac:dyDescent="0.2">
      <c r="A3908" s="19" t="s">
        <v>158</v>
      </c>
      <c r="B3908" s="19">
        <v>547.13599999999997</v>
      </c>
      <c r="C3908" s="19">
        <v>4</v>
      </c>
      <c r="D3908" s="19">
        <v>-68.392000000000053</v>
      </c>
    </row>
    <row r="3909" spans="1:4" x14ac:dyDescent="0.2">
      <c r="A3909" s="19" t="s">
        <v>158</v>
      </c>
      <c r="B3909" s="19">
        <v>14.850000000000001</v>
      </c>
      <c r="C3909" s="19">
        <v>5</v>
      </c>
      <c r="D3909" s="19">
        <v>-3.2175000000000002</v>
      </c>
    </row>
    <row r="3910" spans="1:4" x14ac:dyDescent="0.2">
      <c r="A3910" s="19" t="s">
        <v>158</v>
      </c>
      <c r="B3910" s="19">
        <v>41.988</v>
      </c>
      <c r="C3910" s="19">
        <v>2</v>
      </c>
      <c r="D3910" s="19">
        <v>-9.7972000000000037</v>
      </c>
    </row>
    <row r="3911" spans="1:4" x14ac:dyDescent="0.2">
      <c r="A3911" s="19" t="s">
        <v>158</v>
      </c>
      <c r="B3911" s="19">
        <v>7.5840000000000005</v>
      </c>
      <c r="C3911" s="19">
        <v>1</v>
      </c>
      <c r="D3911" s="19">
        <v>2.37</v>
      </c>
    </row>
    <row r="3912" spans="1:4" x14ac:dyDescent="0.2">
      <c r="A3912" s="19" t="s">
        <v>158</v>
      </c>
      <c r="B3912" s="19">
        <v>352.45</v>
      </c>
      <c r="C3912" s="19">
        <v>5</v>
      </c>
      <c r="D3912" s="19">
        <v>-211.47</v>
      </c>
    </row>
    <row r="3913" spans="1:4" x14ac:dyDescent="0.2">
      <c r="A3913" s="19" t="s">
        <v>154</v>
      </c>
      <c r="B3913" s="19">
        <v>470.37600000000009</v>
      </c>
      <c r="C3913" s="19">
        <v>3</v>
      </c>
      <c r="D3913" s="19">
        <v>52.917299999999955</v>
      </c>
    </row>
    <row r="3914" spans="1:4" x14ac:dyDescent="0.2">
      <c r="A3914" s="19" t="s">
        <v>164</v>
      </c>
      <c r="B3914" s="19">
        <v>19.440000000000001</v>
      </c>
      <c r="C3914" s="19">
        <v>3</v>
      </c>
      <c r="D3914" s="19">
        <v>9.3312000000000008</v>
      </c>
    </row>
    <row r="3915" spans="1:4" x14ac:dyDescent="0.2">
      <c r="A3915" s="19" t="s">
        <v>164</v>
      </c>
      <c r="B3915" s="19">
        <v>9.82</v>
      </c>
      <c r="C3915" s="19">
        <v>2</v>
      </c>
      <c r="D3915" s="19">
        <v>3.2405999999999997</v>
      </c>
    </row>
    <row r="3916" spans="1:4" x14ac:dyDescent="0.2">
      <c r="A3916" s="19" t="s">
        <v>165</v>
      </c>
      <c r="B3916" s="19">
        <v>801.59999999999991</v>
      </c>
      <c r="C3916" s="19">
        <v>5</v>
      </c>
      <c r="D3916" s="19">
        <v>-448.89599999999996</v>
      </c>
    </row>
    <row r="3917" spans="1:4" x14ac:dyDescent="0.2">
      <c r="A3917" s="19" t="s">
        <v>165</v>
      </c>
      <c r="B3917" s="19">
        <v>161.56800000000001</v>
      </c>
      <c r="C3917" s="19">
        <v>2</v>
      </c>
      <c r="D3917" s="19">
        <v>10.098000000000006</v>
      </c>
    </row>
    <row r="3918" spans="1:4" x14ac:dyDescent="0.2">
      <c r="A3918" s="19" t="s">
        <v>165</v>
      </c>
      <c r="B3918" s="19">
        <v>16.096</v>
      </c>
      <c r="C3918" s="19">
        <v>2</v>
      </c>
      <c r="D3918" s="19">
        <v>5.2312000000000003</v>
      </c>
    </row>
    <row r="3919" spans="1:4" x14ac:dyDescent="0.2">
      <c r="A3919" s="19" t="s">
        <v>165</v>
      </c>
      <c r="B3919" s="19">
        <v>7.6560000000000006</v>
      </c>
      <c r="C3919" s="19">
        <v>4</v>
      </c>
      <c r="D3919" s="19">
        <v>-6.1247999999999987</v>
      </c>
    </row>
    <row r="3920" spans="1:4" x14ac:dyDescent="0.2">
      <c r="A3920" s="19" t="s">
        <v>165</v>
      </c>
      <c r="B3920" s="19">
        <v>311.97600000000006</v>
      </c>
      <c r="C3920" s="19">
        <v>3</v>
      </c>
      <c r="D3920" s="19">
        <v>-42.89670000000001</v>
      </c>
    </row>
    <row r="3921" spans="1:4" x14ac:dyDescent="0.2">
      <c r="A3921" s="19" t="s">
        <v>166</v>
      </c>
      <c r="B3921" s="19">
        <v>61.68</v>
      </c>
      <c r="C3921" s="19">
        <v>4</v>
      </c>
      <c r="D3921" s="19">
        <v>16.653600000000004</v>
      </c>
    </row>
    <row r="3922" spans="1:4" x14ac:dyDescent="0.2">
      <c r="A3922" s="19" t="s">
        <v>166</v>
      </c>
      <c r="B3922" s="19">
        <v>63.96</v>
      </c>
      <c r="C3922" s="19">
        <v>4</v>
      </c>
      <c r="D3922" s="19">
        <v>30.700800000000001</v>
      </c>
    </row>
    <row r="3923" spans="1:4" x14ac:dyDescent="0.2">
      <c r="A3923" s="19" t="s">
        <v>159</v>
      </c>
      <c r="B3923" s="19">
        <v>359.97600000000006</v>
      </c>
      <c r="C3923" s="19">
        <v>3</v>
      </c>
      <c r="D3923" s="19">
        <v>35.997600000000006</v>
      </c>
    </row>
    <row r="3924" spans="1:4" x14ac:dyDescent="0.2">
      <c r="A3924" s="19" t="s">
        <v>159</v>
      </c>
      <c r="B3924" s="19">
        <v>25.344000000000001</v>
      </c>
      <c r="C3924" s="19">
        <v>6</v>
      </c>
      <c r="D3924" s="19">
        <v>7.92</v>
      </c>
    </row>
    <row r="3925" spans="1:4" x14ac:dyDescent="0.2">
      <c r="A3925" s="19" t="s">
        <v>159</v>
      </c>
      <c r="B3925" s="19">
        <v>26.720000000000002</v>
      </c>
      <c r="C3925" s="19">
        <v>5</v>
      </c>
      <c r="D3925" s="19">
        <v>9.3520000000000003</v>
      </c>
    </row>
    <row r="3926" spans="1:4" x14ac:dyDescent="0.2">
      <c r="A3926" s="19" t="s">
        <v>153</v>
      </c>
      <c r="B3926" s="19">
        <v>30.28</v>
      </c>
      <c r="C3926" s="19">
        <v>2</v>
      </c>
      <c r="D3926" s="19">
        <v>1.2111999999999981</v>
      </c>
    </row>
    <row r="3927" spans="1:4" x14ac:dyDescent="0.2">
      <c r="A3927" s="19" t="s">
        <v>153</v>
      </c>
      <c r="B3927" s="19">
        <v>57.929999999999993</v>
      </c>
      <c r="C3927" s="19">
        <v>3</v>
      </c>
      <c r="D3927" s="19">
        <v>16.220400000000001</v>
      </c>
    </row>
    <row r="3928" spans="1:4" x14ac:dyDescent="0.2">
      <c r="A3928" s="19" t="s">
        <v>153</v>
      </c>
      <c r="B3928" s="19">
        <v>35.340000000000003</v>
      </c>
      <c r="C3928" s="19">
        <v>2</v>
      </c>
      <c r="D3928" s="19">
        <v>13.429200000000002</v>
      </c>
    </row>
    <row r="3929" spans="1:4" x14ac:dyDescent="0.2">
      <c r="A3929" s="19" t="s">
        <v>153</v>
      </c>
      <c r="B3929" s="19">
        <v>137.24</v>
      </c>
      <c r="C3929" s="19">
        <v>5</v>
      </c>
      <c r="D3929" s="19">
        <v>46.3185</v>
      </c>
    </row>
    <row r="3930" spans="1:4" x14ac:dyDescent="0.2">
      <c r="A3930" s="19" t="s">
        <v>154</v>
      </c>
      <c r="B3930" s="19">
        <v>241.33199999999999</v>
      </c>
      <c r="C3930" s="19">
        <v>5</v>
      </c>
      <c r="D3930" s="19">
        <v>-14.195999999999998</v>
      </c>
    </row>
    <row r="3931" spans="1:4" x14ac:dyDescent="0.2">
      <c r="A3931" s="19" t="s">
        <v>154</v>
      </c>
      <c r="B3931" s="19">
        <v>5.1840000000000011</v>
      </c>
      <c r="C3931" s="19">
        <v>1</v>
      </c>
      <c r="D3931" s="19">
        <v>1.8792</v>
      </c>
    </row>
    <row r="3932" spans="1:4" x14ac:dyDescent="0.2">
      <c r="A3932" s="19" t="s">
        <v>154</v>
      </c>
      <c r="B3932" s="19">
        <v>145.54400000000001</v>
      </c>
      <c r="C3932" s="19">
        <v>7</v>
      </c>
      <c r="D3932" s="19">
        <v>16.373699999999992</v>
      </c>
    </row>
    <row r="3933" spans="1:4" x14ac:dyDescent="0.2">
      <c r="A3933" s="19" t="s">
        <v>158</v>
      </c>
      <c r="B3933" s="19">
        <v>5.4719999999999995</v>
      </c>
      <c r="C3933" s="19">
        <v>3</v>
      </c>
      <c r="D3933" s="19">
        <v>1.6416000000000004</v>
      </c>
    </row>
    <row r="3934" spans="1:4" x14ac:dyDescent="0.2">
      <c r="A3934" s="19" t="s">
        <v>158</v>
      </c>
      <c r="B3934" s="19">
        <v>47.984000000000002</v>
      </c>
      <c r="C3934" s="19">
        <v>2</v>
      </c>
      <c r="D3934" s="19">
        <v>13.195600000000001</v>
      </c>
    </row>
    <row r="3935" spans="1:4" x14ac:dyDescent="0.2">
      <c r="A3935" s="19" t="s">
        <v>150</v>
      </c>
      <c r="B3935" s="19">
        <v>9.3999999999999986</v>
      </c>
      <c r="C3935" s="19">
        <v>5</v>
      </c>
      <c r="D3935" s="19">
        <v>2.7259999999999995</v>
      </c>
    </row>
    <row r="3936" spans="1:4" x14ac:dyDescent="0.2">
      <c r="A3936" s="19" t="s">
        <v>150</v>
      </c>
      <c r="B3936" s="19">
        <v>74</v>
      </c>
      <c r="C3936" s="19">
        <v>5</v>
      </c>
      <c r="D3936" s="19">
        <v>37</v>
      </c>
    </row>
    <row r="3937" spans="1:4" x14ac:dyDescent="0.2">
      <c r="A3937" s="19" t="s">
        <v>150</v>
      </c>
      <c r="B3937" s="19">
        <v>201.584</v>
      </c>
      <c r="C3937" s="19">
        <v>2</v>
      </c>
      <c r="D3937" s="19">
        <v>12.599000000000004</v>
      </c>
    </row>
    <row r="3938" spans="1:4" x14ac:dyDescent="0.2">
      <c r="A3938" s="19" t="s">
        <v>154</v>
      </c>
      <c r="B3938" s="19">
        <v>28.752000000000002</v>
      </c>
      <c r="C3938" s="19">
        <v>3</v>
      </c>
      <c r="D3938" s="19">
        <v>9.3443999999999985</v>
      </c>
    </row>
    <row r="3939" spans="1:4" x14ac:dyDescent="0.2">
      <c r="A3939" s="19" t="s">
        <v>154</v>
      </c>
      <c r="B3939" s="19">
        <v>27.216000000000001</v>
      </c>
      <c r="C3939" s="19">
        <v>3</v>
      </c>
      <c r="D3939" s="19">
        <v>9.8657999999999983</v>
      </c>
    </row>
    <row r="3940" spans="1:4" x14ac:dyDescent="0.2">
      <c r="A3940" s="19" t="s">
        <v>154</v>
      </c>
      <c r="B3940" s="19">
        <v>197.37199999999999</v>
      </c>
      <c r="C3940" s="19">
        <v>2</v>
      </c>
      <c r="D3940" s="19">
        <v>-25.376400000000018</v>
      </c>
    </row>
    <row r="3941" spans="1:4" x14ac:dyDescent="0.2">
      <c r="A3941" s="19" t="s">
        <v>163</v>
      </c>
      <c r="B3941" s="19">
        <v>1424.9</v>
      </c>
      <c r="C3941" s="19">
        <v>5</v>
      </c>
      <c r="D3941" s="19">
        <v>356.22500000000002</v>
      </c>
    </row>
    <row r="3942" spans="1:4" x14ac:dyDescent="0.2">
      <c r="A3942" s="19" t="s">
        <v>164</v>
      </c>
      <c r="B3942" s="19">
        <v>14.56</v>
      </c>
      <c r="C3942" s="19">
        <v>2</v>
      </c>
      <c r="D3942" s="19">
        <v>6.2608000000000015</v>
      </c>
    </row>
    <row r="3943" spans="1:4" x14ac:dyDescent="0.2">
      <c r="A3943" s="19" t="s">
        <v>164</v>
      </c>
      <c r="B3943" s="19">
        <v>3.048</v>
      </c>
      <c r="C3943" s="19">
        <v>1</v>
      </c>
      <c r="D3943" s="19">
        <v>1.0286999999999997</v>
      </c>
    </row>
    <row r="3944" spans="1:4" x14ac:dyDescent="0.2">
      <c r="A3944" s="19" t="s">
        <v>167</v>
      </c>
      <c r="B3944" s="19">
        <v>25.920000000000005</v>
      </c>
      <c r="C3944" s="19">
        <v>5</v>
      </c>
      <c r="D3944" s="19">
        <v>9.0719999999999992</v>
      </c>
    </row>
    <row r="3945" spans="1:4" x14ac:dyDescent="0.2">
      <c r="A3945" s="19" t="s">
        <v>164</v>
      </c>
      <c r="B3945" s="19">
        <v>835.17000000000007</v>
      </c>
      <c r="C3945" s="19">
        <v>7</v>
      </c>
      <c r="D3945" s="19">
        <v>16.703400000000016</v>
      </c>
    </row>
    <row r="3946" spans="1:4" x14ac:dyDescent="0.2">
      <c r="A3946" s="19" t="s">
        <v>150</v>
      </c>
      <c r="B3946" s="19">
        <v>17.34</v>
      </c>
      <c r="C3946" s="19">
        <v>3</v>
      </c>
      <c r="D3946" s="19">
        <v>8.4966000000000008</v>
      </c>
    </row>
    <row r="3947" spans="1:4" x14ac:dyDescent="0.2">
      <c r="A3947" s="19" t="s">
        <v>151</v>
      </c>
      <c r="B3947" s="19">
        <v>44.384</v>
      </c>
      <c r="C3947" s="19">
        <v>1</v>
      </c>
      <c r="D3947" s="19">
        <v>15.534399999999998</v>
      </c>
    </row>
    <row r="3948" spans="1:4" x14ac:dyDescent="0.2">
      <c r="A3948" s="19" t="s">
        <v>151</v>
      </c>
      <c r="B3948" s="19">
        <v>2.9440000000000004</v>
      </c>
      <c r="C3948" s="19">
        <v>1</v>
      </c>
      <c r="D3948" s="19">
        <v>-0.66240000000000021</v>
      </c>
    </row>
    <row r="3949" spans="1:4" x14ac:dyDescent="0.2">
      <c r="A3949" s="19" t="s">
        <v>154</v>
      </c>
      <c r="B3949" s="19">
        <v>6.3680000000000003</v>
      </c>
      <c r="C3949" s="19">
        <v>2</v>
      </c>
      <c r="D3949" s="19">
        <v>1.0347999999999993</v>
      </c>
    </row>
    <row r="3950" spans="1:4" x14ac:dyDescent="0.2">
      <c r="A3950" s="19" t="s">
        <v>154</v>
      </c>
      <c r="B3950" s="19">
        <v>48.848000000000006</v>
      </c>
      <c r="C3950" s="19">
        <v>2</v>
      </c>
      <c r="D3950" s="19">
        <v>15.8756</v>
      </c>
    </row>
    <row r="3951" spans="1:4" x14ac:dyDescent="0.2">
      <c r="A3951" s="19" t="s">
        <v>154</v>
      </c>
      <c r="B3951" s="19">
        <v>19.648</v>
      </c>
      <c r="C3951" s="19">
        <v>2</v>
      </c>
      <c r="D3951" s="19">
        <v>6.6311999999999989</v>
      </c>
    </row>
    <row r="3952" spans="1:4" x14ac:dyDescent="0.2">
      <c r="A3952" s="19" t="s">
        <v>154</v>
      </c>
      <c r="B3952" s="19">
        <v>255.108</v>
      </c>
      <c r="C3952" s="19">
        <v>6</v>
      </c>
      <c r="D3952" s="19">
        <v>-18.221999999999994</v>
      </c>
    </row>
    <row r="3953" spans="1:4" x14ac:dyDescent="0.2">
      <c r="A3953" s="19" t="s">
        <v>164</v>
      </c>
      <c r="B3953" s="19">
        <v>17.248000000000001</v>
      </c>
      <c r="C3953" s="19">
        <v>2</v>
      </c>
      <c r="D3953" s="19">
        <v>6.0367999999999986</v>
      </c>
    </row>
    <row r="3954" spans="1:4" x14ac:dyDescent="0.2">
      <c r="A3954" s="19" t="s">
        <v>171</v>
      </c>
      <c r="B3954" s="19">
        <v>159.98400000000001</v>
      </c>
      <c r="C3954" s="19">
        <v>2</v>
      </c>
      <c r="D3954" s="19">
        <v>13.998599999999989</v>
      </c>
    </row>
    <row r="3955" spans="1:4" x14ac:dyDescent="0.2">
      <c r="A3955" s="19" t="s">
        <v>180</v>
      </c>
      <c r="B3955" s="19">
        <v>12.7</v>
      </c>
      <c r="C3955" s="19">
        <v>2</v>
      </c>
      <c r="D3955" s="19">
        <v>5.8419999999999996</v>
      </c>
    </row>
    <row r="3956" spans="1:4" x14ac:dyDescent="0.2">
      <c r="A3956" s="19" t="s">
        <v>161</v>
      </c>
      <c r="B3956" s="19">
        <v>5.47</v>
      </c>
      <c r="C3956" s="19">
        <v>1</v>
      </c>
      <c r="D3956" s="19">
        <v>2.3521000000000001</v>
      </c>
    </row>
    <row r="3957" spans="1:4" x14ac:dyDescent="0.2">
      <c r="A3957" s="19" t="s">
        <v>161</v>
      </c>
      <c r="B3957" s="19">
        <v>79.36</v>
      </c>
      <c r="C3957" s="19">
        <v>4</v>
      </c>
      <c r="D3957" s="19">
        <v>23.807999999999993</v>
      </c>
    </row>
    <row r="3958" spans="1:4" x14ac:dyDescent="0.2">
      <c r="A3958" s="19" t="s">
        <v>150</v>
      </c>
      <c r="B3958" s="19">
        <v>22.14</v>
      </c>
      <c r="C3958" s="19">
        <v>3</v>
      </c>
      <c r="D3958" s="19">
        <v>6.4205999999999976</v>
      </c>
    </row>
    <row r="3959" spans="1:4" x14ac:dyDescent="0.2">
      <c r="A3959" s="19" t="s">
        <v>167</v>
      </c>
      <c r="B3959" s="19">
        <v>11.277000000000001</v>
      </c>
      <c r="C3959" s="19">
        <v>3</v>
      </c>
      <c r="D3959" s="19">
        <v>-8.6456999999999979</v>
      </c>
    </row>
    <row r="3960" spans="1:4" x14ac:dyDescent="0.2">
      <c r="A3960" s="19" t="s">
        <v>167</v>
      </c>
      <c r="B3960" s="19">
        <v>4.4479999999999995</v>
      </c>
      <c r="C3960" s="19">
        <v>2</v>
      </c>
      <c r="D3960" s="19">
        <v>0.3335999999999999</v>
      </c>
    </row>
    <row r="3961" spans="1:4" x14ac:dyDescent="0.2">
      <c r="A3961" s="19" t="s">
        <v>167</v>
      </c>
      <c r="B3961" s="19">
        <v>44.76</v>
      </c>
      <c r="C3961" s="19">
        <v>3</v>
      </c>
      <c r="D3961" s="19">
        <v>14.546999999999995</v>
      </c>
    </row>
    <row r="3962" spans="1:4" x14ac:dyDescent="0.2">
      <c r="A3962" s="19" t="s">
        <v>161</v>
      </c>
      <c r="B3962" s="19">
        <v>38.28</v>
      </c>
      <c r="C3962" s="19">
        <v>6</v>
      </c>
      <c r="D3962" s="19">
        <v>17.608799999999999</v>
      </c>
    </row>
    <row r="3963" spans="1:4" x14ac:dyDescent="0.2">
      <c r="A3963" s="19" t="s">
        <v>161</v>
      </c>
      <c r="B3963" s="19">
        <v>149.94999999999999</v>
      </c>
      <c r="C3963" s="19">
        <v>5</v>
      </c>
      <c r="D3963" s="19">
        <v>44.984999999999985</v>
      </c>
    </row>
    <row r="3964" spans="1:4" x14ac:dyDescent="0.2">
      <c r="A3964" s="19" t="s">
        <v>150</v>
      </c>
      <c r="B3964" s="19">
        <v>12.84</v>
      </c>
      <c r="C3964" s="19">
        <v>3</v>
      </c>
      <c r="D3964" s="19">
        <v>3.4668000000000005</v>
      </c>
    </row>
    <row r="3965" spans="1:4" x14ac:dyDescent="0.2">
      <c r="A3965" s="19" t="s">
        <v>150</v>
      </c>
      <c r="B3965" s="19">
        <v>44.67</v>
      </c>
      <c r="C3965" s="19">
        <v>3</v>
      </c>
      <c r="D3965" s="19">
        <v>12.060900000000002</v>
      </c>
    </row>
    <row r="3966" spans="1:4" x14ac:dyDescent="0.2">
      <c r="A3966" s="19" t="s">
        <v>158</v>
      </c>
      <c r="B3966" s="19">
        <v>7.8719999999999999</v>
      </c>
      <c r="C3966" s="19">
        <v>3</v>
      </c>
      <c r="D3966" s="19">
        <v>0.88559999999999883</v>
      </c>
    </row>
    <row r="3967" spans="1:4" x14ac:dyDescent="0.2">
      <c r="A3967" s="19" t="s">
        <v>152</v>
      </c>
      <c r="B3967" s="19">
        <v>7.8719999999999999</v>
      </c>
      <c r="C3967" s="19">
        <v>3</v>
      </c>
      <c r="D3967" s="19">
        <v>0.88559999999999883</v>
      </c>
    </row>
    <row r="3968" spans="1:4" x14ac:dyDescent="0.2">
      <c r="A3968" s="19" t="s">
        <v>164</v>
      </c>
      <c r="B3968" s="19">
        <v>88.04</v>
      </c>
      <c r="C3968" s="19">
        <v>4</v>
      </c>
      <c r="D3968" s="19">
        <v>22.8904</v>
      </c>
    </row>
    <row r="3969" spans="1:4" x14ac:dyDescent="0.2">
      <c r="A3969" s="19" t="s">
        <v>171</v>
      </c>
      <c r="B3969" s="19">
        <v>40.635000000000012</v>
      </c>
      <c r="C3969" s="19">
        <v>7</v>
      </c>
      <c r="D3969" s="19">
        <v>-32.507999999999996</v>
      </c>
    </row>
    <row r="3970" spans="1:4" x14ac:dyDescent="0.2">
      <c r="A3970" s="19" t="s">
        <v>154</v>
      </c>
      <c r="B3970" s="19">
        <v>5.7279999999999989</v>
      </c>
      <c r="C3970" s="19">
        <v>8</v>
      </c>
      <c r="D3970" s="19">
        <v>-9.1648000000000032</v>
      </c>
    </row>
    <row r="3971" spans="1:4" x14ac:dyDescent="0.2">
      <c r="A3971" s="19" t="s">
        <v>154</v>
      </c>
      <c r="B3971" s="19">
        <v>42.24</v>
      </c>
      <c r="C3971" s="19">
        <v>10</v>
      </c>
      <c r="D3971" s="19">
        <v>13.199999999999998</v>
      </c>
    </row>
    <row r="3972" spans="1:4" x14ac:dyDescent="0.2">
      <c r="A3972" s="19" t="s">
        <v>150</v>
      </c>
      <c r="B3972" s="19">
        <v>53.820000000000007</v>
      </c>
      <c r="C3972" s="19">
        <v>9</v>
      </c>
      <c r="D3972" s="19">
        <v>24.218999999999998</v>
      </c>
    </row>
    <row r="3973" spans="1:4" x14ac:dyDescent="0.2">
      <c r="A3973" s="19" t="s">
        <v>161</v>
      </c>
      <c r="B3973" s="19">
        <v>79.36</v>
      </c>
      <c r="C3973" s="19">
        <v>4</v>
      </c>
      <c r="D3973" s="19">
        <v>20.633600000000001</v>
      </c>
    </row>
    <row r="3974" spans="1:4" x14ac:dyDescent="0.2">
      <c r="A3974" s="19" t="s">
        <v>164</v>
      </c>
      <c r="B3974" s="19">
        <v>13.48</v>
      </c>
      <c r="C3974" s="19">
        <v>2</v>
      </c>
      <c r="D3974" s="19">
        <v>6.74</v>
      </c>
    </row>
    <row r="3975" spans="1:4" x14ac:dyDescent="0.2">
      <c r="A3975" s="19" t="s">
        <v>164</v>
      </c>
      <c r="B3975" s="19">
        <v>29.800000000000004</v>
      </c>
      <c r="C3975" s="19">
        <v>5</v>
      </c>
      <c r="D3975" s="19">
        <v>9.3124999999999982</v>
      </c>
    </row>
    <row r="3976" spans="1:4" x14ac:dyDescent="0.2">
      <c r="A3976" s="19" t="s">
        <v>164</v>
      </c>
      <c r="B3976" s="19">
        <v>414</v>
      </c>
      <c r="C3976" s="19">
        <v>8</v>
      </c>
      <c r="D3976" s="19">
        <v>124.19999999999999</v>
      </c>
    </row>
    <row r="3977" spans="1:4" x14ac:dyDescent="0.2">
      <c r="A3977" s="19" t="s">
        <v>164</v>
      </c>
      <c r="B3977" s="19">
        <v>41.328000000000003</v>
      </c>
      <c r="C3977" s="19">
        <v>7</v>
      </c>
      <c r="D3977" s="19">
        <v>14.981400000000001</v>
      </c>
    </row>
    <row r="3978" spans="1:4" x14ac:dyDescent="0.2">
      <c r="A3978" s="19" t="s">
        <v>166</v>
      </c>
      <c r="B3978" s="19">
        <v>39.92</v>
      </c>
      <c r="C3978" s="19">
        <v>4</v>
      </c>
      <c r="D3978" s="19">
        <v>11.177600000000002</v>
      </c>
    </row>
    <row r="3979" spans="1:4" x14ac:dyDescent="0.2">
      <c r="A3979" s="19" t="s">
        <v>153</v>
      </c>
      <c r="B3979" s="19">
        <v>8.94</v>
      </c>
      <c r="C3979" s="19">
        <v>3</v>
      </c>
      <c r="D3979" s="19">
        <v>4.1123999999999992</v>
      </c>
    </row>
    <row r="3980" spans="1:4" x14ac:dyDescent="0.2">
      <c r="A3980" s="19" t="s">
        <v>153</v>
      </c>
      <c r="B3980" s="19">
        <v>84.784000000000006</v>
      </c>
      <c r="C3980" s="19">
        <v>2</v>
      </c>
      <c r="D3980" s="19">
        <v>-20.136200000000006</v>
      </c>
    </row>
    <row r="3981" spans="1:4" x14ac:dyDescent="0.2">
      <c r="A3981" s="19" t="s">
        <v>164</v>
      </c>
      <c r="B3981" s="19">
        <v>53.315999999999995</v>
      </c>
      <c r="C3981" s="19">
        <v>2</v>
      </c>
      <c r="D3981" s="19">
        <v>-19.549200000000006</v>
      </c>
    </row>
    <row r="3982" spans="1:4" x14ac:dyDescent="0.2">
      <c r="A3982" s="19" t="s">
        <v>164</v>
      </c>
      <c r="B3982" s="19">
        <v>56.519999999999996</v>
      </c>
      <c r="C3982" s="19">
        <v>3</v>
      </c>
      <c r="D3982" s="19">
        <v>15.8256</v>
      </c>
    </row>
    <row r="3983" spans="1:4" x14ac:dyDescent="0.2">
      <c r="A3983" s="19" t="s">
        <v>153</v>
      </c>
      <c r="B3983" s="19">
        <v>22.77</v>
      </c>
      <c r="C3983" s="19">
        <v>3</v>
      </c>
      <c r="D3983" s="19">
        <v>9.7911000000000001</v>
      </c>
    </row>
    <row r="3984" spans="1:4" x14ac:dyDescent="0.2">
      <c r="A3984" s="19" t="s">
        <v>150</v>
      </c>
      <c r="B3984" s="19">
        <v>287.96800000000002</v>
      </c>
      <c r="C3984" s="19">
        <v>4</v>
      </c>
      <c r="D3984" s="19">
        <v>-3.5996000000000521</v>
      </c>
    </row>
    <row r="3985" spans="1:4" x14ac:dyDescent="0.2">
      <c r="A3985" s="19" t="s">
        <v>150</v>
      </c>
      <c r="B3985" s="19">
        <v>2799.9600000000005</v>
      </c>
      <c r="C3985" s="19">
        <v>5</v>
      </c>
      <c r="D3985" s="19">
        <v>944.98649999999986</v>
      </c>
    </row>
    <row r="3986" spans="1:4" x14ac:dyDescent="0.2">
      <c r="A3986" s="19" t="s">
        <v>150</v>
      </c>
      <c r="B3986" s="19">
        <v>48.94</v>
      </c>
      <c r="C3986" s="19">
        <v>1</v>
      </c>
      <c r="D3986" s="19">
        <v>24.47</v>
      </c>
    </row>
    <row r="3987" spans="1:4" x14ac:dyDescent="0.2">
      <c r="A3987" s="19" t="s">
        <v>150</v>
      </c>
      <c r="B3987" s="19">
        <v>257.49900000000002</v>
      </c>
      <c r="C3987" s="19">
        <v>3</v>
      </c>
      <c r="D3987" s="19">
        <v>24.235199999999978</v>
      </c>
    </row>
    <row r="3988" spans="1:4" x14ac:dyDescent="0.2">
      <c r="A3988" s="19" t="s">
        <v>179</v>
      </c>
      <c r="B3988" s="19">
        <v>2591.56</v>
      </c>
      <c r="C3988" s="19">
        <v>4</v>
      </c>
      <c r="D3988" s="19">
        <v>621.97440000000006</v>
      </c>
    </row>
    <row r="3989" spans="1:4" x14ac:dyDescent="0.2">
      <c r="A3989" s="19" t="s">
        <v>179</v>
      </c>
      <c r="B3989" s="19">
        <v>41.95</v>
      </c>
      <c r="C3989" s="19">
        <v>5</v>
      </c>
      <c r="D3989" s="19">
        <v>10.487500000000001</v>
      </c>
    </row>
    <row r="3990" spans="1:4" x14ac:dyDescent="0.2">
      <c r="A3990" s="19" t="s">
        <v>167</v>
      </c>
      <c r="B3990" s="19">
        <v>79.12</v>
      </c>
      <c r="C3990" s="19">
        <v>5</v>
      </c>
      <c r="D3990" s="19">
        <v>13.845999999999997</v>
      </c>
    </row>
    <row r="3991" spans="1:4" x14ac:dyDescent="0.2">
      <c r="A3991" s="19" t="s">
        <v>182</v>
      </c>
      <c r="B3991" s="19">
        <v>52.96</v>
      </c>
      <c r="C3991" s="19">
        <v>2</v>
      </c>
      <c r="D3991" s="19">
        <v>20.1248</v>
      </c>
    </row>
    <row r="3992" spans="1:4" x14ac:dyDescent="0.2">
      <c r="A3992" s="19" t="s">
        <v>158</v>
      </c>
      <c r="B3992" s="19">
        <v>286.34400000000005</v>
      </c>
      <c r="C3992" s="19">
        <v>3</v>
      </c>
      <c r="D3992" s="19">
        <v>-64.427400000000006</v>
      </c>
    </row>
    <row r="3993" spans="1:4" x14ac:dyDescent="0.2">
      <c r="A3993" s="19" t="s">
        <v>151</v>
      </c>
      <c r="B3993" s="19">
        <v>63.552000000000007</v>
      </c>
      <c r="C3993" s="19">
        <v>3</v>
      </c>
      <c r="D3993" s="19">
        <v>14.299199999999999</v>
      </c>
    </row>
    <row r="3994" spans="1:4" x14ac:dyDescent="0.2">
      <c r="A3994" s="19" t="s">
        <v>151</v>
      </c>
      <c r="B3994" s="19">
        <v>41.375999999999998</v>
      </c>
      <c r="C3994" s="19">
        <v>3</v>
      </c>
      <c r="D3994" s="19">
        <v>4.6547999999999927</v>
      </c>
    </row>
    <row r="3995" spans="1:4" x14ac:dyDescent="0.2">
      <c r="A3995" s="19" t="s">
        <v>151</v>
      </c>
      <c r="B3995" s="19">
        <v>172.70400000000001</v>
      </c>
      <c r="C3995" s="19">
        <v>6</v>
      </c>
      <c r="D3995" s="19">
        <v>10.793999999999983</v>
      </c>
    </row>
    <row r="3996" spans="1:4" x14ac:dyDescent="0.2">
      <c r="A3996" s="19" t="s">
        <v>155</v>
      </c>
      <c r="B3996" s="19">
        <v>512.93999999999994</v>
      </c>
      <c r="C3996" s="19">
        <v>3</v>
      </c>
      <c r="D3996" s="19">
        <v>97.45859999999999</v>
      </c>
    </row>
    <row r="3997" spans="1:4" x14ac:dyDescent="0.2">
      <c r="A3997" s="19" t="s">
        <v>155</v>
      </c>
      <c r="B3997" s="19">
        <v>860.93</v>
      </c>
      <c r="C3997" s="19">
        <v>7</v>
      </c>
      <c r="D3997" s="19">
        <v>189.40460000000002</v>
      </c>
    </row>
    <row r="3998" spans="1:4" x14ac:dyDescent="0.2">
      <c r="A3998" s="19" t="s">
        <v>155</v>
      </c>
      <c r="B3998" s="19">
        <v>769.95</v>
      </c>
      <c r="C3998" s="19">
        <v>5</v>
      </c>
      <c r="D3998" s="19">
        <v>223.28549999999993</v>
      </c>
    </row>
    <row r="3999" spans="1:4" x14ac:dyDescent="0.2">
      <c r="A3999" s="19" t="s">
        <v>155</v>
      </c>
      <c r="B3999" s="19">
        <v>14.98</v>
      </c>
      <c r="C3999" s="19">
        <v>1</v>
      </c>
      <c r="D3999" s="19">
        <v>4.4939999999999998</v>
      </c>
    </row>
    <row r="4000" spans="1:4" x14ac:dyDescent="0.2">
      <c r="A4000" s="19" t="s">
        <v>155</v>
      </c>
      <c r="B4000" s="19">
        <v>373.08</v>
      </c>
      <c r="C4000" s="19">
        <v>6</v>
      </c>
      <c r="D4000" s="19">
        <v>82.077600000000004</v>
      </c>
    </row>
    <row r="4001" spans="1:4" x14ac:dyDescent="0.2">
      <c r="A4001" s="19" t="s">
        <v>151</v>
      </c>
      <c r="B4001" s="19">
        <v>231.92000000000002</v>
      </c>
      <c r="C4001" s="19">
        <v>5</v>
      </c>
      <c r="D4001" s="19">
        <v>5.7980000000000018</v>
      </c>
    </row>
    <row r="4002" spans="1:4" x14ac:dyDescent="0.2">
      <c r="A4002" s="19" t="s">
        <v>153</v>
      </c>
      <c r="B4002" s="19">
        <v>63.47</v>
      </c>
      <c r="C4002" s="19">
        <v>11</v>
      </c>
      <c r="D4002" s="19">
        <v>19.040999999999997</v>
      </c>
    </row>
    <row r="4003" spans="1:4" x14ac:dyDescent="0.2">
      <c r="A4003" s="19" t="s">
        <v>153</v>
      </c>
      <c r="B4003" s="19">
        <v>345</v>
      </c>
      <c r="C4003" s="19">
        <v>5</v>
      </c>
      <c r="D4003" s="19">
        <v>58.649999999999984</v>
      </c>
    </row>
    <row r="4004" spans="1:4" x14ac:dyDescent="0.2">
      <c r="A4004" s="19" t="s">
        <v>154</v>
      </c>
      <c r="B4004" s="19">
        <v>637.89599999999996</v>
      </c>
      <c r="C4004" s="19">
        <v>3</v>
      </c>
      <c r="D4004" s="19">
        <v>-127.57919999999996</v>
      </c>
    </row>
    <row r="4005" spans="1:4" x14ac:dyDescent="0.2">
      <c r="A4005" s="19" t="s">
        <v>154</v>
      </c>
      <c r="B4005" s="19">
        <v>287.90999999999997</v>
      </c>
      <c r="C4005" s="19">
        <v>3</v>
      </c>
      <c r="D4005" s="19">
        <v>33.589499999999987</v>
      </c>
    </row>
    <row r="4006" spans="1:4" x14ac:dyDescent="0.2">
      <c r="A4006" s="19" t="s">
        <v>154</v>
      </c>
      <c r="B4006" s="19">
        <v>36.6</v>
      </c>
      <c r="C4006" s="19">
        <v>3</v>
      </c>
      <c r="D4006" s="19">
        <v>11.894999999999994</v>
      </c>
    </row>
    <row r="4007" spans="1:4" x14ac:dyDescent="0.2">
      <c r="A4007" s="19" t="s">
        <v>101</v>
      </c>
      <c r="B4007" s="19">
        <v>1.78</v>
      </c>
      <c r="C4007" s="19">
        <v>1</v>
      </c>
      <c r="D4007" s="19">
        <v>0.49839999999999995</v>
      </c>
    </row>
    <row r="4008" spans="1:4" x14ac:dyDescent="0.2">
      <c r="A4008" s="19" t="s">
        <v>101</v>
      </c>
      <c r="B4008" s="19">
        <v>25.92</v>
      </c>
      <c r="C4008" s="19">
        <v>4</v>
      </c>
      <c r="D4008" s="19">
        <v>12.441600000000001</v>
      </c>
    </row>
    <row r="4009" spans="1:4" x14ac:dyDescent="0.2">
      <c r="A4009" s="19" t="s">
        <v>101</v>
      </c>
      <c r="B4009" s="19">
        <v>101.94</v>
      </c>
      <c r="C4009" s="19">
        <v>6</v>
      </c>
      <c r="D4009" s="19">
        <v>21.407399999999999</v>
      </c>
    </row>
    <row r="4010" spans="1:4" x14ac:dyDescent="0.2">
      <c r="A4010" s="19" t="s">
        <v>171</v>
      </c>
      <c r="B4010" s="19">
        <v>6.8480000000000008</v>
      </c>
      <c r="C4010" s="19">
        <v>2</v>
      </c>
      <c r="D4010" s="19">
        <v>0.59920000000000018</v>
      </c>
    </row>
    <row r="4011" spans="1:4" x14ac:dyDescent="0.2">
      <c r="A4011" s="19" t="s">
        <v>150</v>
      </c>
      <c r="B4011" s="19">
        <v>474.43</v>
      </c>
      <c r="C4011" s="19">
        <v>11</v>
      </c>
      <c r="D4011" s="19">
        <v>199.26060000000004</v>
      </c>
    </row>
    <row r="4012" spans="1:4" x14ac:dyDescent="0.2">
      <c r="A4012" s="19" t="s">
        <v>158</v>
      </c>
      <c r="B4012" s="19">
        <v>8.4480000000000004</v>
      </c>
      <c r="C4012" s="19">
        <v>2</v>
      </c>
      <c r="D4012" s="19">
        <v>2.6399999999999997</v>
      </c>
    </row>
    <row r="4013" spans="1:4" x14ac:dyDescent="0.2">
      <c r="A4013" s="19" t="s">
        <v>158</v>
      </c>
      <c r="B4013" s="19">
        <v>39.295999999999999</v>
      </c>
      <c r="C4013" s="19">
        <v>4</v>
      </c>
      <c r="D4013" s="19">
        <v>3.9295999999999989</v>
      </c>
    </row>
    <row r="4014" spans="1:4" x14ac:dyDescent="0.2">
      <c r="A4014" s="19" t="s">
        <v>155</v>
      </c>
      <c r="B4014" s="19">
        <v>17.12</v>
      </c>
      <c r="C4014" s="19">
        <v>4</v>
      </c>
      <c r="D4014" s="19">
        <v>4.9647999999999985</v>
      </c>
    </row>
    <row r="4015" spans="1:4" x14ac:dyDescent="0.2">
      <c r="A4015" s="19" t="s">
        <v>101</v>
      </c>
      <c r="B4015" s="19">
        <v>542.93999999999994</v>
      </c>
      <c r="C4015" s="19">
        <v>3</v>
      </c>
      <c r="D4015" s="19">
        <v>152.02319999999997</v>
      </c>
    </row>
    <row r="4016" spans="1:4" x14ac:dyDescent="0.2">
      <c r="A4016" s="19" t="s">
        <v>101</v>
      </c>
      <c r="B4016" s="19">
        <v>8.64</v>
      </c>
      <c r="C4016" s="19">
        <v>3</v>
      </c>
      <c r="D4016" s="19">
        <v>4.2336</v>
      </c>
    </row>
    <row r="4017" spans="1:4" x14ac:dyDescent="0.2">
      <c r="A4017" s="19" t="s">
        <v>101</v>
      </c>
      <c r="B4017" s="19">
        <v>193.79999999999998</v>
      </c>
      <c r="C4017" s="19">
        <v>5</v>
      </c>
      <c r="D4017" s="19">
        <v>94.962000000000003</v>
      </c>
    </row>
    <row r="4018" spans="1:4" x14ac:dyDescent="0.2">
      <c r="A4018" s="19" t="s">
        <v>101</v>
      </c>
      <c r="B4018" s="19">
        <v>21.400000000000002</v>
      </c>
      <c r="C4018" s="19">
        <v>5</v>
      </c>
      <c r="D4018" s="19">
        <v>9.629999999999999</v>
      </c>
    </row>
    <row r="4019" spans="1:4" x14ac:dyDescent="0.2">
      <c r="A4019" s="19" t="s">
        <v>101</v>
      </c>
      <c r="B4019" s="19">
        <v>97.88</v>
      </c>
      <c r="C4019" s="19">
        <v>2</v>
      </c>
      <c r="D4019" s="19">
        <v>48.94</v>
      </c>
    </row>
    <row r="4020" spans="1:4" x14ac:dyDescent="0.2">
      <c r="A4020" s="19" t="s">
        <v>101</v>
      </c>
      <c r="B4020" s="19">
        <v>251.91</v>
      </c>
      <c r="C4020" s="19">
        <v>9</v>
      </c>
      <c r="D4020" s="19">
        <v>47.862899999999982</v>
      </c>
    </row>
    <row r="4021" spans="1:4" x14ac:dyDescent="0.2">
      <c r="A4021" s="19" t="s">
        <v>101</v>
      </c>
      <c r="B4021" s="19">
        <v>25.86</v>
      </c>
      <c r="C4021" s="19">
        <v>3</v>
      </c>
      <c r="D4021" s="19">
        <v>6.7236000000000002</v>
      </c>
    </row>
    <row r="4022" spans="1:4" x14ac:dyDescent="0.2">
      <c r="A4022" s="19" t="s">
        <v>158</v>
      </c>
      <c r="B4022" s="19">
        <v>170.05799999999999</v>
      </c>
      <c r="C4022" s="19">
        <v>3</v>
      </c>
      <c r="D4022" s="19">
        <v>-4.858799999999988</v>
      </c>
    </row>
    <row r="4023" spans="1:4" x14ac:dyDescent="0.2">
      <c r="A4023" s="19" t="s">
        <v>158</v>
      </c>
      <c r="B4023" s="19">
        <v>82.782000000000011</v>
      </c>
      <c r="C4023" s="19">
        <v>3</v>
      </c>
      <c r="D4023" s="19">
        <v>-15.176700000000004</v>
      </c>
    </row>
    <row r="4024" spans="1:4" x14ac:dyDescent="0.2">
      <c r="A4024" s="19" t="s">
        <v>158</v>
      </c>
      <c r="B4024" s="19">
        <v>853.92999999999984</v>
      </c>
      <c r="C4024" s="19">
        <v>5</v>
      </c>
      <c r="D4024" s="19">
        <v>0</v>
      </c>
    </row>
    <row r="4025" spans="1:4" x14ac:dyDescent="0.2">
      <c r="A4025" s="19" t="s">
        <v>150</v>
      </c>
      <c r="B4025" s="19">
        <v>556.66499999999996</v>
      </c>
      <c r="C4025" s="19">
        <v>5</v>
      </c>
      <c r="D4025" s="19">
        <v>6.5490000000000208</v>
      </c>
    </row>
    <row r="4026" spans="1:4" x14ac:dyDescent="0.2">
      <c r="A4026" s="19" t="s">
        <v>150</v>
      </c>
      <c r="B4026" s="19">
        <v>95.84</v>
      </c>
      <c r="C4026" s="19">
        <v>4</v>
      </c>
      <c r="D4026" s="19">
        <v>34.741999999999997</v>
      </c>
    </row>
    <row r="4027" spans="1:4" x14ac:dyDescent="0.2">
      <c r="A4027" s="19" t="s">
        <v>154</v>
      </c>
      <c r="B4027" s="19">
        <v>29.664000000000001</v>
      </c>
      <c r="C4027" s="19">
        <v>4</v>
      </c>
      <c r="D4027" s="19">
        <v>10.011599999999998</v>
      </c>
    </row>
    <row r="4028" spans="1:4" x14ac:dyDescent="0.2">
      <c r="A4028" s="19" t="s">
        <v>154</v>
      </c>
      <c r="B4028" s="19">
        <v>9.1840000000000011</v>
      </c>
      <c r="C4028" s="19">
        <v>7</v>
      </c>
      <c r="D4028" s="19">
        <v>2.8699999999999992</v>
      </c>
    </row>
    <row r="4029" spans="1:4" x14ac:dyDescent="0.2">
      <c r="A4029" s="19" t="s">
        <v>154</v>
      </c>
      <c r="B4029" s="19">
        <v>153.584</v>
      </c>
      <c r="C4029" s="19">
        <v>2</v>
      </c>
      <c r="D4029" s="19">
        <v>13.438599999999994</v>
      </c>
    </row>
    <row r="4030" spans="1:4" x14ac:dyDescent="0.2">
      <c r="A4030" s="19" t="s">
        <v>154</v>
      </c>
      <c r="B4030" s="19">
        <v>12.863999999999995</v>
      </c>
      <c r="C4030" s="19">
        <v>8</v>
      </c>
      <c r="D4030" s="19">
        <v>-22.512</v>
      </c>
    </row>
    <row r="4031" spans="1:4" x14ac:dyDescent="0.2">
      <c r="A4031" s="19" t="s">
        <v>177</v>
      </c>
      <c r="B4031" s="19">
        <v>479.97</v>
      </c>
      <c r="C4031" s="19">
        <v>3</v>
      </c>
      <c r="D4031" s="19">
        <v>239.98500000000001</v>
      </c>
    </row>
    <row r="4032" spans="1:4" x14ac:dyDescent="0.2">
      <c r="A4032" s="19" t="s">
        <v>177</v>
      </c>
      <c r="B4032" s="19">
        <v>232.88</v>
      </c>
      <c r="C4032" s="19">
        <v>4</v>
      </c>
      <c r="D4032" s="19">
        <v>60.5488</v>
      </c>
    </row>
    <row r="4033" spans="1:4" x14ac:dyDescent="0.2">
      <c r="A4033" s="19" t="s">
        <v>153</v>
      </c>
      <c r="B4033" s="19">
        <v>236.88</v>
      </c>
      <c r="C4033" s="19">
        <v>6</v>
      </c>
      <c r="D4033" s="19">
        <v>66.326400000000007</v>
      </c>
    </row>
    <row r="4034" spans="1:4" x14ac:dyDescent="0.2">
      <c r="A4034" s="19" t="s">
        <v>153</v>
      </c>
      <c r="B4034" s="19">
        <v>29.900000000000002</v>
      </c>
      <c r="C4034" s="19">
        <v>5</v>
      </c>
      <c r="D4034" s="19">
        <v>14.651</v>
      </c>
    </row>
    <row r="4035" spans="1:4" x14ac:dyDescent="0.2">
      <c r="A4035" s="19" t="s">
        <v>153</v>
      </c>
      <c r="B4035" s="19">
        <v>100</v>
      </c>
      <c r="C4035" s="19">
        <v>4</v>
      </c>
      <c r="D4035" s="19">
        <v>21</v>
      </c>
    </row>
    <row r="4036" spans="1:4" x14ac:dyDescent="0.2">
      <c r="A4036" s="19" t="s">
        <v>173</v>
      </c>
      <c r="B4036" s="19">
        <v>18.693000000000001</v>
      </c>
      <c r="C4036" s="19">
        <v>3</v>
      </c>
      <c r="D4036" s="19">
        <v>-14.331299999999992</v>
      </c>
    </row>
    <row r="4037" spans="1:4" x14ac:dyDescent="0.2">
      <c r="A4037" s="19" t="s">
        <v>173</v>
      </c>
      <c r="B4037" s="19">
        <v>383.952</v>
      </c>
      <c r="C4037" s="19">
        <v>6</v>
      </c>
      <c r="D4037" s="19">
        <v>76.790399999999977</v>
      </c>
    </row>
    <row r="4038" spans="1:4" x14ac:dyDescent="0.2">
      <c r="A4038" s="19" t="s">
        <v>159</v>
      </c>
      <c r="B4038" s="19">
        <v>24.816000000000003</v>
      </c>
      <c r="C4038" s="19">
        <v>2</v>
      </c>
      <c r="D4038" s="19">
        <v>1.5509999999999984</v>
      </c>
    </row>
    <row r="4039" spans="1:4" x14ac:dyDescent="0.2">
      <c r="A4039" s="19" t="s">
        <v>150</v>
      </c>
      <c r="B4039" s="19">
        <v>24.900000000000002</v>
      </c>
      <c r="C4039" s="19">
        <v>5</v>
      </c>
      <c r="D4039" s="19">
        <v>8.2169999999999987</v>
      </c>
    </row>
    <row r="4040" spans="1:4" x14ac:dyDescent="0.2">
      <c r="A4040" s="19" t="s">
        <v>150</v>
      </c>
      <c r="B4040" s="19">
        <v>21.12</v>
      </c>
      <c r="C4040" s="19">
        <v>4</v>
      </c>
      <c r="D4040" s="19">
        <v>9.5039999999999996</v>
      </c>
    </row>
    <row r="4041" spans="1:4" x14ac:dyDescent="0.2">
      <c r="A4041" s="19" t="s">
        <v>150</v>
      </c>
      <c r="B4041" s="19">
        <v>767.95200000000011</v>
      </c>
      <c r="C4041" s="19">
        <v>6</v>
      </c>
      <c r="D4041" s="19">
        <v>287.98199999999997</v>
      </c>
    </row>
    <row r="4042" spans="1:4" x14ac:dyDescent="0.2">
      <c r="A4042" s="19" t="s">
        <v>150</v>
      </c>
      <c r="B4042" s="19">
        <v>14.352000000000002</v>
      </c>
      <c r="C4042" s="19">
        <v>3</v>
      </c>
      <c r="D4042" s="19">
        <v>4.6643999999999988</v>
      </c>
    </row>
    <row r="4043" spans="1:4" x14ac:dyDescent="0.2">
      <c r="A4043" s="19" t="s">
        <v>150</v>
      </c>
      <c r="B4043" s="19">
        <v>191.976</v>
      </c>
      <c r="C4043" s="19">
        <v>3</v>
      </c>
      <c r="D4043" s="19">
        <v>19.197599999999994</v>
      </c>
    </row>
    <row r="4044" spans="1:4" x14ac:dyDescent="0.2">
      <c r="A4044" s="19" t="s">
        <v>150</v>
      </c>
      <c r="B4044" s="19">
        <v>274.77</v>
      </c>
      <c r="C4044" s="19">
        <v>9</v>
      </c>
      <c r="D4044" s="19">
        <v>126.39420000000001</v>
      </c>
    </row>
    <row r="4045" spans="1:4" x14ac:dyDescent="0.2">
      <c r="A4045" s="19" t="s">
        <v>150</v>
      </c>
      <c r="B4045" s="19">
        <v>70.56</v>
      </c>
      <c r="C4045" s="19">
        <v>6</v>
      </c>
      <c r="D4045" s="19">
        <v>23.990399999999994</v>
      </c>
    </row>
    <row r="4046" spans="1:4" x14ac:dyDescent="0.2">
      <c r="A4046" s="19" t="s">
        <v>150</v>
      </c>
      <c r="B4046" s="19">
        <v>204.85</v>
      </c>
      <c r="C4046" s="19">
        <v>5</v>
      </c>
      <c r="D4046" s="19">
        <v>57.358000000000011</v>
      </c>
    </row>
    <row r="4047" spans="1:4" x14ac:dyDescent="0.2">
      <c r="A4047" s="19" t="s">
        <v>154</v>
      </c>
      <c r="B4047" s="19">
        <v>9.155999999999997</v>
      </c>
      <c r="C4047" s="19">
        <v>3</v>
      </c>
      <c r="D4047" s="19">
        <v>-13.734000000000002</v>
      </c>
    </row>
    <row r="4048" spans="1:4" x14ac:dyDescent="0.2">
      <c r="A4048" s="19" t="s">
        <v>159</v>
      </c>
      <c r="B4048" s="19">
        <v>23.991999999999994</v>
      </c>
      <c r="C4048" s="19">
        <v>2</v>
      </c>
      <c r="D4048" s="19">
        <v>-62.379199999999997</v>
      </c>
    </row>
    <row r="4049" spans="1:4" x14ac:dyDescent="0.2">
      <c r="A4049" s="19" t="s">
        <v>164</v>
      </c>
      <c r="B4049" s="19">
        <v>80.88</v>
      </c>
      <c r="C4049" s="19">
        <v>3</v>
      </c>
      <c r="D4049" s="19">
        <v>39.6312</v>
      </c>
    </row>
    <row r="4050" spans="1:4" x14ac:dyDescent="0.2">
      <c r="A4050" s="19" t="s">
        <v>164</v>
      </c>
      <c r="B4050" s="19">
        <v>599.9</v>
      </c>
      <c r="C4050" s="19">
        <v>10</v>
      </c>
      <c r="D4050" s="19">
        <v>191.96799999999996</v>
      </c>
    </row>
    <row r="4051" spans="1:4" x14ac:dyDescent="0.2">
      <c r="A4051" s="19" t="s">
        <v>164</v>
      </c>
      <c r="B4051" s="19">
        <v>276.69</v>
      </c>
      <c r="C4051" s="19">
        <v>3</v>
      </c>
      <c r="D4051" s="19">
        <v>49.804199999999994</v>
      </c>
    </row>
    <row r="4052" spans="1:4" x14ac:dyDescent="0.2">
      <c r="A4052" s="19" t="s">
        <v>164</v>
      </c>
      <c r="B4052" s="19">
        <v>172.76400000000001</v>
      </c>
      <c r="C4052" s="19">
        <v>2</v>
      </c>
      <c r="D4052" s="19">
        <v>32.633200000000016</v>
      </c>
    </row>
    <row r="4053" spans="1:4" x14ac:dyDescent="0.2">
      <c r="A4053" s="19" t="s">
        <v>158</v>
      </c>
      <c r="B4053" s="19">
        <v>4.2240000000000002</v>
      </c>
      <c r="C4053" s="19">
        <v>3</v>
      </c>
      <c r="D4053" s="19">
        <v>1.4783999999999997</v>
      </c>
    </row>
    <row r="4054" spans="1:4" x14ac:dyDescent="0.2">
      <c r="A4054" s="19" t="s">
        <v>158</v>
      </c>
      <c r="B4054" s="19">
        <v>409.27199999999999</v>
      </c>
      <c r="C4054" s="19">
        <v>2</v>
      </c>
      <c r="D4054" s="19">
        <v>-81.854399999999998</v>
      </c>
    </row>
    <row r="4055" spans="1:4" x14ac:dyDescent="0.2">
      <c r="A4055" s="19" t="s">
        <v>158</v>
      </c>
      <c r="B4055" s="19">
        <v>55.44</v>
      </c>
      <c r="C4055" s="19">
        <v>11</v>
      </c>
      <c r="D4055" s="19">
        <v>18.017999999999997</v>
      </c>
    </row>
    <row r="4056" spans="1:4" x14ac:dyDescent="0.2">
      <c r="A4056" s="19" t="s">
        <v>158</v>
      </c>
      <c r="B4056" s="19">
        <v>20.928000000000001</v>
      </c>
      <c r="C4056" s="19">
        <v>4</v>
      </c>
      <c r="D4056" s="19">
        <v>6.8015999999999996</v>
      </c>
    </row>
    <row r="4057" spans="1:4" x14ac:dyDescent="0.2">
      <c r="A4057" s="19" t="s">
        <v>158</v>
      </c>
      <c r="B4057" s="19">
        <v>1801.6320000000001</v>
      </c>
      <c r="C4057" s="19">
        <v>6</v>
      </c>
      <c r="D4057" s="19">
        <v>-337.80600000000004</v>
      </c>
    </row>
    <row r="4058" spans="1:4" x14ac:dyDescent="0.2">
      <c r="A4058" s="19" t="s">
        <v>158</v>
      </c>
      <c r="B4058" s="19">
        <v>67.175999999999988</v>
      </c>
      <c r="C4058" s="19">
        <v>1</v>
      </c>
      <c r="D4058" s="19">
        <v>-20.152800000000006</v>
      </c>
    </row>
    <row r="4059" spans="1:4" x14ac:dyDescent="0.2">
      <c r="A4059" s="19" t="s">
        <v>159</v>
      </c>
      <c r="B4059" s="19">
        <v>646.20000000000005</v>
      </c>
      <c r="C4059" s="19">
        <v>5</v>
      </c>
      <c r="D4059" s="19">
        <v>-8.0774999999999864</v>
      </c>
    </row>
    <row r="4060" spans="1:4" x14ac:dyDescent="0.2">
      <c r="A4060" s="19" t="s">
        <v>150</v>
      </c>
      <c r="B4060" s="19">
        <v>72.744000000000014</v>
      </c>
      <c r="C4060" s="19">
        <v>7</v>
      </c>
      <c r="D4060" s="19">
        <v>-15.458100000000007</v>
      </c>
    </row>
    <row r="4061" spans="1:4" x14ac:dyDescent="0.2">
      <c r="A4061" s="19" t="s">
        <v>150</v>
      </c>
      <c r="B4061" s="19">
        <v>572.16000000000008</v>
      </c>
      <c r="C4061" s="19">
        <v>3</v>
      </c>
      <c r="D4061" s="19">
        <v>35.759999999999962</v>
      </c>
    </row>
    <row r="4062" spans="1:4" x14ac:dyDescent="0.2">
      <c r="A4062" s="19" t="s">
        <v>159</v>
      </c>
      <c r="B4062" s="19">
        <v>68.111999999999995</v>
      </c>
      <c r="C4062" s="19">
        <v>3</v>
      </c>
      <c r="D4062" s="19">
        <v>17.879399999999997</v>
      </c>
    </row>
    <row r="4063" spans="1:4" x14ac:dyDescent="0.2">
      <c r="A4063" s="19" t="s">
        <v>153</v>
      </c>
      <c r="B4063" s="19">
        <v>25.031999999999996</v>
      </c>
      <c r="C4063" s="19">
        <v>3</v>
      </c>
      <c r="D4063" s="19">
        <v>7.822499999999998</v>
      </c>
    </row>
    <row r="4064" spans="1:4" x14ac:dyDescent="0.2">
      <c r="A4064" s="19" t="s">
        <v>158</v>
      </c>
      <c r="B4064" s="19">
        <v>39.992000000000004</v>
      </c>
      <c r="C4064" s="19">
        <v>1</v>
      </c>
      <c r="D4064" s="19">
        <v>7.4984999999999964</v>
      </c>
    </row>
    <row r="4065" spans="1:4" x14ac:dyDescent="0.2">
      <c r="A4065" s="19" t="s">
        <v>152</v>
      </c>
      <c r="B4065" s="19">
        <v>20.015999999999998</v>
      </c>
      <c r="C4065" s="19">
        <v>9</v>
      </c>
      <c r="D4065" s="19">
        <v>1.7514000000000003</v>
      </c>
    </row>
    <row r="4066" spans="1:4" x14ac:dyDescent="0.2">
      <c r="A4066" s="19" t="s">
        <v>152</v>
      </c>
      <c r="B4066" s="19">
        <v>3.1040000000000001</v>
      </c>
      <c r="C4066" s="19">
        <v>1</v>
      </c>
      <c r="D4066" s="19">
        <v>0.34919999999999951</v>
      </c>
    </row>
    <row r="4067" spans="1:4" x14ac:dyDescent="0.2">
      <c r="A4067" s="19" t="s">
        <v>152</v>
      </c>
      <c r="B4067" s="19">
        <v>7.52</v>
      </c>
      <c r="C4067" s="19">
        <v>5</v>
      </c>
      <c r="D4067" s="19">
        <v>1.4099999999999997</v>
      </c>
    </row>
    <row r="4068" spans="1:4" x14ac:dyDescent="0.2">
      <c r="A4068" s="19" t="s">
        <v>152</v>
      </c>
      <c r="B4068" s="19">
        <v>10.272000000000002</v>
      </c>
      <c r="C4068" s="19">
        <v>3</v>
      </c>
      <c r="D4068" s="19">
        <v>0.89880000000000004</v>
      </c>
    </row>
    <row r="4069" spans="1:4" x14ac:dyDescent="0.2">
      <c r="A4069" s="19" t="s">
        <v>152</v>
      </c>
      <c r="B4069" s="19">
        <v>47.808000000000007</v>
      </c>
      <c r="C4069" s="19">
        <v>12</v>
      </c>
      <c r="D4069" s="19">
        <v>15.537599999999998</v>
      </c>
    </row>
    <row r="4070" spans="1:4" x14ac:dyDescent="0.2">
      <c r="A4070" s="19" t="s">
        <v>152</v>
      </c>
      <c r="B4070" s="19">
        <v>978.83999999999992</v>
      </c>
      <c r="C4070" s="19">
        <v>9</v>
      </c>
      <c r="D4070" s="19">
        <v>110.1194999999999</v>
      </c>
    </row>
    <row r="4071" spans="1:4" x14ac:dyDescent="0.2">
      <c r="A4071" s="19" t="s">
        <v>154</v>
      </c>
      <c r="B4071" s="19">
        <v>13.139999999999997</v>
      </c>
      <c r="C4071" s="19">
        <v>9</v>
      </c>
      <c r="D4071" s="19">
        <v>-21.681000000000004</v>
      </c>
    </row>
    <row r="4072" spans="1:4" x14ac:dyDescent="0.2">
      <c r="A4072" s="19" t="s">
        <v>154</v>
      </c>
      <c r="B4072" s="19">
        <v>10.023999999999997</v>
      </c>
      <c r="C4072" s="19">
        <v>4</v>
      </c>
      <c r="D4072" s="19">
        <v>-16.539600000000007</v>
      </c>
    </row>
    <row r="4073" spans="1:4" x14ac:dyDescent="0.2">
      <c r="A4073" s="19" t="s">
        <v>154</v>
      </c>
      <c r="B4073" s="19">
        <v>156.37279999999998</v>
      </c>
      <c r="C4073" s="19">
        <v>2</v>
      </c>
      <c r="D4073" s="19">
        <v>-52.890800000000027</v>
      </c>
    </row>
    <row r="4074" spans="1:4" x14ac:dyDescent="0.2">
      <c r="A4074" s="19" t="s">
        <v>163</v>
      </c>
      <c r="B4074" s="19">
        <v>999.98</v>
      </c>
      <c r="C4074" s="19">
        <v>2</v>
      </c>
      <c r="D4074" s="19">
        <v>449.99099999999999</v>
      </c>
    </row>
    <row r="4075" spans="1:4" x14ac:dyDescent="0.2">
      <c r="A4075" s="19" t="s">
        <v>175</v>
      </c>
      <c r="B4075" s="19">
        <v>821.94</v>
      </c>
      <c r="C4075" s="19">
        <v>6</v>
      </c>
      <c r="D4075" s="19">
        <v>213.70440000000002</v>
      </c>
    </row>
    <row r="4076" spans="1:4" x14ac:dyDescent="0.2">
      <c r="A4076" s="19" t="s">
        <v>151</v>
      </c>
      <c r="B4076" s="19">
        <v>220.06399999999999</v>
      </c>
      <c r="C4076" s="19">
        <v>4</v>
      </c>
      <c r="D4076" s="19">
        <v>55.016000000000012</v>
      </c>
    </row>
    <row r="4077" spans="1:4" x14ac:dyDescent="0.2">
      <c r="A4077" s="19" t="s">
        <v>151</v>
      </c>
      <c r="B4077" s="19">
        <v>339.13600000000002</v>
      </c>
      <c r="C4077" s="19">
        <v>4</v>
      </c>
      <c r="D4077" s="19">
        <v>0</v>
      </c>
    </row>
    <row r="4078" spans="1:4" x14ac:dyDescent="0.2">
      <c r="A4078" s="19" t="s">
        <v>157</v>
      </c>
      <c r="B4078" s="19">
        <v>7.04</v>
      </c>
      <c r="C4078" s="19">
        <v>2</v>
      </c>
      <c r="D4078" s="19">
        <v>3.3087999999999997</v>
      </c>
    </row>
    <row r="4079" spans="1:4" x14ac:dyDescent="0.2">
      <c r="A4079" s="19" t="s">
        <v>157</v>
      </c>
      <c r="B4079" s="19">
        <v>5.04</v>
      </c>
      <c r="C4079" s="19">
        <v>4</v>
      </c>
      <c r="D4079" s="19">
        <v>0.2016</v>
      </c>
    </row>
    <row r="4080" spans="1:4" x14ac:dyDescent="0.2">
      <c r="A4080" s="19" t="s">
        <v>157</v>
      </c>
      <c r="B4080" s="19">
        <v>116.28</v>
      </c>
      <c r="C4080" s="19">
        <v>3</v>
      </c>
      <c r="D4080" s="19">
        <v>56.977199999999996</v>
      </c>
    </row>
    <row r="4081" spans="1:4" x14ac:dyDescent="0.2">
      <c r="A4081" s="19" t="s">
        <v>152</v>
      </c>
      <c r="B4081" s="19">
        <v>47.975999999999999</v>
      </c>
      <c r="C4081" s="19">
        <v>3</v>
      </c>
      <c r="D4081" s="19">
        <v>4.7976000000000028</v>
      </c>
    </row>
    <row r="4082" spans="1:4" x14ac:dyDescent="0.2">
      <c r="A4082" s="19" t="s">
        <v>170</v>
      </c>
      <c r="B4082" s="19">
        <v>60.048000000000002</v>
      </c>
      <c r="C4082" s="19">
        <v>9</v>
      </c>
      <c r="D4082" s="19">
        <v>22.518000000000001</v>
      </c>
    </row>
    <row r="4083" spans="1:4" x14ac:dyDescent="0.2">
      <c r="A4083" s="19" t="s">
        <v>170</v>
      </c>
      <c r="B4083" s="19">
        <v>5.0220000000000002</v>
      </c>
      <c r="C4083" s="19">
        <v>1</v>
      </c>
      <c r="D4083" s="19">
        <v>-3.5153999999999996</v>
      </c>
    </row>
    <row r="4084" spans="1:4" x14ac:dyDescent="0.2">
      <c r="A4084" s="19" t="s">
        <v>159</v>
      </c>
      <c r="B4084" s="19">
        <v>182.99399999999997</v>
      </c>
      <c r="C4084" s="19">
        <v>3</v>
      </c>
      <c r="D4084" s="19">
        <v>-320.23950000000013</v>
      </c>
    </row>
    <row r="4085" spans="1:4" x14ac:dyDescent="0.2">
      <c r="A4085" s="19" t="s">
        <v>159</v>
      </c>
      <c r="B4085" s="19">
        <v>10.272000000000002</v>
      </c>
      <c r="C4085" s="19">
        <v>3</v>
      </c>
      <c r="D4085" s="19">
        <v>3.2099999999999982</v>
      </c>
    </row>
    <row r="4086" spans="1:4" x14ac:dyDescent="0.2">
      <c r="A4086" s="19" t="s">
        <v>165</v>
      </c>
      <c r="B4086" s="19">
        <v>7.857000000000002</v>
      </c>
      <c r="C4086" s="19">
        <v>3</v>
      </c>
      <c r="D4086" s="19">
        <v>-6.0236999999999998</v>
      </c>
    </row>
    <row r="4087" spans="1:4" x14ac:dyDescent="0.2">
      <c r="A4087" s="19" t="s">
        <v>150</v>
      </c>
      <c r="B4087" s="19">
        <v>302.38400000000001</v>
      </c>
      <c r="C4087" s="19">
        <v>2</v>
      </c>
      <c r="D4087" s="19">
        <v>30.238400000000013</v>
      </c>
    </row>
    <row r="4088" spans="1:4" x14ac:dyDescent="0.2">
      <c r="A4088" s="19" t="s">
        <v>150</v>
      </c>
      <c r="B4088" s="19">
        <v>20.952000000000002</v>
      </c>
      <c r="C4088" s="19">
        <v>3</v>
      </c>
      <c r="D4088" s="19">
        <v>7.0712999999999981</v>
      </c>
    </row>
    <row r="4089" spans="1:4" x14ac:dyDescent="0.2">
      <c r="A4089" s="19" t="s">
        <v>150</v>
      </c>
      <c r="B4089" s="19">
        <v>11.784000000000001</v>
      </c>
      <c r="C4089" s="19">
        <v>3</v>
      </c>
      <c r="D4089" s="19">
        <v>3.9770999999999996</v>
      </c>
    </row>
    <row r="4090" spans="1:4" x14ac:dyDescent="0.2">
      <c r="A4090" s="19" t="s">
        <v>184</v>
      </c>
      <c r="B4090" s="19">
        <v>638.82000000000005</v>
      </c>
      <c r="C4090" s="19">
        <v>9</v>
      </c>
      <c r="D4090" s="19">
        <v>172.48140000000001</v>
      </c>
    </row>
    <row r="4091" spans="1:4" x14ac:dyDescent="0.2">
      <c r="A4091" s="19" t="s">
        <v>164</v>
      </c>
      <c r="B4091" s="19">
        <v>20.7</v>
      </c>
      <c r="C4091" s="19">
        <v>2</v>
      </c>
      <c r="D4091" s="19">
        <v>9.9359999999999999</v>
      </c>
    </row>
    <row r="4092" spans="1:4" x14ac:dyDescent="0.2">
      <c r="A4092" s="19" t="s">
        <v>164</v>
      </c>
      <c r="B4092" s="19">
        <v>10.95</v>
      </c>
      <c r="C4092" s="19">
        <v>3</v>
      </c>
      <c r="D4092" s="19">
        <v>3.2849999999999993</v>
      </c>
    </row>
    <row r="4093" spans="1:4" x14ac:dyDescent="0.2">
      <c r="A4093" s="19" t="s">
        <v>164</v>
      </c>
      <c r="B4093" s="19">
        <v>14.352000000000002</v>
      </c>
      <c r="C4093" s="19">
        <v>3</v>
      </c>
      <c r="D4093" s="19">
        <v>4.6643999999999988</v>
      </c>
    </row>
    <row r="4094" spans="1:4" x14ac:dyDescent="0.2">
      <c r="A4094" s="19" t="s">
        <v>173</v>
      </c>
      <c r="B4094" s="19">
        <v>221.024</v>
      </c>
      <c r="C4094" s="19">
        <v>2</v>
      </c>
      <c r="D4094" s="19">
        <v>-55.256</v>
      </c>
    </row>
    <row r="4095" spans="1:4" x14ac:dyDescent="0.2">
      <c r="A4095" s="19" t="s">
        <v>149</v>
      </c>
      <c r="B4095" s="19">
        <v>3080</v>
      </c>
      <c r="C4095" s="19">
        <v>7</v>
      </c>
      <c r="D4095" s="19">
        <v>1416.7999999999997</v>
      </c>
    </row>
    <row r="4096" spans="1:4" x14ac:dyDescent="0.2">
      <c r="A4096" s="19" t="s">
        <v>149</v>
      </c>
      <c r="B4096" s="19">
        <v>79.959999999999994</v>
      </c>
      <c r="C4096" s="19">
        <v>4</v>
      </c>
      <c r="D4096" s="19">
        <v>18.390799999999999</v>
      </c>
    </row>
    <row r="4097" spans="1:4" x14ac:dyDescent="0.2">
      <c r="A4097" s="19" t="s">
        <v>149</v>
      </c>
      <c r="B4097" s="19">
        <v>587.97</v>
      </c>
      <c r="C4097" s="19">
        <v>3</v>
      </c>
      <c r="D4097" s="19">
        <v>170.51129999999998</v>
      </c>
    </row>
    <row r="4098" spans="1:4" x14ac:dyDescent="0.2">
      <c r="A4098" s="19" t="s">
        <v>160</v>
      </c>
      <c r="B4098" s="19">
        <v>32.400000000000006</v>
      </c>
      <c r="C4098" s="19">
        <v>5</v>
      </c>
      <c r="D4098" s="19">
        <v>15.552000000000001</v>
      </c>
    </row>
    <row r="4099" spans="1:4" x14ac:dyDescent="0.2">
      <c r="A4099" s="19" t="s">
        <v>160</v>
      </c>
      <c r="B4099" s="19">
        <v>404.90000000000003</v>
      </c>
      <c r="C4099" s="19">
        <v>5</v>
      </c>
      <c r="D4099" s="19">
        <v>16.195999999999984</v>
      </c>
    </row>
    <row r="4100" spans="1:4" x14ac:dyDescent="0.2">
      <c r="A4100" s="19" t="s">
        <v>160</v>
      </c>
      <c r="B4100" s="19">
        <v>9449.9500000000007</v>
      </c>
      <c r="C4100" s="19">
        <v>5</v>
      </c>
      <c r="D4100" s="19">
        <v>4630.4755000000005</v>
      </c>
    </row>
    <row r="4101" spans="1:4" x14ac:dyDescent="0.2">
      <c r="A4101" s="19" t="s">
        <v>160</v>
      </c>
      <c r="B4101" s="19">
        <v>12.94</v>
      </c>
      <c r="C4101" s="19">
        <v>2</v>
      </c>
      <c r="D4101" s="19">
        <v>6.47</v>
      </c>
    </row>
    <row r="4102" spans="1:4" x14ac:dyDescent="0.2">
      <c r="A4102" s="19" t="s">
        <v>154</v>
      </c>
      <c r="B4102" s="19">
        <v>2.2639999999999993</v>
      </c>
      <c r="C4102" s="19">
        <v>1</v>
      </c>
      <c r="D4102" s="19">
        <v>-5.2072000000000012</v>
      </c>
    </row>
    <row r="4103" spans="1:4" x14ac:dyDescent="0.2">
      <c r="A4103" s="19" t="s">
        <v>154</v>
      </c>
      <c r="B4103" s="19">
        <v>0.44399999999999995</v>
      </c>
      <c r="C4103" s="19">
        <v>1</v>
      </c>
      <c r="D4103" s="19">
        <v>-1.1100000000000003</v>
      </c>
    </row>
    <row r="4104" spans="1:4" x14ac:dyDescent="0.2">
      <c r="A4104" s="19" t="s">
        <v>154</v>
      </c>
      <c r="B4104" s="19">
        <v>146.17600000000002</v>
      </c>
      <c r="C4104" s="19">
        <v>8</v>
      </c>
      <c r="D4104" s="19">
        <v>47.50719999999999</v>
      </c>
    </row>
    <row r="4105" spans="1:4" x14ac:dyDescent="0.2">
      <c r="A4105" s="19" t="s">
        <v>157</v>
      </c>
      <c r="B4105" s="19">
        <v>15.92</v>
      </c>
      <c r="C4105" s="19">
        <v>2</v>
      </c>
      <c r="D4105" s="19">
        <v>7.0048000000000012</v>
      </c>
    </row>
    <row r="4106" spans="1:4" x14ac:dyDescent="0.2">
      <c r="A4106" s="19" t="s">
        <v>150</v>
      </c>
      <c r="B4106" s="19">
        <v>159.96000000000004</v>
      </c>
      <c r="C4106" s="19">
        <v>5</v>
      </c>
      <c r="D4106" s="19">
        <v>17.995499999999979</v>
      </c>
    </row>
    <row r="4107" spans="1:4" x14ac:dyDescent="0.2">
      <c r="A4107" s="19" t="s">
        <v>150</v>
      </c>
      <c r="B4107" s="19">
        <v>13.76</v>
      </c>
      <c r="C4107" s="19">
        <v>2</v>
      </c>
      <c r="D4107" s="19">
        <v>4.6440000000000001</v>
      </c>
    </row>
    <row r="4108" spans="1:4" x14ac:dyDescent="0.2">
      <c r="A4108" s="19" t="s">
        <v>154</v>
      </c>
      <c r="B4108" s="19">
        <v>4.3119999999999985</v>
      </c>
      <c r="C4108" s="19">
        <v>2</v>
      </c>
      <c r="D4108" s="19">
        <v>-6.8992000000000022</v>
      </c>
    </row>
    <row r="4109" spans="1:4" x14ac:dyDescent="0.2">
      <c r="A4109" s="19" t="s">
        <v>164</v>
      </c>
      <c r="B4109" s="19">
        <v>13.96</v>
      </c>
      <c r="C4109" s="19">
        <v>2</v>
      </c>
      <c r="D4109" s="19">
        <v>0.27919999999999945</v>
      </c>
    </row>
    <row r="4110" spans="1:4" x14ac:dyDescent="0.2">
      <c r="A4110" s="19" t="s">
        <v>164</v>
      </c>
      <c r="B4110" s="19">
        <v>27.414000000000001</v>
      </c>
      <c r="C4110" s="19">
        <v>3</v>
      </c>
      <c r="D4110" s="19">
        <v>-14.163900000000005</v>
      </c>
    </row>
    <row r="4111" spans="1:4" x14ac:dyDescent="0.2">
      <c r="A4111" s="19" t="s">
        <v>161</v>
      </c>
      <c r="B4111" s="19">
        <v>73.98</v>
      </c>
      <c r="C4111" s="19">
        <v>2</v>
      </c>
      <c r="D4111" s="19">
        <v>19.974600000000002</v>
      </c>
    </row>
    <row r="4112" spans="1:4" x14ac:dyDescent="0.2">
      <c r="A4112" s="19" t="s">
        <v>161</v>
      </c>
      <c r="B4112" s="19">
        <v>160.97999999999999</v>
      </c>
      <c r="C4112" s="19">
        <v>1</v>
      </c>
      <c r="D4112" s="19">
        <v>20.927400000000006</v>
      </c>
    </row>
    <row r="4113" spans="1:4" x14ac:dyDescent="0.2">
      <c r="A4113" s="19" t="s">
        <v>161</v>
      </c>
      <c r="B4113" s="19">
        <v>17.34</v>
      </c>
      <c r="C4113" s="19">
        <v>3</v>
      </c>
      <c r="D4113" s="19">
        <v>8.4966000000000008</v>
      </c>
    </row>
    <row r="4114" spans="1:4" x14ac:dyDescent="0.2">
      <c r="A4114" s="19" t="s">
        <v>161</v>
      </c>
      <c r="B4114" s="19">
        <v>3.28</v>
      </c>
      <c r="C4114" s="19">
        <v>1</v>
      </c>
      <c r="D4114" s="19">
        <v>0.9511999999999996</v>
      </c>
    </row>
    <row r="4115" spans="1:4" x14ac:dyDescent="0.2">
      <c r="A4115" s="19" t="s">
        <v>154</v>
      </c>
      <c r="B4115" s="19">
        <v>8.8559999999999999</v>
      </c>
      <c r="C4115" s="19">
        <v>3</v>
      </c>
      <c r="D4115" s="19">
        <v>2.9888999999999997</v>
      </c>
    </row>
    <row r="4116" spans="1:4" x14ac:dyDescent="0.2">
      <c r="A4116" s="19" t="s">
        <v>154</v>
      </c>
      <c r="B4116" s="19">
        <v>158.376</v>
      </c>
      <c r="C4116" s="19">
        <v>3</v>
      </c>
      <c r="D4116" s="19">
        <v>13.857900000000008</v>
      </c>
    </row>
    <row r="4117" spans="1:4" x14ac:dyDescent="0.2">
      <c r="A4117" s="19" t="s">
        <v>153</v>
      </c>
      <c r="B4117" s="19">
        <v>1219.96</v>
      </c>
      <c r="C4117" s="19">
        <v>5</v>
      </c>
      <c r="D4117" s="19">
        <v>381.23749999999995</v>
      </c>
    </row>
    <row r="4118" spans="1:4" x14ac:dyDescent="0.2">
      <c r="A4118" s="19" t="s">
        <v>150</v>
      </c>
      <c r="B4118" s="19">
        <v>3.1680000000000001</v>
      </c>
      <c r="C4118" s="19">
        <v>2</v>
      </c>
      <c r="D4118" s="19">
        <v>0.99</v>
      </c>
    </row>
    <row r="4119" spans="1:4" x14ac:dyDescent="0.2">
      <c r="A4119" s="19" t="s">
        <v>150</v>
      </c>
      <c r="B4119" s="19">
        <v>19.440000000000001</v>
      </c>
      <c r="C4119" s="19">
        <v>3</v>
      </c>
      <c r="D4119" s="19">
        <v>9.3312000000000008</v>
      </c>
    </row>
    <row r="4120" spans="1:4" x14ac:dyDescent="0.2">
      <c r="A4120" s="19" t="s">
        <v>150</v>
      </c>
      <c r="B4120" s="19">
        <v>454.86</v>
      </c>
      <c r="C4120" s="19">
        <v>7</v>
      </c>
      <c r="D4120" s="19">
        <v>54.583200000000019</v>
      </c>
    </row>
    <row r="4121" spans="1:4" x14ac:dyDescent="0.2">
      <c r="A4121" s="19" t="s">
        <v>150</v>
      </c>
      <c r="B4121" s="19">
        <v>91.391999999999996</v>
      </c>
      <c r="C4121" s="19">
        <v>8</v>
      </c>
      <c r="D4121" s="19">
        <v>29.702399999999997</v>
      </c>
    </row>
    <row r="4122" spans="1:4" x14ac:dyDescent="0.2">
      <c r="A4122" s="19" t="s">
        <v>158</v>
      </c>
      <c r="B4122" s="19">
        <v>19.040000000000003</v>
      </c>
      <c r="C4122" s="19">
        <v>4</v>
      </c>
      <c r="D4122" s="19">
        <v>-1.4279999999999999</v>
      </c>
    </row>
    <row r="4123" spans="1:4" x14ac:dyDescent="0.2">
      <c r="A4123" s="19" t="s">
        <v>153</v>
      </c>
      <c r="B4123" s="19">
        <v>37.44</v>
      </c>
      <c r="C4123" s="19">
        <v>6</v>
      </c>
      <c r="D4123" s="19">
        <v>16.847999999999999</v>
      </c>
    </row>
    <row r="4124" spans="1:4" x14ac:dyDescent="0.2">
      <c r="A4124" s="19" t="s">
        <v>153</v>
      </c>
      <c r="B4124" s="19">
        <v>37.589999999999996</v>
      </c>
      <c r="C4124" s="19">
        <v>3</v>
      </c>
      <c r="D4124" s="19">
        <v>17.667299999999997</v>
      </c>
    </row>
    <row r="4125" spans="1:4" x14ac:dyDescent="0.2">
      <c r="A4125" s="19" t="s">
        <v>153</v>
      </c>
      <c r="B4125" s="19">
        <v>26.032</v>
      </c>
      <c r="C4125" s="19">
        <v>2</v>
      </c>
      <c r="D4125" s="19">
        <v>9.4365999999999985</v>
      </c>
    </row>
    <row r="4126" spans="1:4" x14ac:dyDescent="0.2">
      <c r="A4126" s="19" t="s">
        <v>164</v>
      </c>
      <c r="B4126" s="19">
        <v>35.910000000000004</v>
      </c>
      <c r="C4126" s="19">
        <v>3</v>
      </c>
      <c r="D4126" s="19">
        <v>9.6956999999999987</v>
      </c>
    </row>
    <row r="4127" spans="1:4" x14ac:dyDescent="0.2">
      <c r="A4127" s="19" t="s">
        <v>151</v>
      </c>
      <c r="B4127" s="19">
        <v>91.032000000000011</v>
      </c>
      <c r="C4127" s="19">
        <v>3</v>
      </c>
      <c r="D4127" s="19">
        <v>-2.2758000000000109</v>
      </c>
    </row>
    <row r="4128" spans="1:4" x14ac:dyDescent="0.2">
      <c r="A4128" s="19" t="s">
        <v>166</v>
      </c>
      <c r="B4128" s="19">
        <v>54.66</v>
      </c>
      <c r="C4128" s="19">
        <v>6</v>
      </c>
      <c r="D4128" s="19">
        <v>18.037799999999997</v>
      </c>
    </row>
    <row r="4129" spans="1:4" x14ac:dyDescent="0.2">
      <c r="A4129" s="19" t="s">
        <v>152</v>
      </c>
      <c r="B4129" s="19">
        <v>67.343999999999994</v>
      </c>
      <c r="C4129" s="19">
        <v>6</v>
      </c>
      <c r="D4129" s="19">
        <v>7.5761999999999894</v>
      </c>
    </row>
    <row r="4130" spans="1:4" x14ac:dyDescent="0.2">
      <c r="A4130" s="19" t="s">
        <v>152</v>
      </c>
      <c r="B4130" s="19">
        <v>2624.9850000000001</v>
      </c>
      <c r="C4130" s="19">
        <v>3</v>
      </c>
      <c r="D4130" s="19">
        <v>-944.99460000000045</v>
      </c>
    </row>
    <row r="4131" spans="1:4" x14ac:dyDescent="0.2">
      <c r="A4131" s="19" t="s">
        <v>153</v>
      </c>
      <c r="B4131" s="19">
        <v>73.28</v>
      </c>
      <c r="C4131" s="19">
        <v>4</v>
      </c>
      <c r="D4131" s="19">
        <v>21.251199999999997</v>
      </c>
    </row>
    <row r="4132" spans="1:4" x14ac:dyDescent="0.2">
      <c r="A4132" s="19" t="s">
        <v>159</v>
      </c>
      <c r="B4132" s="19">
        <v>14.479999999999997</v>
      </c>
      <c r="C4132" s="19">
        <v>5</v>
      </c>
      <c r="D4132" s="19">
        <v>-23.89200000000001</v>
      </c>
    </row>
    <row r="4133" spans="1:4" x14ac:dyDescent="0.2">
      <c r="A4133" s="19" t="s">
        <v>151</v>
      </c>
      <c r="B4133" s="19">
        <v>11.952000000000002</v>
      </c>
      <c r="C4133" s="19">
        <v>3</v>
      </c>
      <c r="D4133" s="19">
        <v>4.0338000000000003</v>
      </c>
    </row>
    <row r="4134" spans="1:4" x14ac:dyDescent="0.2">
      <c r="A4134" s="19" t="s">
        <v>151</v>
      </c>
      <c r="B4134" s="19">
        <v>15.552000000000003</v>
      </c>
      <c r="C4134" s="19">
        <v>3</v>
      </c>
      <c r="D4134" s="19">
        <v>5.6375999999999999</v>
      </c>
    </row>
    <row r="4135" spans="1:4" x14ac:dyDescent="0.2">
      <c r="A4135" s="19" t="s">
        <v>166</v>
      </c>
      <c r="B4135" s="19">
        <v>45</v>
      </c>
      <c r="C4135" s="19">
        <v>9</v>
      </c>
      <c r="D4135" s="19">
        <v>21.599999999999998</v>
      </c>
    </row>
    <row r="4136" spans="1:4" x14ac:dyDescent="0.2">
      <c r="A4136" s="19" t="s">
        <v>166</v>
      </c>
      <c r="B4136" s="19">
        <v>209.96999999999997</v>
      </c>
      <c r="C4136" s="19">
        <v>3</v>
      </c>
      <c r="D4136" s="19">
        <v>90.287100000000009</v>
      </c>
    </row>
    <row r="4137" spans="1:4" x14ac:dyDescent="0.2">
      <c r="A4137" s="19" t="s">
        <v>150</v>
      </c>
      <c r="B4137" s="19">
        <v>112.12000000000002</v>
      </c>
      <c r="C4137" s="19">
        <v>5</v>
      </c>
      <c r="D4137" s="19">
        <v>42.045000000000002</v>
      </c>
    </row>
    <row r="4138" spans="1:4" x14ac:dyDescent="0.2">
      <c r="A4138" s="19" t="s">
        <v>150</v>
      </c>
      <c r="B4138" s="19">
        <v>1575.14</v>
      </c>
      <c r="C4138" s="19">
        <v>7</v>
      </c>
      <c r="D4138" s="19">
        <v>204.76820000000001</v>
      </c>
    </row>
    <row r="4139" spans="1:4" x14ac:dyDescent="0.2">
      <c r="A4139" s="19" t="s">
        <v>166</v>
      </c>
      <c r="B4139" s="19">
        <v>25.060000000000002</v>
      </c>
      <c r="C4139" s="19">
        <v>7</v>
      </c>
      <c r="D4139" s="19">
        <v>12.530000000000001</v>
      </c>
    </row>
    <row r="4140" spans="1:4" x14ac:dyDescent="0.2">
      <c r="A4140" s="19" t="s">
        <v>154</v>
      </c>
      <c r="B4140" s="19">
        <v>6.9239999999999977</v>
      </c>
      <c r="C4140" s="19">
        <v>6</v>
      </c>
      <c r="D4140" s="19">
        <v>-10.385999999999999</v>
      </c>
    </row>
    <row r="4141" spans="1:4" x14ac:dyDescent="0.2">
      <c r="A4141" s="19" t="s">
        <v>158</v>
      </c>
      <c r="B4141" s="19">
        <v>37.392000000000003</v>
      </c>
      <c r="C4141" s="19">
        <v>3</v>
      </c>
      <c r="D4141" s="19">
        <v>2.336999999999998</v>
      </c>
    </row>
    <row r="4142" spans="1:4" x14ac:dyDescent="0.2">
      <c r="A4142" s="19" t="s">
        <v>158</v>
      </c>
      <c r="B4142" s="19">
        <v>79.12</v>
      </c>
      <c r="C4142" s="19">
        <v>5</v>
      </c>
      <c r="D4142" s="19">
        <v>13.845999999999997</v>
      </c>
    </row>
    <row r="4143" spans="1:4" x14ac:dyDescent="0.2">
      <c r="A4143" s="19" t="s">
        <v>189</v>
      </c>
      <c r="B4143" s="19">
        <v>18.899999999999999</v>
      </c>
      <c r="C4143" s="19">
        <v>3</v>
      </c>
      <c r="D4143" s="19">
        <v>8.6939999999999991</v>
      </c>
    </row>
    <row r="4144" spans="1:4" x14ac:dyDescent="0.2">
      <c r="A4144" s="19" t="s">
        <v>161</v>
      </c>
      <c r="B4144" s="19">
        <v>57.42</v>
      </c>
      <c r="C4144" s="19">
        <v>9</v>
      </c>
      <c r="D4144" s="19">
        <v>26.413199999999996</v>
      </c>
    </row>
    <row r="4145" spans="1:4" x14ac:dyDescent="0.2">
      <c r="A4145" s="19" t="s">
        <v>150</v>
      </c>
      <c r="B4145" s="19">
        <v>12.74</v>
      </c>
      <c r="C4145" s="19">
        <v>7</v>
      </c>
      <c r="D4145" s="19">
        <v>5.7329999999999997</v>
      </c>
    </row>
    <row r="4146" spans="1:4" x14ac:dyDescent="0.2">
      <c r="A4146" s="19" t="s">
        <v>150</v>
      </c>
      <c r="B4146" s="19">
        <v>8.82</v>
      </c>
      <c r="C4146" s="19">
        <v>3</v>
      </c>
      <c r="D4146" s="19">
        <v>2.3814000000000002</v>
      </c>
    </row>
    <row r="4147" spans="1:4" x14ac:dyDescent="0.2">
      <c r="A4147" s="19" t="s">
        <v>150</v>
      </c>
      <c r="B4147" s="19">
        <v>120.78399999999999</v>
      </c>
      <c r="C4147" s="19">
        <v>1</v>
      </c>
      <c r="D4147" s="19">
        <v>-13.588200000000001</v>
      </c>
    </row>
    <row r="4148" spans="1:4" x14ac:dyDescent="0.2">
      <c r="A4148" s="19" t="s">
        <v>164</v>
      </c>
      <c r="B4148" s="19">
        <v>322.59000000000003</v>
      </c>
      <c r="C4148" s="19">
        <v>3</v>
      </c>
      <c r="D4148" s="19">
        <v>64.518000000000001</v>
      </c>
    </row>
    <row r="4149" spans="1:4" x14ac:dyDescent="0.2">
      <c r="A4149" s="19" t="s">
        <v>154</v>
      </c>
      <c r="B4149" s="19">
        <v>9.7619999999999969</v>
      </c>
      <c r="C4149" s="19">
        <v>3</v>
      </c>
      <c r="D4149" s="19">
        <v>-15.131100000000004</v>
      </c>
    </row>
    <row r="4150" spans="1:4" x14ac:dyDescent="0.2">
      <c r="A4150" s="19" t="s">
        <v>154</v>
      </c>
      <c r="B4150" s="19">
        <v>13.719999999999999</v>
      </c>
      <c r="C4150" s="19">
        <v>1</v>
      </c>
      <c r="D4150" s="19">
        <v>1.2004999999999999</v>
      </c>
    </row>
    <row r="4151" spans="1:4" x14ac:dyDescent="0.2">
      <c r="A4151" s="19" t="s">
        <v>154</v>
      </c>
      <c r="B4151" s="19">
        <v>55.2</v>
      </c>
      <c r="C4151" s="19">
        <v>1</v>
      </c>
      <c r="D4151" s="19">
        <v>-2.0700000000000038</v>
      </c>
    </row>
    <row r="4152" spans="1:4" x14ac:dyDescent="0.2">
      <c r="A4152" s="19" t="s">
        <v>154</v>
      </c>
      <c r="B4152" s="19">
        <v>259.13600000000002</v>
      </c>
      <c r="C4152" s="19">
        <v>4</v>
      </c>
      <c r="D4152" s="19">
        <v>-58.305599999999984</v>
      </c>
    </row>
    <row r="4153" spans="1:4" x14ac:dyDescent="0.2">
      <c r="A4153" s="19" t="s">
        <v>158</v>
      </c>
      <c r="B4153" s="19">
        <v>29.24</v>
      </c>
      <c r="C4153" s="19">
        <v>5</v>
      </c>
      <c r="D4153" s="19">
        <v>9.8685000000000009</v>
      </c>
    </row>
    <row r="4154" spans="1:4" x14ac:dyDescent="0.2">
      <c r="A4154" s="19" t="s">
        <v>158</v>
      </c>
      <c r="B4154" s="19">
        <v>15.552000000000003</v>
      </c>
      <c r="C4154" s="19">
        <v>3</v>
      </c>
      <c r="D4154" s="19">
        <v>5.4432</v>
      </c>
    </row>
    <row r="4155" spans="1:4" x14ac:dyDescent="0.2">
      <c r="A4155" s="19" t="s">
        <v>158</v>
      </c>
      <c r="B4155" s="19">
        <v>4.8960000000000008</v>
      </c>
      <c r="C4155" s="19">
        <v>3</v>
      </c>
      <c r="D4155" s="19">
        <v>1.6523999999999992</v>
      </c>
    </row>
    <row r="4156" spans="1:4" x14ac:dyDescent="0.2">
      <c r="A4156" s="19" t="s">
        <v>167</v>
      </c>
      <c r="B4156" s="19">
        <v>38.088000000000001</v>
      </c>
      <c r="C4156" s="19">
        <v>4</v>
      </c>
      <c r="D4156" s="19">
        <v>-27.93119999999999</v>
      </c>
    </row>
    <row r="4157" spans="1:4" x14ac:dyDescent="0.2">
      <c r="A4157" s="19" t="s">
        <v>167</v>
      </c>
      <c r="B4157" s="19">
        <v>2.8080000000000007</v>
      </c>
      <c r="C4157" s="19">
        <v>3</v>
      </c>
      <c r="D4157" s="19">
        <v>-1.9656000000000002</v>
      </c>
    </row>
    <row r="4158" spans="1:4" x14ac:dyDescent="0.2">
      <c r="A4158" s="19" t="s">
        <v>158</v>
      </c>
      <c r="B4158" s="19">
        <v>47.984000000000002</v>
      </c>
      <c r="C4158" s="19">
        <v>2</v>
      </c>
      <c r="D4158" s="19">
        <v>0.59979999999999656</v>
      </c>
    </row>
    <row r="4159" spans="1:4" x14ac:dyDescent="0.2">
      <c r="A4159" s="19" t="s">
        <v>158</v>
      </c>
      <c r="B4159" s="19">
        <v>26.064000000000007</v>
      </c>
      <c r="C4159" s="19">
        <v>6</v>
      </c>
      <c r="D4159" s="19">
        <v>-19.982399999999991</v>
      </c>
    </row>
    <row r="4160" spans="1:4" x14ac:dyDescent="0.2">
      <c r="A4160" s="19" t="s">
        <v>159</v>
      </c>
      <c r="B4160" s="19">
        <v>15.696000000000002</v>
      </c>
      <c r="C4160" s="19">
        <v>3</v>
      </c>
      <c r="D4160" s="19">
        <v>5.1011999999999995</v>
      </c>
    </row>
    <row r="4161" spans="1:4" x14ac:dyDescent="0.2">
      <c r="A4161" s="19" t="s">
        <v>101</v>
      </c>
      <c r="B4161" s="19">
        <v>12.84</v>
      </c>
      <c r="C4161" s="19">
        <v>3</v>
      </c>
      <c r="D4161" s="19">
        <v>3.7235999999999989</v>
      </c>
    </row>
    <row r="4162" spans="1:4" x14ac:dyDescent="0.2">
      <c r="A4162" s="19" t="s">
        <v>164</v>
      </c>
      <c r="B4162" s="19">
        <v>539.97</v>
      </c>
      <c r="C4162" s="19">
        <v>3</v>
      </c>
      <c r="D4162" s="19">
        <v>134.99250000000001</v>
      </c>
    </row>
    <row r="4163" spans="1:4" x14ac:dyDescent="0.2">
      <c r="A4163" s="19" t="s">
        <v>164</v>
      </c>
      <c r="B4163" s="19">
        <v>22.58</v>
      </c>
      <c r="C4163" s="19">
        <v>2</v>
      </c>
      <c r="D4163" s="19">
        <v>5.8707999999999991</v>
      </c>
    </row>
    <row r="4164" spans="1:4" x14ac:dyDescent="0.2">
      <c r="A4164" s="19" t="s">
        <v>186</v>
      </c>
      <c r="B4164" s="19">
        <v>16.52</v>
      </c>
      <c r="C4164" s="19">
        <v>4</v>
      </c>
      <c r="D4164" s="19">
        <v>7.5991999999999997</v>
      </c>
    </row>
    <row r="4165" spans="1:4" x14ac:dyDescent="0.2">
      <c r="A4165" s="19" t="s">
        <v>186</v>
      </c>
      <c r="B4165" s="19">
        <v>671.93999999999994</v>
      </c>
      <c r="C4165" s="19">
        <v>3</v>
      </c>
      <c r="D4165" s="19">
        <v>315.81179999999995</v>
      </c>
    </row>
    <row r="4166" spans="1:4" x14ac:dyDescent="0.2">
      <c r="A4166" s="19" t="s">
        <v>171</v>
      </c>
      <c r="B4166" s="19">
        <v>169.06400000000002</v>
      </c>
      <c r="C4166" s="19">
        <v>7</v>
      </c>
      <c r="D4166" s="19">
        <v>-14.793099999999995</v>
      </c>
    </row>
    <row r="4167" spans="1:4" x14ac:dyDescent="0.2">
      <c r="A4167" s="19" t="s">
        <v>171</v>
      </c>
      <c r="B4167" s="19">
        <v>168.624</v>
      </c>
      <c r="C4167" s="19">
        <v>9</v>
      </c>
      <c r="D4167" s="19">
        <v>14.754599999999996</v>
      </c>
    </row>
    <row r="4168" spans="1:4" x14ac:dyDescent="0.2">
      <c r="A4168" s="19" t="s">
        <v>164</v>
      </c>
      <c r="B4168" s="19">
        <v>19.440000000000001</v>
      </c>
      <c r="C4168" s="19">
        <v>3</v>
      </c>
      <c r="D4168" s="19">
        <v>9.3312000000000008</v>
      </c>
    </row>
    <row r="4169" spans="1:4" x14ac:dyDescent="0.2">
      <c r="A4169" s="19" t="s">
        <v>150</v>
      </c>
      <c r="B4169" s="19">
        <v>31.92</v>
      </c>
      <c r="C4169" s="19">
        <v>4</v>
      </c>
      <c r="D4169" s="19">
        <v>8.299199999999999</v>
      </c>
    </row>
    <row r="4170" spans="1:4" x14ac:dyDescent="0.2">
      <c r="A4170" s="19" t="s">
        <v>150</v>
      </c>
      <c r="B4170" s="19">
        <v>433.56800000000004</v>
      </c>
      <c r="C4170" s="19">
        <v>2</v>
      </c>
      <c r="D4170" s="19">
        <v>-65.035200000000046</v>
      </c>
    </row>
    <row r="4171" spans="1:4" x14ac:dyDescent="0.2">
      <c r="A4171" s="19" t="s">
        <v>165</v>
      </c>
      <c r="B4171" s="19">
        <v>31.104000000000006</v>
      </c>
      <c r="C4171" s="19">
        <v>6</v>
      </c>
      <c r="D4171" s="19">
        <v>10.8864</v>
      </c>
    </row>
    <row r="4172" spans="1:4" x14ac:dyDescent="0.2">
      <c r="A4172" s="19" t="s">
        <v>165</v>
      </c>
      <c r="B4172" s="19">
        <v>54.816000000000003</v>
      </c>
      <c r="C4172" s="19">
        <v>3</v>
      </c>
      <c r="D4172" s="19">
        <v>17.815199999999997</v>
      </c>
    </row>
    <row r="4173" spans="1:4" x14ac:dyDescent="0.2">
      <c r="A4173" s="19" t="s">
        <v>150</v>
      </c>
      <c r="B4173" s="19">
        <v>48.86</v>
      </c>
      <c r="C4173" s="19">
        <v>7</v>
      </c>
      <c r="D4173" s="19">
        <v>0.97719999999999807</v>
      </c>
    </row>
    <row r="4174" spans="1:4" x14ac:dyDescent="0.2">
      <c r="A4174" s="19" t="s">
        <v>169</v>
      </c>
      <c r="B4174" s="19">
        <v>14.2</v>
      </c>
      <c r="C4174" s="19">
        <v>2</v>
      </c>
      <c r="D4174" s="19">
        <v>6.5319999999999991</v>
      </c>
    </row>
    <row r="4175" spans="1:4" x14ac:dyDescent="0.2">
      <c r="A4175" s="19" t="s">
        <v>169</v>
      </c>
      <c r="B4175" s="19">
        <v>12.96</v>
      </c>
      <c r="C4175" s="19">
        <v>2</v>
      </c>
      <c r="D4175" s="19">
        <v>6.2208000000000006</v>
      </c>
    </row>
    <row r="4176" spans="1:4" x14ac:dyDescent="0.2">
      <c r="A4176" s="19" t="s">
        <v>169</v>
      </c>
      <c r="B4176" s="19">
        <v>58.34</v>
      </c>
      <c r="C4176" s="19">
        <v>2</v>
      </c>
      <c r="D4176" s="19">
        <v>28.0032</v>
      </c>
    </row>
    <row r="4177" spans="1:4" x14ac:dyDescent="0.2">
      <c r="A4177" s="19" t="s">
        <v>150</v>
      </c>
      <c r="B4177" s="19">
        <v>56.3</v>
      </c>
      <c r="C4177" s="19">
        <v>2</v>
      </c>
      <c r="D4177" s="19">
        <v>15.764000000000003</v>
      </c>
    </row>
    <row r="4178" spans="1:4" x14ac:dyDescent="0.2">
      <c r="A4178" s="19" t="s">
        <v>169</v>
      </c>
      <c r="B4178" s="19">
        <v>629.94999999999993</v>
      </c>
      <c r="C4178" s="19">
        <v>5</v>
      </c>
      <c r="D4178" s="19">
        <v>163.78700000000003</v>
      </c>
    </row>
    <row r="4179" spans="1:4" x14ac:dyDescent="0.2">
      <c r="A4179" s="19" t="s">
        <v>169</v>
      </c>
      <c r="B4179" s="19">
        <v>122.97</v>
      </c>
      <c r="C4179" s="19">
        <v>3</v>
      </c>
      <c r="D4179" s="19">
        <v>60.255300000000005</v>
      </c>
    </row>
    <row r="4180" spans="1:4" x14ac:dyDescent="0.2">
      <c r="A4180" s="19" t="s">
        <v>150</v>
      </c>
      <c r="B4180" s="19">
        <v>46.349999999999994</v>
      </c>
      <c r="C4180" s="19">
        <v>5</v>
      </c>
      <c r="D4180" s="19">
        <v>21.784499999999998</v>
      </c>
    </row>
    <row r="4181" spans="1:4" x14ac:dyDescent="0.2">
      <c r="A4181" s="19" t="s">
        <v>150</v>
      </c>
      <c r="B4181" s="19">
        <v>14.976000000000001</v>
      </c>
      <c r="C4181" s="19">
        <v>9</v>
      </c>
      <c r="D4181" s="19">
        <v>5.4288000000000007</v>
      </c>
    </row>
    <row r="4182" spans="1:4" x14ac:dyDescent="0.2">
      <c r="A4182" s="19" t="s">
        <v>154</v>
      </c>
      <c r="B4182" s="19">
        <v>4.2399999999999993</v>
      </c>
      <c r="C4182" s="19">
        <v>5</v>
      </c>
      <c r="D4182" s="19">
        <v>-6.3599999999999994</v>
      </c>
    </row>
    <row r="4183" spans="1:4" x14ac:dyDescent="0.2">
      <c r="A4183" s="19" t="s">
        <v>164</v>
      </c>
      <c r="B4183" s="19">
        <v>319.95999999999998</v>
      </c>
      <c r="C4183" s="19">
        <v>4</v>
      </c>
      <c r="D4183" s="19">
        <v>115.18559999999999</v>
      </c>
    </row>
    <row r="4184" spans="1:4" x14ac:dyDescent="0.2">
      <c r="A4184" s="19" t="s">
        <v>164</v>
      </c>
      <c r="B4184" s="19">
        <v>17.04</v>
      </c>
      <c r="C4184" s="19">
        <v>3</v>
      </c>
      <c r="D4184" s="19">
        <v>7.6679999999999993</v>
      </c>
    </row>
    <row r="4185" spans="1:4" x14ac:dyDescent="0.2">
      <c r="A4185" s="19" t="s">
        <v>164</v>
      </c>
      <c r="B4185" s="19">
        <v>344.90999999999997</v>
      </c>
      <c r="C4185" s="19">
        <v>3</v>
      </c>
      <c r="D4185" s="19">
        <v>10.347300000000004</v>
      </c>
    </row>
    <row r="4186" spans="1:4" x14ac:dyDescent="0.2">
      <c r="A4186" s="19" t="s">
        <v>180</v>
      </c>
      <c r="B4186" s="19">
        <v>81.94</v>
      </c>
      <c r="C4186" s="19">
        <v>1</v>
      </c>
      <c r="D4186" s="19">
        <v>20.484999999999999</v>
      </c>
    </row>
    <row r="4187" spans="1:4" x14ac:dyDescent="0.2">
      <c r="A4187" s="19" t="s">
        <v>187</v>
      </c>
      <c r="B4187" s="19">
        <v>98.16</v>
      </c>
      <c r="C4187" s="19">
        <v>6</v>
      </c>
      <c r="D4187" s="19">
        <v>9.8159999999999954</v>
      </c>
    </row>
    <row r="4188" spans="1:4" x14ac:dyDescent="0.2">
      <c r="A4188" s="19" t="s">
        <v>154</v>
      </c>
      <c r="B4188" s="19">
        <v>6.8739999999999988</v>
      </c>
      <c r="C4188" s="19">
        <v>7</v>
      </c>
      <c r="D4188" s="19">
        <v>-10.654700000000002</v>
      </c>
    </row>
    <row r="4189" spans="1:4" x14ac:dyDescent="0.2">
      <c r="A4189" s="19" t="s">
        <v>154</v>
      </c>
      <c r="B4189" s="19">
        <v>1.9959999999999996</v>
      </c>
      <c r="C4189" s="19">
        <v>1</v>
      </c>
      <c r="D4189" s="19">
        <v>-3.293400000000001</v>
      </c>
    </row>
    <row r="4190" spans="1:4" x14ac:dyDescent="0.2">
      <c r="A4190" s="19" t="s">
        <v>154</v>
      </c>
      <c r="B4190" s="19">
        <v>8.9280000000000008</v>
      </c>
      <c r="C4190" s="19">
        <v>2</v>
      </c>
      <c r="D4190" s="19">
        <v>0.66959999999999997</v>
      </c>
    </row>
    <row r="4191" spans="1:4" x14ac:dyDescent="0.2">
      <c r="A4191" s="19" t="s">
        <v>172</v>
      </c>
      <c r="B4191" s="19">
        <v>9.99</v>
      </c>
      <c r="C4191" s="19">
        <v>1</v>
      </c>
      <c r="D4191" s="19">
        <v>4.4954999999999998</v>
      </c>
    </row>
    <row r="4192" spans="1:4" x14ac:dyDescent="0.2">
      <c r="A4192" s="19" t="s">
        <v>162</v>
      </c>
      <c r="B4192" s="19">
        <v>10499.97</v>
      </c>
      <c r="C4192" s="19">
        <v>3</v>
      </c>
      <c r="D4192" s="19">
        <v>5039.9856</v>
      </c>
    </row>
    <row r="4193" spans="1:4" x14ac:dyDescent="0.2">
      <c r="A4193" s="19" t="s">
        <v>154</v>
      </c>
      <c r="B4193" s="19">
        <v>21.12</v>
      </c>
      <c r="C4193" s="19">
        <v>5</v>
      </c>
      <c r="D4193" s="19">
        <v>6.5999999999999988</v>
      </c>
    </row>
    <row r="4194" spans="1:4" x14ac:dyDescent="0.2">
      <c r="A4194" s="19" t="s">
        <v>193</v>
      </c>
      <c r="B4194" s="19">
        <v>696.42</v>
      </c>
      <c r="C4194" s="19">
        <v>2</v>
      </c>
      <c r="D4194" s="19">
        <v>160.17660000000001</v>
      </c>
    </row>
    <row r="4195" spans="1:4" x14ac:dyDescent="0.2">
      <c r="A4195" s="19" t="s">
        <v>193</v>
      </c>
      <c r="B4195" s="19">
        <v>304.77600000000001</v>
      </c>
      <c r="C4195" s="19">
        <v>3</v>
      </c>
      <c r="D4195" s="19">
        <v>22.858199999999982</v>
      </c>
    </row>
    <row r="4196" spans="1:4" x14ac:dyDescent="0.2">
      <c r="A4196" s="19" t="s">
        <v>150</v>
      </c>
      <c r="B4196" s="19">
        <v>51.98</v>
      </c>
      <c r="C4196" s="19">
        <v>2</v>
      </c>
      <c r="D4196" s="19">
        <v>15.074199999999998</v>
      </c>
    </row>
    <row r="4197" spans="1:4" x14ac:dyDescent="0.2">
      <c r="A4197" s="19" t="s">
        <v>150</v>
      </c>
      <c r="B4197" s="19">
        <v>24.700000000000003</v>
      </c>
      <c r="C4197" s="19">
        <v>5</v>
      </c>
      <c r="D4197" s="19">
        <v>10.374000000000001</v>
      </c>
    </row>
    <row r="4198" spans="1:4" x14ac:dyDescent="0.2">
      <c r="A4198" s="19" t="s">
        <v>164</v>
      </c>
      <c r="B4198" s="19">
        <v>21.93</v>
      </c>
      <c r="C4198" s="19">
        <v>3</v>
      </c>
      <c r="D4198" s="19">
        <v>10.307099999999998</v>
      </c>
    </row>
    <row r="4199" spans="1:4" x14ac:dyDescent="0.2">
      <c r="A4199" s="19" t="s">
        <v>158</v>
      </c>
      <c r="B4199" s="19">
        <v>394.81600000000003</v>
      </c>
      <c r="C4199" s="19">
        <v>4</v>
      </c>
      <c r="D4199" s="19">
        <v>93.768799999999999</v>
      </c>
    </row>
    <row r="4200" spans="1:4" x14ac:dyDescent="0.2">
      <c r="A4200" s="19" t="s">
        <v>158</v>
      </c>
      <c r="B4200" s="19">
        <v>18.192000000000004</v>
      </c>
      <c r="C4200" s="19">
        <v>4</v>
      </c>
      <c r="D4200" s="19">
        <v>-14.553600000000003</v>
      </c>
    </row>
    <row r="4201" spans="1:4" x14ac:dyDescent="0.2">
      <c r="A4201" s="19" t="s">
        <v>164</v>
      </c>
      <c r="B4201" s="19">
        <v>7.31</v>
      </c>
      <c r="C4201" s="19">
        <v>1</v>
      </c>
      <c r="D4201" s="19">
        <v>3.4356999999999998</v>
      </c>
    </row>
    <row r="4202" spans="1:4" x14ac:dyDescent="0.2">
      <c r="A4202" s="19" t="s">
        <v>164</v>
      </c>
      <c r="B4202" s="19">
        <v>799.98400000000004</v>
      </c>
      <c r="C4202" s="19">
        <v>2</v>
      </c>
      <c r="D4202" s="19">
        <v>249.99499999999998</v>
      </c>
    </row>
    <row r="4203" spans="1:4" x14ac:dyDescent="0.2">
      <c r="A4203" s="19" t="s">
        <v>164</v>
      </c>
      <c r="B4203" s="19">
        <v>41.28</v>
      </c>
      <c r="C4203" s="19">
        <v>6</v>
      </c>
      <c r="D4203" s="19">
        <v>18.988799999999998</v>
      </c>
    </row>
    <row r="4204" spans="1:4" x14ac:dyDescent="0.2">
      <c r="A4204" s="19" t="s">
        <v>164</v>
      </c>
      <c r="B4204" s="19">
        <v>184.66</v>
      </c>
      <c r="C4204" s="19">
        <v>7</v>
      </c>
      <c r="D4204" s="19">
        <v>84.943599999999989</v>
      </c>
    </row>
    <row r="4205" spans="1:4" x14ac:dyDescent="0.2">
      <c r="A4205" s="19" t="s">
        <v>182</v>
      </c>
      <c r="B4205" s="19">
        <v>49.25</v>
      </c>
      <c r="C4205" s="19">
        <v>5</v>
      </c>
      <c r="D4205" s="19">
        <v>18.715000000000003</v>
      </c>
    </row>
    <row r="4206" spans="1:4" x14ac:dyDescent="0.2">
      <c r="A4206" s="19" t="s">
        <v>182</v>
      </c>
      <c r="B4206" s="19">
        <v>10.16</v>
      </c>
      <c r="C4206" s="19">
        <v>2</v>
      </c>
      <c r="D4206" s="19">
        <v>4.7751999999999999</v>
      </c>
    </row>
    <row r="4207" spans="1:4" x14ac:dyDescent="0.2">
      <c r="A4207" s="19" t="s">
        <v>182</v>
      </c>
      <c r="B4207" s="19">
        <v>14.76</v>
      </c>
      <c r="C4207" s="19">
        <v>2</v>
      </c>
      <c r="D4207" s="19">
        <v>4.2803999999999984</v>
      </c>
    </row>
    <row r="4208" spans="1:4" x14ac:dyDescent="0.2">
      <c r="A4208" s="19" t="s">
        <v>182</v>
      </c>
      <c r="B4208" s="19">
        <v>34.08</v>
      </c>
      <c r="C4208" s="19">
        <v>2</v>
      </c>
      <c r="D4208" s="19">
        <v>15.676799999999997</v>
      </c>
    </row>
    <row r="4209" spans="1:4" x14ac:dyDescent="0.2">
      <c r="A4209" s="19" t="s">
        <v>182</v>
      </c>
      <c r="B4209" s="19">
        <v>17.669999999999998</v>
      </c>
      <c r="C4209" s="19">
        <v>3</v>
      </c>
      <c r="D4209" s="19">
        <v>7.7748000000000008</v>
      </c>
    </row>
    <row r="4210" spans="1:4" x14ac:dyDescent="0.2">
      <c r="A4210" s="19" t="s">
        <v>182</v>
      </c>
      <c r="B4210" s="19">
        <v>1604.9</v>
      </c>
      <c r="C4210" s="19">
        <v>5</v>
      </c>
      <c r="D4210" s="19">
        <v>481.46999999999991</v>
      </c>
    </row>
    <row r="4211" spans="1:4" x14ac:dyDescent="0.2">
      <c r="A4211" s="19" t="s">
        <v>182</v>
      </c>
      <c r="B4211" s="19">
        <v>385.68599999999998</v>
      </c>
      <c r="C4211" s="19">
        <v>1</v>
      </c>
      <c r="D4211" s="19">
        <v>-60.607800000000026</v>
      </c>
    </row>
    <row r="4212" spans="1:4" x14ac:dyDescent="0.2">
      <c r="A4212" s="19" t="s">
        <v>159</v>
      </c>
      <c r="B4212" s="19">
        <v>15.984000000000002</v>
      </c>
      <c r="C4212" s="19">
        <v>2</v>
      </c>
      <c r="D4212" s="19">
        <v>4.9949999999999992</v>
      </c>
    </row>
    <row r="4213" spans="1:4" x14ac:dyDescent="0.2">
      <c r="A4213" s="19" t="s">
        <v>149</v>
      </c>
      <c r="B4213" s="19">
        <v>9.42</v>
      </c>
      <c r="C4213" s="19">
        <v>3</v>
      </c>
      <c r="D4213" s="19">
        <v>4.238999999999999</v>
      </c>
    </row>
    <row r="4214" spans="1:4" x14ac:dyDescent="0.2">
      <c r="A4214" s="19" t="s">
        <v>149</v>
      </c>
      <c r="B4214" s="19">
        <v>6.56</v>
      </c>
      <c r="C4214" s="19">
        <v>2</v>
      </c>
      <c r="D4214" s="19">
        <v>1.9023999999999992</v>
      </c>
    </row>
    <row r="4215" spans="1:4" x14ac:dyDescent="0.2">
      <c r="A4215" s="19" t="s">
        <v>149</v>
      </c>
      <c r="B4215" s="19">
        <v>24.56</v>
      </c>
      <c r="C4215" s="19">
        <v>2</v>
      </c>
      <c r="D4215" s="19">
        <v>11.543199999999999</v>
      </c>
    </row>
    <row r="4216" spans="1:4" x14ac:dyDescent="0.2">
      <c r="A4216" s="19" t="s">
        <v>163</v>
      </c>
      <c r="B4216" s="19">
        <v>128.39999999999998</v>
      </c>
      <c r="C4216" s="19">
        <v>3</v>
      </c>
      <c r="D4216" s="19">
        <v>64.199999999999989</v>
      </c>
    </row>
    <row r="4217" spans="1:4" x14ac:dyDescent="0.2">
      <c r="A4217" s="19" t="s">
        <v>164</v>
      </c>
      <c r="B4217" s="19">
        <v>62.28</v>
      </c>
      <c r="C4217" s="19">
        <v>4</v>
      </c>
      <c r="D4217" s="19">
        <v>29.271599999999999</v>
      </c>
    </row>
    <row r="4218" spans="1:4" x14ac:dyDescent="0.2">
      <c r="A4218" s="19" t="s">
        <v>150</v>
      </c>
      <c r="B4218" s="19">
        <v>9.24</v>
      </c>
      <c r="C4218" s="19">
        <v>3</v>
      </c>
      <c r="D4218" s="19">
        <v>4.4352</v>
      </c>
    </row>
    <row r="4219" spans="1:4" x14ac:dyDescent="0.2">
      <c r="A4219" s="19" t="s">
        <v>150</v>
      </c>
      <c r="B4219" s="19">
        <v>482.66399999999999</v>
      </c>
      <c r="C4219" s="19">
        <v>8</v>
      </c>
      <c r="D4219" s="19">
        <v>85.175999999999974</v>
      </c>
    </row>
    <row r="4220" spans="1:4" x14ac:dyDescent="0.2">
      <c r="A4220" s="19" t="s">
        <v>150</v>
      </c>
      <c r="B4220" s="19">
        <v>4799.9839999999995</v>
      </c>
      <c r="C4220" s="19">
        <v>2</v>
      </c>
      <c r="D4220" s="19">
        <v>359.99879999999962</v>
      </c>
    </row>
    <row r="4221" spans="1:4" x14ac:dyDescent="0.2">
      <c r="A4221" s="19" t="s">
        <v>153</v>
      </c>
      <c r="B4221" s="19">
        <v>37.94</v>
      </c>
      <c r="C4221" s="19">
        <v>2</v>
      </c>
      <c r="D4221" s="19">
        <v>18.211199999999998</v>
      </c>
    </row>
    <row r="4222" spans="1:4" x14ac:dyDescent="0.2">
      <c r="A4222" s="19" t="s">
        <v>153</v>
      </c>
      <c r="B4222" s="19">
        <v>18.288</v>
      </c>
      <c r="C4222" s="19">
        <v>6</v>
      </c>
      <c r="D4222" s="19">
        <v>6.6293999999999995</v>
      </c>
    </row>
    <row r="4223" spans="1:4" x14ac:dyDescent="0.2">
      <c r="A4223" s="19" t="s">
        <v>153</v>
      </c>
      <c r="B4223" s="19">
        <v>385.80000000000007</v>
      </c>
      <c r="C4223" s="19">
        <v>5</v>
      </c>
      <c r="D4223" s="19">
        <v>130.20749999999998</v>
      </c>
    </row>
    <row r="4224" spans="1:4" x14ac:dyDescent="0.2">
      <c r="A4224" s="19" t="s">
        <v>153</v>
      </c>
      <c r="B4224" s="19">
        <v>102.96</v>
      </c>
      <c r="C4224" s="19">
        <v>2</v>
      </c>
      <c r="D4224" s="19">
        <v>1.0296000000000021</v>
      </c>
    </row>
    <row r="4225" spans="1:4" x14ac:dyDescent="0.2">
      <c r="A4225" s="19" t="s">
        <v>153</v>
      </c>
      <c r="B4225" s="19">
        <v>174.42000000000002</v>
      </c>
      <c r="C4225" s="19">
        <v>3</v>
      </c>
      <c r="D4225" s="19">
        <v>41.860800000000005</v>
      </c>
    </row>
    <row r="4226" spans="1:4" x14ac:dyDescent="0.2">
      <c r="A4226" s="19" t="s">
        <v>159</v>
      </c>
      <c r="B4226" s="19">
        <v>1.9639999999999995</v>
      </c>
      <c r="C4226" s="19">
        <v>2</v>
      </c>
      <c r="D4226" s="19">
        <v>-3.2406000000000006</v>
      </c>
    </row>
    <row r="4227" spans="1:4" x14ac:dyDescent="0.2">
      <c r="A4227" s="19" t="s">
        <v>159</v>
      </c>
      <c r="B4227" s="19">
        <v>94.427999999999997</v>
      </c>
      <c r="C4227" s="19">
        <v>3</v>
      </c>
      <c r="D4227" s="19">
        <v>-42.492599999999982</v>
      </c>
    </row>
    <row r="4228" spans="1:4" x14ac:dyDescent="0.2">
      <c r="A4228" s="19" t="s">
        <v>172</v>
      </c>
      <c r="B4228" s="19">
        <v>45.92</v>
      </c>
      <c r="C4228" s="19">
        <v>4</v>
      </c>
      <c r="D4228" s="19">
        <v>21.5824</v>
      </c>
    </row>
    <row r="4229" spans="1:4" x14ac:dyDescent="0.2">
      <c r="A4229" s="19" t="s">
        <v>153</v>
      </c>
      <c r="B4229" s="19">
        <v>61.584000000000003</v>
      </c>
      <c r="C4229" s="19">
        <v>1</v>
      </c>
      <c r="D4229" s="19">
        <v>-6.9282000000000039</v>
      </c>
    </row>
    <row r="4230" spans="1:4" x14ac:dyDescent="0.2">
      <c r="A4230" s="19" t="s">
        <v>163</v>
      </c>
      <c r="B4230" s="19">
        <v>22.48</v>
      </c>
      <c r="C4230" s="19">
        <v>1</v>
      </c>
      <c r="D4230" s="19">
        <v>10.3408</v>
      </c>
    </row>
    <row r="4231" spans="1:4" x14ac:dyDescent="0.2">
      <c r="A4231" s="19" t="s">
        <v>154</v>
      </c>
      <c r="B4231" s="19">
        <v>332.02800000000002</v>
      </c>
      <c r="C4231" s="19">
        <v>9</v>
      </c>
      <c r="D4231" s="19">
        <v>-348.62940000000003</v>
      </c>
    </row>
    <row r="4232" spans="1:4" x14ac:dyDescent="0.2">
      <c r="A4232" s="19" t="s">
        <v>154</v>
      </c>
      <c r="B4232" s="19">
        <v>11.393999999999998</v>
      </c>
      <c r="C4232" s="19">
        <v>9</v>
      </c>
      <c r="D4232" s="19">
        <v>-17.660699999999999</v>
      </c>
    </row>
    <row r="4233" spans="1:4" x14ac:dyDescent="0.2">
      <c r="A4233" s="19" t="s">
        <v>154</v>
      </c>
      <c r="B4233" s="19">
        <v>15.552000000000003</v>
      </c>
      <c r="C4233" s="19">
        <v>3</v>
      </c>
      <c r="D4233" s="19">
        <v>5.6375999999999999</v>
      </c>
    </row>
    <row r="4234" spans="1:4" x14ac:dyDescent="0.2">
      <c r="A4234" s="19" t="s">
        <v>154</v>
      </c>
      <c r="B4234" s="19">
        <v>31.104000000000006</v>
      </c>
      <c r="C4234" s="19">
        <v>6</v>
      </c>
      <c r="D4234" s="19">
        <v>11.2752</v>
      </c>
    </row>
    <row r="4235" spans="1:4" x14ac:dyDescent="0.2">
      <c r="A4235" s="19" t="s">
        <v>154</v>
      </c>
      <c r="B4235" s="19">
        <v>6.3159999999999981</v>
      </c>
      <c r="C4235" s="19">
        <v>1</v>
      </c>
      <c r="D4235" s="19">
        <v>-10.421400000000002</v>
      </c>
    </row>
    <row r="4236" spans="1:4" x14ac:dyDescent="0.2">
      <c r="A4236" s="19" t="s">
        <v>158</v>
      </c>
      <c r="B4236" s="19">
        <v>11.352000000000002</v>
      </c>
      <c r="C4236" s="19">
        <v>3</v>
      </c>
      <c r="D4236" s="19">
        <v>4.1151</v>
      </c>
    </row>
    <row r="4237" spans="1:4" x14ac:dyDescent="0.2">
      <c r="A4237" s="19" t="s">
        <v>158</v>
      </c>
      <c r="B4237" s="19">
        <v>20.808000000000003</v>
      </c>
      <c r="C4237" s="19">
        <v>9</v>
      </c>
      <c r="D4237" s="19">
        <v>7.0226999999999995</v>
      </c>
    </row>
    <row r="4238" spans="1:4" x14ac:dyDescent="0.2">
      <c r="A4238" s="19" t="s">
        <v>159</v>
      </c>
      <c r="B4238" s="19">
        <v>11.415999999999997</v>
      </c>
      <c r="C4238" s="19">
        <v>4</v>
      </c>
      <c r="D4238" s="19">
        <v>-18.836400000000005</v>
      </c>
    </row>
    <row r="4239" spans="1:4" x14ac:dyDescent="0.2">
      <c r="A4239" s="19" t="s">
        <v>158</v>
      </c>
      <c r="B4239" s="19">
        <v>9.4080000000000013</v>
      </c>
      <c r="C4239" s="19">
        <v>7</v>
      </c>
      <c r="D4239" s="19">
        <v>0.70560000000000045</v>
      </c>
    </row>
    <row r="4240" spans="1:4" x14ac:dyDescent="0.2">
      <c r="A4240" s="19" t="s">
        <v>153</v>
      </c>
      <c r="B4240" s="19">
        <v>19.829999999999998</v>
      </c>
      <c r="C4240" s="19">
        <v>1</v>
      </c>
      <c r="D4240" s="19">
        <v>5.9489999999999981</v>
      </c>
    </row>
    <row r="4241" spans="1:4" x14ac:dyDescent="0.2">
      <c r="A4241" s="19" t="s">
        <v>161</v>
      </c>
      <c r="B4241" s="19">
        <v>209.7</v>
      </c>
      <c r="C4241" s="19">
        <v>2</v>
      </c>
      <c r="D4241" s="19">
        <v>100.65599999999999</v>
      </c>
    </row>
    <row r="4242" spans="1:4" x14ac:dyDescent="0.2">
      <c r="A4242" s="19" t="s">
        <v>150</v>
      </c>
      <c r="B4242" s="19">
        <v>43.92</v>
      </c>
      <c r="C4242" s="19">
        <v>4</v>
      </c>
      <c r="D4242" s="19">
        <v>11.858400000000003</v>
      </c>
    </row>
    <row r="4243" spans="1:4" x14ac:dyDescent="0.2">
      <c r="A4243" s="19" t="s">
        <v>150</v>
      </c>
      <c r="B4243" s="19">
        <v>20.231999999999999</v>
      </c>
      <c r="C4243" s="19">
        <v>3</v>
      </c>
      <c r="D4243" s="19">
        <v>6.5753999999999984</v>
      </c>
    </row>
    <row r="4244" spans="1:4" x14ac:dyDescent="0.2">
      <c r="A4244" s="19" t="s">
        <v>166</v>
      </c>
      <c r="B4244" s="19">
        <v>149.97</v>
      </c>
      <c r="C4244" s="19">
        <v>3</v>
      </c>
      <c r="D4244" s="19">
        <v>5.9987999999999815</v>
      </c>
    </row>
    <row r="4245" spans="1:4" x14ac:dyDescent="0.2">
      <c r="A4245" s="19" t="s">
        <v>166</v>
      </c>
      <c r="B4245" s="19">
        <v>27.81</v>
      </c>
      <c r="C4245" s="19">
        <v>3</v>
      </c>
      <c r="D4245" s="19">
        <v>13.070699999999999</v>
      </c>
    </row>
    <row r="4246" spans="1:4" x14ac:dyDescent="0.2">
      <c r="A4246" s="19" t="s">
        <v>150</v>
      </c>
      <c r="B4246" s="19">
        <v>66.300000000000011</v>
      </c>
      <c r="C4246" s="19">
        <v>3</v>
      </c>
      <c r="D4246" s="19">
        <v>8.6190000000000033</v>
      </c>
    </row>
    <row r="4247" spans="1:4" x14ac:dyDescent="0.2">
      <c r="A4247" s="19" t="s">
        <v>187</v>
      </c>
      <c r="B4247" s="19">
        <v>1.64</v>
      </c>
      <c r="C4247" s="19">
        <v>1</v>
      </c>
      <c r="D4247" s="19">
        <v>0.73799999999999988</v>
      </c>
    </row>
    <row r="4248" spans="1:4" x14ac:dyDescent="0.2">
      <c r="A4248" s="19" t="s">
        <v>187</v>
      </c>
      <c r="B4248" s="19">
        <v>1049.2</v>
      </c>
      <c r="C4248" s="19">
        <v>5</v>
      </c>
      <c r="D4248" s="19">
        <v>272.79200000000003</v>
      </c>
    </row>
    <row r="4249" spans="1:4" x14ac:dyDescent="0.2">
      <c r="A4249" s="19" t="s">
        <v>187</v>
      </c>
      <c r="B4249" s="19">
        <v>20.9</v>
      </c>
      <c r="C4249" s="19">
        <v>5</v>
      </c>
      <c r="D4249" s="19">
        <v>7.5239999999999991</v>
      </c>
    </row>
    <row r="4250" spans="1:4" x14ac:dyDescent="0.2">
      <c r="A4250" s="19" t="s">
        <v>178</v>
      </c>
      <c r="B4250" s="19">
        <v>88.08</v>
      </c>
      <c r="C4250" s="19">
        <v>6</v>
      </c>
      <c r="D4250" s="19">
        <v>40.516799999999996</v>
      </c>
    </row>
    <row r="4251" spans="1:4" x14ac:dyDescent="0.2">
      <c r="A4251" s="19" t="s">
        <v>178</v>
      </c>
      <c r="B4251" s="19">
        <v>751.92</v>
      </c>
      <c r="C4251" s="19">
        <v>4</v>
      </c>
      <c r="D4251" s="19">
        <v>150.38400000000001</v>
      </c>
    </row>
    <row r="4252" spans="1:4" x14ac:dyDescent="0.2">
      <c r="A4252" s="19" t="s">
        <v>164</v>
      </c>
      <c r="B4252" s="19">
        <v>887.10299999999995</v>
      </c>
      <c r="C4252" s="19">
        <v>7</v>
      </c>
      <c r="D4252" s="19">
        <v>177.42059999999998</v>
      </c>
    </row>
    <row r="4253" spans="1:4" x14ac:dyDescent="0.2">
      <c r="A4253" s="19" t="s">
        <v>151</v>
      </c>
      <c r="B4253" s="19">
        <v>55.944000000000003</v>
      </c>
      <c r="C4253" s="19">
        <v>7</v>
      </c>
      <c r="D4253" s="19">
        <v>-13.286700000000002</v>
      </c>
    </row>
    <row r="4254" spans="1:4" x14ac:dyDescent="0.2">
      <c r="A4254" s="19" t="s">
        <v>151</v>
      </c>
      <c r="B4254" s="19">
        <v>10.688000000000001</v>
      </c>
      <c r="C4254" s="19">
        <v>2</v>
      </c>
      <c r="D4254" s="19">
        <v>2.271199999999999</v>
      </c>
    </row>
    <row r="4255" spans="1:4" x14ac:dyDescent="0.2">
      <c r="A4255" s="19" t="s">
        <v>151</v>
      </c>
      <c r="B4255" s="19">
        <v>11.824</v>
      </c>
      <c r="C4255" s="19">
        <v>2</v>
      </c>
      <c r="D4255" s="19">
        <v>1.0346000000000006</v>
      </c>
    </row>
    <row r="4256" spans="1:4" x14ac:dyDescent="0.2">
      <c r="A4256" s="19" t="s">
        <v>159</v>
      </c>
      <c r="B4256" s="19">
        <v>63.311999999999998</v>
      </c>
      <c r="C4256" s="19">
        <v>3</v>
      </c>
      <c r="D4256" s="19">
        <v>20.576399999999996</v>
      </c>
    </row>
    <row r="4257" spans="1:4" x14ac:dyDescent="0.2">
      <c r="A4257" s="19" t="s">
        <v>159</v>
      </c>
      <c r="B4257" s="19">
        <v>96.783999999999978</v>
      </c>
      <c r="C4257" s="19">
        <v>4</v>
      </c>
      <c r="D4257" s="19">
        <v>-145.17600000000002</v>
      </c>
    </row>
    <row r="4258" spans="1:4" x14ac:dyDescent="0.2">
      <c r="A4258" s="19" t="s">
        <v>159</v>
      </c>
      <c r="B4258" s="19">
        <v>10.476000000000001</v>
      </c>
      <c r="C4258" s="19">
        <v>3</v>
      </c>
      <c r="D4258" s="19">
        <v>-6.8094000000000037</v>
      </c>
    </row>
    <row r="4259" spans="1:4" x14ac:dyDescent="0.2">
      <c r="A4259" s="19" t="s">
        <v>170</v>
      </c>
      <c r="B4259" s="19">
        <v>9.7620000000000005</v>
      </c>
      <c r="C4259" s="19">
        <v>2</v>
      </c>
      <c r="D4259" s="19">
        <v>-6.833400000000001</v>
      </c>
    </row>
    <row r="4260" spans="1:4" x14ac:dyDescent="0.2">
      <c r="A4260" s="19" t="s">
        <v>153</v>
      </c>
      <c r="B4260" s="19">
        <v>196.78399999999999</v>
      </c>
      <c r="C4260" s="19">
        <v>2</v>
      </c>
      <c r="D4260" s="19">
        <v>-22.138200000000012</v>
      </c>
    </row>
    <row r="4261" spans="1:4" x14ac:dyDescent="0.2">
      <c r="A4261" s="19" t="s">
        <v>164</v>
      </c>
      <c r="B4261" s="19">
        <v>47.98</v>
      </c>
      <c r="C4261" s="19">
        <v>2</v>
      </c>
      <c r="D4261" s="19">
        <v>23.99</v>
      </c>
    </row>
    <row r="4262" spans="1:4" x14ac:dyDescent="0.2">
      <c r="A4262" s="19" t="s">
        <v>178</v>
      </c>
      <c r="B4262" s="19">
        <v>13.049999999999999</v>
      </c>
      <c r="C4262" s="19">
        <v>5</v>
      </c>
      <c r="D4262" s="19">
        <v>6.0029999999999992</v>
      </c>
    </row>
    <row r="4263" spans="1:4" x14ac:dyDescent="0.2">
      <c r="A4263" s="19" t="s">
        <v>160</v>
      </c>
      <c r="B4263" s="19">
        <v>63.96</v>
      </c>
      <c r="C4263" s="19">
        <v>4</v>
      </c>
      <c r="D4263" s="19">
        <v>19.827599999999997</v>
      </c>
    </row>
    <row r="4264" spans="1:4" x14ac:dyDescent="0.2">
      <c r="A4264" s="19" t="s">
        <v>101</v>
      </c>
      <c r="B4264" s="19">
        <v>80.48</v>
      </c>
      <c r="C4264" s="19">
        <v>1</v>
      </c>
      <c r="D4264" s="19">
        <v>24.143999999999998</v>
      </c>
    </row>
    <row r="4265" spans="1:4" x14ac:dyDescent="0.2">
      <c r="A4265" s="19" t="s">
        <v>158</v>
      </c>
      <c r="B4265" s="19">
        <v>11.673000000000002</v>
      </c>
      <c r="C4265" s="19">
        <v>3</v>
      </c>
      <c r="D4265" s="19">
        <v>-7.782</v>
      </c>
    </row>
    <row r="4266" spans="1:4" x14ac:dyDescent="0.2">
      <c r="A4266" s="19" t="s">
        <v>154</v>
      </c>
      <c r="B4266" s="19">
        <v>863.12799999999993</v>
      </c>
      <c r="C4266" s="19">
        <v>8</v>
      </c>
      <c r="D4266" s="19">
        <v>-160.29520000000008</v>
      </c>
    </row>
    <row r="4267" spans="1:4" x14ac:dyDescent="0.2">
      <c r="A4267" s="19" t="s">
        <v>154</v>
      </c>
      <c r="B4267" s="19">
        <v>3.5639999999999992</v>
      </c>
      <c r="C4267" s="19">
        <v>3</v>
      </c>
      <c r="D4267" s="19">
        <v>-6.2370000000000019</v>
      </c>
    </row>
    <row r="4268" spans="1:4" x14ac:dyDescent="0.2">
      <c r="A4268" s="19" t="s">
        <v>154</v>
      </c>
      <c r="B4268" s="19">
        <v>956.6647999999999</v>
      </c>
      <c r="C4268" s="19">
        <v>7</v>
      </c>
      <c r="D4268" s="19">
        <v>-225.09759999999991</v>
      </c>
    </row>
    <row r="4269" spans="1:4" x14ac:dyDescent="0.2">
      <c r="A4269" s="19" t="s">
        <v>154</v>
      </c>
      <c r="B4269" s="19">
        <v>12.587999999999997</v>
      </c>
      <c r="C4269" s="19">
        <v>3</v>
      </c>
      <c r="D4269" s="19">
        <v>-20.140800000000006</v>
      </c>
    </row>
    <row r="4270" spans="1:4" x14ac:dyDescent="0.2">
      <c r="A4270" s="19" t="s">
        <v>154</v>
      </c>
      <c r="B4270" s="19">
        <v>171.96</v>
      </c>
      <c r="C4270" s="19">
        <v>5</v>
      </c>
      <c r="D4270" s="19">
        <v>45.139500000000005</v>
      </c>
    </row>
    <row r="4271" spans="1:4" x14ac:dyDescent="0.2">
      <c r="A4271" s="19" t="s">
        <v>153</v>
      </c>
      <c r="B4271" s="19">
        <v>871.4</v>
      </c>
      <c r="C4271" s="19">
        <v>4</v>
      </c>
      <c r="D4271" s="19">
        <v>148.13799999999992</v>
      </c>
    </row>
    <row r="4272" spans="1:4" x14ac:dyDescent="0.2">
      <c r="A4272" s="19" t="s">
        <v>167</v>
      </c>
      <c r="B4272" s="19">
        <v>692.47199999999998</v>
      </c>
      <c r="C4272" s="19">
        <v>11</v>
      </c>
      <c r="D4272" s="19">
        <v>190.42980000000006</v>
      </c>
    </row>
    <row r="4273" spans="1:4" x14ac:dyDescent="0.2">
      <c r="A4273" s="19" t="s">
        <v>187</v>
      </c>
      <c r="B4273" s="19">
        <v>207.76</v>
      </c>
      <c r="C4273" s="19">
        <v>4</v>
      </c>
      <c r="D4273" s="19">
        <v>85.181600000000003</v>
      </c>
    </row>
    <row r="4274" spans="1:4" x14ac:dyDescent="0.2">
      <c r="A4274" s="19" t="s">
        <v>156</v>
      </c>
      <c r="B4274" s="19">
        <v>71.928000000000011</v>
      </c>
      <c r="C4274" s="19">
        <v>9</v>
      </c>
      <c r="D4274" s="19">
        <v>6.2936999999999976</v>
      </c>
    </row>
    <row r="4275" spans="1:4" x14ac:dyDescent="0.2">
      <c r="A4275" s="19" t="s">
        <v>156</v>
      </c>
      <c r="B4275" s="19">
        <v>25.99</v>
      </c>
      <c r="C4275" s="19">
        <v>1</v>
      </c>
      <c r="D4275" s="19">
        <v>7.5370999999999988</v>
      </c>
    </row>
    <row r="4276" spans="1:4" x14ac:dyDescent="0.2">
      <c r="A4276" s="19" t="s">
        <v>153</v>
      </c>
      <c r="B4276" s="19">
        <v>3.5920000000000005</v>
      </c>
      <c r="C4276" s="19">
        <v>1</v>
      </c>
      <c r="D4276" s="19">
        <v>1.1224999999999996</v>
      </c>
    </row>
    <row r="4277" spans="1:4" x14ac:dyDescent="0.2">
      <c r="A4277" s="19" t="s">
        <v>154</v>
      </c>
      <c r="B4277" s="19">
        <v>48.631999999999991</v>
      </c>
      <c r="C4277" s="19">
        <v>2</v>
      </c>
      <c r="D4277" s="19">
        <v>-121.58000000000004</v>
      </c>
    </row>
    <row r="4278" spans="1:4" x14ac:dyDescent="0.2">
      <c r="A4278" s="19" t="s">
        <v>153</v>
      </c>
      <c r="B4278" s="19">
        <v>323.10000000000002</v>
      </c>
      <c r="C4278" s="19">
        <v>2</v>
      </c>
      <c r="D4278" s="19">
        <v>61.38900000000001</v>
      </c>
    </row>
    <row r="4279" spans="1:4" x14ac:dyDescent="0.2">
      <c r="A4279" s="19" t="s">
        <v>179</v>
      </c>
      <c r="B4279" s="19">
        <v>9099.93</v>
      </c>
      <c r="C4279" s="19">
        <v>7</v>
      </c>
      <c r="D4279" s="19">
        <v>2365.9817999999996</v>
      </c>
    </row>
    <row r="4280" spans="1:4" x14ac:dyDescent="0.2">
      <c r="A4280" s="19" t="s">
        <v>179</v>
      </c>
      <c r="B4280" s="19">
        <v>9.9600000000000009</v>
      </c>
      <c r="C4280" s="19">
        <v>2</v>
      </c>
      <c r="D4280" s="19">
        <v>3.2867999999999995</v>
      </c>
    </row>
    <row r="4281" spans="1:4" x14ac:dyDescent="0.2">
      <c r="A4281" s="19" t="s">
        <v>179</v>
      </c>
      <c r="B4281" s="19">
        <v>25.299999999999997</v>
      </c>
      <c r="C4281" s="19">
        <v>5</v>
      </c>
      <c r="D4281" s="19">
        <v>11.890999999999998</v>
      </c>
    </row>
    <row r="4282" spans="1:4" x14ac:dyDescent="0.2">
      <c r="A4282" s="19" t="s">
        <v>164</v>
      </c>
      <c r="B4282" s="19">
        <v>11.36</v>
      </c>
      <c r="C4282" s="19">
        <v>2</v>
      </c>
      <c r="D4282" s="19">
        <v>5.2255999999999991</v>
      </c>
    </row>
    <row r="4283" spans="1:4" x14ac:dyDescent="0.2">
      <c r="A4283" s="19" t="s">
        <v>164</v>
      </c>
      <c r="B4283" s="19">
        <v>69.263999999999996</v>
      </c>
      <c r="C4283" s="19">
        <v>2</v>
      </c>
      <c r="D4283" s="19">
        <v>14.62239999999999</v>
      </c>
    </row>
    <row r="4284" spans="1:4" x14ac:dyDescent="0.2">
      <c r="A4284" s="19" t="s">
        <v>163</v>
      </c>
      <c r="B4284" s="19">
        <v>3.69</v>
      </c>
      <c r="C4284" s="19">
        <v>1</v>
      </c>
      <c r="D4284" s="19">
        <v>1.7343</v>
      </c>
    </row>
    <row r="4285" spans="1:4" x14ac:dyDescent="0.2">
      <c r="A4285" s="19" t="s">
        <v>163</v>
      </c>
      <c r="B4285" s="19">
        <v>1103.97</v>
      </c>
      <c r="C4285" s="19">
        <v>3</v>
      </c>
      <c r="D4285" s="19">
        <v>496.78649999999993</v>
      </c>
    </row>
    <row r="4286" spans="1:4" x14ac:dyDescent="0.2">
      <c r="A4286" s="19" t="s">
        <v>154</v>
      </c>
      <c r="B4286" s="19">
        <v>246.13279999999997</v>
      </c>
      <c r="C4286" s="19">
        <v>2</v>
      </c>
      <c r="D4286" s="19">
        <v>-76.011599999999973</v>
      </c>
    </row>
    <row r="4287" spans="1:4" x14ac:dyDescent="0.2">
      <c r="A4287" s="19" t="s">
        <v>154</v>
      </c>
      <c r="B4287" s="19">
        <v>11.696</v>
      </c>
      <c r="C4287" s="19">
        <v>2</v>
      </c>
      <c r="D4287" s="19">
        <v>3.9473999999999996</v>
      </c>
    </row>
    <row r="4288" spans="1:4" x14ac:dyDescent="0.2">
      <c r="A4288" s="19" t="s">
        <v>154</v>
      </c>
      <c r="B4288" s="19">
        <v>439.99200000000002</v>
      </c>
      <c r="C4288" s="19">
        <v>1</v>
      </c>
      <c r="D4288" s="19">
        <v>164.99700000000001</v>
      </c>
    </row>
    <row r="4289" spans="1:4" x14ac:dyDescent="0.2">
      <c r="A4289" s="19" t="s">
        <v>167</v>
      </c>
      <c r="B4289" s="19">
        <v>64.784000000000006</v>
      </c>
      <c r="C4289" s="19">
        <v>1</v>
      </c>
      <c r="D4289" s="19">
        <v>-12.956800000000005</v>
      </c>
    </row>
    <row r="4290" spans="1:4" x14ac:dyDescent="0.2">
      <c r="A4290" s="19" t="s">
        <v>154</v>
      </c>
      <c r="B4290" s="19">
        <v>33.279999999999994</v>
      </c>
      <c r="C4290" s="19">
        <v>5</v>
      </c>
      <c r="D4290" s="19">
        <v>-49.92</v>
      </c>
    </row>
    <row r="4291" spans="1:4" x14ac:dyDescent="0.2">
      <c r="A4291" s="19" t="s">
        <v>154</v>
      </c>
      <c r="B4291" s="19">
        <v>14.088000000000001</v>
      </c>
      <c r="C4291" s="19">
        <v>3</v>
      </c>
      <c r="D4291" s="19">
        <v>4.9307999999999996</v>
      </c>
    </row>
    <row r="4292" spans="1:4" x14ac:dyDescent="0.2">
      <c r="A4292" s="19" t="s">
        <v>150</v>
      </c>
      <c r="B4292" s="19">
        <v>11.16</v>
      </c>
      <c r="C4292" s="19">
        <v>2</v>
      </c>
      <c r="D4292" s="19">
        <v>2.7899999999999991</v>
      </c>
    </row>
    <row r="4293" spans="1:4" x14ac:dyDescent="0.2">
      <c r="A4293" s="19" t="s">
        <v>150</v>
      </c>
      <c r="B4293" s="19">
        <v>896.32799999999997</v>
      </c>
      <c r="C4293" s="19">
        <v>9</v>
      </c>
      <c r="D4293" s="19">
        <v>22.408199999999994</v>
      </c>
    </row>
    <row r="4294" spans="1:4" x14ac:dyDescent="0.2">
      <c r="A4294" s="19" t="s">
        <v>150</v>
      </c>
      <c r="B4294" s="19">
        <v>189</v>
      </c>
      <c r="C4294" s="19">
        <v>1</v>
      </c>
      <c r="D4294" s="19">
        <v>68.039999999999992</v>
      </c>
    </row>
    <row r="4295" spans="1:4" x14ac:dyDescent="0.2">
      <c r="A4295" s="19" t="s">
        <v>158</v>
      </c>
      <c r="B4295" s="19">
        <v>53.981999999999999</v>
      </c>
      <c r="C4295" s="19">
        <v>3</v>
      </c>
      <c r="D4295" s="19">
        <v>-10.796399999999995</v>
      </c>
    </row>
    <row r="4296" spans="1:4" x14ac:dyDescent="0.2">
      <c r="A4296" s="19" t="s">
        <v>170</v>
      </c>
      <c r="B4296" s="19">
        <v>177.22499999999999</v>
      </c>
      <c r="C4296" s="19">
        <v>5</v>
      </c>
      <c r="D4296" s="19">
        <v>-120.51299999999998</v>
      </c>
    </row>
    <row r="4297" spans="1:4" x14ac:dyDescent="0.2">
      <c r="A4297" s="19" t="s">
        <v>150</v>
      </c>
      <c r="B4297" s="19">
        <v>129.39000000000001</v>
      </c>
      <c r="C4297" s="19">
        <v>3</v>
      </c>
      <c r="D4297" s="19">
        <v>54.343800000000009</v>
      </c>
    </row>
    <row r="4298" spans="1:4" x14ac:dyDescent="0.2">
      <c r="A4298" s="19" t="s">
        <v>150</v>
      </c>
      <c r="B4298" s="19">
        <v>54.32</v>
      </c>
      <c r="C4298" s="19">
        <v>4</v>
      </c>
      <c r="D4298" s="19">
        <v>0.54319999999999879</v>
      </c>
    </row>
    <row r="4299" spans="1:4" x14ac:dyDescent="0.2">
      <c r="A4299" s="19" t="s">
        <v>151</v>
      </c>
      <c r="B4299" s="19">
        <v>4367.8960000000006</v>
      </c>
      <c r="C4299" s="19">
        <v>13</v>
      </c>
      <c r="D4299" s="19">
        <v>327.59220000000005</v>
      </c>
    </row>
    <row r="4300" spans="1:4" x14ac:dyDescent="0.2">
      <c r="A4300" s="19" t="s">
        <v>151</v>
      </c>
      <c r="B4300" s="19">
        <v>49.568000000000005</v>
      </c>
      <c r="C4300" s="19">
        <v>2</v>
      </c>
      <c r="D4300" s="19">
        <v>15.489999999999997</v>
      </c>
    </row>
    <row r="4301" spans="1:4" x14ac:dyDescent="0.2">
      <c r="A4301" s="19" t="s">
        <v>151</v>
      </c>
      <c r="B4301" s="19">
        <v>161.376</v>
      </c>
      <c r="C4301" s="19">
        <v>6</v>
      </c>
      <c r="D4301" s="19">
        <v>12.103199999999994</v>
      </c>
    </row>
    <row r="4302" spans="1:4" x14ac:dyDescent="0.2">
      <c r="A4302" s="19" t="s">
        <v>151</v>
      </c>
      <c r="B4302" s="19">
        <v>2.7840000000000003</v>
      </c>
      <c r="C4302" s="19">
        <v>2</v>
      </c>
      <c r="D4302" s="19">
        <v>0.41759999999999986</v>
      </c>
    </row>
    <row r="4303" spans="1:4" x14ac:dyDescent="0.2">
      <c r="A4303" s="19" t="s">
        <v>151</v>
      </c>
      <c r="B4303" s="19">
        <v>8.7200000000000006</v>
      </c>
      <c r="C4303" s="19">
        <v>5</v>
      </c>
      <c r="D4303" s="19">
        <v>2.9429999999999992</v>
      </c>
    </row>
    <row r="4304" spans="1:4" x14ac:dyDescent="0.2">
      <c r="A4304" s="19" t="s">
        <v>173</v>
      </c>
      <c r="B4304" s="19">
        <v>3.9119999999999999</v>
      </c>
      <c r="C4304" s="19">
        <v>1</v>
      </c>
      <c r="D4304" s="19">
        <v>1.0269000000000001</v>
      </c>
    </row>
    <row r="4305" spans="1:4" x14ac:dyDescent="0.2">
      <c r="A4305" s="19" t="s">
        <v>154</v>
      </c>
      <c r="B4305" s="19">
        <v>59.751999999999995</v>
      </c>
      <c r="C4305" s="19">
        <v>7</v>
      </c>
      <c r="D4305" s="19">
        <v>19.4194</v>
      </c>
    </row>
    <row r="4306" spans="1:4" x14ac:dyDescent="0.2">
      <c r="A4306" s="19" t="s">
        <v>153</v>
      </c>
      <c r="B4306" s="19">
        <v>63.92</v>
      </c>
      <c r="C4306" s="19">
        <v>4</v>
      </c>
      <c r="D4306" s="19">
        <v>3.195999999999998</v>
      </c>
    </row>
    <row r="4307" spans="1:4" x14ac:dyDescent="0.2">
      <c r="A4307" s="19" t="s">
        <v>153</v>
      </c>
      <c r="B4307" s="19">
        <v>383.96000000000004</v>
      </c>
      <c r="C4307" s="19">
        <v>5</v>
      </c>
      <c r="D4307" s="19">
        <v>38.396000000000015</v>
      </c>
    </row>
    <row r="4308" spans="1:4" x14ac:dyDescent="0.2">
      <c r="A4308" s="19" t="s">
        <v>150</v>
      </c>
      <c r="B4308" s="19">
        <v>7.7520000000000007</v>
      </c>
      <c r="C4308" s="19">
        <v>3</v>
      </c>
      <c r="D4308" s="19">
        <v>2.8100999999999998</v>
      </c>
    </row>
    <row r="4309" spans="1:4" x14ac:dyDescent="0.2">
      <c r="A4309" s="19" t="s">
        <v>150</v>
      </c>
      <c r="B4309" s="19">
        <v>33.568000000000005</v>
      </c>
      <c r="C4309" s="19">
        <v>2</v>
      </c>
      <c r="D4309" s="19">
        <v>11.748799999999997</v>
      </c>
    </row>
    <row r="4310" spans="1:4" x14ac:dyDescent="0.2">
      <c r="A4310" s="19" t="s">
        <v>150</v>
      </c>
      <c r="B4310" s="19">
        <v>666.34400000000005</v>
      </c>
      <c r="C4310" s="19">
        <v>7</v>
      </c>
      <c r="D4310" s="19">
        <v>66.634399999999971</v>
      </c>
    </row>
    <row r="4311" spans="1:4" x14ac:dyDescent="0.2">
      <c r="A4311" s="19" t="s">
        <v>150</v>
      </c>
      <c r="B4311" s="19">
        <v>573.72799999999995</v>
      </c>
      <c r="C4311" s="19">
        <v>4</v>
      </c>
      <c r="D4311" s="19">
        <v>-64.544399999999968</v>
      </c>
    </row>
    <row r="4312" spans="1:4" x14ac:dyDescent="0.2">
      <c r="A4312" s="19" t="s">
        <v>150</v>
      </c>
      <c r="B4312" s="19">
        <v>21.936000000000003</v>
      </c>
      <c r="C4312" s="19">
        <v>3</v>
      </c>
      <c r="D4312" s="19">
        <v>8.2259999999999991</v>
      </c>
    </row>
    <row r="4313" spans="1:4" x14ac:dyDescent="0.2">
      <c r="A4313" s="19" t="s">
        <v>150</v>
      </c>
      <c r="B4313" s="19">
        <v>19.440000000000001</v>
      </c>
      <c r="C4313" s="19">
        <v>3</v>
      </c>
      <c r="D4313" s="19">
        <v>9.3312000000000008</v>
      </c>
    </row>
    <row r="4314" spans="1:4" x14ac:dyDescent="0.2">
      <c r="A4314" s="19" t="s">
        <v>150</v>
      </c>
      <c r="B4314" s="19">
        <v>447.96800000000007</v>
      </c>
      <c r="C4314" s="19">
        <v>4</v>
      </c>
      <c r="D4314" s="19">
        <v>139.98999999999995</v>
      </c>
    </row>
    <row r="4315" spans="1:4" x14ac:dyDescent="0.2">
      <c r="A4315" s="19" t="s">
        <v>164</v>
      </c>
      <c r="B4315" s="19">
        <v>16.78</v>
      </c>
      <c r="C4315" s="19">
        <v>2</v>
      </c>
      <c r="D4315" s="19">
        <v>4.1950000000000003</v>
      </c>
    </row>
    <row r="4316" spans="1:4" x14ac:dyDescent="0.2">
      <c r="A4316" s="19" t="s">
        <v>150</v>
      </c>
      <c r="B4316" s="19">
        <v>20.96</v>
      </c>
      <c r="C4316" s="19">
        <v>2</v>
      </c>
      <c r="D4316" s="19">
        <v>5.24</v>
      </c>
    </row>
    <row r="4317" spans="1:4" x14ac:dyDescent="0.2">
      <c r="A4317" s="19" t="s">
        <v>150</v>
      </c>
      <c r="B4317" s="19">
        <v>88.751999999999995</v>
      </c>
      <c r="C4317" s="19">
        <v>3</v>
      </c>
      <c r="D4317" s="19">
        <v>27.734999999999996</v>
      </c>
    </row>
    <row r="4318" spans="1:4" x14ac:dyDescent="0.2">
      <c r="A4318" s="19" t="s">
        <v>150</v>
      </c>
      <c r="B4318" s="19">
        <v>304.23</v>
      </c>
      <c r="C4318" s="19">
        <v>3</v>
      </c>
      <c r="D4318" s="19">
        <v>9.126899999999992</v>
      </c>
    </row>
    <row r="4319" spans="1:4" x14ac:dyDescent="0.2">
      <c r="A4319" s="19" t="s">
        <v>150</v>
      </c>
      <c r="B4319" s="19">
        <v>167.86</v>
      </c>
      <c r="C4319" s="19">
        <v>2</v>
      </c>
      <c r="D4319" s="19">
        <v>78.894199999999998</v>
      </c>
    </row>
    <row r="4320" spans="1:4" x14ac:dyDescent="0.2">
      <c r="A4320" s="19" t="s">
        <v>166</v>
      </c>
      <c r="B4320" s="19">
        <v>82.38</v>
      </c>
      <c r="C4320" s="19">
        <v>6</v>
      </c>
      <c r="D4320" s="19">
        <v>25.537799999999997</v>
      </c>
    </row>
    <row r="4321" spans="1:4" x14ac:dyDescent="0.2">
      <c r="A4321" s="19" t="s">
        <v>176</v>
      </c>
      <c r="B4321" s="19">
        <v>23.976000000000003</v>
      </c>
      <c r="C4321" s="19">
        <v>3</v>
      </c>
      <c r="D4321" s="19">
        <v>-5.694300000000001</v>
      </c>
    </row>
    <row r="4322" spans="1:4" x14ac:dyDescent="0.2">
      <c r="A4322" s="19" t="s">
        <v>176</v>
      </c>
      <c r="B4322" s="19">
        <v>33.29</v>
      </c>
      <c r="C4322" s="19">
        <v>1</v>
      </c>
      <c r="D4322" s="19">
        <v>7.9895999999999994</v>
      </c>
    </row>
    <row r="4323" spans="1:4" x14ac:dyDescent="0.2">
      <c r="A4323" s="19" t="s">
        <v>173</v>
      </c>
      <c r="B4323" s="19">
        <v>14.952000000000004</v>
      </c>
      <c r="C4323" s="19">
        <v>2</v>
      </c>
      <c r="D4323" s="19">
        <v>-11.961599999999997</v>
      </c>
    </row>
    <row r="4324" spans="1:4" x14ac:dyDescent="0.2">
      <c r="A4324" s="19" t="s">
        <v>173</v>
      </c>
      <c r="B4324" s="19">
        <v>323.98199999999997</v>
      </c>
      <c r="C4324" s="19">
        <v>3</v>
      </c>
      <c r="D4324" s="19">
        <v>-80.995500000000021</v>
      </c>
    </row>
    <row r="4325" spans="1:4" x14ac:dyDescent="0.2">
      <c r="A4325" s="19" t="s">
        <v>173</v>
      </c>
      <c r="B4325" s="19">
        <v>2.2860000000000005</v>
      </c>
      <c r="C4325" s="19">
        <v>2</v>
      </c>
      <c r="D4325" s="19">
        <v>-1.6763999999999997</v>
      </c>
    </row>
    <row r="4326" spans="1:4" x14ac:dyDescent="0.2">
      <c r="A4326" s="19" t="s">
        <v>173</v>
      </c>
      <c r="B4326" s="19">
        <v>14.352000000000002</v>
      </c>
      <c r="C4326" s="19">
        <v>3</v>
      </c>
      <c r="D4326" s="19">
        <v>0.8969999999999998</v>
      </c>
    </row>
    <row r="4327" spans="1:4" x14ac:dyDescent="0.2">
      <c r="A4327" s="19" t="s">
        <v>173</v>
      </c>
      <c r="B4327" s="19">
        <v>71.975999999999999</v>
      </c>
      <c r="C4327" s="19">
        <v>3</v>
      </c>
      <c r="D4327" s="19">
        <v>0.89969999999999573</v>
      </c>
    </row>
    <row r="4328" spans="1:4" x14ac:dyDescent="0.2">
      <c r="A4328" s="19" t="s">
        <v>179</v>
      </c>
      <c r="B4328" s="19">
        <v>9.2099999999999991</v>
      </c>
      <c r="C4328" s="19">
        <v>3</v>
      </c>
      <c r="D4328" s="19">
        <v>2.3025000000000002</v>
      </c>
    </row>
    <row r="4329" spans="1:4" x14ac:dyDescent="0.2">
      <c r="A4329" s="19" t="s">
        <v>179</v>
      </c>
      <c r="B4329" s="19">
        <v>18</v>
      </c>
      <c r="C4329" s="19">
        <v>5</v>
      </c>
      <c r="D4329" s="19">
        <v>8.2799999999999994</v>
      </c>
    </row>
    <row r="4330" spans="1:4" x14ac:dyDescent="0.2">
      <c r="A4330" s="19" t="s">
        <v>164</v>
      </c>
      <c r="B4330" s="19">
        <v>42.929999999999993</v>
      </c>
      <c r="C4330" s="19">
        <v>9</v>
      </c>
      <c r="D4330" s="19">
        <v>19.318499999999997</v>
      </c>
    </row>
    <row r="4331" spans="1:4" x14ac:dyDescent="0.2">
      <c r="A4331" s="19" t="s">
        <v>151</v>
      </c>
      <c r="B4331" s="19">
        <v>15.552000000000003</v>
      </c>
      <c r="C4331" s="19">
        <v>3</v>
      </c>
      <c r="D4331" s="19">
        <v>5.4432</v>
      </c>
    </row>
    <row r="4332" spans="1:4" x14ac:dyDescent="0.2">
      <c r="A4332" s="19" t="s">
        <v>151</v>
      </c>
      <c r="B4332" s="19">
        <v>17.920000000000002</v>
      </c>
      <c r="C4332" s="19">
        <v>5</v>
      </c>
      <c r="D4332" s="19">
        <v>1.1200000000000001</v>
      </c>
    </row>
    <row r="4333" spans="1:4" x14ac:dyDescent="0.2">
      <c r="A4333" s="19" t="s">
        <v>153</v>
      </c>
      <c r="B4333" s="19">
        <v>19.989999999999998</v>
      </c>
      <c r="C4333" s="19">
        <v>1</v>
      </c>
      <c r="D4333" s="19">
        <v>6.796599999999998</v>
      </c>
    </row>
    <row r="4334" spans="1:4" x14ac:dyDescent="0.2">
      <c r="A4334" s="19" t="s">
        <v>153</v>
      </c>
      <c r="B4334" s="19">
        <v>22.92</v>
      </c>
      <c r="C4334" s="19">
        <v>5</v>
      </c>
      <c r="D4334" s="19">
        <v>8.0219999999999985</v>
      </c>
    </row>
    <row r="4335" spans="1:4" x14ac:dyDescent="0.2">
      <c r="A4335" s="19" t="s">
        <v>151</v>
      </c>
      <c r="B4335" s="19">
        <v>50.88</v>
      </c>
      <c r="C4335" s="19">
        <v>6</v>
      </c>
      <c r="D4335" s="19">
        <v>14.628000000000005</v>
      </c>
    </row>
    <row r="4336" spans="1:4" x14ac:dyDescent="0.2">
      <c r="A4336" s="19" t="s">
        <v>151</v>
      </c>
      <c r="B4336" s="19">
        <v>27.312000000000001</v>
      </c>
      <c r="C4336" s="19">
        <v>2</v>
      </c>
      <c r="D4336" s="19">
        <v>9.2178000000000004</v>
      </c>
    </row>
    <row r="4337" spans="1:4" x14ac:dyDescent="0.2">
      <c r="A4337" s="19" t="s">
        <v>165</v>
      </c>
      <c r="B4337" s="19">
        <v>7.9200000000000008</v>
      </c>
      <c r="C4337" s="19">
        <v>1</v>
      </c>
      <c r="D4337" s="19">
        <v>2.7719999999999994</v>
      </c>
    </row>
    <row r="4338" spans="1:4" x14ac:dyDescent="0.2">
      <c r="A4338" s="19" t="s">
        <v>165</v>
      </c>
      <c r="B4338" s="19">
        <v>14.368000000000002</v>
      </c>
      <c r="C4338" s="19">
        <v>2</v>
      </c>
      <c r="D4338" s="19">
        <v>3.9512</v>
      </c>
    </row>
    <row r="4339" spans="1:4" x14ac:dyDescent="0.2">
      <c r="A4339" s="19" t="s">
        <v>150</v>
      </c>
      <c r="B4339" s="19">
        <v>107.97</v>
      </c>
      <c r="C4339" s="19">
        <v>3</v>
      </c>
      <c r="D4339" s="19">
        <v>22.6737</v>
      </c>
    </row>
    <row r="4340" spans="1:4" x14ac:dyDescent="0.2">
      <c r="A4340" s="19" t="s">
        <v>150</v>
      </c>
      <c r="B4340" s="19">
        <v>113.82</v>
      </c>
      <c r="C4340" s="19">
        <v>3</v>
      </c>
      <c r="D4340" s="19">
        <v>53.495399999999989</v>
      </c>
    </row>
    <row r="4341" spans="1:4" x14ac:dyDescent="0.2">
      <c r="A4341" s="19" t="s">
        <v>167</v>
      </c>
      <c r="B4341" s="19">
        <v>5.1840000000000011</v>
      </c>
      <c r="C4341" s="19">
        <v>1</v>
      </c>
      <c r="D4341" s="19">
        <v>1.8144</v>
      </c>
    </row>
    <row r="4342" spans="1:4" x14ac:dyDescent="0.2">
      <c r="A4342" s="19" t="s">
        <v>163</v>
      </c>
      <c r="B4342" s="19">
        <v>16.28</v>
      </c>
      <c r="C4342" s="19">
        <v>2</v>
      </c>
      <c r="D4342" s="19">
        <v>6.5120000000000005</v>
      </c>
    </row>
    <row r="4343" spans="1:4" x14ac:dyDescent="0.2">
      <c r="A4343" s="19" t="s">
        <v>166</v>
      </c>
      <c r="B4343" s="19">
        <v>544.38</v>
      </c>
      <c r="C4343" s="19">
        <v>3</v>
      </c>
      <c r="D4343" s="19">
        <v>157.87019999999993</v>
      </c>
    </row>
    <row r="4344" spans="1:4" x14ac:dyDescent="0.2">
      <c r="A4344" s="19" t="s">
        <v>150</v>
      </c>
      <c r="B4344" s="19">
        <v>19.824000000000002</v>
      </c>
      <c r="C4344" s="19">
        <v>6</v>
      </c>
      <c r="D4344" s="19">
        <v>6.690599999999999</v>
      </c>
    </row>
    <row r="4345" spans="1:4" x14ac:dyDescent="0.2">
      <c r="A4345" s="19" t="s">
        <v>150</v>
      </c>
      <c r="B4345" s="19">
        <v>657.50400000000002</v>
      </c>
      <c r="C4345" s="19">
        <v>6</v>
      </c>
      <c r="D4345" s="19">
        <v>-131.50080000000005</v>
      </c>
    </row>
    <row r="4346" spans="1:4" x14ac:dyDescent="0.2">
      <c r="A4346" s="19" t="s">
        <v>150</v>
      </c>
      <c r="B4346" s="19">
        <v>99.54</v>
      </c>
      <c r="C4346" s="19">
        <v>2</v>
      </c>
      <c r="D4346" s="19">
        <v>10.949399999999997</v>
      </c>
    </row>
    <row r="4347" spans="1:4" x14ac:dyDescent="0.2">
      <c r="A4347" s="19" t="s">
        <v>150</v>
      </c>
      <c r="B4347" s="19">
        <v>199.96</v>
      </c>
      <c r="C4347" s="19">
        <v>4</v>
      </c>
      <c r="D4347" s="19">
        <v>85.982800000000012</v>
      </c>
    </row>
    <row r="4348" spans="1:4" x14ac:dyDescent="0.2">
      <c r="A4348" s="19" t="s">
        <v>164</v>
      </c>
      <c r="B4348" s="19">
        <v>631.78200000000004</v>
      </c>
      <c r="C4348" s="19">
        <v>2</v>
      </c>
      <c r="D4348" s="19">
        <v>140.39599999999993</v>
      </c>
    </row>
    <row r="4349" spans="1:4" x14ac:dyDescent="0.2">
      <c r="A4349" s="19" t="s">
        <v>164</v>
      </c>
      <c r="B4349" s="19">
        <v>60.72</v>
      </c>
      <c r="C4349" s="19">
        <v>3</v>
      </c>
      <c r="D4349" s="19">
        <v>26.1096</v>
      </c>
    </row>
    <row r="4350" spans="1:4" x14ac:dyDescent="0.2">
      <c r="A4350" s="19" t="s">
        <v>165</v>
      </c>
      <c r="B4350" s="19">
        <v>20.724000000000004</v>
      </c>
      <c r="C4350" s="19">
        <v>2</v>
      </c>
      <c r="D4350" s="19">
        <v>-15.197599999999994</v>
      </c>
    </row>
    <row r="4351" spans="1:4" x14ac:dyDescent="0.2">
      <c r="A4351" s="19" t="s">
        <v>165</v>
      </c>
      <c r="B4351" s="19">
        <v>415.87200000000007</v>
      </c>
      <c r="C4351" s="19">
        <v>8</v>
      </c>
      <c r="D4351" s="19">
        <v>-41.587199999999996</v>
      </c>
    </row>
    <row r="4352" spans="1:4" x14ac:dyDescent="0.2">
      <c r="A4352" s="19" t="s">
        <v>173</v>
      </c>
      <c r="B4352" s="19">
        <v>16.768000000000001</v>
      </c>
      <c r="C4352" s="19">
        <v>2</v>
      </c>
      <c r="D4352" s="19">
        <v>1.4672000000000001</v>
      </c>
    </row>
    <row r="4353" spans="1:4" x14ac:dyDescent="0.2">
      <c r="A4353" s="19" t="s">
        <v>173</v>
      </c>
      <c r="B4353" s="19">
        <v>27.12</v>
      </c>
      <c r="C4353" s="19">
        <v>2</v>
      </c>
      <c r="D4353" s="19">
        <v>-4.7460000000000013</v>
      </c>
    </row>
    <row r="4354" spans="1:4" x14ac:dyDescent="0.2">
      <c r="A4354" s="19" t="s">
        <v>150</v>
      </c>
      <c r="B4354" s="19">
        <v>95.84</v>
      </c>
      <c r="C4354" s="19">
        <v>4</v>
      </c>
      <c r="D4354" s="19">
        <v>34.741999999999997</v>
      </c>
    </row>
    <row r="4355" spans="1:4" x14ac:dyDescent="0.2">
      <c r="A4355" s="19" t="s">
        <v>150</v>
      </c>
      <c r="B4355" s="19">
        <v>12.96</v>
      </c>
      <c r="C4355" s="19">
        <v>2</v>
      </c>
      <c r="D4355" s="19">
        <v>6.2208000000000006</v>
      </c>
    </row>
    <row r="4356" spans="1:4" x14ac:dyDescent="0.2">
      <c r="A4356" s="19" t="s">
        <v>152</v>
      </c>
      <c r="B4356" s="19">
        <v>19.008000000000003</v>
      </c>
      <c r="C4356" s="19">
        <v>8</v>
      </c>
      <c r="D4356" s="19">
        <v>-12.671999999999997</v>
      </c>
    </row>
    <row r="4357" spans="1:4" x14ac:dyDescent="0.2">
      <c r="A4357" s="19" t="s">
        <v>167</v>
      </c>
      <c r="B4357" s="19">
        <v>1598.0580000000002</v>
      </c>
      <c r="C4357" s="19">
        <v>7</v>
      </c>
      <c r="D4357" s="19">
        <v>-1065.3719999999998</v>
      </c>
    </row>
    <row r="4358" spans="1:4" x14ac:dyDescent="0.2">
      <c r="A4358" s="19" t="s">
        <v>167</v>
      </c>
      <c r="B4358" s="19">
        <v>36.96</v>
      </c>
      <c r="C4358" s="19">
        <v>4</v>
      </c>
      <c r="D4358" s="19">
        <v>12.011999999999999</v>
      </c>
    </row>
    <row r="4359" spans="1:4" x14ac:dyDescent="0.2">
      <c r="A4359" s="19" t="s">
        <v>159</v>
      </c>
      <c r="B4359" s="19">
        <v>10.368000000000002</v>
      </c>
      <c r="C4359" s="19">
        <v>2</v>
      </c>
      <c r="D4359" s="19">
        <v>3.6288</v>
      </c>
    </row>
    <row r="4360" spans="1:4" x14ac:dyDescent="0.2">
      <c r="A4360" s="19" t="s">
        <v>159</v>
      </c>
      <c r="B4360" s="19">
        <v>77.720000000000013</v>
      </c>
      <c r="C4360" s="19">
        <v>1</v>
      </c>
      <c r="D4360" s="19">
        <v>-66.061999999999998</v>
      </c>
    </row>
    <row r="4361" spans="1:4" x14ac:dyDescent="0.2">
      <c r="A4361" s="19" t="s">
        <v>159</v>
      </c>
      <c r="B4361" s="19">
        <v>520.46399999999994</v>
      </c>
      <c r="C4361" s="19">
        <v>2</v>
      </c>
      <c r="D4361" s="19">
        <v>-14.870399999999961</v>
      </c>
    </row>
    <row r="4362" spans="1:4" x14ac:dyDescent="0.2">
      <c r="A4362" s="19" t="s">
        <v>182</v>
      </c>
      <c r="B4362" s="19">
        <v>111.96</v>
      </c>
      <c r="C4362" s="19">
        <v>2</v>
      </c>
      <c r="D4362" s="19">
        <v>54.860399999999998</v>
      </c>
    </row>
    <row r="4363" spans="1:4" x14ac:dyDescent="0.2">
      <c r="A4363" s="19" t="s">
        <v>177</v>
      </c>
      <c r="B4363" s="19">
        <v>29.160000000000004</v>
      </c>
      <c r="C4363" s="19">
        <v>3</v>
      </c>
      <c r="D4363" s="19">
        <v>8.4563999999999986</v>
      </c>
    </row>
    <row r="4364" spans="1:4" x14ac:dyDescent="0.2">
      <c r="A4364" s="19" t="s">
        <v>194</v>
      </c>
      <c r="B4364" s="19">
        <v>131.94</v>
      </c>
      <c r="C4364" s="19">
        <v>3</v>
      </c>
      <c r="D4364" s="19">
        <v>35.623800000000003</v>
      </c>
    </row>
    <row r="4365" spans="1:4" x14ac:dyDescent="0.2">
      <c r="A4365" s="19" t="s">
        <v>194</v>
      </c>
      <c r="B4365" s="19">
        <v>25.92</v>
      </c>
      <c r="C4365" s="19">
        <v>4</v>
      </c>
      <c r="D4365" s="19">
        <v>8.2943999999999996</v>
      </c>
    </row>
    <row r="4366" spans="1:4" x14ac:dyDescent="0.2">
      <c r="A4366" s="19" t="s">
        <v>194</v>
      </c>
      <c r="B4366" s="19">
        <v>704.76</v>
      </c>
      <c r="C4366" s="19">
        <v>4</v>
      </c>
      <c r="D4366" s="19">
        <v>162.09479999999996</v>
      </c>
    </row>
    <row r="4367" spans="1:4" x14ac:dyDescent="0.2">
      <c r="A4367" s="19" t="s">
        <v>194</v>
      </c>
      <c r="B4367" s="19">
        <v>7.41</v>
      </c>
      <c r="C4367" s="19">
        <v>3</v>
      </c>
      <c r="D4367" s="19">
        <v>3.4827000000000004</v>
      </c>
    </row>
    <row r="4368" spans="1:4" x14ac:dyDescent="0.2">
      <c r="A4368" s="19" t="s">
        <v>194</v>
      </c>
      <c r="B4368" s="19">
        <v>21.5</v>
      </c>
      <c r="C4368" s="19">
        <v>10</v>
      </c>
      <c r="D4368" s="19">
        <v>7.094999999999998</v>
      </c>
    </row>
    <row r="4369" spans="1:4" x14ac:dyDescent="0.2">
      <c r="A4369" s="19" t="s">
        <v>159</v>
      </c>
      <c r="B4369" s="19">
        <v>10.528</v>
      </c>
      <c r="C4369" s="19">
        <v>4</v>
      </c>
      <c r="D4369" s="19">
        <v>3.2899999999999996</v>
      </c>
    </row>
    <row r="4370" spans="1:4" x14ac:dyDescent="0.2">
      <c r="A4370" s="19" t="s">
        <v>159</v>
      </c>
      <c r="B4370" s="19">
        <v>20.544000000000004</v>
      </c>
      <c r="C4370" s="19">
        <v>6</v>
      </c>
      <c r="D4370" s="19">
        <v>6.4199999999999964</v>
      </c>
    </row>
    <row r="4371" spans="1:4" x14ac:dyDescent="0.2">
      <c r="A4371" s="19" t="s">
        <v>163</v>
      </c>
      <c r="B4371" s="19">
        <v>104.9</v>
      </c>
      <c r="C4371" s="19">
        <v>5</v>
      </c>
      <c r="D4371" s="19">
        <v>50.351999999999997</v>
      </c>
    </row>
    <row r="4372" spans="1:4" x14ac:dyDescent="0.2">
      <c r="A4372" s="19" t="s">
        <v>163</v>
      </c>
      <c r="B4372" s="19">
        <v>39.68</v>
      </c>
      <c r="C4372" s="19">
        <v>2</v>
      </c>
      <c r="D4372" s="19">
        <v>16.268800000000002</v>
      </c>
    </row>
    <row r="4373" spans="1:4" x14ac:dyDescent="0.2">
      <c r="A4373" s="19" t="s">
        <v>163</v>
      </c>
      <c r="B4373" s="19">
        <v>51.75</v>
      </c>
      <c r="C4373" s="19">
        <v>5</v>
      </c>
      <c r="D4373" s="19">
        <v>24.84</v>
      </c>
    </row>
    <row r="4374" spans="1:4" x14ac:dyDescent="0.2">
      <c r="A4374" s="19" t="s">
        <v>163</v>
      </c>
      <c r="B4374" s="19">
        <v>11.68</v>
      </c>
      <c r="C4374" s="19">
        <v>2</v>
      </c>
      <c r="D4374" s="19">
        <v>5.4895999999999994</v>
      </c>
    </row>
    <row r="4375" spans="1:4" x14ac:dyDescent="0.2">
      <c r="A4375" s="19" t="s">
        <v>163</v>
      </c>
      <c r="B4375" s="19">
        <v>159.75</v>
      </c>
      <c r="C4375" s="19">
        <v>5</v>
      </c>
      <c r="D4375" s="19">
        <v>11.182499999999997</v>
      </c>
    </row>
    <row r="4376" spans="1:4" x14ac:dyDescent="0.2">
      <c r="A4376" s="19" t="s">
        <v>173</v>
      </c>
      <c r="B4376" s="19">
        <v>103.96799999999999</v>
      </c>
      <c r="C4376" s="19">
        <v>6</v>
      </c>
      <c r="D4376" s="19">
        <v>16.894799999999996</v>
      </c>
    </row>
    <row r="4377" spans="1:4" x14ac:dyDescent="0.2">
      <c r="A4377" s="19" t="s">
        <v>150</v>
      </c>
      <c r="B4377" s="19">
        <v>303.25</v>
      </c>
      <c r="C4377" s="19">
        <v>5</v>
      </c>
      <c r="D4377" s="19">
        <v>63.682499999999997</v>
      </c>
    </row>
    <row r="4378" spans="1:4" x14ac:dyDescent="0.2">
      <c r="A4378" s="19" t="s">
        <v>150</v>
      </c>
      <c r="B4378" s="19">
        <v>270.71999999999997</v>
      </c>
      <c r="C4378" s="19">
        <v>3</v>
      </c>
      <c r="D4378" s="19">
        <v>78.508799999999965</v>
      </c>
    </row>
    <row r="4379" spans="1:4" x14ac:dyDescent="0.2">
      <c r="A4379" s="19" t="s">
        <v>150</v>
      </c>
      <c r="B4379" s="19">
        <v>1487.04</v>
      </c>
      <c r="C4379" s="19">
        <v>5</v>
      </c>
      <c r="D4379" s="19">
        <v>148.70400000000006</v>
      </c>
    </row>
    <row r="4380" spans="1:4" x14ac:dyDescent="0.2">
      <c r="A4380" s="19" t="s">
        <v>149</v>
      </c>
      <c r="B4380" s="19">
        <v>17.48</v>
      </c>
      <c r="C4380" s="19">
        <v>2</v>
      </c>
      <c r="D4380" s="19">
        <v>8.2156000000000002</v>
      </c>
    </row>
    <row r="4381" spans="1:4" x14ac:dyDescent="0.2">
      <c r="A4381" s="19" t="s">
        <v>149</v>
      </c>
      <c r="B4381" s="19">
        <v>71.88</v>
      </c>
      <c r="C4381" s="19">
        <v>2</v>
      </c>
      <c r="D4381" s="19">
        <v>32.345999999999997</v>
      </c>
    </row>
    <row r="4382" spans="1:4" x14ac:dyDescent="0.2">
      <c r="A4382" s="19" t="s">
        <v>150</v>
      </c>
      <c r="B4382" s="19">
        <v>60.449999999999996</v>
      </c>
      <c r="C4382" s="19">
        <v>3</v>
      </c>
      <c r="D4382" s="19">
        <v>16.3215</v>
      </c>
    </row>
    <row r="4383" spans="1:4" x14ac:dyDescent="0.2">
      <c r="A4383" s="19" t="s">
        <v>150</v>
      </c>
      <c r="B4383" s="19">
        <v>253.17599999999999</v>
      </c>
      <c r="C4383" s="19">
        <v>3</v>
      </c>
      <c r="D4383" s="19">
        <v>-31.64700000000002</v>
      </c>
    </row>
    <row r="4384" spans="1:4" x14ac:dyDescent="0.2">
      <c r="A4384" s="19" t="s">
        <v>159</v>
      </c>
      <c r="B4384" s="19">
        <v>2.879999999999999</v>
      </c>
      <c r="C4384" s="19">
        <v>5</v>
      </c>
      <c r="D4384" s="19">
        <v>-4.4639999999999995</v>
      </c>
    </row>
    <row r="4385" spans="1:4" x14ac:dyDescent="0.2">
      <c r="A4385" s="19" t="s">
        <v>159</v>
      </c>
      <c r="B4385" s="19">
        <v>384.94399999999996</v>
      </c>
      <c r="C4385" s="19">
        <v>4</v>
      </c>
      <c r="D4385" s="19">
        <v>-126.48159999999999</v>
      </c>
    </row>
    <row r="4386" spans="1:4" x14ac:dyDescent="0.2">
      <c r="A4386" s="19" t="s">
        <v>159</v>
      </c>
      <c r="B4386" s="19">
        <v>153.584</v>
      </c>
      <c r="C4386" s="19">
        <v>2</v>
      </c>
      <c r="D4386" s="19">
        <v>13.438599999999994</v>
      </c>
    </row>
    <row r="4387" spans="1:4" x14ac:dyDescent="0.2">
      <c r="A4387" s="19" t="s">
        <v>159</v>
      </c>
      <c r="B4387" s="19">
        <v>913.43000000000006</v>
      </c>
      <c r="C4387" s="19">
        <v>5</v>
      </c>
      <c r="D4387" s="19">
        <v>-52.195999999999913</v>
      </c>
    </row>
    <row r="4388" spans="1:4" x14ac:dyDescent="0.2">
      <c r="A4388" s="19" t="s">
        <v>150</v>
      </c>
      <c r="B4388" s="19">
        <v>43.92</v>
      </c>
      <c r="C4388" s="19">
        <v>4</v>
      </c>
      <c r="D4388" s="19">
        <v>11.858400000000003</v>
      </c>
    </row>
    <row r="4389" spans="1:4" x14ac:dyDescent="0.2">
      <c r="A4389" s="19" t="s">
        <v>150</v>
      </c>
      <c r="B4389" s="19">
        <v>25.031999999999996</v>
      </c>
      <c r="C4389" s="19">
        <v>3</v>
      </c>
      <c r="D4389" s="19">
        <v>7.822499999999998</v>
      </c>
    </row>
    <row r="4390" spans="1:4" x14ac:dyDescent="0.2">
      <c r="A4390" s="19" t="s">
        <v>164</v>
      </c>
      <c r="B4390" s="19">
        <v>46.76</v>
      </c>
      <c r="C4390" s="19">
        <v>7</v>
      </c>
      <c r="D4390" s="19">
        <v>22.444800000000001</v>
      </c>
    </row>
    <row r="4391" spans="1:4" x14ac:dyDescent="0.2">
      <c r="A4391" s="19" t="s">
        <v>164</v>
      </c>
      <c r="B4391" s="19">
        <v>183.96800000000002</v>
      </c>
      <c r="C4391" s="19">
        <v>2</v>
      </c>
      <c r="D4391" s="19">
        <v>-25.295600000000022</v>
      </c>
    </row>
    <row r="4392" spans="1:4" x14ac:dyDescent="0.2">
      <c r="A4392" s="19" t="s">
        <v>164</v>
      </c>
      <c r="B4392" s="19">
        <v>1259.97</v>
      </c>
      <c r="C4392" s="19">
        <v>3</v>
      </c>
      <c r="D4392" s="19">
        <v>327.59220000000005</v>
      </c>
    </row>
    <row r="4393" spans="1:4" x14ac:dyDescent="0.2">
      <c r="A4393" s="19" t="s">
        <v>164</v>
      </c>
      <c r="B4393" s="19">
        <v>68.97</v>
      </c>
      <c r="C4393" s="19">
        <v>3</v>
      </c>
      <c r="D4393" s="19">
        <v>19.311600000000002</v>
      </c>
    </row>
    <row r="4394" spans="1:4" x14ac:dyDescent="0.2">
      <c r="A4394" s="19" t="s">
        <v>154</v>
      </c>
      <c r="B4394" s="19">
        <v>70.367999999999995</v>
      </c>
      <c r="C4394" s="19">
        <v>2</v>
      </c>
      <c r="D4394" s="19">
        <v>6.1572000000000031</v>
      </c>
    </row>
    <row r="4395" spans="1:4" x14ac:dyDescent="0.2">
      <c r="A4395" s="19" t="s">
        <v>154</v>
      </c>
      <c r="B4395" s="19">
        <v>59.960000000000008</v>
      </c>
      <c r="C4395" s="19">
        <v>5</v>
      </c>
      <c r="D4395" s="19">
        <v>21.735500000000002</v>
      </c>
    </row>
    <row r="4396" spans="1:4" x14ac:dyDescent="0.2">
      <c r="A4396" s="19" t="s">
        <v>173</v>
      </c>
      <c r="B4396" s="19">
        <v>25.983999999999998</v>
      </c>
      <c r="C4396" s="19">
        <v>1</v>
      </c>
      <c r="D4396" s="19">
        <v>-5.1968000000000005</v>
      </c>
    </row>
    <row r="4397" spans="1:4" x14ac:dyDescent="0.2">
      <c r="A4397" s="19" t="s">
        <v>173</v>
      </c>
      <c r="B4397" s="19">
        <v>27.360000000000003</v>
      </c>
      <c r="C4397" s="19">
        <v>3</v>
      </c>
      <c r="D4397" s="19">
        <v>-21.887999999999991</v>
      </c>
    </row>
    <row r="4398" spans="1:4" x14ac:dyDescent="0.2">
      <c r="A4398" s="19" t="s">
        <v>150</v>
      </c>
      <c r="B4398" s="19">
        <v>361.37600000000003</v>
      </c>
      <c r="C4398" s="19">
        <v>2</v>
      </c>
      <c r="D4398" s="19">
        <v>27.103200000000001</v>
      </c>
    </row>
    <row r="4399" spans="1:4" x14ac:dyDescent="0.2">
      <c r="A4399" s="19" t="s">
        <v>158</v>
      </c>
      <c r="B4399" s="19">
        <v>172.18599999999998</v>
      </c>
      <c r="C4399" s="19">
        <v>2</v>
      </c>
      <c r="D4399" s="19">
        <v>-46.736200000000011</v>
      </c>
    </row>
    <row r="4400" spans="1:4" x14ac:dyDescent="0.2">
      <c r="A4400" s="19" t="s">
        <v>158</v>
      </c>
      <c r="B4400" s="19">
        <v>69.00800000000001</v>
      </c>
      <c r="C4400" s="19">
        <v>2</v>
      </c>
      <c r="D4400" s="19">
        <v>12.0764</v>
      </c>
    </row>
    <row r="4401" spans="1:4" x14ac:dyDescent="0.2">
      <c r="A4401" s="19" t="s">
        <v>187</v>
      </c>
      <c r="B4401" s="19">
        <v>199.89999999999998</v>
      </c>
      <c r="C4401" s="19">
        <v>5</v>
      </c>
      <c r="D4401" s="19">
        <v>89.954999999999984</v>
      </c>
    </row>
    <row r="4402" spans="1:4" x14ac:dyDescent="0.2">
      <c r="A4402" s="19" t="s">
        <v>187</v>
      </c>
      <c r="B4402" s="19">
        <v>901.94999999999993</v>
      </c>
      <c r="C4402" s="19">
        <v>3</v>
      </c>
      <c r="D4402" s="19">
        <v>297.64349999999996</v>
      </c>
    </row>
    <row r="4403" spans="1:4" x14ac:dyDescent="0.2">
      <c r="A4403" s="19" t="s">
        <v>187</v>
      </c>
      <c r="B4403" s="19">
        <v>971.5</v>
      </c>
      <c r="C4403" s="19">
        <v>5</v>
      </c>
      <c r="D4403" s="19">
        <v>252.59</v>
      </c>
    </row>
    <row r="4404" spans="1:4" x14ac:dyDescent="0.2">
      <c r="A4404" s="19" t="s">
        <v>171</v>
      </c>
      <c r="B4404" s="19">
        <v>11.328000000000001</v>
      </c>
      <c r="C4404" s="19">
        <v>2</v>
      </c>
      <c r="D4404" s="19">
        <v>2.5488000000000004</v>
      </c>
    </row>
    <row r="4405" spans="1:4" x14ac:dyDescent="0.2">
      <c r="A4405" s="19" t="s">
        <v>164</v>
      </c>
      <c r="B4405" s="19">
        <v>21.240000000000002</v>
      </c>
      <c r="C4405" s="19">
        <v>3</v>
      </c>
      <c r="D4405" s="19">
        <v>8.071200000000001</v>
      </c>
    </row>
    <row r="4406" spans="1:4" x14ac:dyDescent="0.2">
      <c r="A4406" s="19" t="s">
        <v>158</v>
      </c>
      <c r="B4406" s="19">
        <v>34.800000000000004</v>
      </c>
      <c r="C4406" s="19">
        <v>3</v>
      </c>
      <c r="D4406" s="19">
        <v>2.1749999999999989</v>
      </c>
    </row>
    <row r="4407" spans="1:4" x14ac:dyDescent="0.2">
      <c r="A4407" s="19" t="s">
        <v>158</v>
      </c>
      <c r="B4407" s="19">
        <v>38.975999999999999</v>
      </c>
      <c r="C4407" s="19">
        <v>3</v>
      </c>
      <c r="D4407" s="19">
        <v>-2.4359999999999999</v>
      </c>
    </row>
    <row r="4408" spans="1:4" x14ac:dyDescent="0.2">
      <c r="A4408" s="19" t="s">
        <v>163</v>
      </c>
      <c r="B4408" s="19">
        <v>9.08</v>
      </c>
      <c r="C4408" s="19">
        <v>2</v>
      </c>
      <c r="D4408" s="19">
        <v>4.0859999999999994</v>
      </c>
    </row>
    <row r="4409" spans="1:4" x14ac:dyDescent="0.2">
      <c r="A4409" s="19" t="s">
        <v>163</v>
      </c>
      <c r="B4409" s="19">
        <v>314.54999999999995</v>
      </c>
      <c r="C4409" s="19">
        <v>3</v>
      </c>
      <c r="D4409" s="19">
        <v>150.98399999999998</v>
      </c>
    </row>
    <row r="4410" spans="1:4" x14ac:dyDescent="0.2">
      <c r="A4410" s="19" t="s">
        <v>163</v>
      </c>
      <c r="B4410" s="19">
        <v>4.91</v>
      </c>
      <c r="C4410" s="19">
        <v>1</v>
      </c>
      <c r="D4410" s="19">
        <v>2.3077000000000001</v>
      </c>
    </row>
    <row r="4411" spans="1:4" x14ac:dyDescent="0.2">
      <c r="A4411" s="19" t="s">
        <v>150</v>
      </c>
      <c r="B4411" s="19">
        <v>5.78</v>
      </c>
      <c r="C4411" s="19">
        <v>2</v>
      </c>
      <c r="D4411" s="19">
        <v>2.7166000000000001</v>
      </c>
    </row>
    <row r="4412" spans="1:4" x14ac:dyDescent="0.2">
      <c r="A4412" s="19" t="s">
        <v>150</v>
      </c>
      <c r="B4412" s="19">
        <v>107.94</v>
      </c>
      <c r="C4412" s="19">
        <v>6</v>
      </c>
      <c r="D4412" s="19">
        <v>30.223200000000002</v>
      </c>
    </row>
    <row r="4413" spans="1:4" x14ac:dyDescent="0.2">
      <c r="A4413" s="19" t="s">
        <v>164</v>
      </c>
      <c r="B4413" s="19">
        <v>19.649999999999999</v>
      </c>
      <c r="C4413" s="19">
        <v>3</v>
      </c>
      <c r="D4413" s="19">
        <v>9.0389999999999997</v>
      </c>
    </row>
    <row r="4414" spans="1:4" x14ac:dyDescent="0.2">
      <c r="A4414" s="19" t="s">
        <v>164</v>
      </c>
      <c r="B4414" s="19">
        <v>617.97</v>
      </c>
      <c r="C4414" s="19">
        <v>3</v>
      </c>
      <c r="D4414" s="19">
        <v>160.6722</v>
      </c>
    </row>
    <row r="4415" spans="1:4" x14ac:dyDescent="0.2">
      <c r="A4415" s="19" t="s">
        <v>164</v>
      </c>
      <c r="B4415" s="19">
        <v>59.699999999999996</v>
      </c>
      <c r="C4415" s="19">
        <v>3</v>
      </c>
      <c r="D4415" s="19">
        <v>26.864999999999995</v>
      </c>
    </row>
    <row r="4416" spans="1:4" x14ac:dyDescent="0.2">
      <c r="A4416" s="19" t="s">
        <v>180</v>
      </c>
      <c r="B4416" s="19">
        <v>387.99</v>
      </c>
      <c r="C4416" s="19">
        <v>1</v>
      </c>
      <c r="D4416" s="19">
        <v>182.3553</v>
      </c>
    </row>
    <row r="4417" spans="1:4" x14ac:dyDescent="0.2">
      <c r="A4417" s="19" t="s">
        <v>150</v>
      </c>
      <c r="B4417" s="19">
        <v>575.91999999999996</v>
      </c>
      <c r="C4417" s="19">
        <v>2</v>
      </c>
      <c r="D4417" s="19">
        <v>71.989999999999981</v>
      </c>
    </row>
    <row r="4418" spans="1:4" x14ac:dyDescent="0.2">
      <c r="A4418" s="19" t="s">
        <v>150</v>
      </c>
      <c r="B4418" s="19">
        <v>30.4</v>
      </c>
      <c r="C4418" s="19">
        <v>5</v>
      </c>
      <c r="D4418" s="19">
        <v>15.2</v>
      </c>
    </row>
    <row r="4419" spans="1:4" x14ac:dyDescent="0.2">
      <c r="A4419" s="19" t="s">
        <v>161</v>
      </c>
      <c r="B4419" s="19">
        <v>478.24</v>
      </c>
      <c r="C4419" s="19">
        <v>8</v>
      </c>
      <c r="D4419" s="19">
        <v>219.99039999999997</v>
      </c>
    </row>
    <row r="4420" spans="1:4" x14ac:dyDescent="0.2">
      <c r="A4420" s="19" t="s">
        <v>173</v>
      </c>
      <c r="B4420" s="19">
        <v>190.84800000000001</v>
      </c>
      <c r="C4420" s="19">
        <v>3</v>
      </c>
      <c r="D4420" s="19">
        <v>-21.470400000000026</v>
      </c>
    </row>
    <row r="4421" spans="1:4" x14ac:dyDescent="0.2">
      <c r="A4421" s="19" t="s">
        <v>173</v>
      </c>
      <c r="B4421" s="19">
        <v>5.4840000000000009</v>
      </c>
      <c r="C4421" s="19">
        <v>4</v>
      </c>
      <c r="D4421" s="19">
        <v>-4.0215999999999994</v>
      </c>
    </row>
    <row r="4422" spans="1:4" x14ac:dyDescent="0.2">
      <c r="A4422" s="19" t="s">
        <v>159</v>
      </c>
      <c r="B4422" s="19">
        <v>40.92</v>
      </c>
      <c r="C4422" s="19">
        <v>5</v>
      </c>
      <c r="D4422" s="19">
        <v>3.0690000000000026</v>
      </c>
    </row>
    <row r="4423" spans="1:4" x14ac:dyDescent="0.2">
      <c r="A4423" s="19" t="s">
        <v>151</v>
      </c>
      <c r="B4423" s="19">
        <v>15.552000000000003</v>
      </c>
      <c r="C4423" s="19">
        <v>3</v>
      </c>
      <c r="D4423" s="19">
        <v>2.3327999999999989</v>
      </c>
    </row>
    <row r="4424" spans="1:4" x14ac:dyDescent="0.2">
      <c r="A4424" s="19" t="s">
        <v>101</v>
      </c>
      <c r="B4424" s="19">
        <v>17.239999999999998</v>
      </c>
      <c r="C4424" s="19">
        <v>2</v>
      </c>
      <c r="D4424" s="19">
        <v>4.4824000000000002</v>
      </c>
    </row>
    <row r="4425" spans="1:4" x14ac:dyDescent="0.2">
      <c r="A4425" s="19" t="s">
        <v>101</v>
      </c>
      <c r="B4425" s="19">
        <v>302.94</v>
      </c>
      <c r="C4425" s="19">
        <v>3</v>
      </c>
      <c r="D4425" s="19">
        <v>75.735000000000014</v>
      </c>
    </row>
    <row r="4426" spans="1:4" x14ac:dyDescent="0.2">
      <c r="A4426" s="19" t="s">
        <v>101</v>
      </c>
      <c r="B4426" s="19">
        <v>34.75</v>
      </c>
      <c r="C4426" s="19">
        <v>5</v>
      </c>
      <c r="D4426" s="19">
        <v>15.637499999999999</v>
      </c>
    </row>
    <row r="4427" spans="1:4" x14ac:dyDescent="0.2">
      <c r="A4427" s="19" t="s">
        <v>101</v>
      </c>
      <c r="B4427" s="19">
        <v>113.94</v>
      </c>
      <c r="C4427" s="19">
        <v>6</v>
      </c>
      <c r="D4427" s="19">
        <v>54.691199999999995</v>
      </c>
    </row>
    <row r="4428" spans="1:4" x14ac:dyDescent="0.2">
      <c r="A4428" s="19" t="s">
        <v>101</v>
      </c>
      <c r="B4428" s="19">
        <v>55.98</v>
      </c>
      <c r="C4428" s="19">
        <v>2</v>
      </c>
      <c r="D4428" s="19">
        <v>15.674399999999999</v>
      </c>
    </row>
    <row r="4429" spans="1:4" x14ac:dyDescent="0.2">
      <c r="A4429" s="19" t="s">
        <v>176</v>
      </c>
      <c r="B4429" s="19">
        <v>27.18</v>
      </c>
      <c r="C4429" s="19">
        <v>3</v>
      </c>
      <c r="D4429" s="19">
        <v>12.231</v>
      </c>
    </row>
    <row r="4430" spans="1:4" x14ac:dyDescent="0.2">
      <c r="A4430" s="19" t="s">
        <v>175</v>
      </c>
      <c r="B4430" s="19">
        <v>1805.88</v>
      </c>
      <c r="C4430" s="19">
        <v>6</v>
      </c>
      <c r="D4430" s="19">
        <v>523.70519999999988</v>
      </c>
    </row>
    <row r="4431" spans="1:4" x14ac:dyDescent="0.2">
      <c r="A4431" s="19" t="s">
        <v>179</v>
      </c>
      <c r="B4431" s="19">
        <v>70.949999999999989</v>
      </c>
      <c r="C4431" s="19">
        <v>3</v>
      </c>
      <c r="D4431" s="19">
        <v>18.447000000000003</v>
      </c>
    </row>
    <row r="4432" spans="1:4" x14ac:dyDescent="0.2">
      <c r="A4432" s="19" t="s">
        <v>149</v>
      </c>
      <c r="B4432" s="19">
        <v>20</v>
      </c>
      <c r="C4432" s="19">
        <v>4</v>
      </c>
      <c r="D4432" s="19">
        <v>9.6</v>
      </c>
    </row>
    <row r="4433" spans="1:4" x14ac:dyDescent="0.2">
      <c r="A4433" s="19" t="s">
        <v>149</v>
      </c>
      <c r="B4433" s="19">
        <v>7.98</v>
      </c>
      <c r="C4433" s="19">
        <v>3</v>
      </c>
      <c r="D4433" s="19">
        <v>2.0747999999999998</v>
      </c>
    </row>
    <row r="4434" spans="1:4" x14ac:dyDescent="0.2">
      <c r="A4434" s="19" t="s">
        <v>149</v>
      </c>
      <c r="B4434" s="19">
        <v>24.1</v>
      </c>
      <c r="C4434" s="19">
        <v>5</v>
      </c>
      <c r="D4434" s="19">
        <v>9.1580000000000013</v>
      </c>
    </row>
    <row r="4435" spans="1:4" x14ac:dyDescent="0.2">
      <c r="A4435" s="19" t="s">
        <v>149</v>
      </c>
      <c r="B4435" s="19">
        <v>8.75</v>
      </c>
      <c r="C4435" s="19">
        <v>1</v>
      </c>
      <c r="D4435" s="19">
        <v>2.6249999999999991</v>
      </c>
    </row>
    <row r="4436" spans="1:4" x14ac:dyDescent="0.2">
      <c r="A4436" s="19" t="s">
        <v>149</v>
      </c>
      <c r="B4436" s="19">
        <v>842.94</v>
      </c>
      <c r="C4436" s="19">
        <v>3</v>
      </c>
      <c r="D4436" s="19">
        <v>160.15860000000001</v>
      </c>
    </row>
    <row r="4437" spans="1:4" x14ac:dyDescent="0.2">
      <c r="A4437" s="19" t="s">
        <v>159</v>
      </c>
      <c r="B4437" s="19">
        <v>2.1819999999999995</v>
      </c>
      <c r="C4437" s="19">
        <v>1</v>
      </c>
      <c r="D4437" s="19">
        <v>-3.6002999999999998</v>
      </c>
    </row>
    <row r="4438" spans="1:4" x14ac:dyDescent="0.2">
      <c r="A4438" s="19" t="s">
        <v>159</v>
      </c>
      <c r="B4438" s="19">
        <v>27.384</v>
      </c>
      <c r="C4438" s="19">
        <v>7</v>
      </c>
      <c r="D4438" s="19">
        <v>2.7384000000000022</v>
      </c>
    </row>
    <row r="4439" spans="1:4" x14ac:dyDescent="0.2">
      <c r="A4439" s="19" t="s">
        <v>159</v>
      </c>
      <c r="B4439" s="19">
        <v>26.405999999999992</v>
      </c>
      <c r="C4439" s="19">
        <v>3</v>
      </c>
      <c r="D4439" s="19">
        <v>-71.296199999999999</v>
      </c>
    </row>
    <row r="4440" spans="1:4" x14ac:dyDescent="0.2">
      <c r="A4440" s="19" t="s">
        <v>154</v>
      </c>
      <c r="B4440" s="19">
        <v>10.368000000000002</v>
      </c>
      <c r="C4440" s="19">
        <v>2</v>
      </c>
      <c r="D4440" s="19">
        <v>3.6288</v>
      </c>
    </row>
    <row r="4441" spans="1:4" x14ac:dyDescent="0.2">
      <c r="A4441" s="19" t="s">
        <v>154</v>
      </c>
      <c r="B4441" s="19">
        <v>23.680000000000003</v>
      </c>
      <c r="C4441" s="19">
        <v>4</v>
      </c>
      <c r="D4441" s="19">
        <v>7.3999999999999995</v>
      </c>
    </row>
    <row r="4442" spans="1:4" x14ac:dyDescent="0.2">
      <c r="A4442" s="19" t="s">
        <v>161</v>
      </c>
      <c r="B4442" s="19">
        <v>109.95</v>
      </c>
      <c r="C4442" s="19">
        <v>1</v>
      </c>
      <c r="D4442" s="19">
        <v>36.283500000000004</v>
      </c>
    </row>
    <row r="4443" spans="1:4" x14ac:dyDescent="0.2">
      <c r="A4443" s="19" t="s">
        <v>161</v>
      </c>
      <c r="B4443" s="19">
        <v>965.84999999999991</v>
      </c>
      <c r="C4443" s="19">
        <v>5</v>
      </c>
      <c r="D4443" s="19">
        <v>135.21900000000002</v>
      </c>
    </row>
    <row r="4444" spans="1:4" x14ac:dyDescent="0.2">
      <c r="A4444" s="19" t="s">
        <v>161</v>
      </c>
      <c r="B4444" s="19">
        <v>29.2</v>
      </c>
      <c r="C4444" s="19">
        <v>5</v>
      </c>
      <c r="D4444" s="19">
        <v>10.511999999999999</v>
      </c>
    </row>
    <row r="4445" spans="1:4" x14ac:dyDescent="0.2">
      <c r="A4445" s="19" t="s">
        <v>161</v>
      </c>
      <c r="B4445" s="19">
        <v>32.400000000000006</v>
      </c>
      <c r="C4445" s="19">
        <v>5</v>
      </c>
      <c r="D4445" s="19">
        <v>15.552000000000001</v>
      </c>
    </row>
    <row r="4446" spans="1:4" x14ac:dyDescent="0.2">
      <c r="A4446" s="19" t="s">
        <v>163</v>
      </c>
      <c r="B4446" s="19">
        <v>78.349999999999994</v>
      </c>
      <c r="C4446" s="19">
        <v>5</v>
      </c>
      <c r="D4446" s="19">
        <v>36.824499999999993</v>
      </c>
    </row>
    <row r="4447" spans="1:4" x14ac:dyDescent="0.2">
      <c r="A4447" s="19" t="s">
        <v>163</v>
      </c>
      <c r="B4447" s="19">
        <v>31.68</v>
      </c>
      <c r="C4447" s="19">
        <v>6</v>
      </c>
      <c r="D4447" s="19">
        <v>14.256</v>
      </c>
    </row>
    <row r="4448" spans="1:4" x14ac:dyDescent="0.2">
      <c r="A4448" s="19" t="s">
        <v>163</v>
      </c>
      <c r="B4448" s="19">
        <v>29.12</v>
      </c>
      <c r="C4448" s="19">
        <v>4</v>
      </c>
      <c r="D4448" s="19">
        <v>14.268800000000001</v>
      </c>
    </row>
    <row r="4449" spans="1:4" x14ac:dyDescent="0.2">
      <c r="A4449" s="19" t="s">
        <v>163</v>
      </c>
      <c r="B4449" s="19">
        <v>169.45</v>
      </c>
      <c r="C4449" s="19">
        <v>5</v>
      </c>
      <c r="D4449" s="19">
        <v>42.362499999999997</v>
      </c>
    </row>
    <row r="4450" spans="1:4" x14ac:dyDescent="0.2">
      <c r="A4450" s="19" t="s">
        <v>150</v>
      </c>
      <c r="B4450" s="19">
        <v>12.56</v>
      </c>
      <c r="C4450" s="19">
        <v>2</v>
      </c>
      <c r="D4450" s="19">
        <v>4.0191999999999997</v>
      </c>
    </row>
    <row r="4451" spans="1:4" x14ac:dyDescent="0.2">
      <c r="A4451" s="19" t="s">
        <v>150</v>
      </c>
      <c r="B4451" s="19">
        <v>6.48</v>
      </c>
      <c r="C4451" s="19">
        <v>1</v>
      </c>
      <c r="D4451" s="19">
        <v>3.1104000000000003</v>
      </c>
    </row>
    <row r="4452" spans="1:4" x14ac:dyDescent="0.2">
      <c r="A4452" s="19" t="s">
        <v>150</v>
      </c>
      <c r="B4452" s="19">
        <v>186.69</v>
      </c>
      <c r="C4452" s="19">
        <v>3</v>
      </c>
      <c r="D4452" s="19">
        <v>87.744299999999981</v>
      </c>
    </row>
    <row r="4453" spans="1:4" x14ac:dyDescent="0.2">
      <c r="A4453" s="19" t="s">
        <v>150</v>
      </c>
      <c r="B4453" s="19">
        <v>25.4</v>
      </c>
      <c r="C4453" s="19">
        <v>5</v>
      </c>
      <c r="D4453" s="19">
        <v>8.6359999999999992</v>
      </c>
    </row>
    <row r="4454" spans="1:4" x14ac:dyDescent="0.2">
      <c r="A4454" s="19" t="s">
        <v>150</v>
      </c>
      <c r="B4454" s="19">
        <v>43.96</v>
      </c>
      <c r="C4454" s="19">
        <v>2</v>
      </c>
      <c r="D4454" s="19">
        <v>20.661200000000001</v>
      </c>
    </row>
    <row r="4455" spans="1:4" x14ac:dyDescent="0.2">
      <c r="A4455" s="19" t="s">
        <v>150</v>
      </c>
      <c r="B4455" s="19">
        <v>1279.165</v>
      </c>
      <c r="C4455" s="19">
        <v>5</v>
      </c>
      <c r="D4455" s="19">
        <v>225.73499999999993</v>
      </c>
    </row>
    <row r="4456" spans="1:4" x14ac:dyDescent="0.2">
      <c r="A4456" s="19" t="s">
        <v>150</v>
      </c>
      <c r="B4456" s="19">
        <v>27.92</v>
      </c>
      <c r="C4456" s="19">
        <v>4</v>
      </c>
      <c r="D4456" s="19">
        <v>0.5583999999999989</v>
      </c>
    </row>
    <row r="4457" spans="1:4" x14ac:dyDescent="0.2">
      <c r="A4457" s="19" t="s">
        <v>150</v>
      </c>
      <c r="B4457" s="19">
        <v>129.56800000000001</v>
      </c>
      <c r="C4457" s="19">
        <v>2</v>
      </c>
      <c r="D4457" s="19">
        <v>-12.956799999999994</v>
      </c>
    </row>
    <row r="4458" spans="1:4" x14ac:dyDescent="0.2">
      <c r="A4458" s="19" t="s">
        <v>150</v>
      </c>
      <c r="B4458" s="19">
        <v>6.3680000000000003</v>
      </c>
      <c r="C4458" s="19">
        <v>2</v>
      </c>
      <c r="D4458" s="19">
        <v>2.1492</v>
      </c>
    </row>
    <row r="4459" spans="1:4" x14ac:dyDescent="0.2">
      <c r="A4459" s="19" t="s">
        <v>150</v>
      </c>
      <c r="B4459" s="19">
        <v>244.54999999999998</v>
      </c>
      <c r="C4459" s="19">
        <v>5</v>
      </c>
      <c r="D4459" s="19">
        <v>114.93849999999998</v>
      </c>
    </row>
    <row r="4460" spans="1:4" x14ac:dyDescent="0.2">
      <c r="A4460" s="19" t="s">
        <v>171</v>
      </c>
      <c r="B4460" s="19">
        <v>1332.4960000000001</v>
      </c>
      <c r="C4460" s="19">
        <v>2</v>
      </c>
      <c r="D4460" s="19">
        <v>-299.8116</v>
      </c>
    </row>
    <row r="4461" spans="1:4" x14ac:dyDescent="0.2">
      <c r="A4461" s="19" t="s">
        <v>171</v>
      </c>
      <c r="B4461" s="19">
        <v>32.776000000000003</v>
      </c>
      <c r="C4461" s="19">
        <v>1</v>
      </c>
      <c r="D4461" s="19">
        <v>3.2776000000000014</v>
      </c>
    </row>
    <row r="4462" spans="1:4" x14ac:dyDescent="0.2">
      <c r="A4462" s="19" t="s">
        <v>171</v>
      </c>
      <c r="B4462" s="19">
        <v>147.184</v>
      </c>
      <c r="C4462" s="19">
        <v>2</v>
      </c>
      <c r="D4462" s="19">
        <v>-29.436800000000012</v>
      </c>
    </row>
    <row r="4463" spans="1:4" x14ac:dyDescent="0.2">
      <c r="A4463" s="19" t="s">
        <v>171</v>
      </c>
      <c r="B4463" s="19">
        <v>54.384000000000007</v>
      </c>
      <c r="C4463" s="19">
        <v>2</v>
      </c>
      <c r="D4463" s="19">
        <v>1.359599999999995</v>
      </c>
    </row>
    <row r="4464" spans="1:4" x14ac:dyDescent="0.2">
      <c r="A4464" s="19" t="s">
        <v>171</v>
      </c>
      <c r="B4464" s="19">
        <v>76.77600000000001</v>
      </c>
      <c r="C4464" s="19">
        <v>4</v>
      </c>
      <c r="D4464" s="19">
        <v>-58.861599999999981</v>
      </c>
    </row>
    <row r="4465" spans="1:4" x14ac:dyDescent="0.2">
      <c r="A4465" s="19" t="s">
        <v>171</v>
      </c>
      <c r="B4465" s="19">
        <v>14.352000000000002</v>
      </c>
      <c r="C4465" s="19">
        <v>3</v>
      </c>
      <c r="D4465" s="19">
        <v>5.2026000000000003</v>
      </c>
    </row>
    <row r="4466" spans="1:4" x14ac:dyDescent="0.2">
      <c r="A4466" s="19" t="s">
        <v>171</v>
      </c>
      <c r="B4466" s="19">
        <v>209.79200000000003</v>
      </c>
      <c r="C4466" s="19">
        <v>2</v>
      </c>
      <c r="D4466" s="19">
        <v>26.22399999999999</v>
      </c>
    </row>
    <row r="4467" spans="1:4" x14ac:dyDescent="0.2">
      <c r="A4467" s="19" t="s">
        <v>193</v>
      </c>
      <c r="B4467" s="19">
        <v>3.3040000000000003</v>
      </c>
      <c r="C4467" s="19">
        <v>1</v>
      </c>
      <c r="D4467" s="19">
        <v>1.1151</v>
      </c>
    </row>
    <row r="4468" spans="1:4" x14ac:dyDescent="0.2">
      <c r="A4468" s="19" t="s">
        <v>164</v>
      </c>
      <c r="B4468" s="19">
        <v>16.38</v>
      </c>
      <c r="C4468" s="19">
        <v>9</v>
      </c>
      <c r="D4468" s="19">
        <v>7.3709999999999996</v>
      </c>
    </row>
    <row r="4469" spans="1:4" x14ac:dyDescent="0.2">
      <c r="A4469" s="19" t="s">
        <v>164</v>
      </c>
      <c r="B4469" s="19">
        <v>167.96</v>
      </c>
      <c r="C4469" s="19">
        <v>2</v>
      </c>
      <c r="D4469" s="19">
        <v>78.941199999999995</v>
      </c>
    </row>
    <row r="4470" spans="1:4" x14ac:dyDescent="0.2">
      <c r="A4470" s="19" t="s">
        <v>164</v>
      </c>
      <c r="B4470" s="19">
        <v>321.56799999999998</v>
      </c>
      <c r="C4470" s="19">
        <v>2</v>
      </c>
      <c r="D4470" s="19">
        <v>-16.078399999999988</v>
      </c>
    </row>
    <row r="4471" spans="1:4" x14ac:dyDescent="0.2">
      <c r="A4471" s="19" t="s">
        <v>164</v>
      </c>
      <c r="B4471" s="19">
        <v>12.96</v>
      </c>
      <c r="C4471" s="19">
        <v>2</v>
      </c>
      <c r="D4471" s="19">
        <v>6.2208000000000006</v>
      </c>
    </row>
    <row r="4472" spans="1:4" x14ac:dyDescent="0.2">
      <c r="A4472" s="19" t="s">
        <v>158</v>
      </c>
      <c r="B4472" s="19">
        <v>128.05799999999999</v>
      </c>
      <c r="C4472" s="19">
        <v>3</v>
      </c>
      <c r="D4472" s="19">
        <v>-23.782199999999996</v>
      </c>
    </row>
    <row r="4473" spans="1:4" x14ac:dyDescent="0.2">
      <c r="A4473" s="19" t="s">
        <v>173</v>
      </c>
      <c r="B4473" s="19">
        <v>63.686</v>
      </c>
      <c r="C4473" s="19">
        <v>1</v>
      </c>
      <c r="D4473" s="19">
        <v>-15.466600000000003</v>
      </c>
    </row>
    <row r="4474" spans="1:4" x14ac:dyDescent="0.2">
      <c r="A4474" s="19" t="s">
        <v>173</v>
      </c>
      <c r="B4474" s="19">
        <v>239.976</v>
      </c>
      <c r="C4474" s="19">
        <v>3</v>
      </c>
      <c r="D4474" s="19">
        <v>65.993400000000008</v>
      </c>
    </row>
    <row r="4475" spans="1:4" x14ac:dyDescent="0.2">
      <c r="A4475" s="19" t="s">
        <v>173</v>
      </c>
      <c r="B4475" s="19">
        <v>344.22</v>
      </c>
      <c r="C4475" s="19">
        <v>2</v>
      </c>
      <c r="D4475" s="19">
        <v>-189.32100000000003</v>
      </c>
    </row>
    <row r="4476" spans="1:4" x14ac:dyDescent="0.2">
      <c r="A4476" s="19" t="s">
        <v>173</v>
      </c>
      <c r="B4476" s="19">
        <v>15.552000000000003</v>
      </c>
      <c r="C4476" s="19">
        <v>3</v>
      </c>
      <c r="D4476" s="19">
        <v>5.4432</v>
      </c>
    </row>
    <row r="4477" spans="1:4" x14ac:dyDescent="0.2">
      <c r="A4477" s="19" t="s">
        <v>173</v>
      </c>
      <c r="B4477" s="19">
        <v>21.248000000000001</v>
      </c>
      <c r="C4477" s="19">
        <v>4</v>
      </c>
      <c r="D4477" s="19">
        <v>7.436799999999999</v>
      </c>
    </row>
    <row r="4478" spans="1:4" x14ac:dyDescent="0.2">
      <c r="A4478" s="19" t="s">
        <v>173</v>
      </c>
      <c r="B4478" s="19">
        <v>8.4480000000000004</v>
      </c>
      <c r="C4478" s="19">
        <v>2</v>
      </c>
      <c r="D4478" s="19">
        <v>2.6399999999999997</v>
      </c>
    </row>
    <row r="4479" spans="1:4" x14ac:dyDescent="0.2">
      <c r="A4479" s="19" t="s">
        <v>175</v>
      </c>
      <c r="B4479" s="19">
        <v>333.09000000000003</v>
      </c>
      <c r="C4479" s="19">
        <v>3</v>
      </c>
      <c r="D4479" s="19">
        <v>23.316299999999984</v>
      </c>
    </row>
    <row r="4480" spans="1:4" x14ac:dyDescent="0.2">
      <c r="A4480" s="19" t="s">
        <v>175</v>
      </c>
      <c r="B4480" s="19">
        <v>248.98</v>
      </c>
      <c r="C4480" s="19">
        <v>2</v>
      </c>
      <c r="D4480" s="19">
        <v>54.775599999999997</v>
      </c>
    </row>
    <row r="4481" spans="1:4" x14ac:dyDescent="0.2">
      <c r="A4481" s="19" t="s">
        <v>164</v>
      </c>
      <c r="B4481" s="19">
        <v>24.900000000000002</v>
      </c>
      <c r="C4481" s="19">
        <v>5</v>
      </c>
      <c r="D4481" s="19">
        <v>11.703000000000001</v>
      </c>
    </row>
    <row r="4482" spans="1:4" x14ac:dyDescent="0.2">
      <c r="A4482" s="19" t="s">
        <v>150</v>
      </c>
      <c r="B4482" s="19">
        <v>15.260000000000002</v>
      </c>
      <c r="C4482" s="19">
        <v>7</v>
      </c>
      <c r="D4482" s="19">
        <v>5.0358000000000001</v>
      </c>
    </row>
    <row r="4483" spans="1:4" x14ac:dyDescent="0.2">
      <c r="A4483" s="19" t="s">
        <v>150</v>
      </c>
      <c r="B4483" s="19">
        <v>43.32</v>
      </c>
      <c r="C4483" s="19">
        <v>2</v>
      </c>
      <c r="D4483" s="19">
        <v>14.295599999999997</v>
      </c>
    </row>
    <row r="4484" spans="1:4" x14ac:dyDescent="0.2">
      <c r="A4484" s="19" t="s">
        <v>150</v>
      </c>
      <c r="B4484" s="19">
        <v>43.584000000000003</v>
      </c>
      <c r="C4484" s="19">
        <v>12</v>
      </c>
      <c r="D4484" s="19">
        <v>15.799199999999999</v>
      </c>
    </row>
    <row r="4485" spans="1:4" x14ac:dyDescent="0.2">
      <c r="A4485" s="19" t="s">
        <v>150</v>
      </c>
      <c r="B4485" s="19">
        <v>116.28</v>
      </c>
      <c r="C4485" s="19">
        <v>3</v>
      </c>
      <c r="D4485" s="19">
        <v>56.977199999999996</v>
      </c>
    </row>
    <row r="4486" spans="1:4" x14ac:dyDescent="0.2">
      <c r="A4486" s="19" t="s">
        <v>150</v>
      </c>
      <c r="B4486" s="19">
        <v>9.2959999999999994</v>
      </c>
      <c r="C4486" s="19">
        <v>2</v>
      </c>
      <c r="D4486" s="19">
        <v>3.0211999999999994</v>
      </c>
    </row>
    <row r="4487" spans="1:4" x14ac:dyDescent="0.2">
      <c r="A4487" s="19" t="s">
        <v>150</v>
      </c>
      <c r="B4487" s="19">
        <v>19.440000000000001</v>
      </c>
      <c r="C4487" s="19">
        <v>3</v>
      </c>
      <c r="D4487" s="19">
        <v>9.3312000000000008</v>
      </c>
    </row>
    <row r="4488" spans="1:4" x14ac:dyDescent="0.2">
      <c r="A4488" s="19" t="s">
        <v>150</v>
      </c>
      <c r="B4488" s="19">
        <v>314.54999999999995</v>
      </c>
      <c r="C4488" s="19">
        <v>3</v>
      </c>
      <c r="D4488" s="19">
        <v>150.98399999999998</v>
      </c>
    </row>
    <row r="4489" spans="1:4" x14ac:dyDescent="0.2">
      <c r="A4489" s="19" t="s">
        <v>154</v>
      </c>
      <c r="B4489" s="19">
        <v>16.269999999999996</v>
      </c>
      <c r="C4489" s="19">
        <v>5</v>
      </c>
      <c r="D4489" s="19">
        <v>-25.218500000000006</v>
      </c>
    </row>
    <row r="4490" spans="1:4" x14ac:dyDescent="0.2">
      <c r="A4490" s="19" t="s">
        <v>154</v>
      </c>
      <c r="B4490" s="19">
        <v>69.12</v>
      </c>
      <c r="C4490" s="19">
        <v>9</v>
      </c>
      <c r="D4490" s="19">
        <v>-14.687999999999999</v>
      </c>
    </row>
    <row r="4491" spans="1:4" x14ac:dyDescent="0.2">
      <c r="A4491" s="19" t="s">
        <v>154</v>
      </c>
      <c r="B4491" s="19">
        <v>4.4699999999999989</v>
      </c>
      <c r="C4491" s="19">
        <v>3</v>
      </c>
      <c r="D4491" s="19">
        <v>-7.8225000000000016</v>
      </c>
    </row>
    <row r="4492" spans="1:4" x14ac:dyDescent="0.2">
      <c r="A4492" s="19" t="s">
        <v>150</v>
      </c>
      <c r="B4492" s="19">
        <v>418.29599999999994</v>
      </c>
      <c r="C4492" s="19">
        <v>3</v>
      </c>
      <c r="D4492" s="19">
        <v>5.2287000000000035</v>
      </c>
    </row>
    <row r="4493" spans="1:4" x14ac:dyDescent="0.2">
      <c r="A4493" s="19" t="s">
        <v>173</v>
      </c>
      <c r="B4493" s="19">
        <v>659.98799999999994</v>
      </c>
      <c r="C4493" s="19">
        <v>2</v>
      </c>
      <c r="D4493" s="19">
        <v>109.99799999999999</v>
      </c>
    </row>
    <row r="4494" spans="1:4" x14ac:dyDescent="0.2">
      <c r="A4494" s="19" t="s">
        <v>173</v>
      </c>
      <c r="B4494" s="19">
        <v>8.1280000000000001</v>
      </c>
      <c r="C4494" s="19">
        <v>2</v>
      </c>
      <c r="D4494" s="19">
        <v>1.4223999999999997</v>
      </c>
    </row>
    <row r="4495" spans="1:4" x14ac:dyDescent="0.2">
      <c r="A4495" s="19" t="s">
        <v>173</v>
      </c>
      <c r="B4495" s="19">
        <v>36.288000000000011</v>
      </c>
      <c r="C4495" s="19">
        <v>7</v>
      </c>
      <c r="D4495" s="19">
        <v>12.700800000000001</v>
      </c>
    </row>
    <row r="4496" spans="1:4" x14ac:dyDescent="0.2">
      <c r="A4496" s="19" t="s">
        <v>173</v>
      </c>
      <c r="B4496" s="19">
        <v>909.7199999999998</v>
      </c>
      <c r="C4496" s="19">
        <v>6</v>
      </c>
      <c r="D4496" s="19">
        <v>-51.983999999999924</v>
      </c>
    </row>
    <row r="4497" spans="1:4" x14ac:dyDescent="0.2">
      <c r="A4497" s="19" t="s">
        <v>150</v>
      </c>
      <c r="B4497" s="19">
        <v>917.92349999999988</v>
      </c>
      <c r="C4497" s="19">
        <v>9</v>
      </c>
      <c r="D4497" s="19">
        <v>75.593699999999899</v>
      </c>
    </row>
    <row r="4498" spans="1:4" x14ac:dyDescent="0.2">
      <c r="A4498" s="19" t="s">
        <v>150</v>
      </c>
      <c r="B4498" s="19">
        <v>38.880000000000003</v>
      </c>
      <c r="C4498" s="19">
        <v>6</v>
      </c>
      <c r="D4498" s="19">
        <v>19.051200000000001</v>
      </c>
    </row>
    <row r="4499" spans="1:4" x14ac:dyDescent="0.2">
      <c r="A4499" s="19" t="s">
        <v>158</v>
      </c>
      <c r="B4499" s="19">
        <v>631.17600000000016</v>
      </c>
      <c r="C4499" s="19">
        <v>4</v>
      </c>
      <c r="D4499" s="19">
        <v>-462.86239999999998</v>
      </c>
    </row>
    <row r="4500" spans="1:4" x14ac:dyDescent="0.2">
      <c r="A4500" s="19" t="s">
        <v>150</v>
      </c>
      <c r="B4500" s="19">
        <v>12.96</v>
      </c>
      <c r="C4500" s="19">
        <v>2</v>
      </c>
      <c r="D4500" s="19">
        <v>6.2208000000000006</v>
      </c>
    </row>
    <row r="4501" spans="1:4" x14ac:dyDescent="0.2">
      <c r="A4501" s="19" t="s">
        <v>150</v>
      </c>
      <c r="B4501" s="19">
        <v>12.96</v>
      </c>
      <c r="C4501" s="19">
        <v>2</v>
      </c>
      <c r="D4501" s="19">
        <v>6.2208000000000006</v>
      </c>
    </row>
    <row r="4502" spans="1:4" x14ac:dyDescent="0.2">
      <c r="A4502" s="19" t="s">
        <v>150</v>
      </c>
      <c r="B4502" s="19">
        <v>23.2</v>
      </c>
      <c r="C4502" s="19">
        <v>5</v>
      </c>
      <c r="D4502" s="19">
        <v>8.1199999999999974</v>
      </c>
    </row>
    <row r="4503" spans="1:4" x14ac:dyDescent="0.2">
      <c r="A4503" s="19" t="s">
        <v>154</v>
      </c>
      <c r="B4503" s="19">
        <v>25.920000000000005</v>
      </c>
      <c r="C4503" s="19">
        <v>5</v>
      </c>
      <c r="D4503" s="19">
        <v>9.0719999999999992</v>
      </c>
    </row>
    <row r="4504" spans="1:4" x14ac:dyDescent="0.2">
      <c r="A4504" s="19" t="s">
        <v>154</v>
      </c>
      <c r="B4504" s="19">
        <v>21.312000000000005</v>
      </c>
      <c r="C4504" s="19">
        <v>6</v>
      </c>
      <c r="D4504" s="19">
        <v>7.1928000000000001</v>
      </c>
    </row>
    <row r="4505" spans="1:4" x14ac:dyDescent="0.2">
      <c r="A4505" s="19" t="s">
        <v>150</v>
      </c>
      <c r="B4505" s="19">
        <v>173.65600000000003</v>
      </c>
      <c r="C4505" s="19">
        <v>7</v>
      </c>
      <c r="D4505" s="19">
        <v>17.365599999999993</v>
      </c>
    </row>
    <row r="4506" spans="1:4" x14ac:dyDescent="0.2">
      <c r="A4506" s="19" t="s">
        <v>150</v>
      </c>
      <c r="B4506" s="19">
        <v>361.96</v>
      </c>
      <c r="C4506" s="19">
        <v>2</v>
      </c>
      <c r="D4506" s="19">
        <v>101.34879999999998</v>
      </c>
    </row>
    <row r="4507" spans="1:4" x14ac:dyDescent="0.2">
      <c r="A4507" s="19" t="s">
        <v>150</v>
      </c>
      <c r="B4507" s="19">
        <v>62.849999999999994</v>
      </c>
      <c r="C4507" s="19">
        <v>3</v>
      </c>
      <c r="D4507" s="19">
        <v>13.198499999999999</v>
      </c>
    </row>
    <row r="4508" spans="1:4" x14ac:dyDescent="0.2">
      <c r="A4508" s="19" t="s">
        <v>150</v>
      </c>
      <c r="B4508" s="19">
        <v>818.37600000000009</v>
      </c>
      <c r="C4508" s="19">
        <v>3</v>
      </c>
      <c r="D4508" s="19">
        <v>51.148499999999984</v>
      </c>
    </row>
    <row r="4509" spans="1:4" x14ac:dyDescent="0.2">
      <c r="A4509" s="19" t="s">
        <v>150</v>
      </c>
      <c r="B4509" s="19">
        <v>20.34</v>
      </c>
      <c r="C4509" s="19">
        <v>1</v>
      </c>
      <c r="D4509" s="19">
        <v>0.20339999999999847</v>
      </c>
    </row>
    <row r="4510" spans="1:4" x14ac:dyDescent="0.2">
      <c r="A4510" s="19" t="s">
        <v>150</v>
      </c>
      <c r="B4510" s="19">
        <v>23.99</v>
      </c>
      <c r="C4510" s="19">
        <v>1</v>
      </c>
      <c r="D4510" s="19">
        <v>5.5176999999999978</v>
      </c>
    </row>
    <row r="4511" spans="1:4" x14ac:dyDescent="0.2">
      <c r="A4511" s="19" t="s">
        <v>150</v>
      </c>
      <c r="B4511" s="19">
        <v>171.28800000000001</v>
      </c>
      <c r="C4511" s="19">
        <v>3</v>
      </c>
      <c r="D4511" s="19">
        <v>-6.423300000000026</v>
      </c>
    </row>
    <row r="4512" spans="1:4" x14ac:dyDescent="0.2">
      <c r="A4512" s="19" t="s">
        <v>174</v>
      </c>
      <c r="B4512" s="19">
        <v>37.299999999999997</v>
      </c>
      <c r="C4512" s="19">
        <v>2</v>
      </c>
      <c r="D4512" s="19">
        <v>17.157999999999998</v>
      </c>
    </row>
    <row r="4513" spans="1:4" x14ac:dyDescent="0.2">
      <c r="A4513" s="19" t="s">
        <v>174</v>
      </c>
      <c r="B4513" s="19">
        <v>81.96</v>
      </c>
      <c r="C4513" s="19">
        <v>2</v>
      </c>
      <c r="D4513" s="19">
        <v>39.340799999999994</v>
      </c>
    </row>
    <row r="4514" spans="1:4" x14ac:dyDescent="0.2">
      <c r="A4514" s="19" t="s">
        <v>165</v>
      </c>
      <c r="B4514" s="19">
        <v>54.792000000000009</v>
      </c>
      <c r="C4514" s="19">
        <v>6</v>
      </c>
      <c r="D4514" s="19">
        <v>-40.180799999999991</v>
      </c>
    </row>
    <row r="4515" spans="1:4" x14ac:dyDescent="0.2">
      <c r="A4515" s="19" t="s">
        <v>154</v>
      </c>
      <c r="B4515" s="19">
        <v>10.784000000000001</v>
      </c>
      <c r="C4515" s="19">
        <v>1</v>
      </c>
      <c r="D4515" s="19">
        <v>0.8087999999999993</v>
      </c>
    </row>
    <row r="4516" spans="1:4" x14ac:dyDescent="0.2">
      <c r="A4516" s="19" t="s">
        <v>166</v>
      </c>
      <c r="B4516" s="19">
        <v>290.98</v>
      </c>
      <c r="C4516" s="19">
        <v>1</v>
      </c>
      <c r="D4516" s="19">
        <v>75.654799999999994</v>
      </c>
    </row>
    <row r="4517" spans="1:4" x14ac:dyDescent="0.2">
      <c r="A4517" s="19" t="s">
        <v>175</v>
      </c>
      <c r="B4517" s="19">
        <v>36.44</v>
      </c>
      <c r="C4517" s="19">
        <v>4</v>
      </c>
      <c r="D4517" s="19">
        <v>12.025199999999998</v>
      </c>
    </row>
    <row r="4518" spans="1:4" x14ac:dyDescent="0.2">
      <c r="A4518" s="19" t="s">
        <v>153</v>
      </c>
      <c r="B4518" s="19">
        <v>21.400000000000002</v>
      </c>
      <c r="C4518" s="19">
        <v>5</v>
      </c>
      <c r="D4518" s="19">
        <v>10.058</v>
      </c>
    </row>
    <row r="4519" spans="1:4" x14ac:dyDescent="0.2">
      <c r="A4519" s="19" t="s">
        <v>153</v>
      </c>
      <c r="B4519" s="19">
        <v>48.664000000000001</v>
      </c>
      <c r="C4519" s="19">
        <v>7</v>
      </c>
      <c r="D4519" s="19">
        <v>15.815799999999999</v>
      </c>
    </row>
    <row r="4520" spans="1:4" x14ac:dyDescent="0.2">
      <c r="A4520" s="19" t="s">
        <v>150</v>
      </c>
      <c r="B4520" s="19">
        <v>16.559999999999999</v>
      </c>
      <c r="C4520" s="19">
        <v>4</v>
      </c>
      <c r="D4520" s="19">
        <v>6.9551999999999996</v>
      </c>
    </row>
    <row r="4521" spans="1:4" x14ac:dyDescent="0.2">
      <c r="A4521" s="19" t="s">
        <v>151</v>
      </c>
      <c r="B4521" s="19">
        <v>1347.5200000000002</v>
      </c>
      <c r="C4521" s="19">
        <v>8</v>
      </c>
      <c r="D4521" s="19">
        <v>84.219999999999857</v>
      </c>
    </row>
    <row r="4522" spans="1:4" x14ac:dyDescent="0.2">
      <c r="A4522" s="19" t="s">
        <v>163</v>
      </c>
      <c r="B4522" s="19">
        <v>62.31</v>
      </c>
      <c r="C4522" s="19">
        <v>3</v>
      </c>
      <c r="D4522" s="19">
        <v>22.4316</v>
      </c>
    </row>
    <row r="4523" spans="1:4" x14ac:dyDescent="0.2">
      <c r="A4523" s="19" t="s">
        <v>163</v>
      </c>
      <c r="B4523" s="19">
        <v>20.32</v>
      </c>
      <c r="C4523" s="19">
        <v>4</v>
      </c>
      <c r="D4523" s="19">
        <v>6.9087999999999994</v>
      </c>
    </row>
    <row r="4524" spans="1:4" x14ac:dyDescent="0.2">
      <c r="A4524" s="19" t="s">
        <v>171</v>
      </c>
      <c r="B4524" s="19">
        <v>9.4320000000000004</v>
      </c>
      <c r="C4524" s="19">
        <v>3</v>
      </c>
      <c r="D4524" s="19">
        <v>3.065399999999999</v>
      </c>
    </row>
    <row r="4525" spans="1:4" x14ac:dyDescent="0.2">
      <c r="A4525" s="19" t="s">
        <v>164</v>
      </c>
      <c r="B4525" s="19">
        <v>34.86</v>
      </c>
      <c r="C4525" s="19">
        <v>7</v>
      </c>
      <c r="D4525" s="19">
        <v>16.035599999999999</v>
      </c>
    </row>
    <row r="4526" spans="1:4" x14ac:dyDescent="0.2">
      <c r="A4526" s="19" t="s">
        <v>164</v>
      </c>
      <c r="B4526" s="19">
        <v>89.34</v>
      </c>
      <c r="C4526" s="19">
        <v>6</v>
      </c>
      <c r="D4526" s="19">
        <v>24.121800000000004</v>
      </c>
    </row>
    <row r="4527" spans="1:4" x14ac:dyDescent="0.2">
      <c r="A4527" s="19" t="s">
        <v>164</v>
      </c>
      <c r="B4527" s="19">
        <v>269.98</v>
      </c>
      <c r="C4527" s="19">
        <v>2</v>
      </c>
      <c r="D4527" s="19">
        <v>67.495000000000005</v>
      </c>
    </row>
    <row r="4528" spans="1:4" x14ac:dyDescent="0.2">
      <c r="A4528" s="19" t="s">
        <v>164</v>
      </c>
      <c r="B4528" s="19">
        <v>99.9</v>
      </c>
      <c r="C4528" s="19">
        <v>5</v>
      </c>
      <c r="D4528" s="19">
        <v>47.952000000000005</v>
      </c>
    </row>
    <row r="4529" spans="1:4" x14ac:dyDescent="0.2">
      <c r="A4529" s="19" t="s">
        <v>164</v>
      </c>
      <c r="B4529" s="19">
        <v>39.08</v>
      </c>
      <c r="C4529" s="19">
        <v>4</v>
      </c>
      <c r="D4529" s="19">
        <v>14.459599999999998</v>
      </c>
    </row>
    <row r="4530" spans="1:4" x14ac:dyDescent="0.2">
      <c r="A4530" s="19" t="s">
        <v>173</v>
      </c>
      <c r="B4530" s="19">
        <v>116.83199999999999</v>
      </c>
      <c r="C4530" s="19">
        <v>4</v>
      </c>
      <c r="D4530" s="19">
        <v>33.589200000000005</v>
      </c>
    </row>
    <row r="4531" spans="1:4" x14ac:dyDescent="0.2">
      <c r="A4531" s="19" t="s">
        <v>154</v>
      </c>
      <c r="B4531" s="19">
        <v>2.2959999999999994</v>
      </c>
      <c r="C4531" s="19">
        <v>2</v>
      </c>
      <c r="D4531" s="19">
        <v>-3.9032000000000009</v>
      </c>
    </row>
    <row r="4532" spans="1:4" x14ac:dyDescent="0.2">
      <c r="A4532" s="19" t="s">
        <v>164</v>
      </c>
      <c r="B4532" s="19">
        <v>408.00599999999997</v>
      </c>
      <c r="C4532" s="19">
        <v>2</v>
      </c>
      <c r="D4532" s="19">
        <v>72.534400000000005</v>
      </c>
    </row>
    <row r="4533" spans="1:4" x14ac:dyDescent="0.2">
      <c r="A4533" s="19" t="s">
        <v>164</v>
      </c>
      <c r="B4533" s="19">
        <v>40.44</v>
      </c>
      <c r="C4533" s="19">
        <v>3</v>
      </c>
      <c r="D4533" s="19">
        <v>10.514399999999998</v>
      </c>
    </row>
    <row r="4534" spans="1:4" x14ac:dyDescent="0.2">
      <c r="A4534" s="19" t="s">
        <v>150</v>
      </c>
      <c r="B4534" s="19">
        <v>122.352</v>
      </c>
      <c r="C4534" s="19">
        <v>3</v>
      </c>
      <c r="D4534" s="19">
        <v>13.764599999999994</v>
      </c>
    </row>
    <row r="4535" spans="1:4" x14ac:dyDescent="0.2">
      <c r="A4535" s="19" t="s">
        <v>150</v>
      </c>
      <c r="B4535" s="19">
        <v>15.28</v>
      </c>
      <c r="C4535" s="19">
        <v>2</v>
      </c>
      <c r="D4535" s="19">
        <v>7.4871999999999996</v>
      </c>
    </row>
    <row r="4536" spans="1:4" x14ac:dyDescent="0.2">
      <c r="A4536" s="19" t="s">
        <v>150</v>
      </c>
      <c r="B4536" s="19">
        <v>11.96</v>
      </c>
      <c r="C4536" s="19">
        <v>2</v>
      </c>
      <c r="D4536" s="19">
        <v>5.8604000000000003</v>
      </c>
    </row>
    <row r="4537" spans="1:4" x14ac:dyDescent="0.2">
      <c r="A4537" s="19" t="s">
        <v>153</v>
      </c>
      <c r="B4537" s="19">
        <v>15.84</v>
      </c>
      <c r="C4537" s="19">
        <v>3</v>
      </c>
      <c r="D4537" s="19">
        <v>4.9103999999999992</v>
      </c>
    </row>
    <row r="4538" spans="1:4" x14ac:dyDescent="0.2">
      <c r="A4538" s="19" t="s">
        <v>153</v>
      </c>
      <c r="B4538" s="19">
        <v>86.376000000000005</v>
      </c>
      <c r="C4538" s="19">
        <v>3</v>
      </c>
      <c r="D4538" s="19">
        <v>30.231600000000007</v>
      </c>
    </row>
    <row r="4539" spans="1:4" x14ac:dyDescent="0.2">
      <c r="A4539" s="19" t="s">
        <v>153</v>
      </c>
      <c r="B4539" s="19">
        <v>18.240000000000002</v>
      </c>
      <c r="C4539" s="19">
        <v>3</v>
      </c>
      <c r="D4539" s="19">
        <v>6.2015999999999991</v>
      </c>
    </row>
    <row r="4540" spans="1:4" x14ac:dyDescent="0.2">
      <c r="A4540" s="19" t="s">
        <v>153</v>
      </c>
      <c r="B4540" s="19">
        <v>13.12</v>
      </c>
      <c r="C4540" s="19">
        <v>4</v>
      </c>
      <c r="D4540" s="19">
        <v>4.3295999999999992</v>
      </c>
    </row>
    <row r="4541" spans="1:4" x14ac:dyDescent="0.2">
      <c r="A4541" s="19" t="s">
        <v>182</v>
      </c>
      <c r="B4541" s="19">
        <v>105.98</v>
      </c>
      <c r="C4541" s="19">
        <v>2</v>
      </c>
      <c r="D4541" s="19">
        <v>1.0597999999999956</v>
      </c>
    </row>
    <row r="4542" spans="1:4" x14ac:dyDescent="0.2">
      <c r="A4542" s="19" t="s">
        <v>182</v>
      </c>
      <c r="B4542" s="19">
        <v>493.9199999999999</v>
      </c>
      <c r="C4542" s="19">
        <v>7</v>
      </c>
      <c r="D4542" s="19">
        <v>-28.22399999999999</v>
      </c>
    </row>
    <row r="4543" spans="1:4" x14ac:dyDescent="0.2">
      <c r="A4543" s="19" t="s">
        <v>159</v>
      </c>
      <c r="B4543" s="19">
        <v>5.9359999999999991</v>
      </c>
      <c r="C4543" s="19">
        <v>7</v>
      </c>
      <c r="D4543" s="19">
        <v>-8.9040000000000035</v>
      </c>
    </row>
    <row r="4544" spans="1:4" x14ac:dyDescent="0.2">
      <c r="A4544" s="19" t="s">
        <v>175</v>
      </c>
      <c r="B4544" s="19">
        <v>325.86</v>
      </c>
      <c r="C4544" s="19">
        <v>2</v>
      </c>
      <c r="D4544" s="19">
        <v>149.8956</v>
      </c>
    </row>
    <row r="4545" spans="1:4" x14ac:dyDescent="0.2">
      <c r="A4545" s="19" t="s">
        <v>159</v>
      </c>
      <c r="B4545" s="19">
        <v>383.60699999999997</v>
      </c>
      <c r="C4545" s="19">
        <v>9</v>
      </c>
      <c r="D4545" s="19">
        <v>-5.4801000000000215</v>
      </c>
    </row>
    <row r="4546" spans="1:4" x14ac:dyDescent="0.2">
      <c r="A4546" s="19" t="s">
        <v>159</v>
      </c>
      <c r="B4546" s="19">
        <v>148.47999999999999</v>
      </c>
      <c r="C4546" s="19">
        <v>2</v>
      </c>
      <c r="D4546" s="19">
        <v>16.703999999999986</v>
      </c>
    </row>
    <row r="4547" spans="1:4" x14ac:dyDescent="0.2">
      <c r="A4547" s="19" t="s">
        <v>159</v>
      </c>
      <c r="B4547" s="19">
        <v>537.54399999999998</v>
      </c>
      <c r="C4547" s="19">
        <v>7</v>
      </c>
      <c r="D4547" s="19">
        <v>53.754400000000004</v>
      </c>
    </row>
    <row r="4548" spans="1:4" x14ac:dyDescent="0.2">
      <c r="A4548" s="19" t="s">
        <v>159</v>
      </c>
      <c r="B4548" s="19">
        <v>1.9279999999999997</v>
      </c>
      <c r="C4548" s="19">
        <v>2</v>
      </c>
      <c r="D4548" s="19">
        <v>-2.9884000000000004</v>
      </c>
    </row>
    <row r="4549" spans="1:4" x14ac:dyDescent="0.2">
      <c r="A4549" s="19" t="s">
        <v>159</v>
      </c>
      <c r="B4549" s="19">
        <v>6.911999999999999</v>
      </c>
      <c r="C4549" s="19">
        <v>3</v>
      </c>
      <c r="D4549" s="19">
        <v>0.69120000000000026</v>
      </c>
    </row>
    <row r="4550" spans="1:4" x14ac:dyDescent="0.2">
      <c r="A4550" s="19" t="s">
        <v>159</v>
      </c>
      <c r="B4550" s="19">
        <v>7.76</v>
      </c>
      <c r="C4550" s="19">
        <v>1</v>
      </c>
      <c r="D4550" s="19">
        <v>-2.1340000000000003</v>
      </c>
    </row>
    <row r="4551" spans="1:4" x14ac:dyDescent="0.2">
      <c r="A4551" s="19" t="s">
        <v>159</v>
      </c>
      <c r="B4551" s="19">
        <v>659.16800000000012</v>
      </c>
      <c r="C4551" s="19">
        <v>4</v>
      </c>
      <c r="D4551" s="19">
        <v>49.437599999999975</v>
      </c>
    </row>
    <row r="4552" spans="1:4" x14ac:dyDescent="0.2">
      <c r="A4552" s="19" t="s">
        <v>178</v>
      </c>
      <c r="B4552" s="19">
        <v>5.76</v>
      </c>
      <c r="C4552" s="19">
        <v>2</v>
      </c>
      <c r="D4552" s="19">
        <v>2.8224</v>
      </c>
    </row>
    <row r="4553" spans="1:4" x14ac:dyDescent="0.2">
      <c r="A4553" s="19" t="s">
        <v>150</v>
      </c>
      <c r="B4553" s="19">
        <v>351.21600000000001</v>
      </c>
      <c r="C4553" s="19">
        <v>3</v>
      </c>
      <c r="D4553" s="19">
        <v>4.3901999999999788</v>
      </c>
    </row>
    <row r="4554" spans="1:4" x14ac:dyDescent="0.2">
      <c r="A4554" s="19" t="s">
        <v>150</v>
      </c>
      <c r="B4554" s="19">
        <v>230.28000000000003</v>
      </c>
      <c r="C4554" s="19">
        <v>3</v>
      </c>
      <c r="D4554" s="19">
        <v>23.027999999999992</v>
      </c>
    </row>
    <row r="4555" spans="1:4" x14ac:dyDescent="0.2">
      <c r="A4555" s="19" t="s">
        <v>150</v>
      </c>
      <c r="B4555" s="19">
        <v>12.84</v>
      </c>
      <c r="C4555" s="19">
        <v>3</v>
      </c>
      <c r="D4555" s="19">
        <v>5.7779999999999987</v>
      </c>
    </row>
    <row r="4556" spans="1:4" x14ac:dyDescent="0.2">
      <c r="A4556" s="19" t="s">
        <v>155</v>
      </c>
      <c r="B4556" s="19">
        <v>56.820000000000007</v>
      </c>
      <c r="C4556" s="19">
        <v>3</v>
      </c>
      <c r="D4556" s="19">
        <v>28.410000000000004</v>
      </c>
    </row>
    <row r="4557" spans="1:4" x14ac:dyDescent="0.2">
      <c r="A4557" s="19" t="s">
        <v>169</v>
      </c>
      <c r="B4557" s="19">
        <v>31.56</v>
      </c>
      <c r="C4557" s="19">
        <v>4</v>
      </c>
      <c r="D4557" s="19">
        <v>14.201999999999998</v>
      </c>
    </row>
    <row r="4558" spans="1:4" x14ac:dyDescent="0.2">
      <c r="A4558" s="19" t="s">
        <v>169</v>
      </c>
      <c r="B4558" s="19">
        <v>27.92</v>
      </c>
      <c r="C4558" s="19">
        <v>4</v>
      </c>
      <c r="D4558" s="19">
        <v>0.5583999999999989</v>
      </c>
    </row>
    <row r="4559" spans="1:4" x14ac:dyDescent="0.2">
      <c r="A4559" s="19" t="s">
        <v>165</v>
      </c>
      <c r="B4559" s="19">
        <v>8.5590000000000011</v>
      </c>
      <c r="C4559" s="19">
        <v>1</v>
      </c>
      <c r="D4559" s="19">
        <v>-6.5618999999999996</v>
      </c>
    </row>
    <row r="4560" spans="1:4" x14ac:dyDescent="0.2">
      <c r="A4560" s="19" t="s">
        <v>154</v>
      </c>
      <c r="B4560" s="19">
        <v>49.568000000000005</v>
      </c>
      <c r="C4560" s="19">
        <v>2</v>
      </c>
      <c r="D4560" s="19">
        <v>17.968399999999995</v>
      </c>
    </row>
    <row r="4561" spans="1:4" x14ac:dyDescent="0.2">
      <c r="A4561" s="19" t="s">
        <v>154</v>
      </c>
      <c r="B4561" s="19">
        <v>127.869</v>
      </c>
      <c r="C4561" s="19">
        <v>3</v>
      </c>
      <c r="D4561" s="19">
        <v>-9.1335000000000122</v>
      </c>
    </row>
    <row r="4562" spans="1:4" x14ac:dyDescent="0.2">
      <c r="A4562" s="19" t="s">
        <v>150</v>
      </c>
      <c r="B4562" s="19">
        <v>271.44</v>
      </c>
      <c r="C4562" s="19">
        <v>3</v>
      </c>
      <c r="D4562" s="19">
        <v>122.148</v>
      </c>
    </row>
    <row r="4563" spans="1:4" x14ac:dyDescent="0.2">
      <c r="A4563" s="19" t="s">
        <v>150</v>
      </c>
      <c r="B4563" s="19">
        <v>110.352</v>
      </c>
      <c r="C4563" s="19">
        <v>3</v>
      </c>
      <c r="D4563" s="19">
        <v>8.2763999999999953</v>
      </c>
    </row>
    <row r="4564" spans="1:4" x14ac:dyDescent="0.2">
      <c r="A4564" s="19" t="s">
        <v>150</v>
      </c>
      <c r="B4564" s="19">
        <v>36.4</v>
      </c>
      <c r="C4564" s="19">
        <v>5</v>
      </c>
      <c r="D4564" s="19">
        <v>13.832000000000001</v>
      </c>
    </row>
    <row r="4565" spans="1:4" x14ac:dyDescent="0.2">
      <c r="A4565" s="19" t="s">
        <v>151</v>
      </c>
      <c r="B4565" s="19">
        <v>419.13599999999997</v>
      </c>
      <c r="C4565" s="19">
        <v>4</v>
      </c>
      <c r="D4565" s="19">
        <v>-57.631200000000035</v>
      </c>
    </row>
    <row r="4566" spans="1:4" x14ac:dyDescent="0.2">
      <c r="A4566" s="19" t="s">
        <v>165</v>
      </c>
      <c r="B4566" s="19">
        <v>100.70400000000001</v>
      </c>
      <c r="C4566" s="19">
        <v>6</v>
      </c>
      <c r="D4566" s="19">
        <v>-1.2588000000000008</v>
      </c>
    </row>
    <row r="4567" spans="1:4" x14ac:dyDescent="0.2">
      <c r="A4567" s="19" t="s">
        <v>152</v>
      </c>
      <c r="B4567" s="19">
        <v>45.216000000000001</v>
      </c>
      <c r="C4567" s="19">
        <v>3</v>
      </c>
      <c r="D4567" s="19">
        <v>4.5215999999999994</v>
      </c>
    </row>
    <row r="4568" spans="1:4" x14ac:dyDescent="0.2">
      <c r="A4568" s="19" t="s">
        <v>152</v>
      </c>
      <c r="B4568" s="19">
        <v>28.782000000000004</v>
      </c>
      <c r="C4568" s="19">
        <v>6</v>
      </c>
      <c r="D4568" s="19">
        <v>-21.1068</v>
      </c>
    </row>
    <row r="4569" spans="1:4" x14ac:dyDescent="0.2">
      <c r="A4569" s="19" t="s">
        <v>152</v>
      </c>
      <c r="B4569" s="19">
        <v>24.448</v>
      </c>
      <c r="C4569" s="19">
        <v>4</v>
      </c>
      <c r="D4569" s="19">
        <v>8.8623999999999992</v>
      </c>
    </row>
    <row r="4570" spans="1:4" x14ac:dyDescent="0.2">
      <c r="A4570" s="19" t="s">
        <v>154</v>
      </c>
      <c r="B4570" s="19">
        <v>10.475999999999999</v>
      </c>
      <c r="C4570" s="19">
        <v>6</v>
      </c>
      <c r="D4570" s="19">
        <v>-17.285400000000006</v>
      </c>
    </row>
    <row r="4571" spans="1:4" x14ac:dyDescent="0.2">
      <c r="A4571" s="19" t="s">
        <v>150</v>
      </c>
      <c r="B4571" s="19">
        <v>76.14</v>
      </c>
      <c r="C4571" s="19">
        <v>3</v>
      </c>
      <c r="D4571" s="19">
        <v>26.648999999999997</v>
      </c>
    </row>
    <row r="4572" spans="1:4" x14ac:dyDescent="0.2">
      <c r="A4572" s="19" t="s">
        <v>189</v>
      </c>
      <c r="B4572" s="19">
        <v>21.240000000000002</v>
      </c>
      <c r="C4572" s="19">
        <v>3</v>
      </c>
      <c r="D4572" s="19">
        <v>8.071200000000001</v>
      </c>
    </row>
    <row r="4573" spans="1:4" x14ac:dyDescent="0.2">
      <c r="A4573" s="19" t="s">
        <v>189</v>
      </c>
      <c r="B4573" s="19">
        <v>127.96</v>
      </c>
      <c r="C4573" s="19">
        <v>2</v>
      </c>
      <c r="D4573" s="19">
        <v>60.141199999999998</v>
      </c>
    </row>
    <row r="4574" spans="1:4" x14ac:dyDescent="0.2">
      <c r="A4574" s="19" t="s">
        <v>150</v>
      </c>
      <c r="B4574" s="19">
        <v>479.98400000000004</v>
      </c>
      <c r="C4574" s="19">
        <v>2</v>
      </c>
      <c r="D4574" s="19">
        <v>89.996999999999986</v>
      </c>
    </row>
    <row r="4575" spans="1:4" x14ac:dyDescent="0.2">
      <c r="A4575" s="19" t="s">
        <v>161</v>
      </c>
      <c r="B4575" s="19">
        <v>657.93</v>
      </c>
      <c r="C4575" s="19">
        <v>7</v>
      </c>
      <c r="D4575" s="19">
        <v>184.22039999999998</v>
      </c>
    </row>
    <row r="4576" spans="1:4" x14ac:dyDescent="0.2">
      <c r="A4576" s="19" t="s">
        <v>161</v>
      </c>
      <c r="B4576" s="19">
        <v>33.479999999999997</v>
      </c>
      <c r="C4576" s="19">
        <v>4</v>
      </c>
      <c r="D4576" s="19">
        <v>8.7047999999999988</v>
      </c>
    </row>
    <row r="4577" spans="1:4" x14ac:dyDescent="0.2">
      <c r="A4577" s="19" t="s">
        <v>161</v>
      </c>
      <c r="B4577" s="19">
        <v>13.899999999999999</v>
      </c>
      <c r="C4577" s="19">
        <v>5</v>
      </c>
      <c r="D4577" s="19">
        <v>3.6139999999999994</v>
      </c>
    </row>
    <row r="4578" spans="1:4" x14ac:dyDescent="0.2">
      <c r="A4578" s="19" t="s">
        <v>161</v>
      </c>
      <c r="B4578" s="19">
        <v>26.86</v>
      </c>
      <c r="C4578" s="19">
        <v>2</v>
      </c>
      <c r="D4578" s="19">
        <v>6.7149999999999999</v>
      </c>
    </row>
    <row r="4579" spans="1:4" x14ac:dyDescent="0.2">
      <c r="A4579" s="19" t="s">
        <v>193</v>
      </c>
      <c r="B4579" s="19">
        <v>9.5840000000000014</v>
      </c>
      <c r="C4579" s="19">
        <v>1</v>
      </c>
      <c r="D4579" s="19">
        <v>3.3543999999999996</v>
      </c>
    </row>
    <row r="4580" spans="1:4" x14ac:dyDescent="0.2">
      <c r="A4580" s="19" t="s">
        <v>166</v>
      </c>
      <c r="B4580" s="19">
        <v>113.10000000000001</v>
      </c>
      <c r="C4580" s="19">
        <v>3</v>
      </c>
      <c r="D4580" s="19">
        <v>56.550000000000004</v>
      </c>
    </row>
    <row r="4581" spans="1:4" x14ac:dyDescent="0.2">
      <c r="A4581" s="19" t="s">
        <v>164</v>
      </c>
      <c r="B4581" s="19">
        <v>65.78</v>
      </c>
      <c r="C4581" s="19">
        <v>11</v>
      </c>
      <c r="D4581" s="19">
        <v>32.232199999999999</v>
      </c>
    </row>
    <row r="4582" spans="1:4" x14ac:dyDescent="0.2">
      <c r="A4582" s="19" t="s">
        <v>183</v>
      </c>
      <c r="B4582" s="19">
        <v>239.70000000000002</v>
      </c>
      <c r="C4582" s="19">
        <v>6</v>
      </c>
      <c r="D4582" s="19">
        <v>105.46800000000002</v>
      </c>
    </row>
    <row r="4583" spans="1:4" x14ac:dyDescent="0.2">
      <c r="A4583" s="19" t="s">
        <v>158</v>
      </c>
      <c r="B4583" s="19">
        <v>25.632000000000001</v>
      </c>
      <c r="C4583" s="19">
        <v>3</v>
      </c>
      <c r="D4583" s="19">
        <v>3.8447999999999967</v>
      </c>
    </row>
    <row r="4584" spans="1:4" x14ac:dyDescent="0.2">
      <c r="A4584" s="19" t="s">
        <v>158</v>
      </c>
      <c r="B4584" s="19">
        <v>23.616</v>
      </c>
      <c r="C4584" s="19">
        <v>8</v>
      </c>
      <c r="D4584" s="19">
        <v>7.9703999999999997</v>
      </c>
    </row>
    <row r="4585" spans="1:4" x14ac:dyDescent="0.2">
      <c r="A4585" s="19" t="s">
        <v>150</v>
      </c>
      <c r="B4585" s="19">
        <v>8.26</v>
      </c>
      <c r="C4585" s="19">
        <v>2</v>
      </c>
      <c r="D4585" s="19">
        <v>3.7995999999999999</v>
      </c>
    </row>
    <row r="4586" spans="1:4" x14ac:dyDescent="0.2">
      <c r="A4586" s="19" t="s">
        <v>150</v>
      </c>
      <c r="B4586" s="19">
        <v>76.58</v>
      </c>
      <c r="C4586" s="19">
        <v>7</v>
      </c>
      <c r="D4586" s="19">
        <v>38.29</v>
      </c>
    </row>
    <row r="4587" spans="1:4" x14ac:dyDescent="0.2">
      <c r="A4587" s="19" t="s">
        <v>150</v>
      </c>
      <c r="B4587" s="19">
        <v>8.8000000000000007</v>
      </c>
      <c r="C4587" s="19">
        <v>5</v>
      </c>
      <c r="D4587" s="19">
        <v>4.2240000000000002</v>
      </c>
    </row>
    <row r="4588" spans="1:4" x14ac:dyDescent="0.2">
      <c r="A4588" s="19" t="s">
        <v>150</v>
      </c>
      <c r="B4588" s="19">
        <v>590.35199999999998</v>
      </c>
      <c r="C4588" s="19">
        <v>6</v>
      </c>
      <c r="D4588" s="19">
        <v>206.62319999999997</v>
      </c>
    </row>
    <row r="4589" spans="1:4" x14ac:dyDescent="0.2">
      <c r="A4589" s="19" t="s">
        <v>150</v>
      </c>
      <c r="B4589" s="19">
        <v>5.58</v>
      </c>
      <c r="C4589" s="19">
        <v>3</v>
      </c>
      <c r="D4589" s="19">
        <v>0.16740000000000022</v>
      </c>
    </row>
    <row r="4590" spans="1:4" x14ac:dyDescent="0.2">
      <c r="A4590" s="19" t="s">
        <v>150</v>
      </c>
      <c r="B4590" s="19">
        <v>25.02</v>
      </c>
      <c r="C4590" s="19">
        <v>3</v>
      </c>
      <c r="D4590" s="19">
        <v>10.508400000000002</v>
      </c>
    </row>
    <row r="4591" spans="1:4" x14ac:dyDescent="0.2">
      <c r="A4591" s="19" t="s">
        <v>150</v>
      </c>
      <c r="B4591" s="19">
        <v>452.55000000000007</v>
      </c>
      <c r="C4591" s="19">
        <v>7</v>
      </c>
      <c r="D4591" s="19">
        <v>22.627499999999962</v>
      </c>
    </row>
    <row r="4592" spans="1:4" x14ac:dyDescent="0.2">
      <c r="A4592" s="19" t="s">
        <v>150</v>
      </c>
      <c r="B4592" s="19">
        <v>17.760000000000002</v>
      </c>
      <c r="C4592" s="19">
        <v>2</v>
      </c>
      <c r="D4592" s="19">
        <v>4.9728000000000012</v>
      </c>
    </row>
    <row r="4593" spans="1:4" x14ac:dyDescent="0.2">
      <c r="A4593" s="19" t="s">
        <v>150</v>
      </c>
      <c r="B4593" s="19">
        <v>302.38400000000001</v>
      </c>
      <c r="C4593" s="19">
        <v>2</v>
      </c>
      <c r="D4593" s="19">
        <v>30.238400000000013</v>
      </c>
    </row>
    <row r="4594" spans="1:4" x14ac:dyDescent="0.2">
      <c r="A4594" s="19" t="s">
        <v>150</v>
      </c>
      <c r="B4594" s="19">
        <v>146.352</v>
      </c>
      <c r="C4594" s="19">
        <v>3</v>
      </c>
      <c r="D4594" s="19">
        <v>-5.4882000000000062</v>
      </c>
    </row>
    <row r="4595" spans="1:4" x14ac:dyDescent="0.2">
      <c r="A4595" s="19" t="s">
        <v>150</v>
      </c>
      <c r="B4595" s="19">
        <v>7.9</v>
      </c>
      <c r="C4595" s="19">
        <v>2</v>
      </c>
      <c r="D4595" s="19">
        <v>2.0540000000000003</v>
      </c>
    </row>
    <row r="4596" spans="1:4" x14ac:dyDescent="0.2">
      <c r="A4596" s="19" t="s">
        <v>150</v>
      </c>
      <c r="B4596" s="19">
        <v>902.71199999999999</v>
      </c>
      <c r="C4596" s="19">
        <v>3</v>
      </c>
      <c r="D4596" s="19">
        <v>33.851700000000051</v>
      </c>
    </row>
    <row r="4597" spans="1:4" x14ac:dyDescent="0.2">
      <c r="A4597" s="19" t="s">
        <v>150</v>
      </c>
      <c r="B4597" s="19">
        <v>53.97</v>
      </c>
      <c r="C4597" s="19">
        <v>3</v>
      </c>
      <c r="D4597" s="19">
        <v>15.111600000000001</v>
      </c>
    </row>
    <row r="4598" spans="1:4" x14ac:dyDescent="0.2">
      <c r="A4598" s="19" t="s">
        <v>188</v>
      </c>
      <c r="B4598" s="19">
        <v>33.92</v>
      </c>
      <c r="C4598" s="19">
        <v>8</v>
      </c>
      <c r="D4598" s="19">
        <v>13.2288</v>
      </c>
    </row>
    <row r="4599" spans="1:4" x14ac:dyDescent="0.2">
      <c r="A4599" s="19" t="s">
        <v>155</v>
      </c>
      <c r="B4599" s="19">
        <v>21.81</v>
      </c>
      <c r="C4599" s="19">
        <v>3</v>
      </c>
      <c r="D4599" s="19">
        <v>5.8887000000000009</v>
      </c>
    </row>
    <row r="4600" spans="1:4" x14ac:dyDescent="0.2">
      <c r="A4600" s="19" t="s">
        <v>155</v>
      </c>
      <c r="B4600" s="19">
        <v>91.6</v>
      </c>
      <c r="C4600" s="19">
        <v>5</v>
      </c>
      <c r="D4600" s="19">
        <v>26.563999999999997</v>
      </c>
    </row>
    <row r="4601" spans="1:4" x14ac:dyDescent="0.2">
      <c r="A4601" s="19" t="s">
        <v>187</v>
      </c>
      <c r="B4601" s="19">
        <v>150.97999999999999</v>
      </c>
      <c r="C4601" s="19">
        <v>1</v>
      </c>
      <c r="D4601" s="19">
        <v>43.784199999999984</v>
      </c>
    </row>
    <row r="4602" spans="1:4" x14ac:dyDescent="0.2">
      <c r="A4602" s="19" t="s">
        <v>187</v>
      </c>
      <c r="B4602" s="19">
        <v>137.25</v>
      </c>
      <c r="C4602" s="19">
        <v>9</v>
      </c>
      <c r="D4602" s="19">
        <v>63.134999999999991</v>
      </c>
    </row>
    <row r="4603" spans="1:4" x14ac:dyDescent="0.2">
      <c r="A4603" s="19" t="s">
        <v>187</v>
      </c>
      <c r="B4603" s="19">
        <v>11.52</v>
      </c>
      <c r="C4603" s="19">
        <v>4</v>
      </c>
      <c r="D4603" s="19">
        <v>5.4143999999999997</v>
      </c>
    </row>
    <row r="4604" spans="1:4" x14ac:dyDescent="0.2">
      <c r="A4604" s="19" t="s">
        <v>152</v>
      </c>
      <c r="B4604" s="19">
        <v>18.272000000000002</v>
      </c>
      <c r="C4604" s="19">
        <v>1</v>
      </c>
      <c r="D4604" s="19">
        <v>5.9383999999999988</v>
      </c>
    </row>
    <row r="4605" spans="1:4" x14ac:dyDescent="0.2">
      <c r="A4605" s="19" t="s">
        <v>152</v>
      </c>
      <c r="B4605" s="19">
        <v>153.72800000000001</v>
      </c>
      <c r="C4605" s="19">
        <v>4</v>
      </c>
      <c r="D4605" s="19">
        <v>53.804799999999986</v>
      </c>
    </row>
    <row r="4606" spans="1:4" x14ac:dyDescent="0.2">
      <c r="A4606" s="19" t="s">
        <v>152</v>
      </c>
      <c r="B4606" s="19">
        <v>12.224</v>
      </c>
      <c r="C4606" s="19">
        <v>2</v>
      </c>
      <c r="D4606" s="19">
        <v>4.4311999999999996</v>
      </c>
    </row>
    <row r="4607" spans="1:4" x14ac:dyDescent="0.2">
      <c r="A4607" s="19" t="s">
        <v>152</v>
      </c>
      <c r="B4607" s="19">
        <v>167.94400000000002</v>
      </c>
      <c r="C4607" s="19">
        <v>7</v>
      </c>
      <c r="D4607" s="19">
        <v>50.383200000000016</v>
      </c>
    </row>
    <row r="4608" spans="1:4" x14ac:dyDescent="0.2">
      <c r="A4608" s="19" t="s">
        <v>164</v>
      </c>
      <c r="B4608" s="19">
        <v>45.99</v>
      </c>
      <c r="C4608" s="19">
        <v>1</v>
      </c>
      <c r="D4608" s="19">
        <v>13.3371</v>
      </c>
    </row>
    <row r="4609" spans="1:4" x14ac:dyDescent="0.2">
      <c r="A4609" s="19" t="s">
        <v>164</v>
      </c>
      <c r="B4609" s="19">
        <v>535.41</v>
      </c>
      <c r="C4609" s="19">
        <v>3</v>
      </c>
      <c r="D4609" s="19">
        <v>160.62299999999993</v>
      </c>
    </row>
    <row r="4610" spans="1:4" x14ac:dyDescent="0.2">
      <c r="A4610" s="19" t="s">
        <v>164</v>
      </c>
      <c r="B4610" s="19">
        <v>6.0960000000000001</v>
      </c>
      <c r="C4610" s="19">
        <v>2</v>
      </c>
      <c r="D4610" s="19">
        <v>2.0573999999999995</v>
      </c>
    </row>
    <row r="4611" spans="1:4" x14ac:dyDescent="0.2">
      <c r="A4611" s="19" t="s">
        <v>164</v>
      </c>
      <c r="B4611" s="19">
        <v>45.36</v>
      </c>
      <c r="C4611" s="19">
        <v>7</v>
      </c>
      <c r="D4611" s="19">
        <v>21.772800000000004</v>
      </c>
    </row>
    <row r="4612" spans="1:4" x14ac:dyDescent="0.2">
      <c r="A4612" s="19" t="s">
        <v>150</v>
      </c>
      <c r="B4612" s="19">
        <v>47.12</v>
      </c>
      <c r="C4612" s="19">
        <v>8</v>
      </c>
      <c r="D4612" s="19">
        <v>20.732800000000001</v>
      </c>
    </row>
    <row r="4613" spans="1:4" x14ac:dyDescent="0.2">
      <c r="A4613" s="19" t="s">
        <v>183</v>
      </c>
      <c r="B4613" s="19">
        <v>31.36</v>
      </c>
      <c r="C4613" s="19">
        <v>4</v>
      </c>
      <c r="D4613" s="19">
        <v>15.68</v>
      </c>
    </row>
    <row r="4614" spans="1:4" x14ac:dyDescent="0.2">
      <c r="A4614" s="19" t="s">
        <v>151</v>
      </c>
      <c r="B4614" s="19">
        <v>47.616</v>
      </c>
      <c r="C4614" s="19">
        <v>3</v>
      </c>
      <c r="D4614" s="19">
        <v>3.571200000000001</v>
      </c>
    </row>
    <row r="4615" spans="1:4" x14ac:dyDescent="0.2">
      <c r="A4615" s="19" t="s">
        <v>151</v>
      </c>
      <c r="B4615" s="19">
        <v>23.480000000000004</v>
      </c>
      <c r="C4615" s="19">
        <v>5</v>
      </c>
      <c r="D4615" s="19">
        <v>8.218</v>
      </c>
    </row>
    <row r="4616" spans="1:4" x14ac:dyDescent="0.2">
      <c r="A4616" s="19" t="s">
        <v>154</v>
      </c>
      <c r="B4616" s="19">
        <v>62.789999999999992</v>
      </c>
      <c r="C4616" s="19">
        <v>3</v>
      </c>
      <c r="D4616" s="19">
        <v>-166.39350000000002</v>
      </c>
    </row>
    <row r="4617" spans="1:4" x14ac:dyDescent="0.2">
      <c r="A4617" s="19" t="s">
        <v>154</v>
      </c>
      <c r="B4617" s="19">
        <v>28.44</v>
      </c>
      <c r="C4617" s="19">
        <v>9</v>
      </c>
      <c r="D4617" s="19">
        <v>4.2659999999999973</v>
      </c>
    </row>
    <row r="4618" spans="1:4" x14ac:dyDescent="0.2">
      <c r="A4618" s="19" t="s">
        <v>154</v>
      </c>
      <c r="B4618" s="19">
        <v>134.376</v>
      </c>
      <c r="C4618" s="19">
        <v>3</v>
      </c>
      <c r="D4618" s="19">
        <v>6.7188000000000088</v>
      </c>
    </row>
    <row r="4619" spans="1:4" x14ac:dyDescent="0.2">
      <c r="A4619" s="19" t="s">
        <v>180</v>
      </c>
      <c r="B4619" s="19">
        <v>589.9</v>
      </c>
      <c r="C4619" s="19">
        <v>2</v>
      </c>
      <c r="D4619" s="19">
        <v>147.47500000000002</v>
      </c>
    </row>
    <row r="4620" spans="1:4" x14ac:dyDescent="0.2">
      <c r="A4620" s="19" t="s">
        <v>180</v>
      </c>
      <c r="B4620" s="19">
        <v>542.93999999999994</v>
      </c>
      <c r="C4620" s="19">
        <v>3</v>
      </c>
      <c r="D4620" s="19">
        <v>141.1644</v>
      </c>
    </row>
    <row r="4621" spans="1:4" x14ac:dyDescent="0.2">
      <c r="A4621" s="19" t="s">
        <v>150</v>
      </c>
      <c r="B4621" s="19">
        <v>2879.9520000000002</v>
      </c>
      <c r="C4621" s="19">
        <v>6</v>
      </c>
      <c r="D4621" s="19">
        <v>1007.9831999999999</v>
      </c>
    </row>
    <row r="4622" spans="1:4" x14ac:dyDescent="0.2">
      <c r="A4622" s="19" t="s">
        <v>150</v>
      </c>
      <c r="B4622" s="19">
        <v>90.480000000000018</v>
      </c>
      <c r="C4622" s="19">
        <v>3</v>
      </c>
      <c r="D4622" s="19">
        <v>33.93</v>
      </c>
    </row>
    <row r="4623" spans="1:4" x14ac:dyDescent="0.2">
      <c r="A4623" s="19" t="s">
        <v>162</v>
      </c>
      <c r="B4623" s="19">
        <v>77.55</v>
      </c>
      <c r="C4623" s="19">
        <v>5</v>
      </c>
      <c r="D4623" s="19">
        <v>21.714000000000002</v>
      </c>
    </row>
    <row r="4624" spans="1:4" x14ac:dyDescent="0.2">
      <c r="A4624" s="19" t="s">
        <v>167</v>
      </c>
      <c r="B4624" s="19">
        <v>8.8320000000000007</v>
      </c>
      <c r="C4624" s="19">
        <v>3</v>
      </c>
      <c r="D4624" s="19">
        <v>-1.9872000000000005</v>
      </c>
    </row>
    <row r="4625" spans="1:4" x14ac:dyDescent="0.2">
      <c r="A4625" s="19" t="s">
        <v>167</v>
      </c>
      <c r="B4625" s="19">
        <v>177.536</v>
      </c>
      <c r="C4625" s="19">
        <v>4</v>
      </c>
      <c r="D4625" s="19">
        <v>62.137599999999992</v>
      </c>
    </row>
    <row r="4626" spans="1:4" x14ac:dyDescent="0.2">
      <c r="A4626" s="19" t="s">
        <v>167</v>
      </c>
      <c r="B4626" s="19">
        <v>258.48</v>
      </c>
      <c r="C4626" s="19">
        <v>2</v>
      </c>
      <c r="D4626" s="19">
        <v>-3.2309999999999945</v>
      </c>
    </row>
    <row r="4627" spans="1:4" x14ac:dyDescent="0.2">
      <c r="A4627" s="19" t="s">
        <v>167</v>
      </c>
      <c r="B4627" s="19">
        <v>14.135999999999999</v>
      </c>
      <c r="C4627" s="19">
        <v>3</v>
      </c>
      <c r="D4627" s="19">
        <v>4.240800000000001</v>
      </c>
    </row>
    <row r="4628" spans="1:4" x14ac:dyDescent="0.2">
      <c r="A4628" s="19" t="s">
        <v>164</v>
      </c>
      <c r="B4628" s="19">
        <v>77.55</v>
      </c>
      <c r="C4628" s="19">
        <v>5</v>
      </c>
      <c r="D4628" s="19">
        <v>20.163000000000004</v>
      </c>
    </row>
    <row r="4629" spans="1:4" x14ac:dyDescent="0.2">
      <c r="A4629" s="19" t="s">
        <v>164</v>
      </c>
      <c r="B4629" s="19">
        <v>24.88</v>
      </c>
      <c r="C4629" s="19">
        <v>2</v>
      </c>
      <c r="D4629" s="19">
        <v>6.9664000000000001</v>
      </c>
    </row>
    <row r="4630" spans="1:4" x14ac:dyDescent="0.2">
      <c r="A4630" s="19" t="s">
        <v>164</v>
      </c>
      <c r="B4630" s="19">
        <v>140.75</v>
      </c>
      <c r="C4630" s="19">
        <v>5</v>
      </c>
      <c r="D4630" s="19">
        <v>39.410000000000011</v>
      </c>
    </row>
    <row r="4631" spans="1:4" x14ac:dyDescent="0.2">
      <c r="A4631" s="19" t="s">
        <v>164</v>
      </c>
      <c r="B4631" s="19">
        <v>36.630000000000003</v>
      </c>
      <c r="C4631" s="19">
        <v>3</v>
      </c>
      <c r="D4631" s="19">
        <v>9.8901000000000039</v>
      </c>
    </row>
    <row r="4632" spans="1:4" x14ac:dyDescent="0.2">
      <c r="A4632" s="19" t="s">
        <v>161</v>
      </c>
      <c r="B4632" s="19">
        <v>17.14</v>
      </c>
      <c r="C4632" s="19">
        <v>2</v>
      </c>
      <c r="D4632" s="19">
        <v>6.1704000000000008</v>
      </c>
    </row>
    <row r="4633" spans="1:4" x14ac:dyDescent="0.2">
      <c r="A4633" s="19" t="s">
        <v>150</v>
      </c>
      <c r="B4633" s="19">
        <v>51.75</v>
      </c>
      <c r="C4633" s="19">
        <v>5</v>
      </c>
      <c r="D4633" s="19">
        <v>24.84</v>
      </c>
    </row>
    <row r="4634" spans="1:4" x14ac:dyDescent="0.2">
      <c r="A4634" s="19" t="s">
        <v>150</v>
      </c>
      <c r="B4634" s="19">
        <v>123.96000000000001</v>
      </c>
      <c r="C4634" s="19">
        <v>3</v>
      </c>
      <c r="D4634" s="19">
        <v>11.156400000000005</v>
      </c>
    </row>
    <row r="4635" spans="1:4" x14ac:dyDescent="0.2">
      <c r="A4635" s="19" t="s">
        <v>150</v>
      </c>
      <c r="B4635" s="19">
        <v>586.39800000000002</v>
      </c>
      <c r="C4635" s="19">
        <v>6</v>
      </c>
      <c r="D4635" s="19">
        <v>34.493999999999971</v>
      </c>
    </row>
    <row r="4636" spans="1:4" x14ac:dyDescent="0.2">
      <c r="A4636" s="19" t="s">
        <v>150</v>
      </c>
      <c r="B4636" s="19">
        <v>80.98</v>
      </c>
      <c r="C4636" s="19">
        <v>1</v>
      </c>
      <c r="D4636" s="19">
        <v>3.2391999999999967</v>
      </c>
    </row>
    <row r="4637" spans="1:4" x14ac:dyDescent="0.2">
      <c r="A4637" s="19" t="s">
        <v>150</v>
      </c>
      <c r="B4637" s="19">
        <v>242.94</v>
      </c>
      <c r="C4637" s="19">
        <v>3</v>
      </c>
      <c r="D4637" s="19">
        <v>9.7175999999999902</v>
      </c>
    </row>
    <row r="4638" spans="1:4" x14ac:dyDescent="0.2">
      <c r="A4638" s="19" t="s">
        <v>150</v>
      </c>
      <c r="B4638" s="19">
        <v>123.92</v>
      </c>
      <c r="C4638" s="19">
        <v>4</v>
      </c>
      <c r="D4638" s="19">
        <v>33.458399999999997</v>
      </c>
    </row>
    <row r="4639" spans="1:4" x14ac:dyDescent="0.2">
      <c r="A4639" s="19" t="s">
        <v>150</v>
      </c>
      <c r="B4639" s="19">
        <v>12.39</v>
      </c>
      <c r="C4639" s="19">
        <v>3</v>
      </c>
      <c r="D4639" s="19">
        <v>5.6993999999999998</v>
      </c>
    </row>
    <row r="4640" spans="1:4" x14ac:dyDescent="0.2">
      <c r="A4640" s="19" t="s">
        <v>150</v>
      </c>
      <c r="B4640" s="19">
        <v>47.3</v>
      </c>
      <c r="C4640" s="19">
        <v>2</v>
      </c>
      <c r="D4640" s="19">
        <v>12.298000000000002</v>
      </c>
    </row>
    <row r="4641" spans="1:4" x14ac:dyDescent="0.2">
      <c r="A4641" s="19" t="s">
        <v>166</v>
      </c>
      <c r="B4641" s="19">
        <v>1599.92</v>
      </c>
      <c r="C4641" s="19">
        <v>8</v>
      </c>
      <c r="D4641" s="19">
        <v>751.9624</v>
      </c>
    </row>
    <row r="4642" spans="1:4" x14ac:dyDescent="0.2">
      <c r="A4642" s="19" t="s">
        <v>166</v>
      </c>
      <c r="B4642" s="19">
        <v>11.09</v>
      </c>
      <c r="C4642" s="19">
        <v>1</v>
      </c>
      <c r="D4642" s="19">
        <v>5.4340999999999999</v>
      </c>
    </row>
    <row r="4643" spans="1:4" x14ac:dyDescent="0.2">
      <c r="A4643" s="19" t="s">
        <v>171</v>
      </c>
      <c r="B4643" s="19">
        <v>3.1680000000000006</v>
      </c>
      <c r="C4643" s="19">
        <v>4</v>
      </c>
      <c r="D4643" s="19">
        <v>-2.5343999999999998</v>
      </c>
    </row>
    <row r="4644" spans="1:4" x14ac:dyDescent="0.2">
      <c r="A4644" s="19" t="s">
        <v>171</v>
      </c>
      <c r="B4644" s="19">
        <v>579.13599999999997</v>
      </c>
      <c r="C4644" s="19">
        <v>4</v>
      </c>
      <c r="D4644" s="19">
        <v>-28.95679999999993</v>
      </c>
    </row>
    <row r="4645" spans="1:4" x14ac:dyDescent="0.2">
      <c r="A4645" s="19" t="s">
        <v>153</v>
      </c>
      <c r="B4645" s="19">
        <v>6.3680000000000003</v>
      </c>
      <c r="C4645" s="19">
        <v>2</v>
      </c>
      <c r="D4645" s="19">
        <v>2.1492</v>
      </c>
    </row>
    <row r="4646" spans="1:4" x14ac:dyDescent="0.2">
      <c r="A4646" s="19" t="s">
        <v>153</v>
      </c>
      <c r="B4646" s="19">
        <v>558.4</v>
      </c>
      <c r="C4646" s="19">
        <v>2</v>
      </c>
      <c r="D4646" s="19">
        <v>41.880000000000024</v>
      </c>
    </row>
    <row r="4647" spans="1:4" x14ac:dyDescent="0.2">
      <c r="A4647" s="19" t="s">
        <v>164</v>
      </c>
      <c r="B4647" s="19">
        <v>145.76400000000001</v>
      </c>
      <c r="C4647" s="19">
        <v>2</v>
      </c>
      <c r="D4647" s="19">
        <v>-8.0980000000000167</v>
      </c>
    </row>
    <row r="4648" spans="1:4" x14ac:dyDescent="0.2">
      <c r="A4648" s="19" t="s">
        <v>166</v>
      </c>
      <c r="B4648" s="19">
        <v>13.620000000000001</v>
      </c>
      <c r="C4648" s="19">
        <v>3</v>
      </c>
      <c r="D4648" s="19">
        <v>6.1289999999999996</v>
      </c>
    </row>
    <row r="4649" spans="1:4" x14ac:dyDescent="0.2">
      <c r="A4649" s="19" t="s">
        <v>164</v>
      </c>
      <c r="B4649" s="19">
        <v>434.64600000000002</v>
      </c>
      <c r="C4649" s="19">
        <v>3</v>
      </c>
      <c r="D4649" s="19">
        <v>62.782199999999975</v>
      </c>
    </row>
    <row r="4650" spans="1:4" x14ac:dyDescent="0.2">
      <c r="A4650" s="19" t="s">
        <v>153</v>
      </c>
      <c r="B4650" s="19">
        <v>440.18999999999994</v>
      </c>
      <c r="C4650" s="19">
        <v>9</v>
      </c>
      <c r="D4650" s="19">
        <v>206.88929999999996</v>
      </c>
    </row>
    <row r="4651" spans="1:4" x14ac:dyDescent="0.2">
      <c r="A4651" s="19" t="s">
        <v>153</v>
      </c>
      <c r="B4651" s="19">
        <v>64.400000000000006</v>
      </c>
      <c r="C4651" s="19">
        <v>5</v>
      </c>
      <c r="D4651" s="19">
        <v>1.9320000000000004</v>
      </c>
    </row>
    <row r="4652" spans="1:4" x14ac:dyDescent="0.2">
      <c r="A4652" s="19" t="s">
        <v>150</v>
      </c>
      <c r="B4652" s="19">
        <v>244.54999999999998</v>
      </c>
      <c r="C4652" s="19">
        <v>5</v>
      </c>
      <c r="D4652" s="19">
        <v>114.93849999999998</v>
      </c>
    </row>
    <row r="4653" spans="1:4" x14ac:dyDescent="0.2">
      <c r="A4653" s="19" t="s">
        <v>150</v>
      </c>
      <c r="B4653" s="19">
        <v>195.76</v>
      </c>
      <c r="C4653" s="19">
        <v>4</v>
      </c>
      <c r="D4653" s="19">
        <v>97.88</v>
      </c>
    </row>
    <row r="4654" spans="1:4" x14ac:dyDescent="0.2">
      <c r="A4654" s="19" t="s">
        <v>179</v>
      </c>
      <c r="B4654" s="19">
        <v>11.76</v>
      </c>
      <c r="C4654" s="19">
        <v>2</v>
      </c>
      <c r="D4654" s="19">
        <v>5.7623999999999995</v>
      </c>
    </row>
    <row r="4655" spans="1:4" x14ac:dyDescent="0.2">
      <c r="A4655" s="19" t="s">
        <v>179</v>
      </c>
      <c r="B4655" s="19">
        <v>166.45</v>
      </c>
      <c r="C4655" s="19">
        <v>5</v>
      </c>
      <c r="D4655" s="19">
        <v>39.947999999999993</v>
      </c>
    </row>
    <row r="4656" spans="1:4" x14ac:dyDescent="0.2">
      <c r="A4656" s="19" t="s">
        <v>150</v>
      </c>
      <c r="B4656" s="19">
        <v>2.88</v>
      </c>
      <c r="C4656" s="19">
        <v>1</v>
      </c>
      <c r="D4656" s="19">
        <v>1.3535999999999999</v>
      </c>
    </row>
    <row r="4657" spans="1:4" x14ac:dyDescent="0.2">
      <c r="A4657" s="19" t="s">
        <v>159</v>
      </c>
      <c r="B4657" s="19">
        <v>45.248000000000005</v>
      </c>
      <c r="C4657" s="19">
        <v>2</v>
      </c>
      <c r="D4657" s="19">
        <v>3.9591999999999992</v>
      </c>
    </row>
    <row r="4658" spans="1:4" x14ac:dyDescent="0.2">
      <c r="A4658" s="19" t="s">
        <v>158</v>
      </c>
      <c r="B4658" s="19">
        <v>59.903999999999996</v>
      </c>
      <c r="C4658" s="19">
        <v>2</v>
      </c>
      <c r="D4658" s="19">
        <v>14.227200000000003</v>
      </c>
    </row>
    <row r="4659" spans="1:4" x14ac:dyDescent="0.2">
      <c r="A4659" s="19" t="s">
        <v>158</v>
      </c>
      <c r="B4659" s="19">
        <v>23.696000000000002</v>
      </c>
      <c r="C4659" s="19">
        <v>2</v>
      </c>
      <c r="D4659" s="19">
        <v>6.5164</v>
      </c>
    </row>
    <row r="4660" spans="1:4" x14ac:dyDescent="0.2">
      <c r="A4660" s="19" t="s">
        <v>158</v>
      </c>
      <c r="B4660" s="19">
        <v>7.9680000000000009</v>
      </c>
      <c r="C4660" s="19">
        <v>2</v>
      </c>
      <c r="D4660" s="19">
        <v>2.8884000000000007</v>
      </c>
    </row>
    <row r="4661" spans="1:4" x14ac:dyDescent="0.2">
      <c r="A4661" s="19" t="s">
        <v>158</v>
      </c>
      <c r="B4661" s="19">
        <v>18.2</v>
      </c>
      <c r="C4661" s="19">
        <v>7</v>
      </c>
      <c r="D4661" s="19">
        <v>2.0474999999999994</v>
      </c>
    </row>
    <row r="4662" spans="1:4" x14ac:dyDescent="0.2">
      <c r="A4662" s="19" t="s">
        <v>158</v>
      </c>
      <c r="B4662" s="19">
        <v>27.552000000000003</v>
      </c>
      <c r="C4662" s="19">
        <v>3</v>
      </c>
      <c r="D4662" s="19">
        <v>-0.3444000000000047</v>
      </c>
    </row>
    <row r="4663" spans="1:4" x14ac:dyDescent="0.2">
      <c r="A4663" s="19" t="s">
        <v>158</v>
      </c>
      <c r="B4663" s="19">
        <v>844.11599999999987</v>
      </c>
      <c r="C4663" s="19">
        <v>6</v>
      </c>
      <c r="D4663" s="19">
        <v>-36.176400000000001</v>
      </c>
    </row>
    <row r="4664" spans="1:4" x14ac:dyDescent="0.2">
      <c r="A4664" s="19" t="s">
        <v>158</v>
      </c>
      <c r="B4664" s="19">
        <v>76.75200000000001</v>
      </c>
      <c r="C4664" s="19">
        <v>3</v>
      </c>
      <c r="D4664" s="19">
        <v>-9.5940000000000012</v>
      </c>
    </row>
    <row r="4665" spans="1:4" x14ac:dyDescent="0.2">
      <c r="A4665" s="19" t="s">
        <v>151</v>
      </c>
      <c r="B4665" s="19">
        <v>3</v>
      </c>
      <c r="C4665" s="19">
        <v>1</v>
      </c>
      <c r="D4665" s="19">
        <v>1.0499999999999998</v>
      </c>
    </row>
    <row r="4666" spans="1:4" x14ac:dyDescent="0.2">
      <c r="A4666" s="19" t="s">
        <v>151</v>
      </c>
      <c r="B4666" s="19">
        <v>7.5060000000000002</v>
      </c>
      <c r="C4666" s="19">
        <v>9</v>
      </c>
      <c r="D4666" s="19">
        <v>-6.0047999999999977</v>
      </c>
    </row>
    <row r="4667" spans="1:4" x14ac:dyDescent="0.2">
      <c r="A4667" s="19" t="s">
        <v>151</v>
      </c>
      <c r="B4667" s="19">
        <v>16.559999999999999</v>
      </c>
      <c r="C4667" s="19">
        <v>2</v>
      </c>
      <c r="D4667" s="19">
        <v>5.7960000000000003</v>
      </c>
    </row>
    <row r="4668" spans="1:4" x14ac:dyDescent="0.2">
      <c r="A4668" s="19" t="s">
        <v>153</v>
      </c>
      <c r="B4668" s="19">
        <v>79.92</v>
      </c>
      <c r="C4668" s="19">
        <v>4</v>
      </c>
      <c r="D4668" s="19">
        <v>34.365600000000008</v>
      </c>
    </row>
    <row r="4669" spans="1:4" x14ac:dyDescent="0.2">
      <c r="A4669" s="19" t="s">
        <v>153</v>
      </c>
      <c r="B4669" s="19">
        <v>69.98</v>
      </c>
      <c r="C4669" s="19">
        <v>2</v>
      </c>
      <c r="D4669" s="19">
        <v>13.296199999999999</v>
      </c>
    </row>
    <row r="4670" spans="1:4" x14ac:dyDescent="0.2">
      <c r="A4670" s="19" t="s">
        <v>154</v>
      </c>
      <c r="B4670" s="19">
        <v>11.059999999999999</v>
      </c>
      <c r="C4670" s="19">
        <v>10</v>
      </c>
      <c r="D4670" s="19">
        <v>-18.802</v>
      </c>
    </row>
    <row r="4671" spans="1:4" x14ac:dyDescent="0.2">
      <c r="A4671" s="19" t="s">
        <v>154</v>
      </c>
      <c r="B4671" s="19">
        <v>623.46479999999997</v>
      </c>
      <c r="C4671" s="19">
        <v>7</v>
      </c>
      <c r="D4671" s="19">
        <v>-119.19180000000006</v>
      </c>
    </row>
    <row r="4672" spans="1:4" x14ac:dyDescent="0.2">
      <c r="A4672" s="19" t="s">
        <v>154</v>
      </c>
      <c r="B4672" s="19">
        <v>772.68000000000006</v>
      </c>
      <c r="C4672" s="19">
        <v>5</v>
      </c>
      <c r="D4672" s="19">
        <v>-57.950999999999993</v>
      </c>
    </row>
    <row r="4673" spans="1:4" x14ac:dyDescent="0.2">
      <c r="A4673" s="19" t="s">
        <v>161</v>
      </c>
      <c r="B4673" s="19">
        <v>283.14000000000004</v>
      </c>
      <c r="C4673" s="19">
        <v>4</v>
      </c>
      <c r="D4673" s="19">
        <v>72.357999999999976</v>
      </c>
    </row>
    <row r="4674" spans="1:4" x14ac:dyDescent="0.2">
      <c r="A4674" s="19" t="s">
        <v>161</v>
      </c>
      <c r="B4674" s="19">
        <v>635.96</v>
      </c>
      <c r="C4674" s="19">
        <v>4</v>
      </c>
      <c r="D4674" s="19">
        <v>165.34960000000001</v>
      </c>
    </row>
    <row r="4675" spans="1:4" x14ac:dyDescent="0.2">
      <c r="A4675" s="19" t="s">
        <v>161</v>
      </c>
      <c r="B4675" s="19">
        <v>118.99</v>
      </c>
      <c r="C4675" s="19">
        <v>1</v>
      </c>
      <c r="D4675" s="19">
        <v>33.3172</v>
      </c>
    </row>
    <row r="4676" spans="1:4" x14ac:dyDescent="0.2">
      <c r="A4676" s="19" t="s">
        <v>161</v>
      </c>
      <c r="B4676" s="19">
        <v>272.94</v>
      </c>
      <c r="C4676" s="19">
        <v>3</v>
      </c>
      <c r="D4676" s="19">
        <v>30.023400000000009</v>
      </c>
    </row>
    <row r="4677" spans="1:4" x14ac:dyDescent="0.2">
      <c r="A4677" s="19" t="s">
        <v>158</v>
      </c>
      <c r="B4677" s="19">
        <v>15.008000000000003</v>
      </c>
      <c r="C4677" s="19">
        <v>2</v>
      </c>
      <c r="D4677" s="19">
        <v>1.5007999999999999</v>
      </c>
    </row>
    <row r="4678" spans="1:4" x14ac:dyDescent="0.2">
      <c r="A4678" s="19" t="s">
        <v>156</v>
      </c>
      <c r="B4678" s="19">
        <v>33.088000000000001</v>
      </c>
      <c r="C4678" s="19">
        <v>4</v>
      </c>
      <c r="D4678" s="19">
        <v>11.167199999999999</v>
      </c>
    </row>
    <row r="4679" spans="1:4" x14ac:dyDescent="0.2">
      <c r="A4679" s="19" t="s">
        <v>156</v>
      </c>
      <c r="B4679" s="19">
        <v>80.98</v>
      </c>
      <c r="C4679" s="19">
        <v>1</v>
      </c>
      <c r="D4679" s="19">
        <v>3.2391999999999967</v>
      </c>
    </row>
    <row r="4680" spans="1:4" x14ac:dyDescent="0.2">
      <c r="A4680" s="19" t="s">
        <v>156</v>
      </c>
      <c r="B4680" s="19">
        <v>82.800000000000011</v>
      </c>
      <c r="C4680" s="19">
        <v>12</v>
      </c>
      <c r="D4680" s="19">
        <v>6.6239999999999952</v>
      </c>
    </row>
    <row r="4681" spans="1:4" x14ac:dyDescent="0.2">
      <c r="A4681" s="19" t="s">
        <v>156</v>
      </c>
      <c r="B4681" s="19">
        <v>21.36</v>
      </c>
      <c r="C4681" s="19">
        <v>2</v>
      </c>
      <c r="D4681" s="19">
        <v>5.7672000000000008</v>
      </c>
    </row>
    <row r="4682" spans="1:4" x14ac:dyDescent="0.2">
      <c r="A4682" s="19" t="s">
        <v>156</v>
      </c>
      <c r="B4682" s="19">
        <v>62.048000000000002</v>
      </c>
      <c r="C4682" s="19">
        <v>2</v>
      </c>
      <c r="D4682" s="19">
        <v>20.165599999999998</v>
      </c>
    </row>
    <row r="4683" spans="1:4" x14ac:dyDescent="0.2">
      <c r="A4683" s="19" t="s">
        <v>164</v>
      </c>
      <c r="B4683" s="19">
        <v>29.61</v>
      </c>
      <c r="C4683" s="19">
        <v>9</v>
      </c>
      <c r="D4683" s="19">
        <v>13.324499999999999</v>
      </c>
    </row>
    <row r="4684" spans="1:4" x14ac:dyDescent="0.2">
      <c r="A4684" s="19" t="s">
        <v>152</v>
      </c>
      <c r="B4684" s="19">
        <v>863.928</v>
      </c>
      <c r="C4684" s="19">
        <v>9</v>
      </c>
      <c r="D4684" s="19">
        <v>86.392799999999994</v>
      </c>
    </row>
    <row r="4685" spans="1:4" x14ac:dyDescent="0.2">
      <c r="A4685" s="19" t="s">
        <v>158</v>
      </c>
      <c r="B4685" s="19">
        <v>241.92</v>
      </c>
      <c r="C4685" s="19">
        <v>4</v>
      </c>
      <c r="D4685" s="19">
        <v>-56.448000000000008</v>
      </c>
    </row>
    <row r="4686" spans="1:4" x14ac:dyDescent="0.2">
      <c r="A4686" s="19" t="s">
        <v>158</v>
      </c>
      <c r="B4686" s="19">
        <v>163.88</v>
      </c>
      <c r="C4686" s="19">
        <v>4</v>
      </c>
      <c r="D4686" s="19">
        <v>-81.94</v>
      </c>
    </row>
    <row r="4687" spans="1:4" x14ac:dyDescent="0.2">
      <c r="A4687" s="19" t="s">
        <v>158</v>
      </c>
      <c r="B4687" s="19">
        <v>3.4860000000000002</v>
      </c>
      <c r="C4687" s="19">
        <v>2</v>
      </c>
      <c r="D4687" s="19">
        <v>-2.7887999999999993</v>
      </c>
    </row>
    <row r="4688" spans="1:4" x14ac:dyDescent="0.2">
      <c r="A4688" s="19" t="s">
        <v>158</v>
      </c>
      <c r="B4688" s="19">
        <v>10.584</v>
      </c>
      <c r="C4688" s="19">
        <v>7</v>
      </c>
      <c r="D4688" s="19">
        <v>-2.3813999999999993</v>
      </c>
    </row>
    <row r="4689" spans="1:4" x14ac:dyDescent="0.2">
      <c r="A4689" s="19" t="s">
        <v>163</v>
      </c>
      <c r="B4689" s="19">
        <v>440.91</v>
      </c>
      <c r="C4689" s="19">
        <v>9</v>
      </c>
      <c r="D4689" s="19">
        <v>123.45480000000005</v>
      </c>
    </row>
    <row r="4690" spans="1:4" x14ac:dyDescent="0.2">
      <c r="A4690" s="19" t="s">
        <v>158</v>
      </c>
      <c r="B4690" s="19">
        <v>5.7150000000000016</v>
      </c>
      <c r="C4690" s="19">
        <v>5</v>
      </c>
      <c r="D4690" s="19">
        <v>-4.7625000000000011</v>
      </c>
    </row>
    <row r="4691" spans="1:4" x14ac:dyDescent="0.2">
      <c r="A4691" s="19" t="s">
        <v>165</v>
      </c>
      <c r="B4691" s="19">
        <v>51.967999999999996</v>
      </c>
      <c r="C4691" s="19">
        <v>2</v>
      </c>
      <c r="D4691" s="19">
        <v>10.393599999999998</v>
      </c>
    </row>
    <row r="4692" spans="1:4" x14ac:dyDescent="0.2">
      <c r="A4692" s="19" t="s">
        <v>165</v>
      </c>
      <c r="B4692" s="19">
        <v>71.975999999999999</v>
      </c>
      <c r="C4692" s="19">
        <v>3</v>
      </c>
      <c r="D4692" s="19">
        <v>21.592800000000011</v>
      </c>
    </row>
    <row r="4693" spans="1:4" x14ac:dyDescent="0.2">
      <c r="A4693" s="19" t="s">
        <v>165</v>
      </c>
      <c r="B4693" s="19">
        <v>242.35200000000003</v>
      </c>
      <c r="C4693" s="19">
        <v>3</v>
      </c>
      <c r="D4693" s="19">
        <v>-42.411600000000035</v>
      </c>
    </row>
    <row r="4694" spans="1:4" x14ac:dyDescent="0.2">
      <c r="A4694" s="19" t="s">
        <v>165</v>
      </c>
      <c r="B4694" s="19">
        <v>221.92000000000002</v>
      </c>
      <c r="C4694" s="19">
        <v>5</v>
      </c>
      <c r="D4694" s="19">
        <v>77.671999999999983</v>
      </c>
    </row>
    <row r="4695" spans="1:4" x14ac:dyDescent="0.2">
      <c r="A4695" s="19" t="s">
        <v>165</v>
      </c>
      <c r="B4695" s="19">
        <v>8.4480000000000004</v>
      </c>
      <c r="C4695" s="19">
        <v>2</v>
      </c>
      <c r="D4695" s="19">
        <v>2.6399999999999997</v>
      </c>
    </row>
    <row r="4696" spans="1:4" x14ac:dyDescent="0.2">
      <c r="A4696" s="19" t="s">
        <v>161</v>
      </c>
      <c r="B4696" s="19">
        <v>29.52</v>
      </c>
      <c r="C4696" s="19">
        <v>4</v>
      </c>
      <c r="D4696" s="19">
        <v>14.4648</v>
      </c>
    </row>
    <row r="4697" spans="1:4" x14ac:dyDescent="0.2">
      <c r="A4697" s="19" t="s">
        <v>161</v>
      </c>
      <c r="B4697" s="19">
        <v>302.94</v>
      </c>
      <c r="C4697" s="19">
        <v>3</v>
      </c>
      <c r="D4697" s="19">
        <v>48.470400000000012</v>
      </c>
    </row>
    <row r="4698" spans="1:4" x14ac:dyDescent="0.2">
      <c r="A4698" s="19" t="s">
        <v>161</v>
      </c>
      <c r="B4698" s="19">
        <v>142.36000000000001</v>
      </c>
      <c r="C4698" s="19">
        <v>2</v>
      </c>
      <c r="D4698" s="19">
        <v>38.437200000000004</v>
      </c>
    </row>
    <row r="4699" spans="1:4" x14ac:dyDescent="0.2">
      <c r="A4699" s="19" t="s">
        <v>161</v>
      </c>
      <c r="B4699" s="19">
        <v>546.66</v>
      </c>
      <c r="C4699" s="19">
        <v>9</v>
      </c>
      <c r="D4699" s="19">
        <v>136.66500000000002</v>
      </c>
    </row>
    <row r="4700" spans="1:4" x14ac:dyDescent="0.2">
      <c r="A4700" s="19" t="s">
        <v>161</v>
      </c>
      <c r="B4700" s="19">
        <v>212.13</v>
      </c>
      <c r="C4700" s="19">
        <v>3</v>
      </c>
      <c r="D4700" s="19">
        <v>14.849099999999979</v>
      </c>
    </row>
    <row r="4701" spans="1:4" x14ac:dyDescent="0.2">
      <c r="A4701" s="19" t="s">
        <v>154</v>
      </c>
      <c r="B4701" s="19">
        <v>5.2480000000000002</v>
      </c>
      <c r="C4701" s="19">
        <v>2</v>
      </c>
      <c r="D4701" s="19">
        <v>0.59039999999999915</v>
      </c>
    </row>
    <row r="4702" spans="1:4" x14ac:dyDescent="0.2">
      <c r="A4702" s="19" t="s">
        <v>154</v>
      </c>
      <c r="B4702" s="19">
        <v>74.415999999999997</v>
      </c>
      <c r="C4702" s="19">
        <v>2</v>
      </c>
      <c r="D4702" s="19">
        <v>-14.883200000000002</v>
      </c>
    </row>
    <row r="4703" spans="1:4" x14ac:dyDescent="0.2">
      <c r="A4703" s="19" t="s">
        <v>154</v>
      </c>
      <c r="B4703" s="19">
        <v>6.8480000000000008</v>
      </c>
      <c r="C4703" s="19">
        <v>2</v>
      </c>
      <c r="D4703" s="19">
        <v>2.1399999999999992</v>
      </c>
    </row>
    <row r="4704" spans="1:4" x14ac:dyDescent="0.2">
      <c r="A4704" s="19" t="s">
        <v>154</v>
      </c>
      <c r="B4704" s="19">
        <v>7.9959999999999996</v>
      </c>
      <c r="C4704" s="19">
        <v>1</v>
      </c>
      <c r="D4704" s="19">
        <v>-6.9964999999999993</v>
      </c>
    </row>
    <row r="4705" spans="1:4" x14ac:dyDescent="0.2">
      <c r="A4705" s="19" t="s">
        <v>154</v>
      </c>
      <c r="B4705" s="19">
        <v>8.711999999999998</v>
      </c>
      <c r="C4705" s="19">
        <v>2</v>
      </c>
      <c r="D4705" s="19">
        <v>-19.602000000000007</v>
      </c>
    </row>
    <row r="4706" spans="1:4" x14ac:dyDescent="0.2">
      <c r="A4706" s="19" t="s">
        <v>178</v>
      </c>
      <c r="B4706" s="19">
        <v>65.17</v>
      </c>
      <c r="C4706" s="19">
        <v>7</v>
      </c>
      <c r="D4706" s="19">
        <v>18.899299999999997</v>
      </c>
    </row>
    <row r="4707" spans="1:4" x14ac:dyDescent="0.2">
      <c r="A4707" s="19" t="s">
        <v>178</v>
      </c>
      <c r="B4707" s="19">
        <v>14.62</v>
      </c>
      <c r="C4707" s="19">
        <v>2</v>
      </c>
      <c r="D4707" s="19">
        <v>6.8713999999999995</v>
      </c>
    </row>
    <row r="4708" spans="1:4" x14ac:dyDescent="0.2">
      <c r="A4708" s="19" t="s">
        <v>178</v>
      </c>
      <c r="B4708" s="19">
        <v>173.24</v>
      </c>
      <c r="C4708" s="19">
        <v>4</v>
      </c>
      <c r="D4708" s="19">
        <v>17.323999999999984</v>
      </c>
    </row>
    <row r="4709" spans="1:4" x14ac:dyDescent="0.2">
      <c r="A4709" s="19" t="s">
        <v>150</v>
      </c>
      <c r="B4709" s="19">
        <v>895.92</v>
      </c>
      <c r="C4709" s="19">
        <v>5</v>
      </c>
      <c r="D4709" s="19">
        <v>302.37299999999993</v>
      </c>
    </row>
    <row r="4710" spans="1:4" x14ac:dyDescent="0.2">
      <c r="A4710" s="19" t="s">
        <v>150</v>
      </c>
      <c r="B4710" s="19">
        <v>130.71</v>
      </c>
      <c r="C4710" s="19">
        <v>3</v>
      </c>
      <c r="D4710" s="19">
        <v>39.212999999999994</v>
      </c>
    </row>
    <row r="4711" spans="1:4" x14ac:dyDescent="0.2">
      <c r="A4711" s="19" t="s">
        <v>150</v>
      </c>
      <c r="B4711" s="19">
        <v>11.68</v>
      </c>
      <c r="C4711" s="19">
        <v>2</v>
      </c>
      <c r="D4711" s="19">
        <v>3.0367999999999995</v>
      </c>
    </row>
    <row r="4712" spans="1:4" x14ac:dyDescent="0.2">
      <c r="A4712" s="19" t="s">
        <v>150</v>
      </c>
      <c r="B4712" s="19">
        <v>62.31</v>
      </c>
      <c r="C4712" s="19">
        <v>3</v>
      </c>
      <c r="D4712" s="19">
        <v>22.4316</v>
      </c>
    </row>
    <row r="4713" spans="1:4" x14ac:dyDescent="0.2">
      <c r="A4713" s="19" t="s">
        <v>158</v>
      </c>
      <c r="B4713" s="19">
        <v>0.85200000000000009</v>
      </c>
      <c r="C4713" s="19">
        <v>1</v>
      </c>
      <c r="D4713" s="19">
        <v>-0.59639999999999982</v>
      </c>
    </row>
    <row r="4714" spans="1:4" x14ac:dyDescent="0.2">
      <c r="A4714" s="19" t="s">
        <v>154</v>
      </c>
      <c r="B4714" s="19">
        <v>36.288000000000011</v>
      </c>
      <c r="C4714" s="19">
        <v>7</v>
      </c>
      <c r="D4714" s="19">
        <v>12.700800000000001</v>
      </c>
    </row>
    <row r="4715" spans="1:4" x14ac:dyDescent="0.2">
      <c r="A4715" s="19" t="s">
        <v>154</v>
      </c>
      <c r="B4715" s="19">
        <v>56.567999999999998</v>
      </c>
      <c r="C4715" s="19">
        <v>2</v>
      </c>
      <c r="D4715" s="19">
        <v>-74.952600000000004</v>
      </c>
    </row>
    <row r="4716" spans="1:4" x14ac:dyDescent="0.2">
      <c r="A4716" s="19" t="s">
        <v>170</v>
      </c>
      <c r="B4716" s="19">
        <v>344.70400000000001</v>
      </c>
      <c r="C4716" s="19">
        <v>2</v>
      </c>
      <c r="D4716" s="19">
        <v>38.779199999999989</v>
      </c>
    </row>
    <row r="4717" spans="1:4" x14ac:dyDescent="0.2">
      <c r="A4717" s="19" t="s">
        <v>171</v>
      </c>
      <c r="B4717" s="19">
        <v>201.584</v>
      </c>
      <c r="C4717" s="19">
        <v>2</v>
      </c>
      <c r="D4717" s="19">
        <v>20.158400000000015</v>
      </c>
    </row>
    <row r="4718" spans="1:4" x14ac:dyDescent="0.2">
      <c r="A4718" s="19" t="s">
        <v>153</v>
      </c>
      <c r="B4718" s="19">
        <v>521.96</v>
      </c>
      <c r="C4718" s="19">
        <v>2</v>
      </c>
      <c r="D4718" s="19">
        <v>88.733199999999954</v>
      </c>
    </row>
    <row r="4719" spans="1:4" x14ac:dyDescent="0.2">
      <c r="A4719" s="19" t="s">
        <v>187</v>
      </c>
      <c r="B4719" s="19">
        <v>8.2200000000000006</v>
      </c>
      <c r="C4719" s="19">
        <v>3</v>
      </c>
      <c r="D4719" s="19">
        <v>2.2194000000000007</v>
      </c>
    </row>
    <row r="4720" spans="1:4" x14ac:dyDescent="0.2">
      <c r="A4720" s="19" t="s">
        <v>150</v>
      </c>
      <c r="B4720" s="19">
        <v>45.36</v>
      </c>
      <c r="C4720" s="19">
        <v>7</v>
      </c>
      <c r="D4720" s="19">
        <v>21.772800000000004</v>
      </c>
    </row>
    <row r="4721" spans="1:4" x14ac:dyDescent="0.2">
      <c r="A4721" s="19" t="s">
        <v>150</v>
      </c>
      <c r="B4721" s="19">
        <v>947.17000000000007</v>
      </c>
      <c r="C4721" s="19">
        <v>7</v>
      </c>
      <c r="D4721" s="19">
        <v>9.4717000000000837</v>
      </c>
    </row>
    <row r="4722" spans="1:4" x14ac:dyDescent="0.2">
      <c r="A4722" s="19" t="s">
        <v>150</v>
      </c>
      <c r="B4722" s="19">
        <v>61.96</v>
      </c>
      <c r="C4722" s="19">
        <v>2</v>
      </c>
      <c r="D4722" s="19">
        <v>27.881999999999998</v>
      </c>
    </row>
    <row r="4723" spans="1:4" x14ac:dyDescent="0.2">
      <c r="A4723" s="19" t="s">
        <v>159</v>
      </c>
      <c r="B4723" s="19">
        <v>268.935</v>
      </c>
      <c r="C4723" s="19">
        <v>3</v>
      </c>
      <c r="D4723" s="19">
        <v>-209.76929999999999</v>
      </c>
    </row>
    <row r="4724" spans="1:4" x14ac:dyDescent="0.2">
      <c r="A4724" s="19" t="s">
        <v>153</v>
      </c>
      <c r="B4724" s="19">
        <v>7.58</v>
      </c>
      <c r="C4724" s="19">
        <v>1</v>
      </c>
      <c r="D4724" s="19">
        <v>2.9561999999999999</v>
      </c>
    </row>
    <row r="4725" spans="1:4" x14ac:dyDescent="0.2">
      <c r="A4725" s="19" t="s">
        <v>101</v>
      </c>
      <c r="B4725" s="19">
        <v>14.73</v>
      </c>
      <c r="C4725" s="19">
        <v>3</v>
      </c>
      <c r="D4725" s="19">
        <v>7.2176999999999998</v>
      </c>
    </row>
    <row r="4726" spans="1:4" x14ac:dyDescent="0.2">
      <c r="A4726" s="19" t="s">
        <v>151</v>
      </c>
      <c r="B4726" s="19">
        <v>9.8880000000000017</v>
      </c>
      <c r="C4726" s="19">
        <v>2</v>
      </c>
      <c r="D4726" s="19">
        <v>-6.921599999999998</v>
      </c>
    </row>
    <row r="4727" spans="1:4" x14ac:dyDescent="0.2">
      <c r="A4727" s="19" t="s">
        <v>151</v>
      </c>
      <c r="B4727" s="19">
        <v>671.5440000000001</v>
      </c>
      <c r="C4727" s="19">
        <v>3</v>
      </c>
      <c r="D4727" s="19">
        <v>50.36579999999995</v>
      </c>
    </row>
    <row r="4728" spans="1:4" x14ac:dyDescent="0.2">
      <c r="A4728" s="19" t="s">
        <v>164</v>
      </c>
      <c r="B4728" s="19">
        <v>1117.92</v>
      </c>
      <c r="C4728" s="19">
        <v>4</v>
      </c>
      <c r="D4728" s="19">
        <v>55.895999999999958</v>
      </c>
    </row>
    <row r="4729" spans="1:4" x14ac:dyDescent="0.2">
      <c r="A4729" s="19" t="s">
        <v>164</v>
      </c>
      <c r="B4729" s="19">
        <v>275.952</v>
      </c>
      <c r="C4729" s="19">
        <v>3</v>
      </c>
      <c r="D4729" s="19">
        <v>-37.943400000000025</v>
      </c>
    </row>
    <row r="4730" spans="1:4" x14ac:dyDescent="0.2">
      <c r="A4730" s="19" t="s">
        <v>150</v>
      </c>
      <c r="B4730" s="19">
        <v>123.14399999999999</v>
      </c>
      <c r="C4730" s="19">
        <v>7</v>
      </c>
      <c r="D4730" s="19">
        <v>46.178999999999988</v>
      </c>
    </row>
    <row r="4731" spans="1:4" x14ac:dyDescent="0.2">
      <c r="A4731" s="19" t="s">
        <v>154</v>
      </c>
      <c r="B4731" s="19">
        <v>15.576000000000001</v>
      </c>
      <c r="C4731" s="19">
        <v>3</v>
      </c>
      <c r="D4731" s="19">
        <v>3.3098999999999998</v>
      </c>
    </row>
    <row r="4732" spans="1:4" x14ac:dyDescent="0.2">
      <c r="A4732" s="19" t="s">
        <v>150</v>
      </c>
      <c r="B4732" s="19">
        <v>212.64</v>
      </c>
      <c r="C4732" s="19">
        <v>6</v>
      </c>
      <c r="D4732" s="19">
        <v>99.940799999999982</v>
      </c>
    </row>
    <row r="4733" spans="1:4" x14ac:dyDescent="0.2">
      <c r="A4733" s="19" t="s">
        <v>150</v>
      </c>
      <c r="B4733" s="19">
        <v>9.870000000000001</v>
      </c>
      <c r="C4733" s="19">
        <v>3</v>
      </c>
      <c r="D4733" s="19">
        <v>4.5401999999999996</v>
      </c>
    </row>
    <row r="4734" spans="1:4" x14ac:dyDescent="0.2">
      <c r="A4734" s="19" t="s">
        <v>150</v>
      </c>
      <c r="B4734" s="19">
        <v>53.25</v>
      </c>
      <c r="C4734" s="19">
        <v>3</v>
      </c>
      <c r="D4734" s="19">
        <v>20.767499999999998</v>
      </c>
    </row>
    <row r="4735" spans="1:4" x14ac:dyDescent="0.2">
      <c r="A4735" s="19" t="s">
        <v>150</v>
      </c>
      <c r="B4735" s="19">
        <v>19.919999999999998</v>
      </c>
      <c r="C4735" s="19">
        <v>3</v>
      </c>
      <c r="D4735" s="19">
        <v>9.5615999999999985</v>
      </c>
    </row>
    <row r="4736" spans="1:4" x14ac:dyDescent="0.2">
      <c r="A4736" s="19" t="s">
        <v>164</v>
      </c>
      <c r="B4736" s="19">
        <v>658.74599999999998</v>
      </c>
      <c r="C4736" s="19">
        <v>3</v>
      </c>
      <c r="D4736" s="19">
        <v>146.38799999999998</v>
      </c>
    </row>
    <row r="4737" spans="1:4" x14ac:dyDescent="0.2">
      <c r="A4737" s="19" t="s">
        <v>191</v>
      </c>
      <c r="B4737" s="19">
        <v>8.26</v>
      </c>
      <c r="C4737" s="19">
        <v>2</v>
      </c>
      <c r="D4737" s="19">
        <v>3.8822000000000001</v>
      </c>
    </row>
    <row r="4738" spans="1:4" x14ac:dyDescent="0.2">
      <c r="A4738" s="19" t="s">
        <v>191</v>
      </c>
      <c r="B4738" s="19">
        <v>29.84</v>
      </c>
      <c r="C4738" s="19">
        <v>2</v>
      </c>
      <c r="D4738" s="19">
        <v>13.427999999999997</v>
      </c>
    </row>
    <row r="4739" spans="1:4" x14ac:dyDescent="0.2">
      <c r="A4739" s="19" t="s">
        <v>191</v>
      </c>
      <c r="B4739" s="19">
        <v>67.98</v>
      </c>
      <c r="C4739" s="19">
        <v>2</v>
      </c>
      <c r="D4739" s="19">
        <v>14.955599999999997</v>
      </c>
    </row>
    <row r="4740" spans="1:4" x14ac:dyDescent="0.2">
      <c r="A4740" s="19" t="s">
        <v>150</v>
      </c>
      <c r="B4740" s="19">
        <v>61.06</v>
      </c>
      <c r="C4740" s="19">
        <v>2</v>
      </c>
      <c r="D4740" s="19">
        <v>28.087600000000002</v>
      </c>
    </row>
    <row r="4741" spans="1:4" x14ac:dyDescent="0.2">
      <c r="A4741" s="19" t="s">
        <v>150</v>
      </c>
      <c r="B4741" s="19">
        <v>35.544000000000004</v>
      </c>
      <c r="C4741" s="19">
        <v>1</v>
      </c>
      <c r="D4741" s="19">
        <v>-0.88860000000000205</v>
      </c>
    </row>
    <row r="4742" spans="1:4" x14ac:dyDescent="0.2">
      <c r="A4742" s="19" t="s">
        <v>153</v>
      </c>
      <c r="B4742" s="19">
        <v>9.9600000000000009</v>
      </c>
      <c r="C4742" s="19">
        <v>2</v>
      </c>
      <c r="D4742" s="19">
        <v>4.5815999999999999</v>
      </c>
    </row>
    <row r="4743" spans="1:4" x14ac:dyDescent="0.2">
      <c r="A4743" s="19" t="s">
        <v>153</v>
      </c>
      <c r="B4743" s="19">
        <v>9.2099999999999991</v>
      </c>
      <c r="C4743" s="19">
        <v>3</v>
      </c>
      <c r="D4743" s="19">
        <v>2.3025000000000002</v>
      </c>
    </row>
    <row r="4744" spans="1:4" x14ac:dyDescent="0.2">
      <c r="A4744" s="19" t="s">
        <v>153</v>
      </c>
      <c r="B4744" s="19">
        <v>27.93</v>
      </c>
      <c r="C4744" s="19">
        <v>3</v>
      </c>
      <c r="D4744" s="19">
        <v>8.0996999999999986</v>
      </c>
    </row>
    <row r="4745" spans="1:4" x14ac:dyDescent="0.2">
      <c r="A4745" s="19" t="s">
        <v>160</v>
      </c>
      <c r="B4745" s="19">
        <v>7.9</v>
      </c>
      <c r="C4745" s="19">
        <v>2</v>
      </c>
      <c r="D4745" s="19">
        <v>2.5279999999999996</v>
      </c>
    </row>
    <row r="4746" spans="1:4" x14ac:dyDescent="0.2">
      <c r="A4746" s="19" t="s">
        <v>160</v>
      </c>
      <c r="B4746" s="19">
        <v>221.16</v>
      </c>
      <c r="C4746" s="19">
        <v>4</v>
      </c>
      <c r="D4746" s="19">
        <v>57.501599999999996</v>
      </c>
    </row>
    <row r="4747" spans="1:4" x14ac:dyDescent="0.2">
      <c r="A4747" s="19" t="s">
        <v>160</v>
      </c>
      <c r="B4747" s="19">
        <v>127.96</v>
      </c>
      <c r="C4747" s="19">
        <v>2</v>
      </c>
      <c r="D4747" s="19">
        <v>62.700400000000002</v>
      </c>
    </row>
    <row r="4748" spans="1:4" x14ac:dyDescent="0.2">
      <c r="A4748" s="19" t="s">
        <v>160</v>
      </c>
      <c r="B4748" s="19">
        <v>18.690000000000001</v>
      </c>
      <c r="C4748" s="19">
        <v>3</v>
      </c>
      <c r="D4748" s="19">
        <v>9.158100000000001</v>
      </c>
    </row>
    <row r="4749" spans="1:4" x14ac:dyDescent="0.2">
      <c r="A4749" s="19" t="s">
        <v>150</v>
      </c>
      <c r="B4749" s="19">
        <v>25.349999999999998</v>
      </c>
      <c r="C4749" s="19">
        <v>3</v>
      </c>
      <c r="D4749" s="19">
        <v>7.6049999999999978</v>
      </c>
    </row>
    <row r="4750" spans="1:4" x14ac:dyDescent="0.2">
      <c r="A4750" s="19" t="s">
        <v>150</v>
      </c>
      <c r="B4750" s="19">
        <v>35.28</v>
      </c>
      <c r="C4750" s="19">
        <v>3</v>
      </c>
      <c r="D4750" s="19">
        <v>11.995199999999997</v>
      </c>
    </row>
    <row r="4751" spans="1:4" x14ac:dyDescent="0.2">
      <c r="A4751" s="19" t="s">
        <v>153</v>
      </c>
      <c r="B4751" s="19">
        <v>33.4</v>
      </c>
      <c r="C4751" s="19">
        <v>5</v>
      </c>
      <c r="D4751" s="19">
        <v>16.032</v>
      </c>
    </row>
    <row r="4752" spans="1:4" x14ac:dyDescent="0.2">
      <c r="A4752" s="19" t="s">
        <v>153</v>
      </c>
      <c r="B4752" s="19">
        <v>837.59999999999991</v>
      </c>
      <c r="C4752" s="19">
        <v>3</v>
      </c>
      <c r="D4752" s="19">
        <v>62.82000000000005</v>
      </c>
    </row>
    <row r="4753" spans="1:4" x14ac:dyDescent="0.2">
      <c r="A4753" s="19" t="s">
        <v>167</v>
      </c>
      <c r="B4753" s="19">
        <v>40.68</v>
      </c>
      <c r="C4753" s="19">
        <v>3</v>
      </c>
      <c r="D4753" s="19">
        <v>-9.153000000000004</v>
      </c>
    </row>
    <row r="4754" spans="1:4" x14ac:dyDescent="0.2">
      <c r="A4754" s="19" t="s">
        <v>167</v>
      </c>
      <c r="B4754" s="19">
        <v>209.56799999999998</v>
      </c>
      <c r="C4754" s="19">
        <v>2</v>
      </c>
      <c r="D4754" s="19">
        <v>-23.576400000000007</v>
      </c>
    </row>
    <row r="4755" spans="1:4" x14ac:dyDescent="0.2">
      <c r="A4755" s="19" t="s">
        <v>154</v>
      </c>
      <c r="B4755" s="19">
        <v>22.368000000000002</v>
      </c>
      <c r="C4755" s="19">
        <v>4</v>
      </c>
      <c r="D4755" s="19">
        <v>6.4308000000000014</v>
      </c>
    </row>
    <row r="4756" spans="1:4" x14ac:dyDescent="0.2">
      <c r="A4756" s="19" t="s">
        <v>151</v>
      </c>
      <c r="B4756" s="19">
        <v>3.8820000000000006</v>
      </c>
      <c r="C4756" s="19">
        <v>2</v>
      </c>
      <c r="D4756" s="19">
        <v>-2.5880000000000001</v>
      </c>
    </row>
    <row r="4757" spans="1:4" x14ac:dyDescent="0.2">
      <c r="A4757" s="19" t="s">
        <v>151</v>
      </c>
      <c r="B4757" s="19">
        <v>115.29600000000001</v>
      </c>
      <c r="C4757" s="19">
        <v>3</v>
      </c>
      <c r="D4757" s="19">
        <v>40.353599999999986</v>
      </c>
    </row>
    <row r="4758" spans="1:4" x14ac:dyDescent="0.2">
      <c r="A4758" s="19" t="s">
        <v>158</v>
      </c>
      <c r="B4758" s="19">
        <v>1.9080000000000004</v>
      </c>
      <c r="C4758" s="19">
        <v>2</v>
      </c>
      <c r="D4758" s="19">
        <v>-1.5264000000000002</v>
      </c>
    </row>
    <row r="4759" spans="1:4" x14ac:dyDescent="0.2">
      <c r="A4759" s="19" t="s">
        <v>159</v>
      </c>
      <c r="B4759" s="19">
        <v>43.371999999999993</v>
      </c>
      <c r="C4759" s="19">
        <v>7</v>
      </c>
      <c r="D4759" s="19">
        <v>-69.395200000000031</v>
      </c>
    </row>
    <row r="4760" spans="1:4" x14ac:dyDescent="0.2">
      <c r="A4760" s="19" t="s">
        <v>164</v>
      </c>
      <c r="B4760" s="19">
        <v>783.96</v>
      </c>
      <c r="C4760" s="19">
        <v>4</v>
      </c>
      <c r="D4760" s="19">
        <v>219.50880000000006</v>
      </c>
    </row>
    <row r="4761" spans="1:4" x14ac:dyDescent="0.2">
      <c r="A4761" s="19" t="s">
        <v>164</v>
      </c>
      <c r="B4761" s="19">
        <v>48.896000000000001</v>
      </c>
      <c r="C4761" s="19">
        <v>2</v>
      </c>
      <c r="D4761" s="19">
        <v>18.335999999999999</v>
      </c>
    </row>
    <row r="4762" spans="1:4" x14ac:dyDescent="0.2">
      <c r="A4762" s="19" t="s">
        <v>164</v>
      </c>
      <c r="B4762" s="19">
        <v>7.8560000000000008</v>
      </c>
      <c r="C4762" s="19">
        <v>2</v>
      </c>
      <c r="D4762" s="19">
        <v>2.8477999999999994</v>
      </c>
    </row>
    <row r="4763" spans="1:4" x14ac:dyDescent="0.2">
      <c r="A4763" s="19" t="s">
        <v>173</v>
      </c>
      <c r="B4763" s="19">
        <v>5.9039999999999999</v>
      </c>
      <c r="C4763" s="19">
        <v>2</v>
      </c>
      <c r="D4763" s="19">
        <v>1.9925999999999999</v>
      </c>
    </row>
    <row r="4764" spans="1:4" x14ac:dyDescent="0.2">
      <c r="A4764" s="19" t="s">
        <v>173</v>
      </c>
      <c r="B4764" s="19">
        <v>13.712000000000002</v>
      </c>
      <c r="C4764" s="19">
        <v>2</v>
      </c>
      <c r="D4764" s="19">
        <v>1.0284</v>
      </c>
    </row>
    <row r="4765" spans="1:4" x14ac:dyDescent="0.2">
      <c r="A4765" s="19" t="s">
        <v>150</v>
      </c>
      <c r="B4765" s="19">
        <v>182.94</v>
      </c>
      <c r="C4765" s="19">
        <v>3</v>
      </c>
      <c r="D4765" s="19">
        <v>85.981799999999993</v>
      </c>
    </row>
    <row r="4766" spans="1:4" x14ac:dyDescent="0.2">
      <c r="A4766" s="19" t="s">
        <v>150</v>
      </c>
      <c r="B4766" s="19">
        <v>27.76</v>
      </c>
      <c r="C4766" s="19">
        <v>4</v>
      </c>
      <c r="D4766" s="19">
        <v>9.9936000000000007</v>
      </c>
    </row>
    <row r="4767" spans="1:4" x14ac:dyDescent="0.2">
      <c r="A4767" s="19" t="s">
        <v>164</v>
      </c>
      <c r="B4767" s="19">
        <v>25.99</v>
      </c>
      <c r="C4767" s="19">
        <v>1</v>
      </c>
      <c r="D4767" s="19">
        <v>7.5370999999999988</v>
      </c>
    </row>
    <row r="4768" spans="1:4" x14ac:dyDescent="0.2">
      <c r="A4768" s="19" t="s">
        <v>154</v>
      </c>
      <c r="B4768" s="19">
        <v>113.52000000000001</v>
      </c>
      <c r="C4768" s="19">
        <v>5</v>
      </c>
      <c r="D4768" s="19">
        <v>29.798999999999999</v>
      </c>
    </row>
    <row r="4769" spans="1:4" x14ac:dyDescent="0.2">
      <c r="A4769" s="19" t="s">
        <v>154</v>
      </c>
      <c r="B4769" s="19">
        <v>359.88</v>
      </c>
      <c r="C4769" s="19">
        <v>3</v>
      </c>
      <c r="D4769" s="19">
        <v>22.492499999999993</v>
      </c>
    </row>
    <row r="4770" spans="1:4" x14ac:dyDescent="0.2">
      <c r="A4770" s="19" t="s">
        <v>152</v>
      </c>
      <c r="B4770" s="19">
        <v>25.344000000000001</v>
      </c>
      <c r="C4770" s="19">
        <v>4</v>
      </c>
      <c r="D4770" s="19">
        <v>9.1871999999999989</v>
      </c>
    </row>
    <row r="4771" spans="1:4" x14ac:dyDescent="0.2">
      <c r="A4771" s="19" t="s">
        <v>150</v>
      </c>
      <c r="B4771" s="19">
        <v>11.952000000000002</v>
      </c>
      <c r="C4771" s="19">
        <v>3</v>
      </c>
      <c r="D4771" s="19">
        <v>4.1832000000000003</v>
      </c>
    </row>
    <row r="4772" spans="1:4" x14ac:dyDescent="0.2">
      <c r="A4772" s="19" t="s">
        <v>150</v>
      </c>
      <c r="B4772" s="19">
        <v>6.24</v>
      </c>
      <c r="C4772" s="19">
        <v>3</v>
      </c>
      <c r="D4772" s="19">
        <v>1.8719999999999997</v>
      </c>
    </row>
    <row r="4773" spans="1:4" x14ac:dyDescent="0.2">
      <c r="A4773" s="19" t="s">
        <v>165</v>
      </c>
      <c r="B4773" s="19">
        <v>742.33600000000001</v>
      </c>
      <c r="C4773" s="19">
        <v>8</v>
      </c>
      <c r="D4773" s="19">
        <v>83.512799999999913</v>
      </c>
    </row>
    <row r="4774" spans="1:4" x14ac:dyDescent="0.2">
      <c r="A4774" s="19" t="s">
        <v>159</v>
      </c>
      <c r="B4774" s="19">
        <v>6.4640000000000004</v>
      </c>
      <c r="C4774" s="19">
        <v>1</v>
      </c>
      <c r="D4774" s="19">
        <v>-4.0400000000000009</v>
      </c>
    </row>
    <row r="4775" spans="1:4" x14ac:dyDescent="0.2">
      <c r="A4775" s="19" t="s">
        <v>159</v>
      </c>
      <c r="B4775" s="19">
        <v>11.52</v>
      </c>
      <c r="C4775" s="19">
        <v>5</v>
      </c>
      <c r="D4775" s="19">
        <v>4.1760000000000002</v>
      </c>
    </row>
    <row r="4776" spans="1:4" x14ac:dyDescent="0.2">
      <c r="A4776" s="19" t="s">
        <v>159</v>
      </c>
      <c r="B4776" s="19">
        <v>222.38400000000001</v>
      </c>
      <c r="C4776" s="19">
        <v>2</v>
      </c>
      <c r="D4776" s="19">
        <v>16.678799999999995</v>
      </c>
    </row>
    <row r="4777" spans="1:4" x14ac:dyDescent="0.2">
      <c r="A4777" s="19" t="s">
        <v>150</v>
      </c>
      <c r="B4777" s="19">
        <v>23.36</v>
      </c>
      <c r="C4777" s="19">
        <v>4</v>
      </c>
      <c r="D4777" s="19">
        <v>6.073599999999999</v>
      </c>
    </row>
    <row r="4778" spans="1:4" x14ac:dyDescent="0.2">
      <c r="A4778" s="19" t="s">
        <v>164</v>
      </c>
      <c r="B4778" s="19">
        <v>8.67</v>
      </c>
      <c r="C4778" s="19">
        <v>3</v>
      </c>
      <c r="D4778" s="19">
        <v>4.0749000000000004</v>
      </c>
    </row>
    <row r="4779" spans="1:4" x14ac:dyDescent="0.2">
      <c r="A4779" s="19" t="s">
        <v>164</v>
      </c>
      <c r="B4779" s="19">
        <v>25.71</v>
      </c>
      <c r="C4779" s="19">
        <v>3</v>
      </c>
      <c r="D4779" s="19">
        <v>6.6846000000000005</v>
      </c>
    </row>
    <row r="4780" spans="1:4" x14ac:dyDescent="0.2">
      <c r="A4780" s="19" t="s">
        <v>162</v>
      </c>
      <c r="B4780" s="19">
        <v>100.94</v>
      </c>
      <c r="C4780" s="19">
        <v>7</v>
      </c>
      <c r="D4780" s="19">
        <v>33.310199999999995</v>
      </c>
    </row>
    <row r="4781" spans="1:4" x14ac:dyDescent="0.2">
      <c r="A4781" s="19" t="s">
        <v>164</v>
      </c>
      <c r="B4781" s="19">
        <v>63.882000000000005</v>
      </c>
      <c r="C4781" s="19">
        <v>1</v>
      </c>
      <c r="D4781" s="19">
        <v>10.647000000000004</v>
      </c>
    </row>
    <row r="4782" spans="1:4" x14ac:dyDescent="0.2">
      <c r="A4782" s="19" t="s">
        <v>154</v>
      </c>
      <c r="B4782" s="19">
        <v>683.14399999999989</v>
      </c>
      <c r="C4782" s="19">
        <v>4</v>
      </c>
      <c r="D4782" s="19">
        <v>0</v>
      </c>
    </row>
    <row r="4783" spans="1:4" x14ac:dyDescent="0.2">
      <c r="A4783" s="19" t="s">
        <v>154</v>
      </c>
      <c r="B4783" s="19">
        <v>1.4759999999999995</v>
      </c>
      <c r="C4783" s="19">
        <v>3</v>
      </c>
      <c r="D4783" s="19">
        <v>-2.214</v>
      </c>
    </row>
    <row r="4784" spans="1:4" x14ac:dyDescent="0.2">
      <c r="A4784" s="19" t="s">
        <v>154</v>
      </c>
      <c r="B4784" s="19">
        <v>40.711999999999996</v>
      </c>
      <c r="C4784" s="19">
        <v>7</v>
      </c>
      <c r="D4784" s="19">
        <v>3.5623000000000022</v>
      </c>
    </row>
    <row r="4785" spans="1:4" x14ac:dyDescent="0.2">
      <c r="A4785" s="19" t="s">
        <v>189</v>
      </c>
      <c r="B4785" s="19">
        <v>279.89999999999998</v>
      </c>
      <c r="C4785" s="19">
        <v>5</v>
      </c>
      <c r="D4785" s="19">
        <v>137.15100000000001</v>
      </c>
    </row>
    <row r="4786" spans="1:4" x14ac:dyDescent="0.2">
      <c r="A4786" s="19" t="s">
        <v>171</v>
      </c>
      <c r="B4786" s="19">
        <v>13.120000000000001</v>
      </c>
      <c r="C4786" s="19">
        <v>5</v>
      </c>
      <c r="D4786" s="19">
        <v>1.1480000000000006</v>
      </c>
    </row>
    <row r="4787" spans="1:4" x14ac:dyDescent="0.2">
      <c r="A4787" s="19" t="s">
        <v>171</v>
      </c>
      <c r="B4787" s="19">
        <v>69.576000000000008</v>
      </c>
      <c r="C4787" s="19">
        <v>4</v>
      </c>
      <c r="D4787" s="19">
        <v>-143.79040000000001</v>
      </c>
    </row>
    <row r="4788" spans="1:4" x14ac:dyDescent="0.2">
      <c r="A4788" s="19" t="s">
        <v>171</v>
      </c>
      <c r="B4788" s="19">
        <v>4.2240000000000002</v>
      </c>
      <c r="C4788" s="19">
        <v>3</v>
      </c>
      <c r="D4788" s="19">
        <v>0.47519999999999984</v>
      </c>
    </row>
    <row r="4789" spans="1:4" x14ac:dyDescent="0.2">
      <c r="A4789" s="19" t="s">
        <v>171</v>
      </c>
      <c r="B4789" s="19">
        <v>58.08</v>
      </c>
      <c r="C4789" s="19">
        <v>4</v>
      </c>
      <c r="D4789" s="19">
        <v>-6.5339999999999954</v>
      </c>
    </row>
    <row r="4790" spans="1:4" x14ac:dyDescent="0.2">
      <c r="A4790" s="19" t="s">
        <v>171</v>
      </c>
      <c r="B4790" s="19">
        <v>52.416000000000004</v>
      </c>
      <c r="C4790" s="19">
        <v>9</v>
      </c>
      <c r="D4790" s="19">
        <v>15.069600000000007</v>
      </c>
    </row>
    <row r="4791" spans="1:4" x14ac:dyDescent="0.2">
      <c r="A4791" s="19" t="s">
        <v>171</v>
      </c>
      <c r="B4791" s="19">
        <v>54.920000000000009</v>
      </c>
      <c r="C4791" s="19">
        <v>5</v>
      </c>
      <c r="D4791" s="19">
        <v>10.983999999999996</v>
      </c>
    </row>
    <row r="4792" spans="1:4" x14ac:dyDescent="0.2">
      <c r="A4792" s="19" t="s">
        <v>171</v>
      </c>
      <c r="B4792" s="19">
        <v>364.95</v>
      </c>
      <c r="C4792" s="19">
        <v>5</v>
      </c>
      <c r="D4792" s="19">
        <v>-248.16599999999994</v>
      </c>
    </row>
    <row r="4793" spans="1:4" x14ac:dyDescent="0.2">
      <c r="A4793" s="19" t="s">
        <v>171</v>
      </c>
      <c r="B4793" s="19">
        <v>85.055999999999997</v>
      </c>
      <c r="C4793" s="19">
        <v>3</v>
      </c>
      <c r="D4793" s="19">
        <v>28.706399999999991</v>
      </c>
    </row>
    <row r="4794" spans="1:4" x14ac:dyDescent="0.2">
      <c r="A4794" s="19" t="s">
        <v>171</v>
      </c>
      <c r="B4794" s="19">
        <v>27.695999999999998</v>
      </c>
      <c r="C4794" s="19">
        <v>3</v>
      </c>
      <c r="D4794" s="19">
        <v>9.6935999999999964</v>
      </c>
    </row>
    <row r="4795" spans="1:4" x14ac:dyDescent="0.2">
      <c r="A4795" s="19" t="s">
        <v>164</v>
      </c>
      <c r="B4795" s="19">
        <v>24.96</v>
      </c>
      <c r="C4795" s="19">
        <v>4</v>
      </c>
      <c r="D4795" s="19">
        <v>11.231999999999999</v>
      </c>
    </row>
    <row r="4796" spans="1:4" x14ac:dyDescent="0.2">
      <c r="A4796" s="19" t="s">
        <v>150</v>
      </c>
      <c r="B4796" s="19">
        <v>43.13</v>
      </c>
      <c r="C4796" s="19">
        <v>1</v>
      </c>
      <c r="D4796" s="19">
        <v>18.114600000000003</v>
      </c>
    </row>
    <row r="4797" spans="1:4" x14ac:dyDescent="0.2">
      <c r="A4797" s="19" t="s">
        <v>101</v>
      </c>
      <c r="B4797" s="19">
        <v>5.64</v>
      </c>
      <c r="C4797" s="19">
        <v>3</v>
      </c>
      <c r="D4797" s="19">
        <v>2.7071999999999994</v>
      </c>
    </row>
    <row r="4798" spans="1:4" x14ac:dyDescent="0.2">
      <c r="A4798" s="19" t="s">
        <v>151</v>
      </c>
      <c r="B4798" s="19">
        <v>57.582000000000008</v>
      </c>
      <c r="C4798" s="19">
        <v>3</v>
      </c>
      <c r="D4798" s="19">
        <v>-44.146199999999979</v>
      </c>
    </row>
    <row r="4799" spans="1:4" x14ac:dyDescent="0.2">
      <c r="A4799" s="19" t="s">
        <v>151</v>
      </c>
      <c r="B4799" s="19">
        <v>31.104000000000006</v>
      </c>
      <c r="C4799" s="19">
        <v>6</v>
      </c>
      <c r="D4799" s="19">
        <v>10.8864</v>
      </c>
    </row>
    <row r="4800" spans="1:4" x14ac:dyDescent="0.2">
      <c r="A4800" s="19" t="s">
        <v>151</v>
      </c>
      <c r="B4800" s="19">
        <v>30.192</v>
      </c>
      <c r="C4800" s="19">
        <v>3</v>
      </c>
      <c r="D4800" s="19">
        <v>8.3028000000000031</v>
      </c>
    </row>
    <row r="4801" spans="1:4" x14ac:dyDescent="0.2">
      <c r="A4801" s="19" t="s">
        <v>151</v>
      </c>
      <c r="B4801" s="19">
        <v>43.6</v>
      </c>
      <c r="C4801" s="19">
        <v>5</v>
      </c>
      <c r="D4801" s="19">
        <v>4.3600000000000012</v>
      </c>
    </row>
    <row r="4802" spans="1:4" x14ac:dyDescent="0.2">
      <c r="A4802" s="19" t="s">
        <v>151</v>
      </c>
      <c r="B4802" s="19">
        <v>4.7679999999999998</v>
      </c>
      <c r="C4802" s="19">
        <v>2</v>
      </c>
      <c r="D4802" s="19">
        <v>0.41720000000000046</v>
      </c>
    </row>
    <row r="4803" spans="1:4" x14ac:dyDescent="0.2">
      <c r="A4803" s="19" t="s">
        <v>151</v>
      </c>
      <c r="B4803" s="19">
        <v>10.380000000000003</v>
      </c>
      <c r="C4803" s="19">
        <v>2</v>
      </c>
      <c r="D4803" s="19">
        <v>-7.6119999999999983</v>
      </c>
    </row>
    <row r="4804" spans="1:4" x14ac:dyDescent="0.2">
      <c r="A4804" s="19" t="s">
        <v>151</v>
      </c>
      <c r="B4804" s="19">
        <v>13.392000000000003</v>
      </c>
      <c r="C4804" s="19">
        <v>8</v>
      </c>
      <c r="D4804" s="19">
        <v>-9.8207999999999984</v>
      </c>
    </row>
    <row r="4805" spans="1:4" x14ac:dyDescent="0.2">
      <c r="A4805" s="19" t="s">
        <v>158</v>
      </c>
      <c r="B4805" s="19">
        <v>39.593999999999994</v>
      </c>
      <c r="C4805" s="19">
        <v>1</v>
      </c>
      <c r="D4805" s="19">
        <v>-7.2589000000000041</v>
      </c>
    </row>
    <row r="4806" spans="1:4" x14ac:dyDescent="0.2">
      <c r="A4806" s="19" t="s">
        <v>158</v>
      </c>
      <c r="B4806" s="19">
        <v>91.00800000000001</v>
      </c>
      <c r="C4806" s="19">
        <v>9</v>
      </c>
      <c r="D4806" s="19">
        <v>19.339199999999998</v>
      </c>
    </row>
    <row r="4807" spans="1:4" x14ac:dyDescent="0.2">
      <c r="A4807" s="19" t="s">
        <v>150</v>
      </c>
      <c r="B4807" s="19">
        <v>37.94</v>
      </c>
      <c r="C4807" s="19">
        <v>2</v>
      </c>
      <c r="D4807" s="19">
        <v>18.211199999999998</v>
      </c>
    </row>
    <row r="4808" spans="1:4" x14ac:dyDescent="0.2">
      <c r="A4808" s="19" t="s">
        <v>150</v>
      </c>
      <c r="B4808" s="19">
        <v>42.800000000000004</v>
      </c>
      <c r="C4808" s="19">
        <v>10</v>
      </c>
      <c r="D4808" s="19">
        <v>19.259999999999998</v>
      </c>
    </row>
    <row r="4809" spans="1:4" x14ac:dyDescent="0.2">
      <c r="A4809" s="19" t="s">
        <v>150</v>
      </c>
      <c r="B4809" s="19">
        <v>33.630000000000003</v>
      </c>
      <c r="C4809" s="19">
        <v>3</v>
      </c>
      <c r="D4809" s="19">
        <v>10.088999999999999</v>
      </c>
    </row>
    <row r="4810" spans="1:4" x14ac:dyDescent="0.2">
      <c r="A4810" s="19" t="s">
        <v>158</v>
      </c>
      <c r="B4810" s="19">
        <v>62.808000000000007</v>
      </c>
      <c r="C4810" s="19">
        <v>3</v>
      </c>
      <c r="D4810" s="19">
        <v>21.197700000000001</v>
      </c>
    </row>
    <row r="4811" spans="1:4" x14ac:dyDescent="0.2">
      <c r="A4811" s="19" t="s">
        <v>155</v>
      </c>
      <c r="B4811" s="19">
        <v>195.64</v>
      </c>
      <c r="C4811" s="19">
        <v>4</v>
      </c>
      <c r="D4811" s="19">
        <v>91.950799999999987</v>
      </c>
    </row>
    <row r="4812" spans="1:4" x14ac:dyDescent="0.2">
      <c r="A4812" s="19" t="s">
        <v>155</v>
      </c>
      <c r="B4812" s="19">
        <v>239.9</v>
      </c>
      <c r="C4812" s="19">
        <v>2</v>
      </c>
      <c r="D4812" s="19">
        <v>71.97</v>
      </c>
    </row>
    <row r="4813" spans="1:4" x14ac:dyDescent="0.2">
      <c r="A4813" s="19" t="s">
        <v>158</v>
      </c>
      <c r="B4813" s="19">
        <v>380.05799999999994</v>
      </c>
      <c r="C4813" s="19">
        <v>3</v>
      </c>
      <c r="D4813" s="19">
        <v>-21.717600000000004</v>
      </c>
    </row>
    <row r="4814" spans="1:4" x14ac:dyDescent="0.2">
      <c r="A4814" s="19" t="s">
        <v>158</v>
      </c>
      <c r="B4814" s="19">
        <v>1199.9759999999999</v>
      </c>
      <c r="C4814" s="19">
        <v>4</v>
      </c>
      <c r="D4814" s="19">
        <v>179.99639999999999</v>
      </c>
    </row>
    <row r="4815" spans="1:4" x14ac:dyDescent="0.2">
      <c r="A4815" s="19" t="s">
        <v>158</v>
      </c>
      <c r="B4815" s="19">
        <v>48.576000000000001</v>
      </c>
      <c r="C4815" s="19">
        <v>3</v>
      </c>
      <c r="D4815" s="19">
        <v>9.7151999999999941</v>
      </c>
    </row>
    <row r="4816" spans="1:4" x14ac:dyDescent="0.2">
      <c r="A4816" s="19" t="s">
        <v>150</v>
      </c>
      <c r="B4816" s="19">
        <v>17.940000000000001</v>
      </c>
      <c r="C4816" s="19">
        <v>3</v>
      </c>
      <c r="D4816" s="19">
        <v>8.0730000000000004</v>
      </c>
    </row>
    <row r="4817" spans="1:4" x14ac:dyDescent="0.2">
      <c r="A4817" s="19" t="s">
        <v>158</v>
      </c>
      <c r="B4817" s="19">
        <v>18.264000000000003</v>
      </c>
      <c r="C4817" s="19">
        <v>3</v>
      </c>
      <c r="D4817" s="19">
        <v>6.1640999999999995</v>
      </c>
    </row>
    <row r="4818" spans="1:4" x14ac:dyDescent="0.2">
      <c r="A4818" s="19" t="s">
        <v>158</v>
      </c>
      <c r="B4818" s="19">
        <v>34.655999999999999</v>
      </c>
      <c r="C4818" s="19">
        <v>2</v>
      </c>
      <c r="D4818" s="19">
        <v>5.6315999999999971</v>
      </c>
    </row>
    <row r="4819" spans="1:4" x14ac:dyDescent="0.2">
      <c r="A4819" s="19" t="s">
        <v>158</v>
      </c>
      <c r="B4819" s="19">
        <v>81.552000000000007</v>
      </c>
      <c r="C4819" s="19">
        <v>2</v>
      </c>
      <c r="D4819" s="19">
        <v>8.1551999999999971</v>
      </c>
    </row>
    <row r="4820" spans="1:4" x14ac:dyDescent="0.2">
      <c r="A4820" s="19" t="s">
        <v>158</v>
      </c>
      <c r="B4820" s="19">
        <v>227.13600000000002</v>
      </c>
      <c r="C4820" s="19">
        <v>4</v>
      </c>
      <c r="D4820" s="19">
        <v>-42.588000000000036</v>
      </c>
    </row>
    <row r="4821" spans="1:4" x14ac:dyDescent="0.2">
      <c r="A4821" s="19" t="s">
        <v>178</v>
      </c>
      <c r="B4821" s="19">
        <v>10.36</v>
      </c>
      <c r="C4821" s="19">
        <v>2</v>
      </c>
      <c r="D4821" s="19">
        <v>5.0763999999999996</v>
      </c>
    </row>
    <row r="4822" spans="1:4" x14ac:dyDescent="0.2">
      <c r="A4822" s="19" t="s">
        <v>154</v>
      </c>
      <c r="B4822" s="19">
        <v>463.24799999999988</v>
      </c>
      <c r="C4822" s="19">
        <v>8</v>
      </c>
      <c r="D4822" s="19">
        <v>-1181.2824000000003</v>
      </c>
    </row>
    <row r="4823" spans="1:4" x14ac:dyDescent="0.2">
      <c r="A4823" s="19" t="s">
        <v>154</v>
      </c>
      <c r="B4823" s="19">
        <v>383.952</v>
      </c>
      <c r="C4823" s="19">
        <v>6</v>
      </c>
      <c r="D4823" s="19">
        <v>47.993999999999971</v>
      </c>
    </row>
    <row r="4824" spans="1:4" x14ac:dyDescent="0.2">
      <c r="A4824" s="19" t="s">
        <v>165</v>
      </c>
      <c r="B4824" s="19">
        <v>44.856000000000009</v>
      </c>
      <c r="C4824" s="19">
        <v>6</v>
      </c>
      <c r="D4824" s="19">
        <v>-35.884799999999984</v>
      </c>
    </row>
    <row r="4825" spans="1:4" x14ac:dyDescent="0.2">
      <c r="A4825" s="19" t="s">
        <v>173</v>
      </c>
      <c r="B4825" s="19">
        <v>30.345000000000006</v>
      </c>
      <c r="C4825" s="19">
        <v>7</v>
      </c>
      <c r="D4825" s="19">
        <v>-24.275999999999996</v>
      </c>
    </row>
    <row r="4826" spans="1:4" x14ac:dyDescent="0.2">
      <c r="A4826" s="19" t="s">
        <v>173</v>
      </c>
      <c r="B4826" s="19">
        <v>127.554</v>
      </c>
      <c r="C4826" s="19">
        <v>3</v>
      </c>
      <c r="D4826" s="19">
        <v>-9.1109999999999971</v>
      </c>
    </row>
    <row r="4827" spans="1:4" x14ac:dyDescent="0.2">
      <c r="A4827" s="19" t="s">
        <v>173</v>
      </c>
      <c r="B4827" s="19">
        <v>77.951999999999998</v>
      </c>
      <c r="C4827" s="19">
        <v>3</v>
      </c>
      <c r="D4827" s="19">
        <v>15.590399999999995</v>
      </c>
    </row>
    <row r="4828" spans="1:4" x14ac:dyDescent="0.2">
      <c r="A4828" s="19" t="s">
        <v>150</v>
      </c>
      <c r="B4828" s="19">
        <v>14.016</v>
      </c>
      <c r="C4828" s="19">
        <v>4</v>
      </c>
      <c r="D4828" s="19">
        <v>4.9055999999999997</v>
      </c>
    </row>
    <row r="4829" spans="1:4" x14ac:dyDescent="0.2">
      <c r="A4829" s="19" t="s">
        <v>149</v>
      </c>
      <c r="B4829" s="19">
        <v>69.52</v>
      </c>
      <c r="C4829" s="19">
        <v>2</v>
      </c>
      <c r="D4829" s="19">
        <v>19.465600000000002</v>
      </c>
    </row>
    <row r="4830" spans="1:4" x14ac:dyDescent="0.2">
      <c r="A4830" s="19" t="s">
        <v>149</v>
      </c>
      <c r="B4830" s="19">
        <v>5.64</v>
      </c>
      <c r="C4830" s="19">
        <v>3</v>
      </c>
      <c r="D4830" s="19">
        <v>1.6355999999999997</v>
      </c>
    </row>
    <row r="4831" spans="1:4" x14ac:dyDescent="0.2">
      <c r="A4831" s="19" t="s">
        <v>164</v>
      </c>
      <c r="B4831" s="19">
        <v>13.776000000000002</v>
      </c>
      <c r="C4831" s="19">
        <v>3</v>
      </c>
      <c r="D4831" s="19">
        <v>4.4771999999999998</v>
      </c>
    </row>
    <row r="4832" spans="1:4" x14ac:dyDescent="0.2">
      <c r="A4832" s="19" t="s">
        <v>155</v>
      </c>
      <c r="B4832" s="19">
        <v>245.88</v>
      </c>
      <c r="C4832" s="19">
        <v>6</v>
      </c>
      <c r="D4832" s="19">
        <v>68.846399999999988</v>
      </c>
    </row>
    <row r="4833" spans="1:4" x14ac:dyDescent="0.2">
      <c r="A4833" s="19" t="s">
        <v>155</v>
      </c>
      <c r="B4833" s="19">
        <v>36.630000000000003</v>
      </c>
      <c r="C4833" s="19">
        <v>3</v>
      </c>
      <c r="D4833" s="19">
        <v>9.8901000000000039</v>
      </c>
    </row>
    <row r="4834" spans="1:4" x14ac:dyDescent="0.2">
      <c r="A4834" s="19" t="s">
        <v>155</v>
      </c>
      <c r="B4834" s="19">
        <v>22.58</v>
      </c>
      <c r="C4834" s="19">
        <v>2</v>
      </c>
      <c r="D4834" s="19">
        <v>5.8707999999999991</v>
      </c>
    </row>
    <row r="4835" spans="1:4" x14ac:dyDescent="0.2">
      <c r="A4835" s="19" t="s">
        <v>155</v>
      </c>
      <c r="B4835" s="19">
        <v>12.39</v>
      </c>
      <c r="C4835" s="19">
        <v>3</v>
      </c>
      <c r="D4835" s="19">
        <v>5.8232999999999997</v>
      </c>
    </row>
    <row r="4836" spans="1:4" x14ac:dyDescent="0.2">
      <c r="A4836" s="19" t="s">
        <v>150</v>
      </c>
      <c r="B4836" s="19">
        <v>39.92</v>
      </c>
      <c r="C4836" s="19">
        <v>5</v>
      </c>
      <c r="D4836" s="19">
        <v>13.472999999999999</v>
      </c>
    </row>
    <row r="4837" spans="1:4" x14ac:dyDescent="0.2">
      <c r="A4837" s="19" t="s">
        <v>150</v>
      </c>
      <c r="B4837" s="19">
        <v>61.96</v>
      </c>
      <c r="C4837" s="19">
        <v>2</v>
      </c>
      <c r="D4837" s="19">
        <v>27.881999999999998</v>
      </c>
    </row>
    <row r="4838" spans="1:4" x14ac:dyDescent="0.2">
      <c r="A4838" s="19" t="s">
        <v>150</v>
      </c>
      <c r="B4838" s="19">
        <v>19.936000000000003</v>
      </c>
      <c r="C4838" s="19">
        <v>4</v>
      </c>
      <c r="D4838" s="19">
        <v>7.2267999999999999</v>
      </c>
    </row>
    <row r="4839" spans="1:4" x14ac:dyDescent="0.2">
      <c r="A4839" s="19" t="s">
        <v>173</v>
      </c>
      <c r="B4839" s="19">
        <v>3.7980000000000005</v>
      </c>
      <c r="C4839" s="19">
        <v>2</v>
      </c>
      <c r="D4839" s="19">
        <v>-2.6585999999999999</v>
      </c>
    </row>
    <row r="4840" spans="1:4" x14ac:dyDescent="0.2">
      <c r="A4840" s="19" t="s">
        <v>173</v>
      </c>
      <c r="B4840" s="19">
        <v>27.744000000000003</v>
      </c>
      <c r="C4840" s="19">
        <v>6</v>
      </c>
      <c r="D4840" s="19">
        <v>10.057200000000002</v>
      </c>
    </row>
    <row r="4841" spans="1:4" x14ac:dyDescent="0.2">
      <c r="A4841" s="19" t="s">
        <v>173</v>
      </c>
      <c r="B4841" s="19">
        <v>158.37599999999998</v>
      </c>
      <c r="C4841" s="19">
        <v>4</v>
      </c>
      <c r="D4841" s="19">
        <v>-34.314799999999991</v>
      </c>
    </row>
    <row r="4842" spans="1:4" x14ac:dyDescent="0.2">
      <c r="A4842" s="19" t="s">
        <v>149</v>
      </c>
      <c r="B4842" s="19">
        <v>27.58</v>
      </c>
      <c r="C4842" s="19">
        <v>2</v>
      </c>
      <c r="D4842" s="19">
        <v>11.583600000000001</v>
      </c>
    </row>
    <row r="4843" spans="1:4" x14ac:dyDescent="0.2">
      <c r="A4843" s="19" t="s">
        <v>173</v>
      </c>
      <c r="B4843" s="19">
        <v>5.5530000000000008</v>
      </c>
      <c r="C4843" s="19">
        <v>3</v>
      </c>
      <c r="D4843" s="19">
        <v>-4.0722000000000023</v>
      </c>
    </row>
    <row r="4844" spans="1:4" x14ac:dyDescent="0.2">
      <c r="A4844" s="19" t="s">
        <v>167</v>
      </c>
      <c r="B4844" s="19">
        <v>243.92</v>
      </c>
      <c r="C4844" s="19">
        <v>5</v>
      </c>
      <c r="D4844" s="19">
        <v>-54.881999999999998</v>
      </c>
    </row>
    <row r="4845" spans="1:4" x14ac:dyDescent="0.2">
      <c r="A4845" s="19" t="s">
        <v>179</v>
      </c>
      <c r="B4845" s="19">
        <v>14.96</v>
      </c>
      <c r="C4845" s="19">
        <v>4</v>
      </c>
      <c r="D4845" s="19">
        <v>0.2992000000000008</v>
      </c>
    </row>
    <row r="4846" spans="1:4" x14ac:dyDescent="0.2">
      <c r="A4846" s="19" t="s">
        <v>150</v>
      </c>
      <c r="B4846" s="19">
        <v>7.1840000000000011</v>
      </c>
      <c r="C4846" s="19">
        <v>2</v>
      </c>
      <c r="D4846" s="19">
        <v>2.2449999999999992</v>
      </c>
    </row>
    <row r="4847" spans="1:4" x14ac:dyDescent="0.2">
      <c r="A4847" s="19" t="s">
        <v>164</v>
      </c>
      <c r="B4847" s="19">
        <v>10.512</v>
      </c>
      <c r="C4847" s="19">
        <v>3</v>
      </c>
      <c r="D4847" s="19">
        <v>3.6791999999999998</v>
      </c>
    </row>
    <row r="4848" spans="1:4" x14ac:dyDescent="0.2">
      <c r="A4848" s="19" t="s">
        <v>170</v>
      </c>
      <c r="B4848" s="19">
        <v>263.96000000000004</v>
      </c>
      <c r="C4848" s="19">
        <v>5</v>
      </c>
      <c r="D4848" s="19">
        <v>19.796999999999997</v>
      </c>
    </row>
    <row r="4849" spans="1:4" x14ac:dyDescent="0.2">
      <c r="A4849" s="19" t="s">
        <v>170</v>
      </c>
      <c r="B4849" s="19">
        <v>71.632000000000005</v>
      </c>
      <c r="C4849" s="19">
        <v>11</v>
      </c>
      <c r="D4849" s="19">
        <v>17.908000000000001</v>
      </c>
    </row>
    <row r="4850" spans="1:4" x14ac:dyDescent="0.2">
      <c r="A4850" s="19" t="s">
        <v>170</v>
      </c>
      <c r="B4850" s="19">
        <v>9.3280000000000012</v>
      </c>
      <c r="C4850" s="19">
        <v>1</v>
      </c>
      <c r="D4850" s="19">
        <v>0.8162000000000007</v>
      </c>
    </row>
    <row r="4851" spans="1:4" x14ac:dyDescent="0.2">
      <c r="A4851" s="19" t="s">
        <v>153</v>
      </c>
      <c r="B4851" s="19">
        <v>5.88</v>
      </c>
      <c r="C4851" s="19">
        <v>2</v>
      </c>
      <c r="D4851" s="19">
        <v>2.6459999999999999</v>
      </c>
    </row>
    <row r="4852" spans="1:4" x14ac:dyDescent="0.2">
      <c r="A4852" s="19" t="s">
        <v>153</v>
      </c>
      <c r="B4852" s="19">
        <v>975.92</v>
      </c>
      <c r="C4852" s="19">
        <v>5</v>
      </c>
      <c r="D4852" s="19">
        <v>121.98999999999992</v>
      </c>
    </row>
    <row r="4853" spans="1:4" x14ac:dyDescent="0.2">
      <c r="A4853" s="19" t="s">
        <v>153</v>
      </c>
      <c r="B4853" s="19">
        <v>303.83999999999997</v>
      </c>
      <c r="C4853" s="19">
        <v>8</v>
      </c>
      <c r="D4853" s="19">
        <v>91.151999999999958</v>
      </c>
    </row>
    <row r="4854" spans="1:4" x14ac:dyDescent="0.2">
      <c r="A4854" s="19" t="s">
        <v>153</v>
      </c>
      <c r="B4854" s="19">
        <v>485.88</v>
      </c>
      <c r="C4854" s="19">
        <v>6</v>
      </c>
      <c r="D4854" s="19">
        <v>19.43519999999998</v>
      </c>
    </row>
    <row r="4855" spans="1:4" x14ac:dyDescent="0.2">
      <c r="A4855" s="19" t="s">
        <v>150</v>
      </c>
      <c r="B4855" s="19">
        <v>12.54</v>
      </c>
      <c r="C4855" s="19">
        <v>3</v>
      </c>
      <c r="D4855" s="19">
        <v>4.5144000000000002</v>
      </c>
    </row>
    <row r="4856" spans="1:4" x14ac:dyDescent="0.2">
      <c r="A4856" s="19" t="s">
        <v>150</v>
      </c>
      <c r="B4856" s="19">
        <v>8.94</v>
      </c>
      <c r="C4856" s="19">
        <v>3</v>
      </c>
      <c r="D4856" s="19">
        <v>0.62579999999999902</v>
      </c>
    </row>
    <row r="4857" spans="1:4" x14ac:dyDescent="0.2">
      <c r="A4857" s="19" t="s">
        <v>150</v>
      </c>
      <c r="B4857" s="19">
        <v>9.24</v>
      </c>
      <c r="C4857" s="19">
        <v>3</v>
      </c>
      <c r="D4857" s="19">
        <v>4.4352</v>
      </c>
    </row>
    <row r="4858" spans="1:4" x14ac:dyDescent="0.2">
      <c r="A4858" s="19" t="s">
        <v>150</v>
      </c>
      <c r="B4858" s="19">
        <v>70.00800000000001</v>
      </c>
      <c r="C4858" s="19">
        <v>3</v>
      </c>
      <c r="D4858" s="19">
        <v>24.502800000000001</v>
      </c>
    </row>
    <row r="4859" spans="1:4" x14ac:dyDescent="0.2">
      <c r="A4859" s="19" t="s">
        <v>150</v>
      </c>
      <c r="B4859" s="19">
        <v>77.599999999999994</v>
      </c>
      <c r="C4859" s="19">
        <v>4</v>
      </c>
      <c r="D4859" s="19">
        <v>38.023999999999994</v>
      </c>
    </row>
    <row r="4860" spans="1:4" x14ac:dyDescent="0.2">
      <c r="A4860" s="19" t="s">
        <v>150</v>
      </c>
      <c r="B4860" s="19">
        <v>464.84999999999997</v>
      </c>
      <c r="C4860" s="19">
        <v>9</v>
      </c>
      <c r="D4860" s="19">
        <v>92.969999999999985</v>
      </c>
    </row>
    <row r="4861" spans="1:4" x14ac:dyDescent="0.2">
      <c r="A4861" s="19" t="s">
        <v>159</v>
      </c>
      <c r="B4861" s="19">
        <v>10.192000000000002</v>
      </c>
      <c r="C4861" s="19">
        <v>7</v>
      </c>
      <c r="D4861" s="19">
        <v>1.0192000000000001</v>
      </c>
    </row>
    <row r="4862" spans="1:4" x14ac:dyDescent="0.2">
      <c r="A4862" s="19" t="s">
        <v>179</v>
      </c>
      <c r="B4862" s="19">
        <v>1793.98</v>
      </c>
      <c r="C4862" s="19">
        <v>2</v>
      </c>
      <c r="D4862" s="19">
        <v>843.17059999999992</v>
      </c>
    </row>
    <row r="4863" spans="1:4" x14ac:dyDescent="0.2">
      <c r="A4863" s="19" t="s">
        <v>154</v>
      </c>
      <c r="B4863" s="19">
        <v>758.35200000000009</v>
      </c>
      <c r="C4863" s="19">
        <v>6</v>
      </c>
      <c r="D4863" s="19">
        <v>265.42320000000001</v>
      </c>
    </row>
    <row r="4864" spans="1:4" x14ac:dyDescent="0.2">
      <c r="A4864" s="19" t="s">
        <v>164</v>
      </c>
      <c r="B4864" s="19">
        <v>20.368000000000002</v>
      </c>
      <c r="C4864" s="19">
        <v>1</v>
      </c>
      <c r="D4864" s="19">
        <v>7.3834</v>
      </c>
    </row>
    <row r="4865" spans="1:4" x14ac:dyDescent="0.2">
      <c r="A4865" s="19" t="s">
        <v>164</v>
      </c>
      <c r="B4865" s="19">
        <v>49.847999999999999</v>
      </c>
      <c r="C4865" s="19">
        <v>3</v>
      </c>
      <c r="D4865" s="19">
        <v>16.823699999999999</v>
      </c>
    </row>
    <row r="4866" spans="1:4" x14ac:dyDescent="0.2">
      <c r="A4866" s="19" t="s">
        <v>164</v>
      </c>
      <c r="B4866" s="19">
        <v>239.96999999999997</v>
      </c>
      <c r="C4866" s="19">
        <v>3</v>
      </c>
      <c r="D4866" s="19">
        <v>67.191599999999994</v>
      </c>
    </row>
    <row r="4867" spans="1:4" x14ac:dyDescent="0.2">
      <c r="A4867" s="19" t="s">
        <v>153</v>
      </c>
      <c r="B4867" s="19">
        <v>2404.7040000000002</v>
      </c>
      <c r="C4867" s="19">
        <v>6</v>
      </c>
      <c r="D4867" s="19">
        <v>150.29399999999998</v>
      </c>
    </row>
    <row r="4868" spans="1:4" x14ac:dyDescent="0.2">
      <c r="A4868" s="19" t="s">
        <v>153</v>
      </c>
      <c r="B4868" s="19">
        <v>563.024</v>
      </c>
      <c r="C4868" s="19">
        <v>11</v>
      </c>
      <c r="D4868" s="19">
        <v>190.02059999999997</v>
      </c>
    </row>
    <row r="4869" spans="1:4" x14ac:dyDescent="0.2">
      <c r="A4869" s="19" t="s">
        <v>153</v>
      </c>
      <c r="B4869" s="19">
        <v>344.90999999999997</v>
      </c>
      <c r="C4869" s="19">
        <v>3</v>
      </c>
      <c r="D4869" s="19">
        <v>10.347300000000004</v>
      </c>
    </row>
    <row r="4870" spans="1:4" x14ac:dyDescent="0.2">
      <c r="A4870" s="19" t="s">
        <v>153</v>
      </c>
      <c r="B4870" s="19">
        <v>8.64</v>
      </c>
      <c r="C4870" s="19">
        <v>3</v>
      </c>
      <c r="D4870" s="19">
        <v>4.2336</v>
      </c>
    </row>
    <row r="4871" spans="1:4" x14ac:dyDescent="0.2">
      <c r="A4871" s="19" t="s">
        <v>158</v>
      </c>
      <c r="B4871" s="19">
        <v>89.987999999999985</v>
      </c>
      <c r="C4871" s="19">
        <v>2</v>
      </c>
      <c r="D4871" s="19">
        <v>-14.998000000000012</v>
      </c>
    </row>
    <row r="4872" spans="1:4" x14ac:dyDescent="0.2">
      <c r="A4872" s="19" t="s">
        <v>158</v>
      </c>
      <c r="B4872" s="19">
        <v>229.54400000000001</v>
      </c>
      <c r="C4872" s="19">
        <v>7</v>
      </c>
      <c r="D4872" s="19">
        <v>83.209699999999998</v>
      </c>
    </row>
    <row r="4873" spans="1:4" x14ac:dyDescent="0.2">
      <c r="A4873" s="19" t="s">
        <v>154</v>
      </c>
      <c r="B4873" s="19">
        <v>1.8239999999999998</v>
      </c>
      <c r="C4873" s="19">
        <v>2</v>
      </c>
      <c r="D4873" s="19">
        <v>0.61559999999999993</v>
      </c>
    </row>
    <row r="4874" spans="1:4" x14ac:dyDescent="0.2">
      <c r="A4874" s="19" t="s">
        <v>154</v>
      </c>
      <c r="B4874" s="19">
        <v>18.319999999999997</v>
      </c>
      <c r="C4874" s="19">
        <v>5</v>
      </c>
      <c r="D4874" s="19">
        <v>-46.716000000000008</v>
      </c>
    </row>
    <row r="4875" spans="1:4" x14ac:dyDescent="0.2">
      <c r="A4875" s="19" t="s">
        <v>154</v>
      </c>
      <c r="B4875" s="19">
        <v>48.816000000000003</v>
      </c>
      <c r="C4875" s="19">
        <v>3</v>
      </c>
      <c r="D4875" s="19">
        <v>-11.593800000000005</v>
      </c>
    </row>
    <row r="4876" spans="1:4" x14ac:dyDescent="0.2">
      <c r="A4876" s="19" t="s">
        <v>154</v>
      </c>
      <c r="B4876" s="19">
        <v>1.1879999999999997</v>
      </c>
      <c r="C4876" s="19">
        <v>1</v>
      </c>
      <c r="D4876" s="19">
        <v>-1.9602000000000008</v>
      </c>
    </row>
    <row r="4877" spans="1:4" x14ac:dyDescent="0.2">
      <c r="A4877" s="19" t="s">
        <v>173</v>
      </c>
      <c r="B4877" s="19">
        <v>119.80000000000001</v>
      </c>
      <c r="C4877" s="19">
        <v>5</v>
      </c>
      <c r="D4877" s="19">
        <v>29.950000000000003</v>
      </c>
    </row>
    <row r="4878" spans="1:4" x14ac:dyDescent="0.2">
      <c r="A4878" s="19" t="s">
        <v>152</v>
      </c>
      <c r="B4878" s="19">
        <v>61.567999999999998</v>
      </c>
      <c r="C4878" s="19">
        <v>2</v>
      </c>
      <c r="D4878" s="19">
        <v>4.6175999999999995</v>
      </c>
    </row>
    <row r="4879" spans="1:4" x14ac:dyDescent="0.2">
      <c r="A4879" s="19" t="s">
        <v>152</v>
      </c>
      <c r="B4879" s="19">
        <v>6.1920000000000002</v>
      </c>
      <c r="C4879" s="19">
        <v>3</v>
      </c>
      <c r="D4879" s="19">
        <v>0.46440000000000037</v>
      </c>
    </row>
    <row r="4880" spans="1:4" x14ac:dyDescent="0.2">
      <c r="A4880" s="19" t="s">
        <v>151</v>
      </c>
      <c r="B4880" s="19">
        <v>2.2140000000000004</v>
      </c>
      <c r="C4880" s="19">
        <v>3</v>
      </c>
      <c r="D4880" s="19">
        <v>-1.4760000000000004</v>
      </c>
    </row>
    <row r="4881" spans="1:4" x14ac:dyDescent="0.2">
      <c r="A4881" s="19" t="s">
        <v>149</v>
      </c>
      <c r="B4881" s="19">
        <v>5.32</v>
      </c>
      <c r="C4881" s="19">
        <v>2</v>
      </c>
      <c r="D4881" s="19">
        <v>2.6068000000000002</v>
      </c>
    </row>
    <row r="4882" spans="1:4" x14ac:dyDescent="0.2">
      <c r="A4882" s="19" t="s">
        <v>149</v>
      </c>
      <c r="B4882" s="19">
        <v>975.92</v>
      </c>
      <c r="C4882" s="19">
        <v>4</v>
      </c>
      <c r="D4882" s="19">
        <v>292.77599999999995</v>
      </c>
    </row>
    <row r="4883" spans="1:4" x14ac:dyDescent="0.2">
      <c r="A4883" s="19" t="s">
        <v>149</v>
      </c>
      <c r="B4883" s="19">
        <v>2249.91</v>
      </c>
      <c r="C4883" s="19">
        <v>9</v>
      </c>
      <c r="D4883" s="19">
        <v>517.47930000000008</v>
      </c>
    </row>
    <row r="4884" spans="1:4" x14ac:dyDescent="0.2">
      <c r="A4884" s="19" t="s">
        <v>149</v>
      </c>
      <c r="B4884" s="19">
        <v>59.92</v>
      </c>
      <c r="C4884" s="19">
        <v>4</v>
      </c>
      <c r="D4884" s="19">
        <v>16.7776</v>
      </c>
    </row>
    <row r="4885" spans="1:4" x14ac:dyDescent="0.2">
      <c r="A4885" s="19" t="s">
        <v>150</v>
      </c>
      <c r="B4885" s="19">
        <v>171.20000000000002</v>
      </c>
      <c r="C4885" s="19">
        <v>5</v>
      </c>
      <c r="D4885" s="19">
        <v>64.199999999999989</v>
      </c>
    </row>
    <row r="4886" spans="1:4" x14ac:dyDescent="0.2">
      <c r="A4886" s="19" t="s">
        <v>150</v>
      </c>
      <c r="B4886" s="19">
        <v>3.36</v>
      </c>
      <c r="C4886" s="19">
        <v>2</v>
      </c>
      <c r="D4886" s="19">
        <v>0.87360000000000015</v>
      </c>
    </row>
    <row r="4887" spans="1:4" x14ac:dyDescent="0.2">
      <c r="A4887" s="19" t="s">
        <v>161</v>
      </c>
      <c r="B4887" s="19">
        <v>114.2</v>
      </c>
      <c r="C4887" s="19">
        <v>5</v>
      </c>
      <c r="D4887" s="19">
        <v>52.531999999999996</v>
      </c>
    </row>
    <row r="4888" spans="1:4" x14ac:dyDescent="0.2">
      <c r="A4888" s="19" t="s">
        <v>101</v>
      </c>
      <c r="B4888" s="19">
        <v>182.67000000000002</v>
      </c>
      <c r="C4888" s="19">
        <v>3</v>
      </c>
      <c r="D4888" s="19">
        <v>52.974299999999992</v>
      </c>
    </row>
    <row r="4889" spans="1:4" x14ac:dyDescent="0.2">
      <c r="A4889" s="19" t="s">
        <v>101</v>
      </c>
      <c r="B4889" s="19">
        <v>101.69999999999999</v>
      </c>
      <c r="C4889" s="19">
        <v>6</v>
      </c>
      <c r="D4889" s="19">
        <v>6.1019999999999968</v>
      </c>
    </row>
    <row r="4890" spans="1:4" x14ac:dyDescent="0.2">
      <c r="A4890" s="19" t="s">
        <v>101</v>
      </c>
      <c r="B4890" s="19">
        <v>1126.02</v>
      </c>
      <c r="C4890" s="19">
        <v>3</v>
      </c>
      <c r="D4890" s="19">
        <v>56.300999999999988</v>
      </c>
    </row>
    <row r="4891" spans="1:4" x14ac:dyDescent="0.2">
      <c r="A4891" s="19" t="s">
        <v>101</v>
      </c>
      <c r="B4891" s="19">
        <v>1263.3000000000002</v>
      </c>
      <c r="C4891" s="19">
        <v>6</v>
      </c>
      <c r="D4891" s="19">
        <v>315.82499999999993</v>
      </c>
    </row>
    <row r="4892" spans="1:4" x14ac:dyDescent="0.2">
      <c r="A4892" s="19" t="s">
        <v>153</v>
      </c>
      <c r="B4892" s="19">
        <v>8.82</v>
      </c>
      <c r="C4892" s="19">
        <v>3</v>
      </c>
      <c r="D4892" s="19">
        <v>2.5577999999999994</v>
      </c>
    </row>
    <row r="4893" spans="1:4" x14ac:dyDescent="0.2">
      <c r="A4893" s="19" t="s">
        <v>153</v>
      </c>
      <c r="B4893" s="19">
        <v>37.94</v>
      </c>
      <c r="C4893" s="19">
        <v>2</v>
      </c>
      <c r="D4893" s="19">
        <v>18.211199999999998</v>
      </c>
    </row>
    <row r="4894" spans="1:4" x14ac:dyDescent="0.2">
      <c r="A4894" s="19" t="s">
        <v>153</v>
      </c>
      <c r="B4894" s="19">
        <v>4.2</v>
      </c>
      <c r="C4894" s="19">
        <v>2</v>
      </c>
      <c r="D4894" s="19">
        <v>1.1760000000000002</v>
      </c>
    </row>
    <row r="4895" spans="1:4" x14ac:dyDescent="0.2">
      <c r="A4895" s="19" t="s">
        <v>153</v>
      </c>
      <c r="B4895" s="19">
        <v>227.28</v>
      </c>
      <c r="C4895" s="19">
        <v>2</v>
      </c>
      <c r="D4895" s="19">
        <v>2.2727999999999895</v>
      </c>
    </row>
    <row r="4896" spans="1:4" x14ac:dyDescent="0.2">
      <c r="A4896" s="19" t="s">
        <v>153</v>
      </c>
      <c r="B4896" s="19">
        <v>47.9</v>
      </c>
      <c r="C4896" s="19">
        <v>1</v>
      </c>
      <c r="D4896" s="19">
        <v>22.991999999999997</v>
      </c>
    </row>
    <row r="4897" spans="1:4" x14ac:dyDescent="0.2">
      <c r="A4897" s="19" t="s">
        <v>153</v>
      </c>
      <c r="B4897" s="19">
        <v>61.96</v>
      </c>
      <c r="C4897" s="19">
        <v>2</v>
      </c>
      <c r="D4897" s="19">
        <v>30.360399999999998</v>
      </c>
    </row>
    <row r="4898" spans="1:4" x14ac:dyDescent="0.2">
      <c r="A4898" s="19" t="s">
        <v>153</v>
      </c>
      <c r="B4898" s="19">
        <v>1117.92</v>
      </c>
      <c r="C4898" s="19">
        <v>4</v>
      </c>
      <c r="D4898" s="19">
        <v>55.895999999999958</v>
      </c>
    </row>
    <row r="4899" spans="1:4" x14ac:dyDescent="0.2">
      <c r="A4899" s="19" t="s">
        <v>173</v>
      </c>
      <c r="B4899" s="19">
        <v>183.37199999999999</v>
      </c>
      <c r="C4899" s="19">
        <v>2</v>
      </c>
      <c r="D4899" s="19">
        <v>-7.8588000000000022</v>
      </c>
    </row>
    <row r="4900" spans="1:4" x14ac:dyDescent="0.2">
      <c r="A4900" s="19" t="s">
        <v>173</v>
      </c>
      <c r="B4900" s="19">
        <v>7.9680000000000009</v>
      </c>
      <c r="C4900" s="19">
        <v>2</v>
      </c>
      <c r="D4900" s="19">
        <v>2.8884000000000007</v>
      </c>
    </row>
    <row r="4901" spans="1:4" x14ac:dyDescent="0.2">
      <c r="A4901" s="19" t="s">
        <v>170</v>
      </c>
      <c r="B4901" s="19">
        <v>26.352000000000004</v>
      </c>
      <c r="C4901" s="19">
        <v>8</v>
      </c>
      <c r="D4901" s="19">
        <v>-18.446399999999997</v>
      </c>
    </row>
    <row r="4902" spans="1:4" x14ac:dyDescent="0.2">
      <c r="A4902" s="19" t="s">
        <v>150</v>
      </c>
      <c r="B4902" s="19">
        <v>481.32</v>
      </c>
      <c r="C4902" s="19">
        <v>4</v>
      </c>
      <c r="D4902" s="19">
        <v>125.14319999999998</v>
      </c>
    </row>
    <row r="4903" spans="1:4" x14ac:dyDescent="0.2">
      <c r="A4903" s="19" t="s">
        <v>150</v>
      </c>
      <c r="B4903" s="19">
        <v>13.98</v>
      </c>
      <c r="C4903" s="19">
        <v>1</v>
      </c>
      <c r="D4903" s="19">
        <v>3.6348000000000003</v>
      </c>
    </row>
    <row r="4904" spans="1:4" x14ac:dyDescent="0.2">
      <c r="A4904" s="19" t="s">
        <v>164</v>
      </c>
      <c r="B4904" s="19">
        <v>25.92</v>
      </c>
      <c r="C4904" s="19">
        <v>6</v>
      </c>
      <c r="D4904" s="19">
        <v>9.0719999999999992</v>
      </c>
    </row>
    <row r="4905" spans="1:4" x14ac:dyDescent="0.2">
      <c r="A4905" s="19" t="s">
        <v>164</v>
      </c>
      <c r="B4905" s="19">
        <v>91.59</v>
      </c>
      <c r="C4905" s="19">
        <v>3</v>
      </c>
      <c r="D4905" s="19">
        <v>42.131399999999999</v>
      </c>
    </row>
    <row r="4906" spans="1:4" x14ac:dyDescent="0.2">
      <c r="A4906" s="19" t="s">
        <v>154</v>
      </c>
      <c r="B4906" s="19">
        <v>674.05799999999999</v>
      </c>
      <c r="C4906" s="19">
        <v>3</v>
      </c>
      <c r="D4906" s="19">
        <v>-19.258800000000008</v>
      </c>
    </row>
    <row r="4907" spans="1:4" x14ac:dyDescent="0.2">
      <c r="A4907" s="19" t="s">
        <v>186</v>
      </c>
      <c r="B4907" s="19">
        <v>22.92</v>
      </c>
      <c r="C4907" s="19">
        <v>4</v>
      </c>
      <c r="D4907" s="19">
        <v>11.0016</v>
      </c>
    </row>
    <row r="4908" spans="1:4" x14ac:dyDescent="0.2">
      <c r="A4908" s="19" t="s">
        <v>186</v>
      </c>
      <c r="B4908" s="19">
        <v>269.89999999999998</v>
      </c>
      <c r="C4908" s="19">
        <v>5</v>
      </c>
      <c r="D4908" s="19">
        <v>16.193999999999988</v>
      </c>
    </row>
    <row r="4909" spans="1:4" x14ac:dyDescent="0.2">
      <c r="A4909" s="19" t="s">
        <v>173</v>
      </c>
      <c r="B4909" s="19">
        <v>11.808000000000002</v>
      </c>
      <c r="C4909" s="19">
        <v>8</v>
      </c>
      <c r="D4909" s="19">
        <v>-8.659200000000002</v>
      </c>
    </row>
    <row r="4910" spans="1:4" x14ac:dyDescent="0.2">
      <c r="A4910" s="19" t="s">
        <v>173</v>
      </c>
      <c r="B4910" s="19">
        <v>9.5879999999999992</v>
      </c>
      <c r="C4910" s="19">
        <v>2</v>
      </c>
      <c r="D4910" s="19">
        <v>-2.0773999999999999</v>
      </c>
    </row>
    <row r="4911" spans="1:4" x14ac:dyDescent="0.2">
      <c r="A4911" s="19" t="s">
        <v>167</v>
      </c>
      <c r="B4911" s="19">
        <v>18.335999999999999</v>
      </c>
      <c r="C4911" s="19">
        <v>3</v>
      </c>
      <c r="D4911" s="19">
        <v>6.6467999999999989</v>
      </c>
    </row>
    <row r="4912" spans="1:4" x14ac:dyDescent="0.2">
      <c r="A4912" s="19" t="s">
        <v>167</v>
      </c>
      <c r="B4912" s="19">
        <v>36.288000000000011</v>
      </c>
      <c r="C4912" s="19">
        <v>7</v>
      </c>
      <c r="D4912" s="19">
        <v>12.700800000000001</v>
      </c>
    </row>
    <row r="4913" spans="1:4" x14ac:dyDescent="0.2">
      <c r="A4913" s="19" t="s">
        <v>167</v>
      </c>
      <c r="B4913" s="19">
        <v>111.98399999999999</v>
      </c>
      <c r="C4913" s="19">
        <v>2</v>
      </c>
      <c r="D4913" s="19">
        <v>6.9990000000000059</v>
      </c>
    </row>
    <row r="4914" spans="1:4" x14ac:dyDescent="0.2">
      <c r="A4914" s="19" t="s">
        <v>167</v>
      </c>
      <c r="B4914" s="19">
        <v>5.9700000000000006</v>
      </c>
      <c r="C4914" s="19">
        <v>5</v>
      </c>
      <c r="D4914" s="19">
        <v>-4.577</v>
      </c>
    </row>
    <row r="4915" spans="1:4" x14ac:dyDescent="0.2">
      <c r="A4915" s="19" t="s">
        <v>167</v>
      </c>
      <c r="B4915" s="19">
        <v>2.508</v>
      </c>
      <c r="C4915" s="19">
        <v>2</v>
      </c>
      <c r="D4915" s="19">
        <v>-1.8391999999999999</v>
      </c>
    </row>
    <row r="4916" spans="1:4" x14ac:dyDescent="0.2">
      <c r="A4916" s="19" t="s">
        <v>153</v>
      </c>
      <c r="B4916" s="19">
        <v>35.96</v>
      </c>
      <c r="C4916" s="19">
        <v>2</v>
      </c>
      <c r="D4916" s="19">
        <v>10.428399999999996</v>
      </c>
    </row>
    <row r="4917" spans="1:4" x14ac:dyDescent="0.2">
      <c r="A4917" s="19" t="s">
        <v>153</v>
      </c>
      <c r="B4917" s="19">
        <v>14.952000000000002</v>
      </c>
      <c r="C4917" s="19">
        <v>3</v>
      </c>
      <c r="D4917" s="19">
        <v>5.4201000000000006</v>
      </c>
    </row>
    <row r="4918" spans="1:4" x14ac:dyDescent="0.2">
      <c r="A4918" s="19" t="s">
        <v>154</v>
      </c>
      <c r="B4918" s="19">
        <v>67.144000000000005</v>
      </c>
      <c r="C4918" s="19">
        <v>7</v>
      </c>
      <c r="D4918" s="19">
        <v>5.8750999999999962</v>
      </c>
    </row>
    <row r="4919" spans="1:4" x14ac:dyDescent="0.2">
      <c r="A4919" s="19" t="s">
        <v>154</v>
      </c>
      <c r="B4919" s="19">
        <v>254.05799999999999</v>
      </c>
      <c r="C4919" s="19">
        <v>3</v>
      </c>
      <c r="D4919" s="19">
        <v>-32.664599999999993</v>
      </c>
    </row>
    <row r="4920" spans="1:4" x14ac:dyDescent="0.2">
      <c r="A4920" s="19" t="s">
        <v>187</v>
      </c>
      <c r="B4920" s="19">
        <v>173.94</v>
      </c>
      <c r="C4920" s="19">
        <v>3</v>
      </c>
      <c r="D4920" s="19">
        <v>38.266800000000003</v>
      </c>
    </row>
    <row r="4921" spans="1:4" x14ac:dyDescent="0.2">
      <c r="A4921" s="19" t="s">
        <v>187</v>
      </c>
      <c r="B4921" s="19">
        <v>231.98</v>
      </c>
      <c r="C4921" s="19">
        <v>2</v>
      </c>
      <c r="D4921" s="19">
        <v>67.274199999999979</v>
      </c>
    </row>
    <row r="4922" spans="1:4" x14ac:dyDescent="0.2">
      <c r="A4922" s="19" t="s">
        <v>159</v>
      </c>
      <c r="B4922" s="19">
        <v>2.2959999999999994</v>
      </c>
      <c r="C4922" s="19">
        <v>2</v>
      </c>
      <c r="D4922" s="19">
        <v>-3.9032000000000009</v>
      </c>
    </row>
    <row r="4923" spans="1:4" x14ac:dyDescent="0.2">
      <c r="A4923" s="19" t="s">
        <v>168</v>
      </c>
      <c r="B4923" s="19">
        <v>96.08</v>
      </c>
      <c r="C4923" s="19">
        <v>2</v>
      </c>
      <c r="D4923" s="19">
        <v>46.118399999999994</v>
      </c>
    </row>
    <row r="4924" spans="1:4" x14ac:dyDescent="0.2">
      <c r="A4924" s="19" t="s">
        <v>168</v>
      </c>
      <c r="B4924" s="19">
        <v>3.62</v>
      </c>
      <c r="C4924" s="19">
        <v>2</v>
      </c>
      <c r="D4924" s="19">
        <v>1.1945999999999999</v>
      </c>
    </row>
    <row r="4925" spans="1:4" x14ac:dyDescent="0.2">
      <c r="A4925" s="19" t="s">
        <v>168</v>
      </c>
      <c r="B4925" s="19">
        <v>629.09999999999991</v>
      </c>
      <c r="C4925" s="19">
        <v>6</v>
      </c>
      <c r="D4925" s="19">
        <v>301.96799999999996</v>
      </c>
    </row>
    <row r="4926" spans="1:4" x14ac:dyDescent="0.2">
      <c r="A4926" s="19" t="s">
        <v>168</v>
      </c>
      <c r="B4926" s="19">
        <v>90.48</v>
      </c>
      <c r="C4926" s="19">
        <v>2</v>
      </c>
      <c r="D4926" s="19">
        <v>23.524799999999999</v>
      </c>
    </row>
    <row r="4927" spans="1:4" x14ac:dyDescent="0.2">
      <c r="A4927" s="19" t="s">
        <v>180</v>
      </c>
      <c r="B4927" s="19">
        <v>14.88</v>
      </c>
      <c r="C4927" s="19">
        <v>2</v>
      </c>
      <c r="D4927" s="19">
        <v>3.7200000000000006</v>
      </c>
    </row>
    <row r="4928" spans="1:4" x14ac:dyDescent="0.2">
      <c r="A4928" s="19" t="s">
        <v>159</v>
      </c>
      <c r="B4928" s="19">
        <v>91.275000000000006</v>
      </c>
      <c r="C4928" s="19">
        <v>1</v>
      </c>
      <c r="D4928" s="19">
        <v>-67.543499999999995</v>
      </c>
    </row>
    <row r="4929" spans="1:4" x14ac:dyDescent="0.2">
      <c r="A4929" s="19" t="s">
        <v>178</v>
      </c>
      <c r="B4929" s="19">
        <v>19.440000000000001</v>
      </c>
      <c r="C4929" s="19">
        <v>3</v>
      </c>
      <c r="D4929" s="19">
        <v>9.3312000000000008</v>
      </c>
    </row>
    <row r="4930" spans="1:4" x14ac:dyDescent="0.2">
      <c r="A4930" s="19" t="s">
        <v>178</v>
      </c>
      <c r="B4930" s="19">
        <v>897.15000000000009</v>
      </c>
      <c r="C4930" s="19">
        <v>3</v>
      </c>
      <c r="D4930" s="19">
        <v>251.20200000000003</v>
      </c>
    </row>
    <row r="4931" spans="1:4" x14ac:dyDescent="0.2">
      <c r="A4931" s="19" t="s">
        <v>164</v>
      </c>
      <c r="B4931" s="19">
        <v>57.75</v>
      </c>
      <c r="C4931" s="19">
        <v>5</v>
      </c>
      <c r="D4931" s="19">
        <v>16.170000000000002</v>
      </c>
    </row>
    <row r="4932" spans="1:4" x14ac:dyDescent="0.2">
      <c r="A4932" s="19" t="s">
        <v>164</v>
      </c>
      <c r="B4932" s="19">
        <v>14.940000000000001</v>
      </c>
      <c r="C4932" s="19">
        <v>3</v>
      </c>
      <c r="D4932" s="19">
        <v>7.0218000000000007</v>
      </c>
    </row>
    <row r="4933" spans="1:4" x14ac:dyDescent="0.2">
      <c r="A4933" s="19" t="s">
        <v>153</v>
      </c>
      <c r="B4933" s="19">
        <v>23.1</v>
      </c>
      <c r="C4933" s="19">
        <v>2</v>
      </c>
      <c r="D4933" s="19">
        <v>6.93</v>
      </c>
    </row>
    <row r="4934" spans="1:4" x14ac:dyDescent="0.2">
      <c r="A4934" s="19" t="s">
        <v>171</v>
      </c>
      <c r="B4934" s="19">
        <v>12.536000000000001</v>
      </c>
      <c r="C4934" s="19">
        <v>1</v>
      </c>
      <c r="D4934" s="19">
        <v>4.2308999999999983</v>
      </c>
    </row>
    <row r="4935" spans="1:4" x14ac:dyDescent="0.2">
      <c r="A4935" s="19" t="s">
        <v>171</v>
      </c>
      <c r="B4935" s="19">
        <v>1.0800000000000003</v>
      </c>
      <c r="C4935" s="19">
        <v>2</v>
      </c>
      <c r="D4935" s="19">
        <v>-0.79200000000000004</v>
      </c>
    </row>
    <row r="4936" spans="1:4" x14ac:dyDescent="0.2">
      <c r="A4936" s="19" t="s">
        <v>171</v>
      </c>
      <c r="B4936" s="19">
        <v>4.5120000000000005</v>
      </c>
      <c r="C4936" s="19">
        <v>3</v>
      </c>
      <c r="D4936" s="19">
        <v>0.84599999999999964</v>
      </c>
    </row>
    <row r="4937" spans="1:4" x14ac:dyDescent="0.2">
      <c r="A4937" s="19" t="s">
        <v>156</v>
      </c>
      <c r="B4937" s="19">
        <v>16.776000000000003</v>
      </c>
      <c r="C4937" s="19">
        <v>3</v>
      </c>
      <c r="D4937" s="19">
        <v>1.6776</v>
      </c>
    </row>
    <row r="4938" spans="1:4" x14ac:dyDescent="0.2">
      <c r="A4938" s="19" t="s">
        <v>168</v>
      </c>
      <c r="B4938" s="19">
        <v>33.74</v>
      </c>
      <c r="C4938" s="19">
        <v>7</v>
      </c>
      <c r="D4938" s="19">
        <v>15.5204</v>
      </c>
    </row>
    <row r="4939" spans="1:4" x14ac:dyDescent="0.2">
      <c r="A4939" s="19" t="s">
        <v>150</v>
      </c>
      <c r="B4939" s="19">
        <v>1325.8500000000001</v>
      </c>
      <c r="C4939" s="19">
        <v>5</v>
      </c>
      <c r="D4939" s="19">
        <v>238.65299999999991</v>
      </c>
    </row>
    <row r="4940" spans="1:4" x14ac:dyDescent="0.2">
      <c r="A4940" s="19" t="s">
        <v>150</v>
      </c>
      <c r="B4940" s="19">
        <v>333.99899999999997</v>
      </c>
      <c r="C4940" s="19">
        <v>3</v>
      </c>
      <c r="D4940" s="19">
        <v>3.9294000000000082</v>
      </c>
    </row>
    <row r="4941" spans="1:4" x14ac:dyDescent="0.2">
      <c r="A4941" s="19" t="s">
        <v>150</v>
      </c>
      <c r="B4941" s="19">
        <v>19.899999999999999</v>
      </c>
      <c r="C4941" s="19">
        <v>5</v>
      </c>
      <c r="D4941" s="19">
        <v>6.5669999999999984</v>
      </c>
    </row>
    <row r="4942" spans="1:4" x14ac:dyDescent="0.2">
      <c r="A4942" s="19" t="s">
        <v>162</v>
      </c>
      <c r="B4942" s="19">
        <v>1268.82</v>
      </c>
      <c r="C4942" s="19">
        <v>9</v>
      </c>
      <c r="D4942" s="19">
        <v>266.45219999999989</v>
      </c>
    </row>
    <row r="4943" spans="1:4" x14ac:dyDescent="0.2">
      <c r="A4943" s="19" t="s">
        <v>162</v>
      </c>
      <c r="B4943" s="19">
        <v>283.92</v>
      </c>
      <c r="C4943" s="19">
        <v>4</v>
      </c>
      <c r="D4943" s="19">
        <v>82.336799999999982</v>
      </c>
    </row>
    <row r="4944" spans="1:4" x14ac:dyDescent="0.2">
      <c r="A4944" s="19" t="s">
        <v>162</v>
      </c>
      <c r="B4944" s="19">
        <v>5.68</v>
      </c>
      <c r="C4944" s="19">
        <v>2</v>
      </c>
      <c r="D4944" s="19">
        <v>1.7607999999999997</v>
      </c>
    </row>
    <row r="4945" spans="1:4" x14ac:dyDescent="0.2">
      <c r="A4945" s="19" t="s">
        <v>163</v>
      </c>
      <c r="B4945" s="19">
        <v>375.34</v>
      </c>
      <c r="C4945" s="19">
        <v>1</v>
      </c>
      <c r="D4945" s="19">
        <v>18.766999999999996</v>
      </c>
    </row>
    <row r="4946" spans="1:4" x14ac:dyDescent="0.2">
      <c r="A4946" s="19" t="s">
        <v>150</v>
      </c>
      <c r="B4946" s="19">
        <v>96.08</v>
      </c>
      <c r="C4946" s="19">
        <v>2</v>
      </c>
      <c r="D4946" s="19">
        <v>46.118399999999994</v>
      </c>
    </row>
    <row r="4947" spans="1:4" x14ac:dyDescent="0.2">
      <c r="A4947" s="19" t="s">
        <v>150</v>
      </c>
      <c r="B4947" s="19">
        <v>11.68</v>
      </c>
      <c r="C4947" s="19">
        <v>2</v>
      </c>
      <c r="D4947" s="19">
        <v>3.9419999999999993</v>
      </c>
    </row>
    <row r="4948" spans="1:4" x14ac:dyDescent="0.2">
      <c r="A4948" s="19" t="s">
        <v>150</v>
      </c>
      <c r="B4948" s="19">
        <v>4.3600000000000003</v>
      </c>
      <c r="C4948" s="19">
        <v>2</v>
      </c>
      <c r="D4948" s="19">
        <v>1.7876000000000003</v>
      </c>
    </row>
    <row r="4949" spans="1:4" x14ac:dyDescent="0.2">
      <c r="A4949" s="19" t="s">
        <v>153</v>
      </c>
      <c r="B4949" s="19">
        <v>29.24</v>
      </c>
      <c r="C4949" s="19">
        <v>4</v>
      </c>
      <c r="D4949" s="19">
        <v>13.742799999999999</v>
      </c>
    </row>
    <row r="4950" spans="1:4" x14ac:dyDescent="0.2">
      <c r="A4950" s="19" t="s">
        <v>150</v>
      </c>
      <c r="B4950" s="19">
        <v>117.48800000000001</v>
      </c>
      <c r="C4950" s="19">
        <v>7</v>
      </c>
      <c r="D4950" s="19">
        <v>41.120799999999988</v>
      </c>
    </row>
    <row r="4951" spans="1:4" x14ac:dyDescent="0.2">
      <c r="A4951" s="19" t="s">
        <v>150</v>
      </c>
      <c r="B4951" s="19">
        <v>18.84</v>
      </c>
      <c r="C4951" s="19">
        <v>3</v>
      </c>
      <c r="D4951" s="19">
        <v>6.0287999999999995</v>
      </c>
    </row>
    <row r="4952" spans="1:4" x14ac:dyDescent="0.2">
      <c r="A4952" s="19" t="s">
        <v>164</v>
      </c>
      <c r="B4952" s="19">
        <v>12.419999999999998</v>
      </c>
      <c r="C4952" s="19">
        <v>3</v>
      </c>
      <c r="D4952" s="19">
        <v>5.2164000000000001</v>
      </c>
    </row>
    <row r="4953" spans="1:4" x14ac:dyDescent="0.2">
      <c r="A4953" s="19" t="s">
        <v>161</v>
      </c>
      <c r="B4953" s="19">
        <v>12.96</v>
      </c>
      <c r="C4953" s="19">
        <v>2</v>
      </c>
      <c r="D4953" s="19">
        <v>6.2208000000000006</v>
      </c>
    </row>
    <row r="4954" spans="1:4" x14ac:dyDescent="0.2">
      <c r="A4954" s="19" t="s">
        <v>150</v>
      </c>
      <c r="B4954" s="19">
        <v>69.48</v>
      </c>
      <c r="C4954" s="19">
        <v>1</v>
      </c>
      <c r="D4954" s="19">
        <v>20.843999999999994</v>
      </c>
    </row>
    <row r="4955" spans="1:4" x14ac:dyDescent="0.2">
      <c r="A4955" s="19" t="s">
        <v>164</v>
      </c>
      <c r="B4955" s="19">
        <v>85.9</v>
      </c>
      <c r="C4955" s="19">
        <v>2</v>
      </c>
      <c r="D4955" s="19">
        <v>2.5769999999999982</v>
      </c>
    </row>
    <row r="4956" spans="1:4" x14ac:dyDescent="0.2">
      <c r="A4956" s="19" t="s">
        <v>181</v>
      </c>
      <c r="B4956" s="19">
        <v>18.060000000000002</v>
      </c>
      <c r="C4956" s="19">
        <v>7</v>
      </c>
      <c r="D4956" s="19">
        <v>4.6956000000000007</v>
      </c>
    </row>
    <row r="4957" spans="1:4" x14ac:dyDescent="0.2">
      <c r="A4957" s="19" t="s">
        <v>181</v>
      </c>
      <c r="B4957" s="19">
        <v>79.14</v>
      </c>
      <c r="C4957" s="19">
        <v>3</v>
      </c>
      <c r="D4957" s="19">
        <v>36.404399999999995</v>
      </c>
    </row>
    <row r="4958" spans="1:4" x14ac:dyDescent="0.2">
      <c r="A4958" s="19" t="s">
        <v>181</v>
      </c>
      <c r="B4958" s="19">
        <v>37.4</v>
      </c>
      <c r="C4958" s="19">
        <v>2</v>
      </c>
      <c r="D4958" s="19">
        <v>14.212</v>
      </c>
    </row>
    <row r="4959" spans="1:4" x14ac:dyDescent="0.2">
      <c r="A4959" s="19" t="s">
        <v>154</v>
      </c>
      <c r="B4959" s="19">
        <v>2.5119999999999996</v>
      </c>
      <c r="C4959" s="19">
        <v>2</v>
      </c>
      <c r="D4959" s="19">
        <v>-4.3960000000000026</v>
      </c>
    </row>
    <row r="4960" spans="1:4" x14ac:dyDescent="0.2">
      <c r="A4960" s="19" t="s">
        <v>154</v>
      </c>
      <c r="B4960" s="19">
        <v>18.864000000000001</v>
      </c>
      <c r="C4960" s="19">
        <v>9</v>
      </c>
      <c r="D4960" s="19">
        <v>6.1307999999999998</v>
      </c>
    </row>
    <row r="4961" spans="1:4" x14ac:dyDescent="0.2">
      <c r="A4961" s="19" t="s">
        <v>150</v>
      </c>
      <c r="B4961" s="19">
        <v>61.192</v>
      </c>
      <c r="C4961" s="19">
        <v>1</v>
      </c>
      <c r="D4961" s="19">
        <v>6.1192000000000011</v>
      </c>
    </row>
    <row r="4962" spans="1:4" x14ac:dyDescent="0.2">
      <c r="A4962" s="19" t="s">
        <v>150</v>
      </c>
      <c r="B4962" s="19">
        <v>67.84</v>
      </c>
      <c r="C4962" s="19">
        <v>1</v>
      </c>
      <c r="D4962" s="19">
        <v>18.316800000000001</v>
      </c>
    </row>
    <row r="4963" spans="1:4" x14ac:dyDescent="0.2">
      <c r="A4963" s="19" t="s">
        <v>153</v>
      </c>
      <c r="B4963" s="19">
        <v>48.712000000000003</v>
      </c>
      <c r="C4963" s="19">
        <v>1</v>
      </c>
      <c r="D4963" s="19">
        <v>5.4800999999999966</v>
      </c>
    </row>
    <row r="4964" spans="1:4" x14ac:dyDescent="0.2">
      <c r="A4964" s="19" t="s">
        <v>153</v>
      </c>
      <c r="B4964" s="19">
        <v>17.940000000000001</v>
      </c>
      <c r="C4964" s="19">
        <v>3</v>
      </c>
      <c r="D4964" s="19">
        <v>4.6644000000000005</v>
      </c>
    </row>
    <row r="4965" spans="1:4" x14ac:dyDescent="0.2">
      <c r="A4965" s="19" t="s">
        <v>153</v>
      </c>
      <c r="B4965" s="19">
        <v>242.94</v>
      </c>
      <c r="C4965" s="19">
        <v>3</v>
      </c>
      <c r="D4965" s="19">
        <v>4.8588000000000164</v>
      </c>
    </row>
    <row r="4966" spans="1:4" x14ac:dyDescent="0.2">
      <c r="A4966" s="19" t="s">
        <v>151</v>
      </c>
      <c r="B4966" s="19">
        <v>7.7640000000000011</v>
      </c>
      <c r="C4966" s="19">
        <v>4</v>
      </c>
      <c r="D4966" s="19">
        <v>-5.1760000000000002</v>
      </c>
    </row>
    <row r="4967" spans="1:4" x14ac:dyDescent="0.2">
      <c r="A4967" s="19" t="s">
        <v>167</v>
      </c>
      <c r="B4967" s="19">
        <v>467.03999999999996</v>
      </c>
      <c r="C4967" s="19">
        <v>4</v>
      </c>
      <c r="D4967" s="19">
        <v>58.379999999999939</v>
      </c>
    </row>
    <row r="4968" spans="1:4" x14ac:dyDescent="0.2">
      <c r="A4968" s="19" t="s">
        <v>182</v>
      </c>
      <c r="B4968" s="19">
        <v>128.85000000000002</v>
      </c>
      <c r="C4968" s="19">
        <v>3</v>
      </c>
      <c r="D4968" s="19">
        <v>3.8654999999999973</v>
      </c>
    </row>
    <row r="4969" spans="1:4" x14ac:dyDescent="0.2">
      <c r="A4969" s="19" t="s">
        <v>182</v>
      </c>
      <c r="B4969" s="19">
        <v>8.4</v>
      </c>
      <c r="C4969" s="19">
        <v>2</v>
      </c>
      <c r="D4969" s="19">
        <v>4.1159999999999997</v>
      </c>
    </row>
    <row r="4970" spans="1:4" x14ac:dyDescent="0.2">
      <c r="A4970" s="19" t="s">
        <v>182</v>
      </c>
      <c r="B4970" s="19">
        <v>199.98</v>
      </c>
      <c r="C4970" s="19">
        <v>2</v>
      </c>
      <c r="D4970" s="19">
        <v>83.991600000000005</v>
      </c>
    </row>
    <row r="4971" spans="1:4" x14ac:dyDescent="0.2">
      <c r="A4971" s="19" t="s">
        <v>182</v>
      </c>
      <c r="B4971" s="19">
        <v>110.98</v>
      </c>
      <c r="C4971" s="19">
        <v>1</v>
      </c>
      <c r="D4971" s="19">
        <v>15.537199999999999</v>
      </c>
    </row>
    <row r="4972" spans="1:4" x14ac:dyDescent="0.2">
      <c r="A4972" s="19" t="s">
        <v>151</v>
      </c>
      <c r="B4972" s="19">
        <v>207.98400000000004</v>
      </c>
      <c r="C4972" s="19">
        <v>2</v>
      </c>
      <c r="D4972" s="19">
        <v>-28.597800000000007</v>
      </c>
    </row>
    <row r="4973" spans="1:4" x14ac:dyDescent="0.2">
      <c r="A4973" s="19" t="s">
        <v>151</v>
      </c>
      <c r="B4973" s="19">
        <v>36.112000000000002</v>
      </c>
      <c r="C4973" s="19">
        <v>2</v>
      </c>
      <c r="D4973" s="19">
        <v>12.639200000000001</v>
      </c>
    </row>
    <row r="4974" spans="1:4" x14ac:dyDescent="0.2">
      <c r="A4974" s="19" t="s">
        <v>151</v>
      </c>
      <c r="B4974" s="19">
        <v>35.568000000000005</v>
      </c>
      <c r="C4974" s="19">
        <v>2</v>
      </c>
      <c r="D4974" s="19">
        <v>5.7797999999999963</v>
      </c>
    </row>
    <row r="4975" spans="1:4" x14ac:dyDescent="0.2">
      <c r="A4975" s="19" t="s">
        <v>151</v>
      </c>
      <c r="B4975" s="19">
        <v>88.768000000000001</v>
      </c>
      <c r="C4975" s="19">
        <v>2</v>
      </c>
      <c r="D4975" s="19">
        <v>31.068799999999996</v>
      </c>
    </row>
    <row r="4976" spans="1:4" x14ac:dyDescent="0.2">
      <c r="A4976" s="19" t="s">
        <v>150</v>
      </c>
      <c r="B4976" s="19">
        <v>12.9</v>
      </c>
      <c r="C4976" s="19">
        <v>2</v>
      </c>
      <c r="D4976" s="19">
        <v>6.3209999999999997</v>
      </c>
    </row>
    <row r="4977" spans="1:4" x14ac:dyDescent="0.2">
      <c r="A4977" s="19" t="s">
        <v>151</v>
      </c>
      <c r="B4977" s="19">
        <v>717.12000000000012</v>
      </c>
      <c r="C4977" s="19">
        <v>9</v>
      </c>
      <c r="D4977" s="19">
        <v>152.38799999999992</v>
      </c>
    </row>
    <row r="4978" spans="1:4" x14ac:dyDescent="0.2">
      <c r="A4978" s="19" t="s">
        <v>164</v>
      </c>
      <c r="B4978" s="19">
        <v>21.36</v>
      </c>
      <c r="C4978" s="19">
        <v>5</v>
      </c>
      <c r="D4978" s="19">
        <v>7.2089999999999996</v>
      </c>
    </row>
    <row r="4979" spans="1:4" x14ac:dyDescent="0.2">
      <c r="A4979" s="19" t="s">
        <v>164</v>
      </c>
      <c r="B4979" s="19">
        <v>6.6879999999999997</v>
      </c>
      <c r="C4979" s="19">
        <v>2</v>
      </c>
      <c r="D4979" s="19">
        <v>2.3407999999999998</v>
      </c>
    </row>
    <row r="4980" spans="1:4" x14ac:dyDescent="0.2">
      <c r="A4980" s="19" t="s">
        <v>164</v>
      </c>
      <c r="B4980" s="19">
        <v>773.94</v>
      </c>
      <c r="C4980" s="19">
        <v>6</v>
      </c>
      <c r="D4980" s="19">
        <v>224.4426</v>
      </c>
    </row>
    <row r="4981" spans="1:4" x14ac:dyDescent="0.2">
      <c r="A4981" s="19" t="s">
        <v>159</v>
      </c>
      <c r="B4981" s="19">
        <v>20.568000000000001</v>
      </c>
      <c r="C4981" s="19">
        <v>3</v>
      </c>
      <c r="D4981" s="19">
        <v>1.5426000000000002</v>
      </c>
    </row>
    <row r="4982" spans="1:4" x14ac:dyDescent="0.2">
      <c r="A4982" s="19" t="s">
        <v>159</v>
      </c>
      <c r="B4982" s="19">
        <v>4.355999999999999</v>
      </c>
      <c r="C4982" s="19">
        <v>2</v>
      </c>
      <c r="D4982" s="19">
        <v>-11.761200000000002</v>
      </c>
    </row>
    <row r="4983" spans="1:4" x14ac:dyDescent="0.2">
      <c r="A4983" s="19" t="s">
        <v>159</v>
      </c>
      <c r="B4983" s="19">
        <v>19.040000000000003</v>
      </c>
      <c r="C4983" s="19">
        <v>4</v>
      </c>
      <c r="D4983" s="19">
        <v>-1.4279999999999999</v>
      </c>
    </row>
    <row r="4984" spans="1:4" x14ac:dyDescent="0.2">
      <c r="A4984" s="19" t="s">
        <v>150</v>
      </c>
      <c r="B4984" s="19">
        <v>5.22</v>
      </c>
      <c r="C4984" s="19">
        <v>2</v>
      </c>
      <c r="D4984" s="19">
        <v>2.4011999999999998</v>
      </c>
    </row>
    <row r="4985" spans="1:4" x14ac:dyDescent="0.2">
      <c r="A4985" s="19" t="s">
        <v>150</v>
      </c>
      <c r="B4985" s="19">
        <v>84.84</v>
      </c>
      <c r="C4985" s="19">
        <v>3</v>
      </c>
      <c r="D4985" s="19">
        <v>22.9068</v>
      </c>
    </row>
    <row r="4986" spans="1:4" x14ac:dyDescent="0.2">
      <c r="A4986" s="19" t="s">
        <v>167</v>
      </c>
      <c r="B4986" s="19">
        <v>7.2400000000000011</v>
      </c>
      <c r="C4986" s="19">
        <v>5</v>
      </c>
      <c r="D4986" s="19">
        <v>1.1764999999999992</v>
      </c>
    </row>
    <row r="4987" spans="1:4" x14ac:dyDescent="0.2">
      <c r="A4987" s="19" t="s">
        <v>164</v>
      </c>
      <c r="B4987" s="19">
        <v>14.399999999999999</v>
      </c>
      <c r="C4987" s="19">
        <v>5</v>
      </c>
      <c r="D4987" s="19">
        <v>7.056</v>
      </c>
    </row>
    <row r="4988" spans="1:4" x14ac:dyDescent="0.2">
      <c r="A4988" s="19" t="s">
        <v>171</v>
      </c>
      <c r="B4988" s="19">
        <v>15.552000000000003</v>
      </c>
      <c r="C4988" s="19">
        <v>3</v>
      </c>
      <c r="D4988" s="19">
        <v>5.4432</v>
      </c>
    </row>
    <row r="4989" spans="1:4" x14ac:dyDescent="0.2">
      <c r="A4989" s="19" t="s">
        <v>171</v>
      </c>
      <c r="B4989" s="19">
        <v>1325.76</v>
      </c>
      <c r="C4989" s="19">
        <v>6</v>
      </c>
      <c r="D4989" s="19">
        <v>149.14799999999991</v>
      </c>
    </row>
    <row r="4990" spans="1:4" x14ac:dyDescent="0.2">
      <c r="A4990" s="19" t="s">
        <v>171</v>
      </c>
      <c r="B4990" s="19">
        <v>3.1080000000000001</v>
      </c>
      <c r="C4990" s="19">
        <v>2</v>
      </c>
      <c r="D4990" s="19">
        <v>-2.1755999999999993</v>
      </c>
    </row>
    <row r="4991" spans="1:4" x14ac:dyDescent="0.2">
      <c r="A4991" s="19" t="s">
        <v>150</v>
      </c>
      <c r="B4991" s="19">
        <v>6.6719999999999988</v>
      </c>
      <c r="C4991" s="19">
        <v>3</v>
      </c>
      <c r="D4991" s="19">
        <v>2.1683999999999997</v>
      </c>
    </row>
    <row r="4992" spans="1:4" x14ac:dyDescent="0.2">
      <c r="A4992" s="19" t="s">
        <v>150</v>
      </c>
      <c r="B4992" s="19">
        <v>689.40800000000002</v>
      </c>
      <c r="C4992" s="19">
        <v>4</v>
      </c>
      <c r="D4992" s="19">
        <v>77.558399999999978</v>
      </c>
    </row>
    <row r="4993" spans="1:4" x14ac:dyDescent="0.2">
      <c r="A4993" s="19" t="s">
        <v>159</v>
      </c>
      <c r="B4993" s="19">
        <v>1889.9899999999998</v>
      </c>
      <c r="C4993" s="19">
        <v>5</v>
      </c>
      <c r="D4993" s="19">
        <v>-2929.4845000000005</v>
      </c>
    </row>
    <row r="4994" spans="1:4" x14ac:dyDescent="0.2">
      <c r="A4994" s="19" t="s">
        <v>167</v>
      </c>
      <c r="B4994" s="19">
        <v>55.936000000000007</v>
      </c>
      <c r="C4994" s="19">
        <v>8</v>
      </c>
      <c r="D4994" s="19">
        <v>18.878399999999999</v>
      </c>
    </row>
    <row r="4995" spans="1:4" x14ac:dyDescent="0.2">
      <c r="A4995" s="19" t="s">
        <v>167</v>
      </c>
      <c r="B4995" s="19">
        <v>18.431999999999999</v>
      </c>
      <c r="C4995" s="19">
        <v>8</v>
      </c>
      <c r="D4995" s="19">
        <v>5.9903999999999984</v>
      </c>
    </row>
    <row r="4996" spans="1:4" x14ac:dyDescent="0.2">
      <c r="A4996" s="19" t="s">
        <v>167</v>
      </c>
      <c r="B4996" s="19">
        <v>20.32</v>
      </c>
      <c r="C4996" s="19">
        <v>5</v>
      </c>
      <c r="D4996" s="19">
        <v>3.5559999999999992</v>
      </c>
    </row>
    <row r="4997" spans="1:4" x14ac:dyDescent="0.2">
      <c r="A4997" s="19" t="s">
        <v>164</v>
      </c>
      <c r="B4997" s="19">
        <v>52.064</v>
      </c>
      <c r="C4997" s="19">
        <v>4</v>
      </c>
      <c r="D4997" s="19">
        <v>18.873199999999997</v>
      </c>
    </row>
    <row r="4998" spans="1:4" x14ac:dyDescent="0.2">
      <c r="A4998" s="19" t="s">
        <v>152</v>
      </c>
      <c r="B4998" s="19">
        <v>48.783999999999999</v>
      </c>
      <c r="C4998" s="19">
        <v>1</v>
      </c>
      <c r="D4998" s="19">
        <v>3.6587999999999976</v>
      </c>
    </row>
    <row r="4999" spans="1:4" x14ac:dyDescent="0.2">
      <c r="A4999" s="19" t="s">
        <v>152</v>
      </c>
      <c r="B4999" s="19">
        <v>13.092000000000002</v>
      </c>
      <c r="C4999" s="19">
        <v>4</v>
      </c>
      <c r="D4999" s="19">
        <v>-10.037199999999999</v>
      </c>
    </row>
    <row r="5000" spans="1:4" x14ac:dyDescent="0.2">
      <c r="A5000" s="19" t="s">
        <v>150</v>
      </c>
      <c r="B5000" s="19">
        <v>109.59200000000001</v>
      </c>
      <c r="C5000" s="19">
        <v>1</v>
      </c>
      <c r="D5000" s="19">
        <v>8.2194000000000003</v>
      </c>
    </row>
    <row r="5001" spans="1:4" x14ac:dyDescent="0.2">
      <c r="A5001" s="19" t="s">
        <v>150</v>
      </c>
      <c r="B5001" s="19">
        <v>56.7</v>
      </c>
      <c r="C5001" s="19">
        <v>5</v>
      </c>
      <c r="D5001" s="19">
        <v>27.782999999999998</v>
      </c>
    </row>
    <row r="5002" spans="1:4" x14ac:dyDescent="0.2">
      <c r="A5002" s="19" t="s">
        <v>150</v>
      </c>
      <c r="B5002" s="19">
        <v>79.989999999999995</v>
      </c>
      <c r="C5002" s="19">
        <v>1</v>
      </c>
      <c r="D5002" s="19">
        <v>28.796399999999998</v>
      </c>
    </row>
    <row r="5003" spans="1:4" x14ac:dyDescent="0.2">
      <c r="A5003" s="19" t="s">
        <v>166</v>
      </c>
      <c r="B5003" s="19">
        <v>69.5</v>
      </c>
      <c r="C5003" s="19">
        <v>5</v>
      </c>
      <c r="D5003" s="19">
        <v>20.154999999999994</v>
      </c>
    </row>
    <row r="5004" spans="1:4" x14ac:dyDescent="0.2">
      <c r="A5004" s="19" t="s">
        <v>166</v>
      </c>
      <c r="B5004" s="19">
        <v>191.6</v>
      </c>
      <c r="C5004" s="19">
        <v>4</v>
      </c>
      <c r="D5004" s="19">
        <v>91.967999999999989</v>
      </c>
    </row>
    <row r="5005" spans="1:4" x14ac:dyDescent="0.2">
      <c r="A5005" s="19" t="s">
        <v>150</v>
      </c>
      <c r="B5005" s="19">
        <v>10.56</v>
      </c>
      <c r="C5005" s="19">
        <v>2</v>
      </c>
      <c r="D5005" s="19">
        <v>5.0688000000000004</v>
      </c>
    </row>
    <row r="5006" spans="1:4" x14ac:dyDescent="0.2">
      <c r="A5006" s="19" t="s">
        <v>183</v>
      </c>
      <c r="B5006" s="19">
        <v>47.79</v>
      </c>
      <c r="C5006" s="19">
        <v>3</v>
      </c>
      <c r="D5006" s="19">
        <v>16.2486</v>
      </c>
    </row>
    <row r="5007" spans="1:4" x14ac:dyDescent="0.2">
      <c r="A5007" s="19" t="s">
        <v>163</v>
      </c>
      <c r="B5007" s="19">
        <v>714.30000000000007</v>
      </c>
      <c r="C5007" s="19">
        <v>5</v>
      </c>
      <c r="D5007" s="19">
        <v>207.14699999999993</v>
      </c>
    </row>
    <row r="5008" spans="1:4" x14ac:dyDescent="0.2">
      <c r="A5008" s="19" t="s">
        <v>164</v>
      </c>
      <c r="B5008" s="19">
        <v>2321.9</v>
      </c>
      <c r="C5008" s="19">
        <v>2</v>
      </c>
      <c r="D5008" s="19">
        <v>1114.5119999999999</v>
      </c>
    </row>
    <row r="5009" spans="1:4" x14ac:dyDescent="0.2">
      <c r="A5009" s="19" t="s">
        <v>164</v>
      </c>
      <c r="B5009" s="19">
        <v>17.940000000000001</v>
      </c>
      <c r="C5009" s="19">
        <v>3</v>
      </c>
      <c r="D5009" s="19">
        <v>3.0497999999999985</v>
      </c>
    </row>
    <row r="5010" spans="1:4" x14ac:dyDescent="0.2">
      <c r="A5010" s="19" t="s">
        <v>158</v>
      </c>
      <c r="B5010" s="19">
        <v>9.5220000000000002</v>
      </c>
      <c r="C5010" s="19">
        <v>1</v>
      </c>
      <c r="D5010" s="19">
        <v>-6.9827999999999975</v>
      </c>
    </row>
    <row r="5011" spans="1:4" x14ac:dyDescent="0.2">
      <c r="A5011" s="19" t="s">
        <v>158</v>
      </c>
      <c r="B5011" s="19">
        <v>791.96399999999994</v>
      </c>
      <c r="C5011" s="19">
        <v>6</v>
      </c>
      <c r="D5011" s="19">
        <v>-131.9940000000002</v>
      </c>
    </row>
    <row r="5012" spans="1:4" x14ac:dyDescent="0.2">
      <c r="A5012" s="19" t="s">
        <v>158</v>
      </c>
      <c r="B5012" s="19">
        <v>4.9230000000000009</v>
      </c>
      <c r="C5012" s="19">
        <v>3</v>
      </c>
      <c r="D5012" s="19">
        <v>-3.9383999999999997</v>
      </c>
    </row>
    <row r="5013" spans="1:4" x14ac:dyDescent="0.2">
      <c r="A5013" s="19" t="s">
        <v>165</v>
      </c>
      <c r="B5013" s="19">
        <v>209.97900000000001</v>
      </c>
      <c r="C5013" s="19">
        <v>7</v>
      </c>
      <c r="D5013" s="19">
        <v>-356.96429999999998</v>
      </c>
    </row>
    <row r="5014" spans="1:4" x14ac:dyDescent="0.2">
      <c r="A5014" s="19" t="s">
        <v>173</v>
      </c>
      <c r="B5014" s="19">
        <v>33.930000000000007</v>
      </c>
      <c r="C5014" s="19">
        <v>3</v>
      </c>
      <c r="D5014" s="19">
        <v>-22.619999999999997</v>
      </c>
    </row>
    <row r="5015" spans="1:4" x14ac:dyDescent="0.2">
      <c r="A5015" s="19" t="s">
        <v>173</v>
      </c>
      <c r="B5015" s="19">
        <v>222.32000000000005</v>
      </c>
      <c r="C5015" s="19">
        <v>7</v>
      </c>
      <c r="D5015" s="19">
        <v>25.010999999999967</v>
      </c>
    </row>
    <row r="5016" spans="1:4" x14ac:dyDescent="0.2">
      <c r="A5016" s="19" t="s">
        <v>173</v>
      </c>
      <c r="B5016" s="19">
        <v>210.56400000000002</v>
      </c>
      <c r="C5016" s="19">
        <v>6</v>
      </c>
      <c r="D5016" s="19">
        <v>-52.640999999999991</v>
      </c>
    </row>
    <row r="5017" spans="1:4" x14ac:dyDescent="0.2">
      <c r="A5017" s="19" t="s">
        <v>173</v>
      </c>
      <c r="B5017" s="19">
        <v>35.168000000000006</v>
      </c>
      <c r="C5017" s="19">
        <v>7</v>
      </c>
      <c r="D5017" s="19">
        <v>9.6712000000000025</v>
      </c>
    </row>
    <row r="5018" spans="1:4" x14ac:dyDescent="0.2">
      <c r="A5018" s="19" t="s">
        <v>173</v>
      </c>
      <c r="B5018" s="19">
        <v>1502.376</v>
      </c>
      <c r="C5018" s="19">
        <v>4</v>
      </c>
      <c r="D5018" s="19">
        <v>-250.39600000000019</v>
      </c>
    </row>
    <row r="5019" spans="1:4" x14ac:dyDescent="0.2">
      <c r="A5019" s="19" t="s">
        <v>150</v>
      </c>
      <c r="B5019" s="19">
        <v>10.11</v>
      </c>
      <c r="C5019" s="19">
        <v>3</v>
      </c>
      <c r="D5019" s="19">
        <v>3.2351999999999994</v>
      </c>
    </row>
    <row r="5020" spans="1:4" x14ac:dyDescent="0.2">
      <c r="A5020" s="19" t="s">
        <v>150</v>
      </c>
      <c r="B5020" s="19">
        <v>772.47</v>
      </c>
      <c r="C5020" s="19">
        <v>3</v>
      </c>
      <c r="D5020" s="19">
        <v>146.76929999999993</v>
      </c>
    </row>
    <row r="5021" spans="1:4" x14ac:dyDescent="0.2">
      <c r="A5021" s="19" t="s">
        <v>150</v>
      </c>
      <c r="B5021" s="19">
        <v>20.46</v>
      </c>
      <c r="C5021" s="19">
        <v>2</v>
      </c>
      <c r="D5021" s="19">
        <v>5.3196000000000012</v>
      </c>
    </row>
    <row r="5022" spans="1:4" x14ac:dyDescent="0.2">
      <c r="A5022" s="19" t="s">
        <v>164</v>
      </c>
      <c r="B5022" s="19">
        <v>347.58</v>
      </c>
      <c r="C5022" s="19">
        <v>3</v>
      </c>
      <c r="D5022" s="19">
        <v>17.378999999999976</v>
      </c>
    </row>
    <row r="5023" spans="1:4" x14ac:dyDescent="0.2">
      <c r="A5023" s="19" t="s">
        <v>150</v>
      </c>
      <c r="B5023" s="19">
        <v>72.64</v>
      </c>
      <c r="C5023" s="19">
        <v>2</v>
      </c>
      <c r="D5023" s="19">
        <v>21.791999999999994</v>
      </c>
    </row>
    <row r="5024" spans="1:4" x14ac:dyDescent="0.2">
      <c r="A5024" s="19" t="s">
        <v>150</v>
      </c>
      <c r="B5024" s="19">
        <v>772.47</v>
      </c>
      <c r="C5024" s="19">
        <v>3</v>
      </c>
      <c r="D5024" s="19">
        <v>146.76929999999993</v>
      </c>
    </row>
    <row r="5025" spans="1:4" x14ac:dyDescent="0.2">
      <c r="A5025" s="19" t="s">
        <v>150</v>
      </c>
      <c r="B5025" s="19">
        <v>39.92</v>
      </c>
      <c r="C5025" s="19">
        <v>4</v>
      </c>
      <c r="D5025" s="19">
        <v>11.177600000000002</v>
      </c>
    </row>
    <row r="5026" spans="1:4" x14ac:dyDescent="0.2">
      <c r="A5026" s="19" t="s">
        <v>175</v>
      </c>
      <c r="B5026" s="19">
        <v>33.479999999999997</v>
      </c>
      <c r="C5026" s="19">
        <v>2</v>
      </c>
      <c r="D5026" s="19">
        <v>16.405199999999997</v>
      </c>
    </row>
    <row r="5027" spans="1:4" x14ac:dyDescent="0.2">
      <c r="A5027" s="19" t="s">
        <v>175</v>
      </c>
      <c r="B5027" s="19">
        <v>461.97</v>
      </c>
      <c r="C5027" s="19">
        <v>3</v>
      </c>
      <c r="D5027" s="19">
        <v>133.97129999999996</v>
      </c>
    </row>
    <row r="5028" spans="1:4" x14ac:dyDescent="0.2">
      <c r="A5028" s="19" t="s">
        <v>175</v>
      </c>
      <c r="B5028" s="19">
        <v>137.62</v>
      </c>
      <c r="C5028" s="19">
        <v>2</v>
      </c>
      <c r="D5028" s="19">
        <v>60.552800000000005</v>
      </c>
    </row>
    <row r="5029" spans="1:4" x14ac:dyDescent="0.2">
      <c r="A5029" s="19" t="s">
        <v>175</v>
      </c>
      <c r="B5029" s="19">
        <v>302.67</v>
      </c>
      <c r="C5029" s="19">
        <v>3</v>
      </c>
      <c r="D5029" s="19">
        <v>72.640799999999999</v>
      </c>
    </row>
    <row r="5030" spans="1:4" x14ac:dyDescent="0.2">
      <c r="A5030" s="19" t="s">
        <v>159</v>
      </c>
      <c r="B5030" s="19">
        <v>239.976</v>
      </c>
      <c r="C5030" s="19">
        <v>3</v>
      </c>
      <c r="D5030" s="19">
        <v>53.994600000000005</v>
      </c>
    </row>
    <row r="5031" spans="1:4" x14ac:dyDescent="0.2">
      <c r="A5031" s="19" t="s">
        <v>150</v>
      </c>
      <c r="B5031" s="19">
        <v>8.34</v>
      </c>
      <c r="C5031" s="19">
        <v>3</v>
      </c>
      <c r="D5031" s="19">
        <v>2.1683999999999997</v>
      </c>
    </row>
    <row r="5032" spans="1:4" x14ac:dyDescent="0.2">
      <c r="A5032" s="19" t="s">
        <v>150</v>
      </c>
      <c r="B5032" s="19">
        <v>8.57</v>
      </c>
      <c r="C5032" s="19">
        <v>1</v>
      </c>
      <c r="D5032" s="19">
        <v>2.2282000000000002</v>
      </c>
    </row>
    <row r="5033" spans="1:4" x14ac:dyDescent="0.2">
      <c r="A5033" s="19" t="s">
        <v>150</v>
      </c>
      <c r="B5033" s="19">
        <v>119.61600000000001</v>
      </c>
      <c r="C5033" s="19">
        <v>8</v>
      </c>
      <c r="D5033" s="19">
        <v>40.370399999999997</v>
      </c>
    </row>
    <row r="5034" spans="1:4" x14ac:dyDescent="0.2">
      <c r="A5034" s="19" t="s">
        <v>179</v>
      </c>
      <c r="B5034" s="19">
        <v>212.94</v>
      </c>
      <c r="C5034" s="19">
        <v>3</v>
      </c>
      <c r="D5034" s="19">
        <v>25.552800000000005</v>
      </c>
    </row>
    <row r="5035" spans="1:4" x14ac:dyDescent="0.2">
      <c r="A5035" s="19" t="s">
        <v>179</v>
      </c>
      <c r="B5035" s="19">
        <v>26.49</v>
      </c>
      <c r="C5035" s="19">
        <v>1</v>
      </c>
      <c r="D5035" s="19">
        <v>7.4172000000000011</v>
      </c>
    </row>
    <row r="5036" spans="1:4" x14ac:dyDescent="0.2">
      <c r="A5036" s="19" t="s">
        <v>155</v>
      </c>
      <c r="B5036" s="19">
        <v>687.4</v>
      </c>
      <c r="C5036" s="19">
        <v>5</v>
      </c>
      <c r="D5036" s="19">
        <v>48.117999999999981</v>
      </c>
    </row>
    <row r="5037" spans="1:4" x14ac:dyDescent="0.2">
      <c r="A5037" s="19" t="s">
        <v>153</v>
      </c>
      <c r="B5037" s="19">
        <v>653.54999999999995</v>
      </c>
      <c r="C5037" s="19">
        <v>3</v>
      </c>
      <c r="D5037" s="19">
        <v>111.10349999999994</v>
      </c>
    </row>
    <row r="5038" spans="1:4" x14ac:dyDescent="0.2">
      <c r="A5038" s="19" t="s">
        <v>153</v>
      </c>
      <c r="B5038" s="19">
        <v>33.9</v>
      </c>
      <c r="C5038" s="19">
        <v>2</v>
      </c>
      <c r="D5038" s="19">
        <v>2.0339999999999989</v>
      </c>
    </row>
    <row r="5039" spans="1:4" x14ac:dyDescent="0.2">
      <c r="A5039" s="19" t="s">
        <v>159</v>
      </c>
      <c r="B5039" s="19">
        <v>239.96000000000004</v>
      </c>
      <c r="C5039" s="19">
        <v>5</v>
      </c>
      <c r="D5039" s="19">
        <v>83.98599999999999</v>
      </c>
    </row>
    <row r="5040" spans="1:4" x14ac:dyDescent="0.2">
      <c r="A5040" s="19" t="s">
        <v>162</v>
      </c>
      <c r="B5040" s="19">
        <v>199.83600000000001</v>
      </c>
      <c r="C5040" s="19">
        <v>4</v>
      </c>
      <c r="D5040" s="19">
        <v>-37.112400000000036</v>
      </c>
    </row>
    <row r="5041" spans="1:4" x14ac:dyDescent="0.2">
      <c r="A5041" s="19" t="s">
        <v>162</v>
      </c>
      <c r="B5041" s="19">
        <v>716</v>
      </c>
      <c r="C5041" s="19">
        <v>2</v>
      </c>
      <c r="D5041" s="19">
        <v>193.32000000000005</v>
      </c>
    </row>
    <row r="5042" spans="1:4" x14ac:dyDescent="0.2">
      <c r="A5042" s="19" t="s">
        <v>162</v>
      </c>
      <c r="B5042" s="19">
        <v>221.06</v>
      </c>
      <c r="C5042" s="19">
        <v>7</v>
      </c>
      <c r="D5042" s="19">
        <v>103.89819999999997</v>
      </c>
    </row>
    <row r="5043" spans="1:4" x14ac:dyDescent="0.2">
      <c r="A5043" s="19" t="s">
        <v>150</v>
      </c>
      <c r="B5043" s="19">
        <v>67.710000000000008</v>
      </c>
      <c r="C5043" s="19">
        <v>3</v>
      </c>
      <c r="D5043" s="19">
        <v>32.500799999999998</v>
      </c>
    </row>
    <row r="5044" spans="1:4" x14ac:dyDescent="0.2">
      <c r="A5044" s="19" t="s">
        <v>150</v>
      </c>
      <c r="B5044" s="19">
        <v>129.91999999999999</v>
      </c>
      <c r="C5044" s="19">
        <v>4</v>
      </c>
      <c r="D5044" s="19">
        <v>38.975999999999985</v>
      </c>
    </row>
    <row r="5045" spans="1:4" x14ac:dyDescent="0.2">
      <c r="A5045" s="19" t="s">
        <v>150</v>
      </c>
      <c r="B5045" s="19">
        <v>467.46</v>
      </c>
      <c r="C5045" s="19">
        <v>9</v>
      </c>
      <c r="D5045" s="19">
        <v>191.65860000000001</v>
      </c>
    </row>
    <row r="5046" spans="1:4" x14ac:dyDescent="0.2">
      <c r="A5046" s="19" t="s">
        <v>150</v>
      </c>
      <c r="B5046" s="19">
        <v>61.4</v>
      </c>
      <c r="C5046" s="19">
        <v>5</v>
      </c>
      <c r="D5046" s="19">
        <v>28.857999999999997</v>
      </c>
    </row>
    <row r="5047" spans="1:4" x14ac:dyDescent="0.2">
      <c r="A5047" s="19" t="s">
        <v>150</v>
      </c>
      <c r="B5047" s="19">
        <v>720.76</v>
      </c>
      <c r="C5047" s="19">
        <v>4</v>
      </c>
      <c r="D5047" s="19">
        <v>187.39760000000001</v>
      </c>
    </row>
    <row r="5048" spans="1:4" x14ac:dyDescent="0.2">
      <c r="A5048" s="19" t="s">
        <v>150</v>
      </c>
      <c r="B5048" s="19">
        <v>5.1840000000000011</v>
      </c>
      <c r="C5048" s="19">
        <v>3</v>
      </c>
      <c r="D5048" s="19">
        <v>1.8143999999999996</v>
      </c>
    </row>
    <row r="5049" spans="1:4" x14ac:dyDescent="0.2">
      <c r="A5049" s="19" t="s">
        <v>150</v>
      </c>
      <c r="B5049" s="19">
        <v>14.7</v>
      </c>
      <c r="C5049" s="19">
        <v>5</v>
      </c>
      <c r="D5049" s="19">
        <v>3.9690000000000003</v>
      </c>
    </row>
    <row r="5050" spans="1:4" x14ac:dyDescent="0.2">
      <c r="A5050" s="19" t="s">
        <v>159</v>
      </c>
      <c r="B5050" s="19">
        <v>8.1339999999999986</v>
      </c>
      <c r="C5050" s="19">
        <v>7</v>
      </c>
      <c r="D5050" s="19">
        <v>-13.827800000000003</v>
      </c>
    </row>
    <row r="5051" spans="1:4" x14ac:dyDescent="0.2">
      <c r="A5051" s="19" t="s">
        <v>159</v>
      </c>
      <c r="B5051" s="19">
        <v>79.984000000000009</v>
      </c>
      <c r="C5051" s="19">
        <v>2</v>
      </c>
      <c r="D5051" s="19">
        <v>13.997199999999999</v>
      </c>
    </row>
    <row r="5052" spans="1:4" x14ac:dyDescent="0.2">
      <c r="A5052" s="19" t="s">
        <v>153</v>
      </c>
      <c r="B5052" s="19">
        <v>18.54</v>
      </c>
      <c r="C5052" s="19">
        <v>2</v>
      </c>
      <c r="D5052" s="19">
        <v>8.7137999999999991</v>
      </c>
    </row>
    <row r="5053" spans="1:4" x14ac:dyDescent="0.2">
      <c r="A5053" s="19" t="s">
        <v>158</v>
      </c>
      <c r="B5053" s="19">
        <v>24.400000000000002</v>
      </c>
      <c r="C5053" s="19">
        <v>2</v>
      </c>
      <c r="D5053" s="19">
        <v>7.9299999999999971</v>
      </c>
    </row>
    <row r="5054" spans="1:4" x14ac:dyDescent="0.2">
      <c r="A5054" s="19" t="s">
        <v>101</v>
      </c>
      <c r="B5054" s="19">
        <v>195.64</v>
      </c>
      <c r="C5054" s="19">
        <v>4</v>
      </c>
      <c r="D5054" s="19">
        <v>91.950799999999987</v>
      </c>
    </row>
    <row r="5055" spans="1:4" x14ac:dyDescent="0.2">
      <c r="A5055" s="19" t="s">
        <v>154</v>
      </c>
      <c r="B5055" s="19">
        <v>398.40000000000003</v>
      </c>
      <c r="C5055" s="19">
        <v>5</v>
      </c>
      <c r="D5055" s="19">
        <v>84.659999999999982</v>
      </c>
    </row>
    <row r="5056" spans="1:4" x14ac:dyDescent="0.2">
      <c r="A5056" s="19" t="s">
        <v>154</v>
      </c>
      <c r="B5056" s="19">
        <v>7.0559999999999992</v>
      </c>
      <c r="C5056" s="19">
        <v>3</v>
      </c>
      <c r="D5056" s="19">
        <v>0.79379999999999962</v>
      </c>
    </row>
    <row r="5057" spans="1:4" x14ac:dyDescent="0.2">
      <c r="A5057" s="19" t="s">
        <v>154</v>
      </c>
      <c r="B5057" s="19">
        <v>1352.3975999999998</v>
      </c>
      <c r="C5057" s="19">
        <v>9</v>
      </c>
      <c r="D5057" s="19">
        <v>-437.5404000000002</v>
      </c>
    </row>
    <row r="5058" spans="1:4" x14ac:dyDescent="0.2">
      <c r="A5058" s="19" t="s">
        <v>150</v>
      </c>
      <c r="B5058" s="19">
        <v>26.400000000000002</v>
      </c>
      <c r="C5058" s="19">
        <v>5</v>
      </c>
      <c r="D5058" s="19">
        <v>11.879999999999999</v>
      </c>
    </row>
    <row r="5059" spans="1:4" x14ac:dyDescent="0.2">
      <c r="A5059" s="19" t="s">
        <v>150</v>
      </c>
      <c r="B5059" s="19">
        <v>41.88</v>
      </c>
      <c r="C5059" s="19">
        <v>6</v>
      </c>
      <c r="D5059" s="19">
        <v>0.83759999999999835</v>
      </c>
    </row>
    <row r="5060" spans="1:4" x14ac:dyDescent="0.2">
      <c r="A5060" s="19" t="s">
        <v>158</v>
      </c>
      <c r="B5060" s="19">
        <v>99.846000000000004</v>
      </c>
      <c r="C5060" s="19">
        <v>9</v>
      </c>
      <c r="D5060" s="19">
        <v>-83.204999999999984</v>
      </c>
    </row>
    <row r="5061" spans="1:4" x14ac:dyDescent="0.2">
      <c r="A5061" s="19" t="s">
        <v>149</v>
      </c>
      <c r="B5061" s="19">
        <v>699.98</v>
      </c>
      <c r="C5061" s="19">
        <v>2</v>
      </c>
      <c r="D5061" s="19">
        <v>195.99440000000004</v>
      </c>
    </row>
    <row r="5062" spans="1:4" x14ac:dyDescent="0.2">
      <c r="A5062" s="19" t="s">
        <v>149</v>
      </c>
      <c r="B5062" s="19">
        <v>584.82000000000005</v>
      </c>
      <c r="C5062" s="19">
        <v>9</v>
      </c>
      <c r="D5062" s="19">
        <v>70.178400000000025</v>
      </c>
    </row>
    <row r="5063" spans="1:4" x14ac:dyDescent="0.2">
      <c r="A5063" s="19" t="s">
        <v>160</v>
      </c>
      <c r="B5063" s="19">
        <v>43.98</v>
      </c>
      <c r="C5063" s="19">
        <v>2</v>
      </c>
      <c r="D5063" s="19">
        <v>21.99</v>
      </c>
    </row>
    <row r="5064" spans="1:4" x14ac:dyDescent="0.2">
      <c r="A5064" s="19" t="s">
        <v>160</v>
      </c>
      <c r="B5064" s="19">
        <v>377.96999999999997</v>
      </c>
      <c r="C5064" s="19">
        <v>3</v>
      </c>
      <c r="D5064" s="19">
        <v>105.83160000000002</v>
      </c>
    </row>
    <row r="5065" spans="1:4" x14ac:dyDescent="0.2">
      <c r="A5065" s="19" t="s">
        <v>160</v>
      </c>
      <c r="B5065" s="19">
        <v>123.96000000000001</v>
      </c>
      <c r="C5065" s="19">
        <v>3</v>
      </c>
      <c r="D5065" s="19">
        <v>11.156400000000005</v>
      </c>
    </row>
    <row r="5066" spans="1:4" x14ac:dyDescent="0.2">
      <c r="A5066" s="19" t="s">
        <v>162</v>
      </c>
      <c r="B5066" s="19">
        <v>391.98</v>
      </c>
      <c r="C5066" s="19">
        <v>2</v>
      </c>
      <c r="D5066" s="19">
        <v>113.67419999999998</v>
      </c>
    </row>
    <row r="5067" spans="1:4" x14ac:dyDescent="0.2">
      <c r="A5067" s="19" t="s">
        <v>152</v>
      </c>
      <c r="B5067" s="19">
        <v>383.97600000000006</v>
      </c>
      <c r="C5067" s="19">
        <v>3</v>
      </c>
      <c r="D5067" s="19">
        <v>81.59490000000001</v>
      </c>
    </row>
    <row r="5068" spans="1:4" x14ac:dyDescent="0.2">
      <c r="A5068" s="19" t="s">
        <v>152</v>
      </c>
      <c r="B5068" s="19">
        <v>1781.6819999999998</v>
      </c>
      <c r="C5068" s="19">
        <v>7</v>
      </c>
      <c r="D5068" s="19">
        <v>-653.28340000000003</v>
      </c>
    </row>
    <row r="5069" spans="1:4" x14ac:dyDescent="0.2">
      <c r="A5069" s="19" t="s">
        <v>150</v>
      </c>
      <c r="B5069" s="19">
        <v>21.400000000000002</v>
      </c>
      <c r="C5069" s="19">
        <v>5</v>
      </c>
      <c r="D5069" s="19">
        <v>6.2059999999999977</v>
      </c>
    </row>
    <row r="5070" spans="1:4" x14ac:dyDescent="0.2">
      <c r="A5070" s="19" t="s">
        <v>161</v>
      </c>
      <c r="B5070" s="19">
        <v>549.99</v>
      </c>
      <c r="C5070" s="19">
        <v>1</v>
      </c>
      <c r="D5070" s="19">
        <v>274.995</v>
      </c>
    </row>
    <row r="5071" spans="1:4" x14ac:dyDescent="0.2">
      <c r="A5071" s="19" t="s">
        <v>161</v>
      </c>
      <c r="B5071" s="19">
        <v>167.535</v>
      </c>
      <c r="C5071" s="19">
        <v>3</v>
      </c>
      <c r="D5071" s="19">
        <v>37.229999999999983</v>
      </c>
    </row>
    <row r="5072" spans="1:4" x14ac:dyDescent="0.2">
      <c r="A5072" s="19" t="s">
        <v>161</v>
      </c>
      <c r="B5072" s="19">
        <v>38.339999999999996</v>
      </c>
      <c r="C5072" s="19">
        <v>3</v>
      </c>
      <c r="D5072" s="19">
        <v>17.253</v>
      </c>
    </row>
    <row r="5073" spans="1:4" x14ac:dyDescent="0.2">
      <c r="A5073" s="19" t="s">
        <v>161</v>
      </c>
      <c r="B5073" s="19">
        <v>53.88</v>
      </c>
      <c r="C5073" s="19">
        <v>6</v>
      </c>
      <c r="D5073" s="19">
        <v>22.629600000000003</v>
      </c>
    </row>
    <row r="5074" spans="1:4" x14ac:dyDescent="0.2">
      <c r="A5074" s="19" t="s">
        <v>161</v>
      </c>
      <c r="B5074" s="19">
        <v>299.98</v>
      </c>
      <c r="C5074" s="19">
        <v>2</v>
      </c>
      <c r="D5074" s="19">
        <v>83.994400000000013</v>
      </c>
    </row>
    <row r="5075" spans="1:4" x14ac:dyDescent="0.2">
      <c r="A5075" s="19" t="s">
        <v>150</v>
      </c>
      <c r="B5075" s="19">
        <v>62.8</v>
      </c>
      <c r="C5075" s="19">
        <v>4</v>
      </c>
      <c r="D5075" s="19">
        <v>15.700000000000003</v>
      </c>
    </row>
    <row r="5076" spans="1:4" x14ac:dyDescent="0.2">
      <c r="A5076" s="19" t="s">
        <v>150</v>
      </c>
      <c r="B5076" s="19">
        <v>13.904</v>
      </c>
      <c r="C5076" s="19">
        <v>2</v>
      </c>
      <c r="D5076" s="19">
        <v>4.5187999999999997</v>
      </c>
    </row>
    <row r="5077" spans="1:4" x14ac:dyDescent="0.2">
      <c r="A5077" s="19" t="s">
        <v>154</v>
      </c>
      <c r="B5077" s="19">
        <v>744.09999999999991</v>
      </c>
      <c r="C5077" s="19">
        <v>5</v>
      </c>
      <c r="D5077" s="19">
        <v>-95.670000000000044</v>
      </c>
    </row>
    <row r="5078" spans="1:4" x14ac:dyDescent="0.2">
      <c r="A5078" s="19" t="s">
        <v>154</v>
      </c>
      <c r="B5078" s="19">
        <v>44.840000000000011</v>
      </c>
      <c r="C5078" s="19">
        <v>5</v>
      </c>
      <c r="D5078" s="19">
        <v>5.6049999999999951</v>
      </c>
    </row>
    <row r="5079" spans="1:4" x14ac:dyDescent="0.2">
      <c r="A5079" s="19" t="s">
        <v>154</v>
      </c>
      <c r="B5079" s="19">
        <v>401.59000000000003</v>
      </c>
      <c r="C5079" s="19">
        <v>2</v>
      </c>
      <c r="D5079" s="19">
        <v>-131.95100000000002</v>
      </c>
    </row>
    <row r="5080" spans="1:4" x14ac:dyDescent="0.2">
      <c r="A5080" s="19" t="s">
        <v>155</v>
      </c>
      <c r="B5080" s="19">
        <v>18.240000000000002</v>
      </c>
      <c r="C5080" s="19">
        <v>3</v>
      </c>
      <c r="D5080" s="19">
        <v>8.5727999999999991</v>
      </c>
    </row>
    <row r="5081" spans="1:4" x14ac:dyDescent="0.2">
      <c r="A5081" s="19" t="s">
        <v>150</v>
      </c>
      <c r="B5081" s="19">
        <v>359.49899999999997</v>
      </c>
      <c r="C5081" s="19">
        <v>3</v>
      </c>
      <c r="D5081" s="19">
        <v>-29.605799999999981</v>
      </c>
    </row>
    <row r="5082" spans="1:4" x14ac:dyDescent="0.2">
      <c r="A5082" s="19" t="s">
        <v>150</v>
      </c>
      <c r="B5082" s="19">
        <v>10.48</v>
      </c>
      <c r="C5082" s="19">
        <v>1</v>
      </c>
      <c r="D5082" s="19">
        <v>2.8296000000000001</v>
      </c>
    </row>
    <row r="5083" spans="1:4" x14ac:dyDescent="0.2">
      <c r="A5083" s="19" t="s">
        <v>173</v>
      </c>
      <c r="B5083" s="19">
        <v>20.736000000000004</v>
      </c>
      <c r="C5083" s="19">
        <v>4</v>
      </c>
      <c r="D5083" s="19">
        <v>7.2576000000000001</v>
      </c>
    </row>
    <row r="5084" spans="1:4" x14ac:dyDescent="0.2">
      <c r="A5084" s="19" t="s">
        <v>152</v>
      </c>
      <c r="B5084" s="19">
        <v>35.167999999999999</v>
      </c>
      <c r="C5084" s="19">
        <v>4</v>
      </c>
      <c r="D5084" s="19">
        <v>8.3524000000000012</v>
      </c>
    </row>
    <row r="5085" spans="1:4" x14ac:dyDescent="0.2">
      <c r="A5085" s="19" t="s">
        <v>152</v>
      </c>
      <c r="B5085" s="19">
        <v>64.704000000000008</v>
      </c>
      <c r="C5085" s="19">
        <v>3</v>
      </c>
      <c r="D5085" s="19">
        <v>23.455199999999998</v>
      </c>
    </row>
    <row r="5086" spans="1:4" x14ac:dyDescent="0.2">
      <c r="A5086" s="19" t="s">
        <v>180</v>
      </c>
      <c r="B5086" s="19">
        <v>105.52</v>
      </c>
      <c r="C5086" s="19">
        <v>4</v>
      </c>
      <c r="D5086" s="19">
        <v>48.539199999999994</v>
      </c>
    </row>
    <row r="5087" spans="1:4" x14ac:dyDescent="0.2">
      <c r="A5087" s="19" t="s">
        <v>154</v>
      </c>
      <c r="B5087" s="19">
        <v>5.7919999999999989</v>
      </c>
      <c r="C5087" s="19">
        <v>2</v>
      </c>
      <c r="D5087" s="19">
        <v>-9.5568000000000026</v>
      </c>
    </row>
    <row r="5088" spans="1:4" x14ac:dyDescent="0.2">
      <c r="A5088" s="19" t="s">
        <v>158</v>
      </c>
      <c r="B5088" s="19">
        <v>466.15799999999996</v>
      </c>
      <c r="C5088" s="19">
        <v>7</v>
      </c>
      <c r="D5088" s="19">
        <v>-93.231599999999958</v>
      </c>
    </row>
    <row r="5089" spans="1:4" x14ac:dyDescent="0.2">
      <c r="A5089" s="19" t="s">
        <v>158</v>
      </c>
      <c r="B5089" s="19">
        <v>10.312000000000001</v>
      </c>
      <c r="C5089" s="19">
        <v>1</v>
      </c>
      <c r="D5089" s="19">
        <v>-1.2890000000000006</v>
      </c>
    </row>
    <row r="5090" spans="1:4" x14ac:dyDescent="0.2">
      <c r="A5090" s="19" t="s">
        <v>158</v>
      </c>
      <c r="B5090" s="19">
        <v>2.556</v>
      </c>
      <c r="C5090" s="19">
        <v>3</v>
      </c>
      <c r="D5090" s="19">
        <v>-1.7892000000000001</v>
      </c>
    </row>
    <row r="5091" spans="1:4" x14ac:dyDescent="0.2">
      <c r="A5091" s="19" t="s">
        <v>171</v>
      </c>
      <c r="B5091" s="19">
        <v>7.9680000000000009</v>
      </c>
      <c r="C5091" s="19">
        <v>2</v>
      </c>
      <c r="D5091" s="19">
        <v>2.8884000000000007</v>
      </c>
    </row>
    <row r="5092" spans="1:4" x14ac:dyDescent="0.2">
      <c r="A5092" s="19" t="s">
        <v>171</v>
      </c>
      <c r="B5092" s="19">
        <v>8.7840000000000007</v>
      </c>
      <c r="C5092" s="19">
        <v>1</v>
      </c>
      <c r="D5092" s="19">
        <v>3.1842000000000001</v>
      </c>
    </row>
    <row r="5093" spans="1:4" x14ac:dyDescent="0.2">
      <c r="A5093" s="19" t="s">
        <v>171</v>
      </c>
      <c r="B5093" s="19">
        <v>3.024</v>
      </c>
      <c r="C5093" s="19">
        <v>3</v>
      </c>
      <c r="D5093" s="19">
        <v>-0.6048</v>
      </c>
    </row>
    <row r="5094" spans="1:4" x14ac:dyDescent="0.2">
      <c r="A5094" s="19" t="s">
        <v>182</v>
      </c>
      <c r="B5094" s="19">
        <v>51.449999999999996</v>
      </c>
      <c r="C5094" s="19">
        <v>3</v>
      </c>
      <c r="D5094" s="19">
        <v>13.891499999999999</v>
      </c>
    </row>
    <row r="5095" spans="1:4" x14ac:dyDescent="0.2">
      <c r="A5095" s="19" t="s">
        <v>159</v>
      </c>
      <c r="B5095" s="19">
        <v>14.015999999999996</v>
      </c>
      <c r="C5095" s="19">
        <v>4</v>
      </c>
      <c r="D5095" s="19">
        <v>-31.536000000000001</v>
      </c>
    </row>
    <row r="5096" spans="1:4" x14ac:dyDescent="0.2">
      <c r="A5096" s="19" t="s">
        <v>159</v>
      </c>
      <c r="B5096" s="19">
        <v>214.95000000000002</v>
      </c>
      <c r="C5096" s="19">
        <v>5</v>
      </c>
      <c r="D5096" s="19">
        <v>-120.37200000000003</v>
      </c>
    </row>
    <row r="5097" spans="1:4" x14ac:dyDescent="0.2">
      <c r="A5097" s="19" t="s">
        <v>159</v>
      </c>
      <c r="B5097" s="19">
        <v>35.04</v>
      </c>
      <c r="C5097" s="19">
        <v>4</v>
      </c>
      <c r="D5097" s="19">
        <v>-7.0080000000000044</v>
      </c>
    </row>
    <row r="5098" spans="1:4" x14ac:dyDescent="0.2">
      <c r="A5098" s="19" t="s">
        <v>159</v>
      </c>
      <c r="B5098" s="19">
        <v>10.776000000000002</v>
      </c>
      <c r="C5098" s="19">
        <v>3</v>
      </c>
      <c r="D5098" s="19">
        <v>-4.8491999999999997</v>
      </c>
    </row>
    <row r="5099" spans="1:4" x14ac:dyDescent="0.2">
      <c r="A5099" s="19" t="s">
        <v>159</v>
      </c>
      <c r="B5099" s="19">
        <v>4.5999999999999988</v>
      </c>
      <c r="C5099" s="19">
        <v>2</v>
      </c>
      <c r="D5099" s="19">
        <v>-8.0500000000000025</v>
      </c>
    </row>
    <row r="5100" spans="1:4" x14ac:dyDescent="0.2">
      <c r="A5100" s="19" t="s">
        <v>159</v>
      </c>
      <c r="B5100" s="19">
        <v>35.167999999999999</v>
      </c>
      <c r="C5100" s="19">
        <v>2</v>
      </c>
      <c r="D5100" s="19">
        <v>-8.3524000000000012</v>
      </c>
    </row>
    <row r="5101" spans="1:4" x14ac:dyDescent="0.2">
      <c r="A5101" s="19" t="s">
        <v>150</v>
      </c>
      <c r="B5101" s="19">
        <v>19.152000000000001</v>
      </c>
      <c r="C5101" s="19">
        <v>3</v>
      </c>
      <c r="D5101" s="19">
        <v>6.4638000000000009</v>
      </c>
    </row>
    <row r="5102" spans="1:4" x14ac:dyDescent="0.2">
      <c r="A5102" s="19" t="s">
        <v>154</v>
      </c>
      <c r="B5102" s="19">
        <v>4.4479999999999995</v>
      </c>
      <c r="C5102" s="19">
        <v>2</v>
      </c>
      <c r="D5102" s="19">
        <v>0.3335999999999999</v>
      </c>
    </row>
    <row r="5103" spans="1:4" x14ac:dyDescent="0.2">
      <c r="A5103" s="19" t="s">
        <v>154</v>
      </c>
      <c r="B5103" s="19">
        <v>5.1840000000000011</v>
      </c>
      <c r="C5103" s="19">
        <v>1</v>
      </c>
      <c r="D5103" s="19">
        <v>1.8792</v>
      </c>
    </row>
    <row r="5104" spans="1:4" x14ac:dyDescent="0.2">
      <c r="A5104" s="19" t="s">
        <v>154</v>
      </c>
      <c r="B5104" s="19">
        <v>15.552000000000003</v>
      </c>
      <c r="C5104" s="19">
        <v>3</v>
      </c>
      <c r="D5104" s="19">
        <v>5.4432</v>
      </c>
    </row>
    <row r="5105" spans="1:4" x14ac:dyDescent="0.2">
      <c r="A5105" s="19" t="s">
        <v>158</v>
      </c>
      <c r="B5105" s="19">
        <v>40.032000000000004</v>
      </c>
      <c r="C5105" s="19">
        <v>6</v>
      </c>
      <c r="D5105" s="19">
        <v>12.509999999999993</v>
      </c>
    </row>
    <row r="5106" spans="1:4" x14ac:dyDescent="0.2">
      <c r="A5106" s="19" t="s">
        <v>158</v>
      </c>
      <c r="B5106" s="19">
        <v>16.776000000000003</v>
      </c>
      <c r="C5106" s="19">
        <v>3</v>
      </c>
      <c r="D5106" s="19">
        <v>5.0327999999999999</v>
      </c>
    </row>
    <row r="5107" spans="1:4" x14ac:dyDescent="0.2">
      <c r="A5107" s="19" t="s">
        <v>151</v>
      </c>
      <c r="B5107" s="19">
        <v>186.304</v>
      </c>
      <c r="C5107" s="19">
        <v>4</v>
      </c>
      <c r="D5107" s="19">
        <v>13.972799999999999</v>
      </c>
    </row>
    <row r="5108" spans="1:4" x14ac:dyDescent="0.2">
      <c r="A5108" s="19" t="s">
        <v>101</v>
      </c>
      <c r="B5108" s="19">
        <v>66.36</v>
      </c>
      <c r="C5108" s="19">
        <v>4</v>
      </c>
      <c r="D5108" s="19">
        <v>23.225999999999999</v>
      </c>
    </row>
    <row r="5109" spans="1:4" x14ac:dyDescent="0.2">
      <c r="A5109" s="19" t="s">
        <v>167</v>
      </c>
      <c r="B5109" s="19">
        <v>42.047999999999995</v>
      </c>
      <c r="C5109" s="19">
        <v>9</v>
      </c>
      <c r="D5109" s="19">
        <v>5.2559999999999985</v>
      </c>
    </row>
    <row r="5110" spans="1:4" x14ac:dyDescent="0.2">
      <c r="A5110" s="19" t="s">
        <v>167</v>
      </c>
      <c r="B5110" s="19">
        <v>67.92</v>
      </c>
      <c r="C5110" s="19">
        <v>5</v>
      </c>
      <c r="D5110" s="19">
        <v>6.7920000000000016</v>
      </c>
    </row>
    <row r="5111" spans="1:4" x14ac:dyDescent="0.2">
      <c r="A5111" s="19" t="s">
        <v>158</v>
      </c>
      <c r="B5111" s="19">
        <v>52.512</v>
      </c>
      <c r="C5111" s="19">
        <v>6</v>
      </c>
      <c r="D5111" s="19">
        <v>19.692</v>
      </c>
    </row>
    <row r="5112" spans="1:4" x14ac:dyDescent="0.2">
      <c r="A5112" s="19" t="s">
        <v>158</v>
      </c>
      <c r="B5112" s="19">
        <v>186.91200000000001</v>
      </c>
      <c r="C5112" s="19">
        <v>6</v>
      </c>
      <c r="D5112" s="19">
        <v>-35.046000000000028</v>
      </c>
    </row>
    <row r="5113" spans="1:4" x14ac:dyDescent="0.2">
      <c r="A5113" s="19" t="s">
        <v>158</v>
      </c>
      <c r="B5113" s="19">
        <v>10.048000000000002</v>
      </c>
      <c r="C5113" s="19">
        <v>4</v>
      </c>
      <c r="D5113" s="19">
        <v>3.1399999999999988</v>
      </c>
    </row>
    <row r="5114" spans="1:4" x14ac:dyDescent="0.2">
      <c r="A5114" s="19" t="s">
        <v>159</v>
      </c>
      <c r="B5114" s="19">
        <v>17.496000000000002</v>
      </c>
      <c r="C5114" s="19">
        <v>9</v>
      </c>
      <c r="D5114" s="19">
        <v>-7.4357999999999969</v>
      </c>
    </row>
    <row r="5115" spans="1:4" x14ac:dyDescent="0.2">
      <c r="A5115" s="19" t="s">
        <v>154</v>
      </c>
      <c r="B5115" s="19">
        <v>15.552000000000003</v>
      </c>
      <c r="C5115" s="19">
        <v>3</v>
      </c>
      <c r="D5115" s="19">
        <v>5.4432</v>
      </c>
    </row>
    <row r="5116" spans="1:4" x14ac:dyDescent="0.2">
      <c r="A5116" s="19" t="s">
        <v>176</v>
      </c>
      <c r="B5116" s="19">
        <v>10.776000000000002</v>
      </c>
      <c r="C5116" s="19">
        <v>3</v>
      </c>
      <c r="D5116" s="19">
        <v>3.3674999999999984</v>
      </c>
    </row>
    <row r="5117" spans="1:4" x14ac:dyDescent="0.2">
      <c r="A5117" s="19" t="s">
        <v>158</v>
      </c>
      <c r="B5117" s="19">
        <v>3.3040000000000003</v>
      </c>
      <c r="C5117" s="19">
        <v>1</v>
      </c>
      <c r="D5117" s="19">
        <v>1.0737999999999999</v>
      </c>
    </row>
    <row r="5118" spans="1:4" x14ac:dyDescent="0.2">
      <c r="A5118" s="19" t="s">
        <v>164</v>
      </c>
      <c r="B5118" s="19">
        <v>35.479999999999997</v>
      </c>
      <c r="C5118" s="19">
        <v>1</v>
      </c>
      <c r="D5118" s="19">
        <v>0</v>
      </c>
    </row>
    <row r="5119" spans="1:4" x14ac:dyDescent="0.2">
      <c r="A5119" s="19" t="s">
        <v>164</v>
      </c>
      <c r="B5119" s="19">
        <v>34.44</v>
      </c>
      <c r="C5119" s="19">
        <v>3</v>
      </c>
      <c r="D5119" s="19">
        <v>16.186799999999998</v>
      </c>
    </row>
    <row r="5120" spans="1:4" x14ac:dyDescent="0.2">
      <c r="A5120" s="19" t="s">
        <v>164</v>
      </c>
      <c r="B5120" s="19">
        <v>629.92999999999995</v>
      </c>
      <c r="C5120" s="19">
        <v>7</v>
      </c>
      <c r="D5120" s="19">
        <v>296.06709999999998</v>
      </c>
    </row>
    <row r="5121" spans="1:4" x14ac:dyDescent="0.2">
      <c r="A5121" s="19" t="s">
        <v>164</v>
      </c>
      <c r="B5121" s="19">
        <v>79.056000000000012</v>
      </c>
      <c r="C5121" s="19">
        <v>9</v>
      </c>
      <c r="D5121" s="19">
        <v>28.657800000000002</v>
      </c>
    </row>
    <row r="5122" spans="1:4" x14ac:dyDescent="0.2">
      <c r="A5122" s="19" t="s">
        <v>177</v>
      </c>
      <c r="B5122" s="19">
        <v>232.54999999999998</v>
      </c>
      <c r="C5122" s="19">
        <v>5</v>
      </c>
      <c r="D5122" s="19">
        <v>9.3019999999999925</v>
      </c>
    </row>
    <row r="5123" spans="1:4" x14ac:dyDescent="0.2">
      <c r="A5123" s="19" t="s">
        <v>177</v>
      </c>
      <c r="B5123" s="19">
        <v>99.98</v>
      </c>
      <c r="C5123" s="19">
        <v>2</v>
      </c>
      <c r="D5123" s="19">
        <v>42.991400000000006</v>
      </c>
    </row>
    <row r="5124" spans="1:4" x14ac:dyDescent="0.2">
      <c r="A5124" s="19" t="s">
        <v>177</v>
      </c>
      <c r="B5124" s="19">
        <v>19.440000000000001</v>
      </c>
      <c r="C5124" s="19">
        <v>3</v>
      </c>
      <c r="D5124" s="19">
        <v>9.3312000000000008</v>
      </c>
    </row>
    <row r="5125" spans="1:4" x14ac:dyDescent="0.2">
      <c r="A5125" s="19" t="s">
        <v>177</v>
      </c>
      <c r="B5125" s="19">
        <v>12.96</v>
      </c>
      <c r="C5125" s="19">
        <v>2</v>
      </c>
      <c r="D5125" s="19">
        <v>6.3504000000000005</v>
      </c>
    </row>
    <row r="5126" spans="1:4" x14ac:dyDescent="0.2">
      <c r="A5126" s="19" t="s">
        <v>164</v>
      </c>
      <c r="B5126" s="19">
        <v>464.29200000000003</v>
      </c>
      <c r="C5126" s="19">
        <v>9</v>
      </c>
      <c r="D5126" s="19">
        <v>-108.33479999999997</v>
      </c>
    </row>
    <row r="5127" spans="1:4" x14ac:dyDescent="0.2">
      <c r="A5127" s="19" t="s">
        <v>164</v>
      </c>
      <c r="B5127" s="19">
        <v>68.459999999999994</v>
      </c>
      <c r="C5127" s="19">
        <v>7</v>
      </c>
      <c r="D5127" s="19">
        <v>31.491599999999995</v>
      </c>
    </row>
    <row r="5128" spans="1:4" x14ac:dyDescent="0.2">
      <c r="A5128" s="19" t="s">
        <v>164</v>
      </c>
      <c r="B5128" s="19">
        <v>2799.96</v>
      </c>
      <c r="C5128" s="19">
        <v>4</v>
      </c>
      <c r="D5128" s="19">
        <v>1371.9803999999999</v>
      </c>
    </row>
    <row r="5129" spans="1:4" x14ac:dyDescent="0.2">
      <c r="A5129" s="19" t="s">
        <v>164</v>
      </c>
      <c r="B5129" s="19">
        <v>601.29999999999995</v>
      </c>
      <c r="C5129" s="19">
        <v>2</v>
      </c>
      <c r="D5129" s="19">
        <v>198.42899999999997</v>
      </c>
    </row>
    <row r="5130" spans="1:4" x14ac:dyDescent="0.2">
      <c r="A5130" s="19" t="s">
        <v>164</v>
      </c>
      <c r="B5130" s="19">
        <v>16.989999999999998</v>
      </c>
      <c r="C5130" s="19">
        <v>1</v>
      </c>
      <c r="D5130" s="19">
        <v>4.4173999999999989</v>
      </c>
    </row>
    <row r="5131" spans="1:4" x14ac:dyDescent="0.2">
      <c r="A5131" s="19" t="s">
        <v>164</v>
      </c>
      <c r="B5131" s="19">
        <v>287.96999999999997</v>
      </c>
      <c r="C5131" s="19">
        <v>3</v>
      </c>
      <c r="D5131" s="19">
        <v>80.631600000000006</v>
      </c>
    </row>
    <row r="5132" spans="1:4" x14ac:dyDescent="0.2">
      <c r="A5132" s="19" t="s">
        <v>164</v>
      </c>
      <c r="B5132" s="19">
        <v>44.820000000000007</v>
      </c>
      <c r="C5132" s="19">
        <v>9</v>
      </c>
      <c r="D5132" s="19">
        <v>21.065400000000004</v>
      </c>
    </row>
    <row r="5133" spans="1:4" x14ac:dyDescent="0.2">
      <c r="A5133" s="19" t="s">
        <v>150</v>
      </c>
      <c r="B5133" s="19">
        <v>101.12</v>
      </c>
      <c r="C5133" s="19">
        <v>8</v>
      </c>
      <c r="D5133" s="19">
        <v>37.414400000000001</v>
      </c>
    </row>
    <row r="5134" spans="1:4" x14ac:dyDescent="0.2">
      <c r="A5134" s="19" t="s">
        <v>151</v>
      </c>
      <c r="B5134" s="19">
        <v>107.97600000000001</v>
      </c>
      <c r="C5134" s="19">
        <v>3</v>
      </c>
      <c r="D5134" s="19">
        <v>37.791599999999988</v>
      </c>
    </row>
    <row r="5135" spans="1:4" x14ac:dyDescent="0.2">
      <c r="A5135" s="19" t="s">
        <v>164</v>
      </c>
      <c r="B5135" s="19">
        <v>58.730000000000004</v>
      </c>
      <c r="C5135" s="19">
        <v>7</v>
      </c>
      <c r="D5135" s="19">
        <v>14.682500000000001</v>
      </c>
    </row>
    <row r="5136" spans="1:4" x14ac:dyDescent="0.2">
      <c r="A5136" s="19" t="s">
        <v>164</v>
      </c>
      <c r="B5136" s="19">
        <v>93.344000000000008</v>
      </c>
      <c r="C5136" s="19">
        <v>4</v>
      </c>
      <c r="D5136" s="19">
        <v>32.670400000000001</v>
      </c>
    </row>
    <row r="5137" spans="1:4" x14ac:dyDescent="0.2">
      <c r="A5137" s="19" t="s">
        <v>153</v>
      </c>
      <c r="B5137" s="19">
        <v>17.05</v>
      </c>
      <c r="C5137" s="19">
        <v>5</v>
      </c>
      <c r="D5137" s="19">
        <v>8.1840000000000011</v>
      </c>
    </row>
    <row r="5138" spans="1:4" x14ac:dyDescent="0.2">
      <c r="A5138" s="19" t="s">
        <v>150</v>
      </c>
      <c r="B5138" s="19">
        <v>8.0960000000000001</v>
      </c>
      <c r="C5138" s="19">
        <v>2</v>
      </c>
      <c r="D5138" s="19">
        <v>2.7323999999999993</v>
      </c>
    </row>
    <row r="5139" spans="1:4" x14ac:dyDescent="0.2">
      <c r="A5139" s="19" t="s">
        <v>175</v>
      </c>
      <c r="B5139" s="19">
        <v>30.36</v>
      </c>
      <c r="C5139" s="19">
        <v>4</v>
      </c>
      <c r="D5139" s="19">
        <v>13.0548</v>
      </c>
    </row>
    <row r="5140" spans="1:4" x14ac:dyDescent="0.2">
      <c r="A5140" s="19" t="s">
        <v>164</v>
      </c>
      <c r="B5140" s="19">
        <v>23.34</v>
      </c>
      <c r="C5140" s="19">
        <v>3</v>
      </c>
      <c r="D5140" s="19">
        <v>10.969799999999999</v>
      </c>
    </row>
    <row r="5141" spans="1:4" x14ac:dyDescent="0.2">
      <c r="A5141" s="19" t="s">
        <v>164</v>
      </c>
      <c r="B5141" s="19">
        <v>51.550000000000004</v>
      </c>
      <c r="C5141" s="19">
        <v>5</v>
      </c>
      <c r="D5141" s="19">
        <v>24.2285</v>
      </c>
    </row>
    <row r="5142" spans="1:4" x14ac:dyDescent="0.2">
      <c r="A5142" s="19" t="s">
        <v>150</v>
      </c>
      <c r="B5142" s="19">
        <v>119.9</v>
      </c>
      <c r="C5142" s="19">
        <v>2</v>
      </c>
      <c r="D5142" s="19">
        <v>43.164000000000001</v>
      </c>
    </row>
    <row r="5143" spans="1:4" x14ac:dyDescent="0.2">
      <c r="A5143" s="19" t="s">
        <v>164</v>
      </c>
      <c r="B5143" s="19">
        <v>1317.492</v>
      </c>
      <c r="C5143" s="19">
        <v>6</v>
      </c>
      <c r="D5143" s="19">
        <v>292.77599999999995</v>
      </c>
    </row>
    <row r="5144" spans="1:4" x14ac:dyDescent="0.2">
      <c r="A5144" s="19" t="s">
        <v>164</v>
      </c>
      <c r="B5144" s="19">
        <v>63.84</v>
      </c>
      <c r="C5144" s="19">
        <v>8</v>
      </c>
      <c r="D5144" s="19">
        <v>18.513599999999997</v>
      </c>
    </row>
    <row r="5145" spans="1:4" x14ac:dyDescent="0.2">
      <c r="A5145" s="19" t="s">
        <v>164</v>
      </c>
      <c r="B5145" s="19">
        <v>3.5920000000000005</v>
      </c>
      <c r="C5145" s="19">
        <v>1</v>
      </c>
      <c r="D5145" s="19">
        <v>1.1224999999999996</v>
      </c>
    </row>
    <row r="5146" spans="1:4" x14ac:dyDescent="0.2">
      <c r="A5146" s="19" t="s">
        <v>150</v>
      </c>
      <c r="B5146" s="19">
        <v>86.26</v>
      </c>
      <c r="C5146" s="19">
        <v>2</v>
      </c>
      <c r="D5146" s="19">
        <v>29.328400000000002</v>
      </c>
    </row>
    <row r="5147" spans="1:4" x14ac:dyDescent="0.2">
      <c r="A5147" s="19" t="s">
        <v>150</v>
      </c>
      <c r="B5147" s="19">
        <v>139.04</v>
      </c>
      <c r="C5147" s="19">
        <v>4</v>
      </c>
      <c r="D5147" s="19">
        <v>38.931200000000004</v>
      </c>
    </row>
    <row r="5148" spans="1:4" x14ac:dyDescent="0.2">
      <c r="A5148" s="19" t="s">
        <v>150</v>
      </c>
      <c r="B5148" s="19">
        <v>46.8</v>
      </c>
      <c r="C5148" s="19">
        <v>4</v>
      </c>
      <c r="D5148" s="19">
        <v>16.38</v>
      </c>
    </row>
    <row r="5149" spans="1:4" x14ac:dyDescent="0.2">
      <c r="A5149" s="19" t="s">
        <v>165</v>
      </c>
      <c r="B5149" s="19">
        <v>8.5440000000000005</v>
      </c>
      <c r="C5149" s="19">
        <v>4</v>
      </c>
      <c r="D5149" s="19">
        <v>1.9223999999999997</v>
      </c>
    </row>
    <row r="5150" spans="1:4" x14ac:dyDescent="0.2">
      <c r="A5150" s="19" t="s">
        <v>165</v>
      </c>
      <c r="B5150" s="19">
        <v>842.37600000000009</v>
      </c>
      <c r="C5150" s="19">
        <v>3</v>
      </c>
      <c r="D5150" s="19">
        <v>105.29699999999988</v>
      </c>
    </row>
    <row r="5151" spans="1:4" x14ac:dyDescent="0.2">
      <c r="A5151" s="19" t="s">
        <v>164</v>
      </c>
      <c r="B5151" s="19">
        <v>1214.8499999999999</v>
      </c>
      <c r="C5151" s="19">
        <v>3</v>
      </c>
      <c r="D5151" s="19">
        <v>352.30649999999997</v>
      </c>
    </row>
    <row r="5152" spans="1:4" x14ac:dyDescent="0.2">
      <c r="A5152" s="19" t="s">
        <v>150</v>
      </c>
      <c r="B5152" s="19">
        <v>67.78</v>
      </c>
      <c r="C5152" s="19">
        <v>2</v>
      </c>
      <c r="D5152" s="19">
        <v>16.945</v>
      </c>
    </row>
    <row r="5153" spans="1:4" x14ac:dyDescent="0.2">
      <c r="A5153" s="19" t="s">
        <v>185</v>
      </c>
      <c r="B5153" s="19">
        <v>39.900000000000006</v>
      </c>
      <c r="C5153" s="19">
        <v>5</v>
      </c>
      <c r="D5153" s="19">
        <v>10.373999999999999</v>
      </c>
    </row>
    <row r="5154" spans="1:4" x14ac:dyDescent="0.2">
      <c r="A5154" s="19" t="s">
        <v>164</v>
      </c>
      <c r="B5154" s="19">
        <v>2.6880000000000002</v>
      </c>
      <c r="C5154" s="19">
        <v>1</v>
      </c>
      <c r="D5154" s="19">
        <v>0.83999999999999975</v>
      </c>
    </row>
    <row r="5155" spans="1:4" x14ac:dyDescent="0.2">
      <c r="A5155" s="19" t="s">
        <v>164</v>
      </c>
      <c r="B5155" s="19">
        <v>6.6000000000000005</v>
      </c>
      <c r="C5155" s="19">
        <v>3</v>
      </c>
      <c r="D5155" s="19">
        <v>2.9040000000000008</v>
      </c>
    </row>
    <row r="5156" spans="1:4" x14ac:dyDescent="0.2">
      <c r="A5156" s="19" t="s">
        <v>174</v>
      </c>
      <c r="B5156" s="19">
        <v>28.4</v>
      </c>
      <c r="C5156" s="19">
        <v>4</v>
      </c>
      <c r="D5156" s="19">
        <v>13.063999999999998</v>
      </c>
    </row>
    <row r="5157" spans="1:4" x14ac:dyDescent="0.2">
      <c r="A5157" s="19" t="s">
        <v>174</v>
      </c>
      <c r="B5157" s="19">
        <v>212.94</v>
      </c>
      <c r="C5157" s="19">
        <v>3</v>
      </c>
      <c r="D5157" s="19">
        <v>34.070399999999999</v>
      </c>
    </row>
    <row r="5158" spans="1:4" x14ac:dyDescent="0.2">
      <c r="A5158" s="19" t="s">
        <v>159</v>
      </c>
      <c r="B5158" s="19">
        <v>1001.5840000000001</v>
      </c>
      <c r="C5158" s="19">
        <v>2</v>
      </c>
      <c r="D5158" s="19">
        <v>125.19799999999992</v>
      </c>
    </row>
    <row r="5159" spans="1:4" x14ac:dyDescent="0.2">
      <c r="A5159" s="19" t="s">
        <v>159</v>
      </c>
      <c r="B5159" s="19">
        <v>569.05799999999999</v>
      </c>
      <c r="C5159" s="19">
        <v>3</v>
      </c>
      <c r="D5159" s="19">
        <v>-178.84680000000006</v>
      </c>
    </row>
    <row r="5160" spans="1:4" x14ac:dyDescent="0.2">
      <c r="A5160" s="19" t="s">
        <v>159</v>
      </c>
      <c r="B5160" s="19">
        <v>14.224000000000002</v>
      </c>
      <c r="C5160" s="19">
        <v>2</v>
      </c>
      <c r="D5160" s="19">
        <v>-10.312400000000004</v>
      </c>
    </row>
    <row r="5161" spans="1:4" x14ac:dyDescent="0.2">
      <c r="A5161" s="19" t="s">
        <v>165</v>
      </c>
      <c r="B5161" s="19">
        <v>105.584</v>
      </c>
      <c r="C5161" s="19">
        <v>2</v>
      </c>
      <c r="D5161" s="19">
        <v>9.2386000000000053</v>
      </c>
    </row>
    <row r="5162" spans="1:4" x14ac:dyDescent="0.2">
      <c r="A5162" s="19" t="s">
        <v>165</v>
      </c>
      <c r="B5162" s="19">
        <v>68.720000000000013</v>
      </c>
      <c r="C5162" s="19">
        <v>2</v>
      </c>
      <c r="D5162" s="19">
        <v>-14.603000000000005</v>
      </c>
    </row>
    <row r="5163" spans="1:4" x14ac:dyDescent="0.2">
      <c r="A5163" s="19" t="s">
        <v>153</v>
      </c>
      <c r="B5163" s="19">
        <v>1367.84</v>
      </c>
      <c r="C5163" s="19">
        <v>8</v>
      </c>
      <c r="D5163" s="19">
        <v>259.88959999999997</v>
      </c>
    </row>
    <row r="5164" spans="1:4" x14ac:dyDescent="0.2">
      <c r="A5164" s="19" t="s">
        <v>161</v>
      </c>
      <c r="B5164" s="19">
        <v>301.95999999999998</v>
      </c>
      <c r="C5164" s="19">
        <v>2</v>
      </c>
      <c r="D5164" s="19">
        <v>33.215599999999995</v>
      </c>
    </row>
    <row r="5165" spans="1:4" x14ac:dyDescent="0.2">
      <c r="A5165" s="19" t="s">
        <v>150</v>
      </c>
      <c r="B5165" s="19">
        <v>170.35200000000003</v>
      </c>
      <c r="C5165" s="19">
        <v>3</v>
      </c>
      <c r="D5165" s="19">
        <v>-17.035200000000003</v>
      </c>
    </row>
    <row r="5166" spans="1:4" x14ac:dyDescent="0.2">
      <c r="A5166" s="19" t="s">
        <v>161</v>
      </c>
      <c r="B5166" s="19">
        <v>3.9</v>
      </c>
      <c r="C5166" s="19">
        <v>2</v>
      </c>
      <c r="D5166" s="19">
        <v>1.5209999999999999</v>
      </c>
    </row>
    <row r="5167" spans="1:4" x14ac:dyDescent="0.2">
      <c r="A5167" s="19" t="s">
        <v>161</v>
      </c>
      <c r="B5167" s="19">
        <v>12.84</v>
      </c>
      <c r="C5167" s="19">
        <v>3</v>
      </c>
      <c r="D5167" s="19">
        <v>5.7779999999999987</v>
      </c>
    </row>
    <row r="5168" spans="1:4" x14ac:dyDescent="0.2">
      <c r="A5168" s="19" t="s">
        <v>161</v>
      </c>
      <c r="B5168" s="19">
        <v>15.84</v>
      </c>
      <c r="C5168" s="19">
        <v>3</v>
      </c>
      <c r="D5168" s="19">
        <v>7.1280000000000001</v>
      </c>
    </row>
    <row r="5169" spans="1:4" x14ac:dyDescent="0.2">
      <c r="A5169" s="19" t="s">
        <v>161</v>
      </c>
      <c r="B5169" s="19">
        <v>563.93999999999994</v>
      </c>
      <c r="C5169" s="19">
        <v>3</v>
      </c>
      <c r="D5169" s="19">
        <v>112.78800000000001</v>
      </c>
    </row>
    <row r="5170" spans="1:4" x14ac:dyDescent="0.2">
      <c r="A5170" s="19" t="s">
        <v>161</v>
      </c>
      <c r="B5170" s="19">
        <v>62.94</v>
      </c>
      <c r="C5170" s="19">
        <v>3</v>
      </c>
      <c r="D5170" s="19">
        <v>11.958600000000001</v>
      </c>
    </row>
    <row r="5171" spans="1:4" x14ac:dyDescent="0.2">
      <c r="A5171" s="19" t="s">
        <v>161</v>
      </c>
      <c r="B5171" s="19">
        <v>535.41</v>
      </c>
      <c r="C5171" s="19">
        <v>3</v>
      </c>
      <c r="D5171" s="19">
        <v>160.62299999999993</v>
      </c>
    </row>
    <row r="5172" spans="1:4" x14ac:dyDescent="0.2">
      <c r="A5172" s="19" t="s">
        <v>161</v>
      </c>
      <c r="B5172" s="19">
        <v>3504.9</v>
      </c>
      <c r="C5172" s="19">
        <v>5</v>
      </c>
      <c r="D5172" s="19">
        <v>700.98000000000013</v>
      </c>
    </row>
    <row r="5173" spans="1:4" x14ac:dyDescent="0.2">
      <c r="A5173" s="19" t="s">
        <v>161</v>
      </c>
      <c r="B5173" s="19">
        <v>144.12</v>
      </c>
      <c r="C5173" s="19">
        <v>3</v>
      </c>
      <c r="D5173" s="19">
        <v>69.177599999999984</v>
      </c>
    </row>
    <row r="5174" spans="1:4" x14ac:dyDescent="0.2">
      <c r="A5174" s="19" t="s">
        <v>161</v>
      </c>
      <c r="B5174" s="19">
        <v>314.54999999999995</v>
      </c>
      <c r="C5174" s="19">
        <v>3</v>
      </c>
      <c r="D5174" s="19">
        <v>150.98399999999998</v>
      </c>
    </row>
    <row r="5175" spans="1:4" x14ac:dyDescent="0.2">
      <c r="A5175" s="19" t="s">
        <v>171</v>
      </c>
      <c r="B5175" s="19">
        <v>3.4079999999999999</v>
      </c>
      <c r="C5175" s="19">
        <v>1</v>
      </c>
      <c r="D5175" s="19">
        <v>0.89459999999999995</v>
      </c>
    </row>
    <row r="5176" spans="1:4" x14ac:dyDescent="0.2">
      <c r="A5176" s="19" t="s">
        <v>154</v>
      </c>
      <c r="B5176" s="19">
        <v>2.0719999999999996</v>
      </c>
      <c r="C5176" s="19">
        <v>2</v>
      </c>
      <c r="D5176" s="19">
        <v>-3.5224000000000011</v>
      </c>
    </row>
    <row r="5177" spans="1:4" x14ac:dyDescent="0.2">
      <c r="A5177" s="19" t="s">
        <v>154</v>
      </c>
      <c r="B5177" s="19">
        <v>328.39919999999995</v>
      </c>
      <c r="C5177" s="19">
        <v>3</v>
      </c>
      <c r="D5177" s="19">
        <v>-91.758599999999973</v>
      </c>
    </row>
    <row r="5178" spans="1:4" x14ac:dyDescent="0.2">
      <c r="A5178" s="19" t="s">
        <v>150</v>
      </c>
      <c r="B5178" s="19">
        <v>53.248000000000005</v>
      </c>
      <c r="C5178" s="19">
        <v>2</v>
      </c>
      <c r="D5178" s="19">
        <v>19.968</v>
      </c>
    </row>
    <row r="5179" spans="1:4" x14ac:dyDescent="0.2">
      <c r="A5179" s="19" t="s">
        <v>164</v>
      </c>
      <c r="B5179" s="19">
        <v>4.9920000000000009</v>
      </c>
      <c r="C5179" s="19">
        <v>3</v>
      </c>
      <c r="D5179" s="19">
        <v>1.6848000000000001</v>
      </c>
    </row>
    <row r="5180" spans="1:4" x14ac:dyDescent="0.2">
      <c r="A5180" s="19" t="s">
        <v>150</v>
      </c>
      <c r="B5180" s="19">
        <v>37.68</v>
      </c>
      <c r="C5180" s="19">
        <v>2</v>
      </c>
      <c r="D5180" s="19">
        <v>15.825600000000001</v>
      </c>
    </row>
    <row r="5181" spans="1:4" x14ac:dyDescent="0.2">
      <c r="A5181" s="19" t="s">
        <v>150</v>
      </c>
      <c r="B5181" s="19">
        <v>258.57600000000002</v>
      </c>
      <c r="C5181" s="19">
        <v>2</v>
      </c>
      <c r="D5181" s="19">
        <v>19.393200000000007</v>
      </c>
    </row>
    <row r="5182" spans="1:4" x14ac:dyDescent="0.2">
      <c r="A5182" s="19" t="s">
        <v>150</v>
      </c>
      <c r="B5182" s="19">
        <v>75.84</v>
      </c>
      <c r="C5182" s="19">
        <v>2</v>
      </c>
      <c r="D5182" s="19">
        <v>29.577600000000004</v>
      </c>
    </row>
    <row r="5183" spans="1:4" x14ac:dyDescent="0.2">
      <c r="A5183" s="19" t="s">
        <v>182</v>
      </c>
      <c r="B5183" s="19">
        <v>45.36</v>
      </c>
      <c r="C5183" s="19">
        <v>7</v>
      </c>
      <c r="D5183" s="19">
        <v>21.772800000000004</v>
      </c>
    </row>
    <row r="5184" spans="1:4" x14ac:dyDescent="0.2">
      <c r="A5184" s="19" t="s">
        <v>182</v>
      </c>
      <c r="B5184" s="19">
        <v>45.78</v>
      </c>
      <c r="C5184" s="19">
        <v>3</v>
      </c>
      <c r="D5184" s="19">
        <v>22.89</v>
      </c>
    </row>
    <row r="5185" spans="1:4" x14ac:dyDescent="0.2">
      <c r="A5185" s="19" t="s">
        <v>101</v>
      </c>
      <c r="B5185" s="19">
        <v>40.29</v>
      </c>
      <c r="C5185" s="19">
        <v>3</v>
      </c>
      <c r="D5185" s="19">
        <v>10.0725</v>
      </c>
    </row>
    <row r="5186" spans="1:4" x14ac:dyDescent="0.2">
      <c r="A5186" s="19" t="s">
        <v>101</v>
      </c>
      <c r="B5186" s="19">
        <v>38.71</v>
      </c>
      <c r="C5186" s="19">
        <v>7</v>
      </c>
      <c r="D5186" s="19">
        <v>17.8066</v>
      </c>
    </row>
    <row r="5187" spans="1:4" x14ac:dyDescent="0.2">
      <c r="A5187" s="19" t="s">
        <v>151</v>
      </c>
      <c r="B5187" s="19">
        <v>1801.6320000000001</v>
      </c>
      <c r="C5187" s="19">
        <v>6</v>
      </c>
      <c r="D5187" s="19">
        <v>-337.80600000000004</v>
      </c>
    </row>
    <row r="5188" spans="1:4" x14ac:dyDescent="0.2">
      <c r="A5188" s="19" t="s">
        <v>158</v>
      </c>
      <c r="B5188" s="19">
        <v>748.75200000000007</v>
      </c>
      <c r="C5188" s="19">
        <v>8</v>
      </c>
      <c r="D5188" s="19">
        <v>-162.22960000000006</v>
      </c>
    </row>
    <row r="5189" spans="1:4" x14ac:dyDescent="0.2">
      <c r="A5189" s="19" t="s">
        <v>163</v>
      </c>
      <c r="B5189" s="19">
        <v>199.96</v>
      </c>
      <c r="C5189" s="19">
        <v>4</v>
      </c>
      <c r="D5189" s="19">
        <v>15.996799999999979</v>
      </c>
    </row>
    <row r="5190" spans="1:4" x14ac:dyDescent="0.2">
      <c r="A5190" s="19" t="s">
        <v>163</v>
      </c>
      <c r="B5190" s="19">
        <v>1516.2</v>
      </c>
      <c r="C5190" s="19">
        <v>7</v>
      </c>
      <c r="D5190" s="19">
        <v>394.21199999999999</v>
      </c>
    </row>
    <row r="5191" spans="1:4" x14ac:dyDescent="0.2">
      <c r="A5191" s="19" t="s">
        <v>154</v>
      </c>
      <c r="B5191" s="19">
        <v>167.95200000000003</v>
      </c>
      <c r="C5191" s="19">
        <v>6</v>
      </c>
      <c r="D5191" s="19">
        <v>-27.292200000000001</v>
      </c>
    </row>
    <row r="5192" spans="1:4" x14ac:dyDescent="0.2">
      <c r="A5192" s="19" t="s">
        <v>154</v>
      </c>
      <c r="B5192" s="19">
        <v>45.04</v>
      </c>
      <c r="C5192" s="19">
        <v>2</v>
      </c>
      <c r="D5192" s="19">
        <v>4.5040000000000031</v>
      </c>
    </row>
    <row r="5193" spans="1:4" x14ac:dyDescent="0.2">
      <c r="A5193" s="19" t="s">
        <v>150</v>
      </c>
      <c r="B5193" s="19">
        <v>23.16</v>
      </c>
      <c r="C5193" s="19">
        <v>2</v>
      </c>
      <c r="D5193" s="19">
        <v>11.58</v>
      </c>
    </row>
    <row r="5194" spans="1:4" x14ac:dyDescent="0.2">
      <c r="A5194" s="19" t="s">
        <v>169</v>
      </c>
      <c r="B5194" s="19">
        <v>397.59999999999997</v>
      </c>
      <c r="C5194" s="19">
        <v>5</v>
      </c>
      <c r="D5194" s="19">
        <v>43.735999999999962</v>
      </c>
    </row>
    <row r="5195" spans="1:4" x14ac:dyDescent="0.2">
      <c r="A5195" s="19" t="s">
        <v>169</v>
      </c>
      <c r="B5195" s="19">
        <v>85.96</v>
      </c>
      <c r="C5195" s="19">
        <v>7</v>
      </c>
      <c r="D5195" s="19">
        <v>40.401199999999996</v>
      </c>
    </row>
    <row r="5196" spans="1:4" x14ac:dyDescent="0.2">
      <c r="A5196" s="19" t="s">
        <v>169</v>
      </c>
      <c r="B5196" s="19">
        <v>13.12</v>
      </c>
      <c r="C5196" s="19">
        <v>4</v>
      </c>
      <c r="D5196" s="19">
        <v>4.3295999999999992</v>
      </c>
    </row>
    <row r="5197" spans="1:4" x14ac:dyDescent="0.2">
      <c r="A5197" s="19" t="s">
        <v>169</v>
      </c>
      <c r="B5197" s="19">
        <v>45.660000000000004</v>
      </c>
      <c r="C5197" s="19">
        <v>3</v>
      </c>
      <c r="D5197" s="19">
        <v>22.3734</v>
      </c>
    </row>
    <row r="5198" spans="1:4" x14ac:dyDescent="0.2">
      <c r="A5198" s="19" t="s">
        <v>153</v>
      </c>
      <c r="B5198" s="19">
        <v>158.13</v>
      </c>
      <c r="C5198" s="19">
        <v>3</v>
      </c>
      <c r="D5198" s="19">
        <v>77.483699999999999</v>
      </c>
    </row>
    <row r="5199" spans="1:4" x14ac:dyDescent="0.2">
      <c r="A5199" s="19" t="s">
        <v>153</v>
      </c>
      <c r="B5199" s="19">
        <v>43.6</v>
      </c>
      <c r="C5199" s="19">
        <v>5</v>
      </c>
      <c r="D5199" s="19">
        <v>4.3600000000000012</v>
      </c>
    </row>
    <row r="5200" spans="1:4" x14ac:dyDescent="0.2">
      <c r="A5200" s="19" t="s">
        <v>154</v>
      </c>
      <c r="B5200" s="19">
        <v>3930.0720000000001</v>
      </c>
      <c r="C5200" s="19">
        <v>3</v>
      </c>
      <c r="D5200" s="19">
        <v>-786.01440000000025</v>
      </c>
    </row>
    <row r="5201" spans="1:4" x14ac:dyDescent="0.2">
      <c r="A5201" s="19" t="s">
        <v>154</v>
      </c>
      <c r="B5201" s="19">
        <v>2.3039999999999998</v>
      </c>
      <c r="C5201" s="19">
        <v>1</v>
      </c>
      <c r="D5201" s="19">
        <v>0.77759999999999996</v>
      </c>
    </row>
    <row r="5202" spans="1:4" x14ac:dyDescent="0.2">
      <c r="A5202" s="19" t="s">
        <v>154</v>
      </c>
      <c r="B5202" s="19">
        <v>431.97600000000006</v>
      </c>
      <c r="C5202" s="19">
        <v>3</v>
      </c>
      <c r="D5202" s="19">
        <v>32.398200000000017</v>
      </c>
    </row>
    <row r="5203" spans="1:4" x14ac:dyDescent="0.2">
      <c r="A5203" s="19" t="s">
        <v>154</v>
      </c>
      <c r="B5203" s="19">
        <v>41.720000000000006</v>
      </c>
      <c r="C5203" s="19">
        <v>7</v>
      </c>
      <c r="D5203" s="19">
        <v>5.7364999999999977</v>
      </c>
    </row>
    <row r="5204" spans="1:4" x14ac:dyDescent="0.2">
      <c r="A5204" s="19" t="s">
        <v>150</v>
      </c>
      <c r="B5204" s="19">
        <v>104.23</v>
      </c>
      <c r="C5204" s="19">
        <v>7</v>
      </c>
      <c r="D5204" s="19">
        <v>28.142100000000006</v>
      </c>
    </row>
    <row r="5205" spans="1:4" x14ac:dyDescent="0.2">
      <c r="A5205" s="19" t="s">
        <v>150</v>
      </c>
      <c r="B5205" s="19">
        <v>70.260000000000005</v>
      </c>
      <c r="C5205" s="19">
        <v>3</v>
      </c>
      <c r="D5205" s="19">
        <v>18.970199999999998</v>
      </c>
    </row>
    <row r="5206" spans="1:4" x14ac:dyDescent="0.2">
      <c r="A5206" s="19" t="s">
        <v>164</v>
      </c>
      <c r="B5206" s="19">
        <v>9.26</v>
      </c>
      <c r="C5206" s="19">
        <v>2</v>
      </c>
      <c r="D5206" s="19">
        <v>3.0557999999999996</v>
      </c>
    </row>
    <row r="5207" spans="1:4" x14ac:dyDescent="0.2">
      <c r="A5207" s="19" t="s">
        <v>164</v>
      </c>
      <c r="B5207" s="19">
        <v>105.98</v>
      </c>
      <c r="C5207" s="19">
        <v>2</v>
      </c>
      <c r="D5207" s="19">
        <v>4.2391999999999967</v>
      </c>
    </row>
    <row r="5208" spans="1:4" x14ac:dyDescent="0.2">
      <c r="A5208" s="19" t="s">
        <v>164</v>
      </c>
      <c r="B5208" s="19">
        <v>1.24</v>
      </c>
      <c r="C5208" s="19">
        <v>1</v>
      </c>
      <c r="D5208" s="19">
        <v>0.58279999999999998</v>
      </c>
    </row>
    <row r="5209" spans="1:4" x14ac:dyDescent="0.2">
      <c r="A5209" s="19" t="s">
        <v>164</v>
      </c>
      <c r="B5209" s="19">
        <v>20.7</v>
      </c>
      <c r="C5209" s="19">
        <v>2</v>
      </c>
      <c r="D5209" s="19">
        <v>9.9359999999999999</v>
      </c>
    </row>
    <row r="5210" spans="1:4" x14ac:dyDescent="0.2">
      <c r="A5210" s="19" t="s">
        <v>164</v>
      </c>
      <c r="B5210" s="19">
        <v>28.900000000000002</v>
      </c>
      <c r="C5210" s="19">
        <v>5</v>
      </c>
      <c r="D5210" s="19">
        <v>14.161000000000001</v>
      </c>
    </row>
    <row r="5211" spans="1:4" x14ac:dyDescent="0.2">
      <c r="A5211" s="19" t="s">
        <v>164</v>
      </c>
      <c r="B5211" s="19">
        <v>27.18</v>
      </c>
      <c r="C5211" s="19">
        <v>1</v>
      </c>
      <c r="D5211" s="19">
        <v>12.7746</v>
      </c>
    </row>
    <row r="5212" spans="1:4" x14ac:dyDescent="0.2">
      <c r="A5212" s="19" t="s">
        <v>162</v>
      </c>
      <c r="B5212" s="19">
        <v>465.18</v>
      </c>
      <c r="C5212" s="19">
        <v>3</v>
      </c>
      <c r="D5212" s="19">
        <v>120.94680000000001</v>
      </c>
    </row>
    <row r="5213" spans="1:4" x14ac:dyDescent="0.2">
      <c r="A5213" s="19" t="s">
        <v>164</v>
      </c>
      <c r="B5213" s="19">
        <v>36.630000000000003</v>
      </c>
      <c r="C5213" s="19">
        <v>3</v>
      </c>
      <c r="D5213" s="19">
        <v>9.8901000000000039</v>
      </c>
    </row>
    <row r="5214" spans="1:4" x14ac:dyDescent="0.2">
      <c r="A5214" s="19" t="s">
        <v>150</v>
      </c>
      <c r="B5214" s="19">
        <v>51.449999999999996</v>
      </c>
      <c r="C5214" s="19">
        <v>3</v>
      </c>
      <c r="D5214" s="19">
        <v>13.891499999999999</v>
      </c>
    </row>
    <row r="5215" spans="1:4" x14ac:dyDescent="0.2">
      <c r="A5215" s="19" t="s">
        <v>150</v>
      </c>
      <c r="B5215" s="19">
        <v>7.83</v>
      </c>
      <c r="C5215" s="19">
        <v>3</v>
      </c>
      <c r="D5215" s="19">
        <v>3.6017999999999999</v>
      </c>
    </row>
    <row r="5216" spans="1:4" x14ac:dyDescent="0.2">
      <c r="A5216" s="19" t="s">
        <v>150</v>
      </c>
      <c r="B5216" s="19">
        <v>35.4</v>
      </c>
      <c r="C5216" s="19">
        <v>5</v>
      </c>
      <c r="D5216" s="19">
        <v>13.452000000000002</v>
      </c>
    </row>
    <row r="5217" spans="1:4" x14ac:dyDescent="0.2">
      <c r="A5217" s="19" t="s">
        <v>150</v>
      </c>
      <c r="B5217" s="19">
        <v>29.900000000000002</v>
      </c>
      <c r="C5217" s="19">
        <v>5</v>
      </c>
      <c r="D5217" s="19">
        <v>13.454999999999998</v>
      </c>
    </row>
    <row r="5218" spans="1:4" x14ac:dyDescent="0.2">
      <c r="A5218" s="19" t="s">
        <v>161</v>
      </c>
      <c r="B5218" s="19">
        <v>17.48</v>
      </c>
      <c r="C5218" s="19">
        <v>2</v>
      </c>
      <c r="D5218" s="19">
        <v>8.2156000000000002</v>
      </c>
    </row>
    <row r="5219" spans="1:4" x14ac:dyDescent="0.2">
      <c r="A5219" s="19" t="s">
        <v>150</v>
      </c>
      <c r="B5219" s="19">
        <v>79.14</v>
      </c>
      <c r="C5219" s="19">
        <v>3</v>
      </c>
      <c r="D5219" s="19">
        <v>36.404399999999995</v>
      </c>
    </row>
    <row r="5220" spans="1:4" x14ac:dyDescent="0.2">
      <c r="A5220" s="19" t="s">
        <v>164</v>
      </c>
      <c r="B5220" s="19">
        <v>8.4</v>
      </c>
      <c r="C5220" s="19">
        <v>5</v>
      </c>
      <c r="D5220" s="19">
        <v>4.2</v>
      </c>
    </row>
    <row r="5221" spans="1:4" x14ac:dyDescent="0.2">
      <c r="A5221" s="19" t="s">
        <v>161</v>
      </c>
      <c r="B5221" s="19">
        <v>498.26000000000005</v>
      </c>
      <c r="C5221" s="19">
        <v>7</v>
      </c>
      <c r="D5221" s="19">
        <v>134.53020000000001</v>
      </c>
    </row>
    <row r="5222" spans="1:4" x14ac:dyDescent="0.2">
      <c r="A5222" s="19" t="s">
        <v>161</v>
      </c>
      <c r="B5222" s="19">
        <v>212.94</v>
      </c>
      <c r="C5222" s="19">
        <v>3</v>
      </c>
      <c r="D5222" s="19">
        <v>57.4938</v>
      </c>
    </row>
    <row r="5223" spans="1:4" x14ac:dyDescent="0.2">
      <c r="A5223" s="19" t="s">
        <v>174</v>
      </c>
      <c r="B5223" s="19">
        <v>706.86</v>
      </c>
      <c r="C5223" s="19">
        <v>7</v>
      </c>
      <c r="D5223" s="19">
        <v>197.92079999999999</v>
      </c>
    </row>
    <row r="5224" spans="1:4" x14ac:dyDescent="0.2">
      <c r="A5224" s="19" t="s">
        <v>174</v>
      </c>
      <c r="B5224" s="19">
        <v>114.94999999999999</v>
      </c>
      <c r="C5224" s="19">
        <v>5</v>
      </c>
      <c r="D5224" s="19">
        <v>2.2990000000000066</v>
      </c>
    </row>
    <row r="5225" spans="1:4" x14ac:dyDescent="0.2">
      <c r="A5225" s="19" t="s">
        <v>174</v>
      </c>
      <c r="B5225" s="19">
        <v>43.19</v>
      </c>
      <c r="C5225" s="19">
        <v>7</v>
      </c>
      <c r="D5225" s="19">
        <v>20.731199999999998</v>
      </c>
    </row>
    <row r="5226" spans="1:4" x14ac:dyDescent="0.2">
      <c r="A5226" s="19" t="s">
        <v>150</v>
      </c>
      <c r="B5226" s="19">
        <v>166.44</v>
      </c>
      <c r="C5226" s="19">
        <v>3</v>
      </c>
      <c r="D5226" s="19">
        <v>79.891199999999998</v>
      </c>
    </row>
    <row r="5227" spans="1:4" x14ac:dyDescent="0.2">
      <c r="A5227" s="19" t="s">
        <v>164</v>
      </c>
      <c r="B5227" s="19">
        <v>36.56</v>
      </c>
      <c r="C5227" s="19">
        <v>5</v>
      </c>
      <c r="D5227" s="19">
        <v>12.795999999999999</v>
      </c>
    </row>
    <row r="5228" spans="1:4" x14ac:dyDescent="0.2">
      <c r="A5228" s="19" t="s">
        <v>164</v>
      </c>
      <c r="B5228" s="19">
        <v>186.14400000000001</v>
      </c>
      <c r="C5228" s="19">
        <v>6</v>
      </c>
      <c r="D5228" s="19">
        <v>60.496799999999993</v>
      </c>
    </row>
    <row r="5229" spans="1:4" x14ac:dyDescent="0.2">
      <c r="A5229" s="19" t="s">
        <v>164</v>
      </c>
      <c r="B5229" s="19">
        <v>353.56799999999998</v>
      </c>
      <c r="C5229" s="19">
        <v>2</v>
      </c>
      <c r="D5229" s="19">
        <v>-44.196000000000026</v>
      </c>
    </row>
    <row r="5230" spans="1:4" x14ac:dyDescent="0.2">
      <c r="A5230" s="19" t="s">
        <v>150</v>
      </c>
      <c r="B5230" s="19">
        <v>81.98</v>
      </c>
      <c r="C5230" s="19">
        <v>2</v>
      </c>
      <c r="D5230" s="19">
        <v>40.170200000000001</v>
      </c>
    </row>
    <row r="5231" spans="1:4" x14ac:dyDescent="0.2">
      <c r="A5231" s="19" t="s">
        <v>150</v>
      </c>
      <c r="B5231" s="19">
        <v>14.624000000000002</v>
      </c>
      <c r="C5231" s="19">
        <v>2</v>
      </c>
      <c r="D5231" s="19">
        <v>5.1183999999999994</v>
      </c>
    </row>
    <row r="5232" spans="1:4" x14ac:dyDescent="0.2">
      <c r="A5232" s="19" t="s">
        <v>150</v>
      </c>
      <c r="B5232" s="19">
        <v>697.16</v>
      </c>
      <c r="C5232" s="19">
        <v>5</v>
      </c>
      <c r="D5232" s="19">
        <v>8.7144999999999868</v>
      </c>
    </row>
    <row r="5233" spans="1:4" x14ac:dyDescent="0.2">
      <c r="A5233" s="19" t="s">
        <v>150</v>
      </c>
      <c r="B5233" s="19">
        <v>30.93</v>
      </c>
      <c r="C5233" s="19">
        <v>1</v>
      </c>
      <c r="D5233" s="19">
        <v>12.6813</v>
      </c>
    </row>
    <row r="5234" spans="1:4" x14ac:dyDescent="0.2">
      <c r="A5234" s="19" t="s">
        <v>150</v>
      </c>
      <c r="B5234" s="19">
        <v>27.496000000000002</v>
      </c>
      <c r="C5234" s="19">
        <v>7</v>
      </c>
      <c r="D5234" s="19">
        <v>9.2798999999999996</v>
      </c>
    </row>
    <row r="5235" spans="1:4" x14ac:dyDescent="0.2">
      <c r="A5235" s="19" t="s">
        <v>184</v>
      </c>
      <c r="B5235" s="19">
        <v>605.34</v>
      </c>
      <c r="C5235" s="19">
        <v>6</v>
      </c>
      <c r="D5235" s="19">
        <v>145.2816</v>
      </c>
    </row>
    <row r="5236" spans="1:4" x14ac:dyDescent="0.2">
      <c r="A5236" s="19" t="s">
        <v>150</v>
      </c>
      <c r="B5236" s="19">
        <v>210.00800000000001</v>
      </c>
      <c r="C5236" s="19">
        <v>1</v>
      </c>
      <c r="D5236" s="19">
        <v>2.625099999999982</v>
      </c>
    </row>
    <row r="5237" spans="1:4" x14ac:dyDescent="0.2">
      <c r="A5237" s="19" t="s">
        <v>163</v>
      </c>
      <c r="B5237" s="19">
        <v>54.96</v>
      </c>
      <c r="C5237" s="19">
        <v>3</v>
      </c>
      <c r="D5237" s="19">
        <v>15.938399999999998</v>
      </c>
    </row>
    <row r="5238" spans="1:4" x14ac:dyDescent="0.2">
      <c r="A5238" s="19" t="s">
        <v>187</v>
      </c>
      <c r="B5238" s="19">
        <v>164.22</v>
      </c>
      <c r="C5238" s="19">
        <v>3</v>
      </c>
      <c r="D5238" s="19">
        <v>50.908200000000001</v>
      </c>
    </row>
    <row r="5239" spans="1:4" x14ac:dyDescent="0.2">
      <c r="A5239" s="19" t="s">
        <v>187</v>
      </c>
      <c r="B5239" s="19">
        <v>362.94</v>
      </c>
      <c r="C5239" s="19">
        <v>3</v>
      </c>
      <c r="D5239" s="19">
        <v>36.293999999999997</v>
      </c>
    </row>
    <row r="5240" spans="1:4" x14ac:dyDescent="0.2">
      <c r="A5240" s="19" t="s">
        <v>187</v>
      </c>
      <c r="B5240" s="19">
        <v>59.98</v>
      </c>
      <c r="C5240" s="19">
        <v>2</v>
      </c>
      <c r="D5240" s="19">
        <v>26.391200000000005</v>
      </c>
    </row>
    <row r="5241" spans="1:4" x14ac:dyDescent="0.2">
      <c r="A5241" s="19" t="s">
        <v>150</v>
      </c>
      <c r="B5241" s="19">
        <v>332.94</v>
      </c>
      <c r="C5241" s="19">
        <v>3</v>
      </c>
      <c r="D5241" s="19">
        <v>6.6587999999999994</v>
      </c>
    </row>
    <row r="5242" spans="1:4" x14ac:dyDescent="0.2">
      <c r="A5242" s="19" t="s">
        <v>150</v>
      </c>
      <c r="B5242" s="19">
        <v>39.872000000000007</v>
      </c>
      <c r="C5242" s="19">
        <v>2</v>
      </c>
      <c r="D5242" s="19">
        <v>12.958399999999999</v>
      </c>
    </row>
    <row r="5243" spans="1:4" x14ac:dyDescent="0.2">
      <c r="A5243" s="19" t="s">
        <v>153</v>
      </c>
      <c r="B5243" s="19">
        <v>13.68</v>
      </c>
      <c r="C5243" s="19">
        <v>2</v>
      </c>
      <c r="D5243" s="19">
        <v>3.6936</v>
      </c>
    </row>
    <row r="5244" spans="1:4" x14ac:dyDescent="0.2">
      <c r="A5244" s="19" t="s">
        <v>154</v>
      </c>
      <c r="B5244" s="19">
        <v>3.3179999999999996</v>
      </c>
      <c r="C5244" s="19">
        <v>3</v>
      </c>
      <c r="D5244" s="19">
        <v>-5.6406000000000018</v>
      </c>
    </row>
    <row r="5245" spans="1:4" x14ac:dyDescent="0.2">
      <c r="A5245" s="19" t="s">
        <v>166</v>
      </c>
      <c r="B5245" s="19">
        <v>10.44</v>
      </c>
      <c r="C5245" s="19">
        <v>1</v>
      </c>
      <c r="D5245" s="19">
        <v>4.8023999999999996</v>
      </c>
    </row>
    <row r="5246" spans="1:4" x14ac:dyDescent="0.2">
      <c r="A5246" s="19" t="s">
        <v>150</v>
      </c>
      <c r="B5246" s="19">
        <v>136.46400000000003</v>
      </c>
      <c r="C5246" s="19">
        <v>2</v>
      </c>
      <c r="D5246" s="19">
        <v>15.352199999999989</v>
      </c>
    </row>
    <row r="5247" spans="1:4" x14ac:dyDescent="0.2">
      <c r="A5247" s="19" t="s">
        <v>150</v>
      </c>
      <c r="B5247" s="19">
        <v>333.57600000000002</v>
      </c>
      <c r="C5247" s="19">
        <v>3</v>
      </c>
      <c r="D5247" s="19">
        <v>33.357600000000019</v>
      </c>
    </row>
    <row r="5248" spans="1:4" x14ac:dyDescent="0.2">
      <c r="A5248" s="19" t="s">
        <v>150</v>
      </c>
      <c r="B5248" s="19">
        <v>12.544</v>
      </c>
      <c r="C5248" s="19">
        <v>2</v>
      </c>
      <c r="D5248" s="19">
        <v>4.7039999999999997</v>
      </c>
    </row>
    <row r="5249" spans="1:4" x14ac:dyDescent="0.2">
      <c r="A5249" s="19" t="s">
        <v>159</v>
      </c>
      <c r="B5249" s="19">
        <v>20.767999999999997</v>
      </c>
      <c r="C5249" s="19">
        <v>8</v>
      </c>
      <c r="D5249" s="19">
        <v>-52.958400000000012</v>
      </c>
    </row>
    <row r="5250" spans="1:4" x14ac:dyDescent="0.2">
      <c r="A5250" s="19" t="s">
        <v>153</v>
      </c>
      <c r="B5250" s="19">
        <v>43.5</v>
      </c>
      <c r="C5250" s="19">
        <v>3</v>
      </c>
      <c r="D5250" s="19">
        <v>10.875</v>
      </c>
    </row>
    <row r="5251" spans="1:4" x14ac:dyDescent="0.2">
      <c r="A5251" s="19" t="s">
        <v>158</v>
      </c>
      <c r="B5251" s="19">
        <v>12.576000000000001</v>
      </c>
      <c r="C5251" s="19">
        <v>4</v>
      </c>
      <c r="D5251" s="19">
        <v>4.0871999999999993</v>
      </c>
    </row>
    <row r="5252" spans="1:4" x14ac:dyDescent="0.2">
      <c r="A5252" s="19" t="s">
        <v>101</v>
      </c>
      <c r="B5252" s="19">
        <v>249.95000000000002</v>
      </c>
      <c r="C5252" s="19">
        <v>5</v>
      </c>
      <c r="D5252" s="19">
        <v>19.995999999999974</v>
      </c>
    </row>
    <row r="5253" spans="1:4" x14ac:dyDescent="0.2">
      <c r="A5253" s="19" t="s">
        <v>101</v>
      </c>
      <c r="B5253" s="19">
        <v>49.12</v>
      </c>
      <c r="C5253" s="19">
        <v>4</v>
      </c>
      <c r="D5253" s="19">
        <v>23.086399999999998</v>
      </c>
    </row>
    <row r="5254" spans="1:4" x14ac:dyDescent="0.2">
      <c r="A5254" s="19" t="s">
        <v>166</v>
      </c>
      <c r="B5254" s="19">
        <v>182.91</v>
      </c>
      <c r="C5254" s="19">
        <v>3</v>
      </c>
      <c r="D5254" s="19">
        <v>53.043899999999979</v>
      </c>
    </row>
    <row r="5255" spans="1:4" x14ac:dyDescent="0.2">
      <c r="A5255" s="19" t="s">
        <v>153</v>
      </c>
      <c r="B5255" s="19">
        <v>107.64800000000001</v>
      </c>
      <c r="C5255" s="19">
        <v>2</v>
      </c>
      <c r="D5255" s="19">
        <v>33.639999999999986</v>
      </c>
    </row>
    <row r="5256" spans="1:4" x14ac:dyDescent="0.2">
      <c r="A5256" s="19" t="s">
        <v>158</v>
      </c>
      <c r="B5256" s="19">
        <v>99.372</v>
      </c>
      <c r="C5256" s="19">
        <v>2</v>
      </c>
      <c r="D5256" s="19">
        <v>-7.0979999999999919</v>
      </c>
    </row>
    <row r="5257" spans="1:4" x14ac:dyDescent="0.2">
      <c r="A5257" s="19" t="s">
        <v>158</v>
      </c>
      <c r="B5257" s="19">
        <v>33.568000000000005</v>
      </c>
      <c r="C5257" s="19">
        <v>2</v>
      </c>
      <c r="D5257" s="19">
        <v>-5.4548000000000041</v>
      </c>
    </row>
    <row r="5258" spans="1:4" x14ac:dyDescent="0.2">
      <c r="A5258" s="19" t="s">
        <v>175</v>
      </c>
      <c r="B5258" s="19">
        <v>10.56</v>
      </c>
      <c r="C5258" s="19">
        <v>2</v>
      </c>
      <c r="D5258" s="19">
        <v>4.7519999999999998</v>
      </c>
    </row>
    <row r="5259" spans="1:4" x14ac:dyDescent="0.2">
      <c r="A5259" s="19" t="s">
        <v>150</v>
      </c>
      <c r="B5259" s="19">
        <v>38.880000000000003</v>
      </c>
      <c r="C5259" s="19">
        <v>6</v>
      </c>
      <c r="D5259" s="19">
        <v>18.662400000000002</v>
      </c>
    </row>
    <row r="5260" spans="1:4" x14ac:dyDescent="0.2">
      <c r="A5260" s="19" t="s">
        <v>150</v>
      </c>
      <c r="B5260" s="19">
        <v>35.200000000000003</v>
      </c>
      <c r="C5260" s="19">
        <v>5</v>
      </c>
      <c r="D5260" s="19">
        <v>16.543999999999997</v>
      </c>
    </row>
    <row r="5261" spans="1:4" x14ac:dyDescent="0.2">
      <c r="A5261" s="19" t="s">
        <v>158</v>
      </c>
      <c r="B5261" s="19">
        <v>45.527999999999999</v>
      </c>
      <c r="C5261" s="19">
        <v>3</v>
      </c>
      <c r="D5261" s="19">
        <v>15.934799999999997</v>
      </c>
    </row>
    <row r="5262" spans="1:4" x14ac:dyDescent="0.2">
      <c r="A5262" s="19" t="s">
        <v>154</v>
      </c>
      <c r="B5262" s="19">
        <v>196.77600000000001</v>
      </c>
      <c r="C5262" s="19">
        <v>3</v>
      </c>
      <c r="D5262" s="19">
        <v>14.758199999999995</v>
      </c>
    </row>
    <row r="5263" spans="1:4" x14ac:dyDescent="0.2">
      <c r="A5263" s="19" t="s">
        <v>154</v>
      </c>
      <c r="B5263" s="19">
        <v>2.9199999999999995</v>
      </c>
      <c r="C5263" s="19">
        <v>2</v>
      </c>
      <c r="D5263" s="19">
        <v>-4.8180000000000005</v>
      </c>
    </row>
    <row r="5264" spans="1:4" x14ac:dyDescent="0.2">
      <c r="A5264" s="19" t="s">
        <v>154</v>
      </c>
      <c r="B5264" s="19">
        <v>200.79500000000002</v>
      </c>
      <c r="C5264" s="19">
        <v>1</v>
      </c>
      <c r="D5264" s="19">
        <v>-22.948000000000008</v>
      </c>
    </row>
    <row r="5265" spans="1:4" x14ac:dyDescent="0.2">
      <c r="A5265" s="19" t="s">
        <v>154</v>
      </c>
      <c r="B5265" s="19">
        <v>46.688000000000002</v>
      </c>
      <c r="C5265" s="19">
        <v>4</v>
      </c>
      <c r="D5265" s="19">
        <v>-2.9180000000000028</v>
      </c>
    </row>
    <row r="5266" spans="1:4" x14ac:dyDescent="0.2">
      <c r="A5266" s="19" t="s">
        <v>154</v>
      </c>
      <c r="B5266" s="19">
        <v>21.864000000000001</v>
      </c>
      <c r="C5266" s="19">
        <v>3</v>
      </c>
      <c r="D5266" s="19">
        <v>3.5528999999999984</v>
      </c>
    </row>
    <row r="5267" spans="1:4" x14ac:dyDescent="0.2">
      <c r="A5267" s="19" t="s">
        <v>153</v>
      </c>
      <c r="B5267" s="19">
        <v>11.76</v>
      </c>
      <c r="C5267" s="19">
        <v>2</v>
      </c>
      <c r="D5267" s="19">
        <v>5.7623999999999995</v>
      </c>
    </row>
    <row r="5268" spans="1:4" x14ac:dyDescent="0.2">
      <c r="A5268" s="19" t="s">
        <v>153</v>
      </c>
      <c r="B5268" s="19">
        <v>167.94</v>
      </c>
      <c r="C5268" s="19">
        <v>3</v>
      </c>
      <c r="D5268" s="19">
        <v>82.290599999999998</v>
      </c>
    </row>
    <row r="5269" spans="1:4" x14ac:dyDescent="0.2">
      <c r="A5269" s="19" t="s">
        <v>153</v>
      </c>
      <c r="B5269" s="19">
        <v>3.89</v>
      </c>
      <c r="C5269" s="19">
        <v>1</v>
      </c>
      <c r="D5269" s="19">
        <v>1.0114000000000001</v>
      </c>
    </row>
    <row r="5270" spans="1:4" x14ac:dyDescent="0.2">
      <c r="A5270" s="19" t="s">
        <v>164</v>
      </c>
      <c r="B5270" s="19">
        <v>52.44</v>
      </c>
      <c r="C5270" s="19">
        <v>4</v>
      </c>
      <c r="D5270" s="19">
        <v>24.122399999999995</v>
      </c>
    </row>
    <row r="5271" spans="1:4" x14ac:dyDescent="0.2">
      <c r="A5271" s="19" t="s">
        <v>150</v>
      </c>
      <c r="B5271" s="19">
        <v>32.36</v>
      </c>
      <c r="C5271" s="19">
        <v>4</v>
      </c>
      <c r="D5271" s="19">
        <v>11.6496</v>
      </c>
    </row>
    <row r="5272" spans="1:4" x14ac:dyDescent="0.2">
      <c r="A5272" s="19" t="s">
        <v>150</v>
      </c>
      <c r="B5272" s="19">
        <v>406.59999999999997</v>
      </c>
      <c r="C5272" s="19">
        <v>5</v>
      </c>
      <c r="D5272" s="19">
        <v>113.84799999999998</v>
      </c>
    </row>
    <row r="5273" spans="1:4" x14ac:dyDescent="0.2">
      <c r="A5273" s="19" t="s">
        <v>150</v>
      </c>
      <c r="B5273" s="19">
        <v>27.92</v>
      </c>
      <c r="C5273" s="19">
        <v>4</v>
      </c>
      <c r="D5273" s="19">
        <v>8.0967999999999982</v>
      </c>
    </row>
    <row r="5274" spans="1:4" x14ac:dyDescent="0.2">
      <c r="A5274" s="19" t="s">
        <v>150</v>
      </c>
      <c r="B5274" s="19">
        <v>399.67200000000003</v>
      </c>
      <c r="C5274" s="19">
        <v>7</v>
      </c>
      <c r="D5274" s="19">
        <v>-14.987700000000061</v>
      </c>
    </row>
    <row r="5275" spans="1:4" x14ac:dyDescent="0.2">
      <c r="A5275" s="19" t="s">
        <v>151</v>
      </c>
      <c r="B5275" s="19">
        <v>3.7440000000000007</v>
      </c>
      <c r="C5275" s="19">
        <v>4</v>
      </c>
      <c r="D5275" s="19">
        <v>-2.6207999999999991</v>
      </c>
    </row>
    <row r="5276" spans="1:4" x14ac:dyDescent="0.2">
      <c r="A5276" s="19" t="s">
        <v>190</v>
      </c>
      <c r="B5276" s="19">
        <v>715.2</v>
      </c>
      <c r="C5276" s="19">
        <v>3</v>
      </c>
      <c r="D5276" s="19">
        <v>178.79999999999998</v>
      </c>
    </row>
    <row r="5277" spans="1:4" x14ac:dyDescent="0.2">
      <c r="A5277" s="19" t="s">
        <v>184</v>
      </c>
      <c r="B5277" s="19">
        <v>159.80000000000001</v>
      </c>
      <c r="C5277" s="19">
        <v>4</v>
      </c>
      <c r="D5277" s="19">
        <v>70.312000000000012</v>
      </c>
    </row>
    <row r="5278" spans="1:4" x14ac:dyDescent="0.2">
      <c r="A5278" s="19" t="s">
        <v>184</v>
      </c>
      <c r="B5278" s="19">
        <v>44.75</v>
      </c>
      <c r="C5278" s="19">
        <v>5</v>
      </c>
      <c r="D5278" s="19">
        <v>8.5024999999999942</v>
      </c>
    </row>
    <row r="5279" spans="1:4" x14ac:dyDescent="0.2">
      <c r="A5279" s="19" t="s">
        <v>154</v>
      </c>
      <c r="B5279" s="19">
        <v>340.11599999999999</v>
      </c>
      <c r="C5279" s="19">
        <v>6</v>
      </c>
      <c r="D5279" s="19">
        <v>-9.717599999999976</v>
      </c>
    </row>
    <row r="5280" spans="1:4" x14ac:dyDescent="0.2">
      <c r="A5280" s="19" t="s">
        <v>166</v>
      </c>
      <c r="B5280" s="19">
        <v>105.52</v>
      </c>
      <c r="C5280" s="19">
        <v>4</v>
      </c>
      <c r="D5280" s="19">
        <v>48.539199999999994</v>
      </c>
    </row>
    <row r="5281" spans="1:4" x14ac:dyDescent="0.2">
      <c r="A5281" s="19" t="s">
        <v>155</v>
      </c>
      <c r="B5281" s="19">
        <v>13.48</v>
      </c>
      <c r="C5281" s="19">
        <v>1</v>
      </c>
      <c r="D5281" s="19">
        <v>1.8872</v>
      </c>
    </row>
    <row r="5282" spans="1:4" x14ac:dyDescent="0.2">
      <c r="A5282" s="19" t="s">
        <v>161</v>
      </c>
      <c r="B5282" s="19">
        <v>85.52</v>
      </c>
      <c r="C5282" s="19">
        <v>2</v>
      </c>
      <c r="D5282" s="19">
        <v>22.235199999999999</v>
      </c>
    </row>
    <row r="5283" spans="1:4" x14ac:dyDescent="0.2">
      <c r="A5283" s="19" t="s">
        <v>160</v>
      </c>
      <c r="B5283" s="19">
        <v>6.16</v>
      </c>
      <c r="C5283" s="19">
        <v>2</v>
      </c>
      <c r="D5283" s="19">
        <v>2.9567999999999999</v>
      </c>
    </row>
    <row r="5284" spans="1:4" x14ac:dyDescent="0.2">
      <c r="A5284" s="19" t="s">
        <v>160</v>
      </c>
      <c r="B5284" s="19">
        <v>36.839999999999996</v>
      </c>
      <c r="C5284" s="19">
        <v>3</v>
      </c>
      <c r="D5284" s="19">
        <v>17.314799999999998</v>
      </c>
    </row>
    <row r="5285" spans="1:4" x14ac:dyDescent="0.2">
      <c r="A5285" s="19" t="s">
        <v>153</v>
      </c>
      <c r="B5285" s="19">
        <v>15.84</v>
      </c>
      <c r="C5285" s="19">
        <v>3</v>
      </c>
      <c r="D5285" s="19">
        <v>0</v>
      </c>
    </row>
    <row r="5286" spans="1:4" x14ac:dyDescent="0.2">
      <c r="A5286" s="19" t="s">
        <v>153</v>
      </c>
      <c r="B5286" s="19">
        <v>44.400000000000006</v>
      </c>
      <c r="C5286" s="19">
        <v>3</v>
      </c>
      <c r="D5286" s="19">
        <v>22.200000000000003</v>
      </c>
    </row>
    <row r="5287" spans="1:4" x14ac:dyDescent="0.2">
      <c r="A5287" s="19" t="s">
        <v>171</v>
      </c>
      <c r="B5287" s="19">
        <v>21.240000000000002</v>
      </c>
      <c r="C5287" s="19">
        <v>9</v>
      </c>
      <c r="D5287" s="19">
        <v>7.4339999999999993</v>
      </c>
    </row>
    <row r="5288" spans="1:4" x14ac:dyDescent="0.2">
      <c r="A5288" s="19" t="s">
        <v>171</v>
      </c>
      <c r="B5288" s="19">
        <v>9.5520000000000014</v>
      </c>
      <c r="C5288" s="19">
        <v>8</v>
      </c>
      <c r="D5288" s="19">
        <v>-7.3231999999999999</v>
      </c>
    </row>
    <row r="5289" spans="1:4" x14ac:dyDescent="0.2">
      <c r="A5289" s="19" t="s">
        <v>171</v>
      </c>
      <c r="B5289" s="19">
        <v>89.991000000000014</v>
      </c>
      <c r="C5289" s="19">
        <v>3</v>
      </c>
      <c r="D5289" s="19">
        <v>-152.9847</v>
      </c>
    </row>
    <row r="5290" spans="1:4" x14ac:dyDescent="0.2">
      <c r="A5290" s="19" t="s">
        <v>150</v>
      </c>
      <c r="B5290" s="19">
        <v>163.96</v>
      </c>
      <c r="C5290" s="19">
        <v>4</v>
      </c>
      <c r="D5290" s="19">
        <v>80.340400000000002</v>
      </c>
    </row>
    <row r="5291" spans="1:4" x14ac:dyDescent="0.2">
      <c r="A5291" s="19" t="s">
        <v>154</v>
      </c>
      <c r="B5291" s="19">
        <v>17.904</v>
      </c>
      <c r="C5291" s="19">
        <v>2</v>
      </c>
      <c r="D5291" s="19">
        <v>6.2664</v>
      </c>
    </row>
    <row r="5292" spans="1:4" x14ac:dyDescent="0.2">
      <c r="A5292" s="19" t="s">
        <v>154</v>
      </c>
      <c r="B5292" s="19">
        <v>966.69999999999982</v>
      </c>
      <c r="C5292" s="19">
        <v>5</v>
      </c>
      <c r="D5292" s="19">
        <v>-13.810000000000116</v>
      </c>
    </row>
    <row r="5293" spans="1:4" x14ac:dyDescent="0.2">
      <c r="A5293" s="19" t="s">
        <v>154</v>
      </c>
      <c r="B5293" s="19">
        <v>182.11199999999999</v>
      </c>
      <c r="C5293" s="19">
        <v>6</v>
      </c>
      <c r="D5293" s="19">
        <v>61.46279999999998</v>
      </c>
    </row>
    <row r="5294" spans="1:4" x14ac:dyDescent="0.2">
      <c r="A5294" s="19" t="s">
        <v>151</v>
      </c>
      <c r="B5294" s="19">
        <v>4.4640000000000004</v>
      </c>
      <c r="C5294" s="19">
        <v>1</v>
      </c>
      <c r="D5294" s="19">
        <v>0.33479999999999999</v>
      </c>
    </row>
    <row r="5295" spans="1:4" x14ac:dyDescent="0.2">
      <c r="A5295" s="19" t="s">
        <v>173</v>
      </c>
      <c r="B5295" s="19">
        <v>51.588000000000001</v>
      </c>
      <c r="C5295" s="19">
        <v>1</v>
      </c>
      <c r="D5295" s="19">
        <v>-15.476400000000005</v>
      </c>
    </row>
    <row r="5296" spans="1:4" x14ac:dyDescent="0.2">
      <c r="A5296" s="19" t="s">
        <v>160</v>
      </c>
      <c r="B5296" s="19">
        <v>50.4</v>
      </c>
      <c r="C5296" s="19">
        <v>8</v>
      </c>
      <c r="D5296" s="19">
        <v>23.183999999999997</v>
      </c>
    </row>
    <row r="5297" spans="1:4" x14ac:dyDescent="0.2">
      <c r="A5297" s="19" t="s">
        <v>154</v>
      </c>
      <c r="B5297" s="19">
        <v>89.567999999999998</v>
      </c>
      <c r="C5297" s="19">
        <v>2</v>
      </c>
      <c r="D5297" s="19">
        <v>32.468400000000003</v>
      </c>
    </row>
    <row r="5298" spans="1:4" x14ac:dyDescent="0.2">
      <c r="A5298" s="19" t="s">
        <v>164</v>
      </c>
      <c r="B5298" s="19">
        <v>14.89</v>
      </c>
      <c r="C5298" s="19">
        <v>1</v>
      </c>
      <c r="D5298" s="19">
        <v>4.0203000000000007</v>
      </c>
    </row>
    <row r="5299" spans="1:4" x14ac:dyDescent="0.2">
      <c r="A5299" s="19" t="s">
        <v>164</v>
      </c>
      <c r="B5299" s="19">
        <v>543.91999999999996</v>
      </c>
      <c r="C5299" s="19">
        <v>8</v>
      </c>
      <c r="D5299" s="19">
        <v>135.98000000000002</v>
      </c>
    </row>
    <row r="5300" spans="1:4" x14ac:dyDescent="0.2">
      <c r="A5300" s="19" t="s">
        <v>150</v>
      </c>
      <c r="B5300" s="19">
        <v>4.08</v>
      </c>
      <c r="C5300" s="19">
        <v>2</v>
      </c>
      <c r="D5300" s="19">
        <v>1.9175999999999997</v>
      </c>
    </row>
    <row r="5301" spans="1:4" x14ac:dyDescent="0.2">
      <c r="A5301" s="19" t="s">
        <v>150</v>
      </c>
      <c r="B5301" s="19">
        <v>18.899999999999999</v>
      </c>
      <c r="C5301" s="19">
        <v>3</v>
      </c>
      <c r="D5301" s="19">
        <v>8.6939999999999991</v>
      </c>
    </row>
    <row r="5302" spans="1:4" x14ac:dyDescent="0.2">
      <c r="A5302" s="19" t="s">
        <v>166</v>
      </c>
      <c r="B5302" s="19">
        <v>2275.5</v>
      </c>
      <c r="C5302" s="19">
        <v>10</v>
      </c>
      <c r="D5302" s="19">
        <v>386.83499999999981</v>
      </c>
    </row>
    <row r="5303" spans="1:4" x14ac:dyDescent="0.2">
      <c r="A5303" s="19" t="s">
        <v>166</v>
      </c>
      <c r="B5303" s="19">
        <v>1979.6999999999998</v>
      </c>
      <c r="C5303" s="19">
        <v>6</v>
      </c>
      <c r="D5303" s="19">
        <v>653.30099999999982</v>
      </c>
    </row>
    <row r="5304" spans="1:4" x14ac:dyDescent="0.2">
      <c r="A5304" s="19" t="s">
        <v>166</v>
      </c>
      <c r="B5304" s="19">
        <v>62.099999999999994</v>
      </c>
      <c r="C5304" s="19">
        <v>6</v>
      </c>
      <c r="D5304" s="19">
        <v>29.808</v>
      </c>
    </row>
    <row r="5305" spans="1:4" x14ac:dyDescent="0.2">
      <c r="A5305" s="19" t="s">
        <v>159</v>
      </c>
      <c r="B5305" s="19">
        <v>37.295999999999999</v>
      </c>
      <c r="C5305" s="19">
        <v>2</v>
      </c>
      <c r="D5305" s="19">
        <v>-1.0656000000000017</v>
      </c>
    </row>
    <row r="5306" spans="1:4" x14ac:dyDescent="0.2">
      <c r="A5306" s="19" t="s">
        <v>154</v>
      </c>
      <c r="B5306" s="19">
        <v>8.5440000000000005</v>
      </c>
      <c r="C5306" s="19">
        <v>2</v>
      </c>
      <c r="D5306" s="19">
        <v>-7.4759999999999991</v>
      </c>
    </row>
    <row r="5307" spans="1:4" x14ac:dyDescent="0.2">
      <c r="A5307" s="19" t="s">
        <v>164</v>
      </c>
      <c r="B5307" s="19">
        <v>68.949999999999989</v>
      </c>
      <c r="C5307" s="19">
        <v>5</v>
      </c>
      <c r="D5307" s="19">
        <v>28.959000000000003</v>
      </c>
    </row>
    <row r="5308" spans="1:4" x14ac:dyDescent="0.2">
      <c r="A5308" s="19" t="s">
        <v>164</v>
      </c>
      <c r="B5308" s="19">
        <v>296.37</v>
      </c>
      <c r="C5308" s="19">
        <v>3</v>
      </c>
      <c r="D5308" s="19">
        <v>80.019899999999993</v>
      </c>
    </row>
    <row r="5309" spans="1:4" x14ac:dyDescent="0.2">
      <c r="A5309" s="19" t="s">
        <v>164</v>
      </c>
      <c r="B5309" s="19">
        <v>39.979999999999997</v>
      </c>
      <c r="C5309" s="19">
        <v>2</v>
      </c>
      <c r="D5309" s="19">
        <v>1.9989999999999952</v>
      </c>
    </row>
    <row r="5310" spans="1:4" x14ac:dyDescent="0.2">
      <c r="A5310" s="19" t="s">
        <v>154</v>
      </c>
      <c r="B5310" s="19">
        <v>191.05799999999999</v>
      </c>
      <c r="C5310" s="19">
        <v>3</v>
      </c>
      <c r="D5310" s="19">
        <v>-46.399800000000013</v>
      </c>
    </row>
    <row r="5311" spans="1:4" x14ac:dyDescent="0.2">
      <c r="A5311" s="19" t="s">
        <v>154</v>
      </c>
      <c r="B5311" s="19">
        <v>13.040000000000001</v>
      </c>
      <c r="C5311" s="19">
        <v>5</v>
      </c>
      <c r="D5311" s="19">
        <v>3.9120000000000004</v>
      </c>
    </row>
    <row r="5312" spans="1:4" x14ac:dyDescent="0.2">
      <c r="A5312" s="19" t="s">
        <v>154</v>
      </c>
      <c r="B5312" s="19">
        <v>1525.1879999999996</v>
      </c>
      <c r="C5312" s="19">
        <v>6</v>
      </c>
      <c r="D5312" s="19">
        <v>-2287.7820000000002</v>
      </c>
    </row>
    <row r="5313" spans="1:4" x14ac:dyDescent="0.2">
      <c r="A5313" s="19" t="s">
        <v>152</v>
      </c>
      <c r="B5313" s="19">
        <v>9.2159999999999993</v>
      </c>
      <c r="C5313" s="19">
        <v>4</v>
      </c>
      <c r="D5313" s="19">
        <v>3.3408000000000002</v>
      </c>
    </row>
    <row r="5314" spans="1:4" x14ac:dyDescent="0.2">
      <c r="A5314" s="19" t="s">
        <v>152</v>
      </c>
      <c r="B5314" s="19">
        <v>28.048000000000002</v>
      </c>
      <c r="C5314" s="19">
        <v>2</v>
      </c>
      <c r="D5314" s="19">
        <v>3.5059999999999967</v>
      </c>
    </row>
    <row r="5315" spans="1:4" x14ac:dyDescent="0.2">
      <c r="A5315" s="19" t="s">
        <v>150</v>
      </c>
      <c r="B5315" s="19">
        <v>64.959999999999994</v>
      </c>
      <c r="C5315" s="19">
        <v>2</v>
      </c>
      <c r="D5315" s="19">
        <v>21.436799999999998</v>
      </c>
    </row>
    <row r="5316" spans="1:4" x14ac:dyDescent="0.2">
      <c r="A5316" s="19" t="s">
        <v>150</v>
      </c>
      <c r="B5316" s="19">
        <v>30.56</v>
      </c>
      <c r="C5316" s="19">
        <v>4</v>
      </c>
      <c r="D5316" s="19">
        <v>14.974399999999999</v>
      </c>
    </row>
    <row r="5317" spans="1:4" x14ac:dyDescent="0.2">
      <c r="A5317" s="19" t="s">
        <v>152</v>
      </c>
      <c r="B5317" s="19">
        <v>187.05600000000001</v>
      </c>
      <c r="C5317" s="19">
        <v>9</v>
      </c>
      <c r="D5317" s="19">
        <v>11.69100000000001</v>
      </c>
    </row>
    <row r="5318" spans="1:4" x14ac:dyDescent="0.2">
      <c r="A5318" s="19" t="s">
        <v>167</v>
      </c>
      <c r="B5318" s="19">
        <v>11.808</v>
      </c>
      <c r="C5318" s="19">
        <v>2</v>
      </c>
      <c r="D5318" s="19">
        <v>1.3283999999999985</v>
      </c>
    </row>
    <row r="5319" spans="1:4" x14ac:dyDescent="0.2">
      <c r="A5319" s="19" t="s">
        <v>167</v>
      </c>
      <c r="B5319" s="19">
        <v>9.6560000000000006</v>
      </c>
      <c r="C5319" s="19">
        <v>1</v>
      </c>
      <c r="D5319" s="19">
        <v>1.5691000000000002</v>
      </c>
    </row>
    <row r="5320" spans="1:4" x14ac:dyDescent="0.2">
      <c r="A5320" s="19" t="s">
        <v>167</v>
      </c>
      <c r="B5320" s="19">
        <v>20.736000000000004</v>
      </c>
      <c r="C5320" s="19">
        <v>4</v>
      </c>
      <c r="D5320" s="19">
        <v>7.2576000000000001</v>
      </c>
    </row>
    <row r="5321" spans="1:4" x14ac:dyDescent="0.2">
      <c r="A5321" s="19" t="s">
        <v>167</v>
      </c>
      <c r="B5321" s="19">
        <v>27.360000000000003</v>
      </c>
      <c r="C5321" s="19">
        <v>3</v>
      </c>
      <c r="D5321" s="19">
        <v>-21.887999999999991</v>
      </c>
    </row>
    <row r="5322" spans="1:4" x14ac:dyDescent="0.2">
      <c r="A5322" s="19" t="s">
        <v>167</v>
      </c>
      <c r="B5322" s="19">
        <v>2314.116</v>
      </c>
      <c r="C5322" s="19">
        <v>7</v>
      </c>
      <c r="D5322" s="19">
        <v>-1002.7836000000001</v>
      </c>
    </row>
    <row r="5323" spans="1:4" x14ac:dyDescent="0.2">
      <c r="A5323" s="19" t="s">
        <v>167</v>
      </c>
      <c r="B5323" s="19">
        <v>34.236000000000004</v>
      </c>
      <c r="C5323" s="19">
        <v>4</v>
      </c>
      <c r="D5323" s="19">
        <v>-26.247599999999998</v>
      </c>
    </row>
    <row r="5324" spans="1:4" x14ac:dyDescent="0.2">
      <c r="A5324" s="19" t="s">
        <v>167</v>
      </c>
      <c r="B5324" s="19">
        <v>19.760000000000002</v>
      </c>
      <c r="C5324" s="19">
        <v>2</v>
      </c>
      <c r="D5324" s="19">
        <v>5.9279999999999999</v>
      </c>
    </row>
    <row r="5325" spans="1:4" x14ac:dyDescent="0.2">
      <c r="A5325" s="19" t="s">
        <v>157</v>
      </c>
      <c r="B5325" s="19">
        <v>15.96</v>
      </c>
      <c r="C5325" s="19">
        <v>2</v>
      </c>
      <c r="D5325" s="19">
        <v>7.98</v>
      </c>
    </row>
    <row r="5326" spans="1:4" x14ac:dyDescent="0.2">
      <c r="A5326" s="19" t="s">
        <v>150</v>
      </c>
      <c r="B5326" s="19">
        <v>16.899999999999999</v>
      </c>
      <c r="C5326" s="19">
        <v>5</v>
      </c>
      <c r="D5326" s="19">
        <v>6.2530000000000001</v>
      </c>
    </row>
    <row r="5327" spans="1:4" x14ac:dyDescent="0.2">
      <c r="A5327" s="19" t="s">
        <v>150</v>
      </c>
      <c r="B5327" s="19">
        <v>25.08</v>
      </c>
      <c r="C5327" s="19">
        <v>6</v>
      </c>
      <c r="D5327" s="19">
        <v>9.0288000000000004</v>
      </c>
    </row>
    <row r="5328" spans="1:4" x14ac:dyDescent="0.2">
      <c r="A5328" s="19" t="s">
        <v>180</v>
      </c>
      <c r="B5328" s="19">
        <v>6.68</v>
      </c>
      <c r="C5328" s="19">
        <v>2</v>
      </c>
      <c r="D5328" s="19">
        <v>2.0039999999999996</v>
      </c>
    </row>
    <row r="5329" spans="1:4" x14ac:dyDescent="0.2">
      <c r="A5329" s="19" t="s">
        <v>150</v>
      </c>
      <c r="B5329" s="19">
        <v>19.440000000000001</v>
      </c>
      <c r="C5329" s="19">
        <v>3</v>
      </c>
      <c r="D5329" s="19">
        <v>9.3312000000000008</v>
      </c>
    </row>
    <row r="5330" spans="1:4" x14ac:dyDescent="0.2">
      <c r="A5330" s="19" t="s">
        <v>154</v>
      </c>
      <c r="B5330" s="19">
        <v>31.92</v>
      </c>
      <c r="C5330" s="19">
        <v>2</v>
      </c>
      <c r="D5330" s="19">
        <v>2.3939999999999984</v>
      </c>
    </row>
    <row r="5331" spans="1:4" x14ac:dyDescent="0.2">
      <c r="A5331" s="19" t="s">
        <v>164</v>
      </c>
      <c r="B5331" s="19">
        <v>33.568000000000005</v>
      </c>
      <c r="C5331" s="19">
        <v>2</v>
      </c>
      <c r="D5331" s="19">
        <v>11.748799999999997</v>
      </c>
    </row>
    <row r="5332" spans="1:4" x14ac:dyDescent="0.2">
      <c r="A5332" s="19" t="s">
        <v>164</v>
      </c>
      <c r="B5332" s="19">
        <v>63.94</v>
      </c>
      <c r="C5332" s="19">
        <v>1</v>
      </c>
      <c r="D5332" s="19">
        <v>24.936599999999999</v>
      </c>
    </row>
    <row r="5333" spans="1:4" x14ac:dyDescent="0.2">
      <c r="A5333" s="19" t="s">
        <v>164</v>
      </c>
      <c r="B5333" s="19">
        <v>60.600000000000009</v>
      </c>
      <c r="C5333" s="19">
        <v>5</v>
      </c>
      <c r="D5333" s="19">
        <v>20.452499999999997</v>
      </c>
    </row>
    <row r="5334" spans="1:4" x14ac:dyDescent="0.2">
      <c r="A5334" s="19" t="s">
        <v>164</v>
      </c>
      <c r="B5334" s="19">
        <v>22.72</v>
      </c>
      <c r="C5334" s="19">
        <v>4</v>
      </c>
      <c r="D5334" s="19">
        <v>6.5887999999999991</v>
      </c>
    </row>
    <row r="5335" spans="1:4" x14ac:dyDescent="0.2">
      <c r="A5335" s="19" t="s">
        <v>162</v>
      </c>
      <c r="B5335" s="19">
        <v>10.68</v>
      </c>
      <c r="C5335" s="19">
        <v>4</v>
      </c>
      <c r="D5335" s="19">
        <v>4.0583999999999998</v>
      </c>
    </row>
    <row r="5336" spans="1:4" x14ac:dyDescent="0.2">
      <c r="A5336" s="19" t="s">
        <v>162</v>
      </c>
      <c r="B5336" s="19">
        <v>17.34</v>
      </c>
      <c r="C5336" s="19">
        <v>3</v>
      </c>
      <c r="D5336" s="19">
        <v>8.4966000000000008</v>
      </c>
    </row>
    <row r="5337" spans="1:4" x14ac:dyDescent="0.2">
      <c r="A5337" s="19" t="s">
        <v>162</v>
      </c>
      <c r="B5337" s="19">
        <v>3.38</v>
      </c>
      <c r="C5337" s="19">
        <v>1</v>
      </c>
      <c r="D5337" s="19">
        <v>1.5547999999999997</v>
      </c>
    </row>
    <row r="5338" spans="1:4" x14ac:dyDescent="0.2">
      <c r="A5338" s="19" t="s">
        <v>153</v>
      </c>
      <c r="B5338" s="19">
        <v>26.975999999999999</v>
      </c>
      <c r="C5338" s="19">
        <v>4</v>
      </c>
      <c r="D5338" s="19">
        <v>8.767199999999999</v>
      </c>
    </row>
    <row r="5339" spans="1:4" x14ac:dyDescent="0.2">
      <c r="A5339" s="19" t="s">
        <v>165</v>
      </c>
      <c r="B5339" s="19">
        <v>307.77600000000001</v>
      </c>
      <c r="C5339" s="19">
        <v>7</v>
      </c>
      <c r="D5339" s="19">
        <v>111.5688</v>
      </c>
    </row>
    <row r="5340" spans="1:4" x14ac:dyDescent="0.2">
      <c r="A5340" s="19" t="s">
        <v>164</v>
      </c>
      <c r="B5340" s="19">
        <v>244.54999999999998</v>
      </c>
      <c r="C5340" s="19">
        <v>5</v>
      </c>
      <c r="D5340" s="19">
        <v>4.8910000000000053</v>
      </c>
    </row>
    <row r="5341" spans="1:4" x14ac:dyDescent="0.2">
      <c r="A5341" s="19" t="s">
        <v>164</v>
      </c>
      <c r="B5341" s="19">
        <v>12.24</v>
      </c>
      <c r="C5341" s="19">
        <v>6</v>
      </c>
      <c r="D5341" s="19">
        <v>5.7527999999999988</v>
      </c>
    </row>
    <row r="5342" spans="1:4" x14ac:dyDescent="0.2">
      <c r="A5342" s="19" t="s">
        <v>164</v>
      </c>
      <c r="B5342" s="19">
        <v>13.98</v>
      </c>
      <c r="C5342" s="19">
        <v>2</v>
      </c>
      <c r="D5342" s="19">
        <v>6.011400000000001</v>
      </c>
    </row>
    <row r="5343" spans="1:4" x14ac:dyDescent="0.2">
      <c r="A5343" s="19" t="s">
        <v>164</v>
      </c>
      <c r="B5343" s="19">
        <v>899.95</v>
      </c>
      <c r="C5343" s="19">
        <v>5</v>
      </c>
      <c r="D5343" s="19">
        <v>53.996999999999957</v>
      </c>
    </row>
    <row r="5344" spans="1:4" x14ac:dyDescent="0.2">
      <c r="A5344" s="19" t="s">
        <v>154</v>
      </c>
      <c r="B5344" s="19">
        <v>1.6320000000000001</v>
      </c>
      <c r="C5344" s="19">
        <v>1</v>
      </c>
      <c r="D5344" s="19">
        <v>0.55079999999999985</v>
      </c>
    </row>
    <row r="5345" spans="1:4" x14ac:dyDescent="0.2">
      <c r="A5345" s="19" t="s">
        <v>154</v>
      </c>
      <c r="B5345" s="19">
        <v>267.95999999999998</v>
      </c>
      <c r="C5345" s="19">
        <v>5</v>
      </c>
      <c r="D5345" s="19">
        <v>16.747500000000016</v>
      </c>
    </row>
    <row r="5346" spans="1:4" x14ac:dyDescent="0.2">
      <c r="A5346" s="19" t="s">
        <v>164</v>
      </c>
      <c r="B5346" s="19">
        <v>31.95</v>
      </c>
      <c r="C5346" s="19">
        <v>1</v>
      </c>
      <c r="D5346" s="19">
        <v>2.2364999999999995</v>
      </c>
    </row>
    <row r="5347" spans="1:4" x14ac:dyDescent="0.2">
      <c r="A5347" s="19" t="s">
        <v>150</v>
      </c>
      <c r="B5347" s="19">
        <v>725.84</v>
      </c>
      <c r="C5347" s="19">
        <v>4</v>
      </c>
      <c r="D5347" s="19">
        <v>210.4935999999999</v>
      </c>
    </row>
    <row r="5348" spans="1:4" x14ac:dyDescent="0.2">
      <c r="A5348" s="19" t="s">
        <v>150</v>
      </c>
      <c r="B5348" s="19">
        <v>10.896000000000001</v>
      </c>
      <c r="C5348" s="19">
        <v>3</v>
      </c>
      <c r="D5348" s="19">
        <v>3.9497999999999998</v>
      </c>
    </row>
    <row r="5349" spans="1:4" x14ac:dyDescent="0.2">
      <c r="A5349" s="19" t="s">
        <v>150</v>
      </c>
      <c r="B5349" s="19">
        <v>8.5440000000000005</v>
      </c>
      <c r="C5349" s="19">
        <v>2</v>
      </c>
      <c r="D5349" s="19">
        <v>2.8835999999999995</v>
      </c>
    </row>
    <row r="5350" spans="1:4" x14ac:dyDescent="0.2">
      <c r="A5350" s="19" t="s">
        <v>160</v>
      </c>
      <c r="B5350" s="19">
        <v>32.339999999999996</v>
      </c>
      <c r="C5350" s="19">
        <v>3</v>
      </c>
      <c r="D5350" s="19">
        <v>15.523199999999999</v>
      </c>
    </row>
    <row r="5351" spans="1:4" x14ac:dyDescent="0.2">
      <c r="A5351" s="19" t="s">
        <v>160</v>
      </c>
      <c r="B5351" s="19">
        <v>39.900000000000006</v>
      </c>
      <c r="C5351" s="19">
        <v>5</v>
      </c>
      <c r="D5351" s="19">
        <v>19.950000000000003</v>
      </c>
    </row>
    <row r="5352" spans="1:4" x14ac:dyDescent="0.2">
      <c r="A5352" s="19" t="s">
        <v>159</v>
      </c>
      <c r="B5352" s="19">
        <v>143.85600000000002</v>
      </c>
      <c r="C5352" s="19">
        <v>9</v>
      </c>
      <c r="D5352" s="19">
        <v>48.551399999999994</v>
      </c>
    </row>
    <row r="5353" spans="1:4" x14ac:dyDescent="0.2">
      <c r="A5353" s="19" t="s">
        <v>154</v>
      </c>
      <c r="B5353" s="19">
        <v>41.92</v>
      </c>
      <c r="C5353" s="19">
        <v>4</v>
      </c>
      <c r="D5353" s="19">
        <v>15.195999999999998</v>
      </c>
    </row>
    <row r="5354" spans="1:4" x14ac:dyDescent="0.2">
      <c r="A5354" s="19" t="s">
        <v>154</v>
      </c>
      <c r="B5354" s="19">
        <v>329.58400000000006</v>
      </c>
      <c r="C5354" s="19">
        <v>2</v>
      </c>
      <c r="D5354" s="19">
        <v>37.078199999999981</v>
      </c>
    </row>
    <row r="5355" spans="1:4" x14ac:dyDescent="0.2">
      <c r="A5355" s="19" t="s">
        <v>177</v>
      </c>
      <c r="B5355" s="19">
        <v>87.28</v>
      </c>
      <c r="C5355" s="19">
        <v>8</v>
      </c>
      <c r="D5355" s="19">
        <v>41.021599999999999</v>
      </c>
    </row>
    <row r="5356" spans="1:4" x14ac:dyDescent="0.2">
      <c r="A5356" s="19" t="s">
        <v>150</v>
      </c>
      <c r="B5356" s="19">
        <v>279.45600000000002</v>
      </c>
      <c r="C5356" s="19">
        <v>6</v>
      </c>
      <c r="D5356" s="19">
        <v>20.959199999999996</v>
      </c>
    </row>
    <row r="5357" spans="1:4" x14ac:dyDescent="0.2">
      <c r="A5357" s="19" t="s">
        <v>150</v>
      </c>
      <c r="B5357" s="19">
        <v>8</v>
      </c>
      <c r="C5357" s="19">
        <v>2</v>
      </c>
      <c r="D5357" s="19">
        <v>3.84</v>
      </c>
    </row>
    <row r="5358" spans="1:4" x14ac:dyDescent="0.2">
      <c r="A5358" s="19" t="s">
        <v>150</v>
      </c>
      <c r="B5358" s="19">
        <v>27.240000000000002</v>
      </c>
      <c r="C5358" s="19">
        <v>5</v>
      </c>
      <c r="D5358" s="19">
        <v>9.5339999999999971</v>
      </c>
    </row>
    <row r="5359" spans="1:4" x14ac:dyDescent="0.2">
      <c r="A5359" s="19" t="s">
        <v>150</v>
      </c>
      <c r="B5359" s="19">
        <v>16.36</v>
      </c>
      <c r="C5359" s="19">
        <v>1</v>
      </c>
      <c r="D5359" s="19">
        <v>1.6359999999999992</v>
      </c>
    </row>
    <row r="5360" spans="1:4" x14ac:dyDescent="0.2">
      <c r="A5360" s="19" t="s">
        <v>150</v>
      </c>
      <c r="B5360" s="19">
        <v>15.78</v>
      </c>
      <c r="C5360" s="19">
        <v>2</v>
      </c>
      <c r="D5360" s="19">
        <v>0.63119999999999798</v>
      </c>
    </row>
    <row r="5361" spans="1:4" x14ac:dyDescent="0.2">
      <c r="A5361" s="19" t="s">
        <v>150</v>
      </c>
      <c r="B5361" s="19">
        <v>45.98</v>
      </c>
      <c r="C5361" s="19">
        <v>2</v>
      </c>
      <c r="D5361" s="19">
        <v>12.874400000000001</v>
      </c>
    </row>
    <row r="5362" spans="1:4" x14ac:dyDescent="0.2">
      <c r="A5362" s="19" t="s">
        <v>152</v>
      </c>
      <c r="B5362" s="19">
        <v>198.27200000000002</v>
      </c>
      <c r="C5362" s="19">
        <v>8</v>
      </c>
      <c r="D5362" s="19">
        <v>-32.219200000000022</v>
      </c>
    </row>
    <row r="5363" spans="1:4" x14ac:dyDescent="0.2">
      <c r="A5363" s="19" t="s">
        <v>154</v>
      </c>
      <c r="B5363" s="19">
        <v>720.7600000000001</v>
      </c>
      <c r="C5363" s="19">
        <v>5</v>
      </c>
      <c r="D5363" s="19">
        <v>54.056999999999988</v>
      </c>
    </row>
    <row r="5364" spans="1:4" x14ac:dyDescent="0.2">
      <c r="A5364" s="19" t="s">
        <v>189</v>
      </c>
      <c r="B5364" s="19">
        <v>70.56</v>
      </c>
      <c r="C5364" s="19">
        <v>6</v>
      </c>
      <c r="D5364" s="19">
        <v>23.990399999999994</v>
      </c>
    </row>
    <row r="5365" spans="1:4" x14ac:dyDescent="0.2">
      <c r="A5365" s="19" t="s">
        <v>189</v>
      </c>
      <c r="B5365" s="19">
        <v>81.96</v>
      </c>
      <c r="C5365" s="19">
        <v>2</v>
      </c>
      <c r="D5365" s="19">
        <v>22.948799999999999</v>
      </c>
    </row>
    <row r="5366" spans="1:4" x14ac:dyDescent="0.2">
      <c r="A5366" s="19" t="s">
        <v>170</v>
      </c>
      <c r="B5366" s="19">
        <v>64.864000000000004</v>
      </c>
      <c r="C5366" s="19">
        <v>4</v>
      </c>
      <c r="D5366" s="19">
        <v>6.4864000000000033</v>
      </c>
    </row>
    <row r="5367" spans="1:4" x14ac:dyDescent="0.2">
      <c r="A5367" s="19" t="s">
        <v>154</v>
      </c>
      <c r="B5367" s="19">
        <v>151.19200000000001</v>
      </c>
      <c r="C5367" s="19">
        <v>1</v>
      </c>
      <c r="D5367" s="19">
        <v>13.229299999999995</v>
      </c>
    </row>
    <row r="5368" spans="1:4" x14ac:dyDescent="0.2">
      <c r="A5368" s="19" t="s">
        <v>153</v>
      </c>
      <c r="B5368" s="19">
        <v>88.77600000000001</v>
      </c>
      <c r="C5368" s="19">
        <v>3</v>
      </c>
      <c r="D5368" s="19">
        <v>7.7679000000000009</v>
      </c>
    </row>
    <row r="5369" spans="1:4" x14ac:dyDescent="0.2">
      <c r="A5369" s="19" t="s">
        <v>153</v>
      </c>
      <c r="B5369" s="19">
        <v>11.56</v>
      </c>
      <c r="C5369" s="19">
        <v>4</v>
      </c>
      <c r="D5369" s="19">
        <v>5.4332000000000003</v>
      </c>
    </row>
    <row r="5370" spans="1:4" x14ac:dyDescent="0.2">
      <c r="A5370" s="19" t="s">
        <v>153</v>
      </c>
      <c r="B5370" s="19">
        <v>15.58</v>
      </c>
      <c r="C5370" s="19">
        <v>1</v>
      </c>
      <c r="D5370" s="19">
        <v>3.8949999999999996</v>
      </c>
    </row>
    <row r="5371" spans="1:4" x14ac:dyDescent="0.2">
      <c r="A5371" s="19" t="s">
        <v>173</v>
      </c>
      <c r="B5371" s="19">
        <v>85.055999999999997</v>
      </c>
      <c r="C5371" s="19">
        <v>3</v>
      </c>
      <c r="D5371" s="19">
        <v>28.706399999999991</v>
      </c>
    </row>
    <row r="5372" spans="1:4" x14ac:dyDescent="0.2">
      <c r="A5372" s="19" t="s">
        <v>161</v>
      </c>
      <c r="B5372" s="19">
        <v>273.95999999999998</v>
      </c>
      <c r="C5372" s="19">
        <v>2</v>
      </c>
      <c r="D5372" s="19">
        <v>71.229600000000005</v>
      </c>
    </row>
    <row r="5373" spans="1:4" x14ac:dyDescent="0.2">
      <c r="A5373" s="19" t="s">
        <v>161</v>
      </c>
      <c r="B5373" s="19">
        <v>306.89999999999998</v>
      </c>
      <c r="C5373" s="19">
        <v>3</v>
      </c>
      <c r="D5373" s="19">
        <v>79.793999999999997</v>
      </c>
    </row>
    <row r="5374" spans="1:4" x14ac:dyDescent="0.2">
      <c r="A5374" s="19" t="s">
        <v>154</v>
      </c>
      <c r="B5374" s="19">
        <v>15.552000000000003</v>
      </c>
      <c r="C5374" s="19">
        <v>3</v>
      </c>
      <c r="D5374" s="19">
        <v>5.4432</v>
      </c>
    </row>
    <row r="5375" spans="1:4" x14ac:dyDescent="0.2">
      <c r="A5375" s="19" t="s">
        <v>154</v>
      </c>
      <c r="B5375" s="19">
        <v>347.36099999999999</v>
      </c>
      <c r="C5375" s="19">
        <v>7</v>
      </c>
      <c r="D5375" s="19">
        <v>-69.472199999999958</v>
      </c>
    </row>
    <row r="5376" spans="1:4" x14ac:dyDescent="0.2">
      <c r="A5376" s="19" t="s">
        <v>154</v>
      </c>
      <c r="B5376" s="19">
        <v>10.368000000000002</v>
      </c>
      <c r="C5376" s="19">
        <v>2</v>
      </c>
      <c r="D5376" s="19">
        <v>3.6288</v>
      </c>
    </row>
    <row r="5377" spans="1:4" x14ac:dyDescent="0.2">
      <c r="A5377" s="19" t="s">
        <v>153</v>
      </c>
      <c r="B5377" s="19">
        <v>98.16</v>
      </c>
      <c r="C5377" s="19">
        <v>6</v>
      </c>
      <c r="D5377" s="19">
        <v>9.8159999999999954</v>
      </c>
    </row>
    <row r="5378" spans="1:4" x14ac:dyDescent="0.2">
      <c r="A5378" s="19" t="s">
        <v>153</v>
      </c>
      <c r="B5378" s="19">
        <v>31.44</v>
      </c>
      <c r="C5378" s="19">
        <v>3</v>
      </c>
      <c r="D5378" s="19">
        <v>7.86</v>
      </c>
    </row>
    <row r="5379" spans="1:4" x14ac:dyDescent="0.2">
      <c r="A5379" s="19" t="s">
        <v>158</v>
      </c>
      <c r="B5379" s="19">
        <v>348.488</v>
      </c>
      <c r="C5379" s="19">
        <v>7</v>
      </c>
      <c r="D5379" s="19">
        <v>117.61469999999996</v>
      </c>
    </row>
    <row r="5380" spans="1:4" x14ac:dyDescent="0.2">
      <c r="A5380" s="19" t="s">
        <v>158</v>
      </c>
      <c r="B5380" s="19">
        <v>172.73599999999999</v>
      </c>
      <c r="C5380" s="19">
        <v>4</v>
      </c>
      <c r="D5380" s="19">
        <v>-30.228800000000007</v>
      </c>
    </row>
    <row r="5381" spans="1:4" x14ac:dyDescent="0.2">
      <c r="A5381" s="19" t="s">
        <v>150</v>
      </c>
      <c r="B5381" s="19">
        <v>15.54</v>
      </c>
      <c r="C5381" s="19">
        <v>3</v>
      </c>
      <c r="D5381" s="19">
        <v>7.6145999999999994</v>
      </c>
    </row>
    <row r="5382" spans="1:4" x14ac:dyDescent="0.2">
      <c r="A5382" s="19" t="s">
        <v>150</v>
      </c>
      <c r="B5382" s="19">
        <v>105.55199999999999</v>
      </c>
      <c r="C5382" s="19">
        <v>6</v>
      </c>
      <c r="D5382" s="19">
        <v>35.623799999999996</v>
      </c>
    </row>
    <row r="5383" spans="1:4" x14ac:dyDescent="0.2">
      <c r="A5383" s="19" t="s">
        <v>154</v>
      </c>
      <c r="B5383" s="19">
        <v>25.920000000000005</v>
      </c>
      <c r="C5383" s="19">
        <v>5</v>
      </c>
      <c r="D5383" s="19">
        <v>9.0719999999999992</v>
      </c>
    </row>
    <row r="5384" spans="1:4" x14ac:dyDescent="0.2">
      <c r="A5384" s="19" t="s">
        <v>154</v>
      </c>
      <c r="B5384" s="19">
        <v>15.808000000000002</v>
      </c>
      <c r="C5384" s="19">
        <v>8</v>
      </c>
      <c r="D5384" s="19">
        <v>5.3352000000000004</v>
      </c>
    </row>
    <row r="5385" spans="1:4" x14ac:dyDescent="0.2">
      <c r="A5385" s="19" t="s">
        <v>154</v>
      </c>
      <c r="B5385" s="19">
        <v>10.368000000000002</v>
      </c>
      <c r="C5385" s="19">
        <v>2</v>
      </c>
      <c r="D5385" s="19">
        <v>3.7584</v>
      </c>
    </row>
    <row r="5386" spans="1:4" x14ac:dyDescent="0.2">
      <c r="A5386" s="19" t="s">
        <v>158</v>
      </c>
      <c r="B5386" s="19">
        <v>358.2</v>
      </c>
      <c r="C5386" s="19">
        <v>3</v>
      </c>
      <c r="D5386" s="19">
        <v>41.79000000000002</v>
      </c>
    </row>
    <row r="5387" spans="1:4" x14ac:dyDescent="0.2">
      <c r="A5387" s="19" t="s">
        <v>158</v>
      </c>
      <c r="B5387" s="19">
        <v>545.91599999999994</v>
      </c>
      <c r="C5387" s="19">
        <v>14</v>
      </c>
      <c r="D5387" s="19">
        <v>72.788800000000037</v>
      </c>
    </row>
    <row r="5388" spans="1:4" x14ac:dyDescent="0.2">
      <c r="A5388" s="19" t="s">
        <v>184</v>
      </c>
      <c r="B5388" s="19">
        <v>40.410000000000004</v>
      </c>
      <c r="C5388" s="19">
        <v>9</v>
      </c>
      <c r="D5388" s="19">
        <v>18.5886</v>
      </c>
    </row>
    <row r="5389" spans="1:4" x14ac:dyDescent="0.2">
      <c r="A5389" s="19" t="s">
        <v>150</v>
      </c>
      <c r="B5389" s="19">
        <v>167.976</v>
      </c>
      <c r="C5389" s="19">
        <v>3</v>
      </c>
      <c r="D5389" s="19">
        <v>10.498500000000007</v>
      </c>
    </row>
    <row r="5390" spans="1:4" x14ac:dyDescent="0.2">
      <c r="A5390" s="19" t="s">
        <v>150</v>
      </c>
      <c r="B5390" s="19">
        <v>109.53</v>
      </c>
      <c r="C5390" s="19">
        <v>3</v>
      </c>
      <c r="D5390" s="19">
        <v>47.097900000000003</v>
      </c>
    </row>
    <row r="5391" spans="1:4" x14ac:dyDescent="0.2">
      <c r="A5391" s="19" t="s">
        <v>150</v>
      </c>
      <c r="B5391" s="19">
        <v>9.82</v>
      </c>
      <c r="C5391" s="19">
        <v>2</v>
      </c>
      <c r="D5391" s="19">
        <v>4.8117999999999999</v>
      </c>
    </row>
    <row r="5392" spans="1:4" x14ac:dyDescent="0.2">
      <c r="A5392" s="19" t="s">
        <v>153</v>
      </c>
      <c r="B5392" s="19">
        <v>26.352000000000004</v>
      </c>
      <c r="C5392" s="19">
        <v>3</v>
      </c>
      <c r="D5392" s="19">
        <v>9.5525999999999982</v>
      </c>
    </row>
    <row r="5393" spans="1:4" x14ac:dyDescent="0.2">
      <c r="A5393" s="19" t="s">
        <v>162</v>
      </c>
      <c r="B5393" s="19">
        <v>22.5</v>
      </c>
      <c r="C5393" s="19">
        <v>6</v>
      </c>
      <c r="D5393" s="19">
        <v>10.799999999999999</v>
      </c>
    </row>
    <row r="5394" spans="1:4" x14ac:dyDescent="0.2">
      <c r="A5394" s="19" t="s">
        <v>162</v>
      </c>
      <c r="B5394" s="19">
        <v>9.9600000000000009</v>
      </c>
      <c r="C5394" s="19">
        <v>2</v>
      </c>
      <c r="D5394" s="19">
        <v>4.5815999999999999</v>
      </c>
    </row>
    <row r="5395" spans="1:4" x14ac:dyDescent="0.2">
      <c r="A5395" s="19" t="s">
        <v>162</v>
      </c>
      <c r="B5395" s="19">
        <v>213.08</v>
      </c>
      <c r="C5395" s="19">
        <v>7</v>
      </c>
      <c r="D5395" s="19">
        <v>102.2784</v>
      </c>
    </row>
    <row r="5396" spans="1:4" x14ac:dyDescent="0.2">
      <c r="A5396" s="19" t="s">
        <v>162</v>
      </c>
      <c r="B5396" s="19">
        <v>1025.8799999999999</v>
      </c>
      <c r="C5396" s="19">
        <v>6</v>
      </c>
      <c r="D5396" s="19">
        <v>235.95240000000001</v>
      </c>
    </row>
    <row r="5397" spans="1:4" x14ac:dyDescent="0.2">
      <c r="A5397" s="19" t="s">
        <v>156</v>
      </c>
      <c r="B5397" s="19">
        <v>21.98</v>
      </c>
      <c r="C5397" s="19">
        <v>7</v>
      </c>
      <c r="D5397" s="19">
        <v>9.8909999999999982</v>
      </c>
    </row>
    <row r="5398" spans="1:4" x14ac:dyDescent="0.2">
      <c r="A5398" s="19" t="s">
        <v>150</v>
      </c>
      <c r="B5398" s="19">
        <v>63.2</v>
      </c>
      <c r="C5398" s="19">
        <v>5</v>
      </c>
      <c r="D5398" s="19">
        <v>23.384</v>
      </c>
    </row>
    <row r="5399" spans="1:4" x14ac:dyDescent="0.2">
      <c r="A5399" s="19" t="s">
        <v>150</v>
      </c>
      <c r="B5399" s="19">
        <v>39</v>
      </c>
      <c r="C5399" s="19">
        <v>12</v>
      </c>
      <c r="D5399" s="19">
        <v>11.309999999999999</v>
      </c>
    </row>
    <row r="5400" spans="1:4" x14ac:dyDescent="0.2">
      <c r="A5400" s="19" t="s">
        <v>173</v>
      </c>
      <c r="B5400" s="19">
        <v>2.907</v>
      </c>
      <c r="C5400" s="19">
        <v>3</v>
      </c>
      <c r="D5400" s="19">
        <v>-2.0348999999999995</v>
      </c>
    </row>
    <row r="5401" spans="1:4" x14ac:dyDescent="0.2">
      <c r="A5401" s="19" t="s">
        <v>150</v>
      </c>
      <c r="B5401" s="19">
        <v>556.66499999999996</v>
      </c>
      <c r="C5401" s="19">
        <v>5</v>
      </c>
      <c r="D5401" s="19">
        <v>6.5490000000000208</v>
      </c>
    </row>
    <row r="5402" spans="1:4" x14ac:dyDescent="0.2">
      <c r="A5402" s="19" t="s">
        <v>153</v>
      </c>
      <c r="B5402" s="19">
        <v>71.98</v>
      </c>
      <c r="C5402" s="19">
        <v>2</v>
      </c>
      <c r="D5402" s="19">
        <v>15.1158</v>
      </c>
    </row>
    <row r="5403" spans="1:4" x14ac:dyDescent="0.2">
      <c r="A5403" s="19" t="s">
        <v>153</v>
      </c>
      <c r="B5403" s="19">
        <v>79.98</v>
      </c>
      <c r="C5403" s="19">
        <v>2</v>
      </c>
      <c r="D5403" s="19">
        <v>26.3934</v>
      </c>
    </row>
    <row r="5404" spans="1:4" x14ac:dyDescent="0.2">
      <c r="A5404" s="19" t="s">
        <v>164</v>
      </c>
      <c r="B5404" s="19">
        <v>24.672000000000001</v>
      </c>
      <c r="C5404" s="19">
        <v>4</v>
      </c>
      <c r="D5404" s="19">
        <v>7.71</v>
      </c>
    </row>
    <row r="5405" spans="1:4" x14ac:dyDescent="0.2">
      <c r="A5405" s="19" t="s">
        <v>164</v>
      </c>
      <c r="B5405" s="19">
        <v>3.7439999999999998</v>
      </c>
      <c r="C5405" s="19">
        <v>1</v>
      </c>
      <c r="D5405" s="19">
        <v>1.3104</v>
      </c>
    </row>
    <row r="5406" spans="1:4" x14ac:dyDescent="0.2">
      <c r="A5406" s="19" t="s">
        <v>150</v>
      </c>
      <c r="B5406" s="19">
        <v>445.96000000000004</v>
      </c>
      <c r="C5406" s="19">
        <v>5</v>
      </c>
      <c r="D5406" s="19">
        <v>55.744999999999948</v>
      </c>
    </row>
    <row r="5407" spans="1:4" x14ac:dyDescent="0.2">
      <c r="A5407" s="19" t="s">
        <v>150</v>
      </c>
      <c r="B5407" s="19">
        <v>36.24</v>
      </c>
      <c r="C5407" s="19">
        <v>1</v>
      </c>
      <c r="D5407" s="19">
        <v>15.220800000000001</v>
      </c>
    </row>
    <row r="5408" spans="1:4" x14ac:dyDescent="0.2">
      <c r="A5408" s="19" t="s">
        <v>150</v>
      </c>
      <c r="B5408" s="19">
        <v>10.649999999999999</v>
      </c>
      <c r="C5408" s="19">
        <v>3</v>
      </c>
      <c r="D5408" s="19">
        <v>5.0054999999999996</v>
      </c>
    </row>
    <row r="5409" spans="1:4" x14ac:dyDescent="0.2">
      <c r="A5409" s="19" t="s">
        <v>150</v>
      </c>
      <c r="B5409" s="19">
        <v>87.92</v>
      </c>
      <c r="C5409" s="19">
        <v>4</v>
      </c>
      <c r="D5409" s="19">
        <v>40.443199999999997</v>
      </c>
    </row>
    <row r="5410" spans="1:4" x14ac:dyDescent="0.2">
      <c r="A5410" s="19" t="s">
        <v>150</v>
      </c>
      <c r="B5410" s="19">
        <v>22.424000000000003</v>
      </c>
      <c r="C5410" s="19">
        <v>1</v>
      </c>
      <c r="D5410" s="19">
        <v>8.4089999999999989</v>
      </c>
    </row>
    <row r="5411" spans="1:4" x14ac:dyDescent="0.2">
      <c r="A5411" s="19" t="s">
        <v>150</v>
      </c>
      <c r="B5411" s="19">
        <v>90.480000000000018</v>
      </c>
      <c r="C5411" s="19">
        <v>3</v>
      </c>
      <c r="D5411" s="19">
        <v>33.93</v>
      </c>
    </row>
    <row r="5412" spans="1:4" x14ac:dyDescent="0.2">
      <c r="A5412" s="19" t="s">
        <v>150</v>
      </c>
      <c r="B5412" s="19">
        <v>42.76</v>
      </c>
      <c r="C5412" s="19">
        <v>1</v>
      </c>
      <c r="D5412" s="19">
        <v>11.117599999999999</v>
      </c>
    </row>
    <row r="5413" spans="1:4" x14ac:dyDescent="0.2">
      <c r="A5413" s="19" t="s">
        <v>176</v>
      </c>
      <c r="B5413" s="19">
        <v>10.080000000000002</v>
      </c>
      <c r="C5413" s="19">
        <v>7</v>
      </c>
      <c r="D5413" s="19">
        <v>3.5279999999999996</v>
      </c>
    </row>
    <row r="5414" spans="1:4" x14ac:dyDescent="0.2">
      <c r="A5414" s="19" t="s">
        <v>176</v>
      </c>
      <c r="B5414" s="19">
        <v>101.34</v>
      </c>
      <c r="C5414" s="19">
        <v>3</v>
      </c>
      <c r="D5414" s="19">
        <v>8.1071999999999917</v>
      </c>
    </row>
    <row r="5415" spans="1:4" x14ac:dyDescent="0.2">
      <c r="A5415" s="19" t="s">
        <v>189</v>
      </c>
      <c r="B5415" s="19">
        <v>224.75</v>
      </c>
      <c r="C5415" s="19">
        <v>5</v>
      </c>
      <c r="D5415" s="19">
        <v>62.929999999999993</v>
      </c>
    </row>
    <row r="5416" spans="1:4" x14ac:dyDescent="0.2">
      <c r="A5416" s="19" t="s">
        <v>159</v>
      </c>
      <c r="B5416" s="19">
        <v>73.175999999999974</v>
      </c>
      <c r="C5416" s="19">
        <v>6</v>
      </c>
      <c r="D5416" s="19">
        <v>-197.57520000000002</v>
      </c>
    </row>
    <row r="5417" spans="1:4" x14ac:dyDescent="0.2">
      <c r="A5417" s="19" t="s">
        <v>159</v>
      </c>
      <c r="B5417" s="19">
        <v>20.736000000000004</v>
      </c>
      <c r="C5417" s="19">
        <v>4</v>
      </c>
      <c r="D5417" s="19">
        <v>7.2576000000000001</v>
      </c>
    </row>
    <row r="5418" spans="1:4" x14ac:dyDescent="0.2">
      <c r="A5418" s="19" t="s">
        <v>159</v>
      </c>
      <c r="B5418" s="19">
        <v>39.984000000000002</v>
      </c>
      <c r="C5418" s="19">
        <v>2</v>
      </c>
      <c r="D5418" s="19">
        <v>-8.9963999999999995</v>
      </c>
    </row>
    <row r="5419" spans="1:4" x14ac:dyDescent="0.2">
      <c r="A5419" s="19" t="s">
        <v>157</v>
      </c>
      <c r="B5419" s="19">
        <v>15.36</v>
      </c>
      <c r="C5419" s="19">
        <v>2</v>
      </c>
      <c r="D5419" s="19">
        <v>7.68</v>
      </c>
    </row>
    <row r="5420" spans="1:4" x14ac:dyDescent="0.2">
      <c r="A5420" s="19" t="s">
        <v>154</v>
      </c>
      <c r="B5420" s="19">
        <v>36.288000000000011</v>
      </c>
      <c r="C5420" s="19">
        <v>7</v>
      </c>
      <c r="D5420" s="19">
        <v>12.700800000000001</v>
      </c>
    </row>
    <row r="5421" spans="1:4" x14ac:dyDescent="0.2">
      <c r="A5421" s="19" t="s">
        <v>154</v>
      </c>
      <c r="B5421" s="19">
        <v>150.38399999999999</v>
      </c>
      <c r="C5421" s="19">
        <v>2</v>
      </c>
      <c r="D5421" s="19">
        <v>15.038400000000003</v>
      </c>
    </row>
    <row r="5422" spans="1:4" x14ac:dyDescent="0.2">
      <c r="A5422" s="19" t="s">
        <v>158</v>
      </c>
      <c r="B5422" s="19">
        <v>280.78200000000004</v>
      </c>
      <c r="C5422" s="19">
        <v>3</v>
      </c>
      <c r="D5422" s="19">
        <v>-60.836100000000016</v>
      </c>
    </row>
    <row r="5423" spans="1:4" x14ac:dyDescent="0.2">
      <c r="A5423" s="19" t="s">
        <v>158</v>
      </c>
      <c r="B5423" s="19">
        <v>31.983999999999998</v>
      </c>
      <c r="C5423" s="19">
        <v>2</v>
      </c>
      <c r="D5423" s="19">
        <v>1.1993999999999998</v>
      </c>
    </row>
    <row r="5424" spans="1:4" x14ac:dyDescent="0.2">
      <c r="A5424" s="19" t="s">
        <v>150</v>
      </c>
      <c r="B5424" s="19">
        <v>11.231999999999999</v>
      </c>
      <c r="C5424" s="19">
        <v>3</v>
      </c>
      <c r="D5424" s="19">
        <v>3.9312000000000005</v>
      </c>
    </row>
    <row r="5425" spans="1:4" x14ac:dyDescent="0.2">
      <c r="A5425" s="19" t="s">
        <v>149</v>
      </c>
      <c r="B5425" s="19">
        <v>26.400000000000002</v>
      </c>
      <c r="C5425" s="19">
        <v>5</v>
      </c>
      <c r="D5425" s="19">
        <v>11.879999999999999</v>
      </c>
    </row>
    <row r="5426" spans="1:4" x14ac:dyDescent="0.2">
      <c r="A5426" s="19" t="s">
        <v>178</v>
      </c>
      <c r="B5426" s="19">
        <v>3.52</v>
      </c>
      <c r="C5426" s="19">
        <v>2</v>
      </c>
      <c r="D5426" s="19">
        <v>1.0207999999999999</v>
      </c>
    </row>
    <row r="5427" spans="1:4" x14ac:dyDescent="0.2">
      <c r="A5427" s="19" t="s">
        <v>150</v>
      </c>
      <c r="B5427" s="19">
        <v>1649.95</v>
      </c>
      <c r="C5427" s="19">
        <v>5</v>
      </c>
      <c r="D5427" s="19">
        <v>659.98</v>
      </c>
    </row>
    <row r="5428" spans="1:4" x14ac:dyDescent="0.2">
      <c r="A5428" s="19" t="s">
        <v>150</v>
      </c>
      <c r="B5428" s="19">
        <v>111.89999999999999</v>
      </c>
      <c r="C5428" s="19">
        <v>6</v>
      </c>
      <c r="D5428" s="19">
        <v>51.47399999999999</v>
      </c>
    </row>
    <row r="5429" spans="1:4" x14ac:dyDescent="0.2">
      <c r="A5429" s="19" t="s">
        <v>150</v>
      </c>
      <c r="B5429" s="19">
        <v>599.16499999999996</v>
      </c>
      <c r="C5429" s="19">
        <v>5</v>
      </c>
      <c r="D5429" s="19">
        <v>35.245000000000005</v>
      </c>
    </row>
    <row r="5430" spans="1:4" x14ac:dyDescent="0.2">
      <c r="A5430" s="19" t="s">
        <v>150</v>
      </c>
      <c r="B5430" s="19">
        <v>46.53</v>
      </c>
      <c r="C5430" s="19">
        <v>3</v>
      </c>
      <c r="D5430" s="19">
        <v>12.097800000000001</v>
      </c>
    </row>
    <row r="5431" spans="1:4" x14ac:dyDescent="0.2">
      <c r="A5431" s="19" t="s">
        <v>151</v>
      </c>
      <c r="B5431" s="19">
        <v>31.983999999999998</v>
      </c>
      <c r="C5431" s="19">
        <v>2</v>
      </c>
      <c r="D5431" s="19">
        <v>1.9989999999999979</v>
      </c>
    </row>
    <row r="5432" spans="1:4" x14ac:dyDescent="0.2">
      <c r="A5432" s="19" t="s">
        <v>173</v>
      </c>
      <c r="B5432" s="19">
        <v>161.56800000000001</v>
      </c>
      <c r="C5432" s="19">
        <v>2</v>
      </c>
      <c r="D5432" s="19">
        <v>16.156799999999997</v>
      </c>
    </row>
    <row r="5433" spans="1:4" x14ac:dyDescent="0.2">
      <c r="A5433" s="19" t="s">
        <v>173</v>
      </c>
      <c r="B5433" s="19">
        <v>4.0640000000000001</v>
      </c>
      <c r="C5433" s="19">
        <v>1</v>
      </c>
      <c r="D5433" s="19">
        <v>1.3715999999999999</v>
      </c>
    </row>
    <row r="5434" spans="1:4" x14ac:dyDescent="0.2">
      <c r="A5434" s="19" t="s">
        <v>173</v>
      </c>
      <c r="B5434" s="19">
        <v>6.2160000000000002</v>
      </c>
      <c r="C5434" s="19">
        <v>4</v>
      </c>
      <c r="D5434" s="19">
        <v>-4.9727999999999994</v>
      </c>
    </row>
    <row r="5435" spans="1:4" x14ac:dyDescent="0.2">
      <c r="A5435" s="19" t="s">
        <v>165</v>
      </c>
      <c r="B5435" s="19">
        <v>8.895999999999999</v>
      </c>
      <c r="C5435" s="19">
        <v>4</v>
      </c>
      <c r="D5435" s="19">
        <v>0.66719999999999979</v>
      </c>
    </row>
    <row r="5436" spans="1:4" x14ac:dyDescent="0.2">
      <c r="A5436" s="19" t="s">
        <v>150</v>
      </c>
      <c r="B5436" s="19">
        <v>1640.6999999999998</v>
      </c>
      <c r="C5436" s="19">
        <v>5</v>
      </c>
      <c r="D5436" s="19">
        <v>459.39599999999996</v>
      </c>
    </row>
    <row r="5437" spans="1:4" x14ac:dyDescent="0.2">
      <c r="A5437" s="19" t="s">
        <v>150</v>
      </c>
      <c r="B5437" s="19">
        <v>270</v>
      </c>
      <c r="C5437" s="19">
        <v>3</v>
      </c>
      <c r="D5437" s="19">
        <v>97.199999999999989</v>
      </c>
    </row>
    <row r="5438" spans="1:4" x14ac:dyDescent="0.2">
      <c r="A5438" s="19" t="s">
        <v>151</v>
      </c>
      <c r="B5438" s="19">
        <v>19.52</v>
      </c>
      <c r="C5438" s="19">
        <v>2</v>
      </c>
      <c r="D5438" s="19">
        <v>5.3680000000000012</v>
      </c>
    </row>
    <row r="5439" spans="1:4" x14ac:dyDescent="0.2">
      <c r="A5439" s="19" t="s">
        <v>151</v>
      </c>
      <c r="B5439" s="19">
        <v>9.8100000000000023</v>
      </c>
      <c r="C5439" s="19">
        <v>5</v>
      </c>
      <c r="D5439" s="19">
        <v>-6.8669999999999973</v>
      </c>
    </row>
    <row r="5440" spans="1:4" x14ac:dyDescent="0.2">
      <c r="A5440" s="19" t="s">
        <v>151</v>
      </c>
      <c r="B5440" s="19">
        <v>213.21600000000001</v>
      </c>
      <c r="C5440" s="19">
        <v>3</v>
      </c>
      <c r="D5440" s="19">
        <v>15.991199999999992</v>
      </c>
    </row>
    <row r="5441" spans="1:4" x14ac:dyDescent="0.2">
      <c r="A5441" s="19" t="s">
        <v>164</v>
      </c>
      <c r="B5441" s="19">
        <v>588.78399999999999</v>
      </c>
      <c r="C5441" s="19">
        <v>2</v>
      </c>
      <c r="D5441" s="19">
        <v>183.99499999999998</v>
      </c>
    </row>
    <row r="5442" spans="1:4" x14ac:dyDescent="0.2">
      <c r="A5442" s="19" t="s">
        <v>151</v>
      </c>
      <c r="B5442" s="19">
        <v>2.0640000000000001</v>
      </c>
      <c r="C5442" s="19">
        <v>1</v>
      </c>
      <c r="D5442" s="19">
        <v>0.15480000000000005</v>
      </c>
    </row>
    <row r="5443" spans="1:4" x14ac:dyDescent="0.2">
      <c r="A5443" s="19" t="s">
        <v>165</v>
      </c>
      <c r="B5443" s="19">
        <v>6.3680000000000003</v>
      </c>
      <c r="C5443" s="19">
        <v>2</v>
      </c>
      <c r="D5443" s="19">
        <v>2.3879999999999999</v>
      </c>
    </row>
    <row r="5444" spans="1:4" x14ac:dyDescent="0.2">
      <c r="A5444" s="19" t="s">
        <v>164</v>
      </c>
      <c r="B5444" s="19">
        <v>99.6</v>
      </c>
      <c r="C5444" s="19">
        <v>1</v>
      </c>
      <c r="D5444" s="19">
        <v>36.851999999999997</v>
      </c>
    </row>
    <row r="5445" spans="1:4" x14ac:dyDescent="0.2">
      <c r="A5445" s="19" t="s">
        <v>164</v>
      </c>
      <c r="B5445" s="19">
        <v>62.296000000000006</v>
      </c>
      <c r="C5445" s="19">
        <v>13</v>
      </c>
      <c r="D5445" s="19">
        <v>21.024899999999999</v>
      </c>
    </row>
    <row r="5446" spans="1:4" x14ac:dyDescent="0.2">
      <c r="A5446" s="19" t="s">
        <v>164</v>
      </c>
      <c r="B5446" s="19">
        <v>10.709999999999999</v>
      </c>
      <c r="C5446" s="19">
        <v>3</v>
      </c>
      <c r="D5446" s="19">
        <v>2.7845999999999997</v>
      </c>
    </row>
    <row r="5447" spans="1:4" x14ac:dyDescent="0.2">
      <c r="A5447" s="19" t="s">
        <v>154</v>
      </c>
      <c r="B5447" s="19">
        <v>20.936000000000003</v>
      </c>
      <c r="C5447" s="19">
        <v>1</v>
      </c>
      <c r="D5447" s="19">
        <v>7.0659000000000001</v>
      </c>
    </row>
    <row r="5448" spans="1:4" x14ac:dyDescent="0.2">
      <c r="A5448" s="19" t="s">
        <v>164</v>
      </c>
      <c r="B5448" s="19">
        <v>33</v>
      </c>
      <c r="C5448" s="19">
        <v>6</v>
      </c>
      <c r="D5448" s="19">
        <v>8.25</v>
      </c>
    </row>
    <row r="5449" spans="1:4" x14ac:dyDescent="0.2">
      <c r="A5449" s="19" t="s">
        <v>164</v>
      </c>
      <c r="B5449" s="19">
        <v>249.95000000000002</v>
      </c>
      <c r="C5449" s="19">
        <v>5</v>
      </c>
      <c r="D5449" s="19">
        <v>87.482499999999987</v>
      </c>
    </row>
    <row r="5450" spans="1:4" x14ac:dyDescent="0.2">
      <c r="A5450" s="19" t="s">
        <v>189</v>
      </c>
      <c r="B5450" s="19">
        <v>357.93</v>
      </c>
      <c r="C5450" s="19">
        <v>3</v>
      </c>
      <c r="D5450" s="19">
        <v>7.158600000000007</v>
      </c>
    </row>
    <row r="5451" spans="1:4" x14ac:dyDescent="0.2">
      <c r="A5451" s="19" t="s">
        <v>189</v>
      </c>
      <c r="B5451" s="19">
        <v>57.400000000000006</v>
      </c>
      <c r="C5451" s="19">
        <v>5</v>
      </c>
      <c r="D5451" s="19">
        <v>10.905999999999993</v>
      </c>
    </row>
    <row r="5452" spans="1:4" x14ac:dyDescent="0.2">
      <c r="A5452" s="19" t="s">
        <v>189</v>
      </c>
      <c r="B5452" s="19">
        <v>331.96</v>
      </c>
      <c r="C5452" s="19">
        <v>2</v>
      </c>
      <c r="D5452" s="19">
        <v>149.38199999999998</v>
      </c>
    </row>
    <row r="5453" spans="1:4" x14ac:dyDescent="0.2">
      <c r="A5453" s="19" t="s">
        <v>189</v>
      </c>
      <c r="B5453" s="19">
        <v>40.56</v>
      </c>
      <c r="C5453" s="19">
        <v>2</v>
      </c>
      <c r="D5453" s="19">
        <v>12.979199999999999</v>
      </c>
    </row>
    <row r="5454" spans="1:4" x14ac:dyDescent="0.2">
      <c r="A5454" s="19" t="s">
        <v>181</v>
      </c>
      <c r="B5454" s="19">
        <v>86.199999999999989</v>
      </c>
      <c r="C5454" s="19">
        <v>5</v>
      </c>
      <c r="D5454" s="19">
        <v>24.997999999999987</v>
      </c>
    </row>
    <row r="5455" spans="1:4" x14ac:dyDescent="0.2">
      <c r="A5455" s="19" t="s">
        <v>159</v>
      </c>
      <c r="B5455" s="19">
        <v>38.016000000000005</v>
      </c>
      <c r="C5455" s="19">
        <v>6</v>
      </c>
      <c r="D5455" s="19">
        <v>13.780799999999996</v>
      </c>
    </row>
    <row r="5456" spans="1:4" x14ac:dyDescent="0.2">
      <c r="A5456" s="19" t="s">
        <v>158</v>
      </c>
      <c r="B5456" s="19">
        <v>8.3840000000000003</v>
      </c>
      <c r="C5456" s="19">
        <v>1</v>
      </c>
      <c r="D5456" s="19">
        <v>0.73360000000000003</v>
      </c>
    </row>
    <row r="5457" spans="1:4" x14ac:dyDescent="0.2">
      <c r="A5457" s="19" t="s">
        <v>158</v>
      </c>
      <c r="B5457" s="19">
        <v>6.8480000000000008</v>
      </c>
      <c r="C5457" s="19">
        <v>2</v>
      </c>
      <c r="D5457" s="19">
        <v>0.77039999999999909</v>
      </c>
    </row>
    <row r="5458" spans="1:4" x14ac:dyDescent="0.2">
      <c r="A5458" s="19" t="s">
        <v>153</v>
      </c>
      <c r="B5458" s="19">
        <v>19.600000000000001</v>
      </c>
      <c r="C5458" s="19">
        <v>5</v>
      </c>
      <c r="D5458" s="19">
        <v>9.6039999999999992</v>
      </c>
    </row>
    <row r="5459" spans="1:4" x14ac:dyDescent="0.2">
      <c r="A5459" s="19" t="s">
        <v>153</v>
      </c>
      <c r="B5459" s="19">
        <v>68.459999999999994</v>
      </c>
      <c r="C5459" s="19">
        <v>2</v>
      </c>
      <c r="D5459" s="19">
        <v>20.537999999999997</v>
      </c>
    </row>
    <row r="5460" spans="1:4" x14ac:dyDescent="0.2">
      <c r="A5460" s="19" t="s">
        <v>150</v>
      </c>
      <c r="B5460" s="19">
        <v>13.343999999999998</v>
      </c>
      <c r="C5460" s="19">
        <v>6</v>
      </c>
      <c r="D5460" s="19">
        <v>4.3367999999999993</v>
      </c>
    </row>
    <row r="5461" spans="1:4" x14ac:dyDescent="0.2">
      <c r="A5461" s="19" t="s">
        <v>150</v>
      </c>
      <c r="B5461" s="19">
        <v>1478.2719999999999</v>
      </c>
      <c r="C5461" s="19">
        <v>8</v>
      </c>
      <c r="D5461" s="19">
        <v>92.392000000000053</v>
      </c>
    </row>
    <row r="5462" spans="1:4" x14ac:dyDescent="0.2">
      <c r="A5462" s="19" t="s">
        <v>152</v>
      </c>
      <c r="B5462" s="19">
        <v>16.272000000000002</v>
      </c>
      <c r="C5462" s="19">
        <v>1</v>
      </c>
      <c r="D5462" s="19">
        <v>-3.864600000000002</v>
      </c>
    </row>
    <row r="5463" spans="1:4" x14ac:dyDescent="0.2">
      <c r="A5463" s="19" t="s">
        <v>150</v>
      </c>
      <c r="B5463" s="19">
        <v>9.24</v>
      </c>
      <c r="C5463" s="19">
        <v>3</v>
      </c>
      <c r="D5463" s="19">
        <v>4.4352</v>
      </c>
    </row>
    <row r="5464" spans="1:4" x14ac:dyDescent="0.2">
      <c r="A5464" s="19" t="s">
        <v>165</v>
      </c>
      <c r="B5464" s="19">
        <v>32.340000000000003</v>
      </c>
      <c r="C5464" s="19">
        <v>10</v>
      </c>
      <c r="D5464" s="19">
        <v>-23.716000000000001</v>
      </c>
    </row>
    <row r="5465" spans="1:4" x14ac:dyDescent="0.2">
      <c r="A5465" s="19" t="s">
        <v>165</v>
      </c>
      <c r="B5465" s="19">
        <v>56.064</v>
      </c>
      <c r="C5465" s="19">
        <v>4</v>
      </c>
      <c r="D5465" s="19">
        <v>19.622399999999999</v>
      </c>
    </row>
    <row r="5466" spans="1:4" x14ac:dyDescent="0.2">
      <c r="A5466" s="19" t="s">
        <v>165</v>
      </c>
      <c r="B5466" s="19">
        <v>108.72</v>
      </c>
      <c r="C5466" s="19">
        <v>5</v>
      </c>
      <c r="D5466" s="19">
        <v>36.692999999999998</v>
      </c>
    </row>
    <row r="5467" spans="1:4" x14ac:dyDescent="0.2">
      <c r="A5467" s="19" t="s">
        <v>165</v>
      </c>
      <c r="B5467" s="19">
        <v>181.47000000000003</v>
      </c>
      <c r="C5467" s="19">
        <v>5</v>
      </c>
      <c r="D5467" s="19">
        <v>-320.59699999999998</v>
      </c>
    </row>
    <row r="5468" spans="1:4" x14ac:dyDescent="0.2">
      <c r="A5468" s="19" t="s">
        <v>154</v>
      </c>
      <c r="B5468" s="19">
        <v>16.176000000000002</v>
      </c>
      <c r="C5468" s="19">
        <v>3</v>
      </c>
      <c r="D5468" s="19">
        <v>6.0659999999999989</v>
      </c>
    </row>
    <row r="5469" spans="1:4" x14ac:dyDescent="0.2">
      <c r="A5469" s="19" t="s">
        <v>150</v>
      </c>
      <c r="B5469" s="19">
        <v>122.352</v>
      </c>
      <c r="C5469" s="19">
        <v>3</v>
      </c>
      <c r="D5469" s="19">
        <v>13.764599999999994</v>
      </c>
    </row>
    <row r="5470" spans="1:4" x14ac:dyDescent="0.2">
      <c r="A5470" s="19" t="s">
        <v>150</v>
      </c>
      <c r="B5470" s="19">
        <v>585.55200000000002</v>
      </c>
      <c r="C5470" s="19">
        <v>3</v>
      </c>
      <c r="D5470" s="19">
        <v>73.19399999999996</v>
      </c>
    </row>
    <row r="5471" spans="1:4" x14ac:dyDescent="0.2">
      <c r="A5471" s="19" t="s">
        <v>150</v>
      </c>
      <c r="B5471" s="19">
        <v>19.440000000000001</v>
      </c>
      <c r="C5471" s="19">
        <v>3</v>
      </c>
      <c r="D5471" s="19">
        <v>9.3312000000000008</v>
      </c>
    </row>
    <row r="5472" spans="1:4" x14ac:dyDescent="0.2">
      <c r="A5472" s="19" t="s">
        <v>173</v>
      </c>
      <c r="B5472" s="19">
        <v>123.92000000000002</v>
      </c>
      <c r="C5472" s="19">
        <v>5</v>
      </c>
      <c r="D5472" s="19">
        <v>9.2939999999999969</v>
      </c>
    </row>
    <row r="5473" spans="1:4" x14ac:dyDescent="0.2">
      <c r="A5473" s="19" t="s">
        <v>171</v>
      </c>
      <c r="B5473" s="19">
        <v>13.360000000000001</v>
      </c>
      <c r="C5473" s="19">
        <v>5</v>
      </c>
      <c r="D5473" s="19">
        <v>4.0080000000000009</v>
      </c>
    </row>
    <row r="5474" spans="1:4" x14ac:dyDescent="0.2">
      <c r="A5474" s="19" t="s">
        <v>171</v>
      </c>
      <c r="B5474" s="19">
        <v>78.256</v>
      </c>
      <c r="C5474" s="19">
        <v>2</v>
      </c>
      <c r="D5474" s="19">
        <v>-17.607599999999998</v>
      </c>
    </row>
    <row r="5475" spans="1:4" x14ac:dyDescent="0.2">
      <c r="A5475" s="19" t="s">
        <v>171</v>
      </c>
      <c r="B5475" s="19">
        <v>102.01800000000001</v>
      </c>
      <c r="C5475" s="19">
        <v>7</v>
      </c>
      <c r="D5475" s="19">
        <v>-183.6323999999999</v>
      </c>
    </row>
    <row r="5476" spans="1:4" x14ac:dyDescent="0.2">
      <c r="A5476" s="19" t="s">
        <v>157</v>
      </c>
      <c r="B5476" s="19">
        <v>750.68</v>
      </c>
      <c r="C5476" s="19">
        <v>2</v>
      </c>
      <c r="D5476" s="19">
        <v>37.533999999999992</v>
      </c>
    </row>
    <row r="5477" spans="1:4" x14ac:dyDescent="0.2">
      <c r="A5477" s="19" t="s">
        <v>160</v>
      </c>
      <c r="B5477" s="19">
        <v>44.400000000000006</v>
      </c>
      <c r="C5477" s="19">
        <v>3</v>
      </c>
      <c r="D5477" s="19">
        <v>22.200000000000003</v>
      </c>
    </row>
    <row r="5478" spans="1:4" x14ac:dyDescent="0.2">
      <c r="A5478" s="19" t="s">
        <v>160</v>
      </c>
      <c r="B5478" s="19">
        <v>84.55</v>
      </c>
      <c r="C5478" s="19">
        <v>5</v>
      </c>
      <c r="D5478" s="19">
        <v>22.828499999999998</v>
      </c>
    </row>
    <row r="5479" spans="1:4" x14ac:dyDescent="0.2">
      <c r="A5479" s="19" t="s">
        <v>160</v>
      </c>
      <c r="B5479" s="19">
        <v>17.940000000000001</v>
      </c>
      <c r="C5479" s="19">
        <v>3</v>
      </c>
      <c r="D5479" s="19">
        <v>8.7906000000000013</v>
      </c>
    </row>
    <row r="5480" spans="1:4" x14ac:dyDescent="0.2">
      <c r="A5480" s="19" t="s">
        <v>162</v>
      </c>
      <c r="B5480" s="19">
        <v>128.39999999999998</v>
      </c>
      <c r="C5480" s="19">
        <v>3</v>
      </c>
      <c r="D5480" s="19">
        <v>62.915999999999997</v>
      </c>
    </row>
    <row r="5481" spans="1:4" x14ac:dyDescent="0.2">
      <c r="A5481" s="19" t="s">
        <v>151</v>
      </c>
      <c r="B5481" s="19">
        <v>1.8690000000000004</v>
      </c>
      <c r="C5481" s="19">
        <v>1</v>
      </c>
      <c r="D5481" s="19">
        <v>-1.3082999999999996</v>
      </c>
    </row>
    <row r="5482" spans="1:4" x14ac:dyDescent="0.2">
      <c r="A5482" s="19" t="s">
        <v>150</v>
      </c>
      <c r="B5482" s="19">
        <v>103.19200000000001</v>
      </c>
      <c r="C5482" s="19">
        <v>1</v>
      </c>
      <c r="D5482" s="19">
        <v>11.609099999999998</v>
      </c>
    </row>
    <row r="5483" spans="1:4" x14ac:dyDescent="0.2">
      <c r="A5483" s="19" t="s">
        <v>150</v>
      </c>
      <c r="B5483" s="19">
        <v>36</v>
      </c>
      <c r="C5483" s="19">
        <v>2</v>
      </c>
      <c r="D5483" s="19">
        <v>6.4799999999999969</v>
      </c>
    </row>
    <row r="5484" spans="1:4" x14ac:dyDescent="0.2">
      <c r="A5484" s="19" t="s">
        <v>150</v>
      </c>
      <c r="B5484" s="19">
        <v>239.96</v>
      </c>
      <c r="C5484" s="19">
        <v>4</v>
      </c>
      <c r="D5484" s="19">
        <v>115.1808</v>
      </c>
    </row>
    <row r="5485" spans="1:4" x14ac:dyDescent="0.2">
      <c r="A5485" s="19" t="s">
        <v>150</v>
      </c>
      <c r="B5485" s="19">
        <v>40.68</v>
      </c>
      <c r="C5485" s="19">
        <v>2</v>
      </c>
      <c r="D5485" s="19">
        <v>0.40679999999999694</v>
      </c>
    </row>
    <row r="5486" spans="1:4" x14ac:dyDescent="0.2">
      <c r="A5486" s="19" t="s">
        <v>151</v>
      </c>
      <c r="B5486" s="19">
        <v>419.13599999999997</v>
      </c>
      <c r="C5486" s="19">
        <v>4</v>
      </c>
      <c r="D5486" s="19">
        <v>-68.1096</v>
      </c>
    </row>
    <row r="5487" spans="1:4" x14ac:dyDescent="0.2">
      <c r="A5487" s="19" t="s">
        <v>151</v>
      </c>
      <c r="B5487" s="19">
        <v>23.472000000000001</v>
      </c>
      <c r="C5487" s="19">
        <v>3</v>
      </c>
      <c r="D5487" s="19">
        <v>7.6283999999999974</v>
      </c>
    </row>
    <row r="5488" spans="1:4" x14ac:dyDescent="0.2">
      <c r="A5488" s="19" t="s">
        <v>154</v>
      </c>
      <c r="B5488" s="19">
        <v>3.5919999999999992</v>
      </c>
      <c r="C5488" s="19">
        <v>4</v>
      </c>
      <c r="D5488" s="19">
        <v>-6.2860000000000031</v>
      </c>
    </row>
    <row r="5489" spans="1:4" x14ac:dyDescent="0.2">
      <c r="A5489" s="19" t="s">
        <v>151</v>
      </c>
      <c r="B5489" s="19">
        <v>23.976000000000003</v>
      </c>
      <c r="C5489" s="19">
        <v>3</v>
      </c>
      <c r="D5489" s="19">
        <v>-5.694300000000001</v>
      </c>
    </row>
    <row r="5490" spans="1:4" x14ac:dyDescent="0.2">
      <c r="A5490" s="19" t="s">
        <v>151</v>
      </c>
      <c r="B5490" s="19">
        <v>6.2640000000000002</v>
      </c>
      <c r="C5490" s="19">
        <v>3</v>
      </c>
      <c r="D5490" s="19">
        <v>2.0358000000000001</v>
      </c>
    </row>
    <row r="5491" spans="1:4" x14ac:dyDescent="0.2">
      <c r="A5491" s="19" t="s">
        <v>151</v>
      </c>
      <c r="B5491" s="19">
        <v>20.808</v>
      </c>
      <c r="C5491" s="19">
        <v>3</v>
      </c>
      <c r="D5491" s="19">
        <v>1.8207000000000013</v>
      </c>
    </row>
    <row r="5492" spans="1:4" x14ac:dyDescent="0.2">
      <c r="A5492" s="19" t="s">
        <v>151</v>
      </c>
      <c r="B5492" s="19">
        <v>218.35200000000003</v>
      </c>
      <c r="C5492" s="19">
        <v>3</v>
      </c>
      <c r="D5492" s="19">
        <v>-19.105800000000016</v>
      </c>
    </row>
    <row r="5493" spans="1:4" x14ac:dyDescent="0.2">
      <c r="A5493" s="19" t="s">
        <v>154</v>
      </c>
      <c r="B5493" s="19">
        <v>18.16</v>
      </c>
      <c r="C5493" s="19">
        <v>2</v>
      </c>
      <c r="D5493" s="19">
        <v>1.8160000000000016</v>
      </c>
    </row>
    <row r="5494" spans="1:4" x14ac:dyDescent="0.2">
      <c r="A5494" s="19" t="s">
        <v>150</v>
      </c>
      <c r="B5494" s="19">
        <v>7.36</v>
      </c>
      <c r="C5494" s="19">
        <v>2</v>
      </c>
      <c r="D5494" s="19">
        <v>0.14719999999999978</v>
      </c>
    </row>
    <row r="5495" spans="1:4" x14ac:dyDescent="0.2">
      <c r="A5495" s="19" t="s">
        <v>150</v>
      </c>
      <c r="B5495" s="19">
        <v>41.4</v>
      </c>
      <c r="C5495" s="19">
        <v>4</v>
      </c>
      <c r="D5495" s="19">
        <v>19.872</v>
      </c>
    </row>
    <row r="5496" spans="1:4" x14ac:dyDescent="0.2">
      <c r="A5496" s="19" t="s">
        <v>150</v>
      </c>
      <c r="B5496" s="19">
        <v>411.33199999999999</v>
      </c>
      <c r="C5496" s="19">
        <v>4</v>
      </c>
      <c r="D5496" s="19">
        <v>-4.8391999999999769</v>
      </c>
    </row>
    <row r="5497" spans="1:4" x14ac:dyDescent="0.2">
      <c r="A5497" s="19" t="s">
        <v>158</v>
      </c>
      <c r="B5497" s="19">
        <v>7.6560000000000006</v>
      </c>
      <c r="C5497" s="19">
        <v>4</v>
      </c>
      <c r="D5497" s="19">
        <v>-6.1247999999999987</v>
      </c>
    </row>
    <row r="5498" spans="1:4" x14ac:dyDescent="0.2">
      <c r="A5498" s="19" t="s">
        <v>173</v>
      </c>
      <c r="B5498" s="19">
        <v>63.920000000000009</v>
      </c>
      <c r="C5498" s="19">
        <v>2</v>
      </c>
      <c r="D5498" s="19">
        <v>19.176000000000002</v>
      </c>
    </row>
    <row r="5499" spans="1:4" x14ac:dyDescent="0.2">
      <c r="A5499" s="19" t="s">
        <v>164</v>
      </c>
      <c r="B5499" s="19">
        <v>6.56</v>
      </c>
      <c r="C5499" s="19">
        <v>2</v>
      </c>
      <c r="D5499" s="19">
        <v>1.9023999999999992</v>
      </c>
    </row>
    <row r="5500" spans="1:4" x14ac:dyDescent="0.2">
      <c r="A5500" s="19" t="s">
        <v>164</v>
      </c>
      <c r="B5500" s="19">
        <v>7.83</v>
      </c>
      <c r="C5500" s="19">
        <v>3</v>
      </c>
      <c r="D5500" s="19">
        <v>3.6017999999999999</v>
      </c>
    </row>
    <row r="5501" spans="1:4" x14ac:dyDescent="0.2">
      <c r="A5501" s="19" t="s">
        <v>164</v>
      </c>
      <c r="B5501" s="19">
        <v>41.9</v>
      </c>
      <c r="C5501" s="19">
        <v>2</v>
      </c>
      <c r="D5501" s="19">
        <v>8.7989999999999995</v>
      </c>
    </row>
    <row r="5502" spans="1:4" x14ac:dyDescent="0.2">
      <c r="A5502" s="19" t="s">
        <v>164</v>
      </c>
      <c r="B5502" s="19">
        <v>664.14599999999996</v>
      </c>
      <c r="C5502" s="19">
        <v>6</v>
      </c>
      <c r="D5502" s="19">
        <v>88.552800000000005</v>
      </c>
    </row>
    <row r="5503" spans="1:4" x14ac:dyDescent="0.2">
      <c r="A5503" s="19" t="s">
        <v>164</v>
      </c>
      <c r="B5503" s="19">
        <v>8.9600000000000009</v>
      </c>
      <c r="C5503" s="19">
        <v>2</v>
      </c>
      <c r="D5503" s="19">
        <v>4.3904000000000005</v>
      </c>
    </row>
    <row r="5504" spans="1:4" x14ac:dyDescent="0.2">
      <c r="A5504" s="19" t="s">
        <v>158</v>
      </c>
      <c r="B5504" s="19">
        <v>3.3119999999999998</v>
      </c>
      <c r="C5504" s="19">
        <v>1</v>
      </c>
      <c r="D5504" s="19">
        <v>0.66239999999999977</v>
      </c>
    </row>
    <row r="5505" spans="1:4" x14ac:dyDescent="0.2">
      <c r="A5505" s="19" t="s">
        <v>158</v>
      </c>
      <c r="B5505" s="19">
        <v>20.136000000000003</v>
      </c>
      <c r="C5505" s="19">
        <v>3</v>
      </c>
      <c r="D5505" s="19">
        <v>1.2584999999999997</v>
      </c>
    </row>
    <row r="5506" spans="1:4" x14ac:dyDescent="0.2">
      <c r="A5506" s="19" t="s">
        <v>158</v>
      </c>
      <c r="B5506" s="19">
        <v>8.8559999999999999</v>
      </c>
      <c r="C5506" s="19">
        <v>3</v>
      </c>
      <c r="D5506" s="19">
        <v>2.8781999999999992</v>
      </c>
    </row>
    <row r="5507" spans="1:4" x14ac:dyDescent="0.2">
      <c r="A5507" s="19" t="s">
        <v>158</v>
      </c>
      <c r="B5507" s="19">
        <v>859.19999999999993</v>
      </c>
      <c r="C5507" s="19">
        <v>4</v>
      </c>
      <c r="D5507" s="19">
        <v>-186.15999999999997</v>
      </c>
    </row>
    <row r="5508" spans="1:4" x14ac:dyDescent="0.2">
      <c r="A5508" s="19" t="s">
        <v>150</v>
      </c>
      <c r="B5508" s="19">
        <v>61.96</v>
      </c>
      <c r="C5508" s="19">
        <v>2</v>
      </c>
      <c r="D5508" s="19">
        <v>27.881999999999998</v>
      </c>
    </row>
    <row r="5509" spans="1:4" x14ac:dyDescent="0.2">
      <c r="A5509" s="19" t="s">
        <v>101</v>
      </c>
      <c r="B5509" s="19">
        <v>17.920000000000002</v>
      </c>
      <c r="C5509" s="19">
        <v>4</v>
      </c>
      <c r="D5509" s="19">
        <v>8.6016000000000012</v>
      </c>
    </row>
    <row r="5510" spans="1:4" x14ac:dyDescent="0.2">
      <c r="A5510" s="19" t="s">
        <v>150</v>
      </c>
      <c r="B5510" s="19">
        <v>145.9</v>
      </c>
      <c r="C5510" s="19">
        <v>5</v>
      </c>
      <c r="D5510" s="19">
        <v>62.736999999999995</v>
      </c>
    </row>
    <row r="5511" spans="1:4" x14ac:dyDescent="0.2">
      <c r="A5511" s="19" t="s">
        <v>159</v>
      </c>
      <c r="B5511" s="19">
        <v>56.704000000000001</v>
      </c>
      <c r="C5511" s="19">
        <v>2</v>
      </c>
      <c r="D5511" s="19">
        <v>19.137599999999992</v>
      </c>
    </row>
    <row r="5512" spans="1:4" x14ac:dyDescent="0.2">
      <c r="A5512" s="19" t="s">
        <v>159</v>
      </c>
      <c r="B5512" s="19">
        <v>11.120000000000001</v>
      </c>
      <c r="C5512" s="19">
        <v>2</v>
      </c>
      <c r="D5512" s="19">
        <v>3.4749999999999996</v>
      </c>
    </row>
    <row r="5513" spans="1:4" x14ac:dyDescent="0.2">
      <c r="A5513" s="19" t="s">
        <v>170</v>
      </c>
      <c r="B5513" s="19">
        <v>32.896000000000001</v>
      </c>
      <c r="C5513" s="19">
        <v>4</v>
      </c>
      <c r="D5513" s="19">
        <v>11.102399999999996</v>
      </c>
    </row>
    <row r="5514" spans="1:4" x14ac:dyDescent="0.2">
      <c r="A5514" s="19" t="s">
        <v>170</v>
      </c>
      <c r="B5514" s="19">
        <v>22.776000000000003</v>
      </c>
      <c r="C5514" s="19">
        <v>3</v>
      </c>
      <c r="D5514" s="19">
        <v>7.6868999999999996</v>
      </c>
    </row>
    <row r="5515" spans="1:4" x14ac:dyDescent="0.2">
      <c r="A5515" s="19" t="s">
        <v>164</v>
      </c>
      <c r="B5515" s="19">
        <v>239.96999999999997</v>
      </c>
      <c r="C5515" s="19">
        <v>3</v>
      </c>
      <c r="D5515" s="19">
        <v>2.3996999999999815</v>
      </c>
    </row>
    <row r="5516" spans="1:4" x14ac:dyDescent="0.2">
      <c r="A5516" s="19" t="s">
        <v>164</v>
      </c>
      <c r="B5516" s="19">
        <v>160.32</v>
      </c>
      <c r="C5516" s="19">
        <v>2</v>
      </c>
      <c r="D5516" s="19">
        <v>44.889600000000002</v>
      </c>
    </row>
    <row r="5517" spans="1:4" x14ac:dyDescent="0.2">
      <c r="A5517" s="19" t="s">
        <v>164</v>
      </c>
      <c r="B5517" s="19">
        <v>128.85000000000002</v>
      </c>
      <c r="C5517" s="19">
        <v>3</v>
      </c>
      <c r="D5517" s="19">
        <v>3.8654999999999973</v>
      </c>
    </row>
    <row r="5518" spans="1:4" x14ac:dyDescent="0.2">
      <c r="A5518" s="19" t="s">
        <v>168</v>
      </c>
      <c r="B5518" s="19">
        <v>1319.96</v>
      </c>
      <c r="C5518" s="19">
        <v>4</v>
      </c>
      <c r="D5518" s="19">
        <v>527.98400000000004</v>
      </c>
    </row>
    <row r="5519" spans="1:4" x14ac:dyDescent="0.2">
      <c r="A5519" s="19" t="s">
        <v>158</v>
      </c>
      <c r="B5519" s="19">
        <v>239.95999999999998</v>
      </c>
      <c r="C5519" s="19">
        <v>10</v>
      </c>
      <c r="D5519" s="19">
        <v>-10.283999999999992</v>
      </c>
    </row>
    <row r="5520" spans="1:4" x14ac:dyDescent="0.2">
      <c r="A5520" s="19" t="s">
        <v>158</v>
      </c>
      <c r="B5520" s="19">
        <v>54.768000000000001</v>
      </c>
      <c r="C5520" s="19">
        <v>2</v>
      </c>
      <c r="D5520" s="19">
        <v>6.8459999999999965</v>
      </c>
    </row>
    <row r="5521" spans="1:4" x14ac:dyDescent="0.2">
      <c r="A5521" s="19" t="s">
        <v>158</v>
      </c>
      <c r="B5521" s="19">
        <v>13.392000000000001</v>
      </c>
      <c r="C5521" s="19">
        <v>3</v>
      </c>
      <c r="D5521" s="19">
        <v>3.1806000000000005</v>
      </c>
    </row>
    <row r="5522" spans="1:4" x14ac:dyDescent="0.2">
      <c r="A5522" s="19" t="s">
        <v>158</v>
      </c>
      <c r="B5522" s="19">
        <v>23.92</v>
      </c>
      <c r="C5522" s="19">
        <v>5</v>
      </c>
      <c r="D5522" s="19">
        <v>8.6709999999999994</v>
      </c>
    </row>
    <row r="5523" spans="1:4" x14ac:dyDescent="0.2">
      <c r="A5523" s="19" t="s">
        <v>158</v>
      </c>
      <c r="B5523" s="19">
        <v>255.96799999999999</v>
      </c>
      <c r="C5523" s="19">
        <v>4</v>
      </c>
      <c r="D5523" s="19">
        <v>-28.796399999999984</v>
      </c>
    </row>
    <row r="5524" spans="1:4" x14ac:dyDescent="0.2">
      <c r="A5524" s="19" t="s">
        <v>150</v>
      </c>
      <c r="B5524" s="19">
        <v>21.552000000000003</v>
      </c>
      <c r="C5524" s="19">
        <v>6</v>
      </c>
      <c r="D5524" s="19">
        <v>7.0043999999999977</v>
      </c>
    </row>
    <row r="5525" spans="1:4" x14ac:dyDescent="0.2">
      <c r="A5525" s="19" t="s">
        <v>150</v>
      </c>
      <c r="B5525" s="19">
        <v>58.24</v>
      </c>
      <c r="C5525" s="19">
        <v>4</v>
      </c>
      <c r="D5525" s="19">
        <v>15.724800000000002</v>
      </c>
    </row>
    <row r="5526" spans="1:4" x14ac:dyDescent="0.2">
      <c r="A5526" s="19" t="s">
        <v>150</v>
      </c>
      <c r="B5526" s="19">
        <v>80.28</v>
      </c>
      <c r="C5526" s="19">
        <v>12</v>
      </c>
      <c r="D5526" s="19">
        <v>36.928799999999995</v>
      </c>
    </row>
    <row r="5527" spans="1:4" x14ac:dyDescent="0.2">
      <c r="A5527" s="19" t="s">
        <v>150</v>
      </c>
      <c r="B5527" s="19">
        <v>9.7799999999999994</v>
      </c>
      <c r="C5527" s="19">
        <v>2</v>
      </c>
      <c r="D5527" s="19">
        <v>4.0098000000000003</v>
      </c>
    </row>
    <row r="5528" spans="1:4" x14ac:dyDescent="0.2">
      <c r="A5528" s="19" t="s">
        <v>150</v>
      </c>
      <c r="B5528" s="19">
        <v>1.81</v>
      </c>
      <c r="C5528" s="19">
        <v>1</v>
      </c>
      <c r="D5528" s="19">
        <v>0.65159999999999996</v>
      </c>
    </row>
    <row r="5529" spans="1:4" x14ac:dyDescent="0.2">
      <c r="A5529" s="19" t="s">
        <v>164</v>
      </c>
      <c r="B5529" s="19">
        <v>37.94</v>
      </c>
      <c r="C5529" s="19">
        <v>2</v>
      </c>
      <c r="D5529" s="19">
        <v>18.211199999999998</v>
      </c>
    </row>
    <row r="5530" spans="1:4" x14ac:dyDescent="0.2">
      <c r="A5530" s="19" t="s">
        <v>151</v>
      </c>
      <c r="B5530" s="19">
        <v>79.959999999999994</v>
      </c>
      <c r="C5530" s="19">
        <v>5</v>
      </c>
      <c r="D5530" s="19">
        <v>27.985999999999994</v>
      </c>
    </row>
    <row r="5531" spans="1:4" x14ac:dyDescent="0.2">
      <c r="A5531" s="19" t="s">
        <v>154</v>
      </c>
      <c r="B5531" s="19">
        <v>115.29600000000001</v>
      </c>
      <c r="C5531" s="19">
        <v>3</v>
      </c>
      <c r="D5531" s="19">
        <v>40.353599999999986</v>
      </c>
    </row>
    <row r="5532" spans="1:4" x14ac:dyDescent="0.2">
      <c r="A5532" s="19" t="s">
        <v>157</v>
      </c>
      <c r="B5532" s="19">
        <v>2479.96</v>
      </c>
      <c r="C5532" s="19">
        <v>4</v>
      </c>
      <c r="D5532" s="19">
        <v>743.98799999999983</v>
      </c>
    </row>
    <row r="5533" spans="1:4" x14ac:dyDescent="0.2">
      <c r="A5533" s="19" t="s">
        <v>184</v>
      </c>
      <c r="B5533" s="19">
        <v>179.94</v>
      </c>
      <c r="C5533" s="19">
        <v>6</v>
      </c>
      <c r="D5533" s="19">
        <v>75.57480000000001</v>
      </c>
    </row>
    <row r="5534" spans="1:4" x14ac:dyDescent="0.2">
      <c r="A5534" s="19" t="s">
        <v>184</v>
      </c>
      <c r="B5534" s="19">
        <v>26.849999999999998</v>
      </c>
      <c r="C5534" s="19">
        <v>3</v>
      </c>
      <c r="D5534" s="19">
        <v>5.101499999999997</v>
      </c>
    </row>
    <row r="5535" spans="1:4" x14ac:dyDescent="0.2">
      <c r="A5535" s="19" t="s">
        <v>184</v>
      </c>
      <c r="B5535" s="19">
        <v>323.37</v>
      </c>
      <c r="C5535" s="19">
        <v>3</v>
      </c>
      <c r="D5535" s="19">
        <v>129.34800000000001</v>
      </c>
    </row>
    <row r="5536" spans="1:4" x14ac:dyDescent="0.2">
      <c r="A5536" s="19" t="s">
        <v>184</v>
      </c>
      <c r="B5536" s="19">
        <v>59.94</v>
      </c>
      <c r="C5536" s="19">
        <v>3</v>
      </c>
      <c r="D5536" s="19">
        <v>28.171799999999998</v>
      </c>
    </row>
    <row r="5537" spans="1:4" x14ac:dyDescent="0.2">
      <c r="A5537" s="19" t="s">
        <v>184</v>
      </c>
      <c r="B5537" s="19">
        <v>64.14</v>
      </c>
      <c r="C5537" s="19">
        <v>3</v>
      </c>
      <c r="D5537" s="19">
        <v>30.787199999999999</v>
      </c>
    </row>
    <row r="5538" spans="1:4" x14ac:dyDescent="0.2">
      <c r="A5538" s="19" t="s">
        <v>184</v>
      </c>
      <c r="B5538" s="19">
        <v>11.67</v>
      </c>
      <c r="C5538" s="19">
        <v>3</v>
      </c>
      <c r="D5538" s="19">
        <v>5.6015999999999995</v>
      </c>
    </row>
    <row r="5539" spans="1:4" x14ac:dyDescent="0.2">
      <c r="A5539" s="19" t="s">
        <v>184</v>
      </c>
      <c r="B5539" s="19">
        <v>12.96</v>
      </c>
      <c r="C5539" s="19">
        <v>2</v>
      </c>
      <c r="D5539" s="19">
        <v>6.2208000000000006</v>
      </c>
    </row>
    <row r="5540" spans="1:4" x14ac:dyDescent="0.2">
      <c r="A5540" s="19" t="s">
        <v>157</v>
      </c>
      <c r="B5540" s="19">
        <v>17.43</v>
      </c>
      <c r="C5540" s="19">
        <v>3</v>
      </c>
      <c r="D5540" s="19">
        <v>8.0177999999999994</v>
      </c>
    </row>
    <row r="5541" spans="1:4" x14ac:dyDescent="0.2">
      <c r="A5541" s="19" t="s">
        <v>159</v>
      </c>
      <c r="B5541" s="19">
        <v>181.98599999999999</v>
      </c>
      <c r="C5541" s="19">
        <v>2</v>
      </c>
      <c r="D5541" s="19">
        <v>-54.595799999999997</v>
      </c>
    </row>
    <row r="5542" spans="1:4" x14ac:dyDescent="0.2">
      <c r="A5542" s="19" t="s">
        <v>159</v>
      </c>
      <c r="B5542" s="19">
        <v>1.5919999999999996</v>
      </c>
      <c r="C5542" s="19">
        <v>2</v>
      </c>
      <c r="D5542" s="19">
        <v>-2.6268000000000002</v>
      </c>
    </row>
    <row r="5543" spans="1:4" x14ac:dyDescent="0.2">
      <c r="A5543" s="19" t="s">
        <v>159</v>
      </c>
      <c r="B5543" s="19">
        <v>22.344000000000001</v>
      </c>
      <c r="C5543" s="19">
        <v>3</v>
      </c>
      <c r="D5543" s="19">
        <v>2.5136999999999983</v>
      </c>
    </row>
    <row r="5544" spans="1:4" x14ac:dyDescent="0.2">
      <c r="A5544" s="19" t="s">
        <v>165</v>
      </c>
      <c r="B5544" s="19">
        <v>455.97</v>
      </c>
      <c r="C5544" s="19">
        <v>6</v>
      </c>
      <c r="D5544" s="19">
        <v>-218.86559999999997</v>
      </c>
    </row>
    <row r="5545" spans="1:4" x14ac:dyDescent="0.2">
      <c r="A5545" s="19" t="s">
        <v>165</v>
      </c>
      <c r="B5545" s="19">
        <v>10.440000000000001</v>
      </c>
      <c r="C5545" s="19">
        <v>6</v>
      </c>
      <c r="D5545" s="19">
        <v>-7.6559999999999988</v>
      </c>
    </row>
    <row r="5546" spans="1:4" x14ac:dyDescent="0.2">
      <c r="A5546" s="19" t="s">
        <v>165</v>
      </c>
      <c r="B5546" s="19">
        <v>5.2140000000000004</v>
      </c>
      <c r="C5546" s="19">
        <v>2</v>
      </c>
      <c r="D5546" s="19">
        <v>-4.1711999999999989</v>
      </c>
    </row>
    <row r="5547" spans="1:4" x14ac:dyDescent="0.2">
      <c r="A5547" s="19" t="s">
        <v>186</v>
      </c>
      <c r="B5547" s="19">
        <v>67.400000000000006</v>
      </c>
      <c r="C5547" s="19">
        <v>5</v>
      </c>
      <c r="D5547" s="19">
        <v>17.523999999999997</v>
      </c>
    </row>
    <row r="5548" spans="1:4" x14ac:dyDescent="0.2">
      <c r="A5548" s="19" t="s">
        <v>156</v>
      </c>
      <c r="B5548" s="19">
        <v>25.16</v>
      </c>
      <c r="C5548" s="19">
        <v>2</v>
      </c>
      <c r="D5548" s="19">
        <v>10.567200000000001</v>
      </c>
    </row>
    <row r="5549" spans="1:4" x14ac:dyDescent="0.2">
      <c r="A5549" s="19" t="s">
        <v>156</v>
      </c>
      <c r="B5549" s="19">
        <v>126.56</v>
      </c>
      <c r="C5549" s="19">
        <v>4</v>
      </c>
      <c r="D5549" s="19">
        <v>47.459999999999994</v>
      </c>
    </row>
    <row r="5550" spans="1:4" x14ac:dyDescent="0.2">
      <c r="A5550" s="19" t="s">
        <v>150</v>
      </c>
      <c r="B5550" s="19">
        <v>43.68</v>
      </c>
      <c r="C5550" s="19">
        <v>3</v>
      </c>
      <c r="D5550" s="19">
        <v>11.793600000000001</v>
      </c>
    </row>
    <row r="5551" spans="1:4" x14ac:dyDescent="0.2">
      <c r="A5551" s="19" t="s">
        <v>150</v>
      </c>
      <c r="B5551" s="19">
        <v>139.92999999999998</v>
      </c>
      <c r="C5551" s="19">
        <v>7</v>
      </c>
      <c r="D5551" s="19">
        <v>34.982499999999987</v>
      </c>
    </row>
    <row r="5552" spans="1:4" x14ac:dyDescent="0.2">
      <c r="A5552" s="19" t="s">
        <v>154</v>
      </c>
      <c r="B5552" s="19">
        <v>2.6720000000000002</v>
      </c>
      <c r="C5552" s="19">
        <v>1</v>
      </c>
      <c r="D5552" s="19">
        <v>0.33399999999999974</v>
      </c>
    </row>
    <row r="5553" spans="1:4" x14ac:dyDescent="0.2">
      <c r="A5553" s="19" t="s">
        <v>154</v>
      </c>
      <c r="B5553" s="19">
        <v>16.656000000000002</v>
      </c>
      <c r="C5553" s="19">
        <v>6</v>
      </c>
      <c r="D5553" s="19">
        <v>-3.123000000000002</v>
      </c>
    </row>
    <row r="5554" spans="1:4" x14ac:dyDescent="0.2">
      <c r="A5554" s="19" t="s">
        <v>154</v>
      </c>
      <c r="B5554" s="19">
        <v>79.512000000000015</v>
      </c>
      <c r="C5554" s="19">
        <v>3</v>
      </c>
      <c r="D5554" s="19">
        <v>20.8719</v>
      </c>
    </row>
    <row r="5555" spans="1:4" x14ac:dyDescent="0.2">
      <c r="A5555" s="19" t="s">
        <v>154</v>
      </c>
      <c r="B5555" s="19">
        <v>36.288000000000011</v>
      </c>
      <c r="C5555" s="19">
        <v>7</v>
      </c>
      <c r="D5555" s="19">
        <v>12.700800000000001</v>
      </c>
    </row>
    <row r="5556" spans="1:4" x14ac:dyDescent="0.2">
      <c r="A5556" s="19" t="s">
        <v>154</v>
      </c>
      <c r="B5556" s="19">
        <v>67.993199999999987</v>
      </c>
      <c r="C5556" s="19">
        <v>1</v>
      </c>
      <c r="D5556" s="19">
        <v>-12.998700000000007</v>
      </c>
    </row>
    <row r="5557" spans="1:4" x14ac:dyDescent="0.2">
      <c r="A5557" s="19" t="s">
        <v>168</v>
      </c>
      <c r="B5557" s="19">
        <v>10.16</v>
      </c>
      <c r="C5557" s="19">
        <v>2</v>
      </c>
      <c r="D5557" s="19">
        <v>3.4543999999999997</v>
      </c>
    </row>
    <row r="5558" spans="1:4" x14ac:dyDescent="0.2">
      <c r="A5558" s="19" t="s">
        <v>183</v>
      </c>
      <c r="B5558" s="19">
        <v>6.16</v>
      </c>
      <c r="C5558" s="19">
        <v>2</v>
      </c>
      <c r="D5558" s="19">
        <v>1.9711999999999996</v>
      </c>
    </row>
    <row r="5559" spans="1:4" x14ac:dyDescent="0.2">
      <c r="A5559" s="19" t="s">
        <v>183</v>
      </c>
      <c r="B5559" s="19">
        <v>56.3</v>
      </c>
      <c r="C5559" s="19">
        <v>2</v>
      </c>
      <c r="D5559" s="19">
        <v>15.764000000000003</v>
      </c>
    </row>
    <row r="5560" spans="1:4" x14ac:dyDescent="0.2">
      <c r="A5560" s="19" t="s">
        <v>181</v>
      </c>
      <c r="B5560" s="19">
        <v>6.48</v>
      </c>
      <c r="C5560" s="19">
        <v>1</v>
      </c>
      <c r="D5560" s="19">
        <v>3.1104000000000003</v>
      </c>
    </row>
    <row r="5561" spans="1:4" x14ac:dyDescent="0.2">
      <c r="A5561" s="19" t="s">
        <v>181</v>
      </c>
      <c r="B5561" s="19">
        <v>1325.8500000000001</v>
      </c>
      <c r="C5561" s="19">
        <v>5</v>
      </c>
      <c r="D5561" s="19">
        <v>238.65299999999991</v>
      </c>
    </row>
    <row r="5562" spans="1:4" x14ac:dyDescent="0.2">
      <c r="A5562" s="19" t="s">
        <v>181</v>
      </c>
      <c r="B5562" s="19">
        <v>14.940000000000001</v>
      </c>
      <c r="C5562" s="19">
        <v>3</v>
      </c>
      <c r="D5562" s="19">
        <v>6.8723999999999998</v>
      </c>
    </row>
    <row r="5563" spans="1:4" x14ac:dyDescent="0.2">
      <c r="A5563" s="19" t="s">
        <v>101</v>
      </c>
      <c r="B5563" s="19">
        <v>34.54</v>
      </c>
      <c r="C5563" s="19">
        <v>1</v>
      </c>
      <c r="D5563" s="19">
        <v>17.27</v>
      </c>
    </row>
    <row r="5564" spans="1:4" x14ac:dyDescent="0.2">
      <c r="A5564" s="19" t="s">
        <v>101</v>
      </c>
      <c r="B5564" s="19">
        <v>2999.95</v>
      </c>
      <c r="C5564" s="19">
        <v>5</v>
      </c>
      <c r="D5564" s="19">
        <v>1439.9760000000001</v>
      </c>
    </row>
    <row r="5565" spans="1:4" x14ac:dyDescent="0.2">
      <c r="A5565" s="19" t="s">
        <v>101</v>
      </c>
      <c r="B5565" s="19">
        <v>64.12</v>
      </c>
      <c r="C5565" s="19">
        <v>4</v>
      </c>
      <c r="D5565" s="19">
        <v>30.7776</v>
      </c>
    </row>
    <row r="5566" spans="1:4" x14ac:dyDescent="0.2">
      <c r="A5566" s="19" t="s">
        <v>159</v>
      </c>
      <c r="B5566" s="19">
        <v>19.456000000000003</v>
      </c>
      <c r="C5566" s="19">
        <v>4</v>
      </c>
      <c r="D5566" s="19">
        <v>2.188799999999997</v>
      </c>
    </row>
    <row r="5567" spans="1:4" x14ac:dyDescent="0.2">
      <c r="A5567" s="19" t="s">
        <v>159</v>
      </c>
      <c r="B5567" s="19">
        <v>209.98599999999999</v>
      </c>
      <c r="C5567" s="19">
        <v>2</v>
      </c>
      <c r="D5567" s="19">
        <v>8.9993999999999801</v>
      </c>
    </row>
    <row r="5568" spans="1:4" x14ac:dyDescent="0.2">
      <c r="A5568" s="19" t="s">
        <v>159</v>
      </c>
      <c r="B5568" s="19">
        <v>29.760000000000005</v>
      </c>
      <c r="C5568" s="19">
        <v>5</v>
      </c>
      <c r="D5568" s="19">
        <v>1.8599999999999994</v>
      </c>
    </row>
    <row r="5569" spans="1:4" x14ac:dyDescent="0.2">
      <c r="A5569" s="19" t="s">
        <v>159</v>
      </c>
      <c r="B5569" s="19">
        <v>89.768000000000001</v>
      </c>
      <c r="C5569" s="19">
        <v>1</v>
      </c>
      <c r="D5569" s="19">
        <v>-2.5647999999999982</v>
      </c>
    </row>
    <row r="5570" spans="1:4" x14ac:dyDescent="0.2">
      <c r="A5570" s="19" t="s">
        <v>159</v>
      </c>
      <c r="B5570" s="19">
        <v>959.98400000000004</v>
      </c>
      <c r="C5570" s="19">
        <v>2</v>
      </c>
      <c r="D5570" s="19">
        <v>335.99440000000004</v>
      </c>
    </row>
    <row r="5571" spans="1:4" x14ac:dyDescent="0.2">
      <c r="A5571" s="19" t="s">
        <v>159</v>
      </c>
      <c r="B5571" s="19">
        <v>15.552000000000003</v>
      </c>
      <c r="C5571" s="19">
        <v>3</v>
      </c>
      <c r="D5571" s="19">
        <v>5.6375999999999999</v>
      </c>
    </row>
    <row r="5572" spans="1:4" x14ac:dyDescent="0.2">
      <c r="A5572" s="19" t="s">
        <v>159</v>
      </c>
      <c r="B5572" s="19">
        <v>34.360000000000007</v>
      </c>
      <c r="C5572" s="19">
        <v>1</v>
      </c>
      <c r="D5572" s="19">
        <v>-7.3015000000000025</v>
      </c>
    </row>
    <row r="5573" spans="1:4" x14ac:dyDescent="0.2">
      <c r="A5573" s="19" t="s">
        <v>173</v>
      </c>
      <c r="B5573" s="19">
        <v>98.376000000000005</v>
      </c>
      <c r="C5573" s="19">
        <v>3</v>
      </c>
      <c r="D5573" s="19">
        <v>35.661300000000004</v>
      </c>
    </row>
    <row r="5574" spans="1:4" x14ac:dyDescent="0.2">
      <c r="A5574" s="19" t="s">
        <v>173</v>
      </c>
      <c r="B5574" s="19">
        <v>29.940000000000005</v>
      </c>
      <c r="C5574" s="19">
        <v>4</v>
      </c>
      <c r="D5574" s="19">
        <v>-23.952000000000005</v>
      </c>
    </row>
    <row r="5575" spans="1:4" x14ac:dyDescent="0.2">
      <c r="A5575" s="19" t="s">
        <v>173</v>
      </c>
      <c r="B5575" s="19">
        <v>17.472000000000001</v>
      </c>
      <c r="C5575" s="19">
        <v>3</v>
      </c>
      <c r="D5575" s="19">
        <v>5.6783999999999981</v>
      </c>
    </row>
    <row r="5576" spans="1:4" x14ac:dyDescent="0.2">
      <c r="A5576" s="19" t="s">
        <v>173</v>
      </c>
      <c r="B5576" s="19">
        <v>36.738</v>
      </c>
      <c r="C5576" s="19">
        <v>1</v>
      </c>
      <c r="D5576" s="19">
        <v>-9.1845000000000034</v>
      </c>
    </row>
    <row r="5577" spans="1:4" x14ac:dyDescent="0.2">
      <c r="A5577" s="19" t="s">
        <v>173</v>
      </c>
      <c r="B5577" s="19">
        <v>179.93999999999997</v>
      </c>
      <c r="C5577" s="19">
        <v>2</v>
      </c>
      <c r="D5577" s="19">
        <v>-44.984999999999999</v>
      </c>
    </row>
    <row r="5578" spans="1:4" x14ac:dyDescent="0.2">
      <c r="A5578" s="19" t="s">
        <v>150</v>
      </c>
      <c r="B5578" s="19">
        <v>383.64</v>
      </c>
      <c r="C5578" s="19">
        <v>6</v>
      </c>
      <c r="D5578" s="19">
        <v>122.76479999999999</v>
      </c>
    </row>
    <row r="5579" spans="1:4" x14ac:dyDescent="0.2">
      <c r="A5579" s="19" t="s">
        <v>150</v>
      </c>
      <c r="B5579" s="19">
        <v>56.519999999999996</v>
      </c>
      <c r="C5579" s="19">
        <v>3</v>
      </c>
      <c r="D5579" s="19">
        <v>15.8256</v>
      </c>
    </row>
    <row r="5580" spans="1:4" x14ac:dyDescent="0.2">
      <c r="A5580" s="19" t="s">
        <v>150</v>
      </c>
      <c r="B5580" s="19">
        <v>6.56</v>
      </c>
      <c r="C5580" s="19">
        <v>2</v>
      </c>
      <c r="D5580" s="19">
        <v>1.9023999999999992</v>
      </c>
    </row>
    <row r="5581" spans="1:4" x14ac:dyDescent="0.2">
      <c r="A5581" s="19" t="s">
        <v>150</v>
      </c>
      <c r="B5581" s="19">
        <v>243.92</v>
      </c>
      <c r="C5581" s="19">
        <v>5</v>
      </c>
      <c r="D5581" s="19">
        <v>-15.245000000000005</v>
      </c>
    </row>
    <row r="5582" spans="1:4" x14ac:dyDescent="0.2">
      <c r="A5582" s="19" t="s">
        <v>150</v>
      </c>
      <c r="B5582" s="19">
        <v>47.52</v>
      </c>
      <c r="C5582" s="19">
        <v>9</v>
      </c>
      <c r="D5582" s="19">
        <v>22.809600000000003</v>
      </c>
    </row>
    <row r="5583" spans="1:4" x14ac:dyDescent="0.2">
      <c r="A5583" s="19" t="s">
        <v>187</v>
      </c>
      <c r="B5583" s="19">
        <v>19.98</v>
      </c>
      <c r="C5583" s="19">
        <v>1</v>
      </c>
      <c r="D5583" s="19">
        <v>8.5914000000000019</v>
      </c>
    </row>
    <row r="5584" spans="1:4" x14ac:dyDescent="0.2">
      <c r="A5584" s="19" t="s">
        <v>164</v>
      </c>
      <c r="B5584" s="19">
        <v>8</v>
      </c>
      <c r="C5584" s="19">
        <v>5</v>
      </c>
      <c r="D5584" s="19">
        <v>3.4400000000000008</v>
      </c>
    </row>
    <row r="5585" spans="1:4" x14ac:dyDescent="0.2">
      <c r="A5585" s="19" t="s">
        <v>150</v>
      </c>
      <c r="B5585" s="19">
        <v>6.16</v>
      </c>
      <c r="C5585" s="19">
        <v>2</v>
      </c>
      <c r="D5585" s="19">
        <v>1.9711999999999996</v>
      </c>
    </row>
    <row r="5586" spans="1:4" x14ac:dyDescent="0.2">
      <c r="A5586" s="19" t="s">
        <v>164</v>
      </c>
      <c r="B5586" s="19">
        <v>83.56</v>
      </c>
      <c r="C5586" s="19">
        <v>4</v>
      </c>
      <c r="D5586" s="19">
        <v>1.6711999999999989</v>
      </c>
    </row>
    <row r="5587" spans="1:4" x14ac:dyDescent="0.2">
      <c r="A5587" s="19" t="s">
        <v>164</v>
      </c>
      <c r="B5587" s="19">
        <v>546.06000000000006</v>
      </c>
      <c r="C5587" s="19">
        <v>3</v>
      </c>
      <c r="D5587" s="19">
        <v>163.81799999999998</v>
      </c>
    </row>
    <row r="5588" spans="1:4" x14ac:dyDescent="0.2">
      <c r="A5588" s="19" t="s">
        <v>164</v>
      </c>
      <c r="B5588" s="19">
        <v>269.49</v>
      </c>
      <c r="C5588" s="19">
        <v>3</v>
      </c>
      <c r="D5588" s="19">
        <v>5.3897999999999939</v>
      </c>
    </row>
    <row r="5589" spans="1:4" x14ac:dyDescent="0.2">
      <c r="A5589" s="19" t="s">
        <v>150</v>
      </c>
      <c r="B5589" s="19">
        <v>10.9</v>
      </c>
      <c r="C5589" s="19">
        <v>5</v>
      </c>
      <c r="D5589" s="19">
        <v>3.5970000000000004</v>
      </c>
    </row>
    <row r="5590" spans="1:4" x14ac:dyDescent="0.2">
      <c r="A5590" s="19" t="s">
        <v>185</v>
      </c>
      <c r="B5590" s="19">
        <v>6.0960000000000001</v>
      </c>
      <c r="C5590" s="19">
        <v>2</v>
      </c>
      <c r="D5590" s="19">
        <v>2.2098</v>
      </c>
    </row>
    <row r="5591" spans="1:4" x14ac:dyDescent="0.2">
      <c r="A5591" s="19" t="s">
        <v>150</v>
      </c>
      <c r="B5591" s="19">
        <v>34.049999999999997</v>
      </c>
      <c r="C5591" s="19">
        <v>3</v>
      </c>
      <c r="D5591" s="19">
        <v>9.5340000000000025</v>
      </c>
    </row>
    <row r="5592" spans="1:4" x14ac:dyDescent="0.2">
      <c r="A5592" s="19" t="s">
        <v>150</v>
      </c>
      <c r="B5592" s="19">
        <v>352.38</v>
      </c>
      <c r="C5592" s="19">
        <v>2</v>
      </c>
      <c r="D5592" s="19">
        <v>81.047399999999982</v>
      </c>
    </row>
    <row r="5593" spans="1:4" x14ac:dyDescent="0.2">
      <c r="A5593" s="19" t="s">
        <v>179</v>
      </c>
      <c r="B5593" s="19">
        <v>245.98</v>
      </c>
      <c r="C5593" s="19">
        <v>2</v>
      </c>
      <c r="D5593" s="19">
        <v>27.057799999999986</v>
      </c>
    </row>
    <row r="5594" spans="1:4" x14ac:dyDescent="0.2">
      <c r="A5594" s="19" t="s">
        <v>179</v>
      </c>
      <c r="B5594" s="19">
        <v>18.940000000000001</v>
      </c>
      <c r="C5594" s="19">
        <v>1</v>
      </c>
      <c r="D5594" s="19">
        <v>9.4700000000000006</v>
      </c>
    </row>
    <row r="5595" spans="1:4" x14ac:dyDescent="0.2">
      <c r="A5595" s="19" t="s">
        <v>173</v>
      </c>
      <c r="B5595" s="19">
        <v>59.913000000000011</v>
      </c>
      <c r="C5595" s="19">
        <v>7</v>
      </c>
      <c r="D5595" s="19">
        <v>-45.933299999999988</v>
      </c>
    </row>
    <row r="5596" spans="1:4" x14ac:dyDescent="0.2">
      <c r="A5596" s="19" t="s">
        <v>180</v>
      </c>
      <c r="B5596" s="19">
        <v>391.98</v>
      </c>
      <c r="C5596" s="19">
        <v>2</v>
      </c>
      <c r="D5596" s="19">
        <v>109.75440000000003</v>
      </c>
    </row>
    <row r="5597" spans="1:4" x14ac:dyDescent="0.2">
      <c r="A5597" s="19" t="s">
        <v>180</v>
      </c>
      <c r="B5597" s="19">
        <v>437.84999999999997</v>
      </c>
      <c r="C5597" s="19">
        <v>3</v>
      </c>
      <c r="D5597" s="19">
        <v>131.35499999999996</v>
      </c>
    </row>
    <row r="5598" spans="1:4" x14ac:dyDescent="0.2">
      <c r="A5598" s="19" t="s">
        <v>186</v>
      </c>
      <c r="B5598" s="19">
        <v>68.62</v>
      </c>
      <c r="C5598" s="19">
        <v>2</v>
      </c>
      <c r="D5598" s="19">
        <v>32.251400000000004</v>
      </c>
    </row>
    <row r="5599" spans="1:4" x14ac:dyDescent="0.2">
      <c r="A5599" s="19" t="s">
        <v>187</v>
      </c>
      <c r="B5599" s="19">
        <v>25.02</v>
      </c>
      <c r="C5599" s="19">
        <v>3</v>
      </c>
      <c r="D5599" s="19">
        <v>6.5052000000000003</v>
      </c>
    </row>
    <row r="5600" spans="1:4" x14ac:dyDescent="0.2">
      <c r="A5600" s="19" t="s">
        <v>187</v>
      </c>
      <c r="B5600" s="19">
        <v>10.709999999999999</v>
      </c>
      <c r="C5600" s="19">
        <v>3</v>
      </c>
      <c r="D5600" s="19">
        <v>2.7845999999999997</v>
      </c>
    </row>
    <row r="5601" spans="1:4" x14ac:dyDescent="0.2">
      <c r="A5601" s="19" t="s">
        <v>173</v>
      </c>
      <c r="B5601" s="19">
        <v>55.984000000000009</v>
      </c>
      <c r="C5601" s="19">
        <v>2</v>
      </c>
      <c r="D5601" s="19">
        <v>4.1987999999999985</v>
      </c>
    </row>
    <row r="5602" spans="1:4" x14ac:dyDescent="0.2">
      <c r="A5602" s="19" t="s">
        <v>173</v>
      </c>
      <c r="B5602" s="19">
        <v>14.480000000000002</v>
      </c>
      <c r="C5602" s="19">
        <v>5</v>
      </c>
      <c r="D5602" s="19">
        <v>4.8869999999999987</v>
      </c>
    </row>
    <row r="5603" spans="1:4" x14ac:dyDescent="0.2">
      <c r="A5603" s="19" t="s">
        <v>173</v>
      </c>
      <c r="B5603" s="19">
        <v>142.488</v>
      </c>
      <c r="C5603" s="19">
        <v>3</v>
      </c>
      <c r="D5603" s="19">
        <v>-3.5622000000000043</v>
      </c>
    </row>
    <row r="5604" spans="1:4" x14ac:dyDescent="0.2">
      <c r="A5604" s="19" t="s">
        <v>154</v>
      </c>
      <c r="B5604" s="19">
        <v>14.16</v>
      </c>
      <c r="C5604" s="19">
        <v>1</v>
      </c>
      <c r="D5604" s="19">
        <v>1.0620000000000003</v>
      </c>
    </row>
    <row r="5605" spans="1:4" x14ac:dyDescent="0.2">
      <c r="A5605" s="19" t="s">
        <v>154</v>
      </c>
      <c r="B5605" s="19">
        <v>79.920000000000016</v>
      </c>
      <c r="C5605" s="19">
        <v>5</v>
      </c>
      <c r="D5605" s="19">
        <v>27.972000000000001</v>
      </c>
    </row>
    <row r="5606" spans="1:4" x14ac:dyDescent="0.2">
      <c r="A5606" s="19" t="s">
        <v>164</v>
      </c>
      <c r="B5606" s="19">
        <v>590.35199999999998</v>
      </c>
      <c r="C5606" s="19">
        <v>6</v>
      </c>
      <c r="D5606" s="19">
        <v>206.62319999999997</v>
      </c>
    </row>
    <row r="5607" spans="1:4" x14ac:dyDescent="0.2">
      <c r="A5607" s="19" t="s">
        <v>152</v>
      </c>
      <c r="B5607" s="19">
        <v>17.088000000000001</v>
      </c>
      <c r="C5607" s="19">
        <v>2</v>
      </c>
      <c r="D5607" s="19">
        <v>1.0679999999999996</v>
      </c>
    </row>
    <row r="5608" spans="1:4" x14ac:dyDescent="0.2">
      <c r="A5608" s="19" t="s">
        <v>152</v>
      </c>
      <c r="B5608" s="19">
        <v>98.391999999999996</v>
      </c>
      <c r="C5608" s="19">
        <v>1</v>
      </c>
      <c r="D5608" s="19">
        <v>-11.069100000000006</v>
      </c>
    </row>
    <row r="5609" spans="1:4" x14ac:dyDescent="0.2">
      <c r="A5609" s="19" t="s">
        <v>164</v>
      </c>
      <c r="B5609" s="19">
        <v>11.05</v>
      </c>
      <c r="C5609" s="19">
        <v>5</v>
      </c>
      <c r="D5609" s="19">
        <v>2.9835000000000003</v>
      </c>
    </row>
    <row r="5610" spans="1:4" x14ac:dyDescent="0.2">
      <c r="A5610" s="19" t="s">
        <v>150</v>
      </c>
      <c r="B5610" s="19">
        <v>7.78</v>
      </c>
      <c r="C5610" s="19">
        <v>2</v>
      </c>
      <c r="D5610" s="19">
        <v>2.0228000000000002</v>
      </c>
    </row>
    <row r="5611" spans="1:4" x14ac:dyDescent="0.2">
      <c r="A5611" s="19" t="s">
        <v>177</v>
      </c>
      <c r="B5611" s="19">
        <v>659.9</v>
      </c>
      <c r="C5611" s="19">
        <v>2</v>
      </c>
      <c r="D5611" s="19">
        <v>217.76699999999994</v>
      </c>
    </row>
    <row r="5612" spans="1:4" x14ac:dyDescent="0.2">
      <c r="A5612" s="19" t="s">
        <v>173</v>
      </c>
      <c r="B5612" s="19">
        <v>53.040000000000006</v>
      </c>
      <c r="C5612" s="19">
        <v>3</v>
      </c>
      <c r="D5612" s="19">
        <v>-4.6409999999999982</v>
      </c>
    </row>
    <row r="5613" spans="1:4" x14ac:dyDescent="0.2">
      <c r="A5613" s="19" t="s">
        <v>153</v>
      </c>
      <c r="B5613" s="19">
        <v>843.9</v>
      </c>
      <c r="C5613" s="19">
        <v>2</v>
      </c>
      <c r="D5613" s="19">
        <v>371.31600000000003</v>
      </c>
    </row>
    <row r="5614" spans="1:4" x14ac:dyDescent="0.2">
      <c r="A5614" s="19" t="s">
        <v>153</v>
      </c>
      <c r="B5614" s="19">
        <v>1496.16</v>
      </c>
      <c r="C5614" s="19">
        <v>9</v>
      </c>
      <c r="D5614" s="19">
        <v>224.42400000000006</v>
      </c>
    </row>
    <row r="5615" spans="1:4" x14ac:dyDescent="0.2">
      <c r="A5615" s="19" t="s">
        <v>164</v>
      </c>
      <c r="B5615" s="19">
        <v>117.96</v>
      </c>
      <c r="C5615" s="19">
        <v>2</v>
      </c>
      <c r="D5615" s="19">
        <v>5.8979999999999961</v>
      </c>
    </row>
    <row r="5616" spans="1:4" x14ac:dyDescent="0.2">
      <c r="A5616" s="19" t="s">
        <v>164</v>
      </c>
      <c r="B5616" s="19">
        <v>21.299999999999997</v>
      </c>
      <c r="C5616" s="19">
        <v>5</v>
      </c>
      <c r="D5616" s="19">
        <v>8.7330000000000005</v>
      </c>
    </row>
    <row r="5617" spans="1:4" x14ac:dyDescent="0.2">
      <c r="A5617" s="19" t="s">
        <v>164</v>
      </c>
      <c r="B5617" s="19">
        <v>1040.8</v>
      </c>
      <c r="C5617" s="19">
        <v>5</v>
      </c>
      <c r="D5617" s="19">
        <v>281.01600000000008</v>
      </c>
    </row>
    <row r="5618" spans="1:4" x14ac:dyDescent="0.2">
      <c r="A5618" s="19" t="s">
        <v>164</v>
      </c>
      <c r="B5618" s="19">
        <v>29.339999999999996</v>
      </c>
      <c r="C5618" s="19">
        <v>6</v>
      </c>
      <c r="D5618" s="19">
        <v>7.9218000000000002</v>
      </c>
    </row>
    <row r="5619" spans="1:4" x14ac:dyDescent="0.2">
      <c r="A5619" s="19" t="s">
        <v>167</v>
      </c>
      <c r="B5619" s="19">
        <v>19.52</v>
      </c>
      <c r="C5619" s="19">
        <v>2</v>
      </c>
      <c r="D5619" s="19">
        <v>5.3680000000000012</v>
      </c>
    </row>
    <row r="5620" spans="1:4" x14ac:dyDescent="0.2">
      <c r="A5620" s="19" t="s">
        <v>150</v>
      </c>
      <c r="B5620" s="19">
        <v>443.92</v>
      </c>
      <c r="C5620" s="19">
        <v>4</v>
      </c>
      <c r="D5620" s="19">
        <v>8.8783999999999992</v>
      </c>
    </row>
    <row r="5621" spans="1:4" x14ac:dyDescent="0.2">
      <c r="A5621" s="19" t="s">
        <v>155</v>
      </c>
      <c r="B5621" s="19">
        <v>499.95</v>
      </c>
      <c r="C5621" s="19">
        <v>5</v>
      </c>
      <c r="D5621" s="19">
        <v>174.98249999999999</v>
      </c>
    </row>
    <row r="5622" spans="1:4" x14ac:dyDescent="0.2">
      <c r="A5622" s="19" t="s">
        <v>155</v>
      </c>
      <c r="B5622" s="19">
        <v>3.04</v>
      </c>
      <c r="C5622" s="19">
        <v>1</v>
      </c>
      <c r="D5622" s="19">
        <v>1.0335999999999999</v>
      </c>
    </row>
    <row r="5623" spans="1:4" x14ac:dyDescent="0.2">
      <c r="A5623" s="19" t="s">
        <v>155</v>
      </c>
      <c r="B5623" s="19">
        <v>201.96</v>
      </c>
      <c r="C5623" s="19">
        <v>2</v>
      </c>
      <c r="D5623" s="19">
        <v>50.490000000000009</v>
      </c>
    </row>
    <row r="5624" spans="1:4" x14ac:dyDescent="0.2">
      <c r="A5624" s="19" t="s">
        <v>155</v>
      </c>
      <c r="B5624" s="19">
        <v>68.64</v>
      </c>
      <c r="C5624" s="19">
        <v>11</v>
      </c>
      <c r="D5624" s="19">
        <v>17.160000000000004</v>
      </c>
    </row>
    <row r="5625" spans="1:4" x14ac:dyDescent="0.2">
      <c r="A5625" s="19" t="s">
        <v>150</v>
      </c>
      <c r="B5625" s="19">
        <v>100</v>
      </c>
      <c r="C5625" s="19">
        <v>4</v>
      </c>
      <c r="D5625" s="19">
        <v>21</v>
      </c>
    </row>
    <row r="5626" spans="1:4" x14ac:dyDescent="0.2">
      <c r="A5626" s="19" t="s">
        <v>150</v>
      </c>
      <c r="B5626" s="19">
        <v>359.98</v>
      </c>
      <c r="C5626" s="19">
        <v>2</v>
      </c>
      <c r="D5626" s="19">
        <v>21.598799999999983</v>
      </c>
    </row>
    <row r="5627" spans="1:4" x14ac:dyDescent="0.2">
      <c r="A5627" s="19" t="s">
        <v>153</v>
      </c>
      <c r="B5627" s="19">
        <v>6.16</v>
      </c>
      <c r="C5627" s="19">
        <v>2</v>
      </c>
      <c r="D5627" s="19">
        <v>2.9567999999999999</v>
      </c>
    </row>
    <row r="5628" spans="1:4" x14ac:dyDescent="0.2">
      <c r="A5628" s="19" t="s">
        <v>153</v>
      </c>
      <c r="B5628" s="19">
        <v>2348.8200000000002</v>
      </c>
      <c r="C5628" s="19">
        <v>9</v>
      </c>
      <c r="D5628" s="19">
        <v>399.29939999999976</v>
      </c>
    </row>
    <row r="5629" spans="1:4" x14ac:dyDescent="0.2">
      <c r="A5629" s="19" t="s">
        <v>151</v>
      </c>
      <c r="B5629" s="19">
        <v>13.872000000000002</v>
      </c>
      <c r="C5629" s="19">
        <v>6</v>
      </c>
      <c r="D5629" s="19">
        <v>4.6818000000000008</v>
      </c>
    </row>
    <row r="5630" spans="1:4" x14ac:dyDescent="0.2">
      <c r="A5630" s="19" t="s">
        <v>151</v>
      </c>
      <c r="B5630" s="19">
        <v>273.55200000000002</v>
      </c>
      <c r="C5630" s="19">
        <v>3</v>
      </c>
      <c r="D5630" s="19">
        <v>-13.677599999999998</v>
      </c>
    </row>
    <row r="5631" spans="1:4" x14ac:dyDescent="0.2">
      <c r="A5631" s="19" t="s">
        <v>158</v>
      </c>
      <c r="B5631" s="19">
        <v>815.29199999999992</v>
      </c>
      <c r="C5631" s="19">
        <v>9</v>
      </c>
      <c r="D5631" s="19">
        <v>-339.7050000000001</v>
      </c>
    </row>
    <row r="5632" spans="1:4" x14ac:dyDescent="0.2">
      <c r="A5632" s="19" t="s">
        <v>166</v>
      </c>
      <c r="B5632" s="19">
        <v>234.45000000000002</v>
      </c>
      <c r="C5632" s="19">
        <v>3</v>
      </c>
      <c r="D5632" s="19">
        <v>103.15800000000003</v>
      </c>
    </row>
    <row r="5633" spans="1:4" x14ac:dyDescent="0.2">
      <c r="A5633" s="19" t="s">
        <v>166</v>
      </c>
      <c r="B5633" s="19">
        <v>1256.22</v>
      </c>
      <c r="C5633" s="19">
        <v>6</v>
      </c>
      <c r="D5633" s="19">
        <v>75.37319999999994</v>
      </c>
    </row>
    <row r="5634" spans="1:4" x14ac:dyDescent="0.2">
      <c r="A5634" s="19" t="s">
        <v>166</v>
      </c>
      <c r="B5634" s="19">
        <v>17.46</v>
      </c>
      <c r="C5634" s="19">
        <v>2</v>
      </c>
      <c r="D5634" s="19">
        <v>8.2061999999999991</v>
      </c>
    </row>
    <row r="5635" spans="1:4" x14ac:dyDescent="0.2">
      <c r="A5635" s="19" t="s">
        <v>164</v>
      </c>
      <c r="B5635" s="19">
        <v>10.528</v>
      </c>
      <c r="C5635" s="19">
        <v>7</v>
      </c>
      <c r="D5635" s="19">
        <v>3.6847999999999987</v>
      </c>
    </row>
    <row r="5636" spans="1:4" x14ac:dyDescent="0.2">
      <c r="A5636" s="19" t="s">
        <v>161</v>
      </c>
      <c r="B5636" s="19">
        <v>152.79999999999998</v>
      </c>
      <c r="C5636" s="19">
        <v>5</v>
      </c>
      <c r="D5636" s="19">
        <v>76.399999999999991</v>
      </c>
    </row>
    <row r="5637" spans="1:4" x14ac:dyDescent="0.2">
      <c r="A5637" s="19" t="s">
        <v>150</v>
      </c>
      <c r="B5637" s="19">
        <v>82.56</v>
      </c>
      <c r="C5637" s="19">
        <v>5</v>
      </c>
      <c r="D5637" s="19">
        <v>28.896000000000001</v>
      </c>
    </row>
    <row r="5638" spans="1:4" x14ac:dyDescent="0.2">
      <c r="A5638" s="19" t="s">
        <v>150</v>
      </c>
      <c r="B5638" s="19">
        <v>284.96999999999997</v>
      </c>
      <c r="C5638" s="19">
        <v>3</v>
      </c>
      <c r="D5638" s="19">
        <v>85.490999999999957</v>
      </c>
    </row>
    <row r="5639" spans="1:4" x14ac:dyDescent="0.2">
      <c r="A5639" s="19" t="s">
        <v>161</v>
      </c>
      <c r="B5639" s="19">
        <v>60.84</v>
      </c>
      <c r="C5639" s="19">
        <v>3</v>
      </c>
      <c r="D5639" s="19">
        <v>23.119199999999999</v>
      </c>
    </row>
    <row r="5640" spans="1:4" x14ac:dyDescent="0.2">
      <c r="A5640" s="19" t="s">
        <v>150</v>
      </c>
      <c r="B5640" s="19">
        <v>1325.76</v>
      </c>
      <c r="C5640" s="19">
        <v>6</v>
      </c>
      <c r="D5640" s="19">
        <v>149.14799999999991</v>
      </c>
    </row>
    <row r="5641" spans="1:4" x14ac:dyDescent="0.2">
      <c r="A5641" s="19" t="s">
        <v>150</v>
      </c>
      <c r="B5641" s="19">
        <v>572.16000000000008</v>
      </c>
      <c r="C5641" s="19">
        <v>3</v>
      </c>
      <c r="D5641" s="19">
        <v>35.759999999999962</v>
      </c>
    </row>
    <row r="5642" spans="1:4" x14ac:dyDescent="0.2">
      <c r="A5642" s="19" t="s">
        <v>173</v>
      </c>
      <c r="B5642" s="19">
        <v>28.8</v>
      </c>
      <c r="C5642" s="19">
        <v>9</v>
      </c>
      <c r="D5642" s="19">
        <v>10.080000000000002</v>
      </c>
    </row>
    <row r="5643" spans="1:4" x14ac:dyDescent="0.2">
      <c r="A5643" s="19" t="s">
        <v>178</v>
      </c>
      <c r="B5643" s="19">
        <v>11.12</v>
      </c>
      <c r="C5643" s="19">
        <v>4</v>
      </c>
      <c r="D5643" s="19">
        <v>2.8911999999999995</v>
      </c>
    </row>
    <row r="5644" spans="1:4" x14ac:dyDescent="0.2">
      <c r="A5644" s="19" t="s">
        <v>101</v>
      </c>
      <c r="B5644" s="19">
        <v>7.04</v>
      </c>
      <c r="C5644" s="19">
        <v>4</v>
      </c>
      <c r="D5644" s="19">
        <v>3.0976000000000004</v>
      </c>
    </row>
    <row r="5645" spans="1:4" x14ac:dyDescent="0.2">
      <c r="A5645" s="19" t="s">
        <v>101</v>
      </c>
      <c r="B5645" s="19">
        <v>17.940000000000001</v>
      </c>
      <c r="C5645" s="19">
        <v>3</v>
      </c>
      <c r="D5645" s="19">
        <v>8.7906000000000013</v>
      </c>
    </row>
    <row r="5646" spans="1:4" x14ac:dyDescent="0.2">
      <c r="A5646" s="19" t="s">
        <v>153</v>
      </c>
      <c r="B5646" s="19">
        <v>34.76</v>
      </c>
      <c r="C5646" s="19">
        <v>5</v>
      </c>
      <c r="D5646" s="19">
        <v>11.296999999999999</v>
      </c>
    </row>
    <row r="5647" spans="1:4" x14ac:dyDescent="0.2">
      <c r="A5647" s="19" t="s">
        <v>179</v>
      </c>
      <c r="B5647" s="19">
        <v>74.45</v>
      </c>
      <c r="C5647" s="19">
        <v>5</v>
      </c>
      <c r="D5647" s="19">
        <v>20.101500000000001</v>
      </c>
    </row>
    <row r="5648" spans="1:4" x14ac:dyDescent="0.2">
      <c r="A5648" s="19" t="s">
        <v>166</v>
      </c>
      <c r="B5648" s="19">
        <v>192.22</v>
      </c>
      <c r="C5648" s="19">
        <v>14</v>
      </c>
      <c r="D5648" s="19">
        <v>69.199200000000005</v>
      </c>
    </row>
    <row r="5649" spans="1:4" x14ac:dyDescent="0.2">
      <c r="A5649" s="19" t="s">
        <v>156</v>
      </c>
      <c r="B5649" s="19">
        <v>19.440000000000001</v>
      </c>
      <c r="C5649" s="19">
        <v>3</v>
      </c>
      <c r="D5649" s="19">
        <v>9.3312000000000008</v>
      </c>
    </row>
    <row r="5650" spans="1:4" x14ac:dyDescent="0.2">
      <c r="A5650" s="19" t="s">
        <v>150</v>
      </c>
      <c r="B5650" s="19">
        <v>32.400000000000006</v>
      </c>
      <c r="C5650" s="19">
        <v>5</v>
      </c>
      <c r="D5650" s="19">
        <v>15.552000000000001</v>
      </c>
    </row>
    <row r="5651" spans="1:4" x14ac:dyDescent="0.2">
      <c r="A5651" s="19" t="s">
        <v>150</v>
      </c>
      <c r="B5651" s="19">
        <v>57.9</v>
      </c>
      <c r="C5651" s="19">
        <v>5</v>
      </c>
      <c r="D5651" s="19">
        <v>28.95</v>
      </c>
    </row>
    <row r="5652" spans="1:4" x14ac:dyDescent="0.2">
      <c r="A5652" s="19" t="s">
        <v>150</v>
      </c>
      <c r="B5652" s="19">
        <v>10.56</v>
      </c>
      <c r="C5652" s="19">
        <v>2</v>
      </c>
      <c r="D5652" s="19">
        <v>0</v>
      </c>
    </row>
    <row r="5653" spans="1:4" x14ac:dyDescent="0.2">
      <c r="A5653" s="19" t="s">
        <v>150</v>
      </c>
      <c r="B5653" s="19">
        <v>1194.165</v>
      </c>
      <c r="C5653" s="19">
        <v>5</v>
      </c>
      <c r="D5653" s="19">
        <v>210.73499999999993</v>
      </c>
    </row>
    <row r="5654" spans="1:4" x14ac:dyDescent="0.2">
      <c r="A5654" s="19" t="s">
        <v>164</v>
      </c>
      <c r="B5654" s="19">
        <v>40.99</v>
      </c>
      <c r="C5654" s="19">
        <v>1</v>
      </c>
      <c r="D5654" s="19">
        <v>20.085100000000001</v>
      </c>
    </row>
    <row r="5655" spans="1:4" x14ac:dyDescent="0.2">
      <c r="A5655" s="19" t="s">
        <v>150</v>
      </c>
      <c r="B5655" s="19">
        <v>2.94</v>
      </c>
      <c r="C5655" s="19">
        <v>1</v>
      </c>
      <c r="D5655" s="19">
        <v>0.79380000000000006</v>
      </c>
    </row>
    <row r="5656" spans="1:4" x14ac:dyDescent="0.2">
      <c r="A5656" s="19" t="s">
        <v>170</v>
      </c>
      <c r="B5656" s="19">
        <v>45.240000000000009</v>
      </c>
      <c r="C5656" s="19">
        <v>4</v>
      </c>
      <c r="D5656" s="19">
        <v>-30.159999999999997</v>
      </c>
    </row>
    <row r="5657" spans="1:4" x14ac:dyDescent="0.2">
      <c r="A5657" s="19" t="s">
        <v>170</v>
      </c>
      <c r="B5657" s="19">
        <v>18.687999999999999</v>
      </c>
      <c r="C5657" s="19">
        <v>4</v>
      </c>
      <c r="D5657" s="19">
        <v>2.3359999999999994</v>
      </c>
    </row>
    <row r="5658" spans="1:4" x14ac:dyDescent="0.2">
      <c r="A5658" s="19" t="s">
        <v>170</v>
      </c>
      <c r="B5658" s="19">
        <v>11.648000000000001</v>
      </c>
      <c r="C5658" s="19">
        <v>2</v>
      </c>
      <c r="D5658" s="19">
        <v>3.7855999999999992</v>
      </c>
    </row>
    <row r="5659" spans="1:4" x14ac:dyDescent="0.2">
      <c r="A5659" s="19" t="s">
        <v>170</v>
      </c>
      <c r="B5659" s="19">
        <v>112.77600000000001</v>
      </c>
      <c r="C5659" s="19">
        <v>3</v>
      </c>
      <c r="D5659" s="19">
        <v>-8.4581999999999979</v>
      </c>
    </row>
    <row r="5660" spans="1:4" x14ac:dyDescent="0.2">
      <c r="A5660" s="19" t="s">
        <v>170</v>
      </c>
      <c r="B5660" s="19">
        <v>377.45</v>
      </c>
      <c r="C5660" s="19">
        <v>5</v>
      </c>
      <c r="D5660" s="19">
        <v>-264.21500000000003</v>
      </c>
    </row>
    <row r="5661" spans="1:4" x14ac:dyDescent="0.2">
      <c r="A5661" s="19" t="s">
        <v>170</v>
      </c>
      <c r="B5661" s="19">
        <v>15.936000000000002</v>
      </c>
      <c r="C5661" s="19">
        <v>4</v>
      </c>
      <c r="D5661" s="19">
        <v>5.1791999999999998</v>
      </c>
    </row>
    <row r="5662" spans="1:4" x14ac:dyDescent="0.2">
      <c r="A5662" s="19" t="s">
        <v>170</v>
      </c>
      <c r="B5662" s="19">
        <v>28.68</v>
      </c>
      <c r="C5662" s="19">
        <v>3</v>
      </c>
      <c r="D5662" s="19">
        <v>-7.17</v>
      </c>
    </row>
    <row r="5663" spans="1:4" x14ac:dyDescent="0.2">
      <c r="A5663" s="19" t="s">
        <v>171</v>
      </c>
      <c r="B5663" s="19">
        <v>21.44</v>
      </c>
      <c r="C5663" s="19">
        <v>2</v>
      </c>
      <c r="D5663" s="19">
        <v>7.5039999999999987</v>
      </c>
    </row>
    <row r="5664" spans="1:4" x14ac:dyDescent="0.2">
      <c r="A5664" s="19" t="s">
        <v>171</v>
      </c>
      <c r="B5664" s="19">
        <v>511.05600000000004</v>
      </c>
      <c r="C5664" s="19">
        <v>9</v>
      </c>
      <c r="D5664" s="19">
        <v>-95.823000000000079</v>
      </c>
    </row>
    <row r="5665" spans="1:4" x14ac:dyDescent="0.2">
      <c r="A5665" s="19" t="s">
        <v>173</v>
      </c>
      <c r="B5665" s="19">
        <v>18.656000000000002</v>
      </c>
      <c r="C5665" s="19">
        <v>2</v>
      </c>
      <c r="D5665" s="19">
        <v>1.3992000000000013</v>
      </c>
    </row>
    <row r="5666" spans="1:4" x14ac:dyDescent="0.2">
      <c r="A5666" s="19" t="s">
        <v>173</v>
      </c>
      <c r="B5666" s="19">
        <v>11.088000000000003</v>
      </c>
      <c r="C5666" s="19">
        <v>7</v>
      </c>
      <c r="D5666" s="19">
        <v>-8.1311999999999998</v>
      </c>
    </row>
    <row r="5667" spans="1:4" x14ac:dyDescent="0.2">
      <c r="A5667" s="19" t="s">
        <v>173</v>
      </c>
      <c r="B5667" s="19">
        <v>66.688000000000002</v>
      </c>
      <c r="C5667" s="19">
        <v>1</v>
      </c>
      <c r="D5667" s="19">
        <v>4.1680000000000028</v>
      </c>
    </row>
    <row r="5668" spans="1:4" x14ac:dyDescent="0.2">
      <c r="A5668" s="19" t="s">
        <v>173</v>
      </c>
      <c r="B5668" s="19">
        <v>99.488</v>
      </c>
      <c r="C5668" s="19">
        <v>2</v>
      </c>
      <c r="D5668" s="19">
        <v>8.7052000000000049</v>
      </c>
    </row>
    <row r="5669" spans="1:4" x14ac:dyDescent="0.2">
      <c r="A5669" s="19" t="s">
        <v>153</v>
      </c>
      <c r="B5669" s="19">
        <v>14.62</v>
      </c>
      <c r="C5669" s="19">
        <v>2</v>
      </c>
      <c r="D5669" s="19">
        <v>6.8713999999999995</v>
      </c>
    </row>
    <row r="5670" spans="1:4" x14ac:dyDescent="0.2">
      <c r="A5670" s="19" t="s">
        <v>153</v>
      </c>
      <c r="B5670" s="19">
        <v>53.984000000000002</v>
      </c>
      <c r="C5670" s="19">
        <v>14</v>
      </c>
      <c r="D5670" s="19">
        <v>17.544800000000002</v>
      </c>
    </row>
    <row r="5671" spans="1:4" x14ac:dyDescent="0.2">
      <c r="A5671" s="19" t="s">
        <v>153</v>
      </c>
      <c r="B5671" s="19">
        <v>389.97</v>
      </c>
      <c r="C5671" s="19">
        <v>3</v>
      </c>
      <c r="D5671" s="19">
        <v>132.58980000000003</v>
      </c>
    </row>
    <row r="5672" spans="1:4" x14ac:dyDescent="0.2">
      <c r="A5672" s="19" t="s">
        <v>193</v>
      </c>
      <c r="B5672" s="19">
        <v>355.36</v>
      </c>
      <c r="C5672" s="19">
        <v>4</v>
      </c>
      <c r="D5672" s="19">
        <v>92.393599999999992</v>
      </c>
    </row>
    <row r="5673" spans="1:4" x14ac:dyDescent="0.2">
      <c r="A5673" s="19" t="s">
        <v>193</v>
      </c>
      <c r="B5673" s="19">
        <v>140.376</v>
      </c>
      <c r="C5673" s="19">
        <v>3</v>
      </c>
      <c r="D5673" s="19">
        <v>8.7735000000000056</v>
      </c>
    </row>
    <row r="5674" spans="1:4" x14ac:dyDescent="0.2">
      <c r="A5674" s="19" t="s">
        <v>154</v>
      </c>
      <c r="B5674" s="19">
        <v>15.840000000000002</v>
      </c>
      <c r="C5674" s="19">
        <v>2</v>
      </c>
      <c r="D5674" s="19">
        <v>5.5439999999999987</v>
      </c>
    </row>
    <row r="5675" spans="1:4" x14ac:dyDescent="0.2">
      <c r="A5675" s="19" t="s">
        <v>154</v>
      </c>
      <c r="B5675" s="19">
        <v>8.4480000000000004</v>
      </c>
      <c r="C5675" s="19">
        <v>2</v>
      </c>
      <c r="D5675" s="19">
        <v>2.6399999999999997</v>
      </c>
    </row>
    <row r="5676" spans="1:4" x14ac:dyDescent="0.2">
      <c r="A5676" s="19" t="s">
        <v>153</v>
      </c>
      <c r="B5676" s="19">
        <v>12.96</v>
      </c>
      <c r="C5676" s="19">
        <v>2</v>
      </c>
      <c r="D5676" s="19">
        <v>6.2208000000000006</v>
      </c>
    </row>
    <row r="5677" spans="1:4" x14ac:dyDescent="0.2">
      <c r="A5677" s="19" t="s">
        <v>153</v>
      </c>
      <c r="B5677" s="19">
        <v>57.408000000000008</v>
      </c>
      <c r="C5677" s="19">
        <v>6</v>
      </c>
      <c r="D5677" s="19">
        <v>5.7408000000000019</v>
      </c>
    </row>
    <row r="5678" spans="1:4" x14ac:dyDescent="0.2">
      <c r="A5678" s="19" t="s">
        <v>153</v>
      </c>
      <c r="B5678" s="19">
        <v>27.6</v>
      </c>
      <c r="C5678" s="19">
        <v>4</v>
      </c>
      <c r="D5678" s="19">
        <v>2.2079999999999984</v>
      </c>
    </row>
    <row r="5679" spans="1:4" x14ac:dyDescent="0.2">
      <c r="A5679" s="19" t="s">
        <v>159</v>
      </c>
      <c r="B5679" s="19">
        <v>38.975999999999999</v>
      </c>
      <c r="C5679" s="19">
        <v>3</v>
      </c>
      <c r="D5679" s="19">
        <v>-50.66879999999999</v>
      </c>
    </row>
    <row r="5680" spans="1:4" x14ac:dyDescent="0.2">
      <c r="A5680" s="19" t="s">
        <v>161</v>
      </c>
      <c r="B5680" s="19">
        <v>20.439999999999998</v>
      </c>
      <c r="C5680" s="19">
        <v>7</v>
      </c>
      <c r="D5680" s="19">
        <v>9.1979999999999986</v>
      </c>
    </row>
    <row r="5681" spans="1:4" x14ac:dyDescent="0.2">
      <c r="A5681" s="19" t="s">
        <v>161</v>
      </c>
      <c r="B5681" s="19">
        <v>109.92</v>
      </c>
      <c r="C5681" s="19">
        <v>2</v>
      </c>
      <c r="D5681" s="19">
        <v>53.860799999999998</v>
      </c>
    </row>
    <row r="5682" spans="1:4" x14ac:dyDescent="0.2">
      <c r="A5682" s="19" t="s">
        <v>175</v>
      </c>
      <c r="B5682" s="19">
        <v>6.38</v>
      </c>
      <c r="C5682" s="19">
        <v>1</v>
      </c>
      <c r="D5682" s="19">
        <v>2.9347999999999996</v>
      </c>
    </row>
    <row r="5683" spans="1:4" x14ac:dyDescent="0.2">
      <c r="A5683" s="19" t="s">
        <v>175</v>
      </c>
      <c r="B5683" s="19">
        <v>6.48</v>
      </c>
      <c r="C5683" s="19">
        <v>1</v>
      </c>
      <c r="D5683" s="19">
        <v>3.1104000000000003</v>
      </c>
    </row>
    <row r="5684" spans="1:4" x14ac:dyDescent="0.2">
      <c r="A5684" s="19" t="s">
        <v>101</v>
      </c>
      <c r="B5684" s="19">
        <v>15.84</v>
      </c>
      <c r="C5684" s="19">
        <v>3</v>
      </c>
      <c r="D5684" s="19">
        <v>7.1280000000000001</v>
      </c>
    </row>
    <row r="5685" spans="1:4" x14ac:dyDescent="0.2">
      <c r="A5685" s="19" t="s">
        <v>101</v>
      </c>
      <c r="B5685" s="19">
        <v>1049.93</v>
      </c>
      <c r="C5685" s="19">
        <v>7</v>
      </c>
      <c r="D5685" s="19">
        <v>293.98040000000003</v>
      </c>
    </row>
    <row r="5686" spans="1:4" x14ac:dyDescent="0.2">
      <c r="A5686" s="19" t="s">
        <v>101</v>
      </c>
      <c r="B5686" s="19">
        <v>154.9</v>
      </c>
      <c r="C5686" s="19">
        <v>5</v>
      </c>
      <c r="D5686" s="19">
        <v>40.274000000000001</v>
      </c>
    </row>
    <row r="5687" spans="1:4" x14ac:dyDescent="0.2">
      <c r="A5687" s="19" t="s">
        <v>153</v>
      </c>
      <c r="B5687" s="19">
        <v>98.352000000000004</v>
      </c>
      <c r="C5687" s="19">
        <v>3</v>
      </c>
      <c r="D5687" s="19">
        <v>35.652599999999993</v>
      </c>
    </row>
    <row r="5688" spans="1:4" x14ac:dyDescent="0.2">
      <c r="A5688" s="19" t="s">
        <v>151</v>
      </c>
      <c r="B5688" s="19">
        <v>14.320000000000002</v>
      </c>
      <c r="C5688" s="19">
        <v>5</v>
      </c>
      <c r="D5688" s="19">
        <v>5.1910000000000007</v>
      </c>
    </row>
    <row r="5689" spans="1:4" x14ac:dyDescent="0.2">
      <c r="A5689" s="19" t="s">
        <v>151</v>
      </c>
      <c r="B5689" s="19">
        <v>129.88800000000001</v>
      </c>
      <c r="C5689" s="19">
        <v>6</v>
      </c>
      <c r="D5689" s="19">
        <v>12.988799999999991</v>
      </c>
    </row>
    <row r="5690" spans="1:4" x14ac:dyDescent="0.2">
      <c r="A5690" s="19" t="s">
        <v>151</v>
      </c>
      <c r="B5690" s="19">
        <v>48.944000000000003</v>
      </c>
      <c r="C5690" s="19">
        <v>7</v>
      </c>
      <c r="D5690" s="19">
        <v>16.518599999999999</v>
      </c>
    </row>
    <row r="5691" spans="1:4" x14ac:dyDescent="0.2">
      <c r="A5691" s="19" t="s">
        <v>154</v>
      </c>
      <c r="B5691" s="19">
        <v>275.05799999999999</v>
      </c>
      <c r="C5691" s="19">
        <v>3</v>
      </c>
      <c r="D5691" s="19">
        <v>-90.376199999999997</v>
      </c>
    </row>
    <row r="5692" spans="1:4" x14ac:dyDescent="0.2">
      <c r="A5692" s="19" t="s">
        <v>187</v>
      </c>
      <c r="B5692" s="19">
        <v>27.36</v>
      </c>
      <c r="C5692" s="19">
        <v>9</v>
      </c>
      <c r="D5692" s="19">
        <v>9.3023999999999987</v>
      </c>
    </row>
    <row r="5693" spans="1:4" x14ac:dyDescent="0.2">
      <c r="A5693" s="19" t="s">
        <v>187</v>
      </c>
      <c r="B5693" s="19">
        <v>44.75</v>
      </c>
      <c r="C5693" s="19">
        <v>5</v>
      </c>
      <c r="D5693" s="19">
        <v>20.584999999999994</v>
      </c>
    </row>
    <row r="5694" spans="1:4" x14ac:dyDescent="0.2">
      <c r="A5694" s="19" t="s">
        <v>187</v>
      </c>
      <c r="B5694" s="19">
        <v>134.99</v>
      </c>
      <c r="C5694" s="19">
        <v>1</v>
      </c>
      <c r="D5694" s="19">
        <v>36.447299999999998</v>
      </c>
    </row>
    <row r="5695" spans="1:4" x14ac:dyDescent="0.2">
      <c r="A5695" s="19" t="s">
        <v>187</v>
      </c>
      <c r="B5695" s="19">
        <v>26.400000000000002</v>
      </c>
      <c r="C5695" s="19">
        <v>5</v>
      </c>
      <c r="D5695" s="19">
        <v>12.672000000000001</v>
      </c>
    </row>
    <row r="5696" spans="1:4" x14ac:dyDescent="0.2">
      <c r="A5696" s="19" t="s">
        <v>187</v>
      </c>
      <c r="B5696" s="19">
        <v>542.93999999999994</v>
      </c>
      <c r="C5696" s="19">
        <v>3</v>
      </c>
      <c r="D5696" s="19">
        <v>141.1644</v>
      </c>
    </row>
    <row r="5697" spans="1:4" x14ac:dyDescent="0.2">
      <c r="A5697" s="19" t="s">
        <v>150</v>
      </c>
      <c r="B5697" s="19">
        <v>71.088000000000008</v>
      </c>
      <c r="C5697" s="19">
        <v>2</v>
      </c>
      <c r="D5697" s="19">
        <v>-1.7772000000000041</v>
      </c>
    </row>
    <row r="5698" spans="1:4" x14ac:dyDescent="0.2">
      <c r="A5698" s="19" t="s">
        <v>159</v>
      </c>
      <c r="B5698" s="19">
        <v>27.395999999999997</v>
      </c>
      <c r="C5698" s="19">
        <v>9</v>
      </c>
      <c r="D5698" s="19">
        <v>-42.46380000000002</v>
      </c>
    </row>
    <row r="5699" spans="1:4" x14ac:dyDescent="0.2">
      <c r="A5699" s="19" t="s">
        <v>159</v>
      </c>
      <c r="B5699" s="19">
        <v>13.455999999999998</v>
      </c>
      <c r="C5699" s="19">
        <v>1</v>
      </c>
      <c r="D5699" s="19">
        <v>-23.548000000000009</v>
      </c>
    </row>
    <row r="5700" spans="1:4" x14ac:dyDescent="0.2">
      <c r="A5700" s="19" t="s">
        <v>154</v>
      </c>
      <c r="B5700" s="19">
        <v>11.840000000000002</v>
      </c>
      <c r="C5700" s="19">
        <v>1</v>
      </c>
      <c r="D5700" s="19">
        <v>4.4399999999999995</v>
      </c>
    </row>
    <row r="5701" spans="1:4" x14ac:dyDescent="0.2">
      <c r="A5701" s="19" t="s">
        <v>150</v>
      </c>
      <c r="B5701" s="19">
        <v>35.880000000000003</v>
      </c>
      <c r="C5701" s="19">
        <v>6</v>
      </c>
      <c r="D5701" s="19">
        <v>17.581200000000003</v>
      </c>
    </row>
    <row r="5702" spans="1:4" x14ac:dyDescent="0.2">
      <c r="A5702" s="19" t="s">
        <v>173</v>
      </c>
      <c r="B5702" s="19">
        <v>40.752000000000002</v>
      </c>
      <c r="C5702" s="19">
        <v>3</v>
      </c>
      <c r="D5702" s="19">
        <v>15.281999999999998</v>
      </c>
    </row>
    <row r="5703" spans="1:4" x14ac:dyDescent="0.2">
      <c r="A5703" s="19" t="s">
        <v>173</v>
      </c>
      <c r="B5703" s="19">
        <v>139.96000000000004</v>
      </c>
      <c r="C5703" s="19">
        <v>5</v>
      </c>
      <c r="D5703" s="19">
        <v>-22.743500000000004</v>
      </c>
    </row>
    <row r="5704" spans="1:4" x14ac:dyDescent="0.2">
      <c r="A5704" s="19" t="s">
        <v>173</v>
      </c>
      <c r="B5704" s="19">
        <v>2.6240000000000001</v>
      </c>
      <c r="C5704" s="19">
        <v>1</v>
      </c>
      <c r="D5704" s="19">
        <v>0.29519999999999957</v>
      </c>
    </row>
    <row r="5705" spans="1:4" x14ac:dyDescent="0.2">
      <c r="A5705" s="19" t="s">
        <v>173</v>
      </c>
      <c r="B5705" s="19">
        <v>136.53</v>
      </c>
      <c r="C5705" s="19">
        <v>1</v>
      </c>
      <c r="D5705" s="19">
        <v>-52.336500000000029</v>
      </c>
    </row>
    <row r="5706" spans="1:4" x14ac:dyDescent="0.2">
      <c r="A5706" s="19" t="s">
        <v>173</v>
      </c>
      <c r="B5706" s="19">
        <v>263.95999999999998</v>
      </c>
      <c r="C5706" s="19">
        <v>1</v>
      </c>
      <c r="D5706" s="19">
        <v>42.893499999999975</v>
      </c>
    </row>
    <row r="5707" spans="1:4" x14ac:dyDescent="0.2">
      <c r="A5707" s="19" t="s">
        <v>178</v>
      </c>
      <c r="B5707" s="19">
        <v>11.64</v>
      </c>
      <c r="C5707" s="19">
        <v>3</v>
      </c>
      <c r="D5707" s="19">
        <v>3.3755999999999986</v>
      </c>
    </row>
    <row r="5708" spans="1:4" x14ac:dyDescent="0.2">
      <c r="A5708" s="19" t="s">
        <v>164</v>
      </c>
      <c r="B5708" s="19">
        <v>40.176000000000002</v>
      </c>
      <c r="C5708" s="19">
        <v>3</v>
      </c>
      <c r="D5708" s="19">
        <v>14.563799999999997</v>
      </c>
    </row>
    <row r="5709" spans="1:4" x14ac:dyDescent="0.2">
      <c r="A5709" s="19" t="s">
        <v>164</v>
      </c>
      <c r="B5709" s="19">
        <v>79.44</v>
      </c>
      <c r="C5709" s="19">
        <v>3</v>
      </c>
      <c r="D5709" s="19">
        <v>30.187200000000001</v>
      </c>
    </row>
    <row r="5710" spans="1:4" x14ac:dyDescent="0.2">
      <c r="A5710" s="19" t="s">
        <v>164</v>
      </c>
      <c r="B5710" s="19">
        <v>357.93</v>
      </c>
      <c r="C5710" s="19">
        <v>3</v>
      </c>
      <c r="D5710" s="19">
        <v>7.158600000000007</v>
      </c>
    </row>
    <row r="5711" spans="1:4" x14ac:dyDescent="0.2">
      <c r="A5711" s="19" t="s">
        <v>164</v>
      </c>
      <c r="B5711" s="19">
        <v>127.76400000000001</v>
      </c>
      <c r="C5711" s="19">
        <v>2</v>
      </c>
      <c r="D5711" s="19">
        <v>21.294000000000008</v>
      </c>
    </row>
    <row r="5712" spans="1:4" x14ac:dyDescent="0.2">
      <c r="A5712" s="19" t="s">
        <v>164</v>
      </c>
      <c r="B5712" s="19">
        <v>2799.944</v>
      </c>
      <c r="C5712" s="19">
        <v>7</v>
      </c>
      <c r="D5712" s="19">
        <v>1014.9797</v>
      </c>
    </row>
    <row r="5713" spans="1:4" x14ac:dyDescent="0.2">
      <c r="A5713" s="19" t="s">
        <v>164</v>
      </c>
      <c r="B5713" s="19">
        <v>19.440000000000001</v>
      </c>
      <c r="C5713" s="19">
        <v>3</v>
      </c>
      <c r="D5713" s="19">
        <v>9.3312000000000008</v>
      </c>
    </row>
    <row r="5714" spans="1:4" x14ac:dyDescent="0.2">
      <c r="A5714" s="19" t="s">
        <v>159</v>
      </c>
      <c r="B5714" s="19">
        <v>36.792000000000002</v>
      </c>
      <c r="C5714" s="19">
        <v>1</v>
      </c>
      <c r="D5714" s="19">
        <v>4.1390999999999991</v>
      </c>
    </row>
    <row r="5715" spans="1:4" x14ac:dyDescent="0.2">
      <c r="A5715" s="19" t="s">
        <v>164</v>
      </c>
      <c r="B5715" s="19">
        <v>5.9399999999999995</v>
      </c>
      <c r="C5715" s="19">
        <v>3</v>
      </c>
      <c r="D5715" s="19">
        <v>1.6037999999999999</v>
      </c>
    </row>
    <row r="5716" spans="1:4" x14ac:dyDescent="0.2">
      <c r="A5716" s="19" t="s">
        <v>166</v>
      </c>
      <c r="B5716" s="19">
        <v>177.54999999999998</v>
      </c>
      <c r="C5716" s="19">
        <v>5</v>
      </c>
      <c r="D5716" s="19">
        <v>47.938500000000005</v>
      </c>
    </row>
    <row r="5717" spans="1:4" x14ac:dyDescent="0.2">
      <c r="A5717" s="19" t="s">
        <v>161</v>
      </c>
      <c r="B5717" s="19">
        <v>619.94999999999993</v>
      </c>
      <c r="C5717" s="19">
        <v>5</v>
      </c>
      <c r="D5717" s="19">
        <v>111.59099999999995</v>
      </c>
    </row>
    <row r="5718" spans="1:4" x14ac:dyDescent="0.2">
      <c r="A5718" s="19" t="s">
        <v>161</v>
      </c>
      <c r="B5718" s="19">
        <v>29.160000000000004</v>
      </c>
      <c r="C5718" s="19">
        <v>3</v>
      </c>
      <c r="D5718" s="19">
        <v>8.4563999999999986</v>
      </c>
    </row>
    <row r="5719" spans="1:4" x14ac:dyDescent="0.2">
      <c r="A5719" s="19" t="s">
        <v>161</v>
      </c>
      <c r="B5719" s="19">
        <v>57.959999999999994</v>
      </c>
      <c r="C5719" s="19">
        <v>7</v>
      </c>
      <c r="D5719" s="19">
        <v>27.241199999999996</v>
      </c>
    </row>
    <row r="5720" spans="1:4" x14ac:dyDescent="0.2">
      <c r="A5720" s="19" t="s">
        <v>161</v>
      </c>
      <c r="B5720" s="19">
        <v>29.402999999999999</v>
      </c>
      <c r="C5720" s="19">
        <v>3</v>
      </c>
      <c r="D5720" s="19">
        <v>5.2272000000000007</v>
      </c>
    </row>
    <row r="5721" spans="1:4" x14ac:dyDescent="0.2">
      <c r="A5721" s="19" t="s">
        <v>163</v>
      </c>
      <c r="B5721" s="19">
        <v>81.400000000000006</v>
      </c>
      <c r="C5721" s="19">
        <v>5</v>
      </c>
      <c r="D5721" s="19">
        <v>21.164000000000005</v>
      </c>
    </row>
    <row r="5722" spans="1:4" x14ac:dyDescent="0.2">
      <c r="A5722" s="19" t="s">
        <v>170</v>
      </c>
      <c r="B5722" s="19">
        <v>8.7200000000000006</v>
      </c>
      <c r="C5722" s="19">
        <v>5</v>
      </c>
      <c r="D5722" s="19">
        <v>2.289000000000001</v>
      </c>
    </row>
    <row r="5723" spans="1:4" x14ac:dyDescent="0.2">
      <c r="A5723" s="19" t="s">
        <v>170</v>
      </c>
      <c r="B5723" s="19">
        <v>91.176000000000016</v>
      </c>
      <c r="C5723" s="19">
        <v>3</v>
      </c>
      <c r="D5723" s="19">
        <v>4.5587999999999944</v>
      </c>
    </row>
    <row r="5724" spans="1:4" x14ac:dyDescent="0.2">
      <c r="A5724" s="19" t="s">
        <v>170</v>
      </c>
      <c r="B5724" s="19">
        <v>159.96800000000002</v>
      </c>
      <c r="C5724" s="19">
        <v>4</v>
      </c>
      <c r="D5724" s="19">
        <v>29.993999999999986</v>
      </c>
    </row>
    <row r="5725" spans="1:4" x14ac:dyDescent="0.2">
      <c r="A5725" s="19" t="s">
        <v>150</v>
      </c>
      <c r="B5725" s="19">
        <v>12.96</v>
      </c>
      <c r="C5725" s="19">
        <v>2</v>
      </c>
      <c r="D5725" s="19">
        <v>6.2208000000000006</v>
      </c>
    </row>
    <row r="5726" spans="1:4" x14ac:dyDescent="0.2">
      <c r="A5726" s="19" t="s">
        <v>159</v>
      </c>
      <c r="B5726" s="19">
        <v>331.536</v>
      </c>
      <c r="C5726" s="19">
        <v>3</v>
      </c>
      <c r="D5726" s="19">
        <v>-82.884</v>
      </c>
    </row>
    <row r="5727" spans="1:4" x14ac:dyDescent="0.2">
      <c r="A5727" s="19" t="s">
        <v>164</v>
      </c>
      <c r="B5727" s="19">
        <v>899.91</v>
      </c>
      <c r="C5727" s="19">
        <v>9</v>
      </c>
      <c r="D5727" s="19">
        <v>395.96040000000005</v>
      </c>
    </row>
    <row r="5728" spans="1:4" x14ac:dyDescent="0.2">
      <c r="A5728" s="19" t="s">
        <v>154</v>
      </c>
      <c r="B5728" s="19">
        <v>946.34400000000005</v>
      </c>
      <c r="C5728" s="19">
        <v>7</v>
      </c>
      <c r="D5728" s="19">
        <v>118.29299999999989</v>
      </c>
    </row>
    <row r="5729" spans="1:4" x14ac:dyDescent="0.2">
      <c r="A5729" s="19" t="s">
        <v>155</v>
      </c>
      <c r="B5729" s="19">
        <v>178.10999999999999</v>
      </c>
      <c r="C5729" s="19">
        <v>3</v>
      </c>
      <c r="D5729" s="19">
        <v>32.059799999999996</v>
      </c>
    </row>
    <row r="5730" spans="1:4" x14ac:dyDescent="0.2">
      <c r="A5730" s="19" t="s">
        <v>155</v>
      </c>
      <c r="B5730" s="19">
        <v>1089.75</v>
      </c>
      <c r="C5730" s="19">
        <v>3</v>
      </c>
      <c r="D5730" s="19">
        <v>305.13000000000011</v>
      </c>
    </row>
    <row r="5731" spans="1:4" x14ac:dyDescent="0.2">
      <c r="A5731" s="19" t="s">
        <v>155</v>
      </c>
      <c r="B5731" s="19">
        <v>61.06</v>
      </c>
      <c r="C5731" s="19">
        <v>2</v>
      </c>
      <c r="D5731" s="19">
        <v>28.087600000000002</v>
      </c>
    </row>
    <row r="5732" spans="1:4" x14ac:dyDescent="0.2">
      <c r="A5732" s="19" t="s">
        <v>155</v>
      </c>
      <c r="B5732" s="19">
        <v>459.92</v>
      </c>
      <c r="C5732" s="19">
        <v>4</v>
      </c>
      <c r="D5732" s="19">
        <v>41.392799999999966</v>
      </c>
    </row>
    <row r="5733" spans="1:4" x14ac:dyDescent="0.2">
      <c r="A5733" s="19" t="s">
        <v>155</v>
      </c>
      <c r="B5733" s="19">
        <v>27.52</v>
      </c>
      <c r="C5733" s="19">
        <v>4</v>
      </c>
      <c r="D5733" s="19">
        <v>12.659199999999998</v>
      </c>
    </row>
    <row r="5734" spans="1:4" x14ac:dyDescent="0.2">
      <c r="A5734" s="19" t="s">
        <v>178</v>
      </c>
      <c r="B5734" s="19">
        <v>638.82000000000005</v>
      </c>
      <c r="C5734" s="19">
        <v>9</v>
      </c>
      <c r="D5734" s="19">
        <v>185.25779999999997</v>
      </c>
    </row>
    <row r="5735" spans="1:4" x14ac:dyDescent="0.2">
      <c r="A5735" s="19" t="s">
        <v>178</v>
      </c>
      <c r="B5735" s="19">
        <v>30.69</v>
      </c>
      <c r="C5735" s="19">
        <v>3</v>
      </c>
      <c r="D5735" s="19">
        <v>7.9794000000000018</v>
      </c>
    </row>
    <row r="5736" spans="1:4" x14ac:dyDescent="0.2">
      <c r="A5736" s="19" t="s">
        <v>178</v>
      </c>
      <c r="B5736" s="19">
        <v>25.16</v>
      </c>
      <c r="C5736" s="19">
        <v>2</v>
      </c>
      <c r="D5736" s="19">
        <v>8.5543999999999976</v>
      </c>
    </row>
    <row r="5737" spans="1:4" x14ac:dyDescent="0.2">
      <c r="A5737" s="19" t="s">
        <v>164</v>
      </c>
      <c r="B5737" s="19">
        <v>13.919999999999998</v>
      </c>
      <c r="C5737" s="19">
        <v>3</v>
      </c>
      <c r="D5737" s="19">
        <v>4.8720000000000008</v>
      </c>
    </row>
    <row r="5738" spans="1:4" x14ac:dyDescent="0.2">
      <c r="A5738" s="19" t="s">
        <v>150</v>
      </c>
      <c r="B5738" s="19">
        <v>19.36</v>
      </c>
      <c r="C5738" s="19">
        <v>2</v>
      </c>
      <c r="D5738" s="19">
        <v>9.2927999999999997</v>
      </c>
    </row>
    <row r="5739" spans="1:4" x14ac:dyDescent="0.2">
      <c r="A5739" s="19" t="s">
        <v>150</v>
      </c>
      <c r="B5739" s="19">
        <v>19.3</v>
      </c>
      <c r="C5739" s="19">
        <v>2</v>
      </c>
      <c r="D5739" s="19">
        <v>5.7899999999999991</v>
      </c>
    </row>
    <row r="5740" spans="1:4" x14ac:dyDescent="0.2">
      <c r="A5740" s="19" t="s">
        <v>150</v>
      </c>
      <c r="B5740" s="19">
        <v>38.376000000000005</v>
      </c>
      <c r="C5740" s="19">
        <v>3</v>
      </c>
      <c r="D5740" s="19">
        <v>13.4316</v>
      </c>
    </row>
    <row r="5741" spans="1:4" x14ac:dyDescent="0.2">
      <c r="A5741" s="19" t="s">
        <v>150</v>
      </c>
      <c r="B5741" s="19">
        <v>12.96</v>
      </c>
      <c r="C5741" s="19">
        <v>2</v>
      </c>
      <c r="D5741" s="19">
        <v>6.3504000000000005</v>
      </c>
    </row>
    <row r="5742" spans="1:4" x14ac:dyDescent="0.2">
      <c r="A5742" s="19" t="s">
        <v>150</v>
      </c>
      <c r="B5742" s="19">
        <v>26.48</v>
      </c>
      <c r="C5742" s="19">
        <v>1</v>
      </c>
      <c r="D5742" s="19">
        <v>10.0624</v>
      </c>
    </row>
    <row r="5743" spans="1:4" x14ac:dyDescent="0.2">
      <c r="A5743" s="19" t="s">
        <v>150</v>
      </c>
      <c r="B5743" s="19">
        <v>532.72</v>
      </c>
      <c r="C5743" s="19">
        <v>2</v>
      </c>
      <c r="D5743" s="19">
        <v>53.271999999999991</v>
      </c>
    </row>
    <row r="5744" spans="1:4" x14ac:dyDescent="0.2">
      <c r="A5744" s="19" t="s">
        <v>150</v>
      </c>
      <c r="B5744" s="19">
        <v>26.72</v>
      </c>
      <c r="C5744" s="19">
        <v>4</v>
      </c>
      <c r="D5744" s="19">
        <v>12.8256</v>
      </c>
    </row>
    <row r="5745" spans="1:4" x14ac:dyDescent="0.2">
      <c r="A5745" s="19" t="s">
        <v>150</v>
      </c>
      <c r="B5745" s="19">
        <v>20.04</v>
      </c>
      <c r="C5745" s="19">
        <v>3</v>
      </c>
      <c r="D5745" s="19">
        <v>9.6191999999999993</v>
      </c>
    </row>
    <row r="5746" spans="1:4" x14ac:dyDescent="0.2">
      <c r="A5746" s="19" t="s">
        <v>150</v>
      </c>
      <c r="B5746" s="19">
        <v>795.48</v>
      </c>
      <c r="C5746" s="19">
        <v>7</v>
      </c>
      <c r="D5746" s="19">
        <v>7.9547999999999632</v>
      </c>
    </row>
    <row r="5747" spans="1:4" x14ac:dyDescent="0.2">
      <c r="A5747" s="19" t="s">
        <v>150</v>
      </c>
      <c r="B5747" s="19">
        <v>21.560000000000002</v>
      </c>
      <c r="C5747" s="19">
        <v>7</v>
      </c>
      <c r="D5747" s="19">
        <v>6.8991999999999987</v>
      </c>
    </row>
    <row r="5748" spans="1:4" x14ac:dyDescent="0.2">
      <c r="A5748" s="19" t="s">
        <v>152</v>
      </c>
      <c r="B5748" s="19">
        <v>249.58400000000003</v>
      </c>
      <c r="C5748" s="19">
        <v>2</v>
      </c>
      <c r="D5748" s="19">
        <v>31.197999999999986</v>
      </c>
    </row>
    <row r="5749" spans="1:4" x14ac:dyDescent="0.2">
      <c r="A5749" s="19" t="s">
        <v>152</v>
      </c>
      <c r="B5749" s="19">
        <v>68.111999999999995</v>
      </c>
      <c r="C5749" s="19">
        <v>3</v>
      </c>
      <c r="D5749" s="19">
        <v>17.879399999999997</v>
      </c>
    </row>
    <row r="5750" spans="1:4" x14ac:dyDescent="0.2">
      <c r="A5750" s="19" t="s">
        <v>152</v>
      </c>
      <c r="B5750" s="19">
        <v>16.560000000000002</v>
      </c>
      <c r="C5750" s="19">
        <v>3</v>
      </c>
      <c r="D5750" s="19">
        <v>-2.4840000000000018</v>
      </c>
    </row>
    <row r="5751" spans="1:4" x14ac:dyDescent="0.2">
      <c r="A5751" s="19" t="s">
        <v>164</v>
      </c>
      <c r="B5751" s="19">
        <v>74.95</v>
      </c>
      <c r="C5751" s="19">
        <v>5</v>
      </c>
      <c r="D5751" s="19">
        <v>36.725500000000004</v>
      </c>
    </row>
    <row r="5752" spans="1:4" x14ac:dyDescent="0.2">
      <c r="A5752" s="19" t="s">
        <v>159</v>
      </c>
      <c r="B5752" s="19">
        <v>355.45499999999998</v>
      </c>
      <c r="C5752" s="19">
        <v>3</v>
      </c>
      <c r="D5752" s="19">
        <v>-184.83660000000003</v>
      </c>
    </row>
    <row r="5753" spans="1:4" x14ac:dyDescent="0.2">
      <c r="A5753" s="19" t="s">
        <v>150</v>
      </c>
      <c r="B5753" s="19">
        <v>44.400000000000006</v>
      </c>
      <c r="C5753" s="19">
        <v>3</v>
      </c>
      <c r="D5753" s="19">
        <v>22.200000000000003</v>
      </c>
    </row>
    <row r="5754" spans="1:4" x14ac:dyDescent="0.2">
      <c r="A5754" s="19" t="s">
        <v>150</v>
      </c>
      <c r="B5754" s="19">
        <v>20.65</v>
      </c>
      <c r="C5754" s="19">
        <v>5</v>
      </c>
      <c r="D5754" s="19">
        <v>9.4989999999999988</v>
      </c>
    </row>
    <row r="5755" spans="1:4" x14ac:dyDescent="0.2">
      <c r="A5755" s="19" t="s">
        <v>149</v>
      </c>
      <c r="B5755" s="19">
        <v>866.4</v>
      </c>
      <c r="C5755" s="19">
        <v>4</v>
      </c>
      <c r="D5755" s="19">
        <v>225.26400000000001</v>
      </c>
    </row>
    <row r="5756" spans="1:4" x14ac:dyDescent="0.2">
      <c r="A5756" s="19" t="s">
        <v>166</v>
      </c>
      <c r="B5756" s="19">
        <v>5.56</v>
      </c>
      <c r="C5756" s="19">
        <v>2</v>
      </c>
      <c r="D5756" s="19">
        <v>1.4455999999999998</v>
      </c>
    </row>
    <row r="5757" spans="1:4" x14ac:dyDescent="0.2">
      <c r="A5757" s="19" t="s">
        <v>154</v>
      </c>
      <c r="B5757" s="19">
        <v>3.1599999999999993</v>
      </c>
      <c r="C5757" s="19">
        <v>4</v>
      </c>
      <c r="D5757" s="19">
        <v>-8.532</v>
      </c>
    </row>
    <row r="5758" spans="1:4" x14ac:dyDescent="0.2">
      <c r="A5758" s="19" t="s">
        <v>154</v>
      </c>
      <c r="B5758" s="19">
        <v>1999.96</v>
      </c>
      <c r="C5758" s="19">
        <v>5</v>
      </c>
      <c r="D5758" s="19">
        <v>624.98749999999995</v>
      </c>
    </row>
    <row r="5759" spans="1:4" x14ac:dyDescent="0.2">
      <c r="A5759" s="19" t="s">
        <v>152</v>
      </c>
      <c r="B5759" s="19">
        <v>46.152000000000001</v>
      </c>
      <c r="C5759" s="19">
        <v>3</v>
      </c>
      <c r="D5759" s="19">
        <v>12.114900000000002</v>
      </c>
    </row>
    <row r="5760" spans="1:4" x14ac:dyDescent="0.2">
      <c r="A5760" s="19" t="s">
        <v>151</v>
      </c>
      <c r="B5760" s="19">
        <v>32.984999999999999</v>
      </c>
      <c r="C5760" s="19">
        <v>3</v>
      </c>
      <c r="D5760" s="19">
        <v>-1.9791000000000025</v>
      </c>
    </row>
    <row r="5761" spans="1:4" x14ac:dyDescent="0.2">
      <c r="A5761" s="19" t="s">
        <v>150</v>
      </c>
      <c r="B5761" s="19">
        <v>481.32</v>
      </c>
      <c r="C5761" s="19">
        <v>4</v>
      </c>
      <c r="D5761" s="19">
        <v>125.14319999999998</v>
      </c>
    </row>
    <row r="5762" spans="1:4" x14ac:dyDescent="0.2">
      <c r="A5762" s="19" t="s">
        <v>150</v>
      </c>
      <c r="B5762" s="19">
        <v>6.3840000000000003</v>
      </c>
      <c r="C5762" s="19">
        <v>1</v>
      </c>
      <c r="D5762" s="19">
        <v>2.1546000000000003</v>
      </c>
    </row>
    <row r="5763" spans="1:4" x14ac:dyDescent="0.2">
      <c r="A5763" s="19" t="s">
        <v>150</v>
      </c>
      <c r="B5763" s="19">
        <v>542.93999999999994</v>
      </c>
      <c r="C5763" s="19">
        <v>3</v>
      </c>
      <c r="D5763" s="19">
        <v>152.02319999999997</v>
      </c>
    </row>
    <row r="5764" spans="1:4" x14ac:dyDescent="0.2">
      <c r="A5764" s="19" t="s">
        <v>150</v>
      </c>
      <c r="B5764" s="19">
        <v>54.92</v>
      </c>
      <c r="C5764" s="19">
        <v>4</v>
      </c>
      <c r="D5764" s="19">
        <v>19.7712</v>
      </c>
    </row>
    <row r="5765" spans="1:4" x14ac:dyDescent="0.2">
      <c r="A5765" s="19" t="s">
        <v>164</v>
      </c>
      <c r="B5765" s="19">
        <v>1448.8200000000002</v>
      </c>
      <c r="C5765" s="19">
        <v>10</v>
      </c>
      <c r="D5765" s="19">
        <v>209.27399999999992</v>
      </c>
    </row>
    <row r="5766" spans="1:4" x14ac:dyDescent="0.2">
      <c r="A5766" s="19" t="s">
        <v>153</v>
      </c>
      <c r="B5766" s="19">
        <v>353.88</v>
      </c>
      <c r="C5766" s="19">
        <v>6</v>
      </c>
      <c r="D5766" s="19">
        <v>17.693999999999988</v>
      </c>
    </row>
    <row r="5767" spans="1:4" x14ac:dyDescent="0.2">
      <c r="A5767" s="19" t="s">
        <v>150</v>
      </c>
      <c r="B5767" s="19">
        <v>333.57600000000002</v>
      </c>
      <c r="C5767" s="19">
        <v>3</v>
      </c>
      <c r="D5767" s="19">
        <v>25.018199999999993</v>
      </c>
    </row>
    <row r="5768" spans="1:4" x14ac:dyDescent="0.2">
      <c r="A5768" s="19" t="s">
        <v>154</v>
      </c>
      <c r="B5768" s="19">
        <v>60.144000000000005</v>
      </c>
      <c r="C5768" s="19">
        <v>6</v>
      </c>
      <c r="D5768" s="19">
        <v>20.298599999999993</v>
      </c>
    </row>
    <row r="5769" spans="1:4" x14ac:dyDescent="0.2">
      <c r="A5769" s="19" t="s">
        <v>154</v>
      </c>
      <c r="B5769" s="19">
        <v>85.2</v>
      </c>
      <c r="C5769" s="19">
        <v>6</v>
      </c>
      <c r="D5769" s="19">
        <v>20.234999999999996</v>
      </c>
    </row>
    <row r="5770" spans="1:4" x14ac:dyDescent="0.2">
      <c r="A5770" s="19" t="s">
        <v>180</v>
      </c>
      <c r="B5770" s="19">
        <v>3.15</v>
      </c>
      <c r="C5770" s="19">
        <v>1</v>
      </c>
      <c r="D5770" s="19">
        <v>1.512</v>
      </c>
    </row>
    <row r="5771" spans="1:4" x14ac:dyDescent="0.2">
      <c r="A5771" s="19" t="s">
        <v>180</v>
      </c>
      <c r="B5771" s="19">
        <v>22.72</v>
      </c>
      <c r="C5771" s="19">
        <v>4</v>
      </c>
      <c r="D5771" s="19">
        <v>10.223999999999998</v>
      </c>
    </row>
    <row r="5772" spans="1:4" x14ac:dyDescent="0.2">
      <c r="A5772" s="19" t="s">
        <v>150</v>
      </c>
      <c r="B5772" s="19">
        <v>14.91</v>
      </c>
      <c r="C5772" s="19">
        <v>3</v>
      </c>
      <c r="D5772" s="19">
        <v>4.6220999999999997</v>
      </c>
    </row>
    <row r="5773" spans="1:4" x14ac:dyDescent="0.2">
      <c r="A5773" s="19" t="s">
        <v>150</v>
      </c>
      <c r="B5773" s="19">
        <v>1158.1199999999999</v>
      </c>
      <c r="C5773" s="19">
        <v>4</v>
      </c>
      <c r="D5773" s="19">
        <v>335.85479999999984</v>
      </c>
    </row>
    <row r="5774" spans="1:4" x14ac:dyDescent="0.2">
      <c r="A5774" s="19" t="s">
        <v>174</v>
      </c>
      <c r="B5774" s="19">
        <v>599.99</v>
      </c>
      <c r="C5774" s="19">
        <v>1</v>
      </c>
      <c r="D5774" s="19">
        <v>233.99610000000001</v>
      </c>
    </row>
    <row r="5775" spans="1:4" x14ac:dyDescent="0.2">
      <c r="A5775" s="19" t="s">
        <v>154</v>
      </c>
      <c r="B5775" s="19">
        <v>23.968000000000004</v>
      </c>
      <c r="C5775" s="19">
        <v>2</v>
      </c>
      <c r="D5775" s="19">
        <v>2.3967999999999989</v>
      </c>
    </row>
    <row r="5776" spans="1:4" x14ac:dyDescent="0.2">
      <c r="A5776" s="19" t="s">
        <v>150</v>
      </c>
      <c r="B5776" s="19">
        <v>638.28800000000012</v>
      </c>
      <c r="C5776" s="19">
        <v>7</v>
      </c>
      <c r="D5776" s="19">
        <v>-31.914400000000015</v>
      </c>
    </row>
    <row r="5777" spans="1:4" x14ac:dyDescent="0.2">
      <c r="A5777" s="19" t="s">
        <v>150</v>
      </c>
      <c r="B5777" s="19">
        <v>13.208000000000002</v>
      </c>
      <c r="C5777" s="19">
        <v>1</v>
      </c>
      <c r="D5777" s="19">
        <v>4.6228000000000007</v>
      </c>
    </row>
    <row r="5778" spans="1:4" x14ac:dyDescent="0.2">
      <c r="A5778" s="19" t="s">
        <v>164</v>
      </c>
      <c r="B5778" s="19">
        <v>15.528</v>
      </c>
      <c r="C5778" s="19">
        <v>3</v>
      </c>
      <c r="D5778" s="19">
        <v>5.8230000000000004</v>
      </c>
    </row>
    <row r="5779" spans="1:4" x14ac:dyDescent="0.2">
      <c r="A5779" s="19" t="s">
        <v>150</v>
      </c>
      <c r="B5779" s="19">
        <v>104.85</v>
      </c>
      <c r="C5779" s="19">
        <v>1</v>
      </c>
      <c r="D5779" s="19">
        <v>50.327999999999996</v>
      </c>
    </row>
    <row r="5780" spans="1:4" x14ac:dyDescent="0.2">
      <c r="A5780" s="19" t="s">
        <v>150</v>
      </c>
      <c r="B5780" s="19">
        <v>30.48</v>
      </c>
      <c r="C5780" s="19">
        <v>3</v>
      </c>
      <c r="D5780" s="19">
        <v>7.9248000000000012</v>
      </c>
    </row>
    <row r="5781" spans="1:4" x14ac:dyDescent="0.2">
      <c r="A5781" s="19" t="s">
        <v>150</v>
      </c>
      <c r="B5781" s="19">
        <v>112.64800000000001</v>
      </c>
      <c r="C5781" s="19">
        <v>1</v>
      </c>
      <c r="D5781" s="19">
        <v>11.264799999999997</v>
      </c>
    </row>
    <row r="5782" spans="1:4" x14ac:dyDescent="0.2">
      <c r="A5782" s="19" t="s">
        <v>150</v>
      </c>
      <c r="B5782" s="19">
        <v>71.975999999999999</v>
      </c>
      <c r="C5782" s="19">
        <v>3</v>
      </c>
      <c r="D5782" s="19">
        <v>24.291899999999998</v>
      </c>
    </row>
    <row r="5783" spans="1:4" x14ac:dyDescent="0.2">
      <c r="A5783" s="19" t="s">
        <v>150</v>
      </c>
      <c r="B5783" s="19">
        <v>2.21</v>
      </c>
      <c r="C5783" s="19">
        <v>1</v>
      </c>
      <c r="D5783" s="19">
        <v>0.59670000000000001</v>
      </c>
    </row>
    <row r="5784" spans="1:4" x14ac:dyDescent="0.2">
      <c r="A5784" s="19" t="s">
        <v>150</v>
      </c>
      <c r="B5784" s="19">
        <v>15.52</v>
      </c>
      <c r="C5784" s="19">
        <v>4</v>
      </c>
      <c r="D5784" s="19">
        <v>7.4496000000000002</v>
      </c>
    </row>
    <row r="5785" spans="1:4" x14ac:dyDescent="0.2">
      <c r="A5785" s="19" t="s">
        <v>150</v>
      </c>
      <c r="B5785" s="19">
        <v>36.44</v>
      </c>
      <c r="C5785" s="19">
        <v>4</v>
      </c>
      <c r="D5785" s="19">
        <v>16.397999999999996</v>
      </c>
    </row>
    <row r="5786" spans="1:4" x14ac:dyDescent="0.2">
      <c r="A5786" s="19" t="s">
        <v>170</v>
      </c>
      <c r="B5786" s="19">
        <v>217.76400000000001</v>
      </c>
      <c r="C5786" s="19">
        <v>6</v>
      </c>
      <c r="D5786" s="19">
        <v>-384.71640000000002</v>
      </c>
    </row>
    <row r="5787" spans="1:4" x14ac:dyDescent="0.2">
      <c r="A5787" s="19" t="s">
        <v>170</v>
      </c>
      <c r="B5787" s="19">
        <v>39.072000000000003</v>
      </c>
      <c r="C5787" s="19">
        <v>6</v>
      </c>
      <c r="D5787" s="19">
        <v>4.3955999999999982</v>
      </c>
    </row>
    <row r="5788" spans="1:4" x14ac:dyDescent="0.2">
      <c r="A5788" s="19" t="s">
        <v>170</v>
      </c>
      <c r="B5788" s="19">
        <v>22.638000000000002</v>
      </c>
      <c r="C5788" s="19">
        <v>7</v>
      </c>
      <c r="D5788" s="19">
        <v>-16.601199999999999</v>
      </c>
    </row>
    <row r="5789" spans="1:4" x14ac:dyDescent="0.2">
      <c r="A5789" s="19" t="s">
        <v>170</v>
      </c>
      <c r="B5789" s="19">
        <v>95.143999999999991</v>
      </c>
      <c r="C5789" s="19">
        <v>7</v>
      </c>
      <c r="D5789" s="19">
        <v>10.703699999999987</v>
      </c>
    </row>
    <row r="5790" spans="1:4" x14ac:dyDescent="0.2">
      <c r="A5790" s="19" t="s">
        <v>151</v>
      </c>
      <c r="B5790" s="19">
        <v>12.320000000000002</v>
      </c>
      <c r="C5790" s="19">
        <v>5</v>
      </c>
      <c r="D5790" s="19">
        <v>1.8479999999999985</v>
      </c>
    </row>
    <row r="5791" spans="1:4" x14ac:dyDescent="0.2">
      <c r="A5791" s="19" t="s">
        <v>151</v>
      </c>
      <c r="B5791" s="19">
        <v>4.4190000000000005</v>
      </c>
      <c r="C5791" s="19">
        <v>3</v>
      </c>
      <c r="D5791" s="19">
        <v>-3.0933000000000002</v>
      </c>
    </row>
    <row r="5792" spans="1:4" x14ac:dyDescent="0.2">
      <c r="A5792" s="19" t="s">
        <v>150</v>
      </c>
      <c r="B5792" s="19">
        <v>35</v>
      </c>
      <c r="C5792" s="19">
        <v>7</v>
      </c>
      <c r="D5792" s="19">
        <v>16.8</v>
      </c>
    </row>
    <row r="5793" spans="1:4" x14ac:dyDescent="0.2">
      <c r="A5793" s="19" t="s">
        <v>150</v>
      </c>
      <c r="B5793" s="19">
        <v>72.784000000000006</v>
      </c>
      <c r="C5793" s="19">
        <v>1</v>
      </c>
      <c r="D5793" s="19">
        <v>0</v>
      </c>
    </row>
    <row r="5794" spans="1:4" x14ac:dyDescent="0.2">
      <c r="A5794" s="19" t="s">
        <v>150</v>
      </c>
      <c r="B5794" s="19">
        <v>97.84</v>
      </c>
      <c r="C5794" s="19">
        <v>2</v>
      </c>
      <c r="D5794" s="19">
        <v>25.438400000000001</v>
      </c>
    </row>
    <row r="5795" spans="1:4" x14ac:dyDescent="0.2">
      <c r="A5795" s="19" t="s">
        <v>150</v>
      </c>
      <c r="B5795" s="19">
        <v>51.75</v>
      </c>
      <c r="C5795" s="19">
        <v>1</v>
      </c>
      <c r="D5795" s="19">
        <v>15.524999999999999</v>
      </c>
    </row>
    <row r="5796" spans="1:4" x14ac:dyDescent="0.2">
      <c r="A5796" s="19" t="s">
        <v>150</v>
      </c>
      <c r="B5796" s="19">
        <v>46.672000000000004</v>
      </c>
      <c r="C5796" s="19">
        <v>2</v>
      </c>
      <c r="D5796" s="19">
        <v>16.3352</v>
      </c>
    </row>
    <row r="5797" spans="1:4" x14ac:dyDescent="0.2">
      <c r="A5797" s="19" t="s">
        <v>164</v>
      </c>
      <c r="B5797" s="19">
        <v>1395.54</v>
      </c>
      <c r="C5797" s="19">
        <v>9</v>
      </c>
      <c r="D5797" s="19">
        <v>362.84040000000005</v>
      </c>
    </row>
    <row r="5798" spans="1:4" x14ac:dyDescent="0.2">
      <c r="A5798" s="19" t="s">
        <v>164</v>
      </c>
      <c r="B5798" s="19">
        <v>117.36</v>
      </c>
      <c r="C5798" s="19">
        <v>4</v>
      </c>
      <c r="D5798" s="19">
        <v>36.381599999999992</v>
      </c>
    </row>
    <row r="5799" spans="1:4" x14ac:dyDescent="0.2">
      <c r="A5799" s="19" t="s">
        <v>164</v>
      </c>
      <c r="B5799" s="19">
        <v>18.899999999999999</v>
      </c>
      <c r="C5799" s="19">
        <v>3</v>
      </c>
      <c r="D5799" s="19">
        <v>8.6939999999999991</v>
      </c>
    </row>
    <row r="5800" spans="1:4" x14ac:dyDescent="0.2">
      <c r="A5800" s="19" t="s">
        <v>164</v>
      </c>
      <c r="B5800" s="19">
        <v>77.52</v>
      </c>
      <c r="C5800" s="19">
        <v>2</v>
      </c>
      <c r="D5800" s="19">
        <v>37.9848</v>
      </c>
    </row>
    <row r="5801" spans="1:4" x14ac:dyDescent="0.2">
      <c r="A5801" s="19" t="s">
        <v>159</v>
      </c>
      <c r="B5801" s="19">
        <v>421.37200000000001</v>
      </c>
      <c r="C5801" s="19">
        <v>2</v>
      </c>
      <c r="D5801" s="19">
        <v>-6.0196000000000538</v>
      </c>
    </row>
    <row r="5802" spans="1:4" x14ac:dyDescent="0.2">
      <c r="A5802" s="19" t="s">
        <v>154</v>
      </c>
      <c r="B5802" s="19">
        <v>575.96800000000007</v>
      </c>
      <c r="C5802" s="19">
        <v>4</v>
      </c>
      <c r="D5802" s="19">
        <v>43.197600000000023</v>
      </c>
    </row>
    <row r="5803" spans="1:4" x14ac:dyDescent="0.2">
      <c r="A5803" s="19" t="s">
        <v>154</v>
      </c>
      <c r="B5803" s="19">
        <v>10.368000000000002</v>
      </c>
      <c r="C5803" s="19">
        <v>2</v>
      </c>
      <c r="D5803" s="19">
        <v>3.6288</v>
      </c>
    </row>
    <row r="5804" spans="1:4" x14ac:dyDescent="0.2">
      <c r="A5804" s="19" t="s">
        <v>150</v>
      </c>
      <c r="B5804" s="19">
        <v>15.984000000000002</v>
      </c>
      <c r="C5804" s="19">
        <v>2</v>
      </c>
      <c r="D5804" s="19">
        <v>1.1988000000000003</v>
      </c>
    </row>
    <row r="5805" spans="1:4" x14ac:dyDescent="0.2">
      <c r="A5805" s="19" t="s">
        <v>173</v>
      </c>
      <c r="B5805" s="19">
        <v>10.272000000000002</v>
      </c>
      <c r="C5805" s="19">
        <v>3</v>
      </c>
      <c r="D5805" s="19">
        <v>1.1555999999999984</v>
      </c>
    </row>
    <row r="5806" spans="1:4" x14ac:dyDescent="0.2">
      <c r="A5806" s="19" t="s">
        <v>154</v>
      </c>
      <c r="B5806" s="19">
        <v>61.792000000000002</v>
      </c>
      <c r="C5806" s="19">
        <v>4</v>
      </c>
      <c r="D5806" s="19">
        <v>6.1792000000000016</v>
      </c>
    </row>
    <row r="5807" spans="1:4" x14ac:dyDescent="0.2">
      <c r="A5807" s="19" t="s">
        <v>154</v>
      </c>
      <c r="B5807" s="19">
        <v>205.99919999999997</v>
      </c>
      <c r="C5807" s="19">
        <v>3</v>
      </c>
      <c r="D5807" s="19">
        <v>-27.264600000000016</v>
      </c>
    </row>
    <row r="5808" spans="1:4" x14ac:dyDescent="0.2">
      <c r="A5808" s="19" t="s">
        <v>167</v>
      </c>
      <c r="B5808" s="19">
        <v>12.192</v>
      </c>
      <c r="C5808" s="19">
        <v>3</v>
      </c>
      <c r="D5808" s="19">
        <v>4.1147999999999998</v>
      </c>
    </row>
    <row r="5809" spans="1:4" x14ac:dyDescent="0.2">
      <c r="A5809" s="19" t="s">
        <v>167</v>
      </c>
      <c r="B5809" s="19">
        <v>87.168000000000006</v>
      </c>
      <c r="C5809" s="19">
        <v>2</v>
      </c>
      <c r="D5809" s="19">
        <v>8.7168000000000063</v>
      </c>
    </row>
    <row r="5810" spans="1:4" x14ac:dyDescent="0.2">
      <c r="A5810" s="19" t="s">
        <v>167</v>
      </c>
      <c r="B5810" s="19">
        <v>31.744</v>
      </c>
      <c r="C5810" s="19">
        <v>2</v>
      </c>
      <c r="D5810" s="19">
        <v>8.3328000000000024</v>
      </c>
    </row>
    <row r="5811" spans="1:4" x14ac:dyDescent="0.2">
      <c r="A5811" s="19" t="s">
        <v>167</v>
      </c>
      <c r="B5811" s="19">
        <v>132.22400000000002</v>
      </c>
      <c r="C5811" s="19">
        <v>4</v>
      </c>
      <c r="D5811" s="19">
        <v>-18.180799999999998</v>
      </c>
    </row>
    <row r="5812" spans="1:4" x14ac:dyDescent="0.2">
      <c r="A5812" s="19" t="s">
        <v>150</v>
      </c>
      <c r="B5812" s="19">
        <v>105.52</v>
      </c>
      <c r="C5812" s="19">
        <v>4</v>
      </c>
      <c r="D5812" s="19">
        <v>48.539199999999994</v>
      </c>
    </row>
    <row r="5813" spans="1:4" x14ac:dyDescent="0.2">
      <c r="A5813" s="19" t="s">
        <v>150</v>
      </c>
      <c r="B5813" s="19">
        <v>91.96</v>
      </c>
      <c r="C5813" s="19">
        <v>2</v>
      </c>
      <c r="D5813" s="19">
        <v>15.633199999999988</v>
      </c>
    </row>
    <row r="5814" spans="1:4" x14ac:dyDescent="0.2">
      <c r="A5814" s="19" t="s">
        <v>150</v>
      </c>
      <c r="B5814" s="19">
        <v>1487.9760000000001</v>
      </c>
      <c r="C5814" s="19">
        <v>3</v>
      </c>
      <c r="D5814" s="19">
        <v>185.99699999999984</v>
      </c>
    </row>
    <row r="5815" spans="1:4" x14ac:dyDescent="0.2">
      <c r="A5815" s="19" t="s">
        <v>164</v>
      </c>
      <c r="B5815" s="19">
        <v>19.440000000000001</v>
      </c>
      <c r="C5815" s="19">
        <v>3</v>
      </c>
      <c r="D5815" s="19">
        <v>9.3312000000000008</v>
      </c>
    </row>
    <row r="5816" spans="1:4" x14ac:dyDescent="0.2">
      <c r="A5816" s="19" t="s">
        <v>151</v>
      </c>
      <c r="B5816" s="19">
        <v>11.672000000000001</v>
      </c>
      <c r="C5816" s="19">
        <v>1</v>
      </c>
      <c r="D5816" s="19">
        <v>-0.7295000000000007</v>
      </c>
    </row>
    <row r="5817" spans="1:4" x14ac:dyDescent="0.2">
      <c r="A5817" s="19" t="s">
        <v>164</v>
      </c>
      <c r="B5817" s="19">
        <v>279.95999999999998</v>
      </c>
      <c r="C5817" s="19">
        <v>4</v>
      </c>
      <c r="D5817" s="19">
        <v>78.388800000000003</v>
      </c>
    </row>
    <row r="5818" spans="1:4" x14ac:dyDescent="0.2">
      <c r="A5818" s="19" t="s">
        <v>164</v>
      </c>
      <c r="B5818" s="19">
        <v>12.912000000000001</v>
      </c>
      <c r="C5818" s="19">
        <v>3</v>
      </c>
      <c r="D5818" s="19">
        <v>4.6806000000000001</v>
      </c>
    </row>
    <row r="5819" spans="1:4" x14ac:dyDescent="0.2">
      <c r="A5819" s="19" t="s">
        <v>164</v>
      </c>
      <c r="B5819" s="19">
        <v>17.088000000000001</v>
      </c>
      <c r="C5819" s="19">
        <v>4</v>
      </c>
      <c r="D5819" s="19">
        <v>5.767199999999999</v>
      </c>
    </row>
    <row r="5820" spans="1:4" x14ac:dyDescent="0.2">
      <c r="A5820" s="19" t="s">
        <v>164</v>
      </c>
      <c r="B5820" s="19">
        <v>93.149999999999991</v>
      </c>
      <c r="C5820" s="19">
        <v>9</v>
      </c>
      <c r="D5820" s="19">
        <v>44.712000000000003</v>
      </c>
    </row>
    <row r="5821" spans="1:4" x14ac:dyDescent="0.2">
      <c r="A5821" s="19" t="s">
        <v>164</v>
      </c>
      <c r="B5821" s="19">
        <v>11.52</v>
      </c>
      <c r="C5821" s="19">
        <v>4</v>
      </c>
      <c r="D5821" s="19">
        <v>5.6448</v>
      </c>
    </row>
    <row r="5822" spans="1:4" x14ac:dyDescent="0.2">
      <c r="A5822" s="19" t="s">
        <v>150</v>
      </c>
      <c r="B5822" s="19">
        <v>238.62</v>
      </c>
      <c r="C5822" s="19">
        <v>2</v>
      </c>
      <c r="D5822" s="19">
        <v>4.7724000000000046</v>
      </c>
    </row>
    <row r="5823" spans="1:4" x14ac:dyDescent="0.2">
      <c r="A5823" s="19" t="s">
        <v>150</v>
      </c>
      <c r="B5823" s="19">
        <v>7.77</v>
      </c>
      <c r="C5823" s="19">
        <v>1</v>
      </c>
      <c r="D5823" s="19">
        <v>2.0979000000000001</v>
      </c>
    </row>
    <row r="5824" spans="1:4" x14ac:dyDescent="0.2">
      <c r="A5824" s="19" t="s">
        <v>150</v>
      </c>
      <c r="B5824" s="19">
        <v>285.48</v>
      </c>
      <c r="C5824" s="19">
        <v>5</v>
      </c>
      <c r="D5824" s="19">
        <v>-10.705500000000043</v>
      </c>
    </row>
    <row r="5825" spans="1:4" x14ac:dyDescent="0.2">
      <c r="A5825" s="19" t="s">
        <v>150</v>
      </c>
      <c r="B5825" s="19">
        <v>19.168000000000003</v>
      </c>
      <c r="C5825" s="19">
        <v>4</v>
      </c>
      <c r="D5825" s="19">
        <v>6.4691999999999998</v>
      </c>
    </row>
    <row r="5826" spans="1:4" x14ac:dyDescent="0.2">
      <c r="A5826" s="19" t="s">
        <v>173</v>
      </c>
      <c r="B5826" s="19">
        <v>26.136000000000003</v>
      </c>
      <c r="C5826" s="19">
        <v>3</v>
      </c>
      <c r="D5826" s="19">
        <v>1.9602000000000004</v>
      </c>
    </row>
    <row r="5827" spans="1:4" x14ac:dyDescent="0.2">
      <c r="A5827" s="19" t="s">
        <v>164</v>
      </c>
      <c r="B5827" s="19">
        <v>419.4</v>
      </c>
      <c r="C5827" s="19">
        <v>4</v>
      </c>
      <c r="D5827" s="19">
        <v>201.31199999999998</v>
      </c>
    </row>
    <row r="5828" spans="1:4" x14ac:dyDescent="0.2">
      <c r="A5828" s="19" t="s">
        <v>164</v>
      </c>
      <c r="B5828" s="19">
        <v>90.801000000000002</v>
      </c>
      <c r="C5828" s="19">
        <v>1</v>
      </c>
      <c r="D5828" s="19">
        <v>14.124599999999999</v>
      </c>
    </row>
    <row r="5829" spans="1:4" x14ac:dyDescent="0.2">
      <c r="A5829" s="19" t="s">
        <v>164</v>
      </c>
      <c r="B5829" s="19">
        <v>181.76400000000001</v>
      </c>
      <c r="C5829" s="19">
        <v>2</v>
      </c>
      <c r="D5829" s="19">
        <v>-8.0784000000000198</v>
      </c>
    </row>
    <row r="5830" spans="1:4" x14ac:dyDescent="0.2">
      <c r="A5830" s="19" t="s">
        <v>164</v>
      </c>
      <c r="B5830" s="19">
        <v>5.56</v>
      </c>
      <c r="C5830" s="19">
        <v>2</v>
      </c>
      <c r="D5830" s="19">
        <v>2.2239999999999998</v>
      </c>
    </row>
    <row r="5831" spans="1:4" x14ac:dyDescent="0.2">
      <c r="A5831" s="19" t="s">
        <v>163</v>
      </c>
      <c r="B5831" s="19">
        <v>581.96</v>
      </c>
      <c r="C5831" s="19">
        <v>2</v>
      </c>
      <c r="D5831" s="19">
        <v>104.75279999999998</v>
      </c>
    </row>
    <row r="5832" spans="1:4" x14ac:dyDescent="0.2">
      <c r="A5832" s="19" t="s">
        <v>163</v>
      </c>
      <c r="B5832" s="19">
        <v>29.98</v>
      </c>
      <c r="C5832" s="19">
        <v>1</v>
      </c>
      <c r="D5832" s="19">
        <v>8.0945999999999998</v>
      </c>
    </row>
    <row r="5833" spans="1:4" x14ac:dyDescent="0.2">
      <c r="A5833" s="19" t="s">
        <v>150</v>
      </c>
      <c r="B5833" s="19">
        <v>519.96</v>
      </c>
      <c r="C5833" s="19">
        <v>4</v>
      </c>
      <c r="D5833" s="19">
        <v>176.78640000000001</v>
      </c>
    </row>
    <row r="5834" spans="1:4" x14ac:dyDescent="0.2">
      <c r="A5834" s="19" t="s">
        <v>152</v>
      </c>
      <c r="B5834" s="19">
        <v>6.2640000000000002</v>
      </c>
      <c r="C5834" s="19">
        <v>3</v>
      </c>
      <c r="D5834" s="19">
        <v>2.0358000000000001</v>
      </c>
    </row>
    <row r="5835" spans="1:4" x14ac:dyDescent="0.2">
      <c r="A5835" s="19" t="s">
        <v>152</v>
      </c>
      <c r="B5835" s="19">
        <v>363.92</v>
      </c>
      <c r="C5835" s="19">
        <v>5</v>
      </c>
      <c r="D5835" s="19">
        <v>0</v>
      </c>
    </row>
    <row r="5836" spans="1:4" x14ac:dyDescent="0.2">
      <c r="A5836" s="19" t="s">
        <v>151</v>
      </c>
      <c r="B5836" s="19">
        <v>64.2</v>
      </c>
      <c r="C5836" s="19">
        <v>5</v>
      </c>
      <c r="D5836" s="19">
        <v>-42.799999999999983</v>
      </c>
    </row>
    <row r="5837" spans="1:4" x14ac:dyDescent="0.2">
      <c r="A5837" s="19" t="s">
        <v>151</v>
      </c>
      <c r="B5837" s="19">
        <v>38.520000000000003</v>
      </c>
      <c r="C5837" s="19">
        <v>3</v>
      </c>
      <c r="D5837" s="19">
        <v>-26.963999999999999</v>
      </c>
    </row>
    <row r="5838" spans="1:4" x14ac:dyDescent="0.2">
      <c r="A5838" s="19" t="s">
        <v>151</v>
      </c>
      <c r="B5838" s="19">
        <v>72.599999999999994</v>
      </c>
      <c r="C5838" s="19">
        <v>5</v>
      </c>
      <c r="D5838" s="19">
        <v>-8.1674999999999933</v>
      </c>
    </row>
    <row r="5839" spans="1:4" x14ac:dyDescent="0.2">
      <c r="A5839" s="19" t="s">
        <v>150</v>
      </c>
      <c r="B5839" s="19">
        <v>57.567999999999998</v>
      </c>
      <c r="C5839" s="19">
        <v>4</v>
      </c>
      <c r="D5839" s="19">
        <v>5.7568000000000019</v>
      </c>
    </row>
    <row r="5840" spans="1:4" x14ac:dyDescent="0.2">
      <c r="A5840" s="19" t="s">
        <v>153</v>
      </c>
      <c r="B5840" s="19">
        <v>83.699999999999989</v>
      </c>
      <c r="C5840" s="19">
        <v>5</v>
      </c>
      <c r="D5840" s="19">
        <v>3.3479999999999954</v>
      </c>
    </row>
    <row r="5841" spans="1:4" x14ac:dyDescent="0.2">
      <c r="A5841" s="19" t="s">
        <v>166</v>
      </c>
      <c r="B5841" s="19">
        <v>32.400000000000006</v>
      </c>
      <c r="C5841" s="19">
        <v>5</v>
      </c>
      <c r="D5841" s="19">
        <v>15.552000000000001</v>
      </c>
    </row>
    <row r="5842" spans="1:4" x14ac:dyDescent="0.2">
      <c r="A5842" s="19" t="s">
        <v>166</v>
      </c>
      <c r="B5842" s="19">
        <v>47.98</v>
      </c>
      <c r="C5842" s="19">
        <v>2</v>
      </c>
      <c r="D5842" s="19">
        <v>11.035399999999996</v>
      </c>
    </row>
    <row r="5843" spans="1:4" x14ac:dyDescent="0.2">
      <c r="A5843" s="19" t="s">
        <v>150</v>
      </c>
      <c r="B5843" s="19">
        <v>415.96800000000007</v>
      </c>
      <c r="C5843" s="19">
        <v>4</v>
      </c>
      <c r="D5843" s="19">
        <v>51.995999999999981</v>
      </c>
    </row>
    <row r="5844" spans="1:4" x14ac:dyDescent="0.2">
      <c r="A5844" s="19" t="s">
        <v>150</v>
      </c>
      <c r="B5844" s="19">
        <v>304.89999999999998</v>
      </c>
      <c r="C5844" s="19">
        <v>5</v>
      </c>
      <c r="D5844" s="19">
        <v>6.097999999999999</v>
      </c>
    </row>
    <row r="5845" spans="1:4" x14ac:dyDescent="0.2">
      <c r="A5845" s="19" t="s">
        <v>150</v>
      </c>
      <c r="B5845" s="19">
        <v>80.959999999999994</v>
      </c>
      <c r="C5845" s="19">
        <v>4</v>
      </c>
      <c r="D5845" s="19">
        <v>29.145599999999995</v>
      </c>
    </row>
    <row r="5846" spans="1:4" x14ac:dyDescent="0.2">
      <c r="A5846" s="19" t="s">
        <v>150</v>
      </c>
      <c r="B5846" s="19">
        <v>777.21</v>
      </c>
      <c r="C5846" s="19">
        <v>7</v>
      </c>
      <c r="D5846" s="19">
        <v>54.404699999999963</v>
      </c>
    </row>
    <row r="5847" spans="1:4" x14ac:dyDescent="0.2">
      <c r="A5847" s="19" t="s">
        <v>150</v>
      </c>
      <c r="B5847" s="19">
        <v>32.400000000000006</v>
      </c>
      <c r="C5847" s="19">
        <v>5</v>
      </c>
      <c r="D5847" s="19">
        <v>15.552000000000001</v>
      </c>
    </row>
    <row r="5848" spans="1:4" x14ac:dyDescent="0.2">
      <c r="A5848" s="19" t="s">
        <v>150</v>
      </c>
      <c r="B5848" s="19">
        <v>225.56799999999998</v>
      </c>
      <c r="C5848" s="19">
        <v>2</v>
      </c>
      <c r="D5848" s="19">
        <v>2.8195999999999799</v>
      </c>
    </row>
    <row r="5849" spans="1:4" x14ac:dyDescent="0.2">
      <c r="A5849" s="19" t="s">
        <v>150</v>
      </c>
      <c r="B5849" s="19">
        <v>36.599999999999994</v>
      </c>
      <c r="C5849" s="19">
        <v>3</v>
      </c>
      <c r="D5849" s="19">
        <v>15.372000000000002</v>
      </c>
    </row>
    <row r="5850" spans="1:4" x14ac:dyDescent="0.2">
      <c r="A5850" s="19" t="s">
        <v>160</v>
      </c>
      <c r="B5850" s="19">
        <v>715.64</v>
      </c>
      <c r="C5850" s="19">
        <v>2</v>
      </c>
      <c r="D5850" s="19">
        <v>178.90999999999997</v>
      </c>
    </row>
    <row r="5851" spans="1:4" x14ac:dyDescent="0.2">
      <c r="A5851" s="19" t="s">
        <v>160</v>
      </c>
      <c r="B5851" s="19">
        <v>795.51</v>
      </c>
      <c r="C5851" s="19">
        <v>3</v>
      </c>
      <c r="D5851" s="19">
        <v>143.19179999999994</v>
      </c>
    </row>
    <row r="5852" spans="1:4" x14ac:dyDescent="0.2">
      <c r="A5852" s="19" t="s">
        <v>160</v>
      </c>
      <c r="B5852" s="19">
        <v>549.99</v>
      </c>
      <c r="C5852" s="19">
        <v>1</v>
      </c>
      <c r="D5852" s="19">
        <v>274.995</v>
      </c>
    </row>
    <row r="5853" spans="1:4" x14ac:dyDescent="0.2">
      <c r="A5853" s="19" t="s">
        <v>160</v>
      </c>
      <c r="B5853" s="19">
        <v>74.760000000000005</v>
      </c>
      <c r="C5853" s="19">
        <v>3</v>
      </c>
      <c r="D5853" s="19">
        <v>34.389600000000002</v>
      </c>
    </row>
    <row r="5854" spans="1:4" x14ac:dyDescent="0.2">
      <c r="A5854" s="19" t="s">
        <v>160</v>
      </c>
      <c r="B5854" s="19">
        <v>29.22</v>
      </c>
      <c r="C5854" s="19">
        <v>3</v>
      </c>
      <c r="D5854" s="19">
        <v>12.856800000000002</v>
      </c>
    </row>
    <row r="5855" spans="1:4" x14ac:dyDescent="0.2">
      <c r="A5855" s="19" t="s">
        <v>166</v>
      </c>
      <c r="B5855" s="19">
        <v>9.64</v>
      </c>
      <c r="C5855" s="19">
        <v>2</v>
      </c>
      <c r="D5855" s="19">
        <v>4.7236000000000002</v>
      </c>
    </row>
    <row r="5856" spans="1:4" x14ac:dyDescent="0.2">
      <c r="A5856" s="19" t="s">
        <v>154</v>
      </c>
      <c r="B5856" s="19">
        <v>33.488000000000007</v>
      </c>
      <c r="C5856" s="19">
        <v>7</v>
      </c>
      <c r="D5856" s="19">
        <v>-1.2558000000000051</v>
      </c>
    </row>
    <row r="5857" spans="1:4" x14ac:dyDescent="0.2">
      <c r="A5857" s="19" t="s">
        <v>154</v>
      </c>
      <c r="B5857" s="19">
        <v>23.04</v>
      </c>
      <c r="C5857" s="19">
        <v>3</v>
      </c>
      <c r="D5857" s="19">
        <v>-4.895999999999999</v>
      </c>
    </row>
    <row r="5858" spans="1:4" x14ac:dyDescent="0.2">
      <c r="A5858" s="19" t="s">
        <v>154</v>
      </c>
      <c r="B5858" s="19">
        <v>1.3619999999999997</v>
      </c>
      <c r="C5858" s="19">
        <v>1</v>
      </c>
      <c r="D5858" s="19">
        <v>-2.1792000000000007</v>
      </c>
    </row>
    <row r="5859" spans="1:4" x14ac:dyDescent="0.2">
      <c r="A5859" s="19" t="s">
        <v>154</v>
      </c>
      <c r="B5859" s="19">
        <v>14.76</v>
      </c>
      <c r="C5859" s="19">
        <v>5</v>
      </c>
      <c r="D5859" s="19">
        <v>-11.439000000000004</v>
      </c>
    </row>
    <row r="5860" spans="1:4" x14ac:dyDescent="0.2">
      <c r="A5860" s="19" t="s">
        <v>150</v>
      </c>
      <c r="B5860" s="19">
        <v>239.66599999999997</v>
      </c>
      <c r="C5860" s="19">
        <v>2</v>
      </c>
      <c r="D5860" s="19">
        <v>14.097999999999999</v>
      </c>
    </row>
    <row r="5861" spans="1:4" x14ac:dyDescent="0.2">
      <c r="A5861" s="19" t="s">
        <v>184</v>
      </c>
      <c r="B5861" s="19">
        <v>301.95999999999998</v>
      </c>
      <c r="C5861" s="19">
        <v>2</v>
      </c>
      <c r="D5861" s="19">
        <v>45.293999999999983</v>
      </c>
    </row>
    <row r="5862" spans="1:4" x14ac:dyDescent="0.2">
      <c r="A5862" s="19" t="s">
        <v>158</v>
      </c>
      <c r="B5862" s="19">
        <v>7.9680000000000009</v>
      </c>
      <c r="C5862" s="19">
        <v>2</v>
      </c>
      <c r="D5862" s="19">
        <v>2.8884000000000007</v>
      </c>
    </row>
    <row r="5863" spans="1:4" x14ac:dyDescent="0.2">
      <c r="A5863" s="19" t="s">
        <v>184</v>
      </c>
      <c r="B5863" s="19">
        <v>109.92</v>
      </c>
      <c r="C5863" s="19">
        <v>2</v>
      </c>
      <c r="D5863" s="19">
        <v>53.860799999999998</v>
      </c>
    </row>
    <row r="5864" spans="1:4" x14ac:dyDescent="0.2">
      <c r="A5864" s="19" t="s">
        <v>184</v>
      </c>
      <c r="B5864" s="19">
        <v>19.440000000000001</v>
      </c>
      <c r="C5864" s="19">
        <v>3</v>
      </c>
      <c r="D5864" s="19">
        <v>9.3312000000000008</v>
      </c>
    </row>
    <row r="5865" spans="1:4" x14ac:dyDescent="0.2">
      <c r="A5865" s="19" t="s">
        <v>184</v>
      </c>
      <c r="B5865" s="19">
        <v>11.16</v>
      </c>
      <c r="C5865" s="19">
        <v>2</v>
      </c>
      <c r="D5865" s="19">
        <v>4.3524000000000003</v>
      </c>
    </row>
    <row r="5866" spans="1:4" x14ac:dyDescent="0.2">
      <c r="A5866" s="19" t="s">
        <v>178</v>
      </c>
      <c r="B5866" s="19">
        <v>79.47</v>
      </c>
      <c r="C5866" s="19">
        <v>3</v>
      </c>
      <c r="D5866" s="19">
        <v>22.251600000000003</v>
      </c>
    </row>
    <row r="5867" spans="1:4" x14ac:dyDescent="0.2">
      <c r="A5867" s="19" t="s">
        <v>178</v>
      </c>
      <c r="B5867" s="19">
        <v>4.5599999999999996</v>
      </c>
      <c r="C5867" s="19">
        <v>2</v>
      </c>
      <c r="D5867" s="19">
        <v>2.0064000000000002</v>
      </c>
    </row>
    <row r="5868" spans="1:4" x14ac:dyDescent="0.2">
      <c r="A5868" s="19" t="s">
        <v>178</v>
      </c>
      <c r="B5868" s="19">
        <v>1133.3499999999999</v>
      </c>
      <c r="C5868" s="19">
        <v>5</v>
      </c>
      <c r="D5868" s="19">
        <v>294.67100000000005</v>
      </c>
    </row>
    <row r="5869" spans="1:4" x14ac:dyDescent="0.2">
      <c r="A5869" s="19" t="s">
        <v>158</v>
      </c>
      <c r="B5869" s="19">
        <v>4.6719999999999997</v>
      </c>
      <c r="C5869" s="19">
        <v>1</v>
      </c>
      <c r="D5869" s="19">
        <v>0.58399999999999985</v>
      </c>
    </row>
    <row r="5870" spans="1:4" x14ac:dyDescent="0.2">
      <c r="A5870" s="19" t="s">
        <v>158</v>
      </c>
      <c r="B5870" s="19">
        <v>104.58000000000001</v>
      </c>
      <c r="C5870" s="19">
        <v>6</v>
      </c>
      <c r="D5870" s="19">
        <v>-80.178000000000026</v>
      </c>
    </row>
    <row r="5871" spans="1:4" x14ac:dyDescent="0.2">
      <c r="A5871" s="19" t="s">
        <v>195</v>
      </c>
      <c r="B5871" s="19">
        <v>1603.1360000000002</v>
      </c>
      <c r="C5871" s="19">
        <v>4</v>
      </c>
      <c r="D5871" s="19">
        <v>100.19599999999997</v>
      </c>
    </row>
    <row r="5872" spans="1:4" x14ac:dyDescent="0.2">
      <c r="A5872" s="19" t="s">
        <v>150</v>
      </c>
      <c r="B5872" s="19">
        <v>1293.4879999999998</v>
      </c>
      <c r="C5872" s="19">
        <v>7</v>
      </c>
      <c r="D5872" s="19">
        <v>80.843000000000075</v>
      </c>
    </row>
    <row r="5873" spans="1:4" x14ac:dyDescent="0.2">
      <c r="A5873" s="19" t="s">
        <v>163</v>
      </c>
      <c r="B5873" s="19">
        <v>127.94999999999999</v>
      </c>
      <c r="C5873" s="19">
        <v>3</v>
      </c>
      <c r="D5873" s="19">
        <v>21.751499999999986</v>
      </c>
    </row>
    <row r="5874" spans="1:4" x14ac:dyDescent="0.2">
      <c r="A5874" s="19" t="s">
        <v>101</v>
      </c>
      <c r="B5874" s="19">
        <v>59.76</v>
      </c>
      <c r="C5874" s="19">
        <v>1</v>
      </c>
      <c r="D5874" s="19">
        <v>16.732800000000005</v>
      </c>
    </row>
    <row r="5875" spans="1:4" x14ac:dyDescent="0.2">
      <c r="A5875" s="19" t="s">
        <v>184</v>
      </c>
      <c r="B5875" s="19">
        <v>108.08</v>
      </c>
      <c r="C5875" s="19">
        <v>7</v>
      </c>
      <c r="D5875" s="19">
        <v>54.04</v>
      </c>
    </row>
    <row r="5876" spans="1:4" x14ac:dyDescent="0.2">
      <c r="A5876" s="19" t="s">
        <v>184</v>
      </c>
      <c r="B5876" s="19">
        <v>9.5400000000000009</v>
      </c>
      <c r="C5876" s="19">
        <v>3</v>
      </c>
      <c r="D5876" s="19">
        <v>4.3883999999999999</v>
      </c>
    </row>
    <row r="5877" spans="1:4" x14ac:dyDescent="0.2">
      <c r="A5877" s="19" t="s">
        <v>158</v>
      </c>
      <c r="B5877" s="19">
        <v>11.736000000000001</v>
      </c>
      <c r="C5877" s="19">
        <v>3</v>
      </c>
      <c r="D5877" s="19">
        <v>1.0268999999999999</v>
      </c>
    </row>
    <row r="5878" spans="1:4" x14ac:dyDescent="0.2">
      <c r="A5878" s="19" t="s">
        <v>180</v>
      </c>
      <c r="B5878" s="19">
        <v>447.85999999999996</v>
      </c>
      <c r="C5878" s="19">
        <v>7</v>
      </c>
      <c r="D5878" s="19">
        <v>219.45140000000001</v>
      </c>
    </row>
    <row r="5879" spans="1:4" x14ac:dyDescent="0.2">
      <c r="A5879" s="19" t="s">
        <v>180</v>
      </c>
      <c r="B5879" s="19">
        <v>17.940000000000001</v>
      </c>
      <c r="C5879" s="19">
        <v>3</v>
      </c>
      <c r="D5879" s="19">
        <v>8.7906000000000013</v>
      </c>
    </row>
    <row r="5880" spans="1:4" x14ac:dyDescent="0.2">
      <c r="A5880" s="19" t="s">
        <v>180</v>
      </c>
      <c r="B5880" s="19">
        <v>245.88</v>
      </c>
      <c r="C5880" s="19">
        <v>6</v>
      </c>
      <c r="D5880" s="19">
        <v>68.846399999999988</v>
      </c>
    </row>
    <row r="5881" spans="1:4" x14ac:dyDescent="0.2">
      <c r="A5881" s="19" t="s">
        <v>164</v>
      </c>
      <c r="B5881" s="19">
        <v>192.16</v>
      </c>
      <c r="C5881" s="19">
        <v>4</v>
      </c>
      <c r="D5881" s="19">
        <v>92.236799999999988</v>
      </c>
    </row>
    <row r="5882" spans="1:4" x14ac:dyDescent="0.2">
      <c r="A5882" s="19" t="s">
        <v>150</v>
      </c>
      <c r="B5882" s="19">
        <v>801.5680000000001</v>
      </c>
      <c r="C5882" s="19">
        <v>2</v>
      </c>
      <c r="D5882" s="19">
        <v>50.097999999999985</v>
      </c>
    </row>
    <row r="5883" spans="1:4" x14ac:dyDescent="0.2">
      <c r="A5883" s="19" t="s">
        <v>150</v>
      </c>
      <c r="B5883" s="19">
        <v>368.91</v>
      </c>
      <c r="C5883" s="19">
        <v>9</v>
      </c>
      <c r="D5883" s="19">
        <v>180.76590000000002</v>
      </c>
    </row>
    <row r="5884" spans="1:4" x14ac:dyDescent="0.2">
      <c r="A5884" s="19" t="s">
        <v>150</v>
      </c>
      <c r="B5884" s="19">
        <v>885.52800000000002</v>
      </c>
      <c r="C5884" s="19">
        <v>9</v>
      </c>
      <c r="D5884" s="19">
        <v>-99.621900000000068</v>
      </c>
    </row>
    <row r="5885" spans="1:4" x14ac:dyDescent="0.2">
      <c r="A5885" s="19" t="s">
        <v>150</v>
      </c>
      <c r="B5885" s="19">
        <v>28.28</v>
      </c>
      <c r="C5885" s="19">
        <v>2</v>
      </c>
      <c r="D5885" s="19">
        <v>7.352800000000002</v>
      </c>
    </row>
    <row r="5886" spans="1:4" x14ac:dyDescent="0.2">
      <c r="A5886" s="19" t="s">
        <v>150</v>
      </c>
      <c r="B5886" s="19">
        <v>4912.59</v>
      </c>
      <c r="C5886" s="19">
        <v>3</v>
      </c>
      <c r="D5886" s="19">
        <v>196.50359999999978</v>
      </c>
    </row>
    <row r="5887" spans="1:4" x14ac:dyDescent="0.2">
      <c r="A5887" s="19" t="s">
        <v>150</v>
      </c>
      <c r="B5887" s="19">
        <v>14.352000000000002</v>
      </c>
      <c r="C5887" s="19">
        <v>3</v>
      </c>
      <c r="D5887" s="19">
        <v>5.0231999999999992</v>
      </c>
    </row>
    <row r="5888" spans="1:4" x14ac:dyDescent="0.2">
      <c r="A5888" s="19" t="s">
        <v>150</v>
      </c>
      <c r="B5888" s="19">
        <v>179.97</v>
      </c>
      <c r="C5888" s="19">
        <v>3</v>
      </c>
      <c r="D5888" s="19">
        <v>86.385600000000011</v>
      </c>
    </row>
    <row r="5889" spans="1:4" x14ac:dyDescent="0.2">
      <c r="A5889" s="19" t="s">
        <v>182</v>
      </c>
      <c r="B5889" s="19">
        <v>42.76</v>
      </c>
      <c r="C5889" s="19">
        <v>1</v>
      </c>
      <c r="D5889" s="19">
        <v>11.117599999999999</v>
      </c>
    </row>
    <row r="5890" spans="1:4" x14ac:dyDescent="0.2">
      <c r="A5890" s="19" t="s">
        <v>149</v>
      </c>
      <c r="B5890" s="19">
        <v>45.68</v>
      </c>
      <c r="C5890" s="19">
        <v>2</v>
      </c>
      <c r="D5890" s="19">
        <v>21.012799999999999</v>
      </c>
    </row>
    <row r="5891" spans="1:4" x14ac:dyDescent="0.2">
      <c r="A5891" s="19" t="s">
        <v>187</v>
      </c>
      <c r="B5891" s="19">
        <v>25.06</v>
      </c>
      <c r="C5891" s="19">
        <v>2</v>
      </c>
      <c r="D5891" s="19">
        <v>11.778199999999998</v>
      </c>
    </row>
    <row r="5892" spans="1:4" x14ac:dyDescent="0.2">
      <c r="A5892" s="19" t="s">
        <v>159</v>
      </c>
      <c r="B5892" s="19">
        <v>38.432000000000002</v>
      </c>
      <c r="C5892" s="19">
        <v>1</v>
      </c>
      <c r="D5892" s="19">
        <v>13.451199999999996</v>
      </c>
    </row>
    <row r="5893" spans="1:4" x14ac:dyDescent="0.2">
      <c r="A5893" s="19" t="s">
        <v>159</v>
      </c>
      <c r="B5893" s="19">
        <v>21.568000000000001</v>
      </c>
      <c r="C5893" s="19">
        <v>2</v>
      </c>
      <c r="D5893" s="19">
        <v>1.6175999999999986</v>
      </c>
    </row>
    <row r="5894" spans="1:4" x14ac:dyDescent="0.2">
      <c r="A5894" s="19" t="s">
        <v>159</v>
      </c>
      <c r="B5894" s="19">
        <v>81.576000000000008</v>
      </c>
      <c r="C5894" s="19">
        <v>3</v>
      </c>
      <c r="D5894" s="19">
        <v>2.0393999999999934</v>
      </c>
    </row>
    <row r="5895" spans="1:4" x14ac:dyDescent="0.2">
      <c r="A5895" s="19" t="s">
        <v>101</v>
      </c>
      <c r="B5895" s="19">
        <v>2.78</v>
      </c>
      <c r="C5895" s="19">
        <v>1</v>
      </c>
      <c r="D5895" s="19">
        <v>1.3621999999999999</v>
      </c>
    </row>
    <row r="5896" spans="1:4" x14ac:dyDescent="0.2">
      <c r="A5896" s="19" t="s">
        <v>150</v>
      </c>
      <c r="B5896" s="19">
        <v>99.87</v>
      </c>
      <c r="C5896" s="19">
        <v>3</v>
      </c>
      <c r="D5896" s="19">
        <v>23.968799999999998</v>
      </c>
    </row>
    <row r="5897" spans="1:4" x14ac:dyDescent="0.2">
      <c r="A5897" s="19" t="s">
        <v>150</v>
      </c>
      <c r="B5897" s="19">
        <v>44.400000000000006</v>
      </c>
      <c r="C5897" s="19">
        <v>3</v>
      </c>
      <c r="D5897" s="19">
        <v>22.200000000000003</v>
      </c>
    </row>
    <row r="5898" spans="1:4" x14ac:dyDescent="0.2">
      <c r="A5898" s="19" t="s">
        <v>150</v>
      </c>
      <c r="B5898" s="19">
        <v>21.400000000000002</v>
      </c>
      <c r="C5898" s="19">
        <v>5</v>
      </c>
      <c r="D5898" s="19">
        <v>9.629999999999999</v>
      </c>
    </row>
    <row r="5899" spans="1:4" x14ac:dyDescent="0.2">
      <c r="A5899" s="19" t="s">
        <v>163</v>
      </c>
      <c r="B5899" s="19">
        <v>71.12</v>
      </c>
      <c r="C5899" s="19">
        <v>4</v>
      </c>
      <c r="D5899" s="19">
        <v>22.047199999999997</v>
      </c>
    </row>
    <row r="5900" spans="1:4" x14ac:dyDescent="0.2">
      <c r="A5900" s="19" t="s">
        <v>163</v>
      </c>
      <c r="B5900" s="19">
        <v>259.95999999999998</v>
      </c>
      <c r="C5900" s="19">
        <v>4</v>
      </c>
      <c r="D5900" s="19">
        <v>124.7808</v>
      </c>
    </row>
    <row r="5901" spans="1:4" x14ac:dyDescent="0.2">
      <c r="A5901" s="19" t="s">
        <v>150</v>
      </c>
      <c r="B5901" s="19">
        <v>9.7799999999999994</v>
      </c>
      <c r="C5901" s="19">
        <v>1</v>
      </c>
      <c r="D5901" s="19">
        <v>4.8899999999999997</v>
      </c>
    </row>
    <row r="5902" spans="1:4" x14ac:dyDescent="0.2">
      <c r="A5902" s="19" t="s">
        <v>150</v>
      </c>
      <c r="B5902" s="19">
        <v>24.192</v>
      </c>
      <c r="C5902" s="19">
        <v>9</v>
      </c>
      <c r="D5902" s="19">
        <v>7.5599999999999987</v>
      </c>
    </row>
    <row r="5903" spans="1:4" x14ac:dyDescent="0.2">
      <c r="A5903" s="19" t="s">
        <v>179</v>
      </c>
      <c r="B5903" s="19">
        <v>31.56</v>
      </c>
      <c r="C5903" s="19">
        <v>3</v>
      </c>
      <c r="D5903" s="19">
        <v>10.4148</v>
      </c>
    </row>
    <row r="5904" spans="1:4" x14ac:dyDescent="0.2">
      <c r="A5904" s="19" t="s">
        <v>150</v>
      </c>
      <c r="B5904" s="19">
        <v>59.94</v>
      </c>
      <c r="C5904" s="19">
        <v>3</v>
      </c>
      <c r="D5904" s="19">
        <v>28.171799999999998</v>
      </c>
    </row>
    <row r="5905" spans="1:4" x14ac:dyDescent="0.2">
      <c r="A5905" s="19" t="s">
        <v>150</v>
      </c>
      <c r="B5905" s="19">
        <v>45.36</v>
      </c>
      <c r="C5905" s="19">
        <v>4</v>
      </c>
      <c r="D5905" s="19">
        <v>22.226399999999998</v>
      </c>
    </row>
    <row r="5906" spans="1:4" x14ac:dyDescent="0.2">
      <c r="A5906" s="19" t="s">
        <v>150</v>
      </c>
      <c r="B5906" s="19">
        <v>26.400000000000002</v>
      </c>
      <c r="C5906" s="19">
        <v>5</v>
      </c>
      <c r="D5906" s="19">
        <v>12.672000000000001</v>
      </c>
    </row>
    <row r="5907" spans="1:4" x14ac:dyDescent="0.2">
      <c r="A5907" s="19" t="s">
        <v>150</v>
      </c>
      <c r="B5907" s="19">
        <v>41.4</v>
      </c>
      <c r="C5907" s="19">
        <v>4</v>
      </c>
      <c r="D5907" s="19">
        <v>19.872</v>
      </c>
    </row>
    <row r="5908" spans="1:4" x14ac:dyDescent="0.2">
      <c r="A5908" s="19" t="s">
        <v>150</v>
      </c>
      <c r="B5908" s="19">
        <v>16.95</v>
      </c>
      <c r="C5908" s="19">
        <v>1</v>
      </c>
      <c r="D5908" s="19">
        <v>1.0169999999999995</v>
      </c>
    </row>
    <row r="5909" spans="1:4" x14ac:dyDescent="0.2">
      <c r="A5909" s="19" t="s">
        <v>150</v>
      </c>
      <c r="B5909" s="19">
        <v>24.704000000000001</v>
      </c>
      <c r="C5909" s="19">
        <v>2</v>
      </c>
      <c r="D5909" s="19">
        <v>9.2639999999999993</v>
      </c>
    </row>
    <row r="5910" spans="1:4" x14ac:dyDescent="0.2">
      <c r="A5910" s="19" t="s">
        <v>150</v>
      </c>
      <c r="B5910" s="19">
        <v>59.699999999999996</v>
      </c>
      <c r="C5910" s="19">
        <v>3</v>
      </c>
      <c r="D5910" s="19">
        <v>26.864999999999995</v>
      </c>
    </row>
    <row r="5911" spans="1:4" x14ac:dyDescent="0.2">
      <c r="A5911" s="19" t="s">
        <v>150</v>
      </c>
      <c r="B5911" s="19">
        <v>14.52</v>
      </c>
      <c r="C5911" s="19">
        <v>3</v>
      </c>
      <c r="D5911" s="19">
        <v>5.6627999999999998</v>
      </c>
    </row>
    <row r="5912" spans="1:4" x14ac:dyDescent="0.2">
      <c r="A5912" s="19" t="s">
        <v>150</v>
      </c>
      <c r="B5912" s="19">
        <v>104.184</v>
      </c>
      <c r="C5912" s="19">
        <v>3</v>
      </c>
      <c r="D5912" s="19">
        <v>33.8598</v>
      </c>
    </row>
    <row r="5913" spans="1:4" x14ac:dyDescent="0.2">
      <c r="A5913" s="19" t="s">
        <v>153</v>
      </c>
      <c r="B5913" s="19">
        <v>46.53</v>
      </c>
      <c r="C5913" s="19">
        <v>3</v>
      </c>
      <c r="D5913" s="19">
        <v>13.028400000000001</v>
      </c>
    </row>
    <row r="5914" spans="1:4" x14ac:dyDescent="0.2">
      <c r="A5914" s="19" t="s">
        <v>149</v>
      </c>
      <c r="B5914" s="19">
        <v>25.5</v>
      </c>
      <c r="C5914" s="19">
        <v>3</v>
      </c>
      <c r="D5914" s="19">
        <v>6.63</v>
      </c>
    </row>
    <row r="5915" spans="1:4" x14ac:dyDescent="0.2">
      <c r="A5915" s="19" t="s">
        <v>164</v>
      </c>
      <c r="B5915" s="19">
        <v>14.9</v>
      </c>
      <c r="C5915" s="19">
        <v>5</v>
      </c>
      <c r="D5915" s="19">
        <v>1.0429999999999984</v>
      </c>
    </row>
    <row r="5916" spans="1:4" x14ac:dyDescent="0.2">
      <c r="A5916" s="19" t="s">
        <v>164</v>
      </c>
      <c r="B5916" s="19">
        <v>87.71</v>
      </c>
      <c r="C5916" s="19">
        <v>7</v>
      </c>
      <c r="D5916" s="19">
        <v>41.223699999999994</v>
      </c>
    </row>
    <row r="5917" spans="1:4" x14ac:dyDescent="0.2">
      <c r="A5917" s="19" t="s">
        <v>164</v>
      </c>
      <c r="B5917" s="19">
        <v>199.76400000000001</v>
      </c>
      <c r="C5917" s="19">
        <v>2</v>
      </c>
      <c r="D5917" s="19">
        <v>8.8783999999999956</v>
      </c>
    </row>
    <row r="5918" spans="1:4" x14ac:dyDescent="0.2">
      <c r="A5918" s="19" t="s">
        <v>164</v>
      </c>
      <c r="B5918" s="19">
        <v>94.6</v>
      </c>
      <c r="C5918" s="19">
        <v>4</v>
      </c>
      <c r="D5918" s="19">
        <v>27.433999999999997</v>
      </c>
    </row>
    <row r="5919" spans="1:4" x14ac:dyDescent="0.2">
      <c r="A5919" s="19" t="s">
        <v>164</v>
      </c>
      <c r="B5919" s="19">
        <v>4228.7040000000006</v>
      </c>
      <c r="C5919" s="19">
        <v>6</v>
      </c>
      <c r="D5919" s="19">
        <v>158.57639999999992</v>
      </c>
    </row>
    <row r="5920" spans="1:4" x14ac:dyDescent="0.2">
      <c r="A5920" s="19" t="s">
        <v>164</v>
      </c>
      <c r="B5920" s="19">
        <v>2003.9200000000003</v>
      </c>
      <c r="C5920" s="19">
        <v>5</v>
      </c>
      <c r="D5920" s="19">
        <v>-25.049000000000149</v>
      </c>
    </row>
    <row r="5921" spans="1:4" x14ac:dyDescent="0.2">
      <c r="A5921" s="19" t="s">
        <v>164</v>
      </c>
      <c r="B5921" s="19">
        <v>209.96999999999997</v>
      </c>
      <c r="C5921" s="19">
        <v>3</v>
      </c>
      <c r="D5921" s="19">
        <v>58.791600000000003</v>
      </c>
    </row>
    <row r="5922" spans="1:4" x14ac:dyDescent="0.2">
      <c r="A5922" s="19" t="s">
        <v>164</v>
      </c>
      <c r="B5922" s="19">
        <v>659.9</v>
      </c>
      <c r="C5922" s="19">
        <v>2</v>
      </c>
      <c r="D5922" s="19">
        <v>217.76699999999994</v>
      </c>
    </row>
    <row r="5923" spans="1:4" x14ac:dyDescent="0.2">
      <c r="A5923" s="19" t="s">
        <v>164</v>
      </c>
      <c r="B5923" s="19">
        <v>110.96</v>
      </c>
      <c r="C5923" s="19">
        <v>2</v>
      </c>
      <c r="D5923" s="19">
        <v>53.260799999999996</v>
      </c>
    </row>
    <row r="5924" spans="1:4" x14ac:dyDescent="0.2">
      <c r="A5924" s="19" t="s">
        <v>164</v>
      </c>
      <c r="B5924" s="19">
        <v>67.8</v>
      </c>
      <c r="C5924" s="19">
        <v>4</v>
      </c>
      <c r="D5924" s="19">
        <v>1.3559999999999945</v>
      </c>
    </row>
    <row r="5925" spans="1:4" x14ac:dyDescent="0.2">
      <c r="A5925" s="19" t="s">
        <v>164</v>
      </c>
      <c r="B5925" s="19">
        <v>313.17599999999999</v>
      </c>
      <c r="C5925" s="19">
        <v>2</v>
      </c>
      <c r="D5925" s="19">
        <v>-120.05080000000007</v>
      </c>
    </row>
    <row r="5926" spans="1:4" x14ac:dyDescent="0.2">
      <c r="A5926" s="19" t="s">
        <v>166</v>
      </c>
      <c r="B5926" s="19">
        <v>22.959999999999997</v>
      </c>
      <c r="C5926" s="19">
        <v>7</v>
      </c>
      <c r="D5926" s="19">
        <v>6.6583999999999968</v>
      </c>
    </row>
    <row r="5927" spans="1:4" x14ac:dyDescent="0.2">
      <c r="A5927" s="19" t="s">
        <v>153</v>
      </c>
      <c r="B5927" s="19">
        <v>1099.5</v>
      </c>
      <c r="C5927" s="19">
        <v>10</v>
      </c>
      <c r="D5927" s="19">
        <v>362.83500000000004</v>
      </c>
    </row>
    <row r="5928" spans="1:4" x14ac:dyDescent="0.2">
      <c r="A5928" s="19" t="s">
        <v>168</v>
      </c>
      <c r="B5928" s="19">
        <v>1215.92</v>
      </c>
      <c r="C5928" s="19">
        <v>8</v>
      </c>
      <c r="D5928" s="19">
        <v>316.13920000000007</v>
      </c>
    </row>
    <row r="5929" spans="1:4" x14ac:dyDescent="0.2">
      <c r="A5929" s="19" t="s">
        <v>184</v>
      </c>
      <c r="B5929" s="19">
        <v>7.31</v>
      </c>
      <c r="C5929" s="19">
        <v>1</v>
      </c>
      <c r="D5929" s="19">
        <v>3.4356999999999998</v>
      </c>
    </row>
    <row r="5930" spans="1:4" x14ac:dyDescent="0.2">
      <c r="A5930" s="19" t="s">
        <v>184</v>
      </c>
      <c r="B5930" s="19">
        <v>8.92</v>
      </c>
      <c r="C5930" s="19">
        <v>4</v>
      </c>
      <c r="D5930" s="19">
        <v>3.9248000000000003</v>
      </c>
    </row>
    <row r="5931" spans="1:4" x14ac:dyDescent="0.2">
      <c r="A5931" s="19" t="s">
        <v>158</v>
      </c>
      <c r="B5931" s="19">
        <v>87.210000000000008</v>
      </c>
      <c r="C5931" s="19">
        <v>3</v>
      </c>
      <c r="D5931" s="19">
        <v>-45.349200000000003</v>
      </c>
    </row>
    <row r="5932" spans="1:4" x14ac:dyDescent="0.2">
      <c r="A5932" s="19" t="s">
        <v>158</v>
      </c>
      <c r="B5932" s="19">
        <v>15.552000000000003</v>
      </c>
      <c r="C5932" s="19">
        <v>3</v>
      </c>
      <c r="D5932" s="19">
        <v>5.4432</v>
      </c>
    </row>
    <row r="5933" spans="1:4" x14ac:dyDescent="0.2">
      <c r="A5933" s="19" t="s">
        <v>158</v>
      </c>
      <c r="B5933" s="19">
        <v>683.98799999999994</v>
      </c>
      <c r="C5933" s="19">
        <v>2</v>
      </c>
      <c r="D5933" s="19">
        <v>-113.9980000000001</v>
      </c>
    </row>
    <row r="5934" spans="1:4" x14ac:dyDescent="0.2">
      <c r="A5934" s="19" t="s">
        <v>158</v>
      </c>
      <c r="B5934" s="19">
        <v>13.392000000000001</v>
      </c>
      <c r="C5934" s="19">
        <v>3</v>
      </c>
      <c r="D5934" s="19">
        <v>1.0044</v>
      </c>
    </row>
    <row r="5935" spans="1:4" x14ac:dyDescent="0.2">
      <c r="A5935" s="19" t="s">
        <v>158</v>
      </c>
      <c r="B5935" s="19">
        <v>16.776000000000003</v>
      </c>
      <c r="C5935" s="19">
        <v>3</v>
      </c>
      <c r="D5935" s="19">
        <v>4.8231000000000002</v>
      </c>
    </row>
    <row r="5936" spans="1:4" x14ac:dyDescent="0.2">
      <c r="A5936" s="19" t="s">
        <v>158</v>
      </c>
      <c r="B5936" s="19">
        <v>527.91999999999996</v>
      </c>
      <c r="C5936" s="19">
        <v>2</v>
      </c>
      <c r="D5936" s="19">
        <v>85.786999999999949</v>
      </c>
    </row>
    <row r="5937" spans="1:4" x14ac:dyDescent="0.2">
      <c r="A5937" s="19" t="s">
        <v>153</v>
      </c>
      <c r="B5937" s="19">
        <v>25.4</v>
      </c>
      <c r="C5937" s="19">
        <v>5</v>
      </c>
      <c r="D5937" s="19">
        <v>8.6359999999999992</v>
      </c>
    </row>
    <row r="5938" spans="1:4" x14ac:dyDescent="0.2">
      <c r="A5938" s="19" t="s">
        <v>153</v>
      </c>
      <c r="B5938" s="19">
        <v>177.48000000000002</v>
      </c>
      <c r="C5938" s="19">
        <v>3</v>
      </c>
      <c r="D5938" s="19">
        <v>19.966499999999982</v>
      </c>
    </row>
    <row r="5939" spans="1:4" x14ac:dyDescent="0.2">
      <c r="A5939" s="19" t="s">
        <v>153</v>
      </c>
      <c r="B5939" s="19">
        <v>71.975999999999999</v>
      </c>
      <c r="C5939" s="19">
        <v>3</v>
      </c>
      <c r="D5939" s="19">
        <v>8.9969999999999892</v>
      </c>
    </row>
    <row r="5940" spans="1:4" x14ac:dyDescent="0.2">
      <c r="A5940" s="19" t="s">
        <v>154</v>
      </c>
      <c r="B5940" s="19">
        <v>95.992000000000004</v>
      </c>
      <c r="C5940" s="19">
        <v>1</v>
      </c>
      <c r="D5940" s="19">
        <v>9.5991999999999997</v>
      </c>
    </row>
    <row r="5941" spans="1:4" x14ac:dyDescent="0.2">
      <c r="A5941" s="19" t="s">
        <v>154</v>
      </c>
      <c r="B5941" s="19">
        <v>13.216000000000001</v>
      </c>
      <c r="C5941" s="19">
        <v>4</v>
      </c>
      <c r="D5941" s="19">
        <v>4.2951999999999995</v>
      </c>
    </row>
    <row r="5942" spans="1:4" x14ac:dyDescent="0.2">
      <c r="A5942" s="19" t="s">
        <v>150</v>
      </c>
      <c r="B5942" s="19">
        <v>435.84000000000003</v>
      </c>
      <c r="C5942" s="19">
        <v>12</v>
      </c>
      <c r="D5942" s="19">
        <v>130.75199999999995</v>
      </c>
    </row>
    <row r="5943" spans="1:4" x14ac:dyDescent="0.2">
      <c r="A5943" s="19" t="s">
        <v>150</v>
      </c>
      <c r="B5943" s="19">
        <v>5.88</v>
      </c>
      <c r="C5943" s="19">
        <v>2</v>
      </c>
      <c r="D5943" s="19">
        <v>1.5876000000000001</v>
      </c>
    </row>
    <row r="5944" spans="1:4" x14ac:dyDescent="0.2">
      <c r="A5944" s="19" t="s">
        <v>150</v>
      </c>
      <c r="B5944" s="19">
        <v>211.16800000000001</v>
      </c>
      <c r="C5944" s="19">
        <v>4</v>
      </c>
      <c r="D5944" s="19">
        <v>18.477200000000011</v>
      </c>
    </row>
    <row r="5945" spans="1:4" x14ac:dyDescent="0.2">
      <c r="A5945" s="19" t="s">
        <v>150</v>
      </c>
      <c r="B5945" s="19">
        <v>6.28</v>
      </c>
      <c r="C5945" s="19">
        <v>1</v>
      </c>
      <c r="D5945" s="19">
        <v>2.6376000000000004</v>
      </c>
    </row>
    <row r="5946" spans="1:4" x14ac:dyDescent="0.2">
      <c r="A5946" s="19" t="s">
        <v>150</v>
      </c>
      <c r="B5946" s="19">
        <v>95.1</v>
      </c>
      <c r="C5946" s="19">
        <v>5</v>
      </c>
      <c r="D5946" s="19">
        <v>30.431999999999995</v>
      </c>
    </row>
    <row r="5947" spans="1:4" x14ac:dyDescent="0.2">
      <c r="A5947" s="19" t="s">
        <v>150</v>
      </c>
      <c r="B5947" s="19">
        <v>25.92</v>
      </c>
      <c r="C5947" s="19">
        <v>4</v>
      </c>
      <c r="D5947" s="19">
        <v>12.441600000000001</v>
      </c>
    </row>
    <row r="5948" spans="1:4" x14ac:dyDescent="0.2">
      <c r="A5948" s="19" t="s">
        <v>150</v>
      </c>
      <c r="B5948" s="19">
        <v>48.84</v>
      </c>
      <c r="C5948" s="19">
        <v>4</v>
      </c>
      <c r="D5948" s="19">
        <v>13.186800000000005</v>
      </c>
    </row>
    <row r="5949" spans="1:4" x14ac:dyDescent="0.2">
      <c r="A5949" s="19" t="s">
        <v>172</v>
      </c>
      <c r="B5949" s="19">
        <v>25.9</v>
      </c>
      <c r="C5949" s="19">
        <v>5</v>
      </c>
      <c r="D5949" s="19">
        <v>12.690999999999999</v>
      </c>
    </row>
    <row r="5950" spans="1:4" x14ac:dyDescent="0.2">
      <c r="A5950" s="19" t="s">
        <v>183</v>
      </c>
      <c r="B5950" s="19">
        <v>42.68</v>
      </c>
      <c r="C5950" s="19">
        <v>4</v>
      </c>
      <c r="D5950" s="19">
        <v>19.6328</v>
      </c>
    </row>
    <row r="5951" spans="1:4" x14ac:dyDescent="0.2">
      <c r="A5951" s="19" t="s">
        <v>183</v>
      </c>
      <c r="B5951" s="19">
        <v>299.96999999999997</v>
      </c>
      <c r="C5951" s="19">
        <v>3</v>
      </c>
      <c r="D5951" s="19">
        <v>125.98740000000001</v>
      </c>
    </row>
    <row r="5952" spans="1:4" x14ac:dyDescent="0.2">
      <c r="A5952" s="19" t="s">
        <v>183</v>
      </c>
      <c r="B5952" s="19">
        <v>262.24</v>
      </c>
      <c r="C5952" s="19">
        <v>2</v>
      </c>
      <c r="D5952" s="19">
        <v>78.671999999999997</v>
      </c>
    </row>
    <row r="5953" spans="1:4" x14ac:dyDescent="0.2">
      <c r="A5953" s="19" t="s">
        <v>183</v>
      </c>
      <c r="B5953" s="19">
        <v>234.36</v>
      </c>
      <c r="C5953" s="19">
        <v>6</v>
      </c>
      <c r="D5953" s="19">
        <v>112.49279999999999</v>
      </c>
    </row>
    <row r="5954" spans="1:4" x14ac:dyDescent="0.2">
      <c r="A5954" s="19" t="s">
        <v>154</v>
      </c>
      <c r="B5954" s="19">
        <v>20.736000000000004</v>
      </c>
      <c r="C5954" s="19">
        <v>4</v>
      </c>
      <c r="D5954" s="19">
        <v>7.2576000000000001</v>
      </c>
    </row>
    <row r="5955" spans="1:4" x14ac:dyDescent="0.2">
      <c r="A5955" s="19" t="s">
        <v>164</v>
      </c>
      <c r="B5955" s="19">
        <v>10.5</v>
      </c>
      <c r="C5955" s="19">
        <v>5</v>
      </c>
      <c r="D5955" s="19">
        <v>2.9400000000000004</v>
      </c>
    </row>
    <row r="5956" spans="1:4" x14ac:dyDescent="0.2">
      <c r="A5956" s="19" t="s">
        <v>158</v>
      </c>
      <c r="B5956" s="19">
        <v>23.968000000000004</v>
      </c>
      <c r="C5956" s="19">
        <v>2</v>
      </c>
      <c r="D5956" s="19">
        <v>7.7896000000000001</v>
      </c>
    </row>
    <row r="5957" spans="1:4" x14ac:dyDescent="0.2">
      <c r="A5957" s="19" t="s">
        <v>158</v>
      </c>
      <c r="B5957" s="19">
        <v>521.96</v>
      </c>
      <c r="C5957" s="19">
        <v>4</v>
      </c>
      <c r="D5957" s="19">
        <v>-250.54079999999999</v>
      </c>
    </row>
    <row r="5958" spans="1:4" x14ac:dyDescent="0.2">
      <c r="A5958" s="19" t="s">
        <v>150</v>
      </c>
      <c r="B5958" s="19">
        <v>676.55</v>
      </c>
      <c r="C5958" s="19">
        <v>5</v>
      </c>
      <c r="D5958" s="19">
        <v>6.7655000000000598</v>
      </c>
    </row>
    <row r="5959" spans="1:4" x14ac:dyDescent="0.2">
      <c r="A5959" s="19" t="s">
        <v>150</v>
      </c>
      <c r="B5959" s="19">
        <v>154.9</v>
      </c>
      <c r="C5959" s="19">
        <v>5</v>
      </c>
      <c r="D5959" s="19">
        <v>40.274000000000001</v>
      </c>
    </row>
    <row r="5960" spans="1:4" x14ac:dyDescent="0.2">
      <c r="A5960" s="19" t="s">
        <v>150</v>
      </c>
      <c r="B5960" s="19">
        <v>30.56</v>
      </c>
      <c r="C5960" s="19">
        <v>4</v>
      </c>
      <c r="D5960" s="19">
        <v>14.974399999999999</v>
      </c>
    </row>
    <row r="5961" spans="1:4" x14ac:dyDescent="0.2">
      <c r="A5961" s="19" t="s">
        <v>150</v>
      </c>
      <c r="B5961" s="19">
        <v>770.35200000000009</v>
      </c>
      <c r="C5961" s="19">
        <v>3</v>
      </c>
      <c r="D5961" s="19">
        <v>77.035199999999975</v>
      </c>
    </row>
    <row r="5962" spans="1:4" x14ac:dyDescent="0.2">
      <c r="A5962" s="19" t="s">
        <v>150</v>
      </c>
      <c r="B5962" s="19">
        <v>21.12</v>
      </c>
      <c r="C5962" s="19">
        <v>4</v>
      </c>
      <c r="D5962" s="19">
        <v>6.5471999999999984</v>
      </c>
    </row>
    <row r="5963" spans="1:4" x14ac:dyDescent="0.2">
      <c r="A5963" s="19" t="s">
        <v>150</v>
      </c>
      <c r="B5963" s="19">
        <v>575.928</v>
      </c>
      <c r="C5963" s="19">
        <v>9</v>
      </c>
      <c r="D5963" s="19">
        <v>57.592799999999983</v>
      </c>
    </row>
    <row r="5964" spans="1:4" x14ac:dyDescent="0.2">
      <c r="A5964" s="19" t="s">
        <v>150</v>
      </c>
      <c r="B5964" s="19">
        <v>7.78</v>
      </c>
      <c r="C5964" s="19">
        <v>2</v>
      </c>
      <c r="D5964" s="19">
        <v>2.0228000000000002</v>
      </c>
    </row>
    <row r="5965" spans="1:4" x14ac:dyDescent="0.2">
      <c r="A5965" s="19" t="s">
        <v>150</v>
      </c>
      <c r="B5965" s="19">
        <v>123.92</v>
      </c>
      <c r="C5965" s="19">
        <v>4</v>
      </c>
      <c r="D5965" s="19">
        <v>55.763999999999996</v>
      </c>
    </row>
    <row r="5966" spans="1:4" x14ac:dyDescent="0.2">
      <c r="A5966" s="19" t="s">
        <v>150</v>
      </c>
      <c r="B5966" s="19">
        <v>17.22</v>
      </c>
      <c r="C5966" s="19">
        <v>3</v>
      </c>
      <c r="D5966" s="19">
        <v>5.1659999999999986</v>
      </c>
    </row>
    <row r="5967" spans="1:4" x14ac:dyDescent="0.2">
      <c r="A5967" s="19" t="s">
        <v>150</v>
      </c>
      <c r="B5967" s="19">
        <v>226.56</v>
      </c>
      <c r="C5967" s="19">
        <v>6</v>
      </c>
      <c r="D5967" s="19">
        <v>63.436800000000005</v>
      </c>
    </row>
    <row r="5968" spans="1:4" x14ac:dyDescent="0.2">
      <c r="A5968" s="19" t="s">
        <v>150</v>
      </c>
      <c r="B5968" s="19">
        <v>107.88</v>
      </c>
      <c r="C5968" s="19">
        <v>3</v>
      </c>
      <c r="D5968" s="19">
        <v>10.787999999999997</v>
      </c>
    </row>
    <row r="5969" spans="1:4" x14ac:dyDescent="0.2">
      <c r="A5969" s="19" t="s">
        <v>164</v>
      </c>
      <c r="B5969" s="19">
        <v>81.98</v>
      </c>
      <c r="C5969" s="19">
        <v>2</v>
      </c>
      <c r="D5969" s="19">
        <v>40.170200000000001</v>
      </c>
    </row>
    <row r="5970" spans="1:4" x14ac:dyDescent="0.2">
      <c r="A5970" s="19" t="s">
        <v>150</v>
      </c>
      <c r="B5970" s="19">
        <v>104.85</v>
      </c>
      <c r="C5970" s="19">
        <v>1</v>
      </c>
      <c r="D5970" s="19">
        <v>50.327999999999996</v>
      </c>
    </row>
    <row r="5971" spans="1:4" x14ac:dyDescent="0.2">
      <c r="A5971" s="19" t="s">
        <v>150</v>
      </c>
      <c r="B5971" s="19">
        <v>8.7040000000000006</v>
      </c>
      <c r="C5971" s="19">
        <v>2</v>
      </c>
      <c r="D5971" s="19">
        <v>3.1551999999999998</v>
      </c>
    </row>
    <row r="5972" spans="1:4" x14ac:dyDescent="0.2">
      <c r="A5972" s="19" t="s">
        <v>150</v>
      </c>
      <c r="B5972" s="19">
        <v>19.920000000000002</v>
      </c>
      <c r="C5972" s="19">
        <v>4</v>
      </c>
      <c r="D5972" s="19">
        <v>9.7608000000000015</v>
      </c>
    </row>
    <row r="5973" spans="1:4" x14ac:dyDescent="0.2">
      <c r="A5973" s="19" t="s">
        <v>150</v>
      </c>
      <c r="B5973" s="19">
        <v>43.019999999999996</v>
      </c>
      <c r="C5973" s="19">
        <v>3</v>
      </c>
      <c r="D5973" s="19">
        <v>15.4872</v>
      </c>
    </row>
    <row r="5974" spans="1:4" x14ac:dyDescent="0.2">
      <c r="A5974" s="19" t="s">
        <v>164</v>
      </c>
      <c r="B5974" s="19">
        <v>240.78400000000002</v>
      </c>
      <c r="C5974" s="19">
        <v>1</v>
      </c>
      <c r="D5974" s="19">
        <v>30.097999999999978</v>
      </c>
    </row>
    <row r="5975" spans="1:4" x14ac:dyDescent="0.2">
      <c r="A5975" s="19" t="s">
        <v>164</v>
      </c>
      <c r="B5975" s="19">
        <v>414.96</v>
      </c>
      <c r="C5975" s="19">
        <v>2</v>
      </c>
      <c r="D5975" s="19">
        <v>124.48799999999994</v>
      </c>
    </row>
    <row r="5976" spans="1:4" x14ac:dyDescent="0.2">
      <c r="A5976" s="19" t="s">
        <v>152</v>
      </c>
      <c r="B5976" s="19">
        <v>387.72</v>
      </c>
      <c r="C5976" s="19">
        <v>5</v>
      </c>
      <c r="D5976" s="19">
        <v>-67.851000000000028</v>
      </c>
    </row>
    <row r="5977" spans="1:4" x14ac:dyDescent="0.2">
      <c r="A5977" s="19" t="s">
        <v>189</v>
      </c>
      <c r="B5977" s="19">
        <v>360.38</v>
      </c>
      <c r="C5977" s="19">
        <v>2</v>
      </c>
      <c r="D5977" s="19">
        <v>93.698800000000006</v>
      </c>
    </row>
    <row r="5978" spans="1:4" x14ac:dyDescent="0.2">
      <c r="A5978" s="19" t="s">
        <v>189</v>
      </c>
      <c r="B5978" s="19">
        <v>13.56</v>
      </c>
      <c r="C5978" s="19">
        <v>2</v>
      </c>
      <c r="D5978" s="19">
        <v>6.2375999999999996</v>
      </c>
    </row>
    <row r="5979" spans="1:4" x14ac:dyDescent="0.2">
      <c r="A5979" s="19" t="s">
        <v>165</v>
      </c>
      <c r="B5979" s="19">
        <v>552</v>
      </c>
      <c r="C5979" s="19">
        <v>10</v>
      </c>
      <c r="D5979" s="19">
        <v>34.5</v>
      </c>
    </row>
    <row r="5980" spans="1:4" x14ac:dyDescent="0.2">
      <c r="A5980" s="19" t="s">
        <v>175</v>
      </c>
      <c r="B5980" s="19">
        <v>429.90000000000003</v>
      </c>
      <c r="C5980" s="19">
        <v>5</v>
      </c>
      <c r="D5980" s="19">
        <v>111.77400000000003</v>
      </c>
    </row>
    <row r="5981" spans="1:4" x14ac:dyDescent="0.2">
      <c r="A5981" s="19" t="s">
        <v>175</v>
      </c>
      <c r="B5981" s="19">
        <v>32.06</v>
      </c>
      <c r="C5981" s="19">
        <v>2</v>
      </c>
      <c r="D5981" s="19">
        <v>15.3888</v>
      </c>
    </row>
    <row r="5982" spans="1:4" x14ac:dyDescent="0.2">
      <c r="A5982" s="19" t="s">
        <v>175</v>
      </c>
      <c r="B5982" s="19">
        <v>161.96</v>
      </c>
      <c r="C5982" s="19">
        <v>2</v>
      </c>
      <c r="D5982" s="19">
        <v>45.348800000000011</v>
      </c>
    </row>
    <row r="5983" spans="1:4" x14ac:dyDescent="0.2">
      <c r="A5983" s="19" t="s">
        <v>175</v>
      </c>
      <c r="B5983" s="19">
        <v>19.86</v>
      </c>
      <c r="C5983" s="19">
        <v>2</v>
      </c>
      <c r="D5983" s="19">
        <v>5.7593999999999976</v>
      </c>
    </row>
    <row r="5984" spans="1:4" x14ac:dyDescent="0.2">
      <c r="A5984" s="19" t="s">
        <v>164</v>
      </c>
      <c r="B5984" s="19">
        <v>12.96</v>
      </c>
      <c r="C5984" s="19">
        <v>2</v>
      </c>
      <c r="D5984" s="19">
        <v>6.3504000000000005</v>
      </c>
    </row>
    <row r="5985" spans="1:4" x14ac:dyDescent="0.2">
      <c r="A5985" s="19" t="s">
        <v>158</v>
      </c>
      <c r="B5985" s="19">
        <v>20.544000000000004</v>
      </c>
      <c r="C5985" s="19">
        <v>6</v>
      </c>
      <c r="D5985" s="19">
        <v>6.4199999999999964</v>
      </c>
    </row>
    <row r="5986" spans="1:4" x14ac:dyDescent="0.2">
      <c r="A5986" s="19" t="s">
        <v>183</v>
      </c>
      <c r="B5986" s="19">
        <v>185.57999999999998</v>
      </c>
      <c r="C5986" s="19">
        <v>6</v>
      </c>
      <c r="D5986" s="19">
        <v>76.087800000000001</v>
      </c>
    </row>
    <row r="5987" spans="1:4" x14ac:dyDescent="0.2">
      <c r="A5987" s="19" t="s">
        <v>183</v>
      </c>
      <c r="B5987" s="19">
        <v>77.56</v>
      </c>
      <c r="C5987" s="19">
        <v>2</v>
      </c>
      <c r="D5987" s="19">
        <v>35.677599999999998</v>
      </c>
    </row>
    <row r="5988" spans="1:4" x14ac:dyDescent="0.2">
      <c r="A5988" s="19" t="s">
        <v>183</v>
      </c>
      <c r="B5988" s="19">
        <v>87.92</v>
      </c>
      <c r="C5988" s="19">
        <v>4</v>
      </c>
      <c r="D5988" s="19">
        <v>0.87919999999999732</v>
      </c>
    </row>
    <row r="5989" spans="1:4" x14ac:dyDescent="0.2">
      <c r="A5989" s="19" t="s">
        <v>183</v>
      </c>
      <c r="B5989" s="19">
        <v>245.94</v>
      </c>
      <c r="C5989" s="19">
        <v>6</v>
      </c>
      <c r="D5989" s="19">
        <v>120.51060000000001</v>
      </c>
    </row>
    <row r="5990" spans="1:4" x14ac:dyDescent="0.2">
      <c r="A5990" s="19" t="s">
        <v>183</v>
      </c>
      <c r="B5990" s="19">
        <v>8.6</v>
      </c>
      <c r="C5990" s="19">
        <v>1</v>
      </c>
      <c r="D5990" s="19">
        <v>4.0419999999999998</v>
      </c>
    </row>
    <row r="5991" spans="1:4" x14ac:dyDescent="0.2">
      <c r="A5991" s="19" t="s">
        <v>183</v>
      </c>
      <c r="B5991" s="19">
        <v>504.90000000000003</v>
      </c>
      <c r="C5991" s="19">
        <v>5</v>
      </c>
      <c r="D5991" s="19">
        <v>126.22500000000002</v>
      </c>
    </row>
    <row r="5992" spans="1:4" x14ac:dyDescent="0.2">
      <c r="A5992" s="19" t="s">
        <v>150</v>
      </c>
      <c r="B5992" s="19">
        <v>2357.4880000000003</v>
      </c>
      <c r="C5992" s="19">
        <v>7</v>
      </c>
      <c r="D5992" s="19">
        <v>884.05799999999999</v>
      </c>
    </row>
    <row r="5993" spans="1:4" x14ac:dyDescent="0.2">
      <c r="A5993" s="19" t="s">
        <v>150</v>
      </c>
      <c r="B5993" s="19">
        <v>369.54399999999998</v>
      </c>
      <c r="C5993" s="19">
        <v>7</v>
      </c>
      <c r="D5993" s="19">
        <v>32.335100000000025</v>
      </c>
    </row>
    <row r="5994" spans="1:4" x14ac:dyDescent="0.2">
      <c r="A5994" s="19" t="s">
        <v>150</v>
      </c>
      <c r="B5994" s="19">
        <v>184.75200000000001</v>
      </c>
      <c r="C5994" s="19">
        <v>3</v>
      </c>
      <c r="D5994" s="19">
        <v>-20.784600000000012</v>
      </c>
    </row>
    <row r="5995" spans="1:4" x14ac:dyDescent="0.2">
      <c r="A5995" s="19" t="s">
        <v>173</v>
      </c>
      <c r="B5995" s="19">
        <v>64.959999999999994</v>
      </c>
      <c r="C5995" s="19">
        <v>5</v>
      </c>
      <c r="D5995" s="19">
        <v>-4.0599999999999987</v>
      </c>
    </row>
    <row r="5996" spans="1:4" x14ac:dyDescent="0.2">
      <c r="A5996" s="19" t="s">
        <v>173</v>
      </c>
      <c r="B5996" s="19">
        <v>13.52</v>
      </c>
      <c r="C5996" s="19">
        <v>2</v>
      </c>
      <c r="D5996" s="19">
        <v>1.6899999999999986</v>
      </c>
    </row>
    <row r="5997" spans="1:4" x14ac:dyDescent="0.2">
      <c r="A5997" s="19" t="s">
        <v>173</v>
      </c>
      <c r="B5997" s="19">
        <v>458.42999999999995</v>
      </c>
      <c r="C5997" s="19">
        <v>5</v>
      </c>
      <c r="D5997" s="19">
        <v>-137.52900000000002</v>
      </c>
    </row>
    <row r="5998" spans="1:4" x14ac:dyDescent="0.2">
      <c r="A5998" s="19" t="s">
        <v>173</v>
      </c>
      <c r="B5998" s="19">
        <v>387.13600000000002</v>
      </c>
      <c r="C5998" s="19">
        <v>4</v>
      </c>
      <c r="D5998" s="19">
        <v>24.196000000000012</v>
      </c>
    </row>
    <row r="5999" spans="1:4" x14ac:dyDescent="0.2">
      <c r="A5999" s="19" t="s">
        <v>173</v>
      </c>
      <c r="B5999" s="19">
        <v>328.59000000000003</v>
      </c>
      <c r="C5999" s="19">
        <v>3</v>
      </c>
      <c r="D5999" s="19">
        <v>-147.8655</v>
      </c>
    </row>
    <row r="6000" spans="1:4" x14ac:dyDescent="0.2">
      <c r="A6000" s="19" t="s">
        <v>193</v>
      </c>
      <c r="B6000" s="19">
        <v>338.35199999999998</v>
      </c>
      <c r="C6000" s="19">
        <v>3</v>
      </c>
      <c r="D6000" s="19">
        <v>4.2293999999999699</v>
      </c>
    </row>
    <row r="6001" spans="1:4" x14ac:dyDescent="0.2">
      <c r="A6001" s="19" t="s">
        <v>193</v>
      </c>
      <c r="B6001" s="19">
        <v>25.92</v>
      </c>
      <c r="C6001" s="19">
        <v>4</v>
      </c>
      <c r="D6001" s="19">
        <v>12.441600000000001</v>
      </c>
    </row>
    <row r="6002" spans="1:4" x14ac:dyDescent="0.2">
      <c r="A6002" s="19" t="s">
        <v>193</v>
      </c>
      <c r="B6002" s="19">
        <v>91.36</v>
      </c>
      <c r="C6002" s="19">
        <v>4</v>
      </c>
      <c r="D6002" s="19">
        <v>42.025599999999997</v>
      </c>
    </row>
    <row r="6003" spans="1:4" x14ac:dyDescent="0.2">
      <c r="A6003" s="19" t="s">
        <v>165</v>
      </c>
      <c r="B6003" s="19">
        <v>87.960000000000008</v>
      </c>
      <c r="C6003" s="19">
        <v>3</v>
      </c>
      <c r="D6003" s="19">
        <v>7.6965000000000039</v>
      </c>
    </row>
    <row r="6004" spans="1:4" x14ac:dyDescent="0.2">
      <c r="A6004" s="19" t="s">
        <v>165</v>
      </c>
      <c r="B6004" s="19">
        <v>5.2140000000000004</v>
      </c>
      <c r="C6004" s="19">
        <v>2</v>
      </c>
      <c r="D6004" s="19">
        <v>-4.1711999999999989</v>
      </c>
    </row>
    <row r="6005" spans="1:4" x14ac:dyDescent="0.2">
      <c r="A6005" s="19" t="s">
        <v>151</v>
      </c>
      <c r="B6005" s="19">
        <v>12.294</v>
      </c>
      <c r="C6005" s="19">
        <v>1</v>
      </c>
      <c r="D6005" s="19">
        <v>-8.6057999999999986</v>
      </c>
    </row>
    <row r="6006" spans="1:4" x14ac:dyDescent="0.2">
      <c r="A6006" s="19" t="s">
        <v>150</v>
      </c>
      <c r="B6006" s="19">
        <v>19.760000000000002</v>
      </c>
      <c r="C6006" s="19">
        <v>4</v>
      </c>
      <c r="D6006" s="19">
        <v>8.2992000000000008</v>
      </c>
    </row>
    <row r="6007" spans="1:4" x14ac:dyDescent="0.2">
      <c r="A6007" s="19" t="s">
        <v>164</v>
      </c>
      <c r="B6007" s="19">
        <v>109.764</v>
      </c>
      <c r="C6007" s="19">
        <v>2</v>
      </c>
      <c r="D6007" s="19">
        <v>8.5371999999999968</v>
      </c>
    </row>
    <row r="6008" spans="1:4" x14ac:dyDescent="0.2">
      <c r="A6008" s="19" t="s">
        <v>180</v>
      </c>
      <c r="B6008" s="19">
        <v>128.85000000000002</v>
      </c>
      <c r="C6008" s="19">
        <v>3</v>
      </c>
      <c r="D6008" s="19">
        <v>3.8654999999999973</v>
      </c>
    </row>
    <row r="6009" spans="1:4" x14ac:dyDescent="0.2">
      <c r="A6009" s="19" t="s">
        <v>169</v>
      </c>
      <c r="B6009" s="19">
        <v>127.94999999999999</v>
      </c>
      <c r="C6009" s="19">
        <v>3</v>
      </c>
      <c r="D6009" s="19">
        <v>21.751499999999986</v>
      </c>
    </row>
    <row r="6010" spans="1:4" x14ac:dyDescent="0.2">
      <c r="A6010" s="19" t="s">
        <v>150</v>
      </c>
      <c r="B6010" s="19">
        <v>68.52</v>
      </c>
      <c r="C6010" s="19">
        <v>3</v>
      </c>
      <c r="D6010" s="19">
        <v>31.519199999999998</v>
      </c>
    </row>
    <row r="6011" spans="1:4" x14ac:dyDescent="0.2">
      <c r="A6011" s="19" t="s">
        <v>150</v>
      </c>
      <c r="B6011" s="19">
        <v>74.94</v>
      </c>
      <c r="C6011" s="19">
        <v>3</v>
      </c>
      <c r="D6011" s="19">
        <v>14.238599999999995</v>
      </c>
    </row>
    <row r="6012" spans="1:4" x14ac:dyDescent="0.2">
      <c r="A6012" s="19" t="s">
        <v>150</v>
      </c>
      <c r="B6012" s="19">
        <v>2548.5600000000004</v>
      </c>
      <c r="C6012" s="19">
        <v>6</v>
      </c>
      <c r="D6012" s="19">
        <v>286.71299999999962</v>
      </c>
    </row>
    <row r="6013" spans="1:4" x14ac:dyDescent="0.2">
      <c r="A6013" s="19" t="s">
        <v>150</v>
      </c>
      <c r="B6013" s="19">
        <v>271.44</v>
      </c>
      <c r="C6013" s="19">
        <v>3</v>
      </c>
      <c r="D6013" s="19">
        <v>122.148</v>
      </c>
    </row>
    <row r="6014" spans="1:4" x14ac:dyDescent="0.2">
      <c r="A6014" s="19" t="s">
        <v>150</v>
      </c>
      <c r="B6014" s="19">
        <v>287.88</v>
      </c>
      <c r="C6014" s="19">
        <v>3</v>
      </c>
      <c r="D6014" s="19">
        <v>35.984999999999999</v>
      </c>
    </row>
    <row r="6015" spans="1:4" x14ac:dyDescent="0.2">
      <c r="A6015" s="19" t="s">
        <v>150</v>
      </c>
      <c r="B6015" s="19">
        <v>14.9</v>
      </c>
      <c r="C6015" s="19">
        <v>5</v>
      </c>
      <c r="D6015" s="19">
        <v>7.1519999999999992</v>
      </c>
    </row>
    <row r="6016" spans="1:4" x14ac:dyDescent="0.2">
      <c r="A6016" s="19" t="s">
        <v>150</v>
      </c>
      <c r="B6016" s="19">
        <v>4158.9120000000003</v>
      </c>
      <c r="C6016" s="19">
        <v>8</v>
      </c>
      <c r="D6016" s="19">
        <v>363.90480000000025</v>
      </c>
    </row>
    <row r="6017" spans="1:4" x14ac:dyDescent="0.2">
      <c r="A6017" s="19" t="s">
        <v>150</v>
      </c>
      <c r="B6017" s="19">
        <v>91.96</v>
      </c>
      <c r="C6017" s="19">
        <v>2</v>
      </c>
      <c r="D6017" s="19">
        <v>15.633199999999988</v>
      </c>
    </row>
    <row r="6018" spans="1:4" x14ac:dyDescent="0.2">
      <c r="A6018" s="19" t="s">
        <v>150</v>
      </c>
      <c r="B6018" s="19">
        <v>33.11</v>
      </c>
      <c r="C6018" s="19">
        <v>7</v>
      </c>
      <c r="D6018" s="19">
        <v>12.912900000000004</v>
      </c>
    </row>
    <row r="6019" spans="1:4" x14ac:dyDescent="0.2">
      <c r="A6019" s="19" t="s">
        <v>150</v>
      </c>
      <c r="B6019" s="19">
        <v>19.440000000000001</v>
      </c>
      <c r="C6019" s="19">
        <v>3</v>
      </c>
      <c r="D6019" s="19">
        <v>9.3312000000000008</v>
      </c>
    </row>
    <row r="6020" spans="1:4" x14ac:dyDescent="0.2">
      <c r="A6020" s="19" t="s">
        <v>150</v>
      </c>
      <c r="B6020" s="19">
        <v>55.48</v>
      </c>
      <c r="C6020" s="19">
        <v>1</v>
      </c>
      <c r="D6020" s="19">
        <v>26.630399999999998</v>
      </c>
    </row>
    <row r="6021" spans="1:4" x14ac:dyDescent="0.2">
      <c r="A6021" s="19" t="s">
        <v>173</v>
      </c>
      <c r="B6021" s="19">
        <v>91.92</v>
      </c>
      <c r="C6021" s="19">
        <v>5</v>
      </c>
      <c r="D6021" s="19">
        <v>11.489999999999991</v>
      </c>
    </row>
    <row r="6022" spans="1:4" x14ac:dyDescent="0.2">
      <c r="A6022" s="19" t="s">
        <v>177</v>
      </c>
      <c r="B6022" s="19">
        <v>17.34</v>
      </c>
      <c r="C6022" s="19">
        <v>2</v>
      </c>
      <c r="D6022" s="19">
        <v>4.6818000000000008</v>
      </c>
    </row>
    <row r="6023" spans="1:4" x14ac:dyDescent="0.2">
      <c r="A6023" s="19" t="s">
        <v>177</v>
      </c>
      <c r="B6023" s="19">
        <v>71.98</v>
      </c>
      <c r="C6023" s="19">
        <v>2</v>
      </c>
      <c r="D6023" s="19">
        <v>15.1158</v>
      </c>
    </row>
    <row r="6024" spans="1:4" x14ac:dyDescent="0.2">
      <c r="A6024" s="19" t="s">
        <v>154</v>
      </c>
      <c r="B6024" s="19">
        <v>7.080000000000001</v>
      </c>
      <c r="C6024" s="19">
        <v>3</v>
      </c>
      <c r="D6024" s="19">
        <v>2.4779999999999989</v>
      </c>
    </row>
    <row r="6025" spans="1:4" x14ac:dyDescent="0.2">
      <c r="A6025" s="19" t="s">
        <v>182</v>
      </c>
      <c r="B6025" s="19">
        <v>69.98</v>
      </c>
      <c r="C6025" s="19">
        <v>2</v>
      </c>
      <c r="D6025" s="19">
        <v>4.8986000000000018</v>
      </c>
    </row>
    <row r="6026" spans="1:4" x14ac:dyDescent="0.2">
      <c r="A6026" s="19" t="s">
        <v>173</v>
      </c>
      <c r="B6026" s="19">
        <v>646.27200000000005</v>
      </c>
      <c r="C6026" s="19">
        <v>8</v>
      </c>
      <c r="D6026" s="19">
        <v>64.627199999999988</v>
      </c>
    </row>
    <row r="6027" spans="1:4" x14ac:dyDescent="0.2">
      <c r="A6027" s="19" t="s">
        <v>173</v>
      </c>
      <c r="B6027" s="19">
        <v>10.368000000000002</v>
      </c>
      <c r="C6027" s="19">
        <v>2</v>
      </c>
      <c r="D6027" s="19">
        <v>3.7584</v>
      </c>
    </row>
    <row r="6028" spans="1:4" x14ac:dyDescent="0.2">
      <c r="A6028" s="19" t="s">
        <v>153</v>
      </c>
      <c r="B6028" s="19">
        <v>8.4</v>
      </c>
      <c r="C6028" s="19">
        <v>5</v>
      </c>
      <c r="D6028" s="19">
        <v>0.33599999999999963</v>
      </c>
    </row>
    <row r="6029" spans="1:4" x14ac:dyDescent="0.2">
      <c r="A6029" s="19" t="s">
        <v>153</v>
      </c>
      <c r="B6029" s="19">
        <v>71.959999999999994</v>
      </c>
      <c r="C6029" s="19">
        <v>5</v>
      </c>
      <c r="D6029" s="19">
        <v>25.185999999999996</v>
      </c>
    </row>
    <row r="6030" spans="1:4" x14ac:dyDescent="0.2">
      <c r="A6030" s="19" t="s">
        <v>152</v>
      </c>
      <c r="B6030" s="19">
        <v>18.48</v>
      </c>
      <c r="C6030" s="19">
        <v>2</v>
      </c>
      <c r="D6030" s="19">
        <v>6.0059999999999993</v>
      </c>
    </row>
    <row r="6031" spans="1:4" x14ac:dyDescent="0.2">
      <c r="A6031" s="19" t="s">
        <v>150</v>
      </c>
      <c r="B6031" s="19">
        <v>9.84</v>
      </c>
      <c r="C6031" s="19">
        <v>3</v>
      </c>
      <c r="D6031" s="19">
        <v>2.8535999999999988</v>
      </c>
    </row>
    <row r="6032" spans="1:4" x14ac:dyDescent="0.2">
      <c r="A6032" s="19" t="s">
        <v>151</v>
      </c>
      <c r="B6032" s="19">
        <v>239.24</v>
      </c>
      <c r="C6032" s="19">
        <v>1</v>
      </c>
      <c r="D6032" s="19">
        <v>23.924000000000007</v>
      </c>
    </row>
    <row r="6033" spans="1:4" x14ac:dyDescent="0.2">
      <c r="A6033" s="19" t="s">
        <v>186</v>
      </c>
      <c r="B6033" s="19">
        <v>21.12</v>
      </c>
      <c r="C6033" s="19">
        <v>4</v>
      </c>
      <c r="D6033" s="19">
        <v>6.5471999999999984</v>
      </c>
    </row>
    <row r="6034" spans="1:4" x14ac:dyDescent="0.2">
      <c r="A6034" s="19" t="s">
        <v>164</v>
      </c>
      <c r="B6034" s="19">
        <v>54.900000000000006</v>
      </c>
      <c r="C6034" s="19">
        <v>5</v>
      </c>
      <c r="D6034" s="19">
        <v>15.372000000000003</v>
      </c>
    </row>
    <row r="6035" spans="1:4" x14ac:dyDescent="0.2">
      <c r="A6035" s="19" t="s">
        <v>150</v>
      </c>
      <c r="B6035" s="19">
        <v>15.24</v>
      </c>
      <c r="C6035" s="19">
        <v>3</v>
      </c>
      <c r="D6035" s="19">
        <v>5.1815999999999995</v>
      </c>
    </row>
    <row r="6036" spans="1:4" x14ac:dyDescent="0.2">
      <c r="A6036" s="19" t="s">
        <v>154</v>
      </c>
      <c r="B6036" s="19">
        <v>19.567999999999998</v>
      </c>
      <c r="C6036" s="19">
        <v>2</v>
      </c>
      <c r="D6036" s="19">
        <v>-52.833600000000004</v>
      </c>
    </row>
    <row r="6037" spans="1:4" x14ac:dyDescent="0.2">
      <c r="A6037" s="19" t="s">
        <v>154</v>
      </c>
      <c r="B6037" s="19">
        <v>310.39199999999994</v>
      </c>
      <c r="C6037" s="19">
        <v>4</v>
      </c>
      <c r="D6037" s="19">
        <v>-512.14680000000021</v>
      </c>
    </row>
    <row r="6038" spans="1:4" x14ac:dyDescent="0.2">
      <c r="A6038" s="19" t="s">
        <v>149</v>
      </c>
      <c r="B6038" s="19">
        <v>42.599999999999994</v>
      </c>
      <c r="C6038" s="19">
        <v>3</v>
      </c>
      <c r="D6038" s="19">
        <v>16.614000000000001</v>
      </c>
    </row>
    <row r="6039" spans="1:4" x14ac:dyDescent="0.2">
      <c r="A6039" s="19" t="s">
        <v>149</v>
      </c>
      <c r="B6039" s="19">
        <v>113.94</v>
      </c>
      <c r="C6039" s="19">
        <v>6</v>
      </c>
      <c r="D6039" s="19">
        <v>54.691199999999995</v>
      </c>
    </row>
    <row r="6040" spans="1:4" x14ac:dyDescent="0.2">
      <c r="A6040" s="19" t="s">
        <v>149</v>
      </c>
      <c r="B6040" s="19">
        <v>129.91999999999999</v>
      </c>
      <c r="C6040" s="19">
        <v>4</v>
      </c>
      <c r="D6040" s="19">
        <v>5.1967999999999961</v>
      </c>
    </row>
    <row r="6041" spans="1:4" x14ac:dyDescent="0.2">
      <c r="A6041" s="19" t="s">
        <v>149</v>
      </c>
      <c r="B6041" s="19">
        <v>5.28</v>
      </c>
      <c r="C6041" s="19">
        <v>3</v>
      </c>
      <c r="D6041" s="19">
        <v>2.5343999999999998</v>
      </c>
    </row>
    <row r="6042" spans="1:4" x14ac:dyDescent="0.2">
      <c r="A6042" s="19" t="s">
        <v>150</v>
      </c>
      <c r="B6042" s="19">
        <v>859.2</v>
      </c>
      <c r="C6042" s="19">
        <v>3</v>
      </c>
      <c r="D6042" s="19">
        <v>75.180000000000064</v>
      </c>
    </row>
    <row r="6043" spans="1:4" x14ac:dyDescent="0.2">
      <c r="A6043" s="19" t="s">
        <v>150</v>
      </c>
      <c r="B6043" s="19">
        <v>506.28</v>
      </c>
      <c r="C6043" s="19">
        <v>3</v>
      </c>
      <c r="D6043" s="19">
        <v>177.19799999999998</v>
      </c>
    </row>
    <row r="6044" spans="1:4" x14ac:dyDescent="0.2">
      <c r="A6044" s="19" t="s">
        <v>165</v>
      </c>
      <c r="B6044" s="19">
        <v>14.368000000000002</v>
      </c>
      <c r="C6044" s="19">
        <v>2</v>
      </c>
      <c r="D6044" s="19">
        <v>3.9512</v>
      </c>
    </row>
    <row r="6045" spans="1:4" x14ac:dyDescent="0.2">
      <c r="A6045" s="19" t="s">
        <v>167</v>
      </c>
      <c r="B6045" s="19">
        <v>314.35199999999998</v>
      </c>
      <c r="C6045" s="19">
        <v>3</v>
      </c>
      <c r="D6045" s="19">
        <v>-35.36460000000001</v>
      </c>
    </row>
    <row r="6046" spans="1:4" x14ac:dyDescent="0.2">
      <c r="A6046" s="19" t="s">
        <v>167</v>
      </c>
      <c r="B6046" s="19">
        <v>27.888000000000002</v>
      </c>
      <c r="C6046" s="19">
        <v>7</v>
      </c>
      <c r="D6046" s="19">
        <v>10.109400000000001</v>
      </c>
    </row>
    <row r="6047" spans="1:4" x14ac:dyDescent="0.2">
      <c r="A6047" s="19" t="s">
        <v>165</v>
      </c>
      <c r="B6047" s="19">
        <v>238.15200000000004</v>
      </c>
      <c r="C6047" s="19">
        <v>3</v>
      </c>
      <c r="D6047" s="19">
        <v>89.306999999999988</v>
      </c>
    </row>
    <row r="6048" spans="1:4" x14ac:dyDescent="0.2">
      <c r="A6048" s="19" t="s">
        <v>160</v>
      </c>
      <c r="B6048" s="19">
        <v>692.93999999999994</v>
      </c>
      <c r="C6048" s="19">
        <v>3</v>
      </c>
      <c r="D6048" s="19">
        <v>173.23500000000001</v>
      </c>
    </row>
    <row r="6049" spans="1:4" x14ac:dyDescent="0.2">
      <c r="A6049" s="19" t="s">
        <v>151</v>
      </c>
      <c r="B6049" s="19">
        <v>16.146000000000004</v>
      </c>
      <c r="C6049" s="19">
        <v>9</v>
      </c>
      <c r="D6049" s="19">
        <v>-12.916800000000002</v>
      </c>
    </row>
    <row r="6050" spans="1:4" x14ac:dyDescent="0.2">
      <c r="A6050" s="19" t="s">
        <v>151</v>
      </c>
      <c r="B6050" s="19">
        <v>1345.4850000000001</v>
      </c>
      <c r="C6050" s="19">
        <v>5</v>
      </c>
      <c r="D6050" s="19">
        <v>-1031.5385000000001</v>
      </c>
    </row>
    <row r="6051" spans="1:4" x14ac:dyDescent="0.2">
      <c r="A6051" s="19" t="s">
        <v>154</v>
      </c>
      <c r="B6051" s="19">
        <v>173.48800000000003</v>
      </c>
      <c r="C6051" s="19">
        <v>7</v>
      </c>
      <c r="D6051" s="19">
        <v>54.214999999999982</v>
      </c>
    </row>
    <row r="6052" spans="1:4" x14ac:dyDescent="0.2">
      <c r="A6052" s="19" t="s">
        <v>155</v>
      </c>
      <c r="B6052" s="19">
        <v>57.75</v>
      </c>
      <c r="C6052" s="19">
        <v>5</v>
      </c>
      <c r="D6052" s="19">
        <v>16.170000000000002</v>
      </c>
    </row>
    <row r="6053" spans="1:4" x14ac:dyDescent="0.2">
      <c r="A6053" s="19" t="s">
        <v>155</v>
      </c>
      <c r="B6053" s="19">
        <v>272.39999999999998</v>
      </c>
      <c r="C6053" s="19">
        <v>5</v>
      </c>
      <c r="D6053" s="19">
        <v>76.27200000000002</v>
      </c>
    </row>
    <row r="6054" spans="1:4" x14ac:dyDescent="0.2">
      <c r="A6054" s="19" t="s">
        <v>173</v>
      </c>
      <c r="B6054" s="19">
        <v>11.952000000000002</v>
      </c>
      <c r="C6054" s="19">
        <v>3</v>
      </c>
      <c r="D6054" s="19">
        <v>4.0338000000000003</v>
      </c>
    </row>
    <row r="6055" spans="1:4" x14ac:dyDescent="0.2">
      <c r="A6055" s="19" t="s">
        <v>173</v>
      </c>
      <c r="B6055" s="19">
        <v>28</v>
      </c>
      <c r="C6055" s="19">
        <v>4</v>
      </c>
      <c r="D6055" s="19">
        <v>7.7000000000000028</v>
      </c>
    </row>
    <row r="6056" spans="1:4" x14ac:dyDescent="0.2">
      <c r="A6056" s="19" t="s">
        <v>173</v>
      </c>
      <c r="B6056" s="19">
        <v>12.201000000000001</v>
      </c>
      <c r="C6056" s="19">
        <v>7</v>
      </c>
      <c r="D6056" s="19">
        <v>-9.7607999999999961</v>
      </c>
    </row>
    <row r="6057" spans="1:4" x14ac:dyDescent="0.2">
      <c r="A6057" s="19" t="s">
        <v>154</v>
      </c>
      <c r="B6057" s="19">
        <v>2.0679999999999996</v>
      </c>
      <c r="C6057" s="19">
        <v>1</v>
      </c>
      <c r="D6057" s="19">
        <v>-3.4122000000000003</v>
      </c>
    </row>
    <row r="6058" spans="1:4" x14ac:dyDescent="0.2">
      <c r="A6058" s="19" t="s">
        <v>154</v>
      </c>
      <c r="B6058" s="19">
        <v>83.84</v>
      </c>
      <c r="C6058" s="19">
        <v>8</v>
      </c>
      <c r="D6058" s="19">
        <v>30.391999999999996</v>
      </c>
    </row>
    <row r="6059" spans="1:4" x14ac:dyDescent="0.2">
      <c r="A6059" s="19" t="s">
        <v>164</v>
      </c>
      <c r="B6059" s="19">
        <v>11.36</v>
      </c>
      <c r="C6059" s="19">
        <v>2</v>
      </c>
      <c r="D6059" s="19">
        <v>5.3391999999999991</v>
      </c>
    </row>
    <row r="6060" spans="1:4" x14ac:dyDescent="0.2">
      <c r="A6060" s="19" t="s">
        <v>164</v>
      </c>
      <c r="B6060" s="19">
        <v>36.4</v>
      </c>
      <c r="C6060" s="19">
        <v>5</v>
      </c>
      <c r="D6060" s="19">
        <v>17.472000000000001</v>
      </c>
    </row>
    <row r="6061" spans="1:4" x14ac:dyDescent="0.2">
      <c r="A6061" s="19" t="s">
        <v>158</v>
      </c>
      <c r="B6061" s="19">
        <v>27.968000000000004</v>
      </c>
      <c r="C6061" s="19">
        <v>2</v>
      </c>
      <c r="D6061" s="19">
        <v>6.9920000000000009</v>
      </c>
    </row>
    <row r="6062" spans="1:4" x14ac:dyDescent="0.2">
      <c r="A6062" s="19" t="s">
        <v>164</v>
      </c>
      <c r="B6062" s="19">
        <v>142.04</v>
      </c>
      <c r="C6062" s="19">
        <v>4</v>
      </c>
      <c r="D6062" s="19">
        <v>38.350800000000007</v>
      </c>
    </row>
    <row r="6063" spans="1:4" x14ac:dyDescent="0.2">
      <c r="A6063" s="19" t="s">
        <v>164</v>
      </c>
      <c r="B6063" s="19">
        <v>14.669999999999998</v>
      </c>
      <c r="C6063" s="19">
        <v>3</v>
      </c>
      <c r="D6063" s="19">
        <v>6.0147000000000004</v>
      </c>
    </row>
    <row r="6064" spans="1:4" x14ac:dyDescent="0.2">
      <c r="A6064" s="19" t="s">
        <v>150</v>
      </c>
      <c r="B6064" s="19">
        <v>1199.96</v>
      </c>
      <c r="C6064" s="19">
        <v>5</v>
      </c>
      <c r="D6064" s="19">
        <v>224.99249999999995</v>
      </c>
    </row>
    <row r="6065" spans="1:4" x14ac:dyDescent="0.2">
      <c r="A6065" s="19" t="s">
        <v>150</v>
      </c>
      <c r="B6065" s="19">
        <v>12.600000000000001</v>
      </c>
      <c r="C6065" s="19">
        <v>3</v>
      </c>
      <c r="D6065" s="19">
        <v>6.1739999999999995</v>
      </c>
    </row>
    <row r="6066" spans="1:4" x14ac:dyDescent="0.2">
      <c r="A6066" s="19" t="s">
        <v>150</v>
      </c>
      <c r="B6066" s="19">
        <v>17.940000000000001</v>
      </c>
      <c r="C6066" s="19">
        <v>3</v>
      </c>
      <c r="D6066" s="19">
        <v>8.0730000000000004</v>
      </c>
    </row>
    <row r="6067" spans="1:4" x14ac:dyDescent="0.2">
      <c r="A6067" s="19" t="s">
        <v>158</v>
      </c>
      <c r="B6067" s="19">
        <v>23.904000000000003</v>
      </c>
      <c r="C6067" s="19">
        <v>6</v>
      </c>
      <c r="D6067" s="19">
        <v>7.7687999999999988</v>
      </c>
    </row>
    <row r="6068" spans="1:4" x14ac:dyDescent="0.2">
      <c r="A6068" s="19" t="s">
        <v>167</v>
      </c>
      <c r="B6068" s="19">
        <v>88.960000000000008</v>
      </c>
      <c r="C6068" s="19">
        <v>8</v>
      </c>
      <c r="D6068" s="19">
        <v>10.007999999999988</v>
      </c>
    </row>
    <row r="6069" spans="1:4" x14ac:dyDescent="0.2">
      <c r="A6069" s="19" t="s">
        <v>150</v>
      </c>
      <c r="B6069" s="19">
        <v>518.27200000000005</v>
      </c>
      <c r="C6069" s="19">
        <v>8</v>
      </c>
      <c r="D6069" s="19">
        <v>-97.176000000000073</v>
      </c>
    </row>
    <row r="6070" spans="1:4" x14ac:dyDescent="0.2">
      <c r="A6070" s="19" t="s">
        <v>150</v>
      </c>
      <c r="B6070" s="19">
        <v>6.98</v>
      </c>
      <c r="C6070" s="19">
        <v>1</v>
      </c>
      <c r="D6070" s="19">
        <v>3.3504</v>
      </c>
    </row>
    <row r="6071" spans="1:4" x14ac:dyDescent="0.2">
      <c r="A6071" s="19" t="s">
        <v>150</v>
      </c>
      <c r="B6071" s="19">
        <v>343.20000000000005</v>
      </c>
      <c r="C6071" s="19">
        <v>1</v>
      </c>
      <c r="D6071" s="19">
        <v>38.609999999999957</v>
      </c>
    </row>
    <row r="6072" spans="1:4" x14ac:dyDescent="0.2">
      <c r="A6072" s="19" t="s">
        <v>158</v>
      </c>
      <c r="B6072" s="19">
        <v>17.544</v>
      </c>
      <c r="C6072" s="19">
        <v>3</v>
      </c>
      <c r="D6072" s="19">
        <v>5.9210999999999983</v>
      </c>
    </row>
    <row r="6073" spans="1:4" x14ac:dyDescent="0.2">
      <c r="A6073" s="19" t="s">
        <v>154</v>
      </c>
      <c r="B6073" s="19">
        <v>152.68800000000002</v>
      </c>
      <c r="C6073" s="19">
        <v>2</v>
      </c>
      <c r="D6073" s="19">
        <v>-26.720400000000019</v>
      </c>
    </row>
    <row r="6074" spans="1:4" x14ac:dyDescent="0.2">
      <c r="A6074" s="19" t="s">
        <v>154</v>
      </c>
      <c r="B6074" s="19">
        <v>3.4880000000000004</v>
      </c>
      <c r="C6074" s="19">
        <v>2</v>
      </c>
      <c r="D6074" s="19">
        <v>0.56679999999999997</v>
      </c>
    </row>
    <row r="6075" spans="1:4" x14ac:dyDescent="0.2">
      <c r="A6075" s="19" t="s">
        <v>154</v>
      </c>
      <c r="B6075" s="19">
        <v>5.8880000000000008</v>
      </c>
      <c r="C6075" s="19">
        <v>2</v>
      </c>
      <c r="D6075" s="19">
        <v>-1.3248000000000004</v>
      </c>
    </row>
    <row r="6076" spans="1:4" x14ac:dyDescent="0.2">
      <c r="A6076" s="19" t="s">
        <v>150</v>
      </c>
      <c r="B6076" s="19">
        <v>153.55199999999999</v>
      </c>
      <c r="C6076" s="19">
        <v>3</v>
      </c>
      <c r="D6076" s="19">
        <v>51.823799999999999</v>
      </c>
    </row>
    <row r="6077" spans="1:4" x14ac:dyDescent="0.2">
      <c r="A6077" s="19" t="s">
        <v>150</v>
      </c>
      <c r="B6077" s="19">
        <v>270.62</v>
      </c>
      <c r="C6077" s="19">
        <v>2</v>
      </c>
      <c r="D6077" s="19">
        <v>2.7062000000000239</v>
      </c>
    </row>
    <row r="6078" spans="1:4" x14ac:dyDescent="0.2">
      <c r="A6078" s="19" t="s">
        <v>164</v>
      </c>
      <c r="B6078" s="19">
        <v>468.90000000000003</v>
      </c>
      <c r="C6078" s="19">
        <v>6</v>
      </c>
      <c r="D6078" s="19">
        <v>206.31600000000006</v>
      </c>
    </row>
    <row r="6079" spans="1:4" x14ac:dyDescent="0.2">
      <c r="A6079" s="19" t="s">
        <v>164</v>
      </c>
      <c r="B6079" s="19">
        <v>72.48</v>
      </c>
      <c r="C6079" s="19">
        <v>2</v>
      </c>
      <c r="D6079" s="19">
        <v>30.441600000000001</v>
      </c>
    </row>
    <row r="6080" spans="1:4" x14ac:dyDescent="0.2">
      <c r="A6080" s="19" t="s">
        <v>164</v>
      </c>
      <c r="B6080" s="19">
        <v>10.95</v>
      </c>
      <c r="C6080" s="19">
        <v>3</v>
      </c>
      <c r="D6080" s="19">
        <v>3.2849999999999993</v>
      </c>
    </row>
    <row r="6081" spans="1:4" x14ac:dyDescent="0.2">
      <c r="A6081" s="19" t="s">
        <v>164</v>
      </c>
      <c r="B6081" s="19">
        <v>191.82</v>
      </c>
      <c r="C6081" s="19">
        <v>3</v>
      </c>
      <c r="D6081" s="19">
        <v>61.382399999999997</v>
      </c>
    </row>
    <row r="6082" spans="1:4" x14ac:dyDescent="0.2">
      <c r="A6082" s="19" t="s">
        <v>154</v>
      </c>
      <c r="B6082" s="19">
        <v>151.05600000000001</v>
      </c>
      <c r="C6082" s="19">
        <v>9</v>
      </c>
      <c r="D6082" s="19">
        <v>7.5527999999999977</v>
      </c>
    </row>
    <row r="6083" spans="1:4" x14ac:dyDescent="0.2">
      <c r="A6083" s="19" t="s">
        <v>154</v>
      </c>
      <c r="B6083" s="19">
        <v>25.16</v>
      </c>
      <c r="C6083" s="19">
        <v>5</v>
      </c>
      <c r="D6083" s="19">
        <v>-11.321999999999999</v>
      </c>
    </row>
    <row r="6084" spans="1:4" x14ac:dyDescent="0.2">
      <c r="A6084" s="19" t="s">
        <v>154</v>
      </c>
      <c r="B6084" s="19">
        <v>6.2159999999999993</v>
      </c>
      <c r="C6084" s="19">
        <v>6</v>
      </c>
      <c r="D6084" s="19">
        <v>-9.634800000000002</v>
      </c>
    </row>
    <row r="6085" spans="1:4" x14ac:dyDescent="0.2">
      <c r="A6085" s="19" t="s">
        <v>154</v>
      </c>
      <c r="B6085" s="19">
        <v>23.616</v>
      </c>
      <c r="C6085" s="19">
        <v>9</v>
      </c>
      <c r="D6085" s="19">
        <v>2.6567999999999969</v>
      </c>
    </row>
    <row r="6086" spans="1:4" x14ac:dyDescent="0.2">
      <c r="A6086" s="19" t="s">
        <v>154</v>
      </c>
      <c r="B6086" s="19">
        <v>24.032</v>
      </c>
      <c r="C6086" s="19">
        <v>2</v>
      </c>
      <c r="D6086" s="19">
        <v>-0.60080000000000044</v>
      </c>
    </row>
    <row r="6087" spans="1:4" x14ac:dyDescent="0.2">
      <c r="A6087" s="19" t="s">
        <v>154</v>
      </c>
      <c r="B6087" s="19">
        <v>2.0880000000000001</v>
      </c>
      <c r="C6087" s="19">
        <v>1</v>
      </c>
      <c r="D6087" s="19">
        <v>0.67859999999999987</v>
      </c>
    </row>
    <row r="6088" spans="1:4" x14ac:dyDescent="0.2">
      <c r="A6088" s="19" t="s">
        <v>154</v>
      </c>
      <c r="B6088" s="19">
        <v>4.4879999999999995</v>
      </c>
      <c r="C6088" s="19">
        <v>6</v>
      </c>
      <c r="D6088" s="19">
        <v>-6.7320000000000011</v>
      </c>
    </row>
    <row r="6089" spans="1:4" x14ac:dyDescent="0.2">
      <c r="A6089" s="19" t="s">
        <v>150</v>
      </c>
      <c r="B6089" s="19">
        <v>29.22</v>
      </c>
      <c r="C6089" s="19">
        <v>3</v>
      </c>
      <c r="D6089" s="19">
        <v>12.856800000000002</v>
      </c>
    </row>
    <row r="6090" spans="1:4" x14ac:dyDescent="0.2">
      <c r="A6090" s="19" t="s">
        <v>101</v>
      </c>
      <c r="B6090" s="19">
        <v>6.48</v>
      </c>
      <c r="C6090" s="19">
        <v>1</v>
      </c>
      <c r="D6090" s="19">
        <v>3.1104000000000003</v>
      </c>
    </row>
    <row r="6091" spans="1:4" x14ac:dyDescent="0.2">
      <c r="A6091" s="19" t="s">
        <v>171</v>
      </c>
      <c r="B6091" s="19">
        <v>1.1880000000000002</v>
      </c>
      <c r="C6091" s="19">
        <v>2</v>
      </c>
      <c r="D6091" s="19">
        <v>-0.98999999999999977</v>
      </c>
    </row>
    <row r="6092" spans="1:4" x14ac:dyDescent="0.2">
      <c r="A6092" s="19" t="s">
        <v>164</v>
      </c>
      <c r="B6092" s="19">
        <v>272.64600000000002</v>
      </c>
      <c r="C6092" s="19">
        <v>3</v>
      </c>
      <c r="D6092" s="19">
        <v>18.176400000000008</v>
      </c>
    </row>
    <row r="6093" spans="1:4" x14ac:dyDescent="0.2">
      <c r="A6093" s="19" t="s">
        <v>164</v>
      </c>
      <c r="B6093" s="19">
        <v>212.8</v>
      </c>
      <c r="C6093" s="19">
        <v>2</v>
      </c>
      <c r="D6093" s="19">
        <v>95.759999999999991</v>
      </c>
    </row>
    <row r="6094" spans="1:4" x14ac:dyDescent="0.2">
      <c r="A6094" s="19" t="s">
        <v>164</v>
      </c>
      <c r="B6094" s="19">
        <v>38.520000000000003</v>
      </c>
      <c r="C6094" s="19">
        <v>9</v>
      </c>
      <c r="D6094" s="19">
        <v>18.104400000000002</v>
      </c>
    </row>
    <row r="6095" spans="1:4" x14ac:dyDescent="0.2">
      <c r="A6095" s="19" t="s">
        <v>164</v>
      </c>
      <c r="B6095" s="19">
        <v>72.64</v>
      </c>
      <c r="C6095" s="19">
        <v>2</v>
      </c>
      <c r="D6095" s="19">
        <v>21.791999999999994</v>
      </c>
    </row>
    <row r="6096" spans="1:4" x14ac:dyDescent="0.2">
      <c r="A6096" s="19" t="s">
        <v>164</v>
      </c>
      <c r="B6096" s="19">
        <v>45.4</v>
      </c>
      <c r="C6096" s="19">
        <v>4</v>
      </c>
      <c r="D6096" s="19">
        <v>12.712000000000003</v>
      </c>
    </row>
    <row r="6097" spans="1:4" x14ac:dyDescent="0.2">
      <c r="A6097" s="19" t="s">
        <v>164</v>
      </c>
      <c r="B6097" s="19">
        <v>13.76</v>
      </c>
      <c r="C6097" s="19">
        <v>2</v>
      </c>
      <c r="D6097" s="19">
        <v>6.3295999999999992</v>
      </c>
    </row>
    <row r="6098" spans="1:4" x14ac:dyDescent="0.2">
      <c r="A6098" s="19" t="s">
        <v>164</v>
      </c>
      <c r="B6098" s="19">
        <v>80.991</v>
      </c>
      <c r="C6098" s="19">
        <v>1</v>
      </c>
      <c r="D6098" s="19">
        <v>8.0990999999999875</v>
      </c>
    </row>
    <row r="6099" spans="1:4" x14ac:dyDescent="0.2">
      <c r="A6099" s="19" t="s">
        <v>164</v>
      </c>
      <c r="B6099" s="19">
        <v>11.784000000000001</v>
      </c>
      <c r="C6099" s="19">
        <v>3</v>
      </c>
      <c r="D6099" s="19">
        <v>3.9770999999999996</v>
      </c>
    </row>
    <row r="6100" spans="1:4" x14ac:dyDescent="0.2">
      <c r="A6100" s="19" t="s">
        <v>164</v>
      </c>
      <c r="B6100" s="19">
        <v>4.3600000000000003</v>
      </c>
      <c r="C6100" s="19">
        <v>2</v>
      </c>
      <c r="D6100" s="19">
        <v>1.7876000000000003</v>
      </c>
    </row>
    <row r="6101" spans="1:4" x14ac:dyDescent="0.2">
      <c r="A6101" s="19" t="s">
        <v>164</v>
      </c>
      <c r="B6101" s="19">
        <v>2888.1270000000004</v>
      </c>
      <c r="C6101" s="19">
        <v>11</v>
      </c>
      <c r="D6101" s="19">
        <v>609.71569999999997</v>
      </c>
    </row>
    <row r="6102" spans="1:4" x14ac:dyDescent="0.2">
      <c r="A6102" s="19" t="s">
        <v>164</v>
      </c>
      <c r="B6102" s="19">
        <v>1299.6600000000001</v>
      </c>
      <c r="C6102" s="19">
        <v>2</v>
      </c>
      <c r="D6102" s="19">
        <v>350.90820000000008</v>
      </c>
    </row>
    <row r="6103" spans="1:4" x14ac:dyDescent="0.2">
      <c r="A6103" s="19" t="s">
        <v>164</v>
      </c>
      <c r="B6103" s="19">
        <v>2254.41</v>
      </c>
      <c r="C6103" s="19">
        <v>5</v>
      </c>
      <c r="D6103" s="19">
        <v>375.73500000000001</v>
      </c>
    </row>
    <row r="6104" spans="1:4" x14ac:dyDescent="0.2">
      <c r="A6104" s="19" t="s">
        <v>164</v>
      </c>
      <c r="B6104" s="19">
        <v>104.85000000000001</v>
      </c>
      <c r="C6104" s="19">
        <v>3</v>
      </c>
      <c r="D6104" s="19">
        <v>28.309500000000007</v>
      </c>
    </row>
    <row r="6105" spans="1:4" x14ac:dyDescent="0.2">
      <c r="A6105" s="19" t="s">
        <v>164</v>
      </c>
      <c r="B6105" s="19">
        <v>59.97</v>
      </c>
      <c r="C6105" s="19">
        <v>3</v>
      </c>
      <c r="D6105" s="19">
        <v>20.389799999999994</v>
      </c>
    </row>
    <row r="6106" spans="1:4" x14ac:dyDescent="0.2">
      <c r="A6106" s="19" t="s">
        <v>158</v>
      </c>
      <c r="B6106" s="19">
        <v>314.53199999999998</v>
      </c>
      <c r="C6106" s="19">
        <v>2</v>
      </c>
      <c r="D6106" s="19">
        <v>-83.875200000000035</v>
      </c>
    </row>
    <row r="6107" spans="1:4" x14ac:dyDescent="0.2">
      <c r="A6107" s="19" t="s">
        <v>151</v>
      </c>
      <c r="B6107" s="19">
        <v>13.632</v>
      </c>
      <c r="C6107" s="19">
        <v>4</v>
      </c>
      <c r="D6107" s="19">
        <v>3.5783999999999998</v>
      </c>
    </row>
    <row r="6108" spans="1:4" x14ac:dyDescent="0.2">
      <c r="A6108" s="19" t="s">
        <v>154</v>
      </c>
      <c r="B6108" s="19">
        <v>19.431999999999995</v>
      </c>
      <c r="C6108" s="19">
        <v>2</v>
      </c>
      <c r="D6108" s="19">
        <v>-49.551600000000022</v>
      </c>
    </row>
    <row r="6109" spans="1:4" x14ac:dyDescent="0.2">
      <c r="A6109" s="19" t="s">
        <v>154</v>
      </c>
      <c r="B6109" s="19">
        <v>65.44</v>
      </c>
      <c r="C6109" s="19">
        <v>5</v>
      </c>
      <c r="D6109" s="19">
        <v>-8.1800000000000033</v>
      </c>
    </row>
    <row r="6110" spans="1:4" x14ac:dyDescent="0.2">
      <c r="A6110" s="19" t="s">
        <v>159</v>
      </c>
      <c r="B6110" s="19">
        <v>6</v>
      </c>
      <c r="C6110" s="19">
        <v>2</v>
      </c>
      <c r="D6110" s="19">
        <v>2.0999999999999996</v>
      </c>
    </row>
    <row r="6111" spans="1:4" x14ac:dyDescent="0.2">
      <c r="A6111" s="19" t="s">
        <v>159</v>
      </c>
      <c r="B6111" s="19">
        <v>1.9079999999999997</v>
      </c>
      <c r="C6111" s="19">
        <v>3</v>
      </c>
      <c r="D6111" s="19">
        <v>-3.2436000000000016</v>
      </c>
    </row>
    <row r="6112" spans="1:4" x14ac:dyDescent="0.2">
      <c r="A6112" s="19" t="s">
        <v>173</v>
      </c>
      <c r="B6112" s="19">
        <v>1474.8020000000001</v>
      </c>
      <c r="C6112" s="19">
        <v>7</v>
      </c>
      <c r="D6112" s="19">
        <v>-21.068600000000174</v>
      </c>
    </row>
    <row r="6113" spans="1:4" x14ac:dyDescent="0.2">
      <c r="A6113" s="19" t="s">
        <v>173</v>
      </c>
      <c r="B6113" s="19">
        <v>110.096</v>
      </c>
      <c r="C6113" s="19">
        <v>2</v>
      </c>
      <c r="D6113" s="19">
        <v>33.028800000000004</v>
      </c>
    </row>
    <row r="6114" spans="1:4" x14ac:dyDescent="0.2">
      <c r="A6114" s="19" t="s">
        <v>173</v>
      </c>
      <c r="B6114" s="19">
        <v>16.752000000000002</v>
      </c>
      <c r="C6114" s="19">
        <v>6</v>
      </c>
      <c r="D6114" s="19">
        <v>5.4443999999999999</v>
      </c>
    </row>
    <row r="6115" spans="1:4" x14ac:dyDescent="0.2">
      <c r="A6115" s="19" t="s">
        <v>173</v>
      </c>
      <c r="B6115" s="19">
        <v>1537.0739999999998</v>
      </c>
      <c r="C6115" s="19">
        <v>9</v>
      </c>
      <c r="D6115" s="19">
        <v>0</v>
      </c>
    </row>
    <row r="6116" spans="1:4" x14ac:dyDescent="0.2">
      <c r="A6116" s="19" t="s">
        <v>173</v>
      </c>
      <c r="B6116" s="19">
        <v>449.37200000000001</v>
      </c>
      <c r="C6116" s="19">
        <v>2</v>
      </c>
      <c r="D6116" s="19">
        <v>-12.839199999999977</v>
      </c>
    </row>
    <row r="6117" spans="1:4" x14ac:dyDescent="0.2">
      <c r="A6117" s="19" t="s">
        <v>150</v>
      </c>
      <c r="B6117" s="19">
        <v>41.904000000000003</v>
      </c>
      <c r="C6117" s="19">
        <v>6</v>
      </c>
      <c r="D6117" s="19">
        <v>14.142599999999996</v>
      </c>
    </row>
    <row r="6118" spans="1:4" x14ac:dyDescent="0.2">
      <c r="A6118" s="19" t="s">
        <v>164</v>
      </c>
      <c r="B6118" s="19">
        <v>2279.96</v>
      </c>
      <c r="C6118" s="19">
        <v>4</v>
      </c>
      <c r="D6118" s="19">
        <v>592.78960000000006</v>
      </c>
    </row>
    <row r="6119" spans="1:4" x14ac:dyDescent="0.2">
      <c r="A6119" s="19" t="s">
        <v>164</v>
      </c>
      <c r="B6119" s="19">
        <v>14.940000000000001</v>
      </c>
      <c r="C6119" s="19">
        <v>3</v>
      </c>
      <c r="D6119" s="19">
        <v>6.8723999999999998</v>
      </c>
    </row>
    <row r="6120" spans="1:4" x14ac:dyDescent="0.2">
      <c r="A6120" s="19" t="s">
        <v>170</v>
      </c>
      <c r="B6120" s="19">
        <v>191.976</v>
      </c>
      <c r="C6120" s="19">
        <v>3</v>
      </c>
      <c r="D6120" s="19">
        <v>19.197599999999994</v>
      </c>
    </row>
    <row r="6121" spans="1:4" x14ac:dyDescent="0.2">
      <c r="A6121" s="19" t="s">
        <v>170</v>
      </c>
      <c r="B6121" s="19">
        <v>23.832000000000001</v>
      </c>
      <c r="C6121" s="19">
        <v>3</v>
      </c>
      <c r="D6121" s="19">
        <v>6.5538000000000007</v>
      </c>
    </row>
    <row r="6122" spans="1:4" x14ac:dyDescent="0.2">
      <c r="A6122" s="19" t="s">
        <v>170</v>
      </c>
      <c r="B6122" s="19">
        <v>409.21600000000001</v>
      </c>
      <c r="C6122" s="19">
        <v>8</v>
      </c>
      <c r="D6122" s="19">
        <v>61.38239999999999</v>
      </c>
    </row>
    <row r="6123" spans="1:4" x14ac:dyDescent="0.2">
      <c r="A6123" s="19" t="s">
        <v>170</v>
      </c>
      <c r="B6123" s="19">
        <v>72.588000000000008</v>
      </c>
      <c r="C6123" s="19">
        <v>2</v>
      </c>
      <c r="D6123" s="19">
        <v>-128.2388</v>
      </c>
    </row>
    <row r="6124" spans="1:4" x14ac:dyDescent="0.2">
      <c r="A6124" s="19" t="s">
        <v>159</v>
      </c>
      <c r="B6124" s="19">
        <v>61.567999999999998</v>
      </c>
      <c r="C6124" s="19">
        <v>2</v>
      </c>
      <c r="D6124" s="19">
        <v>4.6175999999999995</v>
      </c>
    </row>
    <row r="6125" spans="1:4" x14ac:dyDescent="0.2">
      <c r="A6125" s="19" t="s">
        <v>154</v>
      </c>
      <c r="B6125" s="19">
        <v>20.96</v>
      </c>
      <c r="C6125" s="19">
        <v>4</v>
      </c>
      <c r="D6125" s="19">
        <v>6.8119999999999994</v>
      </c>
    </row>
    <row r="6126" spans="1:4" x14ac:dyDescent="0.2">
      <c r="A6126" s="19" t="s">
        <v>150</v>
      </c>
      <c r="B6126" s="19">
        <v>44.75</v>
      </c>
      <c r="C6126" s="19">
        <v>5</v>
      </c>
      <c r="D6126" s="19">
        <v>8.5024999999999942</v>
      </c>
    </row>
    <row r="6127" spans="1:4" x14ac:dyDescent="0.2">
      <c r="A6127" s="19" t="s">
        <v>150</v>
      </c>
      <c r="B6127" s="19">
        <v>11.96</v>
      </c>
      <c r="C6127" s="19">
        <v>2</v>
      </c>
      <c r="D6127" s="19">
        <v>5.3819999999999997</v>
      </c>
    </row>
    <row r="6128" spans="1:4" x14ac:dyDescent="0.2">
      <c r="A6128" s="19" t="s">
        <v>150</v>
      </c>
      <c r="B6128" s="19">
        <v>3.9119999999999999</v>
      </c>
      <c r="C6128" s="19">
        <v>1</v>
      </c>
      <c r="D6128" s="19">
        <v>1.2713999999999996</v>
      </c>
    </row>
    <row r="6129" spans="1:4" x14ac:dyDescent="0.2">
      <c r="A6129" s="19" t="s">
        <v>164</v>
      </c>
      <c r="B6129" s="19">
        <v>327.99600000000004</v>
      </c>
      <c r="C6129" s="19">
        <v>6</v>
      </c>
      <c r="D6129" s="19">
        <v>54.666000000000011</v>
      </c>
    </row>
    <row r="6130" spans="1:4" x14ac:dyDescent="0.2">
      <c r="A6130" s="19" t="s">
        <v>150</v>
      </c>
      <c r="B6130" s="19">
        <v>49.408000000000001</v>
      </c>
      <c r="C6130" s="19">
        <v>4</v>
      </c>
      <c r="D6130" s="19">
        <v>18.527999999999999</v>
      </c>
    </row>
    <row r="6131" spans="1:4" x14ac:dyDescent="0.2">
      <c r="A6131" s="19" t="s">
        <v>166</v>
      </c>
      <c r="B6131" s="19">
        <v>53.25</v>
      </c>
      <c r="C6131" s="19">
        <v>3</v>
      </c>
      <c r="D6131" s="19">
        <v>20.767499999999998</v>
      </c>
    </row>
    <row r="6132" spans="1:4" x14ac:dyDescent="0.2">
      <c r="A6132" s="19" t="s">
        <v>166</v>
      </c>
      <c r="B6132" s="19">
        <v>3.76</v>
      </c>
      <c r="C6132" s="19">
        <v>2</v>
      </c>
      <c r="D6132" s="19">
        <v>1.3159999999999998</v>
      </c>
    </row>
    <row r="6133" spans="1:4" x14ac:dyDescent="0.2">
      <c r="A6133" s="19" t="s">
        <v>164</v>
      </c>
      <c r="B6133" s="19">
        <v>767.21400000000006</v>
      </c>
      <c r="C6133" s="19">
        <v>14</v>
      </c>
      <c r="D6133" s="19">
        <v>161.96739999999997</v>
      </c>
    </row>
    <row r="6134" spans="1:4" x14ac:dyDescent="0.2">
      <c r="A6134" s="19" t="s">
        <v>167</v>
      </c>
      <c r="B6134" s="19">
        <v>163.96</v>
      </c>
      <c r="C6134" s="19">
        <v>5</v>
      </c>
      <c r="D6134" s="19">
        <v>59.435499999999998</v>
      </c>
    </row>
    <row r="6135" spans="1:4" x14ac:dyDescent="0.2">
      <c r="A6135" s="19" t="s">
        <v>150</v>
      </c>
      <c r="B6135" s="19">
        <v>161.28</v>
      </c>
      <c r="C6135" s="19">
        <v>2</v>
      </c>
      <c r="D6135" s="19">
        <v>12.095999999999997</v>
      </c>
    </row>
    <row r="6136" spans="1:4" x14ac:dyDescent="0.2">
      <c r="A6136" s="19" t="s">
        <v>150</v>
      </c>
      <c r="B6136" s="19">
        <v>192.8</v>
      </c>
      <c r="C6136" s="19">
        <v>4</v>
      </c>
      <c r="D6136" s="19">
        <v>55.911999999999978</v>
      </c>
    </row>
    <row r="6137" spans="1:4" x14ac:dyDescent="0.2">
      <c r="A6137" s="19" t="s">
        <v>154</v>
      </c>
      <c r="B6137" s="19">
        <v>27.695999999999998</v>
      </c>
      <c r="C6137" s="19">
        <v>3</v>
      </c>
      <c r="D6137" s="19">
        <v>3.4619999999999997</v>
      </c>
    </row>
    <row r="6138" spans="1:4" x14ac:dyDescent="0.2">
      <c r="A6138" s="19" t="s">
        <v>154</v>
      </c>
      <c r="B6138" s="19">
        <v>73.163999999999987</v>
      </c>
      <c r="C6138" s="19">
        <v>6</v>
      </c>
      <c r="D6138" s="19">
        <v>-186.56820000000005</v>
      </c>
    </row>
    <row r="6139" spans="1:4" x14ac:dyDescent="0.2">
      <c r="A6139" s="19" t="s">
        <v>151</v>
      </c>
      <c r="B6139" s="19">
        <v>32.064</v>
      </c>
      <c r="C6139" s="19">
        <v>6</v>
      </c>
      <c r="D6139" s="19">
        <v>11.222399999999999</v>
      </c>
    </row>
    <row r="6140" spans="1:4" x14ac:dyDescent="0.2">
      <c r="A6140" s="19" t="s">
        <v>150</v>
      </c>
      <c r="B6140" s="19">
        <v>205.666</v>
      </c>
      <c r="C6140" s="19">
        <v>2</v>
      </c>
      <c r="D6140" s="19">
        <v>-12.097999999999999</v>
      </c>
    </row>
    <row r="6141" spans="1:4" x14ac:dyDescent="0.2">
      <c r="A6141" s="19" t="s">
        <v>150</v>
      </c>
      <c r="B6141" s="19">
        <v>115.44</v>
      </c>
      <c r="C6141" s="19">
        <v>3</v>
      </c>
      <c r="D6141" s="19">
        <v>30.014399999999998</v>
      </c>
    </row>
    <row r="6142" spans="1:4" x14ac:dyDescent="0.2">
      <c r="A6142" s="19" t="s">
        <v>178</v>
      </c>
      <c r="B6142" s="19">
        <v>274.8</v>
      </c>
      <c r="C6142" s="19">
        <v>5</v>
      </c>
      <c r="D6142" s="19">
        <v>134.65199999999999</v>
      </c>
    </row>
    <row r="6143" spans="1:4" x14ac:dyDescent="0.2">
      <c r="A6143" s="19" t="s">
        <v>178</v>
      </c>
      <c r="B6143" s="19">
        <v>195.64</v>
      </c>
      <c r="C6143" s="19">
        <v>4</v>
      </c>
      <c r="D6143" s="19">
        <v>3.9128000000000043</v>
      </c>
    </row>
    <row r="6144" spans="1:4" x14ac:dyDescent="0.2">
      <c r="A6144" s="19" t="s">
        <v>178</v>
      </c>
      <c r="B6144" s="19">
        <v>257.98</v>
      </c>
      <c r="C6144" s="19">
        <v>2</v>
      </c>
      <c r="D6144" s="19">
        <v>74.8142</v>
      </c>
    </row>
    <row r="6145" spans="1:4" x14ac:dyDescent="0.2">
      <c r="A6145" s="19" t="s">
        <v>178</v>
      </c>
      <c r="B6145" s="19">
        <v>119.03999999999999</v>
      </c>
      <c r="C6145" s="19">
        <v>6</v>
      </c>
      <c r="D6145" s="19">
        <v>48.806400000000011</v>
      </c>
    </row>
    <row r="6146" spans="1:4" x14ac:dyDescent="0.2">
      <c r="A6146" s="19" t="s">
        <v>157</v>
      </c>
      <c r="B6146" s="19">
        <v>20.07</v>
      </c>
      <c r="C6146" s="19">
        <v>3</v>
      </c>
      <c r="D6146" s="19">
        <v>9.2321999999999989</v>
      </c>
    </row>
    <row r="6147" spans="1:4" x14ac:dyDescent="0.2">
      <c r="A6147" s="19" t="s">
        <v>150</v>
      </c>
      <c r="B6147" s="19">
        <v>11.76</v>
      </c>
      <c r="C6147" s="19">
        <v>4</v>
      </c>
      <c r="D6147" s="19">
        <v>3.1752000000000002</v>
      </c>
    </row>
    <row r="6148" spans="1:4" x14ac:dyDescent="0.2">
      <c r="A6148" s="19" t="s">
        <v>150</v>
      </c>
      <c r="B6148" s="19">
        <v>11.76</v>
      </c>
      <c r="C6148" s="19">
        <v>4</v>
      </c>
      <c r="D6148" s="19">
        <v>3.1752000000000002</v>
      </c>
    </row>
    <row r="6149" spans="1:4" x14ac:dyDescent="0.2">
      <c r="A6149" s="19" t="s">
        <v>150</v>
      </c>
      <c r="B6149" s="19">
        <v>40.736000000000004</v>
      </c>
      <c r="C6149" s="19">
        <v>2</v>
      </c>
      <c r="D6149" s="19">
        <v>14.7668</v>
      </c>
    </row>
    <row r="6150" spans="1:4" x14ac:dyDescent="0.2">
      <c r="A6150" s="19" t="s">
        <v>150</v>
      </c>
      <c r="B6150" s="19">
        <v>201.584</v>
      </c>
      <c r="C6150" s="19">
        <v>2</v>
      </c>
      <c r="D6150" s="19">
        <v>12.599000000000004</v>
      </c>
    </row>
    <row r="6151" spans="1:4" x14ac:dyDescent="0.2">
      <c r="A6151" s="19" t="s">
        <v>150</v>
      </c>
      <c r="B6151" s="19">
        <v>340.70400000000006</v>
      </c>
      <c r="C6151" s="19">
        <v>6</v>
      </c>
      <c r="D6151" s="19">
        <v>-34.070400000000006</v>
      </c>
    </row>
    <row r="6152" spans="1:4" x14ac:dyDescent="0.2">
      <c r="A6152" s="19" t="s">
        <v>101</v>
      </c>
      <c r="B6152" s="19">
        <v>354.90000000000003</v>
      </c>
      <c r="C6152" s="19">
        <v>5</v>
      </c>
      <c r="D6152" s="19">
        <v>88.725000000000023</v>
      </c>
    </row>
    <row r="6153" spans="1:4" x14ac:dyDescent="0.2">
      <c r="A6153" s="19" t="s">
        <v>150</v>
      </c>
      <c r="B6153" s="19">
        <v>1198.33</v>
      </c>
      <c r="C6153" s="19">
        <v>10</v>
      </c>
      <c r="D6153" s="19">
        <v>70.490000000000009</v>
      </c>
    </row>
    <row r="6154" spans="1:4" x14ac:dyDescent="0.2">
      <c r="A6154" s="19" t="s">
        <v>150</v>
      </c>
      <c r="B6154" s="19">
        <v>87.92</v>
      </c>
      <c r="C6154" s="19">
        <v>4</v>
      </c>
      <c r="D6154" s="19">
        <v>0.87919999999999732</v>
      </c>
    </row>
    <row r="6155" spans="1:4" x14ac:dyDescent="0.2">
      <c r="A6155" s="19" t="s">
        <v>158</v>
      </c>
      <c r="B6155" s="19">
        <v>51.967999999999996</v>
      </c>
      <c r="C6155" s="19">
        <v>2</v>
      </c>
      <c r="D6155" s="19">
        <v>10.393599999999998</v>
      </c>
    </row>
    <row r="6156" spans="1:4" x14ac:dyDescent="0.2">
      <c r="A6156" s="19" t="s">
        <v>158</v>
      </c>
      <c r="B6156" s="19">
        <v>51.336000000000006</v>
      </c>
      <c r="C6156" s="19">
        <v>3</v>
      </c>
      <c r="D6156" s="19">
        <v>5.7752999999999961</v>
      </c>
    </row>
    <row r="6157" spans="1:4" x14ac:dyDescent="0.2">
      <c r="A6157" s="19" t="s">
        <v>158</v>
      </c>
      <c r="B6157" s="19">
        <v>332.70400000000001</v>
      </c>
      <c r="C6157" s="19">
        <v>1</v>
      </c>
      <c r="D6157" s="19">
        <v>33.270399999999981</v>
      </c>
    </row>
    <row r="6158" spans="1:4" x14ac:dyDescent="0.2">
      <c r="A6158" s="19" t="s">
        <v>158</v>
      </c>
      <c r="B6158" s="19">
        <v>42.408000000000008</v>
      </c>
      <c r="C6158" s="19">
        <v>3</v>
      </c>
      <c r="D6158" s="19">
        <v>9.5418000000000003</v>
      </c>
    </row>
    <row r="6159" spans="1:4" x14ac:dyDescent="0.2">
      <c r="A6159" s="19" t="s">
        <v>175</v>
      </c>
      <c r="B6159" s="19">
        <v>81.539999999999992</v>
      </c>
      <c r="C6159" s="19">
        <v>3</v>
      </c>
      <c r="D6159" s="19">
        <v>38.323799999999999</v>
      </c>
    </row>
    <row r="6160" spans="1:4" x14ac:dyDescent="0.2">
      <c r="A6160" s="19" t="s">
        <v>175</v>
      </c>
      <c r="B6160" s="19">
        <v>167.28</v>
      </c>
      <c r="C6160" s="19">
        <v>12</v>
      </c>
      <c r="D6160" s="19">
        <v>23.419200000000011</v>
      </c>
    </row>
    <row r="6161" spans="1:4" x14ac:dyDescent="0.2">
      <c r="A6161" s="19" t="s">
        <v>150</v>
      </c>
      <c r="B6161" s="19">
        <v>772.68</v>
      </c>
      <c r="C6161" s="19">
        <v>4</v>
      </c>
      <c r="D6161" s="19">
        <v>108.17520000000002</v>
      </c>
    </row>
    <row r="6162" spans="1:4" x14ac:dyDescent="0.2">
      <c r="A6162" s="19" t="s">
        <v>151</v>
      </c>
      <c r="B6162" s="19">
        <v>323.97600000000006</v>
      </c>
      <c r="C6162" s="19">
        <v>3</v>
      </c>
      <c r="D6162" s="19">
        <v>28.347899999999981</v>
      </c>
    </row>
    <row r="6163" spans="1:4" x14ac:dyDescent="0.2">
      <c r="A6163" s="19" t="s">
        <v>151</v>
      </c>
      <c r="B6163" s="19">
        <v>11.808</v>
      </c>
      <c r="C6163" s="19">
        <v>4</v>
      </c>
      <c r="D6163" s="19">
        <v>3.9851999999999999</v>
      </c>
    </row>
    <row r="6164" spans="1:4" x14ac:dyDescent="0.2">
      <c r="A6164" s="19" t="s">
        <v>151</v>
      </c>
      <c r="B6164" s="19">
        <v>26.160000000000004</v>
      </c>
      <c r="C6164" s="19">
        <v>3</v>
      </c>
      <c r="D6164" s="19">
        <v>1.961999999999998</v>
      </c>
    </row>
    <row r="6165" spans="1:4" x14ac:dyDescent="0.2">
      <c r="A6165" s="19" t="s">
        <v>151</v>
      </c>
      <c r="B6165" s="19">
        <v>33.57</v>
      </c>
      <c r="C6165" s="19">
        <v>5</v>
      </c>
      <c r="D6165" s="19">
        <v>-25.737000000000002</v>
      </c>
    </row>
    <row r="6166" spans="1:4" x14ac:dyDescent="0.2">
      <c r="A6166" s="19" t="s">
        <v>151</v>
      </c>
      <c r="B6166" s="19">
        <v>4.9920000000000009</v>
      </c>
      <c r="C6166" s="19">
        <v>3</v>
      </c>
      <c r="D6166" s="19">
        <v>1.3728000000000002</v>
      </c>
    </row>
    <row r="6167" spans="1:4" x14ac:dyDescent="0.2">
      <c r="A6167" s="19" t="s">
        <v>151</v>
      </c>
      <c r="B6167" s="19">
        <v>20.016000000000002</v>
      </c>
      <c r="C6167" s="19">
        <v>3</v>
      </c>
      <c r="D6167" s="19">
        <v>5.5044000000000013</v>
      </c>
    </row>
    <row r="6168" spans="1:4" x14ac:dyDescent="0.2">
      <c r="A6168" s="19" t="s">
        <v>151</v>
      </c>
      <c r="B6168" s="19">
        <v>170.24</v>
      </c>
      <c r="C6168" s="19">
        <v>2</v>
      </c>
      <c r="D6168" s="19">
        <v>53.199999999999989</v>
      </c>
    </row>
    <row r="6169" spans="1:4" x14ac:dyDescent="0.2">
      <c r="A6169" s="19" t="s">
        <v>154</v>
      </c>
      <c r="B6169" s="19">
        <v>117.456</v>
      </c>
      <c r="C6169" s="19">
        <v>3</v>
      </c>
      <c r="D6169" s="19">
        <v>44.045999999999992</v>
      </c>
    </row>
    <row r="6170" spans="1:4" x14ac:dyDescent="0.2">
      <c r="A6170" s="19" t="s">
        <v>150</v>
      </c>
      <c r="B6170" s="19">
        <v>22.96</v>
      </c>
      <c r="C6170" s="19">
        <v>2</v>
      </c>
      <c r="D6170" s="19">
        <v>11.250400000000001</v>
      </c>
    </row>
    <row r="6171" spans="1:4" x14ac:dyDescent="0.2">
      <c r="A6171" s="19" t="s">
        <v>166</v>
      </c>
      <c r="B6171" s="19">
        <v>13.36</v>
      </c>
      <c r="C6171" s="19">
        <v>2</v>
      </c>
      <c r="D6171" s="19">
        <v>6.4127999999999998</v>
      </c>
    </row>
    <row r="6172" spans="1:4" x14ac:dyDescent="0.2">
      <c r="A6172" s="19" t="s">
        <v>164</v>
      </c>
      <c r="B6172" s="19">
        <v>34.248000000000005</v>
      </c>
      <c r="C6172" s="19">
        <v>3</v>
      </c>
      <c r="D6172" s="19">
        <v>11.558699999999998</v>
      </c>
    </row>
    <row r="6173" spans="1:4" x14ac:dyDescent="0.2">
      <c r="A6173" s="19" t="s">
        <v>164</v>
      </c>
      <c r="B6173" s="19">
        <v>3.52</v>
      </c>
      <c r="C6173" s="19">
        <v>2</v>
      </c>
      <c r="D6173" s="19">
        <v>1.0207999999999999</v>
      </c>
    </row>
    <row r="6174" spans="1:4" x14ac:dyDescent="0.2">
      <c r="A6174" s="19" t="s">
        <v>174</v>
      </c>
      <c r="B6174" s="19">
        <v>26.7</v>
      </c>
      <c r="C6174" s="19">
        <v>5</v>
      </c>
      <c r="D6174" s="19">
        <v>12.548999999999999</v>
      </c>
    </row>
    <row r="6175" spans="1:4" x14ac:dyDescent="0.2">
      <c r="A6175" s="19" t="s">
        <v>174</v>
      </c>
      <c r="B6175" s="19">
        <v>21.2</v>
      </c>
      <c r="C6175" s="19">
        <v>2</v>
      </c>
      <c r="D6175" s="19">
        <v>9.1160000000000014</v>
      </c>
    </row>
    <row r="6176" spans="1:4" x14ac:dyDescent="0.2">
      <c r="A6176" s="19" t="s">
        <v>174</v>
      </c>
      <c r="B6176" s="19">
        <v>838.38</v>
      </c>
      <c r="C6176" s="19">
        <v>2</v>
      </c>
      <c r="D6176" s="19">
        <v>226.36260000000004</v>
      </c>
    </row>
    <row r="6177" spans="1:4" x14ac:dyDescent="0.2">
      <c r="A6177" s="19" t="s">
        <v>169</v>
      </c>
      <c r="B6177" s="19">
        <v>1690.04</v>
      </c>
      <c r="C6177" s="19">
        <v>4</v>
      </c>
      <c r="D6177" s="19">
        <v>422.51</v>
      </c>
    </row>
    <row r="6178" spans="1:4" x14ac:dyDescent="0.2">
      <c r="A6178" s="19" t="s">
        <v>169</v>
      </c>
      <c r="B6178" s="19">
        <v>85.96</v>
      </c>
      <c r="C6178" s="19">
        <v>7</v>
      </c>
      <c r="D6178" s="19">
        <v>24.068799999999996</v>
      </c>
    </row>
    <row r="6179" spans="1:4" x14ac:dyDescent="0.2">
      <c r="A6179" s="19" t="s">
        <v>169</v>
      </c>
      <c r="B6179" s="19">
        <v>121.96</v>
      </c>
      <c r="C6179" s="19">
        <v>2</v>
      </c>
      <c r="D6179" s="19">
        <v>57.32119999999999</v>
      </c>
    </row>
    <row r="6180" spans="1:4" x14ac:dyDescent="0.2">
      <c r="A6180" s="19" t="s">
        <v>169</v>
      </c>
      <c r="B6180" s="19">
        <v>23.92</v>
      </c>
      <c r="C6180" s="19">
        <v>4</v>
      </c>
      <c r="D6180" s="19">
        <v>11.720800000000001</v>
      </c>
    </row>
    <row r="6181" spans="1:4" x14ac:dyDescent="0.2">
      <c r="A6181" s="19" t="s">
        <v>169</v>
      </c>
      <c r="B6181" s="19">
        <v>63.96</v>
      </c>
      <c r="C6181" s="19">
        <v>2</v>
      </c>
      <c r="D6181" s="19">
        <v>6.3960000000000008</v>
      </c>
    </row>
    <row r="6182" spans="1:4" x14ac:dyDescent="0.2">
      <c r="A6182" s="19" t="s">
        <v>169</v>
      </c>
      <c r="B6182" s="19">
        <v>629.94999999999993</v>
      </c>
      <c r="C6182" s="19">
        <v>5</v>
      </c>
      <c r="D6182" s="19">
        <v>176.38600000000002</v>
      </c>
    </row>
    <row r="6183" spans="1:4" x14ac:dyDescent="0.2">
      <c r="A6183" s="19" t="s">
        <v>169</v>
      </c>
      <c r="B6183" s="19">
        <v>113.72999999999999</v>
      </c>
      <c r="C6183" s="19">
        <v>3</v>
      </c>
      <c r="D6183" s="19">
        <v>32.981699999999989</v>
      </c>
    </row>
    <row r="6184" spans="1:4" x14ac:dyDescent="0.2">
      <c r="A6184" s="19" t="s">
        <v>169</v>
      </c>
      <c r="B6184" s="19">
        <v>14.6</v>
      </c>
      <c r="C6184" s="19">
        <v>2</v>
      </c>
      <c r="D6184" s="19">
        <v>6.8619999999999992</v>
      </c>
    </row>
    <row r="6185" spans="1:4" x14ac:dyDescent="0.2">
      <c r="A6185" s="19" t="s">
        <v>169</v>
      </c>
      <c r="B6185" s="19">
        <v>887.84</v>
      </c>
      <c r="C6185" s="19">
        <v>8</v>
      </c>
      <c r="D6185" s="19">
        <v>17.756799999999998</v>
      </c>
    </row>
    <row r="6186" spans="1:4" x14ac:dyDescent="0.2">
      <c r="A6186" s="19" t="s">
        <v>170</v>
      </c>
      <c r="B6186" s="19">
        <v>403.92</v>
      </c>
      <c r="C6186" s="19">
        <v>5</v>
      </c>
      <c r="D6186" s="19">
        <v>25.245000000000019</v>
      </c>
    </row>
    <row r="6187" spans="1:4" x14ac:dyDescent="0.2">
      <c r="A6187" s="19" t="s">
        <v>158</v>
      </c>
      <c r="B6187" s="19">
        <v>106.8</v>
      </c>
      <c r="C6187" s="19">
        <v>10</v>
      </c>
      <c r="D6187" s="19">
        <v>10.679999999999996</v>
      </c>
    </row>
    <row r="6188" spans="1:4" x14ac:dyDescent="0.2">
      <c r="A6188" s="19" t="s">
        <v>164</v>
      </c>
      <c r="B6188" s="19">
        <v>70.949999999999989</v>
      </c>
      <c r="C6188" s="19">
        <v>3</v>
      </c>
      <c r="D6188" s="19">
        <v>20.575499999999998</v>
      </c>
    </row>
    <row r="6189" spans="1:4" x14ac:dyDescent="0.2">
      <c r="A6189" s="19" t="s">
        <v>164</v>
      </c>
      <c r="B6189" s="19">
        <v>34.944000000000003</v>
      </c>
      <c r="C6189" s="19">
        <v>6</v>
      </c>
      <c r="D6189" s="19">
        <v>11.793599999999998</v>
      </c>
    </row>
    <row r="6190" spans="1:4" x14ac:dyDescent="0.2">
      <c r="A6190" s="19" t="s">
        <v>164</v>
      </c>
      <c r="B6190" s="19">
        <v>119.03999999999999</v>
      </c>
      <c r="C6190" s="19">
        <v>6</v>
      </c>
      <c r="D6190" s="19">
        <v>35.711999999999989</v>
      </c>
    </row>
    <row r="6191" spans="1:4" x14ac:dyDescent="0.2">
      <c r="A6191" s="19" t="s">
        <v>159</v>
      </c>
      <c r="B6191" s="19">
        <v>383.84000000000003</v>
      </c>
      <c r="C6191" s="19">
        <v>4</v>
      </c>
      <c r="D6191" s="19">
        <v>47.97999999999999</v>
      </c>
    </row>
    <row r="6192" spans="1:4" x14ac:dyDescent="0.2">
      <c r="A6192" s="19" t="s">
        <v>164</v>
      </c>
      <c r="B6192" s="19">
        <v>799.56000000000006</v>
      </c>
      <c r="C6192" s="19">
        <v>9</v>
      </c>
      <c r="D6192" s="19">
        <v>207.88559999999998</v>
      </c>
    </row>
    <row r="6193" spans="1:4" x14ac:dyDescent="0.2">
      <c r="A6193" s="19" t="s">
        <v>153</v>
      </c>
      <c r="B6193" s="19">
        <v>31.44</v>
      </c>
      <c r="C6193" s="19">
        <v>3</v>
      </c>
      <c r="D6193" s="19">
        <v>8.4888000000000012</v>
      </c>
    </row>
    <row r="6194" spans="1:4" x14ac:dyDescent="0.2">
      <c r="A6194" s="19" t="s">
        <v>154</v>
      </c>
      <c r="B6194" s="19">
        <v>25.920000000000005</v>
      </c>
      <c r="C6194" s="19">
        <v>5</v>
      </c>
      <c r="D6194" s="19">
        <v>9.0719999999999992</v>
      </c>
    </row>
    <row r="6195" spans="1:4" x14ac:dyDescent="0.2">
      <c r="A6195" s="19" t="s">
        <v>154</v>
      </c>
      <c r="B6195" s="19">
        <v>6.3299999999999992</v>
      </c>
      <c r="C6195" s="19">
        <v>5</v>
      </c>
      <c r="D6195" s="19">
        <v>-9.8114999999999988</v>
      </c>
    </row>
    <row r="6196" spans="1:4" x14ac:dyDescent="0.2">
      <c r="A6196" s="19" t="s">
        <v>154</v>
      </c>
      <c r="B6196" s="19">
        <v>75.88</v>
      </c>
      <c r="C6196" s="19">
        <v>5</v>
      </c>
      <c r="D6196" s="19">
        <v>26.557999999999993</v>
      </c>
    </row>
    <row r="6197" spans="1:4" x14ac:dyDescent="0.2">
      <c r="A6197" s="19" t="s">
        <v>158</v>
      </c>
      <c r="B6197" s="19">
        <v>329.988</v>
      </c>
      <c r="C6197" s="19">
        <v>2</v>
      </c>
      <c r="D6197" s="19">
        <v>-76.997200000000021</v>
      </c>
    </row>
    <row r="6198" spans="1:4" x14ac:dyDescent="0.2">
      <c r="A6198" s="19" t="s">
        <v>158</v>
      </c>
      <c r="B6198" s="19">
        <v>71.376000000000005</v>
      </c>
      <c r="C6198" s="19">
        <v>3</v>
      </c>
      <c r="D6198" s="19">
        <v>-4.460999999999995</v>
      </c>
    </row>
    <row r="6199" spans="1:4" x14ac:dyDescent="0.2">
      <c r="A6199" s="19" t="s">
        <v>163</v>
      </c>
      <c r="B6199" s="19">
        <v>63.769999999999996</v>
      </c>
      <c r="C6199" s="19">
        <v>7</v>
      </c>
      <c r="D6199" s="19">
        <v>28.696499999999993</v>
      </c>
    </row>
    <row r="6200" spans="1:4" x14ac:dyDescent="0.2">
      <c r="A6200" s="19" t="s">
        <v>163</v>
      </c>
      <c r="B6200" s="19">
        <v>50.97</v>
      </c>
      <c r="C6200" s="19">
        <v>3</v>
      </c>
      <c r="D6200" s="19">
        <v>13.252199999999997</v>
      </c>
    </row>
    <row r="6201" spans="1:4" x14ac:dyDescent="0.2">
      <c r="A6201" s="19" t="s">
        <v>163</v>
      </c>
      <c r="B6201" s="19">
        <v>96.08</v>
      </c>
      <c r="C6201" s="19">
        <v>2</v>
      </c>
      <c r="D6201" s="19">
        <v>46.118399999999994</v>
      </c>
    </row>
    <row r="6202" spans="1:4" x14ac:dyDescent="0.2">
      <c r="A6202" s="19" t="s">
        <v>159</v>
      </c>
      <c r="B6202" s="19">
        <v>1439.9680000000001</v>
      </c>
      <c r="C6202" s="19">
        <v>4</v>
      </c>
      <c r="D6202" s="19">
        <v>485.98919999999993</v>
      </c>
    </row>
    <row r="6203" spans="1:4" x14ac:dyDescent="0.2">
      <c r="A6203" s="19" t="s">
        <v>159</v>
      </c>
      <c r="B6203" s="19">
        <v>43.56</v>
      </c>
      <c r="C6203" s="19">
        <v>3</v>
      </c>
      <c r="D6203" s="19">
        <v>-4.9004999999999974</v>
      </c>
    </row>
    <row r="6204" spans="1:4" x14ac:dyDescent="0.2">
      <c r="A6204" s="19" t="s">
        <v>150</v>
      </c>
      <c r="B6204" s="19">
        <v>563.91999999999996</v>
      </c>
      <c r="C6204" s="19">
        <v>5</v>
      </c>
      <c r="D6204" s="19">
        <v>7.0489999999999498</v>
      </c>
    </row>
    <row r="6205" spans="1:4" x14ac:dyDescent="0.2">
      <c r="A6205" s="19" t="s">
        <v>173</v>
      </c>
      <c r="B6205" s="19">
        <v>235.15199999999999</v>
      </c>
      <c r="C6205" s="19">
        <v>8</v>
      </c>
      <c r="D6205" s="19">
        <v>-47.030399999999986</v>
      </c>
    </row>
    <row r="6206" spans="1:4" x14ac:dyDescent="0.2">
      <c r="A6206" s="19" t="s">
        <v>173</v>
      </c>
      <c r="B6206" s="19">
        <v>7.7120000000000006</v>
      </c>
      <c r="C6206" s="19">
        <v>2</v>
      </c>
      <c r="D6206" s="19">
        <v>1.7352000000000005</v>
      </c>
    </row>
    <row r="6207" spans="1:4" x14ac:dyDescent="0.2">
      <c r="A6207" s="19" t="s">
        <v>154</v>
      </c>
      <c r="B6207" s="19">
        <v>51.016000000000005</v>
      </c>
      <c r="C6207" s="19">
        <v>7</v>
      </c>
      <c r="D6207" s="19">
        <v>15.942499999999992</v>
      </c>
    </row>
    <row r="6208" spans="1:4" x14ac:dyDescent="0.2">
      <c r="A6208" s="19" t="s">
        <v>154</v>
      </c>
      <c r="B6208" s="19">
        <v>25.248000000000001</v>
      </c>
      <c r="C6208" s="19">
        <v>4</v>
      </c>
      <c r="D6208" s="19">
        <v>7.8899999999999979</v>
      </c>
    </row>
    <row r="6209" spans="1:4" x14ac:dyDescent="0.2">
      <c r="A6209" s="19" t="s">
        <v>154</v>
      </c>
      <c r="B6209" s="19">
        <v>56.686</v>
      </c>
      <c r="C6209" s="19">
        <v>1</v>
      </c>
      <c r="D6209" s="19">
        <v>-14.576399999999996</v>
      </c>
    </row>
    <row r="6210" spans="1:4" x14ac:dyDescent="0.2">
      <c r="A6210" s="19" t="s">
        <v>173</v>
      </c>
      <c r="B6210" s="19">
        <v>51.168000000000006</v>
      </c>
      <c r="C6210" s="19">
        <v>2</v>
      </c>
      <c r="D6210" s="19">
        <v>-6.3960000000000008</v>
      </c>
    </row>
    <row r="6211" spans="1:4" x14ac:dyDescent="0.2">
      <c r="A6211" s="19" t="s">
        <v>153</v>
      </c>
      <c r="B6211" s="19">
        <v>2793.5280000000002</v>
      </c>
      <c r="C6211" s="19">
        <v>9</v>
      </c>
      <c r="D6211" s="19">
        <v>942.81569999999988</v>
      </c>
    </row>
    <row r="6212" spans="1:4" x14ac:dyDescent="0.2">
      <c r="A6212" s="19" t="s">
        <v>153</v>
      </c>
      <c r="B6212" s="19">
        <v>1000.0200000000001</v>
      </c>
      <c r="C6212" s="19">
        <v>7</v>
      </c>
      <c r="D6212" s="19">
        <v>290.00579999999991</v>
      </c>
    </row>
    <row r="6213" spans="1:4" x14ac:dyDescent="0.2">
      <c r="A6213" s="19" t="s">
        <v>153</v>
      </c>
      <c r="B6213" s="19">
        <v>65.94</v>
      </c>
      <c r="C6213" s="19">
        <v>3</v>
      </c>
      <c r="D6213" s="19">
        <v>22.419600000000003</v>
      </c>
    </row>
    <row r="6214" spans="1:4" x14ac:dyDescent="0.2">
      <c r="A6214" s="19" t="s">
        <v>153</v>
      </c>
      <c r="B6214" s="19">
        <v>18.240000000000002</v>
      </c>
      <c r="C6214" s="19">
        <v>3</v>
      </c>
      <c r="D6214" s="19">
        <v>9.120000000000001</v>
      </c>
    </row>
    <row r="6215" spans="1:4" x14ac:dyDescent="0.2">
      <c r="A6215" s="19" t="s">
        <v>153</v>
      </c>
      <c r="B6215" s="19">
        <v>76.12</v>
      </c>
      <c r="C6215" s="19">
        <v>2</v>
      </c>
      <c r="D6215" s="19">
        <v>22.074799999999996</v>
      </c>
    </row>
    <row r="6216" spans="1:4" x14ac:dyDescent="0.2">
      <c r="A6216" s="19" t="s">
        <v>150</v>
      </c>
      <c r="B6216" s="19">
        <v>7.64</v>
      </c>
      <c r="C6216" s="19">
        <v>1</v>
      </c>
      <c r="D6216" s="19">
        <v>3.7435999999999998</v>
      </c>
    </row>
    <row r="6217" spans="1:4" x14ac:dyDescent="0.2">
      <c r="A6217" s="19" t="s">
        <v>164</v>
      </c>
      <c r="B6217" s="19">
        <v>68.16</v>
      </c>
      <c r="C6217" s="19">
        <v>3</v>
      </c>
      <c r="D6217" s="19">
        <v>27.945600000000002</v>
      </c>
    </row>
    <row r="6218" spans="1:4" x14ac:dyDescent="0.2">
      <c r="A6218" s="19" t="s">
        <v>164</v>
      </c>
      <c r="B6218" s="19">
        <v>62.24</v>
      </c>
      <c r="C6218" s="19">
        <v>8</v>
      </c>
      <c r="D6218" s="19">
        <v>29.252800000000001</v>
      </c>
    </row>
    <row r="6219" spans="1:4" x14ac:dyDescent="0.2">
      <c r="A6219" s="19" t="s">
        <v>149</v>
      </c>
      <c r="B6219" s="19">
        <v>29.97</v>
      </c>
      <c r="C6219" s="19">
        <v>3</v>
      </c>
      <c r="D6219" s="19">
        <v>0.29969999999999963</v>
      </c>
    </row>
    <row r="6220" spans="1:4" x14ac:dyDescent="0.2">
      <c r="A6220" s="19" t="s">
        <v>161</v>
      </c>
      <c r="B6220" s="19">
        <v>125.69999999999999</v>
      </c>
      <c r="C6220" s="19">
        <v>6</v>
      </c>
      <c r="D6220" s="19">
        <v>35.195999999999998</v>
      </c>
    </row>
    <row r="6221" spans="1:4" x14ac:dyDescent="0.2">
      <c r="A6221" s="19" t="s">
        <v>161</v>
      </c>
      <c r="B6221" s="19">
        <v>191.98</v>
      </c>
      <c r="C6221" s="19">
        <v>2</v>
      </c>
      <c r="D6221" s="19">
        <v>51.834599999999995</v>
      </c>
    </row>
    <row r="6222" spans="1:4" x14ac:dyDescent="0.2">
      <c r="A6222" s="19" t="s">
        <v>161</v>
      </c>
      <c r="B6222" s="19">
        <v>20.86</v>
      </c>
      <c r="C6222" s="19">
        <v>7</v>
      </c>
      <c r="D6222" s="19">
        <v>1.4601999999999977</v>
      </c>
    </row>
    <row r="6223" spans="1:4" x14ac:dyDescent="0.2">
      <c r="A6223" s="19" t="s">
        <v>150</v>
      </c>
      <c r="B6223" s="19">
        <v>56.699999999999996</v>
      </c>
      <c r="C6223" s="19">
        <v>9</v>
      </c>
      <c r="D6223" s="19">
        <v>26.081999999999997</v>
      </c>
    </row>
    <row r="6224" spans="1:4" x14ac:dyDescent="0.2">
      <c r="A6224" s="19" t="s">
        <v>167</v>
      </c>
      <c r="B6224" s="19">
        <v>72.703999999999994</v>
      </c>
      <c r="C6224" s="19">
        <v>4</v>
      </c>
      <c r="D6224" s="19">
        <v>19.084800000000005</v>
      </c>
    </row>
    <row r="6225" spans="1:4" x14ac:dyDescent="0.2">
      <c r="A6225" s="19" t="s">
        <v>167</v>
      </c>
      <c r="B6225" s="19">
        <v>12.263999999999999</v>
      </c>
      <c r="C6225" s="19">
        <v>7</v>
      </c>
      <c r="D6225" s="19">
        <v>1.0730999999999993</v>
      </c>
    </row>
    <row r="6226" spans="1:4" x14ac:dyDescent="0.2">
      <c r="A6226" s="19" t="s">
        <v>167</v>
      </c>
      <c r="B6226" s="19">
        <v>218.35200000000003</v>
      </c>
      <c r="C6226" s="19">
        <v>3</v>
      </c>
      <c r="D6226" s="19">
        <v>-54.588000000000008</v>
      </c>
    </row>
    <row r="6227" spans="1:4" x14ac:dyDescent="0.2">
      <c r="A6227" s="19" t="s">
        <v>170</v>
      </c>
      <c r="B6227" s="19">
        <v>66.294000000000011</v>
      </c>
      <c r="C6227" s="19">
        <v>1</v>
      </c>
      <c r="D6227" s="19">
        <v>-103.86059999999998</v>
      </c>
    </row>
    <row r="6228" spans="1:4" x14ac:dyDescent="0.2">
      <c r="A6228" s="19" t="s">
        <v>170</v>
      </c>
      <c r="B6228" s="19">
        <v>291.16800000000001</v>
      </c>
      <c r="C6228" s="19">
        <v>4</v>
      </c>
      <c r="D6228" s="19">
        <v>-14.558399999999978</v>
      </c>
    </row>
    <row r="6229" spans="1:4" x14ac:dyDescent="0.2">
      <c r="A6229" s="19" t="s">
        <v>154</v>
      </c>
      <c r="B6229" s="19">
        <v>88.77600000000001</v>
      </c>
      <c r="C6229" s="19">
        <v>3</v>
      </c>
      <c r="D6229" s="19">
        <v>7.7679000000000009</v>
      </c>
    </row>
    <row r="6230" spans="1:4" x14ac:dyDescent="0.2">
      <c r="A6230" s="19" t="s">
        <v>173</v>
      </c>
      <c r="B6230" s="19">
        <v>110.376</v>
      </c>
      <c r="C6230" s="19">
        <v>4</v>
      </c>
      <c r="D6230" s="19">
        <v>-20.235600000000005</v>
      </c>
    </row>
    <row r="6231" spans="1:4" x14ac:dyDescent="0.2">
      <c r="A6231" s="19" t="s">
        <v>173</v>
      </c>
      <c r="B6231" s="19">
        <v>55.176000000000002</v>
      </c>
      <c r="C6231" s="19">
        <v>3</v>
      </c>
      <c r="D6231" s="19">
        <v>15.863099999999999</v>
      </c>
    </row>
    <row r="6232" spans="1:4" x14ac:dyDescent="0.2">
      <c r="A6232" s="19" t="s">
        <v>172</v>
      </c>
      <c r="B6232" s="19">
        <v>30.32</v>
      </c>
      <c r="C6232" s="19">
        <v>4</v>
      </c>
      <c r="D6232" s="19">
        <v>11.8248</v>
      </c>
    </row>
    <row r="6233" spans="1:4" x14ac:dyDescent="0.2">
      <c r="A6233" s="19" t="s">
        <v>153</v>
      </c>
      <c r="B6233" s="19">
        <v>177.56800000000001</v>
      </c>
      <c r="C6233" s="19">
        <v>2</v>
      </c>
      <c r="D6233" s="19">
        <v>8.8783999999999921</v>
      </c>
    </row>
    <row r="6234" spans="1:4" x14ac:dyDescent="0.2">
      <c r="A6234" s="19" t="s">
        <v>153</v>
      </c>
      <c r="B6234" s="19">
        <v>19.440000000000001</v>
      </c>
      <c r="C6234" s="19">
        <v>3</v>
      </c>
      <c r="D6234" s="19">
        <v>9.3312000000000008</v>
      </c>
    </row>
    <row r="6235" spans="1:4" x14ac:dyDescent="0.2">
      <c r="A6235" s="19" t="s">
        <v>153</v>
      </c>
      <c r="B6235" s="19">
        <v>71.28</v>
      </c>
      <c r="C6235" s="19">
        <v>11</v>
      </c>
      <c r="D6235" s="19">
        <v>34.214400000000005</v>
      </c>
    </row>
    <row r="6236" spans="1:4" x14ac:dyDescent="0.2">
      <c r="A6236" s="19" t="s">
        <v>153</v>
      </c>
      <c r="B6236" s="19">
        <v>1471.96</v>
      </c>
      <c r="C6236" s="19">
        <v>5</v>
      </c>
      <c r="D6236" s="19">
        <v>459.98749999999995</v>
      </c>
    </row>
    <row r="6237" spans="1:4" x14ac:dyDescent="0.2">
      <c r="A6237" s="19" t="s">
        <v>153</v>
      </c>
      <c r="B6237" s="19">
        <v>79.959999999999994</v>
      </c>
      <c r="C6237" s="19">
        <v>5</v>
      </c>
      <c r="D6237" s="19">
        <v>-17.991000000000003</v>
      </c>
    </row>
    <row r="6238" spans="1:4" x14ac:dyDescent="0.2">
      <c r="A6238" s="19" t="s">
        <v>158</v>
      </c>
      <c r="B6238" s="19">
        <v>57.576000000000001</v>
      </c>
      <c r="C6238" s="19">
        <v>3</v>
      </c>
      <c r="D6238" s="19">
        <v>21.591000000000001</v>
      </c>
    </row>
    <row r="6239" spans="1:4" x14ac:dyDescent="0.2">
      <c r="A6239" s="19" t="s">
        <v>164</v>
      </c>
      <c r="B6239" s="19">
        <v>26.336000000000002</v>
      </c>
      <c r="C6239" s="19">
        <v>4</v>
      </c>
      <c r="D6239" s="19">
        <v>9.2176000000000009</v>
      </c>
    </row>
    <row r="6240" spans="1:4" x14ac:dyDescent="0.2">
      <c r="A6240" s="19" t="s">
        <v>150</v>
      </c>
      <c r="B6240" s="19">
        <v>166.5</v>
      </c>
      <c r="C6240" s="19">
        <v>3</v>
      </c>
      <c r="D6240" s="19">
        <v>21.64500000000001</v>
      </c>
    </row>
    <row r="6241" spans="1:4" x14ac:dyDescent="0.2">
      <c r="A6241" s="19" t="s">
        <v>150</v>
      </c>
      <c r="B6241" s="19">
        <v>360.38</v>
      </c>
      <c r="C6241" s="19">
        <v>2</v>
      </c>
      <c r="D6241" s="19">
        <v>93.698800000000006</v>
      </c>
    </row>
    <row r="6242" spans="1:4" x14ac:dyDescent="0.2">
      <c r="A6242" s="19" t="s">
        <v>150</v>
      </c>
      <c r="B6242" s="19">
        <v>11.744</v>
      </c>
      <c r="C6242" s="19">
        <v>1</v>
      </c>
      <c r="D6242" s="19">
        <v>3.8167999999999997</v>
      </c>
    </row>
    <row r="6243" spans="1:4" x14ac:dyDescent="0.2">
      <c r="A6243" s="19" t="s">
        <v>186</v>
      </c>
      <c r="B6243" s="19">
        <v>247.44</v>
      </c>
      <c r="C6243" s="19">
        <v>8</v>
      </c>
      <c r="D6243" s="19">
        <v>101.4504</v>
      </c>
    </row>
    <row r="6244" spans="1:4" x14ac:dyDescent="0.2">
      <c r="A6244" s="19" t="s">
        <v>167</v>
      </c>
      <c r="B6244" s="19">
        <v>18.240000000000002</v>
      </c>
      <c r="C6244" s="19">
        <v>2</v>
      </c>
      <c r="D6244" s="19">
        <v>-14.591999999999999</v>
      </c>
    </row>
    <row r="6245" spans="1:4" x14ac:dyDescent="0.2">
      <c r="A6245" s="19" t="s">
        <v>153</v>
      </c>
      <c r="B6245" s="19">
        <v>25.349999999999998</v>
      </c>
      <c r="C6245" s="19">
        <v>3</v>
      </c>
      <c r="D6245" s="19">
        <v>7.6049999999999978</v>
      </c>
    </row>
    <row r="6246" spans="1:4" x14ac:dyDescent="0.2">
      <c r="A6246" s="19" t="s">
        <v>153</v>
      </c>
      <c r="B6246" s="19">
        <v>119.03999999999999</v>
      </c>
      <c r="C6246" s="19">
        <v>6</v>
      </c>
      <c r="D6246" s="19">
        <v>30.950400000000002</v>
      </c>
    </row>
    <row r="6247" spans="1:4" x14ac:dyDescent="0.2">
      <c r="A6247" s="19" t="s">
        <v>153</v>
      </c>
      <c r="B6247" s="19">
        <v>22.14</v>
      </c>
      <c r="C6247" s="19">
        <v>3</v>
      </c>
      <c r="D6247" s="19">
        <v>6.4205999999999976</v>
      </c>
    </row>
    <row r="6248" spans="1:4" x14ac:dyDescent="0.2">
      <c r="A6248" s="19" t="s">
        <v>153</v>
      </c>
      <c r="B6248" s="19">
        <v>13.98</v>
      </c>
      <c r="C6248" s="19">
        <v>2</v>
      </c>
      <c r="D6248" s="19">
        <v>6.011400000000001</v>
      </c>
    </row>
    <row r="6249" spans="1:4" x14ac:dyDescent="0.2">
      <c r="A6249" s="19" t="s">
        <v>163</v>
      </c>
      <c r="B6249" s="19">
        <v>43.41</v>
      </c>
      <c r="C6249" s="19">
        <v>1</v>
      </c>
      <c r="D6249" s="19">
        <v>19.968599999999999</v>
      </c>
    </row>
    <row r="6250" spans="1:4" x14ac:dyDescent="0.2">
      <c r="A6250" s="19" t="s">
        <v>163</v>
      </c>
      <c r="B6250" s="19">
        <v>6.24</v>
      </c>
      <c r="C6250" s="19">
        <v>3</v>
      </c>
      <c r="D6250" s="19">
        <v>2.6208000000000005</v>
      </c>
    </row>
    <row r="6251" spans="1:4" x14ac:dyDescent="0.2">
      <c r="A6251" s="19" t="s">
        <v>163</v>
      </c>
      <c r="B6251" s="19">
        <v>465.16</v>
      </c>
      <c r="C6251" s="19">
        <v>2</v>
      </c>
      <c r="D6251" s="19">
        <v>120.94159999999999</v>
      </c>
    </row>
    <row r="6252" spans="1:4" x14ac:dyDescent="0.2">
      <c r="A6252" s="19" t="s">
        <v>163</v>
      </c>
      <c r="B6252" s="19">
        <v>7.98</v>
      </c>
      <c r="C6252" s="19">
        <v>1</v>
      </c>
      <c r="D6252" s="19">
        <v>3.99</v>
      </c>
    </row>
    <row r="6253" spans="1:4" x14ac:dyDescent="0.2">
      <c r="A6253" s="19" t="s">
        <v>159</v>
      </c>
      <c r="B6253" s="19">
        <v>2.3939999999999997</v>
      </c>
      <c r="C6253" s="19">
        <v>1</v>
      </c>
      <c r="D6253" s="19">
        <v>-6.344100000000001</v>
      </c>
    </row>
    <row r="6254" spans="1:4" x14ac:dyDescent="0.2">
      <c r="A6254" s="19" t="s">
        <v>101</v>
      </c>
      <c r="B6254" s="19">
        <v>58.320000000000007</v>
      </c>
      <c r="C6254" s="19">
        <v>9</v>
      </c>
      <c r="D6254" s="19">
        <v>27.993600000000001</v>
      </c>
    </row>
    <row r="6255" spans="1:4" x14ac:dyDescent="0.2">
      <c r="A6255" s="19" t="s">
        <v>101</v>
      </c>
      <c r="B6255" s="19">
        <v>200.96999999999997</v>
      </c>
      <c r="C6255" s="19">
        <v>3</v>
      </c>
      <c r="D6255" s="19">
        <v>50.242500000000007</v>
      </c>
    </row>
    <row r="6256" spans="1:4" x14ac:dyDescent="0.2">
      <c r="A6256" s="19" t="s">
        <v>168</v>
      </c>
      <c r="B6256" s="19">
        <v>21.36</v>
      </c>
      <c r="C6256" s="19">
        <v>8</v>
      </c>
      <c r="D6256" s="19">
        <v>8.1167999999999996</v>
      </c>
    </row>
    <row r="6257" spans="1:4" x14ac:dyDescent="0.2">
      <c r="A6257" s="19" t="s">
        <v>154</v>
      </c>
      <c r="B6257" s="19">
        <v>9.8560000000000016</v>
      </c>
      <c r="C6257" s="19">
        <v>4</v>
      </c>
      <c r="D6257" s="19">
        <v>3.4495999999999993</v>
      </c>
    </row>
    <row r="6258" spans="1:4" x14ac:dyDescent="0.2">
      <c r="A6258" s="19" t="s">
        <v>151</v>
      </c>
      <c r="B6258" s="19">
        <v>3.4440000000000008</v>
      </c>
      <c r="C6258" s="19">
        <v>1</v>
      </c>
      <c r="D6258" s="19">
        <v>-2.5255999999999998</v>
      </c>
    </row>
    <row r="6259" spans="1:4" x14ac:dyDescent="0.2">
      <c r="A6259" s="19" t="s">
        <v>173</v>
      </c>
      <c r="B6259" s="19">
        <v>384.59200000000004</v>
      </c>
      <c r="C6259" s="19">
        <v>2</v>
      </c>
      <c r="D6259" s="19">
        <v>-81.725799999999978</v>
      </c>
    </row>
    <row r="6260" spans="1:4" x14ac:dyDescent="0.2">
      <c r="A6260" s="19" t="s">
        <v>164</v>
      </c>
      <c r="B6260" s="19">
        <v>22.919999999999998</v>
      </c>
      <c r="C6260" s="19">
        <v>3</v>
      </c>
      <c r="D6260" s="19">
        <v>11.230799999999999</v>
      </c>
    </row>
    <row r="6261" spans="1:4" x14ac:dyDescent="0.2">
      <c r="A6261" s="19" t="s">
        <v>163</v>
      </c>
      <c r="B6261" s="19">
        <v>11.36</v>
      </c>
      <c r="C6261" s="19">
        <v>4</v>
      </c>
      <c r="D6261" s="19">
        <v>5.5663999999999998</v>
      </c>
    </row>
    <row r="6262" spans="1:4" x14ac:dyDescent="0.2">
      <c r="A6262" s="19" t="s">
        <v>153</v>
      </c>
      <c r="B6262" s="19">
        <v>14.592000000000002</v>
      </c>
      <c r="C6262" s="19">
        <v>3</v>
      </c>
      <c r="D6262" s="19">
        <v>4.9247999999999985</v>
      </c>
    </row>
    <row r="6263" spans="1:4" x14ac:dyDescent="0.2">
      <c r="A6263" s="19" t="s">
        <v>164</v>
      </c>
      <c r="B6263" s="19">
        <v>41.4</v>
      </c>
      <c r="C6263" s="19">
        <v>4</v>
      </c>
      <c r="D6263" s="19">
        <v>19.872</v>
      </c>
    </row>
    <row r="6264" spans="1:4" x14ac:dyDescent="0.2">
      <c r="A6264" s="19" t="s">
        <v>159</v>
      </c>
      <c r="B6264" s="19">
        <v>442.37199999999996</v>
      </c>
      <c r="C6264" s="19">
        <v>7</v>
      </c>
      <c r="D6264" s="19">
        <v>-729.91380000000004</v>
      </c>
    </row>
    <row r="6265" spans="1:4" x14ac:dyDescent="0.2">
      <c r="A6265" s="19" t="s">
        <v>101</v>
      </c>
      <c r="B6265" s="19">
        <v>34.5</v>
      </c>
      <c r="C6265" s="19">
        <v>3</v>
      </c>
      <c r="D6265" s="19">
        <v>15.524999999999999</v>
      </c>
    </row>
    <row r="6266" spans="1:4" x14ac:dyDescent="0.2">
      <c r="A6266" s="19" t="s">
        <v>175</v>
      </c>
      <c r="B6266" s="19">
        <v>28.849999999999998</v>
      </c>
      <c r="C6266" s="19">
        <v>5</v>
      </c>
      <c r="D6266" s="19">
        <v>14.424999999999999</v>
      </c>
    </row>
    <row r="6267" spans="1:4" x14ac:dyDescent="0.2">
      <c r="A6267" s="19" t="s">
        <v>167</v>
      </c>
      <c r="B6267" s="19">
        <v>3.4880000000000004</v>
      </c>
      <c r="C6267" s="19">
        <v>2</v>
      </c>
      <c r="D6267" s="19">
        <v>1.1771999999999998</v>
      </c>
    </row>
    <row r="6268" spans="1:4" x14ac:dyDescent="0.2">
      <c r="A6268" s="19" t="s">
        <v>167</v>
      </c>
      <c r="B6268" s="19">
        <v>143.85600000000002</v>
      </c>
      <c r="C6268" s="19">
        <v>9</v>
      </c>
      <c r="D6268" s="19">
        <v>48.551399999999994</v>
      </c>
    </row>
    <row r="6269" spans="1:4" x14ac:dyDescent="0.2">
      <c r="A6269" s="19" t="s">
        <v>180</v>
      </c>
      <c r="B6269" s="19">
        <v>311.98</v>
      </c>
      <c r="C6269" s="19">
        <v>2</v>
      </c>
      <c r="D6269" s="19">
        <v>93.593999999999994</v>
      </c>
    </row>
    <row r="6270" spans="1:4" x14ac:dyDescent="0.2">
      <c r="A6270" s="19" t="s">
        <v>180</v>
      </c>
      <c r="B6270" s="19">
        <v>22.450000000000003</v>
      </c>
      <c r="C6270" s="19">
        <v>5</v>
      </c>
      <c r="D6270" s="19">
        <v>10.327</v>
      </c>
    </row>
    <row r="6271" spans="1:4" x14ac:dyDescent="0.2">
      <c r="A6271" s="19" t="s">
        <v>150</v>
      </c>
      <c r="B6271" s="19">
        <v>39.992000000000004</v>
      </c>
      <c r="C6271" s="19">
        <v>1</v>
      </c>
      <c r="D6271" s="19">
        <v>-7.9984000000000073</v>
      </c>
    </row>
    <row r="6272" spans="1:4" x14ac:dyDescent="0.2">
      <c r="A6272" s="19" t="s">
        <v>150</v>
      </c>
      <c r="B6272" s="19">
        <v>1159.056</v>
      </c>
      <c r="C6272" s="19">
        <v>9</v>
      </c>
      <c r="D6272" s="19">
        <v>43.464599999999905</v>
      </c>
    </row>
    <row r="6273" spans="1:4" x14ac:dyDescent="0.2">
      <c r="A6273" s="19" t="s">
        <v>150</v>
      </c>
      <c r="B6273" s="19">
        <v>179.89999999999998</v>
      </c>
      <c r="C6273" s="19">
        <v>5</v>
      </c>
      <c r="D6273" s="19">
        <v>44.974999999999987</v>
      </c>
    </row>
    <row r="6274" spans="1:4" x14ac:dyDescent="0.2">
      <c r="A6274" s="19" t="s">
        <v>159</v>
      </c>
      <c r="B6274" s="19">
        <v>116.312</v>
      </c>
      <c r="C6274" s="19">
        <v>7</v>
      </c>
      <c r="D6274" s="19">
        <v>23.262400000000003</v>
      </c>
    </row>
    <row r="6275" spans="1:4" x14ac:dyDescent="0.2">
      <c r="A6275" s="19" t="s">
        <v>153</v>
      </c>
      <c r="B6275" s="19">
        <v>12.419999999999998</v>
      </c>
      <c r="C6275" s="19">
        <v>3</v>
      </c>
      <c r="D6275" s="19">
        <v>4.4711999999999996</v>
      </c>
    </row>
    <row r="6276" spans="1:4" x14ac:dyDescent="0.2">
      <c r="A6276" s="19" t="s">
        <v>153</v>
      </c>
      <c r="B6276" s="19">
        <v>428.40000000000003</v>
      </c>
      <c r="C6276" s="19">
        <v>3</v>
      </c>
      <c r="D6276" s="19">
        <v>89.963999999999999</v>
      </c>
    </row>
    <row r="6277" spans="1:4" x14ac:dyDescent="0.2">
      <c r="A6277" s="19" t="s">
        <v>153</v>
      </c>
      <c r="B6277" s="19">
        <v>24.75</v>
      </c>
      <c r="C6277" s="19">
        <v>5</v>
      </c>
      <c r="D6277" s="19">
        <v>10.890000000000002</v>
      </c>
    </row>
    <row r="6278" spans="1:4" x14ac:dyDescent="0.2">
      <c r="A6278" s="19" t="s">
        <v>153</v>
      </c>
      <c r="B6278" s="19">
        <v>87.71</v>
      </c>
      <c r="C6278" s="19">
        <v>7</v>
      </c>
      <c r="D6278" s="19">
        <v>41.223699999999994</v>
      </c>
    </row>
    <row r="6279" spans="1:4" x14ac:dyDescent="0.2">
      <c r="A6279" s="19" t="s">
        <v>153</v>
      </c>
      <c r="B6279" s="19">
        <v>69.52</v>
      </c>
      <c r="C6279" s="19">
        <v>2</v>
      </c>
      <c r="D6279" s="19">
        <v>17.379999999999995</v>
      </c>
    </row>
    <row r="6280" spans="1:4" x14ac:dyDescent="0.2">
      <c r="A6280" s="19" t="s">
        <v>153</v>
      </c>
      <c r="B6280" s="19">
        <v>20.784000000000002</v>
      </c>
      <c r="C6280" s="19">
        <v>2</v>
      </c>
      <c r="D6280" s="19">
        <v>-4.6764000000000001</v>
      </c>
    </row>
    <row r="6281" spans="1:4" x14ac:dyDescent="0.2">
      <c r="A6281" s="19" t="s">
        <v>153</v>
      </c>
      <c r="B6281" s="19">
        <v>12.816000000000001</v>
      </c>
      <c r="C6281" s="19">
        <v>3</v>
      </c>
      <c r="D6281" s="19">
        <v>4.1651999999999987</v>
      </c>
    </row>
    <row r="6282" spans="1:4" x14ac:dyDescent="0.2">
      <c r="A6282" s="19" t="s">
        <v>173</v>
      </c>
      <c r="B6282" s="19">
        <v>5.9039999999999999</v>
      </c>
      <c r="C6282" s="19">
        <v>2</v>
      </c>
      <c r="D6282" s="19">
        <v>1.9925999999999999</v>
      </c>
    </row>
    <row r="6283" spans="1:4" x14ac:dyDescent="0.2">
      <c r="A6283" s="19" t="s">
        <v>173</v>
      </c>
      <c r="B6283" s="19">
        <v>63.824000000000005</v>
      </c>
      <c r="C6283" s="19">
        <v>2</v>
      </c>
      <c r="D6283" s="19">
        <v>9.5735999999999937</v>
      </c>
    </row>
    <row r="6284" spans="1:4" x14ac:dyDescent="0.2">
      <c r="A6284" s="19" t="s">
        <v>173</v>
      </c>
      <c r="B6284" s="19">
        <v>141.55199999999999</v>
      </c>
      <c r="C6284" s="19">
        <v>3</v>
      </c>
      <c r="D6284" s="19">
        <v>-26.541000000000004</v>
      </c>
    </row>
    <row r="6285" spans="1:4" x14ac:dyDescent="0.2">
      <c r="A6285" s="19" t="s">
        <v>150</v>
      </c>
      <c r="B6285" s="19">
        <v>304.89999999999998</v>
      </c>
      <c r="C6285" s="19">
        <v>5</v>
      </c>
      <c r="D6285" s="19">
        <v>143.30299999999997</v>
      </c>
    </row>
    <row r="6286" spans="1:4" x14ac:dyDescent="0.2">
      <c r="A6286" s="19" t="s">
        <v>150</v>
      </c>
      <c r="B6286" s="19">
        <v>563.24</v>
      </c>
      <c r="C6286" s="19">
        <v>5</v>
      </c>
      <c r="D6286" s="19">
        <v>56.324000000000012</v>
      </c>
    </row>
    <row r="6287" spans="1:4" x14ac:dyDescent="0.2">
      <c r="A6287" s="19" t="s">
        <v>173</v>
      </c>
      <c r="B6287" s="19">
        <v>661.17600000000004</v>
      </c>
      <c r="C6287" s="19">
        <v>2</v>
      </c>
      <c r="D6287" s="19">
        <v>-231.41160000000008</v>
      </c>
    </row>
    <row r="6288" spans="1:4" x14ac:dyDescent="0.2">
      <c r="A6288" s="19" t="s">
        <v>167</v>
      </c>
      <c r="B6288" s="19">
        <v>239.976</v>
      </c>
      <c r="C6288" s="19">
        <v>3</v>
      </c>
      <c r="D6288" s="19">
        <v>17.998199999999997</v>
      </c>
    </row>
    <row r="6289" spans="1:4" x14ac:dyDescent="0.2">
      <c r="A6289" s="19" t="s">
        <v>150</v>
      </c>
      <c r="B6289" s="19">
        <v>502.48800000000006</v>
      </c>
      <c r="C6289" s="19">
        <v>3</v>
      </c>
      <c r="D6289" s="19">
        <v>-87.935400000000044</v>
      </c>
    </row>
    <row r="6290" spans="1:4" x14ac:dyDescent="0.2">
      <c r="A6290" s="19" t="s">
        <v>150</v>
      </c>
      <c r="B6290" s="19">
        <v>196.70400000000001</v>
      </c>
      <c r="C6290" s="19">
        <v>6</v>
      </c>
      <c r="D6290" s="19">
        <v>68.846399999999974</v>
      </c>
    </row>
    <row r="6291" spans="1:4" x14ac:dyDescent="0.2">
      <c r="A6291" s="19" t="s">
        <v>150</v>
      </c>
      <c r="B6291" s="19">
        <v>915.13600000000008</v>
      </c>
      <c r="C6291" s="19">
        <v>4</v>
      </c>
      <c r="D6291" s="19">
        <v>102.95279999999988</v>
      </c>
    </row>
    <row r="6292" spans="1:4" x14ac:dyDescent="0.2">
      <c r="A6292" s="19" t="s">
        <v>150</v>
      </c>
      <c r="B6292" s="19">
        <v>327.76</v>
      </c>
      <c r="C6292" s="19">
        <v>8</v>
      </c>
      <c r="D6292" s="19">
        <v>91.772800000000018</v>
      </c>
    </row>
    <row r="6293" spans="1:4" x14ac:dyDescent="0.2">
      <c r="A6293" s="19" t="s">
        <v>166</v>
      </c>
      <c r="B6293" s="19">
        <v>701.96</v>
      </c>
      <c r="C6293" s="19">
        <v>2</v>
      </c>
      <c r="D6293" s="19">
        <v>168.47040000000004</v>
      </c>
    </row>
    <row r="6294" spans="1:4" x14ac:dyDescent="0.2">
      <c r="A6294" s="19" t="s">
        <v>150</v>
      </c>
      <c r="B6294" s="19">
        <v>88.77600000000001</v>
      </c>
      <c r="C6294" s="19">
        <v>3</v>
      </c>
      <c r="D6294" s="19">
        <v>7.7679000000000009</v>
      </c>
    </row>
    <row r="6295" spans="1:4" x14ac:dyDescent="0.2">
      <c r="A6295" s="19" t="s">
        <v>150</v>
      </c>
      <c r="B6295" s="19">
        <v>64.14</v>
      </c>
      <c r="C6295" s="19">
        <v>3</v>
      </c>
      <c r="D6295" s="19">
        <v>16.676400000000001</v>
      </c>
    </row>
    <row r="6296" spans="1:4" x14ac:dyDescent="0.2">
      <c r="A6296" s="19" t="s">
        <v>164</v>
      </c>
      <c r="B6296" s="19">
        <v>33.552</v>
      </c>
      <c r="C6296" s="19">
        <v>1</v>
      </c>
      <c r="D6296" s="19">
        <v>12.581999999999999</v>
      </c>
    </row>
    <row r="6297" spans="1:4" x14ac:dyDescent="0.2">
      <c r="A6297" s="19" t="s">
        <v>180</v>
      </c>
      <c r="B6297" s="19">
        <v>1737.1799999999998</v>
      </c>
      <c r="C6297" s="19">
        <v>6</v>
      </c>
      <c r="D6297" s="19">
        <v>503.78219999999976</v>
      </c>
    </row>
    <row r="6298" spans="1:4" x14ac:dyDescent="0.2">
      <c r="A6298" s="19" t="s">
        <v>180</v>
      </c>
      <c r="B6298" s="19">
        <v>704.25</v>
      </c>
      <c r="C6298" s="19">
        <v>5</v>
      </c>
      <c r="D6298" s="19">
        <v>84.51</v>
      </c>
    </row>
    <row r="6299" spans="1:4" x14ac:dyDescent="0.2">
      <c r="A6299" s="19" t="s">
        <v>180</v>
      </c>
      <c r="B6299" s="19">
        <v>141.76</v>
      </c>
      <c r="C6299" s="19">
        <v>4</v>
      </c>
      <c r="D6299" s="19">
        <v>66.627199999999988</v>
      </c>
    </row>
    <row r="6300" spans="1:4" x14ac:dyDescent="0.2">
      <c r="A6300" s="19" t="s">
        <v>150</v>
      </c>
      <c r="B6300" s="19">
        <v>36.36</v>
      </c>
      <c r="C6300" s="19">
        <v>3</v>
      </c>
      <c r="D6300" s="19">
        <v>12.2715</v>
      </c>
    </row>
    <row r="6301" spans="1:4" x14ac:dyDescent="0.2">
      <c r="A6301" s="19" t="s">
        <v>150</v>
      </c>
      <c r="B6301" s="19">
        <v>25.83</v>
      </c>
      <c r="C6301" s="19">
        <v>3</v>
      </c>
      <c r="D6301" s="19">
        <v>9.5570999999999984</v>
      </c>
    </row>
    <row r="6302" spans="1:4" x14ac:dyDescent="0.2">
      <c r="A6302" s="19" t="s">
        <v>159</v>
      </c>
      <c r="B6302" s="19">
        <v>24.587999999999994</v>
      </c>
      <c r="C6302" s="19">
        <v>3</v>
      </c>
      <c r="D6302" s="19">
        <v>-38.11140000000001</v>
      </c>
    </row>
    <row r="6303" spans="1:4" x14ac:dyDescent="0.2">
      <c r="A6303" s="19" t="s">
        <v>159</v>
      </c>
      <c r="B6303" s="19">
        <v>13.984000000000002</v>
      </c>
      <c r="C6303" s="19">
        <v>2</v>
      </c>
      <c r="D6303" s="19">
        <v>4.7195999999999998</v>
      </c>
    </row>
    <row r="6304" spans="1:4" x14ac:dyDescent="0.2">
      <c r="A6304" s="19" t="s">
        <v>154</v>
      </c>
      <c r="B6304" s="19">
        <v>195.96000000000004</v>
      </c>
      <c r="C6304" s="19">
        <v>5</v>
      </c>
      <c r="D6304" s="19">
        <v>19.596000000000018</v>
      </c>
    </row>
    <row r="6305" spans="1:4" x14ac:dyDescent="0.2">
      <c r="A6305" s="19" t="s">
        <v>154</v>
      </c>
      <c r="B6305" s="19">
        <v>74.352000000000004</v>
      </c>
      <c r="C6305" s="19">
        <v>3</v>
      </c>
      <c r="D6305" s="19">
        <v>23.234999999999992</v>
      </c>
    </row>
    <row r="6306" spans="1:4" x14ac:dyDescent="0.2">
      <c r="A6306" s="19" t="s">
        <v>164</v>
      </c>
      <c r="B6306" s="19">
        <v>6.68</v>
      </c>
      <c r="C6306" s="19">
        <v>1</v>
      </c>
      <c r="D6306" s="19">
        <v>3.2063999999999999</v>
      </c>
    </row>
    <row r="6307" spans="1:4" x14ac:dyDescent="0.2">
      <c r="A6307" s="19" t="s">
        <v>170</v>
      </c>
      <c r="B6307" s="19">
        <v>17.584000000000003</v>
      </c>
      <c r="C6307" s="19">
        <v>7</v>
      </c>
      <c r="D6307" s="19">
        <v>-4.1761999999999997</v>
      </c>
    </row>
    <row r="6308" spans="1:4" x14ac:dyDescent="0.2">
      <c r="A6308" s="19" t="s">
        <v>170</v>
      </c>
      <c r="B6308" s="19">
        <v>104.78399999999999</v>
      </c>
      <c r="C6308" s="19">
        <v>1</v>
      </c>
      <c r="D6308" s="19">
        <v>-14.407800000000009</v>
      </c>
    </row>
    <row r="6309" spans="1:4" x14ac:dyDescent="0.2">
      <c r="A6309" s="19" t="s">
        <v>170</v>
      </c>
      <c r="B6309" s="19">
        <v>47.952000000000005</v>
      </c>
      <c r="C6309" s="19">
        <v>3</v>
      </c>
      <c r="D6309" s="19">
        <v>16.783200000000001</v>
      </c>
    </row>
    <row r="6310" spans="1:4" x14ac:dyDescent="0.2">
      <c r="A6310" s="19" t="s">
        <v>170</v>
      </c>
      <c r="B6310" s="19">
        <v>650.35200000000009</v>
      </c>
      <c r="C6310" s="19">
        <v>3</v>
      </c>
      <c r="D6310" s="19">
        <v>-97.552800000000076</v>
      </c>
    </row>
    <row r="6311" spans="1:4" x14ac:dyDescent="0.2">
      <c r="A6311" s="19" t="s">
        <v>170</v>
      </c>
      <c r="B6311" s="19">
        <v>629.18400000000008</v>
      </c>
      <c r="C6311" s="19">
        <v>8</v>
      </c>
      <c r="D6311" s="19">
        <v>228.07919999999999</v>
      </c>
    </row>
    <row r="6312" spans="1:4" x14ac:dyDescent="0.2">
      <c r="A6312" s="19" t="s">
        <v>170</v>
      </c>
      <c r="B6312" s="19">
        <v>15.176</v>
      </c>
      <c r="C6312" s="19">
        <v>1</v>
      </c>
      <c r="D6312" s="19">
        <v>5.3115999999999985</v>
      </c>
    </row>
    <row r="6313" spans="1:4" x14ac:dyDescent="0.2">
      <c r="A6313" s="19" t="s">
        <v>150</v>
      </c>
      <c r="B6313" s="19">
        <v>127.94999999999999</v>
      </c>
      <c r="C6313" s="19">
        <v>3</v>
      </c>
      <c r="D6313" s="19">
        <v>21.751499999999986</v>
      </c>
    </row>
    <row r="6314" spans="1:4" x14ac:dyDescent="0.2">
      <c r="A6314" s="19" t="s">
        <v>178</v>
      </c>
      <c r="B6314" s="19">
        <v>579.51</v>
      </c>
      <c r="C6314" s="19">
        <v>3</v>
      </c>
      <c r="D6314" s="19">
        <v>81.131400000000014</v>
      </c>
    </row>
    <row r="6315" spans="1:4" x14ac:dyDescent="0.2">
      <c r="A6315" s="19" t="s">
        <v>178</v>
      </c>
      <c r="B6315" s="19">
        <v>14.99</v>
      </c>
      <c r="C6315" s="19">
        <v>1</v>
      </c>
      <c r="D6315" s="19">
        <v>7.3451000000000004</v>
      </c>
    </row>
    <row r="6316" spans="1:4" x14ac:dyDescent="0.2">
      <c r="A6316" s="19" t="s">
        <v>161</v>
      </c>
      <c r="B6316" s="19">
        <v>151.91999999999999</v>
      </c>
      <c r="C6316" s="19">
        <v>4</v>
      </c>
      <c r="D6316" s="19">
        <v>45.575999999999979</v>
      </c>
    </row>
    <row r="6317" spans="1:4" x14ac:dyDescent="0.2">
      <c r="A6317" s="19" t="s">
        <v>161</v>
      </c>
      <c r="B6317" s="19">
        <v>196.62</v>
      </c>
      <c r="C6317" s="19">
        <v>2</v>
      </c>
      <c r="D6317" s="19">
        <v>96.343800000000002</v>
      </c>
    </row>
    <row r="6318" spans="1:4" x14ac:dyDescent="0.2">
      <c r="A6318" s="19" t="s">
        <v>161</v>
      </c>
      <c r="B6318" s="19">
        <v>144.12</v>
      </c>
      <c r="C6318" s="19">
        <v>3</v>
      </c>
      <c r="D6318" s="19">
        <v>69.177599999999984</v>
      </c>
    </row>
    <row r="6319" spans="1:4" x14ac:dyDescent="0.2">
      <c r="A6319" s="19" t="s">
        <v>161</v>
      </c>
      <c r="B6319" s="19">
        <v>15.96</v>
      </c>
      <c r="C6319" s="19">
        <v>2</v>
      </c>
      <c r="D6319" s="19">
        <v>7.98</v>
      </c>
    </row>
    <row r="6320" spans="1:4" x14ac:dyDescent="0.2">
      <c r="A6320" s="19" t="s">
        <v>150</v>
      </c>
      <c r="B6320" s="19">
        <v>39.960000000000008</v>
      </c>
      <c r="C6320" s="19">
        <v>5</v>
      </c>
      <c r="D6320" s="19">
        <v>3.4964999999999993</v>
      </c>
    </row>
    <row r="6321" spans="1:4" x14ac:dyDescent="0.2">
      <c r="A6321" s="19" t="s">
        <v>150</v>
      </c>
      <c r="B6321" s="19">
        <v>34.08</v>
      </c>
      <c r="C6321" s="19">
        <v>6</v>
      </c>
      <c r="D6321" s="19">
        <v>15.335999999999999</v>
      </c>
    </row>
    <row r="6322" spans="1:4" x14ac:dyDescent="0.2">
      <c r="A6322" s="19" t="s">
        <v>151</v>
      </c>
      <c r="B6322" s="19">
        <v>10.368000000000002</v>
      </c>
      <c r="C6322" s="19">
        <v>2</v>
      </c>
      <c r="D6322" s="19">
        <v>3.6288</v>
      </c>
    </row>
    <row r="6323" spans="1:4" x14ac:dyDescent="0.2">
      <c r="A6323" s="19" t="s">
        <v>164</v>
      </c>
      <c r="B6323" s="19">
        <v>7.7520000000000007</v>
      </c>
      <c r="C6323" s="19">
        <v>3</v>
      </c>
      <c r="D6323" s="19">
        <v>2.8100999999999998</v>
      </c>
    </row>
    <row r="6324" spans="1:4" x14ac:dyDescent="0.2">
      <c r="A6324" s="19" t="s">
        <v>161</v>
      </c>
      <c r="B6324" s="19">
        <v>15.28</v>
      </c>
      <c r="C6324" s="19">
        <v>2</v>
      </c>
      <c r="D6324" s="19">
        <v>7.4871999999999996</v>
      </c>
    </row>
    <row r="6325" spans="1:4" x14ac:dyDescent="0.2">
      <c r="A6325" s="19" t="s">
        <v>162</v>
      </c>
      <c r="B6325" s="19">
        <v>65.97</v>
      </c>
      <c r="C6325" s="19">
        <v>3</v>
      </c>
      <c r="D6325" s="19">
        <v>31.005899999999997</v>
      </c>
    </row>
    <row r="6326" spans="1:4" x14ac:dyDescent="0.2">
      <c r="A6326" s="19" t="s">
        <v>150</v>
      </c>
      <c r="B6326" s="19">
        <v>33.4</v>
      </c>
      <c r="C6326" s="19">
        <v>5</v>
      </c>
      <c r="D6326" s="19">
        <v>16.032</v>
      </c>
    </row>
    <row r="6327" spans="1:4" x14ac:dyDescent="0.2">
      <c r="A6327" s="19" t="s">
        <v>150</v>
      </c>
      <c r="B6327" s="19">
        <v>210.84</v>
      </c>
      <c r="C6327" s="19">
        <v>4</v>
      </c>
      <c r="D6327" s="19">
        <v>103.3116</v>
      </c>
    </row>
    <row r="6328" spans="1:4" x14ac:dyDescent="0.2">
      <c r="A6328" s="19" t="s">
        <v>161</v>
      </c>
      <c r="B6328" s="19">
        <v>13.98</v>
      </c>
      <c r="C6328" s="19">
        <v>1</v>
      </c>
      <c r="D6328" s="19">
        <v>4.0541999999999998</v>
      </c>
    </row>
    <row r="6329" spans="1:4" x14ac:dyDescent="0.2">
      <c r="A6329" s="19" t="s">
        <v>161</v>
      </c>
      <c r="B6329" s="19">
        <v>272.94</v>
      </c>
      <c r="C6329" s="19">
        <v>3</v>
      </c>
      <c r="D6329" s="19">
        <v>30.023400000000009</v>
      </c>
    </row>
    <row r="6330" spans="1:4" x14ac:dyDescent="0.2">
      <c r="A6330" s="19" t="s">
        <v>161</v>
      </c>
      <c r="B6330" s="19">
        <v>19.05</v>
      </c>
      <c r="C6330" s="19">
        <v>5</v>
      </c>
      <c r="D6330" s="19">
        <v>8.9534999999999982</v>
      </c>
    </row>
    <row r="6331" spans="1:4" x14ac:dyDescent="0.2">
      <c r="A6331" s="19" t="s">
        <v>161</v>
      </c>
      <c r="B6331" s="19">
        <v>247.71600000000001</v>
      </c>
      <c r="C6331" s="19">
        <v>4</v>
      </c>
      <c r="D6331" s="19">
        <v>93.581600000000009</v>
      </c>
    </row>
    <row r="6332" spans="1:4" x14ac:dyDescent="0.2">
      <c r="A6332" s="19" t="s">
        <v>161</v>
      </c>
      <c r="B6332" s="19">
        <v>66.58</v>
      </c>
      <c r="C6332" s="19">
        <v>2</v>
      </c>
      <c r="D6332" s="19">
        <v>15.979199999999999</v>
      </c>
    </row>
    <row r="6333" spans="1:4" x14ac:dyDescent="0.2">
      <c r="A6333" s="19" t="s">
        <v>161</v>
      </c>
      <c r="B6333" s="19">
        <v>43.92</v>
      </c>
      <c r="C6333" s="19">
        <v>3</v>
      </c>
      <c r="D6333" s="19">
        <v>12.736799999999999</v>
      </c>
    </row>
    <row r="6334" spans="1:4" x14ac:dyDescent="0.2">
      <c r="A6334" s="19" t="s">
        <v>161</v>
      </c>
      <c r="B6334" s="19">
        <v>14.73</v>
      </c>
      <c r="C6334" s="19">
        <v>3</v>
      </c>
      <c r="D6334" s="19">
        <v>4.8608999999999991</v>
      </c>
    </row>
    <row r="6335" spans="1:4" x14ac:dyDescent="0.2">
      <c r="A6335" s="19" t="s">
        <v>161</v>
      </c>
      <c r="B6335" s="19">
        <v>29.700000000000003</v>
      </c>
      <c r="C6335" s="19">
        <v>5</v>
      </c>
      <c r="D6335" s="19">
        <v>13.365</v>
      </c>
    </row>
    <row r="6336" spans="1:4" x14ac:dyDescent="0.2">
      <c r="A6336" s="19" t="s">
        <v>164</v>
      </c>
      <c r="B6336" s="19">
        <v>49.12</v>
      </c>
      <c r="C6336" s="19">
        <v>4</v>
      </c>
      <c r="D6336" s="19">
        <v>23.086399999999998</v>
      </c>
    </row>
    <row r="6337" spans="1:4" x14ac:dyDescent="0.2">
      <c r="A6337" s="19" t="s">
        <v>164</v>
      </c>
      <c r="B6337" s="19">
        <v>18.28</v>
      </c>
      <c r="C6337" s="19">
        <v>5</v>
      </c>
      <c r="D6337" s="19">
        <v>6.3979999999999997</v>
      </c>
    </row>
    <row r="6338" spans="1:4" x14ac:dyDescent="0.2">
      <c r="A6338" s="19" t="s">
        <v>150</v>
      </c>
      <c r="B6338" s="19">
        <v>47.04</v>
      </c>
      <c r="C6338" s="19">
        <v>4</v>
      </c>
      <c r="D6338" s="19">
        <v>15.993599999999997</v>
      </c>
    </row>
    <row r="6339" spans="1:4" x14ac:dyDescent="0.2">
      <c r="A6339" s="19" t="s">
        <v>150</v>
      </c>
      <c r="B6339" s="19">
        <v>339.96000000000004</v>
      </c>
      <c r="C6339" s="19">
        <v>5</v>
      </c>
      <c r="D6339" s="19">
        <v>42.494999999999948</v>
      </c>
    </row>
    <row r="6340" spans="1:4" x14ac:dyDescent="0.2">
      <c r="A6340" s="19" t="s">
        <v>164</v>
      </c>
      <c r="B6340" s="19">
        <v>87.8</v>
      </c>
      <c r="C6340" s="19">
        <v>4</v>
      </c>
      <c r="D6340" s="19">
        <v>43.9</v>
      </c>
    </row>
    <row r="6341" spans="1:4" x14ac:dyDescent="0.2">
      <c r="A6341" s="19" t="s">
        <v>164</v>
      </c>
      <c r="B6341" s="19">
        <v>221.38200000000001</v>
      </c>
      <c r="C6341" s="19">
        <v>2</v>
      </c>
      <c r="D6341" s="19">
        <v>2.4597999999999871</v>
      </c>
    </row>
    <row r="6342" spans="1:4" x14ac:dyDescent="0.2">
      <c r="A6342" s="19" t="s">
        <v>164</v>
      </c>
      <c r="B6342" s="19">
        <v>5199.96</v>
      </c>
      <c r="C6342" s="19">
        <v>4</v>
      </c>
      <c r="D6342" s="19">
        <v>1351.9895999999999</v>
      </c>
    </row>
    <row r="6343" spans="1:4" x14ac:dyDescent="0.2">
      <c r="A6343" s="19" t="s">
        <v>173</v>
      </c>
      <c r="B6343" s="19">
        <v>156.512</v>
      </c>
      <c r="C6343" s="19">
        <v>4</v>
      </c>
      <c r="D6343" s="19">
        <v>-35.215199999999996</v>
      </c>
    </row>
    <row r="6344" spans="1:4" x14ac:dyDescent="0.2">
      <c r="A6344" s="19" t="s">
        <v>162</v>
      </c>
      <c r="B6344" s="19">
        <v>119.85000000000001</v>
      </c>
      <c r="C6344" s="19">
        <v>3</v>
      </c>
      <c r="D6344" s="19">
        <v>52.734000000000009</v>
      </c>
    </row>
    <row r="6345" spans="1:4" x14ac:dyDescent="0.2">
      <c r="A6345" s="19" t="s">
        <v>162</v>
      </c>
      <c r="B6345" s="19">
        <v>30.44</v>
      </c>
      <c r="C6345" s="19">
        <v>2</v>
      </c>
      <c r="D6345" s="19">
        <v>14.9156</v>
      </c>
    </row>
    <row r="6346" spans="1:4" x14ac:dyDescent="0.2">
      <c r="A6346" s="19" t="s">
        <v>162</v>
      </c>
      <c r="B6346" s="19">
        <v>69.28</v>
      </c>
      <c r="C6346" s="19">
        <v>2</v>
      </c>
      <c r="D6346" s="19">
        <v>33.254399999999997</v>
      </c>
    </row>
    <row r="6347" spans="1:4" x14ac:dyDescent="0.2">
      <c r="A6347" s="19" t="s">
        <v>162</v>
      </c>
      <c r="B6347" s="19">
        <v>587.97</v>
      </c>
      <c r="C6347" s="19">
        <v>3</v>
      </c>
      <c r="D6347" s="19">
        <v>170.51129999999998</v>
      </c>
    </row>
    <row r="6348" spans="1:4" x14ac:dyDescent="0.2">
      <c r="A6348" s="19" t="s">
        <v>164</v>
      </c>
      <c r="B6348" s="19">
        <v>24.55</v>
      </c>
      <c r="C6348" s="19">
        <v>5</v>
      </c>
      <c r="D6348" s="19">
        <v>12.029499999999999</v>
      </c>
    </row>
    <row r="6349" spans="1:4" x14ac:dyDescent="0.2">
      <c r="A6349" s="19" t="s">
        <v>150</v>
      </c>
      <c r="B6349" s="19">
        <v>12.176000000000002</v>
      </c>
      <c r="C6349" s="19">
        <v>1</v>
      </c>
      <c r="D6349" s="19">
        <v>4.4137999999999993</v>
      </c>
    </row>
    <row r="6350" spans="1:4" x14ac:dyDescent="0.2">
      <c r="A6350" s="19" t="s">
        <v>150</v>
      </c>
      <c r="B6350" s="19">
        <v>37.32</v>
      </c>
      <c r="C6350" s="19">
        <v>3</v>
      </c>
      <c r="D6350" s="19">
        <v>10.4496</v>
      </c>
    </row>
    <row r="6351" spans="1:4" x14ac:dyDescent="0.2">
      <c r="A6351" s="19" t="s">
        <v>150</v>
      </c>
      <c r="B6351" s="19">
        <v>35.06</v>
      </c>
      <c r="C6351" s="19">
        <v>2</v>
      </c>
      <c r="D6351" s="19">
        <v>10.517999999999997</v>
      </c>
    </row>
    <row r="6352" spans="1:4" x14ac:dyDescent="0.2">
      <c r="A6352" s="19" t="s">
        <v>154</v>
      </c>
      <c r="B6352" s="19">
        <v>108.40000000000002</v>
      </c>
      <c r="C6352" s="19">
        <v>5</v>
      </c>
      <c r="D6352" s="19">
        <v>-105.69000000000003</v>
      </c>
    </row>
    <row r="6353" spans="1:4" x14ac:dyDescent="0.2">
      <c r="A6353" s="19" t="s">
        <v>151</v>
      </c>
      <c r="B6353" s="19">
        <v>361.37600000000003</v>
      </c>
      <c r="C6353" s="19">
        <v>2</v>
      </c>
      <c r="D6353" s="19">
        <v>27.103200000000001</v>
      </c>
    </row>
    <row r="6354" spans="1:4" x14ac:dyDescent="0.2">
      <c r="A6354" s="19" t="s">
        <v>158</v>
      </c>
      <c r="B6354" s="19">
        <v>2.4119999999999999</v>
      </c>
      <c r="C6354" s="19">
        <v>1</v>
      </c>
      <c r="D6354" s="19">
        <v>-2.0099999999999998</v>
      </c>
    </row>
    <row r="6355" spans="1:4" x14ac:dyDescent="0.2">
      <c r="A6355" s="19" t="s">
        <v>164</v>
      </c>
      <c r="B6355" s="19">
        <v>8.39</v>
      </c>
      <c r="C6355" s="19">
        <v>1</v>
      </c>
      <c r="D6355" s="19">
        <v>2.0975000000000001</v>
      </c>
    </row>
    <row r="6356" spans="1:4" x14ac:dyDescent="0.2">
      <c r="A6356" s="19" t="s">
        <v>164</v>
      </c>
      <c r="B6356" s="19">
        <v>337.98</v>
      </c>
      <c r="C6356" s="19">
        <v>2</v>
      </c>
      <c r="D6356" s="19">
        <v>101.39399999999998</v>
      </c>
    </row>
    <row r="6357" spans="1:4" x14ac:dyDescent="0.2">
      <c r="A6357" s="19" t="s">
        <v>158</v>
      </c>
      <c r="B6357" s="19">
        <v>83.920000000000016</v>
      </c>
      <c r="C6357" s="19">
        <v>5</v>
      </c>
      <c r="D6357" s="19">
        <v>-13.637000000000011</v>
      </c>
    </row>
    <row r="6358" spans="1:4" x14ac:dyDescent="0.2">
      <c r="A6358" s="19" t="s">
        <v>153</v>
      </c>
      <c r="B6358" s="19">
        <v>19.68</v>
      </c>
      <c r="C6358" s="19">
        <v>5</v>
      </c>
      <c r="D6358" s="19">
        <v>6.8879999999999981</v>
      </c>
    </row>
    <row r="6359" spans="1:4" x14ac:dyDescent="0.2">
      <c r="A6359" s="19" t="s">
        <v>153</v>
      </c>
      <c r="B6359" s="19">
        <v>25.92</v>
      </c>
      <c r="C6359" s="19">
        <v>4</v>
      </c>
      <c r="D6359" s="19">
        <v>12.441600000000001</v>
      </c>
    </row>
    <row r="6360" spans="1:4" x14ac:dyDescent="0.2">
      <c r="A6360" s="19" t="s">
        <v>153</v>
      </c>
      <c r="B6360" s="19">
        <v>6.48</v>
      </c>
      <c r="C6360" s="19">
        <v>1</v>
      </c>
      <c r="D6360" s="19">
        <v>3.1104000000000003</v>
      </c>
    </row>
    <row r="6361" spans="1:4" x14ac:dyDescent="0.2">
      <c r="A6361" s="19" t="s">
        <v>153</v>
      </c>
      <c r="B6361" s="19">
        <v>86.352000000000004</v>
      </c>
      <c r="C6361" s="19">
        <v>6</v>
      </c>
      <c r="D6361" s="19">
        <v>8.6352000000000011</v>
      </c>
    </row>
    <row r="6362" spans="1:4" x14ac:dyDescent="0.2">
      <c r="A6362" s="19" t="s">
        <v>150</v>
      </c>
      <c r="B6362" s="19">
        <v>56.3</v>
      </c>
      <c r="C6362" s="19">
        <v>2</v>
      </c>
      <c r="D6362" s="19">
        <v>15.764000000000003</v>
      </c>
    </row>
    <row r="6363" spans="1:4" x14ac:dyDescent="0.2">
      <c r="A6363" s="19" t="s">
        <v>170</v>
      </c>
      <c r="B6363" s="19">
        <v>51.016000000000005</v>
      </c>
      <c r="C6363" s="19">
        <v>7</v>
      </c>
      <c r="D6363" s="19">
        <v>8.2900999999999954</v>
      </c>
    </row>
    <row r="6364" spans="1:4" x14ac:dyDescent="0.2">
      <c r="A6364" s="19" t="s">
        <v>153</v>
      </c>
      <c r="B6364" s="19">
        <v>150.80000000000001</v>
      </c>
      <c r="C6364" s="19">
        <v>5</v>
      </c>
      <c r="D6364" s="19">
        <v>56.55</v>
      </c>
    </row>
    <row r="6365" spans="1:4" x14ac:dyDescent="0.2">
      <c r="A6365" s="19" t="s">
        <v>153</v>
      </c>
      <c r="B6365" s="19">
        <v>1039.992</v>
      </c>
      <c r="C6365" s="19">
        <v>1</v>
      </c>
      <c r="D6365" s="19">
        <v>103.99920000000003</v>
      </c>
    </row>
    <row r="6366" spans="1:4" x14ac:dyDescent="0.2">
      <c r="A6366" s="19" t="s">
        <v>153</v>
      </c>
      <c r="B6366" s="19">
        <v>51.84</v>
      </c>
      <c r="C6366" s="19">
        <v>8</v>
      </c>
      <c r="D6366" s="19">
        <v>24.883200000000002</v>
      </c>
    </row>
    <row r="6367" spans="1:4" x14ac:dyDescent="0.2">
      <c r="A6367" s="19" t="s">
        <v>164</v>
      </c>
      <c r="B6367" s="19">
        <v>41.22</v>
      </c>
      <c r="C6367" s="19">
        <v>1</v>
      </c>
      <c r="D6367" s="19">
        <v>11.1294</v>
      </c>
    </row>
    <row r="6368" spans="1:4" x14ac:dyDescent="0.2">
      <c r="A6368" s="19" t="s">
        <v>164</v>
      </c>
      <c r="B6368" s="19">
        <v>240.37</v>
      </c>
      <c r="C6368" s="19">
        <v>1</v>
      </c>
      <c r="D6368" s="19">
        <v>7.2111000000000161</v>
      </c>
    </row>
    <row r="6369" spans="1:4" x14ac:dyDescent="0.2">
      <c r="A6369" s="19" t="s">
        <v>164</v>
      </c>
      <c r="B6369" s="19">
        <v>119.02</v>
      </c>
      <c r="C6369" s="19">
        <v>2</v>
      </c>
      <c r="D6369" s="19">
        <v>33.325600000000009</v>
      </c>
    </row>
    <row r="6370" spans="1:4" x14ac:dyDescent="0.2">
      <c r="A6370" s="19" t="s">
        <v>150</v>
      </c>
      <c r="B6370" s="19">
        <v>133.12</v>
      </c>
      <c r="C6370" s="19">
        <v>5</v>
      </c>
      <c r="D6370" s="19">
        <v>49.92</v>
      </c>
    </row>
    <row r="6371" spans="1:4" x14ac:dyDescent="0.2">
      <c r="A6371" s="19" t="s">
        <v>154</v>
      </c>
      <c r="B6371" s="19">
        <v>38.08</v>
      </c>
      <c r="C6371" s="19">
        <v>5</v>
      </c>
      <c r="D6371" s="19">
        <v>-29.512000000000008</v>
      </c>
    </row>
    <row r="6372" spans="1:4" x14ac:dyDescent="0.2">
      <c r="A6372" s="19" t="s">
        <v>164</v>
      </c>
      <c r="B6372" s="19">
        <v>113.56800000000001</v>
      </c>
      <c r="C6372" s="19">
        <v>2</v>
      </c>
      <c r="D6372" s="19">
        <v>12.776399999999988</v>
      </c>
    </row>
    <row r="6373" spans="1:4" x14ac:dyDescent="0.2">
      <c r="A6373" s="19" t="s">
        <v>164</v>
      </c>
      <c r="B6373" s="19">
        <v>83.92</v>
      </c>
      <c r="C6373" s="19">
        <v>4</v>
      </c>
      <c r="D6373" s="19">
        <v>21.819200000000002</v>
      </c>
    </row>
    <row r="6374" spans="1:4" x14ac:dyDescent="0.2">
      <c r="A6374" s="19" t="s">
        <v>164</v>
      </c>
      <c r="B6374" s="19">
        <v>6.63</v>
      </c>
      <c r="C6374" s="19">
        <v>3</v>
      </c>
      <c r="D6374" s="19">
        <v>3.1160999999999999</v>
      </c>
    </row>
    <row r="6375" spans="1:4" x14ac:dyDescent="0.2">
      <c r="A6375" s="19" t="s">
        <v>164</v>
      </c>
      <c r="B6375" s="19">
        <v>371.96999999999997</v>
      </c>
      <c r="C6375" s="19">
        <v>3</v>
      </c>
      <c r="D6375" s="19">
        <v>66.954599999999971</v>
      </c>
    </row>
    <row r="6376" spans="1:4" x14ac:dyDescent="0.2">
      <c r="A6376" s="19" t="s">
        <v>167</v>
      </c>
      <c r="B6376" s="19">
        <v>561.58400000000006</v>
      </c>
      <c r="C6376" s="19">
        <v>2</v>
      </c>
      <c r="D6376" s="19">
        <v>70.197999999999922</v>
      </c>
    </row>
    <row r="6377" spans="1:4" x14ac:dyDescent="0.2">
      <c r="A6377" s="19" t="s">
        <v>167</v>
      </c>
      <c r="B6377" s="19">
        <v>99.920000000000016</v>
      </c>
      <c r="C6377" s="19">
        <v>5</v>
      </c>
      <c r="D6377" s="19">
        <v>-1.249000000000013</v>
      </c>
    </row>
    <row r="6378" spans="1:4" x14ac:dyDescent="0.2">
      <c r="A6378" s="19" t="s">
        <v>158</v>
      </c>
      <c r="B6378" s="19">
        <v>4.9280000000000008</v>
      </c>
      <c r="C6378" s="19">
        <v>2</v>
      </c>
      <c r="D6378" s="19">
        <v>1.7247999999999997</v>
      </c>
    </row>
    <row r="6379" spans="1:4" x14ac:dyDescent="0.2">
      <c r="A6379" s="19" t="s">
        <v>150</v>
      </c>
      <c r="B6379" s="19">
        <v>14.76</v>
      </c>
      <c r="C6379" s="19">
        <v>2</v>
      </c>
      <c r="D6379" s="19">
        <v>4.2803999999999984</v>
      </c>
    </row>
    <row r="6380" spans="1:4" x14ac:dyDescent="0.2">
      <c r="A6380" s="19" t="s">
        <v>178</v>
      </c>
      <c r="B6380" s="19">
        <v>99.99</v>
      </c>
      <c r="C6380" s="19">
        <v>1</v>
      </c>
      <c r="D6380" s="19">
        <v>41.995800000000003</v>
      </c>
    </row>
    <row r="6381" spans="1:4" x14ac:dyDescent="0.2">
      <c r="A6381" s="19" t="s">
        <v>178</v>
      </c>
      <c r="B6381" s="19">
        <v>286.14999999999998</v>
      </c>
      <c r="C6381" s="19">
        <v>5</v>
      </c>
      <c r="D6381" s="19">
        <v>71.537499999999994</v>
      </c>
    </row>
    <row r="6382" spans="1:4" x14ac:dyDescent="0.2">
      <c r="A6382" s="19" t="s">
        <v>165</v>
      </c>
      <c r="B6382" s="19">
        <v>49.792000000000002</v>
      </c>
      <c r="C6382" s="19">
        <v>8</v>
      </c>
      <c r="D6382" s="19">
        <v>-11.825600000000001</v>
      </c>
    </row>
    <row r="6383" spans="1:4" x14ac:dyDescent="0.2">
      <c r="A6383" s="19" t="s">
        <v>173</v>
      </c>
      <c r="B6383" s="19">
        <v>299.97499999999997</v>
      </c>
      <c r="C6383" s="19">
        <v>5</v>
      </c>
      <c r="D6383" s="19">
        <v>-167.98600000000002</v>
      </c>
    </row>
    <row r="6384" spans="1:4" x14ac:dyDescent="0.2">
      <c r="A6384" s="19" t="s">
        <v>173</v>
      </c>
      <c r="B6384" s="19">
        <v>158.37599999999998</v>
      </c>
      <c r="C6384" s="19">
        <v>4</v>
      </c>
      <c r="D6384" s="19">
        <v>-36.954399999999993</v>
      </c>
    </row>
    <row r="6385" spans="1:4" x14ac:dyDescent="0.2">
      <c r="A6385" s="19" t="s">
        <v>154</v>
      </c>
      <c r="B6385" s="19">
        <v>32.783999999999992</v>
      </c>
      <c r="C6385" s="19">
        <v>4</v>
      </c>
      <c r="D6385" s="19">
        <v>-52.454400000000007</v>
      </c>
    </row>
    <row r="6386" spans="1:4" x14ac:dyDescent="0.2">
      <c r="A6386" s="19" t="s">
        <v>154</v>
      </c>
      <c r="B6386" s="19">
        <v>47.984000000000002</v>
      </c>
      <c r="C6386" s="19">
        <v>2</v>
      </c>
      <c r="D6386" s="19">
        <v>14.395200000000004</v>
      </c>
    </row>
    <row r="6387" spans="1:4" x14ac:dyDescent="0.2">
      <c r="A6387" s="19" t="s">
        <v>154</v>
      </c>
      <c r="B6387" s="19">
        <v>62.591999999999999</v>
      </c>
      <c r="C6387" s="19">
        <v>8</v>
      </c>
      <c r="D6387" s="19">
        <v>13.300799999999999</v>
      </c>
    </row>
    <row r="6388" spans="1:4" x14ac:dyDescent="0.2">
      <c r="A6388" s="19" t="s">
        <v>154</v>
      </c>
      <c r="B6388" s="19">
        <v>4.2759999999999989</v>
      </c>
      <c r="C6388" s="19">
        <v>1</v>
      </c>
      <c r="D6388" s="19">
        <v>-6.6278000000000006</v>
      </c>
    </row>
    <row r="6389" spans="1:4" x14ac:dyDescent="0.2">
      <c r="A6389" s="19" t="s">
        <v>161</v>
      </c>
      <c r="B6389" s="19">
        <v>10.56</v>
      </c>
      <c r="C6389" s="19">
        <v>2</v>
      </c>
      <c r="D6389" s="19">
        <v>4.7519999999999998</v>
      </c>
    </row>
    <row r="6390" spans="1:4" x14ac:dyDescent="0.2">
      <c r="A6390" s="19" t="s">
        <v>161</v>
      </c>
      <c r="B6390" s="19">
        <v>229.94</v>
      </c>
      <c r="C6390" s="19">
        <v>2</v>
      </c>
      <c r="D6390" s="19">
        <v>6.8982000000000028</v>
      </c>
    </row>
    <row r="6391" spans="1:4" x14ac:dyDescent="0.2">
      <c r="A6391" s="19" t="s">
        <v>166</v>
      </c>
      <c r="B6391" s="19">
        <v>311.14999999999998</v>
      </c>
      <c r="C6391" s="19">
        <v>5</v>
      </c>
      <c r="D6391" s="19">
        <v>146.24049999999997</v>
      </c>
    </row>
    <row r="6392" spans="1:4" x14ac:dyDescent="0.2">
      <c r="A6392" s="19" t="s">
        <v>166</v>
      </c>
      <c r="B6392" s="19">
        <v>12.96</v>
      </c>
      <c r="C6392" s="19">
        <v>2</v>
      </c>
      <c r="D6392" s="19">
        <v>6.3504000000000005</v>
      </c>
    </row>
    <row r="6393" spans="1:4" x14ac:dyDescent="0.2">
      <c r="A6393" s="19" t="s">
        <v>164</v>
      </c>
      <c r="B6393" s="19">
        <v>14.62</v>
      </c>
      <c r="C6393" s="19">
        <v>2</v>
      </c>
      <c r="D6393" s="19">
        <v>6.7251999999999992</v>
      </c>
    </row>
    <row r="6394" spans="1:4" x14ac:dyDescent="0.2">
      <c r="A6394" s="19" t="s">
        <v>164</v>
      </c>
      <c r="B6394" s="19">
        <v>5.76</v>
      </c>
      <c r="C6394" s="19">
        <v>2</v>
      </c>
      <c r="D6394" s="19">
        <v>2.8224</v>
      </c>
    </row>
    <row r="6395" spans="1:4" x14ac:dyDescent="0.2">
      <c r="A6395" s="19" t="s">
        <v>164</v>
      </c>
      <c r="B6395" s="19">
        <v>21.48</v>
      </c>
      <c r="C6395" s="19">
        <v>6</v>
      </c>
      <c r="D6395" s="19">
        <v>10.5252</v>
      </c>
    </row>
    <row r="6396" spans="1:4" x14ac:dyDescent="0.2">
      <c r="A6396" s="19" t="s">
        <v>164</v>
      </c>
      <c r="B6396" s="19">
        <v>396.92</v>
      </c>
      <c r="C6396" s="19">
        <v>4</v>
      </c>
      <c r="D6396" s="19">
        <v>198.46</v>
      </c>
    </row>
    <row r="6397" spans="1:4" x14ac:dyDescent="0.2">
      <c r="A6397" s="19" t="s">
        <v>164</v>
      </c>
      <c r="B6397" s="19">
        <v>17.149999999999999</v>
      </c>
      <c r="C6397" s="19">
        <v>1</v>
      </c>
      <c r="D6397" s="19">
        <v>4.6304999999999996</v>
      </c>
    </row>
    <row r="6398" spans="1:4" x14ac:dyDescent="0.2">
      <c r="A6398" s="19" t="s">
        <v>164</v>
      </c>
      <c r="B6398" s="19">
        <v>23.12</v>
      </c>
      <c r="C6398" s="19">
        <v>2</v>
      </c>
      <c r="D6398" s="19">
        <v>7.8029999999999982</v>
      </c>
    </row>
    <row r="6399" spans="1:4" x14ac:dyDescent="0.2">
      <c r="A6399" s="19" t="s">
        <v>154</v>
      </c>
      <c r="B6399" s="19">
        <v>5.2480000000000002</v>
      </c>
      <c r="C6399" s="19">
        <v>2</v>
      </c>
      <c r="D6399" s="19">
        <v>0.59039999999999915</v>
      </c>
    </row>
    <row r="6400" spans="1:4" x14ac:dyDescent="0.2">
      <c r="A6400" s="19" t="s">
        <v>186</v>
      </c>
      <c r="B6400" s="19">
        <v>824.95</v>
      </c>
      <c r="C6400" s="19">
        <v>5</v>
      </c>
      <c r="D6400" s="19">
        <v>247.48499999999993</v>
      </c>
    </row>
    <row r="6401" spans="1:4" x14ac:dyDescent="0.2">
      <c r="A6401" s="19" t="s">
        <v>186</v>
      </c>
      <c r="B6401" s="19">
        <v>24.64</v>
      </c>
      <c r="C6401" s="19">
        <v>8</v>
      </c>
      <c r="D6401" s="19">
        <v>11.827199999999999</v>
      </c>
    </row>
    <row r="6402" spans="1:4" x14ac:dyDescent="0.2">
      <c r="A6402" s="19" t="s">
        <v>186</v>
      </c>
      <c r="B6402" s="19">
        <v>227.88</v>
      </c>
      <c r="C6402" s="19">
        <v>6</v>
      </c>
      <c r="D6402" s="19">
        <v>68.363999999999976</v>
      </c>
    </row>
    <row r="6403" spans="1:4" x14ac:dyDescent="0.2">
      <c r="A6403" s="19" t="s">
        <v>177</v>
      </c>
      <c r="B6403" s="19">
        <v>241.96</v>
      </c>
      <c r="C6403" s="19">
        <v>2</v>
      </c>
      <c r="D6403" s="19">
        <v>33.874400000000009</v>
      </c>
    </row>
    <row r="6404" spans="1:4" x14ac:dyDescent="0.2">
      <c r="A6404" s="19" t="s">
        <v>177</v>
      </c>
      <c r="B6404" s="19">
        <v>3.89</v>
      </c>
      <c r="C6404" s="19">
        <v>1</v>
      </c>
      <c r="D6404" s="19">
        <v>1.8672</v>
      </c>
    </row>
    <row r="6405" spans="1:4" x14ac:dyDescent="0.2">
      <c r="A6405" s="19" t="s">
        <v>177</v>
      </c>
      <c r="B6405" s="19">
        <v>8.01</v>
      </c>
      <c r="C6405" s="19">
        <v>3</v>
      </c>
      <c r="D6405" s="19">
        <v>3.0438000000000001</v>
      </c>
    </row>
    <row r="6406" spans="1:4" x14ac:dyDescent="0.2">
      <c r="A6406" s="19" t="s">
        <v>152</v>
      </c>
      <c r="B6406" s="19">
        <v>177.48000000000002</v>
      </c>
      <c r="C6406" s="19">
        <v>3</v>
      </c>
      <c r="D6406" s="19">
        <v>19.966499999999982</v>
      </c>
    </row>
    <row r="6407" spans="1:4" x14ac:dyDescent="0.2">
      <c r="A6407" s="19" t="s">
        <v>153</v>
      </c>
      <c r="B6407" s="19">
        <v>569.5680000000001</v>
      </c>
      <c r="C6407" s="19">
        <v>2</v>
      </c>
      <c r="D6407" s="19">
        <v>7.119599999999906</v>
      </c>
    </row>
    <row r="6408" spans="1:4" x14ac:dyDescent="0.2">
      <c r="A6408" s="19" t="s">
        <v>153</v>
      </c>
      <c r="B6408" s="19">
        <v>149.73000000000002</v>
      </c>
      <c r="C6408" s="19">
        <v>7</v>
      </c>
      <c r="D6408" s="19">
        <v>43.421699999999994</v>
      </c>
    </row>
    <row r="6409" spans="1:4" x14ac:dyDescent="0.2">
      <c r="A6409" s="19" t="s">
        <v>154</v>
      </c>
      <c r="B6409" s="19">
        <v>899.43</v>
      </c>
      <c r="C6409" s="19">
        <v>5</v>
      </c>
      <c r="D6409" s="19">
        <v>-12.84900000000016</v>
      </c>
    </row>
    <row r="6410" spans="1:4" x14ac:dyDescent="0.2">
      <c r="A6410" s="19" t="s">
        <v>154</v>
      </c>
      <c r="B6410" s="19">
        <v>46.2</v>
      </c>
      <c r="C6410" s="19">
        <v>5</v>
      </c>
      <c r="D6410" s="19">
        <v>5.7749999999999986</v>
      </c>
    </row>
    <row r="6411" spans="1:4" x14ac:dyDescent="0.2">
      <c r="A6411" s="19" t="s">
        <v>154</v>
      </c>
      <c r="B6411" s="19">
        <v>47.952000000000005</v>
      </c>
      <c r="C6411" s="19">
        <v>3</v>
      </c>
      <c r="D6411" s="19">
        <v>16.183799999999998</v>
      </c>
    </row>
    <row r="6412" spans="1:4" x14ac:dyDescent="0.2">
      <c r="A6412" s="19" t="s">
        <v>154</v>
      </c>
      <c r="B6412" s="19">
        <v>7.9920000000000009</v>
      </c>
      <c r="C6412" s="19">
        <v>1</v>
      </c>
      <c r="D6412" s="19">
        <v>0.69930000000000003</v>
      </c>
    </row>
    <row r="6413" spans="1:4" x14ac:dyDescent="0.2">
      <c r="A6413" s="19" t="s">
        <v>154</v>
      </c>
      <c r="B6413" s="19">
        <v>76.864000000000004</v>
      </c>
      <c r="C6413" s="19">
        <v>2</v>
      </c>
      <c r="D6413" s="19">
        <v>26.902399999999993</v>
      </c>
    </row>
    <row r="6414" spans="1:4" x14ac:dyDescent="0.2">
      <c r="A6414" s="19" t="s">
        <v>149</v>
      </c>
      <c r="B6414" s="19">
        <v>102.93</v>
      </c>
      <c r="C6414" s="19">
        <v>3</v>
      </c>
      <c r="D6414" s="19">
        <v>48.377100000000006</v>
      </c>
    </row>
    <row r="6415" spans="1:4" x14ac:dyDescent="0.2">
      <c r="A6415" s="19" t="s">
        <v>149</v>
      </c>
      <c r="B6415" s="19">
        <v>98.16</v>
      </c>
      <c r="C6415" s="19">
        <v>6</v>
      </c>
      <c r="D6415" s="19">
        <v>9.8159999999999954</v>
      </c>
    </row>
    <row r="6416" spans="1:4" x14ac:dyDescent="0.2">
      <c r="A6416" s="19" t="s">
        <v>151</v>
      </c>
      <c r="B6416" s="19">
        <v>11.520000000000001</v>
      </c>
      <c r="C6416" s="19">
        <v>5</v>
      </c>
      <c r="D6416" s="19">
        <v>-7.6799999999999962</v>
      </c>
    </row>
    <row r="6417" spans="1:4" x14ac:dyDescent="0.2">
      <c r="A6417" s="19" t="s">
        <v>165</v>
      </c>
      <c r="B6417" s="19">
        <v>83.88</v>
      </c>
      <c r="C6417" s="19">
        <v>1</v>
      </c>
      <c r="D6417" s="19">
        <v>29.357999999999997</v>
      </c>
    </row>
    <row r="6418" spans="1:4" x14ac:dyDescent="0.2">
      <c r="A6418" s="19" t="s">
        <v>158</v>
      </c>
      <c r="B6418" s="19">
        <v>108.57600000000001</v>
      </c>
      <c r="C6418" s="19">
        <v>4</v>
      </c>
      <c r="D6418" s="19">
        <v>-25.334400000000002</v>
      </c>
    </row>
    <row r="6419" spans="1:4" x14ac:dyDescent="0.2">
      <c r="A6419" s="19" t="s">
        <v>158</v>
      </c>
      <c r="B6419" s="19">
        <v>5.9840000000000009</v>
      </c>
      <c r="C6419" s="19">
        <v>2</v>
      </c>
      <c r="D6419" s="19">
        <v>-1.3463999999999998</v>
      </c>
    </row>
    <row r="6420" spans="1:4" x14ac:dyDescent="0.2">
      <c r="A6420" s="19" t="s">
        <v>175</v>
      </c>
      <c r="B6420" s="19">
        <v>21.96</v>
      </c>
      <c r="C6420" s="19">
        <v>2</v>
      </c>
      <c r="D6420" s="19">
        <v>6.1488000000000014</v>
      </c>
    </row>
    <row r="6421" spans="1:4" x14ac:dyDescent="0.2">
      <c r="A6421" s="19" t="s">
        <v>175</v>
      </c>
      <c r="B6421" s="19">
        <v>368.96999999999997</v>
      </c>
      <c r="C6421" s="19">
        <v>3</v>
      </c>
      <c r="D6421" s="19">
        <v>81.173400000000001</v>
      </c>
    </row>
    <row r="6422" spans="1:4" x14ac:dyDescent="0.2">
      <c r="A6422" s="19" t="s">
        <v>175</v>
      </c>
      <c r="B6422" s="19">
        <v>12.39</v>
      </c>
      <c r="C6422" s="19">
        <v>3</v>
      </c>
      <c r="D6422" s="19">
        <v>3.4692000000000003</v>
      </c>
    </row>
    <row r="6423" spans="1:4" x14ac:dyDescent="0.2">
      <c r="A6423" s="19" t="s">
        <v>175</v>
      </c>
      <c r="B6423" s="19">
        <v>332.94</v>
      </c>
      <c r="C6423" s="19">
        <v>3</v>
      </c>
      <c r="D6423" s="19">
        <v>9.9882000000000204</v>
      </c>
    </row>
    <row r="6424" spans="1:4" x14ac:dyDescent="0.2">
      <c r="A6424" s="19" t="s">
        <v>156</v>
      </c>
      <c r="B6424" s="19">
        <v>111.93</v>
      </c>
      <c r="C6424" s="19">
        <v>7</v>
      </c>
      <c r="D6424" s="19">
        <v>34.698299999999996</v>
      </c>
    </row>
    <row r="6425" spans="1:4" x14ac:dyDescent="0.2">
      <c r="A6425" s="19" t="s">
        <v>150</v>
      </c>
      <c r="B6425" s="19">
        <v>454.27200000000005</v>
      </c>
      <c r="C6425" s="19">
        <v>8</v>
      </c>
      <c r="D6425" s="19">
        <v>-73.819200000000052</v>
      </c>
    </row>
    <row r="6426" spans="1:4" x14ac:dyDescent="0.2">
      <c r="A6426" s="19" t="s">
        <v>180</v>
      </c>
      <c r="B6426" s="19">
        <v>19.440000000000001</v>
      </c>
      <c r="C6426" s="19">
        <v>3</v>
      </c>
      <c r="D6426" s="19">
        <v>9.3312000000000008</v>
      </c>
    </row>
    <row r="6427" spans="1:4" x14ac:dyDescent="0.2">
      <c r="A6427" s="19" t="s">
        <v>158</v>
      </c>
      <c r="B6427" s="19">
        <v>8399.9759999999987</v>
      </c>
      <c r="C6427" s="19">
        <v>4</v>
      </c>
      <c r="D6427" s="19">
        <v>1119.996799999999</v>
      </c>
    </row>
    <row r="6428" spans="1:4" x14ac:dyDescent="0.2">
      <c r="A6428" s="19" t="s">
        <v>158</v>
      </c>
      <c r="B6428" s="19">
        <v>6.2940000000000014</v>
      </c>
      <c r="C6428" s="19">
        <v>1</v>
      </c>
      <c r="D6428" s="19">
        <v>-4.1959999999999997</v>
      </c>
    </row>
    <row r="6429" spans="1:4" x14ac:dyDescent="0.2">
      <c r="A6429" s="19" t="s">
        <v>158</v>
      </c>
      <c r="B6429" s="19">
        <v>10.368000000000002</v>
      </c>
      <c r="C6429" s="19">
        <v>2</v>
      </c>
      <c r="D6429" s="19">
        <v>3.6288</v>
      </c>
    </row>
    <row r="6430" spans="1:4" x14ac:dyDescent="0.2">
      <c r="A6430" s="19" t="s">
        <v>158</v>
      </c>
      <c r="B6430" s="19">
        <v>122.38199999999999</v>
      </c>
      <c r="C6430" s="19">
        <v>3</v>
      </c>
      <c r="D6430" s="19">
        <v>-24.476399999999998</v>
      </c>
    </row>
    <row r="6431" spans="1:4" x14ac:dyDescent="0.2">
      <c r="A6431" s="19" t="s">
        <v>152</v>
      </c>
      <c r="B6431" s="19">
        <v>25.983999999999998</v>
      </c>
      <c r="C6431" s="19">
        <v>2</v>
      </c>
      <c r="D6431" s="19">
        <v>-1.6239999999999997</v>
      </c>
    </row>
    <row r="6432" spans="1:4" x14ac:dyDescent="0.2">
      <c r="A6432" s="19" t="s">
        <v>152</v>
      </c>
      <c r="B6432" s="19">
        <v>945.03600000000006</v>
      </c>
      <c r="C6432" s="19">
        <v>6</v>
      </c>
      <c r="D6432" s="19">
        <v>-299.26140000000009</v>
      </c>
    </row>
    <row r="6433" spans="1:4" x14ac:dyDescent="0.2">
      <c r="A6433" s="19" t="s">
        <v>152</v>
      </c>
      <c r="B6433" s="19">
        <v>14.301000000000002</v>
      </c>
      <c r="C6433" s="19">
        <v>7</v>
      </c>
      <c r="D6433" s="19">
        <v>-10.487400000000001</v>
      </c>
    </row>
    <row r="6434" spans="1:4" x14ac:dyDescent="0.2">
      <c r="A6434" s="19" t="s">
        <v>152</v>
      </c>
      <c r="B6434" s="19">
        <v>410.35199999999998</v>
      </c>
      <c r="C6434" s="19">
        <v>3</v>
      </c>
      <c r="D6434" s="19">
        <v>-51.29400000000004</v>
      </c>
    </row>
    <row r="6435" spans="1:4" x14ac:dyDescent="0.2">
      <c r="A6435" s="19" t="s">
        <v>159</v>
      </c>
      <c r="B6435" s="19">
        <v>23.52</v>
      </c>
      <c r="C6435" s="19">
        <v>5</v>
      </c>
      <c r="D6435" s="19">
        <v>8.5259999999999998</v>
      </c>
    </row>
    <row r="6436" spans="1:4" x14ac:dyDescent="0.2">
      <c r="A6436" s="19" t="s">
        <v>159</v>
      </c>
      <c r="B6436" s="19">
        <v>180.96</v>
      </c>
      <c r="C6436" s="19">
        <v>5</v>
      </c>
      <c r="D6436" s="19">
        <v>13.571999999999996</v>
      </c>
    </row>
    <row r="6437" spans="1:4" x14ac:dyDescent="0.2">
      <c r="A6437" s="19" t="s">
        <v>193</v>
      </c>
      <c r="B6437" s="19">
        <v>35</v>
      </c>
      <c r="C6437" s="19">
        <v>4</v>
      </c>
      <c r="D6437" s="19">
        <v>14.700000000000003</v>
      </c>
    </row>
    <row r="6438" spans="1:4" x14ac:dyDescent="0.2">
      <c r="A6438" s="19" t="s">
        <v>193</v>
      </c>
      <c r="B6438" s="19">
        <v>477.15000000000003</v>
      </c>
      <c r="C6438" s="19">
        <v>5</v>
      </c>
      <c r="D6438" s="19">
        <v>28.628999999999962</v>
      </c>
    </row>
    <row r="6439" spans="1:4" x14ac:dyDescent="0.2">
      <c r="A6439" s="19" t="s">
        <v>193</v>
      </c>
      <c r="B6439" s="19">
        <v>302.37599999999998</v>
      </c>
      <c r="C6439" s="19">
        <v>3</v>
      </c>
      <c r="D6439" s="19">
        <v>22.678200000000018</v>
      </c>
    </row>
    <row r="6440" spans="1:4" x14ac:dyDescent="0.2">
      <c r="A6440" s="19" t="s">
        <v>154</v>
      </c>
      <c r="B6440" s="19">
        <v>974.98799999999983</v>
      </c>
      <c r="C6440" s="19">
        <v>4</v>
      </c>
      <c r="D6440" s="19">
        <v>-97.49879999999996</v>
      </c>
    </row>
    <row r="6441" spans="1:4" x14ac:dyDescent="0.2">
      <c r="A6441" s="19" t="s">
        <v>164</v>
      </c>
      <c r="B6441" s="19">
        <v>589.41</v>
      </c>
      <c r="C6441" s="19">
        <v>5</v>
      </c>
      <c r="D6441" s="19">
        <v>-6.5490000000000492</v>
      </c>
    </row>
    <row r="6442" spans="1:4" x14ac:dyDescent="0.2">
      <c r="A6442" s="19" t="s">
        <v>164</v>
      </c>
      <c r="B6442" s="19">
        <v>34.700000000000003</v>
      </c>
      <c r="C6442" s="19">
        <v>5</v>
      </c>
      <c r="D6442" s="19">
        <v>12.492000000000001</v>
      </c>
    </row>
    <row r="6443" spans="1:4" x14ac:dyDescent="0.2">
      <c r="A6443" s="19" t="s">
        <v>164</v>
      </c>
      <c r="B6443" s="19">
        <v>99.87</v>
      </c>
      <c r="C6443" s="19">
        <v>3</v>
      </c>
      <c r="D6443" s="19">
        <v>23.968799999999998</v>
      </c>
    </row>
    <row r="6444" spans="1:4" x14ac:dyDescent="0.2">
      <c r="A6444" s="19" t="s">
        <v>164</v>
      </c>
      <c r="B6444" s="19">
        <v>37.94</v>
      </c>
      <c r="C6444" s="19">
        <v>2</v>
      </c>
      <c r="D6444" s="19">
        <v>18.211199999999998</v>
      </c>
    </row>
    <row r="6445" spans="1:4" x14ac:dyDescent="0.2">
      <c r="A6445" s="19" t="s">
        <v>164</v>
      </c>
      <c r="B6445" s="19">
        <v>24.900000000000002</v>
      </c>
      <c r="C6445" s="19">
        <v>5</v>
      </c>
      <c r="D6445" s="19">
        <v>11.454000000000001</v>
      </c>
    </row>
    <row r="6446" spans="1:4" x14ac:dyDescent="0.2">
      <c r="A6446" s="19" t="s">
        <v>164</v>
      </c>
      <c r="B6446" s="19">
        <v>82.26</v>
      </c>
      <c r="C6446" s="19">
        <v>3</v>
      </c>
      <c r="D6446" s="19">
        <v>33.726600000000005</v>
      </c>
    </row>
    <row r="6447" spans="1:4" x14ac:dyDescent="0.2">
      <c r="A6447" s="19" t="s">
        <v>159</v>
      </c>
      <c r="B6447" s="19">
        <v>7.1039999999999992</v>
      </c>
      <c r="C6447" s="19">
        <v>6</v>
      </c>
      <c r="D6447" s="19">
        <v>2.4863999999999997</v>
      </c>
    </row>
    <row r="6448" spans="1:4" x14ac:dyDescent="0.2">
      <c r="A6448" s="19" t="s">
        <v>154</v>
      </c>
      <c r="B6448" s="19">
        <v>103.50000000000001</v>
      </c>
      <c r="C6448" s="19">
        <v>5</v>
      </c>
      <c r="D6448" s="19">
        <v>-77.625</v>
      </c>
    </row>
    <row r="6449" spans="1:4" x14ac:dyDescent="0.2">
      <c r="A6449" s="19" t="s">
        <v>154</v>
      </c>
      <c r="B6449" s="19">
        <v>2.4640000000000004</v>
      </c>
      <c r="C6449" s="19">
        <v>1</v>
      </c>
      <c r="D6449" s="19">
        <v>0.86239999999999983</v>
      </c>
    </row>
    <row r="6450" spans="1:4" x14ac:dyDescent="0.2">
      <c r="A6450" s="19" t="s">
        <v>154</v>
      </c>
      <c r="B6450" s="19">
        <v>8.7200000000000006</v>
      </c>
      <c r="C6450" s="19">
        <v>1</v>
      </c>
      <c r="D6450" s="19">
        <v>0.65399999999999947</v>
      </c>
    </row>
    <row r="6451" spans="1:4" x14ac:dyDescent="0.2">
      <c r="A6451" s="19" t="s">
        <v>178</v>
      </c>
      <c r="B6451" s="19">
        <v>10.76</v>
      </c>
      <c r="C6451" s="19">
        <v>2</v>
      </c>
      <c r="D6451" s="19">
        <v>5.1647999999999996</v>
      </c>
    </row>
    <row r="6452" spans="1:4" x14ac:dyDescent="0.2">
      <c r="A6452" s="19" t="s">
        <v>178</v>
      </c>
      <c r="B6452" s="19">
        <v>45.68</v>
      </c>
      <c r="C6452" s="19">
        <v>2</v>
      </c>
      <c r="D6452" s="19">
        <v>21.012799999999999</v>
      </c>
    </row>
    <row r="6453" spans="1:4" x14ac:dyDescent="0.2">
      <c r="A6453" s="19" t="s">
        <v>178</v>
      </c>
      <c r="B6453" s="19">
        <v>6.7</v>
      </c>
      <c r="C6453" s="19">
        <v>1</v>
      </c>
      <c r="D6453" s="19">
        <v>2.2109999999999994</v>
      </c>
    </row>
    <row r="6454" spans="1:4" x14ac:dyDescent="0.2">
      <c r="A6454" s="19" t="s">
        <v>159</v>
      </c>
      <c r="B6454" s="19">
        <v>158.376</v>
      </c>
      <c r="C6454" s="19">
        <v>3</v>
      </c>
      <c r="D6454" s="19">
        <v>13.857900000000008</v>
      </c>
    </row>
    <row r="6455" spans="1:4" x14ac:dyDescent="0.2">
      <c r="A6455" s="19" t="s">
        <v>154</v>
      </c>
      <c r="B6455" s="19">
        <v>3.44</v>
      </c>
      <c r="C6455" s="19">
        <v>2</v>
      </c>
      <c r="D6455" s="19">
        <v>0.55899999999999961</v>
      </c>
    </row>
    <row r="6456" spans="1:4" x14ac:dyDescent="0.2">
      <c r="A6456" s="19" t="s">
        <v>150</v>
      </c>
      <c r="B6456" s="19">
        <v>56.56</v>
      </c>
      <c r="C6456" s="19">
        <v>2</v>
      </c>
      <c r="D6456" s="19">
        <v>15.2712</v>
      </c>
    </row>
    <row r="6457" spans="1:4" x14ac:dyDescent="0.2">
      <c r="A6457" s="19" t="s">
        <v>150</v>
      </c>
      <c r="B6457" s="19">
        <v>36.96</v>
      </c>
      <c r="C6457" s="19">
        <v>7</v>
      </c>
      <c r="D6457" s="19">
        <v>11.457599999999998</v>
      </c>
    </row>
    <row r="6458" spans="1:4" x14ac:dyDescent="0.2">
      <c r="A6458" s="19" t="s">
        <v>164</v>
      </c>
      <c r="B6458" s="19">
        <v>135.99</v>
      </c>
      <c r="C6458" s="19">
        <v>1</v>
      </c>
      <c r="D6458" s="19">
        <v>36.717300000000009</v>
      </c>
    </row>
    <row r="6459" spans="1:4" x14ac:dyDescent="0.2">
      <c r="A6459" s="19" t="s">
        <v>164</v>
      </c>
      <c r="B6459" s="19">
        <v>15.959999999999999</v>
      </c>
      <c r="C6459" s="19">
        <v>7</v>
      </c>
      <c r="D6459" s="19">
        <v>7.0224000000000011</v>
      </c>
    </row>
    <row r="6460" spans="1:4" x14ac:dyDescent="0.2">
      <c r="A6460" s="19" t="s">
        <v>187</v>
      </c>
      <c r="B6460" s="19">
        <v>3.76</v>
      </c>
      <c r="C6460" s="19">
        <v>2</v>
      </c>
      <c r="D6460" s="19">
        <v>1.0903999999999998</v>
      </c>
    </row>
    <row r="6461" spans="1:4" x14ac:dyDescent="0.2">
      <c r="A6461" s="19" t="s">
        <v>187</v>
      </c>
      <c r="B6461" s="19">
        <v>14.7</v>
      </c>
      <c r="C6461" s="19">
        <v>5</v>
      </c>
      <c r="D6461" s="19">
        <v>6.6150000000000002</v>
      </c>
    </row>
    <row r="6462" spans="1:4" x14ac:dyDescent="0.2">
      <c r="A6462" s="19" t="s">
        <v>187</v>
      </c>
      <c r="B6462" s="19">
        <v>37.200000000000003</v>
      </c>
      <c r="C6462" s="19">
        <v>5</v>
      </c>
      <c r="D6462" s="19">
        <v>9.3000000000000007</v>
      </c>
    </row>
    <row r="6463" spans="1:4" x14ac:dyDescent="0.2">
      <c r="A6463" s="19" t="s">
        <v>187</v>
      </c>
      <c r="B6463" s="19">
        <v>89.97</v>
      </c>
      <c r="C6463" s="19">
        <v>3</v>
      </c>
      <c r="D6463" s="19">
        <v>18.893699999999995</v>
      </c>
    </row>
    <row r="6464" spans="1:4" x14ac:dyDescent="0.2">
      <c r="A6464" s="19" t="s">
        <v>187</v>
      </c>
      <c r="B6464" s="19">
        <v>261.95999999999998</v>
      </c>
      <c r="C6464" s="19">
        <v>2</v>
      </c>
      <c r="D6464" s="19">
        <v>23.576399999999978</v>
      </c>
    </row>
    <row r="6465" spans="1:4" x14ac:dyDescent="0.2">
      <c r="A6465" s="19" t="s">
        <v>187</v>
      </c>
      <c r="B6465" s="19">
        <v>74</v>
      </c>
      <c r="C6465" s="19">
        <v>5</v>
      </c>
      <c r="D6465" s="19">
        <v>37</v>
      </c>
    </row>
    <row r="6466" spans="1:4" x14ac:dyDescent="0.2">
      <c r="A6466" s="19" t="s">
        <v>149</v>
      </c>
      <c r="B6466" s="19">
        <v>13.28</v>
      </c>
      <c r="C6466" s="19">
        <v>2</v>
      </c>
      <c r="D6466" s="19">
        <v>6.3743999999999996</v>
      </c>
    </row>
    <row r="6467" spans="1:4" x14ac:dyDescent="0.2">
      <c r="A6467" s="19" t="s">
        <v>167</v>
      </c>
      <c r="B6467" s="19">
        <v>84.960000000000008</v>
      </c>
      <c r="C6467" s="19">
        <v>6</v>
      </c>
      <c r="D6467" s="19">
        <v>6.3719999999999999</v>
      </c>
    </row>
    <row r="6468" spans="1:4" x14ac:dyDescent="0.2">
      <c r="A6468" s="19" t="s">
        <v>150</v>
      </c>
      <c r="B6468" s="19">
        <v>68.459999999999994</v>
      </c>
      <c r="C6468" s="19">
        <v>7</v>
      </c>
      <c r="D6468" s="19">
        <v>25.330199999999998</v>
      </c>
    </row>
    <row r="6469" spans="1:4" x14ac:dyDescent="0.2">
      <c r="A6469" s="19" t="s">
        <v>182</v>
      </c>
      <c r="B6469" s="19">
        <v>2079.4</v>
      </c>
      <c r="C6469" s="19">
        <v>5</v>
      </c>
      <c r="D6469" s="19">
        <v>582.23199999999997</v>
      </c>
    </row>
    <row r="6470" spans="1:4" x14ac:dyDescent="0.2">
      <c r="A6470" s="19" t="s">
        <v>182</v>
      </c>
      <c r="B6470" s="19">
        <v>629.94999999999993</v>
      </c>
      <c r="C6470" s="19">
        <v>5</v>
      </c>
      <c r="D6470" s="19">
        <v>176.38600000000002</v>
      </c>
    </row>
    <row r="6471" spans="1:4" x14ac:dyDescent="0.2">
      <c r="A6471" s="19" t="s">
        <v>182</v>
      </c>
      <c r="B6471" s="19">
        <v>72.42</v>
      </c>
      <c r="C6471" s="19">
        <v>6</v>
      </c>
      <c r="D6471" s="19">
        <v>23.898600000000002</v>
      </c>
    </row>
    <row r="6472" spans="1:4" x14ac:dyDescent="0.2">
      <c r="A6472" s="19" t="s">
        <v>161</v>
      </c>
      <c r="B6472" s="19">
        <v>131.97999999999999</v>
      </c>
      <c r="C6472" s="19">
        <v>2</v>
      </c>
      <c r="D6472" s="19">
        <v>35.634600000000006</v>
      </c>
    </row>
    <row r="6473" spans="1:4" x14ac:dyDescent="0.2">
      <c r="A6473" s="19" t="s">
        <v>161</v>
      </c>
      <c r="B6473" s="19">
        <v>114.52</v>
      </c>
      <c r="C6473" s="19">
        <v>7</v>
      </c>
      <c r="D6473" s="19">
        <v>11.451999999999995</v>
      </c>
    </row>
    <row r="6474" spans="1:4" x14ac:dyDescent="0.2">
      <c r="A6474" s="19" t="s">
        <v>154</v>
      </c>
      <c r="B6474" s="19">
        <v>100.24000000000001</v>
      </c>
      <c r="C6474" s="19">
        <v>10</v>
      </c>
      <c r="D6474" s="19">
        <v>33.830999999999989</v>
      </c>
    </row>
    <row r="6475" spans="1:4" x14ac:dyDescent="0.2">
      <c r="A6475" s="19" t="s">
        <v>167</v>
      </c>
      <c r="B6475" s="19">
        <v>871.80000000000007</v>
      </c>
      <c r="C6475" s="19">
        <v>3</v>
      </c>
      <c r="D6475" s="19">
        <v>87.180000000000092</v>
      </c>
    </row>
    <row r="6476" spans="1:4" x14ac:dyDescent="0.2">
      <c r="A6476" s="19" t="s">
        <v>158</v>
      </c>
      <c r="B6476" s="19">
        <v>61.96</v>
      </c>
      <c r="C6476" s="19">
        <v>4</v>
      </c>
      <c r="D6476" s="19">
        <v>-53.285600000000009</v>
      </c>
    </row>
    <row r="6477" spans="1:4" x14ac:dyDescent="0.2">
      <c r="A6477" s="19" t="s">
        <v>151</v>
      </c>
      <c r="B6477" s="19">
        <v>4.5540000000000003</v>
      </c>
      <c r="C6477" s="19">
        <v>3</v>
      </c>
      <c r="D6477" s="19">
        <v>-3.4913999999999987</v>
      </c>
    </row>
    <row r="6478" spans="1:4" x14ac:dyDescent="0.2">
      <c r="A6478" s="19" t="s">
        <v>151</v>
      </c>
      <c r="B6478" s="19">
        <v>5.2</v>
      </c>
      <c r="C6478" s="19">
        <v>2</v>
      </c>
      <c r="D6478" s="19">
        <v>0.58499999999999974</v>
      </c>
    </row>
    <row r="6479" spans="1:4" x14ac:dyDescent="0.2">
      <c r="A6479" s="19" t="s">
        <v>151</v>
      </c>
      <c r="B6479" s="19">
        <v>205.99200000000002</v>
      </c>
      <c r="C6479" s="19">
        <v>1</v>
      </c>
      <c r="D6479" s="19">
        <v>-2.5749000000000279</v>
      </c>
    </row>
    <row r="6480" spans="1:4" x14ac:dyDescent="0.2">
      <c r="A6480" s="19" t="s">
        <v>151</v>
      </c>
      <c r="B6480" s="19">
        <v>15.552000000000003</v>
      </c>
      <c r="C6480" s="19">
        <v>3</v>
      </c>
      <c r="D6480" s="19">
        <v>5.4432</v>
      </c>
    </row>
    <row r="6481" spans="1:4" x14ac:dyDescent="0.2">
      <c r="A6481" s="19" t="s">
        <v>151</v>
      </c>
      <c r="B6481" s="19">
        <v>503.96000000000004</v>
      </c>
      <c r="C6481" s="19">
        <v>5</v>
      </c>
      <c r="D6481" s="19">
        <v>50.396000000000015</v>
      </c>
    </row>
    <row r="6482" spans="1:4" x14ac:dyDescent="0.2">
      <c r="A6482" s="19" t="s">
        <v>151</v>
      </c>
      <c r="B6482" s="19">
        <v>24.472000000000001</v>
      </c>
      <c r="C6482" s="19">
        <v>7</v>
      </c>
      <c r="D6482" s="19">
        <v>1.8353999999999999</v>
      </c>
    </row>
    <row r="6483" spans="1:4" x14ac:dyDescent="0.2">
      <c r="A6483" s="19" t="s">
        <v>151</v>
      </c>
      <c r="B6483" s="19">
        <v>241.56799999999998</v>
      </c>
      <c r="C6483" s="19">
        <v>2</v>
      </c>
      <c r="D6483" s="19">
        <v>0</v>
      </c>
    </row>
    <row r="6484" spans="1:4" x14ac:dyDescent="0.2">
      <c r="A6484" s="19" t="s">
        <v>151</v>
      </c>
      <c r="B6484" s="19">
        <v>110.4</v>
      </c>
      <c r="C6484" s="19">
        <v>2</v>
      </c>
      <c r="D6484" s="19">
        <v>-4.1400000000000077</v>
      </c>
    </row>
    <row r="6485" spans="1:4" x14ac:dyDescent="0.2">
      <c r="A6485" s="19" t="s">
        <v>164</v>
      </c>
      <c r="B6485" s="19">
        <v>384.76799999999997</v>
      </c>
      <c r="C6485" s="19">
        <v>2</v>
      </c>
      <c r="D6485" s="19">
        <v>-115.43040000000002</v>
      </c>
    </row>
    <row r="6486" spans="1:4" x14ac:dyDescent="0.2">
      <c r="A6486" s="19" t="s">
        <v>164</v>
      </c>
      <c r="B6486" s="19">
        <v>78.66</v>
      </c>
      <c r="C6486" s="19">
        <v>6</v>
      </c>
      <c r="D6486" s="19">
        <v>36.183599999999991</v>
      </c>
    </row>
    <row r="6487" spans="1:4" x14ac:dyDescent="0.2">
      <c r="A6487" s="19" t="s">
        <v>164</v>
      </c>
      <c r="B6487" s="19">
        <v>45.36</v>
      </c>
      <c r="C6487" s="19">
        <v>4</v>
      </c>
      <c r="D6487" s="19">
        <v>22.226399999999998</v>
      </c>
    </row>
    <row r="6488" spans="1:4" x14ac:dyDescent="0.2">
      <c r="A6488" s="19" t="s">
        <v>152</v>
      </c>
      <c r="B6488" s="19">
        <v>962.07999999999993</v>
      </c>
      <c r="C6488" s="19">
        <v>4</v>
      </c>
      <c r="D6488" s="19">
        <v>156.33799999999997</v>
      </c>
    </row>
    <row r="6489" spans="1:4" x14ac:dyDescent="0.2">
      <c r="A6489" s="19" t="s">
        <v>152</v>
      </c>
      <c r="B6489" s="19">
        <v>12.843000000000002</v>
      </c>
      <c r="C6489" s="19">
        <v>3</v>
      </c>
      <c r="D6489" s="19">
        <v>-9.8462999999999994</v>
      </c>
    </row>
    <row r="6490" spans="1:4" x14ac:dyDescent="0.2">
      <c r="A6490" s="19" t="s">
        <v>152</v>
      </c>
      <c r="B6490" s="19">
        <v>295.45600000000002</v>
      </c>
      <c r="C6490" s="19">
        <v>14</v>
      </c>
      <c r="D6490" s="19">
        <v>96.023199999999974</v>
      </c>
    </row>
    <row r="6491" spans="1:4" x14ac:dyDescent="0.2">
      <c r="A6491" s="19" t="s">
        <v>164</v>
      </c>
      <c r="B6491" s="19">
        <v>32.400000000000006</v>
      </c>
      <c r="C6491" s="19">
        <v>5</v>
      </c>
      <c r="D6491" s="19">
        <v>15.552000000000001</v>
      </c>
    </row>
    <row r="6492" spans="1:4" x14ac:dyDescent="0.2">
      <c r="A6492" s="19" t="s">
        <v>158</v>
      </c>
      <c r="B6492" s="19">
        <v>103.93599999999999</v>
      </c>
      <c r="C6492" s="19">
        <v>4</v>
      </c>
      <c r="D6492" s="19">
        <v>16.889599999999998</v>
      </c>
    </row>
    <row r="6493" spans="1:4" x14ac:dyDescent="0.2">
      <c r="A6493" s="19" t="s">
        <v>151</v>
      </c>
      <c r="B6493" s="19">
        <v>289.56799999999998</v>
      </c>
      <c r="C6493" s="19">
        <v>2</v>
      </c>
      <c r="D6493" s="19">
        <v>10.858799999999974</v>
      </c>
    </row>
    <row r="6494" spans="1:4" x14ac:dyDescent="0.2">
      <c r="A6494" s="19" t="s">
        <v>151</v>
      </c>
      <c r="B6494" s="19">
        <v>39.72</v>
      </c>
      <c r="C6494" s="19">
        <v>5</v>
      </c>
      <c r="D6494" s="19">
        <v>4.4684999999999953</v>
      </c>
    </row>
    <row r="6495" spans="1:4" x14ac:dyDescent="0.2">
      <c r="A6495" s="19" t="s">
        <v>151</v>
      </c>
      <c r="B6495" s="19">
        <v>244.768</v>
      </c>
      <c r="C6495" s="19">
        <v>4</v>
      </c>
      <c r="D6495" s="19">
        <v>24.476800000000004</v>
      </c>
    </row>
    <row r="6496" spans="1:4" x14ac:dyDescent="0.2">
      <c r="A6496" s="19" t="s">
        <v>154</v>
      </c>
      <c r="B6496" s="19">
        <v>24</v>
      </c>
      <c r="C6496" s="19">
        <v>2</v>
      </c>
      <c r="D6496" s="19">
        <v>-2.6999999999999993</v>
      </c>
    </row>
    <row r="6497" spans="1:4" x14ac:dyDescent="0.2">
      <c r="A6497" s="19" t="s">
        <v>154</v>
      </c>
      <c r="B6497" s="19">
        <v>15.552000000000003</v>
      </c>
      <c r="C6497" s="19">
        <v>3</v>
      </c>
      <c r="D6497" s="19">
        <v>5.4432</v>
      </c>
    </row>
    <row r="6498" spans="1:4" x14ac:dyDescent="0.2">
      <c r="A6498" s="19" t="s">
        <v>154</v>
      </c>
      <c r="B6498" s="19">
        <v>26.176000000000002</v>
      </c>
      <c r="C6498" s="19">
        <v>2</v>
      </c>
      <c r="D6498" s="19">
        <v>-3.272000000000002</v>
      </c>
    </row>
    <row r="6499" spans="1:4" x14ac:dyDescent="0.2">
      <c r="A6499" s="19" t="s">
        <v>149</v>
      </c>
      <c r="B6499" s="19">
        <v>20.94</v>
      </c>
      <c r="C6499" s="19">
        <v>3</v>
      </c>
      <c r="D6499" s="19">
        <v>6.0725999999999987</v>
      </c>
    </row>
    <row r="6500" spans="1:4" x14ac:dyDescent="0.2">
      <c r="A6500" s="19" t="s">
        <v>149</v>
      </c>
      <c r="B6500" s="19">
        <v>135.09</v>
      </c>
      <c r="C6500" s="19">
        <v>9</v>
      </c>
      <c r="D6500" s="19">
        <v>62.14139999999999</v>
      </c>
    </row>
    <row r="6501" spans="1:4" x14ac:dyDescent="0.2">
      <c r="A6501" s="19" t="s">
        <v>149</v>
      </c>
      <c r="B6501" s="19">
        <v>279.85999999999996</v>
      </c>
      <c r="C6501" s="19">
        <v>14</v>
      </c>
      <c r="D6501" s="19">
        <v>64.367799999999988</v>
      </c>
    </row>
    <row r="6502" spans="1:4" x14ac:dyDescent="0.2">
      <c r="A6502" s="19" t="s">
        <v>149</v>
      </c>
      <c r="B6502" s="19">
        <v>90.06</v>
      </c>
      <c r="C6502" s="19">
        <v>6</v>
      </c>
      <c r="D6502" s="19">
        <v>41.427599999999991</v>
      </c>
    </row>
    <row r="6503" spans="1:4" x14ac:dyDescent="0.2">
      <c r="A6503" s="19" t="s">
        <v>173</v>
      </c>
      <c r="B6503" s="19">
        <v>539.96399999999994</v>
      </c>
      <c r="C6503" s="19">
        <v>6</v>
      </c>
      <c r="D6503" s="19">
        <v>-107.99280000000002</v>
      </c>
    </row>
    <row r="6504" spans="1:4" x14ac:dyDescent="0.2">
      <c r="A6504" s="19" t="s">
        <v>173</v>
      </c>
      <c r="B6504" s="19">
        <v>50.231999999999999</v>
      </c>
      <c r="C6504" s="19">
        <v>7</v>
      </c>
      <c r="D6504" s="19">
        <v>-10.046400000000002</v>
      </c>
    </row>
    <row r="6505" spans="1:4" x14ac:dyDescent="0.2">
      <c r="A6505" s="19" t="s">
        <v>173</v>
      </c>
      <c r="B6505" s="19">
        <v>19.242000000000001</v>
      </c>
      <c r="C6505" s="19">
        <v>3</v>
      </c>
      <c r="D6505" s="19">
        <v>-13.4694</v>
      </c>
    </row>
    <row r="6506" spans="1:4" x14ac:dyDescent="0.2">
      <c r="A6506" s="19" t="s">
        <v>164</v>
      </c>
      <c r="B6506" s="19">
        <v>1247.6399999999999</v>
      </c>
      <c r="C6506" s="19">
        <v>3</v>
      </c>
      <c r="D6506" s="19">
        <v>349.33919999999995</v>
      </c>
    </row>
    <row r="6507" spans="1:4" x14ac:dyDescent="0.2">
      <c r="A6507" s="19" t="s">
        <v>159</v>
      </c>
      <c r="B6507" s="19">
        <v>5.3040000000000003</v>
      </c>
      <c r="C6507" s="19">
        <v>3</v>
      </c>
      <c r="D6507" s="19">
        <v>0.46409999999999996</v>
      </c>
    </row>
    <row r="6508" spans="1:4" x14ac:dyDescent="0.2">
      <c r="A6508" s="19" t="s">
        <v>158</v>
      </c>
      <c r="B6508" s="19">
        <v>19.136000000000003</v>
      </c>
      <c r="C6508" s="19">
        <v>4</v>
      </c>
      <c r="D6508" s="19">
        <v>5.9799999999999986</v>
      </c>
    </row>
    <row r="6509" spans="1:4" x14ac:dyDescent="0.2">
      <c r="A6509" s="19" t="s">
        <v>158</v>
      </c>
      <c r="B6509" s="19">
        <v>332.83200000000005</v>
      </c>
      <c r="C6509" s="19">
        <v>4</v>
      </c>
      <c r="D6509" s="19">
        <v>-24.962399999999988</v>
      </c>
    </row>
    <row r="6510" spans="1:4" x14ac:dyDescent="0.2">
      <c r="A6510" s="19" t="s">
        <v>164</v>
      </c>
      <c r="B6510" s="19">
        <v>279.89999999999998</v>
      </c>
      <c r="C6510" s="19">
        <v>5</v>
      </c>
      <c r="D6510" s="19">
        <v>137.15100000000001</v>
      </c>
    </row>
    <row r="6511" spans="1:4" x14ac:dyDescent="0.2">
      <c r="A6511" s="19" t="s">
        <v>164</v>
      </c>
      <c r="B6511" s="19">
        <v>50.352000000000004</v>
      </c>
      <c r="C6511" s="19">
        <v>3</v>
      </c>
      <c r="D6511" s="19">
        <v>17.623199999999997</v>
      </c>
    </row>
    <row r="6512" spans="1:4" x14ac:dyDescent="0.2">
      <c r="A6512" s="19" t="s">
        <v>164</v>
      </c>
      <c r="B6512" s="19">
        <v>34.019999999999996</v>
      </c>
      <c r="C6512" s="19">
        <v>3</v>
      </c>
      <c r="D6512" s="19">
        <v>16.669799999999999</v>
      </c>
    </row>
    <row r="6513" spans="1:4" x14ac:dyDescent="0.2">
      <c r="A6513" s="19" t="s">
        <v>150</v>
      </c>
      <c r="B6513" s="19">
        <v>23.88</v>
      </c>
      <c r="C6513" s="19">
        <v>6</v>
      </c>
      <c r="D6513" s="19">
        <v>8.1191999999999993</v>
      </c>
    </row>
    <row r="6514" spans="1:4" x14ac:dyDescent="0.2">
      <c r="A6514" s="19" t="s">
        <v>150</v>
      </c>
      <c r="B6514" s="19">
        <v>11.52</v>
      </c>
      <c r="C6514" s="19">
        <v>4</v>
      </c>
      <c r="D6514" s="19">
        <v>5.6448</v>
      </c>
    </row>
    <row r="6515" spans="1:4" x14ac:dyDescent="0.2">
      <c r="A6515" s="19" t="s">
        <v>150</v>
      </c>
      <c r="B6515" s="19">
        <v>286.93</v>
      </c>
      <c r="C6515" s="19">
        <v>7</v>
      </c>
      <c r="D6515" s="19">
        <v>140.59569999999999</v>
      </c>
    </row>
    <row r="6516" spans="1:4" x14ac:dyDescent="0.2">
      <c r="A6516" s="19" t="s">
        <v>150</v>
      </c>
      <c r="B6516" s="19">
        <v>206.38400000000001</v>
      </c>
      <c r="C6516" s="19">
        <v>2</v>
      </c>
      <c r="D6516" s="19">
        <v>23.218199999999996</v>
      </c>
    </row>
    <row r="6517" spans="1:4" x14ac:dyDescent="0.2">
      <c r="A6517" s="19" t="s">
        <v>150</v>
      </c>
      <c r="B6517" s="19">
        <v>218.35200000000003</v>
      </c>
      <c r="C6517" s="19">
        <v>3</v>
      </c>
      <c r="D6517" s="19">
        <v>0</v>
      </c>
    </row>
    <row r="6518" spans="1:4" x14ac:dyDescent="0.2">
      <c r="A6518" s="19" t="s">
        <v>150</v>
      </c>
      <c r="B6518" s="19">
        <v>529.9</v>
      </c>
      <c r="C6518" s="19">
        <v>5</v>
      </c>
      <c r="D6518" s="19">
        <v>105.97999999999999</v>
      </c>
    </row>
    <row r="6519" spans="1:4" x14ac:dyDescent="0.2">
      <c r="A6519" s="19" t="s">
        <v>150</v>
      </c>
      <c r="B6519" s="19">
        <v>99.3</v>
      </c>
      <c r="C6519" s="19">
        <v>10</v>
      </c>
      <c r="D6519" s="19">
        <v>41.706000000000003</v>
      </c>
    </row>
    <row r="6520" spans="1:4" x14ac:dyDescent="0.2">
      <c r="A6520" s="19" t="s">
        <v>150</v>
      </c>
      <c r="B6520" s="19">
        <v>108.96</v>
      </c>
      <c r="C6520" s="19">
        <v>2</v>
      </c>
      <c r="D6520" s="19">
        <v>30.508800000000008</v>
      </c>
    </row>
    <row r="6521" spans="1:4" x14ac:dyDescent="0.2">
      <c r="A6521" s="19" t="s">
        <v>150</v>
      </c>
      <c r="B6521" s="19">
        <v>2.6880000000000002</v>
      </c>
      <c r="C6521" s="19">
        <v>1</v>
      </c>
      <c r="D6521" s="19">
        <v>0.83999999999999975</v>
      </c>
    </row>
    <row r="6522" spans="1:4" x14ac:dyDescent="0.2">
      <c r="A6522" s="19" t="s">
        <v>161</v>
      </c>
      <c r="B6522" s="19">
        <v>5443.96</v>
      </c>
      <c r="C6522" s="19">
        <v>4</v>
      </c>
      <c r="D6522" s="19">
        <v>2504.2215999999999</v>
      </c>
    </row>
    <row r="6523" spans="1:4" x14ac:dyDescent="0.2">
      <c r="A6523" s="19" t="s">
        <v>161</v>
      </c>
      <c r="B6523" s="19">
        <v>302.67</v>
      </c>
      <c r="C6523" s="19">
        <v>3</v>
      </c>
      <c r="D6523" s="19">
        <v>72.640799999999999</v>
      </c>
    </row>
    <row r="6524" spans="1:4" x14ac:dyDescent="0.2">
      <c r="A6524" s="19" t="s">
        <v>161</v>
      </c>
      <c r="B6524" s="19">
        <v>56.07</v>
      </c>
      <c r="C6524" s="19">
        <v>7</v>
      </c>
      <c r="D6524" s="19">
        <v>25.231499999999997</v>
      </c>
    </row>
    <row r="6525" spans="1:4" x14ac:dyDescent="0.2">
      <c r="A6525" s="19" t="s">
        <v>158</v>
      </c>
      <c r="B6525" s="19">
        <v>10.08</v>
      </c>
      <c r="C6525" s="19">
        <v>2</v>
      </c>
      <c r="D6525" s="19">
        <v>3.2759999999999994</v>
      </c>
    </row>
    <row r="6526" spans="1:4" x14ac:dyDescent="0.2">
      <c r="A6526" s="19" t="s">
        <v>158</v>
      </c>
      <c r="B6526" s="19">
        <v>59.993999999999993</v>
      </c>
      <c r="C6526" s="19">
        <v>1</v>
      </c>
      <c r="D6526" s="19">
        <v>-12.998700000000007</v>
      </c>
    </row>
    <row r="6527" spans="1:4" x14ac:dyDescent="0.2">
      <c r="A6527" s="19" t="s">
        <v>158</v>
      </c>
      <c r="B6527" s="19">
        <v>5.7150000000000016</v>
      </c>
      <c r="C6527" s="19">
        <v>5</v>
      </c>
      <c r="D6527" s="19">
        <v>-4.7625000000000011</v>
      </c>
    </row>
    <row r="6528" spans="1:4" x14ac:dyDescent="0.2">
      <c r="A6528" s="19" t="s">
        <v>158</v>
      </c>
      <c r="B6528" s="19">
        <v>9.4200000000000017</v>
      </c>
      <c r="C6528" s="19">
        <v>5</v>
      </c>
      <c r="D6528" s="19">
        <v>-7.8500000000000014</v>
      </c>
    </row>
    <row r="6529" spans="1:4" x14ac:dyDescent="0.2">
      <c r="A6529" s="19" t="s">
        <v>182</v>
      </c>
      <c r="B6529" s="19">
        <v>1999.96</v>
      </c>
      <c r="C6529" s="19">
        <v>4</v>
      </c>
      <c r="D6529" s="19">
        <v>899.98199999999997</v>
      </c>
    </row>
    <row r="6530" spans="1:4" x14ac:dyDescent="0.2">
      <c r="A6530" s="19" t="s">
        <v>164</v>
      </c>
      <c r="B6530" s="19">
        <v>216.4</v>
      </c>
      <c r="C6530" s="19">
        <v>4</v>
      </c>
      <c r="D6530" s="19">
        <v>56.26400000000001</v>
      </c>
    </row>
    <row r="6531" spans="1:4" x14ac:dyDescent="0.2">
      <c r="A6531" s="19" t="s">
        <v>154</v>
      </c>
      <c r="B6531" s="19">
        <v>6.9360000000000008</v>
      </c>
      <c r="C6531" s="19">
        <v>3</v>
      </c>
      <c r="D6531" s="19">
        <v>2.3409000000000004</v>
      </c>
    </row>
    <row r="6532" spans="1:4" x14ac:dyDescent="0.2">
      <c r="A6532" s="19" t="s">
        <v>154</v>
      </c>
      <c r="B6532" s="19">
        <v>4.427999999999999</v>
      </c>
      <c r="C6532" s="19">
        <v>3</v>
      </c>
      <c r="D6532" s="19">
        <v>-6.8633999999999986</v>
      </c>
    </row>
    <row r="6533" spans="1:4" x14ac:dyDescent="0.2">
      <c r="A6533" s="19" t="s">
        <v>160</v>
      </c>
      <c r="B6533" s="19">
        <v>8.8000000000000007</v>
      </c>
      <c r="C6533" s="19">
        <v>5</v>
      </c>
      <c r="D6533" s="19">
        <v>2.5519999999999996</v>
      </c>
    </row>
    <row r="6534" spans="1:4" x14ac:dyDescent="0.2">
      <c r="A6534" s="19" t="s">
        <v>160</v>
      </c>
      <c r="B6534" s="19">
        <v>142.80000000000001</v>
      </c>
      <c r="C6534" s="19">
        <v>1</v>
      </c>
      <c r="D6534" s="19">
        <v>29.988</v>
      </c>
    </row>
    <row r="6535" spans="1:4" x14ac:dyDescent="0.2">
      <c r="A6535" s="19" t="s">
        <v>160</v>
      </c>
      <c r="B6535" s="19">
        <v>399.95</v>
      </c>
      <c r="C6535" s="19">
        <v>5</v>
      </c>
      <c r="D6535" s="19">
        <v>143.982</v>
      </c>
    </row>
    <row r="6536" spans="1:4" x14ac:dyDescent="0.2">
      <c r="A6536" s="19" t="s">
        <v>164</v>
      </c>
      <c r="B6536" s="19">
        <v>2152.7760000000003</v>
      </c>
      <c r="C6536" s="19">
        <v>3</v>
      </c>
      <c r="D6536" s="19">
        <v>726.56189999999981</v>
      </c>
    </row>
    <row r="6537" spans="1:4" x14ac:dyDescent="0.2">
      <c r="A6537" s="19" t="s">
        <v>164</v>
      </c>
      <c r="B6537" s="19">
        <v>4007.8400000000006</v>
      </c>
      <c r="C6537" s="19">
        <v>10</v>
      </c>
      <c r="D6537" s="19">
        <v>-50.098000000000297</v>
      </c>
    </row>
    <row r="6538" spans="1:4" x14ac:dyDescent="0.2">
      <c r="A6538" s="19" t="s">
        <v>167</v>
      </c>
      <c r="B6538" s="19">
        <v>328.59000000000003</v>
      </c>
      <c r="C6538" s="19">
        <v>3</v>
      </c>
      <c r="D6538" s="19">
        <v>-147.8655</v>
      </c>
    </row>
    <row r="6539" spans="1:4" x14ac:dyDescent="0.2">
      <c r="A6539" s="19" t="s">
        <v>167</v>
      </c>
      <c r="B6539" s="19">
        <v>98.352000000000004</v>
      </c>
      <c r="C6539" s="19">
        <v>3</v>
      </c>
      <c r="D6539" s="19">
        <v>-24.588000000000001</v>
      </c>
    </row>
    <row r="6540" spans="1:4" x14ac:dyDescent="0.2">
      <c r="A6540" s="19" t="s">
        <v>162</v>
      </c>
      <c r="B6540" s="19">
        <v>158.99</v>
      </c>
      <c r="C6540" s="19">
        <v>1</v>
      </c>
      <c r="D6540" s="19">
        <v>41.337400000000002</v>
      </c>
    </row>
    <row r="6541" spans="1:4" x14ac:dyDescent="0.2">
      <c r="A6541" s="19" t="s">
        <v>162</v>
      </c>
      <c r="B6541" s="19">
        <v>291.10000000000002</v>
      </c>
      <c r="C6541" s="19">
        <v>5</v>
      </c>
      <c r="D6541" s="19">
        <v>75.686000000000007</v>
      </c>
    </row>
    <row r="6542" spans="1:4" x14ac:dyDescent="0.2">
      <c r="A6542" s="19" t="s">
        <v>153</v>
      </c>
      <c r="B6542" s="19">
        <v>73.679999999999993</v>
      </c>
      <c r="C6542" s="19">
        <v>6</v>
      </c>
      <c r="D6542" s="19">
        <v>34.629599999999996</v>
      </c>
    </row>
    <row r="6543" spans="1:4" x14ac:dyDescent="0.2">
      <c r="A6543" s="19" t="s">
        <v>153</v>
      </c>
      <c r="B6543" s="19">
        <v>139.91999999999999</v>
      </c>
      <c r="C6543" s="19">
        <v>2</v>
      </c>
      <c r="D6543" s="19">
        <v>23.786399999999986</v>
      </c>
    </row>
    <row r="6544" spans="1:4" x14ac:dyDescent="0.2">
      <c r="A6544" s="19" t="s">
        <v>153</v>
      </c>
      <c r="B6544" s="19">
        <v>107.88</v>
      </c>
      <c r="C6544" s="19">
        <v>3</v>
      </c>
      <c r="D6544" s="19">
        <v>10.787999999999997</v>
      </c>
    </row>
    <row r="6545" spans="1:4" x14ac:dyDescent="0.2">
      <c r="A6545" s="19" t="s">
        <v>153</v>
      </c>
      <c r="B6545" s="19">
        <v>33.29</v>
      </c>
      <c r="C6545" s="19">
        <v>1</v>
      </c>
      <c r="D6545" s="19">
        <v>7.9895999999999994</v>
      </c>
    </row>
    <row r="6546" spans="1:4" x14ac:dyDescent="0.2">
      <c r="A6546" s="19" t="s">
        <v>173</v>
      </c>
      <c r="B6546" s="19">
        <v>58.170000000000009</v>
      </c>
      <c r="C6546" s="19">
        <v>5</v>
      </c>
      <c r="D6546" s="19">
        <v>-46.53600000000003</v>
      </c>
    </row>
    <row r="6547" spans="1:4" x14ac:dyDescent="0.2">
      <c r="A6547" s="19" t="s">
        <v>173</v>
      </c>
      <c r="B6547" s="19">
        <v>5.04</v>
      </c>
      <c r="C6547" s="19">
        <v>2</v>
      </c>
      <c r="D6547" s="19">
        <v>1.764</v>
      </c>
    </row>
    <row r="6548" spans="1:4" x14ac:dyDescent="0.2">
      <c r="A6548" s="19" t="s">
        <v>173</v>
      </c>
      <c r="B6548" s="19">
        <v>24.784000000000002</v>
      </c>
      <c r="C6548" s="19">
        <v>1</v>
      </c>
      <c r="D6548" s="19">
        <v>7.7449999999999983</v>
      </c>
    </row>
    <row r="6549" spans="1:4" x14ac:dyDescent="0.2">
      <c r="A6549" s="19" t="s">
        <v>159</v>
      </c>
      <c r="B6549" s="19">
        <v>634.11599999999999</v>
      </c>
      <c r="C6549" s="19">
        <v>6</v>
      </c>
      <c r="D6549" s="19">
        <v>-172.11720000000003</v>
      </c>
    </row>
    <row r="6550" spans="1:4" x14ac:dyDescent="0.2">
      <c r="A6550" s="19" t="s">
        <v>159</v>
      </c>
      <c r="B6550" s="19">
        <v>17.472000000000001</v>
      </c>
      <c r="C6550" s="19">
        <v>3</v>
      </c>
      <c r="D6550" s="19">
        <v>5.6783999999999981</v>
      </c>
    </row>
    <row r="6551" spans="1:4" x14ac:dyDescent="0.2">
      <c r="A6551" s="19" t="s">
        <v>160</v>
      </c>
      <c r="B6551" s="19">
        <v>155.88</v>
      </c>
      <c r="C6551" s="19">
        <v>6</v>
      </c>
      <c r="D6551" s="19">
        <v>38.970000000000006</v>
      </c>
    </row>
    <row r="6552" spans="1:4" x14ac:dyDescent="0.2">
      <c r="A6552" s="19" t="s">
        <v>164</v>
      </c>
      <c r="B6552" s="19">
        <v>327.56399999999996</v>
      </c>
      <c r="C6552" s="19">
        <v>4</v>
      </c>
      <c r="D6552" s="19">
        <v>21.837600000000023</v>
      </c>
    </row>
    <row r="6553" spans="1:4" x14ac:dyDescent="0.2">
      <c r="A6553" s="19" t="s">
        <v>150</v>
      </c>
      <c r="B6553" s="19">
        <v>13.36</v>
      </c>
      <c r="C6553" s="19">
        <v>2</v>
      </c>
      <c r="D6553" s="19">
        <v>6.4127999999999998</v>
      </c>
    </row>
    <row r="6554" spans="1:4" x14ac:dyDescent="0.2">
      <c r="A6554" s="19" t="s">
        <v>150</v>
      </c>
      <c r="B6554" s="19">
        <v>158.9</v>
      </c>
      <c r="C6554" s="19">
        <v>5</v>
      </c>
      <c r="D6554" s="19">
        <v>7.9449999999999932</v>
      </c>
    </row>
    <row r="6555" spans="1:4" x14ac:dyDescent="0.2">
      <c r="A6555" s="19" t="s">
        <v>159</v>
      </c>
      <c r="B6555" s="19">
        <v>319.96800000000002</v>
      </c>
      <c r="C6555" s="19">
        <v>4</v>
      </c>
      <c r="D6555" s="19">
        <v>71.992800000000003</v>
      </c>
    </row>
    <row r="6556" spans="1:4" x14ac:dyDescent="0.2">
      <c r="A6556" s="19" t="s">
        <v>159</v>
      </c>
      <c r="B6556" s="19">
        <v>505.32000000000005</v>
      </c>
      <c r="C6556" s="19">
        <v>3</v>
      </c>
      <c r="D6556" s="19">
        <v>31.582499999999953</v>
      </c>
    </row>
    <row r="6557" spans="1:4" x14ac:dyDescent="0.2">
      <c r="A6557" s="19" t="s">
        <v>159</v>
      </c>
      <c r="B6557" s="19">
        <v>3.8079999999999998</v>
      </c>
      <c r="C6557" s="19">
        <v>1</v>
      </c>
      <c r="D6557" s="19">
        <v>1.2375999999999996</v>
      </c>
    </row>
    <row r="6558" spans="1:4" x14ac:dyDescent="0.2">
      <c r="A6558" s="19" t="s">
        <v>159</v>
      </c>
      <c r="B6558" s="19">
        <v>8.6819999999999968</v>
      </c>
      <c r="C6558" s="19">
        <v>1</v>
      </c>
      <c r="D6558" s="19">
        <v>-14.759400000000003</v>
      </c>
    </row>
    <row r="6559" spans="1:4" x14ac:dyDescent="0.2">
      <c r="A6559" s="19" t="s">
        <v>159</v>
      </c>
      <c r="B6559" s="19">
        <v>24.424000000000003</v>
      </c>
      <c r="C6559" s="19">
        <v>1</v>
      </c>
      <c r="D6559" s="19">
        <v>7.9378000000000002</v>
      </c>
    </row>
    <row r="6560" spans="1:4" x14ac:dyDescent="0.2">
      <c r="A6560" s="19" t="s">
        <v>164</v>
      </c>
      <c r="B6560" s="19">
        <v>1522.6379999999999</v>
      </c>
      <c r="C6560" s="19">
        <v>9</v>
      </c>
      <c r="D6560" s="19">
        <v>169.18200000000004</v>
      </c>
    </row>
    <row r="6561" spans="1:4" x14ac:dyDescent="0.2">
      <c r="A6561" s="19" t="s">
        <v>150</v>
      </c>
      <c r="B6561" s="19">
        <v>419.90000000000003</v>
      </c>
      <c r="C6561" s="19">
        <v>5</v>
      </c>
      <c r="D6561" s="19">
        <v>197.35299999999998</v>
      </c>
    </row>
    <row r="6562" spans="1:4" x14ac:dyDescent="0.2">
      <c r="A6562" s="19" t="s">
        <v>150</v>
      </c>
      <c r="B6562" s="19">
        <v>3.15</v>
      </c>
      <c r="C6562" s="19">
        <v>1</v>
      </c>
      <c r="D6562" s="19">
        <v>1.512</v>
      </c>
    </row>
    <row r="6563" spans="1:4" x14ac:dyDescent="0.2">
      <c r="A6563" s="19" t="s">
        <v>154</v>
      </c>
      <c r="B6563" s="19">
        <v>33.61999999999999</v>
      </c>
      <c r="C6563" s="19">
        <v>5</v>
      </c>
      <c r="D6563" s="19">
        <v>-90.774000000000029</v>
      </c>
    </row>
    <row r="6564" spans="1:4" x14ac:dyDescent="0.2">
      <c r="A6564" s="19" t="s">
        <v>180</v>
      </c>
      <c r="B6564" s="19">
        <v>16.14</v>
      </c>
      <c r="C6564" s="19">
        <v>3</v>
      </c>
      <c r="D6564" s="19">
        <v>7.9085999999999999</v>
      </c>
    </row>
    <row r="6565" spans="1:4" x14ac:dyDescent="0.2">
      <c r="A6565" s="19" t="s">
        <v>180</v>
      </c>
      <c r="B6565" s="19">
        <v>194.25</v>
      </c>
      <c r="C6565" s="19">
        <v>2</v>
      </c>
      <c r="D6565" s="19">
        <v>-38.849999999999994</v>
      </c>
    </row>
    <row r="6566" spans="1:4" x14ac:dyDescent="0.2">
      <c r="A6566" s="19" t="s">
        <v>180</v>
      </c>
      <c r="B6566" s="19">
        <v>8.64</v>
      </c>
      <c r="C6566" s="19">
        <v>3</v>
      </c>
      <c r="D6566" s="19">
        <v>2.5055999999999998</v>
      </c>
    </row>
    <row r="6567" spans="1:4" x14ac:dyDescent="0.2">
      <c r="A6567" s="19" t="s">
        <v>180</v>
      </c>
      <c r="B6567" s="19">
        <v>872.32</v>
      </c>
      <c r="C6567" s="19">
        <v>4</v>
      </c>
      <c r="D6567" s="19">
        <v>244.24959999999999</v>
      </c>
    </row>
    <row r="6568" spans="1:4" x14ac:dyDescent="0.2">
      <c r="A6568" s="19" t="s">
        <v>154</v>
      </c>
      <c r="B6568" s="19">
        <v>243.99199999999996</v>
      </c>
      <c r="C6568" s="19">
        <v>4</v>
      </c>
      <c r="D6568" s="19">
        <v>-426.9860000000001</v>
      </c>
    </row>
    <row r="6569" spans="1:4" x14ac:dyDescent="0.2">
      <c r="A6569" s="19" t="s">
        <v>154</v>
      </c>
      <c r="B6569" s="19">
        <v>7.120000000000001</v>
      </c>
      <c r="C6569" s="19">
        <v>5</v>
      </c>
      <c r="D6569" s="19">
        <v>0.71199999999999974</v>
      </c>
    </row>
    <row r="6570" spans="1:4" x14ac:dyDescent="0.2">
      <c r="A6570" s="19" t="s">
        <v>154</v>
      </c>
      <c r="B6570" s="19">
        <v>2.6880000000000002</v>
      </c>
      <c r="C6570" s="19">
        <v>2</v>
      </c>
      <c r="D6570" s="19">
        <v>1.008</v>
      </c>
    </row>
    <row r="6571" spans="1:4" x14ac:dyDescent="0.2">
      <c r="A6571" s="19" t="s">
        <v>154</v>
      </c>
      <c r="B6571" s="19">
        <v>317.05799999999999</v>
      </c>
      <c r="C6571" s="19">
        <v>3</v>
      </c>
      <c r="D6571" s="19">
        <v>-18.117599999999996</v>
      </c>
    </row>
    <row r="6572" spans="1:4" x14ac:dyDescent="0.2">
      <c r="A6572" s="19" t="s">
        <v>154</v>
      </c>
      <c r="B6572" s="19">
        <v>149.352</v>
      </c>
      <c r="C6572" s="19">
        <v>3</v>
      </c>
      <c r="D6572" s="19">
        <v>50.40629999999998</v>
      </c>
    </row>
    <row r="6573" spans="1:4" x14ac:dyDescent="0.2">
      <c r="A6573" s="19" t="s">
        <v>154</v>
      </c>
      <c r="B6573" s="19">
        <v>227.976</v>
      </c>
      <c r="C6573" s="19">
        <v>3</v>
      </c>
      <c r="D6573" s="19">
        <v>28.496999999999957</v>
      </c>
    </row>
    <row r="6574" spans="1:4" x14ac:dyDescent="0.2">
      <c r="A6574" s="19" t="s">
        <v>153</v>
      </c>
      <c r="B6574" s="19">
        <v>11.96</v>
      </c>
      <c r="C6574" s="19">
        <v>2</v>
      </c>
      <c r="D6574" s="19">
        <v>5.8604000000000003</v>
      </c>
    </row>
    <row r="6575" spans="1:4" x14ac:dyDescent="0.2">
      <c r="A6575" s="19" t="s">
        <v>179</v>
      </c>
      <c r="B6575" s="19">
        <v>563.4</v>
      </c>
      <c r="C6575" s="19">
        <v>4</v>
      </c>
      <c r="D6575" s="19">
        <v>67.608000000000004</v>
      </c>
    </row>
    <row r="6576" spans="1:4" x14ac:dyDescent="0.2">
      <c r="A6576" s="19" t="s">
        <v>179</v>
      </c>
      <c r="B6576" s="19">
        <v>319.92</v>
      </c>
      <c r="C6576" s="19">
        <v>8</v>
      </c>
      <c r="D6576" s="19">
        <v>118.37040000000002</v>
      </c>
    </row>
    <row r="6577" spans="1:4" x14ac:dyDescent="0.2">
      <c r="A6577" s="19" t="s">
        <v>150</v>
      </c>
      <c r="B6577" s="19">
        <v>1049.44</v>
      </c>
      <c r="C6577" s="19">
        <v>8</v>
      </c>
      <c r="D6577" s="19">
        <v>440.76480000000004</v>
      </c>
    </row>
    <row r="6578" spans="1:4" x14ac:dyDescent="0.2">
      <c r="A6578" s="19" t="s">
        <v>150</v>
      </c>
      <c r="B6578" s="19">
        <v>170.35200000000003</v>
      </c>
      <c r="C6578" s="19">
        <v>3</v>
      </c>
      <c r="D6578" s="19">
        <v>-17.035200000000003</v>
      </c>
    </row>
    <row r="6579" spans="1:4" x14ac:dyDescent="0.2">
      <c r="A6579" s="19" t="s">
        <v>166</v>
      </c>
      <c r="B6579" s="19">
        <v>173.94</v>
      </c>
      <c r="C6579" s="19">
        <v>6</v>
      </c>
      <c r="D6579" s="19">
        <v>50.442599999999977</v>
      </c>
    </row>
    <row r="6580" spans="1:4" x14ac:dyDescent="0.2">
      <c r="A6580" s="19" t="s">
        <v>153</v>
      </c>
      <c r="B6580" s="19">
        <v>1007.9440000000002</v>
      </c>
      <c r="C6580" s="19">
        <v>7</v>
      </c>
      <c r="D6580" s="19">
        <v>75.595799999999997</v>
      </c>
    </row>
    <row r="6581" spans="1:4" x14ac:dyDescent="0.2">
      <c r="A6581" s="19" t="s">
        <v>153</v>
      </c>
      <c r="B6581" s="19">
        <v>6.68</v>
      </c>
      <c r="C6581" s="19">
        <v>1</v>
      </c>
      <c r="D6581" s="19">
        <v>3.2063999999999999</v>
      </c>
    </row>
    <row r="6582" spans="1:4" x14ac:dyDescent="0.2">
      <c r="A6582" s="19" t="s">
        <v>153</v>
      </c>
      <c r="B6582" s="19">
        <v>8.34</v>
      </c>
      <c r="C6582" s="19">
        <v>3</v>
      </c>
      <c r="D6582" s="19">
        <v>2.2517999999999998</v>
      </c>
    </row>
    <row r="6583" spans="1:4" x14ac:dyDescent="0.2">
      <c r="A6583" s="19" t="s">
        <v>153</v>
      </c>
      <c r="B6583" s="19">
        <v>101.94</v>
      </c>
      <c r="C6583" s="19">
        <v>3</v>
      </c>
      <c r="D6583" s="19">
        <v>30.581999999999987</v>
      </c>
    </row>
    <row r="6584" spans="1:4" x14ac:dyDescent="0.2">
      <c r="A6584" s="19" t="s">
        <v>153</v>
      </c>
      <c r="B6584" s="19">
        <v>179.97</v>
      </c>
      <c r="C6584" s="19">
        <v>3</v>
      </c>
      <c r="D6584" s="19">
        <v>86.385600000000011</v>
      </c>
    </row>
    <row r="6585" spans="1:4" x14ac:dyDescent="0.2">
      <c r="A6585" s="19" t="s">
        <v>166</v>
      </c>
      <c r="B6585" s="19">
        <v>101.94</v>
      </c>
      <c r="C6585" s="19">
        <v>6</v>
      </c>
      <c r="D6585" s="19">
        <v>29.562599999999986</v>
      </c>
    </row>
    <row r="6586" spans="1:4" x14ac:dyDescent="0.2">
      <c r="A6586" s="19" t="s">
        <v>166</v>
      </c>
      <c r="B6586" s="19">
        <v>271.95999999999998</v>
      </c>
      <c r="C6586" s="19">
        <v>4</v>
      </c>
      <c r="D6586" s="19">
        <v>67.990000000000009</v>
      </c>
    </row>
    <row r="6587" spans="1:4" x14ac:dyDescent="0.2">
      <c r="A6587" s="19" t="s">
        <v>166</v>
      </c>
      <c r="B6587" s="19">
        <v>8.8000000000000007</v>
      </c>
      <c r="C6587" s="19">
        <v>5</v>
      </c>
      <c r="D6587" s="19">
        <v>3.8720000000000003</v>
      </c>
    </row>
    <row r="6588" spans="1:4" x14ac:dyDescent="0.2">
      <c r="A6588" s="19" t="s">
        <v>166</v>
      </c>
      <c r="B6588" s="19">
        <v>19.68</v>
      </c>
      <c r="C6588" s="19">
        <v>6</v>
      </c>
      <c r="D6588" s="19">
        <v>5.7071999999999976</v>
      </c>
    </row>
    <row r="6589" spans="1:4" x14ac:dyDescent="0.2">
      <c r="A6589" s="19" t="s">
        <v>166</v>
      </c>
      <c r="B6589" s="19">
        <v>302.94</v>
      </c>
      <c r="C6589" s="19">
        <v>3</v>
      </c>
      <c r="D6589" s="19">
        <v>69.67619999999998</v>
      </c>
    </row>
    <row r="6590" spans="1:4" x14ac:dyDescent="0.2">
      <c r="A6590" s="19" t="s">
        <v>166</v>
      </c>
      <c r="B6590" s="19">
        <v>14.940000000000001</v>
      </c>
      <c r="C6590" s="19">
        <v>3</v>
      </c>
      <c r="D6590" s="19">
        <v>7.1712000000000007</v>
      </c>
    </row>
    <row r="6591" spans="1:4" x14ac:dyDescent="0.2">
      <c r="A6591" s="19" t="s">
        <v>166</v>
      </c>
      <c r="B6591" s="19">
        <v>231.72</v>
      </c>
      <c r="C6591" s="19">
        <v>2</v>
      </c>
      <c r="D6591" s="19">
        <v>11.585999999999984</v>
      </c>
    </row>
    <row r="6592" spans="1:4" x14ac:dyDescent="0.2">
      <c r="A6592" s="19" t="s">
        <v>151</v>
      </c>
      <c r="B6592" s="19">
        <v>9.9120000000000008</v>
      </c>
      <c r="C6592" s="19">
        <v>3</v>
      </c>
      <c r="D6592" s="19">
        <v>3.2213999999999996</v>
      </c>
    </row>
    <row r="6593" spans="1:4" x14ac:dyDescent="0.2">
      <c r="A6593" s="19" t="s">
        <v>150</v>
      </c>
      <c r="B6593" s="19">
        <v>34.650000000000006</v>
      </c>
      <c r="C6593" s="19">
        <v>3</v>
      </c>
      <c r="D6593" s="19">
        <v>9.702</v>
      </c>
    </row>
    <row r="6594" spans="1:4" x14ac:dyDescent="0.2">
      <c r="A6594" s="19" t="s">
        <v>150</v>
      </c>
      <c r="B6594" s="19">
        <v>19.8</v>
      </c>
      <c r="C6594" s="19">
        <v>5</v>
      </c>
      <c r="D6594" s="19">
        <v>1.7324999999999999</v>
      </c>
    </row>
    <row r="6595" spans="1:4" x14ac:dyDescent="0.2">
      <c r="A6595" s="19" t="s">
        <v>164</v>
      </c>
      <c r="B6595" s="19">
        <v>33.568000000000005</v>
      </c>
      <c r="C6595" s="19">
        <v>2</v>
      </c>
      <c r="D6595" s="19">
        <v>11.748799999999997</v>
      </c>
    </row>
    <row r="6596" spans="1:4" x14ac:dyDescent="0.2">
      <c r="A6596" s="19" t="s">
        <v>163</v>
      </c>
      <c r="B6596" s="19">
        <v>125.92999999999999</v>
      </c>
      <c r="C6596" s="19">
        <v>7</v>
      </c>
      <c r="D6596" s="19">
        <v>35.260400000000004</v>
      </c>
    </row>
    <row r="6597" spans="1:4" x14ac:dyDescent="0.2">
      <c r="A6597" s="19" t="s">
        <v>173</v>
      </c>
      <c r="B6597" s="19">
        <v>11.760000000000002</v>
      </c>
      <c r="C6597" s="19">
        <v>5</v>
      </c>
      <c r="D6597" s="19">
        <v>-7.8399999999999963</v>
      </c>
    </row>
    <row r="6598" spans="1:4" x14ac:dyDescent="0.2">
      <c r="A6598" s="19" t="s">
        <v>173</v>
      </c>
      <c r="B6598" s="19">
        <v>5.3440000000000003</v>
      </c>
      <c r="C6598" s="19">
        <v>1</v>
      </c>
      <c r="D6598" s="19">
        <v>1.8703999999999998</v>
      </c>
    </row>
    <row r="6599" spans="1:4" x14ac:dyDescent="0.2">
      <c r="A6599" s="19" t="s">
        <v>151</v>
      </c>
      <c r="B6599" s="19">
        <v>1.3650000000000002</v>
      </c>
      <c r="C6599" s="19">
        <v>1</v>
      </c>
      <c r="D6599" s="19">
        <v>-0.9099999999999997</v>
      </c>
    </row>
    <row r="6600" spans="1:4" x14ac:dyDescent="0.2">
      <c r="A6600" s="19" t="s">
        <v>151</v>
      </c>
      <c r="B6600" s="19">
        <v>62.015999999999998</v>
      </c>
      <c r="C6600" s="19">
        <v>2</v>
      </c>
      <c r="D6600" s="19">
        <v>22.480800000000002</v>
      </c>
    </row>
    <row r="6601" spans="1:4" x14ac:dyDescent="0.2">
      <c r="A6601" s="19" t="s">
        <v>187</v>
      </c>
      <c r="B6601" s="19">
        <v>60.72</v>
      </c>
      <c r="C6601" s="19">
        <v>3</v>
      </c>
      <c r="D6601" s="19">
        <v>23.680799999999998</v>
      </c>
    </row>
    <row r="6602" spans="1:4" x14ac:dyDescent="0.2">
      <c r="A6602" s="19" t="s">
        <v>187</v>
      </c>
      <c r="B6602" s="19">
        <v>146.82</v>
      </c>
      <c r="C6602" s="19">
        <v>3</v>
      </c>
      <c r="D6602" s="19">
        <v>73.41</v>
      </c>
    </row>
    <row r="6603" spans="1:4" x14ac:dyDescent="0.2">
      <c r="A6603" s="19" t="s">
        <v>187</v>
      </c>
      <c r="B6603" s="19">
        <v>239.84</v>
      </c>
      <c r="C6603" s="19">
        <v>8</v>
      </c>
      <c r="D6603" s="19">
        <v>64.756799999999998</v>
      </c>
    </row>
    <row r="6604" spans="1:4" x14ac:dyDescent="0.2">
      <c r="A6604" s="19" t="s">
        <v>187</v>
      </c>
      <c r="B6604" s="19">
        <v>15.66</v>
      </c>
      <c r="C6604" s="19">
        <v>6</v>
      </c>
      <c r="D6604" s="19">
        <v>7.2035999999999998</v>
      </c>
    </row>
    <row r="6605" spans="1:4" x14ac:dyDescent="0.2">
      <c r="A6605" s="19" t="s">
        <v>171</v>
      </c>
      <c r="B6605" s="19">
        <v>146.352</v>
      </c>
      <c r="C6605" s="19">
        <v>3</v>
      </c>
      <c r="D6605" s="19">
        <v>-32.929200000000002</v>
      </c>
    </row>
    <row r="6606" spans="1:4" x14ac:dyDescent="0.2">
      <c r="A6606" s="19" t="s">
        <v>150</v>
      </c>
      <c r="B6606" s="19">
        <v>5.9399999999999995</v>
      </c>
      <c r="C6606" s="19">
        <v>3</v>
      </c>
      <c r="D6606" s="19">
        <v>0</v>
      </c>
    </row>
    <row r="6607" spans="1:4" x14ac:dyDescent="0.2">
      <c r="A6607" s="19" t="s">
        <v>150</v>
      </c>
      <c r="B6607" s="19">
        <v>45.36</v>
      </c>
      <c r="C6607" s="19">
        <v>7</v>
      </c>
      <c r="D6607" s="19">
        <v>21.772800000000004</v>
      </c>
    </row>
    <row r="6608" spans="1:4" x14ac:dyDescent="0.2">
      <c r="A6608" s="19" t="s">
        <v>150</v>
      </c>
      <c r="B6608" s="19">
        <v>211.16800000000001</v>
      </c>
      <c r="C6608" s="19">
        <v>4</v>
      </c>
      <c r="D6608" s="19">
        <v>23.756399999999985</v>
      </c>
    </row>
    <row r="6609" spans="1:4" x14ac:dyDescent="0.2">
      <c r="A6609" s="19" t="s">
        <v>150</v>
      </c>
      <c r="B6609" s="19">
        <v>484.70400000000006</v>
      </c>
      <c r="C6609" s="19">
        <v>6</v>
      </c>
      <c r="D6609" s="19">
        <v>-84.823200000000071</v>
      </c>
    </row>
    <row r="6610" spans="1:4" x14ac:dyDescent="0.2">
      <c r="A6610" s="19" t="s">
        <v>150</v>
      </c>
      <c r="B6610" s="19">
        <v>371.97600000000006</v>
      </c>
      <c r="C6610" s="19">
        <v>3</v>
      </c>
      <c r="D6610" s="19">
        <v>116.24249999999996</v>
      </c>
    </row>
    <row r="6611" spans="1:4" x14ac:dyDescent="0.2">
      <c r="A6611" s="19" t="s">
        <v>187</v>
      </c>
      <c r="B6611" s="19">
        <v>89.820000000000007</v>
      </c>
      <c r="C6611" s="19">
        <v>6</v>
      </c>
      <c r="D6611" s="19">
        <v>25.149600000000007</v>
      </c>
    </row>
    <row r="6612" spans="1:4" x14ac:dyDescent="0.2">
      <c r="A6612" s="19" t="s">
        <v>150</v>
      </c>
      <c r="B6612" s="19">
        <v>19.295999999999999</v>
      </c>
      <c r="C6612" s="19">
        <v>3</v>
      </c>
      <c r="D6612" s="19">
        <v>6.0299999999999994</v>
      </c>
    </row>
    <row r="6613" spans="1:4" x14ac:dyDescent="0.2">
      <c r="A6613" s="19" t="s">
        <v>149</v>
      </c>
      <c r="B6613" s="19">
        <v>191.96</v>
      </c>
      <c r="C6613" s="19">
        <v>2</v>
      </c>
      <c r="D6613" s="19">
        <v>51.829200000000014</v>
      </c>
    </row>
    <row r="6614" spans="1:4" x14ac:dyDescent="0.2">
      <c r="A6614" s="19" t="s">
        <v>149</v>
      </c>
      <c r="B6614" s="19">
        <v>21.299999999999997</v>
      </c>
      <c r="C6614" s="19">
        <v>3</v>
      </c>
      <c r="D6614" s="19">
        <v>9.7979999999999983</v>
      </c>
    </row>
    <row r="6615" spans="1:4" x14ac:dyDescent="0.2">
      <c r="A6615" s="19" t="s">
        <v>149</v>
      </c>
      <c r="B6615" s="19">
        <v>469.95</v>
      </c>
      <c r="C6615" s="19">
        <v>5</v>
      </c>
      <c r="D6615" s="19">
        <v>131.58600000000001</v>
      </c>
    </row>
    <row r="6616" spans="1:4" x14ac:dyDescent="0.2">
      <c r="A6616" s="19" t="s">
        <v>149</v>
      </c>
      <c r="B6616" s="19">
        <v>209.88</v>
      </c>
      <c r="C6616" s="19">
        <v>3</v>
      </c>
      <c r="D6616" s="19">
        <v>35.679599999999979</v>
      </c>
    </row>
    <row r="6617" spans="1:4" x14ac:dyDescent="0.2">
      <c r="A6617" s="19" t="s">
        <v>150</v>
      </c>
      <c r="B6617" s="19">
        <v>239.66599999999997</v>
      </c>
      <c r="C6617" s="19">
        <v>2</v>
      </c>
      <c r="D6617" s="19">
        <v>14.097999999999999</v>
      </c>
    </row>
    <row r="6618" spans="1:4" x14ac:dyDescent="0.2">
      <c r="A6618" s="19" t="s">
        <v>150</v>
      </c>
      <c r="B6618" s="19">
        <v>22.5</v>
      </c>
      <c r="C6618" s="19">
        <v>6</v>
      </c>
      <c r="D6618" s="19">
        <v>10.799999999999999</v>
      </c>
    </row>
    <row r="6619" spans="1:4" x14ac:dyDescent="0.2">
      <c r="A6619" s="19" t="s">
        <v>150</v>
      </c>
      <c r="B6619" s="19">
        <v>219.84</v>
      </c>
      <c r="C6619" s="19">
        <v>4</v>
      </c>
      <c r="D6619" s="19">
        <v>107.7216</v>
      </c>
    </row>
    <row r="6620" spans="1:4" x14ac:dyDescent="0.2">
      <c r="A6620" s="19" t="s">
        <v>174</v>
      </c>
      <c r="B6620" s="19">
        <v>32.400000000000006</v>
      </c>
      <c r="C6620" s="19">
        <v>5</v>
      </c>
      <c r="D6620" s="19">
        <v>15.552000000000001</v>
      </c>
    </row>
    <row r="6621" spans="1:4" x14ac:dyDescent="0.2">
      <c r="A6621" s="19" t="s">
        <v>174</v>
      </c>
      <c r="B6621" s="19">
        <v>209.94</v>
      </c>
      <c r="C6621" s="19">
        <v>6</v>
      </c>
      <c r="D6621" s="19">
        <v>54.584400000000002</v>
      </c>
    </row>
    <row r="6622" spans="1:4" x14ac:dyDescent="0.2">
      <c r="A6622" s="19" t="s">
        <v>174</v>
      </c>
      <c r="B6622" s="19">
        <v>4164.0499999999993</v>
      </c>
      <c r="C6622" s="19">
        <v>5</v>
      </c>
      <c r="D6622" s="19">
        <v>83.281000000000063</v>
      </c>
    </row>
    <row r="6623" spans="1:4" x14ac:dyDescent="0.2">
      <c r="A6623" s="19" t="s">
        <v>174</v>
      </c>
      <c r="B6623" s="19">
        <v>212.94</v>
      </c>
      <c r="C6623" s="19">
        <v>3</v>
      </c>
      <c r="D6623" s="19">
        <v>53.235000000000014</v>
      </c>
    </row>
    <row r="6624" spans="1:4" x14ac:dyDescent="0.2">
      <c r="A6624" s="19" t="s">
        <v>150</v>
      </c>
      <c r="B6624" s="19">
        <v>41.88</v>
      </c>
      <c r="C6624" s="19">
        <v>6</v>
      </c>
      <c r="D6624" s="19">
        <v>12.145199999999997</v>
      </c>
    </row>
    <row r="6625" spans="1:4" x14ac:dyDescent="0.2">
      <c r="A6625" s="19" t="s">
        <v>150</v>
      </c>
      <c r="B6625" s="19">
        <v>58.48</v>
      </c>
      <c r="C6625" s="19">
        <v>8</v>
      </c>
      <c r="D6625" s="19">
        <v>27.485599999999998</v>
      </c>
    </row>
    <row r="6626" spans="1:4" x14ac:dyDescent="0.2">
      <c r="A6626" s="19" t="s">
        <v>154</v>
      </c>
      <c r="B6626" s="19">
        <v>102.438</v>
      </c>
      <c r="C6626" s="19">
        <v>1</v>
      </c>
      <c r="D6626" s="19">
        <v>-13.170600000000007</v>
      </c>
    </row>
    <row r="6627" spans="1:4" x14ac:dyDescent="0.2">
      <c r="A6627" s="19" t="s">
        <v>154</v>
      </c>
      <c r="B6627" s="19">
        <v>199.304</v>
      </c>
      <c r="C6627" s="19">
        <v>4</v>
      </c>
      <c r="D6627" s="19">
        <v>-8.5416000000000025</v>
      </c>
    </row>
    <row r="6628" spans="1:4" x14ac:dyDescent="0.2">
      <c r="A6628" s="19" t="s">
        <v>164</v>
      </c>
      <c r="B6628" s="19">
        <v>6999.96</v>
      </c>
      <c r="C6628" s="19">
        <v>4</v>
      </c>
      <c r="D6628" s="19">
        <v>2239.9871999999996</v>
      </c>
    </row>
    <row r="6629" spans="1:4" x14ac:dyDescent="0.2">
      <c r="A6629" s="19" t="s">
        <v>153</v>
      </c>
      <c r="B6629" s="19">
        <v>12.96</v>
      </c>
      <c r="C6629" s="19">
        <v>2</v>
      </c>
      <c r="D6629" s="19">
        <v>6.2208000000000006</v>
      </c>
    </row>
    <row r="6630" spans="1:4" x14ac:dyDescent="0.2">
      <c r="A6630" s="19" t="s">
        <v>164</v>
      </c>
      <c r="B6630" s="19">
        <v>279.85999999999996</v>
      </c>
      <c r="C6630" s="19">
        <v>14</v>
      </c>
      <c r="D6630" s="19">
        <v>134.33279999999996</v>
      </c>
    </row>
    <row r="6631" spans="1:4" x14ac:dyDescent="0.2">
      <c r="A6631" s="19" t="s">
        <v>152</v>
      </c>
      <c r="B6631" s="19">
        <v>7.3800000000000008</v>
      </c>
      <c r="C6631" s="19">
        <v>5</v>
      </c>
      <c r="D6631" s="19">
        <v>-5.4120000000000008</v>
      </c>
    </row>
    <row r="6632" spans="1:4" x14ac:dyDescent="0.2">
      <c r="A6632" s="19" t="s">
        <v>153</v>
      </c>
      <c r="B6632" s="19">
        <v>698.35200000000009</v>
      </c>
      <c r="C6632" s="19">
        <v>3</v>
      </c>
      <c r="D6632" s="19">
        <v>52.376399999999961</v>
      </c>
    </row>
    <row r="6633" spans="1:4" x14ac:dyDescent="0.2">
      <c r="A6633" s="19" t="s">
        <v>153</v>
      </c>
      <c r="B6633" s="19">
        <v>1747.25</v>
      </c>
      <c r="C6633" s="19">
        <v>5</v>
      </c>
      <c r="D6633" s="19">
        <v>629.01</v>
      </c>
    </row>
    <row r="6634" spans="1:4" x14ac:dyDescent="0.2">
      <c r="A6634" s="19" t="s">
        <v>174</v>
      </c>
      <c r="B6634" s="19">
        <v>54.48</v>
      </c>
      <c r="C6634" s="19">
        <v>1</v>
      </c>
      <c r="D6634" s="19">
        <v>15.254400000000004</v>
      </c>
    </row>
    <row r="6635" spans="1:4" x14ac:dyDescent="0.2">
      <c r="A6635" s="19" t="s">
        <v>150</v>
      </c>
      <c r="B6635" s="19">
        <v>199.99</v>
      </c>
      <c r="C6635" s="19">
        <v>1</v>
      </c>
      <c r="D6635" s="19">
        <v>85.995700000000014</v>
      </c>
    </row>
    <row r="6636" spans="1:4" x14ac:dyDescent="0.2">
      <c r="A6636" s="19" t="s">
        <v>152</v>
      </c>
      <c r="B6636" s="19">
        <v>68.541000000000011</v>
      </c>
      <c r="C6636" s="19">
        <v>11</v>
      </c>
      <c r="D6636" s="19">
        <v>-52.548099999999991</v>
      </c>
    </row>
    <row r="6637" spans="1:4" x14ac:dyDescent="0.2">
      <c r="A6637" s="19" t="s">
        <v>152</v>
      </c>
      <c r="B6637" s="19">
        <v>627.16800000000012</v>
      </c>
      <c r="C6637" s="19">
        <v>4</v>
      </c>
      <c r="D6637" s="19">
        <v>70.55639999999994</v>
      </c>
    </row>
    <row r="6638" spans="1:4" x14ac:dyDescent="0.2">
      <c r="A6638" s="19" t="s">
        <v>152</v>
      </c>
      <c r="B6638" s="19">
        <v>122.12000000000002</v>
      </c>
      <c r="C6638" s="19">
        <v>5</v>
      </c>
      <c r="D6638" s="19">
        <v>39.689000000000007</v>
      </c>
    </row>
    <row r="6639" spans="1:4" x14ac:dyDescent="0.2">
      <c r="A6639" s="19" t="s">
        <v>164</v>
      </c>
      <c r="B6639" s="19">
        <v>6.99</v>
      </c>
      <c r="C6639" s="19">
        <v>3</v>
      </c>
      <c r="D6639" s="19">
        <v>2.027099999999999</v>
      </c>
    </row>
    <row r="6640" spans="1:4" x14ac:dyDescent="0.2">
      <c r="A6640" s="19" t="s">
        <v>164</v>
      </c>
      <c r="B6640" s="19">
        <v>107.42400000000001</v>
      </c>
      <c r="C6640" s="19">
        <v>6</v>
      </c>
      <c r="D6640" s="19">
        <v>36.255599999999994</v>
      </c>
    </row>
    <row r="6641" spans="1:4" x14ac:dyDescent="0.2">
      <c r="A6641" s="19" t="s">
        <v>173</v>
      </c>
      <c r="B6641" s="19">
        <v>1421.664</v>
      </c>
      <c r="C6641" s="19">
        <v>8</v>
      </c>
      <c r="D6641" s="19">
        <v>-734.52639999999997</v>
      </c>
    </row>
    <row r="6642" spans="1:4" x14ac:dyDescent="0.2">
      <c r="A6642" s="19" t="s">
        <v>163</v>
      </c>
      <c r="B6642" s="19">
        <v>125.88</v>
      </c>
      <c r="C6642" s="19">
        <v>6</v>
      </c>
      <c r="D6642" s="19">
        <v>60.422399999999996</v>
      </c>
    </row>
    <row r="6643" spans="1:4" x14ac:dyDescent="0.2">
      <c r="A6643" s="19" t="s">
        <v>163</v>
      </c>
      <c r="B6643" s="19">
        <v>79.78</v>
      </c>
      <c r="C6643" s="19">
        <v>2</v>
      </c>
      <c r="D6643" s="19">
        <v>29.518599999999999</v>
      </c>
    </row>
    <row r="6644" spans="1:4" x14ac:dyDescent="0.2">
      <c r="A6644" s="19" t="s">
        <v>163</v>
      </c>
      <c r="B6644" s="19">
        <v>133.20000000000002</v>
      </c>
      <c r="C6644" s="19">
        <v>9</v>
      </c>
      <c r="D6644" s="19">
        <v>66.600000000000009</v>
      </c>
    </row>
    <row r="6645" spans="1:4" x14ac:dyDescent="0.2">
      <c r="A6645" s="19" t="s">
        <v>170</v>
      </c>
      <c r="B6645" s="19">
        <v>438.36800000000005</v>
      </c>
      <c r="C6645" s="19">
        <v>4</v>
      </c>
      <c r="D6645" s="19">
        <v>38.357200000000006</v>
      </c>
    </row>
    <row r="6646" spans="1:4" x14ac:dyDescent="0.2">
      <c r="A6646" s="19" t="s">
        <v>170</v>
      </c>
      <c r="B6646" s="19">
        <v>139.94400000000002</v>
      </c>
      <c r="C6646" s="19">
        <v>7</v>
      </c>
      <c r="D6646" s="19">
        <v>-31.487400000000001</v>
      </c>
    </row>
    <row r="6647" spans="1:4" x14ac:dyDescent="0.2">
      <c r="A6647" s="19" t="s">
        <v>170</v>
      </c>
      <c r="B6647" s="19">
        <v>133.47200000000001</v>
      </c>
      <c r="C6647" s="19">
        <v>4</v>
      </c>
      <c r="D6647" s="19">
        <v>15.015599999999985</v>
      </c>
    </row>
    <row r="6648" spans="1:4" x14ac:dyDescent="0.2">
      <c r="A6648" s="19" t="s">
        <v>170</v>
      </c>
      <c r="B6648" s="19">
        <v>564.19499999999994</v>
      </c>
      <c r="C6648" s="19">
        <v>3</v>
      </c>
      <c r="D6648" s="19">
        <v>-304.66529999999989</v>
      </c>
    </row>
    <row r="6649" spans="1:4" x14ac:dyDescent="0.2">
      <c r="A6649" s="19" t="s">
        <v>170</v>
      </c>
      <c r="B6649" s="19">
        <v>87.168000000000006</v>
      </c>
      <c r="C6649" s="19">
        <v>2</v>
      </c>
      <c r="D6649" s="19">
        <v>8.7168000000000063</v>
      </c>
    </row>
    <row r="6650" spans="1:4" x14ac:dyDescent="0.2">
      <c r="A6650" s="19" t="s">
        <v>154</v>
      </c>
      <c r="B6650" s="19">
        <v>42.615999999999993</v>
      </c>
      <c r="C6650" s="19">
        <v>7</v>
      </c>
      <c r="D6650" s="19">
        <v>-68.185600000000022</v>
      </c>
    </row>
    <row r="6651" spans="1:4" x14ac:dyDescent="0.2">
      <c r="A6651" s="19" t="s">
        <v>154</v>
      </c>
      <c r="B6651" s="19">
        <v>319.98400000000004</v>
      </c>
      <c r="C6651" s="19">
        <v>2</v>
      </c>
      <c r="D6651" s="19">
        <v>107.99459999999999</v>
      </c>
    </row>
    <row r="6652" spans="1:4" x14ac:dyDescent="0.2">
      <c r="A6652" s="19" t="s">
        <v>154</v>
      </c>
      <c r="B6652" s="19">
        <v>45.92</v>
      </c>
      <c r="C6652" s="19">
        <v>5</v>
      </c>
      <c r="D6652" s="19">
        <v>15.498000000000001</v>
      </c>
    </row>
    <row r="6653" spans="1:4" x14ac:dyDescent="0.2">
      <c r="A6653" s="19" t="s">
        <v>154</v>
      </c>
      <c r="B6653" s="19">
        <v>21.184000000000001</v>
      </c>
      <c r="C6653" s="19">
        <v>2</v>
      </c>
      <c r="D6653" s="19">
        <v>-11.651199999999999</v>
      </c>
    </row>
    <row r="6654" spans="1:4" x14ac:dyDescent="0.2">
      <c r="A6654" s="19" t="s">
        <v>154</v>
      </c>
      <c r="B6654" s="19">
        <v>20.736000000000004</v>
      </c>
      <c r="C6654" s="19">
        <v>4</v>
      </c>
      <c r="D6654" s="19">
        <v>7.2576000000000001</v>
      </c>
    </row>
    <row r="6655" spans="1:4" x14ac:dyDescent="0.2">
      <c r="A6655" s="19" t="s">
        <v>154</v>
      </c>
      <c r="B6655" s="19">
        <v>213.42999999999995</v>
      </c>
      <c r="C6655" s="19">
        <v>5</v>
      </c>
      <c r="D6655" s="19">
        <v>-39.636999999999993</v>
      </c>
    </row>
    <row r="6656" spans="1:4" x14ac:dyDescent="0.2">
      <c r="A6656" s="19" t="s">
        <v>165</v>
      </c>
      <c r="B6656" s="19">
        <v>333.57600000000002</v>
      </c>
      <c r="C6656" s="19">
        <v>3</v>
      </c>
      <c r="D6656" s="19">
        <v>25.018199999999993</v>
      </c>
    </row>
    <row r="6657" spans="1:4" x14ac:dyDescent="0.2">
      <c r="A6657" s="19" t="s">
        <v>165</v>
      </c>
      <c r="B6657" s="19">
        <v>31.992000000000004</v>
      </c>
      <c r="C6657" s="19">
        <v>1</v>
      </c>
      <c r="D6657" s="19">
        <v>4.7987999999999964</v>
      </c>
    </row>
    <row r="6658" spans="1:4" x14ac:dyDescent="0.2">
      <c r="A6658" s="19" t="s">
        <v>165</v>
      </c>
      <c r="B6658" s="19">
        <v>51.168000000000006</v>
      </c>
      <c r="C6658" s="19">
        <v>2</v>
      </c>
      <c r="D6658" s="19">
        <v>-6.3960000000000008</v>
      </c>
    </row>
    <row r="6659" spans="1:4" x14ac:dyDescent="0.2">
      <c r="A6659" s="19" t="s">
        <v>165</v>
      </c>
      <c r="B6659" s="19">
        <v>10.64</v>
      </c>
      <c r="C6659" s="19">
        <v>5</v>
      </c>
      <c r="D6659" s="19">
        <v>3.8570000000000002</v>
      </c>
    </row>
    <row r="6660" spans="1:4" x14ac:dyDescent="0.2">
      <c r="A6660" s="19" t="s">
        <v>165</v>
      </c>
      <c r="B6660" s="19">
        <v>68.703999999999994</v>
      </c>
      <c r="C6660" s="19">
        <v>2</v>
      </c>
      <c r="D6660" s="19">
        <v>16.317200000000003</v>
      </c>
    </row>
    <row r="6661" spans="1:4" x14ac:dyDescent="0.2">
      <c r="A6661" s="19" t="s">
        <v>165</v>
      </c>
      <c r="B6661" s="19">
        <v>386.91</v>
      </c>
      <c r="C6661" s="19">
        <v>9</v>
      </c>
      <c r="D6661" s="19">
        <v>-185.71679999999998</v>
      </c>
    </row>
    <row r="6662" spans="1:4" x14ac:dyDescent="0.2">
      <c r="A6662" s="19" t="s">
        <v>180</v>
      </c>
      <c r="B6662" s="19">
        <v>39.659999999999997</v>
      </c>
      <c r="C6662" s="19">
        <v>2</v>
      </c>
      <c r="D6662" s="19">
        <v>11.897999999999996</v>
      </c>
    </row>
    <row r="6663" spans="1:4" x14ac:dyDescent="0.2">
      <c r="A6663" s="19" t="s">
        <v>180</v>
      </c>
      <c r="B6663" s="19">
        <v>113.92</v>
      </c>
      <c r="C6663" s="19">
        <v>2</v>
      </c>
      <c r="D6663" s="19">
        <v>33.036799999999985</v>
      </c>
    </row>
    <row r="6664" spans="1:4" x14ac:dyDescent="0.2">
      <c r="A6664" s="19" t="s">
        <v>180</v>
      </c>
      <c r="B6664" s="19">
        <v>447.85999999999996</v>
      </c>
      <c r="C6664" s="19">
        <v>7</v>
      </c>
      <c r="D6664" s="19">
        <v>210.49419999999998</v>
      </c>
    </row>
    <row r="6665" spans="1:4" x14ac:dyDescent="0.2">
      <c r="A6665" s="19" t="s">
        <v>166</v>
      </c>
      <c r="B6665" s="19">
        <v>356.85</v>
      </c>
      <c r="C6665" s="19">
        <v>5</v>
      </c>
      <c r="D6665" s="19">
        <v>60.664499999999961</v>
      </c>
    </row>
    <row r="6666" spans="1:4" x14ac:dyDescent="0.2">
      <c r="A6666" s="19" t="s">
        <v>166</v>
      </c>
      <c r="B6666" s="19">
        <v>251.57999999999998</v>
      </c>
      <c r="C6666" s="19">
        <v>7</v>
      </c>
      <c r="D6666" s="19">
        <v>113.21099999999998</v>
      </c>
    </row>
    <row r="6667" spans="1:4" x14ac:dyDescent="0.2">
      <c r="A6667" s="19" t="s">
        <v>154</v>
      </c>
      <c r="B6667" s="19">
        <v>219.84000000000003</v>
      </c>
      <c r="C6667" s="19">
        <v>5</v>
      </c>
      <c r="D6667" s="19">
        <v>79.691999999999979</v>
      </c>
    </row>
    <row r="6668" spans="1:4" x14ac:dyDescent="0.2">
      <c r="A6668" s="19" t="s">
        <v>179</v>
      </c>
      <c r="B6668" s="19">
        <v>42.85</v>
      </c>
      <c r="C6668" s="19">
        <v>5</v>
      </c>
      <c r="D6668" s="19">
        <v>15.426000000000002</v>
      </c>
    </row>
    <row r="6669" spans="1:4" x14ac:dyDescent="0.2">
      <c r="A6669" s="19" t="s">
        <v>179</v>
      </c>
      <c r="B6669" s="19">
        <v>6.16</v>
      </c>
      <c r="C6669" s="19">
        <v>2</v>
      </c>
      <c r="D6669" s="19">
        <v>2.9567999999999999</v>
      </c>
    </row>
    <row r="6670" spans="1:4" x14ac:dyDescent="0.2">
      <c r="A6670" s="19" t="s">
        <v>179</v>
      </c>
      <c r="B6670" s="19">
        <v>17</v>
      </c>
      <c r="C6670" s="19">
        <v>2</v>
      </c>
      <c r="D6670" s="19">
        <v>4.42</v>
      </c>
    </row>
    <row r="6671" spans="1:4" x14ac:dyDescent="0.2">
      <c r="A6671" s="19" t="s">
        <v>179</v>
      </c>
      <c r="B6671" s="19">
        <v>87.4</v>
      </c>
      <c r="C6671" s="19">
        <v>5</v>
      </c>
      <c r="D6671" s="19">
        <v>34.960000000000008</v>
      </c>
    </row>
    <row r="6672" spans="1:4" x14ac:dyDescent="0.2">
      <c r="A6672" s="19" t="s">
        <v>101</v>
      </c>
      <c r="B6672" s="19">
        <v>29.84</v>
      </c>
      <c r="C6672" s="19">
        <v>2</v>
      </c>
      <c r="D6672" s="19">
        <v>13.427999999999997</v>
      </c>
    </row>
    <row r="6673" spans="1:4" x14ac:dyDescent="0.2">
      <c r="A6673" s="19" t="s">
        <v>150</v>
      </c>
      <c r="B6673" s="19">
        <v>49.568000000000005</v>
      </c>
      <c r="C6673" s="19">
        <v>2</v>
      </c>
      <c r="D6673" s="19">
        <v>17.348799999999997</v>
      </c>
    </row>
    <row r="6674" spans="1:4" x14ac:dyDescent="0.2">
      <c r="A6674" s="19" t="s">
        <v>150</v>
      </c>
      <c r="B6674" s="19">
        <v>265.85999999999996</v>
      </c>
      <c r="C6674" s="19">
        <v>7</v>
      </c>
      <c r="D6674" s="19">
        <v>79.757999999999967</v>
      </c>
    </row>
    <row r="6675" spans="1:4" x14ac:dyDescent="0.2">
      <c r="A6675" s="19" t="s">
        <v>166</v>
      </c>
      <c r="B6675" s="19">
        <v>67.959999999999994</v>
      </c>
      <c r="C6675" s="19">
        <v>4</v>
      </c>
      <c r="D6675" s="19">
        <v>12.232799999999997</v>
      </c>
    </row>
    <row r="6676" spans="1:4" x14ac:dyDescent="0.2">
      <c r="A6676" s="19" t="s">
        <v>163</v>
      </c>
      <c r="B6676" s="19">
        <v>10.92</v>
      </c>
      <c r="C6676" s="19">
        <v>6</v>
      </c>
      <c r="D6676" s="19">
        <v>4.9139999999999997</v>
      </c>
    </row>
    <row r="6677" spans="1:4" x14ac:dyDescent="0.2">
      <c r="A6677" s="19" t="s">
        <v>163</v>
      </c>
      <c r="B6677" s="19">
        <v>83.9</v>
      </c>
      <c r="C6677" s="19">
        <v>2</v>
      </c>
      <c r="D6677" s="19">
        <v>22.653000000000006</v>
      </c>
    </row>
    <row r="6678" spans="1:4" x14ac:dyDescent="0.2">
      <c r="A6678" s="19" t="s">
        <v>163</v>
      </c>
      <c r="B6678" s="19">
        <v>19.75</v>
      </c>
      <c r="C6678" s="19">
        <v>5</v>
      </c>
      <c r="D6678" s="19">
        <v>5.1350000000000007</v>
      </c>
    </row>
    <row r="6679" spans="1:4" x14ac:dyDescent="0.2">
      <c r="A6679" s="19" t="s">
        <v>163</v>
      </c>
      <c r="B6679" s="19">
        <v>393.54</v>
      </c>
      <c r="C6679" s="19">
        <v>3</v>
      </c>
      <c r="D6679" s="19">
        <v>165.28680000000003</v>
      </c>
    </row>
    <row r="6680" spans="1:4" x14ac:dyDescent="0.2">
      <c r="A6680" s="19" t="s">
        <v>165</v>
      </c>
      <c r="B6680" s="19">
        <v>46.872</v>
      </c>
      <c r="C6680" s="19">
        <v>7</v>
      </c>
      <c r="D6680" s="19">
        <v>3.5153999999999979</v>
      </c>
    </row>
    <row r="6681" spans="1:4" x14ac:dyDescent="0.2">
      <c r="A6681" s="19" t="s">
        <v>178</v>
      </c>
      <c r="B6681" s="19">
        <v>10.9</v>
      </c>
      <c r="C6681" s="19">
        <v>1</v>
      </c>
      <c r="D6681" s="19">
        <v>2.8339999999999996</v>
      </c>
    </row>
    <row r="6682" spans="1:4" x14ac:dyDescent="0.2">
      <c r="A6682" s="19" t="s">
        <v>178</v>
      </c>
      <c r="B6682" s="19">
        <v>79.92</v>
      </c>
      <c r="C6682" s="19">
        <v>4</v>
      </c>
      <c r="D6682" s="19">
        <v>37.562399999999997</v>
      </c>
    </row>
    <row r="6683" spans="1:4" x14ac:dyDescent="0.2">
      <c r="A6683" s="19" t="s">
        <v>178</v>
      </c>
      <c r="B6683" s="19">
        <v>146.82</v>
      </c>
      <c r="C6683" s="19">
        <v>3</v>
      </c>
      <c r="D6683" s="19">
        <v>73.41</v>
      </c>
    </row>
    <row r="6684" spans="1:4" x14ac:dyDescent="0.2">
      <c r="A6684" s="19" t="s">
        <v>155</v>
      </c>
      <c r="B6684" s="19">
        <v>3.6</v>
      </c>
      <c r="C6684" s="19">
        <v>2</v>
      </c>
      <c r="D6684" s="19">
        <v>1.728</v>
      </c>
    </row>
    <row r="6685" spans="1:4" x14ac:dyDescent="0.2">
      <c r="A6685" s="19" t="s">
        <v>150</v>
      </c>
      <c r="B6685" s="19">
        <v>20.04</v>
      </c>
      <c r="C6685" s="19">
        <v>6</v>
      </c>
      <c r="D6685" s="19">
        <v>8.8176000000000023</v>
      </c>
    </row>
    <row r="6686" spans="1:4" x14ac:dyDescent="0.2">
      <c r="A6686" s="19" t="s">
        <v>159</v>
      </c>
      <c r="B6686" s="19">
        <v>180.01600000000002</v>
      </c>
      <c r="C6686" s="19">
        <v>1</v>
      </c>
      <c r="D6686" s="19">
        <v>-15.751400000000004</v>
      </c>
    </row>
    <row r="6687" spans="1:4" x14ac:dyDescent="0.2">
      <c r="A6687" s="19" t="s">
        <v>159</v>
      </c>
      <c r="B6687" s="19">
        <v>41.552</v>
      </c>
      <c r="C6687" s="19">
        <v>2</v>
      </c>
      <c r="D6687" s="19">
        <v>-19.737199999999994</v>
      </c>
    </row>
    <row r="6688" spans="1:4" x14ac:dyDescent="0.2">
      <c r="A6688" s="19" t="s">
        <v>159</v>
      </c>
      <c r="B6688" s="19">
        <v>13.120000000000001</v>
      </c>
      <c r="C6688" s="19">
        <v>5</v>
      </c>
      <c r="D6688" s="19">
        <v>1.4759999999999982</v>
      </c>
    </row>
    <row r="6689" spans="1:4" x14ac:dyDescent="0.2">
      <c r="A6689" s="19" t="s">
        <v>150</v>
      </c>
      <c r="B6689" s="19">
        <v>1117.92</v>
      </c>
      <c r="C6689" s="19">
        <v>4</v>
      </c>
      <c r="D6689" s="19">
        <v>55.895999999999958</v>
      </c>
    </row>
    <row r="6690" spans="1:4" x14ac:dyDescent="0.2">
      <c r="A6690" s="19" t="s">
        <v>150</v>
      </c>
      <c r="B6690" s="19">
        <v>111.96</v>
      </c>
      <c r="C6690" s="19">
        <v>4</v>
      </c>
      <c r="D6690" s="19">
        <v>21.27239999999999</v>
      </c>
    </row>
    <row r="6691" spans="1:4" x14ac:dyDescent="0.2">
      <c r="A6691" s="19" t="s">
        <v>154</v>
      </c>
      <c r="B6691" s="19">
        <v>12.160000000000002</v>
      </c>
      <c r="C6691" s="19">
        <v>5</v>
      </c>
      <c r="D6691" s="19">
        <v>2.1279999999999988</v>
      </c>
    </row>
    <row r="6692" spans="1:4" x14ac:dyDescent="0.2">
      <c r="A6692" s="19" t="s">
        <v>155</v>
      </c>
      <c r="B6692" s="19">
        <v>17.52</v>
      </c>
      <c r="C6692" s="19">
        <v>4</v>
      </c>
      <c r="D6692" s="19">
        <v>8.4095999999999993</v>
      </c>
    </row>
    <row r="6693" spans="1:4" x14ac:dyDescent="0.2">
      <c r="A6693" s="19" t="s">
        <v>155</v>
      </c>
      <c r="B6693" s="19">
        <v>155.88</v>
      </c>
      <c r="C6693" s="19">
        <v>6</v>
      </c>
      <c r="D6693" s="19">
        <v>54.558</v>
      </c>
    </row>
    <row r="6694" spans="1:4" x14ac:dyDescent="0.2">
      <c r="A6694" s="19" t="s">
        <v>177</v>
      </c>
      <c r="B6694" s="19">
        <v>477.51</v>
      </c>
      <c r="C6694" s="19">
        <v>11</v>
      </c>
      <c r="D6694" s="19">
        <v>219.65459999999999</v>
      </c>
    </row>
    <row r="6695" spans="1:4" x14ac:dyDescent="0.2">
      <c r="A6695" s="19" t="s">
        <v>187</v>
      </c>
      <c r="B6695" s="19">
        <v>164.88</v>
      </c>
      <c r="C6695" s="19">
        <v>3</v>
      </c>
      <c r="D6695" s="19">
        <v>80.791200000000003</v>
      </c>
    </row>
    <row r="6696" spans="1:4" x14ac:dyDescent="0.2">
      <c r="A6696" s="19" t="s">
        <v>155</v>
      </c>
      <c r="B6696" s="19">
        <v>47.97</v>
      </c>
      <c r="C6696" s="19">
        <v>3</v>
      </c>
      <c r="D6696" s="19">
        <v>14.870699999999998</v>
      </c>
    </row>
    <row r="6697" spans="1:4" x14ac:dyDescent="0.2">
      <c r="A6697" s="19" t="s">
        <v>164</v>
      </c>
      <c r="B6697" s="19">
        <v>415.17600000000004</v>
      </c>
      <c r="C6697" s="19">
        <v>3</v>
      </c>
      <c r="D6697" s="19">
        <v>134.93219999999999</v>
      </c>
    </row>
    <row r="6698" spans="1:4" x14ac:dyDescent="0.2">
      <c r="A6698" s="19" t="s">
        <v>164</v>
      </c>
      <c r="B6698" s="19">
        <v>35.231999999999999</v>
      </c>
      <c r="C6698" s="19">
        <v>3</v>
      </c>
      <c r="D6698" s="19">
        <v>11.450399999999998</v>
      </c>
    </row>
    <row r="6699" spans="1:4" x14ac:dyDescent="0.2">
      <c r="A6699" s="19" t="s">
        <v>164</v>
      </c>
      <c r="B6699" s="19">
        <v>54.96</v>
      </c>
      <c r="C6699" s="19">
        <v>1</v>
      </c>
      <c r="D6699" s="19">
        <v>26.930399999999999</v>
      </c>
    </row>
    <row r="6700" spans="1:4" x14ac:dyDescent="0.2">
      <c r="A6700" s="19" t="s">
        <v>150</v>
      </c>
      <c r="B6700" s="19">
        <v>16.34</v>
      </c>
      <c r="C6700" s="19">
        <v>2</v>
      </c>
      <c r="D6700" s="19">
        <v>7.6798000000000002</v>
      </c>
    </row>
    <row r="6701" spans="1:4" x14ac:dyDescent="0.2">
      <c r="A6701" s="19" t="s">
        <v>150</v>
      </c>
      <c r="B6701" s="19">
        <v>225.29600000000002</v>
      </c>
      <c r="C6701" s="19">
        <v>2</v>
      </c>
      <c r="D6701" s="19">
        <v>22.529599999999995</v>
      </c>
    </row>
    <row r="6702" spans="1:4" x14ac:dyDescent="0.2">
      <c r="A6702" s="19" t="s">
        <v>150</v>
      </c>
      <c r="B6702" s="19">
        <v>50.352000000000004</v>
      </c>
      <c r="C6702" s="19">
        <v>3</v>
      </c>
      <c r="D6702" s="19">
        <v>17.623199999999997</v>
      </c>
    </row>
    <row r="6703" spans="1:4" x14ac:dyDescent="0.2">
      <c r="A6703" s="19" t="s">
        <v>152</v>
      </c>
      <c r="B6703" s="19">
        <v>163.136</v>
      </c>
      <c r="C6703" s="19">
        <v>4</v>
      </c>
      <c r="D6703" s="19">
        <v>20.391999999999989</v>
      </c>
    </row>
    <row r="6704" spans="1:4" x14ac:dyDescent="0.2">
      <c r="A6704" s="19" t="s">
        <v>152</v>
      </c>
      <c r="B6704" s="19">
        <v>6.4080000000000004</v>
      </c>
      <c r="C6704" s="19">
        <v>4</v>
      </c>
      <c r="D6704" s="19">
        <v>-4.9127999999999989</v>
      </c>
    </row>
    <row r="6705" spans="1:4" x14ac:dyDescent="0.2">
      <c r="A6705" s="19" t="s">
        <v>150</v>
      </c>
      <c r="B6705" s="19">
        <v>217.58400000000003</v>
      </c>
      <c r="C6705" s="19">
        <v>2</v>
      </c>
      <c r="D6705" s="19">
        <v>19.03860000000001</v>
      </c>
    </row>
    <row r="6706" spans="1:4" x14ac:dyDescent="0.2">
      <c r="A6706" s="19" t="s">
        <v>150</v>
      </c>
      <c r="B6706" s="19">
        <v>5.43</v>
      </c>
      <c r="C6706" s="19">
        <v>3</v>
      </c>
      <c r="D6706" s="19">
        <v>1.7918999999999998</v>
      </c>
    </row>
    <row r="6707" spans="1:4" x14ac:dyDescent="0.2">
      <c r="A6707" s="19" t="s">
        <v>150</v>
      </c>
      <c r="B6707" s="19">
        <v>143.976</v>
      </c>
      <c r="C6707" s="19">
        <v>3</v>
      </c>
      <c r="D6707" s="19">
        <v>8.998500000000007</v>
      </c>
    </row>
    <row r="6708" spans="1:4" x14ac:dyDescent="0.2">
      <c r="A6708" s="19" t="s">
        <v>151</v>
      </c>
      <c r="B6708" s="19">
        <v>519.67999999999995</v>
      </c>
      <c r="C6708" s="19">
        <v>7</v>
      </c>
      <c r="D6708" s="19">
        <v>58.46399999999997</v>
      </c>
    </row>
    <row r="6709" spans="1:4" x14ac:dyDescent="0.2">
      <c r="A6709" s="19" t="s">
        <v>187</v>
      </c>
      <c r="B6709" s="19">
        <v>7.83</v>
      </c>
      <c r="C6709" s="19">
        <v>3</v>
      </c>
      <c r="D6709" s="19">
        <v>3.6017999999999999</v>
      </c>
    </row>
    <row r="6710" spans="1:4" x14ac:dyDescent="0.2">
      <c r="A6710" s="19" t="s">
        <v>176</v>
      </c>
      <c r="B6710" s="19">
        <v>883.84</v>
      </c>
      <c r="C6710" s="19">
        <v>4</v>
      </c>
      <c r="D6710" s="19">
        <v>99.431999999999931</v>
      </c>
    </row>
    <row r="6711" spans="1:4" x14ac:dyDescent="0.2">
      <c r="A6711" s="19" t="s">
        <v>176</v>
      </c>
      <c r="B6711" s="19">
        <v>230.35200000000003</v>
      </c>
      <c r="C6711" s="19">
        <v>3</v>
      </c>
      <c r="D6711" s="19">
        <v>20.155800000000013</v>
      </c>
    </row>
    <row r="6712" spans="1:4" x14ac:dyDescent="0.2">
      <c r="A6712" s="19" t="s">
        <v>150</v>
      </c>
      <c r="B6712" s="19">
        <v>273.92</v>
      </c>
      <c r="C6712" s="19">
        <v>8</v>
      </c>
      <c r="D6712" s="19">
        <v>99.295999999999978</v>
      </c>
    </row>
    <row r="6713" spans="1:4" x14ac:dyDescent="0.2">
      <c r="A6713" s="19" t="s">
        <v>173</v>
      </c>
      <c r="B6713" s="19">
        <v>9.9120000000000008</v>
      </c>
      <c r="C6713" s="19">
        <v>3</v>
      </c>
      <c r="D6713" s="19">
        <v>1.2389999999999994</v>
      </c>
    </row>
    <row r="6714" spans="1:4" x14ac:dyDescent="0.2">
      <c r="A6714" s="19" t="s">
        <v>159</v>
      </c>
      <c r="B6714" s="19">
        <v>266.35200000000003</v>
      </c>
      <c r="C6714" s="19">
        <v>6</v>
      </c>
      <c r="D6714" s="19">
        <v>-292.98719999999997</v>
      </c>
    </row>
    <row r="6715" spans="1:4" x14ac:dyDescent="0.2">
      <c r="A6715" s="19" t="s">
        <v>159</v>
      </c>
      <c r="B6715" s="19">
        <v>56.328000000000003</v>
      </c>
      <c r="C6715" s="19">
        <v>3</v>
      </c>
      <c r="D6715" s="19">
        <v>-26.755799999999994</v>
      </c>
    </row>
    <row r="6716" spans="1:4" x14ac:dyDescent="0.2">
      <c r="A6716" s="19" t="s">
        <v>159</v>
      </c>
      <c r="B6716" s="19">
        <v>39.264000000000003</v>
      </c>
      <c r="C6716" s="19">
        <v>3</v>
      </c>
      <c r="D6716" s="19">
        <v>-4.908000000000003</v>
      </c>
    </row>
    <row r="6717" spans="1:4" x14ac:dyDescent="0.2">
      <c r="A6717" s="19" t="s">
        <v>159</v>
      </c>
      <c r="B6717" s="19">
        <v>95.231999999999999</v>
      </c>
      <c r="C6717" s="19">
        <v>6</v>
      </c>
      <c r="D6717" s="19">
        <v>24.998400000000011</v>
      </c>
    </row>
    <row r="6718" spans="1:4" x14ac:dyDescent="0.2">
      <c r="A6718" s="19" t="s">
        <v>184</v>
      </c>
      <c r="B6718" s="19">
        <v>30</v>
      </c>
      <c r="C6718" s="19">
        <v>6</v>
      </c>
      <c r="D6718" s="19">
        <v>14.399999999999999</v>
      </c>
    </row>
    <row r="6719" spans="1:4" x14ac:dyDescent="0.2">
      <c r="A6719" s="19" t="s">
        <v>184</v>
      </c>
      <c r="B6719" s="19">
        <v>25.92</v>
      </c>
      <c r="C6719" s="19">
        <v>4</v>
      </c>
      <c r="D6719" s="19">
        <v>12.700800000000001</v>
      </c>
    </row>
    <row r="6720" spans="1:4" x14ac:dyDescent="0.2">
      <c r="A6720" s="19" t="s">
        <v>184</v>
      </c>
      <c r="B6720" s="19">
        <v>159.91999999999999</v>
      </c>
      <c r="C6720" s="19">
        <v>4</v>
      </c>
      <c r="D6720" s="19">
        <v>31.983999999999995</v>
      </c>
    </row>
    <row r="6721" spans="1:4" x14ac:dyDescent="0.2">
      <c r="A6721" s="19" t="s">
        <v>152</v>
      </c>
      <c r="B6721" s="19">
        <v>34.944000000000003</v>
      </c>
      <c r="C6721" s="19">
        <v>3</v>
      </c>
      <c r="D6721" s="19">
        <v>3.0576000000000008</v>
      </c>
    </row>
    <row r="6722" spans="1:4" x14ac:dyDescent="0.2">
      <c r="A6722" s="19" t="s">
        <v>150</v>
      </c>
      <c r="B6722" s="19">
        <v>149.94999999999999</v>
      </c>
      <c r="C6722" s="19">
        <v>5</v>
      </c>
      <c r="D6722" s="19">
        <v>31.489499999999992</v>
      </c>
    </row>
    <row r="6723" spans="1:4" x14ac:dyDescent="0.2">
      <c r="A6723" s="19" t="s">
        <v>150</v>
      </c>
      <c r="B6723" s="19">
        <v>23.32</v>
      </c>
      <c r="C6723" s="19">
        <v>2</v>
      </c>
      <c r="D6723" s="19">
        <v>6.0632000000000019</v>
      </c>
    </row>
    <row r="6724" spans="1:4" x14ac:dyDescent="0.2">
      <c r="A6724" s="19" t="s">
        <v>150</v>
      </c>
      <c r="B6724" s="19">
        <v>16.740000000000002</v>
      </c>
      <c r="C6724" s="19">
        <v>3</v>
      </c>
      <c r="D6724" s="19">
        <v>4.8545999999999978</v>
      </c>
    </row>
    <row r="6725" spans="1:4" x14ac:dyDescent="0.2">
      <c r="A6725" s="19" t="s">
        <v>186</v>
      </c>
      <c r="B6725" s="19">
        <v>14.82</v>
      </c>
      <c r="C6725" s="19">
        <v>6</v>
      </c>
      <c r="D6725" s="19">
        <v>6.9654000000000007</v>
      </c>
    </row>
    <row r="6726" spans="1:4" x14ac:dyDescent="0.2">
      <c r="A6726" s="19" t="s">
        <v>153</v>
      </c>
      <c r="B6726" s="19">
        <v>10.47</v>
      </c>
      <c r="C6726" s="19">
        <v>3</v>
      </c>
      <c r="D6726" s="19">
        <v>4.8162000000000003</v>
      </c>
    </row>
    <row r="6727" spans="1:4" x14ac:dyDescent="0.2">
      <c r="A6727" s="19" t="s">
        <v>153</v>
      </c>
      <c r="B6727" s="19">
        <v>11.07</v>
      </c>
      <c r="C6727" s="19">
        <v>3</v>
      </c>
      <c r="D6727" s="19">
        <v>5.2028999999999996</v>
      </c>
    </row>
    <row r="6728" spans="1:4" x14ac:dyDescent="0.2">
      <c r="A6728" s="19" t="s">
        <v>153</v>
      </c>
      <c r="B6728" s="19">
        <v>20.704000000000001</v>
      </c>
      <c r="C6728" s="19">
        <v>4</v>
      </c>
      <c r="D6728" s="19">
        <v>7.7639999999999993</v>
      </c>
    </row>
    <row r="6729" spans="1:4" x14ac:dyDescent="0.2">
      <c r="A6729" s="19" t="s">
        <v>163</v>
      </c>
      <c r="B6729" s="19">
        <v>177.2</v>
      </c>
      <c r="C6729" s="19">
        <v>5</v>
      </c>
      <c r="D6729" s="19">
        <v>83.283999999999992</v>
      </c>
    </row>
    <row r="6730" spans="1:4" x14ac:dyDescent="0.2">
      <c r="A6730" s="19" t="s">
        <v>151</v>
      </c>
      <c r="B6730" s="19">
        <v>50.496000000000002</v>
      </c>
      <c r="C6730" s="19">
        <v>6</v>
      </c>
      <c r="D6730" s="19">
        <v>8.2055999999999987</v>
      </c>
    </row>
    <row r="6731" spans="1:4" x14ac:dyDescent="0.2">
      <c r="A6731" s="19" t="s">
        <v>167</v>
      </c>
      <c r="B6731" s="19">
        <v>6.1290000000000004</v>
      </c>
      <c r="C6731" s="19">
        <v>3</v>
      </c>
      <c r="D6731" s="19">
        <v>-4.4945999999999984</v>
      </c>
    </row>
    <row r="6732" spans="1:4" x14ac:dyDescent="0.2">
      <c r="A6732" s="19" t="s">
        <v>167</v>
      </c>
      <c r="B6732" s="19">
        <v>643.13599999999997</v>
      </c>
      <c r="C6732" s="19">
        <v>4</v>
      </c>
      <c r="D6732" s="19">
        <v>56.274400000000014</v>
      </c>
    </row>
    <row r="6733" spans="1:4" x14ac:dyDescent="0.2">
      <c r="A6733" s="19" t="s">
        <v>167</v>
      </c>
      <c r="B6733" s="19">
        <v>20.736000000000004</v>
      </c>
      <c r="C6733" s="19">
        <v>4</v>
      </c>
      <c r="D6733" s="19">
        <v>7.2576000000000001</v>
      </c>
    </row>
    <row r="6734" spans="1:4" x14ac:dyDescent="0.2">
      <c r="A6734" s="19" t="s">
        <v>171</v>
      </c>
      <c r="B6734" s="19">
        <v>177.536</v>
      </c>
      <c r="C6734" s="19">
        <v>4</v>
      </c>
      <c r="D6734" s="19">
        <v>62.137599999999992</v>
      </c>
    </row>
    <row r="6735" spans="1:4" x14ac:dyDescent="0.2">
      <c r="A6735" s="19" t="s">
        <v>171</v>
      </c>
      <c r="B6735" s="19">
        <v>32.432000000000002</v>
      </c>
      <c r="C6735" s="19">
        <v>2</v>
      </c>
      <c r="D6735" s="19">
        <v>3.2432000000000016</v>
      </c>
    </row>
    <row r="6736" spans="1:4" x14ac:dyDescent="0.2">
      <c r="A6736" s="19" t="s">
        <v>151</v>
      </c>
      <c r="B6736" s="19">
        <v>11.696</v>
      </c>
      <c r="C6736" s="19">
        <v>2</v>
      </c>
      <c r="D6736" s="19">
        <v>3.9473999999999996</v>
      </c>
    </row>
    <row r="6737" spans="1:4" x14ac:dyDescent="0.2">
      <c r="A6737" s="19" t="s">
        <v>150</v>
      </c>
      <c r="B6737" s="19">
        <v>113.76</v>
      </c>
      <c r="C6737" s="19">
        <v>3</v>
      </c>
      <c r="D6737" s="19">
        <v>44.366400000000006</v>
      </c>
    </row>
    <row r="6738" spans="1:4" x14ac:dyDescent="0.2">
      <c r="A6738" s="19" t="s">
        <v>150</v>
      </c>
      <c r="B6738" s="19">
        <v>579.51</v>
      </c>
      <c r="C6738" s="19">
        <v>3</v>
      </c>
      <c r="D6738" s="19">
        <v>81.131400000000014</v>
      </c>
    </row>
    <row r="6739" spans="1:4" x14ac:dyDescent="0.2">
      <c r="A6739" s="19" t="s">
        <v>150</v>
      </c>
      <c r="B6739" s="19">
        <v>150.66</v>
      </c>
      <c r="C6739" s="19">
        <v>9</v>
      </c>
      <c r="D6739" s="19">
        <v>6.0263999999999918</v>
      </c>
    </row>
    <row r="6740" spans="1:4" x14ac:dyDescent="0.2">
      <c r="A6740" s="19" t="s">
        <v>150</v>
      </c>
      <c r="B6740" s="19">
        <v>48.032000000000004</v>
      </c>
      <c r="C6740" s="19">
        <v>4</v>
      </c>
      <c r="D6740" s="19">
        <v>15.610399999999993</v>
      </c>
    </row>
    <row r="6741" spans="1:4" x14ac:dyDescent="0.2">
      <c r="A6741" s="19" t="s">
        <v>159</v>
      </c>
      <c r="B6741" s="19">
        <v>102.624</v>
      </c>
      <c r="C6741" s="19">
        <v>3</v>
      </c>
      <c r="D6741" s="19">
        <v>7.6968000000000032</v>
      </c>
    </row>
    <row r="6742" spans="1:4" x14ac:dyDescent="0.2">
      <c r="A6742" s="19" t="s">
        <v>159</v>
      </c>
      <c r="B6742" s="19">
        <v>359.77199999999999</v>
      </c>
      <c r="C6742" s="19">
        <v>2</v>
      </c>
      <c r="D6742" s="19">
        <v>-5.1396000000000583</v>
      </c>
    </row>
    <row r="6743" spans="1:4" x14ac:dyDescent="0.2">
      <c r="A6743" s="19" t="s">
        <v>159</v>
      </c>
      <c r="B6743" s="19">
        <v>13.392000000000001</v>
      </c>
      <c r="C6743" s="19">
        <v>3</v>
      </c>
      <c r="D6743" s="19">
        <v>3.1806000000000005</v>
      </c>
    </row>
    <row r="6744" spans="1:4" x14ac:dyDescent="0.2">
      <c r="A6744" s="19" t="s">
        <v>150</v>
      </c>
      <c r="B6744" s="19">
        <v>122.13600000000001</v>
      </c>
      <c r="C6744" s="19">
        <v>3</v>
      </c>
      <c r="D6744" s="19">
        <v>-13.740299999999994</v>
      </c>
    </row>
    <row r="6745" spans="1:4" x14ac:dyDescent="0.2">
      <c r="A6745" s="19" t="s">
        <v>186</v>
      </c>
      <c r="B6745" s="19">
        <v>35.880000000000003</v>
      </c>
      <c r="C6745" s="19">
        <v>6</v>
      </c>
      <c r="D6745" s="19">
        <v>16.146000000000001</v>
      </c>
    </row>
    <row r="6746" spans="1:4" x14ac:dyDescent="0.2">
      <c r="A6746" s="19" t="s">
        <v>173</v>
      </c>
      <c r="B6746" s="19">
        <v>479.952</v>
      </c>
      <c r="C6746" s="19">
        <v>6</v>
      </c>
      <c r="D6746" s="19">
        <v>107.98920000000001</v>
      </c>
    </row>
    <row r="6747" spans="1:4" x14ac:dyDescent="0.2">
      <c r="A6747" s="19" t="s">
        <v>173</v>
      </c>
      <c r="B6747" s="19">
        <v>23.92</v>
      </c>
      <c r="C6747" s="19">
        <v>5</v>
      </c>
      <c r="D6747" s="19">
        <v>1.7940000000000005</v>
      </c>
    </row>
    <row r="6748" spans="1:4" x14ac:dyDescent="0.2">
      <c r="A6748" s="19" t="s">
        <v>164</v>
      </c>
      <c r="B6748" s="19">
        <v>629.94999999999993</v>
      </c>
      <c r="C6748" s="19">
        <v>5</v>
      </c>
      <c r="D6748" s="19">
        <v>163.78700000000003</v>
      </c>
    </row>
    <row r="6749" spans="1:4" x14ac:dyDescent="0.2">
      <c r="A6749" s="19" t="s">
        <v>164</v>
      </c>
      <c r="B6749" s="19">
        <v>14.952000000000002</v>
      </c>
      <c r="C6749" s="19">
        <v>1</v>
      </c>
      <c r="D6749" s="19">
        <v>5.0462999999999996</v>
      </c>
    </row>
    <row r="6750" spans="1:4" x14ac:dyDescent="0.2">
      <c r="A6750" s="19" t="s">
        <v>164</v>
      </c>
      <c r="B6750" s="19">
        <v>17.940000000000001</v>
      </c>
      <c r="C6750" s="19">
        <v>3</v>
      </c>
      <c r="D6750" s="19">
        <v>8.0730000000000004</v>
      </c>
    </row>
    <row r="6751" spans="1:4" x14ac:dyDescent="0.2">
      <c r="A6751" s="19" t="s">
        <v>164</v>
      </c>
      <c r="B6751" s="19">
        <v>116.98</v>
      </c>
      <c r="C6751" s="19">
        <v>2</v>
      </c>
      <c r="D6751" s="19">
        <v>29.245000000000005</v>
      </c>
    </row>
    <row r="6752" spans="1:4" x14ac:dyDescent="0.2">
      <c r="A6752" s="19" t="s">
        <v>179</v>
      </c>
      <c r="B6752" s="19">
        <v>121.96</v>
      </c>
      <c r="C6752" s="19">
        <v>2</v>
      </c>
      <c r="D6752" s="19">
        <v>20.733199999999997</v>
      </c>
    </row>
    <row r="6753" spans="1:4" x14ac:dyDescent="0.2">
      <c r="A6753" s="19" t="s">
        <v>179</v>
      </c>
      <c r="B6753" s="19">
        <v>8.74</v>
      </c>
      <c r="C6753" s="19">
        <v>2</v>
      </c>
      <c r="D6753" s="19">
        <v>2.2724000000000002</v>
      </c>
    </row>
    <row r="6754" spans="1:4" x14ac:dyDescent="0.2">
      <c r="A6754" s="19" t="s">
        <v>179</v>
      </c>
      <c r="B6754" s="19">
        <v>61.96</v>
      </c>
      <c r="C6754" s="19">
        <v>2</v>
      </c>
      <c r="D6754" s="19">
        <v>27.881999999999998</v>
      </c>
    </row>
    <row r="6755" spans="1:4" x14ac:dyDescent="0.2">
      <c r="A6755" s="19" t="s">
        <v>179</v>
      </c>
      <c r="B6755" s="19">
        <v>7.96</v>
      </c>
      <c r="C6755" s="19">
        <v>2</v>
      </c>
      <c r="D6755" s="19">
        <v>3.7412000000000001</v>
      </c>
    </row>
    <row r="6756" spans="1:4" x14ac:dyDescent="0.2">
      <c r="A6756" s="19" t="s">
        <v>179</v>
      </c>
      <c r="B6756" s="19">
        <v>275.24</v>
      </c>
      <c r="C6756" s="19">
        <v>4</v>
      </c>
      <c r="D6756" s="19">
        <v>121.10560000000001</v>
      </c>
    </row>
    <row r="6757" spans="1:4" x14ac:dyDescent="0.2">
      <c r="A6757" s="19" t="s">
        <v>179</v>
      </c>
      <c r="B6757" s="19">
        <v>47.400000000000006</v>
      </c>
      <c r="C6757" s="19">
        <v>5</v>
      </c>
      <c r="D6757" s="19">
        <v>18.960000000000004</v>
      </c>
    </row>
    <row r="6758" spans="1:4" x14ac:dyDescent="0.2">
      <c r="A6758" s="19" t="s">
        <v>179</v>
      </c>
      <c r="B6758" s="19">
        <v>512.96</v>
      </c>
      <c r="C6758" s="19">
        <v>4</v>
      </c>
      <c r="D6758" s="19">
        <v>143.62880000000001</v>
      </c>
    </row>
    <row r="6759" spans="1:4" x14ac:dyDescent="0.2">
      <c r="A6759" s="19" t="s">
        <v>179</v>
      </c>
      <c r="B6759" s="19">
        <v>395.93999999999994</v>
      </c>
      <c r="C6759" s="19">
        <v>6</v>
      </c>
      <c r="D6759" s="19">
        <v>102.94440000000002</v>
      </c>
    </row>
    <row r="6760" spans="1:4" x14ac:dyDescent="0.2">
      <c r="A6760" s="19" t="s">
        <v>179</v>
      </c>
      <c r="B6760" s="19">
        <v>81.96</v>
      </c>
      <c r="C6760" s="19">
        <v>2</v>
      </c>
      <c r="D6760" s="19">
        <v>0</v>
      </c>
    </row>
    <row r="6761" spans="1:4" x14ac:dyDescent="0.2">
      <c r="A6761" s="19" t="s">
        <v>152</v>
      </c>
      <c r="B6761" s="19">
        <v>32.776000000000003</v>
      </c>
      <c r="C6761" s="19">
        <v>1</v>
      </c>
      <c r="D6761" s="19">
        <v>2.4581999999999997</v>
      </c>
    </row>
    <row r="6762" spans="1:4" x14ac:dyDescent="0.2">
      <c r="A6762" s="19" t="s">
        <v>164</v>
      </c>
      <c r="B6762" s="19">
        <v>272.94</v>
      </c>
      <c r="C6762" s="19">
        <v>3</v>
      </c>
      <c r="D6762" s="19">
        <v>0</v>
      </c>
    </row>
    <row r="6763" spans="1:4" x14ac:dyDescent="0.2">
      <c r="A6763" s="19" t="s">
        <v>164</v>
      </c>
      <c r="B6763" s="19">
        <v>253.76399999999998</v>
      </c>
      <c r="C6763" s="19">
        <v>2</v>
      </c>
      <c r="D6763" s="19">
        <v>31.015599999999978</v>
      </c>
    </row>
    <row r="6764" spans="1:4" x14ac:dyDescent="0.2">
      <c r="A6764" s="19" t="s">
        <v>159</v>
      </c>
      <c r="B6764" s="19">
        <v>29.24</v>
      </c>
      <c r="C6764" s="19">
        <v>5</v>
      </c>
      <c r="D6764" s="19">
        <v>9.8685000000000009</v>
      </c>
    </row>
    <row r="6765" spans="1:4" x14ac:dyDescent="0.2">
      <c r="A6765" s="19" t="s">
        <v>159</v>
      </c>
      <c r="B6765" s="19">
        <v>35.167999999999999</v>
      </c>
      <c r="C6765" s="19">
        <v>2</v>
      </c>
      <c r="D6765" s="19">
        <v>-8.3524000000000012</v>
      </c>
    </row>
    <row r="6766" spans="1:4" x14ac:dyDescent="0.2">
      <c r="A6766" s="19" t="s">
        <v>159</v>
      </c>
      <c r="B6766" s="19">
        <v>1362.8999999999999</v>
      </c>
      <c r="C6766" s="19">
        <v>3</v>
      </c>
      <c r="D6766" s="19">
        <v>-19.470000000000141</v>
      </c>
    </row>
    <row r="6767" spans="1:4" x14ac:dyDescent="0.2">
      <c r="A6767" s="19" t="s">
        <v>159</v>
      </c>
      <c r="B6767" s="19">
        <v>317.05799999999999</v>
      </c>
      <c r="C6767" s="19">
        <v>3</v>
      </c>
      <c r="D6767" s="19">
        <v>-18.117599999999996</v>
      </c>
    </row>
    <row r="6768" spans="1:4" x14ac:dyDescent="0.2">
      <c r="A6768" s="19" t="s">
        <v>159</v>
      </c>
      <c r="B6768" s="19">
        <v>15.76</v>
      </c>
      <c r="C6768" s="19">
        <v>2</v>
      </c>
      <c r="D6768" s="19">
        <v>3.5460000000000007</v>
      </c>
    </row>
    <row r="6769" spans="1:4" x14ac:dyDescent="0.2">
      <c r="A6769" s="19" t="s">
        <v>159</v>
      </c>
      <c r="B6769" s="19">
        <v>14.560000000000002</v>
      </c>
      <c r="C6769" s="19">
        <v>5</v>
      </c>
      <c r="D6769" s="19">
        <v>-6.1879999999999988</v>
      </c>
    </row>
    <row r="6770" spans="1:4" x14ac:dyDescent="0.2">
      <c r="A6770" s="19" t="s">
        <v>179</v>
      </c>
      <c r="B6770" s="19">
        <v>196.21</v>
      </c>
      <c r="C6770" s="19">
        <v>7</v>
      </c>
      <c r="D6770" s="19">
        <v>98.105000000000004</v>
      </c>
    </row>
    <row r="6771" spans="1:4" x14ac:dyDescent="0.2">
      <c r="A6771" s="19" t="s">
        <v>101</v>
      </c>
      <c r="B6771" s="19">
        <v>35.4</v>
      </c>
      <c r="C6771" s="19">
        <v>5</v>
      </c>
      <c r="D6771" s="19">
        <v>13.452000000000002</v>
      </c>
    </row>
    <row r="6772" spans="1:4" x14ac:dyDescent="0.2">
      <c r="A6772" s="19" t="s">
        <v>165</v>
      </c>
      <c r="B6772" s="19">
        <v>419.4</v>
      </c>
      <c r="C6772" s="19">
        <v>5</v>
      </c>
      <c r="D6772" s="19">
        <v>146.79</v>
      </c>
    </row>
    <row r="6773" spans="1:4" x14ac:dyDescent="0.2">
      <c r="A6773" s="19" t="s">
        <v>165</v>
      </c>
      <c r="B6773" s="19">
        <v>13.005000000000003</v>
      </c>
      <c r="C6773" s="19">
        <v>3</v>
      </c>
      <c r="D6773" s="19">
        <v>-9.9704999999999977</v>
      </c>
    </row>
    <row r="6774" spans="1:4" x14ac:dyDescent="0.2">
      <c r="A6774" s="19" t="s">
        <v>150</v>
      </c>
      <c r="B6774" s="19">
        <v>7.7120000000000006</v>
      </c>
      <c r="C6774" s="19">
        <v>2</v>
      </c>
      <c r="D6774" s="19">
        <v>2.7956000000000003</v>
      </c>
    </row>
    <row r="6775" spans="1:4" x14ac:dyDescent="0.2">
      <c r="A6775" s="19" t="s">
        <v>150</v>
      </c>
      <c r="B6775" s="19">
        <v>4.1760000000000002</v>
      </c>
      <c r="C6775" s="19">
        <v>1</v>
      </c>
      <c r="D6775" s="19">
        <v>1.3049999999999997</v>
      </c>
    </row>
    <row r="6776" spans="1:4" x14ac:dyDescent="0.2">
      <c r="A6776" s="19" t="s">
        <v>150</v>
      </c>
      <c r="B6776" s="19">
        <v>38.880000000000003</v>
      </c>
      <c r="C6776" s="19">
        <v>6</v>
      </c>
      <c r="D6776" s="19">
        <v>18.662400000000002</v>
      </c>
    </row>
    <row r="6777" spans="1:4" x14ac:dyDescent="0.2">
      <c r="A6777" s="19" t="s">
        <v>164</v>
      </c>
      <c r="B6777" s="19">
        <v>17.64</v>
      </c>
      <c r="C6777" s="19">
        <v>4</v>
      </c>
      <c r="D6777" s="19">
        <v>8.1143999999999998</v>
      </c>
    </row>
    <row r="6778" spans="1:4" x14ac:dyDescent="0.2">
      <c r="A6778" s="19" t="s">
        <v>154</v>
      </c>
      <c r="B6778" s="19">
        <v>93.456000000000003</v>
      </c>
      <c r="C6778" s="19">
        <v>3</v>
      </c>
      <c r="D6778" s="19">
        <v>-17.523000000000014</v>
      </c>
    </row>
    <row r="6779" spans="1:4" x14ac:dyDescent="0.2">
      <c r="A6779" s="19" t="s">
        <v>164</v>
      </c>
      <c r="B6779" s="19">
        <v>449.91</v>
      </c>
      <c r="C6779" s="19">
        <v>9</v>
      </c>
      <c r="D6779" s="19">
        <v>157.46849999999998</v>
      </c>
    </row>
    <row r="6780" spans="1:4" x14ac:dyDescent="0.2">
      <c r="A6780" s="19" t="s">
        <v>187</v>
      </c>
      <c r="B6780" s="19">
        <v>344.94</v>
      </c>
      <c r="C6780" s="19">
        <v>3</v>
      </c>
      <c r="D6780" s="19">
        <v>31.044599999999974</v>
      </c>
    </row>
    <row r="6781" spans="1:4" x14ac:dyDescent="0.2">
      <c r="A6781" s="19" t="s">
        <v>187</v>
      </c>
      <c r="B6781" s="19">
        <v>14.76</v>
      </c>
      <c r="C6781" s="19">
        <v>2</v>
      </c>
      <c r="D6781" s="19">
        <v>4.2803999999999984</v>
      </c>
    </row>
    <row r="6782" spans="1:4" x14ac:dyDescent="0.2">
      <c r="A6782" s="19" t="s">
        <v>187</v>
      </c>
      <c r="B6782" s="19">
        <v>12.76</v>
      </c>
      <c r="C6782" s="19">
        <v>2</v>
      </c>
      <c r="D6782" s="19">
        <v>5.8695999999999993</v>
      </c>
    </row>
    <row r="6783" spans="1:4" x14ac:dyDescent="0.2">
      <c r="A6783" s="19" t="s">
        <v>187</v>
      </c>
      <c r="B6783" s="19">
        <v>58.48</v>
      </c>
      <c r="C6783" s="19">
        <v>8</v>
      </c>
      <c r="D6783" s="19">
        <v>27.485599999999998</v>
      </c>
    </row>
    <row r="6784" spans="1:4" x14ac:dyDescent="0.2">
      <c r="A6784" s="19" t="s">
        <v>158</v>
      </c>
      <c r="B6784" s="19">
        <v>20.096000000000004</v>
      </c>
      <c r="C6784" s="19">
        <v>4</v>
      </c>
      <c r="D6784" s="19">
        <v>3.0143999999999984</v>
      </c>
    </row>
    <row r="6785" spans="1:4" x14ac:dyDescent="0.2">
      <c r="A6785" s="19" t="s">
        <v>158</v>
      </c>
      <c r="B6785" s="19">
        <v>37.752000000000002</v>
      </c>
      <c r="C6785" s="19">
        <v>3</v>
      </c>
      <c r="D6785" s="19">
        <v>4.2470999999999943</v>
      </c>
    </row>
    <row r="6786" spans="1:4" x14ac:dyDescent="0.2">
      <c r="A6786" s="19" t="s">
        <v>158</v>
      </c>
      <c r="B6786" s="19">
        <v>138.58799999999999</v>
      </c>
      <c r="C6786" s="19">
        <v>1</v>
      </c>
      <c r="D6786" s="19">
        <v>-34.646999999999991</v>
      </c>
    </row>
    <row r="6787" spans="1:4" x14ac:dyDescent="0.2">
      <c r="A6787" s="19" t="s">
        <v>158</v>
      </c>
      <c r="B6787" s="19">
        <v>259.92000000000007</v>
      </c>
      <c r="C6787" s="19">
        <v>5</v>
      </c>
      <c r="D6787" s="19">
        <v>-25.992000000000004</v>
      </c>
    </row>
    <row r="6788" spans="1:4" x14ac:dyDescent="0.2">
      <c r="A6788" s="19" t="s">
        <v>158</v>
      </c>
      <c r="B6788" s="19">
        <v>20.736000000000004</v>
      </c>
      <c r="C6788" s="19">
        <v>4</v>
      </c>
      <c r="D6788" s="19">
        <v>7.2576000000000001</v>
      </c>
    </row>
    <row r="6789" spans="1:4" x14ac:dyDescent="0.2">
      <c r="A6789" s="19" t="s">
        <v>101</v>
      </c>
      <c r="B6789" s="19">
        <v>129.93</v>
      </c>
      <c r="C6789" s="19">
        <v>3</v>
      </c>
      <c r="D6789" s="19">
        <v>12.992999999999988</v>
      </c>
    </row>
    <row r="6790" spans="1:4" x14ac:dyDescent="0.2">
      <c r="A6790" s="19" t="s">
        <v>101</v>
      </c>
      <c r="B6790" s="19">
        <v>69.930000000000007</v>
      </c>
      <c r="C6790" s="19">
        <v>7</v>
      </c>
      <c r="D6790" s="19">
        <v>31.468499999999999</v>
      </c>
    </row>
    <row r="6791" spans="1:4" x14ac:dyDescent="0.2">
      <c r="A6791" s="19" t="s">
        <v>152</v>
      </c>
      <c r="B6791" s="19">
        <v>140.73599999999999</v>
      </c>
      <c r="C6791" s="19">
        <v>4</v>
      </c>
      <c r="D6791" s="19">
        <v>12.314400000000006</v>
      </c>
    </row>
    <row r="6792" spans="1:4" x14ac:dyDescent="0.2">
      <c r="A6792" s="19" t="s">
        <v>150</v>
      </c>
      <c r="B6792" s="19">
        <v>8.32</v>
      </c>
      <c r="C6792" s="19">
        <v>5</v>
      </c>
      <c r="D6792" s="19">
        <v>2.8079999999999998</v>
      </c>
    </row>
    <row r="6793" spans="1:4" x14ac:dyDescent="0.2">
      <c r="A6793" s="19" t="s">
        <v>150</v>
      </c>
      <c r="B6793" s="19">
        <v>9.98</v>
      </c>
      <c r="C6793" s="19">
        <v>1</v>
      </c>
      <c r="D6793" s="19">
        <v>2.7944000000000004</v>
      </c>
    </row>
    <row r="6794" spans="1:4" x14ac:dyDescent="0.2">
      <c r="A6794" s="19" t="s">
        <v>178</v>
      </c>
      <c r="B6794" s="19">
        <v>62.94</v>
      </c>
      <c r="C6794" s="19">
        <v>3</v>
      </c>
      <c r="D6794" s="19">
        <v>30.211199999999998</v>
      </c>
    </row>
    <row r="6795" spans="1:4" x14ac:dyDescent="0.2">
      <c r="A6795" s="19" t="s">
        <v>159</v>
      </c>
      <c r="B6795" s="19">
        <v>21.488</v>
      </c>
      <c r="C6795" s="19">
        <v>2</v>
      </c>
      <c r="D6795" s="19">
        <v>1.6115999999999993</v>
      </c>
    </row>
    <row r="6796" spans="1:4" x14ac:dyDescent="0.2">
      <c r="A6796" s="19" t="s">
        <v>159</v>
      </c>
      <c r="B6796" s="19">
        <v>239.976</v>
      </c>
      <c r="C6796" s="19">
        <v>3</v>
      </c>
      <c r="D6796" s="19">
        <v>26.997299999999967</v>
      </c>
    </row>
    <row r="6797" spans="1:4" x14ac:dyDescent="0.2">
      <c r="A6797" s="19" t="s">
        <v>159</v>
      </c>
      <c r="B6797" s="19">
        <v>34.504000000000005</v>
      </c>
      <c r="C6797" s="19">
        <v>2</v>
      </c>
      <c r="D6797" s="19">
        <v>-15.526799999999994</v>
      </c>
    </row>
    <row r="6798" spans="1:4" x14ac:dyDescent="0.2">
      <c r="A6798" s="19" t="s">
        <v>154</v>
      </c>
      <c r="B6798" s="19">
        <v>20.103999999999999</v>
      </c>
      <c r="C6798" s="19">
        <v>2</v>
      </c>
      <c r="D6798" s="19">
        <v>-16.585799999999999</v>
      </c>
    </row>
    <row r="6799" spans="1:4" x14ac:dyDescent="0.2">
      <c r="A6799" s="19" t="s">
        <v>154</v>
      </c>
      <c r="B6799" s="19">
        <v>3.7979999999999987</v>
      </c>
      <c r="C6799" s="19">
        <v>1</v>
      </c>
      <c r="D6799" s="19">
        <v>-6.0768000000000004</v>
      </c>
    </row>
    <row r="6800" spans="1:4" x14ac:dyDescent="0.2">
      <c r="A6800" s="19" t="s">
        <v>154</v>
      </c>
      <c r="B6800" s="19">
        <v>7.8800000000000008</v>
      </c>
      <c r="C6800" s="19">
        <v>5</v>
      </c>
      <c r="D6800" s="19">
        <v>-3.9399999999999995</v>
      </c>
    </row>
    <row r="6801" spans="1:4" x14ac:dyDescent="0.2">
      <c r="A6801" s="19" t="s">
        <v>165</v>
      </c>
      <c r="B6801" s="19">
        <v>35.445</v>
      </c>
      <c r="C6801" s="19">
        <v>1</v>
      </c>
      <c r="D6801" s="19">
        <v>-24.102599999999995</v>
      </c>
    </row>
    <row r="6802" spans="1:4" x14ac:dyDescent="0.2">
      <c r="A6802" s="19" t="s">
        <v>165</v>
      </c>
      <c r="B6802" s="19">
        <v>269.97000000000003</v>
      </c>
      <c r="C6802" s="19">
        <v>2</v>
      </c>
      <c r="D6802" s="19">
        <v>-386.95699999999999</v>
      </c>
    </row>
    <row r="6803" spans="1:4" x14ac:dyDescent="0.2">
      <c r="A6803" s="19" t="s">
        <v>165</v>
      </c>
      <c r="B6803" s="19">
        <v>45.120000000000005</v>
      </c>
      <c r="C6803" s="19">
        <v>3</v>
      </c>
      <c r="D6803" s="19">
        <v>-7.8960000000000008</v>
      </c>
    </row>
    <row r="6804" spans="1:4" x14ac:dyDescent="0.2">
      <c r="A6804" s="19" t="s">
        <v>165</v>
      </c>
      <c r="B6804" s="19">
        <v>100.80000000000001</v>
      </c>
      <c r="C6804" s="19">
        <v>2</v>
      </c>
      <c r="D6804" s="19">
        <v>21.42</v>
      </c>
    </row>
    <row r="6805" spans="1:4" x14ac:dyDescent="0.2">
      <c r="A6805" s="19" t="s">
        <v>165</v>
      </c>
      <c r="B6805" s="19">
        <v>47.968000000000004</v>
      </c>
      <c r="C6805" s="19">
        <v>2</v>
      </c>
      <c r="D6805" s="19">
        <v>4.1971999999999987</v>
      </c>
    </row>
    <row r="6806" spans="1:4" x14ac:dyDescent="0.2">
      <c r="A6806" s="19" t="s">
        <v>150</v>
      </c>
      <c r="B6806" s="19">
        <v>99.98</v>
      </c>
      <c r="C6806" s="19">
        <v>2</v>
      </c>
      <c r="D6806" s="19">
        <v>34.992999999999995</v>
      </c>
    </row>
    <row r="6807" spans="1:4" x14ac:dyDescent="0.2">
      <c r="A6807" s="19" t="s">
        <v>101</v>
      </c>
      <c r="B6807" s="19">
        <v>9.9600000000000009</v>
      </c>
      <c r="C6807" s="19">
        <v>2</v>
      </c>
      <c r="D6807" s="19">
        <v>4.8804000000000007</v>
      </c>
    </row>
    <row r="6808" spans="1:4" x14ac:dyDescent="0.2">
      <c r="A6808" s="19" t="s">
        <v>153</v>
      </c>
      <c r="B6808" s="19">
        <v>3.8560000000000003</v>
      </c>
      <c r="C6808" s="19">
        <v>1</v>
      </c>
      <c r="D6808" s="19">
        <v>1.3978000000000002</v>
      </c>
    </row>
    <row r="6809" spans="1:4" x14ac:dyDescent="0.2">
      <c r="A6809" s="19" t="s">
        <v>154</v>
      </c>
      <c r="B6809" s="19">
        <v>98.376000000000005</v>
      </c>
      <c r="C6809" s="19">
        <v>3</v>
      </c>
      <c r="D6809" s="19">
        <v>35.661300000000004</v>
      </c>
    </row>
    <row r="6810" spans="1:4" x14ac:dyDescent="0.2">
      <c r="A6810" s="19" t="s">
        <v>154</v>
      </c>
      <c r="B6810" s="19">
        <v>22.38</v>
      </c>
      <c r="C6810" s="19">
        <v>3</v>
      </c>
      <c r="D6810" s="19">
        <v>-7.8330000000000055</v>
      </c>
    </row>
    <row r="6811" spans="1:4" x14ac:dyDescent="0.2">
      <c r="A6811" s="19" t="s">
        <v>158</v>
      </c>
      <c r="B6811" s="19">
        <v>3.8820000000000006</v>
      </c>
      <c r="C6811" s="19">
        <v>2</v>
      </c>
      <c r="D6811" s="19">
        <v>-2.5880000000000001</v>
      </c>
    </row>
    <row r="6812" spans="1:4" x14ac:dyDescent="0.2">
      <c r="A6812" s="19" t="s">
        <v>158</v>
      </c>
      <c r="B6812" s="19">
        <v>12.585000000000003</v>
      </c>
      <c r="C6812" s="19">
        <v>1</v>
      </c>
      <c r="D6812" s="19">
        <v>-18.038499999999996</v>
      </c>
    </row>
    <row r="6813" spans="1:4" x14ac:dyDescent="0.2">
      <c r="A6813" s="19" t="s">
        <v>158</v>
      </c>
      <c r="B6813" s="19">
        <v>113.372</v>
      </c>
      <c r="C6813" s="19">
        <v>2</v>
      </c>
      <c r="D6813" s="19">
        <v>-29.152799999999992</v>
      </c>
    </row>
    <row r="6814" spans="1:4" x14ac:dyDescent="0.2">
      <c r="A6814" s="19" t="s">
        <v>158</v>
      </c>
      <c r="B6814" s="19">
        <v>18.312000000000001</v>
      </c>
      <c r="C6814" s="19">
        <v>4</v>
      </c>
      <c r="D6814" s="19">
        <v>-12.207999999999995</v>
      </c>
    </row>
    <row r="6815" spans="1:4" x14ac:dyDescent="0.2">
      <c r="A6815" s="19" t="s">
        <v>158</v>
      </c>
      <c r="B6815" s="19">
        <v>127.93599999999999</v>
      </c>
      <c r="C6815" s="19">
        <v>8</v>
      </c>
      <c r="D6815" s="19">
        <v>4.7975999999999992</v>
      </c>
    </row>
    <row r="6816" spans="1:4" x14ac:dyDescent="0.2">
      <c r="A6816" s="19" t="s">
        <v>158</v>
      </c>
      <c r="B6816" s="19">
        <v>241.17000000000002</v>
      </c>
      <c r="C6816" s="19">
        <v>2</v>
      </c>
      <c r="D6816" s="19">
        <v>-168.8189999999999</v>
      </c>
    </row>
    <row r="6817" spans="1:4" x14ac:dyDescent="0.2">
      <c r="A6817" s="19" t="s">
        <v>153</v>
      </c>
      <c r="B6817" s="19">
        <v>6.24</v>
      </c>
      <c r="C6817" s="19">
        <v>3</v>
      </c>
      <c r="D6817" s="19">
        <v>2.6208000000000005</v>
      </c>
    </row>
    <row r="6818" spans="1:4" x14ac:dyDescent="0.2">
      <c r="A6818" s="19" t="s">
        <v>153</v>
      </c>
      <c r="B6818" s="19">
        <v>17.899999999999999</v>
      </c>
      <c r="C6818" s="19">
        <v>5</v>
      </c>
      <c r="D6818" s="19">
        <v>8.9499999999999993</v>
      </c>
    </row>
    <row r="6819" spans="1:4" x14ac:dyDescent="0.2">
      <c r="A6819" s="19" t="s">
        <v>153</v>
      </c>
      <c r="B6819" s="19">
        <v>3266.3760000000002</v>
      </c>
      <c r="C6819" s="19">
        <v>3</v>
      </c>
      <c r="D6819" s="19">
        <v>1061.5721999999998</v>
      </c>
    </row>
    <row r="6820" spans="1:4" x14ac:dyDescent="0.2">
      <c r="A6820" s="19" t="s">
        <v>159</v>
      </c>
      <c r="B6820" s="19">
        <v>1.6799999999999995</v>
      </c>
      <c r="C6820" s="19">
        <v>5</v>
      </c>
      <c r="D6820" s="19">
        <v>-2.6880000000000015</v>
      </c>
    </row>
    <row r="6821" spans="1:4" x14ac:dyDescent="0.2">
      <c r="A6821" s="19" t="s">
        <v>159</v>
      </c>
      <c r="B6821" s="19">
        <v>7.968</v>
      </c>
      <c r="C6821" s="19">
        <v>3</v>
      </c>
      <c r="D6821" s="19">
        <v>-2.3903999999999996</v>
      </c>
    </row>
    <row r="6822" spans="1:4" x14ac:dyDescent="0.2">
      <c r="A6822" s="19" t="s">
        <v>159</v>
      </c>
      <c r="B6822" s="19">
        <v>113.372</v>
      </c>
      <c r="C6822" s="19">
        <v>2</v>
      </c>
      <c r="D6822" s="19">
        <v>-3.2391999999999896</v>
      </c>
    </row>
    <row r="6823" spans="1:4" x14ac:dyDescent="0.2">
      <c r="A6823" s="19" t="s">
        <v>159</v>
      </c>
      <c r="B6823" s="19">
        <v>2.9600000000000004</v>
      </c>
      <c r="C6823" s="19">
        <v>2</v>
      </c>
      <c r="D6823" s="19">
        <v>-1.4059999999999997</v>
      </c>
    </row>
    <row r="6824" spans="1:4" x14ac:dyDescent="0.2">
      <c r="A6824" s="19" t="s">
        <v>150</v>
      </c>
      <c r="B6824" s="19">
        <v>168.1</v>
      </c>
      <c r="C6824" s="19">
        <v>5</v>
      </c>
      <c r="D6824" s="19">
        <v>43.705999999999996</v>
      </c>
    </row>
    <row r="6825" spans="1:4" x14ac:dyDescent="0.2">
      <c r="A6825" s="19" t="s">
        <v>168</v>
      </c>
      <c r="B6825" s="19">
        <v>98.46</v>
      </c>
      <c r="C6825" s="19">
        <v>9</v>
      </c>
      <c r="D6825" s="19">
        <v>49.23</v>
      </c>
    </row>
    <row r="6826" spans="1:4" x14ac:dyDescent="0.2">
      <c r="A6826" s="19" t="s">
        <v>168</v>
      </c>
      <c r="B6826" s="19">
        <v>358.58</v>
      </c>
      <c r="C6826" s="19">
        <v>2</v>
      </c>
      <c r="D6826" s="19">
        <v>39.44380000000001</v>
      </c>
    </row>
    <row r="6827" spans="1:4" x14ac:dyDescent="0.2">
      <c r="A6827" s="19" t="s">
        <v>163</v>
      </c>
      <c r="B6827" s="19">
        <v>32.479999999999997</v>
      </c>
      <c r="C6827" s="19">
        <v>2</v>
      </c>
      <c r="D6827" s="19">
        <v>4.8719999999999999</v>
      </c>
    </row>
    <row r="6828" spans="1:4" x14ac:dyDescent="0.2">
      <c r="A6828" s="19" t="s">
        <v>163</v>
      </c>
      <c r="B6828" s="19">
        <v>17499.949999999997</v>
      </c>
      <c r="C6828" s="19">
        <v>5</v>
      </c>
      <c r="D6828" s="19">
        <v>8399.9759999999987</v>
      </c>
    </row>
    <row r="6829" spans="1:4" x14ac:dyDescent="0.2">
      <c r="A6829" s="19" t="s">
        <v>163</v>
      </c>
      <c r="B6829" s="19">
        <v>735.98</v>
      </c>
      <c r="C6829" s="19">
        <v>2</v>
      </c>
      <c r="D6829" s="19">
        <v>331.19099999999997</v>
      </c>
    </row>
    <row r="6830" spans="1:4" x14ac:dyDescent="0.2">
      <c r="A6830" s="19" t="s">
        <v>163</v>
      </c>
      <c r="B6830" s="19">
        <v>34.370000000000005</v>
      </c>
      <c r="C6830" s="19">
        <v>7</v>
      </c>
      <c r="D6830" s="19">
        <v>16.8413</v>
      </c>
    </row>
    <row r="6831" spans="1:4" x14ac:dyDescent="0.2">
      <c r="A6831" s="19" t="s">
        <v>163</v>
      </c>
      <c r="B6831" s="19">
        <v>33.96</v>
      </c>
      <c r="C6831" s="19">
        <v>2</v>
      </c>
      <c r="D6831" s="19">
        <v>9.5088000000000008</v>
      </c>
    </row>
    <row r="6832" spans="1:4" x14ac:dyDescent="0.2">
      <c r="A6832" s="19" t="s">
        <v>164</v>
      </c>
      <c r="B6832" s="19">
        <v>197.96999999999997</v>
      </c>
      <c r="C6832" s="19">
        <v>3</v>
      </c>
      <c r="D6832" s="19">
        <v>53.451900000000009</v>
      </c>
    </row>
    <row r="6833" spans="1:4" x14ac:dyDescent="0.2">
      <c r="A6833" s="19" t="s">
        <v>164</v>
      </c>
      <c r="B6833" s="19">
        <v>17.48</v>
      </c>
      <c r="C6833" s="19">
        <v>4</v>
      </c>
      <c r="D6833" s="19">
        <v>4.5448000000000004</v>
      </c>
    </row>
    <row r="6834" spans="1:4" x14ac:dyDescent="0.2">
      <c r="A6834" s="19" t="s">
        <v>159</v>
      </c>
      <c r="B6834" s="19">
        <v>8.016</v>
      </c>
      <c r="C6834" s="19">
        <v>3</v>
      </c>
      <c r="D6834" s="19">
        <v>1.0019999999999993</v>
      </c>
    </row>
    <row r="6835" spans="1:4" x14ac:dyDescent="0.2">
      <c r="A6835" s="19" t="s">
        <v>150</v>
      </c>
      <c r="B6835" s="19">
        <v>146.04000000000002</v>
      </c>
      <c r="C6835" s="19">
        <v>1</v>
      </c>
      <c r="D6835" s="19">
        <v>-12.778499999999994</v>
      </c>
    </row>
    <row r="6836" spans="1:4" x14ac:dyDescent="0.2">
      <c r="A6836" s="19" t="s">
        <v>150</v>
      </c>
      <c r="B6836" s="19">
        <v>27.88</v>
      </c>
      <c r="C6836" s="19">
        <v>2</v>
      </c>
      <c r="D6836" s="19">
        <v>3.9032000000000018</v>
      </c>
    </row>
    <row r="6837" spans="1:4" x14ac:dyDescent="0.2">
      <c r="A6837" s="19" t="s">
        <v>150</v>
      </c>
      <c r="B6837" s="19">
        <v>152.65</v>
      </c>
      <c r="C6837" s="19">
        <v>5</v>
      </c>
      <c r="D6837" s="19">
        <v>70.219000000000008</v>
      </c>
    </row>
    <row r="6838" spans="1:4" x14ac:dyDescent="0.2">
      <c r="A6838" s="19" t="s">
        <v>150</v>
      </c>
      <c r="B6838" s="19">
        <v>22.72</v>
      </c>
      <c r="C6838" s="19">
        <v>1</v>
      </c>
      <c r="D6838" s="19">
        <v>9.3152000000000008</v>
      </c>
    </row>
    <row r="6839" spans="1:4" x14ac:dyDescent="0.2">
      <c r="A6839" s="19" t="s">
        <v>179</v>
      </c>
      <c r="B6839" s="19">
        <v>11.12</v>
      </c>
      <c r="C6839" s="19">
        <v>4</v>
      </c>
      <c r="D6839" s="19">
        <v>2.8911999999999995</v>
      </c>
    </row>
    <row r="6840" spans="1:4" x14ac:dyDescent="0.2">
      <c r="A6840" s="19" t="s">
        <v>150</v>
      </c>
      <c r="B6840" s="19">
        <v>1640.6999999999998</v>
      </c>
      <c r="C6840" s="19">
        <v>5</v>
      </c>
      <c r="D6840" s="19">
        <v>459.39599999999996</v>
      </c>
    </row>
    <row r="6841" spans="1:4" x14ac:dyDescent="0.2">
      <c r="A6841" s="19" t="s">
        <v>150</v>
      </c>
      <c r="B6841" s="19">
        <v>371.2</v>
      </c>
      <c r="C6841" s="19">
        <v>5</v>
      </c>
      <c r="D6841" s="19">
        <v>41.759999999999948</v>
      </c>
    </row>
    <row r="6842" spans="1:4" x14ac:dyDescent="0.2">
      <c r="A6842" s="19" t="s">
        <v>173</v>
      </c>
      <c r="B6842" s="19">
        <v>14.832000000000003</v>
      </c>
      <c r="C6842" s="19">
        <v>3</v>
      </c>
      <c r="D6842" s="19">
        <v>-10.382399999999997</v>
      </c>
    </row>
    <row r="6843" spans="1:4" x14ac:dyDescent="0.2">
      <c r="A6843" s="19" t="s">
        <v>166</v>
      </c>
      <c r="B6843" s="19">
        <v>20.700000000000003</v>
      </c>
      <c r="C6843" s="19">
        <v>3</v>
      </c>
      <c r="D6843" s="19">
        <v>1.6559999999999988</v>
      </c>
    </row>
    <row r="6844" spans="1:4" x14ac:dyDescent="0.2">
      <c r="A6844" s="19" t="s">
        <v>166</v>
      </c>
      <c r="B6844" s="19">
        <v>11.34</v>
      </c>
      <c r="C6844" s="19">
        <v>3</v>
      </c>
      <c r="D6844" s="19">
        <v>5.2164000000000001</v>
      </c>
    </row>
    <row r="6845" spans="1:4" x14ac:dyDescent="0.2">
      <c r="A6845" s="19" t="s">
        <v>166</v>
      </c>
      <c r="B6845" s="19">
        <v>67.900000000000006</v>
      </c>
      <c r="C6845" s="19">
        <v>5</v>
      </c>
      <c r="D6845" s="19">
        <v>0.67899999999999849</v>
      </c>
    </row>
    <row r="6846" spans="1:4" x14ac:dyDescent="0.2">
      <c r="A6846" s="19" t="s">
        <v>166</v>
      </c>
      <c r="B6846" s="19">
        <v>1059.1199999999999</v>
      </c>
      <c r="C6846" s="19">
        <v>4</v>
      </c>
      <c r="D6846" s="19">
        <v>307.14479999999992</v>
      </c>
    </row>
    <row r="6847" spans="1:4" x14ac:dyDescent="0.2">
      <c r="A6847" s="19" t="s">
        <v>150</v>
      </c>
      <c r="B6847" s="19">
        <v>478.48</v>
      </c>
      <c r="C6847" s="19">
        <v>2</v>
      </c>
      <c r="D6847" s="19">
        <v>47.848000000000013</v>
      </c>
    </row>
    <row r="6848" spans="1:4" x14ac:dyDescent="0.2">
      <c r="A6848" s="19" t="s">
        <v>150</v>
      </c>
      <c r="B6848" s="19">
        <v>32.04</v>
      </c>
      <c r="C6848" s="19">
        <v>4</v>
      </c>
      <c r="D6848" s="19">
        <v>14.417999999999999</v>
      </c>
    </row>
    <row r="6849" spans="1:4" x14ac:dyDescent="0.2">
      <c r="A6849" s="19" t="s">
        <v>165</v>
      </c>
      <c r="B6849" s="19">
        <v>55.991999999999997</v>
      </c>
      <c r="C6849" s="19">
        <v>1</v>
      </c>
      <c r="D6849" s="19">
        <v>3.4995000000000029</v>
      </c>
    </row>
    <row r="6850" spans="1:4" x14ac:dyDescent="0.2">
      <c r="A6850" s="19" t="s">
        <v>159</v>
      </c>
      <c r="B6850" s="19">
        <v>76.864000000000004</v>
      </c>
      <c r="C6850" s="19">
        <v>2</v>
      </c>
      <c r="D6850" s="19">
        <v>26.902399999999993</v>
      </c>
    </row>
    <row r="6851" spans="1:4" x14ac:dyDescent="0.2">
      <c r="A6851" s="19" t="s">
        <v>150</v>
      </c>
      <c r="B6851" s="19">
        <v>59.92</v>
      </c>
      <c r="C6851" s="19">
        <v>4</v>
      </c>
      <c r="D6851" s="19">
        <v>27.563200000000002</v>
      </c>
    </row>
    <row r="6852" spans="1:4" x14ac:dyDescent="0.2">
      <c r="A6852" s="19" t="s">
        <v>155</v>
      </c>
      <c r="B6852" s="19">
        <v>1565.88</v>
      </c>
      <c r="C6852" s="19">
        <v>6</v>
      </c>
      <c r="D6852" s="19">
        <v>407.12880000000007</v>
      </c>
    </row>
    <row r="6853" spans="1:4" x14ac:dyDescent="0.2">
      <c r="A6853" s="19" t="s">
        <v>155</v>
      </c>
      <c r="B6853" s="19">
        <v>106.05</v>
      </c>
      <c r="C6853" s="19">
        <v>7</v>
      </c>
      <c r="D6853" s="19">
        <v>49.843499999999999</v>
      </c>
    </row>
    <row r="6854" spans="1:4" x14ac:dyDescent="0.2">
      <c r="A6854" s="19" t="s">
        <v>184</v>
      </c>
      <c r="B6854" s="19">
        <v>62.04</v>
      </c>
      <c r="C6854" s="19">
        <v>4</v>
      </c>
      <c r="D6854" s="19">
        <v>17.371200000000002</v>
      </c>
    </row>
    <row r="6855" spans="1:4" x14ac:dyDescent="0.2">
      <c r="A6855" s="19" t="s">
        <v>184</v>
      </c>
      <c r="B6855" s="19">
        <v>494.97</v>
      </c>
      <c r="C6855" s="19">
        <v>3</v>
      </c>
      <c r="D6855" s="19">
        <v>148.49099999999996</v>
      </c>
    </row>
    <row r="6856" spans="1:4" x14ac:dyDescent="0.2">
      <c r="A6856" s="19" t="s">
        <v>184</v>
      </c>
      <c r="B6856" s="19">
        <v>367.96</v>
      </c>
      <c r="C6856" s="19">
        <v>4</v>
      </c>
      <c r="D6856" s="19">
        <v>14.718399999999974</v>
      </c>
    </row>
    <row r="6857" spans="1:4" x14ac:dyDescent="0.2">
      <c r="A6857" s="19" t="s">
        <v>184</v>
      </c>
      <c r="B6857" s="19">
        <v>44.96</v>
      </c>
      <c r="C6857" s="19">
        <v>2</v>
      </c>
      <c r="D6857" s="19">
        <v>20.6816</v>
      </c>
    </row>
    <row r="6858" spans="1:4" x14ac:dyDescent="0.2">
      <c r="A6858" s="19" t="s">
        <v>184</v>
      </c>
      <c r="B6858" s="19">
        <v>182.94</v>
      </c>
      <c r="C6858" s="19">
        <v>3</v>
      </c>
      <c r="D6858" s="19">
        <v>85.981799999999993</v>
      </c>
    </row>
    <row r="6859" spans="1:4" x14ac:dyDescent="0.2">
      <c r="A6859" s="19" t="s">
        <v>150</v>
      </c>
      <c r="B6859" s="19">
        <v>28.14</v>
      </c>
      <c r="C6859" s="19">
        <v>3</v>
      </c>
      <c r="D6859" s="19">
        <v>13.507200000000001</v>
      </c>
    </row>
    <row r="6860" spans="1:4" x14ac:dyDescent="0.2">
      <c r="A6860" s="19" t="s">
        <v>150</v>
      </c>
      <c r="B6860" s="19">
        <v>7.38</v>
      </c>
      <c r="C6860" s="19">
        <v>2</v>
      </c>
      <c r="D6860" s="19">
        <v>3.4685999999999999</v>
      </c>
    </row>
    <row r="6861" spans="1:4" x14ac:dyDescent="0.2">
      <c r="A6861" s="19" t="s">
        <v>150</v>
      </c>
      <c r="B6861" s="19">
        <v>10.9</v>
      </c>
      <c r="C6861" s="19">
        <v>5</v>
      </c>
      <c r="D6861" s="19">
        <v>3.5970000000000004</v>
      </c>
    </row>
    <row r="6862" spans="1:4" x14ac:dyDescent="0.2">
      <c r="A6862" s="19" t="s">
        <v>150</v>
      </c>
      <c r="B6862" s="19">
        <v>274.89</v>
      </c>
      <c r="C6862" s="19">
        <v>11</v>
      </c>
      <c r="D6862" s="19">
        <v>46.731299999999962</v>
      </c>
    </row>
    <row r="6863" spans="1:4" x14ac:dyDescent="0.2">
      <c r="A6863" s="19" t="s">
        <v>150</v>
      </c>
      <c r="B6863" s="19">
        <v>23.04</v>
      </c>
      <c r="C6863" s="19">
        <v>8</v>
      </c>
      <c r="D6863" s="19">
        <v>11.2896</v>
      </c>
    </row>
    <row r="6864" spans="1:4" x14ac:dyDescent="0.2">
      <c r="A6864" s="19" t="s">
        <v>150</v>
      </c>
      <c r="B6864" s="19">
        <v>218.35200000000003</v>
      </c>
      <c r="C6864" s="19">
        <v>3</v>
      </c>
      <c r="D6864" s="19">
        <v>-19.105800000000016</v>
      </c>
    </row>
    <row r="6865" spans="1:4" x14ac:dyDescent="0.2">
      <c r="A6865" s="19" t="s">
        <v>154</v>
      </c>
      <c r="B6865" s="19">
        <v>10.368000000000002</v>
      </c>
      <c r="C6865" s="19">
        <v>2</v>
      </c>
      <c r="D6865" s="19">
        <v>3.6288</v>
      </c>
    </row>
    <row r="6866" spans="1:4" x14ac:dyDescent="0.2">
      <c r="A6866" s="19" t="s">
        <v>150</v>
      </c>
      <c r="B6866" s="19">
        <v>12.672000000000001</v>
      </c>
      <c r="C6866" s="19">
        <v>2</v>
      </c>
      <c r="D6866" s="19">
        <v>4.7519999999999998</v>
      </c>
    </row>
    <row r="6867" spans="1:4" x14ac:dyDescent="0.2">
      <c r="A6867" s="19" t="s">
        <v>150</v>
      </c>
      <c r="B6867" s="19">
        <v>91.96</v>
      </c>
      <c r="C6867" s="19">
        <v>5</v>
      </c>
      <c r="D6867" s="19">
        <v>-20.690999999999992</v>
      </c>
    </row>
    <row r="6868" spans="1:4" x14ac:dyDescent="0.2">
      <c r="A6868" s="19" t="s">
        <v>150</v>
      </c>
      <c r="B6868" s="19">
        <v>254.96999999999997</v>
      </c>
      <c r="C6868" s="19">
        <v>3</v>
      </c>
      <c r="D6868" s="19">
        <v>91.789199999999994</v>
      </c>
    </row>
    <row r="6869" spans="1:4" x14ac:dyDescent="0.2">
      <c r="A6869" s="19" t="s">
        <v>150</v>
      </c>
      <c r="B6869" s="19">
        <v>31.983999999999998</v>
      </c>
      <c r="C6869" s="19">
        <v>2</v>
      </c>
      <c r="D6869" s="19">
        <v>-7.9959999999999996</v>
      </c>
    </row>
    <row r="6870" spans="1:4" x14ac:dyDescent="0.2">
      <c r="A6870" s="19" t="s">
        <v>150</v>
      </c>
      <c r="B6870" s="19">
        <v>2887.0560000000005</v>
      </c>
      <c r="C6870" s="19">
        <v>9</v>
      </c>
      <c r="D6870" s="19">
        <v>180.44099999999992</v>
      </c>
    </row>
    <row r="6871" spans="1:4" x14ac:dyDescent="0.2">
      <c r="A6871" s="19" t="s">
        <v>150</v>
      </c>
      <c r="B6871" s="19">
        <v>12.96</v>
      </c>
      <c r="C6871" s="19">
        <v>2</v>
      </c>
      <c r="D6871" s="19">
        <v>6.2208000000000006</v>
      </c>
    </row>
    <row r="6872" spans="1:4" x14ac:dyDescent="0.2">
      <c r="A6872" s="19" t="s">
        <v>150</v>
      </c>
      <c r="B6872" s="19">
        <v>47.52</v>
      </c>
      <c r="C6872" s="19">
        <v>9</v>
      </c>
      <c r="D6872" s="19">
        <v>21.384</v>
      </c>
    </row>
    <row r="6873" spans="1:4" x14ac:dyDescent="0.2">
      <c r="A6873" s="19" t="s">
        <v>159</v>
      </c>
      <c r="B6873" s="19">
        <v>11.952000000000002</v>
      </c>
      <c r="C6873" s="19">
        <v>3</v>
      </c>
      <c r="D6873" s="19">
        <v>3.8843999999999994</v>
      </c>
    </row>
    <row r="6874" spans="1:4" x14ac:dyDescent="0.2">
      <c r="A6874" s="19" t="s">
        <v>153</v>
      </c>
      <c r="B6874" s="19">
        <v>4.9800000000000004</v>
      </c>
      <c r="C6874" s="19">
        <v>1</v>
      </c>
      <c r="D6874" s="19">
        <v>2.3406000000000002</v>
      </c>
    </row>
    <row r="6875" spans="1:4" x14ac:dyDescent="0.2">
      <c r="A6875" s="19" t="s">
        <v>154</v>
      </c>
      <c r="B6875" s="19">
        <v>10.779999999999996</v>
      </c>
      <c r="C6875" s="19">
        <v>5</v>
      </c>
      <c r="D6875" s="19">
        <v>-17.248000000000008</v>
      </c>
    </row>
    <row r="6876" spans="1:4" x14ac:dyDescent="0.2">
      <c r="A6876" s="19" t="s">
        <v>154</v>
      </c>
      <c r="B6876" s="19">
        <v>119.97600000000001</v>
      </c>
      <c r="C6876" s="19">
        <v>3</v>
      </c>
      <c r="D6876" s="19">
        <v>-17.996400000000019</v>
      </c>
    </row>
    <row r="6877" spans="1:4" x14ac:dyDescent="0.2">
      <c r="A6877" s="19" t="s">
        <v>166</v>
      </c>
      <c r="B6877" s="19">
        <v>25.06</v>
      </c>
      <c r="C6877" s="19">
        <v>2</v>
      </c>
      <c r="D6877" s="19">
        <v>11.778199999999998</v>
      </c>
    </row>
    <row r="6878" spans="1:4" x14ac:dyDescent="0.2">
      <c r="A6878" s="19" t="s">
        <v>166</v>
      </c>
      <c r="B6878" s="19">
        <v>1652.94</v>
      </c>
      <c r="C6878" s="19">
        <v>3</v>
      </c>
      <c r="D6878" s="19">
        <v>314.05859999999996</v>
      </c>
    </row>
    <row r="6879" spans="1:4" x14ac:dyDescent="0.2">
      <c r="A6879" s="19" t="s">
        <v>154</v>
      </c>
      <c r="B6879" s="19">
        <v>131.376</v>
      </c>
      <c r="C6879" s="19">
        <v>6</v>
      </c>
      <c r="D6879" s="19">
        <v>-95.24760000000002</v>
      </c>
    </row>
    <row r="6880" spans="1:4" x14ac:dyDescent="0.2">
      <c r="A6880" s="19" t="s">
        <v>154</v>
      </c>
      <c r="B6880" s="19">
        <v>5.3440000000000003</v>
      </c>
      <c r="C6880" s="19">
        <v>1</v>
      </c>
      <c r="D6880" s="19">
        <v>1.8703999999999998</v>
      </c>
    </row>
    <row r="6881" spans="1:4" x14ac:dyDescent="0.2">
      <c r="A6881" s="19" t="s">
        <v>153</v>
      </c>
      <c r="B6881" s="19">
        <v>2003.9200000000003</v>
      </c>
      <c r="C6881" s="19">
        <v>5</v>
      </c>
      <c r="D6881" s="19">
        <v>125.24499999999995</v>
      </c>
    </row>
    <row r="6882" spans="1:4" x14ac:dyDescent="0.2">
      <c r="A6882" s="19" t="s">
        <v>153</v>
      </c>
      <c r="B6882" s="19">
        <v>32.400000000000006</v>
      </c>
      <c r="C6882" s="19">
        <v>5</v>
      </c>
      <c r="D6882" s="19">
        <v>15.552000000000001</v>
      </c>
    </row>
    <row r="6883" spans="1:4" x14ac:dyDescent="0.2">
      <c r="A6883" s="19" t="s">
        <v>153</v>
      </c>
      <c r="B6883" s="19">
        <v>1913.3999999999999</v>
      </c>
      <c r="C6883" s="19">
        <v>9</v>
      </c>
      <c r="D6883" s="19">
        <v>401.81399999999985</v>
      </c>
    </row>
    <row r="6884" spans="1:4" x14ac:dyDescent="0.2">
      <c r="A6884" s="19" t="s">
        <v>153</v>
      </c>
      <c r="B6884" s="19">
        <v>146.72999999999999</v>
      </c>
      <c r="C6884" s="19">
        <v>3</v>
      </c>
      <c r="D6884" s="19">
        <v>2.9346000000000032</v>
      </c>
    </row>
    <row r="6885" spans="1:4" x14ac:dyDescent="0.2">
      <c r="A6885" s="19" t="s">
        <v>153</v>
      </c>
      <c r="B6885" s="19">
        <v>114.2</v>
      </c>
      <c r="C6885" s="19">
        <v>5</v>
      </c>
      <c r="D6885" s="19">
        <v>52.531999999999996</v>
      </c>
    </row>
    <row r="6886" spans="1:4" x14ac:dyDescent="0.2">
      <c r="A6886" s="19" t="s">
        <v>160</v>
      </c>
      <c r="B6886" s="19">
        <v>2567.84</v>
      </c>
      <c r="C6886" s="19">
        <v>8</v>
      </c>
      <c r="D6886" s="19">
        <v>770.35199999999986</v>
      </c>
    </row>
    <row r="6887" spans="1:4" x14ac:dyDescent="0.2">
      <c r="A6887" s="19" t="s">
        <v>173</v>
      </c>
      <c r="B6887" s="19">
        <v>37.056000000000004</v>
      </c>
      <c r="C6887" s="19">
        <v>4</v>
      </c>
      <c r="D6887" s="19">
        <v>8.8008000000000006</v>
      </c>
    </row>
    <row r="6888" spans="1:4" x14ac:dyDescent="0.2">
      <c r="A6888" s="19" t="s">
        <v>173</v>
      </c>
      <c r="B6888" s="19">
        <v>259.89600000000002</v>
      </c>
      <c r="C6888" s="19">
        <v>2</v>
      </c>
      <c r="D6888" s="19">
        <v>-56.310799999999972</v>
      </c>
    </row>
    <row r="6889" spans="1:4" x14ac:dyDescent="0.2">
      <c r="A6889" s="19" t="s">
        <v>150</v>
      </c>
      <c r="B6889" s="19">
        <v>19.049999999999997</v>
      </c>
      <c r="C6889" s="19">
        <v>3</v>
      </c>
      <c r="D6889" s="19">
        <v>8.7629999999999999</v>
      </c>
    </row>
    <row r="6890" spans="1:4" x14ac:dyDescent="0.2">
      <c r="A6890" s="19" t="s">
        <v>150</v>
      </c>
      <c r="B6890" s="19">
        <v>73.343999999999994</v>
      </c>
      <c r="C6890" s="19">
        <v>3</v>
      </c>
      <c r="D6890" s="19">
        <v>27.503999999999998</v>
      </c>
    </row>
    <row r="6891" spans="1:4" x14ac:dyDescent="0.2">
      <c r="A6891" s="19" t="s">
        <v>101</v>
      </c>
      <c r="B6891" s="19">
        <v>95.68</v>
      </c>
      <c r="C6891" s="19">
        <v>8</v>
      </c>
      <c r="D6891" s="19">
        <v>26.790400000000005</v>
      </c>
    </row>
    <row r="6892" spans="1:4" x14ac:dyDescent="0.2">
      <c r="A6892" s="19" t="s">
        <v>101</v>
      </c>
      <c r="B6892" s="19">
        <v>50.96</v>
      </c>
      <c r="C6892" s="19">
        <v>7</v>
      </c>
      <c r="D6892" s="19">
        <v>24.460800000000003</v>
      </c>
    </row>
    <row r="6893" spans="1:4" x14ac:dyDescent="0.2">
      <c r="A6893" s="19" t="s">
        <v>101</v>
      </c>
      <c r="B6893" s="19">
        <v>113.94</v>
      </c>
      <c r="C6893" s="19">
        <v>3</v>
      </c>
      <c r="D6893" s="19">
        <v>34.181999999999988</v>
      </c>
    </row>
    <row r="6894" spans="1:4" x14ac:dyDescent="0.2">
      <c r="A6894" s="19" t="s">
        <v>101</v>
      </c>
      <c r="B6894" s="19">
        <v>25.92</v>
      </c>
      <c r="C6894" s="19">
        <v>4</v>
      </c>
      <c r="D6894" s="19">
        <v>12.441600000000001</v>
      </c>
    </row>
    <row r="6895" spans="1:4" x14ac:dyDescent="0.2">
      <c r="A6895" s="19" t="s">
        <v>101</v>
      </c>
      <c r="B6895" s="19">
        <v>20.32</v>
      </c>
      <c r="C6895" s="19">
        <v>4</v>
      </c>
      <c r="D6895" s="19">
        <v>6.9087999999999994</v>
      </c>
    </row>
    <row r="6896" spans="1:4" x14ac:dyDescent="0.2">
      <c r="A6896" s="19" t="s">
        <v>101</v>
      </c>
      <c r="B6896" s="19">
        <v>411.98</v>
      </c>
      <c r="C6896" s="19">
        <v>2</v>
      </c>
      <c r="D6896" s="19">
        <v>119.4742</v>
      </c>
    </row>
    <row r="6897" spans="1:4" x14ac:dyDescent="0.2">
      <c r="A6897" s="19" t="s">
        <v>101</v>
      </c>
      <c r="B6897" s="19">
        <v>34.479999999999997</v>
      </c>
      <c r="C6897" s="19">
        <v>2</v>
      </c>
      <c r="D6897" s="19">
        <v>9.9991999999999948</v>
      </c>
    </row>
    <row r="6898" spans="1:4" x14ac:dyDescent="0.2">
      <c r="A6898" s="19" t="s">
        <v>101</v>
      </c>
      <c r="B6898" s="19">
        <v>244.54999999999998</v>
      </c>
      <c r="C6898" s="19">
        <v>5</v>
      </c>
      <c r="D6898" s="19">
        <v>114.93849999999998</v>
      </c>
    </row>
    <row r="6899" spans="1:4" x14ac:dyDescent="0.2">
      <c r="A6899" s="19" t="s">
        <v>173</v>
      </c>
      <c r="B6899" s="19">
        <v>10.782000000000002</v>
      </c>
      <c r="C6899" s="19">
        <v>3</v>
      </c>
      <c r="D6899" s="19">
        <v>-7.9067999999999969</v>
      </c>
    </row>
    <row r="6900" spans="1:4" x14ac:dyDescent="0.2">
      <c r="A6900" s="19" t="s">
        <v>159</v>
      </c>
      <c r="B6900" s="19">
        <v>602.65099999999995</v>
      </c>
      <c r="C6900" s="19">
        <v>7</v>
      </c>
      <c r="D6900" s="19">
        <v>-163.57670000000005</v>
      </c>
    </row>
    <row r="6901" spans="1:4" x14ac:dyDescent="0.2">
      <c r="A6901" s="19" t="s">
        <v>159</v>
      </c>
      <c r="B6901" s="19">
        <v>7.6559999999999988</v>
      </c>
      <c r="C6901" s="19">
        <v>6</v>
      </c>
      <c r="D6901" s="19">
        <v>-13.015200000000004</v>
      </c>
    </row>
    <row r="6902" spans="1:4" x14ac:dyDescent="0.2">
      <c r="A6902" s="19" t="s">
        <v>164</v>
      </c>
      <c r="B6902" s="19">
        <v>559.92999999999995</v>
      </c>
      <c r="C6902" s="19">
        <v>7</v>
      </c>
      <c r="D6902" s="19">
        <v>167.97899999999996</v>
      </c>
    </row>
    <row r="6903" spans="1:4" x14ac:dyDescent="0.2">
      <c r="A6903" s="19" t="s">
        <v>150</v>
      </c>
      <c r="B6903" s="19">
        <v>2399.96</v>
      </c>
      <c r="C6903" s="19">
        <v>5</v>
      </c>
      <c r="D6903" s="19">
        <v>839.9860000000001</v>
      </c>
    </row>
    <row r="6904" spans="1:4" x14ac:dyDescent="0.2">
      <c r="A6904" s="19" t="s">
        <v>159</v>
      </c>
      <c r="B6904" s="19">
        <v>16</v>
      </c>
      <c r="C6904" s="19">
        <v>4</v>
      </c>
      <c r="D6904" s="19">
        <v>5.6</v>
      </c>
    </row>
    <row r="6905" spans="1:4" x14ac:dyDescent="0.2">
      <c r="A6905" s="19" t="s">
        <v>159</v>
      </c>
      <c r="B6905" s="19">
        <v>5.5879999999999992</v>
      </c>
      <c r="C6905" s="19">
        <v>2</v>
      </c>
      <c r="D6905" s="19">
        <v>-15.087600000000002</v>
      </c>
    </row>
    <row r="6906" spans="1:4" x14ac:dyDescent="0.2">
      <c r="A6906" s="19" t="s">
        <v>159</v>
      </c>
      <c r="B6906" s="19">
        <v>235.92</v>
      </c>
      <c r="C6906" s="19">
        <v>5</v>
      </c>
      <c r="D6906" s="19">
        <v>-44.235000000000007</v>
      </c>
    </row>
    <row r="6907" spans="1:4" x14ac:dyDescent="0.2">
      <c r="A6907" s="19" t="s">
        <v>150</v>
      </c>
      <c r="B6907" s="19">
        <v>10.68</v>
      </c>
      <c r="C6907" s="19">
        <v>1</v>
      </c>
      <c r="D6907" s="19">
        <v>2.8836000000000004</v>
      </c>
    </row>
    <row r="6908" spans="1:4" x14ac:dyDescent="0.2">
      <c r="A6908" s="19" t="s">
        <v>161</v>
      </c>
      <c r="B6908" s="19">
        <v>41.28</v>
      </c>
      <c r="C6908" s="19">
        <v>2</v>
      </c>
      <c r="D6908" s="19">
        <v>19.814399999999999</v>
      </c>
    </row>
    <row r="6909" spans="1:4" x14ac:dyDescent="0.2">
      <c r="A6909" s="19" t="s">
        <v>153</v>
      </c>
      <c r="B6909" s="19">
        <v>1001.5840000000001</v>
      </c>
      <c r="C6909" s="19">
        <v>2</v>
      </c>
      <c r="D6909" s="19">
        <v>125.19799999999992</v>
      </c>
    </row>
    <row r="6910" spans="1:4" x14ac:dyDescent="0.2">
      <c r="A6910" s="19" t="s">
        <v>169</v>
      </c>
      <c r="B6910" s="19">
        <v>14.76</v>
      </c>
      <c r="C6910" s="19">
        <v>2</v>
      </c>
      <c r="D6910" s="19">
        <v>4.2803999999999984</v>
      </c>
    </row>
    <row r="6911" spans="1:4" x14ac:dyDescent="0.2">
      <c r="A6911" s="19" t="s">
        <v>173</v>
      </c>
      <c r="B6911" s="19">
        <v>2.5020000000000002</v>
      </c>
      <c r="C6911" s="19">
        <v>3</v>
      </c>
      <c r="D6911" s="19">
        <v>-2.0015999999999998</v>
      </c>
    </row>
    <row r="6912" spans="1:4" x14ac:dyDescent="0.2">
      <c r="A6912" s="19" t="s">
        <v>153</v>
      </c>
      <c r="B6912" s="19">
        <v>115.96</v>
      </c>
      <c r="C6912" s="19">
        <v>2</v>
      </c>
      <c r="D6912" s="19">
        <v>25.511200000000002</v>
      </c>
    </row>
    <row r="6913" spans="1:4" x14ac:dyDescent="0.2">
      <c r="A6913" s="19" t="s">
        <v>150</v>
      </c>
      <c r="B6913" s="19">
        <v>186.54</v>
      </c>
      <c r="C6913" s="19">
        <v>3</v>
      </c>
      <c r="D6913" s="19">
        <v>50.365800000000007</v>
      </c>
    </row>
    <row r="6914" spans="1:4" x14ac:dyDescent="0.2">
      <c r="A6914" s="19" t="s">
        <v>150</v>
      </c>
      <c r="B6914" s="19">
        <v>159.56</v>
      </c>
      <c r="C6914" s="19">
        <v>4</v>
      </c>
      <c r="D6914" s="19">
        <v>59.037199999999999</v>
      </c>
    </row>
    <row r="6915" spans="1:4" x14ac:dyDescent="0.2">
      <c r="A6915" s="19" t="s">
        <v>151</v>
      </c>
      <c r="B6915" s="19">
        <v>55.984000000000009</v>
      </c>
      <c r="C6915" s="19">
        <v>2</v>
      </c>
      <c r="D6915" s="19">
        <v>4.1987999999999985</v>
      </c>
    </row>
    <row r="6916" spans="1:4" x14ac:dyDescent="0.2">
      <c r="A6916" s="19" t="s">
        <v>159</v>
      </c>
      <c r="B6916" s="19">
        <v>132.16</v>
      </c>
      <c r="C6916" s="19">
        <v>1</v>
      </c>
      <c r="D6916" s="19">
        <v>9.911999999999999</v>
      </c>
    </row>
    <row r="6917" spans="1:4" x14ac:dyDescent="0.2">
      <c r="A6917" s="19" t="s">
        <v>159</v>
      </c>
      <c r="B6917" s="19">
        <v>17.903999999999996</v>
      </c>
      <c r="C6917" s="19">
        <v>6</v>
      </c>
      <c r="D6917" s="19">
        <v>-31.332000000000008</v>
      </c>
    </row>
    <row r="6918" spans="1:4" x14ac:dyDescent="0.2">
      <c r="A6918" s="19" t="s">
        <v>159</v>
      </c>
      <c r="B6918" s="19">
        <v>124.032</v>
      </c>
      <c r="C6918" s="19">
        <v>4</v>
      </c>
      <c r="D6918" s="19">
        <v>44.961600000000004</v>
      </c>
    </row>
    <row r="6919" spans="1:4" x14ac:dyDescent="0.2">
      <c r="A6919" s="19" t="s">
        <v>150</v>
      </c>
      <c r="B6919" s="19">
        <v>1403.9200000000003</v>
      </c>
      <c r="C6919" s="19">
        <v>5</v>
      </c>
      <c r="D6919" s="19">
        <v>70.196000000000026</v>
      </c>
    </row>
    <row r="6920" spans="1:4" x14ac:dyDescent="0.2">
      <c r="A6920" s="19" t="s">
        <v>153</v>
      </c>
      <c r="B6920" s="19">
        <v>28.799999999999997</v>
      </c>
      <c r="C6920" s="19">
        <v>3</v>
      </c>
      <c r="D6920" s="19">
        <v>0.86400000000000077</v>
      </c>
    </row>
    <row r="6921" spans="1:4" x14ac:dyDescent="0.2">
      <c r="A6921" s="19" t="s">
        <v>158</v>
      </c>
      <c r="B6921" s="19">
        <v>24.588000000000001</v>
      </c>
      <c r="C6921" s="19">
        <v>2</v>
      </c>
      <c r="D6921" s="19">
        <v>-18.031199999999998</v>
      </c>
    </row>
    <row r="6922" spans="1:4" x14ac:dyDescent="0.2">
      <c r="A6922" s="19" t="s">
        <v>150</v>
      </c>
      <c r="B6922" s="19">
        <v>356.78999999999996</v>
      </c>
      <c r="C6922" s="19">
        <v>7</v>
      </c>
      <c r="D6922" s="19">
        <v>99.901199999999989</v>
      </c>
    </row>
    <row r="6923" spans="1:4" x14ac:dyDescent="0.2">
      <c r="A6923" s="19" t="s">
        <v>164</v>
      </c>
      <c r="B6923" s="19">
        <v>16.98</v>
      </c>
      <c r="C6923" s="19">
        <v>1</v>
      </c>
      <c r="D6923" s="19">
        <v>8.49</v>
      </c>
    </row>
    <row r="6924" spans="1:4" x14ac:dyDescent="0.2">
      <c r="A6924" s="19" t="s">
        <v>168</v>
      </c>
      <c r="B6924" s="19">
        <v>491.55</v>
      </c>
      <c r="C6924" s="19">
        <v>5</v>
      </c>
      <c r="D6924" s="19">
        <v>240.8595</v>
      </c>
    </row>
    <row r="6925" spans="1:4" x14ac:dyDescent="0.2">
      <c r="A6925" s="19" t="s">
        <v>168</v>
      </c>
      <c r="B6925" s="19">
        <v>7.38</v>
      </c>
      <c r="C6925" s="19">
        <v>2</v>
      </c>
      <c r="D6925" s="19">
        <v>3.3947999999999996</v>
      </c>
    </row>
    <row r="6926" spans="1:4" x14ac:dyDescent="0.2">
      <c r="A6926" s="19" t="s">
        <v>164</v>
      </c>
      <c r="B6926" s="19">
        <v>23.66</v>
      </c>
      <c r="C6926" s="19">
        <v>7</v>
      </c>
      <c r="D6926" s="19">
        <v>10.883599999999998</v>
      </c>
    </row>
    <row r="6927" spans="1:4" x14ac:dyDescent="0.2">
      <c r="A6927" s="19" t="s">
        <v>164</v>
      </c>
      <c r="B6927" s="19">
        <v>681.40800000000013</v>
      </c>
      <c r="C6927" s="19">
        <v>12</v>
      </c>
      <c r="D6927" s="19">
        <v>42.588000000000022</v>
      </c>
    </row>
    <row r="6928" spans="1:4" x14ac:dyDescent="0.2">
      <c r="A6928" s="19" t="s">
        <v>150</v>
      </c>
      <c r="B6928" s="19">
        <v>18.899999999999999</v>
      </c>
      <c r="C6928" s="19">
        <v>3</v>
      </c>
      <c r="D6928" s="19">
        <v>8.6939999999999991</v>
      </c>
    </row>
    <row r="6929" spans="1:4" x14ac:dyDescent="0.2">
      <c r="A6929" s="19" t="s">
        <v>150</v>
      </c>
      <c r="B6929" s="19">
        <v>93.68</v>
      </c>
      <c r="C6929" s="19">
        <v>4</v>
      </c>
      <c r="D6929" s="19">
        <v>25.293599999999998</v>
      </c>
    </row>
    <row r="6930" spans="1:4" x14ac:dyDescent="0.2">
      <c r="A6930" s="19" t="s">
        <v>150</v>
      </c>
      <c r="B6930" s="19">
        <v>21.93</v>
      </c>
      <c r="C6930" s="19">
        <v>3</v>
      </c>
      <c r="D6930" s="19">
        <v>10.307099999999998</v>
      </c>
    </row>
    <row r="6931" spans="1:4" x14ac:dyDescent="0.2">
      <c r="A6931" s="19" t="s">
        <v>150</v>
      </c>
      <c r="B6931" s="19">
        <v>862.34400000000005</v>
      </c>
      <c r="C6931" s="19">
        <v>7</v>
      </c>
      <c r="D6931" s="19">
        <v>97.013699999999858</v>
      </c>
    </row>
    <row r="6932" spans="1:4" x14ac:dyDescent="0.2">
      <c r="A6932" s="19" t="s">
        <v>150</v>
      </c>
      <c r="B6932" s="19">
        <v>19.98</v>
      </c>
      <c r="C6932" s="19">
        <v>1</v>
      </c>
      <c r="D6932" s="19">
        <v>9.3905999999999992</v>
      </c>
    </row>
    <row r="6933" spans="1:4" x14ac:dyDescent="0.2">
      <c r="A6933" s="19" t="s">
        <v>158</v>
      </c>
      <c r="B6933" s="19">
        <v>13.493999999999998</v>
      </c>
      <c r="C6933" s="19">
        <v>1</v>
      </c>
      <c r="D6933" s="19">
        <v>-2.2490000000000023</v>
      </c>
    </row>
    <row r="6934" spans="1:4" x14ac:dyDescent="0.2">
      <c r="A6934" s="19" t="s">
        <v>158</v>
      </c>
      <c r="B6934" s="19">
        <v>23.987999999999996</v>
      </c>
      <c r="C6934" s="19">
        <v>2</v>
      </c>
      <c r="D6934" s="19">
        <v>-13.993000000000004</v>
      </c>
    </row>
    <row r="6935" spans="1:4" x14ac:dyDescent="0.2">
      <c r="A6935" s="19" t="s">
        <v>158</v>
      </c>
      <c r="B6935" s="19">
        <v>31.983999999999998</v>
      </c>
      <c r="C6935" s="19">
        <v>2</v>
      </c>
      <c r="D6935" s="19">
        <v>1.1993999999999998</v>
      </c>
    </row>
    <row r="6936" spans="1:4" x14ac:dyDescent="0.2">
      <c r="A6936" s="19" t="s">
        <v>158</v>
      </c>
      <c r="B6936" s="19">
        <v>41.584000000000003</v>
      </c>
      <c r="C6936" s="19">
        <v>2</v>
      </c>
      <c r="D6936" s="19">
        <v>4.6781999999999968</v>
      </c>
    </row>
    <row r="6937" spans="1:4" x14ac:dyDescent="0.2">
      <c r="A6937" s="19" t="s">
        <v>154</v>
      </c>
      <c r="B6937" s="19">
        <v>95.976000000000013</v>
      </c>
      <c r="C6937" s="19">
        <v>3</v>
      </c>
      <c r="D6937" s="19">
        <v>-10.797300000000011</v>
      </c>
    </row>
    <row r="6938" spans="1:4" x14ac:dyDescent="0.2">
      <c r="A6938" s="19" t="s">
        <v>159</v>
      </c>
      <c r="B6938" s="19">
        <v>84.272000000000006</v>
      </c>
      <c r="C6938" s="19">
        <v>2</v>
      </c>
      <c r="D6938" s="19">
        <v>-75.844800000000006</v>
      </c>
    </row>
    <row r="6939" spans="1:4" x14ac:dyDescent="0.2">
      <c r="A6939" s="19" t="s">
        <v>154</v>
      </c>
      <c r="B6939" s="19">
        <v>36.544000000000004</v>
      </c>
      <c r="C6939" s="19">
        <v>2</v>
      </c>
      <c r="D6939" s="19">
        <v>11.876799999999998</v>
      </c>
    </row>
    <row r="6940" spans="1:4" x14ac:dyDescent="0.2">
      <c r="A6940" s="19" t="s">
        <v>153</v>
      </c>
      <c r="B6940" s="19">
        <v>479.72</v>
      </c>
      <c r="C6940" s="19">
        <v>4</v>
      </c>
      <c r="D6940" s="19">
        <v>52.769200000000012</v>
      </c>
    </row>
    <row r="6941" spans="1:4" x14ac:dyDescent="0.2">
      <c r="A6941" s="19" t="s">
        <v>164</v>
      </c>
      <c r="B6941" s="19">
        <v>102.36799999999999</v>
      </c>
      <c r="C6941" s="19">
        <v>2</v>
      </c>
      <c r="D6941" s="19">
        <v>37.108400000000003</v>
      </c>
    </row>
    <row r="6942" spans="1:4" x14ac:dyDescent="0.2">
      <c r="A6942" s="19" t="s">
        <v>164</v>
      </c>
      <c r="B6942" s="19">
        <v>28.4</v>
      </c>
      <c r="C6942" s="19">
        <v>5</v>
      </c>
      <c r="D6942" s="19">
        <v>8.2359999999999989</v>
      </c>
    </row>
    <row r="6943" spans="1:4" x14ac:dyDescent="0.2">
      <c r="A6943" s="19" t="s">
        <v>164</v>
      </c>
      <c r="B6943" s="19">
        <v>713.88</v>
      </c>
      <c r="C6943" s="19">
        <v>4</v>
      </c>
      <c r="D6943" s="19">
        <v>214.16399999999993</v>
      </c>
    </row>
    <row r="6944" spans="1:4" x14ac:dyDescent="0.2">
      <c r="A6944" s="19" t="s">
        <v>164</v>
      </c>
      <c r="B6944" s="19">
        <v>68.52</v>
      </c>
      <c r="C6944" s="19">
        <v>3</v>
      </c>
      <c r="D6944" s="19">
        <v>31.519199999999998</v>
      </c>
    </row>
    <row r="6945" spans="1:4" x14ac:dyDescent="0.2">
      <c r="A6945" s="19" t="s">
        <v>150</v>
      </c>
      <c r="B6945" s="19">
        <v>623.96</v>
      </c>
      <c r="C6945" s="19">
        <v>5</v>
      </c>
      <c r="D6945" s="19">
        <v>38.997500000000002</v>
      </c>
    </row>
    <row r="6946" spans="1:4" x14ac:dyDescent="0.2">
      <c r="A6946" s="19" t="s">
        <v>162</v>
      </c>
      <c r="B6946" s="19">
        <v>11.12</v>
      </c>
      <c r="C6946" s="19">
        <v>4</v>
      </c>
      <c r="D6946" s="19">
        <v>5.4487999999999994</v>
      </c>
    </row>
    <row r="6947" spans="1:4" x14ac:dyDescent="0.2">
      <c r="A6947" s="19" t="s">
        <v>164</v>
      </c>
      <c r="B6947" s="19">
        <v>523.91999999999996</v>
      </c>
      <c r="C6947" s="19">
        <v>5</v>
      </c>
      <c r="D6947" s="19">
        <v>-26.195999999999984</v>
      </c>
    </row>
    <row r="6948" spans="1:4" x14ac:dyDescent="0.2">
      <c r="A6948" s="19" t="s">
        <v>150</v>
      </c>
      <c r="B6948" s="19">
        <v>2.48</v>
      </c>
      <c r="C6948" s="19">
        <v>2</v>
      </c>
      <c r="D6948" s="19">
        <v>1.1656</v>
      </c>
    </row>
    <row r="6949" spans="1:4" x14ac:dyDescent="0.2">
      <c r="A6949" s="19" t="s">
        <v>159</v>
      </c>
      <c r="B6949" s="19">
        <v>221.024</v>
      </c>
      <c r="C6949" s="19">
        <v>2</v>
      </c>
      <c r="D6949" s="19">
        <v>-55.256</v>
      </c>
    </row>
    <row r="6950" spans="1:4" x14ac:dyDescent="0.2">
      <c r="A6950" s="19" t="s">
        <v>159</v>
      </c>
      <c r="B6950" s="19">
        <v>128.05799999999999</v>
      </c>
      <c r="C6950" s="19">
        <v>3</v>
      </c>
      <c r="D6950" s="19">
        <v>-23.782199999999996</v>
      </c>
    </row>
    <row r="6951" spans="1:4" x14ac:dyDescent="0.2">
      <c r="A6951" s="19" t="s">
        <v>164</v>
      </c>
      <c r="B6951" s="19">
        <v>58.407999999999994</v>
      </c>
      <c r="C6951" s="19">
        <v>7</v>
      </c>
      <c r="D6951" s="19">
        <v>18.252499999999998</v>
      </c>
    </row>
    <row r="6952" spans="1:4" x14ac:dyDescent="0.2">
      <c r="A6952" s="19" t="s">
        <v>164</v>
      </c>
      <c r="B6952" s="19">
        <v>79.97399999999999</v>
      </c>
      <c r="C6952" s="19">
        <v>3</v>
      </c>
      <c r="D6952" s="19">
        <v>-29.323800000000006</v>
      </c>
    </row>
    <row r="6953" spans="1:4" x14ac:dyDescent="0.2">
      <c r="A6953" s="19" t="s">
        <v>154</v>
      </c>
      <c r="B6953" s="19">
        <v>479.988</v>
      </c>
      <c r="C6953" s="19">
        <v>2</v>
      </c>
      <c r="D6953" s="19">
        <v>55.998599999999954</v>
      </c>
    </row>
    <row r="6954" spans="1:4" x14ac:dyDescent="0.2">
      <c r="A6954" s="19" t="s">
        <v>150</v>
      </c>
      <c r="B6954" s="19">
        <v>11.808</v>
      </c>
      <c r="C6954" s="19">
        <v>3</v>
      </c>
      <c r="D6954" s="19">
        <v>4.1327999999999996</v>
      </c>
    </row>
    <row r="6955" spans="1:4" x14ac:dyDescent="0.2">
      <c r="A6955" s="19" t="s">
        <v>150</v>
      </c>
      <c r="B6955" s="19">
        <v>53.567999999999998</v>
      </c>
      <c r="C6955" s="19">
        <v>4</v>
      </c>
      <c r="D6955" s="19">
        <v>19.418399999999995</v>
      </c>
    </row>
    <row r="6956" spans="1:4" x14ac:dyDescent="0.2">
      <c r="A6956" s="19" t="s">
        <v>150</v>
      </c>
      <c r="B6956" s="19">
        <v>503.96000000000004</v>
      </c>
      <c r="C6956" s="19">
        <v>5</v>
      </c>
      <c r="D6956" s="19">
        <v>50.396000000000015</v>
      </c>
    </row>
    <row r="6957" spans="1:4" x14ac:dyDescent="0.2">
      <c r="A6957" s="19" t="s">
        <v>150</v>
      </c>
      <c r="B6957" s="19">
        <v>21.34</v>
      </c>
      <c r="C6957" s="19">
        <v>2</v>
      </c>
      <c r="D6957" s="19">
        <v>9.8163999999999998</v>
      </c>
    </row>
    <row r="6958" spans="1:4" x14ac:dyDescent="0.2">
      <c r="A6958" s="19" t="s">
        <v>101</v>
      </c>
      <c r="B6958" s="19">
        <v>36.4</v>
      </c>
      <c r="C6958" s="19">
        <v>5</v>
      </c>
      <c r="D6958" s="19">
        <v>17.107999999999997</v>
      </c>
    </row>
    <row r="6959" spans="1:4" x14ac:dyDescent="0.2">
      <c r="A6959" s="19" t="s">
        <v>101</v>
      </c>
      <c r="B6959" s="19">
        <v>51.75</v>
      </c>
      <c r="C6959" s="19">
        <v>1</v>
      </c>
      <c r="D6959" s="19">
        <v>15.524999999999999</v>
      </c>
    </row>
    <row r="6960" spans="1:4" x14ac:dyDescent="0.2">
      <c r="A6960" s="19" t="s">
        <v>150</v>
      </c>
      <c r="B6960" s="19">
        <v>15.51</v>
      </c>
      <c r="C6960" s="19">
        <v>1</v>
      </c>
      <c r="D6960" s="19">
        <v>4.3428000000000004</v>
      </c>
    </row>
    <row r="6961" spans="1:4" x14ac:dyDescent="0.2">
      <c r="A6961" s="19" t="s">
        <v>150</v>
      </c>
      <c r="B6961" s="19">
        <v>146.82</v>
      </c>
      <c r="C6961" s="19">
        <v>3</v>
      </c>
      <c r="D6961" s="19">
        <v>73.41</v>
      </c>
    </row>
    <row r="6962" spans="1:4" x14ac:dyDescent="0.2">
      <c r="A6962" s="19" t="s">
        <v>150</v>
      </c>
      <c r="B6962" s="19">
        <v>12.96</v>
      </c>
      <c r="C6962" s="19">
        <v>2</v>
      </c>
      <c r="D6962" s="19">
        <v>6.2208000000000006</v>
      </c>
    </row>
    <row r="6963" spans="1:4" x14ac:dyDescent="0.2">
      <c r="A6963" s="19" t="s">
        <v>150</v>
      </c>
      <c r="B6963" s="19">
        <v>7.8000000000000007</v>
      </c>
      <c r="C6963" s="19">
        <v>3</v>
      </c>
      <c r="D6963" s="19">
        <v>2.1060000000000008</v>
      </c>
    </row>
    <row r="6964" spans="1:4" x14ac:dyDescent="0.2">
      <c r="A6964" s="19" t="s">
        <v>169</v>
      </c>
      <c r="B6964" s="19">
        <v>10.199999999999999</v>
      </c>
      <c r="C6964" s="19">
        <v>5</v>
      </c>
      <c r="D6964" s="19">
        <v>4.7939999999999996</v>
      </c>
    </row>
    <row r="6965" spans="1:4" x14ac:dyDescent="0.2">
      <c r="A6965" s="19" t="s">
        <v>169</v>
      </c>
      <c r="B6965" s="19">
        <v>22.32</v>
      </c>
      <c r="C6965" s="19">
        <v>3</v>
      </c>
      <c r="D6965" s="19">
        <v>5.580000000000001</v>
      </c>
    </row>
    <row r="6966" spans="1:4" x14ac:dyDescent="0.2">
      <c r="A6966" s="19" t="s">
        <v>169</v>
      </c>
      <c r="B6966" s="19">
        <v>24.1</v>
      </c>
      <c r="C6966" s="19">
        <v>5</v>
      </c>
      <c r="D6966" s="19">
        <v>11.086</v>
      </c>
    </row>
    <row r="6967" spans="1:4" x14ac:dyDescent="0.2">
      <c r="A6967" s="19" t="s">
        <v>169</v>
      </c>
      <c r="B6967" s="19">
        <v>75.98</v>
      </c>
      <c r="C6967" s="19">
        <v>2</v>
      </c>
      <c r="D6967" s="19">
        <v>18.235199999999999</v>
      </c>
    </row>
    <row r="6968" spans="1:4" x14ac:dyDescent="0.2">
      <c r="A6968" s="19" t="s">
        <v>169</v>
      </c>
      <c r="B6968" s="19">
        <v>6.46</v>
      </c>
      <c r="C6968" s="19">
        <v>2</v>
      </c>
      <c r="D6968" s="19">
        <v>3.1654</v>
      </c>
    </row>
    <row r="6969" spans="1:4" x14ac:dyDescent="0.2">
      <c r="A6969" s="19" t="s">
        <v>169</v>
      </c>
      <c r="B6969" s="19">
        <v>60.12</v>
      </c>
      <c r="C6969" s="19">
        <v>9</v>
      </c>
      <c r="D6969" s="19">
        <v>28.857599999999998</v>
      </c>
    </row>
    <row r="6970" spans="1:4" x14ac:dyDescent="0.2">
      <c r="A6970" s="19" t="s">
        <v>164</v>
      </c>
      <c r="B6970" s="19">
        <v>824.97</v>
      </c>
      <c r="C6970" s="19">
        <v>3</v>
      </c>
      <c r="D6970" s="19">
        <v>214.4922</v>
      </c>
    </row>
    <row r="6971" spans="1:4" x14ac:dyDescent="0.2">
      <c r="A6971" s="19" t="s">
        <v>153</v>
      </c>
      <c r="B6971" s="19">
        <v>24.849999999999998</v>
      </c>
      <c r="C6971" s="19">
        <v>5</v>
      </c>
      <c r="D6971" s="19">
        <v>7.7034999999999982</v>
      </c>
    </row>
    <row r="6972" spans="1:4" x14ac:dyDescent="0.2">
      <c r="A6972" s="19" t="s">
        <v>165</v>
      </c>
      <c r="B6972" s="19">
        <v>12.624000000000001</v>
      </c>
      <c r="C6972" s="19">
        <v>2</v>
      </c>
      <c r="D6972" s="19">
        <v>-2.5248000000000022</v>
      </c>
    </row>
    <row r="6973" spans="1:4" x14ac:dyDescent="0.2">
      <c r="A6973" s="19" t="s">
        <v>165</v>
      </c>
      <c r="B6973" s="19">
        <v>89.584000000000003</v>
      </c>
      <c r="C6973" s="19">
        <v>2</v>
      </c>
      <c r="D6973" s="19">
        <v>4.4792000000000058</v>
      </c>
    </row>
    <row r="6974" spans="1:4" x14ac:dyDescent="0.2">
      <c r="A6974" s="19" t="s">
        <v>165</v>
      </c>
      <c r="B6974" s="19">
        <v>471.92</v>
      </c>
      <c r="C6974" s="19">
        <v>2</v>
      </c>
      <c r="D6974" s="19">
        <v>29.495000000000019</v>
      </c>
    </row>
    <row r="6975" spans="1:4" x14ac:dyDescent="0.2">
      <c r="A6975" s="19" t="s">
        <v>165</v>
      </c>
      <c r="B6975" s="19">
        <v>18.180000000000003</v>
      </c>
      <c r="C6975" s="19">
        <v>4</v>
      </c>
      <c r="D6975" s="19">
        <v>-13.938000000000002</v>
      </c>
    </row>
    <row r="6976" spans="1:4" x14ac:dyDescent="0.2">
      <c r="A6976" s="19" t="s">
        <v>154</v>
      </c>
      <c r="B6976" s="19">
        <v>31.744</v>
      </c>
      <c r="C6976" s="19">
        <v>2</v>
      </c>
      <c r="D6976" s="19">
        <v>8.3328000000000024</v>
      </c>
    </row>
    <row r="6977" spans="1:4" x14ac:dyDescent="0.2">
      <c r="A6977" s="19" t="s">
        <v>165</v>
      </c>
      <c r="B6977" s="19">
        <v>5.9039999999999999</v>
      </c>
      <c r="C6977" s="19">
        <v>2</v>
      </c>
      <c r="D6977" s="19">
        <v>1.9925999999999999</v>
      </c>
    </row>
    <row r="6978" spans="1:4" x14ac:dyDescent="0.2">
      <c r="A6978" s="19" t="s">
        <v>165</v>
      </c>
      <c r="B6978" s="19">
        <v>621.7600000000001</v>
      </c>
      <c r="C6978" s="19">
        <v>4</v>
      </c>
      <c r="D6978" s="19">
        <v>46.631999999999977</v>
      </c>
    </row>
    <row r="6979" spans="1:4" x14ac:dyDescent="0.2">
      <c r="A6979" s="19" t="s">
        <v>184</v>
      </c>
      <c r="B6979" s="19">
        <v>59.98</v>
      </c>
      <c r="C6979" s="19">
        <v>2</v>
      </c>
      <c r="D6979" s="19">
        <v>17.993999999999993</v>
      </c>
    </row>
    <row r="6980" spans="1:4" x14ac:dyDescent="0.2">
      <c r="A6980" s="19" t="s">
        <v>101</v>
      </c>
      <c r="B6980" s="19">
        <v>48.87</v>
      </c>
      <c r="C6980" s="19">
        <v>9</v>
      </c>
      <c r="D6980" s="19">
        <v>23.946299999999997</v>
      </c>
    </row>
    <row r="6981" spans="1:4" x14ac:dyDescent="0.2">
      <c r="A6981" s="19" t="s">
        <v>150</v>
      </c>
      <c r="B6981" s="19">
        <v>154.9</v>
      </c>
      <c r="C6981" s="19">
        <v>5</v>
      </c>
      <c r="D6981" s="19">
        <v>69.704999999999998</v>
      </c>
    </row>
    <row r="6982" spans="1:4" x14ac:dyDescent="0.2">
      <c r="A6982" s="19" t="s">
        <v>164</v>
      </c>
      <c r="B6982" s="19">
        <v>5.92</v>
      </c>
      <c r="C6982" s="19">
        <v>4</v>
      </c>
      <c r="D6982" s="19">
        <v>2.8415999999999997</v>
      </c>
    </row>
    <row r="6983" spans="1:4" x14ac:dyDescent="0.2">
      <c r="A6983" s="19" t="s">
        <v>164</v>
      </c>
      <c r="B6983" s="19">
        <v>30.18</v>
      </c>
      <c r="C6983" s="19">
        <v>3</v>
      </c>
      <c r="D6983" s="19">
        <v>13.8828</v>
      </c>
    </row>
    <row r="6984" spans="1:4" x14ac:dyDescent="0.2">
      <c r="A6984" s="19" t="s">
        <v>161</v>
      </c>
      <c r="B6984" s="19">
        <v>24.1</v>
      </c>
      <c r="C6984" s="19">
        <v>5</v>
      </c>
      <c r="D6984" s="19">
        <v>11.086</v>
      </c>
    </row>
    <row r="6985" spans="1:4" x14ac:dyDescent="0.2">
      <c r="A6985" s="19" t="s">
        <v>161</v>
      </c>
      <c r="B6985" s="19">
        <v>8.7799999999999994</v>
      </c>
      <c r="C6985" s="19">
        <v>1</v>
      </c>
      <c r="D6985" s="19">
        <v>2.2827999999999999</v>
      </c>
    </row>
    <row r="6986" spans="1:4" x14ac:dyDescent="0.2">
      <c r="A6986" s="19" t="s">
        <v>161</v>
      </c>
      <c r="B6986" s="19">
        <v>376.74</v>
      </c>
      <c r="C6986" s="19">
        <v>4</v>
      </c>
      <c r="D6986" s="19">
        <v>71.161999999999978</v>
      </c>
    </row>
    <row r="6987" spans="1:4" x14ac:dyDescent="0.2">
      <c r="A6987" s="19" t="s">
        <v>161</v>
      </c>
      <c r="B6987" s="19">
        <v>29.52</v>
      </c>
      <c r="C6987" s="19">
        <v>4</v>
      </c>
      <c r="D6987" s="19">
        <v>14.4648</v>
      </c>
    </row>
    <row r="6988" spans="1:4" x14ac:dyDescent="0.2">
      <c r="A6988" s="19" t="s">
        <v>161</v>
      </c>
      <c r="B6988" s="19">
        <v>11.96</v>
      </c>
      <c r="C6988" s="19">
        <v>2</v>
      </c>
      <c r="D6988" s="19">
        <v>2.99</v>
      </c>
    </row>
    <row r="6989" spans="1:4" x14ac:dyDescent="0.2">
      <c r="A6989" s="19" t="s">
        <v>161</v>
      </c>
      <c r="B6989" s="19">
        <v>26.400000000000002</v>
      </c>
      <c r="C6989" s="19">
        <v>5</v>
      </c>
      <c r="D6989" s="19">
        <v>12.672000000000001</v>
      </c>
    </row>
    <row r="6990" spans="1:4" x14ac:dyDescent="0.2">
      <c r="A6990" s="19" t="s">
        <v>151</v>
      </c>
      <c r="B6990" s="19">
        <v>1158.1199999999999</v>
      </c>
      <c r="C6990" s="19">
        <v>5</v>
      </c>
      <c r="D6990" s="19">
        <v>130.28849999999983</v>
      </c>
    </row>
    <row r="6991" spans="1:4" x14ac:dyDescent="0.2">
      <c r="A6991" s="19" t="s">
        <v>154</v>
      </c>
      <c r="B6991" s="19">
        <v>1.3919999999999997</v>
      </c>
      <c r="C6991" s="19">
        <v>2</v>
      </c>
      <c r="D6991" s="19">
        <v>-3.7584000000000009</v>
      </c>
    </row>
    <row r="6992" spans="1:4" x14ac:dyDescent="0.2">
      <c r="A6992" s="19" t="s">
        <v>166</v>
      </c>
      <c r="B6992" s="19">
        <v>44.43</v>
      </c>
      <c r="C6992" s="19">
        <v>3</v>
      </c>
      <c r="D6992" s="19">
        <v>18.660600000000002</v>
      </c>
    </row>
    <row r="6993" spans="1:4" x14ac:dyDescent="0.2">
      <c r="A6993" s="19" t="s">
        <v>166</v>
      </c>
      <c r="B6993" s="19">
        <v>226.20000000000002</v>
      </c>
      <c r="C6993" s="19">
        <v>5</v>
      </c>
      <c r="D6993" s="19">
        <v>58.811999999999998</v>
      </c>
    </row>
    <row r="6994" spans="1:4" x14ac:dyDescent="0.2">
      <c r="A6994" s="19" t="s">
        <v>166</v>
      </c>
      <c r="B6994" s="19">
        <v>186.54</v>
      </c>
      <c r="C6994" s="19">
        <v>3</v>
      </c>
      <c r="D6994" s="19">
        <v>41.038800000000002</v>
      </c>
    </row>
    <row r="6995" spans="1:4" x14ac:dyDescent="0.2">
      <c r="A6995" s="19" t="s">
        <v>166</v>
      </c>
      <c r="B6995" s="19">
        <v>265.85999999999996</v>
      </c>
      <c r="C6995" s="19">
        <v>7</v>
      </c>
      <c r="D6995" s="19">
        <v>79.757999999999967</v>
      </c>
    </row>
    <row r="6996" spans="1:4" x14ac:dyDescent="0.2">
      <c r="A6996" s="19" t="s">
        <v>166</v>
      </c>
      <c r="B6996" s="19">
        <v>27.9</v>
      </c>
      <c r="C6996" s="19">
        <v>5</v>
      </c>
      <c r="D6996" s="19">
        <v>6.9749999999999979</v>
      </c>
    </row>
    <row r="6997" spans="1:4" x14ac:dyDescent="0.2">
      <c r="A6997" s="19" t="s">
        <v>181</v>
      </c>
      <c r="B6997" s="19">
        <v>31.08</v>
      </c>
      <c r="C6997" s="19">
        <v>4</v>
      </c>
      <c r="D6997" s="19">
        <v>8.3916000000000004</v>
      </c>
    </row>
    <row r="6998" spans="1:4" x14ac:dyDescent="0.2">
      <c r="A6998" s="19" t="s">
        <v>159</v>
      </c>
      <c r="B6998" s="19">
        <v>13.839999999999998</v>
      </c>
      <c r="C6998" s="19">
        <v>4</v>
      </c>
      <c r="D6998" s="19">
        <v>-22.144000000000005</v>
      </c>
    </row>
    <row r="6999" spans="1:4" x14ac:dyDescent="0.2">
      <c r="A6999" s="19" t="s">
        <v>159</v>
      </c>
      <c r="B6999" s="19">
        <v>175.87200000000001</v>
      </c>
      <c r="C6999" s="19">
        <v>4</v>
      </c>
      <c r="D6999" s="19">
        <v>63.753599999999992</v>
      </c>
    </row>
    <row r="7000" spans="1:4" x14ac:dyDescent="0.2">
      <c r="A7000" s="19" t="s">
        <v>150</v>
      </c>
      <c r="B7000" s="19">
        <v>12.96</v>
      </c>
      <c r="C7000" s="19">
        <v>2</v>
      </c>
      <c r="D7000" s="19">
        <v>6.3504000000000005</v>
      </c>
    </row>
    <row r="7001" spans="1:4" x14ac:dyDescent="0.2">
      <c r="A7001" s="19" t="s">
        <v>149</v>
      </c>
      <c r="B7001" s="19">
        <v>208.44</v>
      </c>
      <c r="C7001" s="19">
        <v>3</v>
      </c>
      <c r="D7001" s="19">
        <v>62.531999999999982</v>
      </c>
    </row>
    <row r="7002" spans="1:4" x14ac:dyDescent="0.2">
      <c r="A7002" s="19" t="s">
        <v>149</v>
      </c>
      <c r="B7002" s="19">
        <v>25.76</v>
      </c>
      <c r="C7002" s="19">
        <v>2</v>
      </c>
      <c r="D7002" s="19">
        <v>0.77280000000000015</v>
      </c>
    </row>
    <row r="7003" spans="1:4" x14ac:dyDescent="0.2">
      <c r="A7003" s="19" t="s">
        <v>159</v>
      </c>
      <c r="B7003" s="19">
        <v>366.74399999999997</v>
      </c>
      <c r="C7003" s="19">
        <v>4</v>
      </c>
      <c r="D7003" s="19">
        <v>-110.02320000000003</v>
      </c>
    </row>
    <row r="7004" spans="1:4" x14ac:dyDescent="0.2">
      <c r="A7004" s="19" t="s">
        <v>150</v>
      </c>
      <c r="B7004" s="19">
        <v>289.24</v>
      </c>
      <c r="C7004" s="19">
        <v>7</v>
      </c>
      <c r="D7004" s="19">
        <v>26.031600000000012</v>
      </c>
    </row>
    <row r="7005" spans="1:4" x14ac:dyDescent="0.2">
      <c r="A7005" s="19" t="s">
        <v>150</v>
      </c>
      <c r="B7005" s="19">
        <v>69.456000000000003</v>
      </c>
      <c r="C7005" s="19">
        <v>2</v>
      </c>
      <c r="D7005" s="19">
        <v>22.573199999999996</v>
      </c>
    </row>
    <row r="7006" spans="1:4" x14ac:dyDescent="0.2">
      <c r="A7006" s="19" t="s">
        <v>154</v>
      </c>
      <c r="B7006" s="19">
        <v>5.1840000000000011</v>
      </c>
      <c r="C7006" s="19">
        <v>1</v>
      </c>
      <c r="D7006" s="19">
        <v>1.8144</v>
      </c>
    </row>
    <row r="7007" spans="1:4" x14ac:dyDescent="0.2">
      <c r="A7007" s="19" t="s">
        <v>164</v>
      </c>
      <c r="B7007" s="19">
        <v>205.16400000000002</v>
      </c>
      <c r="C7007" s="19">
        <v>2</v>
      </c>
      <c r="D7007" s="19">
        <v>13.677600000000002</v>
      </c>
    </row>
    <row r="7008" spans="1:4" x14ac:dyDescent="0.2">
      <c r="A7008" s="19" t="s">
        <v>159</v>
      </c>
      <c r="B7008" s="19">
        <v>8.5440000000000005</v>
      </c>
      <c r="C7008" s="19">
        <v>2</v>
      </c>
      <c r="D7008" s="19">
        <v>-7.4759999999999991</v>
      </c>
    </row>
    <row r="7009" spans="1:4" x14ac:dyDescent="0.2">
      <c r="A7009" s="19" t="s">
        <v>173</v>
      </c>
      <c r="B7009" s="19">
        <v>12.828000000000001</v>
      </c>
      <c r="C7009" s="19">
        <v>2</v>
      </c>
      <c r="D7009" s="19">
        <v>-8.9795999999999978</v>
      </c>
    </row>
    <row r="7010" spans="1:4" x14ac:dyDescent="0.2">
      <c r="A7010" s="19" t="s">
        <v>173</v>
      </c>
      <c r="B7010" s="19">
        <v>598.45799999999997</v>
      </c>
      <c r="C7010" s="19">
        <v>3</v>
      </c>
      <c r="D7010" s="19">
        <v>-42.746999999999957</v>
      </c>
    </row>
    <row r="7011" spans="1:4" x14ac:dyDescent="0.2">
      <c r="A7011" s="19" t="s">
        <v>173</v>
      </c>
      <c r="B7011" s="19">
        <v>25.983999999999998</v>
      </c>
      <c r="C7011" s="19">
        <v>1</v>
      </c>
      <c r="D7011" s="19">
        <v>-3.8976000000000015</v>
      </c>
    </row>
    <row r="7012" spans="1:4" x14ac:dyDescent="0.2">
      <c r="A7012" s="19" t="s">
        <v>164</v>
      </c>
      <c r="B7012" s="19">
        <v>17.96</v>
      </c>
      <c r="C7012" s="19">
        <v>5</v>
      </c>
      <c r="D7012" s="19">
        <v>5.8369999999999997</v>
      </c>
    </row>
    <row r="7013" spans="1:4" x14ac:dyDescent="0.2">
      <c r="A7013" s="19" t="s">
        <v>164</v>
      </c>
      <c r="B7013" s="19">
        <v>5.04</v>
      </c>
      <c r="C7013" s="19">
        <v>2</v>
      </c>
      <c r="D7013" s="19">
        <v>0.15120000000000022</v>
      </c>
    </row>
    <row r="7014" spans="1:4" x14ac:dyDescent="0.2">
      <c r="A7014" s="19" t="s">
        <v>164</v>
      </c>
      <c r="B7014" s="19">
        <v>208.16</v>
      </c>
      <c r="C7014" s="19">
        <v>1</v>
      </c>
      <c r="D7014" s="19">
        <v>56.20320000000001</v>
      </c>
    </row>
    <row r="7015" spans="1:4" x14ac:dyDescent="0.2">
      <c r="A7015" s="19" t="s">
        <v>150</v>
      </c>
      <c r="B7015" s="19">
        <v>148.25700000000001</v>
      </c>
      <c r="C7015" s="19">
        <v>3</v>
      </c>
      <c r="D7015" s="19">
        <v>15.697800000000004</v>
      </c>
    </row>
    <row r="7016" spans="1:4" x14ac:dyDescent="0.2">
      <c r="A7016" s="19" t="s">
        <v>149</v>
      </c>
      <c r="B7016" s="19">
        <v>146.76</v>
      </c>
      <c r="C7016" s="19">
        <v>3</v>
      </c>
      <c r="D7016" s="19">
        <v>38.157600000000002</v>
      </c>
    </row>
    <row r="7017" spans="1:4" x14ac:dyDescent="0.2">
      <c r="A7017" s="19" t="s">
        <v>149</v>
      </c>
      <c r="B7017" s="19">
        <v>32.96</v>
      </c>
      <c r="C7017" s="19">
        <v>2</v>
      </c>
      <c r="D7017" s="19">
        <v>14.172800000000002</v>
      </c>
    </row>
    <row r="7018" spans="1:4" x14ac:dyDescent="0.2">
      <c r="A7018" s="19" t="s">
        <v>149</v>
      </c>
      <c r="B7018" s="19">
        <v>587.97</v>
      </c>
      <c r="C7018" s="19">
        <v>3</v>
      </c>
      <c r="D7018" s="19">
        <v>164.63160000000005</v>
      </c>
    </row>
    <row r="7019" spans="1:4" x14ac:dyDescent="0.2">
      <c r="A7019" s="19" t="s">
        <v>149</v>
      </c>
      <c r="B7019" s="19">
        <v>14.940000000000001</v>
      </c>
      <c r="C7019" s="19">
        <v>3</v>
      </c>
      <c r="D7019" s="19">
        <v>7.0218000000000007</v>
      </c>
    </row>
    <row r="7020" spans="1:4" x14ac:dyDescent="0.2">
      <c r="A7020" s="19" t="s">
        <v>164</v>
      </c>
      <c r="B7020" s="19">
        <v>25.83</v>
      </c>
      <c r="C7020" s="19">
        <v>7</v>
      </c>
      <c r="D7020" s="19">
        <v>12.1401</v>
      </c>
    </row>
    <row r="7021" spans="1:4" x14ac:dyDescent="0.2">
      <c r="A7021" s="19" t="s">
        <v>171</v>
      </c>
      <c r="B7021" s="19">
        <v>15.552000000000003</v>
      </c>
      <c r="C7021" s="19">
        <v>3</v>
      </c>
      <c r="D7021" s="19">
        <v>5.4432</v>
      </c>
    </row>
    <row r="7022" spans="1:4" x14ac:dyDescent="0.2">
      <c r="A7022" s="19" t="s">
        <v>171</v>
      </c>
      <c r="B7022" s="19">
        <v>6.8000000000000007</v>
      </c>
      <c r="C7022" s="19">
        <v>1</v>
      </c>
      <c r="D7022" s="19">
        <v>0.50999999999999979</v>
      </c>
    </row>
    <row r="7023" spans="1:4" x14ac:dyDescent="0.2">
      <c r="A7023" s="19" t="s">
        <v>171</v>
      </c>
      <c r="B7023" s="19">
        <v>4.2240000000000002</v>
      </c>
      <c r="C7023" s="19">
        <v>3</v>
      </c>
      <c r="D7023" s="19">
        <v>1.2672000000000003</v>
      </c>
    </row>
    <row r="7024" spans="1:4" x14ac:dyDescent="0.2">
      <c r="A7024" s="19" t="s">
        <v>171</v>
      </c>
      <c r="B7024" s="19">
        <v>143.64000000000001</v>
      </c>
      <c r="C7024" s="19">
        <v>9</v>
      </c>
      <c r="D7024" s="19">
        <v>10.772999999999989</v>
      </c>
    </row>
    <row r="7025" spans="1:4" x14ac:dyDescent="0.2">
      <c r="A7025" s="19" t="s">
        <v>171</v>
      </c>
      <c r="B7025" s="19">
        <v>31.104000000000006</v>
      </c>
      <c r="C7025" s="19">
        <v>6</v>
      </c>
      <c r="D7025" s="19">
        <v>10.8864</v>
      </c>
    </row>
    <row r="7026" spans="1:4" x14ac:dyDescent="0.2">
      <c r="A7026" s="19" t="s">
        <v>171</v>
      </c>
      <c r="B7026" s="19">
        <v>223.05600000000001</v>
      </c>
      <c r="C7026" s="19">
        <v>9</v>
      </c>
      <c r="D7026" s="19">
        <v>69.704999999999984</v>
      </c>
    </row>
    <row r="7027" spans="1:4" x14ac:dyDescent="0.2">
      <c r="A7027" s="19" t="s">
        <v>164</v>
      </c>
      <c r="B7027" s="19">
        <v>227.45999999999998</v>
      </c>
      <c r="C7027" s="19">
        <v>6</v>
      </c>
      <c r="D7027" s="19">
        <v>65.963399999999979</v>
      </c>
    </row>
    <row r="7028" spans="1:4" x14ac:dyDescent="0.2">
      <c r="A7028" s="19" t="s">
        <v>164</v>
      </c>
      <c r="B7028" s="19">
        <v>46.24</v>
      </c>
      <c r="C7028" s="19">
        <v>4</v>
      </c>
      <c r="D7028" s="19">
        <v>15.605999999999996</v>
      </c>
    </row>
    <row r="7029" spans="1:4" x14ac:dyDescent="0.2">
      <c r="A7029" s="19" t="s">
        <v>164</v>
      </c>
      <c r="B7029" s="19">
        <v>5.22</v>
      </c>
      <c r="C7029" s="19">
        <v>2</v>
      </c>
      <c r="D7029" s="19">
        <v>2.4011999999999998</v>
      </c>
    </row>
    <row r="7030" spans="1:4" x14ac:dyDescent="0.2">
      <c r="A7030" s="19" t="s">
        <v>157</v>
      </c>
      <c r="B7030" s="19">
        <v>33.9</v>
      </c>
      <c r="C7030" s="19">
        <v>5</v>
      </c>
      <c r="D7030" s="19">
        <v>15.593999999999999</v>
      </c>
    </row>
    <row r="7031" spans="1:4" x14ac:dyDescent="0.2">
      <c r="A7031" s="19" t="s">
        <v>164</v>
      </c>
      <c r="B7031" s="19">
        <v>28.14</v>
      </c>
      <c r="C7031" s="19">
        <v>3</v>
      </c>
      <c r="D7031" s="19">
        <v>7.8792000000000009</v>
      </c>
    </row>
    <row r="7032" spans="1:4" x14ac:dyDescent="0.2">
      <c r="A7032" s="19" t="s">
        <v>164</v>
      </c>
      <c r="B7032" s="19">
        <v>36</v>
      </c>
      <c r="C7032" s="19">
        <v>2</v>
      </c>
      <c r="D7032" s="19">
        <v>6.4799999999999969</v>
      </c>
    </row>
    <row r="7033" spans="1:4" x14ac:dyDescent="0.2">
      <c r="A7033" s="19" t="s">
        <v>164</v>
      </c>
      <c r="B7033" s="19">
        <v>92.94</v>
      </c>
      <c r="C7033" s="19">
        <v>3</v>
      </c>
      <c r="D7033" s="19">
        <v>25.093799999999998</v>
      </c>
    </row>
    <row r="7034" spans="1:4" x14ac:dyDescent="0.2">
      <c r="A7034" s="19" t="s">
        <v>164</v>
      </c>
      <c r="B7034" s="19">
        <v>245.64600000000002</v>
      </c>
      <c r="C7034" s="19">
        <v>3</v>
      </c>
      <c r="D7034" s="19">
        <v>8.1881999999999877</v>
      </c>
    </row>
    <row r="7035" spans="1:4" x14ac:dyDescent="0.2">
      <c r="A7035" s="19" t="s">
        <v>164</v>
      </c>
      <c r="B7035" s="19">
        <v>55.00800000000001</v>
      </c>
      <c r="C7035" s="19">
        <v>3</v>
      </c>
      <c r="D7035" s="19">
        <v>17.189999999999998</v>
      </c>
    </row>
    <row r="7036" spans="1:4" x14ac:dyDescent="0.2">
      <c r="A7036" s="19" t="s">
        <v>164</v>
      </c>
      <c r="B7036" s="19">
        <v>35.231999999999999</v>
      </c>
      <c r="C7036" s="19">
        <v>3</v>
      </c>
      <c r="D7036" s="19">
        <v>11.450399999999998</v>
      </c>
    </row>
    <row r="7037" spans="1:4" x14ac:dyDescent="0.2">
      <c r="A7037" s="19" t="s">
        <v>150</v>
      </c>
      <c r="B7037" s="19">
        <v>523.39200000000005</v>
      </c>
      <c r="C7037" s="19">
        <v>3</v>
      </c>
      <c r="D7037" s="19">
        <v>52.339199999999977</v>
      </c>
    </row>
    <row r="7038" spans="1:4" x14ac:dyDescent="0.2">
      <c r="A7038" s="19" t="s">
        <v>151</v>
      </c>
      <c r="B7038" s="19">
        <v>479.98400000000004</v>
      </c>
      <c r="C7038" s="19">
        <v>2</v>
      </c>
      <c r="D7038" s="19">
        <v>89.996999999999986</v>
      </c>
    </row>
    <row r="7039" spans="1:4" x14ac:dyDescent="0.2">
      <c r="A7039" s="19" t="s">
        <v>101</v>
      </c>
      <c r="B7039" s="19">
        <v>12.96</v>
      </c>
      <c r="C7039" s="19">
        <v>2</v>
      </c>
      <c r="D7039" s="19">
        <v>6.2208000000000006</v>
      </c>
    </row>
    <row r="7040" spans="1:4" x14ac:dyDescent="0.2">
      <c r="A7040" s="19" t="s">
        <v>101</v>
      </c>
      <c r="B7040" s="19">
        <v>17.940000000000001</v>
      </c>
      <c r="C7040" s="19">
        <v>3</v>
      </c>
      <c r="D7040" s="19">
        <v>6.4584000000000001</v>
      </c>
    </row>
    <row r="7041" spans="1:4" x14ac:dyDescent="0.2">
      <c r="A7041" s="19" t="s">
        <v>164</v>
      </c>
      <c r="B7041" s="19">
        <v>166.72</v>
      </c>
      <c r="C7041" s="19">
        <v>2</v>
      </c>
      <c r="D7041" s="19">
        <v>41.680000000000007</v>
      </c>
    </row>
    <row r="7042" spans="1:4" x14ac:dyDescent="0.2">
      <c r="A7042" s="19" t="s">
        <v>164</v>
      </c>
      <c r="B7042" s="19">
        <v>24.816000000000003</v>
      </c>
      <c r="C7042" s="19">
        <v>3</v>
      </c>
      <c r="D7042" s="19">
        <v>8.3753999999999991</v>
      </c>
    </row>
    <row r="7043" spans="1:4" x14ac:dyDescent="0.2">
      <c r="A7043" s="19" t="s">
        <v>164</v>
      </c>
      <c r="B7043" s="19">
        <v>124.36</v>
      </c>
      <c r="C7043" s="19">
        <v>2</v>
      </c>
      <c r="D7043" s="19">
        <v>27.359200000000001</v>
      </c>
    </row>
    <row r="7044" spans="1:4" x14ac:dyDescent="0.2">
      <c r="A7044" s="19" t="s">
        <v>158</v>
      </c>
      <c r="B7044" s="19">
        <v>599.97</v>
      </c>
      <c r="C7044" s="19">
        <v>5</v>
      </c>
      <c r="D7044" s="19">
        <v>69.996499999999969</v>
      </c>
    </row>
    <row r="7045" spans="1:4" x14ac:dyDescent="0.2">
      <c r="A7045" s="19" t="s">
        <v>158</v>
      </c>
      <c r="B7045" s="19">
        <v>198.744</v>
      </c>
      <c r="C7045" s="19">
        <v>4</v>
      </c>
      <c r="D7045" s="19">
        <v>-14.195999999999984</v>
      </c>
    </row>
    <row r="7046" spans="1:4" x14ac:dyDescent="0.2">
      <c r="A7046" s="19" t="s">
        <v>158</v>
      </c>
      <c r="B7046" s="19">
        <v>9.1840000000000011</v>
      </c>
      <c r="C7046" s="19">
        <v>2</v>
      </c>
      <c r="D7046" s="19">
        <v>1.1479999999999988</v>
      </c>
    </row>
    <row r="7047" spans="1:4" x14ac:dyDescent="0.2">
      <c r="A7047" s="19" t="s">
        <v>154</v>
      </c>
      <c r="B7047" s="19">
        <v>9.2480000000000011</v>
      </c>
      <c r="C7047" s="19">
        <v>2</v>
      </c>
      <c r="D7047" s="19">
        <v>3.3524000000000003</v>
      </c>
    </row>
    <row r="7048" spans="1:4" x14ac:dyDescent="0.2">
      <c r="A7048" s="19" t="s">
        <v>150</v>
      </c>
      <c r="B7048" s="19">
        <v>99.591999999999999</v>
      </c>
      <c r="C7048" s="19">
        <v>1</v>
      </c>
      <c r="D7048" s="19">
        <v>2.4897999999999989</v>
      </c>
    </row>
    <row r="7049" spans="1:4" x14ac:dyDescent="0.2">
      <c r="A7049" s="19" t="s">
        <v>150</v>
      </c>
      <c r="B7049" s="19">
        <v>399.96</v>
      </c>
      <c r="C7049" s="19">
        <v>4</v>
      </c>
      <c r="D7049" s="19">
        <v>139.98599999999999</v>
      </c>
    </row>
    <row r="7050" spans="1:4" x14ac:dyDescent="0.2">
      <c r="A7050" s="19" t="s">
        <v>167</v>
      </c>
      <c r="B7050" s="19">
        <v>15.552000000000003</v>
      </c>
      <c r="C7050" s="19">
        <v>3</v>
      </c>
      <c r="D7050" s="19">
        <v>5.4432</v>
      </c>
    </row>
    <row r="7051" spans="1:4" x14ac:dyDescent="0.2">
      <c r="A7051" s="19" t="s">
        <v>171</v>
      </c>
      <c r="B7051" s="19">
        <v>14.576000000000001</v>
      </c>
      <c r="C7051" s="19">
        <v>2</v>
      </c>
      <c r="D7051" s="19">
        <v>2.3685999999999989</v>
      </c>
    </row>
    <row r="7052" spans="1:4" x14ac:dyDescent="0.2">
      <c r="A7052" s="19" t="s">
        <v>150</v>
      </c>
      <c r="B7052" s="19">
        <v>209.60000000000002</v>
      </c>
      <c r="C7052" s="19">
        <v>5</v>
      </c>
      <c r="D7052" s="19">
        <v>68.11999999999999</v>
      </c>
    </row>
    <row r="7053" spans="1:4" x14ac:dyDescent="0.2">
      <c r="A7053" s="19" t="s">
        <v>150</v>
      </c>
      <c r="B7053" s="19">
        <v>23.32</v>
      </c>
      <c r="C7053" s="19">
        <v>2</v>
      </c>
      <c r="D7053" s="19">
        <v>6.0632000000000019</v>
      </c>
    </row>
    <row r="7054" spans="1:4" x14ac:dyDescent="0.2">
      <c r="A7054" s="19" t="s">
        <v>150</v>
      </c>
      <c r="B7054" s="19">
        <v>30.98</v>
      </c>
      <c r="C7054" s="19">
        <v>1</v>
      </c>
      <c r="D7054" s="19">
        <v>13.940999999999999</v>
      </c>
    </row>
    <row r="7055" spans="1:4" x14ac:dyDescent="0.2">
      <c r="A7055" s="19" t="s">
        <v>150</v>
      </c>
      <c r="B7055" s="19">
        <v>119.96</v>
      </c>
      <c r="C7055" s="19">
        <v>4</v>
      </c>
      <c r="D7055" s="19">
        <v>25.191599999999994</v>
      </c>
    </row>
    <row r="7056" spans="1:4" x14ac:dyDescent="0.2">
      <c r="A7056" s="19" t="s">
        <v>150</v>
      </c>
      <c r="B7056" s="19">
        <v>363.92</v>
      </c>
      <c r="C7056" s="19">
        <v>5</v>
      </c>
      <c r="D7056" s="19">
        <v>-31.843000000000018</v>
      </c>
    </row>
    <row r="7057" spans="1:4" x14ac:dyDescent="0.2">
      <c r="A7057" s="19" t="s">
        <v>150</v>
      </c>
      <c r="B7057" s="19">
        <v>35.808</v>
      </c>
      <c r="C7057" s="19">
        <v>3</v>
      </c>
      <c r="D7057" s="19">
        <v>11.189999999999996</v>
      </c>
    </row>
    <row r="7058" spans="1:4" x14ac:dyDescent="0.2">
      <c r="A7058" s="19" t="s">
        <v>150</v>
      </c>
      <c r="B7058" s="19">
        <v>122.688</v>
      </c>
      <c r="C7058" s="19">
        <v>9</v>
      </c>
      <c r="D7058" s="19">
        <v>39.873599999999982</v>
      </c>
    </row>
    <row r="7059" spans="1:4" x14ac:dyDescent="0.2">
      <c r="A7059" s="19" t="s">
        <v>150</v>
      </c>
      <c r="B7059" s="19">
        <v>892.13600000000008</v>
      </c>
      <c r="C7059" s="19">
        <v>7</v>
      </c>
      <c r="D7059" s="19">
        <v>111.51699999999991</v>
      </c>
    </row>
    <row r="7060" spans="1:4" x14ac:dyDescent="0.2">
      <c r="A7060" s="19" t="s">
        <v>150</v>
      </c>
      <c r="B7060" s="19">
        <v>50.22</v>
      </c>
      <c r="C7060" s="19">
        <v>3</v>
      </c>
      <c r="D7060" s="19">
        <v>2.0087999999999973</v>
      </c>
    </row>
    <row r="7061" spans="1:4" x14ac:dyDescent="0.2">
      <c r="A7061" s="19" t="s">
        <v>150</v>
      </c>
      <c r="B7061" s="19">
        <v>83.42</v>
      </c>
      <c r="C7061" s="19">
        <v>2</v>
      </c>
      <c r="D7061" s="19">
        <v>24.191799999999994</v>
      </c>
    </row>
    <row r="7062" spans="1:4" x14ac:dyDescent="0.2">
      <c r="A7062" s="19" t="s">
        <v>150</v>
      </c>
      <c r="B7062" s="19">
        <v>5.8719999999999999</v>
      </c>
      <c r="C7062" s="19">
        <v>2</v>
      </c>
      <c r="D7062" s="19">
        <v>2.1286</v>
      </c>
    </row>
    <row r="7063" spans="1:4" x14ac:dyDescent="0.2">
      <c r="A7063" s="19" t="s">
        <v>156</v>
      </c>
      <c r="B7063" s="19">
        <v>12.144</v>
      </c>
      <c r="C7063" s="19">
        <v>3</v>
      </c>
      <c r="D7063" s="19">
        <v>4.0985999999999994</v>
      </c>
    </row>
    <row r="7064" spans="1:4" x14ac:dyDescent="0.2">
      <c r="A7064" s="19" t="s">
        <v>170</v>
      </c>
      <c r="B7064" s="19">
        <v>27.792000000000002</v>
      </c>
      <c r="C7064" s="19">
        <v>3</v>
      </c>
      <c r="D7064" s="19">
        <v>10.422000000000001</v>
      </c>
    </row>
    <row r="7065" spans="1:4" x14ac:dyDescent="0.2">
      <c r="A7065" s="19" t="s">
        <v>170</v>
      </c>
      <c r="B7065" s="19">
        <v>6.2080000000000002</v>
      </c>
      <c r="C7065" s="19">
        <v>2</v>
      </c>
      <c r="D7065" s="19">
        <v>0.69839999999999902</v>
      </c>
    </row>
    <row r="7066" spans="1:4" x14ac:dyDescent="0.2">
      <c r="A7066" s="19" t="s">
        <v>164</v>
      </c>
      <c r="B7066" s="19">
        <v>32.67</v>
      </c>
      <c r="C7066" s="19">
        <v>3</v>
      </c>
      <c r="D7066" s="19">
        <v>8.4942000000000011</v>
      </c>
    </row>
    <row r="7067" spans="1:4" x14ac:dyDescent="0.2">
      <c r="A7067" s="19" t="s">
        <v>150</v>
      </c>
      <c r="B7067" s="19">
        <v>1261.33</v>
      </c>
      <c r="C7067" s="19">
        <v>7</v>
      </c>
      <c r="D7067" s="19">
        <v>327.94580000000002</v>
      </c>
    </row>
    <row r="7068" spans="1:4" x14ac:dyDescent="0.2">
      <c r="A7068" s="19" t="s">
        <v>150</v>
      </c>
      <c r="B7068" s="19">
        <v>38.880000000000003</v>
      </c>
      <c r="C7068" s="19">
        <v>6</v>
      </c>
      <c r="D7068" s="19">
        <v>18.662400000000002</v>
      </c>
    </row>
    <row r="7069" spans="1:4" x14ac:dyDescent="0.2">
      <c r="A7069" s="19" t="s">
        <v>154</v>
      </c>
      <c r="B7069" s="19">
        <v>1.9639999999999995</v>
      </c>
      <c r="C7069" s="19">
        <v>2</v>
      </c>
      <c r="D7069" s="19">
        <v>-3.2406000000000006</v>
      </c>
    </row>
    <row r="7070" spans="1:4" x14ac:dyDescent="0.2">
      <c r="A7070" s="19" t="s">
        <v>154</v>
      </c>
      <c r="B7070" s="19">
        <v>82.656000000000006</v>
      </c>
      <c r="C7070" s="19">
        <v>9</v>
      </c>
      <c r="D7070" s="19">
        <v>30.996000000000002</v>
      </c>
    </row>
    <row r="7071" spans="1:4" x14ac:dyDescent="0.2">
      <c r="A7071" s="19" t="s">
        <v>150</v>
      </c>
      <c r="B7071" s="19">
        <v>5.98</v>
      </c>
      <c r="C7071" s="19">
        <v>1</v>
      </c>
      <c r="D7071" s="19">
        <v>2.6909999999999998</v>
      </c>
    </row>
    <row r="7072" spans="1:4" x14ac:dyDescent="0.2">
      <c r="A7072" s="19" t="s">
        <v>159</v>
      </c>
      <c r="B7072" s="19">
        <v>9.2480000000000011</v>
      </c>
      <c r="C7072" s="19">
        <v>2</v>
      </c>
      <c r="D7072" s="19">
        <v>3.3524000000000003</v>
      </c>
    </row>
    <row r="7073" spans="1:4" x14ac:dyDescent="0.2">
      <c r="A7073" s="19" t="s">
        <v>154</v>
      </c>
      <c r="B7073" s="19">
        <v>4.4479999999999995</v>
      </c>
      <c r="C7073" s="19">
        <v>2</v>
      </c>
      <c r="D7073" s="19">
        <v>0.3335999999999999</v>
      </c>
    </row>
    <row r="7074" spans="1:4" x14ac:dyDescent="0.2">
      <c r="A7074" s="19" t="s">
        <v>154</v>
      </c>
      <c r="B7074" s="19">
        <v>5.1840000000000011</v>
      </c>
      <c r="C7074" s="19">
        <v>1</v>
      </c>
      <c r="D7074" s="19">
        <v>1.8144</v>
      </c>
    </row>
    <row r="7075" spans="1:4" x14ac:dyDescent="0.2">
      <c r="A7075" s="19" t="s">
        <v>154</v>
      </c>
      <c r="B7075" s="19">
        <v>175.92</v>
      </c>
      <c r="C7075" s="19">
        <v>5</v>
      </c>
      <c r="D7075" s="19">
        <v>15.393000000000008</v>
      </c>
    </row>
    <row r="7076" spans="1:4" x14ac:dyDescent="0.2">
      <c r="A7076" s="19" t="s">
        <v>154</v>
      </c>
      <c r="B7076" s="19">
        <v>4.7519999999999989</v>
      </c>
      <c r="C7076" s="19">
        <v>4</v>
      </c>
      <c r="D7076" s="19">
        <v>-8.3160000000000025</v>
      </c>
    </row>
    <row r="7077" spans="1:4" x14ac:dyDescent="0.2">
      <c r="A7077" s="19" t="s">
        <v>154</v>
      </c>
      <c r="B7077" s="19">
        <v>13.344000000000001</v>
      </c>
      <c r="C7077" s="19">
        <v>2</v>
      </c>
      <c r="D7077" s="19">
        <v>1.0007999999999999</v>
      </c>
    </row>
    <row r="7078" spans="1:4" x14ac:dyDescent="0.2">
      <c r="A7078" s="19" t="s">
        <v>153</v>
      </c>
      <c r="B7078" s="19">
        <v>54.900000000000006</v>
      </c>
      <c r="C7078" s="19">
        <v>5</v>
      </c>
      <c r="D7078" s="19">
        <v>26.901000000000003</v>
      </c>
    </row>
    <row r="7079" spans="1:4" x14ac:dyDescent="0.2">
      <c r="A7079" s="19" t="s">
        <v>152</v>
      </c>
      <c r="B7079" s="19">
        <v>22.911000000000005</v>
      </c>
      <c r="C7079" s="19">
        <v>7</v>
      </c>
      <c r="D7079" s="19">
        <v>-17.565099999999994</v>
      </c>
    </row>
    <row r="7080" spans="1:4" x14ac:dyDescent="0.2">
      <c r="A7080" s="19" t="s">
        <v>152</v>
      </c>
      <c r="B7080" s="19">
        <v>309.45600000000002</v>
      </c>
      <c r="C7080" s="19">
        <v>9</v>
      </c>
      <c r="D7080" s="19">
        <v>34.813799999999944</v>
      </c>
    </row>
    <row r="7081" spans="1:4" x14ac:dyDescent="0.2">
      <c r="A7081" s="19" t="s">
        <v>152</v>
      </c>
      <c r="B7081" s="19">
        <v>19.456000000000003</v>
      </c>
      <c r="C7081" s="19">
        <v>4</v>
      </c>
      <c r="D7081" s="19">
        <v>3.4047999999999981</v>
      </c>
    </row>
    <row r="7082" spans="1:4" x14ac:dyDescent="0.2">
      <c r="A7082" s="19" t="s">
        <v>152</v>
      </c>
      <c r="B7082" s="19">
        <v>472.51800000000003</v>
      </c>
      <c r="C7082" s="19">
        <v>3</v>
      </c>
      <c r="D7082" s="19">
        <v>-149.63070000000005</v>
      </c>
    </row>
    <row r="7083" spans="1:4" x14ac:dyDescent="0.2">
      <c r="A7083" s="19" t="s">
        <v>152</v>
      </c>
      <c r="B7083" s="19">
        <v>1012.6800000000001</v>
      </c>
      <c r="C7083" s="19">
        <v>3</v>
      </c>
      <c r="D7083" s="19">
        <v>303.80400000000003</v>
      </c>
    </row>
    <row r="7084" spans="1:4" x14ac:dyDescent="0.2">
      <c r="A7084" s="19" t="s">
        <v>152</v>
      </c>
      <c r="B7084" s="19">
        <v>17.220000000000006</v>
      </c>
      <c r="C7084" s="19">
        <v>5</v>
      </c>
      <c r="D7084" s="19">
        <v>-12.628</v>
      </c>
    </row>
    <row r="7085" spans="1:4" x14ac:dyDescent="0.2">
      <c r="A7085" s="19" t="s">
        <v>150</v>
      </c>
      <c r="B7085" s="19">
        <v>3.52</v>
      </c>
      <c r="C7085" s="19">
        <v>2</v>
      </c>
      <c r="D7085" s="19">
        <v>1.6896</v>
      </c>
    </row>
    <row r="7086" spans="1:4" x14ac:dyDescent="0.2">
      <c r="A7086" s="19" t="s">
        <v>150</v>
      </c>
      <c r="B7086" s="19">
        <v>1626.1920000000002</v>
      </c>
      <c r="C7086" s="19">
        <v>9</v>
      </c>
      <c r="D7086" s="19">
        <v>121.96440000000001</v>
      </c>
    </row>
    <row r="7087" spans="1:4" x14ac:dyDescent="0.2">
      <c r="A7087" s="19" t="s">
        <v>158</v>
      </c>
      <c r="B7087" s="19">
        <v>8.5950000000000024</v>
      </c>
      <c r="C7087" s="19">
        <v>5</v>
      </c>
      <c r="D7087" s="19">
        <v>-6.3030000000000008</v>
      </c>
    </row>
    <row r="7088" spans="1:4" x14ac:dyDescent="0.2">
      <c r="A7088" s="19" t="s">
        <v>158</v>
      </c>
      <c r="B7088" s="19">
        <v>190.89600000000002</v>
      </c>
      <c r="C7088" s="19">
        <v>2</v>
      </c>
      <c r="D7088" s="19">
        <v>-42.951599999999999</v>
      </c>
    </row>
    <row r="7089" spans="1:4" x14ac:dyDescent="0.2">
      <c r="A7089" s="19" t="s">
        <v>150</v>
      </c>
      <c r="B7089" s="19">
        <v>99.87</v>
      </c>
      <c r="C7089" s="19">
        <v>3</v>
      </c>
      <c r="D7089" s="19">
        <v>23.968799999999998</v>
      </c>
    </row>
    <row r="7090" spans="1:4" x14ac:dyDescent="0.2">
      <c r="A7090" s="19" t="s">
        <v>181</v>
      </c>
      <c r="B7090" s="19">
        <v>79.36</v>
      </c>
      <c r="C7090" s="19">
        <v>4</v>
      </c>
      <c r="D7090" s="19">
        <v>23.807999999999993</v>
      </c>
    </row>
    <row r="7091" spans="1:4" x14ac:dyDescent="0.2">
      <c r="A7091" s="19" t="s">
        <v>150</v>
      </c>
      <c r="B7091" s="19">
        <v>119.96</v>
      </c>
      <c r="C7091" s="19">
        <v>1</v>
      </c>
      <c r="D7091" s="19">
        <v>7.4974999999999987</v>
      </c>
    </row>
    <row r="7092" spans="1:4" x14ac:dyDescent="0.2">
      <c r="A7092" s="19" t="s">
        <v>149</v>
      </c>
      <c r="B7092" s="19">
        <v>106.32</v>
      </c>
      <c r="C7092" s="19">
        <v>3</v>
      </c>
      <c r="D7092" s="19">
        <v>49.970399999999991</v>
      </c>
    </row>
    <row r="7093" spans="1:4" x14ac:dyDescent="0.2">
      <c r="A7093" s="19" t="s">
        <v>149</v>
      </c>
      <c r="B7093" s="19">
        <v>163.44</v>
      </c>
      <c r="C7093" s="19">
        <v>3</v>
      </c>
      <c r="D7093" s="19">
        <v>45.763200000000012</v>
      </c>
    </row>
    <row r="7094" spans="1:4" x14ac:dyDescent="0.2">
      <c r="A7094" s="19" t="s">
        <v>149</v>
      </c>
      <c r="B7094" s="19">
        <v>42.76</v>
      </c>
      <c r="C7094" s="19">
        <v>2</v>
      </c>
      <c r="D7094" s="19">
        <v>11.117599999999999</v>
      </c>
    </row>
    <row r="7095" spans="1:4" x14ac:dyDescent="0.2">
      <c r="A7095" s="19" t="s">
        <v>149</v>
      </c>
      <c r="B7095" s="19">
        <v>51.550000000000004</v>
      </c>
      <c r="C7095" s="19">
        <v>5</v>
      </c>
      <c r="D7095" s="19">
        <v>24.2285</v>
      </c>
    </row>
    <row r="7096" spans="1:4" x14ac:dyDescent="0.2">
      <c r="A7096" s="19" t="s">
        <v>159</v>
      </c>
      <c r="B7096" s="19">
        <v>479.952</v>
      </c>
      <c r="C7096" s="19">
        <v>6</v>
      </c>
      <c r="D7096" s="19">
        <v>89.990999999999985</v>
      </c>
    </row>
    <row r="7097" spans="1:4" x14ac:dyDescent="0.2">
      <c r="A7097" s="19" t="s">
        <v>164</v>
      </c>
      <c r="B7097" s="19">
        <v>146.68799999999999</v>
      </c>
      <c r="C7097" s="19">
        <v>6</v>
      </c>
      <c r="D7097" s="19">
        <v>55.007999999999996</v>
      </c>
    </row>
    <row r="7098" spans="1:4" x14ac:dyDescent="0.2">
      <c r="A7098" s="19" t="s">
        <v>164</v>
      </c>
      <c r="B7098" s="19">
        <v>276.78400000000005</v>
      </c>
      <c r="C7098" s="19">
        <v>2</v>
      </c>
      <c r="D7098" s="19">
        <v>89.954799999999992</v>
      </c>
    </row>
    <row r="7099" spans="1:4" x14ac:dyDescent="0.2">
      <c r="A7099" s="19" t="s">
        <v>164</v>
      </c>
      <c r="B7099" s="19">
        <v>25.32</v>
      </c>
      <c r="C7099" s="19">
        <v>5</v>
      </c>
      <c r="D7099" s="19">
        <v>9.1785000000000014</v>
      </c>
    </row>
    <row r="7100" spans="1:4" x14ac:dyDescent="0.2">
      <c r="A7100" s="19" t="s">
        <v>164</v>
      </c>
      <c r="B7100" s="19">
        <v>318.95999999999998</v>
      </c>
      <c r="C7100" s="19">
        <v>9</v>
      </c>
      <c r="D7100" s="19">
        <v>149.91119999999998</v>
      </c>
    </row>
    <row r="7101" spans="1:4" x14ac:dyDescent="0.2">
      <c r="A7101" s="19" t="s">
        <v>164</v>
      </c>
      <c r="B7101" s="19">
        <v>212.64</v>
      </c>
      <c r="C7101" s="19">
        <v>6</v>
      </c>
      <c r="D7101" s="19">
        <v>99.940799999999982</v>
      </c>
    </row>
    <row r="7102" spans="1:4" x14ac:dyDescent="0.2">
      <c r="A7102" s="19" t="s">
        <v>165</v>
      </c>
      <c r="B7102" s="19">
        <v>23.472000000000001</v>
      </c>
      <c r="C7102" s="19">
        <v>3</v>
      </c>
      <c r="D7102" s="19">
        <v>8.8019999999999978</v>
      </c>
    </row>
    <row r="7103" spans="1:4" x14ac:dyDescent="0.2">
      <c r="A7103" s="19" t="s">
        <v>154</v>
      </c>
      <c r="B7103" s="19">
        <v>19.648</v>
      </c>
      <c r="C7103" s="19">
        <v>2</v>
      </c>
      <c r="D7103" s="19">
        <v>6.6311999999999989</v>
      </c>
    </row>
    <row r="7104" spans="1:4" x14ac:dyDescent="0.2">
      <c r="A7104" s="19" t="s">
        <v>158</v>
      </c>
      <c r="B7104" s="19">
        <v>6.5700000000000012</v>
      </c>
      <c r="C7104" s="19">
        <v>3</v>
      </c>
      <c r="D7104" s="19">
        <v>-5.036999999999999</v>
      </c>
    </row>
    <row r="7105" spans="1:4" x14ac:dyDescent="0.2">
      <c r="A7105" s="19" t="s">
        <v>150</v>
      </c>
      <c r="B7105" s="19">
        <v>421.1</v>
      </c>
      <c r="C7105" s="19">
        <v>2</v>
      </c>
      <c r="D7105" s="19">
        <v>105.27499999999998</v>
      </c>
    </row>
    <row r="7106" spans="1:4" x14ac:dyDescent="0.2">
      <c r="A7106" s="19" t="s">
        <v>173</v>
      </c>
      <c r="B7106" s="19">
        <v>760.11599999999987</v>
      </c>
      <c r="C7106" s="19">
        <v>6</v>
      </c>
      <c r="D7106" s="19">
        <v>-43.435200000000009</v>
      </c>
    </row>
    <row r="7107" spans="1:4" x14ac:dyDescent="0.2">
      <c r="A7107" s="19" t="s">
        <v>173</v>
      </c>
      <c r="B7107" s="19">
        <v>38.784000000000006</v>
      </c>
      <c r="C7107" s="19">
        <v>3</v>
      </c>
      <c r="D7107" s="19">
        <v>7.2719999999999949</v>
      </c>
    </row>
    <row r="7108" spans="1:4" x14ac:dyDescent="0.2">
      <c r="A7108" s="19" t="s">
        <v>173</v>
      </c>
      <c r="B7108" s="19">
        <v>122.32799999999999</v>
      </c>
      <c r="C7108" s="19">
        <v>9</v>
      </c>
      <c r="D7108" s="19">
        <v>1.5291000000000032</v>
      </c>
    </row>
    <row r="7109" spans="1:4" x14ac:dyDescent="0.2">
      <c r="A7109" s="19" t="s">
        <v>164</v>
      </c>
      <c r="B7109" s="19">
        <v>25.98</v>
      </c>
      <c r="C7109" s="19">
        <v>2</v>
      </c>
      <c r="D7109" s="19">
        <v>0.77939999999999898</v>
      </c>
    </row>
    <row r="7110" spans="1:4" x14ac:dyDescent="0.2">
      <c r="A7110" s="19" t="s">
        <v>164</v>
      </c>
      <c r="B7110" s="19">
        <v>3.28</v>
      </c>
      <c r="C7110" s="19">
        <v>2</v>
      </c>
      <c r="D7110" s="19">
        <v>1.4759999999999998</v>
      </c>
    </row>
    <row r="7111" spans="1:4" x14ac:dyDescent="0.2">
      <c r="A7111" s="19" t="s">
        <v>164</v>
      </c>
      <c r="B7111" s="19">
        <v>459.88</v>
      </c>
      <c r="C7111" s="19">
        <v>4</v>
      </c>
      <c r="D7111" s="19">
        <v>13.796400000000006</v>
      </c>
    </row>
    <row r="7112" spans="1:4" x14ac:dyDescent="0.2">
      <c r="A7112" s="19" t="s">
        <v>164</v>
      </c>
      <c r="B7112" s="19">
        <v>7.76</v>
      </c>
      <c r="C7112" s="19">
        <v>2</v>
      </c>
      <c r="D7112" s="19">
        <v>2.2503999999999991</v>
      </c>
    </row>
    <row r="7113" spans="1:4" x14ac:dyDescent="0.2">
      <c r="A7113" s="19" t="s">
        <v>164</v>
      </c>
      <c r="B7113" s="19">
        <v>71.959999999999994</v>
      </c>
      <c r="C7113" s="19">
        <v>2</v>
      </c>
      <c r="D7113" s="19">
        <v>17.989999999999995</v>
      </c>
    </row>
    <row r="7114" spans="1:4" x14ac:dyDescent="0.2">
      <c r="A7114" s="19" t="s">
        <v>164</v>
      </c>
      <c r="B7114" s="19">
        <v>54.900000000000006</v>
      </c>
      <c r="C7114" s="19">
        <v>5</v>
      </c>
      <c r="D7114" s="19">
        <v>15.372000000000003</v>
      </c>
    </row>
    <row r="7115" spans="1:4" x14ac:dyDescent="0.2">
      <c r="A7115" s="19" t="s">
        <v>164</v>
      </c>
      <c r="B7115" s="19">
        <v>9.2799999999999994</v>
      </c>
      <c r="C7115" s="19">
        <v>2</v>
      </c>
      <c r="D7115" s="19">
        <v>3.2479999999999998</v>
      </c>
    </row>
    <row r="7116" spans="1:4" x14ac:dyDescent="0.2">
      <c r="A7116" s="19" t="s">
        <v>181</v>
      </c>
      <c r="B7116" s="19">
        <v>1685.88</v>
      </c>
      <c r="C7116" s="19">
        <v>6</v>
      </c>
      <c r="D7116" s="19">
        <v>320.31720000000001</v>
      </c>
    </row>
    <row r="7117" spans="1:4" x14ac:dyDescent="0.2">
      <c r="A7117" s="19" t="s">
        <v>181</v>
      </c>
      <c r="B7117" s="19">
        <v>5.7280000000000006</v>
      </c>
      <c r="C7117" s="19">
        <v>2</v>
      </c>
      <c r="D7117" s="19">
        <v>2.0047999999999995</v>
      </c>
    </row>
    <row r="7118" spans="1:4" x14ac:dyDescent="0.2">
      <c r="A7118" s="19" t="s">
        <v>153</v>
      </c>
      <c r="B7118" s="19">
        <v>61.96</v>
      </c>
      <c r="C7118" s="19">
        <v>2</v>
      </c>
      <c r="D7118" s="19">
        <v>27.881999999999998</v>
      </c>
    </row>
    <row r="7119" spans="1:4" x14ac:dyDescent="0.2">
      <c r="A7119" s="19" t="s">
        <v>153</v>
      </c>
      <c r="B7119" s="19">
        <v>1.3440000000000001</v>
      </c>
      <c r="C7119" s="19">
        <v>1</v>
      </c>
      <c r="D7119" s="19">
        <v>0.47039999999999987</v>
      </c>
    </row>
    <row r="7120" spans="1:4" x14ac:dyDescent="0.2">
      <c r="A7120" s="19" t="s">
        <v>164</v>
      </c>
      <c r="B7120" s="19">
        <v>17.940000000000001</v>
      </c>
      <c r="C7120" s="19">
        <v>3</v>
      </c>
      <c r="D7120" s="19">
        <v>8.7906000000000013</v>
      </c>
    </row>
    <row r="7121" spans="1:4" x14ac:dyDescent="0.2">
      <c r="A7121" s="19" t="s">
        <v>153</v>
      </c>
      <c r="B7121" s="19">
        <v>13.904</v>
      </c>
      <c r="C7121" s="19">
        <v>2</v>
      </c>
      <c r="D7121" s="19">
        <v>4.5187999999999997</v>
      </c>
    </row>
    <row r="7122" spans="1:4" x14ac:dyDescent="0.2">
      <c r="A7122" s="19" t="s">
        <v>167</v>
      </c>
      <c r="B7122" s="19">
        <v>67.194000000000003</v>
      </c>
      <c r="C7122" s="19">
        <v>1</v>
      </c>
      <c r="D7122" s="19">
        <v>-51.515399999999985</v>
      </c>
    </row>
    <row r="7123" spans="1:4" x14ac:dyDescent="0.2">
      <c r="A7123" s="19" t="s">
        <v>153</v>
      </c>
      <c r="B7123" s="19">
        <v>41.86</v>
      </c>
      <c r="C7123" s="19">
        <v>7</v>
      </c>
      <c r="D7123" s="19">
        <v>18.837</v>
      </c>
    </row>
    <row r="7124" spans="1:4" x14ac:dyDescent="0.2">
      <c r="A7124" s="19" t="s">
        <v>153</v>
      </c>
      <c r="B7124" s="19">
        <v>141.96</v>
      </c>
      <c r="C7124" s="19">
        <v>2</v>
      </c>
      <c r="D7124" s="19">
        <v>41.168399999999991</v>
      </c>
    </row>
    <row r="7125" spans="1:4" x14ac:dyDescent="0.2">
      <c r="A7125" s="19" t="s">
        <v>164</v>
      </c>
      <c r="B7125" s="19">
        <v>10.02</v>
      </c>
      <c r="C7125" s="19">
        <v>3</v>
      </c>
      <c r="D7125" s="19">
        <v>4.4088000000000012</v>
      </c>
    </row>
    <row r="7126" spans="1:4" x14ac:dyDescent="0.2">
      <c r="A7126" s="19" t="s">
        <v>164</v>
      </c>
      <c r="B7126" s="19">
        <v>144.12</v>
      </c>
      <c r="C7126" s="19">
        <v>3</v>
      </c>
      <c r="D7126" s="19">
        <v>69.177599999999984</v>
      </c>
    </row>
    <row r="7127" spans="1:4" x14ac:dyDescent="0.2">
      <c r="A7127" s="19" t="s">
        <v>101</v>
      </c>
      <c r="B7127" s="19">
        <v>17.940000000000001</v>
      </c>
      <c r="C7127" s="19">
        <v>3</v>
      </c>
      <c r="D7127" s="19">
        <v>8.7906000000000013</v>
      </c>
    </row>
    <row r="7128" spans="1:4" x14ac:dyDescent="0.2">
      <c r="A7128" s="19" t="s">
        <v>101</v>
      </c>
      <c r="B7128" s="19">
        <v>13.89</v>
      </c>
      <c r="C7128" s="19">
        <v>3</v>
      </c>
      <c r="D7128" s="19">
        <v>4.5836999999999994</v>
      </c>
    </row>
    <row r="7129" spans="1:4" x14ac:dyDescent="0.2">
      <c r="A7129" s="19" t="s">
        <v>162</v>
      </c>
      <c r="B7129" s="19">
        <v>16.45</v>
      </c>
      <c r="C7129" s="19">
        <v>5</v>
      </c>
      <c r="D7129" s="19">
        <v>7.5669999999999993</v>
      </c>
    </row>
    <row r="7130" spans="1:4" x14ac:dyDescent="0.2">
      <c r="A7130" s="19" t="s">
        <v>162</v>
      </c>
      <c r="B7130" s="19">
        <v>19.920000000000002</v>
      </c>
      <c r="C7130" s="19">
        <v>4</v>
      </c>
      <c r="D7130" s="19">
        <v>6.573599999999999</v>
      </c>
    </row>
    <row r="7131" spans="1:4" x14ac:dyDescent="0.2">
      <c r="A7131" s="19" t="s">
        <v>167</v>
      </c>
      <c r="B7131" s="19">
        <v>35.167999999999999</v>
      </c>
      <c r="C7131" s="19">
        <v>4</v>
      </c>
      <c r="D7131" s="19">
        <v>8.3524000000000012</v>
      </c>
    </row>
    <row r="7132" spans="1:4" x14ac:dyDescent="0.2">
      <c r="A7132" s="19" t="s">
        <v>167</v>
      </c>
      <c r="B7132" s="19">
        <v>123.08799999999999</v>
      </c>
      <c r="C7132" s="19">
        <v>7</v>
      </c>
      <c r="D7132" s="19">
        <v>40.003599999999999</v>
      </c>
    </row>
    <row r="7133" spans="1:4" x14ac:dyDescent="0.2">
      <c r="A7133" s="19" t="s">
        <v>163</v>
      </c>
      <c r="B7133" s="19">
        <v>257.94</v>
      </c>
      <c r="C7133" s="19">
        <v>3</v>
      </c>
      <c r="D7133" s="19">
        <v>67.064400000000006</v>
      </c>
    </row>
    <row r="7134" spans="1:4" x14ac:dyDescent="0.2">
      <c r="A7134" s="19" t="s">
        <v>163</v>
      </c>
      <c r="B7134" s="19">
        <v>1879.96</v>
      </c>
      <c r="C7134" s="19">
        <v>4</v>
      </c>
      <c r="D7134" s="19">
        <v>545.18839999999977</v>
      </c>
    </row>
    <row r="7135" spans="1:4" x14ac:dyDescent="0.2">
      <c r="A7135" s="19" t="s">
        <v>163</v>
      </c>
      <c r="B7135" s="19">
        <v>27.46</v>
      </c>
      <c r="C7135" s="19">
        <v>2</v>
      </c>
      <c r="D7135" s="19">
        <v>9.8856000000000002</v>
      </c>
    </row>
    <row r="7136" spans="1:4" x14ac:dyDescent="0.2">
      <c r="A7136" s="19" t="s">
        <v>163</v>
      </c>
      <c r="B7136" s="19">
        <v>89.98</v>
      </c>
      <c r="C7136" s="19">
        <v>2</v>
      </c>
      <c r="D7136" s="19">
        <v>43.190399999999997</v>
      </c>
    </row>
    <row r="7137" spans="1:4" x14ac:dyDescent="0.2">
      <c r="A7137" s="19" t="s">
        <v>163</v>
      </c>
      <c r="B7137" s="19">
        <v>828.59999999999991</v>
      </c>
      <c r="C7137" s="19">
        <v>3</v>
      </c>
      <c r="D7137" s="19">
        <v>240.29399999999995</v>
      </c>
    </row>
    <row r="7138" spans="1:4" x14ac:dyDescent="0.2">
      <c r="A7138" s="19" t="s">
        <v>151</v>
      </c>
      <c r="B7138" s="19">
        <v>7.2300000000000022</v>
      </c>
      <c r="C7138" s="19">
        <v>5</v>
      </c>
      <c r="D7138" s="19">
        <v>-5.7840000000000007</v>
      </c>
    </row>
    <row r="7139" spans="1:4" x14ac:dyDescent="0.2">
      <c r="A7139" s="19" t="s">
        <v>151</v>
      </c>
      <c r="B7139" s="19">
        <v>17.440000000000001</v>
      </c>
      <c r="C7139" s="19">
        <v>2</v>
      </c>
      <c r="D7139" s="19">
        <v>1.3079999999999989</v>
      </c>
    </row>
    <row r="7140" spans="1:4" x14ac:dyDescent="0.2">
      <c r="A7140" s="19" t="s">
        <v>151</v>
      </c>
      <c r="B7140" s="19">
        <v>62.88000000000001</v>
      </c>
      <c r="C7140" s="19">
        <v>4</v>
      </c>
      <c r="D7140" s="19">
        <v>-50.304000000000002</v>
      </c>
    </row>
    <row r="7141" spans="1:4" x14ac:dyDescent="0.2">
      <c r="A7141" s="19" t="s">
        <v>151</v>
      </c>
      <c r="B7141" s="19">
        <v>290.35200000000003</v>
      </c>
      <c r="C7141" s="19">
        <v>3</v>
      </c>
      <c r="D7141" s="19">
        <v>-36.294000000000011</v>
      </c>
    </row>
    <row r="7142" spans="1:4" x14ac:dyDescent="0.2">
      <c r="A7142" s="19" t="s">
        <v>174</v>
      </c>
      <c r="B7142" s="19">
        <v>113.52</v>
      </c>
      <c r="C7142" s="19">
        <v>4</v>
      </c>
      <c r="D7142" s="19">
        <v>46.543199999999999</v>
      </c>
    </row>
    <row r="7143" spans="1:4" x14ac:dyDescent="0.2">
      <c r="A7143" s="19" t="s">
        <v>174</v>
      </c>
      <c r="B7143" s="19">
        <v>135.29999999999998</v>
      </c>
      <c r="C7143" s="19">
        <v>5</v>
      </c>
      <c r="D7143" s="19">
        <v>37.883999999999993</v>
      </c>
    </row>
    <row r="7144" spans="1:4" x14ac:dyDescent="0.2">
      <c r="A7144" s="19" t="s">
        <v>166</v>
      </c>
      <c r="B7144" s="19">
        <v>111.15</v>
      </c>
      <c r="C7144" s="19">
        <v>5</v>
      </c>
      <c r="D7144" s="19">
        <v>48.906000000000006</v>
      </c>
    </row>
    <row r="7145" spans="1:4" x14ac:dyDescent="0.2">
      <c r="A7145" s="19" t="s">
        <v>158</v>
      </c>
      <c r="B7145" s="19">
        <v>776.84999999999991</v>
      </c>
      <c r="C7145" s="19">
        <v>5</v>
      </c>
      <c r="D7145" s="19">
        <v>-181.26499999999999</v>
      </c>
    </row>
    <row r="7146" spans="1:4" x14ac:dyDescent="0.2">
      <c r="A7146" s="19" t="s">
        <v>158</v>
      </c>
      <c r="B7146" s="19">
        <v>12.294</v>
      </c>
      <c r="C7146" s="19">
        <v>1</v>
      </c>
      <c r="D7146" s="19">
        <v>-8.6057999999999986</v>
      </c>
    </row>
    <row r="7147" spans="1:4" x14ac:dyDescent="0.2">
      <c r="A7147" s="19" t="s">
        <v>158</v>
      </c>
      <c r="B7147" s="19">
        <v>154.76400000000001</v>
      </c>
      <c r="C7147" s="19">
        <v>3</v>
      </c>
      <c r="D7147" s="19">
        <v>-46.429200000000023</v>
      </c>
    </row>
    <row r="7148" spans="1:4" x14ac:dyDescent="0.2">
      <c r="A7148" s="19" t="s">
        <v>158</v>
      </c>
      <c r="B7148" s="19">
        <v>43.28</v>
      </c>
      <c r="C7148" s="19">
        <v>1</v>
      </c>
      <c r="D7148" s="19">
        <v>3.2460000000000022</v>
      </c>
    </row>
    <row r="7149" spans="1:4" x14ac:dyDescent="0.2">
      <c r="A7149" s="19" t="s">
        <v>164</v>
      </c>
      <c r="B7149" s="19">
        <v>92.94</v>
      </c>
      <c r="C7149" s="19">
        <v>3</v>
      </c>
      <c r="D7149" s="19">
        <v>41.822999999999993</v>
      </c>
    </row>
    <row r="7150" spans="1:4" x14ac:dyDescent="0.2">
      <c r="A7150" s="19" t="s">
        <v>164</v>
      </c>
      <c r="B7150" s="19">
        <v>52.56</v>
      </c>
      <c r="C7150" s="19">
        <v>3</v>
      </c>
      <c r="D7150" s="19">
        <v>18.396000000000001</v>
      </c>
    </row>
    <row r="7151" spans="1:4" x14ac:dyDescent="0.2">
      <c r="A7151" s="19" t="s">
        <v>154</v>
      </c>
      <c r="B7151" s="19">
        <v>971.88000000000011</v>
      </c>
      <c r="C7151" s="19">
        <v>3</v>
      </c>
      <c r="D7151" s="19">
        <v>109.33649999999994</v>
      </c>
    </row>
    <row r="7152" spans="1:4" x14ac:dyDescent="0.2">
      <c r="A7152" s="19" t="s">
        <v>168</v>
      </c>
      <c r="B7152" s="19">
        <v>141.96</v>
      </c>
      <c r="C7152" s="19">
        <v>2</v>
      </c>
      <c r="D7152" s="19">
        <v>35.490000000000009</v>
      </c>
    </row>
    <row r="7153" spans="1:4" x14ac:dyDescent="0.2">
      <c r="A7153" s="19" t="s">
        <v>165</v>
      </c>
      <c r="B7153" s="19">
        <v>182.55</v>
      </c>
      <c r="C7153" s="19">
        <v>2</v>
      </c>
      <c r="D7153" s="19">
        <v>-135.08699999999999</v>
      </c>
    </row>
    <row r="7154" spans="1:4" x14ac:dyDescent="0.2">
      <c r="A7154" s="19" t="s">
        <v>152</v>
      </c>
      <c r="B7154" s="19">
        <v>88.768000000000001</v>
      </c>
      <c r="C7154" s="19">
        <v>2</v>
      </c>
      <c r="D7154" s="19">
        <v>31.068799999999996</v>
      </c>
    </row>
    <row r="7155" spans="1:4" x14ac:dyDescent="0.2">
      <c r="A7155" s="19" t="s">
        <v>159</v>
      </c>
      <c r="B7155" s="19">
        <v>53.087999999999994</v>
      </c>
      <c r="C7155" s="19">
        <v>7</v>
      </c>
      <c r="D7155" s="19">
        <v>-108.8304</v>
      </c>
    </row>
    <row r="7156" spans="1:4" x14ac:dyDescent="0.2">
      <c r="A7156" s="19" t="s">
        <v>101</v>
      </c>
      <c r="B7156" s="19">
        <v>275.88</v>
      </c>
      <c r="C7156" s="19">
        <v>6</v>
      </c>
      <c r="D7156" s="19">
        <v>46.899599999999964</v>
      </c>
    </row>
    <row r="7157" spans="1:4" x14ac:dyDescent="0.2">
      <c r="A7157" s="19" t="s">
        <v>101</v>
      </c>
      <c r="B7157" s="19">
        <v>157.89999999999998</v>
      </c>
      <c r="C7157" s="19">
        <v>5</v>
      </c>
      <c r="D7157" s="19">
        <v>74.212999999999994</v>
      </c>
    </row>
    <row r="7158" spans="1:4" x14ac:dyDescent="0.2">
      <c r="A7158" s="19" t="s">
        <v>179</v>
      </c>
      <c r="B7158" s="19">
        <v>4.91</v>
      </c>
      <c r="C7158" s="19">
        <v>1</v>
      </c>
      <c r="D7158" s="19">
        <v>2.4058999999999999</v>
      </c>
    </row>
    <row r="7159" spans="1:4" x14ac:dyDescent="0.2">
      <c r="A7159" s="19" t="s">
        <v>150</v>
      </c>
      <c r="B7159" s="19">
        <v>87.92</v>
      </c>
      <c r="C7159" s="19">
        <v>4</v>
      </c>
      <c r="D7159" s="19">
        <v>0.87919999999999732</v>
      </c>
    </row>
    <row r="7160" spans="1:4" x14ac:dyDescent="0.2">
      <c r="A7160" s="19" t="s">
        <v>150</v>
      </c>
      <c r="B7160" s="19">
        <v>5.98</v>
      </c>
      <c r="C7160" s="19">
        <v>1</v>
      </c>
      <c r="D7160" s="19">
        <v>2.9302000000000001</v>
      </c>
    </row>
    <row r="7161" spans="1:4" x14ac:dyDescent="0.2">
      <c r="A7161" s="19" t="s">
        <v>159</v>
      </c>
      <c r="B7161" s="19">
        <v>222.38400000000001</v>
      </c>
      <c r="C7161" s="19">
        <v>2</v>
      </c>
      <c r="D7161" s="19">
        <v>16.678799999999995</v>
      </c>
    </row>
    <row r="7162" spans="1:4" x14ac:dyDescent="0.2">
      <c r="A7162" s="19" t="s">
        <v>159</v>
      </c>
      <c r="B7162" s="19">
        <v>16</v>
      </c>
      <c r="C7162" s="19">
        <v>4</v>
      </c>
      <c r="D7162" s="19">
        <v>5.6</v>
      </c>
    </row>
    <row r="7163" spans="1:4" x14ac:dyDescent="0.2">
      <c r="A7163" s="19" t="s">
        <v>166</v>
      </c>
      <c r="B7163" s="19">
        <v>21.84</v>
      </c>
      <c r="C7163" s="19">
        <v>3</v>
      </c>
      <c r="D7163" s="19">
        <v>10.92</v>
      </c>
    </row>
    <row r="7164" spans="1:4" x14ac:dyDescent="0.2">
      <c r="A7164" s="19" t="s">
        <v>166</v>
      </c>
      <c r="B7164" s="19">
        <v>15.600000000000001</v>
      </c>
      <c r="C7164" s="19">
        <v>5</v>
      </c>
      <c r="D7164" s="19">
        <v>7.6440000000000001</v>
      </c>
    </row>
    <row r="7165" spans="1:4" x14ac:dyDescent="0.2">
      <c r="A7165" s="19" t="s">
        <v>164</v>
      </c>
      <c r="B7165" s="19">
        <v>247.84</v>
      </c>
      <c r="C7165" s="19">
        <v>8</v>
      </c>
      <c r="D7165" s="19">
        <v>121.44159999999999</v>
      </c>
    </row>
    <row r="7166" spans="1:4" x14ac:dyDescent="0.2">
      <c r="A7166" s="19" t="s">
        <v>164</v>
      </c>
      <c r="B7166" s="19">
        <v>9.9120000000000008</v>
      </c>
      <c r="C7166" s="19">
        <v>3</v>
      </c>
      <c r="D7166" s="19">
        <v>3.3452999999999995</v>
      </c>
    </row>
    <row r="7167" spans="1:4" x14ac:dyDescent="0.2">
      <c r="A7167" s="19" t="s">
        <v>182</v>
      </c>
      <c r="B7167" s="19">
        <v>69.52</v>
      </c>
      <c r="C7167" s="19">
        <v>2</v>
      </c>
      <c r="D7167" s="19">
        <v>17.379999999999995</v>
      </c>
    </row>
    <row r="7168" spans="1:4" x14ac:dyDescent="0.2">
      <c r="A7168" s="19" t="s">
        <v>150</v>
      </c>
      <c r="B7168" s="19">
        <v>11.52</v>
      </c>
      <c r="C7168" s="19">
        <v>4</v>
      </c>
      <c r="D7168" s="19">
        <v>3.2256</v>
      </c>
    </row>
    <row r="7169" spans="1:4" x14ac:dyDescent="0.2">
      <c r="A7169" s="19" t="s">
        <v>150</v>
      </c>
      <c r="B7169" s="19">
        <v>717.72</v>
      </c>
      <c r="C7169" s="19">
        <v>3</v>
      </c>
      <c r="D7169" s="19">
        <v>71.77200000000002</v>
      </c>
    </row>
    <row r="7170" spans="1:4" x14ac:dyDescent="0.2">
      <c r="A7170" s="19" t="s">
        <v>150</v>
      </c>
      <c r="B7170" s="19">
        <v>236.5</v>
      </c>
      <c r="C7170" s="19">
        <v>10</v>
      </c>
      <c r="D7170" s="19">
        <v>68.584999999999994</v>
      </c>
    </row>
    <row r="7171" spans="1:4" x14ac:dyDescent="0.2">
      <c r="A7171" s="19" t="s">
        <v>150</v>
      </c>
      <c r="B7171" s="19">
        <v>170.35200000000003</v>
      </c>
      <c r="C7171" s="19">
        <v>3</v>
      </c>
      <c r="D7171" s="19">
        <v>19.164599999999979</v>
      </c>
    </row>
    <row r="7172" spans="1:4" x14ac:dyDescent="0.2">
      <c r="A7172" s="19" t="s">
        <v>164</v>
      </c>
      <c r="B7172" s="19">
        <v>145.76400000000001</v>
      </c>
      <c r="C7172" s="19">
        <v>2</v>
      </c>
      <c r="D7172" s="19">
        <v>3.2392000000000074</v>
      </c>
    </row>
    <row r="7173" spans="1:4" x14ac:dyDescent="0.2">
      <c r="A7173" s="19" t="s">
        <v>150</v>
      </c>
      <c r="B7173" s="19">
        <v>107.97</v>
      </c>
      <c r="C7173" s="19">
        <v>3</v>
      </c>
      <c r="D7173" s="19">
        <v>22.6737</v>
      </c>
    </row>
    <row r="7174" spans="1:4" x14ac:dyDescent="0.2">
      <c r="A7174" s="19" t="s">
        <v>154</v>
      </c>
      <c r="B7174" s="19">
        <v>143.96</v>
      </c>
      <c r="C7174" s="19">
        <v>5</v>
      </c>
      <c r="D7174" s="19">
        <v>1.7995000000000019</v>
      </c>
    </row>
    <row r="7175" spans="1:4" x14ac:dyDescent="0.2">
      <c r="A7175" s="19" t="s">
        <v>154</v>
      </c>
      <c r="B7175" s="19">
        <v>2399.96</v>
      </c>
      <c r="C7175" s="19">
        <v>5</v>
      </c>
      <c r="D7175" s="19">
        <v>569.99050000000011</v>
      </c>
    </row>
    <row r="7176" spans="1:4" x14ac:dyDescent="0.2">
      <c r="A7176" s="19" t="s">
        <v>154</v>
      </c>
      <c r="B7176" s="19">
        <v>74.352000000000004</v>
      </c>
      <c r="C7176" s="19">
        <v>3</v>
      </c>
      <c r="D7176" s="19">
        <v>23.234999999999992</v>
      </c>
    </row>
    <row r="7177" spans="1:4" x14ac:dyDescent="0.2">
      <c r="A7177" s="19" t="s">
        <v>154</v>
      </c>
      <c r="B7177" s="19">
        <v>87.167999999999978</v>
      </c>
      <c r="C7177" s="19">
        <v>8</v>
      </c>
      <c r="D7177" s="19">
        <v>-226.63679999999999</v>
      </c>
    </row>
    <row r="7178" spans="1:4" x14ac:dyDescent="0.2">
      <c r="A7178" s="19" t="s">
        <v>154</v>
      </c>
      <c r="B7178" s="19">
        <v>32.231999999999999</v>
      </c>
      <c r="C7178" s="19">
        <v>3</v>
      </c>
      <c r="D7178" s="19">
        <v>2.4173999999999989</v>
      </c>
    </row>
    <row r="7179" spans="1:4" x14ac:dyDescent="0.2">
      <c r="A7179" s="19" t="s">
        <v>158</v>
      </c>
      <c r="B7179" s="19">
        <v>2.2020000000000004</v>
      </c>
      <c r="C7179" s="19">
        <v>2</v>
      </c>
      <c r="D7179" s="19">
        <v>-1.5413999999999999</v>
      </c>
    </row>
    <row r="7180" spans="1:4" x14ac:dyDescent="0.2">
      <c r="A7180" s="19" t="s">
        <v>158</v>
      </c>
      <c r="B7180" s="19">
        <v>9.3960000000000008</v>
      </c>
      <c r="C7180" s="19">
        <v>3</v>
      </c>
      <c r="D7180" s="19">
        <v>-7.5167999999999964</v>
      </c>
    </row>
    <row r="7181" spans="1:4" x14ac:dyDescent="0.2">
      <c r="A7181" s="19" t="s">
        <v>187</v>
      </c>
      <c r="B7181" s="19">
        <v>89.97</v>
      </c>
      <c r="C7181" s="19">
        <v>3</v>
      </c>
      <c r="D7181" s="19">
        <v>25.191600000000005</v>
      </c>
    </row>
    <row r="7182" spans="1:4" x14ac:dyDescent="0.2">
      <c r="A7182" s="19" t="s">
        <v>101</v>
      </c>
      <c r="B7182" s="19">
        <v>12.78</v>
      </c>
      <c r="C7182" s="19">
        <v>3</v>
      </c>
      <c r="D7182" s="19">
        <v>5.2397999999999998</v>
      </c>
    </row>
    <row r="7183" spans="1:4" x14ac:dyDescent="0.2">
      <c r="A7183" s="19" t="s">
        <v>173</v>
      </c>
      <c r="B7183" s="19">
        <v>40</v>
      </c>
      <c r="C7183" s="19">
        <v>2</v>
      </c>
      <c r="D7183" s="19">
        <v>0.5</v>
      </c>
    </row>
    <row r="7184" spans="1:4" x14ac:dyDescent="0.2">
      <c r="A7184" s="19" t="s">
        <v>150</v>
      </c>
      <c r="B7184" s="19">
        <v>23.24</v>
      </c>
      <c r="C7184" s="19">
        <v>5</v>
      </c>
      <c r="D7184" s="19">
        <v>7.5529999999999982</v>
      </c>
    </row>
    <row r="7185" spans="1:4" x14ac:dyDescent="0.2">
      <c r="A7185" s="19" t="s">
        <v>187</v>
      </c>
      <c r="B7185" s="19">
        <v>908.82</v>
      </c>
      <c r="C7185" s="19">
        <v>9</v>
      </c>
      <c r="D7185" s="19">
        <v>227.20500000000004</v>
      </c>
    </row>
    <row r="7186" spans="1:4" x14ac:dyDescent="0.2">
      <c r="A7186" s="19" t="s">
        <v>154</v>
      </c>
      <c r="B7186" s="19">
        <v>5.5520000000000005</v>
      </c>
      <c r="C7186" s="19">
        <v>2</v>
      </c>
      <c r="D7186" s="19">
        <v>-1.0410000000000006</v>
      </c>
    </row>
    <row r="7187" spans="1:4" x14ac:dyDescent="0.2">
      <c r="A7187" s="19" t="s">
        <v>154</v>
      </c>
      <c r="B7187" s="19">
        <v>8.016</v>
      </c>
      <c r="C7187" s="19">
        <v>3</v>
      </c>
      <c r="D7187" s="19">
        <v>1.0019999999999993</v>
      </c>
    </row>
    <row r="7188" spans="1:4" x14ac:dyDescent="0.2">
      <c r="A7188" s="19" t="s">
        <v>154</v>
      </c>
      <c r="B7188" s="19">
        <v>74.591999999999999</v>
      </c>
      <c r="C7188" s="19">
        <v>4</v>
      </c>
      <c r="D7188" s="19">
        <v>-2.1312000000000033</v>
      </c>
    </row>
    <row r="7189" spans="1:4" x14ac:dyDescent="0.2">
      <c r="A7189" s="19" t="s">
        <v>154</v>
      </c>
      <c r="B7189" s="19">
        <v>16.784000000000002</v>
      </c>
      <c r="C7189" s="19">
        <v>2</v>
      </c>
      <c r="D7189" s="19">
        <v>-22.238800000000001</v>
      </c>
    </row>
    <row r="7190" spans="1:4" x14ac:dyDescent="0.2">
      <c r="A7190" s="19" t="s">
        <v>154</v>
      </c>
      <c r="B7190" s="19">
        <v>38.86399999999999</v>
      </c>
      <c r="C7190" s="19">
        <v>4</v>
      </c>
      <c r="D7190" s="19">
        <v>-99.103200000000044</v>
      </c>
    </row>
    <row r="7191" spans="1:4" x14ac:dyDescent="0.2">
      <c r="A7191" s="19" t="s">
        <v>150</v>
      </c>
      <c r="B7191" s="19">
        <v>203.976</v>
      </c>
      <c r="C7191" s="19">
        <v>3</v>
      </c>
      <c r="D7191" s="19">
        <v>25.496999999999986</v>
      </c>
    </row>
    <row r="7192" spans="1:4" x14ac:dyDescent="0.2">
      <c r="A7192" s="19" t="s">
        <v>150</v>
      </c>
      <c r="B7192" s="19">
        <v>674.35200000000009</v>
      </c>
      <c r="C7192" s="19">
        <v>3</v>
      </c>
      <c r="D7192" s="19">
        <v>-8.4294000000000153</v>
      </c>
    </row>
    <row r="7193" spans="1:4" x14ac:dyDescent="0.2">
      <c r="A7193" s="19" t="s">
        <v>151</v>
      </c>
      <c r="B7193" s="19">
        <v>5.3880000000000008</v>
      </c>
      <c r="C7193" s="19">
        <v>4</v>
      </c>
      <c r="D7193" s="19">
        <v>-4.49</v>
      </c>
    </row>
    <row r="7194" spans="1:4" x14ac:dyDescent="0.2">
      <c r="A7194" s="19" t="s">
        <v>151</v>
      </c>
      <c r="B7194" s="19">
        <v>30.975999999999999</v>
      </c>
      <c r="C7194" s="19">
        <v>8</v>
      </c>
      <c r="D7194" s="19">
        <v>5.0335999999999999</v>
      </c>
    </row>
    <row r="7195" spans="1:4" x14ac:dyDescent="0.2">
      <c r="A7195" s="19" t="s">
        <v>101</v>
      </c>
      <c r="B7195" s="19">
        <v>1350.1200000000001</v>
      </c>
      <c r="C7195" s="19">
        <v>6</v>
      </c>
      <c r="D7195" s="19">
        <v>175.51560000000001</v>
      </c>
    </row>
    <row r="7196" spans="1:4" x14ac:dyDescent="0.2">
      <c r="A7196" s="19" t="s">
        <v>101</v>
      </c>
      <c r="B7196" s="19">
        <v>15.92</v>
      </c>
      <c r="C7196" s="19">
        <v>4</v>
      </c>
      <c r="D7196" s="19">
        <v>7.4824000000000002</v>
      </c>
    </row>
    <row r="7197" spans="1:4" x14ac:dyDescent="0.2">
      <c r="A7197" s="19" t="s">
        <v>153</v>
      </c>
      <c r="B7197" s="19">
        <v>19.54</v>
      </c>
      <c r="C7197" s="19">
        <v>2</v>
      </c>
      <c r="D7197" s="19">
        <v>7.2297999999999991</v>
      </c>
    </row>
    <row r="7198" spans="1:4" x14ac:dyDescent="0.2">
      <c r="A7198" s="19" t="s">
        <v>150</v>
      </c>
      <c r="B7198" s="19">
        <v>21.400000000000002</v>
      </c>
      <c r="C7198" s="19">
        <v>5</v>
      </c>
      <c r="D7198" s="19">
        <v>6.2059999999999977</v>
      </c>
    </row>
    <row r="7199" spans="1:4" x14ac:dyDescent="0.2">
      <c r="A7199" s="19" t="s">
        <v>150</v>
      </c>
      <c r="B7199" s="19">
        <v>12.6</v>
      </c>
      <c r="C7199" s="19">
        <v>2</v>
      </c>
      <c r="D7199" s="19">
        <v>5.7959999999999994</v>
      </c>
    </row>
    <row r="7200" spans="1:4" x14ac:dyDescent="0.2">
      <c r="A7200" s="19" t="s">
        <v>164</v>
      </c>
      <c r="B7200" s="19">
        <v>11.96</v>
      </c>
      <c r="C7200" s="19">
        <v>2</v>
      </c>
      <c r="D7200" s="19">
        <v>3.1096000000000004</v>
      </c>
    </row>
    <row r="7201" spans="1:4" x14ac:dyDescent="0.2">
      <c r="A7201" s="19" t="s">
        <v>164</v>
      </c>
      <c r="B7201" s="19">
        <v>138</v>
      </c>
      <c r="C7201" s="19">
        <v>2</v>
      </c>
      <c r="D7201" s="19">
        <v>34.5</v>
      </c>
    </row>
    <row r="7202" spans="1:4" x14ac:dyDescent="0.2">
      <c r="A7202" s="19" t="s">
        <v>151</v>
      </c>
      <c r="B7202" s="19">
        <v>116.75999999999999</v>
      </c>
      <c r="C7202" s="19">
        <v>1</v>
      </c>
      <c r="D7202" s="19">
        <v>14.594999999999985</v>
      </c>
    </row>
    <row r="7203" spans="1:4" x14ac:dyDescent="0.2">
      <c r="A7203" s="19" t="s">
        <v>151</v>
      </c>
      <c r="B7203" s="19">
        <v>331.02300000000008</v>
      </c>
      <c r="C7203" s="19">
        <v>7</v>
      </c>
      <c r="D7203" s="19">
        <v>-114.35339999999997</v>
      </c>
    </row>
    <row r="7204" spans="1:4" x14ac:dyDescent="0.2">
      <c r="A7204" s="19" t="s">
        <v>164</v>
      </c>
      <c r="B7204" s="19">
        <v>756.80000000000007</v>
      </c>
      <c r="C7204" s="19">
        <v>5</v>
      </c>
      <c r="D7204" s="19">
        <v>75.679999999999978</v>
      </c>
    </row>
    <row r="7205" spans="1:4" x14ac:dyDescent="0.2">
      <c r="A7205" s="19" t="s">
        <v>159</v>
      </c>
      <c r="B7205" s="19">
        <v>8.7360000000000007</v>
      </c>
      <c r="C7205" s="19">
        <v>3</v>
      </c>
      <c r="D7205" s="19">
        <v>-4.804800000000002</v>
      </c>
    </row>
    <row r="7206" spans="1:4" x14ac:dyDescent="0.2">
      <c r="A7206" s="19" t="s">
        <v>164</v>
      </c>
      <c r="B7206" s="19">
        <v>6.08</v>
      </c>
      <c r="C7206" s="19">
        <v>2</v>
      </c>
      <c r="D7206" s="19">
        <v>2.0671999999999997</v>
      </c>
    </row>
    <row r="7207" spans="1:4" x14ac:dyDescent="0.2">
      <c r="A7207" s="19" t="s">
        <v>150</v>
      </c>
      <c r="B7207" s="19">
        <v>17.46</v>
      </c>
      <c r="C7207" s="19">
        <v>2</v>
      </c>
      <c r="D7207" s="19">
        <v>5.936399999999999</v>
      </c>
    </row>
    <row r="7208" spans="1:4" x14ac:dyDescent="0.2">
      <c r="A7208" s="19" t="s">
        <v>150</v>
      </c>
      <c r="B7208" s="19">
        <v>369.16</v>
      </c>
      <c r="C7208" s="19">
        <v>11</v>
      </c>
      <c r="D7208" s="19">
        <v>32.301500000000019</v>
      </c>
    </row>
    <row r="7209" spans="1:4" x14ac:dyDescent="0.2">
      <c r="A7209" s="19" t="s">
        <v>165</v>
      </c>
      <c r="B7209" s="19">
        <v>2.9120000000000004</v>
      </c>
      <c r="C7209" s="19">
        <v>2</v>
      </c>
      <c r="D7209" s="19">
        <v>0.90999999999999981</v>
      </c>
    </row>
    <row r="7210" spans="1:4" x14ac:dyDescent="0.2">
      <c r="A7210" s="19" t="s">
        <v>165</v>
      </c>
      <c r="B7210" s="19">
        <v>20.736000000000004</v>
      </c>
      <c r="C7210" s="19">
        <v>4</v>
      </c>
      <c r="D7210" s="19">
        <v>7.2576000000000001</v>
      </c>
    </row>
    <row r="7211" spans="1:4" x14ac:dyDescent="0.2">
      <c r="A7211" s="19" t="s">
        <v>165</v>
      </c>
      <c r="B7211" s="19">
        <v>9.5680000000000014</v>
      </c>
      <c r="C7211" s="19">
        <v>2</v>
      </c>
      <c r="D7211" s="19">
        <v>2.9899999999999993</v>
      </c>
    </row>
    <row r="7212" spans="1:4" x14ac:dyDescent="0.2">
      <c r="A7212" s="19" t="s">
        <v>153</v>
      </c>
      <c r="B7212" s="19">
        <v>30.18</v>
      </c>
      <c r="C7212" s="19">
        <v>3</v>
      </c>
      <c r="D7212" s="19">
        <v>13.8828</v>
      </c>
    </row>
    <row r="7213" spans="1:4" x14ac:dyDescent="0.2">
      <c r="A7213" s="19" t="s">
        <v>153</v>
      </c>
      <c r="B7213" s="19">
        <v>51.648000000000003</v>
      </c>
      <c r="C7213" s="19">
        <v>12</v>
      </c>
      <c r="D7213" s="19">
        <v>18.7224</v>
      </c>
    </row>
    <row r="7214" spans="1:4" x14ac:dyDescent="0.2">
      <c r="A7214" s="19" t="s">
        <v>153</v>
      </c>
      <c r="B7214" s="19">
        <v>11.231999999999999</v>
      </c>
      <c r="C7214" s="19">
        <v>3</v>
      </c>
      <c r="D7214" s="19">
        <v>3.9312000000000005</v>
      </c>
    </row>
    <row r="7215" spans="1:4" x14ac:dyDescent="0.2">
      <c r="A7215" s="19" t="s">
        <v>150</v>
      </c>
      <c r="B7215" s="19">
        <v>14.73</v>
      </c>
      <c r="C7215" s="19">
        <v>3</v>
      </c>
      <c r="D7215" s="19">
        <v>7.2176999999999998</v>
      </c>
    </row>
    <row r="7216" spans="1:4" x14ac:dyDescent="0.2">
      <c r="A7216" s="19" t="s">
        <v>161</v>
      </c>
      <c r="B7216" s="19">
        <v>16.399999999999999</v>
      </c>
      <c r="C7216" s="19">
        <v>5</v>
      </c>
      <c r="D7216" s="19">
        <v>4.7559999999999985</v>
      </c>
    </row>
    <row r="7217" spans="1:4" x14ac:dyDescent="0.2">
      <c r="A7217" s="19" t="s">
        <v>161</v>
      </c>
      <c r="B7217" s="19">
        <v>25.92</v>
      </c>
      <c r="C7217" s="19">
        <v>4</v>
      </c>
      <c r="D7217" s="19">
        <v>12.441600000000001</v>
      </c>
    </row>
    <row r="7218" spans="1:4" x14ac:dyDescent="0.2">
      <c r="A7218" s="19" t="s">
        <v>150</v>
      </c>
      <c r="B7218" s="19">
        <v>8.82</v>
      </c>
      <c r="C7218" s="19">
        <v>3</v>
      </c>
      <c r="D7218" s="19">
        <v>2.5577999999999994</v>
      </c>
    </row>
    <row r="7219" spans="1:4" x14ac:dyDescent="0.2">
      <c r="A7219" s="19" t="s">
        <v>150</v>
      </c>
      <c r="B7219" s="19">
        <v>62.496000000000009</v>
      </c>
      <c r="C7219" s="19">
        <v>2</v>
      </c>
      <c r="D7219" s="19">
        <v>21.873599999999996</v>
      </c>
    </row>
    <row r="7220" spans="1:4" x14ac:dyDescent="0.2">
      <c r="A7220" s="19" t="s">
        <v>150</v>
      </c>
      <c r="B7220" s="19">
        <v>339.96</v>
      </c>
      <c r="C7220" s="19">
        <v>4</v>
      </c>
      <c r="D7220" s="19">
        <v>122.38559999999998</v>
      </c>
    </row>
    <row r="7221" spans="1:4" x14ac:dyDescent="0.2">
      <c r="A7221" s="19" t="s">
        <v>150</v>
      </c>
      <c r="B7221" s="19">
        <v>49.568000000000005</v>
      </c>
      <c r="C7221" s="19">
        <v>2</v>
      </c>
      <c r="D7221" s="19">
        <v>17.348799999999997</v>
      </c>
    </row>
    <row r="7222" spans="1:4" x14ac:dyDescent="0.2">
      <c r="A7222" s="19" t="s">
        <v>158</v>
      </c>
      <c r="B7222" s="19">
        <v>274.49100000000004</v>
      </c>
      <c r="C7222" s="19">
        <v>3</v>
      </c>
      <c r="D7222" s="19">
        <v>-228.74250000000006</v>
      </c>
    </row>
    <row r="7223" spans="1:4" x14ac:dyDescent="0.2">
      <c r="A7223" s="19" t="s">
        <v>164</v>
      </c>
      <c r="B7223" s="19">
        <v>137.94</v>
      </c>
      <c r="C7223" s="19">
        <v>3</v>
      </c>
      <c r="D7223" s="19">
        <v>35.864399999999996</v>
      </c>
    </row>
    <row r="7224" spans="1:4" x14ac:dyDescent="0.2">
      <c r="A7224" s="19" t="s">
        <v>159</v>
      </c>
      <c r="B7224" s="19">
        <v>40.68</v>
      </c>
      <c r="C7224" s="19">
        <v>3</v>
      </c>
      <c r="D7224" s="19">
        <v>-7.1190000000000015</v>
      </c>
    </row>
    <row r="7225" spans="1:4" x14ac:dyDescent="0.2">
      <c r="A7225" s="19" t="s">
        <v>150</v>
      </c>
      <c r="B7225" s="19">
        <v>110.376</v>
      </c>
      <c r="C7225" s="19">
        <v>3</v>
      </c>
      <c r="D7225" s="19">
        <v>12.417299999999997</v>
      </c>
    </row>
    <row r="7226" spans="1:4" x14ac:dyDescent="0.2">
      <c r="A7226" s="19" t="s">
        <v>150</v>
      </c>
      <c r="B7226" s="19">
        <v>151.62</v>
      </c>
      <c r="C7226" s="19">
        <v>7</v>
      </c>
      <c r="D7226" s="19">
        <v>50.03459999999999</v>
      </c>
    </row>
    <row r="7227" spans="1:4" x14ac:dyDescent="0.2">
      <c r="A7227" s="19" t="s">
        <v>150</v>
      </c>
      <c r="B7227" s="19">
        <v>30.8</v>
      </c>
      <c r="C7227" s="19">
        <v>4</v>
      </c>
      <c r="D7227" s="19">
        <v>10.163999999999998</v>
      </c>
    </row>
    <row r="7228" spans="1:4" x14ac:dyDescent="0.2">
      <c r="A7228" s="19" t="s">
        <v>158</v>
      </c>
      <c r="B7228" s="19">
        <v>123.92000000000002</v>
      </c>
      <c r="C7228" s="19">
        <v>5</v>
      </c>
      <c r="D7228" s="19">
        <v>38.724999999999994</v>
      </c>
    </row>
    <row r="7229" spans="1:4" x14ac:dyDescent="0.2">
      <c r="A7229" s="19" t="s">
        <v>158</v>
      </c>
      <c r="B7229" s="19">
        <v>1319.8</v>
      </c>
      <c r="C7229" s="19">
        <v>5</v>
      </c>
      <c r="D7229" s="19">
        <v>214.4674999999998</v>
      </c>
    </row>
    <row r="7230" spans="1:4" x14ac:dyDescent="0.2">
      <c r="A7230" s="19" t="s">
        <v>150</v>
      </c>
      <c r="B7230" s="19">
        <v>89.712000000000018</v>
      </c>
      <c r="C7230" s="19">
        <v>6</v>
      </c>
      <c r="D7230" s="19">
        <v>30.277799999999992</v>
      </c>
    </row>
    <row r="7231" spans="1:4" x14ac:dyDescent="0.2">
      <c r="A7231" s="19" t="s">
        <v>150</v>
      </c>
      <c r="B7231" s="19">
        <v>22.830000000000002</v>
      </c>
      <c r="C7231" s="19">
        <v>3</v>
      </c>
      <c r="D7231" s="19">
        <v>10.7301</v>
      </c>
    </row>
    <row r="7232" spans="1:4" x14ac:dyDescent="0.2">
      <c r="A7232" s="19" t="s">
        <v>178</v>
      </c>
      <c r="B7232" s="19">
        <v>30.88</v>
      </c>
      <c r="C7232" s="19">
        <v>2</v>
      </c>
      <c r="D7232" s="19">
        <v>15.44</v>
      </c>
    </row>
    <row r="7233" spans="1:4" x14ac:dyDescent="0.2">
      <c r="A7233" s="19" t="s">
        <v>178</v>
      </c>
      <c r="B7233" s="19">
        <v>465.16</v>
      </c>
      <c r="C7233" s="19">
        <v>2</v>
      </c>
      <c r="D7233" s="19">
        <v>120.94159999999999</v>
      </c>
    </row>
    <row r="7234" spans="1:4" x14ac:dyDescent="0.2">
      <c r="A7234" s="19" t="s">
        <v>178</v>
      </c>
      <c r="B7234" s="19">
        <v>27.12</v>
      </c>
      <c r="C7234" s="19">
        <v>4</v>
      </c>
      <c r="D7234" s="19">
        <v>12.475199999999999</v>
      </c>
    </row>
    <row r="7235" spans="1:4" x14ac:dyDescent="0.2">
      <c r="A7235" s="19" t="s">
        <v>164</v>
      </c>
      <c r="B7235" s="19">
        <v>113.6</v>
      </c>
      <c r="C7235" s="19">
        <v>8</v>
      </c>
      <c r="D7235" s="19">
        <v>44.304000000000002</v>
      </c>
    </row>
    <row r="7236" spans="1:4" x14ac:dyDescent="0.2">
      <c r="A7236" s="19" t="s">
        <v>164</v>
      </c>
      <c r="B7236" s="19">
        <v>12.96</v>
      </c>
      <c r="C7236" s="19">
        <v>2</v>
      </c>
      <c r="D7236" s="19">
        <v>6.3504000000000005</v>
      </c>
    </row>
    <row r="7237" spans="1:4" x14ac:dyDescent="0.2">
      <c r="A7237" s="19" t="s">
        <v>164</v>
      </c>
      <c r="B7237" s="19">
        <v>69.456000000000003</v>
      </c>
      <c r="C7237" s="19">
        <v>2</v>
      </c>
      <c r="D7237" s="19">
        <v>22.573199999999996</v>
      </c>
    </row>
    <row r="7238" spans="1:4" x14ac:dyDescent="0.2">
      <c r="A7238" s="19" t="s">
        <v>150</v>
      </c>
      <c r="B7238" s="19">
        <v>8.64</v>
      </c>
      <c r="C7238" s="19">
        <v>3</v>
      </c>
      <c r="D7238" s="19">
        <v>2.4192</v>
      </c>
    </row>
    <row r="7239" spans="1:4" x14ac:dyDescent="0.2">
      <c r="A7239" s="19" t="s">
        <v>158</v>
      </c>
      <c r="B7239" s="19">
        <v>341.99100000000004</v>
      </c>
      <c r="C7239" s="19">
        <v>3</v>
      </c>
      <c r="D7239" s="19">
        <v>-319.19159999999999</v>
      </c>
    </row>
    <row r="7240" spans="1:4" x14ac:dyDescent="0.2">
      <c r="A7240" s="19" t="s">
        <v>150</v>
      </c>
      <c r="B7240" s="19">
        <v>43.96</v>
      </c>
      <c r="C7240" s="19">
        <v>7</v>
      </c>
      <c r="D7240" s="19">
        <v>18.463200000000004</v>
      </c>
    </row>
    <row r="7241" spans="1:4" x14ac:dyDescent="0.2">
      <c r="A7241" s="19" t="s">
        <v>150</v>
      </c>
      <c r="B7241" s="19">
        <v>39.76</v>
      </c>
      <c r="C7241" s="19">
        <v>7</v>
      </c>
      <c r="D7241" s="19">
        <v>18.687199999999997</v>
      </c>
    </row>
    <row r="7242" spans="1:4" x14ac:dyDescent="0.2">
      <c r="A7242" s="19" t="s">
        <v>150</v>
      </c>
      <c r="B7242" s="19">
        <v>66.36</v>
      </c>
      <c r="C7242" s="19">
        <v>7</v>
      </c>
      <c r="D7242" s="19">
        <v>26.544000000000004</v>
      </c>
    </row>
    <row r="7243" spans="1:4" x14ac:dyDescent="0.2">
      <c r="A7243" s="19" t="s">
        <v>150</v>
      </c>
      <c r="B7243" s="19">
        <v>92.88000000000001</v>
      </c>
      <c r="C7243" s="19">
        <v>6</v>
      </c>
      <c r="D7243" s="19">
        <v>30.185999999999996</v>
      </c>
    </row>
    <row r="7244" spans="1:4" x14ac:dyDescent="0.2">
      <c r="A7244" s="19" t="s">
        <v>150</v>
      </c>
      <c r="B7244" s="19">
        <v>24.14</v>
      </c>
      <c r="C7244" s="19">
        <v>2</v>
      </c>
      <c r="D7244" s="19">
        <v>7.9662000000000006</v>
      </c>
    </row>
    <row r="7245" spans="1:4" x14ac:dyDescent="0.2">
      <c r="A7245" s="19" t="s">
        <v>158</v>
      </c>
      <c r="B7245" s="19">
        <v>4416.174</v>
      </c>
      <c r="C7245" s="19">
        <v>9</v>
      </c>
      <c r="D7245" s="19">
        <v>-630.88200000000006</v>
      </c>
    </row>
    <row r="7246" spans="1:4" x14ac:dyDescent="0.2">
      <c r="A7246" s="19" t="s">
        <v>150</v>
      </c>
      <c r="B7246" s="19">
        <v>49.56</v>
      </c>
      <c r="C7246" s="19">
        <v>7</v>
      </c>
      <c r="D7246" s="19">
        <v>18.832800000000002</v>
      </c>
    </row>
    <row r="7247" spans="1:4" x14ac:dyDescent="0.2">
      <c r="A7247" s="19" t="s">
        <v>150</v>
      </c>
      <c r="B7247" s="19">
        <v>354.90000000000003</v>
      </c>
      <c r="C7247" s="19">
        <v>5</v>
      </c>
      <c r="D7247" s="19">
        <v>17.744999999999962</v>
      </c>
    </row>
    <row r="7248" spans="1:4" x14ac:dyDescent="0.2">
      <c r="A7248" s="19" t="s">
        <v>173</v>
      </c>
      <c r="B7248" s="19">
        <v>15.120000000000001</v>
      </c>
      <c r="C7248" s="19">
        <v>3</v>
      </c>
      <c r="D7248" s="19">
        <v>4.9139999999999988</v>
      </c>
    </row>
    <row r="7249" spans="1:4" x14ac:dyDescent="0.2">
      <c r="A7249" s="19" t="s">
        <v>173</v>
      </c>
      <c r="B7249" s="19">
        <v>302.45</v>
      </c>
      <c r="C7249" s="19">
        <v>5</v>
      </c>
      <c r="D7249" s="19">
        <v>-199.61700000000002</v>
      </c>
    </row>
    <row r="7250" spans="1:4" x14ac:dyDescent="0.2">
      <c r="A7250" s="19" t="s">
        <v>173</v>
      </c>
      <c r="B7250" s="19">
        <v>44.672000000000004</v>
      </c>
      <c r="C7250" s="19">
        <v>8</v>
      </c>
      <c r="D7250" s="19">
        <v>-10.051200000000003</v>
      </c>
    </row>
    <row r="7251" spans="1:4" x14ac:dyDescent="0.2">
      <c r="A7251" s="19" t="s">
        <v>150</v>
      </c>
      <c r="B7251" s="19">
        <v>119.98</v>
      </c>
      <c r="C7251" s="19">
        <v>2</v>
      </c>
      <c r="D7251" s="19">
        <v>35.994</v>
      </c>
    </row>
    <row r="7252" spans="1:4" x14ac:dyDescent="0.2">
      <c r="A7252" s="19" t="s">
        <v>150</v>
      </c>
      <c r="B7252" s="19">
        <v>989.97</v>
      </c>
      <c r="C7252" s="19">
        <v>3</v>
      </c>
      <c r="D7252" s="19">
        <v>395.98800000000006</v>
      </c>
    </row>
    <row r="7253" spans="1:4" x14ac:dyDescent="0.2">
      <c r="A7253" s="19" t="s">
        <v>151</v>
      </c>
      <c r="B7253" s="19">
        <v>9.2159999999999993</v>
      </c>
      <c r="C7253" s="19">
        <v>4</v>
      </c>
      <c r="D7253" s="19">
        <v>3.3408000000000002</v>
      </c>
    </row>
    <row r="7254" spans="1:4" x14ac:dyDescent="0.2">
      <c r="A7254" s="19" t="s">
        <v>161</v>
      </c>
      <c r="B7254" s="19">
        <v>68.52</v>
      </c>
      <c r="C7254" s="19">
        <v>3</v>
      </c>
      <c r="D7254" s="19">
        <v>31.519199999999998</v>
      </c>
    </row>
    <row r="7255" spans="1:4" x14ac:dyDescent="0.2">
      <c r="A7255" s="19" t="s">
        <v>155</v>
      </c>
      <c r="B7255" s="19">
        <v>364.74</v>
      </c>
      <c r="C7255" s="19">
        <v>3</v>
      </c>
      <c r="D7255" s="19">
        <v>109.42199999999997</v>
      </c>
    </row>
    <row r="7256" spans="1:4" x14ac:dyDescent="0.2">
      <c r="A7256" s="19" t="s">
        <v>155</v>
      </c>
      <c r="B7256" s="19">
        <v>47.400000000000006</v>
      </c>
      <c r="C7256" s="19">
        <v>5</v>
      </c>
      <c r="D7256" s="19">
        <v>21.33</v>
      </c>
    </row>
    <row r="7257" spans="1:4" x14ac:dyDescent="0.2">
      <c r="A7257" s="19" t="s">
        <v>155</v>
      </c>
      <c r="B7257" s="19">
        <v>49.76</v>
      </c>
      <c r="C7257" s="19">
        <v>4</v>
      </c>
      <c r="D7257" s="19">
        <v>13.9328</v>
      </c>
    </row>
    <row r="7258" spans="1:4" x14ac:dyDescent="0.2">
      <c r="A7258" s="19" t="s">
        <v>155</v>
      </c>
      <c r="B7258" s="19">
        <v>5.56</v>
      </c>
      <c r="C7258" s="19">
        <v>2</v>
      </c>
      <c r="D7258" s="19">
        <v>1.4455999999999998</v>
      </c>
    </row>
    <row r="7259" spans="1:4" x14ac:dyDescent="0.2">
      <c r="A7259" s="19" t="s">
        <v>155</v>
      </c>
      <c r="B7259" s="19">
        <v>629.09999999999991</v>
      </c>
      <c r="C7259" s="19">
        <v>6</v>
      </c>
      <c r="D7259" s="19">
        <v>301.96799999999996</v>
      </c>
    </row>
    <row r="7260" spans="1:4" x14ac:dyDescent="0.2">
      <c r="A7260" s="19" t="s">
        <v>155</v>
      </c>
      <c r="B7260" s="19">
        <v>14.7</v>
      </c>
      <c r="C7260" s="19">
        <v>5</v>
      </c>
      <c r="D7260" s="19">
        <v>3.9690000000000003</v>
      </c>
    </row>
    <row r="7261" spans="1:4" x14ac:dyDescent="0.2">
      <c r="A7261" s="19" t="s">
        <v>155</v>
      </c>
      <c r="B7261" s="19">
        <v>45.36</v>
      </c>
      <c r="C7261" s="19">
        <v>7</v>
      </c>
      <c r="D7261" s="19">
        <v>21.772800000000004</v>
      </c>
    </row>
    <row r="7262" spans="1:4" x14ac:dyDescent="0.2">
      <c r="A7262" s="19" t="s">
        <v>155</v>
      </c>
      <c r="B7262" s="19">
        <v>125.99</v>
      </c>
      <c r="C7262" s="19">
        <v>1</v>
      </c>
      <c r="D7262" s="19">
        <v>35.277200000000008</v>
      </c>
    </row>
    <row r="7263" spans="1:4" x14ac:dyDescent="0.2">
      <c r="A7263" s="19" t="s">
        <v>150</v>
      </c>
      <c r="B7263" s="19">
        <v>14.700000000000001</v>
      </c>
      <c r="C7263" s="19">
        <v>7</v>
      </c>
      <c r="D7263" s="19">
        <v>4.1160000000000005</v>
      </c>
    </row>
    <row r="7264" spans="1:4" x14ac:dyDescent="0.2">
      <c r="A7264" s="19" t="s">
        <v>158</v>
      </c>
      <c r="B7264" s="19">
        <v>32.700000000000003</v>
      </c>
      <c r="C7264" s="19">
        <v>5</v>
      </c>
      <c r="D7264" s="19">
        <v>-6.5399999999999991</v>
      </c>
    </row>
    <row r="7265" spans="1:4" x14ac:dyDescent="0.2">
      <c r="A7265" s="19" t="s">
        <v>158</v>
      </c>
      <c r="B7265" s="19">
        <v>31.680000000000003</v>
      </c>
      <c r="C7265" s="19">
        <v>4</v>
      </c>
      <c r="D7265" s="19">
        <v>11.087999999999997</v>
      </c>
    </row>
    <row r="7266" spans="1:4" x14ac:dyDescent="0.2">
      <c r="A7266" s="19" t="s">
        <v>166</v>
      </c>
      <c r="B7266" s="19">
        <v>181.86</v>
      </c>
      <c r="C7266" s="19">
        <v>7</v>
      </c>
      <c r="D7266" s="19">
        <v>50.9208</v>
      </c>
    </row>
    <row r="7267" spans="1:4" x14ac:dyDescent="0.2">
      <c r="A7267" s="19" t="s">
        <v>154</v>
      </c>
      <c r="B7267" s="19">
        <v>155.37199999999999</v>
      </c>
      <c r="C7267" s="19">
        <v>2</v>
      </c>
      <c r="D7267" s="19">
        <v>-35.513599999999997</v>
      </c>
    </row>
    <row r="7268" spans="1:4" x14ac:dyDescent="0.2">
      <c r="A7268" s="19" t="s">
        <v>167</v>
      </c>
      <c r="B7268" s="19">
        <v>13.428000000000003</v>
      </c>
      <c r="C7268" s="19">
        <v>3</v>
      </c>
      <c r="D7268" s="19">
        <v>-11.190000000000001</v>
      </c>
    </row>
    <row r="7269" spans="1:4" x14ac:dyDescent="0.2">
      <c r="A7269" s="19" t="s">
        <v>167</v>
      </c>
      <c r="B7269" s="19">
        <v>67.13600000000001</v>
      </c>
      <c r="C7269" s="19">
        <v>4</v>
      </c>
      <c r="D7269" s="19">
        <v>-0.83920000000000172</v>
      </c>
    </row>
    <row r="7270" spans="1:4" x14ac:dyDescent="0.2">
      <c r="A7270" s="19" t="s">
        <v>152</v>
      </c>
      <c r="B7270" s="19">
        <v>89.567999999999998</v>
      </c>
      <c r="C7270" s="19">
        <v>2</v>
      </c>
      <c r="D7270" s="19">
        <v>32.468400000000003</v>
      </c>
    </row>
    <row r="7271" spans="1:4" x14ac:dyDescent="0.2">
      <c r="A7271" s="19" t="s">
        <v>152</v>
      </c>
      <c r="B7271" s="19">
        <v>315.77600000000007</v>
      </c>
      <c r="C7271" s="19">
        <v>8</v>
      </c>
      <c r="D7271" s="19">
        <v>31.577600000000018</v>
      </c>
    </row>
    <row r="7272" spans="1:4" x14ac:dyDescent="0.2">
      <c r="A7272" s="19" t="s">
        <v>150</v>
      </c>
      <c r="B7272" s="19">
        <v>273.666</v>
      </c>
      <c r="C7272" s="19">
        <v>2</v>
      </c>
      <c r="D7272" s="19">
        <v>-12.878400000000013</v>
      </c>
    </row>
    <row r="7273" spans="1:4" x14ac:dyDescent="0.2">
      <c r="A7273" s="19" t="s">
        <v>150</v>
      </c>
      <c r="B7273" s="19">
        <v>17.48</v>
      </c>
      <c r="C7273" s="19">
        <v>4</v>
      </c>
      <c r="D7273" s="19">
        <v>4.5448000000000004</v>
      </c>
    </row>
    <row r="7274" spans="1:4" x14ac:dyDescent="0.2">
      <c r="A7274" s="19" t="s">
        <v>152</v>
      </c>
      <c r="B7274" s="19">
        <v>20.608000000000004</v>
      </c>
      <c r="C7274" s="19">
        <v>2</v>
      </c>
      <c r="D7274" s="19">
        <v>-4.3792000000000009</v>
      </c>
    </row>
    <row r="7275" spans="1:4" x14ac:dyDescent="0.2">
      <c r="A7275" s="19" t="s">
        <v>152</v>
      </c>
      <c r="B7275" s="19">
        <v>4.0950000000000006</v>
      </c>
      <c r="C7275" s="19">
        <v>3</v>
      </c>
      <c r="D7275" s="19">
        <v>-2.7300000000000004</v>
      </c>
    </row>
    <row r="7276" spans="1:4" x14ac:dyDescent="0.2">
      <c r="A7276" s="19" t="s">
        <v>185</v>
      </c>
      <c r="B7276" s="19">
        <v>339.96000000000004</v>
      </c>
      <c r="C7276" s="19">
        <v>5</v>
      </c>
      <c r="D7276" s="19">
        <v>42.494999999999948</v>
      </c>
    </row>
    <row r="7277" spans="1:4" x14ac:dyDescent="0.2">
      <c r="A7277" s="19" t="s">
        <v>185</v>
      </c>
      <c r="B7277" s="19">
        <v>63.980000000000004</v>
      </c>
      <c r="C7277" s="19">
        <v>7</v>
      </c>
      <c r="D7277" s="19">
        <v>21.7532</v>
      </c>
    </row>
    <row r="7278" spans="1:4" x14ac:dyDescent="0.2">
      <c r="A7278" s="19" t="s">
        <v>151</v>
      </c>
      <c r="B7278" s="19">
        <v>799.92000000000007</v>
      </c>
      <c r="C7278" s="19">
        <v>10</v>
      </c>
      <c r="D7278" s="19">
        <v>239.976</v>
      </c>
    </row>
    <row r="7279" spans="1:4" x14ac:dyDescent="0.2">
      <c r="A7279" s="19" t="s">
        <v>150</v>
      </c>
      <c r="B7279" s="19">
        <v>35.984000000000002</v>
      </c>
      <c r="C7279" s="19">
        <v>2</v>
      </c>
      <c r="D7279" s="19">
        <v>4.4979999999999958</v>
      </c>
    </row>
    <row r="7280" spans="1:4" x14ac:dyDescent="0.2">
      <c r="A7280" s="19" t="s">
        <v>150</v>
      </c>
      <c r="B7280" s="19">
        <v>389.97</v>
      </c>
      <c r="C7280" s="19">
        <v>3</v>
      </c>
      <c r="D7280" s="19">
        <v>132.58980000000003</v>
      </c>
    </row>
    <row r="7281" spans="1:4" x14ac:dyDescent="0.2">
      <c r="A7281" s="19" t="s">
        <v>165</v>
      </c>
      <c r="B7281" s="19">
        <v>185.52800000000002</v>
      </c>
      <c r="C7281" s="19">
        <v>7</v>
      </c>
      <c r="D7281" s="19">
        <v>48.701099999999997</v>
      </c>
    </row>
    <row r="7282" spans="1:4" x14ac:dyDescent="0.2">
      <c r="A7282" s="19" t="s">
        <v>187</v>
      </c>
      <c r="B7282" s="19">
        <v>2541.98</v>
      </c>
      <c r="C7282" s="19">
        <v>2</v>
      </c>
      <c r="D7282" s="19">
        <v>1270.99</v>
      </c>
    </row>
    <row r="7283" spans="1:4" x14ac:dyDescent="0.2">
      <c r="A7283" s="19" t="s">
        <v>165</v>
      </c>
      <c r="B7283" s="19">
        <v>599.98500000000013</v>
      </c>
      <c r="C7283" s="19">
        <v>5</v>
      </c>
      <c r="D7283" s="19">
        <v>-479.98799999999994</v>
      </c>
    </row>
    <row r="7284" spans="1:4" x14ac:dyDescent="0.2">
      <c r="A7284" s="19" t="s">
        <v>159</v>
      </c>
      <c r="B7284" s="19">
        <v>3.0359999999999996</v>
      </c>
      <c r="C7284" s="19">
        <v>3</v>
      </c>
      <c r="D7284" s="19">
        <v>-5.0094000000000012</v>
      </c>
    </row>
    <row r="7285" spans="1:4" x14ac:dyDescent="0.2">
      <c r="A7285" s="19" t="s">
        <v>173</v>
      </c>
      <c r="B7285" s="19">
        <v>25.920000000000005</v>
      </c>
      <c r="C7285" s="19">
        <v>5</v>
      </c>
      <c r="D7285" s="19">
        <v>3.8879999999999972</v>
      </c>
    </row>
    <row r="7286" spans="1:4" x14ac:dyDescent="0.2">
      <c r="A7286" s="19" t="s">
        <v>173</v>
      </c>
      <c r="B7286" s="19">
        <v>66.112000000000009</v>
      </c>
      <c r="C7286" s="19">
        <v>2</v>
      </c>
      <c r="D7286" s="19">
        <v>-9.0903999999999989</v>
      </c>
    </row>
    <row r="7287" spans="1:4" x14ac:dyDescent="0.2">
      <c r="A7287" s="19" t="s">
        <v>150</v>
      </c>
      <c r="B7287" s="19">
        <v>46.36</v>
      </c>
      <c r="C7287" s="19">
        <v>4</v>
      </c>
      <c r="D7287" s="19">
        <v>15.298799999999996</v>
      </c>
    </row>
    <row r="7288" spans="1:4" x14ac:dyDescent="0.2">
      <c r="A7288" s="19" t="s">
        <v>175</v>
      </c>
      <c r="B7288" s="19">
        <v>6.9</v>
      </c>
      <c r="C7288" s="19">
        <v>1</v>
      </c>
      <c r="D7288" s="19">
        <v>0.5519999999999996</v>
      </c>
    </row>
    <row r="7289" spans="1:4" x14ac:dyDescent="0.2">
      <c r="A7289" s="19" t="s">
        <v>175</v>
      </c>
      <c r="B7289" s="19">
        <v>57.69</v>
      </c>
      <c r="C7289" s="19">
        <v>3</v>
      </c>
      <c r="D7289" s="19">
        <v>23.652900000000002</v>
      </c>
    </row>
    <row r="7290" spans="1:4" x14ac:dyDescent="0.2">
      <c r="A7290" s="19" t="s">
        <v>154</v>
      </c>
      <c r="B7290" s="19">
        <v>559.71</v>
      </c>
      <c r="C7290" s="19">
        <v>3</v>
      </c>
      <c r="D7290" s="19">
        <v>-121.27049999999997</v>
      </c>
    </row>
    <row r="7291" spans="1:4" x14ac:dyDescent="0.2">
      <c r="A7291" s="19" t="s">
        <v>150</v>
      </c>
      <c r="B7291" s="19">
        <v>305.01</v>
      </c>
      <c r="C7291" s="19">
        <v>9</v>
      </c>
      <c r="D7291" s="19">
        <v>76.252499999999998</v>
      </c>
    </row>
    <row r="7292" spans="1:4" x14ac:dyDescent="0.2">
      <c r="A7292" s="19" t="s">
        <v>150</v>
      </c>
      <c r="B7292" s="19">
        <v>50.783999999999999</v>
      </c>
      <c r="C7292" s="19">
        <v>2</v>
      </c>
      <c r="D7292" s="19">
        <v>17.7744</v>
      </c>
    </row>
    <row r="7293" spans="1:4" x14ac:dyDescent="0.2">
      <c r="A7293" s="19" t="s">
        <v>150</v>
      </c>
      <c r="B7293" s="19">
        <v>26.01</v>
      </c>
      <c r="C7293" s="19">
        <v>9</v>
      </c>
      <c r="D7293" s="19">
        <v>12.2247</v>
      </c>
    </row>
    <row r="7294" spans="1:4" x14ac:dyDescent="0.2">
      <c r="A7294" s="19" t="s">
        <v>167</v>
      </c>
      <c r="B7294" s="19">
        <v>649</v>
      </c>
      <c r="C7294" s="19">
        <v>2</v>
      </c>
      <c r="D7294" s="19">
        <v>-272.58000000000015</v>
      </c>
    </row>
    <row r="7295" spans="1:4" x14ac:dyDescent="0.2">
      <c r="A7295" s="19" t="s">
        <v>150</v>
      </c>
      <c r="B7295" s="19">
        <v>59.99</v>
      </c>
      <c r="C7295" s="19">
        <v>7</v>
      </c>
      <c r="D7295" s="19">
        <v>21.596400000000003</v>
      </c>
    </row>
    <row r="7296" spans="1:4" x14ac:dyDescent="0.2">
      <c r="A7296" s="19" t="s">
        <v>153</v>
      </c>
      <c r="B7296" s="19">
        <v>20.239999999999998</v>
      </c>
      <c r="C7296" s="19">
        <v>1</v>
      </c>
      <c r="D7296" s="19">
        <v>7.8935999999999993</v>
      </c>
    </row>
    <row r="7297" spans="1:4" x14ac:dyDescent="0.2">
      <c r="A7297" s="19" t="s">
        <v>154</v>
      </c>
      <c r="B7297" s="19">
        <v>37.839999999999996</v>
      </c>
      <c r="C7297" s="19">
        <v>2</v>
      </c>
      <c r="D7297" s="19">
        <v>2.8380000000000027</v>
      </c>
    </row>
    <row r="7298" spans="1:4" x14ac:dyDescent="0.2">
      <c r="A7298" s="19" t="s">
        <v>154</v>
      </c>
      <c r="B7298" s="19">
        <v>5.4719999999999995</v>
      </c>
      <c r="C7298" s="19">
        <v>6</v>
      </c>
      <c r="D7298" s="19">
        <v>1.8467999999999996</v>
      </c>
    </row>
    <row r="7299" spans="1:4" x14ac:dyDescent="0.2">
      <c r="A7299" s="19" t="s">
        <v>158</v>
      </c>
      <c r="B7299" s="19">
        <v>77.240000000000009</v>
      </c>
      <c r="C7299" s="19">
        <v>5</v>
      </c>
      <c r="D7299" s="19">
        <v>7.7240000000000002</v>
      </c>
    </row>
    <row r="7300" spans="1:4" x14ac:dyDescent="0.2">
      <c r="A7300" s="19" t="s">
        <v>159</v>
      </c>
      <c r="B7300" s="19">
        <v>292.10000000000002</v>
      </c>
      <c r="C7300" s="19">
        <v>4</v>
      </c>
      <c r="D7300" s="19">
        <v>-175.26000000000005</v>
      </c>
    </row>
    <row r="7301" spans="1:4" x14ac:dyDescent="0.2">
      <c r="A7301" s="19" t="s">
        <v>159</v>
      </c>
      <c r="B7301" s="19">
        <v>8.5440000000000005</v>
      </c>
      <c r="C7301" s="19">
        <v>2</v>
      </c>
      <c r="D7301" s="19">
        <v>-7.4759999999999991</v>
      </c>
    </row>
    <row r="7302" spans="1:4" x14ac:dyDescent="0.2">
      <c r="A7302" s="19" t="s">
        <v>159</v>
      </c>
      <c r="B7302" s="19">
        <v>424.11599999999999</v>
      </c>
      <c r="C7302" s="19">
        <v>6</v>
      </c>
      <c r="D7302" s="19">
        <v>-30.293999999999983</v>
      </c>
    </row>
    <row r="7303" spans="1:4" x14ac:dyDescent="0.2">
      <c r="A7303" s="19" t="s">
        <v>159</v>
      </c>
      <c r="B7303" s="19">
        <v>2.8919999999999995</v>
      </c>
      <c r="C7303" s="19">
        <v>3</v>
      </c>
      <c r="D7303" s="19">
        <v>-4.9164000000000012</v>
      </c>
    </row>
    <row r="7304" spans="1:4" x14ac:dyDescent="0.2">
      <c r="A7304" s="19" t="s">
        <v>159</v>
      </c>
      <c r="B7304" s="19">
        <v>381.72</v>
      </c>
      <c r="C7304" s="19">
        <v>5</v>
      </c>
      <c r="D7304" s="19">
        <v>-66.801000000000045</v>
      </c>
    </row>
    <row r="7305" spans="1:4" x14ac:dyDescent="0.2">
      <c r="A7305" s="19" t="s">
        <v>151</v>
      </c>
      <c r="B7305" s="19">
        <v>97.184000000000012</v>
      </c>
      <c r="C7305" s="19">
        <v>2</v>
      </c>
      <c r="D7305" s="19">
        <v>6.0740000000000016</v>
      </c>
    </row>
    <row r="7306" spans="1:4" x14ac:dyDescent="0.2">
      <c r="A7306" s="19" t="s">
        <v>151</v>
      </c>
      <c r="B7306" s="19">
        <v>10.368000000000002</v>
      </c>
      <c r="C7306" s="19">
        <v>2</v>
      </c>
      <c r="D7306" s="19">
        <v>3.6288</v>
      </c>
    </row>
    <row r="7307" spans="1:4" x14ac:dyDescent="0.2">
      <c r="A7307" s="19" t="s">
        <v>154</v>
      </c>
      <c r="B7307" s="19">
        <v>890.84099999999989</v>
      </c>
      <c r="C7307" s="19">
        <v>3</v>
      </c>
      <c r="D7307" s="19">
        <v>-152.71559999999999</v>
      </c>
    </row>
    <row r="7308" spans="1:4" x14ac:dyDescent="0.2">
      <c r="A7308" s="19" t="s">
        <v>150</v>
      </c>
      <c r="B7308" s="19">
        <v>72</v>
      </c>
      <c r="C7308" s="19">
        <v>4</v>
      </c>
      <c r="D7308" s="19">
        <v>12.959999999999994</v>
      </c>
    </row>
    <row r="7309" spans="1:4" x14ac:dyDescent="0.2">
      <c r="A7309" s="19" t="s">
        <v>150</v>
      </c>
      <c r="B7309" s="19">
        <v>113.88800000000002</v>
      </c>
      <c r="C7309" s="19">
        <v>2</v>
      </c>
      <c r="D7309" s="19">
        <v>9.9651999999999994</v>
      </c>
    </row>
    <row r="7310" spans="1:4" x14ac:dyDescent="0.2">
      <c r="A7310" s="19" t="s">
        <v>150</v>
      </c>
      <c r="B7310" s="19">
        <v>158.13</v>
      </c>
      <c r="C7310" s="19">
        <v>3</v>
      </c>
      <c r="D7310" s="19">
        <v>77.483699999999999</v>
      </c>
    </row>
    <row r="7311" spans="1:4" x14ac:dyDescent="0.2">
      <c r="A7311" s="19" t="s">
        <v>164</v>
      </c>
      <c r="B7311" s="19">
        <v>14.129999999999999</v>
      </c>
      <c r="C7311" s="19">
        <v>3</v>
      </c>
      <c r="D7311" s="19">
        <v>0.70650000000000013</v>
      </c>
    </row>
    <row r="7312" spans="1:4" x14ac:dyDescent="0.2">
      <c r="A7312" s="19" t="s">
        <v>161</v>
      </c>
      <c r="B7312" s="19">
        <v>64.75</v>
      </c>
      <c r="C7312" s="19">
        <v>5</v>
      </c>
      <c r="D7312" s="19">
        <v>29.137499999999996</v>
      </c>
    </row>
    <row r="7313" spans="1:4" x14ac:dyDescent="0.2">
      <c r="A7313" s="19" t="s">
        <v>151</v>
      </c>
      <c r="B7313" s="19">
        <v>1.8720000000000003</v>
      </c>
      <c r="C7313" s="19">
        <v>2</v>
      </c>
      <c r="D7313" s="19">
        <v>-1.3103999999999996</v>
      </c>
    </row>
    <row r="7314" spans="1:4" x14ac:dyDescent="0.2">
      <c r="A7314" s="19" t="s">
        <v>151</v>
      </c>
      <c r="B7314" s="19">
        <v>11.214000000000002</v>
      </c>
      <c r="C7314" s="19">
        <v>2</v>
      </c>
      <c r="D7314" s="19">
        <v>-8.5974000000000004</v>
      </c>
    </row>
    <row r="7315" spans="1:4" x14ac:dyDescent="0.2">
      <c r="A7315" s="19" t="s">
        <v>151</v>
      </c>
      <c r="B7315" s="19">
        <v>37.375999999999998</v>
      </c>
      <c r="C7315" s="19">
        <v>8</v>
      </c>
      <c r="D7315" s="19">
        <v>7.4751999999999992</v>
      </c>
    </row>
    <row r="7316" spans="1:4" x14ac:dyDescent="0.2">
      <c r="A7316" s="19" t="s">
        <v>159</v>
      </c>
      <c r="B7316" s="19">
        <v>286.40000000000003</v>
      </c>
      <c r="C7316" s="19">
        <v>1</v>
      </c>
      <c r="D7316" s="19">
        <v>25.060000000000016</v>
      </c>
    </row>
    <row r="7317" spans="1:4" x14ac:dyDescent="0.2">
      <c r="A7317" s="19" t="s">
        <v>164</v>
      </c>
      <c r="B7317" s="19">
        <v>43.92</v>
      </c>
      <c r="C7317" s="19">
        <v>3</v>
      </c>
      <c r="D7317" s="19">
        <v>12.736799999999999</v>
      </c>
    </row>
    <row r="7318" spans="1:4" x14ac:dyDescent="0.2">
      <c r="A7318" s="19" t="s">
        <v>164</v>
      </c>
      <c r="B7318" s="19">
        <v>142.18199999999999</v>
      </c>
      <c r="C7318" s="19">
        <v>1</v>
      </c>
      <c r="D7318" s="19">
        <v>-37.915200000000027</v>
      </c>
    </row>
    <row r="7319" spans="1:4" x14ac:dyDescent="0.2">
      <c r="A7319" s="19" t="s">
        <v>170</v>
      </c>
      <c r="B7319" s="19">
        <v>19.608000000000001</v>
      </c>
      <c r="C7319" s="19">
        <v>3</v>
      </c>
      <c r="D7319" s="19">
        <v>6.6177000000000001</v>
      </c>
    </row>
    <row r="7320" spans="1:4" x14ac:dyDescent="0.2">
      <c r="A7320" s="19" t="s">
        <v>170</v>
      </c>
      <c r="B7320" s="19">
        <v>4.1580000000000004</v>
      </c>
      <c r="C7320" s="19">
        <v>7</v>
      </c>
      <c r="D7320" s="19">
        <v>-3.4649999999999999</v>
      </c>
    </row>
    <row r="7321" spans="1:4" x14ac:dyDescent="0.2">
      <c r="A7321" s="19" t="s">
        <v>164</v>
      </c>
      <c r="B7321" s="19">
        <v>979.95</v>
      </c>
      <c r="C7321" s="19">
        <v>5</v>
      </c>
      <c r="D7321" s="19">
        <v>264.58650000000006</v>
      </c>
    </row>
    <row r="7322" spans="1:4" x14ac:dyDescent="0.2">
      <c r="A7322" s="19" t="s">
        <v>164</v>
      </c>
      <c r="B7322" s="19">
        <v>135.29999999999998</v>
      </c>
      <c r="C7322" s="19">
        <v>5</v>
      </c>
      <c r="D7322" s="19">
        <v>37.883999999999993</v>
      </c>
    </row>
    <row r="7323" spans="1:4" x14ac:dyDescent="0.2">
      <c r="A7323" s="19" t="s">
        <v>159</v>
      </c>
      <c r="B7323" s="19">
        <v>8.9039999999999999</v>
      </c>
      <c r="C7323" s="19">
        <v>3</v>
      </c>
      <c r="D7323" s="19">
        <v>3.3389999999999995</v>
      </c>
    </row>
    <row r="7324" spans="1:4" x14ac:dyDescent="0.2">
      <c r="A7324" s="19" t="s">
        <v>159</v>
      </c>
      <c r="B7324" s="19">
        <v>100.80000000000001</v>
      </c>
      <c r="C7324" s="19">
        <v>2</v>
      </c>
      <c r="D7324" s="19">
        <v>21.42</v>
      </c>
    </row>
    <row r="7325" spans="1:4" x14ac:dyDescent="0.2">
      <c r="A7325" s="19" t="s">
        <v>164</v>
      </c>
      <c r="B7325" s="19">
        <v>41.96</v>
      </c>
      <c r="C7325" s="19">
        <v>2</v>
      </c>
      <c r="D7325" s="19">
        <v>10.909600000000001</v>
      </c>
    </row>
    <row r="7326" spans="1:4" x14ac:dyDescent="0.2">
      <c r="A7326" s="19" t="s">
        <v>164</v>
      </c>
      <c r="B7326" s="19">
        <v>9.4499999999999993</v>
      </c>
      <c r="C7326" s="19">
        <v>3</v>
      </c>
      <c r="D7326" s="19">
        <v>4.5359999999999996</v>
      </c>
    </row>
    <row r="7327" spans="1:4" x14ac:dyDescent="0.2">
      <c r="A7327" s="19" t="s">
        <v>153</v>
      </c>
      <c r="B7327" s="19">
        <v>400.79999999999995</v>
      </c>
      <c r="C7327" s="19">
        <v>5</v>
      </c>
      <c r="D7327" s="19">
        <v>112.224</v>
      </c>
    </row>
    <row r="7328" spans="1:4" x14ac:dyDescent="0.2">
      <c r="A7328" s="19" t="s">
        <v>153</v>
      </c>
      <c r="B7328" s="19">
        <v>28.792000000000002</v>
      </c>
      <c r="C7328" s="19">
        <v>1</v>
      </c>
      <c r="D7328" s="19">
        <v>10.077200000000001</v>
      </c>
    </row>
    <row r="7329" spans="1:4" x14ac:dyDescent="0.2">
      <c r="A7329" s="19" t="s">
        <v>150</v>
      </c>
      <c r="B7329" s="19">
        <v>111</v>
      </c>
      <c r="C7329" s="19">
        <v>2</v>
      </c>
      <c r="D7329" s="19">
        <v>14.430000000000007</v>
      </c>
    </row>
    <row r="7330" spans="1:4" x14ac:dyDescent="0.2">
      <c r="A7330" s="19" t="s">
        <v>150</v>
      </c>
      <c r="B7330" s="19">
        <v>1279.9680000000001</v>
      </c>
      <c r="C7330" s="19">
        <v>4</v>
      </c>
      <c r="D7330" s="19">
        <v>415.98959999999994</v>
      </c>
    </row>
    <row r="7331" spans="1:4" x14ac:dyDescent="0.2">
      <c r="A7331" s="19" t="s">
        <v>150</v>
      </c>
      <c r="B7331" s="19">
        <v>1856.19</v>
      </c>
      <c r="C7331" s="19">
        <v>7</v>
      </c>
      <c r="D7331" s="19">
        <v>334.11419999999987</v>
      </c>
    </row>
    <row r="7332" spans="1:4" x14ac:dyDescent="0.2">
      <c r="A7332" s="19" t="s">
        <v>159</v>
      </c>
      <c r="B7332" s="19">
        <v>22.752000000000002</v>
      </c>
      <c r="C7332" s="19">
        <v>6</v>
      </c>
      <c r="D7332" s="19">
        <v>-8.532</v>
      </c>
    </row>
    <row r="7333" spans="1:4" x14ac:dyDescent="0.2">
      <c r="A7333" s="19" t="s">
        <v>158</v>
      </c>
      <c r="B7333" s="19">
        <v>61.541999999999994</v>
      </c>
      <c r="C7333" s="19">
        <v>1</v>
      </c>
      <c r="D7333" s="19">
        <v>-13.334099999999999</v>
      </c>
    </row>
    <row r="7334" spans="1:4" x14ac:dyDescent="0.2">
      <c r="A7334" s="19" t="s">
        <v>158</v>
      </c>
      <c r="B7334" s="19">
        <v>81.438000000000017</v>
      </c>
      <c r="C7334" s="19">
        <v>7</v>
      </c>
      <c r="D7334" s="19">
        <v>-65.150399999999991</v>
      </c>
    </row>
    <row r="7335" spans="1:4" x14ac:dyDescent="0.2">
      <c r="A7335" s="19" t="s">
        <v>151</v>
      </c>
      <c r="B7335" s="19">
        <v>67.36</v>
      </c>
      <c r="C7335" s="19">
        <v>2</v>
      </c>
      <c r="D7335" s="19">
        <v>10.103999999999996</v>
      </c>
    </row>
    <row r="7336" spans="1:4" x14ac:dyDescent="0.2">
      <c r="A7336" s="19" t="s">
        <v>151</v>
      </c>
      <c r="B7336" s="19">
        <v>54.527999999999992</v>
      </c>
      <c r="C7336" s="19">
        <v>3</v>
      </c>
      <c r="D7336" s="19">
        <v>14.313600000000005</v>
      </c>
    </row>
    <row r="7337" spans="1:4" x14ac:dyDescent="0.2">
      <c r="A7337" s="19" t="s">
        <v>164</v>
      </c>
      <c r="B7337" s="19">
        <v>843.9</v>
      </c>
      <c r="C7337" s="19">
        <v>2</v>
      </c>
      <c r="D7337" s="19">
        <v>371.31600000000003</v>
      </c>
    </row>
    <row r="7338" spans="1:4" x14ac:dyDescent="0.2">
      <c r="A7338" s="19" t="s">
        <v>164</v>
      </c>
      <c r="B7338" s="19">
        <v>449.56800000000004</v>
      </c>
      <c r="C7338" s="19">
        <v>2</v>
      </c>
      <c r="D7338" s="19">
        <v>56.195999999999955</v>
      </c>
    </row>
    <row r="7339" spans="1:4" x14ac:dyDescent="0.2">
      <c r="A7339" s="19" t="s">
        <v>150</v>
      </c>
      <c r="B7339" s="19">
        <v>15.51</v>
      </c>
      <c r="C7339" s="19">
        <v>1</v>
      </c>
      <c r="D7339" s="19">
        <v>3.8774999999999995</v>
      </c>
    </row>
    <row r="7340" spans="1:4" x14ac:dyDescent="0.2">
      <c r="A7340" s="19" t="s">
        <v>164</v>
      </c>
      <c r="B7340" s="19">
        <v>192.18600000000004</v>
      </c>
      <c r="C7340" s="19">
        <v>3</v>
      </c>
      <c r="D7340" s="19">
        <v>36.3018</v>
      </c>
    </row>
    <row r="7341" spans="1:4" x14ac:dyDescent="0.2">
      <c r="A7341" s="19" t="s">
        <v>164</v>
      </c>
      <c r="B7341" s="19">
        <v>5.76</v>
      </c>
      <c r="C7341" s="19">
        <v>2</v>
      </c>
      <c r="D7341" s="19">
        <v>1.6128</v>
      </c>
    </row>
    <row r="7342" spans="1:4" x14ac:dyDescent="0.2">
      <c r="A7342" s="19" t="s">
        <v>101</v>
      </c>
      <c r="B7342" s="19">
        <v>67.88</v>
      </c>
      <c r="C7342" s="19">
        <v>2</v>
      </c>
      <c r="D7342" s="19">
        <v>18.327599999999997</v>
      </c>
    </row>
    <row r="7343" spans="1:4" x14ac:dyDescent="0.2">
      <c r="A7343" s="19" t="s">
        <v>101</v>
      </c>
      <c r="B7343" s="19">
        <v>162.88999999999999</v>
      </c>
      <c r="C7343" s="19">
        <v>13</v>
      </c>
      <c r="D7343" s="19">
        <v>76.558299999999988</v>
      </c>
    </row>
    <row r="7344" spans="1:4" x14ac:dyDescent="0.2">
      <c r="A7344" s="19" t="s">
        <v>101</v>
      </c>
      <c r="B7344" s="19">
        <v>25.71</v>
      </c>
      <c r="C7344" s="19">
        <v>3</v>
      </c>
      <c r="D7344" s="19">
        <v>9.2556000000000012</v>
      </c>
    </row>
    <row r="7345" spans="1:4" x14ac:dyDescent="0.2">
      <c r="A7345" s="19" t="s">
        <v>164</v>
      </c>
      <c r="B7345" s="19">
        <v>191.88</v>
      </c>
      <c r="C7345" s="19">
        <v>6</v>
      </c>
      <c r="D7345" s="19">
        <v>19.188000000000002</v>
      </c>
    </row>
    <row r="7346" spans="1:4" x14ac:dyDescent="0.2">
      <c r="A7346" s="19" t="s">
        <v>151</v>
      </c>
      <c r="B7346" s="19">
        <v>721.87500000000011</v>
      </c>
      <c r="C7346" s="19">
        <v>6</v>
      </c>
      <c r="D7346" s="19">
        <v>-420</v>
      </c>
    </row>
    <row r="7347" spans="1:4" x14ac:dyDescent="0.2">
      <c r="A7347" s="19" t="s">
        <v>151</v>
      </c>
      <c r="B7347" s="19">
        <v>73.567999999999998</v>
      </c>
      <c r="C7347" s="19">
        <v>4</v>
      </c>
      <c r="D7347" s="19">
        <v>-16.552799999999994</v>
      </c>
    </row>
    <row r="7348" spans="1:4" x14ac:dyDescent="0.2">
      <c r="A7348" s="19" t="s">
        <v>151</v>
      </c>
      <c r="B7348" s="19">
        <v>13.584000000000001</v>
      </c>
      <c r="C7348" s="19">
        <v>1</v>
      </c>
      <c r="D7348" s="19">
        <v>1.3584000000000001</v>
      </c>
    </row>
    <row r="7349" spans="1:4" x14ac:dyDescent="0.2">
      <c r="A7349" s="19" t="s">
        <v>151</v>
      </c>
      <c r="B7349" s="19">
        <v>64.784000000000006</v>
      </c>
      <c r="C7349" s="19">
        <v>1</v>
      </c>
      <c r="D7349" s="19">
        <v>-12.147000000000009</v>
      </c>
    </row>
    <row r="7350" spans="1:4" x14ac:dyDescent="0.2">
      <c r="A7350" s="19" t="s">
        <v>154</v>
      </c>
      <c r="B7350" s="19">
        <v>176.77199999999996</v>
      </c>
      <c r="C7350" s="19">
        <v>3</v>
      </c>
      <c r="D7350" s="19">
        <v>-459.60720000000003</v>
      </c>
    </row>
    <row r="7351" spans="1:4" x14ac:dyDescent="0.2">
      <c r="A7351" s="19" t="s">
        <v>155</v>
      </c>
      <c r="B7351" s="19">
        <v>38.82</v>
      </c>
      <c r="C7351" s="19">
        <v>6</v>
      </c>
      <c r="D7351" s="19">
        <v>19.41</v>
      </c>
    </row>
    <row r="7352" spans="1:4" x14ac:dyDescent="0.2">
      <c r="A7352" s="19" t="s">
        <v>155</v>
      </c>
      <c r="B7352" s="19">
        <v>21.9</v>
      </c>
      <c r="C7352" s="19">
        <v>5</v>
      </c>
      <c r="D7352" s="19">
        <v>10.511999999999999</v>
      </c>
    </row>
    <row r="7353" spans="1:4" x14ac:dyDescent="0.2">
      <c r="A7353" s="19" t="s">
        <v>150</v>
      </c>
      <c r="B7353" s="19">
        <v>111.79</v>
      </c>
      <c r="C7353" s="19">
        <v>7</v>
      </c>
      <c r="D7353" s="19">
        <v>43.598100000000002</v>
      </c>
    </row>
    <row r="7354" spans="1:4" x14ac:dyDescent="0.2">
      <c r="A7354" s="19" t="s">
        <v>173</v>
      </c>
      <c r="B7354" s="19">
        <v>445.44</v>
      </c>
      <c r="C7354" s="19">
        <v>8</v>
      </c>
      <c r="D7354" s="19">
        <v>-81.664000000000044</v>
      </c>
    </row>
    <row r="7355" spans="1:4" x14ac:dyDescent="0.2">
      <c r="A7355" s="19" t="s">
        <v>158</v>
      </c>
      <c r="B7355" s="19">
        <v>16.520000000000003</v>
      </c>
      <c r="C7355" s="19">
        <v>5</v>
      </c>
      <c r="D7355" s="19">
        <v>5.368999999999998</v>
      </c>
    </row>
    <row r="7356" spans="1:4" x14ac:dyDescent="0.2">
      <c r="A7356" s="19" t="s">
        <v>150</v>
      </c>
      <c r="B7356" s="19">
        <v>29.900000000000002</v>
      </c>
      <c r="C7356" s="19">
        <v>5</v>
      </c>
      <c r="D7356" s="19">
        <v>13.454999999999998</v>
      </c>
    </row>
    <row r="7357" spans="1:4" x14ac:dyDescent="0.2">
      <c r="A7357" s="19" t="s">
        <v>161</v>
      </c>
      <c r="B7357" s="19">
        <v>116.4</v>
      </c>
      <c r="C7357" s="19">
        <v>8</v>
      </c>
      <c r="D7357" s="19">
        <v>52.379999999999995</v>
      </c>
    </row>
    <row r="7358" spans="1:4" x14ac:dyDescent="0.2">
      <c r="A7358" s="19" t="s">
        <v>165</v>
      </c>
      <c r="B7358" s="19">
        <v>1.4080000000000001</v>
      </c>
      <c r="C7358" s="19">
        <v>1</v>
      </c>
      <c r="D7358" s="19">
        <v>0.15839999999999993</v>
      </c>
    </row>
    <row r="7359" spans="1:4" x14ac:dyDescent="0.2">
      <c r="A7359" s="19" t="s">
        <v>165</v>
      </c>
      <c r="B7359" s="19">
        <v>169.56800000000001</v>
      </c>
      <c r="C7359" s="19">
        <v>2</v>
      </c>
      <c r="D7359" s="19">
        <v>0</v>
      </c>
    </row>
    <row r="7360" spans="1:4" x14ac:dyDescent="0.2">
      <c r="A7360" s="19" t="s">
        <v>158</v>
      </c>
      <c r="B7360" s="19">
        <v>251.96399999999994</v>
      </c>
      <c r="C7360" s="19">
        <v>6</v>
      </c>
      <c r="D7360" s="19">
        <v>-50.392799999999994</v>
      </c>
    </row>
    <row r="7361" spans="1:4" x14ac:dyDescent="0.2">
      <c r="A7361" s="19" t="s">
        <v>158</v>
      </c>
      <c r="B7361" s="19">
        <v>523.76400000000001</v>
      </c>
      <c r="C7361" s="19">
        <v>3</v>
      </c>
      <c r="D7361" s="19">
        <v>-192.04680000000008</v>
      </c>
    </row>
    <row r="7362" spans="1:4" x14ac:dyDescent="0.2">
      <c r="A7362" s="19" t="s">
        <v>150</v>
      </c>
      <c r="B7362" s="19">
        <v>19.440000000000001</v>
      </c>
      <c r="C7362" s="19">
        <v>3</v>
      </c>
      <c r="D7362" s="19">
        <v>9.3312000000000008</v>
      </c>
    </row>
    <row r="7363" spans="1:4" x14ac:dyDescent="0.2">
      <c r="A7363" s="19" t="s">
        <v>150</v>
      </c>
      <c r="B7363" s="19">
        <v>194.35200000000003</v>
      </c>
      <c r="C7363" s="19">
        <v>3</v>
      </c>
      <c r="D7363" s="19">
        <v>-36.441000000000031</v>
      </c>
    </row>
    <row r="7364" spans="1:4" x14ac:dyDescent="0.2">
      <c r="A7364" s="19" t="s">
        <v>150</v>
      </c>
      <c r="B7364" s="19">
        <v>36.624000000000002</v>
      </c>
      <c r="C7364" s="19">
        <v>3</v>
      </c>
      <c r="D7364" s="19">
        <v>13.734</v>
      </c>
    </row>
    <row r="7365" spans="1:4" x14ac:dyDescent="0.2">
      <c r="A7365" s="19" t="s">
        <v>158</v>
      </c>
      <c r="B7365" s="19">
        <v>340.18200000000002</v>
      </c>
      <c r="C7365" s="19">
        <v>3</v>
      </c>
      <c r="D7365" s="19">
        <v>-73.706100000000021</v>
      </c>
    </row>
    <row r="7366" spans="1:4" x14ac:dyDescent="0.2">
      <c r="A7366" s="19" t="s">
        <v>158</v>
      </c>
      <c r="B7366" s="19">
        <v>12.672000000000001</v>
      </c>
      <c r="C7366" s="19">
        <v>8</v>
      </c>
      <c r="D7366" s="19">
        <v>2.6927999999999992</v>
      </c>
    </row>
    <row r="7367" spans="1:4" x14ac:dyDescent="0.2">
      <c r="A7367" s="19" t="s">
        <v>158</v>
      </c>
      <c r="B7367" s="19">
        <v>6.8880000000000017</v>
      </c>
      <c r="C7367" s="19">
        <v>2</v>
      </c>
      <c r="D7367" s="19">
        <v>-5.0511999999999997</v>
      </c>
    </row>
    <row r="7368" spans="1:4" x14ac:dyDescent="0.2">
      <c r="A7368" s="19" t="s">
        <v>158</v>
      </c>
      <c r="B7368" s="19">
        <v>32.544000000000004</v>
      </c>
      <c r="C7368" s="19">
        <v>2</v>
      </c>
      <c r="D7368" s="19">
        <v>-7.7292000000000041</v>
      </c>
    </row>
    <row r="7369" spans="1:4" x14ac:dyDescent="0.2">
      <c r="A7369" s="19" t="s">
        <v>158</v>
      </c>
      <c r="B7369" s="19">
        <v>347.80200000000002</v>
      </c>
      <c r="C7369" s="19">
        <v>7</v>
      </c>
      <c r="D7369" s="19">
        <v>-24.842999999999961</v>
      </c>
    </row>
    <row r="7370" spans="1:4" x14ac:dyDescent="0.2">
      <c r="A7370" s="19" t="s">
        <v>151</v>
      </c>
      <c r="B7370" s="19">
        <v>15.570000000000004</v>
      </c>
      <c r="C7370" s="19">
        <v>3</v>
      </c>
      <c r="D7370" s="19">
        <v>-11.936999999999998</v>
      </c>
    </row>
    <row r="7371" spans="1:4" x14ac:dyDescent="0.2">
      <c r="A7371" s="19" t="s">
        <v>152</v>
      </c>
      <c r="B7371" s="19">
        <v>4.6079999999999997</v>
      </c>
      <c r="C7371" s="19">
        <v>2</v>
      </c>
      <c r="D7371" s="19">
        <v>1.6704000000000001</v>
      </c>
    </row>
    <row r="7372" spans="1:4" x14ac:dyDescent="0.2">
      <c r="A7372" s="19" t="s">
        <v>189</v>
      </c>
      <c r="B7372" s="19">
        <v>257.98</v>
      </c>
      <c r="C7372" s="19">
        <v>2</v>
      </c>
      <c r="D7372" s="19">
        <v>74.8142</v>
      </c>
    </row>
    <row r="7373" spans="1:4" x14ac:dyDescent="0.2">
      <c r="A7373" s="19" t="s">
        <v>150</v>
      </c>
      <c r="B7373" s="19">
        <v>153.78</v>
      </c>
      <c r="C7373" s="19">
        <v>11</v>
      </c>
      <c r="D7373" s="19">
        <v>44.596199999999996</v>
      </c>
    </row>
    <row r="7374" spans="1:4" x14ac:dyDescent="0.2">
      <c r="A7374" s="19" t="s">
        <v>150</v>
      </c>
      <c r="B7374" s="19">
        <v>61.019999999999996</v>
      </c>
      <c r="C7374" s="19">
        <v>3</v>
      </c>
      <c r="D7374" s="19">
        <v>0.61019999999999541</v>
      </c>
    </row>
    <row r="7375" spans="1:4" x14ac:dyDescent="0.2">
      <c r="A7375" s="19" t="s">
        <v>150</v>
      </c>
      <c r="B7375" s="19">
        <v>110.11</v>
      </c>
      <c r="C7375" s="19">
        <v>7</v>
      </c>
      <c r="D7375" s="19">
        <v>31.931899999999988</v>
      </c>
    </row>
    <row r="7376" spans="1:4" x14ac:dyDescent="0.2">
      <c r="A7376" s="19" t="s">
        <v>150</v>
      </c>
      <c r="B7376" s="19">
        <v>7.89</v>
      </c>
      <c r="C7376" s="19">
        <v>1</v>
      </c>
      <c r="D7376" s="19">
        <v>3.5504999999999995</v>
      </c>
    </row>
    <row r="7377" spans="1:4" x14ac:dyDescent="0.2">
      <c r="A7377" s="19" t="s">
        <v>150</v>
      </c>
      <c r="B7377" s="19">
        <v>36.024000000000001</v>
      </c>
      <c r="C7377" s="19">
        <v>3</v>
      </c>
      <c r="D7377" s="19">
        <v>11.707799999999995</v>
      </c>
    </row>
    <row r="7378" spans="1:4" x14ac:dyDescent="0.2">
      <c r="A7378" s="19" t="s">
        <v>159</v>
      </c>
      <c r="B7378" s="19">
        <v>54.336000000000006</v>
      </c>
      <c r="C7378" s="19">
        <v>4</v>
      </c>
      <c r="D7378" s="19">
        <v>5.4336000000000002</v>
      </c>
    </row>
    <row r="7379" spans="1:4" x14ac:dyDescent="0.2">
      <c r="A7379" s="19" t="s">
        <v>153</v>
      </c>
      <c r="B7379" s="19">
        <v>92.52</v>
      </c>
      <c r="C7379" s="19">
        <v>6</v>
      </c>
      <c r="D7379" s="19">
        <v>24.980400000000007</v>
      </c>
    </row>
    <row r="7380" spans="1:4" x14ac:dyDescent="0.2">
      <c r="A7380" s="19" t="s">
        <v>152</v>
      </c>
      <c r="B7380" s="19">
        <v>10.272000000000002</v>
      </c>
      <c r="C7380" s="19">
        <v>3</v>
      </c>
      <c r="D7380" s="19">
        <v>1.1555999999999984</v>
      </c>
    </row>
    <row r="7381" spans="1:4" x14ac:dyDescent="0.2">
      <c r="A7381" s="19" t="s">
        <v>157</v>
      </c>
      <c r="B7381" s="19">
        <v>40.74</v>
      </c>
      <c r="C7381" s="19">
        <v>3</v>
      </c>
      <c r="D7381" s="19">
        <v>0.4073999999999991</v>
      </c>
    </row>
    <row r="7382" spans="1:4" x14ac:dyDescent="0.2">
      <c r="A7382" s="19" t="s">
        <v>157</v>
      </c>
      <c r="B7382" s="19">
        <v>14.399999999999999</v>
      </c>
      <c r="C7382" s="19">
        <v>5</v>
      </c>
      <c r="D7382" s="19">
        <v>7.056</v>
      </c>
    </row>
    <row r="7383" spans="1:4" x14ac:dyDescent="0.2">
      <c r="A7383" s="19" t="s">
        <v>157</v>
      </c>
      <c r="B7383" s="19">
        <v>149.94999999999999</v>
      </c>
      <c r="C7383" s="19">
        <v>5</v>
      </c>
      <c r="D7383" s="19">
        <v>41.986000000000004</v>
      </c>
    </row>
    <row r="7384" spans="1:4" x14ac:dyDescent="0.2">
      <c r="A7384" s="19" t="s">
        <v>157</v>
      </c>
      <c r="B7384" s="19">
        <v>16.899999999999999</v>
      </c>
      <c r="C7384" s="19">
        <v>2</v>
      </c>
      <c r="D7384" s="19">
        <v>5.0699999999999985</v>
      </c>
    </row>
    <row r="7385" spans="1:4" x14ac:dyDescent="0.2">
      <c r="A7385" s="19" t="s">
        <v>157</v>
      </c>
      <c r="B7385" s="19">
        <v>17.61</v>
      </c>
      <c r="C7385" s="19">
        <v>3</v>
      </c>
      <c r="D7385" s="19">
        <v>8.4527999999999999</v>
      </c>
    </row>
    <row r="7386" spans="1:4" x14ac:dyDescent="0.2">
      <c r="A7386" s="19" t="s">
        <v>157</v>
      </c>
      <c r="B7386" s="19">
        <v>378</v>
      </c>
      <c r="C7386" s="19">
        <v>2</v>
      </c>
      <c r="D7386" s="19">
        <v>136.07999999999998</v>
      </c>
    </row>
    <row r="7387" spans="1:4" x14ac:dyDescent="0.2">
      <c r="A7387" s="19" t="s">
        <v>157</v>
      </c>
      <c r="B7387" s="19">
        <v>17.64</v>
      </c>
      <c r="C7387" s="19">
        <v>3</v>
      </c>
      <c r="D7387" s="19">
        <v>8.6435999999999993</v>
      </c>
    </row>
    <row r="7388" spans="1:4" x14ac:dyDescent="0.2">
      <c r="A7388" s="19" t="s">
        <v>157</v>
      </c>
      <c r="B7388" s="19">
        <v>373.08</v>
      </c>
      <c r="C7388" s="19">
        <v>6</v>
      </c>
      <c r="D7388" s="19">
        <v>100.73160000000001</v>
      </c>
    </row>
    <row r="7389" spans="1:4" x14ac:dyDescent="0.2">
      <c r="A7389" s="19" t="s">
        <v>157</v>
      </c>
      <c r="B7389" s="19">
        <v>1336.4399999999998</v>
      </c>
      <c r="C7389" s="19">
        <v>14</v>
      </c>
      <c r="D7389" s="19">
        <v>387.56759999999986</v>
      </c>
    </row>
    <row r="7390" spans="1:4" x14ac:dyDescent="0.2">
      <c r="A7390" s="19" t="s">
        <v>157</v>
      </c>
      <c r="B7390" s="19">
        <v>29.97</v>
      </c>
      <c r="C7390" s="19">
        <v>3</v>
      </c>
      <c r="D7390" s="19">
        <v>0.29969999999999963</v>
      </c>
    </row>
    <row r="7391" spans="1:4" x14ac:dyDescent="0.2">
      <c r="A7391" s="19" t="s">
        <v>167</v>
      </c>
      <c r="B7391" s="19">
        <v>390.36799999999999</v>
      </c>
      <c r="C7391" s="19">
        <v>2</v>
      </c>
      <c r="D7391" s="19">
        <v>48.795999999999978</v>
      </c>
    </row>
    <row r="7392" spans="1:4" x14ac:dyDescent="0.2">
      <c r="A7392" s="19" t="s">
        <v>167</v>
      </c>
      <c r="B7392" s="19">
        <v>101.52000000000001</v>
      </c>
      <c r="C7392" s="19">
        <v>5</v>
      </c>
      <c r="D7392" s="19">
        <v>19.034999999999989</v>
      </c>
    </row>
    <row r="7393" spans="1:4" x14ac:dyDescent="0.2">
      <c r="A7393" s="19" t="s">
        <v>173</v>
      </c>
      <c r="B7393" s="19">
        <v>74.352000000000004</v>
      </c>
      <c r="C7393" s="19">
        <v>3</v>
      </c>
      <c r="D7393" s="19">
        <v>23.234999999999992</v>
      </c>
    </row>
    <row r="7394" spans="1:4" x14ac:dyDescent="0.2">
      <c r="A7394" s="19" t="s">
        <v>150</v>
      </c>
      <c r="B7394" s="19">
        <v>15.700000000000001</v>
      </c>
      <c r="C7394" s="19">
        <v>5</v>
      </c>
      <c r="D7394" s="19">
        <v>7.0649999999999995</v>
      </c>
    </row>
    <row r="7395" spans="1:4" x14ac:dyDescent="0.2">
      <c r="A7395" s="19" t="s">
        <v>150</v>
      </c>
      <c r="B7395" s="19">
        <v>59.519999999999996</v>
      </c>
      <c r="C7395" s="19">
        <v>3</v>
      </c>
      <c r="D7395" s="19">
        <v>15.475200000000001</v>
      </c>
    </row>
    <row r="7396" spans="1:4" x14ac:dyDescent="0.2">
      <c r="A7396" s="19" t="s">
        <v>150</v>
      </c>
      <c r="B7396" s="19">
        <v>34.4</v>
      </c>
      <c r="C7396" s="19">
        <v>5</v>
      </c>
      <c r="D7396" s="19">
        <v>15.823999999999998</v>
      </c>
    </row>
    <row r="7397" spans="1:4" x14ac:dyDescent="0.2">
      <c r="A7397" s="19" t="s">
        <v>164</v>
      </c>
      <c r="B7397" s="19">
        <v>313.17599999999999</v>
      </c>
      <c r="C7397" s="19">
        <v>2</v>
      </c>
      <c r="D7397" s="19">
        <v>-120.05080000000007</v>
      </c>
    </row>
    <row r="7398" spans="1:4" x14ac:dyDescent="0.2">
      <c r="A7398" s="19" t="s">
        <v>164</v>
      </c>
      <c r="B7398" s="19">
        <v>866.64599999999996</v>
      </c>
      <c r="C7398" s="19">
        <v>3</v>
      </c>
      <c r="D7398" s="19">
        <v>173.32919999999999</v>
      </c>
    </row>
    <row r="7399" spans="1:4" x14ac:dyDescent="0.2">
      <c r="A7399" s="19" t="s">
        <v>173</v>
      </c>
      <c r="B7399" s="19">
        <v>795.40800000000013</v>
      </c>
      <c r="C7399" s="19">
        <v>6</v>
      </c>
      <c r="D7399" s="19">
        <v>59.655599999999993</v>
      </c>
    </row>
    <row r="7400" spans="1:4" x14ac:dyDescent="0.2">
      <c r="A7400" s="19" t="s">
        <v>159</v>
      </c>
      <c r="B7400" s="19">
        <v>35.856000000000002</v>
      </c>
      <c r="C7400" s="19">
        <v>9</v>
      </c>
      <c r="D7400" s="19">
        <v>12.997800000000003</v>
      </c>
    </row>
    <row r="7401" spans="1:4" x14ac:dyDescent="0.2">
      <c r="A7401" s="19" t="s">
        <v>159</v>
      </c>
      <c r="B7401" s="19">
        <v>23.840000000000003</v>
      </c>
      <c r="C7401" s="19">
        <v>4</v>
      </c>
      <c r="D7401" s="19">
        <v>3.2779999999999987</v>
      </c>
    </row>
    <row r="7402" spans="1:4" x14ac:dyDescent="0.2">
      <c r="A7402" s="19" t="s">
        <v>153</v>
      </c>
      <c r="B7402" s="19">
        <v>43.13</v>
      </c>
      <c r="C7402" s="19">
        <v>1</v>
      </c>
      <c r="D7402" s="19">
        <v>14.664200000000001</v>
      </c>
    </row>
    <row r="7403" spans="1:4" x14ac:dyDescent="0.2">
      <c r="A7403" s="19" t="s">
        <v>153</v>
      </c>
      <c r="B7403" s="19">
        <v>30.87</v>
      </c>
      <c r="C7403" s="19">
        <v>7</v>
      </c>
      <c r="D7403" s="19">
        <v>14.200199999999999</v>
      </c>
    </row>
    <row r="7404" spans="1:4" x14ac:dyDescent="0.2">
      <c r="A7404" s="19" t="s">
        <v>164</v>
      </c>
      <c r="B7404" s="19">
        <v>70.12</v>
      </c>
      <c r="C7404" s="19">
        <v>4</v>
      </c>
      <c r="D7404" s="19">
        <v>21.035999999999994</v>
      </c>
    </row>
    <row r="7405" spans="1:4" x14ac:dyDescent="0.2">
      <c r="A7405" s="19" t="s">
        <v>150</v>
      </c>
      <c r="B7405" s="19">
        <v>509.95749999999992</v>
      </c>
      <c r="C7405" s="19">
        <v>5</v>
      </c>
      <c r="D7405" s="19">
        <v>41.996499999999941</v>
      </c>
    </row>
    <row r="7406" spans="1:4" x14ac:dyDescent="0.2">
      <c r="A7406" s="19" t="s">
        <v>150</v>
      </c>
      <c r="B7406" s="19">
        <v>122.91</v>
      </c>
      <c r="C7406" s="19">
        <v>3</v>
      </c>
      <c r="D7406" s="19">
        <v>34.414800000000007</v>
      </c>
    </row>
    <row r="7407" spans="1:4" x14ac:dyDescent="0.2">
      <c r="A7407" s="19" t="s">
        <v>150</v>
      </c>
      <c r="B7407" s="19">
        <v>97.567999999999998</v>
      </c>
      <c r="C7407" s="19">
        <v>2</v>
      </c>
      <c r="D7407" s="19">
        <v>-6.0980000000000025</v>
      </c>
    </row>
    <row r="7408" spans="1:4" x14ac:dyDescent="0.2">
      <c r="A7408" s="19" t="s">
        <v>150</v>
      </c>
      <c r="B7408" s="19">
        <v>722.35200000000009</v>
      </c>
      <c r="C7408" s="19">
        <v>3</v>
      </c>
      <c r="D7408" s="19">
        <v>81.264599999999916</v>
      </c>
    </row>
    <row r="7409" spans="1:4" x14ac:dyDescent="0.2">
      <c r="A7409" s="19" t="s">
        <v>159</v>
      </c>
      <c r="B7409" s="19">
        <v>11.52</v>
      </c>
      <c r="C7409" s="19">
        <v>5</v>
      </c>
      <c r="D7409" s="19">
        <v>4.1760000000000002</v>
      </c>
    </row>
    <row r="7410" spans="1:4" x14ac:dyDescent="0.2">
      <c r="A7410" s="19" t="s">
        <v>150</v>
      </c>
      <c r="B7410" s="19">
        <v>167.84</v>
      </c>
      <c r="C7410" s="19">
        <v>8</v>
      </c>
      <c r="D7410" s="19">
        <v>11.748799999999989</v>
      </c>
    </row>
    <row r="7411" spans="1:4" x14ac:dyDescent="0.2">
      <c r="A7411" s="19" t="s">
        <v>173</v>
      </c>
      <c r="B7411" s="19">
        <v>172.11</v>
      </c>
      <c r="C7411" s="19">
        <v>1</v>
      </c>
      <c r="D7411" s="19">
        <v>-94.660500000000013</v>
      </c>
    </row>
    <row r="7412" spans="1:4" x14ac:dyDescent="0.2">
      <c r="A7412" s="19" t="s">
        <v>164</v>
      </c>
      <c r="B7412" s="19">
        <v>99.98</v>
      </c>
      <c r="C7412" s="19">
        <v>2</v>
      </c>
      <c r="D7412" s="19">
        <v>7.9983999999999895</v>
      </c>
    </row>
    <row r="7413" spans="1:4" x14ac:dyDescent="0.2">
      <c r="A7413" s="19" t="s">
        <v>170</v>
      </c>
      <c r="B7413" s="19">
        <v>156.79200000000003</v>
      </c>
      <c r="C7413" s="19">
        <v>1</v>
      </c>
      <c r="D7413" s="19">
        <v>17.639099999999985</v>
      </c>
    </row>
    <row r="7414" spans="1:4" x14ac:dyDescent="0.2">
      <c r="A7414" s="19" t="s">
        <v>170</v>
      </c>
      <c r="B7414" s="19">
        <v>35.360000000000007</v>
      </c>
      <c r="C7414" s="19">
        <v>2</v>
      </c>
      <c r="D7414" s="19">
        <v>-3.0939999999999994</v>
      </c>
    </row>
    <row r="7415" spans="1:4" x14ac:dyDescent="0.2">
      <c r="A7415" s="19" t="s">
        <v>170</v>
      </c>
      <c r="B7415" s="19">
        <v>13.591999999999999</v>
      </c>
      <c r="C7415" s="19">
        <v>1</v>
      </c>
      <c r="D7415" s="19">
        <v>-0.33980000000000032</v>
      </c>
    </row>
    <row r="7416" spans="1:4" x14ac:dyDescent="0.2">
      <c r="A7416" s="19" t="s">
        <v>158</v>
      </c>
      <c r="B7416" s="19">
        <v>386.67999999999995</v>
      </c>
      <c r="C7416" s="19">
        <v>2</v>
      </c>
      <c r="D7416" s="19">
        <v>-5.5240000000000293</v>
      </c>
    </row>
    <row r="7417" spans="1:4" x14ac:dyDescent="0.2">
      <c r="A7417" s="19" t="s">
        <v>158</v>
      </c>
      <c r="B7417" s="19">
        <v>379.96000000000004</v>
      </c>
      <c r="C7417" s="19">
        <v>5</v>
      </c>
      <c r="D7417" s="19">
        <v>47.494999999999919</v>
      </c>
    </row>
    <row r="7418" spans="1:4" x14ac:dyDescent="0.2">
      <c r="A7418" s="19" t="s">
        <v>158</v>
      </c>
      <c r="B7418" s="19">
        <v>539.91</v>
      </c>
      <c r="C7418" s="19">
        <v>3</v>
      </c>
      <c r="D7418" s="19">
        <v>-116.98049999999998</v>
      </c>
    </row>
    <row r="7419" spans="1:4" x14ac:dyDescent="0.2">
      <c r="A7419" s="19" t="s">
        <v>158</v>
      </c>
      <c r="B7419" s="19">
        <v>41.240000000000009</v>
      </c>
      <c r="C7419" s="19">
        <v>5</v>
      </c>
      <c r="D7419" s="19">
        <v>13.918499999999998</v>
      </c>
    </row>
    <row r="7420" spans="1:4" x14ac:dyDescent="0.2">
      <c r="A7420" s="19" t="s">
        <v>158</v>
      </c>
      <c r="B7420" s="19">
        <v>51.897000000000013</v>
      </c>
      <c r="C7420" s="19">
        <v>1</v>
      </c>
      <c r="D7420" s="19">
        <v>-41.517600000000002</v>
      </c>
    </row>
    <row r="7421" spans="1:4" x14ac:dyDescent="0.2">
      <c r="A7421" s="19" t="s">
        <v>158</v>
      </c>
      <c r="B7421" s="19">
        <v>552.55999999999995</v>
      </c>
      <c r="C7421" s="19">
        <v>5</v>
      </c>
      <c r="D7421" s="19">
        <v>-138.13999999999999</v>
      </c>
    </row>
    <row r="7422" spans="1:4" x14ac:dyDescent="0.2">
      <c r="A7422" s="19" t="s">
        <v>158</v>
      </c>
      <c r="B7422" s="19">
        <v>23.160000000000004</v>
      </c>
      <c r="C7422" s="19">
        <v>5</v>
      </c>
      <c r="D7422" s="19">
        <v>-15.439999999999998</v>
      </c>
    </row>
    <row r="7423" spans="1:4" x14ac:dyDescent="0.2">
      <c r="A7423" s="19" t="s">
        <v>158</v>
      </c>
      <c r="B7423" s="19">
        <v>126.08</v>
      </c>
      <c r="C7423" s="19">
        <v>2</v>
      </c>
      <c r="D7423" s="19">
        <v>-28.367999999999984</v>
      </c>
    </row>
    <row r="7424" spans="1:4" x14ac:dyDescent="0.2">
      <c r="A7424" s="19" t="s">
        <v>158</v>
      </c>
      <c r="B7424" s="19">
        <v>449.1</v>
      </c>
      <c r="C7424" s="19">
        <v>3</v>
      </c>
      <c r="D7424" s="19">
        <v>-643.70999999999981</v>
      </c>
    </row>
    <row r="7425" spans="1:4" x14ac:dyDescent="0.2">
      <c r="A7425" s="19" t="s">
        <v>158</v>
      </c>
      <c r="B7425" s="19">
        <v>195.10400000000001</v>
      </c>
      <c r="C7425" s="19">
        <v>4</v>
      </c>
      <c r="D7425" s="19">
        <v>21.949199999999969</v>
      </c>
    </row>
    <row r="7426" spans="1:4" x14ac:dyDescent="0.2">
      <c r="A7426" s="19" t="s">
        <v>158</v>
      </c>
      <c r="B7426" s="19">
        <v>36.671999999999997</v>
      </c>
      <c r="C7426" s="19">
        <v>3</v>
      </c>
      <c r="D7426" s="19">
        <v>6.4176000000000002</v>
      </c>
    </row>
    <row r="7427" spans="1:4" x14ac:dyDescent="0.2">
      <c r="A7427" s="19" t="s">
        <v>154</v>
      </c>
      <c r="B7427" s="19">
        <v>85.245999999999995</v>
      </c>
      <c r="C7427" s="19">
        <v>2</v>
      </c>
      <c r="D7427" s="19">
        <v>-6.0890000000000057</v>
      </c>
    </row>
    <row r="7428" spans="1:4" x14ac:dyDescent="0.2">
      <c r="A7428" s="19" t="s">
        <v>154</v>
      </c>
      <c r="B7428" s="19">
        <v>32.712000000000003</v>
      </c>
      <c r="C7428" s="19">
        <v>2</v>
      </c>
      <c r="D7428" s="19">
        <v>-26.169599999999996</v>
      </c>
    </row>
    <row r="7429" spans="1:4" x14ac:dyDescent="0.2">
      <c r="A7429" s="19" t="s">
        <v>183</v>
      </c>
      <c r="B7429" s="19">
        <v>11.43</v>
      </c>
      <c r="C7429" s="19">
        <v>3</v>
      </c>
      <c r="D7429" s="19">
        <v>5.3720999999999997</v>
      </c>
    </row>
    <row r="7430" spans="1:4" x14ac:dyDescent="0.2">
      <c r="A7430" s="19" t="s">
        <v>183</v>
      </c>
      <c r="B7430" s="19">
        <v>30.44</v>
      </c>
      <c r="C7430" s="19">
        <v>2</v>
      </c>
      <c r="D7430" s="19">
        <v>14.9156</v>
      </c>
    </row>
    <row r="7431" spans="1:4" x14ac:dyDescent="0.2">
      <c r="A7431" s="19" t="s">
        <v>183</v>
      </c>
      <c r="B7431" s="19">
        <v>12.96</v>
      </c>
      <c r="C7431" s="19">
        <v>2</v>
      </c>
      <c r="D7431" s="19">
        <v>6.3504000000000005</v>
      </c>
    </row>
    <row r="7432" spans="1:4" x14ac:dyDescent="0.2">
      <c r="A7432" s="19" t="s">
        <v>183</v>
      </c>
      <c r="B7432" s="19">
        <v>16</v>
      </c>
      <c r="C7432" s="19">
        <v>4</v>
      </c>
      <c r="D7432" s="19">
        <v>7.68</v>
      </c>
    </row>
    <row r="7433" spans="1:4" x14ac:dyDescent="0.2">
      <c r="A7433" s="19" t="s">
        <v>183</v>
      </c>
      <c r="B7433" s="19">
        <v>32.67</v>
      </c>
      <c r="C7433" s="19">
        <v>3</v>
      </c>
      <c r="D7433" s="19">
        <v>8.4942000000000011</v>
      </c>
    </row>
    <row r="7434" spans="1:4" x14ac:dyDescent="0.2">
      <c r="A7434" s="19" t="s">
        <v>165</v>
      </c>
      <c r="B7434" s="19">
        <v>4.4640000000000004</v>
      </c>
      <c r="C7434" s="19">
        <v>3</v>
      </c>
      <c r="D7434" s="19">
        <v>-0.94859999999999989</v>
      </c>
    </row>
    <row r="7435" spans="1:4" x14ac:dyDescent="0.2">
      <c r="A7435" s="19" t="s">
        <v>165</v>
      </c>
      <c r="B7435" s="19">
        <v>9.3450000000000024</v>
      </c>
      <c r="C7435" s="19">
        <v>5</v>
      </c>
      <c r="D7435" s="19">
        <v>-6.5414999999999992</v>
      </c>
    </row>
    <row r="7436" spans="1:4" x14ac:dyDescent="0.2">
      <c r="A7436" s="19" t="s">
        <v>150</v>
      </c>
      <c r="B7436" s="19">
        <v>9.1440000000000001</v>
      </c>
      <c r="C7436" s="19">
        <v>3</v>
      </c>
      <c r="D7436" s="19">
        <v>3.0860999999999996</v>
      </c>
    </row>
    <row r="7437" spans="1:4" x14ac:dyDescent="0.2">
      <c r="A7437" s="19" t="s">
        <v>150</v>
      </c>
      <c r="B7437" s="19">
        <v>23.136000000000003</v>
      </c>
      <c r="C7437" s="19">
        <v>6</v>
      </c>
      <c r="D7437" s="19">
        <v>8.3867999999999991</v>
      </c>
    </row>
    <row r="7438" spans="1:4" x14ac:dyDescent="0.2">
      <c r="A7438" s="19" t="s">
        <v>150</v>
      </c>
      <c r="B7438" s="19">
        <v>99.2</v>
      </c>
      <c r="C7438" s="19">
        <v>5</v>
      </c>
      <c r="D7438" s="19">
        <v>25.792000000000002</v>
      </c>
    </row>
    <row r="7439" spans="1:4" x14ac:dyDescent="0.2">
      <c r="A7439" s="19" t="s">
        <v>153</v>
      </c>
      <c r="B7439" s="19">
        <v>21.36</v>
      </c>
      <c r="C7439" s="19">
        <v>5</v>
      </c>
      <c r="D7439" s="19">
        <v>7.2089999999999996</v>
      </c>
    </row>
    <row r="7440" spans="1:4" x14ac:dyDescent="0.2">
      <c r="A7440" s="19" t="s">
        <v>153</v>
      </c>
      <c r="B7440" s="19">
        <v>46.900000000000006</v>
      </c>
      <c r="C7440" s="19">
        <v>5</v>
      </c>
      <c r="D7440" s="19">
        <v>13.132000000000001</v>
      </c>
    </row>
    <row r="7441" spans="1:4" x14ac:dyDescent="0.2">
      <c r="A7441" s="19" t="s">
        <v>150</v>
      </c>
      <c r="B7441" s="19">
        <v>18.72</v>
      </c>
      <c r="C7441" s="19">
        <v>5</v>
      </c>
      <c r="D7441" s="19">
        <v>6.5519999999999996</v>
      </c>
    </row>
    <row r="7442" spans="1:4" x14ac:dyDescent="0.2">
      <c r="A7442" s="19" t="s">
        <v>150</v>
      </c>
      <c r="B7442" s="19">
        <v>236.52800000000002</v>
      </c>
      <c r="C7442" s="19">
        <v>2</v>
      </c>
      <c r="D7442" s="19">
        <v>-2.9566000000000088</v>
      </c>
    </row>
    <row r="7443" spans="1:4" x14ac:dyDescent="0.2">
      <c r="A7443" s="19" t="s">
        <v>150</v>
      </c>
      <c r="B7443" s="19">
        <v>18.899999999999999</v>
      </c>
      <c r="C7443" s="19">
        <v>3</v>
      </c>
      <c r="D7443" s="19">
        <v>8.6939999999999991</v>
      </c>
    </row>
    <row r="7444" spans="1:4" x14ac:dyDescent="0.2">
      <c r="A7444" s="19" t="s">
        <v>154</v>
      </c>
      <c r="B7444" s="19">
        <v>10.688000000000001</v>
      </c>
      <c r="C7444" s="19">
        <v>2</v>
      </c>
      <c r="D7444" s="19">
        <v>3.7407999999999997</v>
      </c>
    </row>
    <row r="7445" spans="1:4" x14ac:dyDescent="0.2">
      <c r="A7445" s="19" t="s">
        <v>154</v>
      </c>
      <c r="B7445" s="19">
        <v>237.09600000000003</v>
      </c>
      <c r="C7445" s="19">
        <v>3</v>
      </c>
      <c r="D7445" s="19">
        <v>20.745899999999985</v>
      </c>
    </row>
    <row r="7446" spans="1:4" x14ac:dyDescent="0.2">
      <c r="A7446" s="19" t="s">
        <v>159</v>
      </c>
      <c r="B7446" s="19">
        <v>5.1840000000000011</v>
      </c>
      <c r="C7446" s="19">
        <v>1</v>
      </c>
      <c r="D7446" s="19">
        <v>1.8144</v>
      </c>
    </row>
    <row r="7447" spans="1:4" x14ac:dyDescent="0.2">
      <c r="A7447" s="19" t="s">
        <v>159</v>
      </c>
      <c r="B7447" s="19">
        <v>65.584000000000003</v>
      </c>
      <c r="C7447" s="19">
        <v>2</v>
      </c>
      <c r="D7447" s="19">
        <v>23.7742</v>
      </c>
    </row>
    <row r="7448" spans="1:4" x14ac:dyDescent="0.2">
      <c r="A7448" s="19" t="s">
        <v>159</v>
      </c>
      <c r="B7448" s="19">
        <v>22.200000000000003</v>
      </c>
      <c r="C7448" s="19">
        <v>1</v>
      </c>
      <c r="D7448" s="19">
        <v>-26.084999999999994</v>
      </c>
    </row>
    <row r="7449" spans="1:4" x14ac:dyDescent="0.2">
      <c r="A7449" s="19" t="s">
        <v>159</v>
      </c>
      <c r="B7449" s="19">
        <v>419.4</v>
      </c>
      <c r="C7449" s="19">
        <v>5</v>
      </c>
      <c r="D7449" s="19">
        <v>146.79</v>
      </c>
    </row>
    <row r="7450" spans="1:4" x14ac:dyDescent="0.2">
      <c r="A7450" s="19" t="s">
        <v>167</v>
      </c>
      <c r="B7450" s="19">
        <v>88.920000000000016</v>
      </c>
      <c r="C7450" s="19">
        <v>5</v>
      </c>
      <c r="D7450" s="19">
        <v>14.449499999999986</v>
      </c>
    </row>
    <row r="7451" spans="1:4" x14ac:dyDescent="0.2">
      <c r="A7451" s="19" t="s">
        <v>154</v>
      </c>
      <c r="B7451" s="19">
        <v>9.9120000000000008</v>
      </c>
      <c r="C7451" s="19">
        <v>3</v>
      </c>
      <c r="D7451" s="19">
        <v>3.2213999999999996</v>
      </c>
    </row>
    <row r="7452" spans="1:4" x14ac:dyDescent="0.2">
      <c r="A7452" s="19" t="s">
        <v>154</v>
      </c>
      <c r="B7452" s="19">
        <v>318.43</v>
      </c>
      <c r="C7452" s="19">
        <v>5</v>
      </c>
      <c r="D7452" s="19">
        <v>-77.333000000000013</v>
      </c>
    </row>
    <row r="7453" spans="1:4" x14ac:dyDescent="0.2">
      <c r="A7453" s="19" t="s">
        <v>154</v>
      </c>
      <c r="B7453" s="19">
        <v>5.7999999999999989</v>
      </c>
      <c r="C7453" s="19">
        <v>5</v>
      </c>
      <c r="D7453" s="19">
        <v>-10.15</v>
      </c>
    </row>
    <row r="7454" spans="1:4" x14ac:dyDescent="0.2">
      <c r="A7454" s="19" t="s">
        <v>154</v>
      </c>
      <c r="B7454" s="19">
        <v>1415.76</v>
      </c>
      <c r="C7454" s="19">
        <v>6</v>
      </c>
      <c r="D7454" s="19">
        <v>88.48500000000007</v>
      </c>
    </row>
    <row r="7455" spans="1:4" x14ac:dyDescent="0.2">
      <c r="A7455" s="19" t="s">
        <v>159</v>
      </c>
      <c r="B7455" s="19">
        <v>148.47999999999999</v>
      </c>
      <c r="C7455" s="19">
        <v>2</v>
      </c>
      <c r="D7455" s="19">
        <v>16.703999999999986</v>
      </c>
    </row>
    <row r="7456" spans="1:4" x14ac:dyDescent="0.2">
      <c r="A7456" s="19" t="s">
        <v>159</v>
      </c>
      <c r="B7456" s="19">
        <v>9.2480000000000011</v>
      </c>
      <c r="C7456" s="19">
        <v>4</v>
      </c>
      <c r="D7456" s="19">
        <v>3.1212</v>
      </c>
    </row>
    <row r="7457" spans="1:4" x14ac:dyDescent="0.2">
      <c r="A7457" s="19" t="s">
        <v>159</v>
      </c>
      <c r="B7457" s="19">
        <v>1036.624</v>
      </c>
      <c r="C7457" s="19">
        <v>2</v>
      </c>
      <c r="D7457" s="19">
        <v>51.831200000000024</v>
      </c>
    </row>
    <row r="7458" spans="1:4" x14ac:dyDescent="0.2">
      <c r="A7458" s="19" t="s">
        <v>166</v>
      </c>
      <c r="B7458" s="19">
        <v>569.64</v>
      </c>
      <c r="C7458" s="19">
        <v>2</v>
      </c>
      <c r="D7458" s="19">
        <v>148.10640000000001</v>
      </c>
    </row>
    <row r="7459" spans="1:4" x14ac:dyDescent="0.2">
      <c r="A7459" s="19" t="s">
        <v>166</v>
      </c>
      <c r="B7459" s="19">
        <v>9.14</v>
      </c>
      <c r="C7459" s="19">
        <v>1</v>
      </c>
      <c r="D7459" s="19">
        <v>4.57</v>
      </c>
    </row>
    <row r="7460" spans="1:4" x14ac:dyDescent="0.2">
      <c r="A7460" s="19" t="s">
        <v>166</v>
      </c>
      <c r="B7460" s="19">
        <v>1196.8599999999999</v>
      </c>
      <c r="C7460" s="19">
        <v>7</v>
      </c>
      <c r="D7460" s="19">
        <v>119.68599999999989</v>
      </c>
    </row>
    <row r="7461" spans="1:4" x14ac:dyDescent="0.2">
      <c r="A7461" s="19" t="s">
        <v>166</v>
      </c>
      <c r="B7461" s="19">
        <v>523.26</v>
      </c>
      <c r="C7461" s="19">
        <v>9</v>
      </c>
      <c r="D7461" s="19">
        <v>125.58240000000001</v>
      </c>
    </row>
    <row r="7462" spans="1:4" x14ac:dyDescent="0.2">
      <c r="A7462" s="19" t="s">
        <v>150</v>
      </c>
      <c r="B7462" s="19">
        <v>639.96800000000007</v>
      </c>
      <c r="C7462" s="19">
        <v>4</v>
      </c>
      <c r="D7462" s="19">
        <v>215.98919999999998</v>
      </c>
    </row>
    <row r="7463" spans="1:4" x14ac:dyDescent="0.2">
      <c r="A7463" s="19" t="s">
        <v>150</v>
      </c>
      <c r="B7463" s="19">
        <v>52.76</v>
      </c>
      <c r="C7463" s="19">
        <v>2</v>
      </c>
      <c r="D7463" s="19">
        <v>24.269599999999997</v>
      </c>
    </row>
    <row r="7464" spans="1:4" x14ac:dyDescent="0.2">
      <c r="A7464" s="19" t="s">
        <v>153</v>
      </c>
      <c r="B7464" s="19">
        <v>538.92000000000007</v>
      </c>
      <c r="C7464" s="19">
        <v>9</v>
      </c>
      <c r="D7464" s="19">
        <v>80.837999999999994</v>
      </c>
    </row>
    <row r="7465" spans="1:4" x14ac:dyDescent="0.2">
      <c r="A7465" s="19" t="s">
        <v>150</v>
      </c>
      <c r="B7465" s="19">
        <v>14.88</v>
      </c>
      <c r="C7465" s="19">
        <v>2</v>
      </c>
      <c r="D7465" s="19">
        <v>3.7200000000000006</v>
      </c>
    </row>
    <row r="7466" spans="1:4" x14ac:dyDescent="0.2">
      <c r="A7466" s="19" t="s">
        <v>150</v>
      </c>
      <c r="B7466" s="19">
        <v>34.24</v>
      </c>
      <c r="C7466" s="19">
        <v>8</v>
      </c>
      <c r="D7466" s="19">
        <v>15.407999999999998</v>
      </c>
    </row>
    <row r="7467" spans="1:4" x14ac:dyDescent="0.2">
      <c r="A7467" s="19" t="s">
        <v>150</v>
      </c>
      <c r="B7467" s="19">
        <v>261.74</v>
      </c>
      <c r="C7467" s="19">
        <v>2</v>
      </c>
      <c r="D7467" s="19">
        <v>65.435000000000002</v>
      </c>
    </row>
    <row r="7468" spans="1:4" x14ac:dyDescent="0.2">
      <c r="A7468" s="19" t="s">
        <v>150</v>
      </c>
      <c r="B7468" s="19">
        <v>87.84</v>
      </c>
      <c r="C7468" s="19">
        <v>8</v>
      </c>
      <c r="D7468" s="19">
        <v>23.716800000000006</v>
      </c>
    </row>
    <row r="7469" spans="1:4" x14ac:dyDescent="0.2">
      <c r="A7469" s="19" t="s">
        <v>150</v>
      </c>
      <c r="B7469" s="19">
        <v>34.92</v>
      </c>
      <c r="C7469" s="19">
        <v>4</v>
      </c>
      <c r="D7469" s="19">
        <v>11.872799999999998</v>
      </c>
    </row>
    <row r="7470" spans="1:4" x14ac:dyDescent="0.2">
      <c r="A7470" s="19" t="s">
        <v>164</v>
      </c>
      <c r="B7470" s="19">
        <v>14.940000000000001</v>
      </c>
      <c r="C7470" s="19">
        <v>3</v>
      </c>
      <c r="D7470" s="19">
        <v>7.0218000000000007</v>
      </c>
    </row>
    <row r="7471" spans="1:4" x14ac:dyDescent="0.2">
      <c r="A7471" s="19" t="s">
        <v>164</v>
      </c>
      <c r="B7471" s="19">
        <v>14.56</v>
      </c>
      <c r="C7471" s="19">
        <v>2</v>
      </c>
      <c r="D7471" s="19">
        <v>6.2608000000000015</v>
      </c>
    </row>
    <row r="7472" spans="1:4" x14ac:dyDescent="0.2">
      <c r="A7472" s="19" t="s">
        <v>158</v>
      </c>
      <c r="B7472" s="19">
        <v>3.5760000000000005</v>
      </c>
      <c r="C7472" s="19">
        <v>4</v>
      </c>
      <c r="D7472" s="19">
        <v>-2.8608000000000002</v>
      </c>
    </row>
    <row r="7473" spans="1:4" x14ac:dyDescent="0.2">
      <c r="A7473" s="19" t="s">
        <v>158</v>
      </c>
      <c r="B7473" s="19">
        <v>147.184</v>
      </c>
      <c r="C7473" s="19">
        <v>2</v>
      </c>
      <c r="D7473" s="19">
        <v>-29.436800000000012</v>
      </c>
    </row>
    <row r="7474" spans="1:4" x14ac:dyDescent="0.2">
      <c r="A7474" s="19" t="s">
        <v>156</v>
      </c>
      <c r="B7474" s="19">
        <v>1499.95</v>
      </c>
      <c r="C7474" s="19">
        <v>5</v>
      </c>
      <c r="D7474" s="19">
        <v>449.9849999999999</v>
      </c>
    </row>
    <row r="7475" spans="1:4" x14ac:dyDescent="0.2">
      <c r="A7475" s="19" t="s">
        <v>159</v>
      </c>
      <c r="B7475" s="19">
        <v>13.568000000000001</v>
      </c>
      <c r="C7475" s="19">
        <v>4</v>
      </c>
      <c r="D7475" s="19">
        <v>3.2223999999999995</v>
      </c>
    </row>
    <row r="7476" spans="1:4" x14ac:dyDescent="0.2">
      <c r="A7476" s="19" t="s">
        <v>149</v>
      </c>
      <c r="B7476" s="19">
        <v>2573.8200000000002</v>
      </c>
      <c r="C7476" s="19">
        <v>9</v>
      </c>
      <c r="D7476" s="19">
        <v>746.40779999999972</v>
      </c>
    </row>
    <row r="7477" spans="1:4" x14ac:dyDescent="0.2">
      <c r="A7477" s="19" t="s">
        <v>149</v>
      </c>
      <c r="B7477" s="19">
        <v>609.98</v>
      </c>
      <c r="C7477" s="19">
        <v>2</v>
      </c>
      <c r="D7477" s="19">
        <v>274.49099999999999</v>
      </c>
    </row>
    <row r="7478" spans="1:4" x14ac:dyDescent="0.2">
      <c r="A7478" s="19" t="s">
        <v>149</v>
      </c>
      <c r="B7478" s="19">
        <v>5.48</v>
      </c>
      <c r="C7478" s="19">
        <v>2</v>
      </c>
      <c r="D7478" s="19">
        <v>1.4796000000000005</v>
      </c>
    </row>
    <row r="7479" spans="1:4" x14ac:dyDescent="0.2">
      <c r="A7479" s="19" t="s">
        <v>149</v>
      </c>
      <c r="B7479" s="19">
        <v>391.98</v>
      </c>
      <c r="C7479" s="19">
        <v>2</v>
      </c>
      <c r="D7479" s="19">
        <v>113.67419999999998</v>
      </c>
    </row>
    <row r="7480" spans="1:4" x14ac:dyDescent="0.2">
      <c r="A7480" s="19" t="s">
        <v>149</v>
      </c>
      <c r="B7480" s="19">
        <v>755.96</v>
      </c>
      <c r="C7480" s="19">
        <v>4</v>
      </c>
      <c r="D7480" s="19">
        <v>204.10919999999999</v>
      </c>
    </row>
    <row r="7481" spans="1:4" x14ac:dyDescent="0.2">
      <c r="A7481" s="19" t="s">
        <v>149</v>
      </c>
      <c r="B7481" s="19">
        <v>31.12</v>
      </c>
      <c r="C7481" s="19">
        <v>4</v>
      </c>
      <c r="D7481" s="19">
        <v>0.31119999999999948</v>
      </c>
    </row>
    <row r="7482" spans="1:4" x14ac:dyDescent="0.2">
      <c r="A7482" s="19" t="s">
        <v>149</v>
      </c>
      <c r="B7482" s="19">
        <v>6.54</v>
      </c>
      <c r="C7482" s="19">
        <v>1</v>
      </c>
      <c r="D7482" s="19">
        <v>3.0084</v>
      </c>
    </row>
    <row r="7483" spans="1:4" x14ac:dyDescent="0.2">
      <c r="A7483" s="19" t="s">
        <v>150</v>
      </c>
      <c r="B7483" s="19">
        <v>12.78</v>
      </c>
      <c r="C7483" s="19">
        <v>1</v>
      </c>
      <c r="D7483" s="19">
        <v>5.7509999999999994</v>
      </c>
    </row>
    <row r="7484" spans="1:4" x14ac:dyDescent="0.2">
      <c r="A7484" s="19" t="s">
        <v>164</v>
      </c>
      <c r="B7484" s="19">
        <v>18.463999999999999</v>
      </c>
      <c r="C7484" s="19">
        <v>4</v>
      </c>
      <c r="D7484" s="19">
        <v>6.9239999999999995</v>
      </c>
    </row>
    <row r="7485" spans="1:4" x14ac:dyDescent="0.2">
      <c r="A7485" s="19" t="s">
        <v>158</v>
      </c>
      <c r="B7485" s="19">
        <v>445.80200000000002</v>
      </c>
      <c r="C7485" s="19">
        <v>7</v>
      </c>
      <c r="D7485" s="19">
        <v>-108.26620000000001</v>
      </c>
    </row>
    <row r="7486" spans="1:4" x14ac:dyDescent="0.2">
      <c r="A7486" s="19" t="s">
        <v>194</v>
      </c>
      <c r="B7486" s="19">
        <v>2.48</v>
      </c>
      <c r="C7486" s="19">
        <v>1</v>
      </c>
      <c r="D7486" s="19">
        <v>0.86799999999999988</v>
      </c>
    </row>
    <row r="7487" spans="1:4" x14ac:dyDescent="0.2">
      <c r="A7487" s="19" t="s">
        <v>194</v>
      </c>
      <c r="B7487" s="19">
        <v>25.9</v>
      </c>
      <c r="C7487" s="19">
        <v>5</v>
      </c>
      <c r="D7487" s="19">
        <v>12.690999999999999</v>
      </c>
    </row>
    <row r="7488" spans="1:4" x14ac:dyDescent="0.2">
      <c r="A7488" s="19" t="s">
        <v>186</v>
      </c>
      <c r="B7488" s="19">
        <v>29.900000000000002</v>
      </c>
      <c r="C7488" s="19">
        <v>5</v>
      </c>
      <c r="D7488" s="19">
        <v>14.651</v>
      </c>
    </row>
    <row r="7489" spans="1:4" x14ac:dyDescent="0.2">
      <c r="A7489" s="19" t="s">
        <v>186</v>
      </c>
      <c r="B7489" s="19">
        <v>2249.91</v>
      </c>
      <c r="C7489" s="19">
        <v>9</v>
      </c>
      <c r="D7489" s="19">
        <v>517.47930000000008</v>
      </c>
    </row>
    <row r="7490" spans="1:4" x14ac:dyDescent="0.2">
      <c r="A7490" s="19" t="s">
        <v>186</v>
      </c>
      <c r="B7490" s="19">
        <v>1053.164</v>
      </c>
      <c r="C7490" s="19">
        <v>4</v>
      </c>
      <c r="D7490" s="19">
        <v>-105.31639999999993</v>
      </c>
    </row>
    <row r="7491" spans="1:4" x14ac:dyDescent="0.2">
      <c r="A7491" s="19" t="s">
        <v>150</v>
      </c>
      <c r="B7491" s="19">
        <v>12.96</v>
      </c>
      <c r="C7491" s="19">
        <v>2</v>
      </c>
      <c r="D7491" s="19">
        <v>6.2208000000000006</v>
      </c>
    </row>
    <row r="7492" spans="1:4" x14ac:dyDescent="0.2">
      <c r="A7492" s="19" t="s">
        <v>150</v>
      </c>
      <c r="B7492" s="19">
        <v>106.68</v>
      </c>
      <c r="C7492" s="19">
        <v>6</v>
      </c>
      <c r="D7492" s="19">
        <v>33.070799999999991</v>
      </c>
    </row>
    <row r="7493" spans="1:4" x14ac:dyDescent="0.2">
      <c r="A7493" s="19" t="s">
        <v>164</v>
      </c>
      <c r="B7493" s="19">
        <v>119.94</v>
      </c>
      <c r="C7493" s="19">
        <v>6</v>
      </c>
      <c r="D7493" s="19">
        <v>5.9969999999999857</v>
      </c>
    </row>
    <row r="7494" spans="1:4" x14ac:dyDescent="0.2">
      <c r="A7494" s="19" t="s">
        <v>154</v>
      </c>
      <c r="B7494" s="19">
        <v>10.272000000000002</v>
      </c>
      <c r="C7494" s="19">
        <v>3</v>
      </c>
      <c r="D7494" s="19">
        <v>3.2099999999999982</v>
      </c>
    </row>
    <row r="7495" spans="1:4" x14ac:dyDescent="0.2">
      <c r="A7495" s="19" t="s">
        <v>154</v>
      </c>
      <c r="B7495" s="19">
        <v>512.19000000000005</v>
      </c>
      <c r="C7495" s="19">
        <v>5</v>
      </c>
      <c r="D7495" s="19">
        <v>-65.853000000000009</v>
      </c>
    </row>
    <row r="7496" spans="1:4" x14ac:dyDescent="0.2">
      <c r="A7496" s="19" t="s">
        <v>154</v>
      </c>
      <c r="B7496" s="19">
        <v>1.5559999999999996</v>
      </c>
      <c r="C7496" s="19">
        <v>2</v>
      </c>
      <c r="D7496" s="19">
        <v>-4.2012</v>
      </c>
    </row>
    <row r="7497" spans="1:4" x14ac:dyDescent="0.2">
      <c r="A7497" s="19" t="s">
        <v>150</v>
      </c>
      <c r="B7497" s="19">
        <v>4.4479999999999995</v>
      </c>
      <c r="C7497" s="19">
        <v>2</v>
      </c>
      <c r="D7497" s="19">
        <v>1.4455999999999996</v>
      </c>
    </row>
    <row r="7498" spans="1:4" x14ac:dyDescent="0.2">
      <c r="A7498" s="19" t="s">
        <v>150</v>
      </c>
      <c r="B7498" s="19">
        <v>276.69</v>
      </c>
      <c r="C7498" s="19">
        <v>3</v>
      </c>
      <c r="D7498" s="19">
        <v>49.804199999999994</v>
      </c>
    </row>
    <row r="7499" spans="1:4" x14ac:dyDescent="0.2">
      <c r="A7499" s="19" t="s">
        <v>150</v>
      </c>
      <c r="B7499" s="19">
        <v>4.96</v>
      </c>
      <c r="C7499" s="19">
        <v>4</v>
      </c>
      <c r="D7499" s="19">
        <v>2.3311999999999999</v>
      </c>
    </row>
    <row r="7500" spans="1:4" x14ac:dyDescent="0.2">
      <c r="A7500" s="19" t="s">
        <v>150</v>
      </c>
      <c r="B7500" s="19">
        <v>71.92</v>
      </c>
      <c r="C7500" s="19">
        <v>4</v>
      </c>
      <c r="D7500" s="19">
        <v>20.856799999999993</v>
      </c>
    </row>
    <row r="7501" spans="1:4" x14ac:dyDescent="0.2">
      <c r="A7501" s="19" t="s">
        <v>150</v>
      </c>
      <c r="B7501" s="19">
        <v>18.84</v>
      </c>
      <c r="C7501" s="19">
        <v>3</v>
      </c>
      <c r="D7501" s="19">
        <v>7.9128000000000007</v>
      </c>
    </row>
    <row r="7502" spans="1:4" x14ac:dyDescent="0.2">
      <c r="A7502" s="19" t="s">
        <v>150</v>
      </c>
      <c r="B7502" s="19">
        <v>140.97</v>
      </c>
      <c r="C7502" s="19">
        <v>3</v>
      </c>
      <c r="D7502" s="19">
        <v>19.735800000000005</v>
      </c>
    </row>
    <row r="7503" spans="1:4" x14ac:dyDescent="0.2">
      <c r="A7503" s="19" t="s">
        <v>150</v>
      </c>
      <c r="B7503" s="19">
        <v>470.37600000000009</v>
      </c>
      <c r="C7503" s="19">
        <v>3</v>
      </c>
      <c r="D7503" s="19">
        <v>52.917299999999955</v>
      </c>
    </row>
    <row r="7504" spans="1:4" x14ac:dyDescent="0.2">
      <c r="A7504" s="19" t="s">
        <v>150</v>
      </c>
      <c r="B7504" s="19">
        <v>6.08</v>
      </c>
      <c r="C7504" s="19">
        <v>2</v>
      </c>
      <c r="D7504" s="19">
        <v>2.0671999999999997</v>
      </c>
    </row>
    <row r="7505" spans="1:4" x14ac:dyDescent="0.2">
      <c r="A7505" s="19" t="s">
        <v>150</v>
      </c>
      <c r="B7505" s="19">
        <v>164.79200000000003</v>
      </c>
      <c r="C7505" s="19">
        <v>1</v>
      </c>
      <c r="D7505" s="19">
        <v>18.539099999999991</v>
      </c>
    </row>
    <row r="7506" spans="1:4" x14ac:dyDescent="0.2">
      <c r="A7506" s="19" t="s">
        <v>179</v>
      </c>
      <c r="B7506" s="19">
        <v>23.36</v>
      </c>
      <c r="C7506" s="19">
        <v>2</v>
      </c>
      <c r="D7506" s="19">
        <v>11.68</v>
      </c>
    </row>
    <row r="7507" spans="1:4" x14ac:dyDescent="0.2">
      <c r="A7507" s="19" t="s">
        <v>159</v>
      </c>
      <c r="B7507" s="19">
        <v>12.175999999999998</v>
      </c>
      <c r="C7507" s="19">
        <v>4</v>
      </c>
      <c r="D7507" s="19">
        <v>-18.872800000000009</v>
      </c>
    </row>
    <row r="7508" spans="1:4" x14ac:dyDescent="0.2">
      <c r="A7508" s="19" t="s">
        <v>150</v>
      </c>
      <c r="B7508" s="19">
        <v>46.384</v>
      </c>
      <c r="C7508" s="19">
        <v>2</v>
      </c>
      <c r="D7508" s="19">
        <v>5.2181999999999924</v>
      </c>
    </row>
    <row r="7509" spans="1:4" x14ac:dyDescent="0.2">
      <c r="A7509" s="19" t="s">
        <v>150</v>
      </c>
      <c r="B7509" s="19">
        <v>362.92</v>
      </c>
      <c r="C7509" s="19">
        <v>2</v>
      </c>
      <c r="D7509" s="19">
        <v>105.24679999999995</v>
      </c>
    </row>
    <row r="7510" spans="1:4" x14ac:dyDescent="0.2">
      <c r="A7510" s="19" t="s">
        <v>173</v>
      </c>
      <c r="B7510" s="19">
        <v>9.2480000000000011</v>
      </c>
      <c r="C7510" s="19">
        <v>2</v>
      </c>
      <c r="D7510" s="19">
        <v>3.3524000000000003</v>
      </c>
    </row>
    <row r="7511" spans="1:4" x14ac:dyDescent="0.2">
      <c r="A7511" s="19" t="s">
        <v>173</v>
      </c>
      <c r="B7511" s="19">
        <v>1889.9459999999999</v>
      </c>
      <c r="C7511" s="19">
        <v>9</v>
      </c>
      <c r="D7511" s="19">
        <v>-377.98919999999998</v>
      </c>
    </row>
    <row r="7512" spans="1:4" x14ac:dyDescent="0.2">
      <c r="A7512" s="19" t="s">
        <v>173</v>
      </c>
      <c r="B7512" s="19">
        <v>62.040000000000006</v>
      </c>
      <c r="C7512" s="19">
        <v>5</v>
      </c>
      <c r="D7512" s="19">
        <v>4.6530000000000022</v>
      </c>
    </row>
    <row r="7513" spans="1:4" x14ac:dyDescent="0.2">
      <c r="A7513" s="19" t="s">
        <v>173</v>
      </c>
      <c r="B7513" s="19">
        <v>396.92000000000007</v>
      </c>
      <c r="C7513" s="19">
        <v>5</v>
      </c>
      <c r="D7513" s="19">
        <v>148.845</v>
      </c>
    </row>
    <row r="7514" spans="1:4" x14ac:dyDescent="0.2">
      <c r="A7514" s="19" t="s">
        <v>173</v>
      </c>
      <c r="B7514" s="19">
        <v>239.45599999999999</v>
      </c>
      <c r="C7514" s="19">
        <v>7</v>
      </c>
      <c r="D7514" s="19">
        <v>17.959200000000003</v>
      </c>
    </row>
    <row r="7515" spans="1:4" x14ac:dyDescent="0.2">
      <c r="A7515" s="19" t="s">
        <v>173</v>
      </c>
      <c r="B7515" s="19">
        <v>13.120000000000001</v>
      </c>
      <c r="C7515" s="19">
        <v>5</v>
      </c>
      <c r="D7515" s="19">
        <v>2.1319999999999988</v>
      </c>
    </row>
    <row r="7516" spans="1:4" x14ac:dyDescent="0.2">
      <c r="A7516" s="19" t="s">
        <v>149</v>
      </c>
      <c r="B7516" s="19">
        <v>29.36</v>
      </c>
      <c r="C7516" s="19">
        <v>2</v>
      </c>
      <c r="D7516" s="19">
        <v>13.505599999999999</v>
      </c>
    </row>
    <row r="7517" spans="1:4" x14ac:dyDescent="0.2">
      <c r="A7517" s="19" t="s">
        <v>149</v>
      </c>
      <c r="B7517" s="19">
        <v>214.89999999999998</v>
      </c>
      <c r="C7517" s="19">
        <v>5</v>
      </c>
      <c r="D7517" s="19">
        <v>62.32099999999997</v>
      </c>
    </row>
    <row r="7518" spans="1:4" x14ac:dyDescent="0.2">
      <c r="A7518" s="19" t="s">
        <v>149</v>
      </c>
      <c r="B7518" s="19">
        <v>15.92</v>
      </c>
      <c r="C7518" s="19">
        <v>4</v>
      </c>
      <c r="D7518" s="19">
        <v>7.4824000000000002</v>
      </c>
    </row>
    <row r="7519" spans="1:4" x14ac:dyDescent="0.2">
      <c r="A7519" s="19" t="s">
        <v>149</v>
      </c>
      <c r="B7519" s="19">
        <v>146.44999999999999</v>
      </c>
      <c r="C7519" s="19">
        <v>5</v>
      </c>
      <c r="D7519" s="19">
        <v>48.328499999999991</v>
      </c>
    </row>
    <row r="7520" spans="1:4" x14ac:dyDescent="0.2">
      <c r="A7520" s="19" t="s">
        <v>149</v>
      </c>
      <c r="B7520" s="19">
        <v>15.14</v>
      </c>
      <c r="C7520" s="19">
        <v>1</v>
      </c>
      <c r="D7520" s="19">
        <v>0.60559999999999903</v>
      </c>
    </row>
    <row r="7521" spans="1:4" x14ac:dyDescent="0.2">
      <c r="A7521" s="19" t="s">
        <v>149</v>
      </c>
      <c r="B7521" s="19">
        <v>5.76</v>
      </c>
      <c r="C7521" s="19">
        <v>2</v>
      </c>
      <c r="D7521" s="19">
        <v>2.6495999999999995</v>
      </c>
    </row>
    <row r="7522" spans="1:4" x14ac:dyDescent="0.2">
      <c r="A7522" s="19" t="s">
        <v>149</v>
      </c>
      <c r="B7522" s="19">
        <v>1399.98</v>
      </c>
      <c r="C7522" s="19">
        <v>2</v>
      </c>
      <c r="D7522" s="19">
        <v>629.99099999999999</v>
      </c>
    </row>
    <row r="7523" spans="1:4" x14ac:dyDescent="0.2">
      <c r="A7523" s="19" t="s">
        <v>173</v>
      </c>
      <c r="B7523" s="19">
        <v>8.9520000000000017</v>
      </c>
      <c r="C7523" s="19">
        <v>2</v>
      </c>
      <c r="D7523" s="19">
        <v>-7.4600000000000009</v>
      </c>
    </row>
    <row r="7524" spans="1:4" x14ac:dyDescent="0.2">
      <c r="A7524" s="19" t="s">
        <v>173</v>
      </c>
      <c r="B7524" s="19">
        <v>8.8560000000000016</v>
      </c>
      <c r="C7524" s="19">
        <v>6</v>
      </c>
      <c r="D7524" s="19">
        <v>-6.4944000000000024</v>
      </c>
    </row>
    <row r="7525" spans="1:4" x14ac:dyDescent="0.2">
      <c r="A7525" s="19" t="s">
        <v>173</v>
      </c>
      <c r="B7525" s="19">
        <v>85.245999999999995</v>
      </c>
      <c r="C7525" s="19">
        <v>2</v>
      </c>
      <c r="D7525" s="19">
        <v>-1.217800000000004</v>
      </c>
    </row>
    <row r="7526" spans="1:4" x14ac:dyDescent="0.2">
      <c r="A7526" s="19" t="s">
        <v>170</v>
      </c>
      <c r="B7526" s="19">
        <v>21.728000000000002</v>
      </c>
      <c r="C7526" s="19">
        <v>7</v>
      </c>
      <c r="D7526" s="19">
        <v>7.6047999999999991</v>
      </c>
    </row>
    <row r="7527" spans="1:4" x14ac:dyDescent="0.2">
      <c r="A7527" s="19" t="s">
        <v>170</v>
      </c>
      <c r="B7527" s="19">
        <v>1487.04</v>
      </c>
      <c r="C7527" s="19">
        <v>5</v>
      </c>
      <c r="D7527" s="19">
        <v>148.70400000000006</v>
      </c>
    </row>
    <row r="7528" spans="1:4" x14ac:dyDescent="0.2">
      <c r="A7528" s="19" t="s">
        <v>150</v>
      </c>
      <c r="B7528" s="19">
        <v>71.88</v>
      </c>
      <c r="C7528" s="19">
        <v>6</v>
      </c>
      <c r="D7528" s="19">
        <v>33.064799999999998</v>
      </c>
    </row>
    <row r="7529" spans="1:4" x14ac:dyDescent="0.2">
      <c r="A7529" s="19" t="s">
        <v>150</v>
      </c>
      <c r="B7529" s="19">
        <v>9.24</v>
      </c>
      <c r="C7529" s="19">
        <v>3</v>
      </c>
      <c r="D7529" s="19">
        <v>2.9567999999999994</v>
      </c>
    </row>
    <row r="7530" spans="1:4" x14ac:dyDescent="0.2">
      <c r="A7530" s="19" t="s">
        <v>150</v>
      </c>
      <c r="B7530" s="19">
        <v>35.880000000000003</v>
      </c>
      <c r="C7530" s="19">
        <v>6</v>
      </c>
      <c r="D7530" s="19">
        <v>16.146000000000001</v>
      </c>
    </row>
    <row r="7531" spans="1:4" x14ac:dyDescent="0.2">
      <c r="A7531" s="19" t="s">
        <v>150</v>
      </c>
      <c r="B7531" s="19">
        <v>17.04</v>
      </c>
      <c r="C7531" s="19">
        <v>3</v>
      </c>
      <c r="D7531" s="19">
        <v>5.5379999999999985</v>
      </c>
    </row>
    <row r="7532" spans="1:4" x14ac:dyDescent="0.2">
      <c r="A7532" s="19" t="s">
        <v>150</v>
      </c>
      <c r="B7532" s="19">
        <v>931.17600000000016</v>
      </c>
      <c r="C7532" s="19">
        <v>3</v>
      </c>
      <c r="D7532" s="19">
        <v>314.27190000000002</v>
      </c>
    </row>
    <row r="7533" spans="1:4" x14ac:dyDescent="0.2">
      <c r="A7533" s="19" t="s">
        <v>171</v>
      </c>
      <c r="B7533" s="19">
        <v>266.35200000000003</v>
      </c>
      <c r="C7533" s="19">
        <v>3</v>
      </c>
      <c r="D7533" s="19">
        <v>-13.317600000000013</v>
      </c>
    </row>
    <row r="7534" spans="1:4" x14ac:dyDescent="0.2">
      <c r="A7534" s="19" t="s">
        <v>171</v>
      </c>
      <c r="B7534" s="19">
        <v>483.13599999999997</v>
      </c>
      <c r="C7534" s="19">
        <v>4</v>
      </c>
      <c r="D7534" s="19">
        <v>54.352799999999945</v>
      </c>
    </row>
    <row r="7535" spans="1:4" x14ac:dyDescent="0.2">
      <c r="A7535" s="19" t="s">
        <v>152</v>
      </c>
      <c r="B7535" s="19">
        <v>196.78399999999999</v>
      </c>
      <c r="C7535" s="19">
        <v>2</v>
      </c>
      <c r="D7535" s="19">
        <v>-22.138200000000012</v>
      </c>
    </row>
    <row r="7536" spans="1:4" x14ac:dyDescent="0.2">
      <c r="A7536" s="19" t="s">
        <v>152</v>
      </c>
      <c r="B7536" s="19">
        <v>231.92000000000002</v>
      </c>
      <c r="C7536" s="19">
        <v>5</v>
      </c>
      <c r="D7536" s="19">
        <v>5.7980000000000018</v>
      </c>
    </row>
    <row r="7537" spans="1:4" x14ac:dyDescent="0.2">
      <c r="A7537" s="19" t="s">
        <v>150</v>
      </c>
      <c r="B7537" s="19">
        <v>29.700000000000003</v>
      </c>
      <c r="C7537" s="19">
        <v>3</v>
      </c>
      <c r="D7537" s="19">
        <v>8.0190000000000001</v>
      </c>
    </row>
    <row r="7538" spans="1:4" x14ac:dyDescent="0.2">
      <c r="A7538" s="19" t="s">
        <v>154</v>
      </c>
      <c r="B7538" s="19">
        <v>13.591999999999999</v>
      </c>
      <c r="C7538" s="19">
        <v>2</v>
      </c>
      <c r="D7538" s="19">
        <v>-14.271599999999999</v>
      </c>
    </row>
    <row r="7539" spans="1:4" x14ac:dyDescent="0.2">
      <c r="A7539" s="19" t="s">
        <v>150</v>
      </c>
      <c r="B7539" s="19">
        <v>70.88</v>
      </c>
      <c r="C7539" s="19">
        <v>2</v>
      </c>
      <c r="D7539" s="19">
        <v>33.313599999999994</v>
      </c>
    </row>
    <row r="7540" spans="1:4" x14ac:dyDescent="0.2">
      <c r="A7540" s="19" t="s">
        <v>171</v>
      </c>
      <c r="B7540" s="19">
        <v>114.28800000000001</v>
      </c>
      <c r="C7540" s="19">
        <v>1</v>
      </c>
      <c r="D7540" s="19">
        <v>12.857399999999984</v>
      </c>
    </row>
    <row r="7541" spans="1:4" x14ac:dyDescent="0.2">
      <c r="A7541" s="19" t="s">
        <v>171</v>
      </c>
      <c r="B7541" s="19">
        <v>36.624000000000002</v>
      </c>
      <c r="C7541" s="19">
        <v>8</v>
      </c>
      <c r="D7541" s="19">
        <v>-24.41599999999999</v>
      </c>
    </row>
    <row r="7542" spans="1:4" x14ac:dyDescent="0.2">
      <c r="A7542" s="19" t="s">
        <v>171</v>
      </c>
      <c r="B7542" s="19">
        <v>242.35200000000003</v>
      </c>
      <c r="C7542" s="19">
        <v>8</v>
      </c>
      <c r="D7542" s="19">
        <v>-363.52799999999991</v>
      </c>
    </row>
    <row r="7543" spans="1:4" x14ac:dyDescent="0.2">
      <c r="A7543" s="19" t="s">
        <v>171</v>
      </c>
      <c r="B7543" s="19">
        <v>49.616000000000007</v>
      </c>
      <c r="C7543" s="19">
        <v>2</v>
      </c>
      <c r="D7543" s="19">
        <v>4.9615999999999989</v>
      </c>
    </row>
    <row r="7544" spans="1:4" x14ac:dyDescent="0.2">
      <c r="A7544" s="19" t="s">
        <v>171</v>
      </c>
      <c r="B7544" s="19">
        <v>508.70400000000006</v>
      </c>
      <c r="C7544" s="19">
        <v>6</v>
      </c>
      <c r="D7544" s="19">
        <v>0</v>
      </c>
    </row>
    <row r="7545" spans="1:4" x14ac:dyDescent="0.2">
      <c r="A7545" s="19" t="s">
        <v>171</v>
      </c>
      <c r="B7545" s="19">
        <v>57.36</v>
      </c>
      <c r="C7545" s="19">
        <v>6</v>
      </c>
      <c r="D7545" s="19">
        <v>-14.34</v>
      </c>
    </row>
    <row r="7546" spans="1:4" x14ac:dyDescent="0.2">
      <c r="A7546" s="19" t="s">
        <v>171</v>
      </c>
      <c r="B7546" s="19">
        <v>906.68000000000006</v>
      </c>
      <c r="C7546" s="19">
        <v>5</v>
      </c>
      <c r="D7546" s="19">
        <v>68.001000000000033</v>
      </c>
    </row>
    <row r="7547" spans="1:4" x14ac:dyDescent="0.2">
      <c r="A7547" s="19" t="s">
        <v>154</v>
      </c>
      <c r="B7547" s="19">
        <v>719.95200000000011</v>
      </c>
      <c r="C7547" s="19">
        <v>6</v>
      </c>
      <c r="D7547" s="19">
        <v>71.995200000000011</v>
      </c>
    </row>
    <row r="7548" spans="1:4" x14ac:dyDescent="0.2">
      <c r="A7548" s="19" t="s">
        <v>154</v>
      </c>
      <c r="B7548" s="19">
        <v>755.94400000000019</v>
      </c>
      <c r="C7548" s="19">
        <v>7</v>
      </c>
      <c r="D7548" s="19">
        <v>66.145099999999957</v>
      </c>
    </row>
    <row r="7549" spans="1:4" x14ac:dyDescent="0.2">
      <c r="A7549" s="19" t="s">
        <v>154</v>
      </c>
      <c r="B7549" s="19">
        <v>11.979999999999997</v>
      </c>
      <c r="C7549" s="19">
        <v>5</v>
      </c>
      <c r="D7549" s="19">
        <v>-19.16800000000001</v>
      </c>
    </row>
    <row r="7550" spans="1:4" x14ac:dyDescent="0.2">
      <c r="A7550" s="19" t="s">
        <v>154</v>
      </c>
      <c r="B7550" s="19">
        <v>0.8979999999999998</v>
      </c>
      <c r="C7550" s="19">
        <v>1</v>
      </c>
      <c r="D7550" s="19">
        <v>-1.5715000000000008</v>
      </c>
    </row>
    <row r="7551" spans="1:4" x14ac:dyDescent="0.2">
      <c r="A7551" s="19" t="s">
        <v>154</v>
      </c>
      <c r="B7551" s="19">
        <v>21.204000000000004</v>
      </c>
      <c r="C7551" s="19">
        <v>3</v>
      </c>
      <c r="D7551" s="19">
        <v>-11.662199999999999</v>
      </c>
    </row>
    <row r="7552" spans="1:4" x14ac:dyDescent="0.2">
      <c r="A7552" s="19" t="s">
        <v>164</v>
      </c>
      <c r="B7552" s="19">
        <v>34.74</v>
      </c>
      <c r="C7552" s="19">
        <v>3</v>
      </c>
      <c r="D7552" s="19">
        <v>17.37</v>
      </c>
    </row>
    <row r="7553" spans="1:4" x14ac:dyDescent="0.2">
      <c r="A7553" s="19" t="s">
        <v>164</v>
      </c>
      <c r="B7553" s="19">
        <v>833.94</v>
      </c>
      <c r="C7553" s="19">
        <v>6</v>
      </c>
      <c r="D7553" s="19">
        <v>216.8244</v>
      </c>
    </row>
    <row r="7554" spans="1:4" x14ac:dyDescent="0.2">
      <c r="A7554" s="19" t="s">
        <v>164</v>
      </c>
      <c r="B7554" s="19">
        <v>12.96</v>
      </c>
      <c r="C7554" s="19">
        <v>3</v>
      </c>
      <c r="D7554" s="19">
        <v>4.5359999999999996</v>
      </c>
    </row>
    <row r="7555" spans="1:4" x14ac:dyDescent="0.2">
      <c r="A7555" s="19" t="s">
        <v>164</v>
      </c>
      <c r="B7555" s="19">
        <v>25.92</v>
      </c>
      <c r="C7555" s="19">
        <v>4</v>
      </c>
      <c r="D7555" s="19">
        <v>12.441600000000001</v>
      </c>
    </row>
    <row r="7556" spans="1:4" x14ac:dyDescent="0.2">
      <c r="A7556" s="19" t="s">
        <v>158</v>
      </c>
      <c r="B7556" s="19">
        <v>349.96499999999997</v>
      </c>
      <c r="C7556" s="19">
        <v>7</v>
      </c>
      <c r="D7556" s="19">
        <v>-216.97830000000002</v>
      </c>
    </row>
    <row r="7557" spans="1:4" x14ac:dyDescent="0.2">
      <c r="A7557" s="19" t="s">
        <v>158</v>
      </c>
      <c r="B7557" s="19">
        <v>22.32</v>
      </c>
      <c r="C7557" s="19">
        <v>5</v>
      </c>
      <c r="D7557" s="19">
        <v>5.3010000000000002</v>
      </c>
    </row>
    <row r="7558" spans="1:4" x14ac:dyDescent="0.2">
      <c r="A7558" s="19" t="s">
        <v>163</v>
      </c>
      <c r="B7558" s="19">
        <v>158.28</v>
      </c>
      <c r="C7558" s="19">
        <v>6</v>
      </c>
      <c r="D7558" s="19">
        <v>72.808799999999991</v>
      </c>
    </row>
    <row r="7559" spans="1:4" x14ac:dyDescent="0.2">
      <c r="A7559" s="19" t="s">
        <v>163</v>
      </c>
      <c r="B7559" s="19">
        <v>497.93999999999994</v>
      </c>
      <c r="C7559" s="19">
        <v>3</v>
      </c>
      <c r="D7559" s="19">
        <v>224.07299999999998</v>
      </c>
    </row>
    <row r="7560" spans="1:4" x14ac:dyDescent="0.2">
      <c r="A7560" s="19" t="s">
        <v>164</v>
      </c>
      <c r="B7560" s="19">
        <v>533.93999999999994</v>
      </c>
      <c r="C7560" s="19">
        <v>3</v>
      </c>
      <c r="D7560" s="19">
        <v>154.84259999999995</v>
      </c>
    </row>
    <row r="7561" spans="1:4" x14ac:dyDescent="0.2">
      <c r="A7561" s="19" t="s">
        <v>164</v>
      </c>
      <c r="B7561" s="19">
        <v>167.94</v>
      </c>
      <c r="C7561" s="19">
        <v>3</v>
      </c>
      <c r="D7561" s="19">
        <v>82.290599999999998</v>
      </c>
    </row>
    <row r="7562" spans="1:4" x14ac:dyDescent="0.2">
      <c r="A7562" s="19" t="s">
        <v>164</v>
      </c>
      <c r="B7562" s="19">
        <v>31.68</v>
      </c>
      <c r="C7562" s="19">
        <v>6</v>
      </c>
      <c r="D7562" s="19">
        <v>9.8207999999999984</v>
      </c>
    </row>
    <row r="7563" spans="1:4" x14ac:dyDescent="0.2">
      <c r="A7563" s="19" t="s">
        <v>158</v>
      </c>
      <c r="B7563" s="19">
        <v>170.78599999999997</v>
      </c>
      <c r="C7563" s="19">
        <v>1</v>
      </c>
      <c r="D7563" s="19">
        <v>0</v>
      </c>
    </row>
    <row r="7564" spans="1:4" x14ac:dyDescent="0.2">
      <c r="A7564" s="19" t="s">
        <v>159</v>
      </c>
      <c r="B7564" s="19">
        <v>198.744</v>
      </c>
      <c r="C7564" s="19">
        <v>4</v>
      </c>
      <c r="D7564" s="19">
        <v>0</v>
      </c>
    </row>
    <row r="7565" spans="1:4" x14ac:dyDescent="0.2">
      <c r="A7565" s="19" t="s">
        <v>171</v>
      </c>
      <c r="B7565" s="19">
        <v>63.824000000000005</v>
      </c>
      <c r="C7565" s="19">
        <v>2</v>
      </c>
      <c r="D7565" s="19">
        <v>13.562599999999998</v>
      </c>
    </row>
    <row r="7566" spans="1:4" x14ac:dyDescent="0.2">
      <c r="A7566" s="19" t="s">
        <v>153</v>
      </c>
      <c r="B7566" s="19">
        <v>435.16800000000006</v>
      </c>
      <c r="C7566" s="19">
        <v>4</v>
      </c>
      <c r="D7566" s="19">
        <v>-59.835600000000042</v>
      </c>
    </row>
    <row r="7567" spans="1:4" x14ac:dyDescent="0.2">
      <c r="A7567" s="19" t="s">
        <v>153</v>
      </c>
      <c r="B7567" s="19">
        <v>48.58</v>
      </c>
      <c r="C7567" s="19">
        <v>1</v>
      </c>
      <c r="D7567" s="19">
        <v>7.7728000000000037</v>
      </c>
    </row>
    <row r="7568" spans="1:4" x14ac:dyDescent="0.2">
      <c r="A7568" s="19" t="s">
        <v>154</v>
      </c>
      <c r="B7568" s="19">
        <v>47.975999999999999</v>
      </c>
      <c r="C7568" s="19">
        <v>3</v>
      </c>
      <c r="D7568" s="19">
        <v>8.3957999999999942</v>
      </c>
    </row>
    <row r="7569" spans="1:4" x14ac:dyDescent="0.2">
      <c r="A7569" s="19" t="s">
        <v>154</v>
      </c>
      <c r="B7569" s="19">
        <v>20.736000000000004</v>
      </c>
      <c r="C7569" s="19">
        <v>4</v>
      </c>
      <c r="D7569" s="19">
        <v>7.2576000000000001</v>
      </c>
    </row>
    <row r="7570" spans="1:4" x14ac:dyDescent="0.2">
      <c r="A7570" s="19" t="s">
        <v>150</v>
      </c>
      <c r="B7570" s="19">
        <v>26.46</v>
      </c>
      <c r="C7570" s="19">
        <v>9</v>
      </c>
      <c r="D7570" s="19">
        <v>11.907</v>
      </c>
    </row>
    <row r="7571" spans="1:4" x14ac:dyDescent="0.2">
      <c r="A7571" s="19" t="s">
        <v>150</v>
      </c>
      <c r="B7571" s="19">
        <v>49.12</v>
      </c>
      <c r="C7571" s="19">
        <v>4</v>
      </c>
      <c r="D7571" s="19">
        <v>23.086399999999998</v>
      </c>
    </row>
    <row r="7572" spans="1:4" x14ac:dyDescent="0.2">
      <c r="A7572" s="19" t="s">
        <v>150</v>
      </c>
      <c r="B7572" s="19">
        <v>15</v>
      </c>
      <c r="C7572" s="19">
        <v>3</v>
      </c>
      <c r="D7572" s="19">
        <v>7.1999999999999993</v>
      </c>
    </row>
    <row r="7573" spans="1:4" x14ac:dyDescent="0.2">
      <c r="A7573" s="19" t="s">
        <v>166</v>
      </c>
      <c r="B7573" s="19">
        <v>194.7</v>
      </c>
      <c r="C7573" s="19">
        <v>5</v>
      </c>
      <c r="D7573" s="19">
        <v>9.7349999999999781</v>
      </c>
    </row>
    <row r="7574" spans="1:4" x14ac:dyDescent="0.2">
      <c r="A7574" s="19" t="s">
        <v>166</v>
      </c>
      <c r="B7574" s="19">
        <v>591.32000000000005</v>
      </c>
      <c r="C7574" s="19">
        <v>4</v>
      </c>
      <c r="D7574" s="19">
        <v>112.35079999999999</v>
      </c>
    </row>
    <row r="7575" spans="1:4" x14ac:dyDescent="0.2">
      <c r="A7575" s="19" t="s">
        <v>166</v>
      </c>
      <c r="B7575" s="19">
        <v>2.84</v>
      </c>
      <c r="C7575" s="19">
        <v>1</v>
      </c>
      <c r="D7575" s="19">
        <v>0.88039999999999985</v>
      </c>
    </row>
    <row r="7576" spans="1:4" x14ac:dyDescent="0.2">
      <c r="A7576" s="19" t="s">
        <v>150</v>
      </c>
      <c r="B7576" s="19">
        <v>221.96</v>
      </c>
      <c r="C7576" s="19">
        <v>2</v>
      </c>
      <c r="D7576" s="19">
        <v>4.4391999999999996</v>
      </c>
    </row>
    <row r="7577" spans="1:4" x14ac:dyDescent="0.2">
      <c r="A7577" s="19" t="s">
        <v>150</v>
      </c>
      <c r="B7577" s="19">
        <v>236</v>
      </c>
      <c r="C7577" s="19">
        <v>4</v>
      </c>
      <c r="D7577" s="19">
        <v>40.119999999999976</v>
      </c>
    </row>
    <row r="7578" spans="1:4" x14ac:dyDescent="0.2">
      <c r="A7578" s="19" t="s">
        <v>153</v>
      </c>
      <c r="B7578" s="19">
        <v>41.94</v>
      </c>
      <c r="C7578" s="19">
        <v>2</v>
      </c>
      <c r="D7578" s="19">
        <v>15.098399999999998</v>
      </c>
    </row>
    <row r="7579" spans="1:4" x14ac:dyDescent="0.2">
      <c r="A7579" s="19" t="s">
        <v>153</v>
      </c>
      <c r="B7579" s="19">
        <v>52.792000000000002</v>
      </c>
      <c r="C7579" s="19">
        <v>1</v>
      </c>
      <c r="D7579" s="19">
        <v>4.6193000000000026</v>
      </c>
    </row>
    <row r="7580" spans="1:4" x14ac:dyDescent="0.2">
      <c r="A7580" s="19" t="s">
        <v>157</v>
      </c>
      <c r="B7580" s="19">
        <v>563.93999999999994</v>
      </c>
      <c r="C7580" s="19">
        <v>3</v>
      </c>
      <c r="D7580" s="19">
        <v>112.78800000000001</v>
      </c>
    </row>
    <row r="7581" spans="1:4" x14ac:dyDescent="0.2">
      <c r="A7581" s="19" t="s">
        <v>179</v>
      </c>
      <c r="B7581" s="19">
        <v>2625.12</v>
      </c>
      <c r="C7581" s="19">
        <v>8</v>
      </c>
      <c r="D7581" s="19">
        <v>735.03359999999998</v>
      </c>
    </row>
    <row r="7582" spans="1:4" x14ac:dyDescent="0.2">
      <c r="A7582" s="19" t="s">
        <v>179</v>
      </c>
      <c r="B7582" s="19">
        <v>17.940000000000001</v>
      </c>
      <c r="C7582" s="19">
        <v>3</v>
      </c>
      <c r="D7582" s="19">
        <v>4.4850000000000003</v>
      </c>
    </row>
    <row r="7583" spans="1:4" x14ac:dyDescent="0.2">
      <c r="A7583" s="19" t="s">
        <v>158</v>
      </c>
      <c r="B7583" s="19">
        <v>422.85599999999999</v>
      </c>
      <c r="C7583" s="19">
        <v>3</v>
      </c>
      <c r="D7583" s="19">
        <v>15.857099999999974</v>
      </c>
    </row>
    <row r="7584" spans="1:4" x14ac:dyDescent="0.2">
      <c r="A7584" s="19" t="s">
        <v>164</v>
      </c>
      <c r="B7584" s="19">
        <v>127.76400000000001</v>
      </c>
      <c r="C7584" s="19">
        <v>2</v>
      </c>
      <c r="D7584" s="19">
        <v>2.8392000000000017</v>
      </c>
    </row>
    <row r="7585" spans="1:4" x14ac:dyDescent="0.2">
      <c r="A7585" s="19" t="s">
        <v>166</v>
      </c>
      <c r="B7585" s="19">
        <v>3499.9300000000003</v>
      </c>
      <c r="C7585" s="19">
        <v>7</v>
      </c>
      <c r="D7585" s="19">
        <v>909.98180000000025</v>
      </c>
    </row>
    <row r="7586" spans="1:4" x14ac:dyDescent="0.2">
      <c r="A7586" s="19" t="s">
        <v>166</v>
      </c>
      <c r="B7586" s="19">
        <v>14.399999999999999</v>
      </c>
      <c r="C7586" s="19">
        <v>5</v>
      </c>
      <c r="D7586" s="19">
        <v>6.6239999999999988</v>
      </c>
    </row>
    <row r="7587" spans="1:4" x14ac:dyDescent="0.2">
      <c r="A7587" s="19" t="s">
        <v>166</v>
      </c>
      <c r="B7587" s="19">
        <v>122.97</v>
      </c>
      <c r="C7587" s="19">
        <v>3</v>
      </c>
      <c r="D7587" s="19">
        <v>60.255300000000005</v>
      </c>
    </row>
    <row r="7588" spans="1:4" x14ac:dyDescent="0.2">
      <c r="A7588" s="19" t="s">
        <v>166</v>
      </c>
      <c r="B7588" s="19">
        <v>9.32</v>
      </c>
      <c r="C7588" s="19">
        <v>4</v>
      </c>
      <c r="D7588" s="19">
        <v>2.702799999999999</v>
      </c>
    </row>
    <row r="7589" spans="1:4" x14ac:dyDescent="0.2">
      <c r="A7589" s="19" t="s">
        <v>166</v>
      </c>
      <c r="B7589" s="19">
        <v>122.94</v>
      </c>
      <c r="C7589" s="19">
        <v>3</v>
      </c>
      <c r="D7589" s="19">
        <v>59.011199999999988</v>
      </c>
    </row>
    <row r="7590" spans="1:4" x14ac:dyDescent="0.2">
      <c r="A7590" s="19" t="s">
        <v>150</v>
      </c>
      <c r="B7590" s="19">
        <v>17.309999999999999</v>
      </c>
      <c r="C7590" s="19">
        <v>3</v>
      </c>
      <c r="D7590" s="19">
        <v>5.1929999999999996</v>
      </c>
    </row>
    <row r="7591" spans="1:4" x14ac:dyDescent="0.2">
      <c r="A7591" s="19" t="s">
        <v>159</v>
      </c>
      <c r="B7591" s="19">
        <v>128.744</v>
      </c>
      <c r="C7591" s="19">
        <v>7</v>
      </c>
      <c r="D7591" s="19">
        <v>12.874400000000001</v>
      </c>
    </row>
    <row r="7592" spans="1:4" x14ac:dyDescent="0.2">
      <c r="A7592" s="19" t="s">
        <v>158</v>
      </c>
      <c r="B7592" s="19">
        <v>58.248000000000005</v>
      </c>
      <c r="C7592" s="19">
        <v>9</v>
      </c>
      <c r="D7592" s="19">
        <v>11.649599999999996</v>
      </c>
    </row>
    <row r="7593" spans="1:4" x14ac:dyDescent="0.2">
      <c r="A7593" s="19" t="s">
        <v>158</v>
      </c>
      <c r="B7593" s="19">
        <v>71.245999999999995</v>
      </c>
      <c r="C7593" s="19">
        <v>2</v>
      </c>
      <c r="D7593" s="19">
        <v>-19.338199999999993</v>
      </c>
    </row>
    <row r="7594" spans="1:4" x14ac:dyDescent="0.2">
      <c r="A7594" s="19" t="s">
        <v>158</v>
      </c>
      <c r="B7594" s="19">
        <v>7.8719999999999999</v>
      </c>
      <c r="C7594" s="19">
        <v>3</v>
      </c>
      <c r="D7594" s="19">
        <v>0.59039999999999937</v>
      </c>
    </row>
    <row r="7595" spans="1:4" x14ac:dyDescent="0.2">
      <c r="A7595" s="19" t="s">
        <v>158</v>
      </c>
      <c r="B7595" s="19">
        <v>887.27099999999984</v>
      </c>
      <c r="C7595" s="19">
        <v>3</v>
      </c>
      <c r="D7595" s="19">
        <v>-63.376499999999965</v>
      </c>
    </row>
    <row r="7596" spans="1:4" x14ac:dyDescent="0.2">
      <c r="A7596" s="19" t="s">
        <v>161</v>
      </c>
      <c r="B7596" s="19">
        <v>146.86000000000001</v>
      </c>
      <c r="C7596" s="19">
        <v>7</v>
      </c>
      <c r="D7596" s="19">
        <v>70.492799999999988</v>
      </c>
    </row>
    <row r="7597" spans="1:4" x14ac:dyDescent="0.2">
      <c r="A7597" s="19" t="s">
        <v>161</v>
      </c>
      <c r="B7597" s="19">
        <v>36.56</v>
      </c>
      <c r="C7597" s="19">
        <v>4</v>
      </c>
      <c r="D7597" s="19">
        <v>18.28</v>
      </c>
    </row>
    <row r="7598" spans="1:4" x14ac:dyDescent="0.2">
      <c r="A7598" s="19" t="s">
        <v>150</v>
      </c>
      <c r="B7598" s="19">
        <v>225.57599999999996</v>
      </c>
      <c r="C7598" s="19">
        <v>3</v>
      </c>
      <c r="D7598" s="19">
        <v>22.557600000000008</v>
      </c>
    </row>
    <row r="7599" spans="1:4" x14ac:dyDescent="0.2">
      <c r="A7599" s="19" t="s">
        <v>170</v>
      </c>
      <c r="B7599" s="19">
        <v>5.2480000000000002</v>
      </c>
      <c r="C7599" s="19">
        <v>2</v>
      </c>
      <c r="D7599" s="19">
        <v>0.45920000000000027</v>
      </c>
    </row>
    <row r="7600" spans="1:4" x14ac:dyDescent="0.2">
      <c r="A7600" s="19" t="s">
        <v>170</v>
      </c>
      <c r="B7600" s="19">
        <v>38.256</v>
      </c>
      <c r="C7600" s="19">
        <v>3</v>
      </c>
      <c r="D7600" s="19">
        <v>4.7819999999999947</v>
      </c>
    </row>
    <row r="7601" spans="1:4" x14ac:dyDescent="0.2">
      <c r="A7601" s="19" t="s">
        <v>170</v>
      </c>
      <c r="B7601" s="19">
        <v>40.24</v>
      </c>
      <c r="C7601" s="19">
        <v>5</v>
      </c>
      <c r="D7601" s="19">
        <v>13.078000000000001</v>
      </c>
    </row>
    <row r="7602" spans="1:4" x14ac:dyDescent="0.2">
      <c r="A7602" s="19" t="s">
        <v>170</v>
      </c>
      <c r="B7602" s="19">
        <v>29.925000000000001</v>
      </c>
      <c r="C7602" s="19">
        <v>5</v>
      </c>
      <c r="D7602" s="19">
        <v>-21.944999999999993</v>
      </c>
    </row>
    <row r="7603" spans="1:4" x14ac:dyDescent="0.2">
      <c r="A7603" s="19" t="s">
        <v>170</v>
      </c>
      <c r="B7603" s="19">
        <v>148.70400000000001</v>
      </c>
      <c r="C7603" s="19">
        <v>6</v>
      </c>
      <c r="D7603" s="19">
        <v>46.469999999999985</v>
      </c>
    </row>
    <row r="7604" spans="1:4" x14ac:dyDescent="0.2">
      <c r="A7604" s="19" t="s">
        <v>170</v>
      </c>
      <c r="B7604" s="19">
        <v>55.92</v>
      </c>
      <c r="C7604" s="19">
        <v>10</v>
      </c>
      <c r="D7604" s="19">
        <v>16.776000000000007</v>
      </c>
    </row>
    <row r="7605" spans="1:4" x14ac:dyDescent="0.2">
      <c r="A7605" s="19" t="s">
        <v>182</v>
      </c>
      <c r="B7605" s="19">
        <v>12.96</v>
      </c>
      <c r="C7605" s="19">
        <v>2</v>
      </c>
      <c r="D7605" s="19">
        <v>6.2208000000000006</v>
      </c>
    </row>
    <row r="7606" spans="1:4" x14ac:dyDescent="0.2">
      <c r="A7606" s="19" t="s">
        <v>159</v>
      </c>
      <c r="B7606" s="19">
        <v>25.176000000000002</v>
      </c>
      <c r="C7606" s="19">
        <v>3</v>
      </c>
      <c r="D7606" s="19">
        <v>-33.358199999999997</v>
      </c>
    </row>
    <row r="7607" spans="1:4" x14ac:dyDescent="0.2">
      <c r="A7607" s="19" t="s">
        <v>159</v>
      </c>
      <c r="B7607" s="19">
        <v>5.5840000000000005</v>
      </c>
      <c r="C7607" s="19">
        <v>2</v>
      </c>
      <c r="D7607" s="19">
        <v>-1.6751999999999994</v>
      </c>
    </row>
    <row r="7608" spans="1:4" x14ac:dyDescent="0.2">
      <c r="A7608" s="19" t="s">
        <v>159</v>
      </c>
      <c r="B7608" s="19">
        <v>1297.3680000000002</v>
      </c>
      <c r="C7608" s="19">
        <v>9</v>
      </c>
      <c r="D7608" s="19">
        <v>97.302599999999984</v>
      </c>
    </row>
    <row r="7609" spans="1:4" x14ac:dyDescent="0.2">
      <c r="A7609" s="19" t="s">
        <v>154</v>
      </c>
      <c r="B7609" s="19">
        <v>264.32</v>
      </c>
      <c r="C7609" s="19">
        <v>2</v>
      </c>
      <c r="D7609" s="19">
        <v>19.823999999999998</v>
      </c>
    </row>
    <row r="7610" spans="1:4" x14ac:dyDescent="0.2">
      <c r="A7610" s="19" t="s">
        <v>150</v>
      </c>
      <c r="B7610" s="19">
        <v>25.92</v>
      </c>
      <c r="C7610" s="19">
        <v>4</v>
      </c>
      <c r="D7610" s="19">
        <v>12.441600000000001</v>
      </c>
    </row>
    <row r="7611" spans="1:4" x14ac:dyDescent="0.2">
      <c r="A7611" s="19" t="s">
        <v>150</v>
      </c>
      <c r="B7611" s="19">
        <v>22.959999999999997</v>
      </c>
      <c r="C7611" s="19">
        <v>7</v>
      </c>
      <c r="D7611" s="19">
        <v>6.6583999999999968</v>
      </c>
    </row>
    <row r="7612" spans="1:4" x14ac:dyDescent="0.2">
      <c r="A7612" s="19" t="s">
        <v>150</v>
      </c>
      <c r="B7612" s="19">
        <v>19.440000000000001</v>
      </c>
      <c r="C7612" s="19">
        <v>3</v>
      </c>
      <c r="D7612" s="19">
        <v>9.3312000000000008</v>
      </c>
    </row>
    <row r="7613" spans="1:4" x14ac:dyDescent="0.2">
      <c r="A7613" s="19" t="s">
        <v>189</v>
      </c>
      <c r="B7613" s="19">
        <v>9.5399999999999991</v>
      </c>
      <c r="C7613" s="19">
        <v>2</v>
      </c>
      <c r="D7613" s="19">
        <v>4.2929999999999993</v>
      </c>
    </row>
    <row r="7614" spans="1:4" x14ac:dyDescent="0.2">
      <c r="A7614" s="19" t="s">
        <v>189</v>
      </c>
      <c r="B7614" s="19">
        <v>5.81</v>
      </c>
      <c r="C7614" s="19">
        <v>1</v>
      </c>
      <c r="D7614" s="19">
        <v>1.8010999999999999</v>
      </c>
    </row>
    <row r="7615" spans="1:4" x14ac:dyDescent="0.2">
      <c r="A7615" s="19" t="s">
        <v>189</v>
      </c>
      <c r="B7615" s="19">
        <v>5.76</v>
      </c>
      <c r="C7615" s="19">
        <v>2</v>
      </c>
      <c r="D7615" s="19">
        <v>1.7279999999999998</v>
      </c>
    </row>
    <row r="7616" spans="1:4" x14ac:dyDescent="0.2">
      <c r="A7616" s="19" t="s">
        <v>164</v>
      </c>
      <c r="B7616" s="19">
        <v>14.91</v>
      </c>
      <c r="C7616" s="19">
        <v>3</v>
      </c>
      <c r="D7616" s="19">
        <v>4.6220999999999997</v>
      </c>
    </row>
    <row r="7617" spans="1:4" x14ac:dyDescent="0.2">
      <c r="A7617" s="19" t="s">
        <v>151</v>
      </c>
      <c r="B7617" s="19">
        <v>6.6420000000000012</v>
      </c>
      <c r="C7617" s="19">
        <v>9</v>
      </c>
      <c r="D7617" s="19">
        <v>-4.427999999999999</v>
      </c>
    </row>
    <row r="7618" spans="1:4" x14ac:dyDescent="0.2">
      <c r="A7618" s="19" t="s">
        <v>164</v>
      </c>
      <c r="B7618" s="19">
        <v>18.54</v>
      </c>
      <c r="C7618" s="19">
        <v>2</v>
      </c>
      <c r="D7618" s="19">
        <v>8.7137999999999991</v>
      </c>
    </row>
    <row r="7619" spans="1:4" x14ac:dyDescent="0.2">
      <c r="A7619" s="19" t="s">
        <v>164</v>
      </c>
      <c r="B7619" s="19">
        <v>679.96</v>
      </c>
      <c r="C7619" s="19">
        <v>5</v>
      </c>
      <c r="D7619" s="19">
        <v>220.98699999999997</v>
      </c>
    </row>
    <row r="7620" spans="1:4" x14ac:dyDescent="0.2">
      <c r="A7620" s="19" t="s">
        <v>150</v>
      </c>
      <c r="B7620" s="19">
        <v>189.57600000000002</v>
      </c>
      <c r="C7620" s="19">
        <v>1</v>
      </c>
      <c r="D7620" s="19">
        <v>9.4787999999999784</v>
      </c>
    </row>
    <row r="7621" spans="1:4" x14ac:dyDescent="0.2">
      <c r="A7621" s="19" t="s">
        <v>150</v>
      </c>
      <c r="B7621" s="19">
        <v>71.959999999999994</v>
      </c>
      <c r="C7621" s="19">
        <v>5</v>
      </c>
      <c r="D7621" s="19">
        <v>7.1960000000000015</v>
      </c>
    </row>
    <row r="7622" spans="1:4" x14ac:dyDescent="0.2">
      <c r="A7622" s="19" t="s">
        <v>150</v>
      </c>
      <c r="B7622" s="19">
        <v>539.91999999999996</v>
      </c>
      <c r="C7622" s="19">
        <v>5</v>
      </c>
      <c r="D7622" s="19">
        <v>47.242999999999967</v>
      </c>
    </row>
    <row r="7623" spans="1:4" x14ac:dyDescent="0.2">
      <c r="A7623" s="19" t="s">
        <v>150</v>
      </c>
      <c r="B7623" s="19">
        <v>725.34400000000005</v>
      </c>
      <c r="C7623" s="19">
        <v>4</v>
      </c>
      <c r="D7623" s="19">
        <v>54.400800000000004</v>
      </c>
    </row>
    <row r="7624" spans="1:4" x14ac:dyDescent="0.2">
      <c r="A7624" s="19" t="s">
        <v>150</v>
      </c>
      <c r="B7624" s="19">
        <v>7.4399999999999995</v>
      </c>
      <c r="C7624" s="19">
        <v>3</v>
      </c>
      <c r="D7624" s="19">
        <v>2.6039999999999996</v>
      </c>
    </row>
    <row r="7625" spans="1:4" x14ac:dyDescent="0.2">
      <c r="A7625" s="19" t="s">
        <v>162</v>
      </c>
      <c r="B7625" s="19">
        <v>39.479999999999997</v>
      </c>
      <c r="C7625" s="19">
        <v>1</v>
      </c>
      <c r="D7625" s="19">
        <v>11.054400000000001</v>
      </c>
    </row>
    <row r="7626" spans="1:4" x14ac:dyDescent="0.2">
      <c r="A7626" s="19" t="s">
        <v>161</v>
      </c>
      <c r="B7626" s="19">
        <v>850.5</v>
      </c>
      <c r="C7626" s="19">
        <v>5</v>
      </c>
      <c r="D7626" s="19">
        <v>245.69999999999993</v>
      </c>
    </row>
    <row r="7627" spans="1:4" x14ac:dyDescent="0.2">
      <c r="A7627" s="19" t="s">
        <v>161</v>
      </c>
      <c r="B7627" s="19">
        <v>75.33</v>
      </c>
      <c r="C7627" s="19">
        <v>9</v>
      </c>
      <c r="D7627" s="19">
        <v>19.585799999999999</v>
      </c>
    </row>
    <row r="7628" spans="1:4" x14ac:dyDescent="0.2">
      <c r="A7628" s="19" t="s">
        <v>165</v>
      </c>
      <c r="B7628" s="19">
        <v>325.63200000000006</v>
      </c>
      <c r="C7628" s="19">
        <v>6</v>
      </c>
      <c r="D7628" s="19">
        <v>28.492799999999988</v>
      </c>
    </row>
    <row r="7629" spans="1:4" x14ac:dyDescent="0.2">
      <c r="A7629" s="19" t="s">
        <v>165</v>
      </c>
      <c r="B7629" s="19">
        <v>23.344000000000001</v>
      </c>
      <c r="C7629" s="19">
        <v>2</v>
      </c>
      <c r="D7629" s="19">
        <v>-1.4590000000000014</v>
      </c>
    </row>
    <row r="7630" spans="1:4" x14ac:dyDescent="0.2">
      <c r="A7630" s="19" t="s">
        <v>165</v>
      </c>
      <c r="B7630" s="19">
        <v>16.520000000000003</v>
      </c>
      <c r="C7630" s="19">
        <v>5</v>
      </c>
      <c r="D7630" s="19">
        <v>5.368999999999998</v>
      </c>
    </row>
    <row r="7631" spans="1:4" x14ac:dyDescent="0.2">
      <c r="A7631" s="19" t="s">
        <v>154</v>
      </c>
      <c r="B7631" s="19">
        <v>335.72</v>
      </c>
      <c r="C7631" s="19">
        <v>5</v>
      </c>
      <c r="D7631" s="19">
        <v>113.30549999999999</v>
      </c>
    </row>
    <row r="7632" spans="1:4" x14ac:dyDescent="0.2">
      <c r="A7632" s="19" t="s">
        <v>154</v>
      </c>
      <c r="B7632" s="19">
        <v>251.94400000000002</v>
      </c>
      <c r="C7632" s="19">
        <v>7</v>
      </c>
      <c r="D7632" s="19">
        <v>88.180399999999977</v>
      </c>
    </row>
    <row r="7633" spans="1:4" x14ac:dyDescent="0.2">
      <c r="A7633" s="19" t="s">
        <v>154</v>
      </c>
      <c r="B7633" s="19">
        <v>127.30199999999999</v>
      </c>
      <c r="C7633" s="19">
        <v>7</v>
      </c>
      <c r="D7633" s="19">
        <v>-9.0929999999999964</v>
      </c>
    </row>
    <row r="7634" spans="1:4" x14ac:dyDescent="0.2">
      <c r="A7634" s="19" t="s">
        <v>149</v>
      </c>
      <c r="B7634" s="19">
        <v>1207.8399999999999</v>
      </c>
      <c r="C7634" s="19">
        <v>8</v>
      </c>
      <c r="D7634" s="19">
        <v>314.03840000000002</v>
      </c>
    </row>
    <row r="7635" spans="1:4" x14ac:dyDescent="0.2">
      <c r="A7635" s="19" t="s">
        <v>149</v>
      </c>
      <c r="B7635" s="19">
        <v>12.53</v>
      </c>
      <c r="C7635" s="19">
        <v>1</v>
      </c>
      <c r="D7635" s="19">
        <v>5.8890999999999991</v>
      </c>
    </row>
    <row r="7636" spans="1:4" x14ac:dyDescent="0.2">
      <c r="A7636" s="19" t="s">
        <v>149</v>
      </c>
      <c r="B7636" s="19">
        <v>34.58</v>
      </c>
      <c r="C7636" s="19">
        <v>1</v>
      </c>
      <c r="D7636" s="19">
        <v>10.028199999999998</v>
      </c>
    </row>
    <row r="7637" spans="1:4" x14ac:dyDescent="0.2">
      <c r="A7637" s="19" t="s">
        <v>149</v>
      </c>
      <c r="B7637" s="19">
        <v>300.98</v>
      </c>
      <c r="C7637" s="19">
        <v>1</v>
      </c>
      <c r="D7637" s="19">
        <v>87.28419999999997</v>
      </c>
    </row>
    <row r="7638" spans="1:4" x14ac:dyDescent="0.2">
      <c r="A7638" s="19" t="s">
        <v>149</v>
      </c>
      <c r="B7638" s="19">
        <v>258.75</v>
      </c>
      <c r="C7638" s="19">
        <v>3</v>
      </c>
      <c r="D7638" s="19">
        <v>77.624999999999972</v>
      </c>
    </row>
    <row r="7639" spans="1:4" x14ac:dyDescent="0.2">
      <c r="A7639" s="19" t="s">
        <v>162</v>
      </c>
      <c r="B7639" s="19">
        <v>59.519999999999996</v>
      </c>
      <c r="C7639" s="19">
        <v>3</v>
      </c>
      <c r="D7639" s="19">
        <v>15.475200000000001</v>
      </c>
    </row>
    <row r="7640" spans="1:4" x14ac:dyDescent="0.2">
      <c r="A7640" s="19" t="s">
        <v>162</v>
      </c>
      <c r="B7640" s="19">
        <v>57.959999999999994</v>
      </c>
      <c r="C7640" s="19">
        <v>7</v>
      </c>
      <c r="D7640" s="19">
        <v>27.241199999999996</v>
      </c>
    </row>
    <row r="7641" spans="1:4" x14ac:dyDescent="0.2">
      <c r="A7641" s="19" t="s">
        <v>162</v>
      </c>
      <c r="B7641" s="19">
        <v>441.96</v>
      </c>
      <c r="C7641" s="19">
        <v>2</v>
      </c>
      <c r="D7641" s="19">
        <v>101.6508</v>
      </c>
    </row>
    <row r="7642" spans="1:4" x14ac:dyDescent="0.2">
      <c r="A7642" s="19" t="s">
        <v>162</v>
      </c>
      <c r="B7642" s="19">
        <v>68.039999999999992</v>
      </c>
      <c r="C7642" s="19">
        <v>6</v>
      </c>
      <c r="D7642" s="19">
        <v>33.339599999999997</v>
      </c>
    </row>
    <row r="7643" spans="1:4" x14ac:dyDescent="0.2">
      <c r="A7643" s="19" t="s">
        <v>171</v>
      </c>
      <c r="B7643" s="19">
        <v>703.71</v>
      </c>
      <c r="C7643" s="19">
        <v>6</v>
      </c>
      <c r="D7643" s="19">
        <v>-938.28</v>
      </c>
    </row>
    <row r="7644" spans="1:4" x14ac:dyDescent="0.2">
      <c r="A7644" s="19" t="s">
        <v>171</v>
      </c>
      <c r="B7644" s="19">
        <v>17.904000000000003</v>
      </c>
      <c r="C7644" s="19">
        <v>4</v>
      </c>
      <c r="D7644" s="19">
        <v>-14.920000000000002</v>
      </c>
    </row>
    <row r="7645" spans="1:4" x14ac:dyDescent="0.2">
      <c r="A7645" s="19" t="s">
        <v>171</v>
      </c>
      <c r="B7645" s="19">
        <v>11.976000000000003</v>
      </c>
      <c r="C7645" s="19">
        <v>4</v>
      </c>
      <c r="D7645" s="19">
        <v>-9.1815999999999995</v>
      </c>
    </row>
    <row r="7646" spans="1:4" x14ac:dyDescent="0.2">
      <c r="A7646" s="19" t="s">
        <v>171</v>
      </c>
      <c r="B7646" s="19">
        <v>67.959999999999994</v>
      </c>
      <c r="C7646" s="19">
        <v>5</v>
      </c>
      <c r="D7646" s="19">
        <v>0.84950000000000259</v>
      </c>
    </row>
    <row r="7647" spans="1:4" x14ac:dyDescent="0.2">
      <c r="A7647" s="19" t="s">
        <v>150</v>
      </c>
      <c r="B7647" s="19">
        <v>892.22400000000005</v>
      </c>
      <c r="C7647" s="19">
        <v>3</v>
      </c>
      <c r="D7647" s="19">
        <v>89.222400000000022</v>
      </c>
    </row>
    <row r="7648" spans="1:4" x14ac:dyDescent="0.2">
      <c r="A7648" s="19" t="s">
        <v>152</v>
      </c>
      <c r="B7648" s="19">
        <v>1299.99</v>
      </c>
      <c r="C7648" s="19">
        <v>2</v>
      </c>
      <c r="D7648" s="19">
        <v>-571.99559999999997</v>
      </c>
    </row>
    <row r="7649" spans="1:4" x14ac:dyDescent="0.2">
      <c r="A7649" s="19" t="s">
        <v>150</v>
      </c>
      <c r="B7649" s="19">
        <v>4.5439999999999996</v>
      </c>
      <c r="C7649" s="19">
        <v>2</v>
      </c>
      <c r="D7649" s="19">
        <v>1.6472</v>
      </c>
    </row>
    <row r="7650" spans="1:4" x14ac:dyDescent="0.2">
      <c r="A7650" s="19" t="s">
        <v>150</v>
      </c>
      <c r="B7650" s="19">
        <v>1352.0320000000002</v>
      </c>
      <c r="C7650" s="19">
        <v>4</v>
      </c>
      <c r="D7650" s="19">
        <v>84.501999999999953</v>
      </c>
    </row>
    <row r="7651" spans="1:4" x14ac:dyDescent="0.2">
      <c r="A7651" s="19" t="s">
        <v>173</v>
      </c>
      <c r="B7651" s="19">
        <v>1548.9900000000002</v>
      </c>
      <c r="C7651" s="19">
        <v>9</v>
      </c>
      <c r="D7651" s="19">
        <v>-464.69700000000012</v>
      </c>
    </row>
    <row r="7652" spans="1:4" x14ac:dyDescent="0.2">
      <c r="A7652" s="19" t="s">
        <v>173</v>
      </c>
      <c r="B7652" s="19">
        <v>19.872</v>
      </c>
      <c r="C7652" s="19">
        <v>3</v>
      </c>
      <c r="D7652" s="19">
        <v>6.7067999999999977</v>
      </c>
    </row>
    <row r="7653" spans="1:4" x14ac:dyDescent="0.2">
      <c r="A7653" s="19" t="s">
        <v>154</v>
      </c>
      <c r="B7653" s="19">
        <v>119.44800000000001</v>
      </c>
      <c r="C7653" s="19">
        <v>3</v>
      </c>
      <c r="D7653" s="19">
        <v>-13.437900000000006</v>
      </c>
    </row>
    <row r="7654" spans="1:4" x14ac:dyDescent="0.2">
      <c r="A7654" s="19" t="s">
        <v>154</v>
      </c>
      <c r="B7654" s="19">
        <v>118.16</v>
      </c>
      <c r="C7654" s="19">
        <v>2</v>
      </c>
      <c r="D7654" s="19">
        <v>-25.108999999999988</v>
      </c>
    </row>
    <row r="7655" spans="1:4" x14ac:dyDescent="0.2">
      <c r="A7655" s="19" t="s">
        <v>168</v>
      </c>
      <c r="B7655" s="19">
        <v>19.559999999999999</v>
      </c>
      <c r="C7655" s="19">
        <v>4</v>
      </c>
      <c r="D7655" s="19">
        <v>5.4768000000000008</v>
      </c>
    </row>
    <row r="7656" spans="1:4" x14ac:dyDescent="0.2">
      <c r="A7656" s="19" t="s">
        <v>181</v>
      </c>
      <c r="B7656" s="19">
        <v>80.959999999999994</v>
      </c>
      <c r="C7656" s="19">
        <v>4</v>
      </c>
      <c r="D7656" s="19">
        <v>29.145599999999995</v>
      </c>
    </row>
    <row r="7657" spans="1:4" x14ac:dyDescent="0.2">
      <c r="A7657" s="19" t="s">
        <v>181</v>
      </c>
      <c r="B7657" s="19">
        <v>25.92</v>
      </c>
      <c r="C7657" s="19">
        <v>4</v>
      </c>
      <c r="D7657" s="19">
        <v>12.441600000000001</v>
      </c>
    </row>
    <row r="7658" spans="1:4" x14ac:dyDescent="0.2">
      <c r="A7658" s="19" t="s">
        <v>150</v>
      </c>
      <c r="B7658" s="19">
        <v>106.96</v>
      </c>
      <c r="C7658" s="19">
        <v>2</v>
      </c>
      <c r="D7658" s="19">
        <v>31.018399999999986</v>
      </c>
    </row>
    <row r="7659" spans="1:4" x14ac:dyDescent="0.2">
      <c r="A7659" s="19" t="s">
        <v>150</v>
      </c>
      <c r="B7659" s="19">
        <v>187.76</v>
      </c>
      <c r="C7659" s="19">
        <v>4</v>
      </c>
      <c r="D7659" s="19">
        <v>76.9816</v>
      </c>
    </row>
    <row r="7660" spans="1:4" x14ac:dyDescent="0.2">
      <c r="A7660" s="19" t="s">
        <v>173</v>
      </c>
      <c r="B7660" s="19">
        <v>76.77600000000001</v>
      </c>
      <c r="C7660" s="19">
        <v>4</v>
      </c>
      <c r="D7660" s="19">
        <v>-53.743199999999973</v>
      </c>
    </row>
    <row r="7661" spans="1:4" x14ac:dyDescent="0.2">
      <c r="A7661" s="19" t="s">
        <v>157</v>
      </c>
      <c r="B7661" s="19">
        <v>53.9</v>
      </c>
      <c r="C7661" s="19">
        <v>5</v>
      </c>
      <c r="D7661" s="19">
        <v>25.871999999999996</v>
      </c>
    </row>
    <row r="7662" spans="1:4" x14ac:dyDescent="0.2">
      <c r="A7662" s="19" t="s">
        <v>154</v>
      </c>
      <c r="B7662" s="19">
        <v>76.728000000000009</v>
      </c>
      <c r="C7662" s="19">
        <v>3</v>
      </c>
      <c r="D7662" s="19">
        <v>-53.709599999999988</v>
      </c>
    </row>
    <row r="7663" spans="1:4" x14ac:dyDescent="0.2">
      <c r="A7663" s="19" t="s">
        <v>154</v>
      </c>
      <c r="B7663" s="19">
        <v>10.429999999999998</v>
      </c>
      <c r="C7663" s="19">
        <v>7</v>
      </c>
      <c r="D7663" s="19">
        <v>-18.252500000000005</v>
      </c>
    </row>
    <row r="7664" spans="1:4" x14ac:dyDescent="0.2">
      <c r="A7664" s="19" t="s">
        <v>150</v>
      </c>
      <c r="B7664" s="19">
        <v>99.2</v>
      </c>
      <c r="C7664" s="19">
        <v>5</v>
      </c>
      <c r="D7664" s="19">
        <v>25.792000000000002</v>
      </c>
    </row>
    <row r="7665" spans="1:4" x14ac:dyDescent="0.2">
      <c r="A7665" s="19" t="s">
        <v>152</v>
      </c>
      <c r="B7665" s="19">
        <v>15.920000000000002</v>
      </c>
      <c r="C7665" s="19">
        <v>5</v>
      </c>
      <c r="D7665" s="19">
        <v>2.7859999999999978</v>
      </c>
    </row>
    <row r="7666" spans="1:4" x14ac:dyDescent="0.2">
      <c r="A7666" s="19" t="s">
        <v>177</v>
      </c>
      <c r="B7666" s="19">
        <v>129.91999999999999</v>
      </c>
      <c r="C7666" s="19">
        <v>4</v>
      </c>
      <c r="D7666" s="19">
        <v>10.393599999999992</v>
      </c>
    </row>
    <row r="7667" spans="1:4" x14ac:dyDescent="0.2">
      <c r="A7667" s="19" t="s">
        <v>182</v>
      </c>
      <c r="B7667" s="19">
        <v>30.4</v>
      </c>
      <c r="C7667" s="19">
        <v>1</v>
      </c>
      <c r="D7667" s="19">
        <v>13.983999999999998</v>
      </c>
    </row>
    <row r="7668" spans="1:4" x14ac:dyDescent="0.2">
      <c r="A7668" s="19" t="s">
        <v>182</v>
      </c>
      <c r="B7668" s="19">
        <v>5399.91</v>
      </c>
      <c r="C7668" s="19">
        <v>9</v>
      </c>
      <c r="D7668" s="19">
        <v>2591.9567999999999</v>
      </c>
    </row>
    <row r="7669" spans="1:4" x14ac:dyDescent="0.2">
      <c r="A7669" s="19" t="s">
        <v>182</v>
      </c>
      <c r="B7669" s="19">
        <v>119.10000000000001</v>
      </c>
      <c r="C7669" s="19">
        <v>3</v>
      </c>
      <c r="D7669" s="19">
        <v>34.538999999999994</v>
      </c>
    </row>
    <row r="7670" spans="1:4" x14ac:dyDescent="0.2">
      <c r="A7670" s="19" t="s">
        <v>180</v>
      </c>
      <c r="B7670" s="19">
        <v>40.08</v>
      </c>
      <c r="C7670" s="19">
        <v>6</v>
      </c>
      <c r="D7670" s="19">
        <v>19.238399999999999</v>
      </c>
    </row>
    <row r="7671" spans="1:4" x14ac:dyDescent="0.2">
      <c r="A7671" s="19" t="s">
        <v>180</v>
      </c>
      <c r="B7671" s="19">
        <v>59.94</v>
      </c>
      <c r="C7671" s="19">
        <v>3</v>
      </c>
      <c r="D7671" s="19">
        <v>28.171799999999998</v>
      </c>
    </row>
    <row r="7672" spans="1:4" x14ac:dyDescent="0.2">
      <c r="A7672" s="19" t="s">
        <v>180</v>
      </c>
      <c r="B7672" s="19">
        <v>259.98</v>
      </c>
      <c r="C7672" s="19">
        <v>2</v>
      </c>
      <c r="D7672" s="19">
        <v>88.393200000000007</v>
      </c>
    </row>
    <row r="7673" spans="1:4" x14ac:dyDescent="0.2">
      <c r="A7673" s="19" t="s">
        <v>180</v>
      </c>
      <c r="B7673" s="19">
        <v>170.98</v>
      </c>
      <c r="C7673" s="19">
        <v>1</v>
      </c>
      <c r="D7673" s="19">
        <v>32.486199999999997</v>
      </c>
    </row>
    <row r="7674" spans="1:4" x14ac:dyDescent="0.2">
      <c r="A7674" s="19" t="s">
        <v>180</v>
      </c>
      <c r="B7674" s="19">
        <v>38.97</v>
      </c>
      <c r="C7674" s="19">
        <v>3</v>
      </c>
      <c r="D7674" s="19">
        <v>4.6763999999999992</v>
      </c>
    </row>
    <row r="7675" spans="1:4" x14ac:dyDescent="0.2">
      <c r="A7675" s="19" t="s">
        <v>180</v>
      </c>
      <c r="B7675" s="19">
        <v>154.9</v>
      </c>
      <c r="C7675" s="19">
        <v>5</v>
      </c>
      <c r="D7675" s="19">
        <v>69.704999999999998</v>
      </c>
    </row>
    <row r="7676" spans="1:4" x14ac:dyDescent="0.2">
      <c r="A7676" s="19" t="s">
        <v>180</v>
      </c>
      <c r="B7676" s="19">
        <v>446.06799999999998</v>
      </c>
      <c r="C7676" s="19">
        <v>4</v>
      </c>
      <c r="D7676" s="19">
        <v>0</v>
      </c>
    </row>
    <row r="7677" spans="1:4" x14ac:dyDescent="0.2">
      <c r="A7677" s="19" t="s">
        <v>150</v>
      </c>
      <c r="B7677" s="19">
        <v>152.94</v>
      </c>
      <c r="C7677" s="19">
        <v>3</v>
      </c>
      <c r="D7677" s="19">
        <v>41.293800000000005</v>
      </c>
    </row>
    <row r="7678" spans="1:4" x14ac:dyDescent="0.2">
      <c r="A7678" s="19" t="s">
        <v>152</v>
      </c>
      <c r="B7678" s="19">
        <v>23.472000000000001</v>
      </c>
      <c r="C7678" s="19">
        <v>3</v>
      </c>
      <c r="D7678" s="19">
        <v>4.9877999999999982</v>
      </c>
    </row>
    <row r="7679" spans="1:4" x14ac:dyDescent="0.2">
      <c r="A7679" s="19" t="s">
        <v>182</v>
      </c>
      <c r="B7679" s="19">
        <v>195.64</v>
      </c>
      <c r="C7679" s="19">
        <v>4</v>
      </c>
      <c r="D7679" s="19">
        <v>91.950799999999987</v>
      </c>
    </row>
    <row r="7680" spans="1:4" x14ac:dyDescent="0.2">
      <c r="A7680" s="19" t="s">
        <v>182</v>
      </c>
      <c r="B7680" s="19">
        <v>14.940000000000001</v>
      </c>
      <c r="C7680" s="19">
        <v>3</v>
      </c>
      <c r="D7680" s="19">
        <v>7.0218000000000007</v>
      </c>
    </row>
    <row r="7681" spans="1:4" x14ac:dyDescent="0.2">
      <c r="A7681" s="19" t="s">
        <v>182</v>
      </c>
      <c r="B7681" s="19">
        <v>1687.8</v>
      </c>
      <c r="C7681" s="19">
        <v>4</v>
      </c>
      <c r="D7681" s="19">
        <v>742.63200000000006</v>
      </c>
    </row>
    <row r="7682" spans="1:4" x14ac:dyDescent="0.2">
      <c r="A7682" s="19" t="s">
        <v>182</v>
      </c>
      <c r="B7682" s="19">
        <v>341.96</v>
      </c>
      <c r="C7682" s="19">
        <v>2</v>
      </c>
      <c r="D7682" s="19">
        <v>78.650800000000004</v>
      </c>
    </row>
    <row r="7683" spans="1:4" x14ac:dyDescent="0.2">
      <c r="A7683" s="19" t="s">
        <v>182</v>
      </c>
      <c r="B7683" s="19">
        <v>605.88</v>
      </c>
      <c r="C7683" s="19">
        <v>6</v>
      </c>
      <c r="D7683" s="19">
        <v>151.47000000000003</v>
      </c>
    </row>
    <row r="7684" spans="1:4" x14ac:dyDescent="0.2">
      <c r="A7684" s="19" t="s">
        <v>161</v>
      </c>
      <c r="B7684" s="19">
        <v>186.732</v>
      </c>
      <c r="C7684" s="19">
        <v>1</v>
      </c>
      <c r="D7684" s="19">
        <v>41.495999999999967</v>
      </c>
    </row>
    <row r="7685" spans="1:4" x14ac:dyDescent="0.2">
      <c r="A7685" s="19" t="s">
        <v>161</v>
      </c>
      <c r="B7685" s="19">
        <v>3812.9700000000003</v>
      </c>
      <c r="C7685" s="19">
        <v>3</v>
      </c>
      <c r="D7685" s="19">
        <v>1906.4850000000001</v>
      </c>
    </row>
    <row r="7686" spans="1:4" x14ac:dyDescent="0.2">
      <c r="A7686" s="19" t="s">
        <v>164</v>
      </c>
      <c r="B7686" s="19">
        <v>26.423999999999999</v>
      </c>
      <c r="C7686" s="19">
        <v>9</v>
      </c>
      <c r="D7686" s="19">
        <v>9.5786999999999995</v>
      </c>
    </row>
    <row r="7687" spans="1:4" x14ac:dyDescent="0.2">
      <c r="A7687" s="19" t="s">
        <v>164</v>
      </c>
      <c r="B7687" s="19">
        <v>625.99</v>
      </c>
      <c r="C7687" s="19">
        <v>1</v>
      </c>
      <c r="D7687" s="19">
        <v>187.79699999999997</v>
      </c>
    </row>
    <row r="7688" spans="1:4" x14ac:dyDescent="0.2">
      <c r="A7688" s="19" t="s">
        <v>161</v>
      </c>
      <c r="B7688" s="19">
        <v>1568.61</v>
      </c>
      <c r="C7688" s="19">
        <v>9</v>
      </c>
      <c r="D7688" s="19">
        <v>329.40809999999999</v>
      </c>
    </row>
    <row r="7689" spans="1:4" x14ac:dyDescent="0.2">
      <c r="A7689" s="19" t="s">
        <v>161</v>
      </c>
      <c r="B7689" s="19">
        <v>17.3</v>
      </c>
      <c r="C7689" s="19">
        <v>1</v>
      </c>
      <c r="D7689" s="19">
        <v>8.3040000000000003</v>
      </c>
    </row>
    <row r="7690" spans="1:4" x14ac:dyDescent="0.2">
      <c r="A7690" s="19" t="s">
        <v>161</v>
      </c>
      <c r="B7690" s="19">
        <v>160</v>
      </c>
      <c r="C7690" s="19">
        <v>8</v>
      </c>
      <c r="D7690" s="19">
        <v>62.400000000000006</v>
      </c>
    </row>
    <row r="7691" spans="1:4" x14ac:dyDescent="0.2">
      <c r="A7691" s="19" t="s">
        <v>166</v>
      </c>
      <c r="B7691" s="19">
        <v>179.94</v>
      </c>
      <c r="C7691" s="19">
        <v>3</v>
      </c>
      <c r="D7691" s="19">
        <v>50.383200000000009</v>
      </c>
    </row>
    <row r="7692" spans="1:4" x14ac:dyDescent="0.2">
      <c r="A7692" s="19" t="s">
        <v>166</v>
      </c>
      <c r="B7692" s="19">
        <v>872.94</v>
      </c>
      <c r="C7692" s="19">
        <v>3</v>
      </c>
      <c r="D7692" s="19">
        <v>157.12919999999997</v>
      </c>
    </row>
    <row r="7693" spans="1:4" x14ac:dyDescent="0.2">
      <c r="A7693" s="19" t="s">
        <v>166</v>
      </c>
      <c r="B7693" s="19">
        <v>12.96</v>
      </c>
      <c r="C7693" s="19">
        <v>2</v>
      </c>
      <c r="D7693" s="19">
        <v>6.2208000000000006</v>
      </c>
    </row>
    <row r="7694" spans="1:4" x14ac:dyDescent="0.2">
      <c r="A7694" s="19" t="s">
        <v>150</v>
      </c>
      <c r="B7694" s="19">
        <v>88.800000000000011</v>
      </c>
      <c r="C7694" s="19">
        <v>6</v>
      </c>
      <c r="D7694" s="19">
        <v>44.400000000000006</v>
      </c>
    </row>
    <row r="7695" spans="1:4" x14ac:dyDescent="0.2">
      <c r="A7695" s="19" t="s">
        <v>150</v>
      </c>
      <c r="B7695" s="19">
        <v>319.96800000000002</v>
      </c>
      <c r="C7695" s="19">
        <v>4</v>
      </c>
      <c r="D7695" s="19">
        <v>35.996399999999952</v>
      </c>
    </row>
    <row r="7696" spans="1:4" x14ac:dyDescent="0.2">
      <c r="A7696" s="19" t="s">
        <v>153</v>
      </c>
      <c r="B7696" s="19">
        <v>167.88800000000001</v>
      </c>
      <c r="C7696" s="19">
        <v>7</v>
      </c>
      <c r="D7696" s="19">
        <v>14.690199999999997</v>
      </c>
    </row>
    <row r="7697" spans="1:4" x14ac:dyDescent="0.2">
      <c r="A7697" s="19" t="s">
        <v>154</v>
      </c>
      <c r="B7697" s="19">
        <v>163.96</v>
      </c>
      <c r="C7697" s="19">
        <v>5</v>
      </c>
      <c r="D7697" s="19">
        <v>59.435499999999998</v>
      </c>
    </row>
    <row r="7698" spans="1:4" x14ac:dyDescent="0.2">
      <c r="A7698" s="19" t="s">
        <v>154</v>
      </c>
      <c r="B7698" s="19">
        <v>5.2319999999999984</v>
      </c>
      <c r="C7698" s="19">
        <v>4</v>
      </c>
      <c r="D7698" s="19">
        <v>-8.1096000000000004</v>
      </c>
    </row>
    <row r="7699" spans="1:4" x14ac:dyDescent="0.2">
      <c r="A7699" s="19" t="s">
        <v>180</v>
      </c>
      <c r="B7699" s="19">
        <v>1199.98</v>
      </c>
      <c r="C7699" s="19">
        <v>2</v>
      </c>
      <c r="D7699" s="19">
        <v>467.99220000000003</v>
      </c>
    </row>
    <row r="7700" spans="1:4" x14ac:dyDescent="0.2">
      <c r="A7700" s="19" t="s">
        <v>180</v>
      </c>
      <c r="B7700" s="19">
        <v>73.849999999999994</v>
      </c>
      <c r="C7700" s="19">
        <v>1</v>
      </c>
      <c r="D7700" s="19">
        <v>2.2155000000000058</v>
      </c>
    </row>
    <row r="7701" spans="1:4" x14ac:dyDescent="0.2">
      <c r="A7701" s="19" t="s">
        <v>180</v>
      </c>
      <c r="B7701" s="19">
        <v>25.71</v>
      </c>
      <c r="C7701" s="19">
        <v>3</v>
      </c>
      <c r="D7701" s="19">
        <v>6.6846000000000005</v>
      </c>
    </row>
    <row r="7702" spans="1:4" x14ac:dyDescent="0.2">
      <c r="A7702" s="19" t="s">
        <v>180</v>
      </c>
      <c r="B7702" s="19">
        <v>17.28</v>
      </c>
      <c r="C7702" s="19">
        <v>6</v>
      </c>
      <c r="D7702" s="19">
        <v>8.121599999999999</v>
      </c>
    </row>
    <row r="7703" spans="1:4" x14ac:dyDescent="0.2">
      <c r="A7703" s="19" t="s">
        <v>180</v>
      </c>
      <c r="B7703" s="19">
        <v>526.58199999999999</v>
      </c>
      <c r="C7703" s="19">
        <v>2</v>
      </c>
      <c r="D7703" s="19">
        <v>-52.658199999999965</v>
      </c>
    </row>
    <row r="7704" spans="1:4" x14ac:dyDescent="0.2">
      <c r="A7704" s="19" t="s">
        <v>161</v>
      </c>
      <c r="B7704" s="19">
        <v>11.56</v>
      </c>
      <c r="C7704" s="19">
        <v>2</v>
      </c>
      <c r="D7704" s="19">
        <v>5.6644000000000005</v>
      </c>
    </row>
    <row r="7705" spans="1:4" x14ac:dyDescent="0.2">
      <c r="A7705" s="19" t="s">
        <v>161</v>
      </c>
      <c r="B7705" s="19">
        <v>209.96999999999997</v>
      </c>
      <c r="C7705" s="19">
        <v>3</v>
      </c>
      <c r="D7705" s="19">
        <v>58.791600000000003</v>
      </c>
    </row>
    <row r="7706" spans="1:4" x14ac:dyDescent="0.2">
      <c r="A7706" s="19" t="s">
        <v>161</v>
      </c>
      <c r="B7706" s="19">
        <v>447.84</v>
      </c>
      <c r="C7706" s="19">
        <v>4</v>
      </c>
      <c r="D7706" s="19">
        <v>98.524799999999971</v>
      </c>
    </row>
    <row r="7707" spans="1:4" x14ac:dyDescent="0.2">
      <c r="A7707" s="19" t="s">
        <v>161</v>
      </c>
      <c r="B7707" s="19">
        <v>479.97</v>
      </c>
      <c r="C7707" s="19">
        <v>3</v>
      </c>
      <c r="D7707" s="19">
        <v>163.18979999999999</v>
      </c>
    </row>
    <row r="7708" spans="1:4" x14ac:dyDescent="0.2">
      <c r="A7708" s="19" t="s">
        <v>161</v>
      </c>
      <c r="B7708" s="19">
        <v>8.64</v>
      </c>
      <c r="C7708" s="19">
        <v>3</v>
      </c>
      <c r="D7708" s="19">
        <v>2.5055999999999998</v>
      </c>
    </row>
    <row r="7709" spans="1:4" x14ac:dyDescent="0.2">
      <c r="A7709" s="19" t="s">
        <v>156</v>
      </c>
      <c r="B7709" s="19">
        <v>11.68</v>
      </c>
      <c r="C7709" s="19">
        <v>2</v>
      </c>
      <c r="D7709" s="19">
        <v>4.2047999999999996</v>
      </c>
    </row>
    <row r="7710" spans="1:4" x14ac:dyDescent="0.2">
      <c r="A7710" s="19" t="s">
        <v>158</v>
      </c>
      <c r="B7710" s="19">
        <v>40.775999999999996</v>
      </c>
      <c r="C7710" s="19">
        <v>3</v>
      </c>
      <c r="D7710" s="19">
        <v>0.50970000000000049</v>
      </c>
    </row>
    <row r="7711" spans="1:4" x14ac:dyDescent="0.2">
      <c r="A7711" s="19" t="s">
        <v>158</v>
      </c>
      <c r="B7711" s="19">
        <v>13.698000000000002</v>
      </c>
      <c r="C7711" s="19">
        <v>3</v>
      </c>
      <c r="D7711" s="19">
        <v>-9.5885999999999996</v>
      </c>
    </row>
    <row r="7712" spans="1:4" x14ac:dyDescent="0.2">
      <c r="A7712" s="19" t="s">
        <v>165</v>
      </c>
      <c r="B7712" s="19">
        <v>87.8</v>
      </c>
      <c r="C7712" s="19">
        <v>5</v>
      </c>
      <c r="D7712" s="19">
        <v>32.924999999999997</v>
      </c>
    </row>
    <row r="7713" spans="1:4" x14ac:dyDescent="0.2">
      <c r="A7713" s="19" t="s">
        <v>152</v>
      </c>
      <c r="B7713" s="19">
        <v>77.951999999999998</v>
      </c>
      <c r="C7713" s="19">
        <v>3</v>
      </c>
      <c r="D7713" s="19">
        <v>15.590399999999995</v>
      </c>
    </row>
    <row r="7714" spans="1:4" x14ac:dyDescent="0.2">
      <c r="A7714" s="19" t="s">
        <v>152</v>
      </c>
      <c r="B7714" s="19">
        <v>147.184</v>
      </c>
      <c r="C7714" s="19">
        <v>2</v>
      </c>
      <c r="D7714" s="19">
        <v>-29.436800000000012</v>
      </c>
    </row>
    <row r="7715" spans="1:4" x14ac:dyDescent="0.2">
      <c r="A7715" s="19" t="s">
        <v>152</v>
      </c>
      <c r="B7715" s="19">
        <v>47.952000000000005</v>
      </c>
      <c r="C7715" s="19">
        <v>3</v>
      </c>
      <c r="D7715" s="19">
        <v>16.183799999999998</v>
      </c>
    </row>
    <row r="7716" spans="1:4" x14ac:dyDescent="0.2">
      <c r="A7716" s="19" t="s">
        <v>150</v>
      </c>
      <c r="B7716" s="19">
        <v>250.26</v>
      </c>
      <c r="C7716" s="19">
        <v>6</v>
      </c>
      <c r="D7716" s="19">
        <v>72.575399999999973</v>
      </c>
    </row>
    <row r="7717" spans="1:4" x14ac:dyDescent="0.2">
      <c r="A7717" s="19" t="s">
        <v>158</v>
      </c>
      <c r="B7717" s="19">
        <v>40.775999999999996</v>
      </c>
      <c r="C7717" s="19">
        <v>3</v>
      </c>
      <c r="D7717" s="19">
        <v>0.50970000000000049</v>
      </c>
    </row>
    <row r="7718" spans="1:4" x14ac:dyDescent="0.2">
      <c r="A7718" s="19" t="s">
        <v>171</v>
      </c>
      <c r="B7718" s="19">
        <v>29.600000000000005</v>
      </c>
      <c r="C7718" s="19">
        <v>5</v>
      </c>
      <c r="D7718" s="19">
        <v>9.2499999999999964</v>
      </c>
    </row>
    <row r="7719" spans="1:4" x14ac:dyDescent="0.2">
      <c r="A7719" s="19" t="s">
        <v>171</v>
      </c>
      <c r="B7719" s="19">
        <v>1.9380000000000002</v>
      </c>
      <c r="C7719" s="19">
        <v>2</v>
      </c>
      <c r="D7719" s="19">
        <v>-1.3565999999999994</v>
      </c>
    </row>
    <row r="7720" spans="1:4" x14ac:dyDescent="0.2">
      <c r="A7720" s="19" t="s">
        <v>150</v>
      </c>
      <c r="B7720" s="19">
        <v>159.96</v>
      </c>
      <c r="C7720" s="19">
        <v>4</v>
      </c>
      <c r="D7720" s="19">
        <v>51.18719999999999</v>
      </c>
    </row>
    <row r="7721" spans="1:4" x14ac:dyDescent="0.2">
      <c r="A7721" s="19" t="s">
        <v>164</v>
      </c>
      <c r="B7721" s="19">
        <v>59.519999999999996</v>
      </c>
      <c r="C7721" s="19">
        <v>3</v>
      </c>
      <c r="D7721" s="19">
        <v>15.475200000000001</v>
      </c>
    </row>
    <row r="7722" spans="1:4" x14ac:dyDescent="0.2">
      <c r="A7722" s="19" t="s">
        <v>164</v>
      </c>
      <c r="B7722" s="19">
        <v>17.48</v>
      </c>
      <c r="C7722" s="19">
        <v>2</v>
      </c>
      <c r="D7722" s="19">
        <v>8.2156000000000002</v>
      </c>
    </row>
    <row r="7723" spans="1:4" x14ac:dyDescent="0.2">
      <c r="A7723" s="19" t="s">
        <v>164</v>
      </c>
      <c r="B7723" s="19">
        <v>13.168000000000001</v>
      </c>
      <c r="C7723" s="19">
        <v>2</v>
      </c>
      <c r="D7723" s="19">
        <v>4.6088000000000005</v>
      </c>
    </row>
    <row r="7724" spans="1:4" x14ac:dyDescent="0.2">
      <c r="A7724" s="19" t="s">
        <v>150</v>
      </c>
      <c r="B7724" s="19">
        <v>40.74</v>
      </c>
      <c r="C7724" s="19">
        <v>3</v>
      </c>
      <c r="D7724" s="19">
        <v>12.222</v>
      </c>
    </row>
    <row r="7725" spans="1:4" x14ac:dyDescent="0.2">
      <c r="A7725" s="19" t="s">
        <v>154</v>
      </c>
      <c r="B7725" s="19">
        <v>179.886</v>
      </c>
      <c r="C7725" s="19">
        <v>1</v>
      </c>
      <c r="D7725" s="19">
        <v>-2.5698000000000292</v>
      </c>
    </row>
    <row r="7726" spans="1:4" x14ac:dyDescent="0.2">
      <c r="A7726" s="19" t="s">
        <v>173</v>
      </c>
      <c r="B7726" s="19">
        <v>286.25600000000003</v>
      </c>
      <c r="C7726" s="19">
        <v>1</v>
      </c>
      <c r="D7726" s="19">
        <v>17.890999999999977</v>
      </c>
    </row>
    <row r="7727" spans="1:4" x14ac:dyDescent="0.2">
      <c r="A7727" s="19" t="s">
        <v>173</v>
      </c>
      <c r="B7727" s="19">
        <v>24.224000000000004</v>
      </c>
      <c r="C7727" s="19">
        <v>2</v>
      </c>
      <c r="D7727" s="19">
        <v>-4.8448000000000029</v>
      </c>
    </row>
    <row r="7728" spans="1:4" x14ac:dyDescent="0.2">
      <c r="A7728" s="19" t="s">
        <v>173</v>
      </c>
      <c r="B7728" s="19">
        <v>331.536</v>
      </c>
      <c r="C7728" s="19">
        <v>3</v>
      </c>
      <c r="D7728" s="19">
        <v>-82.884</v>
      </c>
    </row>
    <row r="7729" spans="1:4" x14ac:dyDescent="0.2">
      <c r="A7729" s="19" t="s">
        <v>164</v>
      </c>
      <c r="B7729" s="19">
        <v>17.52</v>
      </c>
      <c r="C7729" s="19">
        <v>3</v>
      </c>
      <c r="D7729" s="19">
        <v>6.3071999999999999</v>
      </c>
    </row>
    <row r="7730" spans="1:4" x14ac:dyDescent="0.2">
      <c r="A7730" s="19" t="s">
        <v>154</v>
      </c>
      <c r="B7730" s="19">
        <v>17.856000000000002</v>
      </c>
      <c r="C7730" s="19">
        <v>4</v>
      </c>
      <c r="D7730" s="19">
        <v>4.2408000000000001</v>
      </c>
    </row>
    <row r="7731" spans="1:4" x14ac:dyDescent="0.2">
      <c r="A7731" s="19" t="s">
        <v>151</v>
      </c>
      <c r="B7731" s="19">
        <v>431.97600000000006</v>
      </c>
      <c r="C7731" s="19">
        <v>3</v>
      </c>
      <c r="D7731" s="19">
        <v>-75.59580000000004</v>
      </c>
    </row>
    <row r="7732" spans="1:4" x14ac:dyDescent="0.2">
      <c r="A7732" s="19" t="s">
        <v>153</v>
      </c>
      <c r="B7732" s="19">
        <v>291.13600000000002</v>
      </c>
      <c r="C7732" s="19">
        <v>4</v>
      </c>
      <c r="D7732" s="19">
        <v>-25.474400000000017</v>
      </c>
    </row>
    <row r="7733" spans="1:4" x14ac:dyDescent="0.2">
      <c r="A7733" s="19" t="s">
        <v>154</v>
      </c>
      <c r="B7733" s="19">
        <v>114.84800000000001</v>
      </c>
      <c r="C7733" s="19">
        <v>4</v>
      </c>
      <c r="D7733" s="19">
        <v>35.889999999999986</v>
      </c>
    </row>
    <row r="7734" spans="1:4" x14ac:dyDescent="0.2">
      <c r="A7734" s="19" t="s">
        <v>154</v>
      </c>
      <c r="B7734" s="19">
        <v>10.688000000000001</v>
      </c>
      <c r="C7734" s="19">
        <v>2</v>
      </c>
      <c r="D7734" s="19">
        <v>3.7407999999999997</v>
      </c>
    </row>
    <row r="7735" spans="1:4" x14ac:dyDescent="0.2">
      <c r="A7735" s="19" t="s">
        <v>173</v>
      </c>
      <c r="B7735" s="19">
        <v>15.231999999999999</v>
      </c>
      <c r="C7735" s="19">
        <v>4</v>
      </c>
      <c r="D7735" s="19">
        <v>5.5215999999999994</v>
      </c>
    </row>
    <row r="7736" spans="1:4" x14ac:dyDescent="0.2">
      <c r="A7736" s="19" t="s">
        <v>153</v>
      </c>
      <c r="B7736" s="19">
        <v>12.419999999999998</v>
      </c>
      <c r="C7736" s="19">
        <v>3</v>
      </c>
      <c r="D7736" s="19">
        <v>5.2164000000000001</v>
      </c>
    </row>
    <row r="7737" spans="1:4" x14ac:dyDescent="0.2">
      <c r="A7737" s="19" t="s">
        <v>153</v>
      </c>
      <c r="B7737" s="19">
        <v>19.440000000000001</v>
      </c>
      <c r="C7737" s="19">
        <v>3</v>
      </c>
      <c r="D7737" s="19">
        <v>9.3312000000000008</v>
      </c>
    </row>
    <row r="7738" spans="1:4" x14ac:dyDescent="0.2">
      <c r="A7738" s="19" t="s">
        <v>164</v>
      </c>
      <c r="B7738" s="19">
        <v>70.367999999999995</v>
      </c>
      <c r="C7738" s="19">
        <v>4</v>
      </c>
      <c r="D7738" s="19">
        <v>26.387999999999998</v>
      </c>
    </row>
    <row r="7739" spans="1:4" x14ac:dyDescent="0.2">
      <c r="A7739" s="19" t="s">
        <v>152</v>
      </c>
      <c r="B7739" s="19">
        <v>12.672000000000001</v>
      </c>
      <c r="C7739" s="19">
        <v>9</v>
      </c>
      <c r="D7739" s="19">
        <v>1.4255999999999993</v>
      </c>
    </row>
    <row r="7740" spans="1:4" x14ac:dyDescent="0.2">
      <c r="A7740" s="19" t="s">
        <v>187</v>
      </c>
      <c r="B7740" s="19">
        <v>89.949999999999989</v>
      </c>
      <c r="C7740" s="19">
        <v>5</v>
      </c>
      <c r="D7740" s="19">
        <v>43.175999999999995</v>
      </c>
    </row>
    <row r="7741" spans="1:4" x14ac:dyDescent="0.2">
      <c r="A7741" s="19" t="s">
        <v>150</v>
      </c>
      <c r="B7741" s="19">
        <v>6.58</v>
      </c>
      <c r="C7741" s="19">
        <v>2</v>
      </c>
      <c r="D7741" s="19">
        <v>3.0267999999999997</v>
      </c>
    </row>
    <row r="7742" spans="1:4" x14ac:dyDescent="0.2">
      <c r="A7742" s="19" t="s">
        <v>150</v>
      </c>
      <c r="B7742" s="19">
        <v>94.99</v>
      </c>
      <c r="C7742" s="19">
        <v>1</v>
      </c>
      <c r="D7742" s="19">
        <v>28.496999999999986</v>
      </c>
    </row>
    <row r="7743" spans="1:4" x14ac:dyDescent="0.2">
      <c r="A7743" s="19" t="s">
        <v>165</v>
      </c>
      <c r="B7743" s="19">
        <v>35.119999999999997</v>
      </c>
      <c r="C7743" s="19">
        <v>2</v>
      </c>
      <c r="D7743" s="19">
        <v>13.17</v>
      </c>
    </row>
    <row r="7744" spans="1:4" x14ac:dyDescent="0.2">
      <c r="A7744" s="19" t="s">
        <v>150</v>
      </c>
      <c r="B7744" s="19">
        <v>25.92</v>
      </c>
      <c r="C7744" s="19">
        <v>4</v>
      </c>
      <c r="D7744" s="19">
        <v>12.441600000000001</v>
      </c>
    </row>
    <row r="7745" spans="1:4" x14ac:dyDescent="0.2">
      <c r="A7745" s="19" t="s">
        <v>178</v>
      </c>
      <c r="B7745" s="19">
        <v>7.96</v>
      </c>
      <c r="C7745" s="19">
        <v>2</v>
      </c>
      <c r="D7745" s="19">
        <v>3.7412000000000001</v>
      </c>
    </row>
    <row r="7746" spans="1:4" x14ac:dyDescent="0.2">
      <c r="A7746" s="19" t="s">
        <v>178</v>
      </c>
      <c r="B7746" s="19">
        <v>566.97</v>
      </c>
      <c r="C7746" s="19">
        <v>3</v>
      </c>
      <c r="D7746" s="19">
        <v>153.08189999999999</v>
      </c>
    </row>
    <row r="7747" spans="1:4" x14ac:dyDescent="0.2">
      <c r="A7747" s="19" t="s">
        <v>178</v>
      </c>
      <c r="B7747" s="19">
        <v>9.84</v>
      </c>
      <c r="C7747" s="19">
        <v>3</v>
      </c>
      <c r="D7747" s="19">
        <v>2.8535999999999988</v>
      </c>
    </row>
    <row r="7748" spans="1:4" x14ac:dyDescent="0.2">
      <c r="A7748" s="19" t="s">
        <v>159</v>
      </c>
      <c r="B7748" s="19">
        <v>25.488</v>
      </c>
      <c r="C7748" s="19">
        <v>2</v>
      </c>
      <c r="D7748" s="19">
        <v>4.7789999999999999</v>
      </c>
    </row>
    <row r="7749" spans="1:4" x14ac:dyDescent="0.2">
      <c r="A7749" s="19" t="s">
        <v>164</v>
      </c>
      <c r="B7749" s="19">
        <v>7.5600000000000005</v>
      </c>
      <c r="C7749" s="19">
        <v>6</v>
      </c>
      <c r="D7749" s="19">
        <v>0.3024</v>
      </c>
    </row>
    <row r="7750" spans="1:4" x14ac:dyDescent="0.2">
      <c r="A7750" s="19" t="s">
        <v>166</v>
      </c>
      <c r="B7750" s="19">
        <v>60.84</v>
      </c>
      <c r="C7750" s="19">
        <v>3</v>
      </c>
      <c r="D7750" s="19">
        <v>19.468799999999998</v>
      </c>
    </row>
    <row r="7751" spans="1:4" x14ac:dyDescent="0.2">
      <c r="A7751" s="19" t="s">
        <v>166</v>
      </c>
      <c r="B7751" s="19">
        <v>450.04</v>
      </c>
      <c r="C7751" s="19">
        <v>2</v>
      </c>
      <c r="D7751" s="19">
        <v>58.505200000000002</v>
      </c>
    </row>
    <row r="7752" spans="1:4" x14ac:dyDescent="0.2">
      <c r="A7752" s="19" t="s">
        <v>166</v>
      </c>
      <c r="B7752" s="19">
        <v>34.6</v>
      </c>
      <c r="C7752" s="19">
        <v>2</v>
      </c>
      <c r="D7752" s="19">
        <v>16.608000000000001</v>
      </c>
    </row>
    <row r="7753" spans="1:4" x14ac:dyDescent="0.2">
      <c r="A7753" s="19" t="s">
        <v>166</v>
      </c>
      <c r="B7753" s="19">
        <v>467.97</v>
      </c>
      <c r="C7753" s="19">
        <v>3</v>
      </c>
      <c r="D7753" s="19">
        <v>140.39099999999999</v>
      </c>
    </row>
    <row r="7754" spans="1:4" x14ac:dyDescent="0.2">
      <c r="A7754" s="19" t="s">
        <v>166</v>
      </c>
      <c r="B7754" s="19">
        <v>33.020000000000003</v>
      </c>
      <c r="C7754" s="19">
        <v>2</v>
      </c>
      <c r="D7754" s="19">
        <v>15.849600000000002</v>
      </c>
    </row>
    <row r="7755" spans="1:4" x14ac:dyDescent="0.2">
      <c r="A7755" s="19" t="s">
        <v>152</v>
      </c>
      <c r="B7755" s="19">
        <v>17.088000000000001</v>
      </c>
      <c r="C7755" s="19">
        <v>2</v>
      </c>
      <c r="D7755" s="19">
        <v>1.0679999999999996</v>
      </c>
    </row>
    <row r="7756" spans="1:4" x14ac:dyDescent="0.2">
      <c r="A7756" s="19" t="s">
        <v>173</v>
      </c>
      <c r="B7756" s="19">
        <v>3.008</v>
      </c>
      <c r="C7756" s="19">
        <v>2</v>
      </c>
      <c r="D7756" s="19">
        <v>0.33839999999999981</v>
      </c>
    </row>
    <row r="7757" spans="1:4" x14ac:dyDescent="0.2">
      <c r="A7757" s="19" t="s">
        <v>152</v>
      </c>
      <c r="B7757" s="19">
        <v>268.24</v>
      </c>
      <c r="C7757" s="19">
        <v>7</v>
      </c>
      <c r="D7757" s="19">
        <v>93.883999999999986</v>
      </c>
    </row>
    <row r="7758" spans="1:4" x14ac:dyDescent="0.2">
      <c r="A7758" s="19" t="s">
        <v>152</v>
      </c>
      <c r="B7758" s="19">
        <v>431.16000000000008</v>
      </c>
      <c r="C7758" s="19">
        <v>5</v>
      </c>
      <c r="D7758" s="19">
        <v>107.78999999999996</v>
      </c>
    </row>
    <row r="7759" spans="1:4" x14ac:dyDescent="0.2">
      <c r="A7759" s="19" t="s">
        <v>164</v>
      </c>
      <c r="B7759" s="19">
        <v>43.6</v>
      </c>
      <c r="C7759" s="19">
        <v>4</v>
      </c>
      <c r="D7759" s="19">
        <v>12.208000000000002</v>
      </c>
    </row>
    <row r="7760" spans="1:4" x14ac:dyDescent="0.2">
      <c r="A7760" s="19" t="s">
        <v>164</v>
      </c>
      <c r="B7760" s="19">
        <v>154.94999999999999</v>
      </c>
      <c r="C7760" s="19">
        <v>3</v>
      </c>
      <c r="D7760" s="19">
        <v>30.989999999999995</v>
      </c>
    </row>
    <row r="7761" spans="1:4" x14ac:dyDescent="0.2">
      <c r="A7761" s="19" t="s">
        <v>154</v>
      </c>
      <c r="B7761" s="19">
        <v>15.552000000000003</v>
      </c>
      <c r="C7761" s="19">
        <v>3</v>
      </c>
      <c r="D7761" s="19">
        <v>5.4432</v>
      </c>
    </row>
    <row r="7762" spans="1:4" x14ac:dyDescent="0.2">
      <c r="A7762" s="19" t="s">
        <v>167</v>
      </c>
      <c r="B7762" s="19">
        <v>42.207999999999998</v>
      </c>
      <c r="C7762" s="19">
        <v>2</v>
      </c>
      <c r="D7762" s="19">
        <v>13.717599999999997</v>
      </c>
    </row>
    <row r="7763" spans="1:4" x14ac:dyDescent="0.2">
      <c r="A7763" s="19" t="s">
        <v>154</v>
      </c>
      <c r="B7763" s="19">
        <v>10.368000000000002</v>
      </c>
      <c r="C7763" s="19">
        <v>2</v>
      </c>
      <c r="D7763" s="19">
        <v>3.6288</v>
      </c>
    </row>
    <row r="7764" spans="1:4" x14ac:dyDescent="0.2">
      <c r="A7764" s="19" t="s">
        <v>170</v>
      </c>
      <c r="B7764" s="19">
        <v>2.2239999999999998</v>
      </c>
      <c r="C7764" s="19">
        <v>1</v>
      </c>
      <c r="D7764" s="19">
        <v>0.55599999999999994</v>
      </c>
    </row>
    <row r="7765" spans="1:4" x14ac:dyDescent="0.2">
      <c r="A7765" s="19" t="s">
        <v>101</v>
      </c>
      <c r="B7765" s="19">
        <v>74.52</v>
      </c>
      <c r="C7765" s="19">
        <v>9</v>
      </c>
      <c r="D7765" s="19">
        <v>35.024399999999993</v>
      </c>
    </row>
    <row r="7766" spans="1:4" x14ac:dyDescent="0.2">
      <c r="A7766" s="19" t="s">
        <v>187</v>
      </c>
      <c r="B7766" s="19">
        <v>17.52</v>
      </c>
      <c r="C7766" s="19">
        <v>3</v>
      </c>
      <c r="D7766" s="19">
        <v>5.2559999999999993</v>
      </c>
    </row>
    <row r="7767" spans="1:4" x14ac:dyDescent="0.2">
      <c r="A7767" s="19" t="s">
        <v>187</v>
      </c>
      <c r="B7767" s="19">
        <v>1779.9</v>
      </c>
      <c r="C7767" s="19">
        <v>5</v>
      </c>
      <c r="D7767" s="19">
        <v>373.77899999999983</v>
      </c>
    </row>
    <row r="7768" spans="1:4" x14ac:dyDescent="0.2">
      <c r="A7768" s="19" t="s">
        <v>187</v>
      </c>
      <c r="B7768" s="19">
        <v>219.89999999999998</v>
      </c>
      <c r="C7768" s="19">
        <v>5</v>
      </c>
      <c r="D7768" s="19">
        <v>59.373000000000005</v>
      </c>
    </row>
    <row r="7769" spans="1:4" x14ac:dyDescent="0.2">
      <c r="A7769" s="19" t="s">
        <v>170</v>
      </c>
      <c r="B7769" s="19">
        <v>7.1519999999999992</v>
      </c>
      <c r="C7769" s="19">
        <v>3</v>
      </c>
      <c r="D7769" s="19">
        <v>0.71520000000000028</v>
      </c>
    </row>
    <row r="7770" spans="1:4" x14ac:dyDescent="0.2">
      <c r="A7770" s="19" t="s">
        <v>151</v>
      </c>
      <c r="B7770" s="19">
        <v>26.720000000000002</v>
      </c>
      <c r="C7770" s="19">
        <v>5</v>
      </c>
      <c r="D7770" s="19">
        <v>9.3520000000000003</v>
      </c>
    </row>
    <row r="7771" spans="1:4" x14ac:dyDescent="0.2">
      <c r="A7771" s="19" t="s">
        <v>150</v>
      </c>
      <c r="B7771" s="19">
        <v>1039.7280000000001</v>
      </c>
      <c r="C7771" s="19">
        <v>2</v>
      </c>
      <c r="D7771" s="19">
        <v>90.976200000000063</v>
      </c>
    </row>
    <row r="7772" spans="1:4" x14ac:dyDescent="0.2">
      <c r="A7772" s="19" t="s">
        <v>150</v>
      </c>
      <c r="B7772" s="19">
        <v>45.96</v>
      </c>
      <c r="C7772" s="19">
        <v>2</v>
      </c>
      <c r="D7772" s="19">
        <v>13.787999999999997</v>
      </c>
    </row>
    <row r="7773" spans="1:4" x14ac:dyDescent="0.2">
      <c r="A7773" s="19" t="s">
        <v>173</v>
      </c>
      <c r="B7773" s="19">
        <v>456.58800000000008</v>
      </c>
      <c r="C7773" s="19">
        <v>2</v>
      </c>
      <c r="D7773" s="19">
        <v>-304.39200000000005</v>
      </c>
    </row>
    <row r="7774" spans="1:4" x14ac:dyDescent="0.2">
      <c r="A7774" s="19" t="s">
        <v>173</v>
      </c>
      <c r="B7774" s="19">
        <v>4499.9850000000006</v>
      </c>
      <c r="C7774" s="19">
        <v>5</v>
      </c>
      <c r="D7774" s="19">
        <v>-6599.978000000001</v>
      </c>
    </row>
    <row r="7775" spans="1:4" x14ac:dyDescent="0.2">
      <c r="A7775" s="19" t="s">
        <v>173</v>
      </c>
      <c r="B7775" s="19">
        <v>59.975999999999999</v>
      </c>
      <c r="C7775" s="19">
        <v>3</v>
      </c>
      <c r="D7775" s="19">
        <v>11.995199999999997</v>
      </c>
    </row>
    <row r="7776" spans="1:4" x14ac:dyDescent="0.2">
      <c r="A7776" s="19" t="s">
        <v>150</v>
      </c>
      <c r="B7776" s="19">
        <v>6.12</v>
      </c>
      <c r="C7776" s="19">
        <v>3</v>
      </c>
      <c r="D7776" s="19">
        <v>2.8763999999999994</v>
      </c>
    </row>
    <row r="7777" spans="1:4" x14ac:dyDescent="0.2">
      <c r="A7777" s="19" t="s">
        <v>150</v>
      </c>
      <c r="B7777" s="19">
        <v>10.98</v>
      </c>
      <c r="C7777" s="19">
        <v>1</v>
      </c>
      <c r="D7777" s="19">
        <v>2.9646000000000008</v>
      </c>
    </row>
    <row r="7778" spans="1:4" x14ac:dyDescent="0.2">
      <c r="A7778" s="19" t="s">
        <v>150</v>
      </c>
      <c r="B7778" s="19">
        <v>7.86</v>
      </c>
      <c r="C7778" s="19">
        <v>3</v>
      </c>
      <c r="D7778" s="19">
        <v>3.6156000000000001</v>
      </c>
    </row>
    <row r="7779" spans="1:4" x14ac:dyDescent="0.2">
      <c r="A7779" s="19" t="s">
        <v>150</v>
      </c>
      <c r="B7779" s="19">
        <v>51.449999999999996</v>
      </c>
      <c r="C7779" s="19">
        <v>3</v>
      </c>
      <c r="D7779" s="19">
        <v>13.891499999999999</v>
      </c>
    </row>
    <row r="7780" spans="1:4" x14ac:dyDescent="0.2">
      <c r="A7780" s="19" t="s">
        <v>150</v>
      </c>
      <c r="B7780" s="19">
        <v>37.055999999999997</v>
      </c>
      <c r="C7780" s="19">
        <v>3</v>
      </c>
      <c r="D7780" s="19">
        <v>13.896000000000001</v>
      </c>
    </row>
    <row r="7781" spans="1:4" x14ac:dyDescent="0.2">
      <c r="A7781" s="19" t="s">
        <v>166</v>
      </c>
      <c r="B7781" s="19">
        <v>203.92</v>
      </c>
      <c r="C7781" s="19">
        <v>4</v>
      </c>
      <c r="D7781" s="19">
        <v>55.058400000000006</v>
      </c>
    </row>
    <row r="7782" spans="1:4" x14ac:dyDescent="0.2">
      <c r="A7782" s="19" t="s">
        <v>166</v>
      </c>
      <c r="B7782" s="19">
        <v>29.56</v>
      </c>
      <c r="C7782" s="19">
        <v>4</v>
      </c>
      <c r="D7782" s="19">
        <v>7.9812000000000012</v>
      </c>
    </row>
    <row r="7783" spans="1:4" x14ac:dyDescent="0.2">
      <c r="A7783" s="19" t="s">
        <v>159</v>
      </c>
      <c r="B7783" s="19">
        <v>8.5679999999999978</v>
      </c>
      <c r="C7783" s="19">
        <v>3</v>
      </c>
      <c r="D7783" s="19">
        <v>-14.5656</v>
      </c>
    </row>
    <row r="7784" spans="1:4" x14ac:dyDescent="0.2">
      <c r="A7784" s="19" t="s">
        <v>152</v>
      </c>
      <c r="B7784" s="19">
        <v>45.248000000000005</v>
      </c>
      <c r="C7784" s="19">
        <v>2</v>
      </c>
      <c r="D7784" s="19">
        <v>3.9591999999999992</v>
      </c>
    </row>
    <row r="7785" spans="1:4" x14ac:dyDescent="0.2">
      <c r="A7785" s="19" t="s">
        <v>152</v>
      </c>
      <c r="B7785" s="19">
        <v>876.30000000000007</v>
      </c>
      <c r="C7785" s="19">
        <v>10</v>
      </c>
      <c r="D7785" s="19">
        <v>-292.10000000000014</v>
      </c>
    </row>
    <row r="7786" spans="1:4" x14ac:dyDescent="0.2">
      <c r="A7786" s="19" t="s">
        <v>152</v>
      </c>
      <c r="B7786" s="19">
        <v>185.376</v>
      </c>
      <c r="C7786" s="19">
        <v>2</v>
      </c>
      <c r="D7786" s="19">
        <v>-34.758000000000017</v>
      </c>
    </row>
    <row r="7787" spans="1:4" x14ac:dyDescent="0.2">
      <c r="A7787" s="19" t="s">
        <v>164</v>
      </c>
      <c r="B7787" s="19">
        <v>25.06</v>
      </c>
      <c r="C7787" s="19">
        <v>2</v>
      </c>
      <c r="D7787" s="19">
        <v>11.778199999999998</v>
      </c>
    </row>
    <row r="7788" spans="1:4" x14ac:dyDescent="0.2">
      <c r="A7788" s="19" t="s">
        <v>159</v>
      </c>
      <c r="B7788" s="19">
        <v>2.8899999999999992</v>
      </c>
      <c r="C7788" s="19">
        <v>1</v>
      </c>
      <c r="D7788" s="19">
        <v>-4.7685000000000013</v>
      </c>
    </row>
    <row r="7789" spans="1:4" x14ac:dyDescent="0.2">
      <c r="A7789" s="19" t="s">
        <v>159</v>
      </c>
      <c r="B7789" s="19">
        <v>7.8960000000000008</v>
      </c>
      <c r="C7789" s="19">
        <v>3</v>
      </c>
      <c r="D7789" s="19">
        <v>2.4674999999999994</v>
      </c>
    </row>
    <row r="7790" spans="1:4" x14ac:dyDescent="0.2">
      <c r="A7790" s="19" t="s">
        <v>159</v>
      </c>
      <c r="B7790" s="19">
        <v>22.608000000000001</v>
      </c>
      <c r="C7790" s="19">
        <v>3</v>
      </c>
      <c r="D7790" s="19">
        <v>-10.173599999999997</v>
      </c>
    </row>
    <row r="7791" spans="1:4" x14ac:dyDescent="0.2">
      <c r="A7791" s="19" t="s">
        <v>159</v>
      </c>
      <c r="B7791" s="19">
        <v>30.527999999999999</v>
      </c>
      <c r="C7791" s="19">
        <v>8</v>
      </c>
      <c r="D7791" s="19">
        <v>9.5399999999999974</v>
      </c>
    </row>
    <row r="7792" spans="1:4" x14ac:dyDescent="0.2">
      <c r="A7792" s="19" t="s">
        <v>158</v>
      </c>
      <c r="B7792" s="19">
        <v>4.8420000000000005</v>
      </c>
      <c r="C7792" s="19">
        <v>3</v>
      </c>
      <c r="D7792" s="19">
        <v>-3.3893999999999984</v>
      </c>
    </row>
    <row r="7793" spans="1:4" x14ac:dyDescent="0.2">
      <c r="A7793" s="19" t="s">
        <v>159</v>
      </c>
      <c r="B7793" s="19">
        <v>1.7999999999999996</v>
      </c>
      <c r="C7793" s="19">
        <v>5</v>
      </c>
      <c r="D7793" s="19">
        <v>-2.8800000000000008</v>
      </c>
    </row>
    <row r="7794" spans="1:4" x14ac:dyDescent="0.2">
      <c r="A7794" s="19" t="s">
        <v>154</v>
      </c>
      <c r="B7794" s="19">
        <v>39.984000000000002</v>
      </c>
      <c r="C7794" s="19">
        <v>2</v>
      </c>
      <c r="D7794" s="19">
        <v>-1.4994000000000067</v>
      </c>
    </row>
    <row r="7795" spans="1:4" x14ac:dyDescent="0.2">
      <c r="A7795" s="19" t="s">
        <v>181</v>
      </c>
      <c r="B7795" s="19">
        <v>32.400000000000006</v>
      </c>
      <c r="C7795" s="19">
        <v>5</v>
      </c>
      <c r="D7795" s="19">
        <v>15.876000000000001</v>
      </c>
    </row>
    <row r="7796" spans="1:4" x14ac:dyDescent="0.2">
      <c r="A7796" s="19" t="s">
        <v>181</v>
      </c>
      <c r="B7796" s="19">
        <v>97.88</v>
      </c>
      <c r="C7796" s="19">
        <v>2</v>
      </c>
      <c r="D7796" s="19">
        <v>48.94</v>
      </c>
    </row>
    <row r="7797" spans="1:4" x14ac:dyDescent="0.2">
      <c r="A7797" s="19" t="s">
        <v>154</v>
      </c>
      <c r="B7797" s="19">
        <v>307.16800000000001</v>
      </c>
      <c r="C7797" s="19">
        <v>4</v>
      </c>
      <c r="D7797" s="19">
        <v>30.716800000000006</v>
      </c>
    </row>
    <row r="7798" spans="1:4" x14ac:dyDescent="0.2">
      <c r="A7798" s="19" t="s">
        <v>178</v>
      </c>
      <c r="B7798" s="19">
        <v>26.9</v>
      </c>
      <c r="C7798" s="19">
        <v>5</v>
      </c>
      <c r="D7798" s="19">
        <v>13.181000000000001</v>
      </c>
    </row>
    <row r="7799" spans="1:4" x14ac:dyDescent="0.2">
      <c r="A7799" s="19" t="s">
        <v>164</v>
      </c>
      <c r="B7799" s="19">
        <v>47.01</v>
      </c>
      <c r="C7799" s="19">
        <v>3</v>
      </c>
      <c r="D7799" s="19">
        <v>22.094699999999996</v>
      </c>
    </row>
    <row r="7800" spans="1:4" x14ac:dyDescent="0.2">
      <c r="A7800" s="19" t="s">
        <v>164</v>
      </c>
      <c r="B7800" s="19">
        <v>469.99</v>
      </c>
      <c r="C7800" s="19">
        <v>1</v>
      </c>
      <c r="D7800" s="19">
        <v>136.29709999999994</v>
      </c>
    </row>
    <row r="7801" spans="1:4" x14ac:dyDescent="0.2">
      <c r="A7801" s="19" t="s">
        <v>164</v>
      </c>
      <c r="B7801" s="19">
        <v>207.84600000000003</v>
      </c>
      <c r="C7801" s="19">
        <v>3</v>
      </c>
      <c r="D7801" s="19">
        <v>2.3093999999999895</v>
      </c>
    </row>
    <row r="7802" spans="1:4" x14ac:dyDescent="0.2">
      <c r="A7802" s="19" t="s">
        <v>158</v>
      </c>
      <c r="B7802" s="19">
        <v>324.74400000000003</v>
      </c>
      <c r="C7802" s="19">
        <v>3</v>
      </c>
      <c r="D7802" s="19">
        <v>-77.126699999999971</v>
      </c>
    </row>
    <row r="7803" spans="1:4" x14ac:dyDescent="0.2">
      <c r="A7803" s="19" t="s">
        <v>150</v>
      </c>
      <c r="B7803" s="19">
        <v>40.479999999999997</v>
      </c>
      <c r="C7803" s="19">
        <v>2</v>
      </c>
      <c r="D7803" s="19">
        <v>14.572799999999997</v>
      </c>
    </row>
    <row r="7804" spans="1:4" x14ac:dyDescent="0.2">
      <c r="A7804" s="19" t="s">
        <v>167</v>
      </c>
      <c r="B7804" s="19">
        <v>12</v>
      </c>
      <c r="C7804" s="19">
        <v>4</v>
      </c>
      <c r="D7804" s="19">
        <v>4.1999999999999993</v>
      </c>
    </row>
    <row r="7805" spans="1:4" x14ac:dyDescent="0.2">
      <c r="A7805" s="19" t="s">
        <v>167</v>
      </c>
      <c r="B7805" s="19">
        <v>720.06400000000008</v>
      </c>
      <c r="C7805" s="19">
        <v>4</v>
      </c>
      <c r="D7805" s="19">
        <v>-63.005600000000015</v>
      </c>
    </row>
    <row r="7806" spans="1:4" x14ac:dyDescent="0.2">
      <c r="A7806" s="19" t="s">
        <v>167</v>
      </c>
      <c r="B7806" s="19">
        <v>25.424000000000003</v>
      </c>
      <c r="C7806" s="19">
        <v>1</v>
      </c>
      <c r="D7806" s="19">
        <v>-4.7670000000000021</v>
      </c>
    </row>
    <row r="7807" spans="1:4" x14ac:dyDescent="0.2">
      <c r="A7807" s="19" t="s">
        <v>167</v>
      </c>
      <c r="B7807" s="19">
        <v>2.8160000000000003</v>
      </c>
      <c r="C7807" s="19">
        <v>2</v>
      </c>
      <c r="D7807" s="19">
        <v>0.31679999999999986</v>
      </c>
    </row>
    <row r="7808" spans="1:4" x14ac:dyDescent="0.2">
      <c r="A7808" s="19" t="s">
        <v>167</v>
      </c>
      <c r="B7808" s="19">
        <v>3.2040000000000002</v>
      </c>
      <c r="C7808" s="19">
        <v>2</v>
      </c>
      <c r="D7808" s="19">
        <v>-2.5631999999999993</v>
      </c>
    </row>
    <row r="7809" spans="1:4" x14ac:dyDescent="0.2">
      <c r="A7809" s="19" t="s">
        <v>152</v>
      </c>
      <c r="B7809" s="19">
        <v>30.828000000000007</v>
      </c>
      <c r="C7809" s="19">
        <v>7</v>
      </c>
      <c r="D7809" s="19">
        <v>-24.662400000000005</v>
      </c>
    </row>
    <row r="7810" spans="1:4" x14ac:dyDescent="0.2">
      <c r="A7810" s="19" t="s">
        <v>152</v>
      </c>
      <c r="B7810" s="19">
        <v>47.616</v>
      </c>
      <c r="C7810" s="19">
        <v>3</v>
      </c>
      <c r="D7810" s="19">
        <v>5.9519999999999946</v>
      </c>
    </row>
    <row r="7811" spans="1:4" x14ac:dyDescent="0.2">
      <c r="A7811" s="19" t="s">
        <v>152</v>
      </c>
      <c r="B7811" s="19">
        <v>108.78399999999999</v>
      </c>
      <c r="C7811" s="19">
        <v>2</v>
      </c>
      <c r="D7811" s="19">
        <v>10.878399999999999</v>
      </c>
    </row>
    <row r="7812" spans="1:4" x14ac:dyDescent="0.2">
      <c r="A7812" s="19" t="s">
        <v>187</v>
      </c>
      <c r="B7812" s="19">
        <v>4.7699999999999996</v>
      </c>
      <c r="C7812" s="19">
        <v>1</v>
      </c>
      <c r="D7812" s="19">
        <v>2.1464999999999996</v>
      </c>
    </row>
    <row r="7813" spans="1:4" x14ac:dyDescent="0.2">
      <c r="A7813" s="19" t="s">
        <v>187</v>
      </c>
      <c r="B7813" s="19">
        <v>7.98</v>
      </c>
      <c r="C7813" s="19">
        <v>3</v>
      </c>
      <c r="D7813" s="19">
        <v>2.0747999999999998</v>
      </c>
    </row>
    <row r="7814" spans="1:4" x14ac:dyDescent="0.2">
      <c r="A7814" s="19" t="s">
        <v>187</v>
      </c>
      <c r="B7814" s="19">
        <v>550.43100000000004</v>
      </c>
      <c r="C7814" s="19">
        <v>3</v>
      </c>
      <c r="D7814" s="19">
        <v>-47.179800000000029</v>
      </c>
    </row>
    <row r="7815" spans="1:4" x14ac:dyDescent="0.2">
      <c r="A7815" s="19" t="s">
        <v>187</v>
      </c>
      <c r="B7815" s="19">
        <v>10.56</v>
      </c>
      <c r="C7815" s="19">
        <v>6</v>
      </c>
      <c r="D7815" s="19">
        <v>4.6464000000000008</v>
      </c>
    </row>
    <row r="7816" spans="1:4" x14ac:dyDescent="0.2">
      <c r="A7816" s="19" t="s">
        <v>150</v>
      </c>
      <c r="B7816" s="19">
        <v>1497.6659999999999</v>
      </c>
      <c r="C7816" s="19">
        <v>2</v>
      </c>
      <c r="D7816" s="19">
        <v>140.95680000000004</v>
      </c>
    </row>
    <row r="7817" spans="1:4" x14ac:dyDescent="0.2">
      <c r="A7817" s="19" t="s">
        <v>150</v>
      </c>
      <c r="B7817" s="19">
        <v>17.52</v>
      </c>
      <c r="C7817" s="19">
        <v>2</v>
      </c>
      <c r="D7817" s="19">
        <v>-3.5040000000000022</v>
      </c>
    </row>
    <row r="7818" spans="1:4" x14ac:dyDescent="0.2">
      <c r="A7818" s="19" t="s">
        <v>181</v>
      </c>
      <c r="B7818" s="19">
        <v>113.22</v>
      </c>
      <c r="C7818" s="19">
        <v>3</v>
      </c>
      <c r="D7818" s="19">
        <v>29.437200000000001</v>
      </c>
    </row>
    <row r="7819" spans="1:4" x14ac:dyDescent="0.2">
      <c r="A7819" s="19" t="s">
        <v>181</v>
      </c>
      <c r="B7819" s="19">
        <v>35.880000000000003</v>
      </c>
      <c r="C7819" s="19">
        <v>6</v>
      </c>
      <c r="D7819" s="19">
        <v>17.581200000000003</v>
      </c>
    </row>
    <row r="7820" spans="1:4" x14ac:dyDescent="0.2">
      <c r="A7820" s="19" t="s">
        <v>181</v>
      </c>
      <c r="B7820" s="19">
        <v>4535.9760000000006</v>
      </c>
      <c r="C7820" s="19">
        <v>3</v>
      </c>
      <c r="D7820" s="19">
        <v>1644.2912999999999</v>
      </c>
    </row>
    <row r="7821" spans="1:4" x14ac:dyDescent="0.2">
      <c r="A7821" s="19" t="s">
        <v>150</v>
      </c>
      <c r="B7821" s="19">
        <v>11.84</v>
      </c>
      <c r="C7821" s="19">
        <v>8</v>
      </c>
      <c r="D7821" s="19">
        <v>5.6831999999999994</v>
      </c>
    </row>
    <row r="7822" spans="1:4" x14ac:dyDescent="0.2">
      <c r="A7822" s="19" t="s">
        <v>182</v>
      </c>
      <c r="B7822" s="19">
        <v>592.74</v>
      </c>
      <c r="C7822" s="19">
        <v>6</v>
      </c>
      <c r="D7822" s="19">
        <v>160.03979999999999</v>
      </c>
    </row>
    <row r="7823" spans="1:4" x14ac:dyDescent="0.2">
      <c r="A7823" s="19" t="s">
        <v>167</v>
      </c>
      <c r="B7823" s="19">
        <v>111.67200000000001</v>
      </c>
      <c r="C7823" s="19">
        <v>9</v>
      </c>
      <c r="D7823" s="19">
        <v>6.9794999999999909</v>
      </c>
    </row>
    <row r="7824" spans="1:4" x14ac:dyDescent="0.2">
      <c r="A7824" s="19" t="s">
        <v>162</v>
      </c>
      <c r="B7824" s="19">
        <v>8.64</v>
      </c>
      <c r="C7824" s="19">
        <v>3</v>
      </c>
      <c r="D7824" s="19">
        <v>2.5055999999999998</v>
      </c>
    </row>
    <row r="7825" spans="1:4" x14ac:dyDescent="0.2">
      <c r="A7825" s="19" t="s">
        <v>162</v>
      </c>
      <c r="B7825" s="19">
        <v>149.97</v>
      </c>
      <c r="C7825" s="19">
        <v>3</v>
      </c>
      <c r="D7825" s="19">
        <v>52.489499999999992</v>
      </c>
    </row>
    <row r="7826" spans="1:4" x14ac:dyDescent="0.2">
      <c r="A7826" s="19" t="s">
        <v>150</v>
      </c>
      <c r="B7826" s="19">
        <v>232.88</v>
      </c>
      <c r="C7826" s="19">
        <v>5</v>
      </c>
      <c r="D7826" s="19">
        <v>17.466000000000008</v>
      </c>
    </row>
    <row r="7827" spans="1:4" x14ac:dyDescent="0.2">
      <c r="A7827" s="19" t="s">
        <v>164</v>
      </c>
      <c r="B7827" s="19">
        <v>90.882000000000005</v>
      </c>
      <c r="C7827" s="19">
        <v>1</v>
      </c>
      <c r="D7827" s="19">
        <v>15.147000000000004</v>
      </c>
    </row>
    <row r="7828" spans="1:4" x14ac:dyDescent="0.2">
      <c r="A7828" s="19" t="s">
        <v>159</v>
      </c>
      <c r="B7828" s="19">
        <v>508.76800000000003</v>
      </c>
      <c r="C7828" s="19">
        <v>4</v>
      </c>
      <c r="D7828" s="19">
        <v>38.157600000000002</v>
      </c>
    </row>
    <row r="7829" spans="1:4" x14ac:dyDescent="0.2">
      <c r="A7829" s="19" t="s">
        <v>159</v>
      </c>
      <c r="B7829" s="19">
        <v>9.9120000000000008</v>
      </c>
      <c r="C7829" s="19">
        <v>3</v>
      </c>
      <c r="D7829" s="19">
        <v>3.2213999999999996</v>
      </c>
    </row>
    <row r="7830" spans="1:4" x14ac:dyDescent="0.2">
      <c r="A7830" s="19" t="s">
        <v>150</v>
      </c>
      <c r="B7830" s="19">
        <v>63.936000000000007</v>
      </c>
      <c r="C7830" s="19">
        <v>3</v>
      </c>
      <c r="D7830" s="19">
        <v>6.3935999999999957</v>
      </c>
    </row>
    <row r="7831" spans="1:4" x14ac:dyDescent="0.2">
      <c r="A7831" s="19" t="s">
        <v>150</v>
      </c>
      <c r="B7831" s="19">
        <v>59.519999999999996</v>
      </c>
      <c r="C7831" s="19">
        <v>3</v>
      </c>
      <c r="D7831" s="19">
        <v>15.475200000000001</v>
      </c>
    </row>
    <row r="7832" spans="1:4" x14ac:dyDescent="0.2">
      <c r="A7832" s="19" t="s">
        <v>150</v>
      </c>
      <c r="B7832" s="19">
        <v>311.97600000000006</v>
      </c>
      <c r="C7832" s="19">
        <v>3</v>
      </c>
      <c r="D7832" s="19">
        <v>38.996999999999986</v>
      </c>
    </row>
    <row r="7833" spans="1:4" x14ac:dyDescent="0.2">
      <c r="A7833" s="19" t="s">
        <v>150</v>
      </c>
      <c r="B7833" s="19">
        <v>50.352000000000004</v>
      </c>
      <c r="C7833" s="19">
        <v>3</v>
      </c>
      <c r="D7833" s="19">
        <v>17.623199999999997</v>
      </c>
    </row>
    <row r="7834" spans="1:4" x14ac:dyDescent="0.2">
      <c r="A7834" s="19" t="s">
        <v>154</v>
      </c>
      <c r="B7834" s="19">
        <v>19.136000000000003</v>
      </c>
      <c r="C7834" s="19">
        <v>2</v>
      </c>
      <c r="D7834" s="19">
        <v>1.9136000000000006</v>
      </c>
    </row>
    <row r="7835" spans="1:4" x14ac:dyDescent="0.2">
      <c r="A7835" s="19" t="s">
        <v>151</v>
      </c>
      <c r="B7835" s="19">
        <v>13.120000000000001</v>
      </c>
      <c r="C7835" s="19">
        <v>5</v>
      </c>
      <c r="D7835" s="19">
        <v>2.1319999999999988</v>
      </c>
    </row>
    <row r="7836" spans="1:4" x14ac:dyDescent="0.2">
      <c r="A7836" s="19" t="s">
        <v>150</v>
      </c>
      <c r="B7836" s="19">
        <v>241.56799999999998</v>
      </c>
      <c r="C7836" s="19">
        <v>2</v>
      </c>
      <c r="D7836" s="19">
        <v>-15.098000000000013</v>
      </c>
    </row>
    <row r="7837" spans="1:4" x14ac:dyDescent="0.2">
      <c r="A7837" s="19" t="s">
        <v>150</v>
      </c>
      <c r="B7837" s="19">
        <v>479.92</v>
      </c>
      <c r="C7837" s="19">
        <v>2</v>
      </c>
      <c r="D7837" s="19">
        <v>41.993000000000009</v>
      </c>
    </row>
    <row r="7838" spans="1:4" x14ac:dyDescent="0.2">
      <c r="A7838" s="19" t="s">
        <v>153</v>
      </c>
      <c r="B7838" s="19">
        <v>307.13600000000002</v>
      </c>
      <c r="C7838" s="19">
        <v>4</v>
      </c>
      <c r="D7838" s="19">
        <v>-11.51760000000003</v>
      </c>
    </row>
    <row r="7839" spans="1:4" x14ac:dyDescent="0.2">
      <c r="A7839" s="19" t="s">
        <v>153</v>
      </c>
      <c r="B7839" s="19">
        <v>12.6</v>
      </c>
      <c r="C7839" s="19">
        <v>2</v>
      </c>
      <c r="D7839" s="19">
        <v>5.7959999999999994</v>
      </c>
    </row>
    <row r="7840" spans="1:4" x14ac:dyDescent="0.2">
      <c r="A7840" s="19" t="s">
        <v>153</v>
      </c>
      <c r="B7840" s="19">
        <v>159.97999999999999</v>
      </c>
      <c r="C7840" s="19">
        <v>2</v>
      </c>
      <c r="D7840" s="19">
        <v>57.592799999999997</v>
      </c>
    </row>
    <row r="7841" spans="1:4" x14ac:dyDescent="0.2">
      <c r="A7841" s="19" t="s">
        <v>172</v>
      </c>
      <c r="B7841" s="19">
        <v>6.12</v>
      </c>
      <c r="C7841" s="19">
        <v>3</v>
      </c>
      <c r="D7841" s="19">
        <v>2.8763999999999994</v>
      </c>
    </row>
    <row r="7842" spans="1:4" x14ac:dyDescent="0.2">
      <c r="A7842" s="19" t="s">
        <v>172</v>
      </c>
      <c r="B7842" s="19">
        <v>1184.72</v>
      </c>
      <c r="C7842" s="19">
        <v>4</v>
      </c>
      <c r="D7842" s="19">
        <v>106.62480000000005</v>
      </c>
    </row>
    <row r="7843" spans="1:4" x14ac:dyDescent="0.2">
      <c r="A7843" s="19" t="s">
        <v>164</v>
      </c>
      <c r="B7843" s="19">
        <v>45.96</v>
      </c>
      <c r="C7843" s="19">
        <v>2</v>
      </c>
      <c r="D7843" s="19">
        <v>13.787999999999997</v>
      </c>
    </row>
    <row r="7844" spans="1:4" x14ac:dyDescent="0.2">
      <c r="A7844" s="19" t="s">
        <v>166</v>
      </c>
      <c r="B7844" s="19">
        <v>58.050000000000004</v>
      </c>
      <c r="C7844" s="19">
        <v>3</v>
      </c>
      <c r="D7844" s="19">
        <v>26.702999999999999</v>
      </c>
    </row>
    <row r="7845" spans="1:4" x14ac:dyDescent="0.2">
      <c r="A7845" s="19" t="s">
        <v>166</v>
      </c>
      <c r="B7845" s="19">
        <v>71.28</v>
      </c>
      <c r="C7845" s="19">
        <v>11</v>
      </c>
      <c r="D7845" s="19">
        <v>34.214400000000005</v>
      </c>
    </row>
    <row r="7846" spans="1:4" x14ac:dyDescent="0.2">
      <c r="A7846" s="19" t="s">
        <v>154</v>
      </c>
      <c r="B7846" s="19">
        <v>124.404</v>
      </c>
      <c r="C7846" s="19">
        <v>4</v>
      </c>
      <c r="D7846" s="19">
        <v>-21.3264</v>
      </c>
    </row>
    <row r="7847" spans="1:4" x14ac:dyDescent="0.2">
      <c r="A7847" s="19" t="s">
        <v>166</v>
      </c>
      <c r="B7847" s="19">
        <v>154.9</v>
      </c>
      <c r="C7847" s="19">
        <v>5</v>
      </c>
      <c r="D7847" s="19">
        <v>69.704999999999998</v>
      </c>
    </row>
    <row r="7848" spans="1:4" x14ac:dyDescent="0.2">
      <c r="A7848" s="19" t="s">
        <v>166</v>
      </c>
      <c r="B7848" s="19">
        <v>1871.88</v>
      </c>
      <c r="C7848" s="19">
        <v>12</v>
      </c>
      <c r="D7848" s="19">
        <v>561.56399999999996</v>
      </c>
    </row>
    <row r="7849" spans="1:4" x14ac:dyDescent="0.2">
      <c r="A7849" s="19" t="s">
        <v>154</v>
      </c>
      <c r="B7849" s="19">
        <v>16.192</v>
      </c>
      <c r="C7849" s="19">
        <v>2</v>
      </c>
      <c r="D7849" s="19">
        <v>-6.8815999999999953</v>
      </c>
    </row>
    <row r="7850" spans="1:4" x14ac:dyDescent="0.2">
      <c r="A7850" s="19" t="s">
        <v>154</v>
      </c>
      <c r="B7850" s="19">
        <v>18.936</v>
      </c>
      <c r="C7850" s="19">
        <v>3</v>
      </c>
      <c r="D7850" s="19">
        <v>-3.787200000000003</v>
      </c>
    </row>
    <row r="7851" spans="1:4" x14ac:dyDescent="0.2">
      <c r="A7851" s="19" t="s">
        <v>154</v>
      </c>
      <c r="B7851" s="19">
        <v>12.672000000000001</v>
      </c>
      <c r="C7851" s="19">
        <v>3</v>
      </c>
      <c r="D7851" s="19">
        <v>-3.1680000000000001</v>
      </c>
    </row>
    <row r="7852" spans="1:4" x14ac:dyDescent="0.2">
      <c r="A7852" s="19" t="s">
        <v>154</v>
      </c>
      <c r="B7852" s="19">
        <v>5.04</v>
      </c>
      <c r="C7852" s="19">
        <v>2</v>
      </c>
      <c r="D7852" s="19">
        <v>1.764</v>
      </c>
    </row>
    <row r="7853" spans="1:4" x14ac:dyDescent="0.2">
      <c r="A7853" s="19" t="s">
        <v>159</v>
      </c>
      <c r="B7853" s="19">
        <v>8.4480000000000004</v>
      </c>
      <c r="C7853" s="19">
        <v>2</v>
      </c>
      <c r="D7853" s="19">
        <v>2.9568000000000003</v>
      </c>
    </row>
    <row r="7854" spans="1:4" x14ac:dyDescent="0.2">
      <c r="A7854" s="19" t="s">
        <v>159</v>
      </c>
      <c r="B7854" s="19">
        <v>20.387999999999995</v>
      </c>
      <c r="C7854" s="19">
        <v>2</v>
      </c>
      <c r="D7854" s="19">
        <v>-53.008800000000008</v>
      </c>
    </row>
    <row r="7855" spans="1:4" x14ac:dyDescent="0.2">
      <c r="A7855" s="19" t="s">
        <v>150</v>
      </c>
      <c r="B7855" s="19">
        <v>9.9600000000000009</v>
      </c>
      <c r="C7855" s="19">
        <v>2</v>
      </c>
      <c r="D7855" s="19">
        <v>4.8804000000000007</v>
      </c>
    </row>
    <row r="7856" spans="1:4" x14ac:dyDescent="0.2">
      <c r="A7856" s="19" t="s">
        <v>183</v>
      </c>
      <c r="B7856" s="19">
        <v>320.64</v>
      </c>
      <c r="C7856" s="19">
        <v>4</v>
      </c>
      <c r="D7856" s="19">
        <v>89.779200000000003</v>
      </c>
    </row>
    <row r="7857" spans="1:4" x14ac:dyDescent="0.2">
      <c r="A7857" s="19" t="s">
        <v>183</v>
      </c>
      <c r="B7857" s="19">
        <v>52</v>
      </c>
      <c r="C7857" s="19">
        <v>4</v>
      </c>
      <c r="D7857" s="19">
        <v>23.4</v>
      </c>
    </row>
    <row r="7858" spans="1:4" x14ac:dyDescent="0.2">
      <c r="A7858" s="19" t="s">
        <v>164</v>
      </c>
      <c r="B7858" s="19">
        <v>25.584000000000003</v>
      </c>
      <c r="C7858" s="19">
        <v>2</v>
      </c>
      <c r="D7858" s="19">
        <v>8.9543999999999997</v>
      </c>
    </row>
    <row r="7859" spans="1:4" x14ac:dyDescent="0.2">
      <c r="A7859" s="19" t="s">
        <v>164</v>
      </c>
      <c r="B7859" s="19">
        <v>464</v>
      </c>
      <c r="C7859" s="19">
        <v>5</v>
      </c>
      <c r="D7859" s="19">
        <v>134.55999999999995</v>
      </c>
    </row>
    <row r="7860" spans="1:4" x14ac:dyDescent="0.2">
      <c r="A7860" s="19" t="s">
        <v>164</v>
      </c>
      <c r="B7860" s="19">
        <v>235.95000000000002</v>
      </c>
      <c r="C7860" s="19">
        <v>3</v>
      </c>
      <c r="D7860" s="19">
        <v>77.863499999999988</v>
      </c>
    </row>
    <row r="7861" spans="1:4" x14ac:dyDescent="0.2">
      <c r="A7861" s="19" t="s">
        <v>164</v>
      </c>
      <c r="B7861" s="19">
        <v>39.96</v>
      </c>
      <c r="C7861" s="19">
        <v>4</v>
      </c>
      <c r="D7861" s="19">
        <v>17.981999999999999</v>
      </c>
    </row>
    <row r="7862" spans="1:4" x14ac:dyDescent="0.2">
      <c r="A7862" s="19" t="s">
        <v>173</v>
      </c>
      <c r="B7862" s="19">
        <v>18.528000000000002</v>
      </c>
      <c r="C7862" s="19">
        <v>4</v>
      </c>
      <c r="D7862" s="19">
        <v>-12.352</v>
      </c>
    </row>
    <row r="7863" spans="1:4" x14ac:dyDescent="0.2">
      <c r="A7863" s="19" t="s">
        <v>153</v>
      </c>
      <c r="B7863" s="19">
        <v>17.899999999999999</v>
      </c>
      <c r="C7863" s="19">
        <v>2</v>
      </c>
      <c r="D7863" s="19">
        <v>3.400999999999998</v>
      </c>
    </row>
    <row r="7864" spans="1:4" x14ac:dyDescent="0.2">
      <c r="A7864" s="19" t="s">
        <v>153</v>
      </c>
      <c r="B7864" s="19">
        <v>81.96</v>
      </c>
      <c r="C7864" s="19">
        <v>2</v>
      </c>
      <c r="D7864" s="19">
        <v>0</v>
      </c>
    </row>
    <row r="7865" spans="1:4" x14ac:dyDescent="0.2">
      <c r="A7865" s="19" t="s">
        <v>165</v>
      </c>
      <c r="B7865" s="19">
        <v>272.73599999999999</v>
      </c>
      <c r="C7865" s="19">
        <v>3</v>
      </c>
      <c r="D7865" s="19">
        <v>-64.774800000000013</v>
      </c>
    </row>
    <row r="7866" spans="1:4" x14ac:dyDescent="0.2">
      <c r="A7866" s="19" t="s">
        <v>165</v>
      </c>
      <c r="B7866" s="19">
        <v>18.496000000000002</v>
      </c>
      <c r="C7866" s="19">
        <v>4</v>
      </c>
      <c r="D7866" s="19">
        <v>6.7048000000000005</v>
      </c>
    </row>
    <row r="7867" spans="1:4" x14ac:dyDescent="0.2">
      <c r="A7867" s="19" t="s">
        <v>165</v>
      </c>
      <c r="B7867" s="19">
        <v>441.92</v>
      </c>
      <c r="C7867" s="19">
        <v>2</v>
      </c>
      <c r="D7867" s="19">
        <v>49.715999999999966</v>
      </c>
    </row>
    <row r="7868" spans="1:4" x14ac:dyDescent="0.2">
      <c r="A7868" s="19" t="s">
        <v>165</v>
      </c>
      <c r="B7868" s="19">
        <v>127.76400000000002</v>
      </c>
      <c r="C7868" s="19">
        <v>6</v>
      </c>
      <c r="D7868" s="19">
        <v>-191.64599999999996</v>
      </c>
    </row>
    <row r="7869" spans="1:4" x14ac:dyDescent="0.2">
      <c r="A7869" s="19" t="s">
        <v>156</v>
      </c>
      <c r="B7869" s="19">
        <v>166.44</v>
      </c>
      <c r="C7869" s="19">
        <v>3</v>
      </c>
      <c r="D7869" s="19">
        <v>79.891199999999998</v>
      </c>
    </row>
    <row r="7870" spans="1:4" x14ac:dyDescent="0.2">
      <c r="A7870" s="19" t="s">
        <v>150</v>
      </c>
      <c r="B7870" s="19">
        <v>13.38</v>
      </c>
      <c r="C7870" s="19">
        <v>2</v>
      </c>
      <c r="D7870" s="19">
        <v>6.1547999999999998</v>
      </c>
    </row>
    <row r="7871" spans="1:4" x14ac:dyDescent="0.2">
      <c r="A7871" s="19" t="s">
        <v>152</v>
      </c>
      <c r="B7871" s="19">
        <v>24</v>
      </c>
      <c r="C7871" s="19">
        <v>2</v>
      </c>
      <c r="D7871" s="19">
        <v>-2.6999999999999993</v>
      </c>
    </row>
    <row r="7872" spans="1:4" x14ac:dyDescent="0.2">
      <c r="A7872" s="19" t="s">
        <v>173</v>
      </c>
      <c r="B7872" s="19">
        <v>24.448</v>
      </c>
      <c r="C7872" s="19">
        <v>4</v>
      </c>
      <c r="D7872" s="19">
        <v>8.8623999999999992</v>
      </c>
    </row>
    <row r="7873" spans="1:4" x14ac:dyDescent="0.2">
      <c r="A7873" s="19" t="s">
        <v>150</v>
      </c>
      <c r="B7873" s="19">
        <v>6.16</v>
      </c>
      <c r="C7873" s="19">
        <v>2</v>
      </c>
      <c r="D7873" s="19">
        <v>2.9567999999999999</v>
      </c>
    </row>
    <row r="7874" spans="1:4" x14ac:dyDescent="0.2">
      <c r="A7874" s="19" t="s">
        <v>150</v>
      </c>
      <c r="B7874" s="19">
        <v>915.13600000000008</v>
      </c>
      <c r="C7874" s="19">
        <v>4</v>
      </c>
      <c r="D7874" s="19">
        <v>102.95279999999988</v>
      </c>
    </row>
    <row r="7875" spans="1:4" x14ac:dyDescent="0.2">
      <c r="A7875" s="19" t="s">
        <v>150</v>
      </c>
      <c r="B7875" s="19">
        <v>8.56</v>
      </c>
      <c r="C7875" s="19">
        <v>2</v>
      </c>
      <c r="D7875" s="19">
        <v>3.8519999999999994</v>
      </c>
    </row>
    <row r="7876" spans="1:4" x14ac:dyDescent="0.2">
      <c r="A7876" s="19" t="s">
        <v>150</v>
      </c>
      <c r="B7876" s="19">
        <v>97.82</v>
      </c>
      <c r="C7876" s="19">
        <v>2</v>
      </c>
      <c r="D7876" s="19">
        <v>45.975399999999993</v>
      </c>
    </row>
    <row r="7877" spans="1:4" x14ac:dyDescent="0.2">
      <c r="A7877" s="19" t="s">
        <v>170</v>
      </c>
      <c r="B7877" s="19">
        <v>31.104000000000006</v>
      </c>
      <c r="C7877" s="19">
        <v>6</v>
      </c>
      <c r="D7877" s="19">
        <v>11.2752</v>
      </c>
    </row>
    <row r="7878" spans="1:4" x14ac:dyDescent="0.2">
      <c r="A7878" s="19" t="s">
        <v>170</v>
      </c>
      <c r="B7878" s="19">
        <v>11.176000000000002</v>
      </c>
      <c r="C7878" s="19">
        <v>1</v>
      </c>
      <c r="D7878" s="19">
        <v>0.8382000000000005</v>
      </c>
    </row>
    <row r="7879" spans="1:4" x14ac:dyDescent="0.2">
      <c r="A7879" s="19" t="s">
        <v>152</v>
      </c>
      <c r="B7879" s="19">
        <v>5.04</v>
      </c>
      <c r="C7879" s="19">
        <v>2</v>
      </c>
      <c r="D7879" s="19">
        <v>1.764</v>
      </c>
    </row>
    <row r="7880" spans="1:4" x14ac:dyDescent="0.2">
      <c r="A7880" s="19" t="s">
        <v>159</v>
      </c>
      <c r="B7880" s="19">
        <v>242.17600000000004</v>
      </c>
      <c r="C7880" s="19">
        <v>4</v>
      </c>
      <c r="D7880" s="19">
        <v>-302.72000000000003</v>
      </c>
    </row>
    <row r="7881" spans="1:4" x14ac:dyDescent="0.2">
      <c r="A7881" s="19" t="s">
        <v>158</v>
      </c>
      <c r="B7881" s="19">
        <v>337.17599999999999</v>
      </c>
      <c r="C7881" s="19">
        <v>2</v>
      </c>
      <c r="D7881" s="19">
        <v>-118.01160000000002</v>
      </c>
    </row>
    <row r="7882" spans="1:4" x14ac:dyDescent="0.2">
      <c r="A7882" s="19" t="s">
        <v>171</v>
      </c>
      <c r="B7882" s="19">
        <v>13.343999999999998</v>
      </c>
      <c r="C7882" s="19">
        <v>6</v>
      </c>
      <c r="D7882" s="19">
        <v>1.0007999999999999</v>
      </c>
    </row>
    <row r="7883" spans="1:4" x14ac:dyDescent="0.2">
      <c r="A7883" s="19" t="s">
        <v>171</v>
      </c>
      <c r="B7883" s="19">
        <v>76.75200000000001</v>
      </c>
      <c r="C7883" s="19">
        <v>6</v>
      </c>
      <c r="D7883" s="19">
        <v>10.553399999999993</v>
      </c>
    </row>
    <row r="7884" spans="1:4" x14ac:dyDescent="0.2">
      <c r="A7884" s="19" t="s">
        <v>171</v>
      </c>
      <c r="B7884" s="19">
        <v>102.33600000000001</v>
      </c>
      <c r="C7884" s="19">
        <v>8</v>
      </c>
      <c r="D7884" s="19">
        <v>14.07119999999999</v>
      </c>
    </row>
    <row r="7885" spans="1:4" x14ac:dyDescent="0.2">
      <c r="A7885" s="19" t="s">
        <v>171</v>
      </c>
      <c r="B7885" s="19">
        <v>10.32</v>
      </c>
      <c r="C7885" s="19">
        <v>2</v>
      </c>
      <c r="D7885" s="19">
        <v>3.7409999999999997</v>
      </c>
    </row>
    <row r="7886" spans="1:4" x14ac:dyDescent="0.2">
      <c r="A7886" s="19" t="s">
        <v>171</v>
      </c>
      <c r="B7886" s="19">
        <v>47.32</v>
      </c>
      <c r="C7886" s="19">
        <v>7</v>
      </c>
      <c r="D7886" s="19">
        <v>5.9149999999999938</v>
      </c>
    </row>
    <row r="7887" spans="1:4" x14ac:dyDescent="0.2">
      <c r="A7887" s="19" t="s">
        <v>171</v>
      </c>
      <c r="B7887" s="19">
        <v>23.376000000000001</v>
      </c>
      <c r="C7887" s="19">
        <v>3</v>
      </c>
      <c r="D7887" s="19">
        <v>7.0128000000000013</v>
      </c>
    </row>
    <row r="7888" spans="1:4" x14ac:dyDescent="0.2">
      <c r="A7888" s="19" t="s">
        <v>171</v>
      </c>
      <c r="B7888" s="19">
        <v>16.72</v>
      </c>
      <c r="C7888" s="19">
        <v>5</v>
      </c>
      <c r="D7888" s="19">
        <v>3.3439999999999994</v>
      </c>
    </row>
    <row r="7889" spans="1:4" x14ac:dyDescent="0.2">
      <c r="A7889" s="19" t="s">
        <v>171</v>
      </c>
      <c r="B7889" s="19">
        <v>16.192</v>
      </c>
      <c r="C7889" s="19">
        <v>1</v>
      </c>
      <c r="D7889" s="19">
        <v>4.6552000000000007</v>
      </c>
    </row>
    <row r="7890" spans="1:4" x14ac:dyDescent="0.2">
      <c r="A7890" s="19" t="s">
        <v>150</v>
      </c>
      <c r="B7890" s="19">
        <v>32.400000000000006</v>
      </c>
      <c r="C7890" s="19">
        <v>5</v>
      </c>
      <c r="D7890" s="19">
        <v>15.552000000000001</v>
      </c>
    </row>
    <row r="7891" spans="1:4" x14ac:dyDescent="0.2">
      <c r="A7891" s="19" t="s">
        <v>184</v>
      </c>
      <c r="B7891" s="19">
        <v>19.89</v>
      </c>
      <c r="C7891" s="19">
        <v>9</v>
      </c>
      <c r="D7891" s="19">
        <v>5.3703000000000003</v>
      </c>
    </row>
    <row r="7892" spans="1:4" x14ac:dyDescent="0.2">
      <c r="A7892" s="19" t="s">
        <v>184</v>
      </c>
      <c r="B7892" s="19">
        <v>399.98</v>
      </c>
      <c r="C7892" s="19">
        <v>2</v>
      </c>
      <c r="D7892" s="19">
        <v>171.99140000000003</v>
      </c>
    </row>
    <row r="7893" spans="1:4" x14ac:dyDescent="0.2">
      <c r="A7893" s="19" t="s">
        <v>184</v>
      </c>
      <c r="B7893" s="19">
        <v>343.84999999999997</v>
      </c>
      <c r="C7893" s="19">
        <v>5</v>
      </c>
      <c r="D7893" s="19">
        <v>137.54000000000002</v>
      </c>
    </row>
    <row r="7894" spans="1:4" x14ac:dyDescent="0.2">
      <c r="A7894" s="19" t="s">
        <v>184</v>
      </c>
      <c r="B7894" s="19">
        <v>106.32</v>
      </c>
      <c r="C7894" s="19">
        <v>3</v>
      </c>
      <c r="D7894" s="19">
        <v>49.970399999999991</v>
      </c>
    </row>
    <row r="7895" spans="1:4" x14ac:dyDescent="0.2">
      <c r="A7895" s="19" t="s">
        <v>164</v>
      </c>
      <c r="B7895" s="19">
        <v>13.919999999999998</v>
      </c>
      <c r="C7895" s="19">
        <v>3</v>
      </c>
      <c r="D7895" s="19">
        <v>4.3500000000000005</v>
      </c>
    </row>
    <row r="7896" spans="1:4" x14ac:dyDescent="0.2">
      <c r="A7896" s="19" t="s">
        <v>196</v>
      </c>
      <c r="B7896" s="19">
        <v>82.4</v>
      </c>
      <c r="C7896" s="19">
        <v>5</v>
      </c>
      <c r="D7896" s="19">
        <v>40.376000000000005</v>
      </c>
    </row>
    <row r="7897" spans="1:4" x14ac:dyDescent="0.2">
      <c r="A7897" s="19" t="s">
        <v>196</v>
      </c>
      <c r="B7897" s="19">
        <v>6.24</v>
      </c>
      <c r="C7897" s="19">
        <v>2</v>
      </c>
      <c r="D7897" s="19">
        <v>3.0575999999999999</v>
      </c>
    </row>
    <row r="7898" spans="1:4" x14ac:dyDescent="0.2">
      <c r="A7898" s="19" t="s">
        <v>196</v>
      </c>
      <c r="B7898" s="19">
        <v>447.84</v>
      </c>
      <c r="C7898" s="19">
        <v>8</v>
      </c>
      <c r="D7898" s="19">
        <v>219.44159999999999</v>
      </c>
    </row>
    <row r="7899" spans="1:4" x14ac:dyDescent="0.2">
      <c r="A7899" s="19" t="s">
        <v>167</v>
      </c>
      <c r="B7899" s="19">
        <v>272.048</v>
      </c>
      <c r="C7899" s="19">
        <v>7</v>
      </c>
      <c r="D7899" s="19">
        <v>30.605399999999946</v>
      </c>
    </row>
    <row r="7900" spans="1:4" x14ac:dyDescent="0.2">
      <c r="A7900" s="19" t="s">
        <v>167</v>
      </c>
      <c r="B7900" s="19">
        <v>1614.5820000000003</v>
      </c>
      <c r="C7900" s="19">
        <v>6</v>
      </c>
      <c r="D7900" s="19">
        <v>-1237.8461999999995</v>
      </c>
    </row>
    <row r="7901" spans="1:4" x14ac:dyDescent="0.2">
      <c r="A7901" s="19" t="s">
        <v>167</v>
      </c>
      <c r="B7901" s="19">
        <v>24.320000000000004</v>
      </c>
      <c r="C7901" s="19">
        <v>5</v>
      </c>
      <c r="D7901" s="19">
        <v>9.1199999999999974</v>
      </c>
    </row>
    <row r="7902" spans="1:4" x14ac:dyDescent="0.2">
      <c r="A7902" s="19" t="s">
        <v>167</v>
      </c>
      <c r="B7902" s="19">
        <v>1.5840000000000001</v>
      </c>
      <c r="C7902" s="19">
        <v>2</v>
      </c>
      <c r="D7902" s="19">
        <v>0.47520000000000018</v>
      </c>
    </row>
    <row r="7903" spans="1:4" x14ac:dyDescent="0.2">
      <c r="A7903" s="19" t="s">
        <v>167</v>
      </c>
      <c r="B7903" s="19">
        <v>31.983999999999998</v>
      </c>
      <c r="C7903" s="19">
        <v>1</v>
      </c>
      <c r="D7903" s="19">
        <v>0</v>
      </c>
    </row>
    <row r="7904" spans="1:4" x14ac:dyDescent="0.2">
      <c r="A7904" s="19" t="s">
        <v>167</v>
      </c>
      <c r="B7904" s="19">
        <v>14.76</v>
      </c>
      <c r="C7904" s="19">
        <v>5</v>
      </c>
      <c r="D7904" s="19">
        <v>4.7969999999999988</v>
      </c>
    </row>
    <row r="7905" spans="1:4" x14ac:dyDescent="0.2">
      <c r="A7905" s="19" t="s">
        <v>167</v>
      </c>
      <c r="B7905" s="19">
        <v>423.64799999999997</v>
      </c>
      <c r="C7905" s="19">
        <v>2</v>
      </c>
      <c r="D7905" s="19">
        <v>47.660399999999967</v>
      </c>
    </row>
    <row r="7906" spans="1:4" x14ac:dyDescent="0.2">
      <c r="A7906" s="19" t="s">
        <v>154</v>
      </c>
      <c r="B7906" s="19">
        <v>76.64</v>
      </c>
      <c r="C7906" s="19">
        <v>2</v>
      </c>
      <c r="D7906" s="19">
        <v>26.823999999999995</v>
      </c>
    </row>
    <row r="7907" spans="1:4" x14ac:dyDescent="0.2">
      <c r="A7907" s="19" t="s">
        <v>154</v>
      </c>
      <c r="B7907" s="19">
        <v>4.4640000000000004</v>
      </c>
      <c r="C7907" s="19">
        <v>1</v>
      </c>
      <c r="D7907" s="19">
        <v>1.6739999999999999</v>
      </c>
    </row>
    <row r="7908" spans="1:4" x14ac:dyDescent="0.2">
      <c r="A7908" s="19" t="s">
        <v>154</v>
      </c>
      <c r="B7908" s="19">
        <v>3.9599999999999991</v>
      </c>
      <c r="C7908" s="19">
        <v>10</v>
      </c>
      <c r="D7908" s="19">
        <v>-6.93</v>
      </c>
    </row>
    <row r="7909" spans="1:4" x14ac:dyDescent="0.2">
      <c r="A7909" s="19" t="s">
        <v>150</v>
      </c>
      <c r="B7909" s="19">
        <v>715.64</v>
      </c>
      <c r="C7909" s="19">
        <v>2</v>
      </c>
      <c r="D7909" s="19">
        <v>178.90999999999997</v>
      </c>
    </row>
    <row r="7910" spans="1:4" x14ac:dyDescent="0.2">
      <c r="A7910" s="19" t="s">
        <v>150</v>
      </c>
      <c r="B7910" s="19">
        <v>268.70400000000001</v>
      </c>
      <c r="C7910" s="19">
        <v>3</v>
      </c>
      <c r="D7910" s="19">
        <v>6.717599999999976</v>
      </c>
    </row>
    <row r="7911" spans="1:4" x14ac:dyDescent="0.2">
      <c r="A7911" s="19" t="s">
        <v>150</v>
      </c>
      <c r="B7911" s="19">
        <v>21.92</v>
      </c>
      <c r="C7911" s="19">
        <v>8</v>
      </c>
      <c r="D7911" s="19">
        <v>5.9184000000000019</v>
      </c>
    </row>
    <row r="7912" spans="1:4" x14ac:dyDescent="0.2">
      <c r="A7912" s="19" t="s">
        <v>150</v>
      </c>
      <c r="B7912" s="19">
        <v>48.72</v>
      </c>
      <c r="C7912" s="19">
        <v>3</v>
      </c>
      <c r="D7912" s="19">
        <v>7.3079999999999998</v>
      </c>
    </row>
    <row r="7913" spans="1:4" x14ac:dyDescent="0.2">
      <c r="A7913" s="19" t="s">
        <v>150</v>
      </c>
      <c r="B7913" s="19">
        <v>205.666</v>
      </c>
      <c r="C7913" s="19">
        <v>2</v>
      </c>
      <c r="D7913" s="19">
        <v>-12.097999999999999</v>
      </c>
    </row>
    <row r="7914" spans="1:4" x14ac:dyDescent="0.2">
      <c r="A7914" s="19" t="s">
        <v>159</v>
      </c>
      <c r="B7914" s="19">
        <v>30.344000000000001</v>
      </c>
      <c r="C7914" s="19">
        <v>2</v>
      </c>
      <c r="D7914" s="19">
        <v>-31.861200000000004</v>
      </c>
    </row>
    <row r="7915" spans="1:4" x14ac:dyDescent="0.2">
      <c r="A7915" s="19" t="s">
        <v>173</v>
      </c>
      <c r="B7915" s="19">
        <v>25.695999999999998</v>
      </c>
      <c r="C7915" s="19">
        <v>2</v>
      </c>
      <c r="D7915" s="19">
        <v>1.9271999999999991</v>
      </c>
    </row>
    <row r="7916" spans="1:4" x14ac:dyDescent="0.2">
      <c r="A7916" s="19" t="s">
        <v>164</v>
      </c>
      <c r="B7916" s="19">
        <v>3404.5</v>
      </c>
      <c r="C7916" s="19">
        <v>5</v>
      </c>
      <c r="D7916" s="19">
        <v>1668.2049999999999</v>
      </c>
    </row>
    <row r="7917" spans="1:4" x14ac:dyDescent="0.2">
      <c r="A7917" s="19" t="s">
        <v>164</v>
      </c>
      <c r="B7917" s="19">
        <v>101.34</v>
      </c>
      <c r="C7917" s="19">
        <v>3</v>
      </c>
      <c r="D7917" s="19">
        <v>8.1071999999999917</v>
      </c>
    </row>
    <row r="7918" spans="1:4" x14ac:dyDescent="0.2">
      <c r="A7918" s="19" t="s">
        <v>158</v>
      </c>
      <c r="B7918" s="19">
        <v>344.37199999999996</v>
      </c>
      <c r="C7918" s="19">
        <v>4</v>
      </c>
      <c r="D7918" s="19">
        <v>-93.472400000000022</v>
      </c>
    </row>
    <row r="7919" spans="1:4" x14ac:dyDescent="0.2">
      <c r="A7919" s="19" t="s">
        <v>154</v>
      </c>
      <c r="B7919" s="19">
        <v>30.384</v>
      </c>
      <c r="C7919" s="19">
        <v>1</v>
      </c>
      <c r="D7919" s="19">
        <v>3.7979999999999947</v>
      </c>
    </row>
    <row r="7920" spans="1:4" x14ac:dyDescent="0.2">
      <c r="A7920" s="19" t="s">
        <v>150</v>
      </c>
      <c r="B7920" s="19">
        <v>22.847999999999999</v>
      </c>
      <c r="C7920" s="19">
        <v>2</v>
      </c>
      <c r="D7920" s="19">
        <v>7.4255999999999993</v>
      </c>
    </row>
    <row r="7921" spans="1:4" x14ac:dyDescent="0.2">
      <c r="A7921" s="19" t="s">
        <v>178</v>
      </c>
      <c r="B7921" s="19">
        <v>38.619999999999997</v>
      </c>
      <c r="C7921" s="19">
        <v>2</v>
      </c>
      <c r="D7921" s="19">
        <v>10.813600000000001</v>
      </c>
    </row>
    <row r="7922" spans="1:4" x14ac:dyDescent="0.2">
      <c r="A7922" s="19" t="s">
        <v>178</v>
      </c>
      <c r="B7922" s="19">
        <v>59.98</v>
      </c>
      <c r="C7922" s="19">
        <v>2</v>
      </c>
      <c r="D7922" s="19">
        <v>10.796399999999998</v>
      </c>
    </row>
    <row r="7923" spans="1:4" x14ac:dyDescent="0.2">
      <c r="A7923" s="19" t="s">
        <v>187</v>
      </c>
      <c r="B7923" s="19">
        <v>174.3</v>
      </c>
      <c r="C7923" s="19">
        <v>3</v>
      </c>
      <c r="D7923" s="19">
        <v>81.920999999999992</v>
      </c>
    </row>
    <row r="7924" spans="1:4" x14ac:dyDescent="0.2">
      <c r="A7924" s="19" t="s">
        <v>151</v>
      </c>
      <c r="B7924" s="19">
        <v>383.96000000000004</v>
      </c>
      <c r="C7924" s="19">
        <v>5</v>
      </c>
      <c r="D7924" s="19">
        <v>38.396000000000015</v>
      </c>
    </row>
    <row r="7925" spans="1:4" x14ac:dyDescent="0.2">
      <c r="A7925" s="19" t="s">
        <v>151</v>
      </c>
      <c r="B7925" s="19">
        <v>15.570000000000004</v>
      </c>
      <c r="C7925" s="19">
        <v>3</v>
      </c>
      <c r="D7925" s="19">
        <v>-11.417999999999999</v>
      </c>
    </row>
    <row r="7926" spans="1:4" x14ac:dyDescent="0.2">
      <c r="A7926" s="19" t="s">
        <v>166</v>
      </c>
      <c r="B7926" s="19">
        <v>22.32</v>
      </c>
      <c r="C7926" s="19">
        <v>4</v>
      </c>
      <c r="D7926" s="19">
        <v>10.7136</v>
      </c>
    </row>
    <row r="7927" spans="1:4" x14ac:dyDescent="0.2">
      <c r="A7927" s="19" t="s">
        <v>166</v>
      </c>
      <c r="B7927" s="19">
        <v>103.60000000000001</v>
      </c>
      <c r="C7927" s="19">
        <v>7</v>
      </c>
      <c r="D7927" s="19">
        <v>51.800000000000004</v>
      </c>
    </row>
    <row r="7928" spans="1:4" x14ac:dyDescent="0.2">
      <c r="A7928" s="19" t="s">
        <v>164</v>
      </c>
      <c r="B7928" s="19">
        <v>2.9699999999999998</v>
      </c>
      <c r="C7928" s="19">
        <v>3</v>
      </c>
      <c r="D7928" s="19">
        <v>1.3365</v>
      </c>
    </row>
    <row r="7929" spans="1:4" x14ac:dyDescent="0.2">
      <c r="A7929" s="19" t="s">
        <v>164</v>
      </c>
      <c r="B7929" s="19">
        <v>569.99</v>
      </c>
      <c r="C7929" s="19">
        <v>1</v>
      </c>
      <c r="D7929" s="19">
        <v>170.99699999999996</v>
      </c>
    </row>
    <row r="7930" spans="1:4" x14ac:dyDescent="0.2">
      <c r="A7930" s="19" t="s">
        <v>164</v>
      </c>
      <c r="B7930" s="19">
        <v>50.97</v>
      </c>
      <c r="C7930" s="19">
        <v>3</v>
      </c>
      <c r="D7930" s="19">
        <v>9.1745999999999981</v>
      </c>
    </row>
    <row r="7931" spans="1:4" x14ac:dyDescent="0.2">
      <c r="A7931" s="19" t="s">
        <v>154</v>
      </c>
      <c r="B7931" s="19">
        <v>298.11599999999999</v>
      </c>
      <c r="C7931" s="19">
        <v>6</v>
      </c>
      <c r="D7931" s="19">
        <v>-4.2588000000000363</v>
      </c>
    </row>
    <row r="7932" spans="1:4" x14ac:dyDescent="0.2">
      <c r="A7932" s="19" t="s">
        <v>164</v>
      </c>
      <c r="B7932" s="19">
        <v>59.519999999999996</v>
      </c>
      <c r="C7932" s="19">
        <v>3</v>
      </c>
      <c r="D7932" s="19">
        <v>17.855999999999995</v>
      </c>
    </row>
    <row r="7933" spans="1:4" x14ac:dyDescent="0.2">
      <c r="A7933" s="19" t="s">
        <v>170</v>
      </c>
      <c r="B7933" s="19">
        <v>230.28000000000003</v>
      </c>
      <c r="C7933" s="19">
        <v>3</v>
      </c>
      <c r="D7933" s="19">
        <v>23.027999999999992</v>
      </c>
    </row>
    <row r="7934" spans="1:4" x14ac:dyDescent="0.2">
      <c r="A7934" s="19" t="s">
        <v>170</v>
      </c>
      <c r="B7934" s="19">
        <v>105.52</v>
      </c>
      <c r="C7934" s="19">
        <v>5</v>
      </c>
      <c r="D7934" s="19">
        <v>34.293999999999997</v>
      </c>
    </row>
    <row r="7935" spans="1:4" x14ac:dyDescent="0.2">
      <c r="A7935" s="19" t="s">
        <v>150</v>
      </c>
      <c r="B7935" s="19">
        <v>23.36</v>
      </c>
      <c r="C7935" s="19">
        <v>2</v>
      </c>
      <c r="D7935" s="19">
        <v>11.68</v>
      </c>
    </row>
    <row r="7936" spans="1:4" x14ac:dyDescent="0.2">
      <c r="A7936" s="19" t="s">
        <v>150</v>
      </c>
      <c r="B7936" s="19">
        <v>71.975999999999999</v>
      </c>
      <c r="C7936" s="19">
        <v>3</v>
      </c>
      <c r="D7936" s="19">
        <v>8.9969999999999892</v>
      </c>
    </row>
    <row r="7937" spans="1:4" x14ac:dyDescent="0.2">
      <c r="A7937" s="19" t="s">
        <v>150</v>
      </c>
      <c r="B7937" s="19">
        <v>8.56</v>
      </c>
      <c r="C7937" s="19">
        <v>2</v>
      </c>
      <c r="D7937" s="19">
        <v>3.8519999999999994</v>
      </c>
    </row>
    <row r="7938" spans="1:4" x14ac:dyDescent="0.2">
      <c r="A7938" s="19" t="s">
        <v>150</v>
      </c>
      <c r="B7938" s="19">
        <v>13.919999999999998</v>
      </c>
      <c r="C7938" s="19">
        <v>3</v>
      </c>
      <c r="D7938" s="19">
        <v>4.8720000000000008</v>
      </c>
    </row>
    <row r="7939" spans="1:4" x14ac:dyDescent="0.2">
      <c r="A7939" s="19" t="s">
        <v>150</v>
      </c>
      <c r="B7939" s="19">
        <v>2518.29</v>
      </c>
      <c r="C7939" s="19">
        <v>9</v>
      </c>
      <c r="D7939" s="19">
        <v>654.7553999999999</v>
      </c>
    </row>
    <row r="7940" spans="1:4" x14ac:dyDescent="0.2">
      <c r="A7940" s="19" t="s">
        <v>150</v>
      </c>
      <c r="B7940" s="19">
        <v>540.56999999999994</v>
      </c>
      <c r="C7940" s="19">
        <v>3</v>
      </c>
      <c r="D7940" s="19">
        <v>140.54820000000001</v>
      </c>
    </row>
    <row r="7941" spans="1:4" x14ac:dyDescent="0.2">
      <c r="A7941" s="19" t="s">
        <v>150</v>
      </c>
      <c r="B7941" s="19">
        <v>221.05600000000001</v>
      </c>
      <c r="C7941" s="19">
        <v>8</v>
      </c>
      <c r="D7941" s="19">
        <v>77.369599999999991</v>
      </c>
    </row>
    <row r="7942" spans="1:4" x14ac:dyDescent="0.2">
      <c r="A7942" s="19" t="s">
        <v>150</v>
      </c>
      <c r="B7942" s="19">
        <v>81.424000000000007</v>
      </c>
      <c r="C7942" s="19">
        <v>2</v>
      </c>
      <c r="D7942" s="19">
        <v>-9.1601999999999961</v>
      </c>
    </row>
    <row r="7943" spans="1:4" x14ac:dyDescent="0.2">
      <c r="A7943" s="19" t="s">
        <v>150</v>
      </c>
      <c r="B7943" s="19">
        <v>134.80000000000001</v>
      </c>
      <c r="C7943" s="19">
        <v>10</v>
      </c>
      <c r="D7943" s="19">
        <v>35.047999999999995</v>
      </c>
    </row>
    <row r="7944" spans="1:4" x14ac:dyDescent="0.2">
      <c r="A7944" s="19" t="s">
        <v>154</v>
      </c>
      <c r="B7944" s="19">
        <v>39.581999999999987</v>
      </c>
      <c r="C7944" s="19">
        <v>9</v>
      </c>
      <c r="D7944" s="19">
        <v>-59.372999999999976</v>
      </c>
    </row>
    <row r="7945" spans="1:4" x14ac:dyDescent="0.2">
      <c r="A7945" s="19" t="s">
        <v>154</v>
      </c>
      <c r="B7945" s="19">
        <v>44.688000000000002</v>
      </c>
      <c r="C7945" s="19">
        <v>7</v>
      </c>
      <c r="D7945" s="19">
        <v>5.0273999999999965</v>
      </c>
    </row>
    <row r="7946" spans="1:4" x14ac:dyDescent="0.2">
      <c r="A7946" s="19" t="s">
        <v>154</v>
      </c>
      <c r="B7946" s="19">
        <v>31.744</v>
      </c>
      <c r="C7946" s="19">
        <v>2</v>
      </c>
      <c r="D7946" s="19">
        <v>2.3808000000000007</v>
      </c>
    </row>
    <row r="7947" spans="1:4" x14ac:dyDescent="0.2">
      <c r="A7947" s="19" t="s">
        <v>154</v>
      </c>
      <c r="B7947" s="19">
        <v>40.97999999999999</v>
      </c>
      <c r="C7947" s="19">
        <v>5</v>
      </c>
      <c r="D7947" s="19">
        <v>-65.567999999999998</v>
      </c>
    </row>
    <row r="7948" spans="1:4" x14ac:dyDescent="0.2">
      <c r="A7948" s="19" t="s">
        <v>154</v>
      </c>
      <c r="B7948" s="19">
        <v>3.1679999999999993</v>
      </c>
      <c r="C7948" s="19">
        <v>3</v>
      </c>
      <c r="D7948" s="19">
        <v>-5.0687999999999995</v>
      </c>
    </row>
    <row r="7949" spans="1:4" x14ac:dyDescent="0.2">
      <c r="A7949" s="19" t="s">
        <v>154</v>
      </c>
      <c r="B7949" s="19">
        <v>18.84</v>
      </c>
      <c r="C7949" s="19">
        <v>5</v>
      </c>
      <c r="D7949" s="19">
        <v>-3.5324999999999998</v>
      </c>
    </row>
    <row r="7950" spans="1:4" x14ac:dyDescent="0.2">
      <c r="A7950" s="19" t="s">
        <v>154</v>
      </c>
      <c r="B7950" s="19">
        <v>362.24999999999994</v>
      </c>
      <c r="C7950" s="19">
        <v>6</v>
      </c>
      <c r="D7950" s="19">
        <v>0</v>
      </c>
    </row>
    <row r="7951" spans="1:4" x14ac:dyDescent="0.2">
      <c r="A7951" s="19" t="s">
        <v>154</v>
      </c>
      <c r="B7951" s="19">
        <v>63.552000000000007</v>
      </c>
      <c r="C7951" s="19">
        <v>6</v>
      </c>
      <c r="D7951" s="19">
        <v>-34.953600000000002</v>
      </c>
    </row>
    <row r="7952" spans="1:4" x14ac:dyDescent="0.2">
      <c r="A7952" s="19" t="s">
        <v>154</v>
      </c>
      <c r="B7952" s="19">
        <v>129.55199999999999</v>
      </c>
      <c r="C7952" s="19">
        <v>3</v>
      </c>
      <c r="D7952" s="19">
        <v>-22.671600000000005</v>
      </c>
    </row>
    <row r="7953" spans="1:4" x14ac:dyDescent="0.2">
      <c r="A7953" s="19" t="s">
        <v>164</v>
      </c>
      <c r="B7953" s="19">
        <v>5.9840000000000009</v>
      </c>
      <c r="C7953" s="19">
        <v>2</v>
      </c>
      <c r="D7953" s="19">
        <v>2.2439999999999998</v>
      </c>
    </row>
    <row r="7954" spans="1:4" x14ac:dyDescent="0.2">
      <c r="A7954" s="19" t="s">
        <v>164</v>
      </c>
      <c r="B7954" s="19">
        <v>861.76</v>
      </c>
      <c r="C7954" s="19">
        <v>4</v>
      </c>
      <c r="D7954" s="19">
        <v>249.91039999999998</v>
      </c>
    </row>
    <row r="7955" spans="1:4" x14ac:dyDescent="0.2">
      <c r="A7955" s="19" t="s">
        <v>180</v>
      </c>
      <c r="B7955" s="19">
        <v>66.959999999999994</v>
      </c>
      <c r="C7955" s="19">
        <v>4</v>
      </c>
      <c r="D7955" s="19">
        <v>2.6783999999999963</v>
      </c>
    </row>
    <row r="7956" spans="1:4" x14ac:dyDescent="0.2">
      <c r="A7956" s="19" t="s">
        <v>180</v>
      </c>
      <c r="B7956" s="19">
        <v>6.24</v>
      </c>
      <c r="C7956" s="19">
        <v>2</v>
      </c>
      <c r="D7956" s="19">
        <v>3.0575999999999999</v>
      </c>
    </row>
    <row r="7957" spans="1:4" x14ac:dyDescent="0.2">
      <c r="A7957" s="19" t="s">
        <v>150</v>
      </c>
      <c r="B7957" s="19">
        <v>435.16800000000006</v>
      </c>
      <c r="C7957" s="19">
        <v>4</v>
      </c>
      <c r="D7957" s="19">
        <v>-59.835600000000042</v>
      </c>
    </row>
    <row r="7958" spans="1:4" x14ac:dyDescent="0.2">
      <c r="A7958" s="19" t="s">
        <v>150</v>
      </c>
      <c r="B7958" s="19">
        <v>14.9</v>
      </c>
      <c r="C7958" s="19">
        <v>5</v>
      </c>
      <c r="D7958" s="19">
        <v>6.8539999999999992</v>
      </c>
    </row>
    <row r="7959" spans="1:4" x14ac:dyDescent="0.2">
      <c r="A7959" s="19" t="s">
        <v>150</v>
      </c>
      <c r="B7959" s="19">
        <v>15.8</v>
      </c>
      <c r="C7959" s="19">
        <v>4</v>
      </c>
      <c r="D7959" s="19">
        <v>4.1080000000000005</v>
      </c>
    </row>
    <row r="7960" spans="1:4" x14ac:dyDescent="0.2">
      <c r="A7960" s="19" t="s">
        <v>150</v>
      </c>
      <c r="B7960" s="19">
        <v>72.900000000000006</v>
      </c>
      <c r="C7960" s="19">
        <v>5</v>
      </c>
      <c r="D7960" s="19">
        <v>26.973000000000003</v>
      </c>
    </row>
    <row r="7961" spans="1:4" x14ac:dyDescent="0.2">
      <c r="A7961" s="19" t="s">
        <v>150</v>
      </c>
      <c r="B7961" s="19">
        <v>206.35200000000003</v>
      </c>
      <c r="C7961" s="19">
        <v>3</v>
      </c>
      <c r="D7961" s="19">
        <v>5.1587999999999852</v>
      </c>
    </row>
    <row r="7962" spans="1:4" x14ac:dyDescent="0.2">
      <c r="A7962" s="19" t="s">
        <v>150</v>
      </c>
      <c r="B7962" s="19">
        <v>7.9920000000000009</v>
      </c>
      <c r="C7962" s="19">
        <v>1</v>
      </c>
      <c r="D7962" s="19">
        <v>2.6972999999999994</v>
      </c>
    </row>
    <row r="7963" spans="1:4" x14ac:dyDescent="0.2">
      <c r="A7963" s="19" t="s">
        <v>151</v>
      </c>
      <c r="B7963" s="19">
        <v>81.360000000000014</v>
      </c>
      <c r="C7963" s="19">
        <v>5</v>
      </c>
      <c r="D7963" s="19">
        <v>-19.323000000000011</v>
      </c>
    </row>
    <row r="7964" spans="1:4" x14ac:dyDescent="0.2">
      <c r="A7964" s="19" t="s">
        <v>151</v>
      </c>
      <c r="B7964" s="19">
        <v>20.232000000000003</v>
      </c>
      <c r="C7964" s="19">
        <v>8</v>
      </c>
      <c r="D7964" s="19">
        <v>-16.185600000000001</v>
      </c>
    </row>
    <row r="7965" spans="1:4" x14ac:dyDescent="0.2">
      <c r="A7965" s="19" t="s">
        <v>151</v>
      </c>
      <c r="B7965" s="19">
        <v>389.05600000000004</v>
      </c>
      <c r="C7965" s="19">
        <v>4</v>
      </c>
      <c r="D7965" s="19">
        <v>48.631999999999948</v>
      </c>
    </row>
    <row r="7966" spans="1:4" x14ac:dyDescent="0.2">
      <c r="A7966" s="19" t="s">
        <v>151</v>
      </c>
      <c r="B7966" s="19">
        <v>20.736000000000004</v>
      </c>
      <c r="C7966" s="19">
        <v>4</v>
      </c>
      <c r="D7966" s="19">
        <v>7.2576000000000001</v>
      </c>
    </row>
    <row r="7967" spans="1:4" x14ac:dyDescent="0.2">
      <c r="A7967" s="19" t="s">
        <v>151</v>
      </c>
      <c r="B7967" s="19">
        <v>41.472000000000008</v>
      </c>
      <c r="C7967" s="19">
        <v>8</v>
      </c>
      <c r="D7967" s="19">
        <v>14.5152</v>
      </c>
    </row>
    <row r="7968" spans="1:4" x14ac:dyDescent="0.2">
      <c r="A7968" s="19" t="s">
        <v>150</v>
      </c>
      <c r="B7968" s="19">
        <v>33.36</v>
      </c>
      <c r="C7968" s="19">
        <v>4</v>
      </c>
      <c r="D7968" s="19">
        <v>16.68</v>
      </c>
    </row>
    <row r="7969" spans="1:4" x14ac:dyDescent="0.2">
      <c r="A7969" s="19" t="s">
        <v>171</v>
      </c>
      <c r="B7969" s="19">
        <v>90.882000000000005</v>
      </c>
      <c r="C7969" s="19">
        <v>3</v>
      </c>
      <c r="D7969" s="19">
        <v>-190.85220000000004</v>
      </c>
    </row>
    <row r="7970" spans="1:4" x14ac:dyDescent="0.2">
      <c r="A7970" s="19" t="s">
        <v>171</v>
      </c>
      <c r="B7970" s="19">
        <v>15.991999999999999</v>
      </c>
      <c r="C7970" s="19">
        <v>1</v>
      </c>
      <c r="D7970" s="19">
        <v>-2.9985000000000022</v>
      </c>
    </row>
    <row r="7971" spans="1:4" x14ac:dyDescent="0.2">
      <c r="A7971" s="19" t="s">
        <v>171</v>
      </c>
      <c r="B7971" s="19">
        <v>120.78399999999999</v>
      </c>
      <c r="C7971" s="19">
        <v>1</v>
      </c>
      <c r="D7971" s="19">
        <v>13.588199999999986</v>
      </c>
    </row>
    <row r="7972" spans="1:4" x14ac:dyDescent="0.2">
      <c r="A7972" s="19" t="s">
        <v>158</v>
      </c>
      <c r="B7972" s="19">
        <v>519.79200000000003</v>
      </c>
      <c r="C7972" s="19">
        <v>4</v>
      </c>
      <c r="D7972" s="19">
        <v>-112.62159999999994</v>
      </c>
    </row>
    <row r="7973" spans="1:4" x14ac:dyDescent="0.2">
      <c r="A7973" s="19" t="s">
        <v>158</v>
      </c>
      <c r="B7973" s="19">
        <v>31.176000000000002</v>
      </c>
      <c r="C7973" s="19">
        <v>3</v>
      </c>
      <c r="D7973" s="19">
        <v>-5.4558000000000035</v>
      </c>
    </row>
    <row r="7974" spans="1:4" x14ac:dyDescent="0.2">
      <c r="A7974" s="19" t="s">
        <v>158</v>
      </c>
      <c r="B7974" s="19">
        <v>10.368000000000002</v>
      </c>
      <c r="C7974" s="19">
        <v>2</v>
      </c>
      <c r="D7974" s="19">
        <v>3.6288</v>
      </c>
    </row>
    <row r="7975" spans="1:4" x14ac:dyDescent="0.2">
      <c r="A7975" s="19" t="s">
        <v>158</v>
      </c>
      <c r="B7975" s="19">
        <v>2.7240000000000006</v>
      </c>
      <c r="C7975" s="19">
        <v>2</v>
      </c>
      <c r="D7975" s="19">
        <v>-1.9067999999999996</v>
      </c>
    </row>
    <row r="7976" spans="1:4" x14ac:dyDescent="0.2">
      <c r="A7976" s="19" t="s">
        <v>158</v>
      </c>
      <c r="B7976" s="19">
        <v>254.35200000000003</v>
      </c>
      <c r="C7976" s="19">
        <v>3</v>
      </c>
      <c r="D7976" s="19">
        <v>0</v>
      </c>
    </row>
    <row r="7977" spans="1:4" x14ac:dyDescent="0.2">
      <c r="A7977" s="19" t="s">
        <v>158</v>
      </c>
      <c r="B7977" s="19">
        <v>3.762</v>
      </c>
      <c r="C7977" s="19">
        <v>3</v>
      </c>
      <c r="D7977" s="19">
        <v>-2.758799999999999</v>
      </c>
    </row>
    <row r="7978" spans="1:4" x14ac:dyDescent="0.2">
      <c r="A7978" s="19" t="s">
        <v>158</v>
      </c>
      <c r="B7978" s="19">
        <v>10.272000000000002</v>
      </c>
      <c r="C7978" s="19">
        <v>3</v>
      </c>
      <c r="D7978" s="19">
        <v>3.2099999999999982</v>
      </c>
    </row>
    <row r="7979" spans="1:4" x14ac:dyDescent="0.2">
      <c r="A7979" s="19" t="s">
        <v>183</v>
      </c>
      <c r="B7979" s="19">
        <v>659.97</v>
      </c>
      <c r="C7979" s="19">
        <v>3</v>
      </c>
      <c r="D7979" s="19">
        <v>197.99099999999996</v>
      </c>
    </row>
    <row r="7980" spans="1:4" x14ac:dyDescent="0.2">
      <c r="A7980" s="19" t="s">
        <v>183</v>
      </c>
      <c r="B7980" s="19">
        <v>113.72999999999999</v>
      </c>
      <c r="C7980" s="19">
        <v>3</v>
      </c>
      <c r="D7980" s="19">
        <v>32.981699999999989</v>
      </c>
    </row>
    <row r="7981" spans="1:4" x14ac:dyDescent="0.2">
      <c r="A7981" s="19" t="s">
        <v>150</v>
      </c>
      <c r="B7981" s="19">
        <v>5.1040000000000001</v>
      </c>
      <c r="C7981" s="19">
        <v>1</v>
      </c>
      <c r="D7981" s="19">
        <v>1.6587999999999996</v>
      </c>
    </row>
    <row r="7982" spans="1:4" x14ac:dyDescent="0.2">
      <c r="A7982" s="19" t="s">
        <v>154</v>
      </c>
      <c r="B7982" s="19">
        <v>16.448</v>
      </c>
      <c r="C7982" s="19">
        <v>2</v>
      </c>
      <c r="D7982" s="19">
        <v>5.5511999999999979</v>
      </c>
    </row>
    <row r="7983" spans="1:4" x14ac:dyDescent="0.2">
      <c r="A7983" s="19" t="s">
        <v>179</v>
      </c>
      <c r="B7983" s="19">
        <v>81.92</v>
      </c>
      <c r="C7983" s="19">
        <v>4</v>
      </c>
      <c r="D7983" s="19">
        <v>22.118400000000001</v>
      </c>
    </row>
    <row r="7984" spans="1:4" x14ac:dyDescent="0.2">
      <c r="A7984" s="19" t="s">
        <v>179</v>
      </c>
      <c r="B7984" s="19">
        <v>254.89999999999998</v>
      </c>
      <c r="C7984" s="19">
        <v>5</v>
      </c>
      <c r="D7984" s="19">
        <v>76.469999999999985</v>
      </c>
    </row>
    <row r="7985" spans="1:4" x14ac:dyDescent="0.2">
      <c r="A7985" s="19" t="s">
        <v>159</v>
      </c>
      <c r="B7985" s="19">
        <v>15.120000000000001</v>
      </c>
      <c r="C7985" s="19">
        <v>5</v>
      </c>
      <c r="D7985" s="19">
        <v>4.9139999999999988</v>
      </c>
    </row>
    <row r="7986" spans="1:4" x14ac:dyDescent="0.2">
      <c r="A7986" s="19" t="s">
        <v>159</v>
      </c>
      <c r="B7986" s="19">
        <v>7.8719999999999999</v>
      </c>
      <c r="C7986" s="19">
        <v>3</v>
      </c>
      <c r="D7986" s="19">
        <v>0.88559999999999883</v>
      </c>
    </row>
    <row r="7987" spans="1:4" x14ac:dyDescent="0.2">
      <c r="A7987" s="19" t="s">
        <v>153</v>
      </c>
      <c r="B7987" s="19">
        <v>8.32</v>
      </c>
      <c r="C7987" s="19">
        <v>5</v>
      </c>
      <c r="D7987" s="19">
        <v>2.8079999999999998</v>
      </c>
    </row>
    <row r="7988" spans="1:4" x14ac:dyDescent="0.2">
      <c r="A7988" s="19" t="s">
        <v>164</v>
      </c>
      <c r="B7988" s="19">
        <v>89.949999999999989</v>
      </c>
      <c r="C7988" s="19">
        <v>5</v>
      </c>
      <c r="D7988" s="19">
        <v>43.175999999999995</v>
      </c>
    </row>
    <row r="7989" spans="1:4" x14ac:dyDescent="0.2">
      <c r="A7989" s="19" t="s">
        <v>155</v>
      </c>
      <c r="B7989" s="19">
        <v>25.2</v>
      </c>
      <c r="C7989" s="19">
        <v>4</v>
      </c>
      <c r="D7989" s="19">
        <v>11.591999999999999</v>
      </c>
    </row>
    <row r="7990" spans="1:4" x14ac:dyDescent="0.2">
      <c r="A7990" s="19" t="s">
        <v>155</v>
      </c>
      <c r="B7990" s="19">
        <v>37.589999999999996</v>
      </c>
      <c r="C7990" s="19">
        <v>3</v>
      </c>
      <c r="D7990" s="19">
        <v>17.667299999999997</v>
      </c>
    </row>
    <row r="7991" spans="1:4" x14ac:dyDescent="0.2">
      <c r="A7991" s="19" t="s">
        <v>155</v>
      </c>
      <c r="B7991" s="19">
        <v>14.97</v>
      </c>
      <c r="C7991" s="19">
        <v>1</v>
      </c>
      <c r="D7991" s="19">
        <v>4.1916000000000011</v>
      </c>
    </row>
    <row r="7992" spans="1:4" x14ac:dyDescent="0.2">
      <c r="A7992" s="19" t="s">
        <v>155</v>
      </c>
      <c r="B7992" s="19">
        <v>1.98</v>
      </c>
      <c r="C7992" s="19">
        <v>2</v>
      </c>
      <c r="D7992" s="19">
        <v>0.89100000000000001</v>
      </c>
    </row>
    <row r="7993" spans="1:4" x14ac:dyDescent="0.2">
      <c r="A7993" s="19" t="s">
        <v>151</v>
      </c>
      <c r="B7993" s="19">
        <v>39.936000000000007</v>
      </c>
      <c r="C7993" s="19">
        <v>4</v>
      </c>
      <c r="D7993" s="19">
        <v>-26.623999999999995</v>
      </c>
    </row>
    <row r="7994" spans="1:4" x14ac:dyDescent="0.2">
      <c r="A7994" s="19" t="s">
        <v>151</v>
      </c>
      <c r="B7994" s="19">
        <v>18.463999999999999</v>
      </c>
      <c r="C7994" s="19">
        <v>2</v>
      </c>
      <c r="D7994" s="19">
        <v>2.3079999999999998</v>
      </c>
    </row>
    <row r="7995" spans="1:4" x14ac:dyDescent="0.2">
      <c r="A7995" s="19" t="s">
        <v>171</v>
      </c>
      <c r="B7995" s="19">
        <v>4.8960000000000008</v>
      </c>
      <c r="C7995" s="19">
        <v>3</v>
      </c>
      <c r="D7995" s="19">
        <v>-3.4271999999999991</v>
      </c>
    </row>
    <row r="7996" spans="1:4" x14ac:dyDescent="0.2">
      <c r="A7996" s="19" t="s">
        <v>171</v>
      </c>
      <c r="B7996" s="19">
        <v>145.76400000000001</v>
      </c>
      <c r="C7996" s="19">
        <v>6</v>
      </c>
      <c r="D7996" s="19">
        <v>-247.79879999999997</v>
      </c>
    </row>
    <row r="7997" spans="1:4" x14ac:dyDescent="0.2">
      <c r="A7997" s="19" t="s">
        <v>171</v>
      </c>
      <c r="B7997" s="19">
        <v>9.6120000000000001</v>
      </c>
      <c r="C7997" s="19">
        <v>6</v>
      </c>
      <c r="D7997" s="19">
        <v>-7.3691999999999993</v>
      </c>
    </row>
    <row r="7998" spans="1:4" x14ac:dyDescent="0.2">
      <c r="A7998" s="19" t="s">
        <v>150</v>
      </c>
      <c r="B7998" s="19">
        <v>199.75</v>
      </c>
      <c r="C7998" s="19">
        <v>5</v>
      </c>
      <c r="D7998" s="19">
        <v>87.890000000000015</v>
      </c>
    </row>
    <row r="7999" spans="1:4" x14ac:dyDescent="0.2">
      <c r="A7999" s="19" t="s">
        <v>150</v>
      </c>
      <c r="B7999" s="19">
        <v>1673.1839999999997</v>
      </c>
      <c r="C7999" s="19">
        <v>12</v>
      </c>
      <c r="D7999" s="19">
        <v>20.914800000000014</v>
      </c>
    </row>
    <row r="8000" spans="1:4" x14ac:dyDescent="0.2">
      <c r="A8000" s="19" t="s">
        <v>153</v>
      </c>
      <c r="B8000" s="19">
        <v>12.18</v>
      </c>
      <c r="C8000" s="19">
        <v>7</v>
      </c>
      <c r="D8000" s="19">
        <v>3.8975999999999997</v>
      </c>
    </row>
    <row r="8001" spans="1:4" x14ac:dyDescent="0.2">
      <c r="A8001" s="19" t="s">
        <v>153</v>
      </c>
      <c r="B8001" s="19">
        <v>57.68</v>
      </c>
      <c r="C8001" s="19">
        <v>4</v>
      </c>
      <c r="D8001" s="19">
        <v>19.034399999999998</v>
      </c>
    </row>
    <row r="8002" spans="1:4" x14ac:dyDescent="0.2">
      <c r="A8002" s="19" t="s">
        <v>172</v>
      </c>
      <c r="B8002" s="19">
        <v>263.95999999999998</v>
      </c>
      <c r="C8002" s="19">
        <v>4</v>
      </c>
      <c r="D8002" s="19">
        <v>76.548399999999987</v>
      </c>
    </row>
    <row r="8003" spans="1:4" x14ac:dyDescent="0.2">
      <c r="A8003" s="19" t="s">
        <v>150</v>
      </c>
      <c r="B8003" s="19">
        <v>299.94</v>
      </c>
      <c r="C8003" s="19">
        <v>6</v>
      </c>
      <c r="D8003" s="19">
        <v>128.97420000000002</v>
      </c>
    </row>
    <row r="8004" spans="1:4" x14ac:dyDescent="0.2">
      <c r="A8004" s="19" t="s">
        <v>150</v>
      </c>
      <c r="B8004" s="19">
        <v>25.76</v>
      </c>
      <c r="C8004" s="19">
        <v>7</v>
      </c>
      <c r="D8004" s="19">
        <v>0.51519999999999921</v>
      </c>
    </row>
    <row r="8005" spans="1:4" x14ac:dyDescent="0.2">
      <c r="A8005" s="19" t="s">
        <v>180</v>
      </c>
      <c r="B8005" s="19">
        <v>271.89999999999998</v>
      </c>
      <c r="C8005" s="19">
        <v>2</v>
      </c>
      <c r="D8005" s="19">
        <v>78.850999999999971</v>
      </c>
    </row>
    <row r="8006" spans="1:4" x14ac:dyDescent="0.2">
      <c r="A8006" s="19" t="s">
        <v>180</v>
      </c>
      <c r="B8006" s="19">
        <v>45.839999999999996</v>
      </c>
      <c r="C8006" s="19">
        <v>3</v>
      </c>
      <c r="D8006" s="19">
        <v>15.585599999999999</v>
      </c>
    </row>
    <row r="8007" spans="1:4" x14ac:dyDescent="0.2">
      <c r="A8007" s="19" t="s">
        <v>180</v>
      </c>
      <c r="B8007" s="19">
        <v>9.82</v>
      </c>
      <c r="C8007" s="19">
        <v>2</v>
      </c>
      <c r="D8007" s="19">
        <v>3.2405999999999997</v>
      </c>
    </row>
    <row r="8008" spans="1:4" x14ac:dyDescent="0.2">
      <c r="A8008" s="19" t="s">
        <v>153</v>
      </c>
      <c r="B8008" s="19">
        <v>93.36</v>
      </c>
      <c r="C8008" s="19">
        <v>12</v>
      </c>
      <c r="D8008" s="19">
        <v>0.93359999999999843</v>
      </c>
    </row>
    <row r="8009" spans="1:4" x14ac:dyDescent="0.2">
      <c r="A8009" s="19" t="s">
        <v>175</v>
      </c>
      <c r="B8009" s="19">
        <v>541.24</v>
      </c>
      <c r="C8009" s="19">
        <v>4</v>
      </c>
      <c r="D8009" s="19">
        <v>5.4124000000000478</v>
      </c>
    </row>
    <row r="8010" spans="1:4" x14ac:dyDescent="0.2">
      <c r="A8010" s="19" t="s">
        <v>175</v>
      </c>
      <c r="B8010" s="19">
        <v>106.32</v>
      </c>
      <c r="C8010" s="19">
        <v>3</v>
      </c>
      <c r="D8010" s="19">
        <v>49.970399999999991</v>
      </c>
    </row>
    <row r="8011" spans="1:4" x14ac:dyDescent="0.2">
      <c r="A8011" s="19" t="s">
        <v>175</v>
      </c>
      <c r="B8011" s="19">
        <v>1323.8999999999999</v>
      </c>
      <c r="C8011" s="19">
        <v>5</v>
      </c>
      <c r="D8011" s="19">
        <v>383.93099999999993</v>
      </c>
    </row>
    <row r="8012" spans="1:4" x14ac:dyDescent="0.2">
      <c r="A8012" s="19" t="s">
        <v>158</v>
      </c>
      <c r="B8012" s="19">
        <v>126.624</v>
      </c>
      <c r="C8012" s="19">
        <v>6</v>
      </c>
      <c r="D8012" s="19">
        <v>41.152799999999992</v>
      </c>
    </row>
    <row r="8013" spans="1:4" x14ac:dyDescent="0.2">
      <c r="A8013" s="19" t="s">
        <v>171</v>
      </c>
      <c r="B8013" s="19">
        <v>125.944</v>
      </c>
      <c r="C8013" s="19">
        <v>7</v>
      </c>
      <c r="D8013" s="19">
        <v>15.742999999999984</v>
      </c>
    </row>
    <row r="8014" spans="1:4" x14ac:dyDescent="0.2">
      <c r="A8014" s="19" t="s">
        <v>164</v>
      </c>
      <c r="B8014" s="19">
        <v>663.92</v>
      </c>
      <c r="C8014" s="19">
        <v>5</v>
      </c>
      <c r="D8014" s="19">
        <v>207.47499999999994</v>
      </c>
    </row>
    <row r="8015" spans="1:4" x14ac:dyDescent="0.2">
      <c r="A8015" s="19" t="s">
        <v>164</v>
      </c>
      <c r="B8015" s="19">
        <v>120</v>
      </c>
      <c r="C8015" s="19">
        <v>8</v>
      </c>
      <c r="D8015" s="19">
        <v>13.200000000000003</v>
      </c>
    </row>
    <row r="8016" spans="1:4" x14ac:dyDescent="0.2">
      <c r="A8016" s="19" t="s">
        <v>164</v>
      </c>
      <c r="B8016" s="19">
        <v>3.29</v>
      </c>
      <c r="C8016" s="19">
        <v>1</v>
      </c>
      <c r="D8016" s="19">
        <v>1.4804999999999999</v>
      </c>
    </row>
    <row r="8017" spans="1:4" x14ac:dyDescent="0.2">
      <c r="A8017" s="19" t="s">
        <v>164</v>
      </c>
      <c r="B8017" s="19">
        <v>18.84</v>
      </c>
      <c r="C8017" s="19">
        <v>3</v>
      </c>
      <c r="D8017" s="19">
        <v>6.0287999999999995</v>
      </c>
    </row>
    <row r="8018" spans="1:4" x14ac:dyDescent="0.2">
      <c r="A8018" s="19" t="s">
        <v>173</v>
      </c>
      <c r="B8018" s="19">
        <v>60.672000000000011</v>
      </c>
      <c r="C8018" s="19">
        <v>6</v>
      </c>
      <c r="D8018" s="19">
        <v>12.892799999999998</v>
      </c>
    </row>
    <row r="8019" spans="1:4" x14ac:dyDescent="0.2">
      <c r="A8019" s="19" t="s">
        <v>173</v>
      </c>
      <c r="B8019" s="19">
        <v>30.816000000000003</v>
      </c>
      <c r="C8019" s="19">
        <v>9</v>
      </c>
      <c r="D8019" s="19">
        <v>2.6964000000000006</v>
      </c>
    </row>
    <row r="8020" spans="1:4" x14ac:dyDescent="0.2">
      <c r="A8020" s="19" t="s">
        <v>150</v>
      </c>
      <c r="B8020" s="19">
        <v>52.792000000000002</v>
      </c>
      <c r="C8020" s="19">
        <v>1</v>
      </c>
      <c r="D8020" s="19">
        <v>4.6193000000000026</v>
      </c>
    </row>
    <row r="8021" spans="1:4" x14ac:dyDescent="0.2">
      <c r="A8021" s="19" t="s">
        <v>174</v>
      </c>
      <c r="B8021" s="19">
        <v>83.9</v>
      </c>
      <c r="C8021" s="19">
        <v>10</v>
      </c>
      <c r="D8021" s="19">
        <v>20.975000000000001</v>
      </c>
    </row>
    <row r="8022" spans="1:4" x14ac:dyDescent="0.2">
      <c r="A8022" s="19" t="s">
        <v>174</v>
      </c>
      <c r="B8022" s="19">
        <v>11.76</v>
      </c>
      <c r="C8022" s="19">
        <v>2</v>
      </c>
      <c r="D8022" s="19">
        <v>5.7623999999999995</v>
      </c>
    </row>
    <row r="8023" spans="1:4" x14ac:dyDescent="0.2">
      <c r="A8023" s="19" t="s">
        <v>154</v>
      </c>
      <c r="B8023" s="19">
        <v>4.9919999999999991</v>
      </c>
      <c r="C8023" s="19">
        <v>3</v>
      </c>
      <c r="D8023" s="19">
        <v>-12.979200000000002</v>
      </c>
    </row>
    <row r="8024" spans="1:4" x14ac:dyDescent="0.2">
      <c r="A8024" s="19" t="s">
        <v>154</v>
      </c>
      <c r="B8024" s="19">
        <v>87.92</v>
      </c>
      <c r="C8024" s="19">
        <v>5</v>
      </c>
      <c r="D8024" s="19">
        <v>29.673000000000005</v>
      </c>
    </row>
    <row r="8025" spans="1:4" x14ac:dyDescent="0.2">
      <c r="A8025" s="19" t="s">
        <v>154</v>
      </c>
      <c r="B8025" s="19">
        <v>657.93</v>
      </c>
      <c r="C8025" s="19">
        <v>5</v>
      </c>
      <c r="D8025" s="19">
        <v>-93.989999999999952</v>
      </c>
    </row>
    <row r="8026" spans="1:4" x14ac:dyDescent="0.2">
      <c r="A8026" s="19" t="s">
        <v>154</v>
      </c>
      <c r="B8026" s="19">
        <v>1.0439999999999998</v>
      </c>
      <c r="C8026" s="19">
        <v>1</v>
      </c>
      <c r="D8026" s="19">
        <v>-1.8270000000000004</v>
      </c>
    </row>
    <row r="8027" spans="1:4" x14ac:dyDescent="0.2">
      <c r="A8027" s="19" t="s">
        <v>164</v>
      </c>
      <c r="B8027" s="19">
        <v>210.68</v>
      </c>
      <c r="C8027" s="19">
        <v>2</v>
      </c>
      <c r="D8027" s="19">
        <v>50.563199999999995</v>
      </c>
    </row>
    <row r="8028" spans="1:4" x14ac:dyDescent="0.2">
      <c r="A8028" s="19" t="s">
        <v>164</v>
      </c>
      <c r="B8028" s="19">
        <v>78.8</v>
      </c>
      <c r="C8028" s="19">
        <v>1</v>
      </c>
      <c r="D8028" s="19">
        <v>1.5760000000000076</v>
      </c>
    </row>
    <row r="8029" spans="1:4" x14ac:dyDescent="0.2">
      <c r="A8029" s="19" t="s">
        <v>164</v>
      </c>
      <c r="B8029" s="19">
        <v>19.989999999999998</v>
      </c>
      <c r="C8029" s="19">
        <v>1</v>
      </c>
      <c r="D8029" s="19">
        <v>6.796599999999998</v>
      </c>
    </row>
    <row r="8030" spans="1:4" x14ac:dyDescent="0.2">
      <c r="A8030" s="19" t="s">
        <v>164</v>
      </c>
      <c r="B8030" s="19">
        <v>772.68</v>
      </c>
      <c r="C8030" s="19">
        <v>4</v>
      </c>
      <c r="D8030" s="19">
        <v>108.17520000000002</v>
      </c>
    </row>
    <row r="8031" spans="1:4" x14ac:dyDescent="0.2">
      <c r="A8031" s="19" t="s">
        <v>154</v>
      </c>
      <c r="B8031" s="19">
        <v>106.08000000000001</v>
      </c>
      <c r="C8031" s="19">
        <v>6</v>
      </c>
      <c r="D8031" s="19">
        <v>-9.2819999999999965</v>
      </c>
    </row>
    <row r="8032" spans="1:4" x14ac:dyDescent="0.2">
      <c r="A8032" s="19" t="s">
        <v>154</v>
      </c>
      <c r="B8032" s="19">
        <v>23.076000000000001</v>
      </c>
      <c r="C8032" s="19">
        <v>3</v>
      </c>
      <c r="D8032" s="19">
        <v>-10.961100000000002</v>
      </c>
    </row>
    <row r="8033" spans="1:4" x14ac:dyDescent="0.2">
      <c r="A8033" s="19" t="s">
        <v>154</v>
      </c>
      <c r="B8033" s="19">
        <v>25.920000000000005</v>
      </c>
      <c r="C8033" s="19">
        <v>5</v>
      </c>
      <c r="D8033" s="19">
        <v>9.0719999999999992</v>
      </c>
    </row>
    <row r="8034" spans="1:4" x14ac:dyDescent="0.2">
      <c r="A8034" s="19" t="s">
        <v>154</v>
      </c>
      <c r="B8034" s="19">
        <v>47.952000000000005</v>
      </c>
      <c r="C8034" s="19">
        <v>3</v>
      </c>
      <c r="D8034" s="19">
        <v>16.183799999999998</v>
      </c>
    </row>
    <row r="8035" spans="1:4" x14ac:dyDescent="0.2">
      <c r="A8035" s="19" t="s">
        <v>154</v>
      </c>
      <c r="B8035" s="19">
        <v>0.98399999999999976</v>
      </c>
      <c r="C8035" s="19">
        <v>2</v>
      </c>
      <c r="D8035" s="19">
        <v>-1.476</v>
      </c>
    </row>
    <row r="8036" spans="1:4" x14ac:dyDescent="0.2">
      <c r="A8036" s="19" t="s">
        <v>154</v>
      </c>
      <c r="B8036" s="19">
        <v>75.384000000000015</v>
      </c>
      <c r="C8036" s="19">
        <v>9</v>
      </c>
      <c r="D8036" s="19">
        <v>-20.730599999999995</v>
      </c>
    </row>
    <row r="8037" spans="1:4" x14ac:dyDescent="0.2">
      <c r="A8037" s="19" t="s">
        <v>154</v>
      </c>
      <c r="B8037" s="19">
        <v>4.6079999999999997</v>
      </c>
      <c r="C8037" s="19">
        <v>2</v>
      </c>
      <c r="D8037" s="19">
        <v>1.6704000000000001</v>
      </c>
    </row>
    <row r="8038" spans="1:4" x14ac:dyDescent="0.2">
      <c r="A8038" s="19" t="s">
        <v>180</v>
      </c>
      <c r="B8038" s="19">
        <v>37.68</v>
      </c>
      <c r="C8038" s="19">
        <v>6</v>
      </c>
      <c r="D8038" s="19">
        <v>16.955999999999996</v>
      </c>
    </row>
    <row r="8039" spans="1:4" x14ac:dyDescent="0.2">
      <c r="A8039" s="19" t="s">
        <v>101</v>
      </c>
      <c r="B8039" s="19">
        <v>41.910000000000004</v>
      </c>
      <c r="C8039" s="19">
        <v>3</v>
      </c>
      <c r="D8039" s="19">
        <v>10.896600000000003</v>
      </c>
    </row>
    <row r="8040" spans="1:4" x14ac:dyDescent="0.2">
      <c r="A8040" s="19" t="s">
        <v>150</v>
      </c>
      <c r="B8040" s="19">
        <v>435.99900000000002</v>
      </c>
      <c r="C8040" s="19">
        <v>3</v>
      </c>
      <c r="D8040" s="19">
        <v>5.1293999999999755</v>
      </c>
    </row>
    <row r="8041" spans="1:4" x14ac:dyDescent="0.2">
      <c r="A8041" s="19" t="s">
        <v>153</v>
      </c>
      <c r="B8041" s="19">
        <v>388.70400000000006</v>
      </c>
      <c r="C8041" s="19">
        <v>6</v>
      </c>
      <c r="D8041" s="19">
        <v>38.870400000000018</v>
      </c>
    </row>
    <row r="8042" spans="1:4" x14ac:dyDescent="0.2">
      <c r="A8042" s="19" t="s">
        <v>153</v>
      </c>
      <c r="B8042" s="19">
        <v>572.58000000000004</v>
      </c>
      <c r="C8042" s="19">
        <v>6</v>
      </c>
      <c r="D8042" s="19">
        <v>34.354799999999955</v>
      </c>
    </row>
    <row r="8043" spans="1:4" x14ac:dyDescent="0.2">
      <c r="A8043" s="19" t="s">
        <v>153</v>
      </c>
      <c r="B8043" s="19">
        <v>33.18</v>
      </c>
      <c r="C8043" s="19">
        <v>2</v>
      </c>
      <c r="D8043" s="19">
        <v>11.613</v>
      </c>
    </row>
    <row r="8044" spans="1:4" x14ac:dyDescent="0.2">
      <c r="A8044" s="19" t="s">
        <v>180</v>
      </c>
      <c r="B8044" s="19">
        <v>63.88</v>
      </c>
      <c r="C8044" s="19">
        <v>4</v>
      </c>
      <c r="D8044" s="19">
        <v>24.913200000000003</v>
      </c>
    </row>
    <row r="8045" spans="1:4" x14ac:dyDescent="0.2">
      <c r="A8045" s="19" t="s">
        <v>180</v>
      </c>
      <c r="B8045" s="19">
        <v>26.72</v>
      </c>
      <c r="C8045" s="19">
        <v>1</v>
      </c>
      <c r="D8045" s="19">
        <v>11.756800000000002</v>
      </c>
    </row>
    <row r="8046" spans="1:4" x14ac:dyDescent="0.2">
      <c r="A8046" s="19" t="s">
        <v>156</v>
      </c>
      <c r="B8046" s="19">
        <v>295.05599999999998</v>
      </c>
      <c r="C8046" s="19">
        <v>9</v>
      </c>
      <c r="D8046" s="19">
        <v>106.95779999999998</v>
      </c>
    </row>
    <row r="8047" spans="1:4" x14ac:dyDescent="0.2">
      <c r="A8047" s="19" t="s">
        <v>164</v>
      </c>
      <c r="B8047" s="19">
        <v>393.25</v>
      </c>
      <c r="C8047" s="19">
        <v>5</v>
      </c>
      <c r="D8047" s="19">
        <v>129.77249999999998</v>
      </c>
    </row>
    <row r="8048" spans="1:4" x14ac:dyDescent="0.2">
      <c r="A8048" s="19" t="s">
        <v>173</v>
      </c>
      <c r="B8048" s="19">
        <v>2.2140000000000004</v>
      </c>
      <c r="C8048" s="19">
        <v>3</v>
      </c>
      <c r="D8048" s="19">
        <v>-1.4760000000000004</v>
      </c>
    </row>
    <row r="8049" spans="1:4" x14ac:dyDescent="0.2">
      <c r="A8049" s="19" t="s">
        <v>152</v>
      </c>
      <c r="B8049" s="19">
        <v>16.272000000000002</v>
      </c>
      <c r="C8049" s="19">
        <v>3</v>
      </c>
      <c r="D8049" s="19">
        <v>5.2883999999999984</v>
      </c>
    </row>
    <row r="8050" spans="1:4" x14ac:dyDescent="0.2">
      <c r="A8050" s="19" t="s">
        <v>164</v>
      </c>
      <c r="B8050" s="19">
        <v>706.86</v>
      </c>
      <c r="C8050" s="19">
        <v>7</v>
      </c>
      <c r="D8050" s="19">
        <v>197.92079999999999</v>
      </c>
    </row>
    <row r="8051" spans="1:4" x14ac:dyDescent="0.2">
      <c r="A8051" s="19" t="s">
        <v>158</v>
      </c>
      <c r="B8051" s="19">
        <v>5.9700000000000006</v>
      </c>
      <c r="C8051" s="19">
        <v>5</v>
      </c>
      <c r="D8051" s="19">
        <v>-4.577</v>
      </c>
    </row>
    <row r="8052" spans="1:4" x14ac:dyDescent="0.2">
      <c r="A8052" s="19" t="s">
        <v>158</v>
      </c>
      <c r="B8052" s="19">
        <v>21.184000000000001</v>
      </c>
      <c r="C8052" s="19">
        <v>1</v>
      </c>
      <c r="D8052" s="19">
        <v>4.7664</v>
      </c>
    </row>
    <row r="8053" spans="1:4" x14ac:dyDescent="0.2">
      <c r="A8053" s="19" t="s">
        <v>158</v>
      </c>
      <c r="B8053" s="19">
        <v>41.375999999999998</v>
      </c>
      <c r="C8053" s="19">
        <v>6</v>
      </c>
      <c r="D8053" s="19">
        <v>3.1032000000000011</v>
      </c>
    </row>
    <row r="8054" spans="1:4" x14ac:dyDescent="0.2">
      <c r="A8054" s="19" t="s">
        <v>164</v>
      </c>
      <c r="B8054" s="19">
        <v>17.940000000000001</v>
      </c>
      <c r="C8054" s="19">
        <v>3</v>
      </c>
      <c r="D8054" s="19">
        <v>4.4850000000000003</v>
      </c>
    </row>
    <row r="8055" spans="1:4" x14ac:dyDescent="0.2">
      <c r="A8055" s="19" t="s">
        <v>158</v>
      </c>
      <c r="B8055" s="19">
        <v>2.6550000000000002</v>
      </c>
      <c r="C8055" s="19">
        <v>1</v>
      </c>
      <c r="D8055" s="19">
        <v>-1.8584999999999994</v>
      </c>
    </row>
    <row r="8056" spans="1:4" x14ac:dyDescent="0.2">
      <c r="A8056" s="19" t="s">
        <v>150</v>
      </c>
      <c r="B8056" s="19">
        <v>892.35</v>
      </c>
      <c r="C8056" s="19">
        <v>5</v>
      </c>
      <c r="D8056" s="19">
        <v>267.70499999999993</v>
      </c>
    </row>
    <row r="8057" spans="1:4" x14ac:dyDescent="0.2">
      <c r="A8057" s="19" t="s">
        <v>150</v>
      </c>
      <c r="B8057" s="19">
        <v>307.666</v>
      </c>
      <c r="C8057" s="19">
        <v>2</v>
      </c>
      <c r="D8057" s="19">
        <v>28.956799999999973</v>
      </c>
    </row>
    <row r="8058" spans="1:4" x14ac:dyDescent="0.2">
      <c r="A8058" s="19" t="s">
        <v>150</v>
      </c>
      <c r="B8058" s="19">
        <v>728.82</v>
      </c>
      <c r="C8058" s="19">
        <v>9</v>
      </c>
      <c r="D8058" s="19">
        <v>29.152799999999971</v>
      </c>
    </row>
    <row r="8059" spans="1:4" x14ac:dyDescent="0.2">
      <c r="A8059" s="19" t="s">
        <v>150</v>
      </c>
      <c r="B8059" s="19">
        <v>41.36</v>
      </c>
      <c r="C8059" s="19">
        <v>5</v>
      </c>
      <c r="D8059" s="19">
        <v>13.959</v>
      </c>
    </row>
    <row r="8060" spans="1:4" x14ac:dyDescent="0.2">
      <c r="A8060" s="19" t="s">
        <v>150</v>
      </c>
      <c r="B8060" s="19">
        <v>43.176000000000002</v>
      </c>
      <c r="C8060" s="19">
        <v>3</v>
      </c>
      <c r="D8060" s="19">
        <v>15.111599999999999</v>
      </c>
    </row>
    <row r="8061" spans="1:4" x14ac:dyDescent="0.2">
      <c r="A8061" s="19" t="s">
        <v>150</v>
      </c>
      <c r="B8061" s="19">
        <v>4.16</v>
      </c>
      <c r="C8061" s="19">
        <v>2</v>
      </c>
      <c r="D8061" s="19">
        <v>1.7472000000000003</v>
      </c>
    </row>
    <row r="8062" spans="1:4" x14ac:dyDescent="0.2">
      <c r="A8062" s="19" t="s">
        <v>164</v>
      </c>
      <c r="B8062" s="19">
        <v>61.4</v>
      </c>
      <c r="C8062" s="19">
        <v>5</v>
      </c>
      <c r="D8062" s="19">
        <v>28.857999999999997</v>
      </c>
    </row>
    <row r="8063" spans="1:4" x14ac:dyDescent="0.2">
      <c r="A8063" s="19" t="s">
        <v>164</v>
      </c>
      <c r="B8063" s="19">
        <v>24.448</v>
      </c>
      <c r="C8063" s="19">
        <v>2</v>
      </c>
      <c r="D8063" s="19">
        <v>8.8623999999999992</v>
      </c>
    </row>
    <row r="8064" spans="1:4" x14ac:dyDescent="0.2">
      <c r="A8064" s="19" t="s">
        <v>164</v>
      </c>
      <c r="B8064" s="19">
        <v>263.95999999999998</v>
      </c>
      <c r="C8064" s="19">
        <v>4</v>
      </c>
      <c r="D8064" s="19">
        <v>71.269200000000012</v>
      </c>
    </row>
    <row r="8065" spans="1:4" x14ac:dyDescent="0.2">
      <c r="A8065" s="19" t="s">
        <v>164</v>
      </c>
      <c r="B8065" s="19">
        <v>359.96999999999997</v>
      </c>
      <c r="C8065" s="19">
        <v>3</v>
      </c>
      <c r="D8065" s="19">
        <v>100.7916</v>
      </c>
    </row>
    <row r="8066" spans="1:4" x14ac:dyDescent="0.2">
      <c r="A8066" s="19" t="s">
        <v>164</v>
      </c>
      <c r="B8066" s="19">
        <v>12.96</v>
      </c>
      <c r="C8066" s="19">
        <v>2</v>
      </c>
      <c r="D8066" s="19">
        <v>6.2208000000000006</v>
      </c>
    </row>
    <row r="8067" spans="1:4" x14ac:dyDescent="0.2">
      <c r="A8067" s="19" t="s">
        <v>164</v>
      </c>
      <c r="B8067" s="19">
        <v>116.82</v>
      </c>
      <c r="C8067" s="19">
        <v>3</v>
      </c>
      <c r="D8067" s="19">
        <v>5.8409999999999869</v>
      </c>
    </row>
    <row r="8068" spans="1:4" x14ac:dyDescent="0.2">
      <c r="A8068" s="19" t="s">
        <v>164</v>
      </c>
      <c r="B8068" s="19">
        <v>276.78400000000005</v>
      </c>
      <c r="C8068" s="19">
        <v>2</v>
      </c>
      <c r="D8068" s="19">
        <v>89.954799999999992</v>
      </c>
    </row>
    <row r="8069" spans="1:4" x14ac:dyDescent="0.2">
      <c r="A8069" s="19" t="s">
        <v>150</v>
      </c>
      <c r="B8069" s="19">
        <v>239.96999999999997</v>
      </c>
      <c r="C8069" s="19">
        <v>3</v>
      </c>
      <c r="D8069" s="19">
        <v>86.389199999999988</v>
      </c>
    </row>
    <row r="8070" spans="1:4" x14ac:dyDescent="0.2">
      <c r="A8070" s="19" t="s">
        <v>150</v>
      </c>
      <c r="B8070" s="19">
        <v>16.02</v>
      </c>
      <c r="C8070" s="19">
        <v>6</v>
      </c>
      <c r="D8070" s="19">
        <v>6.0876000000000001</v>
      </c>
    </row>
    <row r="8071" spans="1:4" x14ac:dyDescent="0.2">
      <c r="A8071" s="19" t="s">
        <v>154</v>
      </c>
      <c r="B8071" s="19">
        <v>454.56000000000006</v>
      </c>
      <c r="C8071" s="19">
        <v>5</v>
      </c>
      <c r="D8071" s="19">
        <v>-107.95800000000004</v>
      </c>
    </row>
    <row r="8072" spans="1:4" x14ac:dyDescent="0.2">
      <c r="A8072" s="19" t="s">
        <v>154</v>
      </c>
      <c r="B8072" s="19">
        <v>141.41999999999999</v>
      </c>
      <c r="C8072" s="19">
        <v>5</v>
      </c>
      <c r="D8072" s="19">
        <v>-187.38150000000002</v>
      </c>
    </row>
    <row r="8073" spans="1:4" x14ac:dyDescent="0.2">
      <c r="A8073" s="19" t="s">
        <v>154</v>
      </c>
      <c r="B8073" s="19">
        <v>310.74399999999997</v>
      </c>
      <c r="C8073" s="19">
        <v>4</v>
      </c>
      <c r="D8073" s="19">
        <v>-26.635199999999998</v>
      </c>
    </row>
    <row r="8074" spans="1:4" x14ac:dyDescent="0.2">
      <c r="A8074" s="19" t="s">
        <v>154</v>
      </c>
      <c r="B8074" s="19">
        <v>12.736000000000001</v>
      </c>
      <c r="C8074" s="19">
        <v>4</v>
      </c>
      <c r="D8074" s="19">
        <v>2.2287999999999988</v>
      </c>
    </row>
    <row r="8075" spans="1:4" x14ac:dyDescent="0.2">
      <c r="A8075" s="19" t="s">
        <v>154</v>
      </c>
      <c r="B8075" s="19">
        <v>6.469999999999998</v>
      </c>
      <c r="C8075" s="19">
        <v>5</v>
      </c>
      <c r="D8075" s="19">
        <v>-9.7050000000000018</v>
      </c>
    </row>
    <row r="8076" spans="1:4" x14ac:dyDescent="0.2">
      <c r="A8076" s="19" t="s">
        <v>154</v>
      </c>
      <c r="B8076" s="19">
        <v>13.747999999999998</v>
      </c>
      <c r="C8076" s="19">
        <v>14</v>
      </c>
      <c r="D8076" s="19">
        <v>-22.684200000000004</v>
      </c>
    </row>
    <row r="8077" spans="1:4" x14ac:dyDescent="0.2">
      <c r="A8077" s="19" t="s">
        <v>154</v>
      </c>
      <c r="B8077" s="19">
        <v>15.223999999999997</v>
      </c>
      <c r="C8077" s="19">
        <v>2</v>
      </c>
      <c r="D8077" s="19">
        <v>-38.821200000000012</v>
      </c>
    </row>
    <row r="8078" spans="1:4" x14ac:dyDescent="0.2">
      <c r="A8078" s="19" t="s">
        <v>101</v>
      </c>
      <c r="B8078" s="19">
        <v>27.42</v>
      </c>
      <c r="C8078" s="19">
        <v>3</v>
      </c>
      <c r="D8078" s="19">
        <v>9.3227999999999991</v>
      </c>
    </row>
    <row r="8079" spans="1:4" x14ac:dyDescent="0.2">
      <c r="A8079" s="19" t="s">
        <v>101</v>
      </c>
      <c r="B8079" s="19">
        <v>165.98</v>
      </c>
      <c r="C8079" s="19">
        <v>1</v>
      </c>
      <c r="D8079" s="19">
        <v>74.690999999999988</v>
      </c>
    </row>
    <row r="8080" spans="1:4" x14ac:dyDescent="0.2">
      <c r="A8080" s="19" t="s">
        <v>101</v>
      </c>
      <c r="B8080" s="19">
        <v>75</v>
      </c>
      <c r="C8080" s="19">
        <v>3</v>
      </c>
      <c r="D8080" s="19">
        <v>18</v>
      </c>
    </row>
    <row r="8081" spans="1:4" x14ac:dyDescent="0.2">
      <c r="A8081" s="19" t="s">
        <v>164</v>
      </c>
      <c r="B8081" s="19">
        <v>134.27200000000002</v>
      </c>
      <c r="C8081" s="19">
        <v>8</v>
      </c>
      <c r="D8081" s="19">
        <v>46.99519999999999</v>
      </c>
    </row>
    <row r="8082" spans="1:4" x14ac:dyDescent="0.2">
      <c r="A8082" s="19" t="s">
        <v>170</v>
      </c>
      <c r="B8082" s="19">
        <v>146.54400000000001</v>
      </c>
      <c r="C8082" s="19">
        <v>6</v>
      </c>
      <c r="D8082" s="19">
        <v>47.626799999999996</v>
      </c>
    </row>
    <row r="8083" spans="1:4" x14ac:dyDescent="0.2">
      <c r="A8083" s="19" t="s">
        <v>170</v>
      </c>
      <c r="B8083" s="19">
        <v>131.904</v>
      </c>
      <c r="C8083" s="19">
        <v>3</v>
      </c>
      <c r="D8083" s="19">
        <v>47.815200000000004</v>
      </c>
    </row>
    <row r="8084" spans="1:4" x14ac:dyDescent="0.2">
      <c r="A8084" s="19" t="s">
        <v>170</v>
      </c>
      <c r="B8084" s="19">
        <v>203.88000000000002</v>
      </c>
      <c r="C8084" s="19">
        <v>5</v>
      </c>
      <c r="D8084" s="19">
        <v>20.387999999999998</v>
      </c>
    </row>
    <row r="8085" spans="1:4" x14ac:dyDescent="0.2">
      <c r="A8085" s="19" t="s">
        <v>170</v>
      </c>
      <c r="B8085" s="19">
        <v>14.301000000000002</v>
      </c>
      <c r="C8085" s="19">
        <v>7</v>
      </c>
      <c r="D8085" s="19">
        <v>-10.487400000000001</v>
      </c>
    </row>
    <row r="8086" spans="1:4" x14ac:dyDescent="0.2">
      <c r="A8086" s="19" t="s">
        <v>170</v>
      </c>
      <c r="B8086" s="19">
        <v>718.6400000000001</v>
      </c>
      <c r="C8086" s="19">
        <v>10</v>
      </c>
      <c r="D8086" s="19">
        <v>-161.69400000000005</v>
      </c>
    </row>
    <row r="8087" spans="1:4" x14ac:dyDescent="0.2">
      <c r="A8087" s="19" t="s">
        <v>166</v>
      </c>
      <c r="B8087" s="19">
        <v>61.1</v>
      </c>
      <c r="C8087" s="19">
        <v>5</v>
      </c>
      <c r="D8087" s="19">
        <v>18.329999999999991</v>
      </c>
    </row>
    <row r="8088" spans="1:4" x14ac:dyDescent="0.2">
      <c r="A8088" s="19" t="s">
        <v>152</v>
      </c>
      <c r="B8088" s="19">
        <v>28.08</v>
      </c>
      <c r="C8088" s="19">
        <v>3</v>
      </c>
      <c r="D8088" s="19">
        <v>5.2650000000000006</v>
      </c>
    </row>
    <row r="8089" spans="1:4" x14ac:dyDescent="0.2">
      <c r="A8089" s="19" t="s">
        <v>165</v>
      </c>
      <c r="B8089" s="19">
        <v>10.496</v>
      </c>
      <c r="C8089" s="19">
        <v>4</v>
      </c>
      <c r="D8089" s="19">
        <v>1.1807999999999983</v>
      </c>
    </row>
    <row r="8090" spans="1:4" x14ac:dyDescent="0.2">
      <c r="A8090" s="19" t="s">
        <v>150</v>
      </c>
      <c r="B8090" s="19">
        <v>39.92</v>
      </c>
      <c r="C8090" s="19">
        <v>2</v>
      </c>
      <c r="D8090" s="19">
        <v>12.973999999999997</v>
      </c>
    </row>
    <row r="8091" spans="1:4" x14ac:dyDescent="0.2">
      <c r="A8091" s="19" t="s">
        <v>187</v>
      </c>
      <c r="B8091" s="19">
        <v>77.58</v>
      </c>
      <c r="C8091" s="19">
        <v>9</v>
      </c>
      <c r="D8091" s="19">
        <v>20.1708</v>
      </c>
    </row>
    <row r="8092" spans="1:4" x14ac:dyDescent="0.2">
      <c r="A8092" s="19" t="s">
        <v>153</v>
      </c>
      <c r="B8092" s="19">
        <v>269.35999999999996</v>
      </c>
      <c r="C8092" s="19">
        <v>7</v>
      </c>
      <c r="D8092" s="19">
        <v>70.033599999999993</v>
      </c>
    </row>
    <row r="8093" spans="1:4" x14ac:dyDescent="0.2">
      <c r="A8093" s="19" t="s">
        <v>150</v>
      </c>
      <c r="B8093" s="19">
        <v>5.76</v>
      </c>
      <c r="C8093" s="19">
        <v>2</v>
      </c>
      <c r="D8093" s="19">
        <v>2.8224</v>
      </c>
    </row>
    <row r="8094" spans="1:4" x14ac:dyDescent="0.2">
      <c r="A8094" s="19" t="s">
        <v>164</v>
      </c>
      <c r="B8094" s="19">
        <v>109.9</v>
      </c>
      <c r="C8094" s="19">
        <v>5</v>
      </c>
      <c r="D8094" s="19">
        <v>32.97</v>
      </c>
    </row>
    <row r="8095" spans="1:4" x14ac:dyDescent="0.2">
      <c r="A8095" s="19" t="s">
        <v>153</v>
      </c>
      <c r="B8095" s="19">
        <v>23.88</v>
      </c>
      <c r="C8095" s="19">
        <v>3</v>
      </c>
      <c r="D8095" s="19">
        <v>10.507200000000001</v>
      </c>
    </row>
    <row r="8096" spans="1:4" x14ac:dyDescent="0.2">
      <c r="A8096" s="19" t="s">
        <v>153</v>
      </c>
      <c r="B8096" s="19">
        <v>26.2</v>
      </c>
      <c r="C8096" s="19">
        <v>4</v>
      </c>
      <c r="D8096" s="19">
        <v>12.052</v>
      </c>
    </row>
    <row r="8097" spans="1:4" x14ac:dyDescent="0.2">
      <c r="A8097" s="19" t="s">
        <v>153</v>
      </c>
      <c r="B8097" s="19">
        <v>12.96</v>
      </c>
      <c r="C8097" s="19">
        <v>2</v>
      </c>
      <c r="D8097" s="19">
        <v>6.2208000000000006</v>
      </c>
    </row>
    <row r="8098" spans="1:4" x14ac:dyDescent="0.2">
      <c r="A8098" s="19" t="s">
        <v>153</v>
      </c>
      <c r="B8098" s="19">
        <v>234.95000000000002</v>
      </c>
      <c r="C8098" s="19">
        <v>5</v>
      </c>
      <c r="D8098" s="19">
        <v>32.893000000000008</v>
      </c>
    </row>
    <row r="8099" spans="1:4" x14ac:dyDescent="0.2">
      <c r="A8099" s="19" t="s">
        <v>176</v>
      </c>
      <c r="B8099" s="19">
        <v>118.25</v>
      </c>
      <c r="C8099" s="19">
        <v>5</v>
      </c>
      <c r="D8099" s="19">
        <v>34.292499999999997</v>
      </c>
    </row>
    <row r="8100" spans="1:4" x14ac:dyDescent="0.2">
      <c r="A8100" s="19" t="s">
        <v>176</v>
      </c>
      <c r="B8100" s="19">
        <v>4.28</v>
      </c>
      <c r="C8100" s="19">
        <v>1</v>
      </c>
      <c r="D8100" s="19">
        <v>1.9259999999999997</v>
      </c>
    </row>
    <row r="8101" spans="1:4" x14ac:dyDescent="0.2">
      <c r="A8101" s="19" t="s">
        <v>150</v>
      </c>
      <c r="B8101" s="19">
        <v>26.849999999999998</v>
      </c>
      <c r="C8101" s="19">
        <v>3</v>
      </c>
      <c r="D8101" s="19">
        <v>5.101499999999997</v>
      </c>
    </row>
    <row r="8102" spans="1:4" x14ac:dyDescent="0.2">
      <c r="A8102" s="19" t="s">
        <v>150</v>
      </c>
      <c r="B8102" s="19">
        <v>3357.6000000000004</v>
      </c>
      <c r="C8102" s="19">
        <v>3</v>
      </c>
      <c r="D8102" s="19">
        <v>377.72999999999956</v>
      </c>
    </row>
    <row r="8103" spans="1:4" x14ac:dyDescent="0.2">
      <c r="A8103" s="19" t="s">
        <v>150</v>
      </c>
      <c r="B8103" s="19">
        <v>8.26</v>
      </c>
      <c r="C8103" s="19">
        <v>2</v>
      </c>
      <c r="D8103" s="19">
        <v>3.7995999999999999</v>
      </c>
    </row>
    <row r="8104" spans="1:4" x14ac:dyDescent="0.2">
      <c r="A8104" s="19" t="s">
        <v>150</v>
      </c>
      <c r="B8104" s="19">
        <v>2973.32</v>
      </c>
      <c r="C8104" s="19">
        <v>7</v>
      </c>
      <c r="D8104" s="19">
        <v>334.49849999999958</v>
      </c>
    </row>
    <row r="8105" spans="1:4" x14ac:dyDescent="0.2">
      <c r="A8105" s="19" t="s">
        <v>150</v>
      </c>
      <c r="B8105" s="19">
        <v>104.79</v>
      </c>
      <c r="C8105" s="19">
        <v>7</v>
      </c>
      <c r="D8105" s="19">
        <v>29.341200000000008</v>
      </c>
    </row>
    <row r="8106" spans="1:4" x14ac:dyDescent="0.2">
      <c r="A8106" s="19" t="s">
        <v>150</v>
      </c>
      <c r="B8106" s="19">
        <v>775.72800000000007</v>
      </c>
      <c r="C8106" s="19">
        <v>6</v>
      </c>
      <c r="D8106" s="19">
        <v>58.179600000000022</v>
      </c>
    </row>
    <row r="8107" spans="1:4" x14ac:dyDescent="0.2">
      <c r="A8107" s="19" t="s">
        <v>154</v>
      </c>
      <c r="B8107" s="19">
        <v>89.066399999999987</v>
      </c>
      <c r="C8107" s="19">
        <v>1</v>
      </c>
      <c r="D8107" s="19">
        <v>-17.027400000000007</v>
      </c>
    </row>
    <row r="8108" spans="1:4" x14ac:dyDescent="0.2">
      <c r="A8108" s="19" t="s">
        <v>154</v>
      </c>
      <c r="B8108" s="19">
        <v>175.44</v>
      </c>
      <c r="C8108" s="19">
        <v>6</v>
      </c>
      <c r="D8108" s="19">
        <v>52.632000000000005</v>
      </c>
    </row>
    <row r="8109" spans="1:4" x14ac:dyDescent="0.2">
      <c r="A8109" s="19" t="s">
        <v>154</v>
      </c>
      <c r="B8109" s="19">
        <v>438.33600000000001</v>
      </c>
      <c r="C8109" s="19">
        <v>4</v>
      </c>
      <c r="D8109" s="19">
        <v>-87.667200000000037</v>
      </c>
    </row>
    <row r="8110" spans="1:4" x14ac:dyDescent="0.2">
      <c r="A8110" s="19" t="s">
        <v>158</v>
      </c>
      <c r="B8110" s="19">
        <v>215.54400000000001</v>
      </c>
      <c r="C8110" s="19">
        <v>4</v>
      </c>
      <c r="D8110" s="19">
        <v>-58.504800000000017</v>
      </c>
    </row>
    <row r="8111" spans="1:4" x14ac:dyDescent="0.2">
      <c r="A8111" s="19" t="s">
        <v>159</v>
      </c>
      <c r="B8111" s="19">
        <v>55.584000000000003</v>
      </c>
      <c r="C8111" s="19">
        <v>6</v>
      </c>
      <c r="D8111" s="19">
        <v>20.844000000000001</v>
      </c>
    </row>
    <row r="8112" spans="1:4" x14ac:dyDescent="0.2">
      <c r="A8112" s="19" t="s">
        <v>159</v>
      </c>
      <c r="B8112" s="19">
        <v>127.38599999999998</v>
      </c>
      <c r="C8112" s="19">
        <v>2</v>
      </c>
      <c r="D8112" s="19">
        <v>-25.477199999999982</v>
      </c>
    </row>
    <row r="8113" spans="1:4" x14ac:dyDescent="0.2">
      <c r="A8113" s="19" t="s">
        <v>154</v>
      </c>
      <c r="B8113" s="19">
        <v>248.43</v>
      </c>
      <c r="C8113" s="19">
        <v>5</v>
      </c>
      <c r="D8113" s="19">
        <v>-17.744999999999976</v>
      </c>
    </row>
    <row r="8114" spans="1:4" x14ac:dyDescent="0.2">
      <c r="A8114" s="19" t="s">
        <v>154</v>
      </c>
      <c r="B8114" s="19">
        <v>11.647999999999998</v>
      </c>
      <c r="C8114" s="19">
        <v>4</v>
      </c>
      <c r="D8114" s="19">
        <v>-30.867200000000004</v>
      </c>
    </row>
    <row r="8115" spans="1:4" x14ac:dyDescent="0.2">
      <c r="A8115" s="19" t="s">
        <v>154</v>
      </c>
      <c r="B8115" s="19">
        <v>85.245999999999995</v>
      </c>
      <c r="C8115" s="19">
        <v>2</v>
      </c>
      <c r="D8115" s="19">
        <v>-1.217800000000004</v>
      </c>
    </row>
    <row r="8116" spans="1:4" x14ac:dyDescent="0.2">
      <c r="A8116" s="19" t="s">
        <v>154</v>
      </c>
      <c r="B8116" s="19">
        <v>20.64</v>
      </c>
      <c r="C8116" s="19">
        <v>5</v>
      </c>
      <c r="D8116" s="19">
        <v>2.3219999999999974</v>
      </c>
    </row>
    <row r="8117" spans="1:4" x14ac:dyDescent="0.2">
      <c r="A8117" s="19" t="s">
        <v>150</v>
      </c>
      <c r="B8117" s="19">
        <v>148.02000000000001</v>
      </c>
      <c r="C8117" s="19">
        <v>3</v>
      </c>
      <c r="D8117" s="19">
        <v>41.445600000000013</v>
      </c>
    </row>
    <row r="8118" spans="1:4" x14ac:dyDescent="0.2">
      <c r="A8118" s="19" t="s">
        <v>189</v>
      </c>
      <c r="B8118" s="19">
        <v>33.29</v>
      </c>
      <c r="C8118" s="19">
        <v>1</v>
      </c>
      <c r="D8118" s="19">
        <v>7.9895999999999994</v>
      </c>
    </row>
    <row r="8119" spans="1:4" x14ac:dyDescent="0.2">
      <c r="A8119" s="19" t="s">
        <v>150</v>
      </c>
      <c r="B8119" s="19">
        <v>204.95000000000002</v>
      </c>
      <c r="C8119" s="19">
        <v>5</v>
      </c>
      <c r="D8119" s="19">
        <v>100.4255</v>
      </c>
    </row>
    <row r="8120" spans="1:4" x14ac:dyDescent="0.2">
      <c r="A8120" s="19" t="s">
        <v>159</v>
      </c>
      <c r="B8120" s="19">
        <v>526.34399999999994</v>
      </c>
      <c r="C8120" s="19">
        <v>4</v>
      </c>
      <c r="D8120" s="19">
        <v>-75.191999999999979</v>
      </c>
    </row>
    <row r="8121" spans="1:4" x14ac:dyDescent="0.2">
      <c r="A8121" s="19" t="s">
        <v>150</v>
      </c>
      <c r="B8121" s="19">
        <v>41.96</v>
      </c>
      <c r="C8121" s="19">
        <v>2</v>
      </c>
      <c r="D8121" s="19">
        <v>10.909600000000001</v>
      </c>
    </row>
    <row r="8122" spans="1:4" x14ac:dyDescent="0.2">
      <c r="A8122" s="19" t="s">
        <v>150</v>
      </c>
      <c r="B8122" s="19">
        <v>451.15199999999993</v>
      </c>
      <c r="C8122" s="19">
        <v>3</v>
      </c>
      <c r="D8122" s="19">
        <v>0</v>
      </c>
    </row>
    <row r="8123" spans="1:4" x14ac:dyDescent="0.2">
      <c r="A8123" s="19" t="s">
        <v>150</v>
      </c>
      <c r="B8123" s="19">
        <v>31.504000000000005</v>
      </c>
      <c r="C8123" s="19">
        <v>11</v>
      </c>
      <c r="D8123" s="19">
        <v>11.026399999999999</v>
      </c>
    </row>
    <row r="8124" spans="1:4" x14ac:dyDescent="0.2">
      <c r="A8124" s="19" t="s">
        <v>158</v>
      </c>
      <c r="B8124" s="19">
        <v>30.672000000000001</v>
      </c>
      <c r="C8124" s="19">
        <v>3</v>
      </c>
      <c r="D8124" s="19">
        <v>9.5850000000000009</v>
      </c>
    </row>
    <row r="8125" spans="1:4" x14ac:dyDescent="0.2">
      <c r="A8125" s="19" t="s">
        <v>158</v>
      </c>
      <c r="B8125" s="19">
        <v>1079.9759999999999</v>
      </c>
      <c r="C8125" s="19">
        <v>4</v>
      </c>
      <c r="D8125" s="19">
        <v>125.99719999999991</v>
      </c>
    </row>
    <row r="8126" spans="1:4" x14ac:dyDescent="0.2">
      <c r="A8126" s="19" t="s">
        <v>150</v>
      </c>
      <c r="B8126" s="19">
        <v>161.56800000000001</v>
      </c>
      <c r="C8126" s="19">
        <v>2</v>
      </c>
      <c r="D8126" s="19">
        <v>-28.274400000000021</v>
      </c>
    </row>
    <row r="8127" spans="1:4" x14ac:dyDescent="0.2">
      <c r="A8127" s="19" t="s">
        <v>154</v>
      </c>
      <c r="B8127" s="19">
        <v>2.9339999999999993</v>
      </c>
      <c r="C8127" s="19">
        <v>3</v>
      </c>
      <c r="D8127" s="19">
        <v>-4.9878000000000018</v>
      </c>
    </row>
    <row r="8128" spans="1:4" x14ac:dyDescent="0.2">
      <c r="A8128" s="19" t="s">
        <v>154</v>
      </c>
      <c r="B8128" s="19">
        <v>18.528000000000002</v>
      </c>
      <c r="C8128" s="19">
        <v>2</v>
      </c>
      <c r="D8128" s="19">
        <v>4.4004000000000003</v>
      </c>
    </row>
    <row r="8129" spans="1:4" x14ac:dyDescent="0.2">
      <c r="A8129" s="19" t="s">
        <v>154</v>
      </c>
      <c r="B8129" s="19">
        <v>670.75200000000007</v>
      </c>
      <c r="C8129" s="19">
        <v>3</v>
      </c>
      <c r="D8129" s="19">
        <v>-125.76600000000005</v>
      </c>
    </row>
    <row r="8130" spans="1:4" x14ac:dyDescent="0.2">
      <c r="A8130" s="19" t="s">
        <v>159</v>
      </c>
      <c r="B8130" s="19">
        <v>64.959999999999994</v>
      </c>
      <c r="C8130" s="19">
        <v>5</v>
      </c>
      <c r="D8130" s="19">
        <v>-43.847999999999985</v>
      </c>
    </row>
    <row r="8131" spans="1:4" x14ac:dyDescent="0.2">
      <c r="A8131" s="19" t="s">
        <v>150</v>
      </c>
      <c r="B8131" s="19">
        <v>41.94</v>
      </c>
      <c r="C8131" s="19">
        <v>2</v>
      </c>
      <c r="D8131" s="19">
        <v>15.098399999999998</v>
      </c>
    </row>
    <row r="8132" spans="1:4" x14ac:dyDescent="0.2">
      <c r="A8132" s="19" t="s">
        <v>150</v>
      </c>
      <c r="B8132" s="19">
        <v>11.96</v>
      </c>
      <c r="C8132" s="19">
        <v>2</v>
      </c>
      <c r="D8132" s="19">
        <v>5.8604000000000003</v>
      </c>
    </row>
    <row r="8133" spans="1:4" x14ac:dyDescent="0.2">
      <c r="A8133" s="19" t="s">
        <v>150</v>
      </c>
      <c r="B8133" s="19">
        <v>13.12</v>
      </c>
      <c r="C8133" s="19">
        <v>4</v>
      </c>
      <c r="D8133" s="19">
        <v>3.8047999999999984</v>
      </c>
    </row>
    <row r="8134" spans="1:4" x14ac:dyDescent="0.2">
      <c r="A8134" s="19" t="s">
        <v>150</v>
      </c>
      <c r="B8134" s="19">
        <v>535.41</v>
      </c>
      <c r="C8134" s="19">
        <v>3</v>
      </c>
      <c r="D8134" s="19">
        <v>160.62299999999993</v>
      </c>
    </row>
    <row r="8135" spans="1:4" x14ac:dyDescent="0.2">
      <c r="A8135" s="19" t="s">
        <v>154</v>
      </c>
      <c r="B8135" s="19">
        <v>72.78</v>
      </c>
      <c r="C8135" s="19">
        <v>3</v>
      </c>
      <c r="D8135" s="19">
        <v>-70.960499999999996</v>
      </c>
    </row>
    <row r="8136" spans="1:4" x14ac:dyDescent="0.2">
      <c r="A8136" s="19" t="s">
        <v>150</v>
      </c>
      <c r="B8136" s="19">
        <v>36.839999999999996</v>
      </c>
      <c r="C8136" s="19">
        <v>3</v>
      </c>
      <c r="D8136" s="19">
        <v>17.314799999999998</v>
      </c>
    </row>
    <row r="8137" spans="1:4" x14ac:dyDescent="0.2">
      <c r="A8137" s="19" t="s">
        <v>150</v>
      </c>
      <c r="B8137" s="19">
        <v>87.71</v>
      </c>
      <c r="C8137" s="19">
        <v>7</v>
      </c>
      <c r="D8137" s="19">
        <v>41.223699999999994</v>
      </c>
    </row>
    <row r="8138" spans="1:4" x14ac:dyDescent="0.2">
      <c r="A8138" s="19" t="s">
        <v>151</v>
      </c>
      <c r="B8138" s="19">
        <v>562.29250000000013</v>
      </c>
      <c r="C8138" s="19">
        <v>7</v>
      </c>
      <c r="D8138" s="19">
        <v>-255.58750000000009</v>
      </c>
    </row>
    <row r="8139" spans="1:4" x14ac:dyDescent="0.2">
      <c r="A8139" s="19" t="s">
        <v>164</v>
      </c>
      <c r="B8139" s="19">
        <v>56.52</v>
      </c>
      <c r="C8139" s="19">
        <v>9</v>
      </c>
      <c r="D8139" s="19">
        <v>21.477600000000002</v>
      </c>
    </row>
    <row r="8140" spans="1:4" x14ac:dyDescent="0.2">
      <c r="A8140" s="19" t="s">
        <v>158</v>
      </c>
      <c r="B8140" s="19">
        <v>11.264000000000001</v>
      </c>
      <c r="C8140" s="19">
        <v>8</v>
      </c>
      <c r="D8140" s="19">
        <v>1.2671999999999994</v>
      </c>
    </row>
    <row r="8141" spans="1:4" x14ac:dyDescent="0.2">
      <c r="A8141" s="19" t="s">
        <v>158</v>
      </c>
      <c r="B8141" s="19">
        <v>284.08000000000004</v>
      </c>
      <c r="C8141" s="19">
        <v>10</v>
      </c>
      <c r="D8141" s="19">
        <v>24.856999999999999</v>
      </c>
    </row>
    <row r="8142" spans="1:4" x14ac:dyDescent="0.2">
      <c r="A8142" s="19" t="s">
        <v>158</v>
      </c>
      <c r="B8142" s="19">
        <v>18.496000000000002</v>
      </c>
      <c r="C8142" s="19">
        <v>4</v>
      </c>
      <c r="D8142" s="19">
        <v>6.7048000000000005</v>
      </c>
    </row>
    <row r="8143" spans="1:4" x14ac:dyDescent="0.2">
      <c r="A8143" s="19" t="s">
        <v>150</v>
      </c>
      <c r="B8143" s="19">
        <v>14.73</v>
      </c>
      <c r="C8143" s="19">
        <v>3</v>
      </c>
      <c r="D8143" s="19">
        <v>7.2176999999999998</v>
      </c>
    </row>
    <row r="8144" spans="1:4" x14ac:dyDescent="0.2">
      <c r="A8144" s="19" t="s">
        <v>150</v>
      </c>
      <c r="B8144" s="19">
        <v>186.54</v>
      </c>
      <c r="C8144" s="19">
        <v>3</v>
      </c>
      <c r="D8144" s="19">
        <v>50.365800000000007</v>
      </c>
    </row>
    <row r="8145" spans="1:4" x14ac:dyDescent="0.2">
      <c r="A8145" s="19" t="s">
        <v>150</v>
      </c>
      <c r="B8145" s="19">
        <v>557.72799999999995</v>
      </c>
      <c r="C8145" s="19">
        <v>4</v>
      </c>
      <c r="D8145" s="19">
        <v>6.9715999999999951</v>
      </c>
    </row>
    <row r="8146" spans="1:4" x14ac:dyDescent="0.2">
      <c r="A8146" s="19" t="s">
        <v>150</v>
      </c>
      <c r="B8146" s="19">
        <v>159.96800000000002</v>
      </c>
      <c r="C8146" s="19">
        <v>4</v>
      </c>
      <c r="D8146" s="19">
        <v>-31.993600000000029</v>
      </c>
    </row>
    <row r="8147" spans="1:4" x14ac:dyDescent="0.2">
      <c r="A8147" s="19" t="s">
        <v>175</v>
      </c>
      <c r="B8147" s="19">
        <v>471.90000000000003</v>
      </c>
      <c r="C8147" s="19">
        <v>6</v>
      </c>
      <c r="D8147" s="19">
        <v>155.72699999999998</v>
      </c>
    </row>
    <row r="8148" spans="1:4" x14ac:dyDescent="0.2">
      <c r="A8148" s="19" t="s">
        <v>175</v>
      </c>
      <c r="B8148" s="19">
        <v>3.52</v>
      </c>
      <c r="C8148" s="19">
        <v>2</v>
      </c>
      <c r="D8148" s="19">
        <v>1.6896</v>
      </c>
    </row>
    <row r="8149" spans="1:4" x14ac:dyDescent="0.2">
      <c r="A8149" s="19" t="s">
        <v>166</v>
      </c>
      <c r="B8149" s="19">
        <v>49.12</v>
      </c>
      <c r="C8149" s="19">
        <v>4</v>
      </c>
      <c r="D8149" s="19">
        <v>23.086399999999998</v>
      </c>
    </row>
    <row r="8150" spans="1:4" x14ac:dyDescent="0.2">
      <c r="A8150" s="19" t="s">
        <v>150</v>
      </c>
      <c r="B8150" s="19">
        <v>20.16</v>
      </c>
      <c r="C8150" s="19">
        <v>7</v>
      </c>
      <c r="D8150" s="19">
        <v>9.8783999999999992</v>
      </c>
    </row>
    <row r="8151" spans="1:4" x14ac:dyDescent="0.2">
      <c r="A8151" s="19" t="s">
        <v>192</v>
      </c>
      <c r="B8151" s="19">
        <v>10.68</v>
      </c>
      <c r="C8151" s="19">
        <v>2</v>
      </c>
      <c r="D8151" s="19">
        <v>5.0195999999999996</v>
      </c>
    </row>
    <row r="8152" spans="1:4" x14ac:dyDescent="0.2">
      <c r="A8152" s="19" t="s">
        <v>192</v>
      </c>
      <c r="B8152" s="19">
        <v>141.96</v>
      </c>
      <c r="C8152" s="19">
        <v>2</v>
      </c>
      <c r="D8152" s="19">
        <v>39.748800000000003</v>
      </c>
    </row>
    <row r="8153" spans="1:4" x14ac:dyDescent="0.2">
      <c r="A8153" s="19" t="s">
        <v>153</v>
      </c>
      <c r="B8153" s="19">
        <v>32.479999999999997</v>
      </c>
      <c r="C8153" s="19">
        <v>2</v>
      </c>
      <c r="D8153" s="19">
        <v>4.8719999999999999</v>
      </c>
    </row>
    <row r="8154" spans="1:4" x14ac:dyDescent="0.2">
      <c r="A8154" s="19" t="s">
        <v>153</v>
      </c>
      <c r="B8154" s="19">
        <v>20.04</v>
      </c>
      <c r="C8154" s="19">
        <v>3</v>
      </c>
      <c r="D8154" s="19">
        <v>9.6191999999999993</v>
      </c>
    </row>
    <row r="8155" spans="1:4" x14ac:dyDescent="0.2">
      <c r="A8155" s="19" t="s">
        <v>153</v>
      </c>
      <c r="B8155" s="19">
        <v>13999.96</v>
      </c>
      <c r="C8155" s="19">
        <v>4</v>
      </c>
      <c r="D8155" s="19">
        <v>6719.9807999999994</v>
      </c>
    </row>
    <row r="8156" spans="1:4" x14ac:dyDescent="0.2">
      <c r="A8156" s="19" t="s">
        <v>178</v>
      </c>
      <c r="B8156" s="19">
        <v>238</v>
      </c>
      <c r="C8156" s="19">
        <v>2</v>
      </c>
      <c r="D8156" s="19">
        <v>38.080000000000013</v>
      </c>
    </row>
    <row r="8157" spans="1:4" x14ac:dyDescent="0.2">
      <c r="A8157" s="19" t="s">
        <v>178</v>
      </c>
      <c r="B8157" s="19">
        <v>61.96</v>
      </c>
      <c r="C8157" s="19">
        <v>2</v>
      </c>
      <c r="D8157" s="19">
        <v>27.881999999999998</v>
      </c>
    </row>
    <row r="8158" spans="1:4" x14ac:dyDescent="0.2">
      <c r="A8158" s="19" t="s">
        <v>187</v>
      </c>
      <c r="B8158" s="19">
        <v>239.37199999999996</v>
      </c>
      <c r="C8158" s="19">
        <v>2</v>
      </c>
      <c r="D8158" s="19">
        <v>-23.93719999999999</v>
      </c>
    </row>
    <row r="8159" spans="1:4" x14ac:dyDescent="0.2">
      <c r="A8159" s="19" t="s">
        <v>150</v>
      </c>
      <c r="B8159" s="19">
        <v>595</v>
      </c>
      <c r="C8159" s="19">
        <v>5</v>
      </c>
      <c r="D8159" s="19">
        <v>95.200000000000031</v>
      </c>
    </row>
    <row r="8160" spans="1:4" x14ac:dyDescent="0.2">
      <c r="A8160" s="19" t="s">
        <v>154</v>
      </c>
      <c r="B8160" s="19">
        <v>16.032</v>
      </c>
      <c r="C8160" s="19">
        <v>3</v>
      </c>
      <c r="D8160" s="19">
        <v>5.6111999999999993</v>
      </c>
    </row>
    <row r="8161" spans="1:4" x14ac:dyDescent="0.2">
      <c r="A8161" s="19" t="s">
        <v>178</v>
      </c>
      <c r="B8161" s="19">
        <v>199.75</v>
      </c>
      <c r="C8161" s="19">
        <v>5</v>
      </c>
      <c r="D8161" s="19">
        <v>87.890000000000015</v>
      </c>
    </row>
    <row r="8162" spans="1:4" x14ac:dyDescent="0.2">
      <c r="A8162" s="19" t="s">
        <v>179</v>
      </c>
      <c r="B8162" s="19">
        <v>227.96</v>
      </c>
      <c r="C8162" s="19">
        <v>2</v>
      </c>
      <c r="D8162" s="19">
        <v>36.473600000000005</v>
      </c>
    </row>
    <row r="8163" spans="1:4" x14ac:dyDescent="0.2">
      <c r="A8163" s="19" t="s">
        <v>164</v>
      </c>
      <c r="B8163" s="19">
        <v>293.52</v>
      </c>
      <c r="C8163" s="19">
        <v>6</v>
      </c>
      <c r="D8163" s="19">
        <v>76.315200000000004</v>
      </c>
    </row>
    <row r="8164" spans="1:4" x14ac:dyDescent="0.2">
      <c r="A8164" s="19" t="s">
        <v>164</v>
      </c>
      <c r="B8164" s="19">
        <v>307.98</v>
      </c>
      <c r="C8164" s="19">
        <v>2</v>
      </c>
      <c r="D8164" s="19">
        <v>89.314199999999971</v>
      </c>
    </row>
    <row r="8165" spans="1:4" x14ac:dyDescent="0.2">
      <c r="A8165" s="19" t="s">
        <v>150</v>
      </c>
      <c r="B8165" s="19">
        <v>96.960000000000008</v>
      </c>
      <c r="C8165" s="19">
        <v>6</v>
      </c>
      <c r="D8165" s="19">
        <v>33.935999999999993</v>
      </c>
    </row>
    <row r="8166" spans="1:4" x14ac:dyDescent="0.2">
      <c r="A8166" s="19" t="s">
        <v>150</v>
      </c>
      <c r="B8166" s="19">
        <v>117.48800000000001</v>
      </c>
      <c r="C8166" s="19">
        <v>7</v>
      </c>
      <c r="D8166" s="19">
        <v>41.120799999999988</v>
      </c>
    </row>
    <row r="8167" spans="1:4" x14ac:dyDescent="0.2">
      <c r="A8167" s="19" t="s">
        <v>150</v>
      </c>
      <c r="B8167" s="19">
        <v>11.952000000000002</v>
      </c>
      <c r="C8167" s="19">
        <v>3</v>
      </c>
      <c r="D8167" s="19">
        <v>4.1832000000000003</v>
      </c>
    </row>
    <row r="8168" spans="1:4" x14ac:dyDescent="0.2">
      <c r="A8168" s="19" t="s">
        <v>150</v>
      </c>
      <c r="B8168" s="19">
        <v>512.49900000000002</v>
      </c>
      <c r="C8168" s="19">
        <v>3</v>
      </c>
      <c r="D8168" s="19">
        <v>-30.147000000000048</v>
      </c>
    </row>
    <row r="8169" spans="1:4" x14ac:dyDescent="0.2">
      <c r="A8169" s="19" t="s">
        <v>150</v>
      </c>
      <c r="B8169" s="19">
        <v>863.12800000000004</v>
      </c>
      <c r="C8169" s="19">
        <v>7</v>
      </c>
      <c r="D8169" s="19">
        <v>-32.367300000000085</v>
      </c>
    </row>
    <row r="8170" spans="1:4" x14ac:dyDescent="0.2">
      <c r="A8170" s="19" t="s">
        <v>153</v>
      </c>
      <c r="B8170" s="19">
        <v>2036.8600000000001</v>
      </c>
      <c r="C8170" s="19">
        <v>7</v>
      </c>
      <c r="D8170" s="19">
        <v>366.63479999999993</v>
      </c>
    </row>
    <row r="8171" spans="1:4" x14ac:dyDescent="0.2">
      <c r="A8171" s="19" t="s">
        <v>153</v>
      </c>
      <c r="B8171" s="19">
        <v>449.56800000000004</v>
      </c>
      <c r="C8171" s="19">
        <v>2</v>
      </c>
      <c r="D8171" s="19">
        <v>-73.054800000000071</v>
      </c>
    </row>
    <row r="8172" spans="1:4" x14ac:dyDescent="0.2">
      <c r="A8172" s="19" t="s">
        <v>153</v>
      </c>
      <c r="B8172" s="19">
        <v>108.96000000000001</v>
      </c>
      <c r="C8172" s="19">
        <v>3</v>
      </c>
      <c r="D8172" s="19">
        <v>32.687999999999988</v>
      </c>
    </row>
    <row r="8173" spans="1:4" x14ac:dyDescent="0.2">
      <c r="A8173" s="19" t="s">
        <v>183</v>
      </c>
      <c r="B8173" s="19">
        <v>264.18</v>
      </c>
      <c r="C8173" s="19">
        <v>7</v>
      </c>
      <c r="D8173" s="19">
        <v>68.686800000000005</v>
      </c>
    </row>
    <row r="8174" spans="1:4" x14ac:dyDescent="0.2">
      <c r="A8174" s="19" t="s">
        <v>150</v>
      </c>
      <c r="B8174" s="19">
        <v>2.88</v>
      </c>
      <c r="C8174" s="19">
        <v>1</v>
      </c>
      <c r="D8174" s="19">
        <v>1.4112</v>
      </c>
    </row>
    <row r="8175" spans="1:4" x14ac:dyDescent="0.2">
      <c r="A8175" s="19" t="s">
        <v>150</v>
      </c>
      <c r="B8175" s="19">
        <v>41.904000000000003</v>
      </c>
      <c r="C8175" s="19">
        <v>6</v>
      </c>
      <c r="D8175" s="19">
        <v>14.142599999999996</v>
      </c>
    </row>
    <row r="8176" spans="1:4" x14ac:dyDescent="0.2">
      <c r="A8176" s="19" t="s">
        <v>150</v>
      </c>
      <c r="B8176" s="19">
        <v>23.92</v>
      </c>
      <c r="C8176" s="19">
        <v>4</v>
      </c>
      <c r="D8176" s="19">
        <v>4.066399999999998</v>
      </c>
    </row>
    <row r="8177" spans="1:4" x14ac:dyDescent="0.2">
      <c r="A8177" s="19" t="s">
        <v>159</v>
      </c>
      <c r="B8177" s="19">
        <v>156.512</v>
      </c>
      <c r="C8177" s="19">
        <v>4</v>
      </c>
      <c r="D8177" s="19">
        <v>52.822799999999987</v>
      </c>
    </row>
    <row r="8178" spans="1:4" x14ac:dyDescent="0.2">
      <c r="A8178" s="19" t="s">
        <v>164</v>
      </c>
      <c r="B8178" s="19">
        <v>128.34</v>
      </c>
      <c r="C8178" s="19">
        <v>6</v>
      </c>
      <c r="D8178" s="19">
        <v>37.218599999999995</v>
      </c>
    </row>
    <row r="8179" spans="1:4" x14ac:dyDescent="0.2">
      <c r="A8179" s="19" t="s">
        <v>150</v>
      </c>
      <c r="B8179" s="19">
        <v>474.95</v>
      </c>
      <c r="C8179" s="19">
        <v>5</v>
      </c>
      <c r="D8179" s="19">
        <v>142.48499999999993</v>
      </c>
    </row>
    <row r="8180" spans="1:4" x14ac:dyDescent="0.2">
      <c r="A8180" s="19" t="s">
        <v>153</v>
      </c>
      <c r="B8180" s="19">
        <v>999.98</v>
      </c>
      <c r="C8180" s="19">
        <v>2</v>
      </c>
      <c r="D8180" s="19">
        <v>449.99099999999999</v>
      </c>
    </row>
    <row r="8181" spans="1:4" x14ac:dyDescent="0.2">
      <c r="A8181" s="19" t="s">
        <v>170</v>
      </c>
      <c r="B8181" s="19">
        <v>277.5</v>
      </c>
      <c r="C8181" s="19">
        <v>4</v>
      </c>
      <c r="D8181" s="19">
        <v>-188.7</v>
      </c>
    </row>
    <row r="8182" spans="1:4" x14ac:dyDescent="0.2">
      <c r="A8182" s="19" t="s">
        <v>158</v>
      </c>
      <c r="B8182" s="19">
        <v>1252.704</v>
      </c>
      <c r="C8182" s="19">
        <v>8</v>
      </c>
      <c r="D8182" s="19">
        <v>-480.20320000000027</v>
      </c>
    </row>
    <row r="8183" spans="1:4" x14ac:dyDescent="0.2">
      <c r="A8183" s="19" t="s">
        <v>158</v>
      </c>
      <c r="B8183" s="19">
        <v>110.97</v>
      </c>
      <c r="C8183" s="19">
        <v>5</v>
      </c>
      <c r="D8183" s="19">
        <v>-24.043499999999995</v>
      </c>
    </row>
    <row r="8184" spans="1:4" x14ac:dyDescent="0.2">
      <c r="A8184" s="19" t="s">
        <v>159</v>
      </c>
      <c r="B8184" s="19">
        <v>22.608000000000001</v>
      </c>
      <c r="C8184" s="19">
        <v>3</v>
      </c>
      <c r="D8184" s="19">
        <v>-10.173599999999997</v>
      </c>
    </row>
    <row r="8185" spans="1:4" x14ac:dyDescent="0.2">
      <c r="A8185" s="19" t="s">
        <v>159</v>
      </c>
      <c r="B8185" s="19">
        <v>1.8920000000000003</v>
      </c>
      <c r="C8185" s="19">
        <v>1</v>
      </c>
      <c r="D8185" s="19">
        <v>-0.99329999999999963</v>
      </c>
    </row>
    <row r="8186" spans="1:4" x14ac:dyDescent="0.2">
      <c r="A8186" s="19" t="s">
        <v>159</v>
      </c>
      <c r="B8186" s="19">
        <v>63.311999999999998</v>
      </c>
      <c r="C8186" s="19">
        <v>3</v>
      </c>
      <c r="D8186" s="19">
        <v>20.576399999999996</v>
      </c>
    </row>
    <row r="8187" spans="1:4" x14ac:dyDescent="0.2">
      <c r="A8187" s="19" t="s">
        <v>159</v>
      </c>
      <c r="B8187" s="19">
        <v>7.8239999999999998</v>
      </c>
      <c r="C8187" s="19">
        <v>1</v>
      </c>
      <c r="D8187" s="19">
        <v>2.9339999999999997</v>
      </c>
    </row>
    <row r="8188" spans="1:4" x14ac:dyDescent="0.2">
      <c r="A8188" s="19" t="s">
        <v>159</v>
      </c>
      <c r="B8188" s="19">
        <v>170.072</v>
      </c>
      <c r="C8188" s="19">
        <v>4</v>
      </c>
      <c r="D8188" s="19">
        <v>-12.147999999999996</v>
      </c>
    </row>
    <row r="8189" spans="1:4" x14ac:dyDescent="0.2">
      <c r="A8189" s="19" t="s">
        <v>164</v>
      </c>
      <c r="B8189" s="19">
        <v>62.820000000000007</v>
      </c>
      <c r="C8189" s="19">
        <v>9</v>
      </c>
      <c r="D8189" s="19">
        <v>29.525400000000001</v>
      </c>
    </row>
    <row r="8190" spans="1:4" x14ac:dyDescent="0.2">
      <c r="A8190" s="19" t="s">
        <v>187</v>
      </c>
      <c r="B8190" s="19">
        <v>19.440000000000001</v>
      </c>
      <c r="C8190" s="19">
        <v>3</v>
      </c>
      <c r="D8190" s="19">
        <v>9.3312000000000008</v>
      </c>
    </row>
    <row r="8191" spans="1:4" x14ac:dyDescent="0.2">
      <c r="A8191" s="19" t="s">
        <v>187</v>
      </c>
      <c r="B8191" s="19">
        <v>7.38</v>
      </c>
      <c r="C8191" s="19">
        <v>1</v>
      </c>
      <c r="D8191" s="19">
        <v>3.6162000000000001</v>
      </c>
    </row>
    <row r="8192" spans="1:4" x14ac:dyDescent="0.2">
      <c r="A8192" s="19" t="s">
        <v>164</v>
      </c>
      <c r="B8192" s="19">
        <v>38.880000000000003</v>
      </c>
      <c r="C8192" s="19">
        <v>6</v>
      </c>
      <c r="D8192" s="19">
        <v>18.662400000000002</v>
      </c>
    </row>
    <row r="8193" spans="1:4" x14ac:dyDescent="0.2">
      <c r="A8193" s="19" t="s">
        <v>164</v>
      </c>
      <c r="B8193" s="19">
        <v>187.76</v>
      </c>
      <c r="C8193" s="19">
        <v>4</v>
      </c>
      <c r="D8193" s="19">
        <v>76.9816</v>
      </c>
    </row>
    <row r="8194" spans="1:4" x14ac:dyDescent="0.2">
      <c r="A8194" s="19" t="s">
        <v>152</v>
      </c>
      <c r="B8194" s="19">
        <v>6.0480000000000009</v>
      </c>
      <c r="C8194" s="19">
        <v>7</v>
      </c>
      <c r="D8194" s="19">
        <v>-4.2336000000000009</v>
      </c>
    </row>
    <row r="8195" spans="1:4" x14ac:dyDescent="0.2">
      <c r="A8195" s="19" t="s">
        <v>152</v>
      </c>
      <c r="B8195" s="19">
        <v>98.352000000000004</v>
      </c>
      <c r="C8195" s="19">
        <v>3</v>
      </c>
      <c r="D8195" s="19">
        <v>9.8351999999999933</v>
      </c>
    </row>
    <row r="8196" spans="1:4" x14ac:dyDescent="0.2">
      <c r="A8196" s="19" t="s">
        <v>152</v>
      </c>
      <c r="B8196" s="19">
        <v>335.74400000000003</v>
      </c>
      <c r="C8196" s="19">
        <v>2</v>
      </c>
      <c r="D8196" s="19">
        <v>25.180800000000005</v>
      </c>
    </row>
    <row r="8197" spans="1:4" x14ac:dyDescent="0.2">
      <c r="A8197" s="19" t="s">
        <v>150</v>
      </c>
      <c r="B8197" s="19">
        <v>8.9600000000000009</v>
      </c>
      <c r="C8197" s="19">
        <v>2</v>
      </c>
      <c r="D8197" s="19">
        <v>4.3904000000000005</v>
      </c>
    </row>
    <row r="8198" spans="1:4" x14ac:dyDescent="0.2">
      <c r="A8198" s="19" t="s">
        <v>167</v>
      </c>
      <c r="B8198" s="19">
        <v>89.567999999999998</v>
      </c>
      <c r="C8198" s="19">
        <v>4</v>
      </c>
      <c r="D8198" s="19">
        <v>-1.119600000000009</v>
      </c>
    </row>
    <row r="8199" spans="1:4" x14ac:dyDescent="0.2">
      <c r="A8199" s="19" t="s">
        <v>167</v>
      </c>
      <c r="B8199" s="19">
        <v>71.959999999999994</v>
      </c>
      <c r="C8199" s="19">
        <v>5</v>
      </c>
      <c r="D8199" s="19">
        <v>7.1960000000000015</v>
      </c>
    </row>
    <row r="8200" spans="1:4" x14ac:dyDescent="0.2">
      <c r="A8200" s="19" t="s">
        <v>167</v>
      </c>
      <c r="B8200" s="19">
        <v>15.552000000000003</v>
      </c>
      <c r="C8200" s="19">
        <v>3</v>
      </c>
      <c r="D8200" s="19">
        <v>5.4432</v>
      </c>
    </row>
    <row r="8201" spans="1:4" x14ac:dyDescent="0.2">
      <c r="A8201" s="19" t="s">
        <v>159</v>
      </c>
      <c r="B8201" s="19">
        <v>10.429999999999996</v>
      </c>
      <c r="C8201" s="19">
        <v>5</v>
      </c>
      <c r="D8201" s="19">
        <v>-18.252500000000001</v>
      </c>
    </row>
    <row r="8202" spans="1:4" x14ac:dyDescent="0.2">
      <c r="A8202" s="19" t="s">
        <v>159</v>
      </c>
      <c r="B8202" s="19">
        <v>72.784000000000006</v>
      </c>
      <c r="C8202" s="19">
        <v>1</v>
      </c>
      <c r="D8202" s="19">
        <v>-18.196000000000002</v>
      </c>
    </row>
    <row r="8203" spans="1:4" x14ac:dyDescent="0.2">
      <c r="A8203" s="19" t="s">
        <v>164</v>
      </c>
      <c r="B8203" s="19">
        <v>67.150000000000006</v>
      </c>
      <c r="C8203" s="19">
        <v>5</v>
      </c>
      <c r="D8203" s="19">
        <v>16.787500000000001</v>
      </c>
    </row>
    <row r="8204" spans="1:4" x14ac:dyDescent="0.2">
      <c r="A8204" s="19" t="s">
        <v>164</v>
      </c>
      <c r="B8204" s="19">
        <v>549.98</v>
      </c>
      <c r="C8204" s="19">
        <v>2</v>
      </c>
      <c r="D8204" s="19">
        <v>142.9948</v>
      </c>
    </row>
    <row r="8205" spans="1:4" x14ac:dyDescent="0.2">
      <c r="A8205" s="19" t="s">
        <v>164</v>
      </c>
      <c r="B8205" s="19">
        <v>11.82</v>
      </c>
      <c r="C8205" s="19">
        <v>3</v>
      </c>
      <c r="D8205" s="19">
        <v>4.7279999999999998</v>
      </c>
    </row>
    <row r="8206" spans="1:4" x14ac:dyDescent="0.2">
      <c r="A8206" s="19" t="s">
        <v>164</v>
      </c>
      <c r="B8206" s="19">
        <v>4643.8</v>
      </c>
      <c r="C8206" s="19">
        <v>4</v>
      </c>
      <c r="D8206" s="19">
        <v>2229.0239999999999</v>
      </c>
    </row>
    <row r="8207" spans="1:4" x14ac:dyDescent="0.2">
      <c r="A8207" s="19" t="s">
        <v>164</v>
      </c>
      <c r="B8207" s="19">
        <v>577.76400000000001</v>
      </c>
      <c r="C8207" s="19">
        <v>2</v>
      </c>
      <c r="D8207" s="19">
        <v>115.5528</v>
      </c>
    </row>
    <row r="8208" spans="1:4" x14ac:dyDescent="0.2">
      <c r="A8208" s="19" t="s">
        <v>151</v>
      </c>
      <c r="B8208" s="19">
        <v>191.5155</v>
      </c>
      <c r="C8208" s="19">
        <v>1</v>
      </c>
      <c r="D8208" s="19">
        <v>-76.606200000000001</v>
      </c>
    </row>
    <row r="8209" spans="1:4" x14ac:dyDescent="0.2">
      <c r="A8209" s="19" t="s">
        <v>151</v>
      </c>
      <c r="B8209" s="19">
        <v>2.6240000000000001</v>
      </c>
      <c r="C8209" s="19">
        <v>1</v>
      </c>
      <c r="D8209" s="19">
        <v>0.42639999999999978</v>
      </c>
    </row>
    <row r="8210" spans="1:4" x14ac:dyDescent="0.2">
      <c r="A8210" s="19" t="s">
        <v>167</v>
      </c>
      <c r="B8210" s="19">
        <v>1369.7640000000001</v>
      </c>
      <c r="C8210" s="19">
        <v>6</v>
      </c>
      <c r="D8210" s="19">
        <v>-913.17599999999993</v>
      </c>
    </row>
    <row r="8211" spans="1:4" x14ac:dyDescent="0.2">
      <c r="A8211" s="19" t="s">
        <v>167</v>
      </c>
      <c r="B8211" s="19">
        <v>294.36799999999999</v>
      </c>
      <c r="C8211" s="19">
        <v>4</v>
      </c>
      <c r="D8211" s="19">
        <v>-58.873600000000025</v>
      </c>
    </row>
    <row r="8212" spans="1:4" x14ac:dyDescent="0.2">
      <c r="A8212" s="19" t="s">
        <v>167</v>
      </c>
      <c r="B8212" s="19">
        <v>81.567999999999998</v>
      </c>
      <c r="C8212" s="19">
        <v>2</v>
      </c>
      <c r="D8212" s="19">
        <v>7.1372000000000035</v>
      </c>
    </row>
    <row r="8213" spans="1:4" x14ac:dyDescent="0.2">
      <c r="A8213" s="19" t="s">
        <v>154</v>
      </c>
      <c r="B8213" s="19">
        <v>44.460000000000008</v>
      </c>
      <c r="C8213" s="19">
        <v>5</v>
      </c>
      <c r="D8213" s="19">
        <v>-17.783999999999992</v>
      </c>
    </row>
    <row r="8214" spans="1:4" x14ac:dyDescent="0.2">
      <c r="A8214" s="19" t="s">
        <v>154</v>
      </c>
      <c r="B8214" s="19">
        <v>314.08800000000002</v>
      </c>
      <c r="C8214" s="19">
        <v>3</v>
      </c>
      <c r="D8214" s="19">
        <v>19.630499999999998</v>
      </c>
    </row>
    <row r="8215" spans="1:4" x14ac:dyDescent="0.2">
      <c r="A8215" s="19" t="s">
        <v>167</v>
      </c>
      <c r="B8215" s="19">
        <v>6.3360000000000012</v>
      </c>
      <c r="C8215" s="19">
        <v>4</v>
      </c>
      <c r="D8215" s="19">
        <v>-4.6463999999999981</v>
      </c>
    </row>
    <row r="8216" spans="1:4" x14ac:dyDescent="0.2">
      <c r="A8216" s="19" t="s">
        <v>167</v>
      </c>
      <c r="B8216" s="19">
        <v>10.48</v>
      </c>
      <c r="C8216" s="19">
        <v>1</v>
      </c>
      <c r="D8216" s="19">
        <v>3.7989999999999995</v>
      </c>
    </row>
    <row r="8217" spans="1:4" x14ac:dyDescent="0.2">
      <c r="A8217" s="19" t="s">
        <v>167</v>
      </c>
      <c r="B8217" s="19">
        <v>2.4690000000000003</v>
      </c>
      <c r="C8217" s="19">
        <v>1</v>
      </c>
      <c r="D8217" s="19">
        <v>-1.8106</v>
      </c>
    </row>
    <row r="8218" spans="1:4" x14ac:dyDescent="0.2">
      <c r="A8218" s="19" t="s">
        <v>167</v>
      </c>
      <c r="B8218" s="19">
        <v>3.2640000000000007</v>
      </c>
      <c r="C8218" s="19">
        <v>2</v>
      </c>
      <c r="D8218" s="19">
        <v>-2.2847999999999997</v>
      </c>
    </row>
    <row r="8219" spans="1:4" x14ac:dyDescent="0.2">
      <c r="A8219" s="19" t="s">
        <v>154</v>
      </c>
      <c r="B8219" s="19">
        <v>4.3440000000000003</v>
      </c>
      <c r="C8219" s="19">
        <v>3</v>
      </c>
      <c r="D8219" s="19">
        <v>0.86879999999999979</v>
      </c>
    </row>
    <row r="8220" spans="1:4" x14ac:dyDescent="0.2">
      <c r="A8220" s="19" t="s">
        <v>154</v>
      </c>
      <c r="B8220" s="19">
        <v>31.776000000000003</v>
      </c>
      <c r="C8220" s="19">
        <v>3</v>
      </c>
      <c r="D8220" s="19">
        <v>-19.065600000000007</v>
      </c>
    </row>
    <row r="8221" spans="1:4" x14ac:dyDescent="0.2">
      <c r="A8221" s="19" t="s">
        <v>154</v>
      </c>
      <c r="B8221" s="19">
        <v>4.9280000000000008</v>
      </c>
      <c r="C8221" s="19">
        <v>2</v>
      </c>
      <c r="D8221" s="19">
        <v>1.7247999999999997</v>
      </c>
    </row>
    <row r="8222" spans="1:4" x14ac:dyDescent="0.2">
      <c r="A8222" s="19" t="s">
        <v>154</v>
      </c>
      <c r="B8222" s="19">
        <v>1.7879999999999996</v>
      </c>
      <c r="C8222" s="19">
        <v>3</v>
      </c>
      <c r="D8222" s="19">
        <v>-3.0396000000000001</v>
      </c>
    </row>
    <row r="8223" spans="1:4" x14ac:dyDescent="0.2">
      <c r="A8223" s="19" t="s">
        <v>154</v>
      </c>
      <c r="B8223" s="19">
        <v>15.072000000000001</v>
      </c>
      <c r="C8223" s="19">
        <v>4</v>
      </c>
      <c r="D8223" s="19">
        <v>-3.7680000000000002</v>
      </c>
    </row>
    <row r="8224" spans="1:4" x14ac:dyDescent="0.2">
      <c r="A8224" s="19" t="s">
        <v>154</v>
      </c>
      <c r="B8224" s="19">
        <v>12.624000000000001</v>
      </c>
      <c r="C8224" s="19">
        <v>2</v>
      </c>
      <c r="D8224" s="19">
        <v>-2.5248000000000022</v>
      </c>
    </row>
    <row r="8225" spans="1:4" x14ac:dyDescent="0.2">
      <c r="A8225" s="19" t="s">
        <v>150</v>
      </c>
      <c r="B8225" s="19">
        <v>185.88</v>
      </c>
      <c r="C8225" s="19">
        <v>6</v>
      </c>
      <c r="D8225" s="19">
        <v>83.645999999999987</v>
      </c>
    </row>
    <row r="8226" spans="1:4" x14ac:dyDescent="0.2">
      <c r="A8226" s="19" t="s">
        <v>150</v>
      </c>
      <c r="B8226" s="19">
        <v>12.96</v>
      </c>
      <c r="C8226" s="19">
        <v>2</v>
      </c>
      <c r="D8226" s="19">
        <v>6.2208000000000006</v>
      </c>
    </row>
    <row r="8227" spans="1:4" x14ac:dyDescent="0.2">
      <c r="A8227" s="19" t="s">
        <v>180</v>
      </c>
      <c r="B8227" s="19">
        <v>189.7</v>
      </c>
      <c r="C8227" s="19">
        <v>10</v>
      </c>
      <c r="D8227" s="19">
        <v>91.055999999999983</v>
      </c>
    </row>
    <row r="8228" spans="1:4" x14ac:dyDescent="0.2">
      <c r="A8228" s="19" t="s">
        <v>180</v>
      </c>
      <c r="B8228" s="19">
        <v>40.99</v>
      </c>
      <c r="C8228" s="19">
        <v>1</v>
      </c>
      <c r="D8228" s="19">
        <v>20.085100000000001</v>
      </c>
    </row>
    <row r="8229" spans="1:4" x14ac:dyDescent="0.2">
      <c r="A8229" s="19" t="s">
        <v>164</v>
      </c>
      <c r="B8229" s="19">
        <v>82.64</v>
      </c>
      <c r="C8229" s="19">
        <v>2</v>
      </c>
      <c r="D8229" s="19">
        <v>7.4376000000000033</v>
      </c>
    </row>
    <row r="8230" spans="1:4" x14ac:dyDescent="0.2">
      <c r="A8230" s="19" t="s">
        <v>164</v>
      </c>
      <c r="B8230" s="19">
        <v>31.02</v>
      </c>
      <c r="C8230" s="19">
        <v>2</v>
      </c>
      <c r="D8230" s="19">
        <v>8.0652000000000008</v>
      </c>
    </row>
    <row r="8231" spans="1:4" x14ac:dyDescent="0.2">
      <c r="A8231" s="19" t="s">
        <v>164</v>
      </c>
      <c r="B8231" s="19">
        <v>89.97</v>
      </c>
      <c r="C8231" s="19">
        <v>3</v>
      </c>
      <c r="D8231" s="19">
        <v>37.787400000000005</v>
      </c>
    </row>
    <row r="8232" spans="1:4" x14ac:dyDescent="0.2">
      <c r="A8232" s="19" t="s">
        <v>101</v>
      </c>
      <c r="B8232" s="19">
        <v>35.97</v>
      </c>
      <c r="C8232" s="19">
        <v>3</v>
      </c>
      <c r="D8232" s="19">
        <v>9.7118999999999982</v>
      </c>
    </row>
    <row r="8233" spans="1:4" x14ac:dyDescent="0.2">
      <c r="A8233" s="19" t="s">
        <v>101</v>
      </c>
      <c r="B8233" s="19">
        <v>1266.8599999999999</v>
      </c>
      <c r="C8233" s="19">
        <v>7</v>
      </c>
      <c r="D8233" s="19">
        <v>291.37779999999987</v>
      </c>
    </row>
    <row r="8234" spans="1:4" x14ac:dyDescent="0.2">
      <c r="A8234" s="19" t="s">
        <v>150</v>
      </c>
      <c r="B8234" s="19">
        <v>169.45</v>
      </c>
      <c r="C8234" s="19">
        <v>5</v>
      </c>
      <c r="D8234" s="19">
        <v>42.362499999999997</v>
      </c>
    </row>
    <row r="8235" spans="1:4" x14ac:dyDescent="0.2">
      <c r="A8235" s="19" t="s">
        <v>150</v>
      </c>
      <c r="B8235" s="19">
        <v>40.68</v>
      </c>
      <c r="C8235" s="19">
        <v>2</v>
      </c>
      <c r="D8235" s="19">
        <v>0.40679999999999694</v>
      </c>
    </row>
    <row r="8236" spans="1:4" x14ac:dyDescent="0.2">
      <c r="A8236" s="19" t="s">
        <v>151</v>
      </c>
      <c r="B8236" s="19">
        <v>3.3280000000000003</v>
      </c>
      <c r="C8236" s="19">
        <v>2</v>
      </c>
      <c r="D8236" s="19">
        <v>0.4159999999999997</v>
      </c>
    </row>
    <row r="8237" spans="1:4" x14ac:dyDescent="0.2">
      <c r="A8237" s="19" t="s">
        <v>151</v>
      </c>
      <c r="B8237" s="19">
        <v>933.26200000000006</v>
      </c>
      <c r="C8237" s="19">
        <v>4</v>
      </c>
      <c r="D8237" s="19">
        <v>-458.14679999999998</v>
      </c>
    </row>
    <row r="8238" spans="1:4" x14ac:dyDescent="0.2">
      <c r="A8238" s="19" t="s">
        <v>151</v>
      </c>
      <c r="B8238" s="19">
        <v>2803.92</v>
      </c>
      <c r="C8238" s="19">
        <v>5</v>
      </c>
      <c r="D8238" s="19">
        <v>0</v>
      </c>
    </row>
    <row r="8239" spans="1:4" x14ac:dyDescent="0.2">
      <c r="A8239" s="19" t="s">
        <v>151</v>
      </c>
      <c r="B8239" s="19">
        <v>4.7679999999999998</v>
      </c>
      <c r="C8239" s="19">
        <v>2</v>
      </c>
      <c r="D8239" s="19">
        <v>-0.7748000000000006</v>
      </c>
    </row>
    <row r="8240" spans="1:4" x14ac:dyDescent="0.2">
      <c r="A8240" s="19" t="s">
        <v>151</v>
      </c>
      <c r="B8240" s="19">
        <v>6.6720000000000006</v>
      </c>
      <c r="C8240" s="19">
        <v>1</v>
      </c>
      <c r="D8240" s="19">
        <v>2.5019999999999998</v>
      </c>
    </row>
    <row r="8241" spans="1:4" x14ac:dyDescent="0.2">
      <c r="A8241" s="19" t="s">
        <v>151</v>
      </c>
      <c r="B8241" s="19">
        <v>4.4479999999999995</v>
      </c>
      <c r="C8241" s="19">
        <v>2</v>
      </c>
      <c r="D8241" s="19">
        <v>1.1119999999999999</v>
      </c>
    </row>
    <row r="8242" spans="1:4" x14ac:dyDescent="0.2">
      <c r="A8242" s="19" t="s">
        <v>151</v>
      </c>
      <c r="B8242" s="19">
        <v>43.936000000000007</v>
      </c>
      <c r="C8242" s="19">
        <v>4</v>
      </c>
      <c r="D8242" s="19">
        <v>6.0411999999999964</v>
      </c>
    </row>
    <row r="8243" spans="1:4" x14ac:dyDescent="0.2">
      <c r="A8243" s="19" t="s">
        <v>164</v>
      </c>
      <c r="B8243" s="19">
        <v>23.744</v>
      </c>
      <c r="C8243" s="19">
        <v>2</v>
      </c>
      <c r="D8243" s="19">
        <v>8.3103999999999996</v>
      </c>
    </row>
    <row r="8244" spans="1:4" x14ac:dyDescent="0.2">
      <c r="A8244" s="19" t="s">
        <v>164</v>
      </c>
      <c r="B8244" s="19">
        <v>357</v>
      </c>
      <c r="C8244" s="19">
        <v>3</v>
      </c>
      <c r="D8244" s="19">
        <v>57.120000000000019</v>
      </c>
    </row>
    <row r="8245" spans="1:4" x14ac:dyDescent="0.2">
      <c r="A8245" s="19" t="s">
        <v>150</v>
      </c>
      <c r="B8245" s="19">
        <v>806.33600000000001</v>
      </c>
      <c r="C8245" s="19">
        <v>8</v>
      </c>
      <c r="D8245" s="19">
        <v>50.396000000000015</v>
      </c>
    </row>
    <row r="8246" spans="1:4" x14ac:dyDescent="0.2">
      <c r="A8246" s="19" t="s">
        <v>150</v>
      </c>
      <c r="B8246" s="19">
        <v>85.44</v>
      </c>
      <c r="C8246" s="19">
        <v>3</v>
      </c>
      <c r="D8246" s="19">
        <v>31.612800000000004</v>
      </c>
    </row>
    <row r="8247" spans="1:4" x14ac:dyDescent="0.2">
      <c r="A8247" s="19" t="s">
        <v>101</v>
      </c>
      <c r="B8247" s="19">
        <v>344.90999999999997</v>
      </c>
      <c r="C8247" s="19">
        <v>3</v>
      </c>
      <c r="D8247" s="19">
        <v>10.347300000000004</v>
      </c>
    </row>
    <row r="8248" spans="1:4" x14ac:dyDescent="0.2">
      <c r="A8248" s="19" t="s">
        <v>159</v>
      </c>
      <c r="B8248" s="19">
        <v>70.969999999999985</v>
      </c>
      <c r="C8248" s="19">
        <v>5</v>
      </c>
      <c r="D8248" s="19">
        <v>-191.619</v>
      </c>
    </row>
    <row r="8249" spans="1:4" x14ac:dyDescent="0.2">
      <c r="A8249" s="19" t="s">
        <v>159</v>
      </c>
      <c r="B8249" s="19">
        <v>36.783999999999999</v>
      </c>
      <c r="C8249" s="19">
        <v>2</v>
      </c>
      <c r="D8249" s="19">
        <v>3.6784000000000017</v>
      </c>
    </row>
    <row r="8250" spans="1:4" x14ac:dyDescent="0.2">
      <c r="A8250" s="19" t="s">
        <v>158</v>
      </c>
      <c r="B8250" s="19">
        <v>743.98799999999994</v>
      </c>
      <c r="C8250" s="19">
        <v>2</v>
      </c>
      <c r="D8250" s="19">
        <v>-123.9980000000001</v>
      </c>
    </row>
    <row r="8251" spans="1:4" x14ac:dyDescent="0.2">
      <c r="A8251" s="19" t="s">
        <v>159</v>
      </c>
      <c r="B8251" s="19">
        <v>11.211999999999998</v>
      </c>
      <c r="C8251" s="19">
        <v>2</v>
      </c>
      <c r="D8251" s="19">
        <v>-16.818000000000005</v>
      </c>
    </row>
    <row r="8252" spans="1:4" x14ac:dyDescent="0.2">
      <c r="A8252" s="19" t="s">
        <v>159</v>
      </c>
      <c r="B8252" s="19">
        <v>4.7119999999999997</v>
      </c>
      <c r="C8252" s="19">
        <v>2</v>
      </c>
      <c r="D8252" s="19">
        <v>-1.8847999999999994</v>
      </c>
    </row>
    <row r="8253" spans="1:4" x14ac:dyDescent="0.2">
      <c r="A8253" s="19" t="s">
        <v>159</v>
      </c>
      <c r="B8253" s="19">
        <v>180.97999999999996</v>
      </c>
      <c r="C8253" s="19">
        <v>5</v>
      </c>
      <c r="D8253" s="19">
        <v>-470.548</v>
      </c>
    </row>
    <row r="8254" spans="1:4" x14ac:dyDescent="0.2">
      <c r="A8254" s="19" t="s">
        <v>159</v>
      </c>
      <c r="B8254" s="19">
        <v>60.415999999999997</v>
      </c>
      <c r="C8254" s="19">
        <v>2</v>
      </c>
      <c r="D8254" s="19">
        <v>6.0416000000000025</v>
      </c>
    </row>
    <row r="8255" spans="1:4" x14ac:dyDescent="0.2">
      <c r="A8255" s="19" t="s">
        <v>153</v>
      </c>
      <c r="B8255" s="19">
        <v>299.99</v>
      </c>
      <c r="C8255" s="19">
        <v>1</v>
      </c>
      <c r="D8255" s="19">
        <v>89.996999999999986</v>
      </c>
    </row>
    <row r="8256" spans="1:4" x14ac:dyDescent="0.2">
      <c r="A8256" s="19" t="s">
        <v>153</v>
      </c>
      <c r="B8256" s="19">
        <v>192.16</v>
      </c>
      <c r="C8256" s="19">
        <v>4</v>
      </c>
      <c r="D8256" s="19">
        <v>92.236799999999988</v>
      </c>
    </row>
    <row r="8257" spans="1:4" x14ac:dyDescent="0.2">
      <c r="A8257" s="19" t="s">
        <v>153</v>
      </c>
      <c r="B8257" s="19">
        <v>242.624</v>
      </c>
      <c r="C8257" s="19">
        <v>8</v>
      </c>
      <c r="D8257" s="19">
        <v>27.295199999999973</v>
      </c>
    </row>
    <row r="8258" spans="1:4" x14ac:dyDescent="0.2">
      <c r="A8258" s="19" t="s">
        <v>153</v>
      </c>
      <c r="B8258" s="19">
        <v>46.74</v>
      </c>
      <c r="C8258" s="19">
        <v>3</v>
      </c>
      <c r="D8258" s="19">
        <v>11.684999999999999</v>
      </c>
    </row>
    <row r="8259" spans="1:4" x14ac:dyDescent="0.2">
      <c r="A8259" s="19" t="s">
        <v>153</v>
      </c>
      <c r="B8259" s="19">
        <v>174.95000000000002</v>
      </c>
      <c r="C8259" s="19">
        <v>5</v>
      </c>
      <c r="D8259" s="19">
        <v>12.246500000000005</v>
      </c>
    </row>
    <row r="8260" spans="1:4" x14ac:dyDescent="0.2">
      <c r="A8260" s="19" t="s">
        <v>153</v>
      </c>
      <c r="B8260" s="19">
        <v>100.70400000000001</v>
      </c>
      <c r="C8260" s="19">
        <v>6</v>
      </c>
      <c r="D8260" s="19">
        <v>37.763999999999996</v>
      </c>
    </row>
    <row r="8261" spans="1:4" x14ac:dyDescent="0.2">
      <c r="A8261" s="19" t="s">
        <v>161</v>
      </c>
      <c r="B8261" s="19">
        <v>368.91</v>
      </c>
      <c r="C8261" s="19">
        <v>9</v>
      </c>
      <c r="D8261" s="19">
        <v>180.76590000000002</v>
      </c>
    </row>
    <row r="8262" spans="1:4" x14ac:dyDescent="0.2">
      <c r="A8262" s="19" t="s">
        <v>161</v>
      </c>
      <c r="B8262" s="19">
        <v>8.02</v>
      </c>
      <c r="C8262" s="19">
        <v>1</v>
      </c>
      <c r="D8262" s="19">
        <v>3.7693999999999992</v>
      </c>
    </row>
    <row r="8263" spans="1:4" x14ac:dyDescent="0.2">
      <c r="A8263" s="19" t="s">
        <v>161</v>
      </c>
      <c r="B8263" s="19">
        <v>171.04</v>
      </c>
      <c r="C8263" s="19">
        <v>4</v>
      </c>
      <c r="D8263" s="19">
        <v>44.470399999999998</v>
      </c>
    </row>
    <row r="8264" spans="1:4" x14ac:dyDescent="0.2">
      <c r="A8264" s="19" t="s">
        <v>184</v>
      </c>
      <c r="B8264" s="19">
        <v>19.440000000000001</v>
      </c>
      <c r="C8264" s="19">
        <v>3</v>
      </c>
      <c r="D8264" s="19">
        <v>9.3312000000000008</v>
      </c>
    </row>
    <row r="8265" spans="1:4" x14ac:dyDescent="0.2">
      <c r="A8265" s="19" t="s">
        <v>152</v>
      </c>
      <c r="B8265" s="19">
        <v>13.092000000000002</v>
      </c>
      <c r="C8265" s="19">
        <v>4</v>
      </c>
      <c r="D8265" s="19">
        <v>-10.037199999999999</v>
      </c>
    </row>
    <row r="8266" spans="1:4" x14ac:dyDescent="0.2">
      <c r="A8266" s="19" t="s">
        <v>164</v>
      </c>
      <c r="B8266" s="19">
        <v>122.94</v>
      </c>
      <c r="C8266" s="19">
        <v>3</v>
      </c>
      <c r="D8266" s="19">
        <v>30.734999999999992</v>
      </c>
    </row>
    <row r="8267" spans="1:4" x14ac:dyDescent="0.2">
      <c r="A8267" s="19" t="s">
        <v>164</v>
      </c>
      <c r="B8267" s="19">
        <v>35.448</v>
      </c>
      <c r="C8267" s="19">
        <v>7</v>
      </c>
      <c r="D8267" s="19">
        <v>12.8499</v>
      </c>
    </row>
    <row r="8268" spans="1:4" x14ac:dyDescent="0.2">
      <c r="A8268" s="19" t="s">
        <v>162</v>
      </c>
      <c r="B8268" s="19">
        <v>19.98</v>
      </c>
      <c r="C8268" s="19">
        <v>2</v>
      </c>
      <c r="D8268" s="19">
        <v>5.1948000000000008</v>
      </c>
    </row>
    <row r="8269" spans="1:4" x14ac:dyDescent="0.2">
      <c r="A8269" s="19" t="s">
        <v>159</v>
      </c>
      <c r="B8269" s="19">
        <v>69.375</v>
      </c>
      <c r="C8269" s="19">
        <v>1</v>
      </c>
      <c r="D8269" s="19">
        <v>-47.174999999999997</v>
      </c>
    </row>
    <row r="8270" spans="1:4" x14ac:dyDescent="0.2">
      <c r="A8270" s="19" t="s">
        <v>159</v>
      </c>
      <c r="B8270" s="19">
        <v>31.680000000000003</v>
      </c>
      <c r="C8270" s="19">
        <v>4</v>
      </c>
      <c r="D8270" s="19">
        <v>2.7719999999999994</v>
      </c>
    </row>
    <row r="8271" spans="1:4" x14ac:dyDescent="0.2">
      <c r="A8271" s="19" t="s">
        <v>159</v>
      </c>
      <c r="B8271" s="19">
        <v>2003.1680000000001</v>
      </c>
      <c r="C8271" s="19">
        <v>4</v>
      </c>
      <c r="D8271" s="19">
        <v>250.39599999999984</v>
      </c>
    </row>
    <row r="8272" spans="1:4" x14ac:dyDescent="0.2">
      <c r="A8272" s="19" t="s">
        <v>159</v>
      </c>
      <c r="B8272" s="19">
        <v>9.3439999999999994</v>
      </c>
      <c r="C8272" s="19">
        <v>2</v>
      </c>
      <c r="D8272" s="19">
        <v>3.1535999999999995</v>
      </c>
    </row>
    <row r="8273" spans="1:4" x14ac:dyDescent="0.2">
      <c r="A8273" s="19" t="s">
        <v>164</v>
      </c>
      <c r="B8273" s="19">
        <v>2563.056</v>
      </c>
      <c r="C8273" s="19">
        <v>8</v>
      </c>
      <c r="D8273" s="19">
        <v>313.26239999999967</v>
      </c>
    </row>
    <row r="8274" spans="1:4" x14ac:dyDescent="0.2">
      <c r="A8274" s="19" t="s">
        <v>150</v>
      </c>
      <c r="B8274" s="19">
        <v>387.13600000000002</v>
      </c>
      <c r="C8274" s="19">
        <v>4</v>
      </c>
      <c r="D8274" s="19">
        <v>4.8391999999999911</v>
      </c>
    </row>
    <row r="8275" spans="1:4" x14ac:dyDescent="0.2">
      <c r="A8275" s="19" t="s">
        <v>173</v>
      </c>
      <c r="B8275" s="19">
        <v>3.4240000000000004</v>
      </c>
      <c r="C8275" s="19">
        <v>1</v>
      </c>
      <c r="D8275" s="19">
        <v>0.29960000000000009</v>
      </c>
    </row>
    <row r="8276" spans="1:4" x14ac:dyDescent="0.2">
      <c r="A8276" s="19" t="s">
        <v>164</v>
      </c>
      <c r="B8276" s="19">
        <v>1085.42</v>
      </c>
      <c r="C8276" s="19">
        <v>7</v>
      </c>
      <c r="D8276" s="19">
        <v>282.20920000000001</v>
      </c>
    </row>
    <row r="8277" spans="1:4" x14ac:dyDescent="0.2">
      <c r="A8277" s="19" t="s">
        <v>173</v>
      </c>
      <c r="B8277" s="19">
        <v>43.056000000000004</v>
      </c>
      <c r="C8277" s="19">
        <v>9</v>
      </c>
      <c r="D8277" s="19">
        <v>15.607799999999999</v>
      </c>
    </row>
    <row r="8278" spans="1:4" x14ac:dyDescent="0.2">
      <c r="A8278" s="19" t="s">
        <v>151</v>
      </c>
      <c r="B8278" s="19">
        <v>3.762</v>
      </c>
      <c r="C8278" s="19">
        <v>3</v>
      </c>
      <c r="D8278" s="19">
        <v>-2.758799999999999</v>
      </c>
    </row>
    <row r="8279" spans="1:4" x14ac:dyDescent="0.2">
      <c r="A8279" s="19" t="s">
        <v>151</v>
      </c>
      <c r="B8279" s="19">
        <v>34.860000000000007</v>
      </c>
      <c r="C8279" s="19">
        <v>2</v>
      </c>
      <c r="D8279" s="19">
        <v>-26.726000000000006</v>
      </c>
    </row>
    <row r="8280" spans="1:4" x14ac:dyDescent="0.2">
      <c r="A8280" s="19" t="s">
        <v>151</v>
      </c>
      <c r="B8280" s="19">
        <v>432.45600000000002</v>
      </c>
      <c r="C8280" s="19">
        <v>3</v>
      </c>
      <c r="D8280" s="19">
        <v>32.434200000000004</v>
      </c>
    </row>
    <row r="8281" spans="1:4" x14ac:dyDescent="0.2">
      <c r="A8281" s="19" t="s">
        <v>101</v>
      </c>
      <c r="B8281" s="19">
        <v>675.06000000000006</v>
      </c>
      <c r="C8281" s="19">
        <v>3</v>
      </c>
      <c r="D8281" s="19">
        <v>87.757800000000003</v>
      </c>
    </row>
    <row r="8282" spans="1:4" x14ac:dyDescent="0.2">
      <c r="A8282" s="19" t="s">
        <v>152</v>
      </c>
      <c r="B8282" s="19">
        <v>65.231999999999999</v>
      </c>
      <c r="C8282" s="19">
        <v>3</v>
      </c>
      <c r="D8282" s="19">
        <v>22.015799999999999</v>
      </c>
    </row>
    <row r="8283" spans="1:4" x14ac:dyDescent="0.2">
      <c r="A8283" s="19" t="s">
        <v>152</v>
      </c>
      <c r="B8283" s="19">
        <v>207</v>
      </c>
      <c r="C8283" s="19">
        <v>3</v>
      </c>
      <c r="D8283" s="19">
        <v>25.874999999999972</v>
      </c>
    </row>
    <row r="8284" spans="1:4" x14ac:dyDescent="0.2">
      <c r="A8284" s="19" t="s">
        <v>159</v>
      </c>
      <c r="B8284" s="19">
        <v>600.53</v>
      </c>
      <c r="C8284" s="19">
        <v>2</v>
      </c>
      <c r="D8284" s="19">
        <v>137.26399999999995</v>
      </c>
    </row>
    <row r="8285" spans="1:4" x14ac:dyDescent="0.2">
      <c r="A8285" s="19" t="s">
        <v>159</v>
      </c>
      <c r="B8285" s="19">
        <v>59.903999999999996</v>
      </c>
      <c r="C8285" s="19">
        <v>2</v>
      </c>
      <c r="D8285" s="19">
        <v>14.227200000000003</v>
      </c>
    </row>
    <row r="8286" spans="1:4" x14ac:dyDescent="0.2">
      <c r="A8286" s="19" t="s">
        <v>159</v>
      </c>
      <c r="B8286" s="19">
        <v>637.44000000000005</v>
      </c>
      <c r="C8286" s="19">
        <v>8</v>
      </c>
      <c r="D8286" s="19">
        <v>135.45599999999996</v>
      </c>
    </row>
    <row r="8287" spans="1:4" x14ac:dyDescent="0.2">
      <c r="A8287" s="19" t="s">
        <v>159</v>
      </c>
      <c r="B8287" s="19">
        <v>51.756000000000007</v>
      </c>
      <c r="C8287" s="19">
        <v>3</v>
      </c>
      <c r="D8287" s="19">
        <v>-33.641399999999997</v>
      </c>
    </row>
    <row r="8288" spans="1:4" x14ac:dyDescent="0.2">
      <c r="A8288" s="19" t="s">
        <v>151</v>
      </c>
      <c r="B8288" s="19">
        <v>31.104000000000006</v>
      </c>
      <c r="C8288" s="19">
        <v>6</v>
      </c>
      <c r="D8288" s="19">
        <v>10.8864</v>
      </c>
    </row>
    <row r="8289" spans="1:4" x14ac:dyDescent="0.2">
      <c r="A8289" s="19" t="s">
        <v>151</v>
      </c>
      <c r="B8289" s="19">
        <v>47.96</v>
      </c>
      <c r="C8289" s="19">
        <v>5</v>
      </c>
      <c r="D8289" s="19">
        <v>4.196499999999995</v>
      </c>
    </row>
    <row r="8290" spans="1:4" x14ac:dyDescent="0.2">
      <c r="A8290" s="19" t="s">
        <v>151</v>
      </c>
      <c r="B8290" s="19">
        <v>158.928</v>
      </c>
      <c r="C8290" s="19">
        <v>7</v>
      </c>
      <c r="D8290" s="19">
        <v>41.718599999999995</v>
      </c>
    </row>
    <row r="8291" spans="1:4" x14ac:dyDescent="0.2">
      <c r="A8291" s="19" t="s">
        <v>151</v>
      </c>
      <c r="B8291" s="19">
        <v>211.24799999999999</v>
      </c>
      <c r="C8291" s="19">
        <v>6</v>
      </c>
      <c r="D8291" s="19">
        <v>15.843599999999995</v>
      </c>
    </row>
    <row r="8292" spans="1:4" x14ac:dyDescent="0.2">
      <c r="A8292" s="19" t="s">
        <v>151</v>
      </c>
      <c r="B8292" s="19">
        <v>5.5520000000000005</v>
      </c>
      <c r="C8292" s="19">
        <v>2</v>
      </c>
      <c r="D8292" s="19">
        <v>-1.0410000000000006</v>
      </c>
    </row>
    <row r="8293" spans="1:4" x14ac:dyDescent="0.2">
      <c r="A8293" s="19" t="s">
        <v>151</v>
      </c>
      <c r="B8293" s="19">
        <v>2.952</v>
      </c>
      <c r="C8293" s="19">
        <v>1</v>
      </c>
      <c r="D8293" s="19">
        <v>0.99629999999999996</v>
      </c>
    </row>
    <row r="8294" spans="1:4" x14ac:dyDescent="0.2">
      <c r="A8294" s="19" t="s">
        <v>173</v>
      </c>
      <c r="B8294" s="19">
        <v>10.332000000000003</v>
      </c>
      <c r="C8294" s="19">
        <v>3</v>
      </c>
      <c r="D8294" s="19">
        <v>-7.5767999999999986</v>
      </c>
    </row>
    <row r="8295" spans="1:4" x14ac:dyDescent="0.2">
      <c r="A8295" s="19" t="s">
        <v>153</v>
      </c>
      <c r="B8295" s="19">
        <v>18.368000000000002</v>
      </c>
      <c r="C8295" s="19">
        <v>4</v>
      </c>
      <c r="D8295" s="19">
        <v>5.9695999999999998</v>
      </c>
    </row>
    <row r="8296" spans="1:4" x14ac:dyDescent="0.2">
      <c r="A8296" s="19" t="s">
        <v>164</v>
      </c>
      <c r="B8296" s="19">
        <v>299.89999999999998</v>
      </c>
      <c r="C8296" s="19">
        <v>2</v>
      </c>
      <c r="D8296" s="19">
        <v>74.974999999999994</v>
      </c>
    </row>
    <row r="8297" spans="1:4" x14ac:dyDescent="0.2">
      <c r="A8297" s="19" t="s">
        <v>166</v>
      </c>
      <c r="B8297" s="19">
        <v>26.55</v>
      </c>
      <c r="C8297" s="19">
        <v>9</v>
      </c>
      <c r="D8297" s="19">
        <v>12.744</v>
      </c>
    </row>
    <row r="8298" spans="1:4" x14ac:dyDescent="0.2">
      <c r="A8298" s="19" t="s">
        <v>166</v>
      </c>
      <c r="B8298" s="19">
        <v>111.98</v>
      </c>
      <c r="C8298" s="19">
        <v>2</v>
      </c>
      <c r="D8298" s="19">
        <v>26.875200000000007</v>
      </c>
    </row>
    <row r="8299" spans="1:4" x14ac:dyDescent="0.2">
      <c r="A8299" s="19" t="s">
        <v>152</v>
      </c>
      <c r="B8299" s="19">
        <v>4.9280000000000008</v>
      </c>
      <c r="C8299" s="19">
        <v>2</v>
      </c>
      <c r="D8299" s="19">
        <v>0.73919999999999941</v>
      </c>
    </row>
    <row r="8300" spans="1:4" x14ac:dyDescent="0.2">
      <c r="A8300" s="19" t="s">
        <v>152</v>
      </c>
      <c r="B8300" s="19">
        <v>11.784000000000001</v>
      </c>
      <c r="C8300" s="19">
        <v>3</v>
      </c>
      <c r="D8300" s="19">
        <v>4.2716999999999992</v>
      </c>
    </row>
    <row r="8301" spans="1:4" x14ac:dyDescent="0.2">
      <c r="A8301" s="19" t="s">
        <v>150</v>
      </c>
      <c r="B8301" s="19">
        <v>7.98</v>
      </c>
      <c r="C8301" s="19">
        <v>3</v>
      </c>
      <c r="D8301" s="19">
        <v>2.0747999999999998</v>
      </c>
    </row>
    <row r="8302" spans="1:4" x14ac:dyDescent="0.2">
      <c r="A8302" s="19" t="s">
        <v>161</v>
      </c>
      <c r="B8302" s="19">
        <v>180.96</v>
      </c>
      <c r="C8302" s="19">
        <v>2</v>
      </c>
      <c r="D8302" s="19">
        <v>81.432000000000002</v>
      </c>
    </row>
    <row r="8303" spans="1:4" x14ac:dyDescent="0.2">
      <c r="A8303" s="19" t="s">
        <v>150</v>
      </c>
      <c r="B8303" s="19">
        <v>1649.95</v>
      </c>
      <c r="C8303" s="19">
        <v>5</v>
      </c>
      <c r="D8303" s="19">
        <v>659.98</v>
      </c>
    </row>
    <row r="8304" spans="1:4" x14ac:dyDescent="0.2">
      <c r="A8304" s="19" t="s">
        <v>150</v>
      </c>
      <c r="B8304" s="19">
        <v>362.35199999999998</v>
      </c>
      <c r="C8304" s="19">
        <v>3</v>
      </c>
      <c r="D8304" s="19">
        <v>45.293999999999954</v>
      </c>
    </row>
    <row r="8305" spans="1:4" x14ac:dyDescent="0.2">
      <c r="A8305" s="19" t="s">
        <v>150</v>
      </c>
      <c r="B8305" s="19">
        <v>73.584000000000003</v>
      </c>
      <c r="C8305" s="19">
        <v>2</v>
      </c>
      <c r="D8305" s="19">
        <v>8.2781999999999982</v>
      </c>
    </row>
    <row r="8306" spans="1:4" x14ac:dyDescent="0.2">
      <c r="A8306" s="19" t="s">
        <v>150</v>
      </c>
      <c r="B8306" s="19">
        <v>486.36800000000005</v>
      </c>
      <c r="C8306" s="19">
        <v>4</v>
      </c>
      <c r="D8306" s="19">
        <v>36.477600000000024</v>
      </c>
    </row>
    <row r="8307" spans="1:4" x14ac:dyDescent="0.2">
      <c r="A8307" s="19" t="s">
        <v>175</v>
      </c>
      <c r="B8307" s="19">
        <v>32.400000000000006</v>
      </c>
      <c r="C8307" s="19">
        <v>5</v>
      </c>
      <c r="D8307" s="19">
        <v>15.552000000000001</v>
      </c>
    </row>
    <row r="8308" spans="1:4" x14ac:dyDescent="0.2">
      <c r="A8308" s="19" t="s">
        <v>175</v>
      </c>
      <c r="B8308" s="19">
        <v>41.86</v>
      </c>
      <c r="C8308" s="19">
        <v>7</v>
      </c>
      <c r="D8308" s="19">
        <v>19.255600000000001</v>
      </c>
    </row>
    <row r="8309" spans="1:4" x14ac:dyDescent="0.2">
      <c r="A8309" s="19" t="s">
        <v>175</v>
      </c>
      <c r="B8309" s="19">
        <v>77.56</v>
      </c>
      <c r="C8309" s="19">
        <v>2</v>
      </c>
      <c r="D8309" s="19">
        <v>35.677599999999998</v>
      </c>
    </row>
    <row r="8310" spans="1:4" x14ac:dyDescent="0.2">
      <c r="A8310" s="19" t="s">
        <v>150</v>
      </c>
      <c r="B8310" s="19">
        <v>37.17</v>
      </c>
      <c r="C8310" s="19">
        <v>9</v>
      </c>
      <c r="D8310" s="19">
        <v>11.151</v>
      </c>
    </row>
    <row r="8311" spans="1:4" x14ac:dyDescent="0.2">
      <c r="A8311" s="19" t="s">
        <v>154</v>
      </c>
      <c r="B8311" s="19">
        <v>137.352</v>
      </c>
      <c r="C8311" s="19">
        <v>3</v>
      </c>
      <c r="D8311" s="19">
        <v>8.5844999999999914</v>
      </c>
    </row>
    <row r="8312" spans="1:4" x14ac:dyDescent="0.2">
      <c r="A8312" s="19" t="s">
        <v>154</v>
      </c>
      <c r="B8312" s="19">
        <v>376.50899999999996</v>
      </c>
      <c r="C8312" s="19">
        <v>3</v>
      </c>
      <c r="D8312" s="19">
        <v>-43.029600000000045</v>
      </c>
    </row>
    <row r="8313" spans="1:4" x14ac:dyDescent="0.2">
      <c r="A8313" s="19" t="s">
        <v>101</v>
      </c>
      <c r="B8313" s="19">
        <v>62.72</v>
      </c>
      <c r="C8313" s="19">
        <v>4</v>
      </c>
      <c r="D8313" s="19">
        <v>24.460799999999999</v>
      </c>
    </row>
    <row r="8314" spans="1:4" x14ac:dyDescent="0.2">
      <c r="A8314" s="19" t="s">
        <v>101</v>
      </c>
      <c r="B8314" s="19">
        <v>2939.9300000000003</v>
      </c>
      <c r="C8314" s="19">
        <v>7</v>
      </c>
      <c r="D8314" s="19">
        <v>764.38180000000011</v>
      </c>
    </row>
    <row r="8315" spans="1:4" x14ac:dyDescent="0.2">
      <c r="A8315" s="19" t="s">
        <v>154</v>
      </c>
      <c r="B8315" s="19">
        <v>512.35799999999995</v>
      </c>
      <c r="C8315" s="19">
        <v>3</v>
      </c>
      <c r="D8315" s="19">
        <v>-14.638799999999947</v>
      </c>
    </row>
    <row r="8316" spans="1:4" x14ac:dyDescent="0.2">
      <c r="A8316" s="19" t="s">
        <v>154</v>
      </c>
      <c r="B8316" s="19">
        <v>3.4880000000000004</v>
      </c>
      <c r="C8316" s="19">
        <v>2</v>
      </c>
      <c r="D8316" s="19">
        <v>0.56679999999999997</v>
      </c>
    </row>
    <row r="8317" spans="1:4" x14ac:dyDescent="0.2">
      <c r="A8317" s="19" t="s">
        <v>154</v>
      </c>
      <c r="B8317" s="19">
        <v>22.288</v>
      </c>
      <c r="C8317" s="19">
        <v>7</v>
      </c>
      <c r="D8317" s="19">
        <v>3.9003999999999985</v>
      </c>
    </row>
    <row r="8318" spans="1:4" x14ac:dyDescent="0.2">
      <c r="A8318" s="19" t="s">
        <v>154</v>
      </c>
      <c r="B8318" s="19">
        <v>16.032</v>
      </c>
      <c r="C8318" s="19">
        <v>3</v>
      </c>
      <c r="D8318" s="19">
        <v>5.6111999999999993</v>
      </c>
    </row>
    <row r="8319" spans="1:4" x14ac:dyDescent="0.2">
      <c r="A8319" s="19" t="s">
        <v>152</v>
      </c>
      <c r="B8319" s="19">
        <v>1.752</v>
      </c>
      <c r="C8319" s="19">
        <v>1</v>
      </c>
      <c r="D8319" s="19">
        <v>0.15329999999999994</v>
      </c>
    </row>
    <row r="8320" spans="1:4" x14ac:dyDescent="0.2">
      <c r="A8320" s="19" t="s">
        <v>152</v>
      </c>
      <c r="B8320" s="19">
        <v>20.992000000000001</v>
      </c>
      <c r="C8320" s="19">
        <v>8</v>
      </c>
      <c r="D8320" s="19">
        <v>2.3615999999999966</v>
      </c>
    </row>
    <row r="8321" spans="1:4" x14ac:dyDescent="0.2">
      <c r="A8321" s="19" t="s">
        <v>164</v>
      </c>
      <c r="B8321" s="19">
        <v>11.21</v>
      </c>
      <c r="C8321" s="19">
        <v>1</v>
      </c>
      <c r="D8321" s="19">
        <v>3.3629999999999995</v>
      </c>
    </row>
    <row r="8322" spans="1:4" x14ac:dyDescent="0.2">
      <c r="A8322" s="19" t="s">
        <v>154</v>
      </c>
      <c r="B8322" s="19">
        <v>45.04</v>
      </c>
      <c r="C8322" s="19">
        <v>2</v>
      </c>
      <c r="D8322" s="19">
        <v>4.5040000000000031</v>
      </c>
    </row>
    <row r="8323" spans="1:4" x14ac:dyDescent="0.2">
      <c r="A8323" s="19" t="s">
        <v>154</v>
      </c>
      <c r="B8323" s="19">
        <v>15.623999999999997</v>
      </c>
      <c r="C8323" s="19">
        <v>2</v>
      </c>
      <c r="D8323" s="19">
        <v>-24.998400000000011</v>
      </c>
    </row>
    <row r="8324" spans="1:4" x14ac:dyDescent="0.2">
      <c r="A8324" s="19" t="s">
        <v>164</v>
      </c>
      <c r="B8324" s="19">
        <v>8.74</v>
      </c>
      <c r="C8324" s="19">
        <v>2</v>
      </c>
      <c r="D8324" s="19">
        <v>2.2724000000000002</v>
      </c>
    </row>
    <row r="8325" spans="1:4" x14ac:dyDescent="0.2">
      <c r="A8325" s="19" t="s">
        <v>164</v>
      </c>
      <c r="B8325" s="19">
        <v>44.75</v>
      </c>
      <c r="C8325" s="19">
        <v>5</v>
      </c>
      <c r="D8325" s="19">
        <v>20.584999999999994</v>
      </c>
    </row>
    <row r="8326" spans="1:4" x14ac:dyDescent="0.2">
      <c r="A8326" s="19" t="s">
        <v>151</v>
      </c>
      <c r="B8326" s="19">
        <v>61.68</v>
      </c>
      <c r="C8326" s="19">
        <v>5</v>
      </c>
      <c r="D8326" s="19">
        <v>5.3970000000000073</v>
      </c>
    </row>
    <row r="8327" spans="1:4" x14ac:dyDescent="0.2">
      <c r="A8327" s="19" t="s">
        <v>151</v>
      </c>
      <c r="B8327" s="19">
        <v>158.376</v>
      </c>
      <c r="C8327" s="19">
        <v>3</v>
      </c>
      <c r="D8327" s="19">
        <v>13.857900000000008</v>
      </c>
    </row>
    <row r="8328" spans="1:4" x14ac:dyDescent="0.2">
      <c r="A8328" s="19" t="s">
        <v>159</v>
      </c>
      <c r="B8328" s="19">
        <v>2.8639999999999994</v>
      </c>
      <c r="C8328" s="19">
        <v>4</v>
      </c>
      <c r="D8328" s="19">
        <v>-4.5824000000000016</v>
      </c>
    </row>
    <row r="8329" spans="1:4" x14ac:dyDescent="0.2">
      <c r="A8329" s="19" t="s">
        <v>159</v>
      </c>
      <c r="B8329" s="19">
        <v>94.191999999999979</v>
      </c>
      <c r="C8329" s="19">
        <v>7</v>
      </c>
      <c r="D8329" s="19">
        <v>-164.83600000000007</v>
      </c>
    </row>
    <row r="8330" spans="1:4" x14ac:dyDescent="0.2">
      <c r="A8330" s="19" t="s">
        <v>179</v>
      </c>
      <c r="B8330" s="19">
        <v>143.69999999999999</v>
      </c>
      <c r="C8330" s="19">
        <v>3</v>
      </c>
      <c r="D8330" s="19">
        <v>68.975999999999999</v>
      </c>
    </row>
    <row r="8331" spans="1:4" x14ac:dyDescent="0.2">
      <c r="A8331" s="19" t="s">
        <v>179</v>
      </c>
      <c r="B8331" s="19">
        <v>6.48</v>
      </c>
      <c r="C8331" s="19">
        <v>1</v>
      </c>
      <c r="D8331" s="19">
        <v>3.1104000000000003</v>
      </c>
    </row>
    <row r="8332" spans="1:4" x14ac:dyDescent="0.2">
      <c r="A8332" s="19" t="s">
        <v>164</v>
      </c>
      <c r="B8332" s="19">
        <v>7.88</v>
      </c>
      <c r="C8332" s="19">
        <v>4</v>
      </c>
      <c r="D8332" s="19">
        <v>2.5215999999999994</v>
      </c>
    </row>
    <row r="8333" spans="1:4" x14ac:dyDescent="0.2">
      <c r="A8333" s="19" t="s">
        <v>180</v>
      </c>
      <c r="B8333" s="19">
        <v>11.21</v>
      </c>
      <c r="C8333" s="19">
        <v>1</v>
      </c>
      <c r="D8333" s="19">
        <v>3.3629999999999995</v>
      </c>
    </row>
    <row r="8334" spans="1:4" x14ac:dyDescent="0.2">
      <c r="A8334" s="19" t="s">
        <v>180</v>
      </c>
      <c r="B8334" s="19">
        <v>354.90000000000003</v>
      </c>
      <c r="C8334" s="19">
        <v>5</v>
      </c>
      <c r="D8334" s="19">
        <v>88.725000000000023</v>
      </c>
    </row>
    <row r="8335" spans="1:4" x14ac:dyDescent="0.2">
      <c r="A8335" s="19" t="s">
        <v>180</v>
      </c>
      <c r="B8335" s="19">
        <v>17.940000000000001</v>
      </c>
      <c r="C8335" s="19">
        <v>3</v>
      </c>
      <c r="D8335" s="19">
        <v>8.7906000000000013</v>
      </c>
    </row>
    <row r="8336" spans="1:4" x14ac:dyDescent="0.2">
      <c r="A8336" s="19" t="s">
        <v>180</v>
      </c>
      <c r="B8336" s="19">
        <v>51.8</v>
      </c>
      <c r="C8336" s="19">
        <v>4</v>
      </c>
      <c r="D8336" s="19">
        <v>23.309999999999995</v>
      </c>
    </row>
    <row r="8337" spans="1:4" x14ac:dyDescent="0.2">
      <c r="A8337" s="19" t="s">
        <v>162</v>
      </c>
      <c r="B8337" s="19">
        <v>299.52</v>
      </c>
      <c r="C8337" s="19">
        <v>9</v>
      </c>
      <c r="D8337" s="19">
        <v>149.76</v>
      </c>
    </row>
    <row r="8338" spans="1:4" x14ac:dyDescent="0.2">
      <c r="A8338" s="19" t="s">
        <v>166</v>
      </c>
      <c r="B8338" s="19">
        <v>7.7</v>
      </c>
      <c r="C8338" s="19">
        <v>2</v>
      </c>
      <c r="D8338" s="19">
        <v>3.157</v>
      </c>
    </row>
    <row r="8339" spans="1:4" x14ac:dyDescent="0.2">
      <c r="A8339" s="19" t="s">
        <v>168</v>
      </c>
      <c r="B8339" s="19">
        <v>23.92</v>
      </c>
      <c r="C8339" s="19">
        <v>4</v>
      </c>
      <c r="D8339" s="19">
        <v>11.720800000000001</v>
      </c>
    </row>
    <row r="8340" spans="1:4" x14ac:dyDescent="0.2">
      <c r="A8340" s="19" t="s">
        <v>168</v>
      </c>
      <c r="B8340" s="19">
        <v>498</v>
      </c>
      <c r="C8340" s="19">
        <v>5</v>
      </c>
      <c r="D8340" s="19">
        <v>184.26</v>
      </c>
    </row>
    <row r="8341" spans="1:4" x14ac:dyDescent="0.2">
      <c r="A8341" s="19" t="s">
        <v>150</v>
      </c>
      <c r="B8341" s="19">
        <v>436.70400000000006</v>
      </c>
      <c r="C8341" s="19">
        <v>6</v>
      </c>
      <c r="D8341" s="19">
        <v>-38.211600000000033</v>
      </c>
    </row>
    <row r="8342" spans="1:4" x14ac:dyDescent="0.2">
      <c r="A8342" s="19" t="s">
        <v>166</v>
      </c>
      <c r="B8342" s="19">
        <v>32.400000000000006</v>
      </c>
      <c r="C8342" s="19">
        <v>5</v>
      </c>
      <c r="D8342" s="19">
        <v>15.552000000000001</v>
      </c>
    </row>
    <row r="8343" spans="1:4" x14ac:dyDescent="0.2">
      <c r="A8343" s="19" t="s">
        <v>150</v>
      </c>
      <c r="B8343" s="19">
        <v>61.44</v>
      </c>
      <c r="C8343" s="19">
        <v>3</v>
      </c>
      <c r="D8343" s="19">
        <v>16.588799999999999</v>
      </c>
    </row>
    <row r="8344" spans="1:4" x14ac:dyDescent="0.2">
      <c r="A8344" s="19" t="s">
        <v>168</v>
      </c>
      <c r="B8344" s="19">
        <v>73.36</v>
      </c>
      <c r="C8344" s="19">
        <v>7</v>
      </c>
      <c r="D8344" s="19">
        <v>19.807200000000002</v>
      </c>
    </row>
    <row r="8345" spans="1:4" x14ac:dyDescent="0.2">
      <c r="A8345" s="19" t="s">
        <v>167</v>
      </c>
      <c r="B8345" s="19">
        <v>59.20000000000001</v>
      </c>
      <c r="C8345" s="19">
        <v>5</v>
      </c>
      <c r="D8345" s="19">
        <v>22.199999999999996</v>
      </c>
    </row>
    <row r="8346" spans="1:4" x14ac:dyDescent="0.2">
      <c r="A8346" s="19" t="s">
        <v>167</v>
      </c>
      <c r="B8346" s="19">
        <v>32.952000000000005</v>
      </c>
      <c r="C8346" s="19">
        <v>3</v>
      </c>
      <c r="D8346" s="19">
        <v>6.5903999999999989</v>
      </c>
    </row>
    <row r="8347" spans="1:4" x14ac:dyDescent="0.2">
      <c r="A8347" s="19" t="s">
        <v>167</v>
      </c>
      <c r="B8347" s="19">
        <v>218.376</v>
      </c>
      <c r="C8347" s="19">
        <v>3</v>
      </c>
      <c r="D8347" s="19">
        <v>-10.918799999999983</v>
      </c>
    </row>
    <row r="8348" spans="1:4" x14ac:dyDescent="0.2">
      <c r="A8348" s="19" t="s">
        <v>180</v>
      </c>
      <c r="B8348" s="19">
        <v>31.400000000000002</v>
      </c>
      <c r="C8348" s="19">
        <v>5</v>
      </c>
      <c r="D8348" s="19">
        <v>13.188000000000002</v>
      </c>
    </row>
    <row r="8349" spans="1:4" x14ac:dyDescent="0.2">
      <c r="A8349" s="19" t="s">
        <v>180</v>
      </c>
      <c r="B8349" s="19">
        <v>9.48</v>
      </c>
      <c r="C8349" s="19">
        <v>1</v>
      </c>
      <c r="D8349" s="19">
        <v>3.7920000000000007</v>
      </c>
    </row>
    <row r="8350" spans="1:4" x14ac:dyDescent="0.2">
      <c r="A8350" s="19" t="s">
        <v>180</v>
      </c>
      <c r="B8350" s="19">
        <v>209.5</v>
      </c>
      <c r="C8350" s="19">
        <v>10</v>
      </c>
      <c r="D8350" s="19">
        <v>58.66</v>
      </c>
    </row>
    <row r="8351" spans="1:4" x14ac:dyDescent="0.2">
      <c r="A8351" s="19" t="s">
        <v>180</v>
      </c>
      <c r="B8351" s="19">
        <v>24.3</v>
      </c>
      <c r="C8351" s="19">
        <v>5</v>
      </c>
      <c r="D8351" s="19">
        <v>10.449000000000002</v>
      </c>
    </row>
    <row r="8352" spans="1:4" x14ac:dyDescent="0.2">
      <c r="A8352" s="19" t="s">
        <v>180</v>
      </c>
      <c r="B8352" s="19">
        <v>6.48</v>
      </c>
      <c r="C8352" s="19">
        <v>1</v>
      </c>
      <c r="D8352" s="19">
        <v>3.1104000000000003</v>
      </c>
    </row>
    <row r="8353" spans="1:4" x14ac:dyDescent="0.2">
      <c r="A8353" s="19" t="s">
        <v>158</v>
      </c>
      <c r="B8353" s="19">
        <v>32.448</v>
      </c>
      <c r="C8353" s="19">
        <v>2</v>
      </c>
      <c r="D8353" s="19">
        <v>7.3008000000000006</v>
      </c>
    </row>
    <row r="8354" spans="1:4" x14ac:dyDescent="0.2">
      <c r="A8354" s="19" t="s">
        <v>158</v>
      </c>
      <c r="B8354" s="19">
        <v>26.388000000000002</v>
      </c>
      <c r="C8354" s="19">
        <v>4</v>
      </c>
      <c r="D8354" s="19">
        <v>-17.591999999999992</v>
      </c>
    </row>
    <row r="8355" spans="1:4" x14ac:dyDescent="0.2">
      <c r="A8355" s="19" t="s">
        <v>158</v>
      </c>
      <c r="B8355" s="19">
        <v>373.46999999999991</v>
      </c>
      <c r="C8355" s="19">
        <v>5</v>
      </c>
      <c r="D8355" s="19">
        <v>-112.041</v>
      </c>
    </row>
    <row r="8356" spans="1:4" x14ac:dyDescent="0.2">
      <c r="A8356" s="19" t="s">
        <v>158</v>
      </c>
      <c r="B8356" s="19">
        <v>64.2</v>
      </c>
      <c r="C8356" s="19">
        <v>5</v>
      </c>
      <c r="D8356" s="19">
        <v>-44.94</v>
      </c>
    </row>
    <row r="8357" spans="1:4" x14ac:dyDescent="0.2">
      <c r="A8357" s="19" t="s">
        <v>158</v>
      </c>
      <c r="B8357" s="19">
        <v>8</v>
      </c>
      <c r="C8357" s="19">
        <v>2</v>
      </c>
      <c r="D8357" s="19">
        <v>2.8</v>
      </c>
    </row>
    <row r="8358" spans="1:4" x14ac:dyDescent="0.2">
      <c r="A8358" s="19" t="s">
        <v>101</v>
      </c>
      <c r="B8358" s="19">
        <v>186.54</v>
      </c>
      <c r="C8358" s="19">
        <v>3</v>
      </c>
      <c r="D8358" s="19">
        <v>41.038800000000002</v>
      </c>
    </row>
    <row r="8359" spans="1:4" x14ac:dyDescent="0.2">
      <c r="A8359" s="19" t="s">
        <v>185</v>
      </c>
      <c r="B8359" s="19">
        <v>87.08</v>
      </c>
      <c r="C8359" s="19">
        <v>7</v>
      </c>
      <c r="D8359" s="19">
        <v>24.382400000000001</v>
      </c>
    </row>
    <row r="8360" spans="1:4" x14ac:dyDescent="0.2">
      <c r="A8360" s="19" t="s">
        <v>185</v>
      </c>
      <c r="B8360" s="19">
        <v>105.584</v>
      </c>
      <c r="C8360" s="19">
        <v>2</v>
      </c>
      <c r="D8360" s="19">
        <v>9.2386000000000053</v>
      </c>
    </row>
    <row r="8361" spans="1:4" x14ac:dyDescent="0.2">
      <c r="A8361" s="19" t="s">
        <v>185</v>
      </c>
      <c r="B8361" s="19">
        <v>217.44</v>
      </c>
      <c r="C8361" s="19">
        <v>6</v>
      </c>
      <c r="D8361" s="19">
        <v>91.32480000000001</v>
      </c>
    </row>
    <row r="8362" spans="1:4" x14ac:dyDescent="0.2">
      <c r="A8362" s="19" t="s">
        <v>154</v>
      </c>
      <c r="B8362" s="19">
        <v>31.744</v>
      </c>
      <c r="C8362" s="19">
        <v>2</v>
      </c>
      <c r="D8362" s="19">
        <v>3.9679999999999964</v>
      </c>
    </row>
    <row r="8363" spans="1:4" x14ac:dyDescent="0.2">
      <c r="A8363" s="19" t="s">
        <v>154</v>
      </c>
      <c r="B8363" s="19">
        <v>5.4319999999999986</v>
      </c>
      <c r="C8363" s="19">
        <v>2</v>
      </c>
      <c r="D8363" s="19">
        <v>-13.580000000000002</v>
      </c>
    </row>
    <row r="8364" spans="1:4" x14ac:dyDescent="0.2">
      <c r="A8364" s="19" t="s">
        <v>154</v>
      </c>
      <c r="B8364" s="19">
        <v>913.43000000000006</v>
      </c>
      <c r="C8364" s="19">
        <v>5</v>
      </c>
      <c r="D8364" s="19">
        <v>-169.63700000000009</v>
      </c>
    </row>
    <row r="8365" spans="1:4" x14ac:dyDescent="0.2">
      <c r="A8365" s="19" t="s">
        <v>154</v>
      </c>
      <c r="B8365" s="19">
        <v>372.14400000000001</v>
      </c>
      <c r="C8365" s="19">
        <v>3</v>
      </c>
      <c r="D8365" s="19">
        <v>27.910800000000009</v>
      </c>
    </row>
    <row r="8366" spans="1:4" x14ac:dyDescent="0.2">
      <c r="A8366" s="19" t="s">
        <v>151</v>
      </c>
      <c r="B8366" s="19">
        <v>751.98400000000004</v>
      </c>
      <c r="C8366" s="19">
        <v>2</v>
      </c>
      <c r="D8366" s="19">
        <v>84.598199999999878</v>
      </c>
    </row>
    <row r="8367" spans="1:4" x14ac:dyDescent="0.2">
      <c r="A8367" s="19" t="s">
        <v>153</v>
      </c>
      <c r="B8367" s="19">
        <v>604.76800000000003</v>
      </c>
      <c r="C8367" s="19">
        <v>4</v>
      </c>
      <c r="D8367" s="19">
        <v>60.476800000000026</v>
      </c>
    </row>
    <row r="8368" spans="1:4" x14ac:dyDescent="0.2">
      <c r="A8368" s="19" t="s">
        <v>150</v>
      </c>
      <c r="B8368" s="19">
        <v>27.36</v>
      </c>
      <c r="C8368" s="19">
        <v>4</v>
      </c>
      <c r="D8368" s="19">
        <v>7.3872</v>
      </c>
    </row>
    <row r="8369" spans="1:4" x14ac:dyDescent="0.2">
      <c r="A8369" s="19" t="s">
        <v>150</v>
      </c>
      <c r="B8369" s="19">
        <v>20.56</v>
      </c>
      <c r="C8369" s="19">
        <v>2</v>
      </c>
      <c r="D8369" s="19">
        <v>9.663199999999998</v>
      </c>
    </row>
    <row r="8370" spans="1:4" x14ac:dyDescent="0.2">
      <c r="A8370" s="19" t="s">
        <v>150</v>
      </c>
      <c r="B8370" s="19">
        <v>83.920000000000016</v>
      </c>
      <c r="C8370" s="19">
        <v>5</v>
      </c>
      <c r="D8370" s="19">
        <v>31.47</v>
      </c>
    </row>
    <row r="8371" spans="1:4" x14ac:dyDescent="0.2">
      <c r="A8371" s="19" t="s">
        <v>150</v>
      </c>
      <c r="B8371" s="19">
        <v>902.71199999999999</v>
      </c>
      <c r="C8371" s="19">
        <v>3</v>
      </c>
      <c r="D8371" s="19">
        <v>33.851700000000051</v>
      </c>
    </row>
    <row r="8372" spans="1:4" x14ac:dyDescent="0.2">
      <c r="A8372" s="19" t="s">
        <v>150</v>
      </c>
      <c r="B8372" s="19">
        <v>120.666</v>
      </c>
      <c r="C8372" s="19">
        <v>2</v>
      </c>
      <c r="D8372" s="19">
        <v>21.293999999999993</v>
      </c>
    </row>
    <row r="8373" spans="1:4" x14ac:dyDescent="0.2">
      <c r="A8373" s="19" t="s">
        <v>154</v>
      </c>
      <c r="B8373" s="19">
        <v>4.9839999999999991</v>
      </c>
      <c r="C8373" s="19">
        <v>1</v>
      </c>
      <c r="D8373" s="19">
        <v>-8.472800000000003</v>
      </c>
    </row>
    <row r="8374" spans="1:4" x14ac:dyDescent="0.2">
      <c r="A8374" s="19" t="s">
        <v>153</v>
      </c>
      <c r="B8374" s="19">
        <v>82.26</v>
      </c>
      <c r="C8374" s="19">
        <v>3</v>
      </c>
      <c r="D8374" s="19">
        <v>33.726600000000005</v>
      </c>
    </row>
    <row r="8375" spans="1:4" x14ac:dyDescent="0.2">
      <c r="A8375" s="19" t="s">
        <v>150</v>
      </c>
      <c r="B8375" s="19">
        <v>29.74</v>
      </c>
      <c r="C8375" s="19">
        <v>1</v>
      </c>
      <c r="D8375" s="19">
        <v>4.4610000000000021</v>
      </c>
    </row>
    <row r="8376" spans="1:4" x14ac:dyDescent="0.2">
      <c r="A8376" s="19" t="s">
        <v>150</v>
      </c>
      <c r="B8376" s="19">
        <v>87.36</v>
      </c>
      <c r="C8376" s="19">
        <v>6</v>
      </c>
      <c r="D8376" s="19">
        <v>23.587200000000003</v>
      </c>
    </row>
    <row r="8377" spans="1:4" x14ac:dyDescent="0.2">
      <c r="A8377" s="19" t="s">
        <v>150</v>
      </c>
      <c r="B8377" s="19">
        <v>56.16</v>
      </c>
      <c r="C8377" s="19">
        <v>6</v>
      </c>
      <c r="D8377" s="19">
        <v>17.549999999999994</v>
      </c>
    </row>
    <row r="8378" spans="1:4" x14ac:dyDescent="0.2">
      <c r="A8378" s="19" t="s">
        <v>151</v>
      </c>
      <c r="B8378" s="19">
        <v>64.384</v>
      </c>
      <c r="C8378" s="19">
        <v>1</v>
      </c>
      <c r="D8378" s="19">
        <v>8.0479999999999983</v>
      </c>
    </row>
    <row r="8379" spans="1:4" x14ac:dyDescent="0.2">
      <c r="A8379" s="19" t="s">
        <v>154</v>
      </c>
      <c r="B8379" s="19">
        <v>64.784000000000006</v>
      </c>
      <c r="C8379" s="19">
        <v>1</v>
      </c>
      <c r="D8379" s="19">
        <v>-14.576399999999996</v>
      </c>
    </row>
    <row r="8380" spans="1:4" x14ac:dyDescent="0.2">
      <c r="A8380" s="19" t="s">
        <v>154</v>
      </c>
      <c r="B8380" s="19">
        <v>15.552000000000003</v>
      </c>
      <c r="C8380" s="19">
        <v>3</v>
      </c>
      <c r="D8380" s="19">
        <v>5.6375999999999999</v>
      </c>
    </row>
    <row r="8381" spans="1:4" x14ac:dyDescent="0.2">
      <c r="A8381" s="19" t="s">
        <v>154</v>
      </c>
      <c r="B8381" s="19">
        <v>223.88799999999998</v>
      </c>
      <c r="C8381" s="19">
        <v>7</v>
      </c>
      <c r="D8381" s="19">
        <v>69.964999999999975</v>
      </c>
    </row>
    <row r="8382" spans="1:4" x14ac:dyDescent="0.2">
      <c r="A8382" s="19" t="s">
        <v>159</v>
      </c>
      <c r="B8382" s="19">
        <v>10.896000000000001</v>
      </c>
      <c r="C8382" s="19">
        <v>3</v>
      </c>
      <c r="D8382" s="19">
        <v>3.4049999999999994</v>
      </c>
    </row>
    <row r="8383" spans="1:4" x14ac:dyDescent="0.2">
      <c r="A8383" s="19" t="s">
        <v>150</v>
      </c>
      <c r="B8383" s="19">
        <v>84.784000000000006</v>
      </c>
      <c r="C8383" s="19">
        <v>2</v>
      </c>
      <c r="D8383" s="19">
        <v>-20.136200000000006</v>
      </c>
    </row>
    <row r="8384" spans="1:4" x14ac:dyDescent="0.2">
      <c r="A8384" s="19" t="s">
        <v>154</v>
      </c>
      <c r="B8384" s="19">
        <v>241.49999999999997</v>
      </c>
      <c r="C8384" s="19">
        <v>4</v>
      </c>
      <c r="D8384" s="19">
        <v>0</v>
      </c>
    </row>
    <row r="8385" spans="1:4" x14ac:dyDescent="0.2">
      <c r="A8385" s="19" t="s">
        <v>178</v>
      </c>
      <c r="B8385" s="19">
        <v>59.97</v>
      </c>
      <c r="C8385" s="19">
        <v>3</v>
      </c>
      <c r="D8385" s="19">
        <v>14.992499999999996</v>
      </c>
    </row>
    <row r="8386" spans="1:4" x14ac:dyDescent="0.2">
      <c r="A8386" s="19" t="s">
        <v>178</v>
      </c>
      <c r="B8386" s="19">
        <v>13.36</v>
      </c>
      <c r="C8386" s="19">
        <v>2</v>
      </c>
      <c r="D8386" s="19">
        <v>6.4127999999999998</v>
      </c>
    </row>
    <row r="8387" spans="1:4" x14ac:dyDescent="0.2">
      <c r="A8387" s="19" t="s">
        <v>150</v>
      </c>
      <c r="B8387" s="19">
        <v>11.808</v>
      </c>
      <c r="C8387" s="19">
        <v>3</v>
      </c>
      <c r="D8387" s="19">
        <v>4.1327999999999996</v>
      </c>
    </row>
    <row r="8388" spans="1:4" x14ac:dyDescent="0.2">
      <c r="A8388" s="19" t="s">
        <v>178</v>
      </c>
      <c r="B8388" s="19">
        <v>16.239999999999998</v>
      </c>
      <c r="C8388" s="19">
        <v>1</v>
      </c>
      <c r="D8388" s="19">
        <v>2.4359999999999999</v>
      </c>
    </row>
    <row r="8389" spans="1:4" x14ac:dyDescent="0.2">
      <c r="A8389" s="19" t="s">
        <v>178</v>
      </c>
      <c r="B8389" s="19">
        <v>77.55</v>
      </c>
      <c r="C8389" s="19">
        <v>5</v>
      </c>
      <c r="D8389" s="19">
        <v>21.714000000000002</v>
      </c>
    </row>
    <row r="8390" spans="1:4" x14ac:dyDescent="0.2">
      <c r="A8390" s="19" t="s">
        <v>179</v>
      </c>
      <c r="B8390" s="19">
        <v>76.12</v>
      </c>
      <c r="C8390" s="19">
        <v>2</v>
      </c>
      <c r="D8390" s="19">
        <v>22.074799999999996</v>
      </c>
    </row>
    <row r="8391" spans="1:4" x14ac:dyDescent="0.2">
      <c r="A8391" s="19" t="s">
        <v>173</v>
      </c>
      <c r="B8391" s="19">
        <v>17.184000000000001</v>
      </c>
      <c r="C8391" s="19">
        <v>6</v>
      </c>
      <c r="D8391" s="19">
        <v>6.2291999999999996</v>
      </c>
    </row>
    <row r="8392" spans="1:4" x14ac:dyDescent="0.2">
      <c r="A8392" s="19" t="s">
        <v>150</v>
      </c>
      <c r="B8392" s="19">
        <v>11.76</v>
      </c>
      <c r="C8392" s="19">
        <v>2</v>
      </c>
      <c r="D8392" s="19">
        <v>5.7623999999999995</v>
      </c>
    </row>
    <row r="8393" spans="1:4" x14ac:dyDescent="0.2">
      <c r="A8393" s="19" t="s">
        <v>178</v>
      </c>
      <c r="B8393" s="19">
        <v>27.46</v>
      </c>
      <c r="C8393" s="19">
        <v>2</v>
      </c>
      <c r="D8393" s="19">
        <v>9.8856000000000002</v>
      </c>
    </row>
    <row r="8394" spans="1:4" x14ac:dyDescent="0.2">
      <c r="A8394" s="19" t="s">
        <v>180</v>
      </c>
      <c r="B8394" s="19">
        <v>137.94</v>
      </c>
      <c r="C8394" s="19">
        <v>3</v>
      </c>
      <c r="D8394" s="19">
        <v>35.864399999999996</v>
      </c>
    </row>
    <row r="8395" spans="1:4" x14ac:dyDescent="0.2">
      <c r="A8395" s="19" t="s">
        <v>180</v>
      </c>
      <c r="B8395" s="19">
        <v>111.15</v>
      </c>
      <c r="C8395" s="19">
        <v>5</v>
      </c>
      <c r="D8395" s="19">
        <v>48.906000000000006</v>
      </c>
    </row>
    <row r="8396" spans="1:4" x14ac:dyDescent="0.2">
      <c r="A8396" s="19" t="s">
        <v>180</v>
      </c>
      <c r="B8396" s="19">
        <v>901.94999999999993</v>
      </c>
      <c r="C8396" s="19">
        <v>3</v>
      </c>
      <c r="D8396" s="19">
        <v>297.64349999999996</v>
      </c>
    </row>
    <row r="8397" spans="1:4" x14ac:dyDescent="0.2">
      <c r="A8397" s="19" t="s">
        <v>180</v>
      </c>
      <c r="B8397" s="19">
        <v>366.00899999999996</v>
      </c>
      <c r="C8397" s="19">
        <v>3</v>
      </c>
      <c r="D8397" s="19">
        <v>-47.058300000000003</v>
      </c>
    </row>
    <row r="8398" spans="1:4" x14ac:dyDescent="0.2">
      <c r="A8398" s="19" t="s">
        <v>152</v>
      </c>
      <c r="B8398" s="19">
        <v>310.68799999999999</v>
      </c>
      <c r="C8398" s="19">
        <v>7</v>
      </c>
      <c r="D8398" s="19">
        <v>108.74079999999998</v>
      </c>
    </row>
    <row r="8399" spans="1:4" x14ac:dyDescent="0.2">
      <c r="A8399" s="19" t="s">
        <v>154</v>
      </c>
      <c r="B8399" s="19">
        <v>7.6799999999999979</v>
      </c>
      <c r="C8399" s="19">
        <v>5</v>
      </c>
      <c r="D8399" s="19">
        <v>-11.52</v>
      </c>
    </row>
    <row r="8400" spans="1:4" x14ac:dyDescent="0.2">
      <c r="A8400" s="19" t="s">
        <v>173</v>
      </c>
      <c r="B8400" s="19">
        <v>155.37199999999999</v>
      </c>
      <c r="C8400" s="19">
        <v>2</v>
      </c>
      <c r="D8400" s="19">
        <v>-35.513599999999997</v>
      </c>
    </row>
    <row r="8401" spans="1:4" x14ac:dyDescent="0.2">
      <c r="A8401" s="19" t="s">
        <v>165</v>
      </c>
      <c r="B8401" s="19">
        <v>10.744</v>
      </c>
      <c r="C8401" s="19">
        <v>1</v>
      </c>
      <c r="D8401" s="19">
        <v>0.80579999999999963</v>
      </c>
    </row>
    <row r="8402" spans="1:4" x14ac:dyDescent="0.2">
      <c r="A8402" s="19" t="s">
        <v>164</v>
      </c>
      <c r="B8402" s="19">
        <v>232.40000000000003</v>
      </c>
      <c r="C8402" s="19">
        <v>5</v>
      </c>
      <c r="D8402" s="19">
        <v>78.434999999999988</v>
      </c>
    </row>
    <row r="8403" spans="1:4" x14ac:dyDescent="0.2">
      <c r="A8403" s="19" t="s">
        <v>164</v>
      </c>
      <c r="B8403" s="19">
        <v>164.64599999999999</v>
      </c>
      <c r="C8403" s="19">
        <v>3</v>
      </c>
      <c r="D8403" s="19">
        <v>12.805799999999994</v>
      </c>
    </row>
    <row r="8404" spans="1:4" x14ac:dyDescent="0.2">
      <c r="A8404" s="19" t="s">
        <v>164</v>
      </c>
      <c r="B8404" s="19">
        <v>22.68</v>
      </c>
      <c r="C8404" s="19">
        <v>2</v>
      </c>
      <c r="D8404" s="19">
        <v>11.113199999999999</v>
      </c>
    </row>
    <row r="8405" spans="1:4" x14ac:dyDescent="0.2">
      <c r="A8405" s="19" t="s">
        <v>150</v>
      </c>
      <c r="B8405" s="19">
        <v>105.52</v>
      </c>
      <c r="C8405" s="19">
        <v>4</v>
      </c>
      <c r="D8405" s="19">
        <v>48.539199999999994</v>
      </c>
    </row>
    <row r="8406" spans="1:4" x14ac:dyDescent="0.2">
      <c r="A8406" s="19" t="s">
        <v>162</v>
      </c>
      <c r="B8406" s="19">
        <v>83.92</v>
      </c>
      <c r="C8406" s="19">
        <v>4</v>
      </c>
      <c r="D8406" s="19">
        <v>5.8743999999999943</v>
      </c>
    </row>
    <row r="8407" spans="1:4" x14ac:dyDescent="0.2">
      <c r="A8407" s="19" t="s">
        <v>162</v>
      </c>
      <c r="B8407" s="19">
        <v>141.9</v>
      </c>
      <c r="C8407" s="19">
        <v>5</v>
      </c>
      <c r="D8407" s="19">
        <v>58.179000000000002</v>
      </c>
    </row>
    <row r="8408" spans="1:4" x14ac:dyDescent="0.2">
      <c r="A8408" s="19" t="s">
        <v>162</v>
      </c>
      <c r="B8408" s="19">
        <v>39.979999999999997</v>
      </c>
      <c r="C8408" s="19">
        <v>2</v>
      </c>
      <c r="D8408" s="19">
        <v>9.1953999999999994</v>
      </c>
    </row>
    <row r="8409" spans="1:4" x14ac:dyDescent="0.2">
      <c r="A8409" s="19" t="s">
        <v>162</v>
      </c>
      <c r="B8409" s="19">
        <v>28.91</v>
      </c>
      <c r="C8409" s="19">
        <v>7</v>
      </c>
      <c r="D8409" s="19">
        <v>8.6729999999999983</v>
      </c>
    </row>
    <row r="8410" spans="1:4" x14ac:dyDescent="0.2">
      <c r="A8410" s="19" t="s">
        <v>162</v>
      </c>
      <c r="B8410" s="19">
        <v>174.95000000000002</v>
      </c>
      <c r="C8410" s="19">
        <v>5</v>
      </c>
      <c r="D8410" s="19">
        <v>45.487000000000002</v>
      </c>
    </row>
    <row r="8411" spans="1:4" x14ac:dyDescent="0.2">
      <c r="A8411" s="19" t="s">
        <v>150</v>
      </c>
      <c r="B8411" s="19">
        <v>110.52800000000001</v>
      </c>
      <c r="C8411" s="19">
        <v>4</v>
      </c>
      <c r="D8411" s="19">
        <v>38.684799999999996</v>
      </c>
    </row>
    <row r="8412" spans="1:4" x14ac:dyDescent="0.2">
      <c r="A8412" s="19" t="s">
        <v>152</v>
      </c>
      <c r="B8412" s="19">
        <v>630.024</v>
      </c>
      <c r="C8412" s="19">
        <v>4</v>
      </c>
      <c r="D8412" s="19">
        <v>-199.50760000000008</v>
      </c>
    </row>
    <row r="8413" spans="1:4" x14ac:dyDescent="0.2">
      <c r="A8413" s="19" t="s">
        <v>166</v>
      </c>
      <c r="B8413" s="19">
        <v>27.86</v>
      </c>
      <c r="C8413" s="19">
        <v>7</v>
      </c>
      <c r="D8413" s="19">
        <v>9.1937999999999978</v>
      </c>
    </row>
    <row r="8414" spans="1:4" x14ac:dyDescent="0.2">
      <c r="A8414" s="19" t="s">
        <v>154</v>
      </c>
      <c r="B8414" s="19">
        <v>933.40800000000002</v>
      </c>
      <c r="C8414" s="19">
        <v>4</v>
      </c>
      <c r="D8414" s="19">
        <v>-173.34719999999999</v>
      </c>
    </row>
    <row r="8415" spans="1:4" x14ac:dyDescent="0.2">
      <c r="A8415" s="19" t="s">
        <v>154</v>
      </c>
      <c r="B8415" s="19">
        <v>51.840000000000011</v>
      </c>
      <c r="C8415" s="19">
        <v>10</v>
      </c>
      <c r="D8415" s="19">
        <v>18.143999999999998</v>
      </c>
    </row>
    <row r="8416" spans="1:4" x14ac:dyDescent="0.2">
      <c r="A8416" s="19" t="s">
        <v>154</v>
      </c>
      <c r="B8416" s="19">
        <v>165.60000000000002</v>
      </c>
      <c r="C8416" s="19">
        <v>3</v>
      </c>
      <c r="D8416" s="19">
        <v>-6.2100000000000151</v>
      </c>
    </row>
    <row r="8417" spans="1:4" x14ac:dyDescent="0.2">
      <c r="A8417" s="19" t="s">
        <v>172</v>
      </c>
      <c r="B8417" s="19">
        <v>106.32</v>
      </c>
      <c r="C8417" s="19">
        <v>3</v>
      </c>
      <c r="D8417" s="19">
        <v>49.970399999999991</v>
      </c>
    </row>
    <row r="8418" spans="1:4" x14ac:dyDescent="0.2">
      <c r="A8418" s="19" t="s">
        <v>153</v>
      </c>
      <c r="B8418" s="19">
        <v>147.91999999999999</v>
      </c>
      <c r="C8418" s="19">
        <v>5</v>
      </c>
      <c r="D8418" s="19">
        <v>46.224999999999987</v>
      </c>
    </row>
    <row r="8419" spans="1:4" x14ac:dyDescent="0.2">
      <c r="A8419" s="19" t="s">
        <v>153</v>
      </c>
      <c r="B8419" s="19">
        <v>104.28</v>
      </c>
      <c r="C8419" s="19">
        <v>3</v>
      </c>
      <c r="D8419" s="19">
        <v>26.069999999999993</v>
      </c>
    </row>
    <row r="8420" spans="1:4" x14ac:dyDescent="0.2">
      <c r="A8420" s="19" t="s">
        <v>153</v>
      </c>
      <c r="B8420" s="19">
        <v>286.85000000000002</v>
      </c>
      <c r="C8420" s="19">
        <v>1</v>
      </c>
      <c r="D8420" s="19">
        <v>63.106999999999999</v>
      </c>
    </row>
    <row r="8421" spans="1:4" x14ac:dyDescent="0.2">
      <c r="A8421" s="19" t="s">
        <v>153</v>
      </c>
      <c r="B8421" s="19">
        <v>66.959999999999994</v>
      </c>
      <c r="C8421" s="19">
        <v>4</v>
      </c>
      <c r="D8421" s="19">
        <v>2.6783999999999963</v>
      </c>
    </row>
    <row r="8422" spans="1:4" x14ac:dyDescent="0.2">
      <c r="A8422" s="19" t="s">
        <v>153</v>
      </c>
      <c r="B8422" s="19">
        <v>199.98</v>
      </c>
      <c r="C8422" s="19">
        <v>2</v>
      </c>
      <c r="D8422" s="19">
        <v>87.991200000000006</v>
      </c>
    </row>
    <row r="8423" spans="1:4" x14ac:dyDescent="0.2">
      <c r="A8423" s="19" t="s">
        <v>179</v>
      </c>
      <c r="B8423" s="19">
        <v>45</v>
      </c>
      <c r="C8423" s="19">
        <v>3</v>
      </c>
      <c r="D8423" s="19">
        <v>4.9500000000000011</v>
      </c>
    </row>
    <row r="8424" spans="1:4" x14ac:dyDescent="0.2">
      <c r="A8424" s="19" t="s">
        <v>179</v>
      </c>
      <c r="B8424" s="19">
        <v>17.899999999999999</v>
      </c>
      <c r="C8424" s="19">
        <v>5</v>
      </c>
      <c r="D8424" s="19">
        <v>8.7710000000000008</v>
      </c>
    </row>
    <row r="8425" spans="1:4" x14ac:dyDescent="0.2">
      <c r="A8425" s="19" t="s">
        <v>179</v>
      </c>
      <c r="B8425" s="19">
        <v>40.479999999999997</v>
      </c>
      <c r="C8425" s="19">
        <v>2</v>
      </c>
      <c r="D8425" s="19">
        <v>17.406400000000001</v>
      </c>
    </row>
    <row r="8426" spans="1:4" x14ac:dyDescent="0.2">
      <c r="A8426" s="19" t="s">
        <v>179</v>
      </c>
      <c r="B8426" s="19">
        <v>2154.9</v>
      </c>
      <c r="C8426" s="19">
        <v>5</v>
      </c>
      <c r="D8426" s="19">
        <v>129.29399999999987</v>
      </c>
    </row>
    <row r="8427" spans="1:4" x14ac:dyDescent="0.2">
      <c r="A8427" s="19" t="s">
        <v>173</v>
      </c>
      <c r="B8427" s="19">
        <v>18.432000000000002</v>
      </c>
      <c r="C8427" s="19">
        <v>8</v>
      </c>
      <c r="D8427" s="19">
        <v>-12.287999999999997</v>
      </c>
    </row>
    <row r="8428" spans="1:4" x14ac:dyDescent="0.2">
      <c r="A8428" s="19" t="s">
        <v>171</v>
      </c>
      <c r="B8428" s="19">
        <v>10.944000000000001</v>
      </c>
      <c r="C8428" s="19">
        <v>2</v>
      </c>
      <c r="D8428" s="19">
        <v>0.95759999999999978</v>
      </c>
    </row>
    <row r="8429" spans="1:4" x14ac:dyDescent="0.2">
      <c r="A8429" s="19" t="s">
        <v>161</v>
      </c>
      <c r="B8429" s="19">
        <v>4.3600000000000003</v>
      </c>
      <c r="C8429" s="19">
        <v>2</v>
      </c>
      <c r="D8429" s="19">
        <v>0.17439999999999944</v>
      </c>
    </row>
    <row r="8430" spans="1:4" x14ac:dyDescent="0.2">
      <c r="A8430" s="19" t="s">
        <v>165</v>
      </c>
      <c r="B8430" s="19">
        <v>62.352000000000004</v>
      </c>
      <c r="C8430" s="19">
        <v>6</v>
      </c>
      <c r="D8430" s="19">
        <v>-10.911600000000007</v>
      </c>
    </row>
    <row r="8431" spans="1:4" x14ac:dyDescent="0.2">
      <c r="A8431" s="19" t="s">
        <v>158</v>
      </c>
      <c r="B8431" s="19">
        <v>303.92</v>
      </c>
      <c r="C8431" s="19">
        <v>5</v>
      </c>
      <c r="D8431" s="19">
        <v>-30.392000000000024</v>
      </c>
    </row>
    <row r="8432" spans="1:4" x14ac:dyDescent="0.2">
      <c r="A8432" s="19" t="s">
        <v>160</v>
      </c>
      <c r="B8432" s="19">
        <v>129.30000000000001</v>
      </c>
      <c r="C8432" s="19">
        <v>2</v>
      </c>
      <c r="D8432" s="19">
        <v>6.4649999999999892</v>
      </c>
    </row>
    <row r="8433" spans="1:4" x14ac:dyDescent="0.2">
      <c r="A8433" s="19" t="s">
        <v>187</v>
      </c>
      <c r="B8433" s="19">
        <v>274.20000000000005</v>
      </c>
      <c r="C8433" s="19">
        <v>10</v>
      </c>
      <c r="D8433" s="19">
        <v>112.422</v>
      </c>
    </row>
    <row r="8434" spans="1:4" x14ac:dyDescent="0.2">
      <c r="A8434" s="19" t="s">
        <v>154</v>
      </c>
      <c r="B8434" s="19">
        <v>6.048</v>
      </c>
      <c r="C8434" s="19">
        <v>4</v>
      </c>
      <c r="D8434" s="19">
        <v>-1.3607999999999998</v>
      </c>
    </row>
    <row r="8435" spans="1:4" x14ac:dyDescent="0.2">
      <c r="A8435" s="19" t="s">
        <v>154</v>
      </c>
      <c r="B8435" s="19">
        <v>6.8480000000000008</v>
      </c>
      <c r="C8435" s="19">
        <v>2</v>
      </c>
      <c r="D8435" s="19">
        <v>2.1399999999999992</v>
      </c>
    </row>
    <row r="8436" spans="1:4" x14ac:dyDescent="0.2">
      <c r="A8436" s="19" t="s">
        <v>154</v>
      </c>
      <c r="B8436" s="19">
        <v>9.9600000000000009</v>
      </c>
      <c r="C8436" s="19">
        <v>5</v>
      </c>
      <c r="D8436" s="19">
        <v>-6.7230000000000008</v>
      </c>
    </row>
    <row r="8437" spans="1:4" x14ac:dyDescent="0.2">
      <c r="A8437" s="19" t="s">
        <v>154</v>
      </c>
      <c r="B8437" s="19">
        <v>8.5519999999999978</v>
      </c>
      <c r="C8437" s="19">
        <v>2</v>
      </c>
      <c r="D8437" s="19">
        <v>-13.683199999999999</v>
      </c>
    </row>
    <row r="8438" spans="1:4" x14ac:dyDescent="0.2">
      <c r="A8438" s="19" t="s">
        <v>181</v>
      </c>
      <c r="B8438" s="19">
        <v>45.584000000000003</v>
      </c>
      <c r="C8438" s="19">
        <v>11</v>
      </c>
      <c r="D8438" s="19">
        <v>16.524199999999997</v>
      </c>
    </row>
    <row r="8439" spans="1:4" x14ac:dyDescent="0.2">
      <c r="A8439" s="19" t="s">
        <v>173</v>
      </c>
      <c r="B8439" s="19">
        <v>25.488</v>
      </c>
      <c r="C8439" s="19">
        <v>2</v>
      </c>
      <c r="D8439" s="19">
        <v>4.4603999999999999</v>
      </c>
    </row>
    <row r="8440" spans="1:4" x14ac:dyDescent="0.2">
      <c r="A8440" s="19" t="s">
        <v>153</v>
      </c>
      <c r="B8440" s="19">
        <v>136.96</v>
      </c>
      <c r="C8440" s="19">
        <v>4</v>
      </c>
      <c r="D8440" s="19">
        <v>51.359999999999992</v>
      </c>
    </row>
    <row r="8441" spans="1:4" x14ac:dyDescent="0.2">
      <c r="A8441" s="19" t="s">
        <v>159</v>
      </c>
      <c r="B8441" s="19">
        <v>49.616000000000007</v>
      </c>
      <c r="C8441" s="19">
        <v>2</v>
      </c>
      <c r="D8441" s="19">
        <v>4.9615999999999989</v>
      </c>
    </row>
    <row r="8442" spans="1:4" x14ac:dyDescent="0.2">
      <c r="A8442" s="19" t="s">
        <v>173</v>
      </c>
      <c r="B8442" s="19">
        <v>10.584000000000001</v>
      </c>
      <c r="C8442" s="19">
        <v>3</v>
      </c>
      <c r="D8442" s="19">
        <v>3.4397999999999995</v>
      </c>
    </row>
    <row r="8443" spans="1:4" x14ac:dyDescent="0.2">
      <c r="A8443" s="19" t="s">
        <v>165</v>
      </c>
      <c r="B8443" s="19">
        <v>84.415999999999997</v>
      </c>
      <c r="C8443" s="19">
        <v>4</v>
      </c>
      <c r="D8443" s="19">
        <v>27.435199999999995</v>
      </c>
    </row>
    <row r="8444" spans="1:4" x14ac:dyDescent="0.2">
      <c r="A8444" s="19" t="s">
        <v>158</v>
      </c>
      <c r="B8444" s="19">
        <v>431.94</v>
      </c>
      <c r="C8444" s="19">
        <v>2</v>
      </c>
      <c r="D8444" s="19">
        <v>-71.990000000000009</v>
      </c>
    </row>
    <row r="8445" spans="1:4" x14ac:dyDescent="0.2">
      <c r="A8445" s="19" t="s">
        <v>158</v>
      </c>
      <c r="B8445" s="19">
        <v>2.0430000000000001</v>
      </c>
      <c r="C8445" s="19">
        <v>1</v>
      </c>
      <c r="D8445" s="19">
        <v>-1.4981999999999998</v>
      </c>
    </row>
    <row r="8446" spans="1:4" x14ac:dyDescent="0.2">
      <c r="A8446" s="19" t="s">
        <v>158</v>
      </c>
      <c r="B8446" s="19">
        <v>68.238</v>
      </c>
      <c r="C8446" s="19">
        <v>3</v>
      </c>
      <c r="D8446" s="19">
        <v>-12.510300000000008</v>
      </c>
    </row>
    <row r="8447" spans="1:4" x14ac:dyDescent="0.2">
      <c r="A8447" s="19" t="s">
        <v>182</v>
      </c>
      <c r="B8447" s="19">
        <v>240.744</v>
      </c>
      <c r="C8447" s="19">
        <v>4</v>
      </c>
      <c r="D8447" s="19">
        <v>-13.756799999999984</v>
      </c>
    </row>
    <row r="8448" spans="1:4" x14ac:dyDescent="0.2">
      <c r="A8448" s="19" t="s">
        <v>182</v>
      </c>
      <c r="B8448" s="19">
        <v>35</v>
      </c>
      <c r="C8448" s="19">
        <v>4</v>
      </c>
      <c r="D8448" s="19">
        <v>14.700000000000003</v>
      </c>
    </row>
    <row r="8449" spans="1:4" x14ac:dyDescent="0.2">
      <c r="A8449" s="19" t="s">
        <v>182</v>
      </c>
      <c r="B8449" s="19">
        <v>210.68</v>
      </c>
      <c r="C8449" s="19">
        <v>2</v>
      </c>
      <c r="D8449" s="19">
        <v>50.563199999999995</v>
      </c>
    </row>
    <row r="8450" spans="1:4" x14ac:dyDescent="0.2">
      <c r="A8450" s="19" t="s">
        <v>182</v>
      </c>
      <c r="B8450" s="19">
        <v>637.89599999999996</v>
      </c>
      <c r="C8450" s="19">
        <v>3</v>
      </c>
      <c r="D8450" s="19">
        <v>-127.57919999999996</v>
      </c>
    </row>
    <row r="8451" spans="1:4" x14ac:dyDescent="0.2">
      <c r="A8451" s="19" t="s">
        <v>182</v>
      </c>
      <c r="B8451" s="19">
        <v>43.44</v>
      </c>
      <c r="C8451" s="19">
        <v>8</v>
      </c>
      <c r="D8451" s="19">
        <v>21.285599999999999</v>
      </c>
    </row>
    <row r="8452" spans="1:4" x14ac:dyDescent="0.2">
      <c r="A8452" s="19" t="s">
        <v>182</v>
      </c>
      <c r="B8452" s="19">
        <v>2.2200000000000002</v>
      </c>
      <c r="C8452" s="19">
        <v>1</v>
      </c>
      <c r="D8452" s="19">
        <v>0.66599999999999993</v>
      </c>
    </row>
    <row r="8453" spans="1:4" x14ac:dyDescent="0.2">
      <c r="A8453" s="19" t="s">
        <v>150</v>
      </c>
      <c r="B8453" s="19">
        <v>1679.96</v>
      </c>
      <c r="C8453" s="19">
        <v>5</v>
      </c>
      <c r="D8453" s="19">
        <v>125.99700000000007</v>
      </c>
    </row>
    <row r="8454" spans="1:4" x14ac:dyDescent="0.2">
      <c r="A8454" s="19" t="s">
        <v>154</v>
      </c>
      <c r="B8454" s="19">
        <v>344.37199999999996</v>
      </c>
      <c r="C8454" s="19">
        <v>4</v>
      </c>
      <c r="D8454" s="19">
        <v>-93.472400000000022</v>
      </c>
    </row>
    <row r="8455" spans="1:4" x14ac:dyDescent="0.2">
      <c r="A8455" s="19" t="s">
        <v>154</v>
      </c>
      <c r="B8455" s="19">
        <v>1554.9360000000001</v>
      </c>
      <c r="C8455" s="19">
        <v>3</v>
      </c>
      <c r="D8455" s="19">
        <v>77.746800000000007</v>
      </c>
    </row>
    <row r="8456" spans="1:4" x14ac:dyDescent="0.2">
      <c r="A8456" s="19" t="s">
        <v>154</v>
      </c>
      <c r="B8456" s="19">
        <v>127.88</v>
      </c>
      <c r="C8456" s="19">
        <v>5</v>
      </c>
      <c r="D8456" s="19">
        <v>-67.137</v>
      </c>
    </row>
    <row r="8457" spans="1:4" x14ac:dyDescent="0.2">
      <c r="A8457" s="19" t="s">
        <v>150</v>
      </c>
      <c r="B8457" s="19">
        <v>222.38400000000001</v>
      </c>
      <c r="C8457" s="19">
        <v>2</v>
      </c>
      <c r="D8457" s="19">
        <v>22.238400000000013</v>
      </c>
    </row>
    <row r="8458" spans="1:4" x14ac:dyDescent="0.2">
      <c r="A8458" s="19" t="s">
        <v>159</v>
      </c>
      <c r="B8458" s="19">
        <v>106.869</v>
      </c>
      <c r="C8458" s="19">
        <v>3</v>
      </c>
      <c r="D8458" s="19">
        <v>-29.007299999999994</v>
      </c>
    </row>
    <row r="8459" spans="1:4" x14ac:dyDescent="0.2">
      <c r="A8459" s="19" t="s">
        <v>159</v>
      </c>
      <c r="B8459" s="19">
        <v>3.5639999999999992</v>
      </c>
      <c r="C8459" s="19">
        <v>3</v>
      </c>
      <c r="D8459" s="19">
        <v>-6.2370000000000019</v>
      </c>
    </row>
    <row r="8460" spans="1:4" x14ac:dyDescent="0.2">
      <c r="A8460" s="19" t="s">
        <v>154</v>
      </c>
      <c r="B8460" s="19">
        <v>25.679999999999993</v>
      </c>
      <c r="C8460" s="19">
        <v>3</v>
      </c>
      <c r="D8460" s="19">
        <v>-39.804000000000002</v>
      </c>
    </row>
    <row r="8461" spans="1:4" x14ac:dyDescent="0.2">
      <c r="A8461" s="19" t="s">
        <v>154</v>
      </c>
      <c r="B8461" s="19">
        <v>12.383999999999997</v>
      </c>
      <c r="C8461" s="19">
        <v>3</v>
      </c>
      <c r="D8461" s="19">
        <v>-19.814400000000003</v>
      </c>
    </row>
    <row r="8462" spans="1:4" x14ac:dyDescent="0.2">
      <c r="A8462" s="19" t="s">
        <v>178</v>
      </c>
      <c r="B8462" s="19">
        <v>25.299999999999997</v>
      </c>
      <c r="C8462" s="19">
        <v>5</v>
      </c>
      <c r="D8462" s="19">
        <v>11.890999999999998</v>
      </c>
    </row>
    <row r="8463" spans="1:4" x14ac:dyDescent="0.2">
      <c r="A8463" s="19" t="s">
        <v>178</v>
      </c>
      <c r="B8463" s="19">
        <v>95.94</v>
      </c>
      <c r="C8463" s="19">
        <v>3</v>
      </c>
      <c r="D8463" s="19">
        <v>9.5940000000000012</v>
      </c>
    </row>
    <row r="8464" spans="1:4" x14ac:dyDescent="0.2">
      <c r="A8464" s="19" t="s">
        <v>161</v>
      </c>
      <c r="B8464" s="19">
        <v>7.5</v>
      </c>
      <c r="C8464" s="19">
        <v>2</v>
      </c>
      <c r="D8464" s="19">
        <v>3.5999999999999996</v>
      </c>
    </row>
    <row r="8465" spans="1:4" x14ac:dyDescent="0.2">
      <c r="A8465" s="19" t="s">
        <v>176</v>
      </c>
      <c r="B8465" s="19">
        <v>302.37599999999998</v>
      </c>
      <c r="C8465" s="19">
        <v>3</v>
      </c>
      <c r="D8465" s="19">
        <v>22.678200000000018</v>
      </c>
    </row>
    <row r="8466" spans="1:4" x14ac:dyDescent="0.2">
      <c r="A8466" s="19" t="s">
        <v>171</v>
      </c>
      <c r="B8466" s="19">
        <v>46.688000000000002</v>
      </c>
      <c r="C8466" s="19">
        <v>4</v>
      </c>
      <c r="D8466" s="19">
        <v>-2.9180000000000028</v>
      </c>
    </row>
    <row r="8467" spans="1:4" x14ac:dyDescent="0.2">
      <c r="A8467" s="19" t="s">
        <v>164</v>
      </c>
      <c r="B8467" s="19">
        <v>17.940000000000001</v>
      </c>
      <c r="C8467" s="19">
        <v>3</v>
      </c>
      <c r="D8467" s="19">
        <v>3.0497999999999985</v>
      </c>
    </row>
    <row r="8468" spans="1:4" x14ac:dyDescent="0.2">
      <c r="A8468" s="19" t="s">
        <v>178</v>
      </c>
      <c r="B8468" s="19">
        <v>370.14</v>
      </c>
      <c r="C8468" s="19">
        <v>3</v>
      </c>
      <c r="D8468" s="19">
        <v>144.3546</v>
      </c>
    </row>
    <row r="8469" spans="1:4" x14ac:dyDescent="0.2">
      <c r="A8469" s="19" t="s">
        <v>150</v>
      </c>
      <c r="B8469" s="19">
        <v>8.9280000000000008</v>
      </c>
      <c r="C8469" s="19">
        <v>2</v>
      </c>
      <c r="D8469" s="19">
        <v>3.1247999999999996</v>
      </c>
    </row>
    <row r="8470" spans="1:4" x14ac:dyDescent="0.2">
      <c r="A8470" s="19" t="s">
        <v>163</v>
      </c>
      <c r="B8470" s="19">
        <v>2678.94</v>
      </c>
      <c r="C8470" s="19">
        <v>6</v>
      </c>
      <c r="D8470" s="19">
        <v>241.1046</v>
      </c>
    </row>
    <row r="8471" spans="1:4" x14ac:dyDescent="0.2">
      <c r="A8471" s="19" t="s">
        <v>167</v>
      </c>
      <c r="B8471" s="19">
        <v>387.13600000000002</v>
      </c>
      <c r="C8471" s="19">
        <v>4</v>
      </c>
      <c r="D8471" s="19">
        <v>-14.51760000000003</v>
      </c>
    </row>
    <row r="8472" spans="1:4" x14ac:dyDescent="0.2">
      <c r="A8472" s="19" t="s">
        <v>167</v>
      </c>
      <c r="B8472" s="19">
        <v>45.408000000000001</v>
      </c>
      <c r="C8472" s="19">
        <v>2</v>
      </c>
      <c r="D8472" s="19">
        <v>11.919599999999999</v>
      </c>
    </row>
    <row r="8473" spans="1:4" x14ac:dyDescent="0.2">
      <c r="A8473" s="19" t="s">
        <v>167</v>
      </c>
      <c r="B8473" s="19">
        <v>77.951999999999998</v>
      </c>
      <c r="C8473" s="19">
        <v>3</v>
      </c>
      <c r="D8473" s="19">
        <v>-11.692800000000005</v>
      </c>
    </row>
    <row r="8474" spans="1:4" x14ac:dyDescent="0.2">
      <c r="A8474" s="19" t="s">
        <v>167</v>
      </c>
      <c r="B8474" s="19">
        <v>3</v>
      </c>
      <c r="C8474" s="19">
        <v>1</v>
      </c>
      <c r="D8474" s="19">
        <v>1.0499999999999998</v>
      </c>
    </row>
    <row r="8475" spans="1:4" x14ac:dyDescent="0.2">
      <c r="A8475" s="19" t="s">
        <v>151</v>
      </c>
      <c r="B8475" s="19">
        <v>9.952</v>
      </c>
      <c r="C8475" s="19">
        <v>1</v>
      </c>
      <c r="D8475" s="19">
        <v>0.99520000000000008</v>
      </c>
    </row>
    <row r="8476" spans="1:4" x14ac:dyDescent="0.2">
      <c r="A8476" s="19" t="s">
        <v>158</v>
      </c>
      <c r="B8476" s="19">
        <v>37.896000000000001</v>
      </c>
      <c r="C8476" s="19">
        <v>4</v>
      </c>
      <c r="D8476" s="19">
        <v>-29.053600000000003</v>
      </c>
    </row>
    <row r="8477" spans="1:4" x14ac:dyDescent="0.2">
      <c r="A8477" s="19" t="s">
        <v>158</v>
      </c>
      <c r="B8477" s="19">
        <v>65.584000000000003</v>
      </c>
      <c r="C8477" s="19">
        <v>2</v>
      </c>
      <c r="D8477" s="19">
        <v>23.7742</v>
      </c>
    </row>
    <row r="8478" spans="1:4" x14ac:dyDescent="0.2">
      <c r="A8478" s="19" t="s">
        <v>165</v>
      </c>
      <c r="B8478" s="19">
        <v>44.783999999999999</v>
      </c>
      <c r="C8478" s="19">
        <v>1</v>
      </c>
      <c r="D8478" s="19">
        <v>16.234200000000001</v>
      </c>
    </row>
    <row r="8479" spans="1:4" x14ac:dyDescent="0.2">
      <c r="A8479" s="19" t="s">
        <v>164</v>
      </c>
      <c r="B8479" s="19">
        <v>1035.8</v>
      </c>
      <c r="C8479" s="19">
        <v>4</v>
      </c>
      <c r="D8479" s="19">
        <v>269.30799999999999</v>
      </c>
    </row>
    <row r="8480" spans="1:4" x14ac:dyDescent="0.2">
      <c r="A8480" s="19" t="s">
        <v>150</v>
      </c>
      <c r="B8480" s="19">
        <v>5.76</v>
      </c>
      <c r="C8480" s="19">
        <v>2</v>
      </c>
      <c r="D8480" s="19">
        <v>1.6703999999999999</v>
      </c>
    </row>
    <row r="8481" spans="1:4" x14ac:dyDescent="0.2">
      <c r="A8481" s="19" t="s">
        <v>150</v>
      </c>
      <c r="B8481" s="19">
        <v>19.98</v>
      </c>
      <c r="C8481" s="19">
        <v>2</v>
      </c>
      <c r="D8481" s="19">
        <v>8.9909999999999997</v>
      </c>
    </row>
    <row r="8482" spans="1:4" x14ac:dyDescent="0.2">
      <c r="A8482" s="19" t="s">
        <v>157</v>
      </c>
      <c r="B8482" s="19">
        <v>35.979999999999997</v>
      </c>
      <c r="C8482" s="19">
        <v>2</v>
      </c>
      <c r="D8482" s="19">
        <v>10.074400000000001</v>
      </c>
    </row>
    <row r="8483" spans="1:4" x14ac:dyDescent="0.2">
      <c r="A8483" s="19" t="s">
        <v>158</v>
      </c>
      <c r="B8483" s="19">
        <v>16.656000000000002</v>
      </c>
      <c r="C8483" s="19">
        <v>3</v>
      </c>
      <c r="D8483" s="19">
        <v>3.3311999999999999</v>
      </c>
    </row>
    <row r="8484" spans="1:4" x14ac:dyDescent="0.2">
      <c r="A8484" s="19" t="s">
        <v>164</v>
      </c>
      <c r="B8484" s="19">
        <v>20.7</v>
      </c>
      <c r="C8484" s="19">
        <v>2</v>
      </c>
      <c r="D8484" s="19">
        <v>9.9359999999999999</v>
      </c>
    </row>
    <row r="8485" spans="1:4" x14ac:dyDescent="0.2">
      <c r="A8485" s="19" t="s">
        <v>161</v>
      </c>
      <c r="B8485" s="19">
        <v>83.699999999999989</v>
      </c>
      <c r="C8485" s="19">
        <v>5</v>
      </c>
      <c r="D8485" s="19">
        <v>41.012999999999991</v>
      </c>
    </row>
    <row r="8486" spans="1:4" x14ac:dyDescent="0.2">
      <c r="A8486" s="19" t="s">
        <v>153</v>
      </c>
      <c r="B8486" s="19">
        <v>199.8</v>
      </c>
      <c r="C8486" s="19">
        <v>10</v>
      </c>
      <c r="D8486" s="19">
        <v>71.927999999999997</v>
      </c>
    </row>
    <row r="8487" spans="1:4" x14ac:dyDescent="0.2">
      <c r="A8487" s="19" t="s">
        <v>150</v>
      </c>
      <c r="B8487" s="19">
        <v>45.68</v>
      </c>
      <c r="C8487" s="19">
        <v>2</v>
      </c>
      <c r="D8487" s="19">
        <v>21.012799999999999</v>
      </c>
    </row>
    <row r="8488" spans="1:4" x14ac:dyDescent="0.2">
      <c r="A8488" s="19" t="s">
        <v>150</v>
      </c>
      <c r="B8488" s="19">
        <v>110.96</v>
      </c>
      <c r="C8488" s="19">
        <v>2</v>
      </c>
      <c r="D8488" s="19">
        <v>53.260799999999996</v>
      </c>
    </row>
    <row r="8489" spans="1:4" x14ac:dyDescent="0.2">
      <c r="A8489" s="19" t="s">
        <v>150</v>
      </c>
      <c r="B8489" s="19">
        <v>11.94</v>
      </c>
      <c r="C8489" s="19">
        <v>3</v>
      </c>
      <c r="D8489" s="19">
        <v>5.97</v>
      </c>
    </row>
    <row r="8490" spans="1:4" x14ac:dyDescent="0.2">
      <c r="A8490" s="19" t="s">
        <v>166</v>
      </c>
      <c r="B8490" s="19">
        <v>8749.9500000000007</v>
      </c>
      <c r="C8490" s="19">
        <v>5</v>
      </c>
      <c r="D8490" s="19">
        <v>2799.9839999999995</v>
      </c>
    </row>
    <row r="8491" spans="1:4" x14ac:dyDescent="0.2">
      <c r="A8491" s="19" t="s">
        <v>166</v>
      </c>
      <c r="B8491" s="19">
        <v>36.4</v>
      </c>
      <c r="C8491" s="19">
        <v>8</v>
      </c>
      <c r="D8491" s="19">
        <v>18.2</v>
      </c>
    </row>
    <row r="8492" spans="1:4" x14ac:dyDescent="0.2">
      <c r="A8492" s="19" t="s">
        <v>166</v>
      </c>
      <c r="B8492" s="19">
        <v>18.689999999999998</v>
      </c>
      <c r="C8492" s="19">
        <v>7</v>
      </c>
      <c r="D8492" s="19">
        <v>7.1021999999999998</v>
      </c>
    </row>
    <row r="8493" spans="1:4" x14ac:dyDescent="0.2">
      <c r="A8493" s="19" t="s">
        <v>150</v>
      </c>
      <c r="B8493" s="19">
        <v>5.9399999999999995</v>
      </c>
      <c r="C8493" s="19">
        <v>3</v>
      </c>
      <c r="D8493" s="19">
        <v>0.11880000000000024</v>
      </c>
    </row>
    <row r="8494" spans="1:4" x14ac:dyDescent="0.2">
      <c r="A8494" s="19" t="s">
        <v>154</v>
      </c>
      <c r="B8494" s="19">
        <v>60.736000000000004</v>
      </c>
      <c r="C8494" s="19">
        <v>8</v>
      </c>
      <c r="D8494" s="19">
        <v>20.4984</v>
      </c>
    </row>
    <row r="8495" spans="1:4" x14ac:dyDescent="0.2">
      <c r="A8495" s="19" t="s">
        <v>154</v>
      </c>
      <c r="B8495" s="19">
        <v>479.97600000000006</v>
      </c>
      <c r="C8495" s="19">
        <v>3</v>
      </c>
      <c r="D8495" s="19">
        <v>161.99189999999999</v>
      </c>
    </row>
    <row r="8496" spans="1:4" x14ac:dyDescent="0.2">
      <c r="A8496" s="19" t="s">
        <v>154</v>
      </c>
      <c r="B8496" s="19">
        <v>6.0799999999999983</v>
      </c>
      <c r="C8496" s="19">
        <v>1</v>
      </c>
      <c r="D8496" s="19">
        <v>-10.336000000000002</v>
      </c>
    </row>
    <row r="8497" spans="1:4" x14ac:dyDescent="0.2">
      <c r="A8497" s="19" t="s">
        <v>171</v>
      </c>
      <c r="B8497" s="19">
        <v>165.60000000000002</v>
      </c>
      <c r="C8497" s="19">
        <v>3</v>
      </c>
      <c r="D8497" s="19">
        <v>-6.2100000000000151</v>
      </c>
    </row>
    <row r="8498" spans="1:4" x14ac:dyDescent="0.2">
      <c r="A8498" s="19" t="s">
        <v>164</v>
      </c>
      <c r="B8498" s="19">
        <v>59.519999999999996</v>
      </c>
      <c r="C8498" s="19">
        <v>3</v>
      </c>
      <c r="D8498" s="19">
        <v>15.475200000000001</v>
      </c>
    </row>
    <row r="8499" spans="1:4" x14ac:dyDescent="0.2">
      <c r="A8499" s="19" t="s">
        <v>164</v>
      </c>
      <c r="B8499" s="19">
        <v>479.97</v>
      </c>
      <c r="C8499" s="19">
        <v>3</v>
      </c>
      <c r="D8499" s="19">
        <v>177.58890000000002</v>
      </c>
    </row>
    <row r="8500" spans="1:4" x14ac:dyDescent="0.2">
      <c r="A8500" s="19" t="s">
        <v>164</v>
      </c>
      <c r="B8500" s="19">
        <v>18.62</v>
      </c>
      <c r="C8500" s="19">
        <v>2</v>
      </c>
      <c r="D8500" s="19">
        <v>5.399799999999999</v>
      </c>
    </row>
    <row r="8501" spans="1:4" x14ac:dyDescent="0.2">
      <c r="A8501" s="19" t="s">
        <v>164</v>
      </c>
      <c r="B8501" s="19">
        <v>49.632000000000005</v>
      </c>
      <c r="C8501" s="19">
        <v>6</v>
      </c>
      <c r="D8501" s="19">
        <v>16.750799999999998</v>
      </c>
    </row>
    <row r="8502" spans="1:4" x14ac:dyDescent="0.2">
      <c r="A8502" s="19" t="s">
        <v>164</v>
      </c>
      <c r="B8502" s="19">
        <v>97.82</v>
      </c>
      <c r="C8502" s="19">
        <v>2</v>
      </c>
      <c r="D8502" s="19">
        <v>45.975399999999993</v>
      </c>
    </row>
    <row r="8503" spans="1:4" x14ac:dyDescent="0.2">
      <c r="A8503" s="19" t="s">
        <v>150</v>
      </c>
      <c r="B8503" s="19">
        <v>15.984000000000002</v>
      </c>
      <c r="C8503" s="19">
        <v>2</v>
      </c>
      <c r="D8503" s="19">
        <v>1.1988000000000003</v>
      </c>
    </row>
    <row r="8504" spans="1:4" x14ac:dyDescent="0.2">
      <c r="A8504" s="19" t="s">
        <v>150</v>
      </c>
      <c r="B8504" s="19">
        <v>184.75200000000001</v>
      </c>
      <c r="C8504" s="19">
        <v>3</v>
      </c>
      <c r="D8504" s="19">
        <v>-20.784600000000012</v>
      </c>
    </row>
    <row r="8505" spans="1:4" x14ac:dyDescent="0.2">
      <c r="A8505" s="19" t="s">
        <v>150</v>
      </c>
      <c r="B8505" s="19">
        <v>12.96</v>
      </c>
      <c r="C8505" s="19">
        <v>2</v>
      </c>
      <c r="D8505" s="19">
        <v>6.2208000000000006</v>
      </c>
    </row>
    <row r="8506" spans="1:4" x14ac:dyDescent="0.2">
      <c r="A8506" s="19" t="s">
        <v>154</v>
      </c>
      <c r="B8506" s="19">
        <v>366.74399999999997</v>
      </c>
      <c r="C8506" s="19">
        <v>4</v>
      </c>
      <c r="D8506" s="19">
        <v>-110.02320000000003</v>
      </c>
    </row>
    <row r="8507" spans="1:4" x14ac:dyDescent="0.2">
      <c r="A8507" s="19" t="s">
        <v>154</v>
      </c>
      <c r="B8507" s="19">
        <v>8.8559999999999981</v>
      </c>
      <c r="C8507" s="19">
        <v>9</v>
      </c>
      <c r="D8507" s="19">
        <v>-14.169600000000003</v>
      </c>
    </row>
    <row r="8508" spans="1:4" x14ac:dyDescent="0.2">
      <c r="A8508" s="19" t="s">
        <v>154</v>
      </c>
      <c r="B8508" s="19">
        <v>27.96</v>
      </c>
      <c r="C8508" s="19">
        <v>5</v>
      </c>
      <c r="D8508" s="19">
        <v>8.3880000000000035</v>
      </c>
    </row>
    <row r="8509" spans="1:4" x14ac:dyDescent="0.2">
      <c r="A8509" s="19" t="s">
        <v>154</v>
      </c>
      <c r="B8509" s="19">
        <v>146.352</v>
      </c>
      <c r="C8509" s="19">
        <v>3</v>
      </c>
      <c r="D8509" s="19">
        <v>49.393799999999992</v>
      </c>
    </row>
    <row r="8510" spans="1:4" x14ac:dyDescent="0.2">
      <c r="A8510" s="19" t="s">
        <v>161</v>
      </c>
      <c r="B8510" s="19">
        <v>175.23</v>
      </c>
      <c r="C8510" s="19">
        <v>11</v>
      </c>
      <c r="D8510" s="19">
        <v>61.330500000000001</v>
      </c>
    </row>
    <row r="8511" spans="1:4" x14ac:dyDescent="0.2">
      <c r="A8511" s="19" t="s">
        <v>161</v>
      </c>
      <c r="B8511" s="19">
        <v>125.99</v>
      </c>
      <c r="C8511" s="19">
        <v>1</v>
      </c>
      <c r="D8511" s="19">
        <v>31.497500000000002</v>
      </c>
    </row>
    <row r="8512" spans="1:4" x14ac:dyDescent="0.2">
      <c r="A8512" s="19" t="s">
        <v>161</v>
      </c>
      <c r="B8512" s="19">
        <v>23</v>
      </c>
      <c r="C8512" s="19">
        <v>2</v>
      </c>
      <c r="D8512" s="19">
        <v>10.35</v>
      </c>
    </row>
    <row r="8513" spans="1:4" x14ac:dyDescent="0.2">
      <c r="A8513" s="19" t="s">
        <v>164</v>
      </c>
      <c r="B8513" s="19">
        <v>25.584000000000003</v>
      </c>
      <c r="C8513" s="19">
        <v>2</v>
      </c>
      <c r="D8513" s="19">
        <v>8.9543999999999997</v>
      </c>
    </row>
    <row r="8514" spans="1:4" x14ac:dyDescent="0.2">
      <c r="A8514" s="19" t="s">
        <v>154</v>
      </c>
      <c r="B8514" s="19">
        <v>73.784000000000006</v>
      </c>
      <c r="C8514" s="19">
        <v>2</v>
      </c>
      <c r="D8514" s="19">
        <v>-77.473200000000006</v>
      </c>
    </row>
    <row r="8515" spans="1:4" x14ac:dyDescent="0.2">
      <c r="A8515" s="19" t="s">
        <v>151</v>
      </c>
      <c r="B8515" s="19">
        <v>20.736000000000004</v>
      </c>
      <c r="C8515" s="19">
        <v>4</v>
      </c>
      <c r="D8515" s="19">
        <v>7.2576000000000001</v>
      </c>
    </row>
    <row r="8516" spans="1:4" x14ac:dyDescent="0.2">
      <c r="A8516" s="19" t="s">
        <v>149</v>
      </c>
      <c r="B8516" s="19">
        <v>17.52</v>
      </c>
      <c r="C8516" s="19">
        <v>3</v>
      </c>
      <c r="D8516" s="19">
        <v>8.2343999999999991</v>
      </c>
    </row>
    <row r="8517" spans="1:4" x14ac:dyDescent="0.2">
      <c r="A8517" s="19" t="s">
        <v>149</v>
      </c>
      <c r="B8517" s="19">
        <v>35.76</v>
      </c>
      <c r="C8517" s="19">
        <v>12</v>
      </c>
      <c r="D8517" s="19">
        <v>10.0128</v>
      </c>
    </row>
    <row r="8518" spans="1:4" x14ac:dyDescent="0.2">
      <c r="A8518" s="19" t="s">
        <v>164</v>
      </c>
      <c r="B8518" s="19">
        <v>3.64</v>
      </c>
      <c r="C8518" s="19">
        <v>2</v>
      </c>
      <c r="D8518" s="19">
        <v>0.98280000000000012</v>
      </c>
    </row>
    <row r="8519" spans="1:4" x14ac:dyDescent="0.2">
      <c r="A8519" s="19" t="s">
        <v>154</v>
      </c>
      <c r="B8519" s="19">
        <v>30.336000000000006</v>
      </c>
      <c r="C8519" s="19">
        <v>6</v>
      </c>
      <c r="D8519" s="19">
        <v>-17.443199999999997</v>
      </c>
    </row>
    <row r="8520" spans="1:4" x14ac:dyDescent="0.2">
      <c r="A8520" s="19" t="s">
        <v>179</v>
      </c>
      <c r="B8520" s="19">
        <v>12.99</v>
      </c>
      <c r="C8520" s="19">
        <v>1</v>
      </c>
      <c r="D8520" s="19">
        <v>1.5587999999999997</v>
      </c>
    </row>
    <row r="8521" spans="1:4" x14ac:dyDescent="0.2">
      <c r="A8521" s="19" t="s">
        <v>179</v>
      </c>
      <c r="B8521" s="19">
        <v>182.22</v>
      </c>
      <c r="C8521" s="19">
        <v>3</v>
      </c>
      <c r="D8521" s="19">
        <v>45.555000000000007</v>
      </c>
    </row>
    <row r="8522" spans="1:4" x14ac:dyDescent="0.2">
      <c r="A8522" s="19" t="s">
        <v>179</v>
      </c>
      <c r="B8522" s="19">
        <v>302.94</v>
      </c>
      <c r="C8522" s="19">
        <v>3</v>
      </c>
      <c r="D8522" s="19">
        <v>18.176399999999973</v>
      </c>
    </row>
    <row r="8523" spans="1:4" x14ac:dyDescent="0.2">
      <c r="A8523" s="19" t="s">
        <v>173</v>
      </c>
      <c r="B8523" s="19">
        <v>54.992000000000004</v>
      </c>
      <c r="C8523" s="19">
        <v>14</v>
      </c>
      <c r="D8523" s="19">
        <v>8.9361999999999959</v>
      </c>
    </row>
    <row r="8524" spans="1:4" x14ac:dyDescent="0.2">
      <c r="A8524" s="19" t="s">
        <v>155</v>
      </c>
      <c r="B8524" s="19">
        <v>12.99</v>
      </c>
      <c r="C8524" s="19">
        <v>1</v>
      </c>
      <c r="D8524" s="19">
        <v>0.25980000000000025</v>
      </c>
    </row>
    <row r="8525" spans="1:4" x14ac:dyDescent="0.2">
      <c r="A8525" s="19" t="s">
        <v>150</v>
      </c>
      <c r="B8525" s="19">
        <v>55.86</v>
      </c>
      <c r="C8525" s="19">
        <v>7</v>
      </c>
      <c r="D8525" s="19">
        <v>27.93</v>
      </c>
    </row>
    <row r="8526" spans="1:4" x14ac:dyDescent="0.2">
      <c r="A8526" s="19" t="s">
        <v>173</v>
      </c>
      <c r="B8526" s="19">
        <v>44.375999999999998</v>
      </c>
      <c r="C8526" s="19">
        <v>2</v>
      </c>
      <c r="D8526" s="19">
        <v>-7.3960000000000043</v>
      </c>
    </row>
    <row r="8527" spans="1:4" x14ac:dyDescent="0.2">
      <c r="A8527" s="19" t="s">
        <v>173</v>
      </c>
      <c r="B8527" s="19">
        <v>51.264000000000003</v>
      </c>
      <c r="C8527" s="19">
        <v>6</v>
      </c>
      <c r="D8527" s="19">
        <v>7.6895999999999933</v>
      </c>
    </row>
    <row r="8528" spans="1:4" x14ac:dyDescent="0.2">
      <c r="A8528" s="19" t="s">
        <v>173</v>
      </c>
      <c r="B8528" s="19">
        <v>5.1930000000000005</v>
      </c>
      <c r="C8528" s="19">
        <v>3</v>
      </c>
      <c r="D8528" s="19">
        <v>-3.4619999999999997</v>
      </c>
    </row>
    <row r="8529" spans="1:4" x14ac:dyDescent="0.2">
      <c r="A8529" s="19" t="s">
        <v>173</v>
      </c>
      <c r="B8529" s="19">
        <v>159.98400000000001</v>
      </c>
      <c r="C8529" s="19">
        <v>2</v>
      </c>
      <c r="D8529" s="19">
        <v>43.995600000000003</v>
      </c>
    </row>
    <row r="8530" spans="1:4" x14ac:dyDescent="0.2">
      <c r="A8530" s="19" t="s">
        <v>173</v>
      </c>
      <c r="B8530" s="19">
        <v>54.224000000000004</v>
      </c>
      <c r="C8530" s="19">
        <v>2</v>
      </c>
      <c r="D8530" s="19">
        <v>3.3889999999999993</v>
      </c>
    </row>
    <row r="8531" spans="1:4" x14ac:dyDescent="0.2">
      <c r="A8531" s="19" t="s">
        <v>150</v>
      </c>
      <c r="B8531" s="19">
        <v>241.42399999999998</v>
      </c>
      <c r="C8531" s="19">
        <v>2</v>
      </c>
      <c r="D8531" s="19">
        <v>-36.213599999999985</v>
      </c>
    </row>
    <row r="8532" spans="1:4" x14ac:dyDescent="0.2">
      <c r="A8532" s="19" t="s">
        <v>161</v>
      </c>
      <c r="B8532" s="19">
        <v>33.36</v>
      </c>
      <c r="C8532" s="19">
        <v>4</v>
      </c>
      <c r="D8532" s="19">
        <v>16.68</v>
      </c>
    </row>
    <row r="8533" spans="1:4" x14ac:dyDescent="0.2">
      <c r="A8533" s="19" t="s">
        <v>161</v>
      </c>
      <c r="B8533" s="19">
        <v>13.76</v>
      </c>
      <c r="C8533" s="19">
        <v>2</v>
      </c>
      <c r="D8533" s="19">
        <v>6.3295999999999992</v>
      </c>
    </row>
    <row r="8534" spans="1:4" x14ac:dyDescent="0.2">
      <c r="A8534" s="19" t="s">
        <v>161</v>
      </c>
      <c r="B8534" s="19">
        <v>496.86</v>
      </c>
      <c r="C8534" s="19">
        <v>7</v>
      </c>
      <c r="D8534" s="19">
        <v>24.842999999999947</v>
      </c>
    </row>
    <row r="8535" spans="1:4" x14ac:dyDescent="0.2">
      <c r="A8535" s="19" t="s">
        <v>161</v>
      </c>
      <c r="B8535" s="19">
        <v>389.97</v>
      </c>
      <c r="C8535" s="19">
        <v>3</v>
      </c>
      <c r="D8535" s="19">
        <v>35.097300000000004</v>
      </c>
    </row>
    <row r="8536" spans="1:4" x14ac:dyDescent="0.2">
      <c r="A8536" s="19" t="s">
        <v>101</v>
      </c>
      <c r="B8536" s="19">
        <v>9.82</v>
      </c>
      <c r="C8536" s="19">
        <v>2</v>
      </c>
      <c r="D8536" s="19">
        <v>4.8117999999999999</v>
      </c>
    </row>
    <row r="8537" spans="1:4" x14ac:dyDescent="0.2">
      <c r="A8537" s="19" t="s">
        <v>150</v>
      </c>
      <c r="B8537" s="19">
        <v>56.400000000000006</v>
      </c>
      <c r="C8537" s="19">
        <v>3</v>
      </c>
      <c r="D8537" s="19">
        <v>3.3840000000000003</v>
      </c>
    </row>
    <row r="8538" spans="1:4" x14ac:dyDescent="0.2">
      <c r="A8538" s="19" t="s">
        <v>158</v>
      </c>
      <c r="B8538" s="19">
        <v>18.312000000000001</v>
      </c>
      <c r="C8538" s="19">
        <v>4</v>
      </c>
      <c r="D8538" s="19">
        <v>-12.207999999999995</v>
      </c>
    </row>
    <row r="8539" spans="1:4" x14ac:dyDescent="0.2">
      <c r="A8539" s="19" t="s">
        <v>158</v>
      </c>
      <c r="B8539" s="19">
        <v>25.920000000000005</v>
      </c>
      <c r="C8539" s="19">
        <v>5</v>
      </c>
      <c r="D8539" s="19">
        <v>9.0719999999999992</v>
      </c>
    </row>
    <row r="8540" spans="1:4" x14ac:dyDescent="0.2">
      <c r="A8540" s="19" t="s">
        <v>158</v>
      </c>
      <c r="B8540" s="19">
        <v>8.016</v>
      </c>
      <c r="C8540" s="19">
        <v>3</v>
      </c>
      <c r="D8540" s="19">
        <v>1.0019999999999993</v>
      </c>
    </row>
    <row r="8541" spans="1:4" x14ac:dyDescent="0.2">
      <c r="A8541" s="19" t="s">
        <v>150</v>
      </c>
      <c r="B8541" s="19">
        <v>479.98400000000004</v>
      </c>
      <c r="C8541" s="19">
        <v>2</v>
      </c>
      <c r="D8541" s="19">
        <v>59.997999999999962</v>
      </c>
    </row>
    <row r="8542" spans="1:4" x14ac:dyDescent="0.2">
      <c r="A8542" s="19" t="s">
        <v>150</v>
      </c>
      <c r="B8542" s="19">
        <v>30.84</v>
      </c>
      <c r="C8542" s="19">
        <v>5</v>
      </c>
      <c r="D8542" s="19">
        <v>9.6374999999999993</v>
      </c>
    </row>
    <row r="8543" spans="1:4" x14ac:dyDescent="0.2">
      <c r="A8543" s="19" t="s">
        <v>158</v>
      </c>
      <c r="B8543" s="19">
        <v>33.568000000000005</v>
      </c>
      <c r="C8543" s="19">
        <v>2</v>
      </c>
      <c r="D8543" s="19">
        <v>1.6783999999999981</v>
      </c>
    </row>
    <row r="8544" spans="1:4" x14ac:dyDescent="0.2">
      <c r="A8544" s="19" t="s">
        <v>158</v>
      </c>
      <c r="B8544" s="19">
        <v>422.62499999999994</v>
      </c>
      <c r="C8544" s="19">
        <v>7</v>
      </c>
      <c r="D8544" s="19">
        <v>0</v>
      </c>
    </row>
    <row r="8545" spans="1:4" x14ac:dyDescent="0.2">
      <c r="A8545" s="19" t="s">
        <v>164</v>
      </c>
      <c r="B8545" s="19">
        <v>199.98</v>
      </c>
      <c r="C8545" s="19">
        <v>2</v>
      </c>
      <c r="D8545" s="19">
        <v>83.991600000000005</v>
      </c>
    </row>
    <row r="8546" spans="1:4" x14ac:dyDescent="0.2">
      <c r="A8546" s="19" t="s">
        <v>101</v>
      </c>
      <c r="B8546" s="19">
        <v>20.239999999999998</v>
      </c>
      <c r="C8546" s="19">
        <v>1</v>
      </c>
      <c r="D8546" s="19">
        <v>8.7032000000000007</v>
      </c>
    </row>
    <row r="8547" spans="1:4" x14ac:dyDescent="0.2">
      <c r="A8547" s="19" t="s">
        <v>101</v>
      </c>
      <c r="B8547" s="19">
        <v>39.92</v>
      </c>
      <c r="C8547" s="19">
        <v>4</v>
      </c>
      <c r="D8547" s="19">
        <v>11.177600000000002</v>
      </c>
    </row>
    <row r="8548" spans="1:4" x14ac:dyDescent="0.2">
      <c r="A8548" s="19" t="s">
        <v>101</v>
      </c>
      <c r="B8548" s="19">
        <v>32.54</v>
      </c>
      <c r="C8548" s="19">
        <v>2</v>
      </c>
      <c r="D8548" s="19">
        <v>15.944599999999998</v>
      </c>
    </row>
    <row r="8549" spans="1:4" x14ac:dyDescent="0.2">
      <c r="A8549" s="19" t="s">
        <v>150</v>
      </c>
      <c r="B8549" s="19">
        <v>39</v>
      </c>
      <c r="C8549" s="19">
        <v>3</v>
      </c>
      <c r="D8549" s="19">
        <v>17.549999999999997</v>
      </c>
    </row>
    <row r="8550" spans="1:4" x14ac:dyDescent="0.2">
      <c r="A8550" s="19" t="s">
        <v>150</v>
      </c>
      <c r="B8550" s="19">
        <v>12.6</v>
      </c>
      <c r="C8550" s="19">
        <v>4</v>
      </c>
      <c r="D8550" s="19">
        <v>6.048</v>
      </c>
    </row>
    <row r="8551" spans="1:4" x14ac:dyDescent="0.2">
      <c r="A8551" s="19" t="s">
        <v>171</v>
      </c>
      <c r="B8551" s="19">
        <v>24.64</v>
      </c>
      <c r="C8551" s="19">
        <v>4</v>
      </c>
      <c r="D8551" s="19">
        <v>4.0039999999999978</v>
      </c>
    </row>
    <row r="8552" spans="1:4" x14ac:dyDescent="0.2">
      <c r="A8552" s="19" t="s">
        <v>154</v>
      </c>
      <c r="B8552" s="19">
        <v>6.2640000000000002</v>
      </c>
      <c r="C8552" s="19">
        <v>3</v>
      </c>
      <c r="D8552" s="19">
        <v>2.0358000000000001</v>
      </c>
    </row>
    <row r="8553" spans="1:4" x14ac:dyDescent="0.2">
      <c r="A8553" s="19" t="s">
        <v>154</v>
      </c>
      <c r="B8553" s="19">
        <v>14.432</v>
      </c>
      <c r="C8553" s="19">
        <v>4</v>
      </c>
      <c r="D8553" s="19">
        <v>3.4276000000000004</v>
      </c>
    </row>
    <row r="8554" spans="1:4" x14ac:dyDescent="0.2">
      <c r="A8554" s="19" t="s">
        <v>159</v>
      </c>
      <c r="B8554" s="19">
        <v>719.97600000000011</v>
      </c>
      <c r="C8554" s="19">
        <v>3</v>
      </c>
      <c r="D8554" s="19">
        <v>134.99549999999999</v>
      </c>
    </row>
    <row r="8555" spans="1:4" x14ac:dyDescent="0.2">
      <c r="A8555" s="19" t="s">
        <v>168</v>
      </c>
      <c r="B8555" s="19">
        <v>239.92</v>
      </c>
      <c r="C8555" s="19">
        <v>8</v>
      </c>
      <c r="D8555" s="19">
        <v>23.99199999999999</v>
      </c>
    </row>
    <row r="8556" spans="1:4" x14ac:dyDescent="0.2">
      <c r="A8556" s="19" t="s">
        <v>166</v>
      </c>
      <c r="B8556" s="19">
        <v>1056.8599999999999</v>
      </c>
      <c r="C8556" s="19">
        <v>7</v>
      </c>
      <c r="D8556" s="19">
        <v>158.52899999999994</v>
      </c>
    </row>
    <row r="8557" spans="1:4" x14ac:dyDescent="0.2">
      <c r="A8557" s="19" t="s">
        <v>151</v>
      </c>
      <c r="B8557" s="19">
        <v>447.94399999999996</v>
      </c>
      <c r="C8557" s="19">
        <v>7</v>
      </c>
      <c r="D8557" s="19">
        <v>89.588799999999992</v>
      </c>
    </row>
    <row r="8558" spans="1:4" x14ac:dyDescent="0.2">
      <c r="A8558" s="19" t="s">
        <v>151</v>
      </c>
      <c r="B8558" s="19">
        <v>150.40799999999999</v>
      </c>
      <c r="C8558" s="19">
        <v>9</v>
      </c>
      <c r="D8558" s="19">
        <v>-33.841799999999999</v>
      </c>
    </row>
    <row r="8559" spans="1:4" x14ac:dyDescent="0.2">
      <c r="A8559" s="19" t="s">
        <v>154</v>
      </c>
      <c r="B8559" s="19">
        <v>453.57600000000002</v>
      </c>
      <c r="C8559" s="19">
        <v>3</v>
      </c>
      <c r="D8559" s="19">
        <v>39.687899999999985</v>
      </c>
    </row>
    <row r="8560" spans="1:4" x14ac:dyDescent="0.2">
      <c r="A8560" s="19" t="s">
        <v>154</v>
      </c>
      <c r="B8560" s="19">
        <v>45.36</v>
      </c>
      <c r="C8560" s="19">
        <v>9</v>
      </c>
      <c r="D8560" s="19">
        <v>14.741999999999997</v>
      </c>
    </row>
    <row r="8561" spans="1:4" x14ac:dyDescent="0.2">
      <c r="A8561" s="19" t="s">
        <v>154</v>
      </c>
      <c r="B8561" s="19">
        <v>287.88</v>
      </c>
      <c r="C8561" s="19">
        <v>3</v>
      </c>
      <c r="D8561" s="19">
        <v>35.984999999999999</v>
      </c>
    </row>
    <row r="8562" spans="1:4" x14ac:dyDescent="0.2">
      <c r="A8562" s="19" t="s">
        <v>154</v>
      </c>
      <c r="B8562" s="19">
        <v>131.88000000000002</v>
      </c>
      <c r="C8562" s="19">
        <v>3</v>
      </c>
      <c r="D8562" s="19">
        <v>14.836499999999987</v>
      </c>
    </row>
    <row r="8563" spans="1:4" x14ac:dyDescent="0.2">
      <c r="A8563" s="19" t="s">
        <v>154</v>
      </c>
      <c r="B8563" s="19">
        <v>2.3280000000000003</v>
      </c>
      <c r="C8563" s="19">
        <v>2</v>
      </c>
      <c r="D8563" s="19">
        <v>-0.75660000000000016</v>
      </c>
    </row>
    <row r="8564" spans="1:4" x14ac:dyDescent="0.2">
      <c r="A8564" s="19" t="s">
        <v>155</v>
      </c>
      <c r="B8564" s="19">
        <v>1454.9</v>
      </c>
      <c r="C8564" s="19">
        <v>5</v>
      </c>
      <c r="D8564" s="19">
        <v>378.274</v>
      </c>
    </row>
    <row r="8565" spans="1:4" x14ac:dyDescent="0.2">
      <c r="A8565" s="19" t="s">
        <v>151</v>
      </c>
      <c r="B8565" s="19">
        <v>4.8420000000000005</v>
      </c>
      <c r="C8565" s="19">
        <v>3</v>
      </c>
      <c r="D8565" s="19">
        <v>-3.5507999999999988</v>
      </c>
    </row>
    <row r="8566" spans="1:4" x14ac:dyDescent="0.2">
      <c r="A8566" s="19" t="s">
        <v>151</v>
      </c>
      <c r="B8566" s="19">
        <v>220.70400000000001</v>
      </c>
      <c r="C8566" s="19">
        <v>6</v>
      </c>
      <c r="D8566" s="19">
        <v>-8.2764000000000379</v>
      </c>
    </row>
    <row r="8567" spans="1:4" x14ac:dyDescent="0.2">
      <c r="A8567" s="19" t="s">
        <v>154</v>
      </c>
      <c r="B8567" s="19">
        <v>67.176000000000002</v>
      </c>
      <c r="C8567" s="19">
        <v>3</v>
      </c>
      <c r="D8567" s="19">
        <v>6.7175999999999974</v>
      </c>
    </row>
    <row r="8568" spans="1:4" x14ac:dyDescent="0.2">
      <c r="A8568" s="19" t="s">
        <v>154</v>
      </c>
      <c r="B8568" s="19">
        <v>15.231999999999999</v>
      </c>
      <c r="C8568" s="19">
        <v>4</v>
      </c>
      <c r="D8568" s="19">
        <v>5.5215999999999994</v>
      </c>
    </row>
    <row r="8569" spans="1:4" x14ac:dyDescent="0.2">
      <c r="A8569" s="19" t="s">
        <v>173</v>
      </c>
      <c r="B8569" s="19">
        <v>31.104000000000006</v>
      </c>
      <c r="C8569" s="19">
        <v>6</v>
      </c>
      <c r="D8569" s="19">
        <v>10.8864</v>
      </c>
    </row>
    <row r="8570" spans="1:4" x14ac:dyDescent="0.2">
      <c r="A8570" s="19" t="s">
        <v>164</v>
      </c>
      <c r="B8570" s="19">
        <v>968.74400000000014</v>
      </c>
      <c r="C8570" s="19">
        <v>7</v>
      </c>
      <c r="D8570" s="19">
        <v>314.84180000000003</v>
      </c>
    </row>
    <row r="8571" spans="1:4" x14ac:dyDescent="0.2">
      <c r="A8571" s="19" t="s">
        <v>164</v>
      </c>
      <c r="B8571" s="19">
        <v>222.35199999999998</v>
      </c>
      <c r="C8571" s="19">
        <v>13</v>
      </c>
      <c r="D8571" s="19">
        <v>77.823200000000014</v>
      </c>
    </row>
    <row r="8572" spans="1:4" x14ac:dyDescent="0.2">
      <c r="A8572" s="19" t="s">
        <v>164</v>
      </c>
      <c r="B8572" s="19">
        <v>479.98400000000004</v>
      </c>
      <c r="C8572" s="19">
        <v>2</v>
      </c>
      <c r="D8572" s="19">
        <v>89.996999999999986</v>
      </c>
    </row>
    <row r="8573" spans="1:4" x14ac:dyDescent="0.2">
      <c r="A8573" s="19" t="s">
        <v>154</v>
      </c>
      <c r="B8573" s="19">
        <v>10.272000000000002</v>
      </c>
      <c r="C8573" s="19">
        <v>3</v>
      </c>
      <c r="D8573" s="19">
        <v>3.2099999999999982</v>
      </c>
    </row>
    <row r="8574" spans="1:4" x14ac:dyDescent="0.2">
      <c r="A8574" s="19" t="s">
        <v>154</v>
      </c>
      <c r="B8574" s="19">
        <v>998.84999999999991</v>
      </c>
      <c r="C8574" s="19">
        <v>5</v>
      </c>
      <c r="D8574" s="19">
        <v>-199.7700000000001</v>
      </c>
    </row>
    <row r="8575" spans="1:4" x14ac:dyDescent="0.2">
      <c r="A8575" s="19" t="s">
        <v>164</v>
      </c>
      <c r="B8575" s="19">
        <v>24.56</v>
      </c>
      <c r="C8575" s="19">
        <v>2</v>
      </c>
      <c r="D8575" s="19">
        <v>11.543199999999999</v>
      </c>
    </row>
    <row r="8576" spans="1:4" x14ac:dyDescent="0.2">
      <c r="A8576" s="19" t="s">
        <v>150</v>
      </c>
      <c r="B8576" s="19">
        <v>5.67</v>
      </c>
      <c r="C8576" s="19">
        <v>3</v>
      </c>
      <c r="D8576" s="19">
        <v>0.11340000000000017</v>
      </c>
    </row>
    <row r="8577" spans="1:4" x14ac:dyDescent="0.2">
      <c r="A8577" s="19" t="s">
        <v>151</v>
      </c>
      <c r="B8577" s="19">
        <v>14.336000000000002</v>
      </c>
      <c r="C8577" s="19">
        <v>4</v>
      </c>
      <c r="D8577" s="19">
        <v>0.89599999999999991</v>
      </c>
    </row>
    <row r="8578" spans="1:4" x14ac:dyDescent="0.2">
      <c r="A8578" s="19" t="s">
        <v>186</v>
      </c>
      <c r="B8578" s="19">
        <v>102.3</v>
      </c>
      <c r="C8578" s="19">
        <v>1</v>
      </c>
      <c r="D8578" s="19">
        <v>26.597999999999999</v>
      </c>
    </row>
    <row r="8579" spans="1:4" x14ac:dyDescent="0.2">
      <c r="A8579" s="19" t="s">
        <v>160</v>
      </c>
      <c r="B8579" s="19">
        <v>607.52</v>
      </c>
      <c r="C8579" s="19">
        <v>2</v>
      </c>
      <c r="D8579" s="19">
        <v>97.203200000000038</v>
      </c>
    </row>
    <row r="8580" spans="1:4" x14ac:dyDescent="0.2">
      <c r="A8580" s="19" t="s">
        <v>160</v>
      </c>
      <c r="B8580" s="19">
        <v>31.16</v>
      </c>
      <c r="C8580" s="19">
        <v>2</v>
      </c>
      <c r="D8580" s="19">
        <v>7.7899999999999991</v>
      </c>
    </row>
    <row r="8581" spans="1:4" x14ac:dyDescent="0.2">
      <c r="A8581" s="19" t="s">
        <v>149</v>
      </c>
      <c r="B8581" s="19">
        <v>2.61</v>
      </c>
      <c r="C8581" s="19">
        <v>1</v>
      </c>
      <c r="D8581" s="19">
        <v>1.2005999999999999</v>
      </c>
    </row>
    <row r="8582" spans="1:4" x14ac:dyDescent="0.2">
      <c r="A8582" s="19" t="s">
        <v>154</v>
      </c>
      <c r="B8582" s="19">
        <v>10.332000000000001</v>
      </c>
      <c r="C8582" s="19">
        <v>3</v>
      </c>
      <c r="D8582" s="19">
        <v>-5.9408999999999992</v>
      </c>
    </row>
    <row r="8583" spans="1:4" x14ac:dyDescent="0.2">
      <c r="A8583" s="19" t="s">
        <v>154</v>
      </c>
      <c r="B8583" s="19">
        <v>10.368000000000002</v>
      </c>
      <c r="C8583" s="19">
        <v>2</v>
      </c>
      <c r="D8583" s="19">
        <v>3.6288</v>
      </c>
    </row>
    <row r="8584" spans="1:4" x14ac:dyDescent="0.2">
      <c r="A8584" s="19" t="s">
        <v>154</v>
      </c>
      <c r="B8584" s="19">
        <v>20.784000000000002</v>
      </c>
      <c r="C8584" s="19">
        <v>2</v>
      </c>
      <c r="D8584" s="19">
        <v>-3.6372000000000027</v>
      </c>
    </row>
    <row r="8585" spans="1:4" x14ac:dyDescent="0.2">
      <c r="A8585" s="19" t="s">
        <v>154</v>
      </c>
      <c r="B8585" s="19">
        <v>66.959999999999994</v>
      </c>
      <c r="C8585" s="19">
        <v>5</v>
      </c>
      <c r="D8585" s="19">
        <v>-13.392000000000003</v>
      </c>
    </row>
    <row r="8586" spans="1:4" x14ac:dyDescent="0.2">
      <c r="A8586" s="19" t="s">
        <v>150</v>
      </c>
      <c r="B8586" s="19">
        <v>17.248000000000001</v>
      </c>
      <c r="C8586" s="19">
        <v>2</v>
      </c>
      <c r="D8586" s="19">
        <v>6.0367999999999986</v>
      </c>
    </row>
    <row r="8587" spans="1:4" x14ac:dyDescent="0.2">
      <c r="A8587" s="19" t="s">
        <v>158</v>
      </c>
      <c r="B8587" s="19">
        <v>11.088000000000003</v>
      </c>
      <c r="C8587" s="19">
        <v>7</v>
      </c>
      <c r="D8587" s="19">
        <v>-8.1311999999999998</v>
      </c>
    </row>
    <row r="8588" spans="1:4" x14ac:dyDescent="0.2">
      <c r="A8588" s="19" t="s">
        <v>150</v>
      </c>
      <c r="B8588" s="19">
        <v>1287.45</v>
      </c>
      <c r="C8588" s="19">
        <v>5</v>
      </c>
      <c r="D8588" s="19">
        <v>244.61549999999988</v>
      </c>
    </row>
    <row r="8589" spans="1:4" x14ac:dyDescent="0.2">
      <c r="A8589" s="19" t="s">
        <v>150</v>
      </c>
      <c r="B8589" s="19">
        <v>168.1</v>
      </c>
      <c r="C8589" s="19">
        <v>5</v>
      </c>
      <c r="D8589" s="19">
        <v>43.705999999999996</v>
      </c>
    </row>
    <row r="8590" spans="1:4" x14ac:dyDescent="0.2">
      <c r="A8590" s="19" t="s">
        <v>158</v>
      </c>
      <c r="B8590" s="19">
        <v>51.967999999999996</v>
      </c>
      <c r="C8590" s="19">
        <v>2</v>
      </c>
      <c r="D8590" s="19">
        <v>-10.393600000000001</v>
      </c>
    </row>
    <row r="8591" spans="1:4" x14ac:dyDescent="0.2">
      <c r="A8591" s="19" t="s">
        <v>158</v>
      </c>
      <c r="B8591" s="19">
        <v>4.7679999999999998</v>
      </c>
      <c r="C8591" s="19">
        <v>2</v>
      </c>
      <c r="D8591" s="19">
        <v>0.47680000000000011</v>
      </c>
    </row>
    <row r="8592" spans="1:4" x14ac:dyDescent="0.2">
      <c r="A8592" s="19" t="s">
        <v>164</v>
      </c>
      <c r="B8592" s="19">
        <v>7.98</v>
      </c>
      <c r="C8592" s="19">
        <v>3</v>
      </c>
      <c r="D8592" s="19">
        <v>3.9102000000000006</v>
      </c>
    </row>
    <row r="8593" spans="1:4" x14ac:dyDescent="0.2">
      <c r="A8593" s="19" t="s">
        <v>171</v>
      </c>
      <c r="B8593" s="19">
        <v>18.687999999999999</v>
      </c>
      <c r="C8593" s="19">
        <v>2</v>
      </c>
      <c r="D8593" s="19">
        <v>7.008</v>
      </c>
    </row>
    <row r="8594" spans="1:4" x14ac:dyDescent="0.2">
      <c r="A8594" s="19" t="s">
        <v>171</v>
      </c>
      <c r="B8594" s="19">
        <v>11.664000000000001</v>
      </c>
      <c r="C8594" s="19">
        <v>3</v>
      </c>
      <c r="D8594" s="19">
        <v>3.3534000000000006</v>
      </c>
    </row>
    <row r="8595" spans="1:4" x14ac:dyDescent="0.2">
      <c r="A8595" s="19" t="s">
        <v>151</v>
      </c>
      <c r="B8595" s="19">
        <v>191.976</v>
      </c>
      <c r="C8595" s="19">
        <v>3</v>
      </c>
      <c r="D8595" s="19">
        <v>38.395199999999988</v>
      </c>
    </row>
    <row r="8596" spans="1:4" x14ac:dyDescent="0.2">
      <c r="A8596" s="19" t="s">
        <v>151</v>
      </c>
      <c r="B8596" s="19">
        <v>499.16800000000006</v>
      </c>
      <c r="C8596" s="19">
        <v>4</v>
      </c>
      <c r="D8596" s="19">
        <v>31.197999999999993</v>
      </c>
    </row>
    <row r="8597" spans="1:4" x14ac:dyDescent="0.2">
      <c r="A8597" s="19" t="s">
        <v>166</v>
      </c>
      <c r="B8597" s="19">
        <v>11.88</v>
      </c>
      <c r="C8597" s="19">
        <v>2</v>
      </c>
      <c r="D8597" s="19">
        <v>5.3460000000000001</v>
      </c>
    </row>
    <row r="8598" spans="1:4" x14ac:dyDescent="0.2">
      <c r="A8598" s="19" t="s">
        <v>166</v>
      </c>
      <c r="B8598" s="19">
        <v>35.44</v>
      </c>
      <c r="C8598" s="19">
        <v>1</v>
      </c>
      <c r="D8598" s="19">
        <v>16.656799999999997</v>
      </c>
    </row>
    <row r="8599" spans="1:4" x14ac:dyDescent="0.2">
      <c r="A8599" s="19" t="s">
        <v>150</v>
      </c>
      <c r="B8599" s="19">
        <v>67.13600000000001</v>
      </c>
      <c r="C8599" s="19">
        <v>4</v>
      </c>
      <c r="D8599" s="19">
        <v>25.175999999999998</v>
      </c>
    </row>
    <row r="8600" spans="1:4" x14ac:dyDescent="0.2">
      <c r="A8600" s="19" t="s">
        <v>150</v>
      </c>
      <c r="B8600" s="19">
        <v>4.32</v>
      </c>
      <c r="C8600" s="19">
        <v>3</v>
      </c>
      <c r="D8600" s="19">
        <v>1.512</v>
      </c>
    </row>
    <row r="8601" spans="1:4" x14ac:dyDescent="0.2">
      <c r="A8601" s="19" t="s">
        <v>150</v>
      </c>
      <c r="B8601" s="19">
        <v>14.940000000000001</v>
      </c>
      <c r="C8601" s="19">
        <v>3</v>
      </c>
      <c r="D8601" s="19">
        <v>7.0218000000000007</v>
      </c>
    </row>
    <row r="8602" spans="1:4" x14ac:dyDescent="0.2">
      <c r="A8602" s="19" t="s">
        <v>150</v>
      </c>
      <c r="B8602" s="19">
        <v>40.54</v>
      </c>
      <c r="C8602" s="19">
        <v>2</v>
      </c>
      <c r="D8602" s="19">
        <v>11.351200000000002</v>
      </c>
    </row>
    <row r="8603" spans="1:4" x14ac:dyDescent="0.2">
      <c r="A8603" s="19" t="s">
        <v>150</v>
      </c>
      <c r="B8603" s="19">
        <v>7.3120000000000012</v>
      </c>
      <c r="C8603" s="19">
        <v>1</v>
      </c>
      <c r="D8603" s="19">
        <v>2.5591999999999997</v>
      </c>
    </row>
    <row r="8604" spans="1:4" x14ac:dyDescent="0.2">
      <c r="A8604" s="19" t="s">
        <v>181</v>
      </c>
      <c r="B8604" s="19">
        <v>475.94400000000002</v>
      </c>
      <c r="C8604" s="19">
        <v>7</v>
      </c>
      <c r="D8604" s="19">
        <v>59.492999999999952</v>
      </c>
    </row>
    <row r="8605" spans="1:4" x14ac:dyDescent="0.2">
      <c r="A8605" s="19" t="s">
        <v>154</v>
      </c>
      <c r="B8605" s="19">
        <v>30.080000000000002</v>
      </c>
      <c r="C8605" s="19">
        <v>2</v>
      </c>
      <c r="D8605" s="19">
        <v>-5.2640000000000002</v>
      </c>
    </row>
    <row r="8606" spans="1:4" x14ac:dyDescent="0.2">
      <c r="A8606" s="19" t="s">
        <v>154</v>
      </c>
      <c r="B8606" s="19">
        <v>165.60000000000002</v>
      </c>
      <c r="C8606" s="19">
        <v>3</v>
      </c>
      <c r="D8606" s="19">
        <v>-6.2100000000000151</v>
      </c>
    </row>
    <row r="8607" spans="1:4" x14ac:dyDescent="0.2">
      <c r="A8607" s="19" t="s">
        <v>154</v>
      </c>
      <c r="B8607" s="19">
        <v>180.96</v>
      </c>
      <c r="C8607" s="19">
        <v>5</v>
      </c>
      <c r="D8607" s="19">
        <v>13.571999999999996</v>
      </c>
    </row>
    <row r="8608" spans="1:4" x14ac:dyDescent="0.2">
      <c r="A8608" s="19" t="s">
        <v>180</v>
      </c>
      <c r="B8608" s="19">
        <v>23.18</v>
      </c>
      <c r="C8608" s="19">
        <v>2</v>
      </c>
      <c r="D8608" s="19">
        <v>7.6493999999999982</v>
      </c>
    </row>
    <row r="8609" spans="1:4" x14ac:dyDescent="0.2">
      <c r="A8609" s="19" t="s">
        <v>164</v>
      </c>
      <c r="B8609" s="19">
        <v>56.96</v>
      </c>
      <c r="C8609" s="19">
        <v>2</v>
      </c>
      <c r="D8609" s="19">
        <v>21.075200000000002</v>
      </c>
    </row>
    <row r="8610" spans="1:4" x14ac:dyDescent="0.2">
      <c r="A8610" s="19" t="s">
        <v>164</v>
      </c>
      <c r="B8610" s="19">
        <v>15.56</v>
      </c>
      <c r="C8610" s="19">
        <v>4</v>
      </c>
      <c r="D8610" s="19">
        <v>4.0456000000000003</v>
      </c>
    </row>
    <row r="8611" spans="1:4" x14ac:dyDescent="0.2">
      <c r="A8611" s="19" t="s">
        <v>164</v>
      </c>
      <c r="B8611" s="19">
        <v>353.56799999999998</v>
      </c>
      <c r="C8611" s="19">
        <v>2</v>
      </c>
      <c r="D8611" s="19">
        <v>-44.196000000000026</v>
      </c>
    </row>
    <row r="8612" spans="1:4" x14ac:dyDescent="0.2">
      <c r="A8612" s="19" t="s">
        <v>164</v>
      </c>
      <c r="B8612" s="19">
        <v>13.96</v>
      </c>
      <c r="C8612" s="19">
        <v>2</v>
      </c>
      <c r="D8612" s="19">
        <v>6.7008000000000001</v>
      </c>
    </row>
    <row r="8613" spans="1:4" x14ac:dyDescent="0.2">
      <c r="A8613" s="19" t="s">
        <v>150</v>
      </c>
      <c r="B8613" s="19">
        <v>82.95</v>
      </c>
      <c r="C8613" s="19">
        <v>5</v>
      </c>
      <c r="D8613" s="19">
        <v>29.032499999999999</v>
      </c>
    </row>
    <row r="8614" spans="1:4" x14ac:dyDescent="0.2">
      <c r="A8614" s="19" t="s">
        <v>150</v>
      </c>
      <c r="B8614" s="19">
        <v>39.68</v>
      </c>
      <c r="C8614" s="19">
        <v>2</v>
      </c>
      <c r="D8614" s="19">
        <v>10.316800000000001</v>
      </c>
    </row>
    <row r="8615" spans="1:4" x14ac:dyDescent="0.2">
      <c r="A8615" s="19" t="s">
        <v>150</v>
      </c>
      <c r="B8615" s="19">
        <v>479.97</v>
      </c>
      <c r="C8615" s="19">
        <v>3</v>
      </c>
      <c r="D8615" s="19">
        <v>177.58890000000002</v>
      </c>
    </row>
    <row r="8616" spans="1:4" x14ac:dyDescent="0.2">
      <c r="A8616" s="19" t="s">
        <v>153</v>
      </c>
      <c r="B8616" s="19">
        <v>7.38</v>
      </c>
      <c r="C8616" s="19">
        <v>2</v>
      </c>
      <c r="D8616" s="19">
        <v>3.4685999999999999</v>
      </c>
    </row>
    <row r="8617" spans="1:4" x14ac:dyDescent="0.2">
      <c r="A8617" s="19" t="s">
        <v>153</v>
      </c>
      <c r="B8617" s="19">
        <v>14.256000000000002</v>
      </c>
      <c r="C8617" s="19">
        <v>3</v>
      </c>
      <c r="D8617" s="19">
        <v>4.4550000000000001</v>
      </c>
    </row>
    <row r="8618" spans="1:4" x14ac:dyDescent="0.2">
      <c r="A8618" s="19" t="s">
        <v>153</v>
      </c>
      <c r="B8618" s="19">
        <v>81.98</v>
      </c>
      <c r="C8618" s="19">
        <v>2</v>
      </c>
      <c r="D8618" s="19">
        <v>40.170200000000001</v>
      </c>
    </row>
    <row r="8619" spans="1:4" x14ac:dyDescent="0.2">
      <c r="A8619" s="19" t="s">
        <v>153</v>
      </c>
      <c r="B8619" s="19">
        <v>39.624000000000009</v>
      </c>
      <c r="C8619" s="19">
        <v>3</v>
      </c>
      <c r="D8619" s="19">
        <v>13.868400000000001</v>
      </c>
    </row>
    <row r="8620" spans="1:4" x14ac:dyDescent="0.2">
      <c r="A8620" s="19" t="s">
        <v>150</v>
      </c>
      <c r="B8620" s="19">
        <v>399.67200000000003</v>
      </c>
      <c r="C8620" s="19">
        <v>7</v>
      </c>
      <c r="D8620" s="19">
        <v>-14.987700000000061</v>
      </c>
    </row>
    <row r="8621" spans="1:4" x14ac:dyDescent="0.2">
      <c r="A8621" s="19" t="s">
        <v>164</v>
      </c>
      <c r="B8621" s="19">
        <v>65.12</v>
      </c>
      <c r="C8621" s="19">
        <v>4</v>
      </c>
      <c r="D8621" s="19">
        <v>16.931200000000004</v>
      </c>
    </row>
    <row r="8622" spans="1:4" x14ac:dyDescent="0.2">
      <c r="A8622" s="19" t="s">
        <v>154</v>
      </c>
      <c r="B8622" s="19">
        <v>30.560000000000002</v>
      </c>
      <c r="C8622" s="19">
        <v>5</v>
      </c>
      <c r="D8622" s="19">
        <v>-19.863999999999997</v>
      </c>
    </row>
    <row r="8623" spans="1:4" x14ac:dyDescent="0.2">
      <c r="A8623" s="19" t="s">
        <v>167</v>
      </c>
      <c r="B8623" s="19">
        <v>20.768000000000001</v>
      </c>
      <c r="C8623" s="19">
        <v>2</v>
      </c>
      <c r="D8623" s="19">
        <v>2.3363999999999976</v>
      </c>
    </row>
    <row r="8624" spans="1:4" x14ac:dyDescent="0.2">
      <c r="A8624" s="19" t="s">
        <v>165</v>
      </c>
      <c r="B8624" s="19">
        <v>39.808</v>
      </c>
      <c r="C8624" s="19">
        <v>4</v>
      </c>
      <c r="D8624" s="19">
        <v>3.9808000000000003</v>
      </c>
    </row>
    <row r="8625" spans="1:4" x14ac:dyDescent="0.2">
      <c r="A8625" s="19" t="s">
        <v>151</v>
      </c>
      <c r="B8625" s="19">
        <v>121.10400000000003</v>
      </c>
      <c r="C8625" s="19">
        <v>6</v>
      </c>
      <c r="D8625" s="19">
        <v>-100.91999999999999</v>
      </c>
    </row>
    <row r="8626" spans="1:4" x14ac:dyDescent="0.2">
      <c r="A8626" s="19" t="s">
        <v>151</v>
      </c>
      <c r="B8626" s="19">
        <v>111.96</v>
      </c>
      <c r="C8626" s="19">
        <v>5</v>
      </c>
      <c r="D8626" s="19">
        <v>-1.3995000000000104</v>
      </c>
    </row>
    <row r="8627" spans="1:4" x14ac:dyDescent="0.2">
      <c r="A8627" s="19" t="s">
        <v>171</v>
      </c>
      <c r="B8627" s="19">
        <v>15.696000000000002</v>
      </c>
      <c r="C8627" s="19">
        <v>3</v>
      </c>
      <c r="D8627" s="19">
        <v>5.1011999999999995</v>
      </c>
    </row>
    <row r="8628" spans="1:4" x14ac:dyDescent="0.2">
      <c r="A8628" s="19" t="s">
        <v>164</v>
      </c>
      <c r="B8628" s="19">
        <v>70.260000000000005</v>
      </c>
      <c r="C8628" s="19">
        <v>3</v>
      </c>
      <c r="D8628" s="19">
        <v>18.970199999999998</v>
      </c>
    </row>
    <row r="8629" spans="1:4" x14ac:dyDescent="0.2">
      <c r="A8629" s="19" t="s">
        <v>164</v>
      </c>
      <c r="B8629" s="19">
        <v>90</v>
      </c>
      <c r="C8629" s="19">
        <v>5</v>
      </c>
      <c r="D8629" s="19">
        <v>16.199999999999992</v>
      </c>
    </row>
    <row r="8630" spans="1:4" x14ac:dyDescent="0.2">
      <c r="A8630" s="19" t="s">
        <v>164</v>
      </c>
      <c r="B8630" s="19">
        <v>6.0960000000000001</v>
      </c>
      <c r="C8630" s="19">
        <v>2</v>
      </c>
      <c r="D8630" s="19">
        <v>2.0573999999999995</v>
      </c>
    </row>
    <row r="8631" spans="1:4" x14ac:dyDescent="0.2">
      <c r="A8631" s="19" t="s">
        <v>164</v>
      </c>
      <c r="B8631" s="19">
        <v>481.17599999999999</v>
      </c>
      <c r="C8631" s="19">
        <v>2</v>
      </c>
      <c r="D8631" s="19">
        <v>-120.29400000000004</v>
      </c>
    </row>
    <row r="8632" spans="1:4" x14ac:dyDescent="0.2">
      <c r="A8632" s="19" t="s">
        <v>164</v>
      </c>
      <c r="B8632" s="19">
        <v>7.24</v>
      </c>
      <c r="C8632" s="19">
        <v>4</v>
      </c>
      <c r="D8632" s="19">
        <v>2.3891999999999998</v>
      </c>
    </row>
    <row r="8633" spans="1:4" x14ac:dyDescent="0.2">
      <c r="A8633" s="19" t="s">
        <v>158</v>
      </c>
      <c r="B8633" s="19">
        <v>177.45000000000002</v>
      </c>
      <c r="C8633" s="19">
        <v>5</v>
      </c>
      <c r="D8633" s="19">
        <v>-78.078000000000003</v>
      </c>
    </row>
    <row r="8634" spans="1:4" x14ac:dyDescent="0.2">
      <c r="A8634" s="19" t="s">
        <v>158</v>
      </c>
      <c r="B8634" s="19">
        <v>1369.7640000000001</v>
      </c>
      <c r="C8634" s="19">
        <v>6</v>
      </c>
      <c r="D8634" s="19">
        <v>-913.17599999999993</v>
      </c>
    </row>
    <row r="8635" spans="1:4" x14ac:dyDescent="0.2">
      <c r="A8635" s="19" t="s">
        <v>158</v>
      </c>
      <c r="B8635" s="19">
        <v>9.48</v>
      </c>
      <c r="C8635" s="19">
        <v>3</v>
      </c>
      <c r="D8635" s="19">
        <v>0.7110000000000003</v>
      </c>
    </row>
    <row r="8636" spans="1:4" x14ac:dyDescent="0.2">
      <c r="A8636" s="19" t="s">
        <v>158</v>
      </c>
      <c r="B8636" s="19">
        <v>130.97999999999999</v>
      </c>
      <c r="C8636" s="19">
        <v>2</v>
      </c>
      <c r="D8636" s="19">
        <v>-89.066399999999987</v>
      </c>
    </row>
    <row r="8637" spans="1:4" x14ac:dyDescent="0.2">
      <c r="A8637" s="19" t="s">
        <v>149</v>
      </c>
      <c r="B8637" s="19">
        <v>174.95000000000002</v>
      </c>
      <c r="C8637" s="19">
        <v>5</v>
      </c>
      <c r="D8637" s="19">
        <v>45.487000000000002</v>
      </c>
    </row>
    <row r="8638" spans="1:4" x14ac:dyDescent="0.2">
      <c r="A8638" s="19" t="s">
        <v>149</v>
      </c>
      <c r="B8638" s="19">
        <v>826</v>
      </c>
      <c r="C8638" s="19">
        <v>5</v>
      </c>
      <c r="D8638" s="19">
        <v>214.76</v>
      </c>
    </row>
    <row r="8639" spans="1:4" x14ac:dyDescent="0.2">
      <c r="A8639" s="19" t="s">
        <v>153</v>
      </c>
      <c r="B8639" s="19">
        <v>139.58000000000001</v>
      </c>
      <c r="C8639" s="19">
        <v>7</v>
      </c>
      <c r="D8639" s="19">
        <v>39.082400000000007</v>
      </c>
    </row>
    <row r="8640" spans="1:4" x14ac:dyDescent="0.2">
      <c r="A8640" s="19" t="s">
        <v>155</v>
      </c>
      <c r="B8640" s="19">
        <v>399.95</v>
      </c>
      <c r="C8640" s="19">
        <v>5</v>
      </c>
      <c r="D8640" s="19">
        <v>143.982</v>
      </c>
    </row>
    <row r="8641" spans="1:4" x14ac:dyDescent="0.2">
      <c r="A8641" s="19" t="s">
        <v>149</v>
      </c>
      <c r="B8641" s="19">
        <v>12.39</v>
      </c>
      <c r="C8641" s="19">
        <v>3</v>
      </c>
      <c r="D8641" s="19">
        <v>5.8232999999999997</v>
      </c>
    </row>
    <row r="8642" spans="1:4" x14ac:dyDescent="0.2">
      <c r="A8642" s="19" t="s">
        <v>154</v>
      </c>
      <c r="B8642" s="19">
        <v>760.97999999999979</v>
      </c>
      <c r="C8642" s="19">
        <v>5</v>
      </c>
      <c r="D8642" s="19">
        <v>-1141.47</v>
      </c>
    </row>
    <row r="8643" spans="1:4" x14ac:dyDescent="0.2">
      <c r="A8643" s="19" t="s">
        <v>165</v>
      </c>
      <c r="B8643" s="19">
        <v>67.860000000000014</v>
      </c>
      <c r="C8643" s="19">
        <v>6</v>
      </c>
      <c r="D8643" s="19">
        <v>-45.239999999999995</v>
      </c>
    </row>
    <row r="8644" spans="1:4" x14ac:dyDescent="0.2">
      <c r="A8644" s="19" t="s">
        <v>152</v>
      </c>
      <c r="B8644" s="19">
        <v>31.504000000000005</v>
      </c>
      <c r="C8644" s="19">
        <v>11</v>
      </c>
      <c r="D8644" s="19">
        <v>11.814</v>
      </c>
    </row>
    <row r="8645" spans="1:4" x14ac:dyDescent="0.2">
      <c r="A8645" s="19" t="s">
        <v>152</v>
      </c>
      <c r="B8645" s="19">
        <v>5.04</v>
      </c>
      <c r="C8645" s="19">
        <v>1</v>
      </c>
      <c r="D8645" s="19">
        <v>1.6379999999999997</v>
      </c>
    </row>
    <row r="8646" spans="1:4" x14ac:dyDescent="0.2">
      <c r="A8646" s="19" t="s">
        <v>152</v>
      </c>
      <c r="B8646" s="19">
        <v>39.878999999999998</v>
      </c>
      <c r="C8646" s="19">
        <v>7</v>
      </c>
      <c r="D8646" s="19">
        <v>-29.244599999999991</v>
      </c>
    </row>
    <row r="8647" spans="1:4" x14ac:dyDescent="0.2">
      <c r="A8647" s="19" t="s">
        <v>152</v>
      </c>
      <c r="B8647" s="19">
        <v>4.7119999999999997</v>
      </c>
      <c r="C8647" s="19">
        <v>1</v>
      </c>
      <c r="D8647" s="19">
        <v>1.4136000000000002</v>
      </c>
    </row>
    <row r="8648" spans="1:4" x14ac:dyDescent="0.2">
      <c r="A8648" s="19" t="s">
        <v>150</v>
      </c>
      <c r="B8648" s="19">
        <v>194.35200000000003</v>
      </c>
      <c r="C8648" s="19">
        <v>3</v>
      </c>
      <c r="D8648" s="19">
        <v>19.435200000000009</v>
      </c>
    </row>
    <row r="8649" spans="1:4" x14ac:dyDescent="0.2">
      <c r="A8649" s="19" t="s">
        <v>167</v>
      </c>
      <c r="B8649" s="19">
        <v>97.424000000000007</v>
      </c>
      <c r="C8649" s="19">
        <v>2</v>
      </c>
      <c r="D8649" s="19">
        <v>10.960199999999993</v>
      </c>
    </row>
    <row r="8650" spans="1:4" x14ac:dyDescent="0.2">
      <c r="A8650" s="19" t="s">
        <v>152</v>
      </c>
      <c r="B8650" s="19">
        <v>704.76</v>
      </c>
      <c r="C8650" s="19">
        <v>5</v>
      </c>
      <c r="D8650" s="19">
        <v>26.428499999999957</v>
      </c>
    </row>
    <row r="8651" spans="1:4" x14ac:dyDescent="0.2">
      <c r="A8651" s="19" t="s">
        <v>152</v>
      </c>
      <c r="B8651" s="19">
        <v>27.396000000000004</v>
      </c>
      <c r="C8651" s="19">
        <v>3</v>
      </c>
      <c r="D8651" s="19">
        <v>-20.090399999999995</v>
      </c>
    </row>
    <row r="8652" spans="1:4" x14ac:dyDescent="0.2">
      <c r="A8652" s="19" t="s">
        <v>153</v>
      </c>
      <c r="B8652" s="19">
        <v>5.6999999999999993</v>
      </c>
      <c r="C8652" s="19">
        <v>5</v>
      </c>
      <c r="D8652" s="19">
        <v>2.6789999999999998</v>
      </c>
    </row>
    <row r="8653" spans="1:4" x14ac:dyDescent="0.2">
      <c r="A8653" s="19" t="s">
        <v>153</v>
      </c>
      <c r="B8653" s="19">
        <v>14.190000000000001</v>
      </c>
      <c r="C8653" s="19">
        <v>3</v>
      </c>
      <c r="D8653" s="19">
        <v>5.5341000000000014</v>
      </c>
    </row>
    <row r="8654" spans="1:4" x14ac:dyDescent="0.2">
      <c r="A8654" s="19" t="s">
        <v>153</v>
      </c>
      <c r="B8654" s="19">
        <v>7.3</v>
      </c>
      <c r="C8654" s="19">
        <v>2</v>
      </c>
      <c r="D8654" s="19">
        <v>2.1899999999999995</v>
      </c>
    </row>
    <row r="8655" spans="1:4" x14ac:dyDescent="0.2">
      <c r="A8655" s="19" t="s">
        <v>153</v>
      </c>
      <c r="B8655" s="19">
        <v>199.98</v>
      </c>
      <c r="C8655" s="19">
        <v>2</v>
      </c>
      <c r="D8655" s="19">
        <v>75.992400000000004</v>
      </c>
    </row>
    <row r="8656" spans="1:4" x14ac:dyDescent="0.2">
      <c r="A8656" s="19" t="s">
        <v>153</v>
      </c>
      <c r="B8656" s="19">
        <v>144.96</v>
      </c>
      <c r="C8656" s="19">
        <v>4</v>
      </c>
      <c r="D8656" s="19">
        <v>60.883200000000002</v>
      </c>
    </row>
    <row r="8657" spans="1:4" x14ac:dyDescent="0.2">
      <c r="A8657" s="19" t="s">
        <v>153</v>
      </c>
      <c r="B8657" s="19">
        <v>118</v>
      </c>
      <c r="C8657" s="19">
        <v>2</v>
      </c>
      <c r="D8657" s="19">
        <v>20.059999999999988</v>
      </c>
    </row>
    <row r="8658" spans="1:4" x14ac:dyDescent="0.2">
      <c r="A8658" s="19" t="s">
        <v>153</v>
      </c>
      <c r="B8658" s="19">
        <v>48.94</v>
      </c>
      <c r="C8658" s="19">
        <v>1</v>
      </c>
      <c r="D8658" s="19">
        <v>24.47</v>
      </c>
    </row>
    <row r="8659" spans="1:4" x14ac:dyDescent="0.2">
      <c r="A8659" s="19" t="s">
        <v>153</v>
      </c>
      <c r="B8659" s="19">
        <v>22.66</v>
      </c>
      <c r="C8659" s="19">
        <v>2</v>
      </c>
      <c r="D8659" s="19">
        <v>9.743800000000002</v>
      </c>
    </row>
    <row r="8660" spans="1:4" x14ac:dyDescent="0.2">
      <c r="A8660" s="19" t="s">
        <v>159</v>
      </c>
      <c r="B8660" s="19">
        <v>0.83599999999999974</v>
      </c>
      <c r="C8660" s="19">
        <v>1</v>
      </c>
      <c r="D8660" s="19">
        <v>-1.3376000000000001</v>
      </c>
    </row>
    <row r="8661" spans="1:4" x14ac:dyDescent="0.2">
      <c r="A8661" s="19" t="s">
        <v>173</v>
      </c>
      <c r="B8661" s="19">
        <v>30.96</v>
      </c>
      <c r="C8661" s="19">
        <v>6</v>
      </c>
      <c r="D8661" s="19">
        <v>11.223000000000001</v>
      </c>
    </row>
    <row r="8662" spans="1:4" x14ac:dyDescent="0.2">
      <c r="A8662" s="19" t="s">
        <v>151</v>
      </c>
      <c r="B8662" s="19">
        <v>723.92</v>
      </c>
      <c r="C8662" s="19">
        <v>5</v>
      </c>
      <c r="D8662" s="19">
        <v>-81.440999999999946</v>
      </c>
    </row>
    <row r="8663" spans="1:4" x14ac:dyDescent="0.2">
      <c r="A8663" s="19" t="s">
        <v>154</v>
      </c>
      <c r="B8663" s="19">
        <v>21.968000000000004</v>
      </c>
      <c r="C8663" s="19">
        <v>4</v>
      </c>
      <c r="D8663" s="19">
        <v>-15.9268</v>
      </c>
    </row>
    <row r="8664" spans="1:4" x14ac:dyDescent="0.2">
      <c r="A8664" s="19" t="s">
        <v>154</v>
      </c>
      <c r="B8664" s="19">
        <v>619.15200000000004</v>
      </c>
      <c r="C8664" s="19">
        <v>6</v>
      </c>
      <c r="D8664" s="19">
        <v>69.654599999999988</v>
      </c>
    </row>
    <row r="8665" spans="1:4" x14ac:dyDescent="0.2">
      <c r="A8665" s="19" t="s">
        <v>154</v>
      </c>
      <c r="B8665" s="19">
        <v>127.90400000000001</v>
      </c>
      <c r="C8665" s="19">
        <v>7</v>
      </c>
      <c r="D8665" s="19">
        <v>41.568799999999996</v>
      </c>
    </row>
    <row r="8666" spans="1:4" x14ac:dyDescent="0.2">
      <c r="A8666" s="19" t="s">
        <v>150</v>
      </c>
      <c r="B8666" s="19">
        <v>94.2</v>
      </c>
      <c r="C8666" s="19">
        <v>5</v>
      </c>
      <c r="D8666" s="19">
        <v>39.564000000000007</v>
      </c>
    </row>
    <row r="8667" spans="1:4" x14ac:dyDescent="0.2">
      <c r="A8667" s="19" t="s">
        <v>150</v>
      </c>
      <c r="B8667" s="19">
        <v>49.5</v>
      </c>
      <c r="C8667" s="19">
        <v>5</v>
      </c>
      <c r="D8667" s="19">
        <v>13.365</v>
      </c>
    </row>
    <row r="8668" spans="1:4" x14ac:dyDescent="0.2">
      <c r="A8668" s="19" t="s">
        <v>158</v>
      </c>
      <c r="B8668" s="19">
        <v>16.520000000000003</v>
      </c>
      <c r="C8668" s="19">
        <v>5</v>
      </c>
      <c r="D8668" s="19">
        <v>1.6519999999999992</v>
      </c>
    </row>
    <row r="8669" spans="1:4" x14ac:dyDescent="0.2">
      <c r="A8669" s="19" t="s">
        <v>153</v>
      </c>
      <c r="B8669" s="19">
        <v>55.360000000000007</v>
      </c>
      <c r="C8669" s="19">
        <v>4</v>
      </c>
      <c r="D8669" s="19">
        <v>19.375999999999998</v>
      </c>
    </row>
    <row r="8670" spans="1:4" x14ac:dyDescent="0.2">
      <c r="A8670" s="19" t="s">
        <v>153</v>
      </c>
      <c r="B8670" s="19">
        <v>11.56</v>
      </c>
      <c r="C8670" s="19">
        <v>1</v>
      </c>
      <c r="D8670" s="19">
        <v>3.7569999999999992</v>
      </c>
    </row>
    <row r="8671" spans="1:4" x14ac:dyDescent="0.2">
      <c r="A8671" s="19" t="s">
        <v>150</v>
      </c>
      <c r="B8671" s="19">
        <v>17.12</v>
      </c>
      <c r="C8671" s="19">
        <v>4</v>
      </c>
      <c r="D8671" s="19">
        <v>7.7039999999999988</v>
      </c>
    </row>
    <row r="8672" spans="1:4" x14ac:dyDescent="0.2">
      <c r="A8672" s="19" t="s">
        <v>173</v>
      </c>
      <c r="B8672" s="19">
        <v>182.35200000000003</v>
      </c>
      <c r="C8672" s="19">
        <v>3</v>
      </c>
      <c r="D8672" s="19">
        <v>-18.23520000000002</v>
      </c>
    </row>
    <row r="8673" spans="1:4" x14ac:dyDescent="0.2">
      <c r="A8673" s="19" t="s">
        <v>173</v>
      </c>
      <c r="B8673" s="19">
        <v>118.16</v>
      </c>
      <c r="C8673" s="19">
        <v>2</v>
      </c>
      <c r="D8673" s="19">
        <v>-25.108999999999988</v>
      </c>
    </row>
    <row r="8674" spans="1:4" x14ac:dyDescent="0.2">
      <c r="A8674" s="19" t="s">
        <v>159</v>
      </c>
      <c r="B8674" s="19">
        <v>18.368000000000002</v>
      </c>
      <c r="C8674" s="19">
        <v>2</v>
      </c>
      <c r="D8674" s="19">
        <v>6.1991999999999994</v>
      </c>
    </row>
    <row r="8675" spans="1:4" x14ac:dyDescent="0.2">
      <c r="A8675" s="19" t="s">
        <v>159</v>
      </c>
      <c r="B8675" s="19">
        <v>600.55799999999999</v>
      </c>
      <c r="C8675" s="19">
        <v>3</v>
      </c>
      <c r="D8675" s="19">
        <v>-8.5794000000000779</v>
      </c>
    </row>
    <row r="8676" spans="1:4" x14ac:dyDescent="0.2">
      <c r="A8676" s="19" t="s">
        <v>159</v>
      </c>
      <c r="B8676" s="19">
        <v>50.352000000000004</v>
      </c>
      <c r="C8676" s="19">
        <v>3</v>
      </c>
      <c r="D8676" s="19">
        <v>-8.1822000000000052</v>
      </c>
    </row>
    <row r="8677" spans="1:4" x14ac:dyDescent="0.2">
      <c r="A8677" s="19" t="s">
        <v>159</v>
      </c>
      <c r="B8677" s="19">
        <v>28.031999999999996</v>
      </c>
      <c r="C8677" s="19">
        <v>6</v>
      </c>
      <c r="D8677" s="19">
        <v>3.5039999999999996</v>
      </c>
    </row>
    <row r="8678" spans="1:4" x14ac:dyDescent="0.2">
      <c r="A8678" s="19" t="s">
        <v>159</v>
      </c>
      <c r="B8678" s="19">
        <v>7.6920000000000002</v>
      </c>
      <c r="C8678" s="19">
        <v>1</v>
      </c>
      <c r="D8678" s="19">
        <v>-3.6536999999999988</v>
      </c>
    </row>
    <row r="8679" spans="1:4" x14ac:dyDescent="0.2">
      <c r="A8679" s="19" t="s">
        <v>154</v>
      </c>
      <c r="B8679" s="19">
        <v>517.40500000000009</v>
      </c>
      <c r="C8679" s="19">
        <v>5</v>
      </c>
      <c r="D8679" s="19">
        <v>-81.306500000000028</v>
      </c>
    </row>
    <row r="8680" spans="1:4" x14ac:dyDescent="0.2">
      <c r="A8680" s="19" t="s">
        <v>154</v>
      </c>
      <c r="B8680" s="19">
        <v>8.6079999999999988</v>
      </c>
      <c r="C8680" s="19">
        <v>8</v>
      </c>
      <c r="D8680" s="19">
        <v>-13.342400000000001</v>
      </c>
    </row>
    <row r="8681" spans="1:4" x14ac:dyDescent="0.2">
      <c r="A8681" s="19" t="s">
        <v>154</v>
      </c>
      <c r="B8681" s="19">
        <v>159.56</v>
      </c>
      <c r="C8681" s="19">
        <v>5</v>
      </c>
      <c r="D8681" s="19">
        <v>33.906499999999994</v>
      </c>
    </row>
    <row r="8682" spans="1:4" x14ac:dyDescent="0.2">
      <c r="A8682" s="19" t="s">
        <v>166</v>
      </c>
      <c r="B8682" s="19">
        <v>2104.5499999999997</v>
      </c>
      <c r="C8682" s="19">
        <v>7</v>
      </c>
      <c r="D8682" s="19">
        <v>694.50149999999985</v>
      </c>
    </row>
    <row r="8683" spans="1:4" x14ac:dyDescent="0.2">
      <c r="A8683" s="19" t="s">
        <v>166</v>
      </c>
      <c r="B8683" s="19">
        <v>40.700000000000003</v>
      </c>
      <c r="C8683" s="19">
        <v>5</v>
      </c>
      <c r="D8683" s="19">
        <v>11.802999999999999</v>
      </c>
    </row>
    <row r="8684" spans="1:4" x14ac:dyDescent="0.2">
      <c r="A8684" s="19" t="s">
        <v>166</v>
      </c>
      <c r="B8684" s="19">
        <v>47.79</v>
      </c>
      <c r="C8684" s="19">
        <v>3</v>
      </c>
      <c r="D8684" s="19">
        <v>16.2486</v>
      </c>
    </row>
    <row r="8685" spans="1:4" x14ac:dyDescent="0.2">
      <c r="A8685" s="19" t="s">
        <v>150</v>
      </c>
      <c r="B8685" s="19">
        <v>5.16</v>
      </c>
      <c r="C8685" s="19">
        <v>2</v>
      </c>
      <c r="D8685" s="19">
        <v>1.3416000000000001</v>
      </c>
    </row>
    <row r="8686" spans="1:4" x14ac:dyDescent="0.2">
      <c r="A8686" s="19" t="s">
        <v>150</v>
      </c>
      <c r="B8686" s="19">
        <v>21.209999999999997</v>
      </c>
      <c r="C8686" s="19">
        <v>7</v>
      </c>
      <c r="D8686" s="19">
        <v>4.4540999999999986</v>
      </c>
    </row>
    <row r="8687" spans="1:4" x14ac:dyDescent="0.2">
      <c r="A8687" s="19" t="s">
        <v>164</v>
      </c>
      <c r="B8687" s="19">
        <v>96.359999999999985</v>
      </c>
      <c r="C8687" s="19">
        <v>6</v>
      </c>
      <c r="D8687" s="19">
        <v>25.053599999999996</v>
      </c>
    </row>
    <row r="8688" spans="1:4" x14ac:dyDescent="0.2">
      <c r="A8688" s="19" t="s">
        <v>150</v>
      </c>
      <c r="B8688" s="19">
        <v>231.72</v>
      </c>
      <c r="C8688" s="19">
        <v>2</v>
      </c>
      <c r="D8688" s="19">
        <v>11.585999999999984</v>
      </c>
    </row>
    <row r="8689" spans="1:4" x14ac:dyDescent="0.2">
      <c r="A8689" s="19" t="s">
        <v>150</v>
      </c>
      <c r="B8689" s="19">
        <v>17.899999999999999</v>
      </c>
      <c r="C8689" s="19">
        <v>5</v>
      </c>
      <c r="D8689" s="19">
        <v>8.9499999999999993</v>
      </c>
    </row>
    <row r="8690" spans="1:4" x14ac:dyDescent="0.2">
      <c r="A8690" s="19" t="s">
        <v>150</v>
      </c>
      <c r="B8690" s="19">
        <v>12.48</v>
      </c>
      <c r="C8690" s="19">
        <v>2</v>
      </c>
      <c r="D8690" s="19">
        <v>5.6159999999999997</v>
      </c>
    </row>
    <row r="8691" spans="1:4" x14ac:dyDescent="0.2">
      <c r="A8691" s="19" t="s">
        <v>158</v>
      </c>
      <c r="B8691" s="19">
        <v>8.016</v>
      </c>
      <c r="C8691" s="19">
        <v>3</v>
      </c>
      <c r="D8691" s="19">
        <v>1.102199999999999</v>
      </c>
    </row>
    <row r="8692" spans="1:4" x14ac:dyDescent="0.2">
      <c r="A8692" s="19" t="s">
        <v>173</v>
      </c>
      <c r="B8692" s="19">
        <v>259.89600000000002</v>
      </c>
      <c r="C8692" s="19">
        <v>2</v>
      </c>
      <c r="D8692" s="19">
        <v>-56.310799999999972</v>
      </c>
    </row>
    <row r="8693" spans="1:4" x14ac:dyDescent="0.2">
      <c r="A8693" s="19" t="s">
        <v>173</v>
      </c>
      <c r="B8693" s="19">
        <v>247.18799999999999</v>
      </c>
      <c r="C8693" s="19">
        <v>2</v>
      </c>
      <c r="D8693" s="19">
        <v>-49.437600000000032</v>
      </c>
    </row>
    <row r="8694" spans="1:4" x14ac:dyDescent="0.2">
      <c r="A8694" s="19" t="s">
        <v>173</v>
      </c>
      <c r="B8694" s="19">
        <v>279.95999999999998</v>
      </c>
      <c r="C8694" s="19">
        <v>5</v>
      </c>
      <c r="D8694" s="19">
        <v>48.992999999999995</v>
      </c>
    </row>
    <row r="8695" spans="1:4" x14ac:dyDescent="0.2">
      <c r="A8695" s="19" t="s">
        <v>150</v>
      </c>
      <c r="B8695" s="19">
        <v>450</v>
      </c>
      <c r="C8695" s="19">
        <v>5</v>
      </c>
      <c r="D8695" s="19">
        <v>162</v>
      </c>
    </row>
    <row r="8696" spans="1:4" x14ac:dyDescent="0.2">
      <c r="A8696" s="19" t="s">
        <v>161</v>
      </c>
      <c r="B8696" s="19">
        <v>19.440000000000001</v>
      </c>
      <c r="C8696" s="19">
        <v>3</v>
      </c>
      <c r="D8696" s="19">
        <v>9.5256000000000007</v>
      </c>
    </row>
    <row r="8697" spans="1:4" x14ac:dyDescent="0.2">
      <c r="A8697" s="19" t="s">
        <v>150</v>
      </c>
      <c r="B8697" s="19">
        <v>300.904</v>
      </c>
      <c r="C8697" s="19">
        <v>1</v>
      </c>
      <c r="D8697" s="19">
        <v>11.283900000000017</v>
      </c>
    </row>
    <row r="8698" spans="1:4" x14ac:dyDescent="0.2">
      <c r="A8698" s="19" t="s">
        <v>167</v>
      </c>
      <c r="B8698" s="19">
        <v>239.976</v>
      </c>
      <c r="C8698" s="19">
        <v>3</v>
      </c>
      <c r="D8698" s="19">
        <v>26.997299999999967</v>
      </c>
    </row>
    <row r="8699" spans="1:4" x14ac:dyDescent="0.2">
      <c r="A8699" s="19" t="s">
        <v>167</v>
      </c>
      <c r="B8699" s="19">
        <v>31.168000000000003</v>
      </c>
      <c r="C8699" s="19">
        <v>4</v>
      </c>
      <c r="D8699" s="19">
        <v>9.3504000000000005</v>
      </c>
    </row>
    <row r="8700" spans="1:4" x14ac:dyDescent="0.2">
      <c r="A8700" s="19" t="s">
        <v>167</v>
      </c>
      <c r="B8700" s="19">
        <v>120.96</v>
      </c>
      <c r="C8700" s="19">
        <v>2</v>
      </c>
      <c r="D8700" s="19">
        <v>-28.224000000000004</v>
      </c>
    </row>
    <row r="8701" spans="1:4" x14ac:dyDescent="0.2">
      <c r="A8701" s="19" t="s">
        <v>167</v>
      </c>
      <c r="B8701" s="19">
        <v>2239.9360000000001</v>
      </c>
      <c r="C8701" s="19">
        <v>8</v>
      </c>
      <c r="D8701" s="19">
        <v>223.99360000000013</v>
      </c>
    </row>
    <row r="8702" spans="1:4" x14ac:dyDescent="0.2">
      <c r="A8702" s="19" t="s">
        <v>167</v>
      </c>
      <c r="B8702" s="19">
        <v>76.608000000000004</v>
      </c>
      <c r="C8702" s="19">
        <v>8</v>
      </c>
      <c r="D8702" s="19">
        <v>6.7031999999999954</v>
      </c>
    </row>
    <row r="8703" spans="1:4" x14ac:dyDescent="0.2">
      <c r="A8703" s="19" t="s">
        <v>167</v>
      </c>
      <c r="B8703" s="19">
        <v>142.77600000000001</v>
      </c>
      <c r="C8703" s="19">
        <v>1</v>
      </c>
      <c r="D8703" s="19">
        <v>17.84699999999998</v>
      </c>
    </row>
    <row r="8704" spans="1:4" x14ac:dyDescent="0.2">
      <c r="A8704" s="19" t="s">
        <v>167</v>
      </c>
      <c r="B8704" s="19">
        <v>91.360000000000014</v>
      </c>
      <c r="C8704" s="19">
        <v>5</v>
      </c>
      <c r="D8704" s="19">
        <v>29.691999999999993</v>
      </c>
    </row>
    <row r="8705" spans="1:4" x14ac:dyDescent="0.2">
      <c r="A8705" s="19" t="s">
        <v>158</v>
      </c>
      <c r="B8705" s="19">
        <v>3.5520000000000005</v>
      </c>
      <c r="C8705" s="19">
        <v>2</v>
      </c>
      <c r="D8705" s="19">
        <v>0.44399999999999973</v>
      </c>
    </row>
    <row r="8706" spans="1:4" x14ac:dyDescent="0.2">
      <c r="A8706" s="19" t="s">
        <v>154</v>
      </c>
      <c r="B8706" s="19">
        <v>115.136</v>
      </c>
      <c r="C8706" s="19">
        <v>8</v>
      </c>
      <c r="D8706" s="19">
        <v>11.513600000000004</v>
      </c>
    </row>
    <row r="8707" spans="1:4" x14ac:dyDescent="0.2">
      <c r="A8707" s="19" t="s">
        <v>181</v>
      </c>
      <c r="B8707" s="19">
        <v>4.71</v>
      </c>
      <c r="C8707" s="19">
        <v>1</v>
      </c>
      <c r="D8707" s="19">
        <v>0</v>
      </c>
    </row>
    <row r="8708" spans="1:4" x14ac:dyDescent="0.2">
      <c r="A8708" s="19" t="s">
        <v>164</v>
      </c>
      <c r="B8708" s="19">
        <v>172.76400000000001</v>
      </c>
      <c r="C8708" s="19">
        <v>2</v>
      </c>
      <c r="D8708" s="19">
        <v>13.437199999999986</v>
      </c>
    </row>
    <row r="8709" spans="1:4" x14ac:dyDescent="0.2">
      <c r="A8709" s="19" t="s">
        <v>164</v>
      </c>
      <c r="B8709" s="19">
        <v>3.52</v>
      </c>
      <c r="C8709" s="19">
        <v>2</v>
      </c>
      <c r="D8709" s="19">
        <v>1.6896</v>
      </c>
    </row>
    <row r="8710" spans="1:4" x14ac:dyDescent="0.2">
      <c r="A8710" s="19" t="s">
        <v>150</v>
      </c>
      <c r="B8710" s="19">
        <v>79.968000000000004</v>
      </c>
      <c r="C8710" s="19">
        <v>4</v>
      </c>
      <c r="D8710" s="19">
        <v>-17.992799999999999</v>
      </c>
    </row>
    <row r="8711" spans="1:4" x14ac:dyDescent="0.2">
      <c r="A8711" s="19" t="s">
        <v>150</v>
      </c>
      <c r="B8711" s="19">
        <v>305.97449999999998</v>
      </c>
      <c r="C8711" s="19">
        <v>3</v>
      </c>
      <c r="D8711" s="19">
        <v>25.197899999999969</v>
      </c>
    </row>
    <row r="8712" spans="1:4" x14ac:dyDescent="0.2">
      <c r="A8712" s="19" t="s">
        <v>150</v>
      </c>
      <c r="B8712" s="19">
        <v>344.90999999999997</v>
      </c>
      <c r="C8712" s="19">
        <v>3</v>
      </c>
      <c r="D8712" s="19">
        <v>10.347300000000004</v>
      </c>
    </row>
    <row r="8713" spans="1:4" x14ac:dyDescent="0.2">
      <c r="A8713" s="19" t="s">
        <v>150</v>
      </c>
      <c r="B8713" s="19">
        <v>626.35200000000009</v>
      </c>
      <c r="C8713" s="19">
        <v>3</v>
      </c>
      <c r="D8713" s="19">
        <v>-23.488200000000091</v>
      </c>
    </row>
    <row r="8714" spans="1:4" x14ac:dyDescent="0.2">
      <c r="A8714" s="19" t="s">
        <v>150</v>
      </c>
      <c r="B8714" s="19">
        <v>359.49899999999997</v>
      </c>
      <c r="C8714" s="19">
        <v>3</v>
      </c>
      <c r="D8714" s="19">
        <v>-29.605799999999981</v>
      </c>
    </row>
    <row r="8715" spans="1:4" x14ac:dyDescent="0.2">
      <c r="A8715" s="19" t="s">
        <v>150</v>
      </c>
      <c r="B8715" s="19">
        <v>71.951999999999998</v>
      </c>
      <c r="C8715" s="19">
        <v>6</v>
      </c>
      <c r="D8715" s="19">
        <v>5.3963999999999963</v>
      </c>
    </row>
    <row r="8716" spans="1:4" x14ac:dyDescent="0.2">
      <c r="A8716" s="19" t="s">
        <v>150</v>
      </c>
      <c r="B8716" s="19">
        <v>29.800000000000004</v>
      </c>
      <c r="C8716" s="19">
        <v>5</v>
      </c>
      <c r="D8716" s="19">
        <v>9.3124999999999982</v>
      </c>
    </row>
    <row r="8717" spans="1:4" x14ac:dyDescent="0.2">
      <c r="A8717" s="19" t="s">
        <v>173</v>
      </c>
      <c r="B8717" s="19">
        <v>1.8240000000000003</v>
      </c>
      <c r="C8717" s="19">
        <v>1</v>
      </c>
      <c r="D8717" s="19">
        <v>-1.3983999999999996</v>
      </c>
    </row>
    <row r="8718" spans="1:4" x14ac:dyDescent="0.2">
      <c r="A8718" s="19" t="s">
        <v>154</v>
      </c>
      <c r="B8718" s="19">
        <v>64.383999999999986</v>
      </c>
      <c r="C8718" s="19">
        <v>4</v>
      </c>
      <c r="D8718" s="19">
        <v>-160.96</v>
      </c>
    </row>
    <row r="8719" spans="1:4" x14ac:dyDescent="0.2">
      <c r="A8719" s="19" t="s">
        <v>154</v>
      </c>
      <c r="B8719" s="19">
        <v>6.9840000000000009</v>
      </c>
      <c r="C8719" s="19">
        <v>2</v>
      </c>
      <c r="D8719" s="19">
        <v>-4.5396000000000019</v>
      </c>
    </row>
    <row r="8720" spans="1:4" x14ac:dyDescent="0.2">
      <c r="A8720" s="19" t="s">
        <v>154</v>
      </c>
      <c r="B8720" s="19">
        <v>11.264000000000001</v>
      </c>
      <c r="C8720" s="19">
        <v>8</v>
      </c>
      <c r="D8720" s="19">
        <v>3.9423999999999997</v>
      </c>
    </row>
    <row r="8721" spans="1:4" x14ac:dyDescent="0.2">
      <c r="A8721" s="19" t="s">
        <v>154</v>
      </c>
      <c r="B8721" s="19">
        <v>15.552000000000003</v>
      </c>
      <c r="C8721" s="19">
        <v>3</v>
      </c>
      <c r="D8721" s="19">
        <v>5.6375999999999999</v>
      </c>
    </row>
    <row r="8722" spans="1:4" x14ac:dyDescent="0.2">
      <c r="A8722" s="19" t="s">
        <v>154</v>
      </c>
      <c r="B8722" s="19">
        <v>379.37200000000001</v>
      </c>
      <c r="C8722" s="19">
        <v>2</v>
      </c>
      <c r="D8722" s="19">
        <v>-119.23120000000003</v>
      </c>
    </row>
    <row r="8723" spans="1:4" x14ac:dyDescent="0.2">
      <c r="A8723" s="19" t="s">
        <v>154</v>
      </c>
      <c r="B8723" s="19">
        <v>67.536000000000016</v>
      </c>
      <c r="C8723" s="19">
        <v>9</v>
      </c>
      <c r="D8723" s="19">
        <v>6.7535999999999987</v>
      </c>
    </row>
    <row r="8724" spans="1:4" x14ac:dyDescent="0.2">
      <c r="A8724" s="19" t="s">
        <v>154</v>
      </c>
      <c r="B8724" s="19">
        <v>1.5239999999999996</v>
      </c>
      <c r="C8724" s="19">
        <v>2</v>
      </c>
      <c r="D8724" s="19">
        <v>-2.6670000000000007</v>
      </c>
    </row>
    <row r="8725" spans="1:4" x14ac:dyDescent="0.2">
      <c r="A8725" s="19" t="s">
        <v>151</v>
      </c>
      <c r="B8725" s="19">
        <v>37.408000000000001</v>
      </c>
      <c r="C8725" s="19">
        <v>7</v>
      </c>
      <c r="D8725" s="19">
        <v>13.0928</v>
      </c>
    </row>
    <row r="8726" spans="1:4" x14ac:dyDescent="0.2">
      <c r="A8726" s="19" t="s">
        <v>151</v>
      </c>
      <c r="B8726" s="19">
        <v>25.344000000000001</v>
      </c>
      <c r="C8726" s="19">
        <v>6</v>
      </c>
      <c r="D8726" s="19">
        <v>8.8704000000000018</v>
      </c>
    </row>
    <row r="8727" spans="1:4" x14ac:dyDescent="0.2">
      <c r="A8727" s="19" t="s">
        <v>153</v>
      </c>
      <c r="B8727" s="19">
        <v>46.2</v>
      </c>
      <c r="C8727" s="19">
        <v>4</v>
      </c>
      <c r="D8727" s="19">
        <v>21.251999999999999</v>
      </c>
    </row>
    <row r="8728" spans="1:4" x14ac:dyDescent="0.2">
      <c r="A8728" s="19" t="s">
        <v>167</v>
      </c>
      <c r="B8728" s="19">
        <v>4.7279999999999998</v>
      </c>
      <c r="C8728" s="19">
        <v>3</v>
      </c>
      <c r="D8728" s="19">
        <v>0.70919999999999961</v>
      </c>
    </row>
    <row r="8729" spans="1:4" x14ac:dyDescent="0.2">
      <c r="A8729" s="19" t="s">
        <v>167</v>
      </c>
      <c r="B8729" s="19">
        <v>53.352000000000004</v>
      </c>
      <c r="C8729" s="19">
        <v>3</v>
      </c>
      <c r="D8729" s="19">
        <v>16.005600000000005</v>
      </c>
    </row>
    <row r="8730" spans="1:4" x14ac:dyDescent="0.2">
      <c r="A8730" s="19" t="s">
        <v>167</v>
      </c>
      <c r="B8730" s="19">
        <v>131.10400000000001</v>
      </c>
      <c r="C8730" s="19">
        <v>2</v>
      </c>
      <c r="D8730" s="19">
        <v>8.1939999999999955</v>
      </c>
    </row>
    <row r="8731" spans="1:4" x14ac:dyDescent="0.2">
      <c r="A8731" s="19" t="s">
        <v>167</v>
      </c>
      <c r="B8731" s="19">
        <v>22.512000000000004</v>
      </c>
      <c r="C8731" s="19">
        <v>3</v>
      </c>
      <c r="D8731" s="19">
        <v>2.2511999999999999</v>
      </c>
    </row>
    <row r="8732" spans="1:4" x14ac:dyDescent="0.2">
      <c r="A8732" s="19" t="s">
        <v>167</v>
      </c>
      <c r="B8732" s="19">
        <v>72.744000000000014</v>
      </c>
      <c r="C8732" s="19">
        <v>7</v>
      </c>
      <c r="D8732" s="19">
        <v>-12.730200000000011</v>
      </c>
    </row>
    <row r="8733" spans="1:4" x14ac:dyDescent="0.2">
      <c r="A8733" s="19" t="s">
        <v>174</v>
      </c>
      <c r="B8733" s="19">
        <v>52.59</v>
      </c>
      <c r="C8733" s="19">
        <v>3</v>
      </c>
      <c r="D8733" s="19">
        <v>15.776999999999996</v>
      </c>
    </row>
    <row r="8734" spans="1:4" x14ac:dyDescent="0.2">
      <c r="A8734" s="19" t="s">
        <v>153</v>
      </c>
      <c r="B8734" s="19">
        <v>19.440000000000001</v>
      </c>
      <c r="C8734" s="19">
        <v>3</v>
      </c>
      <c r="D8734" s="19">
        <v>9.3312000000000008</v>
      </c>
    </row>
    <row r="8735" spans="1:4" x14ac:dyDescent="0.2">
      <c r="A8735" s="19" t="s">
        <v>153</v>
      </c>
      <c r="B8735" s="19">
        <v>126.30000000000001</v>
      </c>
      <c r="C8735" s="19">
        <v>3</v>
      </c>
      <c r="D8735" s="19">
        <v>40.415999999999997</v>
      </c>
    </row>
    <row r="8736" spans="1:4" x14ac:dyDescent="0.2">
      <c r="A8736" s="19" t="s">
        <v>153</v>
      </c>
      <c r="B8736" s="19">
        <v>1287.45</v>
      </c>
      <c r="C8736" s="19">
        <v>5</v>
      </c>
      <c r="D8736" s="19">
        <v>244.61549999999988</v>
      </c>
    </row>
    <row r="8737" spans="1:4" x14ac:dyDescent="0.2">
      <c r="A8737" s="19" t="s">
        <v>164</v>
      </c>
      <c r="B8737" s="19">
        <v>64.959999999999994</v>
      </c>
      <c r="C8737" s="19">
        <v>4</v>
      </c>
      <c r="D8737" s="19">
        <v>9.7439999999999998</v>
      </c>
    </row>
    <row r="8738" spans="1:4" x14ac:dyDescent="0.2">
      <c r="A8738" s="19" t="s">
        <v>160</v>
      </c>
      <c r="B8738" s="19">
        <v>535.41</v>
      </c>
      <c r="C8738" s="19">
        <v>3</v>
      </c>
      <c r="D8738" s="19">
        <v>160.62299999999993</v>
      </c>
    </row>
    <row r="8739" spans="1:4" x14ac:dyDescent="0.2">
      <c r="A8739" s="19" t="s">
        <v>167</v>
      </c>
      <c r="B8739" s="19">
        <v>8.1000000000000014</v>
      </c>
      <c r="C8739" s="19">
        <v>5</v>
      </c>
      <c r="D8739" s="19">
        <v>-5.9399999999999977</v>
      </c>
    </row>
    <row r="8740" spans="1:4" x14ac:dyDescent="0.2">
      <c r="A8740" s="19" t="s">
        <v>158</v>
      </c>
      <c r="B8740" s="19">
        <v>13.247999999999999</v>
      </c>
      <c r="C8740" s="19">
        <v>4</v>
      </c>
      <c r="D8740" s="19">
        <v>3.6431999999999998</v>
      </c>
    </row>
    <row r="8741" spans="1:4" x14ac:dyDescent="0.2">
      <c r="A8741" s="19" t="s">
        <v>158</v>
      </c>
      <c r="B8741" s="19">
        <v>83.987999999999985</v>
      </c>
      <c r="C8741" s="19">
        <v>2</v>
      </c>
      <c r="D8741" s="19">
        <v>-20.996999999999993</v>
      </c>
    </row>
    <row r="8742" spans="1:4" x14ac:dyDescent="0.2">
      <c r="A8742" s="19" t="s">
        <v>177</v>
      </c>
      <c r="B8742" s="19">
        <v>73.2</v>
      </c>
      <c r="C8742" s="19">
        <v>5</v>
      </c>
      <c r="D8742" s="19">
        <v>21.227999999999998</v>
      </c>
    </row>
    <row r="8743" spans="1:4" x14ac:dyDescent="0.2">
      <c r="A8743" s="19" t="s">
        <v>163</v>
      </c>
      <c r="B8743" s="19">
        <v>10.74</v>
      </c>
      <c r="C8743" s="19">
        <v>3</v>
      </c>
      <c r="D8743" s="19">
        <v>5.1551999999999998</v>
      </c>
    </row>
    <row r="8744" spans="1:4" x14ac:dyDescent="0.2">
      <c r="A8744" s="19" t="s">
        <v>170</v>
      </c>
      <c r="B8744" s="19">
        <v>11.032</v>
      </c>
      <c r="C8744" s="19">
        <v>1</v>
      </c>
      <c r="D8744" s="19">
        <v>3.0338000000000003</v>
      </c>
    </row>
    <row r="8745" spans="1:4" x14ac:dyDescent="0.2">
      <c r="A8745" s="19" t="s">
        <v>170</v>
      </c>
      <c r="B8745" s="19">
        <v>53.040000000000006</v>
      </c>
      <c r="C8745" s="19">
        <v>3</v>
      </c>
      <c r="D8745" s="19">
        <v>-4.6409999999999982</v>
      </c>
    </row>
    <row r="8746" spans="1:4" x14ac:dyDescent="0.2">
      <c r="A8746" s="19" t="s">
        <v>180</v>
      </c>
      <c r="B8746" s="19">
        <v>17.12</v>
      </c>
      <c r="C8746" s="19">
        <v>4</v>
      </c>
      <c r="D8746" s="19">
        <v>4.9647999999999985</v>
      </c>
    </row>
    <row r="8747" spans="1:4" x14ac:dyDescent="0.2">
      <c r="A8747" s="19" t="s">
        <v>180</v>
      </c>
      <c r="B8747" s="19">
        <v>59.94</v>
      </c>
      <c r="C8747" s="19">
        <v>3</v>
      </c>
      <c r="D8747" s="19">
        <v>28.171799999999998</v>
      </c>
    </row>
    <row r="8748" spans="1:4" x14ac:dyDescent="0.2">
      <c r="A8748" s="19" t="s">
        <v>150</v>
      </c>
      <c r="B8748" s="19">
        <v>210.58</v>
      </c>
      <c r="C8748" s="19">
        <v>2</v>
      </c>
      <c r="D8748" s="19">
        <v>12.634799999999984</v>
      </c>
    </row>
    <row r="8749" spans="1:4" x14ac:dyDescent="0.2">
      <c r="A8749" s="19" t="s">
        <v>150</v>
      </c>
      <c r="B8749" s="19">
        <v>30.960000000000004</v>
      </c>
      <c r="C8749" s="19">
        <v>2</v>
      </c>
      <c r="D8749" s="19">
        <v>10.061999999999998</v>
      </c>
    </row>
    <row r="8750" spans="1:4" x14ac:dyDescent="0.2">
      <c r="A8750" s="19" t="s">
        <v>150</v>
      </c>
      <c r="B8750" s="19">
        <v>239.98400000000004</v>
      </c>
      <c r="C8750" s="19">
        <v>2</v>
      </c>
      <c r="D8750" s="19">
        <v>38.997399999999971</v>
      </c>
    </row>
    <row r="8751" spans="1:4" x14ac:dyDescent="0.2">
      <c r="A8751" s="19" t="s">
        <v>164</v>
      </c>
      <c r="B8751" s="19">
        <v>3050.3760000000002</v>
      </c>
      <c r="C8751" s="19">
        <v>3</v>
      </c>
      <c r="D8751" s="19">
        <v>1143.8910000000001</v>
      </c>
    </row>
    <row r="8752" spans="1:4" x14ac:dyDescent="0.2">
      <c r="A8752" s="19" t="s">
        <v>164</v>
      </c>
      <c r="B8752" s="19">
        <v>133.97999999999999</v>
      </c>
      <c r="C8752" s="19">
        <v>2</v>
      </c>
      <c r="D8752" s="19">
        <v>33.495000000000005</v>
      </c>
    </row>
    <row r="8753" spans="1:4" x14ac:dyDescent="0.2">
      <c r="A8753" s="19" t="s">
        <v>151</v>
      </c>
      <c r="B8753" s="19">
        <v>93.248000000000005</v>
      </c>
      <c r="C8753" s="19">
        <v>4</v>
      </c>
      <c r="D8753" s="19">
        <v>31.4712</v>
      </c>
    </row>
    <row r="8754" spans="1:4" x14ac:dyDescent="0.2">
      <c r="A8754" s="19" t="s">
        <v>151</v>
      </c>
      <c r="B8754" s="19">
        <v>177.48000000000002</v>
      </c>
      <c r="C8754" s="19">
        <v>3</v>
      </c>
      <c r="D8754" s="19">
        <v>19.966499999999982</v>
      </c>
    </row>
    <row r="8755" spans="1:4" x14ac:dyDescent="0.2">
      <c r="A8755" s="19" t="s">
        <v>173</v>
      </c>
      <c r="B8755" s="19">
        <v>17.712</v>
      </c>
      <c r="C8755" s="19">
        <v>6</v>
      </c>
      <c r="D8755" s="19">
        <v>5.9777999999999993</v>
      </c>
    </row>
    <row r="8756" spans="1:4" x14ac:dyDescent="0.2">
      <c r="A8756" s="19" t="s">
        <v>173</v>
      </c>
      <c r="B8756" s="19">
        <v>4.8600000000000012</v>
      </c>
      <c r="C8756" s="19">
        <v>3</v>
      </c>
      <c r="D8756" s="19">
        <v>-3.5640000000000001</v>
      </c>
    </row>
    <row r="8757" spans="1:4" x14ac:dyDescent="0.2">
      <c r="A8757" s="19" t="s">
        <v>173</v>
      </c>
      <c r="B8757" s="19">
        <v>6.2580000000000009</v>
      </c>
      <c r="C8757" s="19">
        <v>2</v>
      </c>
      <c r="D8757" s="19">
        <v>-5.2149999999999999</v>
      </c>
    </row>
    <row r="8758" spans="1:4" x14ac:dyDescent="0.2">
      <c r="A8758" s="19" t="s">
        <v>187</v>
      </c>
      <c r="B8758" s="19">
        <v>37.68</v>
      </c>
      <c r="C8758" s="19">
        <v>2</v>
      </c>
      <c r="D8758" s="19">
        <v>10.5504</v>
      </c>
    </row>
    <row r="8759" spans="1:4" x14ac:dyDescent="0.2">
      <c r="A8759" s="19" t="s">
        <v>187</v>
      </c>
      <c r="B8759" s="19">
        <v>51.84</v>
      </c>
      <c r="C8759" s="19">
        <v>8</v>
      </c>
      <c r="D8759" s="19">
        <v>24.883200000000002</v>
      </c>
    </row>
    <row r="8760" spans="1:4" x14ac:dyDescent="0.2">
      <c r="A8760" s="19" t="s">
        <v>187</v>
      </c>
      <c r="B8760" s="19">
        <v>27.42</v>
      </c>
      <c r="C8760" s="19">
        <v>3</v>
      </c>
      <c r="D8760" s="19">
        <v>9.3227999999999991</v>
      </c>
    </row>
    <row r="8761" spans="1:4" x14ac:dyDescent="0.2">
      <c r="A8761" s="19" t="s">
        <v>187</v>
      </c>
      <c r="B8761" s="19">
        <v>5.4</v>
      </c>
      <c r="C8761" s="19">
        <v>3</v>
      </c>
      <c r="D8761" s="19">
        <v>2.5920000000000001</v>
      </c>
    </row>
    <row r="8762" spans="1:4" x14ac:dyDescent="0.2">
      <c r="A8762" s="19" t="s">
        <v>101</v>
      </c>
      <c r="B8762" s="19">
        <v>1270.99</v>
      </c>
      <c r="C8762" s="19">
        <v>1</v>
      </c>
      <c r="D8762" s="19">
        <v>635.495</v>
      </c>
    </row>
    <row r="8763" spans="1:4" x14ac:dyDescent="0.2">
      <c r="A8763" s="19" t="s">
        <v>101</v>
      </c>
      <c r="B8763" s="19">
        <v>125.36</v>
      </c>
      <c r="C8763" s="19">
        <v>8</v>
      </c>
      <c r="D8763" s="19">
        <v>58.919199999999989</v>
      </c>
    </row>
    <row r="8764" spans="1:4" x14ac:dyDescent="0.2">
      <c r="A8764" s="19" t="s">
        <v>150</v>
      </c>
      <c r="B8764" s="19">
        <v>14.03</v>
      </c>
      <c r="C8764" s="19">
        <v>1</v>
      </c>
      <c r="D8764" s="19">
        <v>4.068699999999998</v>
      </c>
    </row>
    <row r="8765" spans="1:4" x14ac:dyDescent="0.2">
      <c r="A8765" s="19" t="s">
        <v>150</v>
      </c>
      <c r="B8765" s="19">
        <v>27.96</v>
      </c>
      <c r="C8765" s="19">
        <v>2</v>
      </c>
      <c r="D8765" s="19">
        <v>7.2696000000000005</v>
      </c>
    </row>
    <row r="8766" spans="1:4" x14ac:dyDescent="0.2">
      <c r="A8766" s="19" t="s">
        <v>154</v>
      </c>
      <c r="B8766" s="19">
        <v>5.3440000000000003</v>
      </c>
      <c r="C8766" s="19">
        <v>2</v>
      </c>
      <c r="D8766" s="19">
        <v>0.73479999999999923</v>
      </c>
    </row>
    <row r="8767" spans="1:4" x14ac:dyDescent="0.2">
      <c r="A8767" s="19" t="s">
        <v>154</v>
      </c>
      <c r="B8767" s="19">
        <v>1.6959999999999997</v>
      </c>
      <c r="C8767" s="19">
        <v>2</v>
      </c>
      <c r="D8767" s="19">
        <v>-2.5440000000000005</v>
      </c>
    </row>
    <row r="8768" spans="1:4" x14ac:dyDescent="0.2">
      <c r="A8768" s="19" t="s">
        <v>154</v>
      </c>
      <c r="B8768" s="19">
        <v>24.587999999999994</v>
      </c>
      <c r="C8768" s="19">
        <v>3</v>
      </c>
      <c r="D8768" s="19">
        <v>-67.617000000000019</v>
      </c>
    </row>
    <row r="8769" spans="1:4" x14ac:dyDescent="0.2">
      <c r="A8769" s="19" t="s">
        <v>154</v>
      </c>
      <c r="B8769" s="19">
        <v>7.9799999999999986</v>
      </c>
      <c r="C8769" s="19">
        <v>5</v>
      </c>
      <c r="D8769" s="19">
        <v>-13.167000000000002</v>
      </c>
    </row>
    <row r="8770" spans="1:4" x14ac:dyDescent="0.2">
      <c r="A8770" s="19" t="s">
        <v>173</v>
      </c>
      <c r="B8770" s="19">
        <v>288</v>
      </c>
      <c r="C8770" s="19">
        <v>4</v>
      </c>
      <c r="D8770" s="19">
        <v>57.599999999999994</v>
      </c>
    </row>
    <row r="8771" spans="1:4" x14ac:dyDescent="0.2">
      <c r="A8771" s="19" t="s">
        <v>171</v>
      </c>
      <c r="B8771" s="19">
        <v>146.952</v>
      </c>
      <c r="C8771" s="19">
        <v>3</v>
      </c>
      <c r="D8771" s="19">
        <v>9.1844999999999928</v>
      </c>
    </row>
    <row r="8772" spans="1:4" x14ac:dyDescent="0.2">
      <c r="A8772" s="19" t="s">
        <v>171</v>
      </c>
      <c r="B8772" s="19">
        <v>83.13600000000001</v>
      </c>
      <c r="C8772" s="19">
        <v>4</v>
      </c>
      <c r="D8772" s="19">
        <v>5.1960000000000015</v>
      </c>
    </row>
    <row r="8773" spans="1:4" x14ac:dyDescent="0.2">
      <c r="A8773" s="19" t="s">
        <v>152</v>
      </c>
      <c r="B8773" s="19">
        <v>942.78400000000011</v>
      </c>
      <c r="C8773" s="19">
        <v>4</v>
      </c>
      <c r="D8773" s="19">
        <v>94.278400000000033</v>
      </c>
    </row>
    <row r="8774" spans="1:4" x14ac:dyDescent="0.2">
      <c r="A8774" s="19" t="s">
        <v>152</v>
      </c>
      <c r="B8774" s="19">
        <v>74.352000000000004</v>
      </c>
      <c r="C8774" s="19">
        <v>3</v>
      </c>
      <c r="D8774" s="19">
        <v>23.234999999999992</v>
      </c>
    </row>
    <row r="8775" spans="1:4" x14ac:dyDescent="0.2">
      <c r="A8775" s="19" t="s">
        <v>164</v>
      </c>
      <c r="B8775" s="19">
        <v>26.880000000000003</v>
      </c>
      <c r="C8775" s="19">
        <v>6</v>
      </c>
      <c r="D8775" s="19">
        <v>6.7200000000000006</v>
      </c>
    </row>
    <row r="8776" spans="1:4" x14ac:dyDescent="0.2">
      <c r="A8776" s="19" t="s">
        <v>164</v>
      </c>
      <c r="B8776" s="19">
        <v>10.896000000000001</v>
      </c>
      <c r="C8776" s="19">
        <v>2</v>
      </c>
      <c r="D8776" s="19">
        <v>3.8135999999999992</v>
      </c>
    </row>
    <row r="8777" spans="1:4" x14ac:dyDescent="0.2">
      <c r="A8777" s="19" t="s">
        <v>159</v>
      </c>
      <c r="B8777" s="19">
        <v>3.536</v>
      </c>
      <c r="C8777" s="19">
        <v>2</v>
      </c>
      <c r="D8777" s="19">
        <v>0.30940000000000001</v>
      </c>
    </row>
    <row r="8778" spans="1:4" x14ac:dyDescent="0.2">
      <c r="A8778" s="19" t="s">
        <v>154</v>
      </c>
      <c r="B8778" s="19">
        <v>528.42999999999995</v>
      </c>
      <c r="C8778" s="19">
        <v>5</v>
      </c>
      <c r="D8778" s="19">
        <v>0</v>
      </c>
    </row>
    <row r="8779" spans="1:4" x14ac:dyDescent="0.2">
      <c r="A8779" s="19" t="s">
        <v>154</v>
      </c>
      <c r="B8779" s="19">
        <v>41.472000000000008</v>
      </c>
      <c r="C8779" s="19">
        <v>8</v>
      </c>
      <c r="D8779" s="19">
        <v>14.5152</v>
      </c>
    </row>
    <row r="8780" spans="1:4" x14ac:dyDescent="0.2">
      <c r="A8780" s="19" t="s">
        <v>164</v>
      </c>
      <c r="B8780" s="19">
        <v>287.976</v>
      </c>
      <c r="C8780" s="19">
        <v>3</v>
      </c>
      <c r="D8780" s="19">
        <v>7.1993999999999687</v>
      </c>
    </row>
    <row r="8781" spans="1:4" x14ac:dyDescent="0.2">
      <c r="A8781" s="19" t="s">
        <v>170</v>
      </c>
      <c r="B8781" s="19">
        <v>29.304000000000002</v>
      </c>
      <c r="C8781" s="19">
        <v>3</v>
      </c>
      <c r="D8781" s="19">
        <v>2.5641000000000034</v>
      </c>
    </row>
    <row r="8782" spans="1:4" x14ac:dyDescent="0.2">
      <c r="A8782" s="19" t="s">
        <v>154</v>
      </c>
      <c r="B8782" s="19">
        <v>55.328000000000003</v>
      </c>
      <c r="C8782" s="19">
        <v>2</v>
      </c>
      <c r="D8782" s="19">
        <v>6.2243999999999957</v>
      </c>
    </row>
    <row r="8783" spans="1:4" x14ac:dyDescent="0.2">
      <c r="A8783" s="19" t="s">
        <v>154</v>
      </c>
      <c r="B8783" s="19">
        <v>1227.9983999999999</v>
      </c>
      <c r="C8783" s="19">
        <v>6</v>
      </c>
      <c r="D8783" s="19">
        <v>-36.117600000000152</v>
      </c>
    </row>
    <row r="8784" spans="1:4" x14ac:dyDescent="0.2">
      <c r="A8784" s="19" t="s">
        <v>193</v>
      </c>
      <c r="B8784" s="19">
        <v>20.416</v>
      </c>
      <c r="C8784" s="19">
        <v>4</v>
      </c>
      <c r="D8784" s="19">
        <v>6.6351999999999984</v>
      </c>
    </row>
    <row r="8785" spans="1:4" x14ac:dyDescent="0.2">
      <c r="A8785" s="19" t="s">
        <v>193</v>
      </c>
      <c r="B8785" s="19">
        <v>1128.3899999999999</v>
      </c>
      <c r="C8785" s="19">
        <v>3</v>
      </c>
      <c r="D8785" s="19">
        <v>259.52970000000005</v>
      </c>
    </row>
    <row r="8786" spans="1:4" x14ac:dyDescent="0.2">
      <c r="A8786" s="19" t="s">
        <v>167</v>
      </c>
      <c r="B8786" s="19">
        <v>4.6079999999999997</v>
      </c>
      <c r="C8786" s="19">
        <v>2</v>
      </c>
      <c r="D8786" s="19">
        <v>1.6704000000000001</v>
      </c>
    </row>
    <row r="8787" spans="1:4" x14ac:dyDescent="0.2">
      <c r="A8787" s="19" t="s">
        <v>165</v>
      </c>
      <c r="B8787" s="19">
        <v>195.96000000000004</v>
      </c>
      <c r="C8787" s="19">
        <v>5</v>
      </c>
      <c r="D8787" s="19">
        <v>19.596000000000018</v>
      </c>
    </row>
    <row r="8788" spans="1:4" x14ac:dyDescent="0.2">
      <c r="A8788" s="19" t="s">
        <v>165</v>
      </c>
      <c r="B8788" s="19">
        <v>15.552000000000003</v>
      </c>
      <c r="C8788" s="19">
        <v>3</v>
      </c>
      <c r="D8788" s="19">
        <v>5.4432</v>
      </c>
    </row>
    <row r="8789" spans="1:4" x14ac:dyDescent="0.2">
      <c r="A8789" s="19" t="s">
        <v>165</v>
      </c>
      <c r="B8789" s="19">
        <v>271.96800000000002</v>
      </c>
      <c r="C8789" s="19">
        <v>4</v>
      </c>
      <c r="D8789" s="19">
        <v>54.393599999999978</v>
      </c>
    </row>
    <row r="8790" spans="1:4" x14ac:dyDescent="0.2">
      <c r="A8790" s="19" t="s">
        <v>152</v>
      </c>
      <c r="B8790" s="19">
        <v>698.35200000000009</v>
      </c>
      <c r="C8790" s="19">
        <v>3</v>
      </c>
      <c r="D8790" s="19">
        <v>52.376399999999961</v>
      </c>
    </row>
    <row r="8791" spans="1:4" x14ac:dyDescent="0.2">
      <c r="A8791" s="19" t="s">
        <v>152</v>
      </c>
      <c r="B8791" s="19">
        <v>77.728000000000009</v>
      </c>
      <c r="C8791" s="19">
        <v>2</v>
      </c>
      <c r="D8791" s="19">
        <v>-3.8863999999999947</v>
      </c>
    </row>
    <row r="8792" spans="1:4" x14ac:dyDescent="0.2">
      <c r="A8792" s="19" t="s">
        <v>166</v>
      </c>
      <c r="B8792" s="19">
        <v>46.62</v>
      </c>
      <c r="C8792" s="19">
        <v>9</v>
      </c>
      <c r="D8792" s="19">
        <v>21.445199999999996</v>
      </c>
    </row>
    <row r="8793" spans="1:4" x14ac:dyDescent="0.2">
      <c r="A8793" s="19" t="s">
        <v>154</v>
      </c>
      <c r="B8793" s="19">
        <v>537.54399999999998</v>
      </c>
      <c r="C8793" s="19">
        <v>7</v>
      </c>
      <c r="D8793" s="19">
        <v>47.035099999999971</v>
      </c>
    </row>
    <row r="8794" spans="1:4" x14ac:dyDescent="0.2">
      <c r="A8794" s="19" t="s">
        <v>150</v>
      </c>
      <c r="B8794" s="19">
        <v>14.62</v>
      </c>
      <c r="C8794" s="19">
        <v>2</v>
      </c>
      <c r="D8794" s="19">
        <v>6.8713999999999995</v>
      </c>
    </row>
    <row r="8795" spans="1:4" x14ac:dyDescent="0.2">
      <c r="A8795" s="19" t="s">
        <v>150</v>
      </c>
      <c r="B8795" s="19">
        <v>22.549999999999997</v>
      </c>
      <c r="C8795" s="19">
        <v>5</v>
      </c>
      <c r="D8795" s="19">
        <v>8.7945000000000011</v>
      </c>
    </row>
    <row r="8796" spans="1:4" x14ac:dyDescent="0.2">
      <c r="A8796" s="19" t="s">
        <v>150</v>
      </c>
      <c r="B8796" s="19">
        <v>583.79999999999995</v>
      </c>
      <c r="C8796" s="19">
        <v>5</v>
      </c>
      <c r="D8796" s="19">
        <v>72.974999999999909</v>
      </c>
    </row>
    <row r="8797" spans="1:4" x14ac:dyDescent="0.2">
      <c r="A8797" s="19" t="s">
        <v>150</v>
      </c>
      <c r="B8797" s="19">
        <v>211.16800000000001</v>
      </c>
      <c r="C8797" s="19">
        <v>4</v>
      </c>
      <c r="D8797" s="19">
        <v>15.837600000000009</v>
      </c>
    </row>
    <row r="8798" spans="1:4" x14ac:dyDescent="0.2">
      <c r="A8798" s="19" t="s">
        <v>156</v>
      </c>
      <c r="B8798" s="19">
        <v>12.96</v>
      </c>
      <c r="C8798" s="19">
        <v>2</v>
      </c>
      <c r="D8798" s="19">
        <v>6.2208000000000006</v>
      </c>
    </row>
    <row r="8799" spans="1:4" x14ac:dyDescent="0.2">
      <c r="A8799" s="19" t="s">
        <v>156</v>
      </c>
      <c r="B8799" s="19">
        <v>45.98</v>
      </c>
      <c r="C8799" s="19">
        <v>2</v>
      </c>
      <c r="D8799" s="19">
        <v>12.874400000000001</v>
      </c>
    </row>
    <row r="8800" spans="1:4" x14ac:dyDescent="0.2">
      <c r="A8800" s="19" t="s">
        <v>190</v>
      </c>
      <c r="B8800" s="19">
        <v>1294.75</v>
      </c>
      <c r="C8800" s="19">
        <v>5</v>
      </c>
      <c r="D8800" s="19">
        <v>336.63499999999999</v>
      </c>
    </row>
    <row r="8801" spans="1:4" x14ac:dyDescent="0.2">
      <c r="A8801" s="19" t="s">
        <v>158</v>
      </c>
      <c r="B8801" s="19">
        <v>1799.9699999999998</v>
      </c>
      <c r="C8801" s="19">
        <v>5</v>
      </c>
      <c r="D8801" s="19">
        <v>239.99600000000009</v>
      </c>
    </row>
    <row r="8802" spans="1:4" x14ac:dyDescent="0.2">
      <c r="A8802" s="19" t="s">
        <v>159</v>
      </c>
      <c r="B8802" s="19">
        <v>10.688000000000001</v>
      </c>
      <c r="C8802" s="19">
        <v>2</v>
      </c>
      <c r="D8802" s="19">
        <v>3.7407999999999997</v>
      </c>
    </row>
    <row r="8803" spans="1:4" x14ac:dyDescent="0.2">
      <c r="A8803" s="19" t="s">
        <v>175</v>
      </c>
      <c r="B8803" s="19">
        <v>221.98</v>
      </c>
      <c r="C8803" s="19">
        <v>2</v>
      </c>
      <c r="D8803" s="19">
        <v>62.15440000000001</v>
      </c>
    </row>
    <row r="8804" spans="1:4" x14ac:dyDescent="0.2">
      <c r="A8804" s="19" t="s">
        <v>175</v>
      </c>
      <c r="B8804" s="19">
        <v>341.96</v>
      </c>
      <c r="C8804" s="19">
        <v>2</v>
      </c>
      <c r="D8804" s="19">
        <v>54.713599999999985</v>
      </c>
    </row>
    <row r="8805" spans="1:4" x14ac:dyDescent="0.2">
      <c r="A8805" s="19" t="s">
        <v>164</v>
      </c>
      <c r="B8805" s="19">
        <v>34.769999999999996</v>
      </c>
      <c r="C8805" s="19">
        <v>3</v>
      </c>
      <c r="D8805" s="19">
        <v>11.474099999999996</v>
      </c>
    </row>
    <row r="8806" spans="1:4" x14ac:dyDescent="0.2">
      <c r="A8806" s="19" t="s">
        <v>164</v>
      </c>
      <c r="B8806" s="19">
        <v>18.899999999999999</v>
      </c>
      <c r="C8806" s="19">
        <v>3</v>
      </c>
      <c r="D8806" s="19">
        <v>8.6939999999999991</v>
      </c>
    </row>
    <row r="8807" spans="1:4" x14ac:dyDescent="0.2">
      <c r="A8807" s="19" t="s">
        <v>156</v>
      </c>
      <c r="B8807" s="19">
        <v>102.72</v>
      </c>
      <c r="C8807" s="19">
        <v>3</v>
      </c>
      <c r="D8807" s="19">
        <v>37.235999999999997</v>
      </c>
    </row>
    <row r="8808" spans="1:4" x14ac:dyDescent="0.2">
      <c r="A8808" s="19" t="s">
        <v>164</v>
      </c>
      <c r="B8808" s="19">
        <v>40.479999999999997</v>
      </c>
      <c r="C8808" s="19">
        <v>2</v>
      </c>
      <c r="D8808" s="19">
        <v>14.572799999999997</v>
      </c>
    </row>
    <row r="8809" spans="1:4" x14ac:dyDescent="0.2">
      <c r="A8809" s="19" t="s">
        <v>158</v>
      </c>
      <c r="B8809" s="19">
        <v>33.282000000000004</v>
      </c>
      <c r="C8809" s="19">
        <v>3</v>
      </c>
      <c r="D8809" s="19">
        <v>-27.734999999999992</v>
      </c>
    </row>
    <row r="8810" spans="1:4" x14ac:dyDescent="0.2">
      <c r="A8810" s="19" t="s">
        <v>158</v>
      </c>
      <c r="B8810" s="19">
        <v>118.64999999999998</v>
      </c>
      <c r="C8810" s="19">
        <v>5</v>
      </c>
      <c r="D8810" s="19">
        <v>19.775000000000006</v>
      </c>
    </row>
    <row r="8811" spans="1:4" x14ac:dyDescent="0.2">
      <c r="A8811" s="19" t="s">
        <v>158</v>
      </c>
      <c r="B8811" s="19">
        <v>14.76</v>
      </c>
      <c r="C8811" s="19">
        <v>5</v>
      </c>
      <c r="D8811" s="19">
        <v>4.9815000000000005</v>
      </c>
    </row>
    <row r="8812" spans="1:4" x14ac:dyDescent="0.2">
      <c r="A8812" s="19" t="s">
        <v>150</v>
      </c>
      <c r="B8812" s="19">
        <v>37.520000000000003</v>
      </c>
      <c r="C8812" s="19">
        <v>4</v>
      </c>
      <c r="D8812" s="19">
        <v>18.009600000000002</v>
      </c>
    </row>
    <row r="8813" spans="1:4" x14ac:dyDescent="0.2">
      <c r="A8813" s="19" t="s">
        <v>161</v>
      </c>
      <c r="B8813" s="19">
        <v>207.14400000000001</v>
      </c>
      <c r="C8813" s="19">
        <v>3</v>
      </c>
      <c r="D8813" s="19">
        <v>48.333599999999976</v>
      </c>
    </row>
    <row r="8814" spans="1:4" x14ac:dyDescent="0.2">
      <c r="A8814" s="19" t="s">
        <v>161</v>
      </c>
      <c r="B8814" s="19">
        <v>13.899999999999999</v>
      </c>
      <c r="C8814" s="19">
        <v>5</v>
      </c>
      <c r="D8814" s="19">
        <v>3.7529999999999997</v>
      </c>
    </row>
    <row r="8815" spans="1:4" x14ac:dyDescent="0.2">
      <c r="A8815" s="19" t="s">
        <v>165</v>
      </c>
      <c r="B8815" s="19">
        <v>266.35200000000003</v>
      </c>
      <c r="C8815" s="19">
        <v>3</v>
      </c>
      <c r="D8815" s="19">
        <v>13.317599999999985</v>
      </c>
    </row>
    <row r="8816" spans="1:4" x14ac:dyDescent="0.2">
      <c r="A8816" s="19" t="s">
        <v>162</v>
      </c>
      <c r="B8816" s="19">
        <v>307.98</v>
      </c>
      <c r="C8816" s="19">
        <v>2</v>
      </c>
      <c r="D8816" s="19">
        <v>89.314199999999971</v>
      </c>
    </row>
    <row r="8817" spans="1:4" x14ac:dyDescent="0.2">
      <c r="A8817" s="19" t="s">
        <v>162</v>
      </c>
      <c r="B8817" s="19">
        <v>44.099999999999994</v>
      </c>
      <c r="C8817" s="19">
        <v>6</v>
      </c>
      <c r="D8817" s="19">
        <v>20.726999999999997</v>
      </c>
    </row>
    <row r="8818" spans="1:4" x14ac:dyDescent="0.2">
      <c r="A8818" s="19" t="s">
        <v>162</v>
      </c>
      <c r="B8818" s="19">
        <v>13.12</v>
      </c>
      <c r="C8818" s="19">
        <v>4</v>
      </c>
      <c r="D8818" s="19">
        <v>5.6416000000000004</v>
      </c>
    </row>
    <row r="8819" spans="1:4" x14ac:dyDescent="0.2">
      <c r="A8819" s="19" t="s">
        <v>162</v>
      </c>
      <c r="B8819" s="19">
        <v>16.559999999999999</v>
      </c>
      <c r="C8819" s="19">
        <v>2</v>
      </c>
      <c r="D8819" s="19">
        <v>7.783199999999999</v>
      </c>
    </row>
    <row r="8820" spans="1:4" x14ac:dyDescent="0.2">
      <c r="A8820" s="19" t="s">
        <v>162</v>
      </c>
      <c r="B8820" s="19">
        <v>38.880000000000003</v>
      </c>
      <c r="C8820" s="19">
        <v>6</v>
      </c>
      <c r="D8820" s="19">
        <v>18.662400000000002</v>
      </c>
    </row>
    <row r="8821" spans="1:4" x14ac:dyDescent="0.2">
      <c r="A8821" s="19" t="s">
        <v>154</v>
      </c>
      <c r="B8821" s="19">
        <v>335.52</v>
      </c>
      <c r="C8821" s="19">
        <v>4</v>
      </c>
      <c r="D8821" s="19">
        <v>117.43199999999999</v>
      </c>
    </row>
    <row r="8822" spans="1:4" x14ac:dyDescent="0.2">
      <c r="A8822" s="19" t="s">
        <v>151</v>
      </c>
      <c r="B8822" s="19">
        <v>959.98400000000004</v>
      </c>
      <c r="C8822" s="19">
        <v>2</v>
      </c>
      <c r="D8822" s="19">
        <v>311.99479999999994</v>
      </c>
    </row>
    <row r="8823" spans="1:4" x14ac:dyDescent="0.2">
      <c r="A8823" s="19" t="s">
        <v>151</v>
      </c>
      <c r="B8823" s="19">
        <v>4.0860000000000003</v>
      </c>
      <c r="C8823" s="19">
        <v>2</v>
      </c>
      <c r="D8823" s="19">
        <v>-2.9963999999999995</v>
      </c>
    </row>
    <row r="8824" spans="1:4" x14ac:dyDescent="0.2">
      <c r="A8824" s="19" t="s">
        <v>151</v>
      </c>
      <c r="B8824" s="19">
        <v>55.984000000000009</v>
      </c>
      <c r="C8824" s="19">
        <v>2</v>
      </c>
      <c r="D8824" s="19">
        <v>4.1987999999999985</v>
      </c>
    </row>
    <row r="8825" spans="1:4" x14ac:dyDescent="0.2">
      <c r="A8825" s="19" t="s">
        <v>151</v>
      </c>
      <c r="B8825" s="19">
        <v>10.688000000000001</v>
      </c>
      <c r="C8825" s="19">
        <v>2</v>
      </c>
      <c r="D8825" s="19">
        <v>3.7407999999999997</v>
      </c>
    </row>
    <row r="8826" spans="1:4" x14ac:dyDescent="0.2">
      <c r="A8826" s="19" t="s">
        <v>158</v>
      </c>
      <c r="B8826" s="19">
        <v>8.8559999999999999</v>
      </c>
      <c r="C8826" s="19">
        <v>3</v>
      </c>
      <c r="D8826" s="19">
        <v>2.8781999999999992</v>
      </c>
    </row>
    <row r="8827" spans="1:4" x14ac:dyDescent="0.2">
      <c r="A8827" s="19" t="s">
        <v>158</v>
      </c>
      <c r="B8827" s="19">
        <v>6.911999999999999</v>
      </c>
      <c r="C8827" s="19">
        <v>3</v>
      </c>
      <c r="D8827" s="19">
        <v>2.5056000000000003</v>
      </c>
    </row>
    <row r="8828" spans="1:4" x14ac:dyDescent="0.2">
      <c r="A8828" s="19" t="s">
        <v>154</v>
      </c>
      <c r="B8828" s="19">
        <v>26.720000000000002</v>
      </c>
      <c r="C8828" s="19">
        <v>5</v>
      </c>
      <c r="D8828" s="19">
        <v>9.3520000000000003</v>
      </c>
    </row>
    <row r="8829" spans="1:4" x14ac:dyDescent="0.2">
      <c r="A8829" s="19" t="s">
        <v>154</v>
      </c>
      <c r="B8829" s="19">
        <v>33.488000000000007</v>
      </c>
      <c r="C8829" s="19">
        <v>7</v>
      </c>
      <c r="D8829" s="19">
        <v>10.464999999999998</v>
      </c>
    </row>
    <row r="8830" spans="1:4" x14ac:dyDescent="0.2">
      <c r="A8830" s="19" t="s">
        <v>174</v>
      </c>
      <c r="B8830" s="19">
        <v>10.56</v>
      </c>
      <c r="C8830" s="19">
        <v>2</v>
      </c>
      <c r="D8830" s="19">
        <v>4.7519999999999998</v>
      </c>
    </row>
    <row r="8831" spans="1:4" x14ac:dyDescent="0.2">
      <c r="A8831" s="19" t="s">
        <v>163</v>
      </c>
      <c r="B8831" s="19">
        <v>386.34</v>
      </c>
      <c r="C8831" s="19">
        <v>2</v>
      </c>
      <c r="D8831" s="19">
        <v>54.087600000000009</v>
      </c>
    </row>
    <row r="8832" spans="1:4" x14ac:dyDescent="0.2">
      <c r="A8832" s="19" t="s">
        <v>153</v>
      </c>
      <c r="B8832" s="19">
        <v>33.44</v>
      </c>
      <c r="C8832" s="19">
        <v>10</v>
      </c>
      <c r="D8832" s="19">
        <v>11.703999999999997</v>
      </c>
    </row>
    <row r="8833" spans="1:4" x14ac:dyDescent="0.2">
      <c r="A8833" s="19" t="s">
        <v>166</v>
      </c>
      <c r="B8833" s="19">
        <v>39.96</v>
      </c>
      <c r="C8833" s="19">
        <v>2</v>
      </c>
      <c r="D8833" s="19">
        <v>14.3856</v>
      </c>
    </row>
    <row r="8834" spans="1:4" x14ac:dyDescent="0.2">
      <c r="A8834" s="19" t="s">
        <v>164</v>
      </c>
      <c r="B8834" s="19">
        <v>1217.568</v>
      </c>
      <c r="C8834" s="19">
        <v>2</v>
      </c>
      <c r="D8834" s="19">
        <v>456.58800000000002</v>
      </c>
    </row>
    <row r="8835" spans="1:4" x14ac:dyDescent="0.2">
      <c r="A8835" s="19" t="s">
        <v>101</v>
      </c>
      <c r="B8835" s="19">
        <v>15.51</v>
      </c>
      <c r="C8835" s="19">
        <v>1</v>
      </c>
      <c r="D8835" s="19">
        <v>3.8774999999999995</v>
      </c>
    </row>
    <row r="8836" spans="1:4" x14ac:dyDescent="0.2">
      <c r="A8836" s="19" t="s">
        <v>101</v>
      </c>
      <c r="B8836" s="19">
        <v>89.9</v>
      </c>
      <c r="C8836" s="19">
        <v>2</v>
      </c>
      <c r="D8836" s="19">
        <v>25.171999999999997</v>
      </c>
    </row>
    <row r="8837" spans="1:4" x14ac:dyDescent="0.2">
      <c r="A8837" s="19" t="s">
        <v>101</v>
      </c>
      <c r="B8837" s="19">
        <v>14.28</v>
      </c>
      <c r="C8837" s="19">
        <v>4</v>
      </c>
      <c r="D8837" s="19">
        <v>3.7127999999999997</v>
      </c>
    </row>
    <row r="8838" spans="1:4" x14ac:dyDescent="0.2">
      <c r="A8838" s="19" t="s">
        <v>101</v>
      </c>
      <c r="B8838" s="19">
        <v>12.72</v>
      </c>
      <c r="C8838" s="19">
        <v>3</v>
      </c>
      <c r="D8838" s="19">
        <v>4.9607999999999999</v>
      </c>
    </row>
    <row r="8839" spans="1:4" x14ac:dyDescent="0.2">
      <c r="A8839" s="19" t="s">
        <v>101</v>
      </c>
      <c r="B8839" s="19">
        <v>15.75</v>
      </c>
      <c r="C8839" s="19">
        <v>5</v>
      </c>
      <c r="D8839" s="19">
        <v>7.5600000000000005</v>
      </c>
    </row>
    <row r="8840" spans="1:4" x14ac:dyDescent="0.2">
      <c r="A8840" s="19" t="s">
        <v>150</v>
      </c>
      <c r="B8840" s="19">
        <v>70.949999999999989</v>
      </c>
      <c r="C8840" s="19">
        <v>3</v>
      </c>
      <c r="D8840" s="19">
        <v>18.447000000000003</v>
      </c>
    </row>
    <row r="8841" spans="1:4" x14ac:dyDescent="0.2">
      <c r="A8841" s="19" t="s">
        <v>150</v>
      </c>
      <c r="B8841" s="19">
        <v>65.567999999999998</v>
      </c>
      <c r="C8841" s="19">
        <v>2</v>
      </c>
      <c r="D8841" s="19">
        <v>23.768399999999996</v>
      </c>
    </row>
    <row r="8842" spans="1:4" x14ac:dyDescent="0.2">
      <c r="A8842" s="19" t="s">
        <v>150</v>
      </c>
      <c r="B8842" s="19">
        <v>299.96999999999997</v>
      </c>
      <c r="C8842" s="19">
        <v>3</v>
      </c>
      <c r="D8842" s="19">
        <v>131.98680000000002</v>
      </c>
    </row>
    <row r="8843" spans="1:4" x14ac:dyDescent="0.2">
      <c r="A8843" s="19" t="s">
        <v>150</v>
      </c>
      <c r="B8843" s="19">
        <v>89.97</v>
      </c>
      <c r="C8843" s="19">
        <v>3</v>
      </c>
      <c r="D8843" s="19">
        <v>39.586800000000011</v>
      </c>
    </row>
    <row r="8844" spans="1:4" x14ac:dyDescent="0.2">
      <c r="A8844" s="19" t="s">
        <v>150</v>
      </c>
      <c r="B8844" s="19">
        <v>31.86</v>
      </c>
      <c r="C8844" s="19">
        <v>2</v>
      </c>
      <c r="D8844" s="19">
        <v>11.151</v>
      </c>
    </row>
    <row r="8845" spans="1:4" x14ac:dyDescent="0.2">
      <c r="A8845" s="19" t="s">
        <v>160</v>
      </c>
      <c r="B8845" s="19">
        <v>67.150000000000006</v>
      </c>
      <c r="C8845" s="19">
        <v>5</v>
      </c>
      <c r="D8845" s="19">
        <v>16.787500000000001</v>
      </c>
    </row>
    <row r="8846" spans="1:4" x14ac:dyDescent="0.2">
      <c r="A8846" s="19" t="s">
        <v>173</v>
      </c>
      <c r="B8846" s="19">
        <v>7.2359999999999998</v>
      </c>
      <c r="C8846" s="19">
        <v>3</v>
      </c>
      <c r="D8846" s="19">
        <v>-6.0299999999999976</v>
      </c>
    </row>
    <row r="8847" spans="1:4" x14ac:dyDescent="0.2">
      <c r="A8847" s="19" t="s">
        <v>173</v>
      </c>
      <c r="B8847" s="19">
        <v>4.8239999999999998</v>
      </c>
      <c r="C8847" s="19">
        <v>3</v>
      </c>
      <c r="D8847" s="19">
        <v>1.7486999999999999</v>
      </c>
    </row>
    <row r="8848" spans="1:4" x14ac:dyDescent="0.2">
      <c r="A8848" s="19" t="s">
        <v>173</v>
      </c>
      <c r="B8848" s="19">
        <v>91.360000000000014</v>
      </c>
      <c r="C8848" s="19">
        <v>5</v>
      </c>
      <c r="D8848" s="19">
        <v>29.691999999999993</v>
      </c>
    </row>
    <row r="8849" spans="1:4" x14ac:dyDescent="0.2">
      <c r="A8849" s="19" t="s">
        <v>173</v>
      </c>
      <c r="B8849" s="19">
        <v>130.11199999999999</v>
      </c>
      <c r="C8849" s="19">
        <v>2</v>
      </c>
      <c r="D8849" s="19">
        <v>13.011199999999995</v>
      </c>
    </row>
    <row r="8850" spans="1:4" x14ac:dyDescent="0.2">
      <c r="A8850" s="19" t="s">
        <v>152</v>
      </c>
      <c r="B8850" s="19">
        <v>74.239999999999995</v>
      </c>
      <c r="C8850" s="19">
        <v>1</v>
      </c>
      <c r="D8850" s="19">
        <v>8.3519999999999932</v>
      </c>
    </row>
    <row r="8851" spans="1:4" x14ac:dyDescent="0.2">
      <c r="A8851" s="19" t="s">
        <v>152</v>
      </c>
      <c r="B8851" s="19">
        <v>159.84000000000003</v>
      </c>
      <c r="C8851" s="19">
        <v>10</v>
      </c>
      <c r="D8851" s="19">
        <v>45.954000000000008</v>
      </c>
    </row>
    <row r="8852" spans="1:4" x14ac:dyDescent="0.2">
      <c r="A8852" s="19" t="s">
        <v>152</v>
      </c>
      <c r="B8852" s="19">
        <v>2.8920000000000008</v>
      </c>
      <c r="C8852" s="19">
        <v>2</v>
      </c>
      <c r="D8852" s="19">
        <v>-2.3136000000000001</v>
      </c>
    </row>
    <row r="8853" spans="1:4" x14ac:dyDescent="0.2">
      <c r="A8853" s="19" t="s">
        <v>152</v>
      </c>
      <c r="B8853" s="19">
        <v>9.3920000000000012</v>
      </c>
      <c r="C8853" s="19">
        <v>2</v>
      </c>
      <c r="D8853" s="19">
        <v>3.2871999999999999</v>
      </c>
    </row>
    <row r="8854" spans="1:4" x14ac:dyDescent="0.2">
      <c r="A8854" s="19" t="s">
        <v>164</v>
      </c>
      <c r="B8854" s="19">
        <v>123.92</v>
      </c>
      <c r="C8854" s="19">
        <v>4</v>
      </c>
      <c r="D8854" s="19">
        <v>55.763999999999996</v>
      </c>
    </row>
    <row r="8855" spans="1:4" x14ac:dyDescent="0.2">
      <c r="A8855" s="19" t="s">
        <v>158</v>
      </c>
      <c r="B8855" s="19">
        <v>55.600000000000009</v>
      </c>
      <c r="C8855" s="19">
        <v>5</v>
      </c>
      <c r="D8855" s="19">
        <v>6.2549999999999919</v>
      </c>
    </row>
    <row r="8856" spans="1:4" x14ac:dyDescent="0.2">
      <c r="A8856" s="19" t="s">
        <v>158</v>
      </c>
      <c r="B8856" s="19">
        <v>617.97600000000011</v>
      </c>
      <c r="C8856" s="19">
        <v>3</v>
      </c>
      <c r="D8856" s="19">
        <v>-7.724700000000098</v>
      </c>
    </row>
    <row r="8857" spans="1:4" x14ac:dyDescent="0.2">
      <c r="A8857" s="19" t="s">
        <v>193</v>
      </c>
      <c r="B8857" s="19">
        <v>21.312000000000005</v>
      </c>
      <c r="C8857" s="19">
        <v>3</v>
      </c>
      <c r="D8857" s="19">
        <v>7.9919999999999991</v>
      </c>
    </row>
    <row r="8858" spans="1:4" x14ac:dyDescent="0.2">
      <c r="A8858" s="19" t="s">
        <v>150</v>
      </c>
      <c r="B8858" s="19">
        <v>209.94</v>
      </c>
      <c r="C8858" s="19">
        <v>6</v>
      </c>
      <c r="D8858" s="19">
        <v>39.888599999999997</v>
      </c>
    </row>
    <row r="8859" spans="1:4" x14ac:dyDescent="0.2">
      <c r="A8859" s="19" t="s">
        <v>150</v>
      </c>
      <c r="B8859" s="19">
        <v>31.983999999999998</v>
      </c>
      <c r="C8859" s="19">
        <v>2</v>
      </c>
      <c r="D8859" s="19">
        <v>-7.9959999999999996</v>
      </c>
    </row>
    <row r="8860" spans="1:4" x14ac:dyDescent="0.2">
      <c r="A8860" s="19" t="s">
        <v>150</v>
      </c>
      <c r="B8860" s="19">
        <v>5083.96</v>
      </c>
      <c r="C8860" s="19">
        <v>5</v>
      </c>
      <c r="D8860" s="19">
        <v>1906.4849999999999</v>
      </c>
    </row>
    <row r="8861" spans="1:4" x14ac:dyDescent="0.2">
      <c r="A8861" s="19" t="s">
        <v>152</v>
      </c>
      <c r="B8861" s="19">
        <v>35.96</v>
      </c>
      <c r="C8861" s="19">
        <v>1</v>
      </c>
      <c r="D8861" s="19">
        <v>3.5959999999999983</v>
      </c>
    </row>
    <row r="8862" spans="1:4" x14ac:dyDescent="0.2">
      <c r="A8862" s="19" t="s">
        <v>179</v>
      </c>
      <c r="B8862" s="19">
        <v>31.049999999999997</v>
      </c>
      <c r="C8862" s="19">
        <v>3</v>
      </c>
      <c r="D8862" s="19">
        <v>14.904</v>
      </c>
    </row>
    <row r="8863" spans="1:4" x14ac:dyDescent="0.2">
      <c r="A8863" s="19" t="s">
        <v>179</v>
      </c>
      <c r="B8863" s="19">
        <v>8.92</v>
      </c>
      <c r="C8863" s="19">
        <v>4</v>
      </c>
      <c r="D8863" s="19">
        <v>3.9248000000000003</v>
      </c>
    </row>
    <row r="8864" spans="1:4" x14ac:dyDescent="0.2">
      <c r="A8864" s="19" t="s">
        <v>179</v>
      </c>
      <c r="B8864" s="19">
        <v>209.6</v>
      </c>
      <c r="C8864" s="19">
        <v>4</v>
      </c>
      <c r="D8864" s="19">
        <v>96.415999999999997</v>
      </c>
    </row>
    <row r="8865" spans="1:4" x14ac:dyDescent="0.2">
      <c r="A8865" s="19" t="s">
        <v>179</v>
      </c>
      <c r="B8865" s="19">
        <v>111.04</v>
      </c>
      <c r="C8865" s="19">
        <v>4</v>
      </c>
      <c r="D8865" s="19">
        <v>29.980800000000002</v>
      </c>
    </row>
    <row r="8866" spans="1:4" x14ac:dyDescent="0.2">
      <c r="A8866" s="19" t="s">
        <v>179</v>
      </c>
      <c r="B8866" s="19">
        <v>38.880000000000003</v>
      </c>
      <c r="C8866" s="19">
        <v>6</v>
      </c>
      <c r="D8866" s="19">
        <v>18.662400000000002</v>
      </c>
    </row>
    <row r="8867" spans="1:4" x14ac:dyDescent="0.2">
      <c r="A8867" s="19" t="s">
        <v>166</v>
      </c>
      <c r="B8867" s="19">
        <v>36.269999999999996</v>
      </c>
      <c r="C8867" s="19">
        <v>3</v>
      </c>
      <c r="D8867" s="19">
        <v>10.880999999999997</v>
      </c>
    </row>
    <row r="8868" spans="1:4" x14ac:dyDescent="0.2">
      <c r="A8868" s="19" t="s">
        <v>159</v>
      </c>
      <c r="B8868" s="19">
        <v>493.42999999999995</v>
      </c>
      <c r="C8868" s="19">
        <v>5</v>
      </c>
      <c r="D8868" s="19">
        <v>-70.489999999999981</v>
      </c>
    </row>
    <row r="8869" spans="1:4" x14ac:dyDescent="0.2">
      <c r="A8869" s="19" t="s">
        <v>159</v>
      </c>
      <c r="B8869" s="19">
        <v>11.120000000000001</v>
      </c>
      <c r="C8869" s="19">
        <v>2</v>
      </c>
      <c r="D8869" s="19">
        <v>3.4749999999999996</v>
      </c>
    </row>
    <row r="8870" spans="1:4" x14ac:dyDescent="0.2">
      <c r="A8870" s="19" t="s">
        <v>150</v>
      </c>
      <c r="B8870" s="19">
        <v>686.40000000000009</v>
      </c>
      <c r="C8870" s="19">
        <v>2</v>
      </c>
      <c r="D8870" s="19">
        <v>77.219999999999914</v>
      </c>
    </row>
    <row r="8871" spans="1:4" x14ac:dyDescent="0.2">
      <c r="A8871" s="19" t="s">
        <v>153</v>
      </c>
      <c r="B8871" s="19">
        <v>15.920000000000002</v>
      </c>
      <c r="C8871" s="19">
        <v>5</v>
      </c>
      <c r="D8871" s="19">
        <v>5.3729999999999993</v>
      </c>
    </row>
    <row r="8872" spans="1:4" x14ac:dyDescent="0.2">
      <c r="A8872" s="19" t="s">
        <v>153</v>
      </c>
      <c r="B8872" s="19">
        <v>70.679999999999993</v>
      </c>
      <c r="C8872" s="19">
        <v>12</v>
      </c>
      <c r="D8872" s="19">
        <v>31.099200000000003</v>
      </c>
    </row>
    <row r="8873" spans="1:4" x14ac:dyDescent="0.2">
      <c r="A8873" s="19" t="s">
        <v>153</v>
      </c>
      <c r="B8873" s="19">
        <v>541.24</v>
      </c>
      <c r="C8873" s="19">
        <v>4</v>
      </c>
      <c r="D8873" s="19">
        <v>5.4124000000000478</v>
      </c>
    </row>
    <row r="8874" spans="1:4" x14ac:dyDescent="0.2">
      <c r="A8874" s="19" t="s">
        <v>173</v>
      </c>
      <c r="B8874" s="19">
        <v>101.99400000000001</v>
      </c>
      <c r="C8874" s="19">
        <v>2</v>
      </c>
      <c r="D8874" s="19">
        <v>-71.39579999999998</v>
      </c>
    </row>
    <row r="8875" spans="1:4" x14ac:dyDescent="0.2">
      <c r="A8875" s="19" t="s">
        <v>173</v>
      </c>
      <c r="B8875" s="19">
        <v>18.264000000000003</v>
      </c>
      <c r="C8875" s="19">
        <v>2</v>
      </c>
      <c r="D8875" s="19">
        <v>-13.393599999999999</v>
      </c>
    </row>
    <row r="8876" spans="1:4" x14ac:dyDescent="0.2">
      <c r="A8876" s="19" t="s">
        <v>154</v>
      </c>
      <c r="B8876" s="19">
        <v>21.989999999999995</v>
      </c>
      <c r="C8876" s="19">
        <v>5</v>
      </c>
      <c r="D8876" s="19">
        <v>-32.984999999999999</v>
      </c>
    </row>
    <row r="8877" spans="1:4" x14ac:dyDescent="0.2">
      <c r="A8877" s="19" t="s">
        <v>154</v>
      </c>
      <c r="B8877" s="19">
        <v>185.376</v>
      </c>
      <c r="C8877" s="19">
        <v>2</v>
      </c>
      <c r="D8877" s="19">
        <v>-34.758000000000017</v>
      </c>
    </row>
    <row r="8878" spans="1:4" x14ac:dyDescent="0.2">
      <c r="A8878" s="19" t="s">
        <v>154</v>
      </c>
      <c r="B8878" s="19">
        <v>58.923999999999985</v>
      </c>
      <c r="C8878" s="19">
        <v>1</v>
      </c>
      <c r="D8878" s="19">
        <v>-153.20240000000001</v>
      </c>
    </row>
    <row r="8879" spans="1:4" x14ac:dyDescent="0.2">
      <c r="A8879" s="19" t="s">
        <v>179</v>
      </c>
      <c r="B8879" s="19">
        <v>480</v>
      </c>
      <c r="C8879" s="19">
        <v>4</v>
      </c>
      <c r="D8879" s="19">
        <v>225.6</v>
      </c>
    </row>
    <row r="8880" spans="1:4" x14ac:dyDescent="0.2">
      <c r="A8880" s="19" t="s">
        <v>179</v>
      </c>
      <c r="B8880" s="19">
        <v>34.049999999999997</v>
      </c>
      <c r="C8880" s="19">
        <v>3</v>
      </c>
      <c r="D8880" s="19">
        <v>9.5340000000000025</v>
      </c>
    </row>
    <row r="8881" spans="1:4" x14ac:dyDescent="0.2">
      <c r="A8881" s="19" t="s">
        <v>150</v>
      </c>
      <c r="B8881" s="19">
        <v>192.72</v>
      </c>
      <c r="C8881" s="19">
        <v>11</v>
      </c>
      <c r="D8881" s="19">
        <v>92.505599999999987</v>
      </c>
    </row>
    <row r="8882" spans="1:4" x14ac:dyDescent="0.2">
      <c r="A8882" s="19" t="s">
        <v>150</v>
      </c>
      <c r="B8882" s="19">
        <v>239.96999999999997</v>
      </c>
      <c r="C8882" s="19">
        <v>3</v>
      </c>
      <c r="D8882" s="19">
        <v>86.389199999999988</v>
      </c>
    </row>
    <row r="8883" spans="1:4" x14ac:dyDescent="0.2">
      <c r="A8883" s="19" t="s">
        <v>159</v>
      </c>
      <c r="B8883" s="19">
        <v>50.120000000000005</v>
      </c>
      <c r="C8883" s="19">
        <v>7</v>
      </c>
      <c r="D8883" s="19">
        <v>-0.62650000000000716</v>
      </c>
    </row>
    <row r="8884" spans="1:4" x14ac:dyDescent="0.2">
      <c r="A8884" s="19" t="s">
        <v>152</v>
      </c>
      <c r="B8884" s="19">
        <v>15.984000000000002</v>
      </c>
      <c r="C8884" s="19">
        <v>2</v>
      </c>
      <c r="D8884" s="19">
        <v>1.3986000000000001</v>
      </c>
    </row>
    <row r="8885" spans="1:4" x14ac:dyDescent="0.2">
      <c r="A8885" s="19" t="s">
        <v>152</v>
      </c>
      <c r="B8885" s="19">
        <v>14.352000000000002</v>
      </c>
      <c r="C8885" s="19">
        <v>3</v>
      </c>
      <c r="D8885" s="19">
        <v>4.4849999999999994</v>
      </c>
    </row>
    <row r="8886" spans="1:4" x14ac:dyDescent="0.2">
      <c r="A8886" s="19" t="s">
        <v>173</v>
      </c>
      <c r="B8886" s="19">
        <v>6.5280000000000014</v>
      </c>
      <c r="C8886" s="19">
        <v>4</v>
      </c>
      <c r="D8886" s="19">
        <v>-4.5695999999999994</v>
      </c>
    </row>
    <row r="8887" spans="1:4" x14ac:dyDescent="0.2">
      <c r="A8887" s="19" t="s">
        <v>173</v>
      </c>
      <c r="B8887" s="19">
        <v>2.8620000000000005</v>
      </c>
      <c r="C8887" s="19">
        <v>3</v>
      </c>
      <c r="D8887" s="19">
        <v>-2.2896000000000001</v>
      </c>
    </row>
    <row r="8888" spans="1:4" x14ac:dyDescent="0.2">
      <c r="A8888" s="19" t="s">
        <v>173</v>
      </c>
      <c r="B8888" s="19">
        <v>20.856000000000002</v>
      </c>
      <c r="C8888" s="19">
        <v>8</v>
      </c>
      <c r="D8888" s="19">
        <v>-16.684799999999996</v>
      </c>
    </row>
    <row r="8889" spans="1:4" x14ac:dyDescent="0.2">
      <c r="A8889" s="19" t="s">
        <v>150</v>
      </c>
      <c r="B8889" s="19">
        <v>276.27999999999997</v>
      </c>
      <c r="C8889" s="19">
        <v>2</v>
      </c>
      <c r="D8889" s="19">
        <v>0</v>
      </c>
    </row>
    <row r="8890" spans="1:4" x14ac:dyDescent="0.2">
      <c r="A8890" s="19" t="s">
        <v>150</v>
      </c>
      <c r="B8890" s="19">
        <v>629.64</v>
      </c>
      <c r="C8890" s="19">
        <v>9</v>
      </c>
      <c r="D8890" s="19">
        <v>107.03879999999994</v>
      </c>
    </row>
    <row r="8891" spans="1:4" x14ac:dyDescent="0.2">
      <c r="A8891" s="19" t="s">
        <v>174</v>
      </c>
      <c r="B8891" s="19">
        <v>449.97</v>
      </c>
      <c r="C8891" s="19">
        <v>3</v>
      </c>
      <c r="D8891" s="19">
        <v>220.48530000000002</v>
      </c>
    </row>
    <row r="8892" spans="1:4" x14ac:dyDescent="0.2">
      <c r="A8892" s="19" t="s">
        <v>174</v>
      </c>
      <c r="B8892" s="19">
        <v>1927.5900000000001</v>
      </c>
      <c r="C8892" s="19">
        <v>7</v>
      </c>
      <c r="D8892" s="19">
        <v>751.76010000000008</v>
      </c>
    </row>
    <row r="8893" spans="1:4" x14ac:dyDescent="0.2">
      <c r="A8893" s="19" t="s">
        <v>101</v>
      </c>
      <c r="B8893" s="19">
        <v>121.78</v>
      </c>
      <c r="C8893" s="19">
        <v>2</v>
      </c>
      <c r="D8893" s="19">
        <v>30.444999999999993</v>
      </c>
    </row>
    <row r="8894" spans="1:4" x14ac:dyDescent="0.2">
      <c r="A8894" s="19" t="s">
        <v>150</v>
      </c>
      <c r="B8894" s="19">
        <v>2676.672</v>
      </c>
      <c r="C8894" s="19">
        <v>9</v>
      </c>
      <c r="D8894" s="19">
        <v>267.66720000000009</v>
      </c>
    </row>
    <row r="8895" spans="1:4" x14ac:dyDescent="0.2">
      <c r="A8895" s="19" t="s">
        <v>154</v>
      </c>
      <c r="B8895" s="19">
        <v>489.22999999999996</v>
      </c>
      <c r="C8895" s="19">
        <v>2</v>
      </c>
      <c r="D8895" s="19">
        <v>41.933999999999997</v>
      </c>
    </row>
    <row r="8896" spans="1:4" x14ac:dyDescent="0.2">
      <c r="A8896" s="19" t="s">
        <v>150</v>
      </c>
      <c r="B8896" s="19">
        <v>312.03000000000003</v>
      </c>
      <c r="C8896" s="19">
        <v>3</v>
      </c>
      <c r="D8896" s="19">
        <v>43.684200000000018</v>
      </c>
    </row>
    <row r="8897" spans="1:4" x14ac:dyDescent="0.2">
      <c r="A8897" s="19" t="s">
        <v>150</v>
      </c>
      <c r="B8897" s="19">
        <v>17.940000000000001</v>
      </c>
      <c r="C8897" s="19">
        <v>3</v>
      </c>
      <c r="D8897" s="19">
        <v>3.0497999999999985</v>
      </c>
    </row>
    <row r="8898" spans="1:4" x14ac:dyDescent="0.2">
      <c r="A8898" s="19" t="s">
        <v>150</v>
      </c>
      <c r="B8898" s="19">
        <v>165.60000000000002</v>
      </c>
      <c r="C8898" s="19">
        <v>3</v>
      </c>
      <c r="D8898" s="19">
        <v>10.349999999999994</v>
      </c>
    </row>
    <row r="8899" spans="1:4" x14ac:dyDescent="0.2">
      <c r="A8899" s="19" t="s">
        <v>150</v>
      </c>
      <c r="B8899" s="19">
        <v>37.520000000000003</v>
      </c>
      <c r="C8899" s="19">
        <v>4</v>
      </c>
      <c r="D8899" s="19">
        <v>18.009600000000002</v>
      </c>
    </row>
    <row r="8900" spans="1:4" x14ac:dyDescent="0.2">
      <c r="A8900" s="19" t="s">
        <v>166</v>
      </c>
      <c r="B8900" s="19">
        <v>494.97</v>
      </c>
      <c r="C8900" s="19">
        <v>3</v>
      </c>
      <c r="D8900" s="19">
        <v>148.49099999999996</v>
      </c>
    </row>
    <row r="8901" spans="1:4" x14ac:dyDescent="0.2">
      <c r="A8901" s="19" t="s">
        <v>166</v>
      </c>
      <c r="B8901" s="19">
        <v>25.06</v>
      </c>
      <c r="C8901" s="19">
        <v>2</v>
      </c>
      <c r="D8901" s="19">
        <v>11.778199999999998</v>
      </c>
    </row>
    <row r="8902" spans="1:4" x14ac:dyDescent="0.2">
      <c r="A8902" s="19" t="s">
        <v>159</v>
      </c>
      <c r="B8902" s="19">
        <v>32.064</v>
      </c>
      <c r="C8902" s="19">
        <v>3</v>
      </c>
      <c r="D8902" s="19">
        <v>-12.825599999999994</v>
      </c>
    </row>
    <row r="8903" spans="1:4" x14ac:dyDescent="0.2">
      <c r="A8903" s="19" t="s">
        <v>159</v>
      </c>
      <c r="B8903" s="19">
        <v>18.496000000000002</v>
      </c>
      <c r="C8903" s="19">
        <v>4</v>
      </c>
      <c r="D8903" s="19">
        <v>6.7048000000000005</v>
      </c>
    </row>
    <row r="8904" spans="1:4" x14ac:dyDescent="0.2">
      <c r="A8904" s="19" t="s">
        <v>159</v>
      </c>
      <c r="B8904" s="19">
        <v>191.07899999999998</v>
      </c>
      <c r="C8904" s="19">
        <v>3</v>
      </c>
      <c r="D8904" s="19">
        <v>-38.215799999999973</v>
      </c>
    </row>
    <row r="8905" spans="1:4" x14ac:dyDescent="0.2">
      <c r="A8905" s="19" t="s">
        <v>159</v>
      </c>
      <c r="B8905" s="19">
        <v>10.368000000000002</v>
      </c>
      <c r="C8905" s="19">
        <v>2</v>
      </c>
      <c r="D8905" s="19">
        <v>3.6288</v>
      </c>
    </row>
    <row r="8906" spans="1:4" x14ac:dyDescent="0.2">
      <c r="A8906" s="19" t="s">
        <v>164</v>
      </c>
      <c r="B8906" s="19">
        <v>30.53</v>
      </c>
      <c r="C8906" s="19">
        <v>1</v>
      </c>
      <c r="D8906" s="19">
        <v>14.043800000000001</v>
      </c>
    </row>
    <row r="8907" spans="1:4" x14ac:dyDescent="0.2">
      <c r="A8907" s="19" t="s">
        <v>164</v>
      </c>
      <c r="B8907" s="19">
        <v>30.839999999999996</v>
      </c>
      <c r="C8907" s="19">
        <v>3</v>
      </c>
      <c r="D8907" s="19">
        <v>6.1679999999999975</v>
      </c>
    </row>
    <row r="8908" spans="1:4" x14ac:dyDescent="0.2">
      <c r="A8908" s="19" t="s">
        <v>164</v>
      </c>
      <c r="B8908" s="19">
        <v>75.06</v>
      </c>
      <c r="C8908" s="19">
        <v>9</v>
      </c>
      <c r="D8908" s="19">
        <v>33.776999999999994</v>
      </c>
    </row>
    <row r="8909" spans="1:4" x14ac:dyDescent="0.2">
      <c r="A8909" s="19" t="s">
        <v>150</v>
      </c>
      <c r="B8909" s="19">
        <v>66.976000000000013</v>
      </c>
      <c r="C8909" s="19">
        <v>7</v>
      </c>
      <c r="D8909" s="19">
        <v>6.6976000000000013</v>
      </c>
    </row>
    <row r="8910" spans="1:4" x14ac:dyDescent="0.2">
      <c r="A8910" s="19" t="s">
        <v>150</v>
      </c>
      <c r="B8910" s="19">
        <v>182.72</v>
      </c>
      <c r="C8910" s="19">
        <v>8</v>
      </c>
      <c r="D8910" s="19">
        <v>84.051199999999994</v>
      </c>
    </row>
    <row r="8911" spans="1:4" x14ac:dyDescent="0.2">
      <c r="A8911" s="19" t="s">
        <v>180</v>
      </c>
      <c r="B8911" s="19">
        <v>21.93</v>
      </c>
      <c r="C8911" s="19">
        <v>3</v>
      </c>
      <c r="D8911" s="19">
        <v>10.307099999999998</v>
      </c>
    </row>
    <row r="8912" spans="1:4" x14ac:dyDescent="0.2">
      <c r="A8912" s="19" t="s">
        <v>167</v>
      </c>
      <c r="B8912" s="19">
        <v>95.976000000000013</v>
      </c>
      <c r="C8912" s="19">
        <v>3</v>
      </c>
      <c r="D8912" s="19">
        <v>15.596099999999996</v>
      </c>
    </row>
    <row r="8913" spans="1:4" x14ac:dyDescent="0.2">
      <c r="A8913" s="19" t="s">
        <v>167</v>
      </c>
      <c r="B8913" s="19">
        <v>143.928</v>
      </c>
      <c r="C8913" s="19">
        <v>9</v>
      </c>
      <c r="D8913" s="19">
        <v>-32.383800000000008</v>
      </c>
    </row>
    <row r="8914" spans="1:4" x14ac:dyDescent="0.2">
      <c r="A8914" s="19" t="s">
        <v>167</v>
      </c>
      <c r="B8914" s="19">
        <v>3.5640000000000009</v>
      </c>
      <c r="C8914" s="19">
        <v>2</v>
      </c>
      <c r="D8914" s="19">
        <v>-2.9700000000000006</v>
      </c>
    </row>
    <row r="8915" spans="1:4" x14ac:dyDescent="0.2">
      <c r="A8915" s="19" t="s">
        <v>167</v>
      </c>
      <c r="B8915" s="19">
        <v>4.9280000000000008</v>
      </c>
      <c r="C8915" s="19">
        <v>2</v>
      </c>
      <c r="D8915" s="19">
        <v>1.7247999999999997</v>
      </c>
    </row>
    <row r="8916" spans="1:4" x14ac:dyDescent="0.2">
      <c r="A8916" s="19" t="s">
        <v>154</v>
      </c>
      <c r="B8916" s="19">
        <v>856.65600000000006</v>
      </c>
      <c r="C8916" s="19">
        <v>6</v>
      </c>
      <c r="D8916" s="19">
        <v>107.08199999999985</v>
      </c>
    </row>
    <row r="8917" spans="1:4" x14ac:dyDescent="0.2">
      <c r="A8917" s="19" t="s">
        <v>154</v>
      </c>
      <c r="B8917" s="19">
        <v>13.183999999999997</v>
      </c>
      <c r="C8917" s="19">
        <v>4</v>
      </c>
      <c r="D8917" s="19">
        <v>-20.435200000000002</v>
      </c>
    </row>
    <row r="8918" spans="1:4" x14ac:dyDescent="0.2">
      <c r="A8918" s="19" t="s">
        <v>154</v>
      </c>
      <c r="B8918" s="19">
        <v>48.783999999999985</v>
      </c>
      <c r="C8918" s="19">
        <v>4</v>
      </c>
      <c r="D8918" s="19">
        <v>-131.71680000000001</v>
      </c>
    </row>
    <row r="8919" spans="1:4" x14ac:dyDescent="0.2">
      <c r="A8919" s="19" t="s">
        <v>154</v>
      </c>
      <c r="B8919" s="19">
        <v>76.64</v>
      </c>
      <c r="C8919" s="19">
        <v>2</v>
      </c>
      <c r="D8919" s="19">
        <v>26.823999999999995</v>
      </c>
    </row>
    <row r="8920" spans="1:4" x14ac:dyDescent="0.2">
      <c r="A8920" s="19" t="s">
        <v>154</v>
      </c>
      <c r="B8920" s="19">
        <v>18.527999999999995</v>
      </c>
      <c r="C8920" s="19">
        <v>6</v>
      </c>
      <c r="D8920" s="19">
        <v>-27.791999999999994</v>
      </c>
    </row>
    <row r="8921" spans="1:4" x14ac:dyDescent="0.2">
      <c r="A8921" s="19" t="s">
        <v>166</v>
      </c>
      <c r="B8921" s="19">
        <v>177.68</v>
      </c>
      <c r="C8921" s="19">
        <v>2</v>
      </c>
      <c r="D8921" s="19">
        <v>46.196799999999996</v>
      </c>
    </row>
    <row r="8922" spans="1:4" x14ac:dyDescent="0.2">
      <c r="A8922" s="19" t="s">
        <v>164</v>
      </c>
      <c r="B8922" s="19">
        <v>159.97999999999999</v>
      </c>
      <c r="C8922" s="19">
        <v>2</v>
      </c>
      <c r="D8922" s="19">
        <v>57.592799999999997</v>
      </c>
    </row>
    <row r="8923" spans="1:4" x14ac:dyDescent="0.2">
      <c r="A8923" s="19" t="s">
        <v>151</v>
      </c>
      <c r="B8923" s="19">
        <v>52.679999999999993</v>
      </c>
      <c r="C8923" s="19">
        <v>3</v>
      </c>
      <c r="D8923" s="19">
        <v>19.754999999999999</v>
      </c>
    </row>
    <row r="8924" spans="1:4" x14ac:dyDescent="0.2">
      <c r="A8924" s="19" t="s">
        <v>151</v>
      </c>
      <c r="B8924" s="19">
        <v>11.568000000000001</v>
      </c>
      <c r="C8924" s="19">
        <v>3</v>
      </c>
      <c r="D8924" s="19">
        <v>2.6028000000000011</v>
      </c>
    </row>
    <row r="8925" spans="1:4" x14ac:dyDescent="0.2">
      <c r="A8925" s="19" t="s">
        <v>152</v>
      </c>
      <c r="B8925" s="19">
        <v>4.572000000000001</v>
      </c>
      <c r="C8925" s="19">
        <v>4</v>
      </c>
      <c r="D8925" s="19">
        <v>-3.8100000000000005</v>
      </c>
    </row>
    <row r="8926" spans="1:4" x14ac:dyDescent="0.2">
      <c r="A8926" s="19" t="s">
        <v>159</v>
      </c>
      <c r="B8926" s="19">
        <v>1439.9680000000001</v>
      </c>
      <c r="C8926" s="19">
        <v>4</v>
      </c>
      <c r="D8926" s="19">
        <v>143.99680000000006</v>
      </c>
    </row>
    <row r="8927" spans="1:4" x14ac:dyDescent="0.2">
      <c r="A8927" s="19" t="s">
        <v>159</v>
      </c>
      <c r="B8927" s="19">
        <v>1.7279999999999995</v>
      </c>
      <c r="C8927" s="19">
        <v>3</v>
      </c>
      <c r="D8927" s="19">
        <v>-2.678399999999999</v>
      </c>
    </row>
    <row r="8928" spans="1:4" x14ac:dyDescent="0.2">
      <c r="A8928" s="19" t="s">
        <v>159</v>
      </c>
      <c r="B8928" s="19">
        <v>626.09999999999991</v>
      </c>
      <c r="C8928" s="19">
        <v>3</v>
      </c>
      <c r="D8928" s="19">
        <v>-538.44600000000003</v>
      </c>
    </row>
    <row r="8929" spans="1:4" x14ac:dyDescent="0.2">
      <c r="A8929" s="19" t="s">
        <v>153</v>
      </c>
      <c r="B8929" s="19">
        <v>99.2</v>
      </c>
      <c r="C8929" s="19">
        <v>5</v>
      </c>
      <c r="D8929" s="19">
        <v>25.792000000000002</v>
      </c>
    </row>
    <row r="8930" spans="1:4" x14ac:dyDescent="0.2">
      <c r="A8930" s="19" t="s">
        <v>154</v>
      </c>
      <c r="B8930" s="19">
        <v>609.9799999999999</v>
      </c>
      <c r="C8930" s="19">
        <v>4</v>
      </c>
      <c r="D8930" s="19">
        <v>-113.28200000000004</v>
      </c>
    </row>
    <row r="8931" spans="1:4" x14ac:dyDescent="0.2">
      <c r="A8931" s="19" t="s">
        <v>154</v>
      </c>
      <c r="B8931" s="19">
        <v>211.37199999999999</v>
      </c>
      <c r="C8931" s="19">
        <v>2</v>
      </c>
      <c r="D8931" s="19">
        <v>-45.294000000000011</v>
      </c>
    </row>
    <row r="8932" spans="1:4" x14ac:dyDescent="0.2">
      <c r="A8932" s="19" t="s">
        <v>154</v>
      </c>
      <c r="B8932" s="19">
        <v>239.976</v>
      </c>
      <c r="C8932" s="19">
        <v>3</v>
      </c>
      <c r="D8932" s="19">
        <v>17.998199999999997</v>
      </c>
    </row>
    <row r="8933" spans="1:4" x14ac:dyDescent="0.2">
      <c r="A8933" s="19" t="s">
        <v>155</v>
      </c>
      <c r="B8933" s="19">
        <v>99.949999999999989</v>
      </c>
      <c r="C8933" s="19">
        <v>5</v>
      </c>
      <c r="D8933" s="19">
        <v>22.988499999999998</v>
      </c>
    </row>
    <row r="8934" spans="1:4" x14ac:dyDescent="0.2">
      <c r="A8934" s="19" t="s">
        <v>155</v>
      </c>
      <c r="B8934" s="19">
        <v>29.339999999999996</v>
      </c>
      <c r="C8934" s="19">
        <v>3</v>
      </c>
      <c r="D8934" s="19">
        <v>10.855799999999999</v>
      </c>
    </row>
    <row r="8935" spans="1:4" x14ac:dyDescent="0.2">
      <c r="A8935" s="19" t="s">
        <v>155</v>
      </c>
      <c r="B8935" s="19">
        <v>16.739999999999998</v>
      </c>
      <c r="C8935" s="19">
        <v>2</v>
      </c>
      <c r="D8935" s="19">
        <v>4.3523999999999994</v>
      </c>
    </row>
    <row r="8936" spans="1:4" x14ac:dyDescent="0.2">
      <c r="A8936" s="19" t="s">
        <v>158</v>
      </c>
      <c r="B8936" s="19">
        <v>12.672000000000001</v>
      </c>
      <c r="C8936" s="19">
        <v>3</v>
      </c>
      <c r="D8936" s="19">
        <v>3.96</v>
      </c>
    </row>
    <row r="8937" spans="1:4" x14ac:dyDescent="0.2">
      <c r="A8937" s="19" t="s">
        <v>158</v>
      </c>
      <c r="B8937" s="19">
        <v>1119.8880000000001</v>
      </c>
      <c r="C8937" s="19">
        <v>14</v>
      </c>
      <c r="D8937" s="19">
        <v>209.97899999999993</v>
      </c>
    </row>
    <row r="8938" spans="1:4" x14ac:dyDescent="0.2">
      <c r="A8938" s="19" t="s">
        <v>150</v>
      </c>
      <c r="B8938" s="19">
        <v>204.85</v>
      </c>
      <c r="C8938" s="19">
        <v>5</v>
      </c>
      <c r="D8938" s="19">
        <v>53.261000000000003</v>
      </c>
    </row>
    <row r="8939" spans="1:4" x14ac:dyDescent="0.2">
      <c r="A8939" s="19" t="s">
        <v>150</v>
      </c>
      <c r="B8939" s="19">
        <v>135.98400000000001</v>
      </c>
      <c r="C8939" s="19">
        <v>2</v>
      </c>
      <c r="D8939" s="19">
        <v>16.997999999999983</v>
      </c>
    </row>
    <row r="8940" spans="1:4" x14ac:dyDescent="0.2">
      <c r="A8940" s="19" t="s">
        <v>150</v>
      </c>
      <c r="B8940" s="19">
        <v>16.399999999999999</v>
      </c>
      <c r="C8940" s="19">
        <v>5</v>
      </c>
      <c r="D8940" s="19">
        <v>7.0520000000000005</v>
      </c>
    </row>
    <row r="8941" spans="1:4" x14ac:dyDescent="0.2">
      <c r="A8941" s="19" t="s">
        <v>150</v>
      </c>
      <c r="B8941" s="19">
        <v>92.960000000000008</v>
      </c>
      <c r="C8941" s="19">
        <v>2</v>
      </c>
      <c r="D8941" s="19">
        <v>31.373999999999995</v>
      </c>
    </row>
    <row r="8942" spans="1:4" x14ac:dyDescent="0.2">
      <c r="A8942" s="19" t="s">
        <v>151</v>
      </c>
      <c r="B8942" s="19">
        <v>7.6320000000000014</v>
      </c>
      <c r="C8942" s="19">
        <v>3</v>
      </c>
      <c r="D8942" s="19">
        <v>-1.8126000000000002</v>
      </c>
    </row>
    <row r="8943" spans="1:4" x14ac:dyDescent="0.2">
      <c r="A8943" s="19" t="s">
        <v>170</v>
      </c>
      <c r="B8943" s="19">
        <v>4.1580000000000004</v>
      </c>
      <c r="C8943" s="19">
        <v>7</v>
      </c>
      <c r="D8943" s="19">
        <v>-3.4649999999999999</v>
      </c>
    </row>
    <row r="8944" spans="1:4" x14ac:dyDescent="0.2">
      <c r="A8944" s="19" t="s">
        <v>170</v>
      </c>
      <c r="B8944" s="19">
        <v>179.99100000000004</v>
      </c>
      <c r="C8944" s="19">
        <v>3</v>
      </c>
      <c r="D8944" s="19">
        <v>-251.98739999999992</v>
      </c>
    </row>
    <row r="8945" spans="1:4" x14ac:dyDescent="0.2">
      <c r="A8945" s="19" t="s">
        <v>159</v>
      </c>
      <c r="B8945" s="19">
        <v>239.358</v>
      </c>
      <c r="C8945" s="19">
        <v>3</v>
      </c>
      <c r="D8945" s="19">
        <v>-47.871600000000001</v>
      </c>
    </row>
    <row r="8946" spans="1:4" x14ac:dyDescent="0.2">
      <c r="A8946" s="19" t="s">
        <v>150</v>
      </c>
      <c r="B8946" s="19">
        <v>164.88</v>
      </c>
      <c r="C8946" s="19">
        <v>3</v>
      </c>
      <c r="D8946" s="19">
        <v>80.791200000000003</v>
      </c>
    </row>
    <row r="8947" spans="1:4" x14ac:dyDescent="0.2">
      <c r="A8947" s="19" t="s">
        <v>150</v>
      </c>
      <c r="B8947" s="19">
        <v>10.95</v>
      </c>
      <c r="C8947" s="19">
        <v>3</v>
      </c>
      <c r="D8947" s="19">
        <v>3.2849999999999993</v>
      </c>
    </row>
    <row r="8948" spans="1:4" x14ac:dyDescent="0.2">
      <c r="A8948" s="19" t="s">
        <v>180</v>
      </c>
      <c r="B8948" s="19">
        <v>19.440000000000001</v>
      </c>
      <c r="C8948" s="19">
        <v>3</v>
      </c>
      <c r="D8948" s="19">
        <v>9.3312000000000008</v>
      </c>
    </row>
    <row r="8949" spans="1:4" x14ac:dyDescent="0.2">
      <c r="A8949" s="19" t="s">
        <v>180</v>
      </c>
      <c r="B8949" s="19">
        <v>12.3</v>
      </c>
      <c r="C8949" s="19">
        <v>5</v>
      </c>
      <c r="D8949" s="19">
        <v>6.15</v>
      </c>
    </row>
    <row r="8950" spans="1:4" x14ac:dyDescent="0.2">
      <c r="A8950" s="19" t="s">
        <v>150</v>
      </c>
      <c r="B8950" s="19">
        <v>13.97</v>
      </c>
      <c r="C8950" s="19">
        <v>1</v>
      </c>
      <c r="D8950" s="19">
        <v>3.632200000000001</v>
      </c>
    </row>
    <row r="8951" spans="1:4" x14ac:dyDescent="0.2">
      <c r="A8951" s="19" t="s">
        <v>167</v>
      </c>
      <c r="B8951" s="19">
        <v>934.9559999999999</v>
      </c>
      <c r="C8951" s="19">
        <v>6</v>
      </c>
      <c r="D8951" s="19">
        <v>-249.32159999999999</v>
      </c>
    </row>
    <row r="8952" spans="1:4" x14ac:dyDescent="0.2">
      <c r="A8952" s="19" t="s">
        <v>167</v>
      </c>
      <c r="B8952" s="19">
        <v>46.864000000000004</v>
      </c>
      <c r="C8952" s="19">
        <v>2</v>
      </c>
      <c r="D8952" s="19">
        <v>7.615399999999994</v>
      </c>
    </row>
    <row r="8953" spans="1:4" x14ac:dyDescent="0.2">
      <c r="A8953" s="19" t="s">
        <v>167</v>
      </c>
      <c r="B8953" s="19">
        <v>26.160000000000004</v>
      </c>
      <c r="C8953" s="19">
        <v>3</v>
      </c>
      <c r="D8953" s="19">
        <v>1.961999999999998</v>
      </c>
    </row>
    <row r="8954" spans="1:4" x14ac:dyDescent="0.2">
      <c r="A8954" s="19" t="s">
        <v>167</v>
      </c>
      <c r="B8954" s="19">
        <v>23.128</v>
      </c>
      <c r="C8954" s="19">
        <v>7</v>
      </c>
      <c r="D8954" s="19">
        <v>2.8909999999999982</v>
      </c>
    </row>
    <row r="8955" spans="1:4" x14ac:dyDescent="0.2">
      <c r="A8955" s="19" t="s">
        <v>167</v>
      </c>
      <c r="B8955" s="19">
        <v>59.24</v>
      </c>
      <c r="C8955" s="19">
        <v>5</v>
      </c>
      <c r="D8955" s="19">
        <v>16.290999999999997</v>
      </c>
    </row>
    <row r="8956" spans="1:4" x14ac:dyDescent="0.2">
      <c r="A8956" s="19" t="s">
        <v>151</v>
      </c>
      <c r="B8956" s="19">
        <v>155.45600000000002</v>
      </c>
      <c r="C8956" s="19">
        <v>4</v>
      </c>
      <c r="D8956" s="19">
        <v>-7.7727999999999895</v>
      </c>
    </row>
    <row r="8957" spans="1:4" x14ac:dyDescent="0.2">
      <c r="A8957" s="19" t="s">
        <v>150</v>
      </c>
      <c r="B8957" s="19">
        <v>8.56</v>
      </c>
      <c r="C8957" s="19">
        <v>2</v>
      </c>
      <c r="D8957" s="19">
        <v>3.8519999999999994</v>
      </c>
    </row>
    <row r="8958" spans="1:4" x14ac:dyDescent="0.2">
      <c r="A8958" s="19" t="s">
        <v>151</v>
      </c>
      <c r="B8958" s="19">
        <v>21</v>
      </c>
      <c r="C8958" s="19">
        <v>3</v>
      </c>
      <c r="D8958" s="19">
        <v>5.7750000000000021</v>
      </c>
    </row>
    <row r="8959" spans="1:4" x14ac:dyDescent="0.2">
      <c r="A8959" s="19" t="s">
        <v>151</v>
      </c>
      <c r="B8959" s="19">
        <v>120</v>
      </c>
      <c r="C8959" s="19">
        <v>2</v>
      </c>
      <c r="D8959" s="19">
        <v>-7.2000000000000028</v>
      </c>
    </row>
    <row r="8960" spans="1:4" x14ac:dyDescent="0.2">
      <c r="A8960" s="19" t="s">
        <v>154</v>
      </c>
      <c r="B8960" s="19">
        <v>299.95999999999998</v>
      </c>
      <c r="C8960" s="19">
        <v>5</v>
      </c>
      <c r="D8960" s="19">
        <v>37.494999999999962</v>
      </c>
    </row>
    <row r="8961" spans="1:4" x14ac:dyDescent="0.2">
      <c r="A8961" s="19" t="s">
        <v>154</v>
      </c>
      <c r="B8961" s="19">
        <v>67.839999999999989</v>
      </c>
      <c r="C8961" s="19">
        <v>5</v>
      </c>
      <c r="D8961" s="19">
        <v>-179.77600000000001</v>
      </c>
    </row>
    <row r="8962" spans="1:4" x14ac:dyDescent="0.2">
      <c r="A8962" s="19" t="s">
        <v>154</v>
      </c>
      <c r="B8962" s="19">
        <v>853.92999999999984</v>
      </c>
      <c r="C8962" s="19">
        <v>5</v>
      </c>
      <c r="D8962" s="19">
        <v>-24.397999999999911</v>
      </c>
    </row>
    <row r="8963" spans="1:4" x14ac:dyDescent="0.2">
      <c r="A8963" s="19" t="s">
        <v>154</v>
      </c>
      <c r="B8963" s="19">
        <v>18.687999999999999</v>
      </c>
      <c r="C8963" s="19">
        <v>4</v>
      </c>
      <c r="D8963" s="19">
        <v>3.7375999999999996</v>
      </c>
    </row>
    <row r="8964" spans="1:4" x14ac:dyDescent="0.2">
      <c r="A8964" s="19" t="s">
        <v>166</v>
      </c>
      <c r="B8964" s="19">
        <v>273.95999999999998</v>
      </c>
      <c r="C8964" s="19">
        <v>2</v>
      </c>
      <c r="D8964" s="19">
        <v>71.229600000000005</v>
      </c>
    </row>
    <row r="8965" spans="1:4" x14ac:dyDescent="0.2">
      <c r="A8965" s="19" t="s">
        <v>166</v>
      </c>
      <c r="B8965" s="19">
        <v>89.97</v>
      </c>
      <c r="C8965" s="19">
        <v>3</v>
      </c>
      <c r="D8965" s="19">
        <v>18.893699999999995</v>
      </c>
    </row>
    <row r="8966" spans="1:4" x14ac:dyDescent="0.2">
      <c r="A8966" s="19" t="s">
        <v>166</v>
      </c>
      <c r="B8966" s="19">
        <v>756.80000000000007</v>
      </c>
      <c r="C8966" s="19">
        <v>5</v>
      </c>
      <c r="D8966" s="19">
        <v>75.679999999999978</v>
      </c>
    </row>
    <row r="8967" spans="1:4" x14ac:dyDescent="0.2">
      <c r="A8967" s="19" t="s">
        <v>154</v>
      </c>
      <c r="B8967" s="19">
        <v>1.2479999999999998</v>
      </c>
      <c r="C8967" s="19">
        <v>2</v>
      </c>
      <c r="D8967" s="19">
        <v>-1.934400000000001</v>
      </c>
    </row>
    <row r="8968" spans="1:4" x14ac:dyDescent="0.2">
      <c r="A8968" s="19" t="s">
        <v>158</v>
      </c>
      <c r="B8968" s="19">
        <v>72</v>
      </c>
      <c r="C8968" s="19">
        <v>1</v>
      </c>
      <c r="D8968" s="19">
        <v>14.399999999999999</v>
      </c>
    </row>
    <row r="8969" spans="1:4" x14ac:dyDescent="0.2">
      <c r="A8969" s="19" t="s">
        <v>158</v>
      </c>
      <c r="B8969" s="19">
        <v>470.15499999999997</v>
      </c>
      <c r="C8969" s="19">
        <v>7</v>
      </c>
      <c r="D8969" s="19">
        <v>-13.432999999999993</v>
      </c>
    </row>
    <row r="8970" spans="1:4" x14ac:dyDescent="0.2">
      <c r="A8970" s="19" t="s">
        <v>167</v>
      </c>
      <c r="B8970" s="19">
        <v>39.128</v>
      </c>
      <c r="C8970" s="19">
        <v>1</v>
      </c>
      <c r="D8970" s="19">
        <v>-8.803799999999999</v>
      </c>
    </row>
    <row r="8971" spans="1:4" x14ac:dyDescent="0.2">
      <c r="A8971" s="19" t="s">
        <v>173</v>
      </c>
      <c r="B8971" s="19">
        <v>19.728000000000002</v>
      </c>
      <c r="C8971" s="19">
        <v>9</v>
      </c>
      <c r="D8971" s="19">
        <v>1.7262000000000022</v>
      </c>
    </row>
    <row r="8972" spans="1:4" x14ac:dyDescent="0.2">
      <c r="A8972" s="19" t="s">
        <v>173</v>
      </c>
      <c r="B8972" s="19">
        <v>151.18799999999999</v>
      </c>
      <c r="C8972" s="19">
        <v>2</v>
      </c>
      <c r="D8972" s="19">
        <v>-25.198000000000008</v>
      </c>
    </row>
    <row r="8973" spans="1:4" x14ac:dyDescent="0.2">
      <c r="A8973" s="19" t="s">
        <v>164</v>
      </c>
      <c r="B8973" s="19">
        <v>271.76400000000001</v>
      </c>
      <c r="C8973" s="19">
        <v>2</v>
      </c>
      <c r="D8973" s="19">
        <v>60.391999999999967</v>
      </c>
    </row>
    <row r="8974" spans="1:4" x14ac:dyDescent="0.2">
      <c r="A8974" s="19" t="s">
        <v>158</v>
      </c>
      <c r="B8974" s="19">
        <v>47.496000000000002</v>
      </c>
      <c r="C8974" s="19">
        <v>1</v>
      </c>
      <c r="D8974" s="19">
        <v>-1.187400000000002</v>
      </c>
    </row>
    <row r="8975" spans="1:4" x14ac:dyDescent="0.2">
      <c r="A8975" s="19" t="s">
        <v>150</v>
      </c>
      <c r="B8975" s="19">
        <v>344.98099999999994</v>
      </c>
      <c r="C8975" s="19">
        <v>7</v>
      </c>
      <c r="D8975" s="19">
        <v>28.410200000000017</v>
      </c>
    </row>
    <row r="8976" spans="1:4" x14ac:dyDescent="0.2">
      <c r="A8976" s="19" t="s">
        <v>154</v>
      </c>
      <c r="B8976" s="19">
        <v>36.288000000000011</v>
      </c>
      <c r="C8976" s="19">
        <v>7</v>
      </c>
      <c r="D8976" s="19">
        <v>12.700800000000001</v>
      </c>
    </row>
    <row r="8977" spans="1:4" x14ac:dyDescent="0.2">
      <c r="A8977" s="19" t="s">
        <v>154</v>
      </c>
      <c r="B8977" s="19">
        <v>78.304000000000002</v>
      </c>
      <c r="C8977" s="19">
        <v>2</v>
      </c>
      <c r="D8977" s="19">
        <v>29.363999999999997</v>
      </c>
    </row>
    <row r="8978" spans="1:4" x14ac:dyDescent="0.2">
      <c r="A8978" s="19" t="s">
        <v>154</v>
      </c>
      <c r="B8978" s="19">
        <v>127.785</v>
      </c>
      <c r="C8978" s="19">
        <v>1</v>
      </c>
      <c r="D8978" s="19">
        <v>-31.033499999999989</v>
      </c>
    </row>
    <row r="8979" spans="1:4" x14ac:dyDescent="0.2">
      <c r="A8979" s="19" t="s">
        <v>154</v>
      </c>
      <c r="B8979" s="19">
        <v>6.1039999999999983</v>
      </c>
      <c r="C8979" s="19">
        <v>2</v>
      </c>
      <c r="D8979" s="19">
        <v>-9.1560000000000006</v>
      </c>
    </row>
    <row r="8980" spans="1:4" x14ac:dyDescent="0.2">
      <c r="A8980" s="19" t="s">
        <v>179</v>
      </c>
      <c r="B8980" s="19">
        <v>5.76</v>
      </c>
      <c r="C8980" s="19">
        <v>2</v>
      </c>
      <c r="D8980" s="19">
        <v>2.8224</v>
      </c>
    </row>
    <row r="8981" spans="1:4" x14ac:dyDescent="0.2">
      <c r="A8981" s="19" t="s">
        <v>154</v>
      </c>
      <c r="B8981" s="19">
        <v>1.7199999999999995</v>
      </c>
      <c r="C8981" s="19">
        <v>1</v>
      </c>
      <c r="D8981" s="19">
        <v>-2.8380000000000001</v>
      </c>
    </row>
    <row r="8982" spans="1:4" x14ac:dyDescent="0.2">
      <c r="A8982" s="19" t="s">
        <v>159</v>
      </c>
      <c r="B8982" s="19">
        <v>8.9519999999999982</v>
      </c>
      <c r="C8982" s="19">
        <v>2</v>
      </c>
      <c r="D8982" s="19">
        <v>-14.770800000000001</v>
      </c>
    </row>
    <row r="8983" spans="1:4" x14ac:dyDescent="0.2">
      <c r="A8983" s="19" t="s">
        <v>159</v>
      </c>
      <c r="B8983" s="19">
        <v>2.3339999999999996</v>
      </c>
      <c r="C8983" s="19">
        <v>3</v>
      </c>
      <c r="D8983" s="19">
        <v>-6.3018000000000001</v>
      </c>
    </row>
    <row r="8984" spans="1:4" x14ac:dyDescent="0.2">
      <c r="A8984" s="19" t="s">
        <v>159</v>
      </c>
      <c r="B8984" s="19">
        <v>1.7279999999999998</v>
      </c>
      <c r="C8984" s="19">
        <v>4</v>
      </c>
      <c r="D8984" s="19">
        <v>-2.764800000000001</v>
      </c>
    </row>
    <row r="8985" spans="1:4" x14ac:dyDescent="0.2">
      <c r="A8985" s="19" t="s">
        <v>159</v>
      </c>
      <c r="B8985" s="19">
        <v>159.04</v>
      </c>
      <c r="C8985" s="19">
        <v>5</v>
      </c>
      <c r="D8985" s="19">
        <v>-194.82400000000001</v>
      </c>
    </row>
    <row r="8986" spans="1:4" x14ac:dyDescent="0.2">
      <c r="A8986" s="19" t="s">
        <v>159</v>
      </c>
      <c r="B8986" s="19">
        <v>145.97999999999999</v>
      </c>
      <c r="C8986" s="19">
        <v>2</v>
      </c>
      <c r="D8986" s="19">
        <v>-99.266399999999976</v>
      </c>
    </row>
    <row r="8987" spans="1:4" x14ac:dyDescent="0.2">
      <c r="A8987" s="19" t="s">
        <v>152</v>
      </c>
      <c r="B8987" s="19">
        <v>77.951999999999998</v>
      </c>
      <c r="C8987" s="19">
        <v>3</v>
      </c>
      <c r="D8987" s="19">
        <v>12.667199999999994</v>
      </c>
    </row>
    <row r="8988" spans="1:4" x14ac:dyDescent="0.2">
      <c r="A8988" s="19" t="s">
        <v>152</v>
      </c>
      <c r="B8988" s="19">
        <v>95.970000000000013</v>
      </c>
      <c r="C8988" s="19">
        <v>5</v>
      </c>
      <c r="D8988" s="19">
        <v>-73.57699999999997</v>
      </c>
    </row>
    <row r="8989" spans="1:4" x14ac:dyDescent="0.2">
      <c r="A8989" s="19" t="s">
        <v>152</v>
      </c>
      <c r="B8989" s="19">
        <v>105.584</v>
      </c>
      <c r="C8989" s="19">
        <v>2</v>
      </c>
      <c r="D8989" s="19">
        <v>9.2386000000000053</v>
      </c>
    </row>
    <row r="8990" spans="1:4" x14ac:dyDescent="0.2">
      <c r="A8990" s="19" t="s">
        <v>152</v>
      </c>
      <c r="B8990" s="19">
        <v>9.3439999999999994</v>
      </c>
      <c r="C8990" s="19">
        <v>2</v>
      </c>
      <c r="D8990" s="19">
        <v>1.1679999999999997</v>
      </c>
    </row>
    <row r="8991" spans="1:4" x14ac:dyDescent="0.2">
      <c r="A8991" s="19" t="s">
        <v>174</v>
      </c>
      <c r="B8991" s="19">
        <v>9.68</v>
      </c>
      <c r="C8991" s="19">
        <v>2</v>
      </c>
      <c r="D8991" s="19">
        <v>3.7751999999999999</v>
      </c>
    </row>
    <row r="8992" spans="1:4" x14ac:dyDescent="0.2">
      <c r="A8992" s="19" t="s">
        <v>174</v>
      </c>
      <c r="B8992" s="19">
        <v>4899.93</v>
      </c>
      <c r="C8992" s="19">
        <v>7</v>
      </c>
      <c r="D8992" s="19">
        <v>2302.9670999999998</v>
      </c>
    </row>
    <row r="8993" spans="1:4" x14ac:dyDescent="0.2">
      <c r="A8993" s="19" t="s">
        <v>150</v>
      </c>
      <c r="B8993" s="19">
        <v>104.75</v>
      </c>
      <c r="C8993" s="19">
        <v>5</v>
      </c>
      <c r="D8993" s="19">
        <v>21.997499999999999</v>
      </c>
    </row>
    <row r="8994" spans="1:4" x14ac:dyDescent="0.2">
      <c r="A8994" s="19" t="s">
        <v>167</v>
      </c>
      <c r="B8994" s="19">
        <v>18.528000000000002</v>
      </c>
      <c r="C8994" s="19">
        <v>2</v>
      </c>
      <c r="D8994" s="19">
        <v>4.4004000000000003</v>
      </c>
    </row>
    <row r="8995" spans="1:4" x14ac:dyDescent="0.2">
      <c r="A8995" s="19" t="s">
        <v>167</v>
      </c>
      <c r="B8995" s="19">
        <v>1875.258</v>
      </c>
      <c r="C8995" s="19">
        <v>7</v>
      </c>
      <c r="D8995" s="19">
        <v>-968.88329999999996</v>
      </c>
    </row>
    <row r="8996" spans="1:4" x14ac:dyDescent="0.2">
      <c r="A8996" s="19" t="s">
        <v>151</v>
      </c>
      <c r="B8996" s="19">
        <v>91.360000000000014</v>
      </c>
      <c r="C8996" s="19">
        <v>5</v>
      </c>
      <c r="D8996" s="19">
        <v>29.691999999999993</v>
      </c>
    </row>
    <row r="8997" spans="1:4" x14ac:dyDescent="0.2">
      <c r="A8997" s="19" t="s">
        <v>151</v>
      </c>
      <c r="B8997" s="19">
        <v>152.24</v>
      </c>
      <c r="C8997" s="19">
        <v>5</v>
      </c>
      <c r="D8997" s="19">
        <v>17.126999999999988</v>
      </c>
    </row>
    <row r="8998" spans="1:4" x14ac:dyDescent="0.2">
      <c r="A8998" s="19" t="s">
        <v>154</v>
      </c>
      <c r="B8998" s="19">
        <v>35.183999999999997</v>
      </c>
      <c r="C8998" s="19">
        <v>2</v>
      </c>
      <c r="D8998" s="19">
        <v>12.314399999999999</v>
      </c>
    </row>
    <row r="8999" spans="1:4" x14ac:dyDescent="0.2">
      <c r="A8999" s="19" t="s">
        <v>154</v>
      </c>
      <c r="B8999" s="19">
        <v>56.704000000000001</v>
      </c>
      <c r="C8999" s="19">
        <v>2</v>
      </c>
      <c r="D8999" s="19">
        <v>19.137599999999992</v>
      </c>
    </row>
    <row r="9000" spans="1:4" x14ac:dyDescent="0.2">
      <c r="A9000" s="19" t="s">
        <v>154</v>
      </c>
      <c r="B9000" s="19">
        <v>274.06400000000002</v>
      </c>
      <c r="C9000" s="19">
        <v>7</v>
      </c>
      <c r="D9000" s="19">
        <v>102.77399999999999</v>
      </c>
    </row>
    <row r="9001" spans="1:4" x14ac:dyDescent="0.2">
      <c r="A9001" s="19" t="s">
        <v>158</v>
      </c>
      <c r="B9001" s="19">
        <v>458.42999999999995</v>
      </c>
      <c r="C9001" s="19">
        <v>5</v>
      </c>
      <c r="D9001" s="19">
        <v>-124.431</v>
      </c>
    </row>
    <row r="9002" spans="1:4" x14ac:dyDescent="0.2">
      <c r="A9002" s="19" t="s">
        <v>165</v>
      </c>
      <c r="B9002" s="19">
        <v>8.2260000000000009</v>
      </c>
      <c r="C9002" s="19">
        <v>3</v>
      </c>
      <c r="D9002" s="19">
        <v>-6.0323999999999991</v>
      </c>
    </row>
    <row r="9003" spans="1:4" x14ac:dyDescent="0.2">
      <c r="A9003" s="19" t="s">
        <v>101</v>
      </c>
      <c r="B9003" s="19">
        <v>5.95</v>
      </c>
      <c r="C9003" s="19">
        <v>1</v>
      </c>
      <c r="D9003" s="19">
        <v>0.83300000000000018</v>
      </c>
    </row>
    <row r="9004" spans="1:4" x14ac:dyDescent="0.2">
      <c r="A9004" s="19" t="s">
        <v>101</v>
      </c>
      <c r="B9004" s="19">
        <v>15.24</v>
      </c>
      <c r="C9004" s="19">
        <v>3</v>
      </c>
      <c r="D9004" s="19">
        <v>7.1627999999999998</v>
      </c>
    </row>
    <row r="9005" spans="1:4" x14ac:dyDescent="0.2">
      <c r="A9005" s="19" t="s">
        <v>153</v>
      </c>
      <c r="B9005" s="19">
        <v>239.94</v>
      </c>
      <c r="C9005" s="19">
        <v>6</v>
      </c>
      <c r="D9005" s="19">
        <v>26.393399999999986</v>
      </c>
    </row>
    <row r="9006" spans="1:4" x14ac:dyDescent="0.2">
      <c r="A9006" s="19" t="s">
        <v>153</v>
      </c>
      <c r="B9006" s="19">
        <v>23.84</v>
      </c>
      <c r="C9006" s="19">
        <v>8</v>
      </c>
      <c r="D9006" s="19">
        <v>6.4368000000000016</v>
      </c>
    </row>
    <row r="9007" spans="1:4" x14ac:dyDescent="0.2">
      <c r="A9007" s="19" t="s">
        <v>155</v>
      </c>
      <c r="B9007" s="19">
        <v>92.52</v>
      </c>
      <c r="C9007" s="19">
        <v>6</v>
      </c>
      <c r="D9007" s="19">
        <v>24.980400000000007</v>
      </c>
    </row>
    <row r="9008" spans="1:4" x14ac:dyDescent="0.2">
      <c r="A9008" s="19" t="s">
        <v>155</v>
      </c>
      <c r="B9008" s="19">
        <v>37.76</v>
      </c>
      <c r="C9008" s="19">
        <v>1</v>
      </c>
      <c r="D9008" s="19">
        <v>10.572800000000001</v>
      </c>
    </row>
    <row r="9009" spans="1:4" x14ac:dyDescent="0.2">
      <c r="A9009" s="19" t="s">
        <v>155</v>
      </c>
      <c r="B9009" s="19">
        <v>7.38</v>
      </c>
      <c r="C9009" s="19">
        <v>2</v>
      </c>
      <c r="D9009" s="19">
        <v>3.4685999999999999</v>
      </c>
    </row>
    <row r="9010" spans="1:4" x14ac:dyDescent="0.2">
      <c r="A9010" s="19" t="s">
        <v>155</v>
      </c>
      <c r="B9010" s="19">
        <v>5.82</v>
      </c>
      <c r="C9010" s="19">
        <v>2</v>
      </c>
      <c r="D9010" s="19">
        <v>2.7353999999999998</v>
      </c>
    </row>
    <row r="9011" spans="1:4" x14ac:dyDescent="0.2">
      <c r="A9011" s="19" t="s">
        <v>173</v>
      </c>
      <c r="B9011" s="19">
        <v>3.8159999999999998</v>
      </c>
      <c r="C9011" s="19">
        <v>1</v>
      </c>
      <c r="D9011" s="19">
        <v>1.1924999999999997</v>
      </c>
    </row>
    <row r="9012" spans="1:4" x14ac:dyDescent="0.2">
      <c r="A9012" s="19" t="s">
        <v>168</v>
      </c>
      <c r="B9012" s="19">
        <v>26.16</v>
      </c>
      <c r="C9012" s="19">
        <v>4</v>
      </c>
      <c r="D9012" s="19">
        <v>12.8184</v>
      </c>
    </row>
    <row r="9013" spans="1:4" x14ac:dyDescent="0.2">
      <c r="A9013" s="19" t="s">
        <v>154</v>
      </c>
      <c r="B9013" s="19">
        <v>100.80000000000001</v>
      </c>
      <c r="C9013" s="19">
        <v>2</v>
      </c>
      <c r="D9013" s="19">
        <v>21.42</v>
      </c>
    </row>
    <row r="9014" spans="1:4" x14ac:dyDescent="0.2">
      <c r="A9014" s="19" t="s">
        <v>164</v>
      </c>
      <c r="B9014" s="19">
        <v>135.79999999999998</v>
      </c>
      <c r="C9014" s="19">
        <v>7</v>
      </c>
      <c r="D9014" s="19">
        <v>66.541999999999987</v>
      </c>
    </row>
    <row r="9015" spans="1:4" x14ac:dyDescent="0.2">
      <c r="A9015" s="19" t="s">
        <v>150</v>
      </c>
      <c r="B9015" s="19">
        <v>13.899999999999999</v>
      </c>
      <c r="C9015" s="19">
        <v>5</v>
      </c>
      <c r="D9015" s="19">
        <v>3.7529999999999997</v>
      </c>
    </row>
    <row r="9016" spans="1:4" x14ac:dyDescent="0.2">
      <c r="A9016" s="19" t="s">
        <v>150</v>
      </c>
      <c r="B9016" s="19">
        <v>19.399999999999999</v>
      </c>
      <c r="C9016" s="19">
        <v>5</v>
      </c>
      <c r="D9016" s="19">
        <v>9.3120000000000012</v>
      </c>
    </row>
    <row r="9017" spans="1:4" x14ac:dyDescent="0.2">
      <c r="A9017" s="19" t="s">
        <v>176</v>
      </c>
      <c r="B9017" s="19">
        <v>13.488</v>
      </c>
      <c r="C9017" s="19">
        <v>2</v>
      </c>
      <c r="D9017" s="19">
        <v>4.3835999999999995</v>
      </c>
    </row>
    <row r="9018" spans="1:4" x14ac:dyDescent="0.2">
      <c r="A9018" s="19" t="s">
        <v>176</v>
      </c>
      <c r="B9018" s="19">
        <v>11.416</v>
      </c>
      <c r="C9018" s="19">
        <v>1</v>
      </c>
      <c r="D9018" s="19">
        <v>3.8528999999999991</v>
      </c>
    </row>
    <row r="9019" spans="1:4" x14ac:dyDescent="0.2">
      <c r="A9019" s="19" t="s">
        <v>193</v>
      </c>
      <c r="B9019" s="19">
        <v>17.64</v>
      </c>
      <c r="C9019" s="19">
        <v>3</v>
      </c>
      <c r="D9019" s="19">
        <v>8.6435999999999993</v>
      </c>
    </row>
    <row r="9020" spans="1:4" x14ac:dyDescent="0.2">
      <c r="A9020" s="19" t="s">
        <v>193</v>
      </c>
      <c r="B9020" s="19">
        <v>17.04</v>
      </c>
      <c r="C9020" s="19">
        <v>3</v>
      </c>
      <c r="D9020" s="19">
        <v>5.5379999999999985</v>
      </c>
    </row>
    <row r="9021" spans="1:4" x14ac:dyDescent="0.2">
      <c r="A9021" s="19" t="s">
        <v>166</v>
      </c>
      <c r="B9021" s="19">
        <v>99.98</v>
      </c>
      <c r="C9021" s="19">
        <v>2</v>
      </c>
      <c r="D9021" s="19">
        <v>7.9983999999999895</v>
      </c>
    </row>
    <row r="9022" spans="1:4" x14ac:dyDescent="0.2">
      <c r="A9022" s="19" t="s">
        <v>166</v>
      </c>
      <c r="B9022" s="19">
        <v>29.46</v>
      </c>
      <c r="C9022" s="19">
        <v>6</v>
      </c>
      <c r="D9022" s="19">
        <v>9.7217999999999982</v>
      </c>
    </row>
    <row r="9023" spans="1:4" x14ac:dyDescent="0.2">
      <c r="A9023" s="19" t="s">
        <v>173</v>
      </c>
      <c r="B9023" s="19">
        <v>166.92000000000002</v>
      </c>
      <c r="C9023" s="19">
        <v>13</v>
      </c>
      <c r="D9023" s="19">
        <v>-116.84399999999999</v>
      </c>
    </row>
    <row r="9024" spans="1:4" x14ac:dyDescent="0.2">
      <c r="A9024" s="19" t="s">
        <v>171</v>
      </c>
      <c r="B9024" s="19">
        <v>98.328000000000003</v>
      </c>
      <c r="C9024" s="19">
        <v>3</v>
      </c>
      <c r="D9024" s="19">
        <v>9.832800000000006</v>
      </c>
    </row>
    <row r="9025" spans="1:4" x14ac:dyDescent="0.2">
      <c r="A9025" s="19" t="s">
        <v>164</v>
      </c>
      <c r="B9025" s="19">
        <v>117.88199999999999</v>
      </c>
      <c r="C9025" s="19">
        <v>1</v>
      </c>
      <c r="D9025" s="19">
        <v>1.3097999999999956</v>
      </c>
    </row>
    <row r="9026" spans="1:4" x14ac:dyDescent="0.2">
      <c r="A9026" s="19" t="s">
        <v>164</v>
      </c>
      <c r="B9026" s="19">
        <v>20.97</v>
      </c>
      <c r="C9026" s="19">
        <v>3</v>
      </c>
      <c r="D9026" s="19">
        <v>9.017100000000001</v>
      </c>
    </row>
    <row r="9027" spans="1:4" x14ac:dyDescent="0.2">
      <c r="A9027" s="19" t="s">
        <v>164</v>
      </c>
      <c r="B9027" s="19">
        <v>139.96</v>
      </c>
      <c r="C9027" s="19">
        <v>4</v>
      </c>
      <c r="D9027" s="19">
        <v>9.7972000000000037</v>
      </c>
    </row>
    <row r="9028" spans="1:4" x14ac:dyDescent="0.2">
      <c r="A9028" s="19" t="s">
        <v>164</v>
      </c>
      <c r="B9028" s="19">
        <v>37.74</v>
      </c>
      <c r="C9028" s="19">
        <v>3</v>
      </c>
      <c r="D9028" s="19">
        <v>12.831599999999996</v>
      </c>
    </row>
    <row r="9029" spans="1:4" x14ac:dyDescent="0.2">
      <c r="A9029" s="19" t="s">
        <v>180</v>
      </c>
      <c r="B9029" s="19">
        <v>14.82</v>
      </c>
      <c r="C9029" s="19">
        <v>3</v>
      </c>
      <c r="D9029" s="19">
        <v>6.224400000000001</v>
      </c>
    </row>
    <row r="9030" spans="1:4" x14ac:dyDescent="0.2">
      <c r="A9030" s="19" t="s">
        <v>180</v>
      </c>
      <c r="B9030" s="19">
        <v>191.82</v>
      </c>
      <c r="C9030" s="19">
        <v>3</v>
      </c>
      <c r="D9030" s="19">
        <v>61.382399999999997</v>
      </c>
    </row>
    <row r="9031" spans="1:4" x14ac:dyDescent="0.2">
      <c r="A9031" s="19" t="s">
        <v>164</v>
      </c>
      <c r="B9031" s="19">
        <v>13.904</v>
      </c>
      <c r="C9031" s="19">
        <v>2</v>
      </c>
      <c r="D9031" s="19">
        <v>4.5187999999999997</v>
      </c>
    </row>
    <row r="9032" spans="1:4" x14ac:dyDescent="0.2">
      <c r="A9032" s="19" t="s">
        <v>153</v>
      </c>
      <c r="B9032" s="19">
        <v>314.60000000000002</v>
      </c>
      <c r="C9032" s="19">
        <v>4</v>
      </c>
      <c r="D9032" s="19">
        <v>103.81799999999998</v>
      </c>
    </row>
    <row r="9033" spans="1:4" x14ac:dyDescent="0.2">
      <c r="A9033" s="19" t="s">
        <v>153</v>
      </c>
      <c r="B9033" s="19">
        <v>283.56</v>
      </c>
      <c r="C9033" s="19">
        <v>4</v>
      </c>
      <c r="D9033" s="19">
        <v>45.36960000000002</v>
      </c>
    </row>
    <row r="9034" spans="1:4" x14ac:dyDescent="0.2">
      <c r="A9034" s="19" t="s">
        <v>161</v>
      </c>
      <c r="B9034" s="19">
        <v>487.96</v>
      </c>
      <c r="C9034" s="19">
        <v>2</v>
      </c>
      <c r="D9034" s="19">
        <v>146.38799999999998</v>
      </c>
    </row>
    <row r="9035" spans="1:4" x14ac:dyDescent="0.2">
      <c r="A9035" s="19" t="s">
        <v>184</v>
      </c>
      <c r="B9035" s="19">
        <v>1793.98</v>
      </c>
      <c r="C9035" s="19">
        <v>2</v>
      </c>
      <c r="D9035" s="19">
        <v>843.17059999999992</v>
      </c>
    </row>
    <row r="9036" spans="1:4" x14ac:dyDescent="0.2">
      <c r="A9036" s="19" t="s">
        <v>159</v>
      </c>
      <c r="B9036" s="19">
        <v>2.9919999999999995</v>
      </c>
      <c r="C9036" s="19">
        <v>4</v>
      </c>
      <c r="D9036" s="19">
        <v>-4.4880000000000013</v>
      </c>
    </row>
    <row r="9037" spans="1:4" x14ac:dyDescent="0.2">
      <c r="A9037" s="19" t="s">
        <v>159</v>
      </c>
      <c r="B9037" s="19">
        <v>108.76800000000001</v>
      </c>
      <c r="C9037" s="19">
        <v>4</v>
      </c>
      <c r="D9037" s="19">
        <v>2.7191999999999901</v>
      </c>
    </row>
    <row r="9038" spans="1:4" x14ac:dyDescent="0.2">
      <c r="A9038" s="19" t="s">
        <v>164</v>
      </c>
      <c r="B9038" s="19">
        <v>25.92</v>
      </c>
      <c r="C9038" s="19">
        <v>4</v>
      </c>
      <c r="D9038" s="19">
        <v>12.441600000000001</v>
      </c>
    </row>
    <row r="9039" spans="1:4" x14ac:dyDescent="0.2">
      <c r="A9039" s="19" t="s">
        <v>164</v>
      </c>
      <c r="B9039" s="19">
        <v>22.58</v>
      </c>
      <c r="C9039" s="19">
        <v>2</v>
      </c>
      <c r="D9039" s="19">
        <v>5.8707999999999991</v>
      </c>
    </row>
    <row r="9040" spans="1:4" x14ac:dyDescent="0.2">
      <c r="A9040" s="19" t="s">
        <v>154</v>
      </c>
      <c r="B9040" s="19">
        <v>55.176000000000002</v>
      </c>
      <c r="C9040" s="19">
        <v>3</v>
      </c>
      <c r="D9040" s="19">
        <v>-12.414599999999997</v>
      </c>
    </row>
    <row r="9041" spans="1:4" x14ac:dyDescent="0.2">
      <c r="A9041" s="19" t="s">
        <v>161</v>
      </c>
      <c r="B9041" s="19">
        <v>9892.74</v>
      </c>
      <c r="C9041" s="19">
        <v>13</v>
      </c>
      <c r="D9041" s="19">
        <v>4946.37</v>
      </c>
    </row>
    <row r="9042" spans="1:4" x14ac:dyDescent="0.2">
      <c r="A9042" s="19" t="s">
        <v>165</v>
      </c>
      <c r="B9042" s="19">
        <v>73.915000000000006</v>
      </c>
      <c r="C9042" s="19">
        <v>1</v>
      </c>
      <c r="D9042" s="19">
        <v>-45.827300000000008</v>
      </c>
    </row>
    <row r="9043" spans="1:4" x14ac:dyDescent="0.2">
      <c r="A9043" s="19" t="s">
        <v>151</v>
      </c>
      <c r="B9043" s="19">
        <v>337.08800000000002</v>
      </c>
      <c r="C9043" s="19">
        <v>4</v>
      </c>
      <c r="D9043" s="19">
        <v>16.854399999999984</v>
      </c>
    </row>
    <row r="9044" spans="1:4" x14ac:dyDescent="0.2">
      <c r="A9044" s="19" t="s">
        <v>150</v>
      </c>
      <c r="B9044" s="19">
        <v>61.44</v>
      </c>
      <c r="C9044" s="19">
        <v>3</v>
      </c>
      <c r="D9044" s="19">
        <v>16.588799999999999</v>
      </c>
    </row>
    <row r="9045" spans="1:4" x14ac:dyDescent="0.2">
      <c r="A9045" s="19" t="s">
        <v>150</v>
      </c>
      <c r="B9045" s="19">
        <v>479.97</v>
      </c>
      <c r="C9045" s="19">
        <v>3</v>
      </c>
      <c r="D9045" s="19">
        <v>163.18979999999999</v>
      </c>
    </row>
    <row r="9046" spans="1:4" x14ac:dyDescent="0.2">
      <c r="A9046" s="19" t="s">
        <v>150</v>
      </c>
      <c r="B9046" s="19">
        <v>5.9840000000000009</v>
      </c>
      <c r="C9046" s="19">
        <v>2</v>
      </c>
      <c r="D9046" s="19">
        <v>2.2439999999999998</v>
      </c>
    </row>
    <row r="9047" spans="1:4" x14ac:dyDescent="0.2">
      <c r="A9047" s="19" t="s">
        <v>150</v>
      </c>
      <c r="B9047" s="19">
        <v>189.95000000000002</v>
      </c>
      <c r="C9047" s="19">
        <v>5</v>
      </c>
      <c r="D9047" s="19">
        <v>45.587999999999994</v>
      </c>
    </row>
    <row r="9048" spans="1:4" x14ac:dyDescent="0.2">
      <c r="A9048" s="19" t="s">
        <v>150</v>
      </c>
      <c r="B9048" s="19">
        <v>149.94999999999999</v>
      </c>
      <c r="C9048" s="19">
        <v>5</v>
      </c>
      <c r="D9048" s="19">
        <v>31.489499999999992</v>
      </c>
    </row>
    <row r="9049" spans="1:4" x14ac:dyDescent="0.2">
      <c r="A9049" s="19" t="s">
        <v>150</v>
      </c>
      <c r="B9049" s="19">
        <v>29.950000000000003</v>
      </c>
      <c r="C9049" s="19">
        <v>5</v>
      </c>
      <c r="D9049" s="19">
        <v>8.6854999999999993</v>
      </c>
    </row>
    <row r="9050" spans="1:4" x14ac:dyDescent="0.2">
      <c r="A9050" s="19" t="s">
        <v>150</v>
      </c>
      <c r="B9050" s="19">
        <v>44.400000000000006</v>
      </c>
      <c r="C9050" s="19">
        <v>3</v>
      </c>
      <c r="D9050" s="19">
        <v>22.200000000000003</v>
      </c>
    </row>
    <row r="9051" spans="1:4" x14ac:dyDescent="0.2">
      <c r="A9051" s="19" t="s">
        <v>164</v>
      </c>
      <c r="B9051" s="19">
        <v>66.03</v>
      </c>
      <c r="C9051" s="19">
        <v>3</v>
      </c>
      <c r="D9051" s="19">
        <v>17.1678</v>
      </c>
    </row>
    <row r="9052" spans="1:4" x14ac:dyDescent="0.2">
      <c r="A9052" s="19" t="s">
        <v>150</v>
      </c>
      <c r="B9052" s="19">
        <v>10.86</v>
      </c>
      <c r="C9052" s="19">
        <v>2</v>
      </c>
      <c r="D9052" s="19">
        <v>5.3213999999999997</v>
      </c>
    </row>
    <row r="9053" spans="1:4" x14ac:dyDescent="0.2">
      <c r="A9053" s="19" t="s">
        <v>150</v>
      </c>
      <c r="B9053" s="19">
        <v>3.36</v>
      </c>
      <c r="C9053" s="19">
        <v>2</v>
      </c>
      <c r="D9053" s="19">
        <v>0.83999999999999986</v>
      </c>
    </row>
    <row r="9054" spans="1:4" x14ac:dyDescent="0.2">
      <c r="A9054" s="19" t="s">
        <v>150</v>
      </c>
      <c r="B9054" s="19">
        <v>27.936000000000003</v>
      </c>
      <c r="C9054" s="19">
        <v>4</v>
      </c>
      <c r="D9054" s="19">
        <v>9.4283999999999963</v>
      </c>
    </row>
    <row r="9055" spans="1:4" x14ac:dyDescent="0.2">
      <c r="A9055" s="19" t="s">
        <v>150</v>
      </c>
      <c r="B9055" s="19">
        <v>28.783999999999999</v>
      </c>
      <c r="C9055" s="19">
        <v>2</v>
      </c>
      <c r="D9055" s="19">
        <v>2.878400000000001</v>
      </c>
    </row>
    <row r="9056" spans="1:4" x14ac:dyDescent="0.2">
      <c r="A9056" s="19" t="s">
        <v>150</v>
      </c>
      <c r="B9056" s="19">
        <v>21.96</v>
      </c>
      <c r="C9056" s="19">
        <v>2</v>
      </c>
      <c r="D9056" s="19">
        <v>6.1488000000000014</v>
      </c>
    </row>
    <row r="9057" spans="1:4" x14ac:dyDescent="0.2">
      <c r="A9057" s="19" t="s">
        <v>153</v>
      </c>
      <c r="B9057" s="19">
        <v>21.98</v>
      </c>
      <c r="C9057" s="19">
        <v>2</v>
      </c>
      <c r="D9057" s="19">
        <v>8.5722000000000005</v>
      </c>
    </row>
    <row r="9058" spans="1:4" x14ac:dyDescent="0.2">
      <c r="A9058" s="19" t="s">
        <v>164</v>
      </c>
      <c r="B9058" s="19">
        <v>2621.3220000000001</v>
      </c>
      <c r="C9058" s="19">
        <v>11</v>
      </c>
      <c r="D9058" s="19">
        <v>553.39019999999982</v>
      </c>
    </row>
    <row r="9059" spans="1:4" x14ac:dyDescent="0.2">
      <c r="A9059" s="19" t="s">
        <v>150</v>
      </c>
      <c r="B9059" s="19">
        <v>74.759999999999991</v>
      </c>
      <c r="C9059" s="19">
        <v>7</v>
      </c>
      <c r="D9059" s="19">
        <v>23.923199999999994</v>
      </c>
    </row>
    <row r="9060" spans="1:4" x14ac:dyDescent="0.2">
      <c r="A9060" s="19" t="s">
        <v>150</v>
      </c>
      <c r="B9060" s="19">
        <v>364.77600000000007</v>
      </c>
      <c r="C9060" s="19">
        <v>3</v>
      </c>
      <c r="D9060" s="19">
        <v>27.358200000000011</v>
      </c>
    </row>
    <row r="9061" spans="1:4" x14ac:dyDescent="0.2">
      <c r="A9061" s="19" t="s">
        <v>153</v>
      </c>
      <c r="B9061" s="19">
        <v>1115.17</v>
      </c>
      <c r="C9061" s="19">
        <v>7</v>
      </c>
      <c r="D9061" s="19">
        <v>334.55099999999993</v>
      </c>
    </row>
    <row r="9062" spans="1:4" x14ac:dyDescent="0.2">
      <c r="A9062" s="19" t="s">
        <v>150</v>
      </c>
      <c r="B9062" s="19">
        <v>89.696000000000012</v>
      </c>
      <c r="C9062" s="19">
        <v>4</v>
      </c>
      <c r="D9062" s="19">
        <v>33.635999999999996</v>
      </c>
    </row>
    <row r="9063" spans="1:4" x14ac:dyDescent="0.2">
      <c r="A9063" s="19" t="s">
        <v>150</v>
      </c>
      <c r="B9063" s="19">
        <v>50.12</v>
      </c>
      <c r="C9063" s="19">
        <v>4</v>
      </c>
      <c r="D9063" s="19">
        <v>23.556399999999996</v>
      </c>
    </row>
    <row r="9064" spans="1:4" x14ac:dyDescent="0.2">
      <c r="A9064" s="19" t="s">
        <v>164</v>
      </c>
      <c r="B9064" s="19">
        <v>36.480000000000004</v>
      </c>
      <c r="C9064" s="19">
        <v>6</v>
      </c>
      <c r="D9064" s="19">
        <v>18.240000000000002</v>
      </c>
    </row>
    <row r="9065" spans="1:4" x14ac:dyDescent="0.2">
      <c r="A9065" s="19" t="s">
        <v>159</v>
      </c>
      <c r="B9065" s="19">
        <v>322.19200000000001</v>
      </c>
      <c r="C9065" s="19">
        <v>13</v>
      </c>
      <c r="D9065" s="19">
        <v>100.68499999999997</v>
      </c>
    </row>
    <row r="9066" spans="1:4" x14ac:dyDescent="0.2">
      <c r="A9066" s="19" t="s">
        <v>159</v>
      </c>
      <c r="B9066" s="19">
        <v>2.9459999999999993</v>
      </c>
      <c r="C9066" s="19">
        <v>3</v>
      </c>
      <c r="D9066" s="19">
        <v>-4.8609000000000009</v>
      </c>
    </row>
    <row r="9067" spans="1:4" x14ac:dyDescent="0.2">
      <c r="A9067" s="19" t="s">
        <v>159</v>
      </c>
      <c r="B9067" s="19">
        <v>19.136000000000003</v>
      </c>
      <c r="C9067" s="19">
        <v>4</v>
      </c>
      <c r="D9067" s="19">
        <v>6.9367999999999999</v>
      </c>
    </row>
    <row r="9068" spans="1:4" x14ac:dyDescent="0.2">
      <c r="A9068" s="19" t="s">
        <v>166</v>
      </c>
      <c r="B9068" s="19">
        <v>23.08</v>
      </c>
      <c r="C9068" s="19">
        <v>2</v>
      </c>
      <c r="D9068" s="19">
        <v>6.9239999999999995</v>
      </c>
    </row>
    <row r="9069" spans="1:4" x14ac:dyDescent="0.2">
      <c r="A9069" s="19" t="s">
        <v>187</v>
      </c>
      <c r="B9069" s="19">
        <v>90.48</v>
      </c>
      <c r="C9069" s="19">
        <v>2</v>
      </c>
      <c r="D9069" s="19">
        <v>23.524799999999999</v>
      </c>
    </row>
    <row r="9070" spans="1:4" x14ac:dyDescent="0.2">
      <c r="A9070" s="19" t="s">
        <v>153</v>
      </c>
      <c r="B9070" s="19">
        <v>215.976</v>
      </c>
      <c r="C9070" s="19">
        <v>3</v>
      </c>
      <c r="D9070" s="19">
        <v>-2.6997000000000355</v>
      </c>
    </row>
    <row r="9071" spans="1:4" x14ac:dyDescent="0.2">
      <c r="A9071" s="19" t="s">
        <v>153</v>
      </c>
      <c r="B9071" s="19">
        <v>65.94</v>
      </c>
      <c r="C9071" s="19">
        <v>3</v>
      </c>
      <c r="D9071" s="19">
        <v>30.991800000000001</v>
      </c>
    </row>
    <row r="9072" spans="1:4" x14ac:dyDescent="0.2">
      <c r="A9072" s="19" t="s">
        <v>158</v>
      </c>
      <c r="B9072" s="19">
        <v>11.352000000000002</v>
      </c>
      <c r="C9072" s="19">
        <v>3</v>
      </c>
      <c r="D9072" s="19">
        <v>2.6961000000000008</v>
      </c>
    </row>
    <row r="9073" spans="1:4" x14ac:dyDescent="0.2">
      <c r="A9073" s="19" t="s">
        <v>163</v>
      </c>
      <c r="B9073" s="19">
        <v>24.56</v>
      </c>
      <c r="C9073" s="19">
        <v>2</v>
      </c>
      <c r="D9073" s="19">
        <v>6.8767999999999994</v>
      </c>
    </row>
    <row r="9074" spans="1:4" x14ac:dyDescent="0.2">
      <c r="A9074" s="19" t="s">
        <v>174</v>
      </c>
      <c r="B9074" s="19">
        <v>16.559999999999999</v>
      </c>
      <c r="C9074" s="19">
        <v>2</v>
      </c>
      <c r="D9074" s="19">
        <v>7.783199999999999</v>
      </c>
    </row>
    <row r="9075" spans="1:4" x14ac:dyDescent="0.2">
      <c r="A9075" s="19" t="s">
        <v>174</v>
      </c>
      <c r="B9075" s="19">
        <v>279.95</v>
      </c>
      <c r="C9075" s="19">
        <v>5</v>
      </c>
      <c r="D9075" s="19">
        <v>67.188000000000017</v>
      </c>
    </row>
    <row r="9076" spans="1:4" x14ac:dyDescent="0.2">
      <c r="A9076" s="19" t="s">
        <v>149</v>
      </c>
      <c r="B9076" s="19">
        <v>828.83999999999992</v>
      </c>
      <c r="C9076" s="19">
        <v>6</v>
      </c>
      <c r="D9076" s="19">
        <v>0</v>
      </c>
    </row>
    <row r="9077" spans="1:4" x14ac:dyDescent="0.2">
      <c r="A9077" s="19" t="s">
        <v>173</v>
      </c>
      <c r="B9077" s="19">
        <v>7.218</v>
      </c>
      <c r="C9077" s="19">
        <v>3</v>
      </c>
      <c r="D9077" s="19">
        <v>-5.5338000000000012</v>
      </c>
    </row>
    <row r="9078" spans="1:4" x14ac:dyDescent="0.2">
      <c r="A9078" s="19" t="s">
        <v>173</v>
      </c>
      <c r="B9078" s="19">
        <v>27.200000000000003</v>
      </c>
      <c r="C9078" s="19">
        <v>4</v>
      </c>
      <c r="D9078" s="19">
        <v>2.0399999999999991</v>
      </c>
    </row>
    <row r="9079" spans="1:4" x14ac:dyDescent="0.2">
      <c r="A9079" s="19" t="s">
        <v>157</v>
      </c>
      <c r="B9079" s="19">
        <v>89.97</v>
      </c>
      <c r="C9079" s="19">
        <v>3</v>
      </c>
      <c r="D9079" s="19">
        <v>18.893699999999995</v>
      </c>
    </row>
    <row r="9080" spans="1:4" x14ac:dyDescent="0.2">
      <c r="A9080" s="19" t="s">
        <v>149</v>
      </c>
      <c r="B9080" s="19">
        <v>318.08</v>
      </c>
      <c r="C9080" s="19">
        <v>4</v>
      </c>
      <c r="D9080" s="19">
        <v>34.988799999999969</v>
      </c>
    </row>
    <row r="9081" spans="1:4" x14ac:dyDescent="0.2">
      <c r="A9081" s="19" t="s">
        <v>149</v>
      </c>
      <c r="B9081" s="19">
        <v>5.8</v>
      </c>
      <c r="C9081" s="19">
        <v>1</v>
      </c>
      <c r="D9081" s="19">
        <v>2.61</v>
      </c>
    </row>
    <row r="9082" spans="1:4" x14ac:dyDescent="0.2">
      <c r="A9082" s="19" t="s">
        <v>150</v>
      </c>
      <c r="B9082" s="19">
        <v>143.952</v>
      </c>
      <c r="C9082" s="19">
        <v>6</v>
      </c>
      <c r="D9082" s="19">
        <v>17.993999999999978</v>
      </c>
    </row>
    <row r="9083" spans="1:4" x14ac:dyDescent="0.2">
      <c r="A9083" s="19" t="s">
        <v>150</v>
      </c>
      <c r="B9083" s="19">
        <v>19.440000000000001</v>
      </c>
      <c r="C9083" s="19">
        <v>3</v>
      </c>
      <c r="D9083" s="19">
        <v>9.3312000000000008</v>
      </c>
    </row>
    <row r="9084" spans="1:4" x14ac:dyDescent="0.2">
      <c r="A9084" s="19" t="s">
        <v>166</v>
      </c>
      <c r="B9084" s="19">
        <v>5.56</v>
      </c>
      <c r="C9084" s="19">
        <v>2</v>
      </c>
      <c r="D9084" s="19">
        <v>1.4455999999999998</v>
      </c>
    </row>
    <row r="9085" spans="1:4" x14ac:dyDescent="0.2">
      <c r="A9085" s="19" t="s">
        <v>166</v>
      </c>
      <c r="B9085" s="19">
        <v>146.72999999999999</v>
      </c>
      <c r="C9085" s="19">
        <v>3</v>
      </c>
      <c r="D9085" s="19">
        <v>2.9346000000000032</v>
      </c>
    </row>
    <row r="9086" spans="1:4" x14ac:dyDescent="0.2">
      <c r="A9086" s="19" t="s">
        <v>166</v>
      </c>
      <c r="B9086" s="19">
        <v>29.900000000000002</v>
      </c>
      <c r="C9086" s="19">
        <v>5</v>
      </c>
      <c r="D9086" s="19">
        <v>13.454999999999998</v>
      </c>
    </row>
    <row r="9087" spans="1:4" x14ac:dyDescent="0.2">
      <c r="A9087" s="19" t="s">
        <v>150</v>
      </c>
      <c r="B9087" s="19">
        <v>276.78400000000005</v>
      </c>
      <c r="C9087" s="19">
        <v>2</v>
      </c>
      <c r="D9087" s="19">
        <v>89.954799999999992</v>
      </c>
    </row>
    <row r="9088" spans="1:4" x14ac:dyDescent="0.2">
      <c r="A9088" s="19" t="s">
        <v>154</v>
      </c>
      <c r="B9088" s="19">
        <v>93.031999999999982</v>
      </c>
      <c r="C9088" s="19">
        <v>2</v>
      </c>
      <c r="D9088" s="19">
        <v>-251.18640000000005</v>
      </c>
    </row>
    <row r="9089" spans="1:4" x14ac:dyDescent="0.2">
      <c r="A9089" s="19" t="s">
        <v>154</v>
      </c>
      <c r="B9089" s="19">
        <v>454.96499999999997</v>
      </c>
      <c r="C9089" s="19">
        <v>5</v>
      </c>
      <c r="D9089" s="19">
        <v>-136.48950000000002</v>
      </c>
    </row>
    <row r="9090" spans="1:4" x14ac:dyDescent="0.2">
      <c r="A9090" s="19" t="s">
        <v>152</v>
      </c>
      <c r="B9090" s="19">
        <v>246.16800000000001</v>
      </c>
      <c r="C9090" s="19">
        <v>3</v>
      </c>
      <c r="D9090" s="19">
        <v>21.539699999999996</v>
      </c>
    </row>
    <row r="9091" spans="1:4" x14ac:dyDescent="0.2">
      <c r="A9091" s="19" t="s">
        <v>173</v>
      </c>
      <c r="B9091" s="19">
        <v>295.39999999999998</v>
      </c>
      <c r="C9091" s="19">
        <v>5</v>
      </c>
      <c r="D9091" s="19">
        <v>-62.772499999999965</v>
      </c>
    </row>
    <row r="9092" spans="1:4" x14ac:dyDescent="0.2">
      <c r="A9092" s="19" t="s">
        <v>149</v>
      </c>
      <c r="B9092" s="19">
        <v>348.56</v>
      </c>
      <c r="C9092" s="19">
        <v>8</v>
      </c>
      <c r="D9092" s="19">
        <v>104.56799999999998</v>
      </c>
    </row>
    <row r="9093" spans="1:4" x14ac:dyDescent="0.2">
      <c r="A9093" s="19" t="s">
        <v>173</v>
      </c>
      <c r="B9093" s="19">
        <v>15.552000000000003</v>
      </c>
      <c r="C9093" s="19">
        <v>3</v>
      </c>
      <c r="D9093" s="19">
        <v>5.4432</v>
      </c>
    </row>
    <row r="9094" spans="1:4" x14ac:dyDescent="0.2">
      <c r="A9094" s="19" t="s">
        <v>173</v>
      </c>
      <c r="B9094" s="19">
        <v>482.93999999999994</v>
      </c>
      <c r="C9094" s="19">
        <v>6</v>
      </c>
      <c r="D9094" s="19">
        <v>-376.69319999999999</v>
      </c>
    </row>
    <row r="9095" spans="1:4" x14ac:dyDescent="0.2">
      <c r="A9095" s="19" t="s">
        <v>161</v>
      </c>
      <c r="B9095" s="19">
        <v>299.98</v>
      </c>
      <c r="C9095" s="19">
        <v>2</v>
      </c>
      <c r="D9095" s="19">
        <v>83.994400000000013</v>
      </c>
    </row>
    <row r="9096" spans="1:4" x14ac:dyDescent="0.2">
      <c r="A9096" s="19" t="s">
        <v>161</v>
      </c>
      <c r="B9096" s="19">
        <v>403.68</v>
      </c>
      <c r="C9096" s="19">
        <v>6</v>
      </c>
      <c r="D9096" s="19">
        <v>181.65599999999998</v>
      </c>
    </row>
    <row r="9097" spans="1:4" x14ac:dyDescent="0.2">
      <c r="A9097" s="19" t="s">
        <v>161</v>
      </c>
      <c r="B9097" s="19">
        <v>41.9</v>
      </c>
      <c r="C9097" s="19">
        <v>2</v>
      </c>
      <c r="D9097" s="19">
        <v>11.731999999999999</v>
      </c>
    </row>
    <row r="9098" spans="1:4" x14ac:dyDescent="0.2">
      <c r="A9098" s="19" t="s">
        <v>161</v>
      </c>
      <c r="B9098" s="19">
        <v>28.91</v>
      </c>
      <c r="C9098" s="19">
        <v>7</v>
      </c>
      <c r="D9098" s="19">
        <v>13.2986</v>
      </c>
    </row>
    <row r="9099" spans="1:4" x14ac:dyDescent="0.2">
      <c r="A9099" s="19" t="s">
        <v>163</v>
      </c>
      <c r="B9099" s="19">
        <v>32.400000000000006</v>
      </c>
      <c r="C9099" s="19">
        <v>5</v>
      </c>
      <c r="D9099" s="19">
        <v>15.552000000000001</v>
      </c>
    </row>
    <row r="9100" spans="1:4" x14ac:dyDescent="0.2">
      <c r="A9100" s="19" t="s">
        <v>154</v>
      </c>
      <c r="B9100" s="19">
        <v>369.54399999999998</v>
      </c>
      <c r="C9100" s="19">
        <v>7</v>
      </c>
      <c r="D9100" s="19">
        <v>27.71580000000003</v>
      </c>
    </row>
    <row r="9101" spans="1:4" x14ac:dyDescent="0.2">
      <c r="A9101" s="19" t="s">
        <v>154</v>
      </c>
      <c r="B9101" s="19">
        <v>10.368000000000002</v>
      </c>
      <c r="C9101" s="19">
        <v>2</v>
      </c>
      <c r="D9101" s="19">
        <v>3.7584</v>
      </c>
    </row>
    <row r="9102" spans="1:4" x14ac:dyDescent="0.2">
      <c r="A9102" s="19" t="s">
        <v>154</v>
      </c>
      <c r="B9102" s="19">
        <v>791.87999999999988</v>
      </c>
      <c r="C9102" s="19">
        <v>3</v>
      </c>
      <c r="D9102" s="19">
        <v>128.68049999999994</v>
      </c>
    </row>
    <row r="9103" spans="1:4" x14ac:dyDescent="0.2">
      <c r="A9103" s="19" t="s">
        <v>154</v>
      </c>
      <c r="B9103" s="19">
        <v>23.64</v>
      </c>
      <c r="C9103" s="19">
        <v>3</v>
      </c>
      <c r="D9103" s="19">
        <v>5.3190000000000008</v>
      </c>
    </row>
    <row r="9104" spans="1:4" x14ac:dyDescent="0.2">
      <c r="A9104" s="19" t="s">
        <v>154</v>
      </c>
      <c r="B9104" s="19">
        <v>84.784000000000006</v>
      </c>
      <c r="C9104" s="19">
        <v>2</v>
      </c>
      <c r="D9104" s="19">
        <v>-16.956800000000005</v>
      </c>
    </row>
    <row r="9105" spans="1:4" x14ac:dyDescent="0.2">
      <c r="A9105" s="19" t="s">
        <v>154</v>
      </c>
      <c r="B9105" s="19">
        <v>64.959999999999994</v>
      </c>
      <c r="C9105" s="19">
        <v>5</v>
      </c>
      <c r="D9105" s="19">
        <v>-84.447999999999993</v>
      </c>
    </row>
    <row r="9106" spans="1:4" x14ac:dyDescent="0.2">
      <c r="A9106" s="19" t="s">
        <v>154</v>
      </c>
      <c r="B9106" s="19">
        <v>32.059999999999995</v>
      </c>
      <c r="C9106" s="19">
        <v>10</v>
      </c>
      <c r="D9106" s="19">
        <v>-51.296000000000006</v>
      </c>
    </row>
    <row r="9107" spans="1:4" x14ac:dyDescent="0.2">
      <c r="A9107" s="19" t="s">
        <v>154</v>
      </c>
      <c r="B9107" s="19">
        <v>177.64800000000002</v>
      </c>
      <c r="C9107" s="19">
        <v>2</v>
      </c>
      <c r="D9107" s="19">
        <v>-28.867800000000017</v>
      </c>
    </row>
    <row r="9108" spans="1:4" x14ac:dyDescent="0.2">
      <c r="A9108" s="19" t="s">
        <v>154</v>
      </c>
      <c r="B9108" s="19">
        <v>287.90999999999997</v>
      </c>
      <c r="C9108" s="19">
        <v>3</v>
      </c>
      <c r="D9108" s="19">
        <v>33.589499999999987</v>
      </c>
    </row>
    <row r="9109" spans="1:4" x14ac:dyDescent="0.2">
      <c r="A9109" s="19" t="s">
        <v>154</v>
      </c>
      <c r="B9109" s="19">
        <v>22.368000000000002</v>
      </c>
      <c r="C9109" s="19">
        <v>2</v>
      </c>
      <c r="D9109" s="19">
        <v>1.6776</v>
      </c>
    </row>
    <row r="9110" spans="1:4" x14ac:dyDescent="0.2">
      <c r="A9110" s="19" t="s">
        <v>154</v>
      </c>
      <c r="B9110" s="19">
        <v>32.368000000000002</v>
      </c>
      <c r="C9110" s="19">
        <v>7</v>
      </c>
      <c r="D9110" s="19">
        <v>11.733400000000001</v>
      </c>
    </row>
    <row r="9111" spans="1:4" x14ac:dyDescent="0.2">
      <c r="A9111" s="19" t="s">
        <v>154</v>
      </c>
      <c r="B9111" s="19">
        <v>207.98400000000004</v>
      </c>
      <c r="C9111" s="19">
        <v>2</v>
      </c>
      <c r="D9111" s="19">
        <v>36.397199999999998</v>
      </c>
    </row>
    <row r="9112" spans="1:4" x14ac:dyDescent="0.2">
      <c r="A9112" s="19" t="s">
        <v>166</v>
      </c>
      <c r="B9112" s="19">
        <v>36.4</v>
      </c>
      <c r="C9112" s="19">
        <v>5</v>
      </c>
      <c r="D9112" s="19">
        <v>17.472000000000001</v>
      </c>
    </row>
    <row r="9113" spans="1:4" x14ac:dyDescent="0.2">
      <c r="A9113" s="19" t="s">
        <v>166</v>
      </c>
      <c r="B9113" s="19">
        <v>22.96</v>
      </c>
      <c r="C9113" s="19">
        <v>2</v>
      </c>
      <c r="D9113" s="19">
        <v>4.3623999999999974</v>
      </c>
    </row>
    <row r="9114" spans="1:4" x14ac:dyDescent="0.2">
      <c r="A9114" s="19" t="s">
        <v>166</v>
      </c>
      <c r="B9114" s="19">
        <v>315.2</v>
      </c>
      <c r="C9114" s="19">
        <v>4</v>
      </c>
      <c r="D9114" s="19">
        <v>6.3040000000000305</v>
      </c>
    </row>
    <row r="9115" spans="1:4" x14ac:dyDescent="0.2">
      <c r="A9115" s="19" t="s">
        <v>166</v>
      </c>
      <c r="B9115" s="19">
        <v>15.18</v>
      </c>
      <c r="C9115" s="19">
        <v>3</v>
      </c>
      <c r="D9115" s="19">
        <v>7.1345999999999989</v>
      </c>
    </row>
    <row r="9116" spans="1:4" x14ac:dyDescent="0.2">
      <c r="A9116" s="19" t="s">
        <v>150</v>
      </c>
      <c r="B9116" s="19">
        <v>623.96</v>
      </c>
      <c r="C9116" s="19">
        <v>5</v>
      </c>
      <c r="D9116" s="19">
        <v>38.997500000000002</v>
      </c>
    </row>
    <row r="9117" spans="1:4" x14ac:dyDescent="0.2">
      <c r="A9117" s="19" t="s">
        <v>158</v>
      </c>
      <c r="B9117" s="19">
        <v>429.59999999999997</v>
      </c>
      <c r="C9117" s="19">
        <v>2</v>
      </c>
      <c r="D9117" s="19">
        <v>-93.079999999999984</v>
      </c>
    </row>
    <row r="9118" spans="1:4" x14ac:dyDescent="0.2">
      <c r="A9118" s="19" t="s">
        <v>158</v>
      </c>
      <c r="B9118" s="19">
        <v>31.968000000000004</v>
      </c>
      <c r="C9118" s="19">
        <v>2</v>
      </c>
      <c r="D9118" s="19">
        <v>6.3935999999999993</v>
      </c>
    </row>
    <row r="9119" spans="1:4" x14ac:dyDescent="0.2">
      <c r="A9119" s="19" t="s">
        <v>158</v>
      </c>
      <c r="B9119" s="19">
        <v>887.27099999999984</v>
      </c>
      <c r="C9119" s="19">
        <v>3</v>
      </c>
      <c r="D9119" s="19">
        <v>-63.376499999999965</v>
      </c>
    </row>
    <row r="9120" spans="1:4" x14ac:dyDescent="0.2">
      <c r="A9120" s="19" t="s">
        <v>158</v>
      </c>
      <c r="B9120" s="19">
        <v>21.696000000000002</v>
      </c>
      <c r="C9120" s="19">
        <v>4</v>
      </c>
      <c r="D9120" s="19">
        <v>7.0511999999999988</v>
      </c>
    </row>
    <row r="9121" spans="1:4" x14ac:dyDescent="0.2">
      <c r="A9121" s="19" t="s">
        <v>150</v>
      </c>
      <c r="B9121" s="19">
        <v>22.05</v>
      </c>
      <c r="C9121" s="19">
        <v>7</v>
      </c>
      <c r="D9121" s="19">
        <v>10.584</v>
      </c>
    </row>
    <row r="9122" spans="1:4" x14ac:dyDescent="0.2">
      <c r="A9122" s="19" t="s">
        <v>150</v>
      </c>
      <c r="B9122" s="19">
        <v>99.9</v>
      </c>
      <c r="C9122" s="19">
        <v>5</v>
      </c>
      <c r="D9122" s="19">
        <v>46.952999999999996</v>
      </c>
    </row>
    <row r="9123" spans="1:4" x14ac:dyDescent="0.2">
      <c r="A9123" s="19" t="s">
        <v>150</v>
      </c>
      <c r="B9123" s="19">
        <v>90.86</v>
      </c>
      <c r="C9123" s="19">
        <v>7</v>
      </c>
      <c r="D9123" s="19">
        <v>26.349399999999992</v>
      </c>
    </row>
    <row r="9124" spans="1:4" x14ac:dyDescent="0.2">
      <c r="A9124" s="19" t="s">
        <v>150</v>
      </c>
      <c r="B9124" s="19">
        <v>7.78</v>
      </c>
      <c r="C9124" s="19">
        <v>1</v>
      </c>
      <c r="D9124" s="19">
        <v>3.5009999999999994</v>
      </c>
    </row>
    <row r="9125" spans="1:4" x14ac:dyDescent="0.2">
      <c r="A9125" s="19" t="s">
        <v>158</v>
      </c>
      <c r="B9125" s="19">
        <v>78.759000000000015</v>
      </c>
      <c r="C9125" s="19">
        <v>9</v>
      </c>
      <c r="D9125" s="19">
        <v>-57.75660000000002</v>
      </c>
    </row>
    <row r="9126" spans="1:4" x14ac:dyDescent="0.2">
      <c r="A9126" s="19" t="s">
        <v>154</v>
      </c>
      <c r="B9126" s="19">
        <v>9.5519999999999996</v>
      </c>
      <c r="C9126" s="19">
        <v>3</v>
      </c>
      <c r="D9126" s="19">
        <v>-3.8207999999999984</v>
      </c>
    </row>
    <row r="9127" spans="1:4" x14ac:dyDescent="0.2">
      <c r="A9127" s="19" t="s">
        <v>154</v>
      </c>
      <c r="B9127" s="19">
        <v>5.3440000000000003</v>
      </c>
      <c r="C9127" s="19">
        <v>4</v>
      </c>
      <c r="D9127" s="19">
        <v>-2.1375999999999991</v>
      </c>
    </row>
    <row r="9128" spans="1:4" x14ac:dyDescent="0.2">
      <c r="A9128" s="19" t="s">
        <v>176</v>
      </c>
      <c r="B9128" s="19">
        <v>8.2799999999999994</v>
      </c>
      <c r="C9128" s="19">
        <v>2</v>
      </c>
      <c r="D9128" s="19">
        <v>3.4775999999999998</v>
      </c>
    </row>
    <row r="9129" spans="1:4" x14ac:dyDescent="0.2">
      <c r="A9129" s="19" t="s">
        <v>154</v>
      </c>
      <c r="B9129" s="19">
        <v>50.135999999999996</v>
      </c>
      <c r="C9129" s="19">
        <v>3</v>
      </c>
      <c r="D9129" s="19">
        <v>-11.2806</v>
      </c>
    </row>
    <row r="9130" spans="1:4" x14ac:dyDescent="0.2">
      <c r="A9130" s="19" t="s">
        <v>170</v>
      </c>
      <c r="B9130" s="19">
        <v>88.074000000000012</v>
      </c>
      <c r="C9130" s="19">
        <v>7</v>
      </c>
      <c r="D9130" s="19">
        <v>-58.71599999999998</v>
      </c>
    </row>
    <row r="9131" spans="1:4" x14ac:dyDescent="0.2">
      <c r="A9131" s="19" t="s">
        <v>173</v>
      </c>
      <c r="B9131" s="19">
        <v>301.46999999999997</v>
      </c>
      <c r="C9131" s="19">
        <v>3</v>
      </c>
      <c r="D9131" s="19">
        <v>-241.17600000000002</v>
      </c>
    </row>
    <row r="9132" spans="1:4" x14ac:dyDescent="0.2">
      <c r="A9132" s="19" t="s">
        <v>173</v>
      </c>
      <c r="B9132" s="19">
        <v>18.656000000000002</v>
      </c>
      <c r="C9132" s="19">
        <v>2</v>
      </c>
      <c r="D9132" s="19">
        <v>1.6324000000000014</v>
      </c>
    </row>
    <row r="9133" spans="1:4" x14ac:dyDescent="0.2">
      <c r="A9133" s="19" t="s">
        <v>187</v>
      </c>
      <c r="B9133" s="19">
        <v>27.46</v>
      </c>
      <c r="C9133" s="19">
        <v>2</v>
      </c>
      <c r="D9133" s="19">
        <v>9.8856000000000002</v>
      </c>
    </row>
    <row r="9134" spans="1:4" x14ac:dyDescent="0.2">
      <c r="A9134" s="19" t="s">
        <v>187</v>
      </c>
      <c r="B9134" s="19">
        <v>125.13</v>
      </c>
      <c r="C9134" s="19">
        <v>3</v>
      </c>
      <c r="D9134" s="19">
        <v>36.287699999999987</v>
      </c>
    </row>
    <row r="9135" spans="1:4" x14ac:dyDescent="0.2">
      <c r="A9135" s="19" t="s">
        <v>150</v>
      </c>
      <c r="B9135" s="19">
        <v>555.96</v>
      </c>
      <c r="C9135" s="19">
        <v>5</v>
      </c>
      <c r="D9135" s="19">
        <v>41.697000000000003</v>
      </c>
    </row>
    <row r="9136" spans="1:4" x14ac:dyDescent="0.2">
      <c r="A9136" s="19" t="s">
        <v>152</v>
      </c>
      <c r="B9136" s="19">
        <v>129.55199999999999</v>
      </c>
      <c r="C9136" s="19">
        <v>3</v>
      </c>
      <c r="D9136" s="19">
        <v>-22.671600000000005</v>
      </c>
    </row>
    <row r="9137" spans="1:4" x14ac:dyDescent="0.2">
      <c r="A9137" s="19" t="s">
        <v>152</v>
      </c>
      <c r="B9137" s="19">
        <v>51.984000000000009</v>
      </c>
      <c r="C9137" s="19">
        <v>1</v>
      </c>
      <c r="D9137" s="19">
        <v>-5.1983999999999995</v>
      </c>
    </row>
    <row r="9138" spans="1:4" x14ac:dyDescent="0.2">
      <c r="A9138" s="19" t="s">
        <v>152</v>
      </c>
      <c r="B9138" s="19">
        <v>10.272000000000002</v>
      </c>
      <c r="C9138" s="19">
        <v>3</v>
      </c>
      <c r="D9138" s="19">
        <v>3.4668000000000001</v>
      </c>
    </row>
    <row r="9139" spans="1:4" x14ac:dyDescent="0.2">
      <c r="A9139" s="19" t="s">
        <v>151</v>
      </c>
      <c r="B9139" s="19">
        <v>18.336000000000002</v>
      </c>
      <c r="C9139" s="19">
        <v>2</v>
      </c>
      <c r="D9139" s="19">
        <v>-12.224</v>
      </c>
    </row>
    <row r="9140" spans="1:4" x14ac:dyDescent="0.2">
      <c r="A9140" s="19" t="s">
        <v>151</v>
      </c>
      <c r="B9140" s="19">
        <v>180.96</v>
      </c>
      <c r="C9140" s="19">
        <v>5</v>
      </c>
      <c r="D9140" s="19">
        <v>13.571999999999996</v>
      </c>
    </row>
    <row r="9141" spans="1:4" x14ac:dyDescent="0.2">
      <c r="A9141" s="19" t="s">
        <v>159</v>
      </c>
      <c r="B9141" s="19">
        <v>475.94400000000002</v>
      </c>
      <c r="C9141" s="19">
        <v>7</v>
      </c>
      <c r="D9141" s="19">
        <v>95.188799999999972</v>
      </c>
    </row>
    <row r="9142" spans="1:4" x14ac:dyDescent="0.2">
      <c r="A9142" s="19" t="s">
        <v>150</v>
      </c>
      <c r="B9142" s="19">
        <v>159.97999999999999</v>
      </c>
      <c r="C9142" s="19">
        <v>2</v>
      </c>
      <c r="D9142" s="19">
        <v>47.993999999999986</v>
      </c>
    </row>
    <row r="9143" spans="1:4" x14ac:dyDescent="0.2">
      <c r="A9143" s="19" t="s">
        <v>164</v>
      </c>
      <c r="B9143" s="19">
        <v>43.6</v>
      </c>
      <c r="C9143" s="19">
        <v>4</v>
      </c>
      <c r="D9143" s="19">
        <v>12.208000000000002</v>
      </c>
    </row>
    <row r="9144" spans="1:4" x14ac:dyDescent="0.2">
      <c r="A9144" s="19" t="s">
        <v>181</v>
      </c>
      <c r="B9144" s="19">
        <v>8.2880000000000003</v>
      </c>
      <c r="C9144" s="19">
        <v>2</v>
      </c>
      <c r="D9144" s="19">
        <v>3.0043999999999995</v>
      </c>
    </row>
    <row r="9145" spans="1:4" x14ac:dyDescent="0.2">
      <c r="A9145" s="19" t="s">
        <v>181</v>
      </c>
      <c r="B9145" s="19">
        <v>1123.1280000000002</v>
      </c>
      <c r="C9145" s="19">
        <v>9</v>
      </c>
      <c r="D9145" s="19">
        <v>70.195499999999981</v>
      </c>
    </row>
    <row r="9146" spans="1:4" x14ac:dyDescent="0.2">
      <c r="A9146" s="19" t="s">
        <v>181</v>
      </c>
      <c r="B9146" s="19">
        <v>64.900000000000006</v>
      </c>
      <c r="C9146" s="19">
        <v>5</v>
      </c>
      <c r="D9146" s="19">
        <v>18.820999999999994</v>
      </c>
    </row>
    <row r="9147" spans="1:4" x14ac:dyDescent="0.2">
      <c r="A9147" s="19" t="s">
        <v>159</v>
      </c>
      <c r="B9147" s="19">
        <v>2.8079999999999989</v>
      </c>
      <c r="C9147" s="19">
        <v>3</v>
      </c>
      <c r="D9147" s="19">
        <v>-4.492799999999999</v>
      </c>
    </row>
    <row r="9148" spans="1:4" x14ac:dyDescent="0.2">
      <c r="A9148" s="19" t="s">
        <v>190</v>
      </c>
      <c r="B9148" s="19">
        <v>99.98</v>
      </c>
      <c r="C9148" s="19">
        <v>2</v>
      </c>
      <c r="D9148" s="19">
        <v>42.991400000000006</v>
      </c>
    </row>
    <row r="9149" spans="1:4" x14ac:dyDescent="0.2">
      <c r="A9149" s="19" t="s">
        <v>190</v>
      </c>
      <c r="B9149" s="19">
        <v>8.0400000000000009</v>
      </c>
      <c r="C9149" s="19">
        <v>6</v>
      </c>
      <c r="D9149" s="19">
        <v>2.7336</v>
      </c>
    </row>
    <row r="9150" spans="1:4" x14ac:dyDescent="0.2">
      <c r="A9150" s="19" t="s">
        <v>190</v>
      </c>
      <c r="B9150" s="19">
        <v>1564.29</v>
      </c>
      <c r="C9150" s="19">
        <v>13</v>
      </c>
      <c r="D9150" s="19">
        <v>406.71539999999993</v>
      </c>
    </row>
    <row r="9151" spans="1:4" x14ac:dyDescent="0.2">
      <c r="A9151" s="19" t="s">
        <v>161</v>
      </c>
      <c r="B9151" s="19">
        <v>138.56</v>
      </c>
      <c r="C9151" s="19">
        <v>4</v>
      </c>
      <c r="D9151" s="19">
        <v>66.508799999999994</v>
      </c>
    </row>
    <row r="9152" spans="1:4" x14ac:dyDescent="0.2">
      <c r="A9152" s="19" t="s">
        <v>161</v>
      </c>
      <c r="B9152" s="19">
        <v>65.52000000000001</v>
      </c>
      <c r="C9152" s="19">
        <v>5</v>
      </c>
      <c r="D9152" s="19">
        <v>12.376000000000001</v>
      </c>
    </row>
    <row r="9153" spans="1:4" x14ac:dyDescent="0.2">
      <c r="A9153" s="19" t="s">
        <v>165</v>
      </c>
      <c r="B9153" s="19">
        <v>14.576000000000001</v>
      </c>
      <c r="C9153" s="19">
        <v>2</v>
      </c>
      <c r="D9153" s="19">
        <v>2.3685999999999989</v>
      </c>
    </row>
    <row r="9154" spans="1:4" x14ac:dyDescent="0.2">
      <c r="A9154" s="19" t="s">
        <v>165</v>
      </c>
      <c r="B9154" s="19">
        <v>23.200000000000003</v>
      </c>
      <c r="C9154" s="19">
        <v>2</v>
      </c>
      <c r="D9154" s="19">
        <v>1.4499999999999993</v>
      </c>
    </row>
    <row r="9155" spans="1:4" x14ac:dyDescent="0.2">
      <c r="A9155" s="19" t="s">
        <v>165</v>
      </c>
      <c r="B9155" s="19">
        <v>16.463999999999999</v>
      </c>
      <c r="C9155" s="19">
        <v>7</v>
      </c>
      <c r="D9155" s="19">
        <v>1.852199999999999</v>
      </c>
    </row>
    <row r="9156" spans="1:4" x14ac:dyDescent="0.2">
      <c r="A9156" s="19" t="s">
        <v>158</v>
      </c>
      <c r="B9156" s="19">
        <v>19.312000000000001</v>
      </c>
      <c r="C9156" s="19">
        <v>2</v>
      </c>
      <c r="D9156" s="19">
        <v>3.1382000000000003</v>
      </c>
    </row>
    <row r="9157" spans="1:4" x14ac:dyDescent="0.2">
      <c r="A9157" s="19" t="s">
        <v>181</v>
      </c>
      <c r="B9157" s="19">
        <v>40.08</v>
      </c>
      <c r="C9157" s="19">
        <v>6</v>
      </c>
      <c r="D9157" s="19">
        <v>19.238399999999999</v>
      </c>
    </row>
    <row r="9158" spans="1:4" x14ac:dyDescent="0.2">
      <c r="A9158" s="19" t="s">
        <v>191</v>
      </c>
      <c r="B9158" s="19">
        <v>101.96</v>
      </c>
      <c r="C9158" s="19">
        <v>2</v>
      </c>
      <c r="D9158" s="19">
        <v>27.529200000000003</v>
      </c>
    </row>
    <row r="9159" spans="1:4" x14ac:dyDescent="0.2">
      <c r="A9159" s="19" t="s">
        <v>191</v>
      </c>
      <c r="B9159" s="19">
        <v>259.74</v>
      </c>
      <c r="C9159" s="19">
        <v>13</v>
      </c>
      <c r="D9159" s="19">
        <v>124.6752</v>
      </c>
    </row>
    <row r="9160" spans="1:4" x14ac:dyDescent="0.2">
      <c r="A9160" s="19" t="s">
        <v>191</v>
      </c>
      <c r="B9160" s="19">
        <v>255.42</v>
      </c>
      <c r="C9160" s="19">
        <v>9</v>
      </c>
      <c r="D9160" s="19">
        <v>104.7222</v>
      </c>
    </row>
    <row r="9161" spans="1:4" x14ac:dyDescent="0.2">
      <c r="A9161" s="19" t="s">
        <v>167</v>
      </c>
      <c r="B9161" s="19">
        <v>4.338000000000001</v>
      </c>
      <c r="C9161" s="19">
        <v>3</v>
      </c>
      <c r="D9161" s="19">
        <v>-3.0366</v>
      </c>
    </row>
    <row r="9162" spans="1:4" x14ac:dyDescent="0.2">
      <c r="A9162" s="19" t="s">
        <v>167</v>
      </c>
      <c r="B9162" s="19">
        <v>11.880000000000003</v>
      </c>
      <c r="C9162" s="19">
        <v>5</v>
      </c>
      <c r="D9162" s="19">
        <v>-7.9199999999999982</v>
      </c>
    </row>
    <row r="9163" spans="1:4" x14ac:dyDescent="0.2">
      <c r="A9163" s="19" t="s">
        <v>155</v>
      </c>
      <c r="B9163" s="19">
        <v>405.85999999999996</v>
      </c>
      <c r="C9163" s="19">
        <v>7</v>
      </c>
      <c r="D9163" s="19">
        <v>32.46879999999998</v>
      </c>
    </row>
    <row r="9164" spans="1:4" x14ac:dyDescent="0.2">
      <c r="A9164" s="19" t="s">
        <v>155</v>
      </c>
      <c r="B9164" s="19">
        <v>680.01</v>
      </c>
      <c r="C9164" s="19">
        <v>3</v>
      </c>
      <c r="D9164" s="19">
        <v>176.80260000000001</v>
      </c>
    </row>
    <row r="9165" spans="1:4" x14ac:dyDescent="0.2">
      <c r="A9165" s="19" t="s">
        <v>159</v>
      </c>
      <c r="B9165" s="19">
        <v>2.3760000000000003</v>
      </c>
      <c r="C9165" s="19">
        <v>3</v>
      </c>
      <c r="D9165" s="19">
        <v>0.74249999999999994</v>
      </c>
    </row>
    <row r="9166" spans="1:4" x14ac:dyDescent="0.2">
      <c r="A9166" s="19" t="s">
        <v>159</v>
      </c>
      <c r="B9166" s="19">
        <v>143.12799999999996</v>
      </c>
      <c r="C9166" s="19">
        <v>2</v>
      </c>
      <c r="D9166" s="19">
        <v>-393.60200000000009</v>
      </c>
    </row>
    <row r="9167" spans="1:4" x14ac:dyDescent="0.2">
      <c r="A9167" s="19" t="s">
        <v>150</v>
      </c>
      <c r="B9167" s="19">
        <v>4476.8</v>
      </c>
      <c r="C9167" s="19">
        <v>4</v>
      </c>
      <c r="D9167" s="19">
        <v>503.63999999999965</v>
      </c>
    </row>
    <row r="9168" spans="1:4" x14ac:dyDescent="0.2">
      <c r="A9168" s="19" t="s">
        <v>150</v>
      </c>
      <c r="B9168" s="19">
        <v>104.85</v>
      </c>
      <c r="C9168" s="19">
        <v>1</v>
      </c>
      <c r="D9168" s="19">
        <v>50.327999999999996</v>
      </c>
    </row>
    <row r="9169" spans="1:4" x14ac:dyDescent="0.2">
      <c r="A9169" s="19" t="s">
        <v>150</v>
      </c>
      <c r="B9169" s="19">
        <v>241.44</v>
      </c>
      <c r="C9169" s="19">
        <v>3</v>
      </c>
      <c r="D9169" s="19">
        <v>72.431999999999988</v>
      </c>
    </row>
    <row r="9170" spans="1:4" x14ac:dyDescent="0.2">
      <c r="A9170" s="19" t="s">
        <v>183</v>
      </c>
      <c r="B9170" s="19">
        <v>319.76</v>
      </c>
      <c r="C9170" s="19">
        <v>14</v>
      </c>
      <c r="D9170" s="19">
        <v>147.08959999999999</v>
      </c>
    </row>
    <row r="9171" spans="1:4" x14ac:dyDescent="0.2">
      <c r="A9171" s="19" t="s">
        <v>183</v>
      </c>
      <c r="B9171" s="19">
        <v>45.68</v>
      </c>
      <c r="C9171" s="19">
        <v>2</v>
      </c>
      <c r="D9171" s="19">
        <v>21.012799999999999</v>
      </c>
    </row>
    <row r="9172" spans="1:4" x14ac:dyDescent="0.2">
      <c r="A9172" s="19" t="s">
        <v>150</v>
      </c>
      <c r="B9172" s="19">
        <v>31.96</v>
      </c>
      <c r="C9172" s="19">
        <v>2</v>
      </c>
      <c r="D9172" s="19">
        <v>1.597999999999999</v>
      </c>
    </row>
    <row r="9173" spans="1:4" x14ac:dyDescent="0.2">
      <c r="A9173" s="19" t="s">
        <v>150</v>
      </c>
      <c r="B9173" s="19">
        <v>47.9</v>
      </c>
      <c r="C9173" s="19">
        <v>1</v>
      </c>
      <c r="D9173" s="19">
        <v>22.991999999999997</v>
      </c>
    </row>
    <row r="9174" spans="1:4" x14ac:dyDescent="0.2">
      <c r="A9174" s="19" t="s">
        <v>150</v>
      </c>
      <c r="B9174" s="19">
        <v>1112.94</v>
      </c>
      <c r="C9174" s="19">
        <v>3</v>
      </c>
      <c r="D9174" s="19">
        <v>222.58799999999991</v>
      </c>
    </row>
    <row r="9175" spans="1:4" x14ac:dyDescent="0.2">
      <c r="A9175" s="19" t="s">
        <v>150</v>
      </c>
      <c r="B9175" s="19">
        <v>22.919999999999998</v>
      </c>
      <c r="C9175" s="19">
        <v>3</v>
      </c>
      <c r="D9175" s="19">
        <v>11.230799999999999</v>
      </c>
    </row>
    <row r="9176" spans="1:4" x14ac:dyDescent="0.2">
      <c r="A9176" s="19" t="s">
        <v>153</v>
      </c>
      <c r="B9176" s="19">
        <v>71.975999999999999</v>
      </c>
      <c r="C9176" s="19">
        <v>3</v>
      </c>
      <c r="D9176" s="19">
        <v>8.9969999999999892</v>
      </c>
    </row>
    <row r="9177" spans="1:4" x14ac:dyDescent="0.2">
      <c r="A9177" s="19" t="s">
        <v>153</v>
      </c>
      <c r="B9177" s="19">
        <v>19.440000000000001</v>
      </c>
      <c r="C9177" s="19">
        <v>3</v>
      </c>
      <c r="D9177" s="19">
        <v>9.3312000000000008</v>
      </c>
    </row>
    <row r="9178" spans="1:4" x14ac:dyDescent="0.2">
      <c r="A9178" s="19" t="s">
        <v>167</v>
      </c>
      <c r="B9178" s="19">
        <v>31.086000000000006</v>
      </c>
      <c r="C9178" s="19">
        <v>3</v>
      </c>
      <c r="D9178" s="19">
        <v>-20.72399999999999</v>
      </c>
    </row>
    <row r="9179" spans="1:4" x14ac:dyDescent="0.2">
      <c r="A9179" s="19" t="s">
        <v>164</v>
      </c>
      <c r="B9179" s="19">
        <v>13.98</v>
      </c>
      <c r="C9179" s="19">
        <v>2</v>
      </c>
      <c r="D9179" s="19">
        <v>3.9144000000000005</v>
      </c>
    </row>
    <row r="9180" spans="1:4" x14ac:dyDescent="0.2">
      <c r="A9180" s="19" t="s">
        <v>164</v>
      </c>
      <c r="B9180" s="19">
        <v>23.65</v>
      </c>
      <c r="C9180" s="19">
        <v>1</v>
      </c>
      <c r="D9180" s="19">
        <v>6.1490000000000009</v>
      </c>
    </row>
    <row r="9181" spans="1:4" x14ac:dyDescent="0.2">
      <c r="A9181" s="19" t="s">
        <v>150</v>
      </c>
      <c r="B9181" s="19">
        <v>707.88</v>
      </c>
      <c r="C9181" s="19">
        <v>3</v>
      </c>
      <c r="D9181" s="19">
        <v>44.242500000000035</v>
      </c>
    </row>
    <row r="9182" spans="1:4" x14ac:dyDescent="0.2">
      <c r="A9182" s="19" t="s">
        <v>150</v>
      </c>
      <c r="B9182" s="19">
        <v>11.952000000000002</v>
      </c>
      <c r="C9182" s="19">
        <v>3</v>
      </c>
      <c r="D9182" s="19">
        <v>4.1832000000000003</v>
      </c>
    </row>
    <row r="9183" spans="1:4" x14ac:dyDescent="0.2">
      <c r="A9183" s="19" t="s">
        <v>150</v>
      </c>
      <c r="B9183" s="19">
        <v>31.128000000000004</v>
      </c>
      <c r="C9183" s="19">
        <v>3</v>
      </c>
      <c r="D9183" s="19">
        <v>11.673000000000002</v>
      </c>
    </row>
    <row r="9184" spans="1:4" x14ac:dyDescent="0.2">
      <c r="A9184" s="19" t="s">
        <v>150</v>
      </c>
      <c r="B9184" s="19">
        <v>55.76</v>
      </c>
      <c r="C9184" s="19">
        <v>4</v>
      </c>
      <c r="D9184" s="19">
        <v>7.8064000000000036</v>
      </c>
    </row>
    <row r="9185" spans="1:4" x14ac:dyDescent="0.2">
      <c r="A9185" s="19" t="s">
        <v>150</v>
      </c>
      <c r="B9185" s="19">
        <v>24.56</v>
      </c>
      <c r="C9185" s="19">
        <v>2</v>
      </c>
      <c r="D9185" s="19">
        <v>11.543199999999999</v>
      </c>
    </row>
    <row r="9186" spans="1:4" x14ac:dyDescent="0.2">
      <c r="A9186" s="19" t="s">
        <v>150</v>
      </c>
      <c r="B9186" s="19">
        <v>51.75</v>
      </c>
      <c r="C9186" s="19">
        <v>1</v>
      </c>
      <c r="D9186" s="19">
        <v>15.524999999999999</v>
      </c>
    </row>
    <row r="9187" spans="1:4" x14ac:dyDescent="0.2">
      <c r="A9187" s="19" t="s">
        <v>150</v>
      </c>
      <c r="B9187" s="19">
        <v>207.18400000000003</v>
      </c>
      <c r="C9187" s="19">
        <v>1</v>
      </c>
      <c r="D9187" s="19">
        <v>25.897999999999982</v>
      </c>
    </row>
    <row r="9188" spans="1:4" x14ac:dyDescent="0.2">
      <c r="A9188" s="19" t="s">
        <v>150</v>
      </c>
      <c r="B9188" s="19">
        <v>1473.1</v>
      </c>
      <c r="C9188" s="19">
        <v>5</v>
      </c>
      <c r="D9188" s="19">
        <v>412.46800000000007</v>
      </c>
    </row>
    <row r="9189" spans="1:4" x14ac:dyDescent="0.2">
      <c r="A9189" s="19" t="s">
        <v>158</v>
      </c>
      <c r="B9189" s="19">
        <v>3.4880000000000004</v>
      </c>
      <c r="C9189" s="19">
        <v>2</v>
      </c>
      <c r="D9189" s="19">
        <v>-0.69760000000000066</v>
      </c>
    </row>
    <row r="9190" spans="1:4" x14ac:dyDescent="0.2">
      <c r="A9190" s="19" t="s">
        <v>158</v>
      </c>
      <c r="B9190" s="19">
        <v>21.728000000000002</v>
      </c>
      <c r="C9190" s="19">
        <v>4</v>
      </c>
      <c r="D9190" s="19">
        <v>3.8024000000000004</v>
      </c>
    </row>
    <row r="9191" spans="1:4" x14ac:dyDescent="0.2">
      <c r="A9191" s="19" t="s">
        <v>158</v>
      </c>
      <c r="B9191" s="19">
        <v>663.072</v>
      </c>
      <c r="C9191" s="19">
        <v>6</v>
      </c>
      <c r="D9191" s="19">
        <v>-165.768</v>
      </c>
    </row>
    <row r="9192" spans="1:4" x14ac:dyDescent="0.2">
      <c r="A9192" s="19" t="s">
        <v>158</v>
      </c>
      <c r="B9192" s="19">
        <v>99.588000000000008</v>
      </c>
      <c r="C9192" s="19">
        <v>2</v>
      </c>
      <c r="D9192" s="19">
        <v>-82.989999999999981</v>
      </c>
    </row>
    <row r="9193" spans="1:4" x14ac:dyDescent="0.2">
      <c r="A9193" s="19" t="s">
        <v>158</v>
      </c>
      <c r="B9193" s="19">
        <v>49.568000000000005</v>
      </c>
      <c r="C9193" s="19">
        <v>2</v>
      </c>
      <c r="D9193" s="19">
        <v>15.489999999999997</v>
      </c>
    </row>
    <row r="9194" spans="1:4" x14ac:dyDescent="0.2">
      <c r="A9194" s="19" t="s">
        <v>154</v>
      </c>
      <c r="B9194" s="19">
        <v>29.371999999999993</v>
      </c>
      <c r="C9194" s="19">
        <v>7</v>
      </c>
      <c r="D9194" s="19">
        <v>-46.995200000000025</v>
      </c>
    </row>
    <row r="9195" spans="1:4" x14ac:dyDescent="0.2">
      <c r="A9195" s="19" t="s">
        <v>154</v>
      </c>
      <c r="B9195" s="19">
        <v>344.70400000000001</v>
      </c>
      <c r="C9195" s="19">
        <v>2</v>
      </c>
      <c r="D9195" s="19">
        <v>38.779199999999989</v>
      </c>
    </row>
    <row r="9196" spans="1:4" x14ac:dyDescent="0.2">
      <c r="A9196" s="19" t="s">
        <v>165</v>
      </c>
      <c r="B9196" s="19">
        <v>47.992000000000004</v>
      </c>
      <c r="C9196" s="19">
        <v>7</v>
      </c>
      <c r="D9196" s="19">
        <v>3.5993999999999993</v>
      </c>
    </row>
    <row r="9197" spans="1:4" x14ac:dyDescent="0.2">
      <c r="A9197" s="19" t="s">
        <v>165</v>
      </c>
      <c r="B9197" s="19">
        <v>102.24000000000001</v>
      </c>
      <c r="C9197" s="19">
        <v>4</v>
      </c>
      <c r="D9197" s="19">
        <v>-16.614000000000004</v>
      </c>
    </row>
    <row r="9198" spans="1:4" x14ac:dyDescent="0.2">
      <c r="A9198" s="19" t="s">
        <v>150</v>
      </c>
      <c r="B9198" s="19">
        <v>39.96</v>
      </c>
      <c r="C9198" s="19">
        <v>2</v>
      </c>
      <c r="D9198" s="19">
        <v>19.180800000000001</v>
      </c>
    </row>
    <row r="9199" spans="1:4" x14ac:dyDescent="0.2">
      <c r="A9199" s="19" t="s">
        <v>150</v>
      </c>
      <c r="B9199" s="19">
        <v>1432.0000000000002</v>
      </c>
      <c r="C9199" s="19">
        <v>5</v>
      </c>
      <c r="D9199" s="19">
        <v>125.30000000000007</v>
      </c>
    </row>
    <row r="9200" spans="1:4" x14ac:dyDescent="0.2">
      <c r="A9200" s="19" t="s">
        <v>150</v>
      </c>
      <c r="B9200" s="19">
        <v>41.04</v>
      </c>
      <c r="C9200" s="19">
        <v>6</v>
      </c>
      <c r="D9200" s="19">
        <v>11.0808</v>
      </c>
    </row>
    <row r="9201" spans="1:4" x14ac:dyDescent="0.2">
      <c r="A9201" s="19" t="s">
        <v>150</v>
      </c>
      <c r="B9201" s="19">
        <v>256.78400000000005</v>
      </c>
      <c r="C9201" s="19">
        <v>1</v>
      </c>
      <c r="D9201" s="19">
        <v>32.097999999999971</v>
      </c>
    </row>
    <row r="9202" spans="1:4" x14ac:dyDescent="0.2">
      <c r="A9202" s="19" t="s">
        <v>179</v>
      </c>
      <c r="B9202" s="19">
        <v>120.98</v>
      </c>
      <c r="C9202" s="19">
        <v>1</v>
      </c>
      <c r="D9202" s="19">
        <v>12.097999999999999</v>
      </c>
    </row>
    <row r="9203" spans="1:4" x14ac:dyDescent="0.2">
      <c r="A9203" s="19" t="s">
        <v>179</v>
      </c>
      <c r="B9203" s="19">
        <v>315.98</v>
      </c>
      <c r="C9203" s="19">
        <v>1</v>
      </c>
      <c r="D9203" s="19">
        <v>148.51060000000001</v>
      </c>
    </row>
    <row r="9204" spans="1:4" x14ac:dyDescent="0.2">
      <c r="A9204" s="19" t="s">
        <v>164</v>
      </c>
      <c r="B9204" s="19">
        <v>28.752000000000002</v>
      </c>
      <c r="C9204" s="19">
        <v>3</v>
      </c>
      <c r="D9204" s="19">
        <v>10.0632</v>
      </c>
    </row>
    <row r="9205" spans="1:4" x14ac:dyDescent="0.2">
      <c r="A9205" s="19" t="s">
        <v>164</v>
      </c>
      <c r="B9205" s="19">
        <v>114.94999999999999</v>
      </c>
      <c r="C9205" s="19">
        <v>5</v>
      </c>
      <c r="D9205" s="19">
        <v>32.186000000000007</v>
      </c>
    </row>
    <row r="9206" spans="1:4" x14ac:dyDescent="0.2">
      <c r="A9206" s="19" t="s">
        <v>150</v>
      </c>
      <c r="B9206" s="19">
        <v>23.04</v>
      </c>
      <c r="C9206" s="19">
        <v>8</v>
      </c>
      <c r="D9206" s="19">
        <v>6.911999999999999</v>
      </c>
    </row>
    <row r="9207" spans="1:4" x14ac:dyDescent="0.2">
      <c r="A9207" s="19" t="s">
        <v>178</v>
      </c>
      <c r="B9207" s="19">
        <v>15.48</v>
      </c>
      <c r="C9207" s="19">
        <v>3</v>
      </c>
      <c r="D9207" s="19">
        <v>4.4891999999999985</v>
      </c>
    </row>
    <row r="9208" spans="1:4" x14ac:dyDescent="0.2">
      <c r="A9208" s="19" t="s">
        <v>178</v>
      </c>
      <c r="B9208" s="19">
        <v>51.84</v>
      </c>
      <c r="C9208" s="19">
        <v>8</v>
      </c>
      <c r="D9208" s="19">
        <v>24.883200000000002</v>
      </c>
    </row>
    <row r="9209" spans="1:4" x14ac:dyDescent="0.2">
      <c r="A9209" s="19" t="s">
        <v>159</v>
      </c>
      <c r="B9209" s="19">
        <v>39.816000000000003</v>
      </c>
      <c r="C9209" s="19">
        <v>3</v>
      </c>
      <c r="D9209" s="19">
        <v>7.4654999999999987</v>
      </c>
    </row>
    <row r="9210" spans="1:4" x14ac:dyDescent="0.2">
      <c r="A9210" s="19" t="s">
        <v>153</v>
      </c>
      <c r="B9210" s="19">
        <v>16.059999999999999</v>
      </c>
      <c r="C9210" s="19">
        <v>1</v>
      </c>
      <c r="D9210" s="19">
        <v>4.1755999999999993</v>
      </c>
    </row>
    <row r="9211" spans="1:4" x14ac:dyDescent="0.2">
      <c r="A9211" s="19" t="s">
        <v>172</v>
      </c>
      <c r="B9211" s="19">
        <v>7.28</v>
      </c>
      <c r="C9211" s="19">
        <v>1</v>
      </c>
      <c r="D9211" s="19">
        <v>3.4944000000000002</v>
      </c>
    </row>
    <row r="9212" spans="1:4" x14ac:dyDescent="0.2">
      <c r="A9212" s="19" t="s">
        <v>172</v>
      </c>
      <c r="B9212" s="19">
        <v>5.4</v>
      </c>
      <c r="C9212" s="19">
        <v>3</v>
      </c>
      <c r="D9212" s="19">
        <v>2.5920000000000001</v>
      </c>
    </row>
    <row r="9213" spans="1:4" x14ac:dyDescent="0.2">
      <c r="A9213" s="19" t="s">
        <v>150</v>
      </c>
      <c r="B9213" s="19">
        <v>19.440000000000001</v>
      </c>
      <c r="C9213" s="19">
        <v>3</v>
      </c>
      <c r="D9213" s="19">
        <v>9.3312000000000008</v>
      </c>
    </row>
    <row r="9214" spans="1:4" x14ac:dyDescent="0.2">
      <c r="A9214" s="19" t="s">
        <v>150</v>
      </c>
      <c r="B9214" s="19">
        <v>39.880000000000003</v>
      </c>
      <c r="C9214" s="19">
        <v>2</v>
      </c>
      <c r="D9214" s="19">
        <v>11.166400000000003</v>
      </c>
    </row>
    <row r="9215" spans="1:4" x14ac:dyDescent="0.2">
      <c r="A9215" s="19" t="s">
        <v>150</v>
      </c>
      <c r="B9215" s="19">
        <v>79.44</v>
      </c>
      <c r="C9215" s="19">
        <v>3</v>
      </c>
      <c r="D9215" s="19">
        <v>28.598399999999994</v>
      </c>
    </row>
    <row r="9216" spans="1:4" x14ac:dyDescent="0.2">
      <c r="A9216" s="19" t="s">
        <v>158</v>
      </c>
      <c r="B9216" s="19">
        <v>20.664000000000001</v>
      </c>
      <c r="C9216" s="19">
        <v>7</v>
      </c>
      <c r="D9216" s="19">
        <v>6.9741</v>
      </c>
    </row>
    <row r="9217" spans="1:4" x14ac:dyDescent="0.2">
      <c r="A9217" s="19" t="s">
        <v>150</v>
      </c>
      <c r="B9217" s="19">
        <v>32.400000000000006</v>
      </c>
      <c r="C9217" s="19">
        <v>5</v>
      </c>
      <c r="D9217" s="19">
        <v>15.552000000000001</v>
      </c>
    </row>
    <row r="9218" spans="1:4" x14ac:dyDescent="0.2">
      <c r="A9218" s="19" t="s">
        <v>154</v>
      </c>
      <c r="B9218" s="19">
        <v>13.761999999999997</v>
      </c>
      <c r="C9218" s="19">
        <v>1</v>
      </c>
      <c r="D9218" s="19">
        <v>-24.771599999999999</v>
      </c>
    </row>
    <row r="9219" spans="1:4" x14ac:dyDescent="0.2">
      <c r="A9219" s="19" t="s">
        <v>160</v>
      </c>
      <c r="B9219" s="19">
        <v>15.28</v>
      </c>
      <c r="C9219" s="19">
        <v>2</v>
      </c>
      <c r="D9219" s="19">
        <v>7.4871999999999996</v>
      </c>
    </row>
    <row r="9220" spans="1:4" x14ac:dyDescent="0.2">
      <c r="A9220" s="19" t="s">
        <v>158</v>
      </c>
      <c r="B9220" s="19">
        <v>44.688000000000002</v>
      </c>
      <c r="C9220" s="19">
        <v>7</v>
      </c>
      <c r="D9220" s="19">
        <v>3.3515999999999977</v>
      </c>
    </row>
    <row r="9221" spans="1:4" x14ac:dyDescent="0.2">
      <c r="A9221" s="19" t="s">
        <v>158</v>
      </c>
      <c r="B9221" s="19">
        <v>301.46999999999997</v>
      </c>
      <c r="C9221" s="19">
        <v>3</v>
      </c>
      <c r="D9221" s="19">
        <v>-204.99959999999996</v>
      </c>
    </row>
    <row r="9222" spans="1:4" x14ac:dyDescent="0.2">
      <c r="A9222" s="19" t="s">
        <v>177</v>
      </c>
      <c r="B9222" s="19">
        <v>11.07</v>
      </c>
      <c r="C9222" s="19">
        <v>3</v>
      </c>
      <c r="D9222" s="19">
        <v>5.2028999999999996</v>
      </c>
    </row>
    <row r="9223" spans="1:4" x14ac:dyDescent="0.2">
      <c r="A9223" s="19" t="s">
        <v>177</v>
      </c>
      <c r="B9223" s="19">
        <v>1504.52</v>
      </c>
      <c r="C9223" s="19">
        <v>4</v>
      </c>
      <c r="D9223" s="19">
        <v>346.03960000000006</v>
      </c>
    </row>
    <row r="9224" spans="1:4" x14ac:dyDescent="0.2">
      <c r="A9224" s="19" t="s">
        <v>177</v>
      </c>
      <c r="B9224" s="19">
        <v>25.92</v>
      </c>
      <c r="C9224" s="19">
        <v>4</v>
      </c>
      <c r="D9224" s="19">
        <v>12.441600000000001</v>
      </c>
    </row>
    <row r="9225" spans="1:4" x14ac:dyDescent="0.2">
      <c r="A9225" s="19" t="s">
        <v>154</v>
      </c>
      <c r="B9225" s="19">
        <v>7.5359999999999987</v>
      </c>
      <c r="C9225" s="19">
        <v>6</v>
      </c>
      <c r="D9225" s="19">
        <v>-13.188000000000009</v>
      </c>
    </row>
    <row r="9226" spans="1:4" x14ac:dyDescent="0.2">
      <c r="A9226" s="19" t="s">
        <v>154</v>
      </c>
      <c r="B9226" s="19">
        <v>1.4079999999999997</v>
      </c>
      <c r="C9226" s="19">
        <v>2</v>
      </c>
      <c r="D9226" s="19">
        <v>-2.3232000000000008</v>
      </c>
    </row>
    <row r="9227" spans="1:4" x14ac:dyDescent="0.2">
      <c r="A9227" s="19" t="s">
        <v>154</v>
      </c>
      <c r="B9227" s="19">
        <v>4.1439999999999992</v>
      </c>
      <c r="C9227" s="19">
        <v>4</v>
      </c>
      <c r="D9227" s="19">
        <v>-6.4232000000000014</v>
      </c>
    </row>
    <row r="9228" spans="1:4" x14ac:dyDescent="0.2">
      <c r="A9228" s="19" t="s">
        <v>154</v>
      </c>
      <c r="B9228" s="19">
        <v>52.751999999999995</v>
      </c>
      <c r="C9228" s="19">
        <v>3</v>
      </c>
      <c r="D9228" s="19">
        <v>-12.528600000000001</v>
      </c>
    </row>
    <row r="9229" spans="1:4" x14ac:dyDescent="0.2">
      <c r="A9229" s="19" t="s">
        <v>150</v>
      </c>
      <c r="B9229" s="19">
        <v>381.35999999999996</v>
      </c>
      <c r="C9229" s="19">
        <v>7</v>
      </c>
      <c r="D9229" s="19">
        <v>106.78080000000003</v>
      </c>
    </row>
    <row r="9230" spans="1:4" x14ac:dyDescent="0.2">
      <c r="A9230" s="19" t="s">
        <v>150</v>
      </c>
      <c r="B9230" s="19">
        <v>6.72</v>
      </c>
      <c r="C9230" s="19">
        <v>4</v>
      </c>
      <c r="D9230" s="19">
        <v>3.36</v>
      </c>
    </row>
    <row r="9231" spans="1:4" x14ac:dyDescent="0.2">
      <c r="A9231" s="19" t="s">
        <v>150</v>
      </c>
      <c r="B9231" s="19">
        <v>15.192</v>
      </c>
      <c r="C9231" s="19">
        <v>3</v>
      </c>
      <c r="D9231" s="19">
        <v>5.5070999999999994</v>
      </c>
    </row>
    <row r="9232" spans="1:4" x14ac:dyDescent="0.2">
      <c r="A9232" s="19" t="s">
        <v>150</v>
      </c>
      <c r="B9232" s="19">
        <v>58.320000000000007</v>
      </c>
      <c r="C9232" s="19">
        <v>9</v>
      </c>
      <c r="D9232" s="19">
        <v>27.993600000000001</v>
      </c>
    </row>
    <row r="9233" spans="1:4" x14ac:dyDescent="0.2">
      <c r="A9233" s="19" t="s">
        <v>165</v>
      </c>
      <c r="B9233" s="19">
        <v>946.76400000000024</v>
      </c>
      <c r="C9233" s="19">
        <v>6</v>
      </c>
      <c r="D9233" s="19">
        <v>-694.29359999999997</v>
      </c>
    </row>
    <row r="9234" spans="1:4" x14ac:dyDescent="0.2">
      <c r="A9234" s="19" t="s">
        <v>150</v>
      </c>
      <c r="B9234" s="19">
        <v>94.679999999999993</v>
      </c>
      <c r="C9234" s="19">
        <v>9</v>
      </c>
      <c r="D9234" s="19">
        <v>31.244399999999995</v>
      </c>
    </row>
    <row r="9235" spans="1:4" x14ac:dyDescent="0.2">
      <c r="A9235" s="19" t="s">
        <v>150</v>
      </c>
      <c r="B9235" s="19">
        <v>23.669999999999998</v>
      </c>
      <c r="C9235" s="19">
        <v>3</v>
      </c>
      <c r="D9235" s="19">
        <v>0.94679999999999698</v>
      </c>
    </row>
    <row r="9236" spans="1:4" x14ac:dyDescent="0.2">
      <c r="A9236" s="19" t="s">
        <v>150</v>
      </c>
      <c r="B9236" s="19">
        <v>1091.1680000000001</v>
      </c>
      <c r="C9236" s="19">
        <v>4</v>
      </c>
      <c r="D9236" s="19">
        <v>68.197999999999979</v>
      </c>
    </row>
    <row r="9237" spans="1:4" x14ac:dyDescent="0.2">
      <c r="A9237" s="19" t="s">
        <v>150</v>
      </c>
      <c r="B9237" s="19">
        <v>18.689999999999998</v>
      </c>
      <c r="C9237" s="19">
        <v>7</v>
      </c>
      <c r="D9237" s="19">
        <v>5.2332000000000001</v>
      </c>
    </row>
    <row r="9238" spans="1:4" x14ac:dyDescent="0.2">
      <c r="A9238" s="19" t="s">
        <v>150</v>
      </c>
      <c r="B9238" s="19">
        <v>568.72800000000007</v>
      </c>
      <c r="C9238" s="19">
        <v>3</v>
      </c>
      <c r="D9238" s="19">
        <v>28.436399999999935</v>
      </c>
    </row>
    <row r="9239" spans="1:4" x14ac:dyDescent="0.2">
      <c r="A9239" s="19" t="s">
        <v>150</v>
      </c>
      <c r="B9239" s="19">
        <v>7.3120000000000012</v>
      </c>
      <c r="C9239" s="19">
        <v>1</v>
      </c>
      <c r="D9239" s="19">
        <v>2.5591999999999997</v>
      </c>
    </row>
    <row r="9240" spans="1:4" x14ac:dyDescent="0.2">
      <c r="A9240" s="19" t="s">
        <v>173</v>
      </c>
      <c r="B9240" s="19">
        <v>147.56800000000001</v>
      </c>
      <c r="C9240" s="19">
        <v>2</v>
      </c>
      <c r="D9240" s="19">
        <v>-3.6892000000000067</v>
      </c>
    </row>
    <row r="9241" spans="1:4" x14ac:dyDescent="0.2">
      <c r="A9241" s="19" t="s">
        <v>151</v>
      </c>
      <c r="B9241" s="19">
        <v>56.783999999999999</v>
      </c>
      <c r="C9241" s="19">
        <v>7</v>
      </c>
      <c r="D9241" s="19">
        <v>20.584200000000003</v>
      </c>
    </row>
    <row r="9242" spans="1:4" x14ac:dyDescent="0.2">
      <c r="A9242" s="19" t="s">
        <v>151</v>
      </c>
      <c r="B9242" s="19">
        <v>5.6070000000000011</v>
      </c>
      <c r="C9242" s="19">
        <v>3</v>
      </c>
      <c r="D9242" s="19">
        <v>-3.9248999999999974</v>
      </c>
    </row>
    <row r="9243" spans="1:4" x14ac:dyDescent="0.2">
      <c r="A9243" s="19" t="s">
        <v>151</v>
      </c>
      <c r="B9243" s="19">
        <v>6.5760000000000005</v>
      </c>
      <c r="C9243" s="19">
        <v>3</v>
      </c>
      <c r="D9243" s="19">
        <v>0.57540000000000058</v>
      </c>
    </row>
    <row r="9244" spans="1:4" x14ac:dyDescent="0.2">
      <c r="A9244" s="19" t="s">
        <v>150</v>
      </c>
      <c r="B9244" s="19">
        <v>14.303999999999998</v>
      </c>
      <c r="C9244" s="19">
        <v>6</v>
      </c>
      <c r="D9244" s="19">
        <v>4.6487999999999987</v>
      </c>
    </row>
    <row r="9245" spans="1:4" x14ac:dyDescent="0.2">
      <c r="A9245" s="19" t="s">
        <v>150</v>
      </c>
      <c r="B9245" s="19">
        <v>119.83299999999998</v>
      </c>
      <c r="C9245" s="19">
        <v>1</v>
      </c>
      <c r="D9245" s="19">
        <v>7.0489999999999995</v>
      </c>
    </row>
    <row r="9246" spans="1:4" x14ac:dyDescent="0.2">
      <c r="A9246" s="19" t="s">
        <v>150</v>
      </c>
      <c r="B9246" s="19">
        <v>5.56</v>
      </c>
      <c r="C9246" s="19">
        <v>2</v>
      </c>
      <c r="D9246" s="19">
        <v>2.2239999999999998</v>
      </c>
    </row>
    <row r="9247" spans="1:4" x14ac:dyDescent="0.2">
      <c r="A9247" s="19" t="s">
        <v>150</v>
      </c>
      <c r="B9247" s="19">
        <v>32.400000000000006</v>
      </c>
      <c r="C9247" s="19">
        <v>5</v>
      </c>
      <c r="D9247" s="19">
        <v>15.552000000000001</v>
      </c>
    </row>
    <row r="9248" spans="1:4" x14ac:dyDescent="0.2">
      <c r="A9248" s="19" t="s">
        <v>150</v>
      </c>
      <c r="B9248" s="19">
        <v>9.84</v>
      </c>
      <c r="C9248" s="19">
        <v>3</v>
      </c>
      <c r="D9248" s="19">
        <v>2.8535999999999988</v>
      </c>
    </row>
    <row r="9249" spans="1:4" x14ac:dyDescent="0.2">
      <c r="A9249" s="19" t="s">
        <v>150</v>
      </c>
      <c r="B9249" s="19">
        <v>2.78</v>
      </c>
      <c r="C9249" s="19">
        <v>1</v>
      </c>
      <c r="D9249" s="19">
        <v>0.72279999999999989</v>
      </c>
    </row>
    <row r="9250" spans="1:4" x14ac:dyDescent="0.2">
      <c r="A9250" s="19" t="s">
        <v>164</v>
      </c>
      <c r="B9250" s="19">
        <v>3.64</v>
      </c>
      <c r="C9250" s="19">
        <v>1</v>
      </c>
      <c r="D9250" s="19">
        <v>1.3649999999999998</v>
      </c>
    </row>
    <row r="9251" spans="1:4" x14ac:dyDescent="0.2">
      <c r="A9251" s="19" t="s">
        <v>164</v>
      </c>
      <c r="B9251" s="19">
        <v>881.93</v>
      </c>
      <c r="C9251" s="19">
        <v>7</v>
      </c>
      <c r="D9251" s="19">
        <v>220.48250000000002</v>
      </c>
    </row>
    <row r="9252" spans="1:4" x14ac:dyDescent="0.2">
      <c r="A9252" s="19" t="s">
        <v>172</v>
      </c>
      <c r="B9252" s="19">
        <v>115.84</v>
      </c>
      <c r="C9252" s="19">
        <v>8</v>
      </c>
      <c r="D9252" s="19">
        <v>54.444800000000001</v>
      </c>
    </row>
    <row r="9253" spans="1:4" x14ac:dyDescent="0.2">
      <c r="A9253" s="19" t="s">
        <v>150</v>
      </c>
      <c r="B9253" s="19">
        <v>107.64800000000001</v>
      </c>
      <c r="C9253" s="19">
        <v>2</v>
      </c>
      <c r="D9253" s="19">
        <v>33.639999999999986</v>
      </c>
    </row>
    <row r="9254" spans="1:4" x14ac:dyDescent="0.2">
      <c r="A9254" s="19" t="s">
        <v>184</v>
      </c>
      <c r="B9254" s="19">
        <v>199.95000000000002</v>
      </c>
      <c r="C9254" s="19">
        <v>5</v>
      </c>
      <c r="D9254" s="19">
        <v>63.983999999999988</v>
      </c>
    </row>
    <row r="9255" spans="1:4" x14ac:dyDescent="0.2">
      <c r="A9255" s="19" t="s">
        <v>184</v>
      </c>
      <c r="B9255" s="19">
        <v>12.96</v>
      </c>
      <c r="C9255" s="19">
        <v>2</v>
      </c>
      <c r="D9255" s="19">
        <v>6.2208000000000006</v>
      </c>
    </row>
    <row r="9256" spans="1:4" x14ac:dyDescent="0.2">
      <c r="A9256" s="19" t="s">
        <v>174</v>
      </c>
      <c r="B9256" s="19">
        <v>60.89</v>
      </c>
      <c r="C9256" s="19">
        <v>1</v>
      </c>
      <c r="D9256" s="19">
        <v>15.222499999999997</v>
      </c>
    </row>
    <row r="9257" spans="1:4" x14ac:dyDescent="0.2">
      <c r="A9257" s="19" t="s">
        <v>174</v>
      </c>
      <c r="B9257" s="19">
        <v>14.940000000000001</v>
      </c>
      <c r="C9257" s="19">
        <v>3</v>
      </c>
      <c r="D9257" s="19">
        <v>6.8723999999999998</v>
      </c>
    </row>
    <row r="9258" spans="1:4" x14ac:dyDescent="0.2">
      <c r="A9258" s="19" t="s">
        <v>174</v>
      </c>
      <c r="B9258" s="19">
        <v>9.64</v>
      </c>
      <c r="C9258" s="19">
        <v>2</v>
      </c>
      <c r="D9258" s="19">
        <v>4.4344000000000001</v>
      </c>
    </row>
    <row r="9259" spans="1:4" x14ac:dyDescent="0.2">
      <c r="A9259" s="19" t="s">
        <v>174</v>
      </c>
      <c r="B9259" s="19">
        <v>332.94</v>
      </c>
      <c r="C9259" s="19">
        <v>3</v>
      </c>
      <c r="D9259" s="19">
        <v>53.270399999999995</v>
      </c>
    </row>
    <row r="9260" spans="1:4" x14ac:dyDescent="0.2">
      <c r="A9260" s="19" t="s">
        <v>174</v>
      </c>
      <c r="B9260" s="19">
        <v>51.900000000000006</v>
      </c>
      <c r="C9260" s="19">
        <v>3</v>
      </c>
      <c r="D9260" s="19">
        <v>24.393000000000001</v>
      </c>
    </row>
    <row r="9261" spans="1:4" x14ac:dyDescent="0.2">
      <c r="A9261" s="19" t="s">
        <v>174</v>
      </c>
      <c r="B9261" s="19">
        <v>64.959999999999994</v>
      </c>
      <c r="C9261" s="19">
        <v>2</v>
      </c>
      <c r="D9261" s="19">
        <v>2.598399999999998</v>
      </c>
    </row>
    <row r="9262" spans="1:4" x14ac:dyDescent="0.2">
      <c r="A9262" s="19" t="s">
        <v>192</v>
      </c>
      <c r="B9262" s="19">
        <v>25.5</v>
      </c>
      <c r="C9262" s="19">
        <v>3</v>
      </c>
      <c r="D9262" s="19">
        <v>6.63</v>
      </c>
    </row>
    <row r="9263" spans="1:4" x14ac:dyDescent="0.2">
      <c r="A9263" s="19" t="s">
        <v>153</v>
      </c>
      <c r="B9263" s="19">
        <v>215.976</v>
      </c>
      <c r="C9263" s="19">
        <v>3</v>
      </c>
      <c r="D9263" s="19">
        <v>-2.6997000000000355</v>
      </c>
    </row>
    <row r="9264" spans="1:4" x14ac:dyDescent="0.2">
      <c r="A9264" s="19" t="s">
        <v>161</v>
      </c>
      <c r="B9264" s="19">
        <v>389.97</v>
      </c>
      <c r="C9264" s="19">
        <v>3</v>
      </c>
      <c r="D9264" s="19">
        <v>35.097300000000004</v>
      </c>
    </row>
    <row r="9265" spans="1:4" x14ac:dyDescent="0.2">
      <c r="A9265" s="19" t="s">
        <v>161</v>
      </c>
      <c r="B9265" s="19">
        <v>269.90999999999997</v>
      </c>
      <c r="C9265" s="19">
        <v>5</v>
      </c>
      <c r="D9265" s="19">
        <v>53.982000000000006</v>
      </c>
    </row>
    <row r="9266" spans="1:4" x14ac:dyDescent="0.2">
      <c r="A9266" s="19" t="s">
        <v>167</v>
      </c>
      <c r="B9266" s="19">
        <v>11.673000000000002</v>
      </c>
      <c r="C9266" s="19">
        <v>3</v>
      </c>
      <c r="D9266" s="19">
        <v>-7.782</v>
      </c>
    </row>
    <row r="9267" spans="1:4" x14ac:dyDescent="0.2">
      <c r="A9267" s="19" t="s">
        <v>167</v>
      </c>
      <c r="B9267" s="19">
        <v>64.848000000000013</v>
      </c>
      <c r="C9267" s="19">
        <v>7</v>
      </c>
      <c r="D9267" s="19">
        <v>24.317999999999998</v>
      </c>
    </row>
    <row r="9268" spans="1:4" x14ac:dyDescent="0.2">
      <c r="A9268" s="19" t="s">
        <v>181</v>
      </c>
      <c r="B9268" s="19">
        <v>14.56</v>
      </c>
      <c r="C9268" s="19">
        <v>2</v>
      </c>
      <c r="D9268" s="19">
        <v>5.5327999999999999</v>
      </c>
    </row>
    <row r="9269" spans="1:4" x14ac:dyDescent="0.2">
      <c r="A9269" s="19" t="s">
        <v>164</v>
      </c>
      <c r="B9269" s="19">
        <v>102.58200000000001</v>
      </c>
      <c r="C9269" s="19">
        <v>1</v>
      </c>
      <c r="D9269" s="19">
        <v>6.8388000000000009</v>
      </c>
    </row>
    <row r="9270" spans="1:4" x14ac:dyDescent="0.2">
      <c r="A9270" s="19" t="s">
        <v>164</v>
      </c>
      <c r="B9270" s="19">
        <v>20.04</v>
      </c>
      <c r="C9270" s="19">
        <v>3</v>
      </c>
      <c r="D9270" s="19">
        <v>9.6191999999999993</v>
      </c>
    </row>
    <row r="9271" spans="1:4" x14ac:dyDescent="0.2">
      <c r="A9271" s="19" t="s">
        <v>164</v>
      </c>
      <c r="B9271" s="19">
        <v>32.088000000000001</v>
      </c>
      <c r="C9271" s="19">
        <v>7</v>
      </c>
      <c r="D9271" s="19">
        <v>11.2308</v>
      </c>
    </row>
    <row r="9272" spans="1:4" x14ac:dyDescent="0.2">
      <c r="A9272" s="19" t="s">
        <v>164</v>
      </c>
      <c r="B9272" s="19">
        <v>4305.5520000000006</v>
      </c>
      <c r="C9272" s="19">
        <v>6</v>
      </c>
      <c r="D9272" s="19">
        <v>1453.1237999999996</v>
      </c>
    </row>
    <row r="9273" spans="1:4" x14ac:dyDescent="0.2">
      <c r="A9273" s="19" t="s">
        <v>164</v>
      </c>
      <c r="B9273" s="19">
        <v>10.02</v>
      </c>
      <c r="C9273" s="19">
        <v>3</v>
      </c>
      <c r="D9273" s="19">
        <v>4.4088000000000012</v>
      </c>
    </row>
    <row r="9274" spans="1:4" x14ac:dyDescent="0.2">
      <c r="A9274" s="19" t="s">
        <v>164</v>
      </c>
      <c r="B9274" s="19">
        <v>631.96</v>
      </c>
      <c r="C9274" s="19">
        <v>4</v>
      </c>
      <c r="D9274" s="19">
        <v>303.3408</v>
      </c>
    </row>
    <row r="9275" spans="1:4" x14ac:dyDescent="0.2">
      <c r="A9275" s="19" t="s">
        <v>149</v>
      </c>
      <c r="B9275" s="19">
        <v>1577.94</v>
      </c>
      <c r="C9275" s="19">
        <v>3</v>
      </c>
      <c r="D9275" s="19">
        <v>757.41120000000001</v>
      </c>
    </row>
    <row r="9276" spans="1:4" x14ac:dyDescent="0.2">
      <c r="A9276" s="19" t="s">
        <v>176</v>
      </c>
      <c r="B9276" s="19">
        <v>255.84999999999997</v>
      </c>
      <c r="C9276" s="19">
        <v>7</v>
      </c>
      <c r="D9276" s="19">
        <v>112.57400000000001</v>
      </c>
    </row>
    <row r="9277" spans="1:4" x14ac:dyDescent="0.2">
      <c r="A9277" s="19" t="s">
        <v>151</v>
      </c>
      <c r="B9277" s="19">
        <v>184.70400000000001</v>
      </c>
      <c r="C9277" s="19">
        <v>6</v>
      </c>
      <c r="D9277" s="19">
        <v>13.852799999999995</v>
      </c>
    </row>
    <row r="9278" spans="1:4" x14ac:dyDescent="0.2">
      <c r="A9278" s="19" t="s">
        <v>151</v>
      </c>
      <c r="B9278" s="19">
        <v>47.92</v>
      </c>
      <c r="C9278" s="19">
        <v>2</v>
      </c>
      <c r="D9278" s="19">
        <v>11.98</v>
      </c>
    </row>
    <row r="9279" spans="1:4" x14ac:dyDescent="0.2">
      <c r="A9279" s="19" t="s">
        <v>158</v>
      </c>
      <c r="B9279" s="19">
        <v>15.936000000000002</v>
      </c>
      <c r="C9279" s="19">
        <v>4</v>
      </c>
      <c r="D9279" s="19">
        <v>5.1791999999999998</v>
      </c>
    </row>
    <row r="9280" spans="1:4" x14ac:dyDescent="0.2">
      <c r="A9280" s="19" t="s">
        <v>158</v>
      </c>
      <c r="B9280" s="19">
        <v>8.0010000000000012</v>
      </c>
      <c r="C9280" s="19">
        <v>7</v>
      </c>
      <c r="D9280" s="19">
        <v>-5.6006999999999962</v>
      </c>
    </row>
    <row r="9281" spans="1:4" x14ac:dyDescent="0.2">
      <c r="A9281" s="19" t="s">
        <v>158</v>
      </c>
      <c r="B9281" s="19">
        <v>398.97199999999998</v>
      </c>
      <c r="C9281" s="19">
        <v>2</v>
      </c>
      <c r="D9281" s="19">
        <v>-28.49799999999999</v>
      </c>
    </row>
    <row r="9282" spans="1:4" x14ac:dyDescent="0.2">
      <c r="A9282" s="19" t="s">
        <v>153</v>
      </c>
      <c r="B9282" s="19">
        <v>163.88</v>
      </c>
      <c r="C9282" s="19">
        <v>2</v>
      </c>
      <c r="D9282" s="19">
        <v>40.97</v>
      </c>
    </row>
    <row r="9283" spans="1:4" x14ac:dyDescent="0.2">
      <c r="A9283" s="19" t="s">
        <v>166</v>
      </c>
      <c r="B9283" s="19">
        <v>67.900000000000006</v>
      </c>
      <c r="C9283" s="19">
        <v>5</v>
      </c>
      <c r="D9283" s="19">
        <v>20.369999999999997</v>
      </c>
    </row>
    <row r="9284" spans="1:4" x14ac:dyDescent="0.2">
      <c r="A9284" s="19" t="s">
        <v>151</v>
      </c>
      <c r="B9284" s="19">
        <v>72.224000000000004</v>
      </c>
      <c r="C9284" s="19">
        <v>4</v>
      </c>
      <c r="D9284" s="19">
        <v>25.278400000000001</v>
      </c>
    </row>
    <row r="9285" spans="1:4" x14ac:dyDescent="0.2">
      <c r="A9285" s="19" t="s">
        <v>171</v>
      </c>
      <c r="B9285" s="19">
        <v>11.696</v>
      </c>
      <c r="C9285" s="19">
        <v>2</v>
      </c>
      <c r="D9285" s="19">
        <v>3.9473999999999996</v>
      </c>
    </row>
    <row r="9286" spans="1:4" x14ac:dyDescent="0.2">
      <c r="A9286" s="19" t="s">
        <v>155</v>
      </c>
      <c r="B9286" s="19">
        <v>392.93999999999994</v>
      </c>
      <c r="C9286" s="19">
        <v>3</v>
      </c>
      <c r="D9286" s="19">
        <v>43.223399999999984</v>
      </c>
    </row>
    <row r="9287" spans="1:4" x14ac:dyDescent="0.2">
      <c r="A9287" s="19" t="s">
        <v>152</v>
      </c>
      <c r="B9287" s="19">
        <v>18.175999999999998</v>
      </c>
      <c r="C9287" s="19">
        <v>1</v>
      </c>
      <c r="D9287" s="19">
        <v>4.7712000000000012</v>
      </c>
    </row>
    <row r="9288" spans="1:4" x14ac:dyDescent="0.2">
      <c r="A9288" s="19" t="s">
        <v>154</v>
      </c>
      <c r="B9288" s="19">
        <v>6.8879999999999981</v>
      </c>
      <c r="C9288" s="19">
        <v>3</v>
      </c>
      <c r="D9288" s="19">
        <v>-11.020800000000005</v>
      </c>
    </row>
    <row r="9289" spans="1:4" x14ac:dyDescent="0.2">
      <c r="A9289" s="19" t="s">
        <v>154</v>
      </c>
      <c r="B9289" s="19">
        <v>457.4849999999999</v>
      </c>
      <c r="C9289" s="19">
        <v>3</v>
      </c>
      <c r="D9289" s="19">
        <v>-84.961500000000029</v>
      </c>
    </row>
    <row r="9290" spans="1:4" x14ac:dyDescent="0.2">
      <c r="A9290" s="19" t="s">
        <v>158</v>
      </c>
      <c r="B9290" s="19">
        <v>1079.316</v>
      </c>
      <c r="C9290" s="19">
        <v>6</v>
      </c>
      <c r="D9290" s="19">
        <v>-15.418800000000203</v>
      </c>
    </row>
    <row r="9291" spans="1:4" x14ac:dyDescent="0.2">
      <c r="A9291" s="19" t="s">
        <v>150</v>
      </c>
      <c r="B9291" s="19">
        <v>48.91</v>
      </c>
      <c r="C9291" s="19">
        <v>1</v>
      </c>
      <c r="D9291" s="19">
        <v>22.987699999999997</v>
      </c>
    </row>
    <row r="9292" spans="1:4" x14ac:dyDescent="0.2">
      <c r="A9292" s="19" t="s">
        <v>162</v>
      </c>
      <c r="B9292" s="19">
        <v>9.84</v>
      </c>
      <c r="C9292" s="19">
        <v>3</v>
      </c>
      <c r="D9292" s="19">
        <v>2.8535999999999988</v>
      </c>
    </row>
    <row r="9293" spans="1:4" x14ac:dyDescent="0.2">
      <c r="A9293" s="19" t="s">
        <v>162</v>
      </c>
      <c r="B9293" s="19">
        <v>34.5</v>
      </c>
      <c r="C9293" s="19">
        <v>3</v>
      </c>
      <c r="D9293" s="19">
        <v>15.524999999999999</v>
      </c>
    </row>
    <row r="9294" spans="1:4" x14ac:dyDescent="0.2">
      <c r="A9294" s="19" t="s">
        <v>154</v>
      </c>
      <c r="B9294" s="19">
        <v>0.55599999999999983</v>
      </c>
      <c r="C9294" s="19">
        <v>1</v>
      </c>
      <c r="D9294" s="19">
        <v>-0.94520000000000004</v>
      </c>
    </row>
    <row r="9295" spans="1:4" x14ac:dyDescent="0.2">
      <c r="A9295" s="19" t="s">
        <v>187</v>
      </c>
      <c r="B9295" s="19">
        <v>43.8</v>
      </c>
      <c r="C9295" s="19">
        <v>6</v>
      </c>
      <c r="D9295" s="19">
        <v>20.585999999999999</v>
      </c>
    </row>
    <row r="9296" spans="1:4" x14ac:dyDescent="0.2">
      <c r="A9296" s="19" t="s">
        <v>173</v>
      </c>
      <c r="B9296" s="19">
        <v>13.872000000000002</v>
      </c>
      <c r="C9296" s="19">
        <v>3</v>
      </c>
      <c r="D9296" s="19">
        <v>5.0286000000000008</v>
      </c>
    </row>
    <row r="9297" spans="1:4" x14ac:dyDescent="0.2">
      <c r="A9297" s="19" t="s">
        <v>173</v>
      </c>
      <c r="B9297" s="19">
        <v>115.96</v>
      </c>
      <c r="C9297" s="19">
        <v>4</v>
      </c>
      <c r="D9297" s="19">
        <v>-64.937599999999989</v>
      </c>
    </row>
    <row r="9298" spans="1:4" x14ac:dyDescent="0.2">
      <c r="A9298" s="19" t="s">
        <v>154</v>
      </c>
      <c r="B9298" s="19">
        <v>41.424000000000007</v>
      </c>
      <c r="C9298" s="19">
        <v>2</v>
      </c>
      <c r="D9298" s="19">
        <v>8.2847999999999971</v>
      </c>
    </row>
    <row r="9299" spans="1:4" x14ac:dyDescent="0.2">
      <c r="A9299" s="19" t="s">
        <v>154</v>
      </c>
      <c r="B9299" s="19">
        <v>244.768</v>
      </c>
      <c r="C9299" s="19">
        <v>4</v>
      </c>
      <c r="D9299" s="19">
        <v>24.476800000000004</v>
      </c>
    </row>
    <row r="9300" spans="1:4" x14ac:dyDescent="0.2">
      <c r="A9300" s="19" t="s">
        <v>154</v>
      </c>
      <c r="B9300" s="19">
        <v>74.352000000000004</v>
      </c>
      <c r="C9300" s="19">
        <v>3</v>
      </c>
      <c r="D9300" s="19">
        <v>6.5057999999999971</v>
      </c>
    </row>
    <row r="9301" spans="1:4" x14ac:dyDescent="0.2">
      <c r="A9301" s="19" t="s">
        <v>154</v>
      </c>
      <c r="B9301" s="19">
        <v>4.3119999999999985</v>
      </c>
      <c r="C9301" s="19">
        <v>2</v>
      </c>
      <c r="D9301" s="19">
        <v>-6.8992000000000022</v>
      </c>
    </row>
    <row r="9302" spans="1:4" x14ac:dyDescent="0.2">
      <c r="A9302" s="19" t="s">
        <v>154</v>
      </c>
      <c r="B9302" s="19">
        <v>56.686</v>
      </c>
      <c r="C9302" s="19">
        <v>1</v>
      </c>
      <c r="D9302" s="19">
        <v>-20.245000000000008</v>
      </c>
    </row>
    <row r="9303" spans="1:4" x14ac:dyDescent="0.2">
      <c r="A9303" s="19" t="s">
        <v>154</v>
      </c>
      <c r="B9303" s="19">
        <v>97.968000000000004</v>
      </c>
      <c r="C9303" s="19">
        <v>2</v>
      </c>
      <c r="D9303" s="19">
        <v>6.122999999999994</v>
      </c>
    </row>
    <row r="9304" spans="1:4" x14ac:dyDescent="0.2">
      <c r="A9304" s="19" t="s">
        <v>154</v>
      </c>
      <c r="B9304" s="19">
        <v>7.8719999999999999</v>
      </c>
      <c r="C9304" s="19">
        <v>3</v>
      </c>
      <c r="D9304" s="19">
        <v>0.88559999999999883</v>
      </c>
    </row>
    <row r="9305" spans="1:4" x14ac:dyDescent="0.2">
      <c r="A9305" s="19" t="s">
        <v>154</v>
      </c>
      <c r="B9305" s="19">
        <v>15.552000000000003</v>
      </c>
      <c r="C9305" s="19">
        <v>3</v>
      </c>
      <c r="D9305" s="19">
        <v>5.4432</v>
      </c>
    </row>
    <row r="9306" spans="1:4" x14ac:dyDescent="0.2">
      <c r="A9306" s="19" t="s">
        <v>154</v>
      </c>
      <c r="B9306" s="19">
        <v>1.4759999999999998</v>
      </c>
      <c r="C9306" s="19">
        <v>1</v>
      </c>
      <c r="D9306" s="19">
        <v>-2.2877999999999998</v>
      </c>
    </row>
    <row r="9307" spans="1:4" x14ac:dyDescent="0.2">
      <c r="A9307" s="19" t="s">
        <v>176</v>
      </c>
      <c r="B9307" s="19">
        <v>8.4</v>
      </c>
      <c r="C9307" s="19">
        <v>5</v>
      </c>
      <c r="D9307" s="19">
        <v>2.1840000000000002</v>
      </c>
    </row>
    <row r="9308" spans="1:4" x14ac:dyDescent="0.2">
      <c r="A9308" s="19" t="s">
        <v>150</v>
      </c>
      <c r="B9308" s="19">
        <v>6.56</v>
      </c>
      <c r="C9308" s="19">
        <v>2</v>
      </c>
      <c r="D9308" s="19">
        <v>1.9023999999999992</v>
      </c>
    </row>
    <row r="9309" spans="1:4" x14ac:dyDescent="0.2">
      <c r="A9309" s="19" t="s">
        <v>150</v>
      </c>
      <c r="B9309" s="19">
        <v>14.88</v>
      </c>
      <c r="C9309" s="19">
        <v>2</v>
      </c>
      <c r="D9309" s="19">
        <v>3.7200000000000006</v>
      </c>
    </row>
    <row r="9310" spans="1:4" x14ac:dyDescent="0.2">
      <c r="A9310" s="19" t="s">
        <v>150</v>
      </c>
      <c r="B9310" s="19">
        <v>45.48</v>
      </c>
      <c r="C9310" s="19">
        <v>4</v>
      </c>
      <c r="D9310" s="19">
        <v>15.917999999999999</v>
      </c>
    </row>
    <row r="9311" spans="1:4" x14ac:dyDescent="0.2">
      <c r="A9311" s="19" t="s">
        <v>150</v>
      </c>
      <c r="B9311" s="19">
        <v>25.44</v>
      </c>
      <c r="C9311" s="19">
        <v>6</v>
      </c>
      <c r="D9311" s="19">
        <v>9.9215999999999998</v>
      </c>
    </row>
    <row r="9312" spans="1:4" x14ac:dyDescent="0.2">
      <c r="A9312" s="19" t="s">
        <v>164</v>
      </c>
      <c r="B9312" s="19">
        <v>146.68800000000002</v>
      </c>
      <c r="C9312" s="19">
        <v>8</v>
      </c>
      <c r="D9312" s="19">
        <v>45.839999999999996</v>
      </c>
    </row>
    <row r="9313" spans="1:4" x14ac:dyDescent="0.2">
      <c r="A9313" s="19" t="s">
        <v>154</v>
      </c>
      <c r="B9313" s="19">
        <v>4.9280000000000008</v>
      </c>
      <c r="C9313" s="19">
        <v>2</v>
      </c>
      <c r="D9313" s="19">
        <v>1.7247999999999997</v>
      </c>
    </row>
    <row r="9314" spans="1:4" x14ac:dyDescent="0.2">
      <c r="A9314" s="19" t="s">
        <v>154</v>
      </c>
      <c r="B9314" s="19">
        <v>63.488</v>
      </c>
      <c r="C9314" s="19">
        <v>4</v>
      </c>
      <c r="D9314" s="19">
        <v>4.7616000000000014</v>
      </c>
    </row>
    <row r="9315" spans="1:4" x14ac:dyDescent="0.2">
      <c r="A9315" s="19" t="s">
        <v>161</v>
      </c>
      <c r="B9315" s="19">
        <v>418.32</v>
      </c>
      <c r="C9315" s="19">
        <v>7</v>
      </c>
      <c r="D9315" s="19">
        <v>117.12960000000004</v>
      </c>
    </row>
    <row r="9316" spans="1:4" x14ac:dyDescent="0.2">
      <c r="A9316" s="19" t="s">
        <v>161</v>
      </c>
      <c r="B9316" s="19">
        <v>123.858</v>
      </c>
      <c r="C9316" s="19">
        <v>2</v>
      </c>
      <c r="D9316" s="19">
        <v>46.790800000000004</v>
      </c>
    </row>
    <row r="9317" spans="1:4" x14ac:dyDescent="0.2">
      <c r="A9317" s="19" t="s">
        <v>158</v>
      </c>
      <c r="B9317" s="19">
        <v>118.78199999999998</v>
      </c>
      <c r="C9317" s="19">
        <v>3</v>
      </c>
      <c r="D9317" s="19">
        <v>-27.715799999999994</v>
      </c>
    </row>
    <row r="9318" spans="1:4" x14ac:dyDescent="0.2">
      <c r="A9318" s="19" t="s">
        <v>158</v>
      </c>
      <c r="B9318" s="19">
        <v>769.18400000000008</v>
      </c>
      <c r="C9318" s="19">
        <v>4</v>
      </c>
      <c r="D9318" s="19">
        <v>-163.45159999999996</v>
      </c>
    </row>
    <row r="9319" spans="1:4" x14ac:dyDescent="0.2">
      <c r="A9319" s="19" t="s">
        <v>154</v>
      </c>
      <c r="B9319" s="19">
        <v>47.904000000000003</v>
      </c>
      <c r="C9319" s="19">
        <v>1</v>
      </c>
      <c r="D9319" s="19">
        <v>-2.9940000000000015</v>
      </c>
    </row>
    <row r="9320" spans="1:4" x14ac:dyDescent="0.2">
      <c r="A9320" s="19" t="s">
        <v>164</v>
      </c>
      <c r="B9320" s="19">
        <v>13.36</v>
      </c>
      <c r="C9320" s="19">
        <v>2</v>
      </c>
      <c r="D9320" s="19">
        <v>6.4127999999999998</v>
      </c>
    </row>
    <row r="9321" spans="1:4" x14ac:dyDescent="0.2">
      <c r="A9321" s="19" t="s">
        <v>164</v>
      </c>
      <c r="B9321" s="19">
        <v>163.76400000000001</v>
      </c>
      <c r="C9321" s="19">
        <v>2</v>
      </c>
      <c r="D9321" s="19">
        <v>25.474399999999999</v>
      </c>
    </row>
    <row r="9322" spans="1:4" x14ac:dyDescent="0.2">
      <c r="A9322" s="19" t="s">
        <v>164</v>
      </c>
      <c r="B9322" s="19">
        <v>183.92</v>
      </c>
      <c r="C9322" s="19">
        <v>4</v>
      </c>
      <c r="D9322" s="19">
        <v>31.266399999999976</v>
      </c>
    </row>
    <row r="9323" spans="1:4" x14ac:dyDescent="0.2">
      <c r="A9323" s="19" t="s">
        <v>154</v>
      </c>
      <c r="B9323" s="19">
        <v>11.376000000000001</v>
      </c>
      <c r="C9323" s="19">
        <v>3</v>
      </c>
      <c r="D9323" s="19">
        <v>-5.6879999999999988</v>
      </c>
    </row>
    <row r="9324" spans="1:4" x14ac:dyDescent="0.2">
      <c r="A9324" s="19" t="s">
        <v>154</v>
      </c>
      <c r="B9324" s="19">
        <v>66.112000000000009</v>
      </c>
      <c r="C9324" s="19">
        <v>4</v>
      </c>
      <c r="D9324" s="19">
        <v>-84.292799999999986</v>
      </c>
    </row>
    <row r="9325" spans="1:4" x14ac:dyDescent="0.2">
      <c r="A9325" s="19" t="s">
        <v>150</v>
      </c>
      <c r="B9325" s="19">
        <v>211.04</v>
      </c>
      <c r="C9325" s="19">
        <v>8</v>
      </c>
      <c r="D9325" s="19">
        <v>97.078399999999988</v>
      </c>
    </row>
    <row r="9326" spans="1:4" x14ac:dyDescent="0.2">
      <c r="A9326" s="19" t="s">
        <v>150</v>
      </c>
      <c r="B9326" s="19">
        <v>594.81600000000003</v>
      </c>
      <c r="C9326" s="19">
        <v>2</v>
      </c>
      <c r="D9326" s="19">
        <v>59.481600000000014</v>
      </c>
    </row>
    <row r="9327" spans="1:4" x14ac:dyDescent="0.2">
      <c r="A9327" s="19" t="s">
        <v>150</v>
      </c>
      <c r="B9327" s="19">
        <v>72.960000000000008</v>
      </c>
      <c r="C9327" s="19">
        <v>3</v>
      </c>
      <c r="D9327" s="19">
        <v>23.711999999999996</v>
      </c>
    </row>
    <row r="9328" spans="1:4" x14ac:dyDescent="0.2">
      <c r="A9328" s="19" t="s">
        <v>153</v>
      </c>
      <c r="B9328" s="19">
        <v>80.959999999999994</v>
      </c>
      <c r="C9328" s="19">
        <v>4</v>
      </c>
      <c r="D9328" s="19">
        <v>34.812800000000003</v>
      </c>
    </row>
    <row r="9329" spans="1:4" x14ac:dyDescent="0.2">
      <c r="A9329" s="19" t="s">
        <v>153</v>
      </c>
      <c r="B9329" s="19">
        <v>455.71199999999999</v>
      </c>
      <c r="C9329" s="19">
        <v>2</v>
      </c>
      <c r="D9329" s="19">
        <v>34.178400000000011</v>
      </c>
    </row>
    <row r="9330" spans="1:4" x14ac:dyDescent="0.2">
      <c r="A9330" s="19" t="s">
        <v>153</v>
      </c>
      <c r="B9330" s="19">
        <v>25.98</v>
      </c>
      <c r="C9330" s="19">
        <v>1</v>
      </c>
      <c r="D9330" s="19">
        <v>7.2744</v>
      </c>
    </row>
    <row r="9331" spans="1:4" x14ac:dyDescent="0.2">
      <c r="A9331" s="19" t="s">
        <v>150</v>
      </c>
      <c r="B9331" s="19">
        <v>45.28</v>
      </c>
      <c r="C9331" s="19">
        <v>4</v>
      </c>
      <c r="D9331" s="19">
        <v>15.395199999999999</v>
      </c>
    </row>
    <row r="9332" spans="1:4" x14ac:dyDescent="0.2">
      <c r="A9332" s="19" t="s">
        <v>164</v>
      </c>
      <c r="B9332" s="19">
        <v>15.56</v>
      </c>
      <c r="C9332" s="19">
        <v>2</v>
      </c>
      <c r="D9332" s="19">
        <v>7.3132000000000001</v>
      </c>
    </row>
    <row r="9333" spans="1:4" x14ac:dyDescent="0.2">
      <c r="A9333" s="19" t="s">
        <v>170</v>
      </c>
      <c r="B9333" s="19">
        <v>859.2</v>
      </c>
      <c r="C9333" s="19">
        <v>3</v>
      </c>
      <c r="D9333" s="19">
        <v>75.180000000000064</v>
      </c>
    </row>
    <row r="9334" spans="1:4" x14ac:dyDescent="0.2">
      <c r="A9334" s="19" t="s">
        <v>149</v>
      </c>
      <c r="B9334" s="19">
        <v>195.68</v>
      </c>
      <c r="C9334" s="19">
        <v>4</v>
      </c>
      <c r="D9334" s="19">
        <v>50.876800000000003</v>
      </c>
    </row>
    <row r="9335" spans="1:4" x14ac:dyDescent="0.2">
      <c r="A9335" s="19" t="s">
        <v>149</v>
      </c>
      <c r="B9335" s="19">
        <v>14.2</v>
      </c>
      <c r="C9335" s="19">
        <v>4</v>
      </c>
      <c r="D9335" s="19">
        <v>6.6739999999999995</v>
      </c>
    </row>
    <row r="9336" spans="1:4" x14ac:dyDescent="0.2">
      <c r="A9336" s="19" t="s">
        <v>151</v>
      </c>
      <c r="B9336" s="19">
        <v>314.35199999999998</v>
      </c>
      <c r="C9336" s="19">
        <v>3</v>
      </c>
      <c r="D9336" s="19">
        <v>-15.71759999999999</v>
      </c>
    </row>
    <row r="9337" spans="1:4" x14ac:dyDescent="0.2">
      <c r="A9337" s="19" t="s">
        <v>151</v>
      </c>
      <c r="B9337" s="19">
        <v>4.6079999999999997</v>
      </c>
      <c r="C9337" s="19">
        <v>2</v>
      </c>
      <c r="D9337" s="19">
        <v>1.4975999999999996</v>
      </c>
    </row>
    <row r="9338" spans="1:4" x14ac:dyDescent="0.2">
      <c r="A9338" s="19" t="s">
        <v>150</v>
      </c>
      <c r="B9338" s="19">
        <v>17.899999999999999</v>
      </c>
      <c r="C9338" s="19">
        <v>5</v>
      </c>
      <c r="D9338" s="19">
        <v>8.7710000000000008</v>
      </c>
    </row>
    <row r="9339" spans="1:4" x14ac:dyDescent="0.2">
      <c r="A9339" s="19" t="s">
        <v>150</v>
      </c>
      <c r="B9339" s="19">
        <v>2.9920000000000004</v>
      </c>
      <c r="C9339" s="19">
        <v>1</v>
      </c>
      <c r="D9339" s="19">
        <v>1.1219999999999999</v>
      </c>
    </row>
    <row r="9340" spans="1:4" x14ac:dyDescent="0.2">
      <c r="A9340" s="19" t="s">
        <v>150</v>
      </c>
      <c r="B9340" s="19">
        <v>20.064</v>
      </c>
      <c r="C9340" s="19">
        <v>6</v>
      </c>
      <c r="D9340" s="19">
        <v>7.0223999999999993</v>
      </c>
    </row>
    <row r="9341" spans="1:4" x14ac:dyDescent="0.2">
      <c r="A9341" s="19" t="s">
        <v>150</v>
      </c>
      <c r="B9341" s="19">
        <v>146.72999999999999</v>
      </c>
      <c r="C9341" s="19">
        <v>3</v>
      </c>
      <c r="D9341" s="19">
        <v>68.963099999999997</v>
      </c>
    </row>
    <row r="9342" spans="1:4" x14ac:dyDescent="0.2">
      <c r="A9342" s="19" t="s">
        <v>150</v>
      </c>
      <c r="B9342" s="19">
        <v>18.75</v>
      </c>
      <c r="C9342" s="19">
        <v>5</v>
      </c>
      <c r="D9342" s="19">
        <v>9</v>
      </c>
    </row>
    <row r="9343" spans="1:4" x14ac:dyDescent="0.2">
      <c r="A9343" s="19" t="s">
        <v>150</v>
      </c>
      <c r="B9343" s="19">
        <v>117.57600000000002</v>
      </c>
      <c r="C9343" s="19">
        <v>3</v>
      </c>
      <c r="D9343" s="19">
        <v>11.757600000000011</v>
      </c>
    </row>
    <row r="9344" spans="1:4" x14ac:dyDescent="0.2">
      <c r="A9344" s="19" t="s">
        <v>150</v>
      </c>
      <c r="B9344" s="19">
        <v>51.184000000000012</v>
      </c>
      <c r="C9344" s="19">
        <v>7</v>
      </c>
      <c r="D9344" s="19">
        <v>19.193999999999999</v>
      </c>
    </row>
    <row r="9345" spans="1:4" x14ac:dyDescent="0.2">
      <c r="A9345" s="19" t="s">
        <v>173</v>
      </c>
      <c r="B9345" s="19">
        <v>455.97</v>
      </c>
      <c r="C9345" s="19">
        <v>5</v>
      </c>
      <c r="D9345" s="19">
        <v>-106.39299999999997</v>
      </c>
    </row>
    <row r="9346" spans="1:4" x14ac:dyDescent="0.2">
      <c r="A9346" s="19" t="s">
        <v>173</v>
      </c>
      <c r="B9346" s="19">
        <v>5.7150000000000016</v>
      </c>
      <c r="C9346" s="19">
        <v>5</v>
      </c>
      <c r="D9346" s="19">
        <v>-4.7625000000000011</v>
      </c>
    </row>
    <row r="9347" spans="1:4" x14ac:dyDescent="0.2">
      <c r="A9347" s="19" t="s">
        <v>173</v>
      </c>
      <c r="B9347" s="19">
        <v>57.593999999999994</v>
      </c>
      <c r="C9347" s="19">
        <v>1</v>
      </c>
      <c r="D9347" s="19">
        <v>-11.518799999999999</v>
      </c>
    </row>
    <row r="9348" spans="1:4" x14ac:dyDescent="0.2">
      <c r="A9348" s="19" t="s">
        <v>173</v>
      </c>
      <c r="B9348" s="19">
        <v>30.144000000000002</v>
      </c>
      <c r="C9348" s="19">
        <v>2</v>
      </c>
      <c r="D9348" s="19">
        <v>8.2896000000000001</v>
      </c>
    </row>
    <row r="9349" spans="1:4" x14ac:dyDescent="0.2">
      <c r="A9349" s="19" t="s">
        <v>173</v>
      </c>
      <c r="B9349" s="19">
        <v>899.43</v>
      </c>
      <c r="C9349" s="19">
        <v>5</v>
      </c>
      <c r="D9349" s="19">
        <v>-12.84900000000016</v>
      </c>
    </row>
    <row r="9350" spans="1:4" x14ac:dyDescent="0.2">
      <c r="A9350" s="19" t="s">
        <v>150</v>
      </c>
      <c r="B9350" s="19">
        <v>842.72</v>
      </c>
      <c r="C9350" s="19">
        <v>8</v>
      </c>
      <c r="D9350" s="19">
        <v>202.25279999999998</v>
      </c>
    </row>
    <row r="9351" spans="1:4" x14ac:dyDescent="0.2">
      <c r="A9351" s="19" t="s">
        <v>150</v>
      </c>
      <c r="B9351" s="19">
        <v>41.96</v>
      </c>
      <c r="C9351" s="19">
        <v>2</v>
      </c>
      <c r="D9351" s="19">
        <v>10.909600000000001</v>
      </c>
    </row>
    <row r="9352" spans="1:4" x14ac:dyDescent="0.2">
      <c r="A9352" s="19" t="s">
        <v>153</v>
      </c>
      <c r="B9352" s="19">
        <v>13.216000000000001</v>
      </c>
      <c r="C9352" s="19">
        <v>4</v>
      </c>
      <c r="D9352" s="19">
        <v>4.4603999999999999</v>
      </c>
    </row>
    <row r="9353" spans="1:4" x14ac:dyDescent="0.2">
      <c r="A9353" s="19" t="s">
        <v>153</v>
      </c>
      <c r="B9353" s="19">
        <v>184.75200000000001</v>
      </c>
      <c r="C9353" s="19">
        <v>3</v>
      </c>
      <c r="D9353" s="19">
        <v>-20.784600000000012</v>
      </c>
    </row>
    <row r="9354" spans="1:4" x14ac:dyDescent="0.2">
      <c r="A9354" s="19" t="s">
        <v>159</v>
      </c>
      <c r="B9354" s="19">
        <v>520.46399999999994</v>
      </c>
      <c r="C9354" s="19">
        <v>2</v>
      </c>
      <c r="D9354" s="19">
        <v>-14.870399999999961</v>
      </c>
    </row>
    <row r="9355" spans="1:4" x14ac:dyDescent="0.2">
      <c r="A9355" s="19" t="s">
        <v>159</v>
      </c>
      <c r="B9355" s="19">
        <v>11.423999999999999</v>
      </c>
      <c r="C9355" s="19">
        <v>3</v>
      </c>
      <c r="D9355" s="19">
        <v>3.7127999999999988</v>
      </c>
    </row>
    <row r="9356" spans="1:4" x14ac:dyDescent="0.2">
      <c r="A9356" s="19" t="s">
        <v>161</v>
      </c>
      <c r="B9356" s="19">
        <v>19.440000000000001</v>
      </c>
      <c r="C9356" s="19">
        <v>3</v>
      </c>
      <c r="D9356" s="19">
        <v>9.3312000000000008</v>
      </c>
    </row>
    <row r="9357" spans="1:4" x14ac:dyDescent="0.2">
      <c r="A9357" s="19" t="s">
        <v>161</v>
      </c>
      <c r="B9357" s="19">
        <v>3.64</v>
      </c>
      <c r="C9357" s="19">
        <v>2</v>
      </c>
      <c r="D9357" s="19">
        <v>1.0192000000000001</v>
      </c>
    </row>
    <row r="9358" spans="1:4" x14ac:dyDescent="0.2">
      <c r="A9358" s="19" t="s">
        <v>161</v>
      </c>
      <c r="B9358" s="19">
        <v>18.54</v>
      </c>
      <c r="C9358" s="19">
        <v>2</v>
      </c>
      <c r="D9358" s="19">
        <v>8.7137999999999991</v>
      </c>
    </row>
    <row r="9359" spans="1:4" x14ac:dyDescent="0.2">
      <c r="A9359" s="19" t="s">
        <v>164</v>
      </c>
      <c r="B9359" s="19">
        <v>43.120000000000005</v>
      </c>
      <c r="C9359" s="19">
        <v>5</v>
      </c>
      <c r="D9359" s="19">
        <v>15.091999999999995</v>
      </c>
    </row>
    <row r="9360" spans="1:4" x14ac:dyDescent="0.2">
      <c r="A9360" s="19" t="s">
        <v>164</v>
      </c>
      <c r="B9360" s="19">
        <v>313.72199999999998</v>
      </c>
      <c r="C9360" s="19">
        <v>3</v>
      </c>
      <c r="D9360" s="19">
        <v>-99.34529999999998</v>
      </c>
    </row>
    <row r="9361" spans="1:4" x14ac:dyDescent="0.2">
      <c r="A9361" s="19" t="s">
        <v>164</v>
      </c>
      <c r="B9361" s="19">
        <v>45.98</v>
      </c>
      <c r="C9361" s="19">
        <v>1</v>
      </c>
      <c r="D9361" s="19">
        <v>7.816599999999994</v>
      </c>
    </row>
    <row r="9362" spans="1:4" x14ac:dyDescent="0.2">
      <c r="A9362" s="19" t="s">
        <v>164</v>
      </c>
      <c r="B9362" s="19">
        <v>428.68</v>
      </c>
      <c r="C9362" s="19">
        <v>7</v>
      </c>
      <c r="D9362" s="19">
        <v>0</v>
      </c>
    </row>
    <row r="9363" spans="1:4" x14ac:dyDescent="0.2">
      <c r="A9363" s="19" t="s">
        <v>153</v>
      </c>
      <c r="B9363" s="19">
        <v>30.576000000000001</v>
      </c>
      <c r="C9363" s="19">
        <v>6</v>
      </c>
      <c r="D9363" s="19">
        <v>10.3194</v>
      </c>
    </row>
    <row r="9364" spans="1:4" x14ac:dyDescent="0.2">
      <c r="A9364" s="19" t="s">
        <v>153</v>
      </c>
      <c r="B9364" s="19">
        <v>13.020000000000001</v>
      </c>
      <c r="C9364" s="19">
        <v>7</v>
      </c>
      <c r="D9364" s="19">
        <v>0.3906000000000005</v>
      </c>
    </row>
    <row r="9365" spans="1:4" x14ac:dyDescent="0.2">
      <c r="A9365" s="19" t="s">
        <v>153</v>
      </c>
      <c r="B9365" s="19">
        <v>22.14</v>
      </c>
      <c r="C9365" s="19">
        <v>3</v>
      </c>
      <c r="D9365" s="19">
        <v>6.4205999999999976</v>
      </c>
    </row>
    <row r="9366" spans="1:4" x14ac:dyDescent="0.2">
      <c r="A9366" s="19" t="s">
        <v>153</v>
      </c>
      <c r="B9366" s="19">
        <v>359.32</v>
      </c>
      <c r="C9366" s="19">
        <v>4</v>
      </c>
      <c r="D9366" s="19">
        <v>7.1863999999999919</v>
      </c>
    </row>
    <row r="9367" spans="1:4" x14ac:dyDescent="0.2">
      <c r="A9367" s="19" t="s">
        <v>174</v>
      </c>
      <c r="B9367" s="19">
        <v>11.56</v>
      </c>
      <c r="C9367" s="19">
        <v>2</v>
      </c>
      <c r="D9367" s="19">
        <v>5.6644000000000005</v>
      </c>
    </row>
    <row r="9368" spans="1:4" x14ac:dyDescent="0.2">
      <c r="A9368" s="19" t="s">
        <v>164</v>
      </c>
      <c r="B9368" s="19">
        <v>68.48</v>
      </c>
      <c r="C9368" s="19">
        <v>2</v>
      </c>
      <c r="D9368" s="19">
        <v>25.679999999999996</v>
      </c>
    </row>
    <row r="9369" spans="1:4" x14ac:dyDescent="0.2">
      <c r="A9369" s="19" t="s">
        <v>164</v>
      </c>
      <c r="B9369" s="19">
        <v>1676.88</v>
      </c>
      <c r="C9369" s="19">
        <v>6</v>
      </c>
      <c r="D9369" s="19">
        <v>83.843999999999937</v>
      </c>
    </row>
    <row r="9370" spans="1:4" x14ac:dyDescent="0.2">
      <c r="A9370" s="19" t="s">
        <v>179</v>
      </c>
      <c r="B9370" s="19">
        <v>37.94</v>
      </c>
      <c r="C9370" s="19">
        <v>2</v>
      </c>
      <c r="D9370" s="19">
        <v>18.211199999999998</v>
      </c>
    </row>
    <row r="9371" spans="1:4" x14ac:dyDescent="0.2">
      <c r="A9371" s="19" t="s">
        <v>187</v>
      </c>
      <c r="B9371" s="19">
        <v>272.96999999999997</v>
      </c>
      <c r="C9371" s="19">
        <v>3</v>
      </c>
      <c r="D9371" s="19">
        <v>43.675200000000018</v>
      </c>
    </row>
    <row r="9372" spans="1:4" x14ac:dyDescent="0.2">
      <c r="A9372" s="19" t="s">
        <v>173</v>
      </c>
      <c r="B9372" s="19">
        <v>41.568000000000005</v>
      </c>
      <c r="C9372" s="19">
        <v>4</v>
      </c>
      <c r="D9372" s="19">
        <v>-4.1568000000000023</v>
      </c>
    </row>
    <row r="9373" spans="1:4" x14ac:dyDescent="0.2">
      <c r="A9373" s="19" t="s">
        <v>173</v>
      </c>
      <c r="B9373" s="19">
        <v>317.05799999999999</v>
      </c>
      <c r="C9373" s="19">
        <v>3</v>
      </c>
      <c r="D9373" s="19">
        <v>-86.058600000000013</v>
      </c>
    </row>
    <row r="9374" spans="1:4" x14ac:dyDescent="0.2">
      <c r="A9374" s="19" t="s">
        <v>173</v>
      </c>
      <c r="B9374" s="19">
        <v>8.0399999999999991</v>
      </c>
      <c r="C9374" s="19">
        <v>5</v>
      </c>
      <c r="D9374" s="19">
        <v>2.9144999999999994</v>
      </c>
    </row>
    <row r="9375" spans="1:4" x14ac:dyDescent="0.2">
      <c r="A9375" s="19" t="s">
        <v>150</v>
      </c>
      <c r="B9375" s="19">
        <v>419.94399999999996</v>
      </c>
      <c r="C9375" s="19">
        <v>7</v>
      </c>
      <c r="D9375" s="19">
        <v>52.492999999999967</v>
      </c>
    </row>
    <row r="9376" spans="1:4" x14ac:dyDescent="0.2">
      <c r="A9376" s="19" t="s">
        <v>153</v>
      </c>
      <c r="B9376" s="19">
        <v>61.38</v>
      </c>
      <c r="C9376" s="19">
        <v>6</v>
      </c>
      <c r="D9376" s="19">
        <v>15.958800000000004</v>
      </c>
    </row>
    <row r="9377" spans="1:4" x14ac:dyDescent="0.2">
      <c r="A9377" s="19" t="s">
        <v>150</v>
      </c>
      <c r="B9377" s="19">
        <v>50</v>
      </c>
      <c r="C9377" s="19">
        <v>2</v>
      </c>
      <c r="D9377" s="19">
        <v>10.5</v>
      </c>
    </row>
    <row r="9378" spans="1:4" x14ac:dyDescent="0.2">
      <c r="A9378" s="19" t="s">
        <v>179</v>
      </c>
      <c r="B9378" s="19">
        <v>31.799999999999997</v>
      </c>
      <c r="C9378" s="19">
        <v>3</v>
      </c>
      <c r="D9378" s="19">
        <v>13.674000000000003</v>
      </c>
    </row>
    <row r="9379" spans="1:4" x14ac:dyDescent="0.2">
      <c r="A9379" s="19" t="s">
        <v>155</v>
      </c>
      <c r="B9379" s="19">
        <v>32.56</v>
      </c>
      <c r="C9379" s="19">
        <v>2</v>
      </c>
      <c r="D9379" s="19">
        <v>8.465600000000002</v>
      </c>
    </row>
    <row r="9380" spans="1:4" x14ac:dyDescent="0.2">
      <c r="A9380" s="19" t="s">
        <v>159</v>
      </c>
      <c r="B9380" s="19">
        <v>7.0720000000000001</v>
      </c>
      <c r="C9380" s="19">
        <v>2</v>
      </c>
      <c r="D9380" s="19">
        <v>2.3868</v>
      </c>
    </row>
    <row r="9381" spans="1:4" x14ac:dyDescent="0.2">
      <c r="A9381" s="19" t="s">
        <v>151</v>
      </c>
      <c r="B9381" s="19">
        <v>45.527999999999999</v>
      </c>
      <c r="C9381" s="19">
        <v>3</v>
      </c>
      <c r="D9381" s="19">
        <v>15.934799999999997</v>
      </c>
    </row>
    <row r="9382" spans="1:4" x14ac:dyDescent="0.2">
      <c r="A9382" s="19" t="s">
        <v>151</v>
      </c>
      <c r="B9382" s="19">
        <v>64.784000000000006</v>
      </c>
      <c r="C9382" s="19">
        <v>1</v>
      </c>
      <c r="D9382" s="19">
        <v>6.4784000000000042</v>
      </c>
    </row>
    <row r="9383" spans="1:4" x14ac:dyDescent="0.2">
      <c r="A9383" s="19" t="s">
        <v>151</v>
      </c>
      <c r="B9383" s="19">
        <v>424.27200000000005</v>
      </c>
      <c r="C9383" s="19">
        <v>2</v>
      </c>
      <c r="D9383" s="19">
        <v>-10.60680000000005</v>
      </c>
    </row>
    <row r="9384" spans="1:4" x14ac:dyDescent="0.2">
      <c r="A9384" s="19" t="s">
        <v>151</v>
      </c>
      <c r="B9384" s="19">
        <v>1.3440000000000001</v>
      </c>
      <c r="C9384" s="19">
        <v>1</v>
      </c>
      <c r="D9384" s="19">
        <v>0.504</v>
      </c>
    </row>
    <row r="9385" spans="1:4" x14ac:dyDescent="0.2">
      <c r="A9385" s="19" t="s">
        <v>151</v>
      </c>
      <c r="B9385" s="19">
        <v>83.920000000000016</v>
      </c>
      <c r="C9385" s="19">
        <v>5</v>
      </c>
      <c r="D9385" s="19">
        <v>-1.049000000000003</v>
      </c>
    </row>
    <row r="9386" spans="1:4" x14ac:dyDescent="0.2">
      <c r="A9386" s="19" t="s">
        <v>164</v>
      </c>
      <c r="B9386" s="19">
        <v>25.92</v>
      </c>
      <c r="C9386" s="19">
        <v>4</v>
      </c>
      <c r="D9386" s="19">
        <v>12.441600000000001</v>
      </c>
    </row>
    <row r="9387" spans="1:4" x14ac:dyDescent="0.2">
      <c r="A9387" s="19" t="s">
        <v>165</v>
      </c>
      <c r="B9387" s="19">
        <v>120.57600000000001</v>
      </c>
      <c r="C9387" s="19">
        <v>8</v>
      </c>
      <c r="D9387" s="19">
        <v>33.1584</v>
      </c>
    </row>
    <row r="9388" spans="1:4" x14ac:dyDescent="0.2">
      <c r="A9388" s="19" t="s">
        <v>190</v>
      </c>
      <c r="B9388" s="19">
        <v>79.92</v>
      </c>
      <c r="C9388" s="19">
        <v>4</v>
      </c>
      <c r="D9388" s="19">
        <v>37.562399999999997</v>
      </c>
    </row>
    <row r="9389" spans="1:4" x14ac:dyDescent="0.2">
      <c r="A9389" s="19" t="s">
        <v>190</v>
      </c>
      <c r="B9389" s="19">
        <v>12.28</v>
      </c>
      <c r="C9389" s="19">
        <v>1</v>
      </c>
      <c r="D9389" s="19">
        <v>5.7715999999999994</v>
      </c>
    </row>
    <row r="9390" spans="1:4" x14ac:dyDescent="0.2">
      <c r="A9390" s="19" t="s">
        <v>190</v>
      </c>
      <c r="B9390" s="19">
        <v>542.93999999999994</v>
      </c>
      <c r="C9390" s="19">
        <v>3</v>
      </c>
      <c r="D9390" s="19">
        <v>152.02319999999997</v>
      </c>
    </row>
    <row r="9391" spans="1:4" x14ac:dyDescent="0.2">
      <c r="A9391" s="19" t="s">
        <v>190</v>
      </c>
      <c r="B9391" s="19">
        <v>2.04</v>
      </c>
      <c r="C9391" s="19">
        <v>1</v>
      </c>
      <c r="D9391" s="19">
        <v>0.95879999999999987</v>
      </c>
    </row>
    <row r="9392" spans="1:4" x14ac:dyDescent="0.2">
      <c r="A9392" s="19" t="s">
        <v>154</v>
      </c>
      <c r="B9392" s="19">
        <v>228.92</v>
      </c>
      <c r="C9392" s="19">
        <v>5</v>
      </c>
      <c r="D9392" s="19">
        <v>14.307499999999997</v>
      </c>
    </row>
    <row r="9393" spans="1:4" x14ac:dyDescent="0.2">
      <c r="A9393" s="19" t="s">
        <v>159</v>
      </c>
      <c r="B9393" s="19">
        <v>7.9920000000000009</v>
      </c>
      <c r="C9393" s="19">
        <v>1</v>
      </c>
      <c r="D9393" s="19">
        <v>2.5973999999999995</v>
      </c>
    </row>
    <row r="9394" spans="1:4" x14ac:dyDescent="0.2">
      <c r="A9394" s="19" t="s">
        <v>171</v>
      </c>
      <c r="B9394" s="19">
        <v>582.33600000000001</v>
      </c>
      <c r="C9394" s="19">
        <v>8</v>
      </c>
      <c r="D9394" s="19">
        <v>-29.116799999999955</v>
      </c>
    </row>
    <row r="9395" spans="1:4" x14ac:dyDescent="0.2">
      <c r="A9395" s="19" t="s">
        <v>164</v>
      </c>
      <c r="B9395" s="19">
        <v>629.94999999999993</v>
      </c>
      <c r="C9395" s="19">
        <v>5</v>
      </c>
      <c r="D9395" s="19">
        <v>157.48750000000001</v>
      </c>
    </row>
    <row r="9396" spans="1:4" x14ac:dyDescent="0.2">
      <c r="A9396" s="19" t="s">
        <v>164</v>
      </c>
      <c r="B9396" s="19">
        <v>631.78200000000004</v>
      </c>
      <c r="C9396" s="19">
        <v>2</v>
      </c>
      <c r="D9396" s="19">
        <v>140.39599999999993</v>
      </c>
    </row>
    <row r="9397" spans="1:4" x14ac:dyDescent="0.2">
      <c r="A9397" s="19" t="s">
        <v>164</v>
      </c>
      <c r="B9397" s="19">
        <v>801.5680000000001</v>
      </c>
      <c r="C9397" s="19">
        <v>2</v>
      </c>
      <c r="D9397" s="19">
        <v>-10.019600000000054</v>
      </c>
    </row>
    <row r="9398" spans="1:4" x14ac:dyDescent="0.2">
      <c r="A9398" s="19" t="s">
        <v>164</v>
      </c>
      <c r="B9398" s="19">
        <v>75.179999999999993</v>
      </c>
      <c r="C9398" s="19">
        <v>6</v>
      </c>
      <c r="D9398" s="19">
        <v>35.334599999999995</v>
      </c>
    </row>
    <row r="9399" spans="1:4" x14ac:dyDescent="0.2">
      <c r="A9399" s="19" t="s">
        <v>164</v>
      </c>
      <c r="B9399" s="19">
        <v>30.98</v>
      </c>
      <c r="C9399" s="19">
        <v>1</v>
      </c>
      <c r="D9399" s="19">
        <v>8.0548000000000002</v>
      </c>
    </row>
    <row r="9400" spans="1:4" x14ac:dyDescent="0.2">
      <c r="A9400" s="19" t="s">
        <v>164</v>
      </c>
      <c r="B9400" s="19">
        <v>1349.91</v>
      </c>
      <c r="C9400" s="19">
        <v>9</v>
      </c>
      <c r="D9400" s="19">
        <v>661.45590000000004</v>
      </c>
    </row>
    <row r="9401" spans="1:4" x14ac:dyDescent="0.2">
      <c r="A9401" s="19" t="s">
        <v>159</v>
      </c>
      <c r="B9401" s="19">
        <v>14.111999999999998</v>
      </c>
      <c r="C9401" s="19">
        <v>6</v>
      </c>
      <c r="D9401" s="19">
        <v>1.2348000000000008</v>
      </c>
    </row>
    <row r="9402" spans="1:4" x14ac:dyDescent="0.2">
      <c r="A9402" s="19" t="s">
        <v>166</v>
      </c>
      <c r="B9402" s="19">
        <v>31.12</v>
      </c>
      <c r="C9402" s="19">
        <v>4</v>
      </c>
      <c r="D9402" s="19">
        <v>14.6264</v>
      </c>
    </row>
    <row r="9403" spans="1:4" x14ac:dyDescent="0.2">
      <c r="A9403" s="19" t="s">
        <v>165</v>
      </c>
      <c r="B9403" s="19">
        <v>4.2720000000000002</v>
      </c>
      <c r="C9403" s="19">
        <v>2</v>
      </c>
      <c r="D9403" s="19">
        <v>0.96119999999999983</v>
      </c>
    </row>
    <row r="9404" spans="1:4" x14ac:dyDescent="0.2">
      <c r="A9404" s="19" t="s">
        <v>164</v>
      </c>
      <c r="B9404" s="19">
        <v>209.148</v>
      </c>
      <c r="C9404" s="19">
        <v>2</v>
      </c>
      <c r="D9404" s="19">
        <v>-66.230199999999996</v>
      </c>
    </row>
    <row r="9405" spans="1:4" x14ac:dyDescent="0.2">
      <c r="A9405" s="19" t="s">
        <v>164</v>
      </c>
      <c r="B9405" s="19">
        <v>1591.02</v>
      </c>
      <c r="C9405" s="19">
        <v>6</v>
      </c>
      <c r="D9405" s="19">
        <v>286.38359999999989</v>
      </c>
    </row>
    <row r="9406" spans="1:4" x14ac:dyDescent="0.2">
      <c r="A9406" s="19" t="s">
        <v>158</v>
      </c>
      <c r="B9406" s="19">
        <v>7.92</v>
      </c>
      <c r="C9406" s="19">
        <v>5</v>
      </c>
      <c r="D9406" s="19">
        <v>1.6829999999999994</v>
      </c>
    </row>
    <row r="9407" spans="1:4" x14ac:dyDescent="0.2">
      <c r="A9407" s="19" t="s">
        <v>159</v>
      </c>
      <c r="B9407" s="19">
        <v>574.91</v>
      </c>
      <c r="C9407" s="19">
        <v>2</v>
      </c>
      <c r="D9407" s="19">
        <v>156.04699999999997</v>
      </c>
    </row>
    <row r="9408" spans="1:4" x14ac:dyDescent="0.2">
      <c r="A9408" s="19" t="s">
        <v>159</v>
      </c>
      <c r="B9408" s="19">
        <v>8.4480000000000004</v>
      </c>
      <c r="C9408" s="19">
        <v>2</v>
      </c>
      <c r="D9408" s="19">
        <v>2.6399999999999997</v>
      </c>
    </row>
    <row r="9409" spans="1:4" x14ac:dyDescent="0.2">
      <c r="A9409" s="19" t="s">
        <v>164</v>
      </c>
      <c r="B9409" s="19">
        <v>1071</v>
      </c>
      <c r="C9409" s="19">
        <v>9</v>
      </c>
      <c r="D9409" s="19">
        <v>171.36000000000007</v>
      </c>
    </row>
    <row r="9410" spans="1:4" x14ac:dyDescent="0.2">
      <c r="A9410" s="19" t="s">
        <v>164</v>
      </c>
      <c r="B9410" s="19">
        <v>12.07</v>
      </c>
      <c r="C9410" s="19">
        <v>1</v>
      </c>
      <c r="D9410" s="19">
        <v>3.9831000000000003</v>
      </c>
    </row>
    <row r="9411" spans="1:4" x14ac:dyDescent="0.2">
      <c r="A9411" s="19" t="s">
        <v>158</v>
      </c>
      <c r="B9411" s="19">
        <v>3.2730000000000006</v>
      </c>
      <c r="C9411" s="19">
        <v>1</v>
      </c>
      <c r="D9411" s="19">
        <v>-2.5092999999999996</v>
      </c>
    </row>
    <row r="9412" spans="1:4" x14ac:dyDescent="0.2">
      <c r="A9412" s="19" t="s">
        <v>158</v>
      </c>
      <c r="B9412" s="19">
        <v>87.92</v>
      </c>
      <c r="C9412" s="19">
        <v>5</v>
      </c>
      <c r="D9412" s="19">
        <v>15.385999999999999</v>
      </c>
    </row>
    <row r="9413" spans="1:4" x14ac:dyDescent="0.2">
      <c r="A9413" s="19" t="s">
        <v>165</v>
      </c>
      <c r="B9413" s="19">
        <v>104.69600000000001</v>
      </c>
      <c r="C9413" s="19">
        <v>1</v>
      </c>
      <c r="D9413" s="19">
        <v>6.5434999999999981</v>
      </c>
    </row>
    <row r="9414" spans="1:4" x14ac:dyDescent="0.2">
      <c r="A9414" s="19" t="s">
        <v>150</v>
      </c>
      <c r="B9414" s="19">
        <v>2803.92</v>
      </c>
      <c r="C9414" s="19">
        <v>5</v>
      </c>
      <c r="D9414" s="19">
        <v>0</v>
      </c>
    </row>
    <row r="9415" spans="1:4" x14ac:dyDescent="0.2">
      <c r="A9415" s="19" t="s">
        <v>154</v>
      </c>
      <c r="B9415" s="19">
        <v>6.8159999999999981</v>
      </c>
      <c r="C9415" s="19">
        <v>2</v>
      </c>
      <c r="D9415" s="19">
        <v>-11.587200000000003</v>
      </c>
    </row>
    <row r="9416" spans="1:4" x14ac:dyDescent="0.2">
      <c r="A9416" s="19" t="s">
        <v>153</v>
      </c>
      <c r="B9416" s="19">
        <v>249.58400000000003</v>
      </c>
      <c r="C9416" s="19">
        <v>2</v>
      </c>
      <c r="D9416" s="19">
        <v>15.598999999999997</v>
      </c>
    </row>
    <row r="9417" spans="1:4" x14ac:dyDescent="0.2">
      <c r="A9417" s="19" t="s">
        <v>153</v>
      </c>
      <c r="B9417" s="19">
        <v>17.940000000000001</v>
      </c>
      <c r="C9417" s="19">
        <v>3</v>
      </c>
      <c r="D9417" s="19">
        <v>8.7906000000000013</v>
      </c>
    </row>
    <row r="9418" spans="1:4" x14ac:dyDescent="0.2">
      <c r="A9418" s="19" t="s">
        <v>153</v>
      </c>
      <c r="B9418" s="19">
        <v>10.11</v>
      </c>
      <c r="C9418" s="19">
        <v>3</v>
      </c>
      <c r="D9418" s="19">
        <v>3.2351999999999994</v>
      </c>
    </row>
    <row r="9419" spans="1:4" x14ac:dyDescent="0.2">
      <c r="A9419" s="19" t="s">
        <v>152</v>
      </c>
      <c r="B9419" s="19">
        <v>10.368000000000002</v>
      </c>
      <c r="C9419" s="19">
        <v>2</v>
      </c>
      <c r="D9419" s="19">
        <v>3.6288</v>
      </c>
    </row>
    <row r="9420" spans="1:4" x14ac:dyDescent="0.2">
      <c r="A9420" s="19" t="s">
        <v>152</v>
      </c>
      <c r="B9420" s="19">
        <v>11.952000000000002</v>
      </c>
      <c r="C9420" s="19">
        <v>3</v>
      </c>
      <c r="D9420" s="19">
        <v>4.0338000000000003</v>
      </c>
    </row>
    <row r="9421" spans="1:4" x14ac:dyDescent="0.2">
      <c r="A9421" s="19" t="s">
        <v>154</v>
      </c>
      <c r="B9421" s="19">
        <v>15.223999999999997</v>
      </c>
      <c r="C9421" s="19">
        <v>2</v>
      </c>
      <c r="D9421" s="19">
        <v>-38.821200000000012</v>
      </c>
    </row>
    <row r="9422" spans="1:4" x14ac:dyDescent="0.2">
      <c r="A9422" s="19" t="s">
        <v>154</v>
      </c>
      <c r="B9422" s="19">
        <v>21.983999999999995</v>
      </c>
      <c r="C9422" s="19">
        <v>6</v>
      </c>
      <c r="D9422" s="19">
        <v>-56.059200000000011</v>
      </c>
    </row>
    <row r="9423" spans="1:4" x14ac:dyDescent="0.2">
      <c r="A9423" s="19" t="s">
        <v>150</v>
      </c>
      <c r="B9423" s="19">
        <v>604.75199999999995</v>
      </c>
      <c r="C9423" s="19">
        <v>6</v>
      </c>
      <c r="D9423" s="19">
        <v>60.475200000000058</v>
      </c>
    </row>
    <row r="9424" spans="1:4" x14ac:dyDescent="0.2">
      <c r="A9424" s="19" t="s">
        <v>150</v>
      </c>
      <c r="B9424" s="19">
        <v>40.700000000000003</v>
      </c>
      <c r="C9424" s="19">
        <v>5</v>
      </c>
      <c r="D9424" s="19">
        <v>11.802999999999999</v>
      </c>
    </row>
    <row r="9425" spans="1:4" x14ac:dyDescent="0.2">
      <c r="A9425" s="19" t="s">
        <v>150</v>
      </c>
      <c r="B9425" s="19">
        <v>302.37599999999998</v>
      </c>
      <c r="C9425" s="19">
        <v>3</v>
      </c>
      <c r="D9425" s="19">
        <v>37.796999999999997</v>
      </c>
    </row>
    <row r="9426" spans="1:4" x14ac:dyDescent="0.2">
      <c r="A9426" s="19" t="s">
        <v>150</v>
      </c>
      <c r="B9426" s="19">
        <v>45</v>
      </c>
      <c r="C9426" s="19">
        <v>3</v>
      </c>
      <c r="D9426" s="19">
        <v>4.9500000000000011</v>
      </c>
    </row>
    <row r="9427" spans="1:4" x14ac:dyDescent="0.2">
      <c r="A9427" s="19" t="s">
        <v>164</v>
      </c>
      <c r="B9427" s="19">
        <v>3785.2920000000004</v>
      </c>
      <c r="C9427" s="19">
        <v>6</v>
      </c>
      <c r="D9427" s="19">
        <v>420.58800000000019</v>
      </c>
    </row>
    <row r="9428" spans="1:4" x14ac:dyDescent="0.2">
      <c r="A9428" s="19" t="s">
        <v>153</v>
      </c>
      <c r="B9428" s="19">
        <v>35.4</v>
      </c>
      <c r="C9428" s="19">
        <v>5</v>
      </c>
      <c r="D9428" s="19">
        <v>13.452000000000002</v>
      </c>
    </row>
    <row r="9429" spans="1:4" x14ac:dyDescent="0.2">
      <c r="A9429" s="19" t="s">
        <v>164</v>
      </c>
      <c r="B9429" s="19">
        <v>199.89999999999998</v>
      </c>
      <c r="C9429" s="19">
        <v>5</v>
      </c>
      <c r="D9429" s="19">
        <v>39.97999999999999</v>
      </c>
    </row>
    <row r="9430" spans="1:4" x14ac:dyDescent="0.2">
      <c r="A9430" s="19" t="s">
        <v>154</v>
      </c>
      <c r="B9430" s="19">
        <v>1212.9599999999998</v>
      </c>
      <c r="C9430" s="19">
        <v>8</v>
      </c>
      <c r="D9430" s="19">
        <v>-69.311999999999898</v>
      </c>
    </row>
    <row r="9431" spans="1:4" x14ac:dyDescent="0.2">
      <c r="A9431" s="19" t="s">
        <v>154</v>
      </c>
      <c r="B9431" s="19">
        <v>1099.96</v>
      </c>
      <c r="C9431" s="19">
        <v>5</v>
      </c>
      <c r="D9431" s="19">
        <v>82.496999999999957</v>
      </c>
    </row>
    <row r="9432" spans="1:4" x14ac:dyDescent="0.2">
      <c r="A9432" s="19" t="s">
        <v>154</v>
      </c>
      <c r="B9432" s="19">
        <v>103.48100000000001</v>
      </c>
      <c r="C9432" s="19">
        <v>1</v>
      </c>
      <c r="D9432" s="19">
        <v>-16.261300000000006</v>
      </c>
    </row>
    <row r="9433" spans="1:4" x14ac:dyDescent="0.2">
      <c r="A9433" s="19" t="s">
        <v>158</v>
      </c>
      <c r="B9433" s="19">
        <v>5.9039999999999999</v>
      </c>
      <c r="C9433" s="19">
        <v>2</v>
      </c>
      <c r="D9433" s="19">
        <v>1.9925999999999999</v>
      </c>
    </row>
    <row r="9434" spans="1:4" x14ac:dyDescent="0.2">
      <c r="A9434" s="19" t="s">
        <v>165</v>
      </c>
      <c r="B9434" s="19">
        <v>30.080000000000002</v>
      </c>
      <c r="C9434" s="19">
        <v>2</v>
      </c>
      <c r="D9434" s="19">
        <v>-5.2640000000000002</v>
      </c>
    </row>
    <row r="9435" spans="1:4" x14ac:dyDescent="0.2">
      <c r="A9435" s="19" t="s">
        <v>165</v>
      </c>
      <c r="B9435" s="19">
        <v>36.288000000000011</v>
      </c>
      <c r="C9435" s="19">
        <v>7</v>
      </c>
      <c r="D9435" s="19">
        <v>12.700800000000001</v>
      </c>
    </row>
    <row r="9436" spans="1:4" x14ac:dyDescent="0.2">
      <c r="A9436" s="19" t="s">
        <v>165</v>
      </c>
      <c r="B9436" s="19">
        <v>10.272000000000002</v>
      </c>
      <c r="C9436" s="19">
        <v>3</v>
      </c>
      <c r="D9436" s="19">
        <v>1.1555999999999984</v>
      </c>
    </row>
    <row r="9437" spans="1:4" x14ac:dyDescent="0.2">
      <c r="A9437" s="19" t="s">
        <v>165</v>
      </c>
      <c r="B9437" s="19">
        <v>252.8</v>
      </c>
      <c r="C9437" s="19">
        <v>4</v>
      </c>
      <c r="D9437" s="19">
        <v>-31.600000000000037</v>
      </c>
    </row>
    <row r="9438" spans="1:4" x14ac:dyDescent="0.2">
      <c r="A9438" s="19" t="s">
        <v>158</v>
      </c>
      <c r="B9438" s="19">
        <v>2.9460000000000006</v>
      </c>
      <c r="C9438" s="19">
        <v>2</v>
      </c>
      <c r="D9438" s="19">
        <v>-2.0621999999999998</v>
      </c>
    </row>
    <row r="9439" spans="1:4" x14ac:dyDescent="0.2">
      <c r="A9439" s="19" t="s">
        <v>150</v>
      </c>
      <c r="B9439" s="19">
        <v>12.96</v>
      </c>
      <c r="C9439" s="19">
        <v>2</v>
      </c>
      <c r="D9439" s="19">
        <v>6.2208000000000006</v>
      </c>
    </row>
    <row r="9440" spans="1:4" x14ac:dyDescent="0.2">
      <c r="A9440" s="19" t="s">
        <v>158</v>
      </c>
      <c r="B9440" s="19">
        <v>285.57599999999996</v>
      </c>
      <c r="C9440" s="19">
        <v>4</v>
      </c>
      <c r="D9440" s="19">
        <v>-57.115200000000016</v>
      </c>
    </row>
    <row r="9441" spans="1:4" x14ac:dyDescent="0.2">
      <c r="A9441" s="19" t="s">
        <v>159</v>
      </c>
      <c r="B9441" s="19">
        <v>22.240000000000002</v>
      </c>
      <c r="C9441" s="19">
        <v>2</v>
      </c>
      <c r="D9441" s="19">
        <v>2.5019999999999971</v>
      </c>
    </row>
    <row r="9442" spans="1:4" x14ac:dyDescent="0.2">
      <c r="A9442" s="19" t="s">
        <v>164</v>
      </c>
      <c r="B9442" s="19">
        <v>14.62</v>
      </c>
      <c r="C9442" s="19">
        <v>2</v>
      </c>
      <c r="D9442" s="19">
        <v>6.7251999999999992</v>
      </c>
    </row>
    <row r="9443" spans="1:4" x14ac:dyDescent="0.2">
      <c r="A9443" s="19" t="s">
        <v>173</v>
      </c>
      <c r="B9443" s="19">
        <v>48.36</v>
      </c>
      <c r="C9443" s="19">
        <v>5</v>
      </c>
      <c r="D9443" s="19">
        <v>6.0449999999999946</v>
      </c>
    </row>
    <row r="9444" spans="1:4" x14ac:dyDescent="0.2">
      <c r="A9444" s="19" t="s">
        <v>151</v>
      </c>
      <c r="B9444" s="19">
        <v>16.256</v>
      </c>
      <c r="C9444" s="19">
        <v>2</v>
      </c>
      <c r="D9444" s="19">
        <v>1.2192000000000007</v>
      </c>
    </row>
    <row r="9445" spans="1:4" x14ac:dyDescent="0.2">
      <c r="A9445" s="19" t="s">
        <v>151</v>
      </c>
      <c r="B9445" s="19">
        <v>219.18400000000003</v>
      </c>
      <c r="C9445" s="19">
        <v>2</v>
      </c>
      <c r="D9445" s="19">
        <v>19.178600000000003</v>
      </c>
    </row>
    <row r="9446" spans="1:4" x14ac:dyDescent="0.2">
      <c r="A9446" s="19" t="s">
        <v>154</v>
      </c>
      <c r="B9446" s="19">
        <v>95.84</v>
      </c>
      <c r="C9446" s="19">
        <v>4</v>
      </c>
      <c r="D9446" s="19">
        <v>34.741999999999997</v>
      </c>
    </row>
    <row r="9447" spans="1:4" x14ac:dyDescent="0.2">
      <c r="A9447" s="19" t="s">
        <v>163</v>
      </c>
      <c r="B9447" s="19">
        <v>12.39</v>
      </c>
      <c r="C9447" s="19">
        <v>3</v>
      </c>
      <c r="D9447" s="19">
        <v>5.6993999999999998</v>
      </c>
    </row>
    <row r="9448" spans="1:4" x14ac:dyDescent="0.2">
      <c r="A9448" s="19" t="s">
        <v>163</v>
      </c>
      <c r="B9448" s="19">
        <v>35.880000000000003</v>
      </c>
      <c r="C9448" s="19">
        <v>6</v>
      </c>
      <c r="D9448" s="19">
        <v>16.146000000000001</v>
      </c>
    </row>
    <row r="9449" spans="1:4" x14ac:dyDescent="0.2">
      <c r="A9449" s="19" t="s">
        <v>175</v>
      </c>
      <c r="B9449" s="19">
        <v>477.29999999999995</v>
      </c>
      <c r="C9449" s="19">
        <v>5</v>
      </c>
      <c r="D9449" s="19">
        <v>138.41699999999997</v>
      </c>
    </row>
    <row r="9450" spans="1:4" x14ac:dyDescent="0.2">
      <c r="A9450" s="19" t="s">
        <v>153</v>
      </c>
      <c r="B9450" s="19">
        <v>12.32</v>
      </c>
      <c r="C9450" s="19">
        <v>4</v>
      </c>
      <c r="D9450" s="19">
        <v>5.9135999999999997</v>
      </c>
    </row>
    <row r="9451" spans="1:4" x14ac:dyDescent="0.2">
      <c r="A9451" s="19" t="s">
        <v>150</v>
      </c>
      <c r="B9451" s="19">
        <v>8.6080000000000005</v>
      </c>
      <c r="C9451" s="19">
        <v>2</v>
      </c>
      <c r="D9451" s="19">
        <v>3.0127999999999995</v>
      </c>
    </row>
    <row r="9452" spans="1:4" x14ac:dyDescent="0.2">
      <c r="A9452" s="19" t="s">
        <v>153</v>
      </c>
      <c r="B9452" s="19">
        <v>136.26</v>
      </c>
      <c r="C9452" s="19">
        <v>9</v>
      </c>
      <c r="D9452" s="19">
        <v>5.4503999999999913</v>
      </c>
    </row>
    <row r="9453" spans="1:4" x14ac:dyDescent="0.2">
      <c r="A9453" s="19" t="s">
        <v>150</v>
      </c>
      <c r="B9453" s="19">
        <v>186.14999999999998</v>
      </c>
      <c r="C9453" s="19">
        <v>3</v>
      </c>
      <c r="D9453" s="19">
        <v>55.844999999999985</v>
      </c>
    </row>
    <row r="9454" spans="1:4" x14ac:dyDescent="0.2">
      <c r="A9454" s="19" t="s">
        <v>150</v>
      </c>
      <c r="B9454" s="19">
        <v>81.792000000000002</v>
      </c>
      <c r="C9454" s="19">
        <v>6</v>
      </c>
      <c r="D9454" s="19">
        <v>26.582399999999986</v>
      </c>
    </row>
    <row r="9455" spans="1:4" x14ac:dyDescent="0.2">
      <c r="A9455" s="19" t="s">
        <v>150</v>
      </c>
      <c r="B9455" s="19">
        <v>47.19</v>
      </c>
      <c r="C9455" s="19">
        <v>3</v>
      </c>
      <c r="D9455" s="19">
        <v>13.685099999999995</v>
      </c>
    </row>
    <row r="9456" spans="1:4" x14ac:dyDescent="0.2">
      <c r="A9456" s="19" t="s">
        <v>150</v>
      </c>
      <c r="B9456" s="19">
        <v>36.783999999999999</v>
      </c>
      <c r="C9456" s="19">
        <v>2</v>
      </c>
      <c r="D9456" s="19">
        <v>-8.2763999999999971</v>
      </c>
    </row>
    <row r="9457" spans="1:4" x14ac:dyDescent="0.2">
      <c r="A9457" s="19" t="s">
        <v>167</v>
      </c>
      <c r="B9457" s="19">
        <v>91.474999999999994</v>
      </c>
      <c r="C9457" s="19">
        <v>1</v>
      </c>
      <c r="D9457" s="19">
        <v>-1.8294999999999959</v>
      </c>
    </row>
    <row r="9458" spans="1:4" x14ac:dyDescent="0.2">
      <c r="A9458" s="19" t="s">
        <v>152</v>
      </c>
      <c r="B9458" s="19">
        <v>27.192</v>
      </c>
      <c r="C9458" s="19">
        <v>3</v>
      </c>
      <c r="D9458" s="19">
        <v>0.33989999999999654</v>
      </c>
    </row>
    <row r="9459" spans="1:4" x14ac:dyDescent="0.2">
      <c r="A9459" s="19" t="s">
        <v>152</v>
      </c>
      <c r="B9459" s="19">
        <v>12.059999999999999</v>
      </c>
      <c r="C9459" s="19">
        <v>5</v>
      </c>
      <c r="D9459" s="19">
        <v>-10.050000000000001</v>
      </c>
    </row>
    <row r="9460" spans="1:4" x14ac:dyDescent="0.2">
      <c r="A9460" s="19" t="s">
        <v>150</v>
      </c>
      <c r="B9460" s="19">
        <v>144.60000000000002</v>
      </c>
      <c r="C9460" s="19">
        <v>3</v>
      </c>
      <c r="D9460" s="19">
        <v>41.933999999999983</v>
      </c>
    </row>
    <row r="9461" spans="1:4" x14ac:dyDescent="0.2">
      <c r="A9461" s="19" t="s">
        <v>150</v>
      </c>
      <c r="B9461" s="19">
        <v>15.991999999999999</v>
      </c>
      <c r="C9461" s="19">
        <v>1</v>
      </c>
      <c r="D9461" s="19">
        <v>-2.9985000000000022</v>
      </c>
    </row>
    <row r="9462" spans="1:4" x14ac:dyDescent="0.2">
      <c r="A9462" s="19" t="s">
        <v>164</v>
      </c>
      <c r="B9462" s="19">
        <v>34.44</v>
      </c>
      <c r="C9462" s="19">
        <v>3</v>
      </c>
      <c r="D9462" s="19">
        <v>17.22</v>
      </c>
    </row>
    <row r="9463" spans="1:4" x14ac:dyDescent="0.2">
      <c r="A9463" s="19" t="s">
        <v>150</v>
      </c>
      <c r="B9463" s="19">
        <v>321.55200000000002</v>
      </c>
      <c r="C9463" s="19">
        <v>6</v>
      </c>
      <c r="D9463" s="19">
        <v>20.097000000000008</v>
      </c>
    </row>
    <row r="9464" spans="1:4" x14ac:dyDescent="0.2">
      <c r="A9464" s="19" t="s">
        <v>149</v>
      </c>
      <c r="B9464" s="19">
        <v>701.96</v>
      </c>
      <c r="C9464" s="19">
        <v>2</v>
      </c>
      <c r="D9464" s="19">
        <v>168.47040000000004</v>
      </c>
    </row>
    <row r="9465" spans="1:4" x14ac:dyDescent="0.2">
      <c r="A9465" s="19" t="s">
        <v>173</v>
      </c>
      <c r="B9465" s="19">
        <v>19.456000000000003</v>
      </c>
      <c r="C9465" s="19">
        <v>4</v>
      </c>
      <c r="D9465" s="19">
        <v>3.4047999999999981</v>
      </c>
    </row>
    <row r="9466" spans="1:4" x14ac:dyDescent="0.2">
      <c r="A9466" s="19" t="s">
        <v>162</v>
      </c>
      <c r="B9466" s="19">
        <v>17.28</v>
      </c>
      <c r="C9466" s="19">
        <v>6</v>
      </c>
      <c r="D9466" s="19">
        <v>7.9487999999999985</v>
      </c>
    </row>
    <row r="9467" spans="1:4" x14ac:dyDescent="0.2">
      <c r="A9467" s="19" t="s">
        <v>153</v>
      </c>
      <c r="B9467" s="19">
        <v>31.96</v>
      </c>
      <c r="C9467" s="19">
        <v>2</v>
      </c>
      <c r="D9467" s="19">
        <v>1.597999999999999</v>
      </c>
    </row>
    <row r="9468" spans="1:4" x14ac:dyDescent="0.2">
      <c r="A9468" s="19" t="s">
        <v>164</v>
      </c>
      <c r="B9468" s="19">
        <v>164.68800000000002</v>
      </c>
      <c r="C9468" s="19">
        <v>6</v>
      </c>
      <c r="D9468" s="19">
        <v>55.582200000000007</v>
      </c>
    </row>
    <row r="9469" spans="1:4" x14ac:dyDescent="0.2">
      <c r="A9469" s="19" t="s">
        <v>164</v>
      </c>
      <c r="B9469" s="19">
        <v>166.5</v>
      </c>
      <c r="C9469" s="19">
        <v>2</v>
      </c>
      <c r="D9469" s="19">
        <v>-66.599999999999994</v>
      </c>
    </row>
    <row r="9470" spans="1:4" x14ac:dyDescent="0.2">
      <c r="A9470" s="19" t="s">
        <v>164</v>
      </c>
      <c r="B9470" s="19">
        <v>12.96</v>
      </c>
      <c r="C9470" s="19">
        <v>2</v>
      </c>
      <c r="D9470" s="19">
        <v>6.2208000000000006</v>
      </c>
    </row>
    <row r="9471" spans="1:4" x14ac:dyDescent="0.2">
      <c r="A9471" s="19" t="s">
        <v>164</v>
      </c>
      <c r="B9471" s="19">
        <v>110.96</v>
      </c>
      <c r="C9471" s="19">
        <v>2</v>
      </c>
      <c r="D9471" s="19">
        <v>53.260799999999996</v>
      </c>
    </row>
    <row r="9472" spans="1:4" x14ac:dyDescent="0.2">
      <c r="A9472" s="19" t="s">
        <v>164</v>
      </c>
      <c r="B9472" s="19">
        <v>99.98</v>
      </c>
      <c r="C9472" s="19">
        <v>2</v>
      </c>
      <c r="D9472" s="19">
        <v>3.9991999999999877</v>
      </c>
    </row>
    <row r="9473" spans="1:4" x14ac:dyDescent="0.2">
      <c r="A9473" s="19" t="s">
        <v>164</v>
      </c>
      <c r="B9473" s="19">
        <v>11.423999999999999</v>
      </c>
      <c r="C9473" s="19">
        <v>1</v>
      </c>
      <c r="D9473" s="19">
        <v>3.7127999999999997</v>
      </c>
    </row>
    <row r="9474" spans="1:4" x14ac:dyDescent="0.2">
      <c r="A9474" s="19" t="s">
        <v>164</v>
      </c>
      <c r="B9474" s="19">
        <v>128.12400000000002</v>
      </c>
      <c r="C9474" s="19">
        <v>2</v>
      </c>
      <c r="D9474" s="19">
        <v>24.2012</v>
      </c>
    </row>
    <row r="9475" spans="1:4" x14ac:dyDescent="0.2">
      <c r="A9475" s="19" t="s">
        <v>164</v>
      </c>
      <c r="B9475" s="19">
        <v>101.4</v>
      </c>
      <c r="C9475" s="19">
        <v>5</v>
      </c>
      <c r="D9475" s="19">
        <v>38.532000000000004</v>
      </c>
    </row>
    <row r="9476" spans="1:4" x14ac:dyDescent="0.2">
      <c r="A9476" s="19" t="s">
        <v>159</v>
      </c>
      <c r="B9476" s="19">
        <v>5.9039999999999999</v>
      </c>
      <c r="C9476" s="19">
        <v>2</v>
      </c>
      <c r="D9476" s="19">
        <v>1.9925999999999999</v>
      </c>
    </row>
    <row r="9477" spans="1:4" x14ac:dyDescent="0.2">
      <c r="A9477" s="19" t="s">
        <v>159</v>
      </c>
      <c r="B9477" s="19">
        <v>173.48800000000003</v>
      </c>
      <c r="C9477" s="19">
        <v>7</v>
      </c>
      <c r="D9477" s="19">
        <v>54.214999999999982</v>
      </c>
    </row>
    <row r="9478" spans="1:4" x14ac:dyDescent="0.2">
      <c r="A9478" s="19" t="s">
        <v>159</v>
      </c>
      <c r="B9478" s="19">
        <v>51.56</v>
      </c>
      <c r="C9478" s="19">
        <v>2</v>
      </c>
      <c r="D9478" s="19">
        <v>-61.872</v>
      </c>
    </row>
    <row r="9479" spans="1:4" x14ac:dyDescent="0.2">
      <c r="A9479" s="19" t="s">
        <v>159</v>
      </c>
      <c r="B9479" s="19">
        <v>3.5639999999999992</v>
      </c>
      <c r="C9479" s="19">
        <v>3</v>
      </c>
      <c r="D9479" s="19">
        <v>-6.2370000000000019</v>
      </c>
    </row>
    <row r="9480" spans="1:4" x14ac:dyDescent="0.2">
      <c r="A9480" s="19" t="s">
        <v>159</v>
      </c>
      <c r="B9480" s="19">
        <v>13.16</v>
      </c>
      <c r="C9480" s="19">
        <v>5</v>
      </c>
      <c r="D9480" s="19">
        <v>4.1124999999999998</v>
      </c>
    </row>
    <row r="9481" spans="1:4" x14ac:dyDescent="0.2">
      <c r="A9481" s="19" t="s">
        <v>159</v>
      </c>
      <c r="B9481" s="19">
        <v>3.8279999999999994</v>
      </c>
      <c r="C9481" s="19">
        <v>3</v>
      </c>
      <c r="D9481" s="19">
        <v>-6.5076000000000018</v>
      </c>
    </row>
    <row r="9482" spans="1:4" x14ac:dyDescent="0.2">
      <c r="A9482" s="19" t="s">
        <v>159</v>
      </c>
      <c r="B9482" s="19">
        <v>304.98999999999995</v>
      </c>
      <c r="C9482" s="19">
        <v>5</v>
      </c>
      <c r="D9482" s="19">
        <v>-533.73250000000007</v>
      </c>
    </row>
    <row r="9483" spans="1:4" x14ac:dyDescent="0.2">
      <c r="A9483" s="19" t="s">
        <v>154</v>
      </c>
      <c r="B9483" s="19">
        <v>18.16</v>
      </c>
      <c r="C9483" s="19">
        <v>2</v>
      </c>
      <c r="D9483" s="19">
        <v>1.8160000000000016</v>
      </c>
    </row>
    <row r="9484" spans="1:4" x14ac:dyDescent="0.2">
      <c r="A9484" s="19" t="s">
        <v>158</v>
      </c>
      <c r="B9484" s="19">
        <v>319.98400000000004</v>
      </c>
      <c r="C9484" s="19">
        <v>2</v>
      </c>
      <c r="D9484" s="19">
        <v>91.995400000000018</v>
      </c>
    </row>
    <row r="9485" spans="1:4" x14ac:dyDescent="0.2">
      <c r="A9485" s="19" t="s">
        <v>150</v>
      </c>
      <c r="B9485" s="19">
        <v>19.68</v>
      </c>
      <c r="C9485" s="19">
        <v>6</v>
      </c>
      <c r="D9485" s="19">
        <v>6.4943999999999988</v>
      </c>
    </row>
    <row r="9486" spans="1:4" x14ac:dyDescent="0.2">
      <c r="A9486" s="19" t="s">
        <v>154</v>
      </c>
      <c r="B9486" s="19">
        <v>781.86399999999992</v>
      </c>
      <c r="C9486" s="19">
        <v>10</v>
      </c>
      <c r="D9486" s="19">
        <v>-137.97600000000008</v>
      </c>
    </row>
    <row r="9487" spans="1:4" x14ac:dyDescent="0.2">
      <c r="A9487" s="19" t="s">
        <v>154</v>
      </c>
      <c r="B9487" s="19">
        <v>30.816000000000003</v>
      </c>
      <c r="C9487" s="19">
        <v>9</v>
      </c>
      <c r="D9487" s="19">
        <v>9.6299999999999955</v>
      </c>
    </row>
    <row r="9488" spans="1:4" x14ac:dyDescent="0.2">
      <c r="A9488" s="19" t="s">
        <v>196</v>
      </c>
      <c r="B9488" s="19">
        <v>673.34399999999994</v>
      </c>
      <c r="C9488" s="19">
        <v>3</v>
      </c>
      <c r="D9488" s="19">
        <v>-76.953599999999994</v>
      </c>
    </row>
    <row r="9489" spans="1:4" x14ac:dyDescent="0.2">
      <c r="A9489" s="19" t="s">
        <v>179</v>
      </c>
      <c r="B9489" s="19">
        <v>6.5400000000000009</v>
      </c>
      <c r="C9489" s="19">
        <v>3</v>
      </c>
      <c r="D9489" s="19">
        <v>2.1581999999999999</v>
      </c>
    </row>
    <row r="9490" spans="1:4" x14ac:dyDescent="0.2">
      <c r="A9490" s="19" t="s">
        <v>170</v>
      </c>
      <c r="B9490" s="19">
        <v>572.80000000000007</v>
      </c>
      <c r="C9490" s="19">
        <v>2</v>
      </c>
      <c r="D9490" s="19">
        <v>50.120000000000033</v>
      </c>
    </row>
    <row r="9491" spans="1:4" x14ac:dyDescent="0.2">
      <c r="A9491" s="19" t="s">
        <v>168</v>
      </c>
      <c r="B9491" s="19">
        <v>197.04999999999998</v>
      </c>
      <c r="C9491" s="19">
        <v>7</v>
      </c>
      <c r="D9491" s="19">
        <v>59.114999999999981</v>
      </c>
    </row>
    <row r="9492" spans="1:4" x14ac:dyDescent="0.2">
      <c r="A9492" s="19" t="s">
        <v>150</v>
      </c>
      <c r="B9492" s="19">
        <v>2022.2720000000002</v>
      </c>
      <c r="C9492" s="19">
        <v>8</v>
      </c>
      <c r="D9492" s="19">
        <v>682.5168000000001</v>
      </c>
    </row>
    <row r="9493" spans="1:4" x14ac:dyDescent="0.2">
      <c r="A9493" s="19" t="s">
        <v>150</v>
      </c>
      <c r="B9493" s="19">
        <v>9.120000000000001</v>
      </c>
      <c r="C9493" s="19">
        <v>3</v>
      </c>
      <c r="D9493" s="19">
        <v>3.1007999999999996</v>
      </c>
    </row>
    <row r="9494" spans="1:4" x14ac:dyDescent="0.2">
      <c r="A9494" s="19" t="s">
        <v>175</v>
      </c>
      <c r="B9494" s="19">
        <v>38.160000000000004</v>
      </c>
      <c r="C9494" s="19">
        <v>9</v>
      </c>
      <c r="D9494" s="19">
        <v>19.080000000000002</v>
      </c>
    </row>
    <row r="9495" spans="1:4" x14ac:dyDescent="0.2">
      <c r="A9495" s="19" t="s">
        <v>175</v>
      </c>
      <c r="B9495" s="19">
        <v>1592.8500000000001</v>
      </c>
      <c r="C9495" s="19">
        <v>7</v>
      </c>
      <c r="D9495" s="19">
        <v>350.42700000000002</v>
      </c>
    </row>
    <row r="9496" spans="1:4" x14ac:dyDescent="0.2">
      <c r="A9496" s="19" t="s">
        <v>175</v>
      </c>
      <c r="B9496" s="19">
        <v>11.88</v>
      </c>
      <c r="C9496" s="19">
        <v>2</v>
      </c>
      <c r="D9496" s="19">
        <v>5.3460000000000001</v>
      </c>
    </row>
    <row r="9497" spans="1:4" x14ac:dyDescent="0.2">
      <c r="A9497" s="19" t="s">
        <v>150</v>
      </c>
      <c r="B9497" s="19">
        <v>120</v>
      </c>
      <c r="C9497" s="19">
        <v>6</v>
      </c>
      <c r="D9497" s="19">
        <v>46.800000000000004</v>
      </c>
    </row>
    <row r="9498" spans="1:4" x14ac:dyDescent="0.2">
      <c r="A9498" s="19" t="s">
        <v>150</v>
      </c>
      <c r="B9498" s="19">
        <v>8.67</v>
      </c>
      <c r="C9498" s="19">
        <v>1</v>
      </c>
      <c r="D9498" s="19">
        <v>2.3409000000000004</v>
      </c>
    </row>
    <row r="9499" spans="1:4" x14ac:dyDescent="0.2">
      <c r="A9499" s="19" t="s">
        <v>163</v>
      </c>
      <c r="B9499" s="19">
        <v>4.41</v>
      </c>
      <c r="C9499" s="19">
        <v>1</v>
      </c>
      <c r="D9499" s="19">
        <v>2.0286</v>
      </c>
    </row>
    <row r="9500" spans="1:4" x14ac:dyDescent="0.2">
      <c r="A9500" s="19" t="s">
        <v>163</v>
      </c>
      <c r="B9500" s="19">
        <v>167.94</v>
      </c>
      <c r="C9500" s="19">
        <v>3</v>
      </c>
      <c r="D9500" s="19">
        <v>82.290599999999998</v>
      </c>
    </row>
    <row r="9501" spans="1:4" x14ac:dyDescent="0.2">
      <c r="A9501" s="19" t="s">
        <v>163</v>
      </c>
      <c r="B9501" s="19">
        <v>67.8</v>
      </c>
      <c r="C9501" s="19">
        <v>10</v>
      </c>
      <c r="D9501" s="19">
        <v>31.187999999999999</v>
      </c>
    </row>
    <row r="9502" spans="1:4" x14ac:dyDescent="0.2">
      <c r="A9502" s="19" t="s">
        <v>155</v>
      </c>
      <c r="B9502" s="19">
        <v>26.94</v>
      </c>
      <c r="C9502" s="19">
        <v>3</v>
      </c>
      <c r="D9502" s="19">
        <v>11.314800000000002</v>
      </c>
    </row>
    <row r="9503" spans="1:4" x14ac:dyDescent="0.2">
      <c r="A9503" s="19" t="s">
        <v>150</v>
      </c>
      <c r="B9503" s="19">
        <v>32.04</v>
      </c>
      <c r="C9503" s="19">
        <v>3</v>
      </c>
      <c r="D9503" s="19">
        <v>8.01</v>
      </c>
    </row>
    <row r="9504" spans="1:4" x14ac:dyDescent="0.2">
      <c r="A9504" s="19" t="s">
        <v>164</v>
      </c>
      <c r="B9504" s="19">
        <v>32.129999999999995</v>
      </c>
      <c r="C9504" s="19">
        <v>9</v>
      </c>
      <c r="D9504" s="19">
        <v>8.3537999999999997</v>
      </c>
    </row>
    <row r="9505" spans="1:4" x14ac:dyDescent="0.2">
      <c r="A9505" s="19" t="s">
        <v>164</v>
      </c>
      <c r="B9505" s="19">
        <v>2.88</v>
      </c>
      <c r="C9505" s="19">
        <v>1</v>
      </c>
      <c r="D9505" s="19">
        <v>0.80640000000000001</v>
      </c>
    </row>
    <row r="9506" spans="1:4" x14ac:dyDescent="0.2">
      <c r="A9506" s="19" t="s">
        <v>164</v>
      </c>
      <c r="B9506" s="19">
        <v>1091.93</v>
      </c>
      <c r="C9506" s="19">
        <v>7</v>
      </c>
      <c r="D9506" s="19">
        <v>272.98250000000002</v>
      </c>
    </row>
    <row r="9507" spans="1:4" x14ac:dyDescent="0.2">
      <c r="A9507" s="19" t="s">
        <v>164</v>
      </c>
      <c r="B9507" s="19">
        <v>111.96</v>
      </c>
      <c r="C9507" s="19">
        <v>2</v>
      </c>
      <c r="D9507" s="19">
        <v>54.860399999999998</v>
      </c>
    </row>
    <row r="9508" spans="1:4" x14ac:dyDescent="0.2">
      <c r="A9508" s="19" t="s">
        <v>161</v>
      </c>
      <c r="B9508" s="19">
        <v>26.7</v>
      </c>
      <c r="C9508" s="19">
        <v>2</v>
      </c>
      <c r="D9508" s="19">
        <v>7.4759999999999991</v>
      </c>
    </row>
    <row r="9509" spans="1:4" x14ac:dyDescent="0.2">
      <c r="A9509" s="19" t="s">
        <v>161</v>
      </c>
      <c r="B9509" s="19">
        <v>40.199999999999996</v>
      </c>
      <c r="C9509" s="19">
        <v>5</v>
      </c>
      <c r="D9509" s="19">
        <v>18.089999999999996</v>
      </c>
    </row>
    <row r="9510" spans="1:4" x14ac:dyDescent="0.2">
      <c r="A9510" s="19" t="s">
        <v>161</v>
      </c>
      <c r="B9510" s="19">
        <v>13.89</v>
      </c>
      <c r="C9510" s="19">
        <v>3</v>
      </c>
      <c r="D9510" s="19">
        <v>4.5836999999999994</v>
      </c>
    </row>
    <row r="9511" spans="1:4" x14ac:dyDescent="0.2">
      <c r="A9511" s="19" t="s">
        <v>161</v>
      </c>
      <c r="B9511" s="19">
        <v>689.81999999999994</v>
      </c>
      <c r="C9511" s="19">
        <v>6</v>
      </c>
      <c r="D9511" s="19">
        <v>20.694600000000008</v>
      </c>
    </row>
    <row r="9512" spans="1:4" x14ac:dyDescent="0.2">
      <c r="A9512" s="19" t="s">
        <v>164</v>
      </c>
      <c r="B9512" s="19">
        <v>38.339999999999996</v>
      </c>
      <c r="C9512" s="19">
        <v>9</v>
      </c>
      <c r="D9512" s="19">
        <v>15.7194</v>
      </c>
    </row>
    <row r="9513" spans="1:4" x14ac:dyDescent="0.2">
      <c r="A9513" s="19" t="s">
        <v>159</v>
      </c>
      <c r="B9513" s="19">
        <v>9.2639999999999976</v>
      </c>
      <c r="C9513" s="19">
        <v>3</v>
      </c>
      <c r="D9513" s="19">
        <v>-13.895999999999997</v>
      </c>
    </row>
    <row r="9514" spans="1:4" x14ac:dyDescent="0.2">
      <c r="A9514" s="19" t="s">
        <v>154</v>
      </c>
      <c r="B9514" s="19">
        <v>204.66639999999998</v>
      </c>
      <c r="C9514" s="19">
        <v>1</v>
      </c>
      <c r="D9514" s="19">
        <v>-6.0196000000000254</v>
      </c>
    </row>
    <row r="9515" spans="1:4" x14ac:dyDescent="0.2">
      <c r="A9515" s="19" t="s">
        <v>155</v>
      </c>
      <c r="B9515" s="19">
        <v>1649.75</v>
      </c>
      <c r="C9515" s="19">
        <v>5</v>
      </c>
      <c r="D9515" s="19">
        <v>544.41749999999979</v>
      </c>
    </row>
    <row r="9516" spans="1:4" x14ac:dyDescent="0.2">
      <c r="A9516" s="19" t="s">
        <v>151</v>
      </c>
      <c r="B9516" s="19">
        <v>91.055999999999997</v>
      </c>
      <c r="C9516" s="19">
        <v>6</v>
      </c>
      <c r="D9516" s="19">
        <v>31.869599999999995</v>
      </c>
    </row>
    <row r="9517" spans="1:4" x14ac:dyDescent="0.2">
      <c r="A9517" s="19" t="s">
        <v>159</v>
      </c>
      <c r="B9517" s="19">
        <v>54.207999999999998</v>
      </c>
      <c r="C9517" s="19">
        <v>14</v>
      </c>
      <c r="D9517" s="19">
        <v>8.808799999999998</v>
      </c>
    </row>
    <row r="9518" spans="1:4" x14ac:dyDescent="0.2">
      <c r="A9518" s="19" t="s">
        <v>173</v>
      </c>
      <c r="B9518" s="19">
        <v>26.981999999999999</v>
      </c>
      <c r="C9518" s="19">
        <v>3</v>
      </c>
      <c r="D9518" s="19">
        <v>4.0472999999999999</v>
      </c>
    </row>
    <row r="9519" spans="1:4" x14ac:dyDescent="0.2">
      <c r="A9519" s="19" t="s">
        <v>173</v>
      </c>
      <c r="B9519" s="19">
        <v>6.911999999999999</v>
      </c>
      <c r="C9519" s="19">
        <v>3</v>
      </c>
      <c r="D9519" s="19">
        <v>2.5056000000000003</v>
      </c>
    </row>
    <row r="9520" spans="1:4" x14ac:dyDescent="0.2">
      <c r="A9520" s="19" t="s">
        <v>173</v>
      </c>
      <c r="B9520" s="19">
        <v>435.50400000000002</v>
      </c>
      <c r="C9520" s="19">
        <v>3</v>
      </c>
      <c r="D9520" s="19">
        <v>48.994199999999921</v>
      </c>
    </row>
    <row r="9521" spans="1:4" x14ac:dyDescent="0.2">
      <c r="A9521" s="19" t="s">
        <v>150</v>
      </c>
      <c r="B9521" s="19">
        <v>81.08</v>
      </c>
      <c r="C9521" s="19">
        <v>4</v>
      </c>
      <c r="D9521" s="19">
        <v>22.702400000000004</v>
      </c>
    </row>
    <row r="9522" spans="1:4" x14ac:dyDescent="0.2">
      <c r="A9522" s="19" t="s">
        <v>150</v>
      </c>
      <c r="B9522" s="19">
        <v>93.02</v>
      </c>
      <c r="C9522" s="19">
        <v>2</v>
      </c>
      <c r="D9522" s="19">
        <v>3.720799999999997</v>
      </c>
    </row>
    <row r="9523" spans="1:4" x14ac:dyDescent="0.2">
      <c r="A9523" s="19" t="s">
        <v>159</v>
      </c>
      <c r="B9523" s="19">
        <v>323.97600000000006</v>
      </c>
      <c r="C9523" s="19">
        <v>3</v>
      </c>
      <c r="D9523" s="19">
        <v>36.44729999999997</v>
      </c>
    </row>
    <row r="9524" spans="1:4" x14ac:dyDescent="0.2">
      <c r="A9524" s="19" t="s">
        <v>159</v>
      </c>
      <c r="B9524" s="19">
        <v>15.552000000000003</v>
      </c>
      <c r="C9524" s="19">
        <v>3</v>
      </c>
      <c r="D9524" s="19">
        <v>5.4432</v>
      </c>
    </row>
    <row r="9525" spans="1:4" x14ac:dyDescent="0.2">
      <c r="A9525" s="19" t="s">
        <v>159</v>
      </c>
      <c r="B9525" s="19">
        <v>32.591999999999999</v>
      </c>
      <c r="C9525" s="19">
        <v>3</v>
      </c>
      <c r="D9525" s="19">
        <v>-7.7406000000000006</v>
      </c>
    </row>
    <row r="9526" spans="1:4" x14ac:dyDescent="0.2">
      <c r="A9526" s="19" t="s">
        <v>153</v>
      </c>
      <c r="B9526" s="19">
        <v>83.920000000000016</v>
      </c>
      <c r="C9526" s="19">
        <v>5</v>
      </c>
      <c r="D9526" s="19">
        <v>29.371999999999993</v>
      </c>
    </row>
    <row r="9527" spans="1:4" x14ac:dyDescent="0.2">
      <c r="A9527" s="19" t="s">
        <v>153</v>
      </c>
      <c r="B9527" s="19">
        <v>199.89999999999998</v>
      </c>
      <c r="C9527" s="19">
        <v>5</v>
      </c>
      <c r="D9527" s="19">
        <v>39.97999999999999</v>
      </c>
    </row>
    <row r="9528" spans="1:4" x14ac:dyDescent="0.2">
      <c r="A9528" s="19" t="s">
        <v>153</v>
      </c>
      <c r="B9528" s="19">
        <v>31.176000000000002</v>
      </c>
      <c r="C9528" s="19">
        <v>3</v>
      </c>
      <c r="D9528" s="19">
        <v>-7.0145999999999997</v>
      </c>
    </row>
    <row r="9529" spans="1:4" x14ac:dyDescent="0.2">
      <c r="A9529" s="19" t="s">
        <v>153</v>
      </c>
      <c r="B9529" s="19">
        <v>172.75200000000001</v>
      </c>
      <c r="C9529" s="19">
        <v>6</v>
      </c>
      <c r="D9529" s="19">
        <v>60.463200000000015</v>
      </c>
    </row>
    <row r="9530" spans="1:4" x14ac:dyDescent="0.2">
      <c r="A9530" s="19" t="s">
        <v>153</v>
      </c>
      <c r="B9530" s="19">
        <v>9.2959999999999994</v>
      </c>
      <c r="C9530" s="19">
        <v>2</v>
      </c>
      <c r="D9530" s="19">
        <v>3.0211999999999994</v>
      </c>
    </row>
    <row r="9531" spans="1:4" x14ac:dyDescent="0.2">
      <c r="A9531" s="19" t="s">
        <v>154</v>
      </c>
      <c r="B9531" s="19">
        <v>12.768000000000001</v>
      </c>
      <c r="C9531" s="19">
        <v>2</v>
      </c>
      <c r="D9531" s="19">
        <v>0.95759999999999934</v>
      </c>
    </row>
    <row r="9532" spans="1:4" x14ac:dyDescent="0.2">
      <c r="A9532" s="19" t="s">
        <v>153</v>
      </c>
      <c r="B9532" s="19">
        <v>52.76</v>
      </c>
      <c r="C9532" s="19">
        <v>2</v>
      </c>
      <c r="D9532" s="19">
        <v>24.269599999999997</v>
      </c>
    </row>
    <row r="9533" spans="1:4" x14ac:dyDescent="0.2">
      <c r="A9533" s="19" t="s">
        <v>154</v>
      </c>
      <c r="B9533" s="19">
        <v>55.616</v>
      </c>
      <c r="C9533" s="19">
        <v>2</v>
      </c>
      <c r="D9533" s="19">
        <v>5.5616000000000021</v>
      </c>
    </row>
    <row r="9534" spans="1:4" x14ac:dyDescent="0.2">
      <c r="A9534" s="19" t="s">
        <v>164</v>
      </c>
      <c r="B9534" s="19">
        <v>427.64400000000001</v>
      </c>
      <c r="C9534" s="19">
        <v>14</v>
      </c>
      <c r="D9534" s="19">
        <v>80.777199999999979</v>
      </c>
    </row>
    <row r="9535" spans="1:4" x14ac:dyDescent="0.2">
      <c r="A9535" s="19" t="s">
        <v>164</v>
      </c>
      <c r="B9535" s="19">
        <v>40.669999999999995</v>
      </c>
      <c r="C9535" s="19">
        <v>7</v>
      </c>
      <c r="D9535" s="19">
        <v>12.607699999999999</v>
      </c>
    </row>
    <row r="9536" spans="1:4" x14ac:dyDescent="0.2">
      <c r="A9536" s="19" t="s">
        <v>164</v>
      </c>
      <c r="B9536" s="19">
        <v>33.479999999999997</v>
      </c>
      <c r="C9536" s="19">
        <v>2</v>
      </c>
      <c r="D9536" s="19">
        <v>1.3391999999999982</v>
      </c>
    </row>
    <row r="9537" spans="1:4" x14ac:dyDescent="0.2">
      <c r="A9537" s="19" t="s">
        <v>164</v>
      </c>
      <c r="B9537" s="19">
        <v>9.7280000000000015</v>
      </c>
      <c r="C9537" s="19">
        <v>2</v>
      </c>
      <c r="D9537" s="19">
        <v>3.283199999999999</v>
      </c>
    </row>
    <row r="9538" spans="1:4" x14ac:dyDescent="0.2">
      <c r="A9538" s="19" t="s">
        <v>159</v>
      </c>
      <c r="B9538" s="19">
        <v>8.8559999999999999</v>
      </c>
      <c r="C9538" s="19">
        <v>3</v>
      </c>
      <c r="D9538" s="19">
        <v>-6.8634000000000013</v>
      </c>
    </row>
    <row r="9539" spans="1:4" x14ac:dyDescent="0.2">
      <c r="A9539" s="19" t="s">
        <v>150</v>
      </c>
      <c r="B9539" s="19">
        <v>477.666</v>
      </c>
      <c r="C9539" s="19">
        <v>2</v>
      </c>
      <c r="D9539" s="19">
        <v>84.293999999999969</v>
      </c>
    </row>
    <row r="9540" spans="1:4" x14ac:dyDescent="0.2">
      <c r="A9540" s="19" t="s">
        <v>182</v>
      </c>
      <c r="B9540" s="19">
        <v>16.899999999999999</v>
      </c>
      <c r="C9540" s="19">
        <v>5</v>
      </c>
      <c r="D9540" s="19">
        <v>7.7739999999999991</v>
      </c>
    </row>
    <row r="9541" spans="1:4" x14ac:dyDescent="0.2">
      <c r="A9541" s="19" t="s">
        <v>182</v>
      </c>
      <c r="B9541" s="19">
        <v>39.96</v>
      </c>
      <c r="C9541" s="19">
        <v>2</v>
      </c>
      <c r="D9541" s="19">
        <v>18.781199999999998</v>
      </c>
    </row>
    <row r="9542" spans="1:4" x14ac:dyDescent="0.2">
      <c r="A9542" s="19" t="s">
        <v>165</v>
      </c>
      <c r="B9542" s="19">
        <v>191.96800000000002</v>
      </c>
      <c r="C9542" s="19">
        <v>7</v>
      </c>
      <c r="D9542" s="19">
        <v>16.797200000000004</v>
      </c>
    </row>
    <row r="9543" spans="1:4" x14ac:dyDescent="0.2">
      <c r="A9543" s="19" t="s">
        <v>154</v>
      </c>
      <c r="B9543" s="19">
        <v>35.520000000000003</v>
      </c>
      <c r="C9543" s="19">
        <v>3</v>
      </c>
      <c r="D9543" s="19">
        <v>13.320000000000002</v>
      </c>
    </row>
    <row r="9544" spans="1:4" x14ac:dyDescent="0.2">
      <c r="A9544" s="19" t="s">
        <v>154</v>
      </c>
      <c r="B9544" s="19">
        <v>6.2299999999999986</v>
      </c>
      <c r="C9544" s="19">
        <v>5</v>
      </c>
      <c r="D9544" s="19">
        <v>-9.6565000000000047</v>
      </c>
    </row>
    <row r="9545" spans="1:4" x14ac:dyDescent="0.2">
      <c r="A9545" s="19" t="s">
        <v>154</v>
      </c>
      <c r="B9545" s="19">
        <v>56.704000000000001</v>
      </c>
      <c r="C9545" s="19">
        <v>2</v>
      </c>
      <c r="D9545" s="19">
        <v>19.137599999999992</v>
      </c>
    </row>
    <row r="9546" spans="1:4" x14ac:dyDescent="0.2">
      <c r="A9546" s="19" t="s">
        <v>154</v>
      </c>
      <c r="B9546" s="19">
        <v>369.19919999999996</v>
      </c>
      <c r="C9546" s="19">
        <v>3</v>
      </c>
      <c r="D9546" s="19">
        <v>-114.01739999999995</v>
      </c>
    </row>
    <row r="9547" spans="1:4" x14ac:dyDescent="0.2">
      <c r="A9547" s="19" t="s">
        <v>163</v>
      </c>
      <c r="B9547" s="19">
        <v>1.98</v>
      </c>
      <c r="C9547" s="19">
        <v>2</v>
      </c>
      <c r="D9547" s="19">
        <v>0.89100000000000001</v>
      </c>
    </row>
    <row r="9548" spans="1:4" x14ac:dyDescent="0.2">
      <c r="A9548" s="19" t="s">
        <v>163</v>
      </c>
      <c r="B9548" s="19">
        <v>75.88</v>
      </c>
      <c r="C9548" s="19">
        <v>2</v>
      </c>
      <c r="D9548" s="19">
        <v>35.663599999999995</v>
      </c>
    </row>
    <row r="9549" spans="1:4" x14ac:dyDescent="0.2">
      <c r="A9549" s="19" t="s">
        <v>158</v>
      </c>
      <c r="B9549" s="19">
        <v>6.8480000000000008</v>
      </c>
      <c r="C9549" s="19">
        <v>2</v>
      </c>
      <c r="D9549" s="19">
        <v>2.1399999999999992</v>
      </c>
    </row>
    <row r="9550" spans="1:4" x14ac:dyDescent="0.2">
      <c r="A9550" s="19" t="s">
        <v>158</v>
      </c>
      <c r="B9550" s="19">
        <v>4.6260000000000003</v>
      </c>
      <c r="C9550" s="19">
        <v>2</v>
      </c>
      <c r="D9550" s="19">
        <v>-3.8549999999999986</v>
      </c>
    </row>
    <row r="9551" spans="1:4" x14ac:dyDescent="0.2">
      <c r="A9551" s="19" t="s">
        <v>158</v>
      </c>
      <c r="B9551" s="19">
        <v>453.6</v>
      </c>
      <c r="C9551" s="19">
        <v>3</v>
      </c>
      <c r="D9551" s="19">
        <v>90.71999999999997</v>
      </c>
    </row>
    <row r="9552" spans="1:4" x14ac:dyDescent="0.2">
      <c r="A9552" s="19" t="s">
        <v>150</v>
      </c>
      <c r="B9552" s="19">
        <v>13.847999999999999</v>
      </c>
      <c r="C9552" s="19">
        <v>3</v>
      </c>
      <c r="D9552" s="19">
        <v>5.1929999999999996</v>
      </c>
    </row>
    <row r="9553" spans="1:4" x14ac:dyDescent="0.2">
      <c r="A9553" s="19" t="s">
        <v>158</v>
      </c>
      <c r="B9553" s="19">
        <v>577.58400000000006</v>
      </c>
      <c r="C9553" s="19">
        <v>6</v>
      </c>
      <c r="D9553" s="19">
        <v>43.318799999999953</v>
      </c>
    </row>
    <row r="9554" spans="1:4" x14ac:dyDescent="0.2">
      <c r="A9554" s="19" t="s">
        <v>166</v>
      </c>
      <c r="B9554" s="19">
        <v>151.96</v>
      </c>
      <c r="C9554" s="19">
        <v>4</v>
      </c>
      <c r="D9554" s="19">
        <v>36.470399999999998</v>
      </c>
    </row>
    <row r="9555" spans="1:4" x14ac:dyDescent="0.2">
      <c r="A9555" s="19" t="s">
        <v>171</v>
      </c>
      <c r="B9555" s="19">
        <v>68.432000000000016</v>
      </c>
      <c r="C9555" s="19">
        <v>7</v>
      </c>
      <c r="D9555" s="19">
        <v>8.5539999999999878</v>
      </c>
    </row>
    <row r="9556" spans="1:4" x14ac:dyDescent="0.2">
      <c r="A9556" s="19" t="s">
        <v>173</v>
      </c>
      <c r="B9556" s="19">
        <v>71.12</v>
      </c>
      <c r="C9556" s="19">
        <v>5</v>
      </c>
      <c r="D9556" s="19">
        <v>9.7789999999999964</v>
      </c>
    </row>
    <row r="9557" spans="1:4" x14ac:dyDescent="0.2">
      <c r="A9557" s="19" t="s">
        <v>173</v>
      </c>
      <c r="B9557" s="19">
        <v>3.008</v>
      </c>
      <c r="C9557" s="19">
        <v>2</v>
      </c>
      <c r="D9557" s="19">
        <v>0.56399999999999983</v>
      </c>
    </row>
    <row r="9558" spans="1:4" x14ac:dyDescent="0.2">
      <c r="A9558" s="19" t="s">
        <v>186</v>
      </c>
      <c r="B9558" s="19">
        <v>184.66</v>
      </c>
      <c r="C9558" s="19">
        <v>7</v>
      </c>
      <c r="D9558" s="19">
        <v>84.943599999999989</v>
      </c>
    </row>
    <row r="9559" spans="1:4" x14ac:dyDescent="0.2">
      <c r="A9559" s="19" t="s">
        <v>154</v>
      </c>
      <c r="B9559" s="19">
        <v>5.3120000000000003</v>
      </c>
      <c r="C9559" s="19">
        <v>2</v>
      </c>
      <c r="D9559" s="19">
        <v>-1.5935999999999995</v>
      </c>
    </row>
    <row r="9560" spans="1:4" x14ac:dyDescent="0.2">
      <c r="A9560" s="19" t="s">
        <v>173</v>
      </c>
      <c r="B9560" s="19">
        <v>132.52000000000004</v>
      </c>
      <c r="C9560" s="19">
        <v>5</v>
      </c>
      <c r="D9560" s="19">
        <v>34.786500000000004</v>
      </c>
    </row>
    <row r="9561" spans="1:4" x14ac:dyDescent="0.2">
      <c r="A9561" s="19" t="s">
        <v>173</v>
      </c>
      <c r="B9561" s="19">
        <v>195.64</v>
      </c>
      <c r="C9561" s="19">
        <v>5</v>
      </c>
      <c r="D9561" s="19">
        <v>-44.018999999999991</v>
      </c>
    </row>
    <row r="9562" spans="1:4" x14ac:dyDescent="0.2">
      <c r="A9562" s="19" t="s">
        <v>173</v>
      </c>
      <c r="B9562" s="19">
        <v>51.967999999999996</v>
      </c>
      <c r="C9562" s="19">
        <v>2</v>
      </c>
      <c r="D9562" s="19">
        <v>10.393599999999998</v>
      </c>
    </row>
    <row r="9563" spans="1:4" x14ac:dyDescent="0.2">
      <c r="A9563" s="19" t="s">
        <v>173</v>
      </c>
      <c r="B9563" s="19">
        <v>431.97600000000006</v>
      </c>
      <c r="C9563" s="19">
        <v>3</v>
      </c>
      <c r="D9563" s="19">
        <v>-75.59580000000004</v>
      </c>
    </row>
    <row r="9564" spans="1:4" x14ac:dyDescent="0.2">
      <c r="A9564" s="19" t="s">
        <v>173</v>
      </c>
      <c r="B9564" s="19">
        <v>224.93700000000004</v>
      </c>
      <c r="C9564" s="19">
        <v>3</v>
      </c>
      <c r="D9564" s="19">
        <v>-164.9538</v>
      </c>
    </row>
    <row r="9565" spans="1:4" x14ac:dyDescent="0.2">
      <c r="A9565" s="19" t="s">
        <v>173</v>
      </c>
      <c r="B9565" s="19">
        <v>6</v>
      </c>
      <c r="C9565" s="19">
        <v>2</v>
      </c>
      <c r="D9565" s="19">
        <v>2.0999999999999996</v>
      </c>
    </row>
    <row r="9566" spans="1:4" x14ac:dyDescent="0.2">
      <c r="A9566" s="19" t="s">
        <v>150</v>
      </c>
      <c r="B9566" s="19">
        <v>11.76</v>
      </c>
      <c r="C9566" s="19">
        <v>2</v>
      </c>
      <c r="D9566" s="19">
        <v>5.7623999999999995</v>
      </c>
    </row>
    <row r="9567" spans="1:4" x14ac:dyDescent="0.2">
      <c r="A9567" s="19" t="s">
        <v>151</v>
      </c>
      <c r="B9567" s="19">
        <v>1125.4879999999998</v>
      </c>
      <c r="C9567" s="19">
        <v>7</v>
      </c>
      <c r="D9567" s="19">
        <v>98.480200000000082</v>
      </c>
    </row>
    <row r="9568" spans="1:4" x14ac:dyDescent="0.2">
      <c r="A9568" s="19" t="s">
        <v>151</v>
      </c>
      <c r="B9568" s="19">
        <v>12.645000000000001</v>
      </c>
      <c r="C9568" s="19">
        <v>5</v>
      </c>
      <c r="D9568" s="19">
        <v>-10.116</v>
      </c>
    </row>
    <row r="9569" spans="1:4" x14ac:dyDescent="0.2">
      <c r="A9569" s="19" t="s">
        <v>151</v>
      </c>
      <c r="B9569" s="19">
        <v>4.032</v>
      </c>
      <c r="C9569" s="19">
        <v>2</v>
      </c>
      <c r="D9569" s="19">
        <v>1.0584000000000002</v>
      </c>
    </row>
    <row r="9570" spans="1:4" x14ac:dyDescent="0.2">
      <c r="A9570" s="19" t="s">
        <v>157</v>
      </c>
      <c r="B9570" s="19">
        <v>79.959999999999994</v>
      </c>
      <c r="C9570" s="19">
        <v>4</v>
      </c>
      <c r="D9570" s="19">
        <v>22.388800000000003</v>
      </c>
    </row>
    <row r="9571" spans="1:4" x14ac:dyDescent="0.2">
      <c r="A9571" s="19" t="s">
        <v>173</v>
      </c>
      <c r="B9571" s="19">
        <v>6.732000000000002</v>
      </c>
      <c r="C9571" s="19">
        <v>6</v>
      </c>
      <c r="D9571" s="19">
        <v>-4.4879999999999978</v>
      </c>
    </row>
    <row r="9572" spans="1:4" x14ac:dyDescent="0.2">
      <c r="A9572" s="19" t="s">
        <v>173</v>
      </c>
      <c r="B9572" s="19">
        <v>33.568000000000005</v>
      </c>
      <c r="C9572" s="19">
        <v>2</v>
      </c>
      <c r="D9572" s="19">
        <v>1.6783999999999981</v>
      </c>
    </row>
    <row r="9573" spans="1:4" x14ac:dyDescent="0.2">
      <c r="A9573" s="19" t="s">
        <v>173</v>
      </c>
      <c r="B9573" s="19">
        <v>15.840000000000002</v>
      </c>
      <c r="C9573" s="19">
        <v>2</v>
      </c>
      <c r="D9573" s="19">
        <v>5.5439999999999987</v>
      </c>
    </row>
    <row r="9574" spans="1:4" x14ac:dyDescent="0.2">
      <c r="A9574" s="19" t="s">
        <v>173</v>
      </c>
      <c r="B9574" s="19">
        <v>24.424000000000003</v>
      </c>
      <c r="C9574" s="19">
        <v>1</v>
      </c>
      <c r="D9574" s="19">
        <v>7.9378000000000002</v>
      </c>
    </row>
    <row r="9575" spans="1:4" x14ac:dyDescent="0.2">
      <c r="A9575" s="19" t="s">
        <v>173</v>
      </c>
      <c r="B9575" s="19">
        <v>17.12</v>
      </c>
      <c r="C9575" s="19">
        <v>5</v>
      </c>
      <c r="D9575" s="19">
        <v>1.9259999999999975</v>
      </c>
    </row>
    <row r="9576" spans="1:4" x14ac:dyDescent="0.2">
      <c r="A9576" s="19" t="s">
        <v>150</v>
      </c>
      <c r="B9576" s="19">
        <v>31.56</v>
      </c>
      <c r="C9576" s="19">
        <v>3</v>
      </c>
      <c r="D9576" s="19">
        <v>10.4148</v>
      </c>
    </row>
    <row r="9577" spans="1:4" x14ac:dyDescent="0.2">
      <c r="A9577" s="19" t="s">
        <v>154</v>
      </c>
      <c r="B9577" s="19">
        <v>105.68599999999999</v>
      </c>
      <c r="C9577" s="19">
        <v>1</v>
      </c>
      <c r="D9577" s="19">
        <v>-28.686199999999999</v>
      </c>
    </row>
    <row r="9578" spans="1:4" x14ac:dyDescent="0.2">
      <c r="A9578" s="19" t="s">
        <v>154</v>
      </c>
      <c r="B9578" s="19">
        <v>399.53999999999996</v>
      </c>
      <c r="C9578" s="19">
        <v>2</v>
      </c>
      <c r="D9578" s="19">
        <v>-79.908000000000015</v>
      </c>
    </row>
    <row r="9579" spans="1:4" x14ac:dyDescent="0.2">
      <c r="A9579" s="19" t="s">
        <v>154</v>
      </c>
      <c r="B9579" s="19">
        <v>104.93</v>
      </c>
      <c r="C9579" s="19">
        <v>5</v>
      </c>
      <c r="D9579" s="19">
        <v>-4.4969999999999999</v>
      </c>
    </row>
    <row r="9580" spans="1:4" x14ac:dyDescent="0.2">
      <c r="A9580" s="19" t="s">
        <v>164</v>
      </c>
      <c r="B9580" s="19">
        <v>1079.8499999999999</v>
      </c>
      <c r="C9580" s="19">
        <v>3</v>
      </c>
      <c r="D9580" s="19">
        <v>323.95499999999993</v>
      </c>
    </row>
    <row r="9581" spans="1:4" x14ac:dyDescent="0.2">
      <c r="A9581" s="19" t="s">
        <v>164</v>
      </c>
      <c r="B9581" s="19">
        <v>70.98</v>
      </c>
      <c r="C9581" s="19">
        <v>1</v>
      </c>
      <c r="D9581" s="19">
        <v>3.5489999999999924</v>
      </c>
    </row>
    <row r="9582" spans="1:4" x14ac:dyDescent="0.2">
      <c r="A9582" s="19" t="s">
        <v>164</v>
      </c>
      <c r="B9582" s="19">
        <v>29.950000000000003</v>
      </c>
      <c r="C9582" s="19">
        <v>5</v>
      </c>
      <c r="D9582" s="19">
        <v>8.6854999999999993</v>
      </c>
    </row>
    <row r="9583" spans="1:4" x14ac:dyDescent="0.2">
      <c r="A9583" s="19" t="s">
        <v>164</v>
      </c>
      <c r="B9583" s="19">
        <v>589.41</v>
      </c>
      <c r="C9583" s="19">
        <v>5</v>
      </c>
      <c r="D9583" s="19">
        <v>-6.5490000000000492</v>
      </c>
    </row>
    <row r="9584" spans="1:4" x14ac:dyDescent="0.2">
      <c r="A9584" s="19" t="s">
        <v>158</v>
      </c>
      <c r="B9584" s="19">
        <v>9.6479999999999997</v>
      </c>
      <c r="C9584" s="19">
        <v>6</v>
      </c>
      <c r="D9584" s="19">
        <v>3.4973999999999998</v>
      </c>
    </row>
    <row r="9585" spans="1:4" x14ac:dyDescent="0.2">
      <c r="A9585" s="19" t="s">
        <v>164</v>
      </c>
      <c r="B9585" s="19">
        <v>400.78400000000005</v>
      </c>
      <c r="C9585" s="19">
        <v>1</v>
      </c>
      <c r="D9585" s="19">
        <v>-5.0098000000000269</v>
      </c>
    </row>
    <row r="9586" spans="1:4" x14ac:dyDescent="0.2">
      <c r="A9586" s="19" t="s">
        <v>161</v>
      </c>
      <c r="B9586" s="19">
        <v>53.72</v>
      </c>
      <c r="C9586" s="19">
        <v>4</v>
      </c>
      <c r="D9586" s="19">
        <v>13.967199999999998</v>
      </c>
    </row>
    <row r="9587" spans="1:4" x14ac:dyDescent="0.2">
      <c r="A9587" s="19" t="s">
        <v>151</v>
      </c>
      <c r="B9587" s="19">
        <v>31.007999999999999</v>
      </c>
      <c r="C9587" s="19">
        <v>1</v>
      </c>
      <c r="D9587" s="19">
        <v>11.240400000000001</v>
      </c>
    </row>
    <row r="9588" spans="1:4" x14ac:dyDescent="0.2">
      <c r="A9588" s="19" t="s">
        <v>150</v>
      </c>
      <c r="B9588" s="19">
        <v>61.120000000000005</v>
      </c>
      <c r="C9588" s="19">
        <v>5</v>
      </c>
      <c r="D9588" s="19">
        <v>22.155999999999999</v>
      </c>
    </row>
    <row r="9589" spans="1:4" x14ac:dyDescent="0.2">
      <c r="A9589" s="19" t="s">
        <v>159</v>
      </c>
      <c r="B9589" s="19">
        <v>195.136</v>
      </c>
      <c r="C9589" s="19">
        <v>4</v>
      </c>
      <c r="D9589" s="19">
        <v>-43.9056</v>
      </c>
    </row>
    <row r="9590" spans="1:4" x14ac:dyDescent="0.2">
      <c r="A9590" s="19" t="s">
        <v>159</v>
      </c>
      <c r="B9590" s="19">
        <v>121.536</v>
      </c>
      <c r="C9590" s="19">
        <v>4</v>
      </c>
      <c r="D9590" s="19">
        <v>15.191999999999979</v>
      </c>
    </row>
    <row r="9591" spans="1:4" x14ac:dyDescent="0.2">
      <c r="A9591" s="19" t="s">
        <v>159</v>
      </c>
      <c r="B9591" s="19">
        <v>17.472000000000001</v>
      </c>
      <c r="C9591" s="19">
        <v>3</v>
      </c>
      <c r="D9591" s="19">
        <v>5.6783999999999981</v>
      </c>
    </row>
    <row r="9592" spans="1:4" x14ac:dyDescent="0.2">
      <c r="A9592" s="19" t="s">
        <v>159</v>
      </c>
      <c r="B9592" s="19">
        <v>104.57999999999998</v>
      </c>
      <c r="C9592" s="19">
        <v>9</v>
      </c>
      <c r="D9592" s="19">
        <v>-172.55700000000007</v>
      </c>
    </row>
    <row r="9593" spans="1:4" x14ac:dyDescent="0.2">
      <c r="A9593" s="19" t="s">
        <v>154</v>
      </c>
      <c r="B9593" s="19">
        <v>24.700000000000003</v>
      </c>
      <c r="C9593" s="19">
        <v>5</v>
      </c>
      <c r="D9593" s="19">
        <v>-9.8799999999999955</v>
      </c>
    </row>
    <row r="9594" spans="1:4" x14ac:dyDescent="0.2">
      <c r="A9594" s="19" t="s">
        <v>154</v>
      </c>
      <c r="B9594" s="19">
        <v>302.72000000000003</v>
      </c>
      <c r="C9594" s="19">
        <v>5</v>
      </c>
      <c r="D9594" s="19">
        <v>-378.40000000000009</v>
      </c>
    </row>
    <row r="9595" spans="1:4" x14ac:dyDescent="0.2">
      <c r="A9595" s="19" t="s">
        <v>164</v>
      </c>
      <c r="B9595" s="19">
        <v>8.56</v>
      </c>
      <c r="C9595" s="19">
        <v>2</v>
      </c>
      <c r="D9595" s="19">
        <v>3.8519999999999994</v>
      </c>
    </row>
    <row r="9596" spans="1:4" x14ac:dyDescent="0.2">
      <c r="A9596" s="19" t="s">
        <v>164</v>
      </c>
      <c r="B9596" s="19">
        <v>11.56</v>
      </c>
      <c r="C9596" s="19">
        <v>2</v>
      </c>
      <c r="D9596" s="19">
        <v>5.6644000000000005</v>
      </c>
    </row>
    <row r="9597" spans="1:4" x14ac:dyDescent="0.2">
      <c r="A9597" s="19" t="s">
        <v>150</v>
      </c>
      <c r="B9597" s="19">
        <v>25.86</v>
      </c>
      <c r="C9597" s="19">
        <v>3</v>
      </c>
      <c r="D9597" s="19">
        <v>6.7236000000000002</v>
      </c>
    </row>
    <row r="9598" spans="1:4" x14ac:dyDescent="0.2">
      <c r="A9598" s="19" t="s">
        <v>150</v>
      </c>
      <c r="B9598" s="19">
        <v>276.78400000000005</v>
      </c>
      <c r="C9598" s="19">
        <v>2</v>
      </c>
      <c r="D9598" s="19">
        <v>89.954799999999992</v>
      </c>
    </row>
    <row r="9599" spans="1:4" x14ac:dyDescent="0.2">
      <c r="A9599" s="19" t="s">
        <v>150</v>
      </c>
      <c r="B9599" s="19">
        <v>110.352</v>
      </c>
      <c r="C9599" s="19">
        <v>3</v>
      </c>
      <c r="D9599" s="19">
        <v>8.2763999999999953</v>
      </c>
    </row>
    <row r="9600" spans="1:4" x14ac:dyDescent="0.2">
      <c r="A9600" s="19" t="s">
        <v>150</v>
      </c>
      <c r="B9600" s="19">
        <v>60.84</v>
      </c>
      <c r="C9600" s="19">
        <v>3</v>
      </c>
      <c r="D9600" s="19">
        <v>19.468799999999998</v>
      </c>
    </row>
    <row r="9601" spans="1:4" x14ac:dyDescent="0.2">
      <c r="A9601" s="19" t="s">
        <v>170</v>
      </c>
      <c r="B9601" s="19">
        <v>35.207999999999998</v>
      </c>
      <c r="C9601" s="19">
        <v>1</v>
      </c>
      <c r="D9601" s="19">
        <v>2.6405999999999992</v>
      </c>
    </row>
    <row r="9602" spans="1:4" x14ac:dyDescent="0.2">
      <c r="A9602" s="19" t="s">
        <v>154</v>
      </c>
      <c r="B9602" s="19">
        <v>41.472000000000008</v>
      </c>
      <c r="C9602" s="19">
        <v>8</v>
      </c>
      <c r="D9602" s="19">
        <v>14.5152</v>
      </c>
    </row>
    <row r="9603" spans="1:4" x14ac:dyDescent="0.2">
      <c r="A9603" s="19" t="s">
        <v>184</v>
      </c>
      <c r="B9603" s="19">
        <v>239.5</v>
      </c>
      <c r="C9603" s="19">
        <v>5</v>
      </c>
      <c r="D9603" s="19">
        <v>114.95999999999998</v>
      </c>
    </row>
    <row r="9604" spans="1:4" x14ac:dyDescent="0.2">
      <c r="A9604" s="19" t="s">
        <v>166</v>
      </c>
      <c r="B9604" s="19">
        <v>34.200000000000003</v>
      </c>
      <c r="C9604" s="19">
        <v>5</v>
      </c>
      <c r="D9604" s="19">
        <v>9.234</v>
      </c>
    </row>
    <row r="9605" spans="1:4" x14ac:dyDescent="0.2">
      <c r="A9605" s="19" t="s">
        <v>164</v>
      </c>
      <c r="B9605" s="19">
        <v>376.86599999999999</v>
      </c>
      <c r="C9605" s="19">
        <v>3</v>
      </c>
      <c r="D9605" s="19">
        <v>-213.55740000000006</v>
      </c>
    </row>
    <row r="9606" spans="1:4" x14ac:dyDescent="0.2">
      <c r="A9606" s="19" t="s">
        <v>166</v>
      </c>
      <c r="B9606" s="19">
        <v>197.72</v>
      </c>
      <c r="C9606" s="19">
        <v>4</v>
      </c>
      <c r="D9606" s="19">
        <v>55.36160000000001</v>
      </c>
    </row>
    <row r="9607" spans="1:4" x14ac:dyDescent="0.2">
      <c r="A9607" s="19" t="s">
        <v>173</v>
      </c>
      <c r="B9607" s="19">
        <v>70.720000000000013</v>
      </c>
      <c r="C9607" s="19">
        <v>4</v>
      </c>
      <c r="D9607" s="19">
        <v>-6.1879999999999988</v>
      </c>
    </row>
    <row r="9608" spans="1:4" x14ac:dyDescent="0.2">
      <c r="A9608" s="19" t="s">
        <v>173</v>
      </c>
      <c r="B9608" s="19">
        <v>194.35200000000003</v>
      </c>
      <c r="C9608" s="19">
        <v>3</v>
      </c>
      <c r="D9608" s="19">
        <v>-43.729199999999992</v>
      </c>
    </row>
    <row r="9609" spans="1:4" x14ac:dyDescent="0.2">
      <c r="A9609" s="19" t="s">
        <v>164</v>
      </c>
      <c r="B9609" s="19">
        <v>21.6</v>
      </c>
      <c r="C9609" s="19">
        <v>6</v>
      </c>
      <c r="D9609" s="19">
        <v>9.9359999999999999</v>
      </c>
    </row>
    <row r="9610" spans="1:4" x14ac:dyDescent="0.2">
      <c r="A9610" s="19" t="s">
        <v>164</v>
      </c>
      <c r="B9610" s="19">
        <v>11.07</v>
      </c>
      <c r="C9610" s="19">
        <v>3</v>
      </c>
      <c r="D9610" s="19">
        <v>5.2028999999999996</v>
      </c>
    </row>
    <row r="9611" spans="1:4" x14ac:dyDescent="0.2">
      <c r="A9611" s="19" t="s">
        <v>150</v>
      </c>
      <c r="B9611" s="19">
        <v>282.83999999999997</v>
      </c>
      <c r="C9611" s="19">
        <v>4</v>
      </c>
      <c r="D9611" s="19">
        <v>19.798799999999972</v>
      </c>
    </row>
    <row r="9612" spans="1:4" x14ac:dyDescent="0.2">
      <c r="A9612" s="19" t="s">
        <v>150</v>
      </c>
      <c r="B9612" s="19">
        <v>27.72</v>
      </c>
      <c r="C9612" s="19">
        <v>9</v>
      </c>
      <c r="D9612" s="19">
        <v>13.3056</v>
      </c>
    </row>
    <row r="9613" spans="1:4" x14ac:dyDescent="0.2">
      <c r="A9613" s="19" t="s">
        <v>183</v>
      </c>
      <c r="B9613" s="19">
        <v>11.68</v>
      </c>
      <c r="C9613" s="19">
        <v>4</v>
      </c>
      <c r="D9613" s="19">
        <v>5.2559999999999993</v>
      </c>
    </row>
    <row r="9614" spans="1:4" x14ac:dyDescent="0.2">
      <c r="A9614" s="19" t="s">
        <v>150</v>
      </c>
      <c r="B9614" s="19">
        <v>239.98400000000004</v>
      </c>
      <c r="C9614" s="19">
        <v>2</v>
      </c>
      <c r="D9614" s="19">
        <v>23.998400000000004</v>
      </c>
    </row>
    <row r="9615" spans="1:4" x14ac:dyDescent="0.2">
      <c r="A9615" s="19" t="s">
        <v>153</v>
      </c>
      <c r="B9615" s="19">
        <v>22.98</v>
      </c>
      <c r="C9615" s="19">
        <v>1</v>
      </c>
      <c r="D9615" s="19">
        <v>6.8939999999999984</v>
      </c>
    </row>
    <row r="9616" spans="1:4" x14ac:dyDescent="0.2">
      <c r="A9616" s="19" t="s">
        <v>153</v>
      </c>
      <c r="B9616" s="19">
        <v>102.13</v>
      </c>
      <c r="C9616" s="19">
        <v>7</v>
      </c>
      <c r="D9616" s="19">
        <v>15.319499999999996</v>
      </c>
    </row>
    <row r="9617" spans="1:4" x14ac:dyDescent="0.2">
      <c r="A9617" s="19" t="s">
        <v>153</v>
      </c>
      <c r="B9617" s="19">
        <v>2033.5840000000001</v>
      </c>
      <c r="C9617" s="19">
        <v>2</v>
      </c>
      <c r="D9617" s="19">
        <v>762.59400000000005</v>
      </c>
    </row>
    <row r="9618" spans="1:4" x14ac:dyDescent="0.2">
      <c r="A9618" s="19" t="s">
        <v>150</v>
      </c>
      <c r="B9618" s="19">
        <v>5.76</v>
      </c>
      <c r="C9618" s="19">
        <v>2</v>
      </c>
      <c r="D9618" s="19">
        <v>1.6703999999999999</v>
      </c>
    </row>
    <row r="9619" spans="1:4" x14ac:dyDescent="0.2">
      <c r="A9619" s="19" t="s">
        <v>173</v>
      </c>
      <c r="B9619" s="19">
        <v>899.98199999999997</v>
      </c>
      <c r="C9619" s="19">
        <v>3</v>
      </c>
      <c r="D9619" s="19">
        <v>74.998499999999922</v>
      </c>
    </row>
    <row r="9620" spans="1:4" x14ac:dyDescent="0.2">
      <c r="A9620" s="19" t="s">
        <v>173</v>
      </c>
      <c r="B9620" s="19">
        <v>86.352000000000004</v>
      </c>
      <c r="C9620" s="19">
        <v>3</v>
      </c>
      <c r="D9620" s="19">
        <v>5.3969999999999914</v>
      </c>
    </row>
    <row r="9621" spans="1:4" x14ac:dyDescent="0.2">
      <c r="A9621" s="19" t="s">
        <v>173</v>
      </c>
      <c r="B9621" s="19">
        <v>139.96000000000004</v>
      </c>
      <c r="C9621" s="19">
        <v>5</v>
      </c>
      <c r="D9621" s="19">
        <v>-1.7495000000000118</v>
      </c>
    </row>
    <row r="9622" spans="1:4" x14ac:dyDescent="0.2">
      <c r="A9622" s="19" t="s">
        <v>173</v>
      </c>
      <c r="B9622" s="19">
        <v>16.704000000000001</v>
      </c>
      <c r="C9622" s="19">
        <v>6</v>
      </c>
      <c r="D9622" s="19">
        <v>1.2527999999999988</v>
      </c>
    </row>
    <row r="9623" spans="1:4" x14ac:dyDescent="0.2">
      <c r="A9623" s="19" t="s">
        <v>173</v>
      </c>
      <c r="B9623" s="19">
        <v>3.1520000000000001</v>
      </c>
      <c r="C9623" s="19">
        <v>2</v>
      </c>
      <c r="D9623" s="19">
        <v>0.47279999999999966</v>
      </c>
    </row>
    <row r="9624" spans="1:4" x14ac:dyDescent="0.2">
      <c r="A9624" s="19" t="s">
        <v>173</v>
      </c>
      <c r="B9624" s="19">
        <v>32.896000000000001</v>
      </c>
      <c r="C9624" s="19">
        <v>4</v>
      </c>
      <c r="D9624" s="19">
        <v>11.102399999999996</v>
      </c>
    </row>
    <row r="9625" spans="1:4" x14ac:dyDescent="0.2">
      <c r="A9625" s="19" t="s">
        <v>154</v>
      </c>
      <c r="B9625" s="19">
        <v>21.391999999999992</v>
      </c>
      <c r="C9625" s="19">
        <v>2</v>
      </c>
      <c r="D9625" s="19">
        <v>-54.549600000000012</v>
      </c>
    </row>
    <row r="9626" spans="1:4" x14ac:dyDescent="0.2">
      <c r="A9626" s="19" t="s">
        <v>154</v>
      </c>
      <c r="B9626" s="19">
        <v>307.31400000000002</v>
      </c>
      <c r="C9626" s="19">
        <v>3</v>
      </c>
      <c r="D9626" s="19">
        <v>-39.511800000000036</v>
      </c>
    </row>
    <row r="9627" spans="1:4" x14ac:dyDescent="0.2">
      <c r="A9627" s="19" t="s">
        <v>154</v>
      </c>
      <c r="B9627" s="19">
        <v>409.99919999999997</v>
      </c>
      <c r="C9627" s="19">
        <v>3</v>
      </c>
      <c r="D9627" s="19">
        <v>-96.470399999999955</v>
      </c>
    </row>
    <row r="9628" spans="1:4" x14ac:dyDescent="0.2">
      <c r="A9628" s="19" t="s">
        <v>154</v>
      </c>
      <c r="B9628" s="19">
        <v>9.2480000000000011</v>
      </c>
      <c r="C9628" s="19">
        <v>2</v>
      </c>
      <c r="D9628" s="19">
        <v>3.3524000000000003</v>
      </c>
    </row>
    <row r="9629" spans="1:4" x14ac:dyDescent="0.2">
      <c r="A9629" s="19" t="s">
        <v>161</v>
      </c>
      <c r="B9629" s="19">
        <v>14.669999999999998</v>
      </c>
      <c r="C9629" s="19">
        <v>3</v>
      </c>
      <c r="D9629" s="19">
        <v>6.7481999999999989</v>
      </c>
    </row>
    <row r="9630" spans="1:4" x14ac:dyDescent="0.2">
      <c r="A9630" s="19" t="s">
        <v>173</v>
      </c>
      <c r="B9630" s="19">
        <v>37.408000000000001</v>
      </c>
      <c r="C9630" s="19">
        <v>7</v>
      </c>
      <c r="D9630" s="19">
        <v>13.0928</v>
      </c>
    </row>
    <row r="9631" spans="1:4" x14ac:dyDescent="0.2">
      <c r="A9631" s="19" t="s">
        <v>173</v>
      </c>
      <c r="B9631" s="19">
        <v>3.4380000000000006</v>
      </c>
      <c r="C9631" s="19">
        <v>2</v>
      </c>
      <c r="D9631" s="19">
        <v>-2.5212000000000003</v>
      </c>
    </row>
    <row r="9632" spans="1:4" x14ac:dyDescent="0.2">
      <c r="A9632" s="19" t="s">
        <v>164</v>
      </c>
      <c r="B9632" s="19">
        <v>7.1519999999999992</v>
      </c>
      <c r="C9632" s="19">
        <v>3</v>
      </c>
      <c r="D9632" s="19">
        <v>2.3243999999999994</v>
      </c>
    </row>
    <row r="9633" spans="1:4" x14ac:dyDescent="0.2">
      <c r="A9633" s="19" t="s">
        <v>164</v>
      </c>
      <c r="B9633" s="19">
        <v>179.7</v>
      </c>
      <c r="C9633" s="19">
        <v>6</v>
      </c>
      <c r="D9633" s="19">
        <v>88.052999999999997</v>
      </c>
    </row>
    <row r="9634" spans="1:4" x14ac:dyDescent="0.2">
      <c r="A9634" s="19" t="s">
        <v>160</v>
      </c>
      <c r="B9634" s="19">
        <v>90.64</v>
      </c>
      <c r="C9634" s="19">
        <v>8</v>
      </c>
      <c r="D9634" s="19">
        <v>38.975200000000008</v>
      </c>
    </row>
    <row r="9635" spans="1:4" x14ac:dyDescent="0.2">
      <c r="A9635" s="19" t="s">
        <v>180</v>
      </c>
      <c r="B9635" s="19">
        <v>177</v>
      </c>
      <c r="C9635" s="19">
        <v>3</v>
      </c>
      <c r="D9635" s="19">
        <v>30.089999999999982</v>
      </c>
    </row>
    <row r="9636" spans="1:4" x14ac:dyDescent="0.2">
      <c r="A9636" s="19" t="s">
        <v>180</v>
      </c>
      <c r="B9636" s="19">
        <v>79.45</v>
      </c>
      <c r="C9636" s="19">
        <v>7</v>
      </c>
      <c r="D9636" s="19">
        <v>22.246000000000006</v>
      </c>
    </row>
    <row r="9637" spans="1:4" x14ac:dyDescent="0.2">
      <c r="A9637" s="19" t="s">
        <v>180</v>
      </c>
      <c r="B9637" s="19">
        <v>1628.82</v>
      </c>
      <c r="C9637" s="19">
        <v>9</v>
      </c>
      <c r="D9637" s="19">
        <v>260.61120000000017</v>
      </c>
    </row>
    <row r="9638" spans="1:4" x14ac:dyDescent="0.2">
      <c r="A9638" s="19" t="s">
        <v>153</v>
      </c>
      <c r="B9638" s="19">
        <v>137.54</v>
      </c>
      <c r="C9638" s="19">
        <v>2</v>
      </c>
      <c r="D9638" s="19">
        <v>55.016000000000005</v>
      </c>
    </row>
    <row r="9639" spans="1:4" x14ac:dyDescent="0.2">
      <c r="A9639" s="19" t="s">
        <v>153</v>
      </c>
      <c r="B9639" s="19">
        <v>730.2</v>
      </c>
      <c r="C9639" s="19">
        <v>4</v>
      </c>
      <c r="D9639" s="19">
        <v>94.926000000000045</v>
      </c>
    </row>
    <row r="9640" spans="1:4" x14ac:dyDescent="0.2">
      <c r="A9640" s="19" t="s">
        <v>150</v>
      </c>
      <c r="B9640" s="19">
        <v>11.56</v>
      </c>
      <c r="C9640" s="19">
        <v>2</v>
      </c>
      <c r="D9640" s="19">
        <v>5.6644000000000005</v>
      </c>
    </row>
    <row r="9641" spans="1:4" x14ac:dyDescent="0.2">
      <c r="A9641" s="19" t="s">
        <v>152</v>
      </c>
      <c r="B9641" s="19">
        <v>4297.6440000000002</v>
      </c>
      <c r="C9641" s="19">
        <v>13</v>
      </c>
      <c r="D9641" s="19">
        <v>-1862.3124000000003</v>
      </c>
    </row>
    <row r="9642" spans="1:4" x14ac:dyDescent="0.2">
      <c r="A9642" s="19" t="s">
        <v>153</v>
      </c>
      <c r="B9642" s="19">
        <v>20.65</v>
      </c>
      <c r="C9642" s="19">
        <v>5</v>
      </c>
      <c r="D9642" s="19">
        <v>9.4989999999999988</v>
      </c>
    </row>
    <row r="9643" spans="1:4" x14ac:dyDescent="0.2">
      <c r="A9643" s="19" t="s">
        <v>153</v>
      </c>
      <c r="B9643" s="19">
        <v>204.89999999999998</v>
      </c>
      <c r="C9643" s="19">
        <v>5</v>
      </c>
      <c r="D9643" s="19">
        <v>0</v>
      </c>
    </row>
    <row r="9644" spans="1:4" x14ac:dyDescent="0.2">
      <c r="A9644" s="19" t="s">
        <v>153</v>
      </c>
      <c r="B9644" s="19">
        <v>436.70400000000006</v>
      </c>
      <c r="C9644" s="19">
        <v>6</v>
      </c>
      <c r="D9644" s="19">
        <v>21.835199999999986</v>
      </c>
    </row>
    <row r="9645" spans="1:4" x14ac:dyDescent="0.2">
      <c r="A9645" s="19" t="s">
        <v>153</v>
      </c>
      <c r="B9645" s="19">
        <v>481.56800000000004</v>
      </c>
      <c r="C9645" s="19">
        <v>2</v>
      </c>
      <c r="D9645" s="19">
        <v>54.17639999999993</v>
      </c>
    </row>
    <row r="9646" spans="1:4" x14ac:dyDescent="0.2">
      <c r="A9646" s="19" t="s">
        <v>165</v>
      </c>
      <c r="B9646" s="19">
        <v>89.544000000000011</v>
      </c>
      <c r="C9646" s="19">
        <v>7</v>
      </c>
      <c r="D9646" s="19">
        <v>12.312299999999993</v>
      </c>
    </row>
    <row r="9647" spans="1:4" x14ac:dyDescent="0.2">
      <c r="A9647" s="19" t="s">
        <v>165</v>
      </c>
      <c r="B9647" s="19">
        <v>35.167999999999999</v>
      </c>
      <c r="C9647" s="19">
        <v>2</v>
      </c>
      <c r="D9647" s="19">
        <v>-8.3524000000000012</v>
      </c>
    </row>
    <row r="9648" spans="1:4" x14ac:dyDescent="0.2">
      <c r="A9648" s="19" t="s">
        <v>165</v>
      </c>
      <c r="B9648" s="19">
        <v>72.588000000000008</v>
      </c>
      <c r="C9648" s="19">
        <v>2</v>
      </c>
      <c r="D9648" s="19">
        <v>-48.391999999999982</v>
      </c>
    </row>
    <row r="9649" spans="1:4" x14ac:dyDescent="0.2">
      <c r="A9649" s="19" t="s">
        <v>160</v>
      </c>
      <c r="B9649" s="19">
        <v>221.16</v>
      </c>
      <c r="C9649" s="19">
        <v>4</v>
      </c>
      <c r="D9649" s="19">
        <v>57.501599999999996</v>
      </c>
    </row>
    <row r="9650" spans="1:4" x14ac:dyDescent="0.2">
      <c r="A9650" s="19" t="s">
        <v>160</v>
      </c>
      <c r="B9650" s="19">
        <v>281.96999999999997</v>
      </c>
      <c r="C9650" s="19">
        <v>3</v>
      </c>
      <c r="D9650" s="19">
        <v>78.951599999999999</v>
      </c>
    </row>
    <row r="9651" spans="1:4" x14ac:dyDescent="0.2">
      <c r="A9651" s="19" t="s">
        <v>150</v>
      </c>
      <c r="B9651" s="19">
        <v>3406.6640000000002</v>
      </c>
      <c r="C9651" s="19">
        <v>8</v>
      </c>
      <c r="D9651" s="19">
        <v>160.31359999999984</v>
      </c>
    </row>
    <row r="9652" spans="1:4" x14ac:dyDescent="0.2">
      <c r="A9652" s="19" t="s">
        <v>150</v>
      </c>
      <c r="B9652" s="19">
        <v>37.17</v>
      </c>
      <c r="C9652" s="19">
        <v>9</v>
      </c>
      <c r="D9652" s="19">
        <v>10.4076</v>
      </c>
    </row>
    <row r="9653" spans="1:4" x14ac:dyDescent="0.2">
      <c r="A9653" s="19" t="s">
        <v>150</v>
      </c>
      <c r="B9653" s="19">
        <v>64.959999999999994</v>
      </c>
      <c r="C9653" s="19">
        <v>2</v>
      </c>
      <c r="D9653" s="19">
        <v>19.487999999999992</v>
      </c>
    </row>
    <row r="9654" spans="1:4" x14ac:dyDescent="0.2">
      <c r="A9654" s="19" t="s">
        <v>150</v>
      </c>
      <c r="B9654" s="19">
        <v>595.38</v>
      </c>
      <c r="C9654" s="19">
        <v>6</v>
      </c>
      <c r="D9654" s="19">
        <v>297.69</v>
      </c>
    </row>
    <row r="9655" spans="1:4" x14ac:dyDescent="0.2">
      <c r="A9655" s="19" t="s">
        <v>165</v>
      </c>
      <c r="B9655" s="19">
        <v>95.984000000000009</v>
      </c>
      <c r="C9655" s="19">
        <v>2</v>
      </c>
      <c r="D9655" s="19">
        <v>11.997999999999998</v>
      </c>
    </row>
    <row r="9656" spans="1:4" x14ac:dyDescent="0.2">
      <c r="A9656" s="19" t="s">
        <v>165</v>
      </c>
      <c r="B9656" s="19">
        <v>4.9380000000000006</v>
      </c>
      <c r="C9656" s="19">
        <v>2</v>
      </c>
      <c r="D9656" s="19">
        <v>-3.6212</v>
      </c>
    </row>
    <row r="9657" spans="1:4" x14ac:dyDescent="0.2">
      <c r="A9657" s="19" t="s">
        <v>164</v>
      </c>
      <c r="B9657" s="19">
        <v>97.44</v>
      </c>
      <c r="C9657" s="19">
        <v>3</v>
      </c>
      <c r="D9657" s="19">
        <v>35.078399999999995</v>
      </c>
    </row>
    <row r="9658" spans="1:4" x14ac:dyDescent="0.2">
      <c r="A9658" s="19" t="s">
        <v>164</v>
      </c>
      <c r="B9658" s="19">
        <v>3.9840000000000004</v>
      </c>
      <c r="C9658" s="19">
        <v>1</v>
      </c>
      <c r="D9658" s="19">
        <v>1.3944000000000001</v>
      </c>
    </row>
    <row r="9659" spans="1:4" x14ac:dyDescent="0.2">
      <c r="A9659" s="19" t="s">
        <v>164</v>
      </c>
      <c r="B9659" s="19">
        <v>13.04</v>
      </c>
      <c r="C9659" s="19">
        <v>4</v>
      </c>
      <c r="D9659" s="19">
        <v>5.7376000000000005</v>
      </c>
    </row>
    <row r="9660" spans="1:4" x14ac:dyDescent="0.2">
      <c r="A9660" s="19" t="s">
        <v>164</v>
      </c>
      <c r="B9660" s="19">
        <v>579.52800000000002</v>
      </c>
      <c r="C9660" s="19">
        <v>4</v>
      </c>
      <c r="D9660" s="19">
        <v>83.709599999999966</v>
      </c>
    </row>
    <row r="9661" spans="1:4" x14ac:dyDescent="0.2">
      <c r="A9661" s="19" t="s">
        <v>150</v>
      </c>
      <c r="B9661" s="19">
        <v>18.75</v>
      </c>
      <c r="C9661" s="19">
        <v>5</v>
      </c>
      <c r="D9661" s="19">
        <v>9</v>
      </c>
    </row>
    <row r="9662" spans="1:4" x14ac:dyDescent="0.2">
      <c r="A9662" s="19" t="s">
        <v>150</v>
      </c>
      <c r="B9662" s="19">
        <v>3023.9280000000003</v>
      </c>
      <c r="C9662" s="19">
        <v>9</v>
      </c>
      <c r="D9662" s="19">
        <v>226.79460000000006</v>
      </c>
    </row>
    <row r="9663" spans="1:4" x14ac:dyDescent="0.2">
      <c r="A9663" s="19" t="s">
        <v>150</v>
      </c>
      <c r="B9663" s="19">
        <v>26.96</v>
      </c>
      <c r="C9663" s="19">
        <v>2</v>
      </c>
      <c r="D9663" s="19">
        <v>3.7744</v>
      </c>
    </row>
    <row r="9664" spans="1:4" x14ac:dyDescent="0.2">
      <c r="A9664" s="19" t="s">
        <v>150</v>
      </c>
      <c r="B9664" s="19">
        <v>477.6</v>
      </c>
      <c r="C9664" s="19">
        <v>3</v>
      </c>
      <c r="D9664" s="19">
        <v>161.19000000000003</v>
      </c>
    </row>
    <row r="9665" spans="1:4" x14ac:dyDescent="0.2">
      <c r="A9665" s="19" t="s">
        <v>150</v>
      </c>
      <c r="B9665" s="19">
        <v>193.95000000000002</v>
      </c>
      <c r="C9665" s="19">
        <v>3</v>
      </c>
      <c r="D9665" s="19">
        <v>9.6974999999999838</v>
      </c>
    </row>
    <row r="9666" spans="1:4" x14ac:dyDescent="0.2">
      <c r="A9666" s="19" t="s">
        <v>150</v>
      </c>
      <c r="B9666" s="19">
        <v>12.96</v>
      </c>
      <c r="C9666" s="19">
        <v>2</v>
      </c>
      <c r="D9666" s="19">
        <v>6.2208000000000006</v>
      </c>
    </row>
    <row r="9667" spans="1:4" x14ac:dyDescent="0.2">
      <c r="A9667" s="19" t="s">
        <v>150</v>
      </c>
      <c r="B9667" s="19">
        <v>119.94</v>
      </c>
      <c r="C9667" s="19">
        <v>3</v>
      </c>
      <c r="D9667" s="19">
        <v>23.987999999999996</v>
      </c>
    </row>
    <row r="9668" spans="1:4" x14ac:dyDescent="0.2">
      <c r="A9668" s="19" t="s">
        <v>150</v>
      </c>
      <c r="B9668" s="19">
        <v>12.419999999999998</v>
      </c>
      <c r="C9668" s="19">
        <v>3</v>
      </c>
      <c r="D9668" s="19">
        <v>4.4711999999999996</v>
      </c>
    </row>
    <row r="9669" spans="1:4" x14ac:dyDescent="0.2">
      <c r="A9669" s="19" t="s">
        <v>150</v>
      </c>
      <c r="B9669" s="19">
        <v>18.088000000000001</v>
      </c>
      <c r="C9669" s="19">
        <v>7</v>
      </c>
      <c r="D9669" s="19">
        <v>6.5569000000000006</v>
      </c>
    </row>
    <row r="9670" spans="1:4" x14ac:dyDescent="0.2">
      <c r="A9670" s="19" t="s">
        <v>150</v>
      </c>
      <c r="B9670" s="19">
        <v>71.97</v>
      </c>
      <c r="C9670" s="19">
        <v>3</v>
      </c>
      <c r="D9670" s="19">
        <v>35.984999999999999</v>
      </c>
    </row>
    <row r="9671" spans="1:4" x14ac:dyDescent="0.2">
      <c r="A9671" s="19" t="s">
        <v>168</v>
      </c>
      <c r="B9671" s="19">
        <v>14.940000000000001</v>
      </c>
      <c r="C9671" s="19">
        <v>3</v>
      </c>
      <c r="D9671" s="19">
        <v>6.8723999999999998</v>
      </c>
    </row>
    <row r="9672" spans="1:4" x14ac:dyDescent="0.2">
      <c r="A9672" s="19" t="s">
        <v>152</v>
      </c>
      <c r="B9672" s="19">
        <v>64.680000000000007</v>
      </c>
      <c r="C9672" s="19">
        <v>7</v>
      </c>
      <c r="D9672" s="19">
        <v>8.0849999999999973</v>
      </c>
    </row>
    <row r="9673" spans="1:4" x14ac:dyDescent="0.2">
      <c r="A9673" s="19" t="s">
        <v>150</v>
      </c>
      <c r="B9673" s="19">
        <v>22</v>
      </c>
      <c r="C9673" s="19">
        <v>5</v>
      </c>
      <c r="D9673" s="19">
        <v>1.375</v>
      </c>
    </row>
    <row r="9674" spans="1:4" x14ac:dyDescent="0.2">
      <c r="A9674" s="19" t="s">
        <v>158</v>
      </c>
      <c r="B9674" s="19">
        <v>7.9680000000000009</v>
      </c>
      <c r="C9674" s="19">
        <v>2</v>
      </c>
      <c r="D9674" s="19">
        <v>2.6892000000000005</v>
      </c>
    </row>
    <row r="9675" spans="1:4" x14ac:dyDescent="0.2">
      <c r="A9675" s="19" t="s">
        <v>158</v>
      </c>
      <c r="B9675" s="19">
        <v>1499.9699999999998</v>
      </c>
      <c r="C9675" s="19">
        <v>5</v>
      </c>
      <c r="D9675" s="19">
        <v>-374.99250000000006</v>
      </c>
    </row>
    <row r="9676" spans="1:4" x14ac:dyDescent="0.2">
      <c r="A9676" s="19" t="s">
        <v>154</v>
      </c>
      <c r="B9676" s="19">
        <v>26.632000000000001</v>
      </c>
      <c r="C9676" s="19">
        <v>1</v>
      </c>
      <c r="D9676" s="19">
        <v>1.331599999999999</v>
      </c>
    </row>
    <row r="9677" spans="1:4" x14ac:dyDescent="0.2">
      <c r="A9677" s="19" t="s">
        <v>150</v>
      </c>
      <c r="B9677" s="19">
        <v>41.6</v>
      </c>
      <c r="C9677" s="19">
        <v>4</v>
      </c>
      <c r="D9677" s="19">
        <v>14.143999999999998</v>
      </c>
    </row>
    <row r="9678" spans="1:4" x14ac:dyDescent="0.2">
      <c r="A9678" s="19" t="s">
        <v>163</v>
      </c>
      <c r="B9678" s="19">
        <v>64.02</v>
      </c>
      <c r="C9678" s="19">
        <v>6</v>
      </c>
      <c r="D9678" s="19">
        <v>29.449199999999998</v>
      </c>
    </row>
    <row r="9679" spans="1:4" x14ac:dyDescent="0.2">
      <c r="A9679" s="19" t="s">
        <v>164</v>
      </c>
      <c r="B9679" s="19">
        <v>6.99</v>
      </c>
      <c r="C9679" s="19">
        <v>3</v>
      </c>
      <c r="D9679" s="19">
        <v>2.027099999999999</v>
      </c>
    </row>
    <row r="9680" spans="1:4" x14ac:dyDescent="0.2">
      <c r="A9680" s="19" t="s">
        <v>164</v>
      </c>
      <c r="B9680" s="19">
        <v>6.84</v>
      </c>
      <c r="C9680" s="19">
        <v>1</v>
      </c>
      <c r="D9680" s="19">
        <v>1.8468</v>
      </c>
    </row>
    <row r="9681" spans="1:4" x14ac:dyDescent="0.2">
      <c r="A9681" s="19" t="s">
        <v>150</v>
      </c>
      <c r="B9681" s="19">
        <v>323.10000000000002</v>
      </c>
      <c r="C9681" s="19">
        <v>2</v>
      </c>
      <c r="D9681" s="19">
        <v>61.38900000000001</v>
      </c>
    </row>
    <row r="9682" spans="1:4" x14ac:dyDescent="0.2">
      <c r="A9682" s="19" t="s">
        <v>150</v>
      </c>
      <c r="B9682" s="19">
        <v>668.16</v>
      </c>
      <c r="C9682" s="19">
        <v>9</v>
      </c>
      <c r="D9682" s="19">
        <v>75.167999999999921</v>
      </c>
    </row>
    <row r="9683" spans="1:4" x14ac:dyDescent="0.2">
      <c r="A9683" s="19" t="s">
        <v>150</v>
      </c>
      <c r="B9683" s="19">
        <v>8.64</v>
      </c>
      <c r="C9683" s="19">
        <v>3</v>
      </c>
      <c r="D9683" s="19">
        <v>4.2336</v>
      </c>
    </row>
    <row r="9684" spans="1:4" x14ac:dyDescent="0.2">
      <c r="A9684" s="19" t="s">
        <v>150</v>
      </c>
      <c r="B9684" s="19">
        <v>38.880000000000003</v>
      </c>
      <c r="C9684" s="19">
        <v>6</v>
      </c>
      <c r="D9684" s="19">
        <v>18.662400000000002</v>
      </c>
    </row>
    <row r="9685" spans="1:4" x14ac:dyDescent="0.2">
      <c r="A9685" s="19" t="s">
        <v>150</v>
      </c>
      <c r="B9685" s="19">
        <v>201.04</v>
      </c>
      <c r="C9685" s="19">
        <v>8</v>
      </c>
      <c r="D9685" s="19">
        <v>54.280799999999999</v>
      </c>
    </row>
    <row r="9686" spans="1:4" x14ac:dyDescent="0.2">
      <c r="A9686" s="19" t="s">
        <v>150</v>
      </c>
      <c r="B9686" s="19">
        <v>12.96</v>
      </c>
      <c r="C9686" s="19">
        <v>2</v>
      </c>
      <c r="D9686" s="19">
        <v>6.3504000000000005</v>
      </c>
    </row>
    <row r="9687" spans="1:4" x14ac:dyDescent="0.2">
      <c r="A9687" s="19" t="s">
        <v>150</v>
      </c>
      <c r="B9687" s="19">
        <v>16.59</v>
      </c>
      <c r="C9687" s="19">
        <v>1</v>
      </c>
      <c r="D9687" s="19">
        <v>5.8064999999999998</v>
      </c>
    </row>
    <row r="9688" spans="1:4" x14ac:dyDescent="0.2">
      <c r="A9688" s="19" t="s">
        <v>150</v>
      </c>
      <c r="B9688" s="19">
        <v>35.099999999999994</v>
      </c>
      <c r="C9688" s="19">
        <v>6</v>
      </c>
      <c r="D9688" s="19">
        <v>10.178999999999997</v>
      </c>
    </row>
    <row r="9689" spans="1:4" x14ac:dyDescent="0.2">
      <c r="A9689" s="19" t="s">
        <v>154</v>
      </c>
      <c r="B9689" s="19">
        <v>11.645999999999997</v>
      </c>
      <c r="C9689" s="19">
        <v>9</v>
      </c>
      <c r="D9689" s="19">
        <v>-17.469000000000005</v>
      </c>
    </row>
    <row r="9690" spans="1:4" x14ac:dyDescent="0.2">
      <c r="A9690" s="19" t="s">
        <v>166</v>
      </c>
      <c r="B9690" s="19">
        <v>32.400000000000006</v>
      </c>
      <c r="C9690" s="19">
        <v>5</v>
      </c>
      <c r="D9690" s="19">
        <v>15.552000000000001</v>
      </c>
    </row>
    <row r="9691" spans="1:4" x14ac:dyDescent="0.2">
      <c r="A9691" s="19" t="s">
        <v>166</v>
      </c>
      <c r="B9691" s="19">
        <v>503.96</v>
      </c>
      <c r="C9691" s="19">
        <v>4</v>
      </c>
      <c r="D9691" s="19">
        <v>125.99000000000001</v>
      </c>
    </row>
    <row r="9692" spans="1:4" x14ac:dyDescent="0.2">
      <c r="A9692" s="19" t="s">
        <v>164</v>
      </c>
      <c r="B9692" s="19">
        <v>7.04</v>
      </c>
      <c r="C9692" s="19">
        <v>4</v>
      </c>
      <c r="D9692" s="19">
        <v>2.0415999999999999</v>
      </c>
    </row>
    <row r="9693" spans="1:4" x14ac:dyDescent="0.2">
      <c r="A9693" s="19" t="s">
        <v>154</v>
      </c>
      <c r="B9693" s="19">
        <v>613.99919999999997</v>
      </c>
      <c r="C9693" s="19">
        <v>3</v>
      </c>
      <c r="D9693" s="19">
        <v>-18.058800000000076</v>
      </c>
    </row>
    <row r="9694" spans="1:4" x14ac:dyDescent="0.2">
      <c r="A9694" s="19" t="s">
        <v>178</v>
      </c>
      <c r="B9694" s="19">
        <v>470.35999999999996</v>
      </c>
      <c r="C9694" s="19">
        <v>11</v>
      </c>
      <c r="D9694" s="19">
        <v>122.2936</v>
      </c>
    </row>
    <row r="9695" spans="1:4" x14ac:dyDescent="0.2">
      <c r="A9695" s="19" t="s">
        <v>150</v>
      </c>
      <c r="B9695" s="19">
        <v>31.08</v>
      </c>
      <c r="C9695" s="19">
        <v>6</v>
      </c>
      <c r="D9695" s="19">
        <v>15.229199999999999</v>
      </c>
    </row>
    <row r="9696" spans="1:4" x14ac:dyDescent="0.2">
      <c r="A9696" s="19" t="s">
        <v>150</v>
      </c>
      <c r="B9696" s="19">
        <v>7.3</v>
      </c>
      <c r="C9696" s="19">
        <v>2</v>
      </c>
      <c r="D9696" s="19">
        <v>2.1899999999999995</v>
      </c>
    </row>
    <row r="9697" spans="1:4" x14ac:dyDescent="0.2">
      <c r="A9697" s="19" t="s">
        <v>173</v>
      </c>
      <c r="B9697" s="19">
        <v>73.536000000000001</v>
      </c>
      <c r="C9697" s="19">
        <v>4</v>
      </c>
      <c r="D9697" s="19">
        <v>9.1919999999999931</v>
      </c>
    </row>
    <row r="9698" spans="1:4" x14ac:dyDescent="0.2">
      <c r="A9698" s="19" t="s">
        <v>161</v>
      </c>
      <c r="B9698" s="19">
        <v>491.55</v>
      </c>
      <c r="C9698" s="19">
        <v>5</v>
      </c>
      <c r="D9698" s="19">
        <v>240.8595</v>
      </c>
    </row>
    <row r="9699" spans="1:4" x14ac:dyDescent="0.2">
      <c r="A9699" s="19" t="s">
        <v>158</v>
      </c>
      <c r="B9699" s="19">
        <v>30.336000000000002</v>
      </c>
      <c r="C9699" s="19">
        <v>4</v>
      </c>
      <c r="D9699" s="19">
        <v>9.48</v>
      </c>
    </row>
    <row r="9700" spans="1:4" x14ac:dyDescent="0.2">
      <c r="A9700" s="19" t="s">
        <v>150</v>
      </c>
      <c r="B9700" s="19">
        <v>22.830000000000002</v>
      </c>
      <c r="C9700" s="19">
        <v>3</v>
      </c>
      <c r="D9700" s="19">
        <v>10.7301</v>
      </c>
    </row>
    <row r="9701" spans="1:4" x14ac:dyDescent="0.2">
      <c r="A9701" s="19" t="s">
        <v>150</v>
      </c>
      <c r="B9701" s="19">
        <v>54.32</v>
      </c>
      <c r="C9701" s="19">
        <v>4</v>
      </c>
      <c r="D9701" s="19">
        <v>16.295999999999999</v>
      </c>
    </row>
    <row r="9702" spans="1:4" x14ac:dyDescent="0.2">
      <c r="A9702" s="19" t="s">
        <v>150</v>
      </c>
      <c r="B9702" s="19">
        <v>196.77600000000001</v>
      </c>
      <c r="C9702" s="19">
        <v>3</v>
      </c>
      <c r="D9702" s="19">
        <v>14.758199999999995</v>
      </c>
    </row>
    <row r="9703" spans="1:4" x14ac:dyDescent="0.2">
      <c r="A9703" s="19" t="s">
        <v>150</v>
      </c>
      <c r="B9703" s="19">
        <v>3.62</v>
      </c>
      <c r="C9703" s="19">
        <v>2</v>
      </c>
      <c r="D9703" s="19">
        <v>1.1945999999999999</v>
      </c>
    </row>
    <row r="9704" spans="1:4" x14ac:dyDescent="0.2">
      <c r="A9704" s="19" t="s">
        <v>162</v>
      </c>
      <c r="B9704" s="19">
        <v>11.54</v>
      </c>
      <c r="C9704" s="19">
        <v>1</v>
      </c>
      <c r="D9704" s="19">
        <v>5.5391999999999992</v>
      </c>
    </row>
    <row r="9705" spans="1:4" x14ac:dyDescent="0.2">
      <c r="A9705" s="19" t="s">
        <v>162</v>
      </c>
      <c r="B9705" s="19">
        <v>849.95</v>
      </c>
      <c r="C9705" s="19">
        <v>5</v>
      </c>
      <c r="D9705" s="19">
        <v>390.97699999999998</v>
      </c>
    </row>
    <row r="9706" spans="1:4" x14ac:dyDescent="0.2">
      <c r="A9706" s="19" t="s">
        <v>162</v>
      </c>
      <c r="B9706" s="19">
        <v>11.01</v>
      </c>
      <c r="C9706" s="19">
        <v>3</v>
      </c>
      <c r="D9706" s="19">
        <v>5.3948999999999998</v>
      </c>
    </row>
    <row r="9707" spans="1:4" x14ac:dyDescent="0.2">
      <c r="A9707" s="19" t="s">
        <v>150</v>
      </c>
      <c r="B9707" s="19">
        <v>39.624000000000009</v>
      </c>
      <c r="C9707" s="19">
        <v>3</v>
      </c>
      <c r="D9707" s="19">
        <v>13.868400000000001</v>
      </c>
    </row>
    <row r="9708" spans="1:4" x14ac:dyDescent="0.2">
      <c r="A9708" s="19" t="s">
        <v>150</v>
      </c>
      <c r="B9708" s="19">
        <v>242.13600000000002</v>
      </c>
      <c r="C9708" s="19">
        <v>3</v>
      </c>
      <c r="D9708" s="19">
        <v>12.106799999999993</v>
      </c>
    </row>
    <row r="9709" spans="1:4" x14ac:dyDescent="0.2">
      <c r="A9709" s="19" t="s">
        <v>150</v>
      </c>
      <c r="B9709" s="19">
        <v>12.39</v>
      </c>
      <c r="C9709" s="19">
        <v>3</v>
      </c>
      <c r="D9709" s="19">
        <v>5.6993999999999998</v>
      </c>
    </row>
    <row r="9710" spans="1:4" x14ac:dyDescent="0.2">
      <c r="A9710" s="19" t="s">
        <v>150</v>
      </c>
      <c r="B9710" s="19">
        <v>19.96</v>
      </c>
      <c r="C9710" s="19">
        <v>2</v>
      </c>
      <c r="D9710" s="19">
        <v>5.5888000000000009</v>
      </c>
    </row>
    <row r="9711" spans="1:4" x14ac:dyDescent="0.2">
      <c r="A9711" s="19" t="s">
        <v>150</v>
      </c>
      <c r="B9711" s="19">
        <v>340.92</v>
      </c>
      <c r="C9711" s="19">
        <v>3</v>
      </c>
      <c r="D9711" s="19">
        <v>3.4091999999999842</v>
      </c>
    </row>
    <row r="9712" spans="1:4" x14ac:dyDescent="0.2">
      <c r="A9712" s="19" t="s">
        <v>158</v>
      </c>
      <c r="B9712" s="19">
        <v>273.56799999999998</v>
      </c>
      <c r="C9712" s="19">
        <v>2</v>
      </c>
      <c r="D9712" s="19">
        <v>-34.196000000000026</v>
      </c>
    </row>
    <row r="9713" spans="1:4" x14ac:dyDescent="0.2">
      <c r="A9713" s="19" t="s">
        <v>158</v>
      </c>
      <c r="B9713" s="19">
        <v>13.194000000000001</v>
      </c>
      <c r="C9713" s="19">
        <v>2</v>
      </c>
      <c r="D9713" s="19">
        <v>-8.7959999999999958</v>
      </c>
    </row>
    <row r="9714" spans="1:4" x14ac:dyDescent="0.2">
      <c r="A9714" s="19" t="s">
        <v>158</v>
      </c>
      <c r="B9714" s="19">
        <v>1080.096</v>
      </c>
      <c r="C9714" s="19">
        <v>6</v>
      </c>
      <c r="D9714" s="19">
        <v>-94.508399999999995</v>
      </c>
    </row>
    <row r="9715" spans="1:4" x14ac:dyDescent="0.2">
      <c r="A9715" s="19" t="s">
        <v>158</v>
      </c>
      <c r="B9715" s="19">
        <v>51.56</v>
      </c>
      <c r="C9715" s="19">
        <v>5</v>
      </c>
      <c r="D9715" s="19">
        <v>-6.4450000000000021</v>
      </c>
    </row>
    <row r="9716" spans="1:4" x14ac:dyDescent="0.2">
      <c r="A9716" s="19" t="s">
        <v>158</v>
      </c>
      <c r="B9716" s="19">
        <v>58.415999999999997</v>
      </c>
      <c r="C9716" s="19">
        <v>2</v>
      </c>
      <c r="D9716" s="19">
        <v>16.794600000000003</v>
      </c>
    </row>
    <row r="9717" spans="1:4" x14ac:dyDescent="0.2">
      <c r="A9717" s="19" t="s">
        <v>150</v>
      </c>
      <c r="B9717" s="19">
        <v>57.584000000000003</v>
      </c>
      <c r="C9717" s="19">
        <v>2</v>
      </c>
      <c r="D9717" s="19">
        <v>20.154400000000003</v>
      </c>
    </row>
    <row r="9718" spans="1:4" x14ac:dyDescent="0.2">
      <c r="A9718" s="19" t="s">
        <v>158</v>
      </c>
      <c r="B9718" s="19">
        <v>37.312000000000005</v>
      </c>
      <c r="C9718" s="19">
        <v>4</v>
      </c>
      <c r="D9718" s="19">
        <v>2.7984000000000027</v>
      </c>
    </row>
    <row r="9719" spans="1:4" x14ac:dyDescent="0.2">
      <c r="A9719" s="19" t="s">
        <v>154</v>
      </c>
      <c r="B9719" s="19">
        <v>79.959999999999994</v>
      </c>
      <c r="C9719" s="19">
        <v>5</v>
      </c>
      <c r="D9719" s="19">
        <v>7.9960000000000058</v>
      </c>
    </row>
    <row r="9720" spans="1:4" x14ac:dyDescent="0.2">
      <c r="A9720" s="19" t="s">
        <v>154</v>
      </c>
      <c r="B9720" s="19">
        <v>223.96</v>
      </c>
      <c r="C9720" s="19">
        <v>5</v>
      </c>
      <c r="D9720" s="19">
        <v>11.198000000000015</v>
      </c>
    </row>
    <row r="9721" spans="1:4" x14ac:dyDescent="0.2">
      <c r="A9721" s="19" t="s">
        <v>158</v>
      </c>
      <c r="B9721" s="19">
        <v>221.024</v>
      </c>
      <c r="C9721" s="19">
        <v>2</v>
      </c>
      <c r="D9721" s="19">
        <v>-55.256</v>
      </c>
    </row>
    <row r="9722" spans="1:4" x14ac:dyDescent="0.2">
      <c r="A9722" s="19" t="s">
        <v>155</v>
      </c>
      <c r="B9722" s="19">
        <v>18.96</v>
      </c>
      <c r="C9722" s="19">
        <v>2</v>
      </c>
      <c r="D9722" s="19">
        <v>7.5840000000000014</v>
      </c>
    </row>
    <row r="9723" spans="1:4" x14ac:dyDescent="0.2">
      <c r="A9723" s="19" t="s">
        <v>164</v>
      </c>
      <c r="B9723" s="19">
        <v>326.64600000000002</v>
      </c>
      <c r="C9723" s="19">
        <v>3</v>
      </c>
      <c r="D9723" s="19">
        <v>39.923399999999994</v>
      </c>
    </row>
    <row r="9724" spans="1:4" x14ac:dyDescent="0.2">
      <c r="A9724" s="19" t="s">
        <v>164</v>
      </c>
      <c r="B9724" s="19">
        <v>89.97</v>
      </c>
      <c r="C9724" s="19">
        <v>3</v>
      </c>
      <c r="D9724" s="19">
        <v>39.586800000000011</v>
      </c>
    </row>
    <row r="9725" spans="1:4" x14ac:dyDescent="0.2">
      <c r="A9725" s="19" t="s">
        <v>164</v>
      </c>
      <c r="B9725" s="19">
        <v>296.71200000000005</v>
      </c>
      <c r="C9725" s="19">
        <v>13</v>
      </c>
      <c r="D9725" s="19">
        <v>100.14029999999998</v>
      </c>
    </row>
    <row r="9726" spans="1:4" x14ac:dyDescent="0.2">
      <c r="A9726" s="19" t="s">
        <v>159</v>
      </c>
      <c r="B9726" s="19">
        <v>12.224</v>
      </c>
      <c r="C9726" s="19">
        <v>2</v>
      </c>
      <c r="D9726" s="19">
        <v>4.4311999999999996</v>
      </c>
    </row>
    <row r="9727" spans="1:4" x14ac:dyDescent="0.2">
      <c r="A9727" s="19" t="s">
        <v>193</v>
      </c>
      <c r="B9727" s="19">
        <v>89.97</v>
      </c>
      <c r="C9727" s="19">
        <v>3</v>
      </c>
      <c r="D9727" s="19">
        <v>37.787400000000005</v>
      </c>
    </row>
    <row r="9728" spans="1:4" x14ac:dyDescent="0.2">
      <c r="A9728" s="19" t="s">
        <v>180</v>
      </c>
      <c r="B9728" s="19">
        <v>286.85999999999996</v>
      </c>
      <c r="C9728" s="19">
        <v>7</v>
      </c>
      <c r="D9728" s="19">
        <v>80.320799999999991</v>
      </c>
    </row>
    <row r="9729" spans="1:4" x14ac:dyDescent="0.2">
      <c r="A9729" s="19" t="s">
        <v>180</v>
      </c>
      <c r="B9729" s="19">
        <v>979.95</v>
      </c>
      <c r="C9729" s="19">
        <v>5</v>
      </c>
      <c r="D9729" s="19">
        <v>284.18549999999993</v>
      </c>
    </row>
    <row r="9730" spans="1:4" x14ac:dyDescent="0.2">
      <c r="A9730" s="19" t="s">
        <v>180</v>
      </c>
      <c r="B9730" s="19">
        <v>4.3600000000000003</v>
      </c>
      <c r="C9730" s="19">
        <v>2</v>
      </c>
      <c r="D9730" s="19">
        <v>0.17439999999999944</v>
      </c>
    </row>
    <row r="9731" spans="1:4" x14ac:dyDescent="0.2">
      <c r="A9731" s="19" t="s">
        <v>153</v>
      </c>
      <c r="B9731" s="19">
        <v>10.048000000000002</v>
      </c>
      <c r="C9731" s="19">
        <v>2</v>
      </c>
      <c r="D9731" s="19">
        <v>3.1399999999999988</v>
      </c>
    </row>
    <row r="9732" spans="1:4" x14ac:dyDescent="0.2">
      <c r="A9732" s="19" t="s">
        <v>153</v>
      </c>
      <c r="B9732" s="19">
        <v>807.75</v>
      </c>
      <c r="C9732" s="19">
        <v>5</v>
      </c>
      <c r="D9732" s="19">
        <v>153.47250000000003</v>
      </c>
    </row>
    <row r="9733" spans="1:4" x14ac:dyDescent="0.2">
      <c r="A9733" s="19" t="s">
        <v>150</v>
      </c>
      <c r="B9733" s="19">
        <v>34.24</v>
      </c>
      <c r="C9733" s="19">
        <v>8</v>
      </c>
      <c r="D9733" s="19">
        <v>9.9295999999999971</v>
      </c>
    </row>
    <row r="9734" spans="1:4" x14ac:dyDescent="0.2">
      <c r="A9734" s="19" t="s">
        <v>166</v>
      </c>
      <c r="B9734" s="19">
        <v>500.23999999999995</v>
      </c>
      <c r="C9734" s="19">
        <v>13</v>
      </c>
      <c r="D9734" s="19">
        <v>145.06959999999992</v>
      </c>
    </row>
    <row r="9735" spans="1:4" x14ac:dyDescent="0.2">
      <c r="A9735" s="19" t="s">
        <v>166</v>
      </c>
      <c r="B9735" s="19">
        <v>20.12</v>
      </c>
      <c r="C9735" s="19">
        <v>2</v>
      </c>
      <c r="D9735" s="19">
        <v>9.2552000000000003</v>
      </c>
    </row>
    <row r="9736" spans="1:4" x14ac:dyDescent="0.2">
      <c r="A9736" s="19" t="s">
        <v>166</v>
      </c>
      <c r="B9736" s="19">
        <v>896.99</v>
      </c>
      <c r="C9736" s="19">
        <v>1</v>
      </c>
      <c r="D9736" s="19">
        <v>421.58529999999996</v>
      </c>
    </row>
    <row r="9737" spans="1:4" x14ac:dyDescent="0.2">
      <c r="A9737" s="19" t="s">
        <v>158</v>
      </c>
      <c r="B9737" s="19">
        <v>5.88</v>
      </c>
      <c r="C9737" s="19">
        <v>1</v>
      </c>
      <c r="D9737" s="19">
        <v>1.9844999999999995</v>
      </c>
    </row>
    <row r="9738" spans="1:4" x14ac:dyDescent="0.2">
      <c r="A9738" s="19" t="s">
        <v>157</v>
      </c>
      <c r="B9738" s="19">
        <v>269.98</v>
      </c>
      <c r="C9738" s="19">
        <v>2</v>
      </c>
      <c r="D9738" s="19">
        <v>72.894599999999997</v>
      </c>
    </row>
    <row r="9739" spans="1:4" x14ac:dyDescent="0.2">
      <c r="A9739" s="19" t="s">
        <v>150</v>
      </c>
      <c r="B9739" s="19">
        <v>310.12</v>
      </c>
      <c r="C9739" s="19">
        <v>2</v>
      </c>
      <c r="D9739" s="19">
        <v>80.631200000000007</v>
      </c>
    </row>
    <row r="9740" spans="1:4" x14ac:dyDescent="0.2">
      <c r="A9740" s="19" t="s">
        <v>150</v>
      </c>
      <c r="B9740" s="19">
        <v>70.463999999999999</v>
      </c>
      <c r="C9740" s="19">
        <v>6</v>
      </c>
      <c r="D9740" s="19">
        <v>22.900799999999997</v>
      </c>
    </row>
    <row r="9741" spans="1:4" x14ac:dyDescent="0.2">
      <c r="A9741" s="19" t="s">
        <v>150</v>
      </c>
      <c r="B9741" s="19">
        <v>19.68</v>
      </c>
      <c r="C9741" s="19">
        <v>5</v>
      </c>
      <c r="D9741" s="19">
        <v>6.8879999999999981</v>
      </c>
    </row>
    <row r="9742" spans="1:4" x14ac:dyDescent="0.2">
      <c r="A9742" s="19" t="s">
        <v>150</v>
      </c>
      <c r="B9742" s="19">
        <v>140.67000000000002</v>
      </c>
      <c r="C9742" s="19">
        <v>3</v>
      </c>
      <c r="D9742" s="19">
        <v>54.861300000000007</v>
      </c>
    </row>
    <row r="9743" spans="1:4" x14ac:dyDescent="0.2">
      <c r="A9743" s="19" t="s">
        <v>190</v>
      </c>
      <c r="B9743" s="19">
        <v>4404.8999999999996</v>
      </c>
      <c r="C9743" s="19">
        <v>5</v>
      </c>
      <c r="D9743" s="19">
        <v>1013.1270000000001</v>
      </c>
    </row>
    <row r="9744" spans="1:4" x14ac:dyDescent="0.2">
      <c r="A9744" s="19" t="s">
        <v>150</v>
      </c>
      <c r="B9744" s="19">
        <v>62.65</v>
      </c>
      <c r="C9744" s="19">
        <v>5</v>
      </c>
      <c r="D9744" s="19">
        <v>29.445499999999996</v>
      </c>
    </row>
    <row r="9745" spans="1:4" x14ac:dyDescent="0.2">
      <c r="A9745" s="19" t="s">
        <v>162</v>
      </c>
      <c r="B9745" s="19">
        <v>9.4499999999999993</v>
      </c>
      <c r="C9745" s="19">
        <v>3</v>
      </c>
      <c r="D9745" s="19">
        <v>4.5359999999999996</v>
      </c>
    </row>
    <row r="9746" spans="1:4" x14ac:dyDescent="0.2">
      <c r="A9746" s="19" t="s">
        <v>159</v>
      </c>
      <c r="B9746" s="19">
        <v>268.57600000000002</v>
      </c>
      <c r="C9746" s="19">
        <v>4</v>
      </c>
      <c r="D9746" s="19">
        <v>90.64439999999999</v>
      </c>
    </row>
    <row r="9747" spans="1:4" x14ac:dyDescent="0.2">
      <c r="A9747" s="19" t="s">
        <v>150</v>
      </c>
      <c r="B9747" s="19">
        <v>364.08000000000004</v>
      </c>
      <c r="C9747" s="19">
        <v>2</v>
      </c>
      <c r="D9747" s="19">
        <v>9.1020000000000039</v>
      </c>
    </row>
    <row r="9748" spans="1:4" x14ac:dyDescent="0.2">
      <c r="A9748" s="19" t="s">
        <v>150</v>
      </c>
      <c r="B9748" s="19">
        <v>71.088000000000008</v>
      </c>
      <c r="C9748" s="19">
        <v>2</v>
      </c>
      <c r="D9748" s="19">
        <v>-1.7772000000000041</v>
      </c>
    </row>
    <row r="9749" spans="1:4" x14ac:dyDescent="0.2">
      <c r="A9749" s="19" t="s">
        <v>159</v>
      </c>
      <c r="B9749" s="19">
        <v>10.984000000000002</v>
      </c>
      <c r="C9749" s="19">
        <v>2</v>
      </c>
      <c r="D9749" s="19">
        <v>-7.9634</v>
      </c>
    </row>
    <row r="9750" spans="1:4" x14ac:dyDescent="0.2">
      <c r="A9750" s="19" t="s">
        <v>159</v>
      </c>
      <c r="B9750" s="19">
        <v>797.94399999999996</v>
      </c>
      <c r="C9750" s="19">
        <v>4</v>
      </c>
      <c r="D9750" s="19">
        <v>-56.995999999999981</v>
      </c>
    </row>
    <row r="9751" spans="1:4" x14ac:dyDescent="0.2">
      <c r="A9751" s="19" t="s">
        <v>186</v>
      </c>
      <c r="B9751" s="19">
        <v>159.97999999999999</v>
      </c>
      <c r="C9751" s="19">
        <v>2</v>
      </c>
      <c r="D9751" s="19">
        <v>57.592799999999997</v>
      </c>
    </row>
    <row r="9752" spans="1:4" x14ac:dyDescent="0.2">
      <c r="A9752" s="19" t="s">
        <v>159</v>
      </c>
      <c r="B9752" s="19">
        <v>5.3440000000000003</v>
      </c>
      <c r="C9752" s="19">
        <v>2</v>
      </c>
      <c r="D9752" s="19">
        <v>0.66799999999999948</v>
      </c>
    </row>
    <row r="9753" spans="1:4" x14ac:dyDescent="0.2">
      <c r="A9753" s="19" t="s">
        <v>159</v>
      </c>
      <c r="B9753" s="19">
        <v>27.72</v>
      </c>
      <c r="C9753" s="19">
        <v>3</v>
      </c>
      <c r="D9753" s="19">
        <v>3.4649999999999999</v>
      </c>
    </row>
    <row r="9754" spans="1:4" x14ac:dyDescent="0.2">
      <c r="A9754" s="19" t="s">
        <v>153</v>
      </c>
      <c r="B9754" s="19">
        <v>2.4960000000000004</v>
      </c>
      <c r="C9754" s="19">
        <v>1</v>
      </c>
      <c r="D9754" s="19">
        <v>0.90479999999999983</v>
      </c>
    </row>
    <row r="9755" spans="1:4" x14ac:dyDescent="0.2">
      <c r="A9755" s="19" t="s">
        <v>166</v>
      </c>
      <c r="B9755" s="19">
        <v>8.26</v>
      </c>
      <c r="C9755" s="19">
        <v>2</v>
      </c>
      <c r="D9755" s="19">
        <v>3.7995999999999999</v>
      </c>
    </row>
    <row r="9756" spans="1:4" x14ac:dyDescent="0.2">
      <c r="A9756" s="19" t="s">
        <v>166</v>
      </c>
      <c r="B9756" s="19">
        <v>17.760000000000002</v>
      </c>
      <c r="C9756" s="19">
        <v>2</v>
      </c>
      <c r="D9756" s="19">
        <v>8.8800000000000008</v>
      </c>
    </row>
    <row r="9757" spans="1:4" x14ac:dyDescent="0.2">
      <c r="A9757" s="19" t="s">
        <v>166</v>
      </c>
      <c r="B9757" s="19">
        <v>332.94</v>
      </c>
      <c r="C9757" s="19">
        <v>3</v>
      </c>
      <c r="D9757" s="19">
        <v>9.9882000000000204</v>
      </c>
    </row>
    <row r="9758" spans="1:4" x14ac:dyDescent="0.2">
      <c r="A9758" s="19" t="s">
        <v>166</v>
      </c>
      <c r="B9758" s="19">
        <v>292.10000000000002</v>
      </c>
      <c r="C9758" s="19">
        <v>2</v>
      </c>
      <c r="D9758" s="19">
        <v>58.419999999999987</v>
      </c>
    </row>
    <row r="9759" spans="1:4" x14ac:dyDescent="0.2">
      <c r="A9759" s="19" t="s">
        <v>166</v>
      </c>
      <c r="B9759" s="19">
        <v>206.1</v>
      </c>
      <c r="C9759" s="19">
        <v>5</v>
      </c>
      <c r="D9759" s="19">
        <v>55.647000000000006</v>
      </c>
    </row>
    <row r="9760" spans="1:4" x14ac:dyDescent="0.2">
      <c r="A9760" s="19" t="s">
        <v>166</v>
      </c>
      <c r="B9760" s="19">
        <v>17.64</v>
      </c>
      <c r="C9760" s="19">
        <v>4</v>
      </c>
      <c r="D9760" s="19">
        <v>8.1143999999999998</v>
      </c>
    </row>
    <row r="9761" spans="1:4" x14ac:dyDescent="0.2">
      <c r="A9761" s="19" t="s">
        <v>150</v>
      </c>
      <c r="B9761" s="19">
        <v>1403.9200000000003</v>
      </c>
      <c r="C9761" s="19">
        <v>5</v>
      </c>
      <c r="D9761" s="19">
        <v>70.196000000000026</v>
      </c>
    </row>
    <row r="9762" spans="1:4" x14ac:dyDescent="0.2">
      <c r="A9762" s="19" t="s">
        <v>184</v>
      </c>
      <c r="B9762" s="19">
        <v>4.3</v>
      </c>
      <c r="C9762" s="19">
        <v>2</v>
      </c>
      <c r="D9762" s="19">
        <v>1.4189999999999996</v>
      </c>
    </row>
    <row r="9763" spans="1:4" x14ac:dyDescent="0.2">
      <c r="A9763" s="19" t="s">
        <v>153</v>
      </c>
      <c r="B9763" s="19">
        <v>239.96999999999997</v>
      </c>
      <c r="C9763" s="19">
        <v>3</v>
      </c>
      <c r="D9763" s="19">
        <v>86.389199999999988</v>
      </c>
    </row>
    <row r="9764" spans="1:4" x14ac:dyDescent="0.2">
      <c r="A9764" s="19" t="s">
        <v>153</v>
      </c>
      <c r="B9764" s="19">
        <v>81.96</v>
      </c>
      <c r="C9764" s="19">
        <v>2</v>
      </c>
      <c r="D9764" s="19">
        <v>22.948799999999999</v>
      </c>
    </row>
    <row r="9765" spans="1:4" x14ac:dyDescent="0.2">
      <c r="A9765" s="19" t="s">
        <v>153</v>
      </c>
      <c r="B9765" s="19">
        <v>238.62</v>
      </c>
      <c r="C9765" s="19">
        <v>2</v>
      </c>
      <c r="D9765" s="19">
        <v>4.7724000000000046</v>
      </c>
    </row>
    <row r="9766" spans="1:4" x14ac:dyDescent="0.2">
      <c r="A9766" s="19" t="s">
        <v>150</v>
      </c>
      <c r="B9766" s="19">
        <v>139.80000000000001</v>
      </c>
      <c r="C9766" s="19">
        <v>5</v>
      </c>
      <c r="D9766" s="19">
        <v>12.232500000000009</v>
      </c>
    </row>
    <row r="9767" spans="1:4" x14ac:dyDescent="0.2">
      <c r="A9767" s="19" t="s">
        <v>178</v>
      </c>
      <c r="B9767" s="19">
        <v>9.84</v>
      </c>
      <c r="C9767" s="19">
        <v>2</v>
      </c>
      <c r="D9767" s="19">
        <v>4.7231999999999994</v>
      </c>
    </row>
    <row r="9768" spans="1:4" x14ac:dyDescent="0.2">
      <c r="A9768" s="19" t="s">
        <v>178</v>
      </c>
      <c r="B9768" s="19">
        <v>7.78</v>
      </c>
      <c r="C9768" s="19">
        <v>1</v>
      </c>
      <c r="D9768" s="19">
        <v>3.5009999999999994</v>
      </c>
    </row>
    <row r="9769" spans="1:4" x14ac:dyDescent="0.2">
      <c r="A9769" s="19" t="s">
        <v>161</v>
      </c>
      <c r="B9769" s="19">
        <v>54.900000000000006</v>
      </c>
      <c r="C9769" s="19">
        <v>5</v>
      </c>
      <c r="D9769" s="19">
        <v>26.901000000000003</v>
      </c>
    </row>
    <row r="9770" spans="1:4" x14ac:dyDescent="0.2">
      <c r="A9770" s="19" t="s">
        <v>150</v>
      </c>
      <c r="B9770" s="19">
        <v>50.04</v>
      </c>
      <c r="C9770" s="19">
        <v>6</v>
      </c>
      <c r="D9770" s="19">
        <v>25.02</v>
      </c>
    </row>
    <row r="9771" spans="1:4" x14ac:dyDescent="0.2">
      <c r="A9771" s="19" t="s">
        <v>151</v>
      </c>
      <c r="B9771" s="19">
        <v>339.92000000000007</v>
      </c>
      <c r="C9771" s="19">
        <v>5</v>
      </c>
      <c r="D9771" s="19">
        <v>8.4979999999999762</v>
      </c>
    </row>
    <row r="9772" spans="1:4" x14ac:dyDescent="0.2">
      <c r="A9772" s="19" t="s">
        <v>151</v>
      </c>
      <c r="B9772" s="19">
        <v>10.528</v>
      </c>
      <c r="C9772" s="19">
        <v>4</v>
      </c>
      <c r="D9772" s="19">
        <v>3.4215999999999993</v>
      </c>
    </row>
    <row r="9773" spans="1:4" x14ac:dyDescent="0.2">
      <c r="A9773" s="19" t="s">
        <v>151</v>
      </c>
      <c r="B9773" s="19">
        <v>42.384</v>
      </c>
      <c r="C9773" s="19">
        <v>2</v>
      </c>
      <c r="D9773" s="19">
        <v>4.2384000000000022</v>
      </c>
    </row>
    <row r="9774" spans="1:4" x14ac:dyDescent="0.2">
      <c r="A9774" s="19" t="s">
        <v>158</v>
      </c>
      <c r="B9774" s="19">
        <v>123.92000000000002</v>
      </c>
      <c r="C9774" s="19">
        <v>5</v>
      </c>
      <c r="D9774" s="19">
        <v>38.724999999999994</v>
      </c>
    </row>
    <row r="9775" spans="1:4" x14ac:dyDescent="0.2">
      <c r="A9775" s="19" t="s">
        <v>101</v>
      </c>
      <c r="B9775" s="19">
        <v>135.94999999999999</v>
      </c>
      <c r="C9775" s="19">
        <v>1</v>
      </c>
      <c r="D9775" s="19">
        <v>39.425499999999985</v>
      </c>
    </row>
    <row r="9776" spans="1:4" x14ac:dyDescent="0.2">
      <c r="A9776" s="19" t="s">
        <v>154</v>
      </c>
      <c r="B9776" s="19">
        <v>2177.5839999999994</v>
      </c>
      <c r="C9776" s="19">
        <v>8</v>
      </c>
      <c r="D9776" s="19">
        <v>-3701.8928000000014</v>
      </c>
    </row>
    <row r="9777" spans="1:4" x14ac:dyDescent="0.2">
      <c r="A9777" s="19" t="s">
        <v>154</v>
      </c>
      <c r="B9777" s="19">
        <v>17.496000000000002</v>
      </c>
      <c r="C9777" s="19">
        <v>3</v>
      </c>
      <c r="D9777" s="19">
        <v>-10.060199999999998</v>
      </c>
    </row>
    <row r="9778" spans="1:4" x14ac:dyDescent="0.2">
      <c r="A9778" s="19" t="s">
        <v>154</v>
      </c>
      <c r="B9778" s="19">
        <v>16.783999999999995</v>
      </c>
      <c r="C9778" s="19">
        <v>4</v>
      </c>
      <c r="D9778" s="19">
        <v>-26.854400000000012</v>
      </c>
    </row>
    <row r="9779" spans="1:4" x14ac:dyDescent="0.2">
      <c r="A9779" s="19" t="s">
        <v>154</v>
      </c>
      <c r="B9779" s="19">
        <v>431.13600000000002</v>
      </c>
      <c r="C9779" s="19">
        <v>9</v>
      </c>
      <c r="D9779" s="19">
        <v>-26.946000000000012</v>
      </c>
    </row>
    <row r="9780" spans="1:4" x14ac:dyDescent="0.2">
      <c r="A9780" s="19" t="s">
        <v>154</v>
      </c>
      <c r="B9780" s="19">
        <v>8.879999999999999</v>
      </c>
      <c r="C9780" s="19">
        <v>5</v>
      </c>
      <c r="D9780" s="19">
        <v>-13.32</v>
      </c>
    </row>
    <row r="9781" spans="1:4" x14ac:dyDescent="0.2">
      <c r="A9781" s="19" t="s">
        <v>154</v>
      </c>
      <c r="B9781" s="19">
        <v>4.8359999999999985</v>
      </c>
      <c r="C9781" s="19">
        <v>2</v>
      </c>
      <c r="D9781" s="19">
        <v>-12.090000000000003</v>
      </c>
    </row>
    <row r="9782" spans="1:4" x14ac:dyDescent="0.2">
      <c r="A9782" s="19" t="s">
        <v>164</v>
      </c>
      <c r="B9782" s="19">
        <v>437.84999999999997</v>
      </c>
      <c r="C9782" s="19">
        <v>3</v>
      </c>
      <c r="D9782" s="19">
        <v>131.35499999999996</v>
      </c>
    </row>
    <row r="9783" spans="1:4" x14ac:dyDescent="0.2">
      <c r="A9783" s="19" t="s">
        <v>164</v>
      </c>
      <c r="B9783" s="19">
        <v>673.5680000000001</v>
      </c>
      <c r="C9783" s="19">
        <v>2</v>
      </c>
      <c r="D9783" s="19">
        <v>252.58799999999999</v>
      </c>
    </row>
    <row r="9784" spans="1:4" x14ac:dyDescent="0.2">
      <c r="A9784" s="19" t="s">
        <v>179</v>
      </c>
      <c r="B9784" s="19">
        <v>274.8</v>
      </c>
      <c r="C9784" s="19">
        <v>5</v>
      </c>
      <c r="D9784" s="19">
        <v>134.65199999999999</v>
      </c>
    </row>
    <row r="9785" spans="1:4" x14ac:dyDescent="0.2">
      <c r="A9785" s="19" t="s">
        <v>179</v>
      </c>
      <c r="B9785" s="19">
        <v>62.18</v>
      </c>
      <c r="C9785" s="19">
        <v>1</v>
      </c>
      <c r="D9785" s="19">
        <v>16.788600000000002</v>
      </c>
    </row>
    <row r="9786" spans="1:4" x14ac:dyDescent="0.2">
      <c r="A9786" s="19" t="s">
        <v>179</v>
      </c>
      <c r="B9786" s="19">
        <v>8.2799999999999994</v>
      </c>
      <c r="C9786" s="19">
        <v>2</v>
      </c>
      <c r="D9786" s="19">
        <v>2.9807999999999995</v>
      </c>
    </row>
    <row r="9787" spans="1:4" x14ac:dyDescent="0.2">
      <c r="A9787" s="19" t="s">
        <v>149</v>
      </c>
      <c r="B9787" s="19">
        <v>48.81</v>
      </c>
      <c r="C9787" s="19">
        <v>3</v>
      </c>
      <c r="D9787" s="19">
        <v>23.916899999999998</v>
      </c>
    </row>
    <row r="9788" spans="1:4" x14ac:dyDescent="0.2">
      <c r="A9788" s="19" t="s">
        <v>166</v>
      </c>
      <c r="B9788" s="19">
        <v>149.9</v>
      </c>
      <c r="C9788" s="19">
        <v>5</v>
      </c>
      <c r="D9788" s="19">
        <v>40.472999999999999</v>
      </c>
    </row>
    <row r="9789" spans="1:4" x14ac:dyDescent="0.2">
      <c r="A9789" s="19" t="s">
        <v>154</v>
      </c>
      <c r="B9789" s="19">
        <v>1023.3319999999999</v>
      </c>
      <c r="C9789" s="19">
        <v>5</v>
      </c>
      <c r="D9789" s="19">
        <v>-30.098000000000127</v>
      </c>
    </row>
    <row r="9790" spans="1:4" x14ac:dyDescent="0.2">
      <c r="A9790" s="19" t="s">
        <v>154</v>
      </c>
      <c r="B9790" s="19">
        <v>600.55799999999999</v>
      </c>
      <c r="C9790" s="19">
        <v>3</v>
      </c>
      <c r="D9790" s="19">
        <v>-8.5794000000000779</v>
      </c>
    </row>
    <row r="9791" spans="1:4" x14ac:dyDescent="0.2">
      <c r="A9791" s="19" t="s">
        <v>154</v>
      </c>
      <c r="B9791" s="19">
        <v>39.992000000000004</v>
      </c>
      <c r="C9791" s="19">
        <v>1</v>
      </c>
      <c r="D9791" s="19">
        <v>6.9985999999999997</v>
      </c>
    </row>
    <row r="9792" spans="1:4" x14ac:dyDescent="0.2">
      <c r="A9792" s="19" t="s">
        <v>154</v>
      </c>
      <c r="B9792" s="19">
        <v>211.24599999999998</v>
      </c>
      <c r="C9792" s="19">
        <v>2</v>
      </c>
      <c r="D9792" s="19">
        <v>-66.391599999999983</v>
      </c>
    </row>
    <row r="9793" spans="1:4" x14ac:dyDescent="0.2">
      <c r="A9793" s="19" t="s">
        <v>154</v>
      </c>
      <c r="B9793" s="19">
        <v>56.063999999999993</v>
      </c>
      <c r="C9793" s="19">
        <v>6</v>
      </c>
      <c r="D9793" s="19">
        <v>21.024000000000001</v>
      </c>
    </row>
    <row r="9794" spans="1:4" x14ac:dyDescent="0.2">
      <c r="A9794" s="19" t="s">
        <v>154</v>
      </c>
      <c r="B9794" s="19">
        <v>107.77200000000001</v>
      </c>
      <c r="C9794" s="19">
        <v>2</v>
      </c>
      <c r="D9794" s="19">
        <v>-29.252400000000009</v>
      </c>
    </row>
    <row r="9795" spans="1:4" x14ac:dyDescent="0.2">
      <c r="A9795" s="19" t="s">
        <v>154</v>
      </c>
      <c r="B9795" s="19">
        <v>4.8320000000000007</v>
      </c>
      <c r="C9795" s="19">
        <v>1</v>
      </c>
      <c r="D9795" s="19">
        <v>1.6307999999999998</v>
      </c>
    </row>
    <row r="9796" spans="1:4" x14ac:dyDescent="0.2">
      <c r="A9796" s="19" t="s">
        <v>154</v>
      </c>
      <c r="B9796" s="19">
        <v>18.239999999999995</v>
      </c>
      <c r="C9796" s="19">
        <v>3</v>
      </c>
      <c r="D9796" s="19">
        <v>-31.00800000000001</v>
      </c>
    </row>
    <row r="9797" spans="1:4" x14ac:dyDescent="0.2">
      <c r="A9797" s="19" t="s">
        <v>159</v>
      </c>
      <c r="B9797" s="19">
        <v>3.7979999999999992</v>
      </c>
      <c r="C9797" s="19">
        <v>3</v>
      </c>
      <c r="D9797" s="19">
        <v>-5.8869000000000007</v>
      </c>
    </row>
    <row r="9798" spans="1:4" x14ac:dyDescent="0.2">
      <c r="A9798" s="19" t="s">
        <v>173</v>
      </c>
      <c r="B9798" s="19">
        <v>10.368000000000002</v>
      </c>
      <c r="C9798" s="19">
        <v>2</v>
      </c>
      <c r="D9798" s="19">
        <v>1.5551999999999992</v>
      </c>
    </row>
    <row r="9799" spans="1:4" x14ac:dyDescent="0.2">
      <c r="A9799" s="19" t="s">
        <v>173</v>
      </c>
      <c r="B9799" s="19">
        <v>235.18799999999999</v>
      </c>
      <c r="C9799" s="19">
        <v>2</v>
      </c>
      <c r="D9799" s="19">
        <v>-43.117800000000045</v>
      </c>
    </row>
    <row r="9800" spans="1:4" x14ac:dyDescent="0.2">
      <c r="A9800" s="19" t="s">
        <v>173</v>
      </c>
      <c r="B9800" s="19">
        <v>26.376000000000001</v>
      </c>
      <c r="C9800" s="19">
        <v>4</v>
      </c>
      <c r="D9800" s="19">
        <v>2.6375999999999991</v>
      </c>
    </row>
    <row r="9801" spans="1:4" x14ac:dyDescent="0.2">
      <c r="A9801" s="19" t="s">
        <v>173</v>
      </c>
      <c r="B9801" s="19">
        <v>10.384</v>
      </c>
      <c r="C9801" s="19">
        <v>2</v>
      </c>
      <c r="D9801" s="19">
        <v>2.2065999999999999</v>
      </c>
    </row>
    <row r="9802" spans="1:4" x14ac:dyDescent="0.2">
      <c r="A9802" s="19" t="s">
        <v>173</v>
      </c>
      <c r="B9802" s="19">
        <v>107.11799999999999</v>
      </c>
      <c r="C9802" s="19">
        <v>3</v>
      </c>
      <c r="D9802" s="19">
        <v>-21.423599999999993</v>
      </c>
    </row>
    <row r="9803" spans="1:4" x14ac:dyDescent="0.2">
      <c r="A9803" s="19" t="s">
        <v>150</v>
      </c>
      <c r="B9803" s="19">
        <v>97.3</v>
      </c>
      <c r="C9803" s="19">
        <v>7</v>
      </c>
      <c r="D9803" s="19">
        <v>28.216999999999992</v>
      </c>
    </row>
    <row r="9804" spans="1:4" x14ac:dyDescent="0.2">
      <c r="A9804" s="19" t="s">
        <v>164</v>
      </c>
      <c r="B9804" s="19">
        <v>3.3280000000000003</v>
      </c>
      <c r="C9804" s="19">
        <v>2</v>
      </c>
      <c r="D9804" s="19">
        <v>1.2064000000000001</v>
      </c>
    </row>
    <row r="9805" spans="1:4" x14ac:dyDescent="0.2">
      <c r="A9805" s="19" t="s">
        <v>164</v>
      </c>
      <c r="B9805" s="19">
        <v>135.99</v>
      </c>
      <c r="C9805" s="19">
        <v>1</v>
      </c>
      <c r="D9805" s="19">
        <v>36.717300000000009</v>
      </c>
    </row>
    <row r="9806" spans="1:4" x14ac:dyDescent="0.2">
      <c r="A9806" s="19" t="s">
        <v>164</v>
      </c>
      <c r="B9806" s="19">
        <v>7.38</v>
      </c>
      <c r="C9806" s="19">
        <v>1</v>
      </c>
      <c r="D9806" s="19">
        <v>2.1401999999999992</v>
      </c>
    </row>
    <row r="9807" spans="1:4" x14ac:dyDescent="0.2">
      <c r="A9807" s="19" t="s">
        <v>151</v>
      </c>
      <c r="B9807" s="19">
        <v>45.568000000000005</v>
      </c>
      <c r="C9807" s="19">
        <v>2</v>
      </c>
      <c r="D9807" s="19">
        <v>9.6832000000000011</v>
      </c>
    </row>
    <row r="9808" spans="1:4" x14ac:dyDescent="0.2">
      <c r="A9808" s="19" t="s">
        <v>151</v>
      </c>
      <c r="B9808" s="19">
        <v>28.752000000000006</v>
      </c>
      <c r="C9808" s="19">
        <v>8</v>
      </c>
      <c r="D9808" s="19">
        <v>-21.084799999999994</v>
      </c>
    </row>
    <row r="9809" spans="1:4" x14ac:dyDescent="0.2">
      <c r="A9809" s="19" t="s">
        <v>152</v>
      </c>
      <c r="B9809" s="19">
        <v>194.84800000000001</v>
      </c>
      <c r="C9809" s="19">
        <v>4</v>
      </c>
      <c r="D9809" s="19">
        <v>12.177999999999983</v>
      </c>
    </row>
    <row r="9810" spans="1:4" x14ac:dyDescent="0.2">
      <c r="A9810" s="19" t="s">
        <v>159</v>
      </c>
      <c r="B9810" s="19">
        <v>2.1119999999999997</v>
      </c>
      <c r="C9810" s="19">
        <v>2</v>
      </c>
      <c r="D9810" s="19">
        <v>-3.3792</v>
      </c>
    </row>
    <row r="9811" spans="1:4" x14ac:dyDescent="0.2">
      <c r="A9811" s="19" t="s">
        <v>170</v>
      </c>
      <c r="B9811" s="19">
        <v>25.920000000000005</v>
      </c>
      <c r="C9811" s="19">
        <v>5</v>
      </c>
      <c r="D9811" s="19">
        <v>9.0719999999999992</v>
      </c>
    </row>
    <row r="9812" spans="1:4" x14ac:dyDescent="0.2">
      <c r="A9812" s="19" t="s">
        <v>170</v>
      </c>
      <c r="B9812" s="19">
        <v>120.76800000000001</v>
      </c>
      <c r="C9812" s="19">
        <v>4</v>
      </c>
      <c r="D9812" s="19">
        <v>9.0575999999999972</v>
      </c>
    </row>
    <row r="9813" spans="1:4" x14ac:dyDescent="0.2">
      <c r="A9813" s="19" t="s">
        <v>179</v>
      </c>
      <c r="B9813" s="19">
        <v>25.92</v>
      </c>
      <c r="C9813" s="19">
        <v>4</v>
      </c>
      <c r="D9813" s="19">
        <v>12.441600000000001</v>
      </c>
    </row>
    <row r="9814" spans="1:4" x14ac:dyDescent="0.2">
      <c r="A9814" s="19" t="s">
        <v>179</v>
      </c>
      <c r="B9814" s="19">
        <v>34.650000000000006</v>
      </c>
      <c r="C9814" s="19">
        <v>3</v>
      </c>
      <c r="D9814" s="19">
        <v>9.702</v>
      </c>
    </row>
    <row r="9815" spans="1:4" x14ac:dyDescent="0.2">
      <c r="A9815" s="19" t="s">
        <v>179</v>
      </c>
      <c r="B9815" s="19">
        <v>204.95000000000002</v>
      </c>
      <c r="C9815" s="19">
        <v>5</v>
      </c>
      <c r="D9815" s="19">
        <v>100.4255</v>
      </c>
    </row>
    <row r="9816" spans="1:4" x14ac:dyDescent="0.2">
      <c r="A9816" s="19" t="s">
        <v>179</v>
      </c>
      <c r="B9816" s="19">
        <v>79.95</v>
      </c>
      <c r="C9816" s="19">
        <v>5</v>
      </c>
      <c r="D9816" s="19">
        <v>38.376000000000005</v>
      </c>
    </row>
    <row r="9817" spans="1:4" x14ac:dyDescent="0.2">
      <c r="A9817" s="19" t="s">
        <v>151</v>
      </c>
      <c r="B9817" s="19">
        <v>173.48800000000003</v>
      </c>
      <c r="C9817" s="19">
        <v>7</v>
      </c>
      <c r="D9817" s="19">
        <v>54.214999999999982</v>
      </c>
    </row>
    <row r="9818" spans="1:4" x14ac:dyDescent="0.2">
      <c r="A9818" s="19" t="s">
        <v>151</v>
      </c>
      <c r="B9818" s="19">
        <v>516.96</v>
      </c>
      <c r="C9818" s="19">
        <v>4</v>
      </c>
      <c r="D9818" s="19">
        <v>-6.4619999999999891</v>
      </c>
    </row>
    <row r="9819" spans="1:4" x14ac:dyDescent="0.2">
      <c r="A9819" s="19" t="s">
        <v>151</v>
      </c>
      <c r="B9819" s="19">
        <v>173.208</v>
      </c>
      <c r="C9819" s="19">
        <v>7</v>
      </c>
      <c r="D9819" s="19">
        <v>45.467100000000009</v>
      </c>
    </row>
    <row r="9820" spans="1:4" x14ac:dyDescent="0.2">
      <c r="A9820" s="19" t="s">
        <v>151</v>
      </c>
      <c r="B9820" s="19">
        <v>4.4479999999999995</v>
      </c>
      <c r="C9820" s="19">
        <v>2</v>
      </c>
      <c r="D9820" s="19">
        <v>0.3335999999999999</v>
      </c>
    </row>
    <row r="9821" spans="1:4" x14ac:dyDescent="0.2">
      <c r="A9821" s="19" t="s">
        <v>151</v>
      </c>
      <c r="B9821" s="19">
        <v>9</v>
      </c>
      <c r="C9821" s="19">
        <v>3</v>
      </c>
      <c r="D9821" s="19">
        <v>3.1499999999999995</v>
      </c>
    </row>
    <row r="9822" spans="1:4" x14ac:dyDescent="0.2">
      <c r="A9822" s="19" t="s">
        <v>151</v>
      </c>
      <c r="B9822" s="19">
        <v>42.24</v>
      </c>
      <c r="C9822" s="19">
        <v>10</v>
      </c>
      <c r="D9822" s="19">
        <v>13.199999999999998</v>
      </c>
    </row>
    <row r="9823" spans="1:4" x14ac:dyDescent="0.2">
      <c r="A9823" s="19" t="s">
        <v>151</v>
      </c>
      <c r="B9823" s="19">
        <v>18.264000000000003</v>
      </c>
      <c r="C9823" s="19">
        <v>2</v>
      </c>
      <c r="D9823" s="19">
        <v>-13.393599999999999</v>
      </c>
    </row>
    <row r="9824" spans="1:4" x14ac:dyDescent="0.2">
      <c r="A9824" s="19" t="s">
        <v>150</v>
      </c>
      <c r="B9824" s="19">
        <v>152.91</v>
      </c>
      <c r="C9824" s="19">
        <v>3</v>
      </c>
      <c r="D9824" s="19">
        <v>42.814799999999998</v>
      </c>
    </row>
    <row r="9825" spans="1:4" x14ac:dyDescent="0.2">
      <c r="A9825" s="19" t="s">
        <v>150</v>
      </c>
      <c r="B9825" s="19">
        <v>92.94</v>
      </c>
      <c r="C9825" s="19">
        <v>3</v>
      </c>
      <c r="D9825" s="19">
        <v>41.822999999999993</v>
      </c>
    </row>
    <row r="9826" spans="1:4" x14ac:dyDescent="0.2">
      <c r="A9826" s="19" t="s">
        <v>150</v>
      </c>
      <c r="B9826" s="19">
        <v>17.856000000000002</v>
      </c>
      <c r="C9826" s="19">
        <v>4</v>
      </c>
      <c r="D9826" s="19">
        <v>6.2495999999999992</v>
      </c>
    </row>
    <row r="9827" spans="1:4" x14ac:dyDescent="0.2">
      <c r="A9827" s="19" t="s">
        <v>150</v>
      </c>
      <c r="B9827" s="19">
        <v>46.440000000000005</v>
      </c>
      <c r="C9827" s="19">
        <v>3</v>
      </c>
      <c r="D9827" s="19">
        <v>15.092999999999998</v>
      </c>
    </row>
    <row r="9828" spans="1:4" x14ac:dyDescent="0.2">
      <c r="A9828" s="19" t="s">
        <v>150</v>
      </c>
      <c r="B9828" s="19">
        <v>195.136</v>
      </c>
      <c r="C9828" s="19">
        <v>4</v>
      </c>
      <c r="D9828" s="19">
        <v>-12.196000000000005</v>
      </c>
    </row>
    <row r="9829" spans="1:4" x14ac:dyDescent="0.2">
      <c r="A9829" s="19" t="s">
        <v>164</v>
      </c>
      <c r="B9829" s="19">
        <v>129.30000000000001</v>
      </c>
      <c r="C9829" s="19">
        <v>2</v>
      </c>
      <c r="D9829" s="19">
        <v>6.4649999999999892</v>
      </c>
    </row>
    <row r="9830" spans="1:4" x14ac:dyDescent="0.2">
      <c r="A9830" s="19" t="s">
        <v>164</v>
      </c>
      <c r="B9830" s="19">
        <v>11.568000000000001</v>
      </c>
      <c r="C9830" s="19">
        <v>3</v>
      </c>
      <c r="D9830" s="19">
        <v>3.7595999999999998</v>
      </c>
    </row>
    <row r="9831" spans="1:4" x14ac:dyDescent="0.2">
      <c r="A9831" s="19" t="s">
        <v>152</v>
      </c>
      <c r="B9831" s="19">
        <v>242.35200000000003</v>
      </c>
      <c r="C9831" s="19">
        <v>3</v>
      </c>
      <c r="D9831" s="19">
        <v>15.147000000000006</v>
      </c>
    </row>
    <row r="9832" spans="1:4" x14ac:dyDescent="0.2">
      <c r="A9832" s="19" t="s">
        <v>154</v>
      </c>
      <c r="B9832" s="19">
        <v>319.96800000000002</v>
      </c>
      <c r="C9832" s="19">
        <v>4</v>
      </c>
      <c r="D9832" s="19">
        <v>95.990400000000008</v>
      </c>
    </row>
    <row r="9833" spans="1:4" x14ac:dyDescent="0.2">
      <c r="A9833" s="19" t="s">
        <v>154</v>
      </c>
      <c r="B9833" s="19">
        <v>8.6240000000000023</v>
      </c>
      <c r="C9833" s="19">
        <v>7</v>
      </c>
      <c r="D9833" s="19">
        <v>-2.5872000000000011</v>
      </c>
    </row>
    <row r="9834" spans="1:4" x14ac:dyDescent="0.2">
      <c r="A9834" s="19" t="s">
        <v>154</v>
      </c>
      <c r="B9834" s="19">
        <v>3.9840000000000004</v>
      </c>
      <c r="C9834" s="19">
        <v>1</v>
      </c>
      <c r="D9834" s="19">
        <v>1.4442000000000004</v>
      </c>
    </row>
    <row r="9835" spans="1:4" x14ac:dyDescent="0.2">
      <c r="A9835" s="19" t="s">
        <v>173</v>
      </c>
      <c r="B9835" s="19">
        <v>895.94400000000019</v>
      </c>
      <c r="C9835" s="19">
        <v>7</v>
      </c>
      <c r="D9835" s="19">
        <v>190.38810000000001</v>
      </c>
    </row>
    <row r="9836" spans="1:4" x14ac:dyDescent="0.2">
      <c r="A9836" s="19" t="s">
        <v>154</v>
      </c>
      <c r="B9836" s="19">
        <v>14</v>
      </c>
      <c r="C9836" s="19">
        <v>4</v>
      </c>
      <c r="D9836" s="19">
        <v>-6.2999999999999972</v>
      </c>
    </row>
    <row r="9837" spans="1:4" x14ac:dyDescent="0.2">
      <c r="A9837" s="19" t="s">
        <v>154</v>
      </c>
      <c r="B9837" s="19">
        <v>16.391999999999996</v>
      </c>
      <c r="C9837" s="19">
        <v>2</v>
      </c>
      <c r="D9837" s="19">
        <v>-26.227200000000003</v>
      </c>
    </row>
    <row r="9838" spans="1:4" x14ac:dyDescent="0.2">
      <c r="A9838" s="19" t="s">
        <v>150</v>
      </c>
      <c r="B9838" s="19">
        <v>10.9</v>
      </c>
      <c r="C9838" s="19">
        <v>5</v>
      </c>
      <c r="D9838" s="19">
        <v>5.1229999999999993</v>
      </c>
    </row>
    <row r="9839" spans="1:4" x14ac:dyDescent="0.2">
      <c r="A9839" s="19" t="s">
        <v>150</v>
      </c>
      <c r="B9839" s="19">
        <v>29.6</v>
      </c>
      <c r="C9839" s="19">
        <v>2</v>
      </c>
      <c r="D9839" s="19">
        <v>14.8</v>
      </c>
    </row>
    <row r="9840" spans="1:4" x14ac:dyDescent="0.2">
      <c r="A9840" s="19" t="s">
        <v>150</v>
      </c>
      <c r="B9840" s="19">
        <v>4.9800000000000004</v>
      </c>
      <c r="C9840" s="19">
        <v>1</v>
      </c>
      <c r="D9840" s="19">
        <v>2.2907999999999999</v>
      </c>
    </row>
    <row r="9841" spans="1:4" x14ac:dyDescent="0.2">
      <c r="A9841" s="19" t="s">
        <v>150</v>
      </c>
      <c r="B9841" s="19">
        <v>479.97600000000006</v>
      </c>
      <c r="C9841" s="19">
        <v>3</v>
      </c>
      <c r="D9841" s="19">
        <v>161.99189999999999</v>
      </c>
    </row>
    <row r="9842" spans="1:4" x14ac:dyDescent="0.2">
      <c r="A9842" s="19" t="s">
        <v>150</v>
      </c>
      <c r="B9842" s="19">
        <v>44.736000000000004</v>
      </c>
      <c r="C9842" s="19">
        <v>8</v>
      </c>
      <c r="D9842" s="19">
        <v>4.4736000000000011</v>
      </c>
    </row>
    <row r="9843" spans="1:4" x14ac:dyDescent="0.2">
      <c r="A9843" s="19" t="s">
        <v>150</v>
      </c>
      <c r="B9843" s="19">
        <v>5.76</v>
      </c>
      <c r="C9843" s="19">
        <v>2</v>
      </c>
      <c r="D9843" s="19">
        <v>1.6703999999999999</v>
      </c>
    </row>
    <row r="9844" spans="1:4" x14ac:dyDescent="0.2">
      <c r="A9844" s="19" t="s">
        <v>150</v>
      </c>
      <c r="B9844" s="19">
        <v>483.13599999999997</v>
      </c>
      <c r="C9844" s="19">
        <v>4</v>
      </c>
      <c r="D9844" s="19">
        <v>60.391999999999939</v>
      </c>
    </row>
    <row r="9845" spans="1:4" x14ac:dyDescent="0.2">
      <c r="A9845" s="19" t="s">
        <v>159</v>
      </c>
      <c r="B9845" s="19">
        <v>15.936000000000002</v>
      </c>
      <c r="C9845" s="19">
        <v>4</v>
      </c>
      <c r="D9845" s="19">
        <v>5.1791999999999998</v>
      </c>
    </row>
    <row r="9846" spans="1:4" x14ac:dyDescent="0.2">
      <c r="A9846" s="19" t="s">
        <v>159</v>
      </c>
      <c r="B9846" s="19">
        <v>61.543999999999997</v>
      </c>
      <c r="C9846" s="19">
        <v>7</v>
      </c>
      <c r="D9846" s="19">
        <v>-40.003599999999999</v>
      </c>
    </row>
    <row r="9847" spans="1:4" x14ac:dyDescent="0.2">
      <c r="A9847" s="19" t="s">
        <v>159</v>
      </c>
      <c r="B9847" s="19">
        <v>132.696</v>
      </c>
      <c r="C9847" s="19">
        <v>3</v>
      </c>
      <c r="D9847" s="19">
        <v>9.9521999999999977</v>
      </c>
    </row>
    <row r="9848" spans="1:4" x14ac:dyDescent="0.2">
      <c r="A9848" s="19" t="s">
        <v>150</v>
      </c>
      <c r="B9848" s="19">
        <v>43.099999999999994</v>
      </c>
      <c r="C9848" s="19">
        <v>5</v>
      </c>
      <c r="D9848" s="19">
        <v>11.206</v>
      </c>
    </row>
    <row r="9849" spans="1:4" x14ac:dyDescent="0.2">
      <c r="A9849" s="19" t="s">
        <v>150</v>
      </c>
      <c r="B9849" s="19">
        <v>511.5</v>
      </c>
      <c r="C9849" s="19">
        <v>5</v>
      </c>
      <c r="D9849" s="19">
        <v>132.99</v>
      </c>
    </row>
    <row r="9850" spans="1:4" x14ac:dyDescent="0.2">
      <c r="A9850" s="19" t="s">
        <v>150</v>
      </c>
      <c r="B9850" s="19">
        <v>147.91999999999999</v>
      </c>
      <c r="C9850" s="19">
        <v>5</v>
      </c>
      <c r="D9850" s="19">
        <v>46.224999999999987</v>
      </c>
    </row>
    <row r="9851" spans="1:4" x14ac:dyDescent="0.2">
      <c r="A9851" s="19" t="s">
        <v>150</v>
      </c>
      <c r="B9851" s="19">
        <v>39.68</v>
      </c>
      <c r="C9851" s="19">
        <v>2</v>
      </c>
      <c r="D9851" s="19">
        <v>16.268800000000002</v>
      </c>
    </row>
    <row r="9852" spans="1:4" x14ac:dyDescent="0.2">
      <c r="A9852" s="19" t="s">
        <v>164</v>
      </c>
      <c r="B9852" s="19">
        <v>12.56</v>
      </c>
      <c r="C9852" s="19">
        <v>2</v>
      </c>
      <c r="D9852" s="19">
        <v>4.0191999999999997</v>
      </c>
    </row>
    <row r="9853" spans="1:4" x14ac:dyDescent="0.2">
      <c r="A9853" s="19" t="s">
        <v>164</v>
      </c>
      <c r="B9853" s="19">
        <v>90.480000000000018</v>
      </c>
      <c r="C9853" s="19">
        <v>3</v>
      </c>
      <c r="D9853" s="19">
        <v>33.93</v>
      </c>
    </row>
    <row r="9854" spans="1:4" x14ac:dyDescent="0.2">
      <c r="A9854" s="19" t="s">
        <v>164</v>
      </c>
      <c r="B9854" s="19">
        <v>13.08</v>
      </c>
      <c r="C9854" s="19">
        <v>2</v>
      </c>
      <c r="D9854" s="19">
        <v>6.0167999999999999</v>
      </c>
    </row>
    <row r="9855" spans="1:4" x14ac:dyDescent="0.2">
      <c r="A9855" s="19" t="s">
        <v>164</v>
      </c>
      <c r="B9855" s="19">
        <v>214.7</v>
      </c>
      <c r="C9855" s="19">
        <v>5</v>
      </c>
      <c r="D9855" s="19">
        <v>83.733000000000004</v>
      </c>
    </row>
    <row r="9856" spans="1:4" x14ac:dyDescent="0.2">
      <c r="A9856" s="19" t="s">
        <v>150</v>
      </c>
      <c r="B9856" s="19">
        <v>50.32</v>
      </c>
      <c r="C9856" s="19">
        <v>4</v>
      </c>
      <c r="D9856" s="19">
        <v>21.134400000000003</v>
      </c>
    </row>
    <row r="9857" spans="1:4" x14ac:dyDescent="0.2">
      <c r="A9857" s="19" t="s">
        <v>150</v>
      </c>
      <c r="B9857" s="19">
        <v>24.56</v>
      </c>
      <c r="C9857" s="19">
        <v>2</v>
      </c>
      <c r="D9857" s="19">
        <v>11.543199999999999</v>
      </c>
    </row>
    <row r="9858" spans="1:4" x14ac:dyDescent="0.2">
      <c r="A9858" s="19" t="s">
        <v>101</v>
      </c>
      <c r="B9858" s="19">
        <v>43.68</v>
      </c>
      <c r="C9858" s="19">
        <v>6</v>
      </c>
      <c r="D9858" s="19">
        <v>20.9664</v>
      </c>
    </row>
    <row r="9859" spans="1:4" x14ac:dyDescent="0.2">
      <c r="A9859" s="19" t="s">
        <v>153</v>
      </c>
      <c r="B9859" s="19">
        <v>3393.68</v>
      </c>
      <c r="C9859" s="19">
        <v>8</v>
      </c>
      <c r="D9859" s="19">
        <v>610.86239999999998</v>
      </c>
    </row>
    <row r="9860" spans="1:4" x14ac:dyDescent="0.2">
      <c r="A9860" s="19" t="s">
        <v>163</v>
      </c>
      <c r="B9860" s="19">
        <v>67.400000000000006</v>
      </c>
      <c r="C9860" s="19">
        <v>5</v>
      </c>
      <c r="D9860" s="19">
        <v>17.523999999999997</v>
      </c>
    </row>
    <row r="9861" spans="1:4" x14ac:dyDescent="0.2">
      <c r="A9861" s="19" t="s">
        <v>163</v>
      </c>
      <c r="B9861" s="19">
        <v>2.52</v>
      </c>
      <c r="C9861" s="19">
        <v>2</v>
      </c>
      <c r="D9861" s="19">
        <v>0.1008</v>
      </c>
    </row>
    <row r="9862" spans="1:4" x14ac:dyDescent="0.2">
      <c r="A9862" s="19" t="s">
        <v>163</v>
      </c>
      <c r="B9862" s="19">
        <v>67.8</v>
      </c>
      <c r="C9862" s="19">
        <v>4</v>
      </c>
      <c r="D9862" s="19">
        <v>1.3559999999999945</v>
      </c>
    </row>
    <row r="9863" spans="1:4" x14ac:dyDescent="0.2">
      <c r="A9863" s="19" t="s">
        <v>163</v>
      </c>
      <c r="B9863" s="19">
        <v>18.760000000000002</v>
      </c>
      <c r="C9863" s="19">
        <v>2</v>
      </c>
      <c r="D9863" s="19">
        <v>5.2528000000000006</v>
      </c>
    </row>
    <row r="9864" spans="1:4" x14ac:dyDescent="0.2">
      <c r="A9864" s="19" t="s">
        <v>163</v>
      </c>
      <c r="B9864" s="19">
        <v>12.12</v>
      </c>
      <c r="C9864" s="19">
        <v>4</v>
      </c>
      <c r="D9864" s="19">
        <v>2.5451999999999995</v>
      </c>
    </row>
    <row r="9865" spans="1:4" x14ac:dyDescent="0.2">
      <c r="A9865" s="19" t="s">
        <v>163</v>
      </c>
      <c r="B9865" s="19">
        <v>11.34</v>
      </c>
      <c r="C9865" s="19">
        <v>1</v>
      </c>
      <c r="D9865" s="19">
        <v>5.5565999999999995</v>
      </c>
    </row>
    <row r="9866" spans="1:4" x14ac:dyDescent="0.2">
      <c r="A9866" s="19" t="s">
        <v>163</v>
      </c>
      <c r="B9866" s="19">
        <v>159.80000000000001</v>
      </c>
      <c r="C9866" s="19">
        <v>4</v>
      </c>
      <c r="D9866" s="19">
        <v>70.312000000000012</v>
      </c>
    </row>
    <row r="9867" spans="1:4" x14ac:dyDescent="0.2">
      <c r="A9867" s="19" t="s">
        <v>163</v>
      </c>
      <c r="B9867" s="19">
        <v>18.96</v>
      </c>
      <c r="C9867" s="19">
        <v>2</v>
      </c>
      <c r="D9867" s="19">
        <v>8.532</v>
      </c>
    </row>
    <row r="9868" spans="1:4" x14ac:dyDescent="0.2">
      <c r="A9868" s="19" t="s">
        <v>164</v>
      </c>
      <c r="B9868" s="19">
        <v>1085.42</v>
      </c>
      <c r="C9868" s="19">
        <v>7</v>
      </c>
      <c r="D9868" s="19">
        <v>282.20920000000001</v>
      </c>
    </row>
    <row r="9869" spans="1:4" x14ac:dyDescent="0.2">
      <c r="A9869" s="19" t="s">
        <v>164</v>
      </c>
      <c r="B9869" s="19">
        <v>13.11</v>
      </c>
      <c r="C9869" s="19">
        <v>3</v>
      </c>
      <c r="D9869" s="19">
        <v>3.4086000000000003</v>
      </c>
    </row>
    <row r="9870" spans="1:4" x14ac:dyDescent="0.2">
      <c r="A9870" s="19" t="s">
        <v>173</v>
      </c>
      <c r="B9870" s="19">
        <v>68.703999999999994</v>
      </c>
      <c r="C9870" s="19">
        <v>2</v>
      </c>
      <c r="D9870" s="19">
        <v>16.317200000000003</v>
      </c>
    </row>
    <row r="9871" spans="1:4" x14ac:dyDescent="0.2">
      <c r="A9871" s="19" t="s">
        <v>173</v>
      </c>
      <c r="B9871" s="19">
        <v>3.1320000000000001</v>
      </c>
      <c r="C9871" s="19">
        <v>2</v>
      </c>
      <c r="D9871" s="19">
        <v>-2.6099999999999994</v>
      </c>
    </row>
    <row r="9872" spans="1:4" x14ac:dyDescent="0.2">
      <c r="A9872" s="19" t="s">
        <v>173</v>
      </c>
      <c r="B9872" s="19">
        <v>22.428000000000004</v>
      </c>
      <c r="C9872" s="19">
        <v>3</v>
      </c>
      <c r="D9872" s="19">
        <v>-17.942399999999992</v>
      </c>
    </row>
    <row r="9873" spans="1:4" x14ac:dyDescent="0.2">
      <c r="A9873" s="19" t="s">
        <v>159</v>
      </c>
      <c r="B9873" s="19">
        <v>290.33600000000001</v>
      </c>
      <c r="C9873" s="19">
        <v>2</v>
      </c>
      <c r="D9873" s="19">
        <v>32.662799999999947</v>
      </c>
    </row>
    <row r="9874" spans="1:4" x14ac:dyDescent="0.2">
      <c r="A9874" s="19" t="s">
        <v>159</v>
      </c>
      <c r="B9874" s="19">
        <v>19.152000000000001</v>
      </c>
      <c r="C9874" s="19">
        <v>2</v>
      </c>
      <c r="D9874" s="19">
        <v>1.1969999999999992</v>
      </c>
    </row>
    <row r="9875" spans="1:4" x14ac:dyDescent="0.2">
      <c r="A9875" s="19" t="s">
        <v>164</v>
      </c>
      <c r="B9875" s="19">
        <v>6.48</v>
      </c>
      <c r="C9875" s="19">
        <v>1</v>
      </c>
      <c r="D9875" s="19">
        <v>3.1104000000000003</v>
      </c>
    </row>
    <row r="9876" spans="1:4" x14ac:dyDescent="0.2">
      <c r="A9876" s="19" t="s">
        <v>173</v>
      </c>
      <c r="B9876" s="19">
        <v>63.967999999999996</v>
      </c>
      <c r="C9876" s="19">
        <v>2</v>
      </c>
      <c r="D9876" s="19">
        <v>19.989999999999995</v>
      </c>
    </row>
    <row r="9877" spans="1:4" x14ac:dyDescent="0.2">
      <c r="A9877" s="19" t="s">
        <v>164</v>
      </c>
      <c r="B9877" s="19">
        <v>6.36</v>
      </c>
      <c r="C9877" s="19">
        <v>2</v>
      </c>
      <c r="D9877" s="19">
        <v>6.3600000000000101E-2</v>
      </c>
    </row>
    <row r="9878" spans="1:4" x14ac:dyDescent="0.2">
      <c r="A9878" s="19" t="s">
        <v>173</v>
      </c>
      <c r="B9878" s="19">
        <v>848.5440000000001</v>
      </c>
      <c r="C9878" s="19">
        <v>4</v>
      </c>
      <c r="D9878" s="19">
        <v>-21.213600000000099</v>
      </c>
    </row>
    <row r="9879" spans="1:4" x14ac:dyDescent="0.2">
      <c r="A9879" s="19" t="s">
        <v>173</v>
      </c>
      <c r="B9879" s="19">
        <v>8.7000000000000011</v>
      </c>
      <c r="C9879" s="19">
        <v>5</v>
      </c>
      <c r="D9879" s="19">
        <v>-6.379999999999999</v>
      </c>
    </row>
    <row r="9880" spans="1:4" x14ac:dyDescent="0.2">
      <c r="A9880" s="19" t="s">
        <v>173</v>
      </c>
      <c r="B9880" s="19">
        <v>122.38199999999999</v>
      </c>
      <c r="C9880" s="19">
        <v>3</v>
      </c>
      <c r="D9880" s="19">
        <v>-24.476399999999998</v>
      </c>
    </row>
    <row r="9881" spans="1:4" x14ac:dyDescent="0.2">
      <c r="A9881" s="19" t="s">
        <v>164</v>
      </c>
      <c r="B9881" s="19">
        <v>573.17399999999998</v>
      </c>
      <c r="C9881" s="19">
        <v>7</v>
      </c>
      <c r="D9881" s="19">
        <v>63.685999999999979</v>
      </c>
    </row>
    <row r="9882" spans="1:4" x14ac:dyDescent="0.2">
      <c r="A9882" s="19" t="s">
        <v>173</v>
      </c>
      <c r="B9882" s="19">
        <v>85.055999999999997</v>
      </c>
      <c r="C9882" s="19">
        <v>3</v>
      </c>
      <c r="D9882" s="19">
        <v>28.706399999999991</v>
      </c>
    </row>
    <row r="9883" spans="1:4" x14ac:dyDescent="0.2">
      <c r="A9883" s="19" t="s">
        <v>101</v>
      </c>
      <c r="B9883" s="19">
        <v>14.04</v>
      </c>
      <c r="C9883" s="19">
        <v>3</v>
      </c>
      <c r="D9883" s="19">
        <v>6.7392000000000003</v>
      </c>
    </row>
    <row r="9884" spans="1:4" x14ac:dyDescent="0.2">
      <c r="A9884" s="19" t="s">
        <v>101</v>
      </c>
      <c r="B9884" s="19">
        <v>272.61</v>
      </c>
      <c r="C9884" s="19">
        <v>13</v>
      </c>
      <c r="D9884" s="19">
        <v>98.139599999999987</v>
      </c>
    </row>
    <row r="9885" spans="1:4" x14ac:dyDescent="0.2">
      <c r="A9885" s="19" t="s">
        <v>150</v>
      </c>
      <c r="B9885" s="19">
        <v>11.16</v>
      </c>
      <c r="C9885" s="19">
        <v>2</v>
      </c>
      <c r="D9885" s="19">
        <v>5.58</v>
      </c>
    </row>
    <row r="9886" spans="1:4" x14ac:dyDescent="0.2">
      <c r="A9886" s="19" t="s">
        <v>150</v>
      </c>
      <c r="B9886" s="19">
        <v>62.31</v>
      </c>
      <c r="C9886" s="19">
        <v>3</v>
      </c>
      <c r="D9886" s="19">
        <v>22.4316</v>
      </c>
    </row>
    <row r="9887" spans="1:4" x14ac:dyDescent="0.2">
      <c r="A9887" s="19" t="s">
        <v>150</v>
      </c>
      <c r="B9887" s="19">
        <v>159.97999999999999</v>
      </c>
      <c r="C9887" s="19">
        <v>2</v>
      </c>
      <c r="D9887" s="19">
        <v>57.592799999999997</v>
      </c>
    </row>
    <row r="9888" spans="1:4" x14ac:dyDescent="0.2">
      <c r="A9888" s="19" t="s">
        <v>163</v>
      </c>
      <c r="B9888" s="19">
        <v>5.9399999999999995</v>
      </c>
      <c r="C9888" s="19">
        <v>3</v>
      </c>
      <c r="D9888" s="19">
        <v>0</v>
      </c>
    </row>
    <row r="9889" spans="1:4" x14ac:dyDescent="0.2">
      <c r="A9889" s="19" t="s">
        <v>164</v>
      </c>
      <c r="B9889" s="19">
        <v>9.9600000000000009</v>
      </c>
      <c r="C9889" s="19">
        <v>2</v>
      </c>
      <c r="D9889" s="19">
        <v>4.6812000000000005</v>
      </c>
    </row>
    <row r="9890" spans="1:4" x14ac:dyDescent="0.2">
      <c r="A9890" s="19" t="s">
        <v>164</v>
      </c>
      <c r="B9890" s="19">
        <v>79.989999999999995</v>
      </c>
      <c r="C9890" s="19">
        <v>1</v>
      </c>
      <c r="D9890" s="19">
        <v>28.796399999999998</v>
      </c>
    </row>
    <row r="9891" spans="1:4" x14ac:dyDescent="0.2">
      <c r="A9891" s="19" t="s">
        <v>179</v>
      </c>
      <c r="B9891" s="19">
        <v>8.94</v>
      </c>
      <c r="C9891" s="19">
        <v>3</v>
      </c>
      <c r="D9891" s="19">
        <v>2.4138000000000006</v>
      </c>
    </row>
    <row r="9892" spans="1:4" x14ac:dyDescent="0.2">
      <c r="A9892" s="19" t="s">
        <v>155</v>
      </c>
      <c r="B9892" s="19">
        <v>20.62</v>
      </c>
      <c r="C9892" s="19">
        <v>2</v>
      </c>
      <c r="D9892" s="19">
        <v>9.6913999999999998</v>
      </c>
    </row>
    <row r="9893" spans="1:4" x14ac:dyDescent="0.2">
      <c r="A9893" s="19" t="s">
        <v>155</v>
      </c>
      <c r="B9893" s="19">
        <v>124.25</v>
      </c>
      <c r="C9893" s="19">
        <v>7</v>
      </c>
      <c r="D9893" s="19">
        <v>48.457499999999996</v>
      </c>
    </row>
    <row r="9894" spans="1:4" x14ac:dyDescent="0.2">
      <c r="A9894" s="19" t="s">
        <v>155</v>
      </c>
      <c r="B9894" s="19">
        <v>297.55</v>
      </c>
      <c r="C9894" s="19">
        <v>5</v>
      </c>
      <c r="D9894" s="19">
        <v>83.314000000000021</v>
      </c>
    </row>
    <row r="9895" spans="1:4" x14ac:dyDescent="0.2">
      <c r="A9895" s="19" t="s">
        <v>155</v>
      </c>
      <c r="B9895" s="19">
        <v>403.56</v>
      </c>
      <c r="C9895" s="19">
        <v>4</v>
      </c>
      <c r="D9895" s="19">
        <v>96.854399999999998</v>
      </c>
    </row>
    <row r="9896" spans="1:4" x14ac:dyDescent="0.2">
      <c r="A9896" s="19" t="s">
        <v>155</v>
      </c>
      <c r="B9896" s="19">
        <v>95.199999999999989</v>
      </c>
      <c r="C9896" s="19">
        <v>5</v>
      </c>
      <c r="D9896" s="19">
        <v>27.60799999999999</v>
      </c>
    </row>
    <row r="9897" spans="1:4" x14ac:dyDescent="0.2">
      <c r="A9897" s="19" t="s">
        <v>159</v>
      </c>
      <c r="B9897" s="19">
        <v>153.82400000000001</v>
      </c>
      <c r="C9897" s="19">
        <v>11</v>
      </c>
      <c r="D9897" s="19">
        <v>38.456000000000003</v>
      </c>
    </row>
    <row r="9898" spans="1:4" x14ac:dyDescent="0.2">
      <c r="A9898" s="19" t="s">
        <v>159</v>
      </c>
      <c r="B9898" s="19">
        <v>62.015999999999998</v>
      </c>
      <c r="C9898" s="19">
        <v>2</v>
      </c>
      <c r="D9898" s="19">
        <v>22.480800000000002</v>
      </c>
    </row>
    <row r="9899" spans="1:4" x14ac:dyDescent="0.2">
      <c r="A9899" s="19" t="s">
        <v>173</v>
      </c>
      <c r="B9899" s="19">
        <v>466.32000000000005</v>
      </c>
      <c r="C9899" s="19">
        <v>3</v>
      </c>
      <c r="D9899" s="19">
        <v>34.97399999999999</v>
      </c>
    </row>
    <row r="9900" spans="1:4" x14ac:dyDescent="0.2">
      <c r="A9900" s="19" t="s">
        <v>173</v>
      </c>
      <c r="B9900" s="19">
        <v>82.64</v>
      </c>
      <c r="C9900" s="19">
        <v>2</v>
      </c>
      <c r="D9900" s="19">
        <v>0</v>
      </c>
    </row>
    <row r="9901" spans="1:4" x14ac:dyDescent="0.2">
      <c r="A9901" s="19" t="s">
        <v>173</v>
      </c>
      <c r="B9901" s="19">
        <v>330.58800000000002</v>
      </c>
      <c r="C9901" s="19">
        <v>1</v>
      </c>
      <c r="D9901" s="19">
        <v>-143.25480000000002</v>
      </c>
    </row>
    <row r="9902" spans="1:4" x14ac:dyDescent="0.2">
      <c r="A9902" s="19" t="s">
        <v>171</v>
      </c>
      <c r="B9902" s="19">
        <v>237.09600000000003</v>
      </c>
      <c r="C9902" s="19">
        <v>3</v>
      </c>
      <c r="D9902" s="19">
        <v>20.745899999999985</v>
      </c>
    </row>
    <row r="9903" spans="1:4" x14ac:dyDescent="0.2">
      <c r="A9903" s="19" t="s">
        <v>171</v>
      </c>
      <c r="B9903" s="19">
        <v>22.752000000000002</v>
      </c>
      <c r="C9903" s="19">
        <v>3</v>
      </c>
      <c r="D9903" s="19">
        <v>7.1099999999999994</v>
      </c>
    </row>
    <row r="9904" spans="1:4" x14ac:dyDescent="0.2">
      <c r="A9904" s="19" t="s">
        <v>171</v>
      </c>
      <c r="B9904" s="19">
        <v>6.6720000000000006</v>
      </c>
      <c r="C9904" s="19">
        <v>1</v>
      </c>
      <c r="D9904" s="19">
        <v>2.0849999999999991</v>
      </c>
    </row>
    <row r="9905" spans="1:4" x14ac:dyDescent="0.2">
      <c r="A9905" s="19" t="s">
        <v>154</v>
      </c>
      <c r="B9905" s="19">
        <v>25.128000000000004</v>
      </c>
      <c r="C9905" s="19">
        <v>3</v>
      </c>
      <c r="D9905" s="19">
        <v>-6.9101999999999997</v>
      </c>
    </row>
    <row r="9906" spans="1:4" x14ac:dyDescent="0.2">
      <c r="A9906" s="19" t="s">
        <v>154</v>
      </c>
      <c r="B9906" s="19">
        <v>127.98399999999999</v>
      </c>
      <c r="C9906" s="19">
        <v>2</v>
      </c>
      <c r="D9906" s="19">
        <v>25.596799999999998</v>
      </c>
    </row>
    <row r="9907" spans="1:4" x14ac:dyDescent="0.2">
      <c r="A9907" s="19" t="s">
        <v>150</v>
      </c>
      <c r="B9907" s="19">
        <v>131.88</v>
      </c>
      <c r="C9907" s="19">
        <v>7</v>
      </c>
      <c r="D9907" s="19">
        <v>55.389600000000002</v>
      </c>
    </row>
    <row r="9908" spans="1:4" x14ac:dyDescent="0.2">
      <c r="A9908" s="19" t="s">
        <v>150</v>
      </c>
      <c r="B9908" s="19">
        <v>25.031999999999996</v>
      </c>
      <c r="C9908" s="19">
        <v>3</v>
      </c>
      <c r="D9908" s="19">
        <v>7.822499999999998</v>
      </c>
    </row>
    <row r="9909" spans="1:4" x14ac:dyDescent="0.2">
      <c r="A9909" s="19" t="s">
        <v>150</v>
      </c>
      <c r="B9909" s="19">
        <v>717.72</v>
      </c>
      <c r="C9909" s="19">
        <v>3</v>
      </c>
      <c r="D9909" s="19">
        <v>71.77200000000002</v>
      </c>
    </row>
    <row r="9910" spans="1:4" x14ac:dyDescent="0.2">
      <c r="A9910" s="19" t="s">
        <v>150</v>
      </c>
      <c r="B9910" s="19">
        <v>207.35</v>
      </c>
      <c r="C9910" s="19">
        <v>5</v>
      </c>
      <c r="D9910" s="19">
        <v>24.881999999999991</v>
      </c>
    </row>
    <row r="9911" spans="1:4" x14ac:dyDescent="0.2">
      <c r="A9911" s="19" t="s">
        <v>150</v>
      </c>
      <c r="B9911" s="19">
        <v>44.67</v>
      </c>
      <c r="C9911" s="19">
        <v>3</v>
      </c>
      <c r="D9911" s="19">
        <v>12.060900000000002</v>
      </c>
    </row>
    <row r="9912" spans="1:4" x14ac:dyDescent="0.2">
      <c r="A9912" s="19" t="s">
        <v>150</v>
      </c>
      <c r="B9912" s="19">
        <v>209.7</v>
      </c>
      <c r="C9912" s="19">
        <v>2</v>
      </c>
      <c r="D9912" s="19">
        <v>100.65599999999999</v>
      </c>
    </row>
    <row r="9913" spans="1:4" x14ac:dyDescent="0.2">
      <c r="A9913" s="19" t="s">
        <v>149</v>
      </c>
      <c r="B9913" s="19">
        <v>115.36</v>
      </c>
      <c r="C9913" s="19">
        <v>7</v>
      </c>
      <c r="D9913" s="19">
        <v>56.526400000000002</v>
      </c>
    </row>
    <row r="9914" spans="1:4" x14ac:dyDescent="0.2">
      <c r="A9914" s="19" t="s">
        <v>150</v>
      </c>
      <c r="B9914" s="19">
        <v>362.13599999999997</v>
      </c>
      <c r="C9914" s="19">
        <v>3</v>
      </c>
      <c r="D9914" s="19">
        <v>-54.320399999999978</v>
      </c>
    </row>
    <row r="9915" spans="1:4" x14ac:dyDescent="0.2">
      <c r="A9915" s="19" t="s">
        <v>150</v>
      </c>
      <c r="B9915" s="19">
        <v>31.049999999999997</v>
      </c>
      <c r="C9915" s="19">
        <v>3</v>
      </c>
      <c r="D9915" s="19">
        <v>14.904</v>
      </c>
    </row>
    <row r="9916" spans="1:4" x14ac:dyDescent="0.2">
      <c r="A9916" s="19" t="s">
        <v>172</v>
      </c>
      <c r="B9916" s="19">
        <v>12.96</v>
      </c>
      <c r="C9916" s="19">
        <v>2</v>
      </c>
      <c r="D9916" s="19">
        <v>6.2208000000000006</v>
      </c>
    </row>
    <row r="9917" spans="1:4" x14ac:dyDescent="0.2">
      <c r="A9917" s="19" t="s">
        <v>172</v>
      </c>
      <c r="B9917" s="19">
        <v>94.85</v>
      </c>
      <c r="C9917" s="19">
        <v>5</v>
      </c>
      <c r="D9917" s="19">
        <v>45.527999999999992</v>
      </c>
    </row>
    <row r="9918" spans="1:4" x14ac:dyDescent="0.2">
      <c r="A9918" s="19" t="s">
        <v>172</v>
      </c>
      <c r="B9918" s="19">
        <v>13.48</v>
      </c>
      <c r="C9918" s="19">
        <v>1</v>
      </c>
      <c r="D9918" s="19">
        <v>3.5047999999999995</v>
      </c>
    </row>
    <row r="9919" spans="1:4" x14ac:dyDescent="0.2">
      <c r="A9919" s="19" t="s">
        <v>172</v>
      </c>
      <c r="B9919" s="19">
        <v>14.91</v>
      </c>
      <c r="C9919" s="19">
        <v>3</v>
      </c>
      <c r="D9919" s="19">
        <v>4.6220999999999997</v>
      </c>
    </row>
    <row r="9920" spans="1:4" x14ac:dyDescent="0.2">
      <c r="A9920" s="19" t="s">
        <v>164</v>
      </c>
      <c r="B9920" s="19">
        <v>39.979999999999997</v>
      </c>
      <c r="C9920" s="19">
        <v>1</v>
      </c>
      <c r="D9920" s="19">
        <v>17.990999999999996</v>
      </c>
    </row>
    <row r="9921" spans="1:4" x14ac:dyDescent="0.2">
      <c r="A9921" s="19" t="s">
        <v>154</v>
      </c>
      <c r="B9921" s="19">
        <v>528.42999999999995</v>
      </c>
      <c r="C9921" s="19">
        <v>5</v>
      </c>
      <c r="D9921" s="19">
        <v>-143.43099999999998</v>
      </c>
    </row>
    <row r="9922" spans="1:4" x14ac:dyDescent="0.2">
      <c r="A9922" s="19" t="s">
        <v>154</v>
      </c>
      <c r="B9922" s="19">
        <v>22.385999999999996</v>
      </c>
      <c r="C9922" s="19">
        <v>7</v>
      </c>
      <c r="D9922" s="19">
        <v>-35.817600000000013</v>
      </c>
    </row>
    <row r="9923" spans="1:4" x14ac:dyDescent="0.2">
      <c r="A9923" s="19" t="s">
        <v>173</v>
      </c>
      <c r="B9923" s="19">
        <v>5.7420000000000009</v>
      </c>
      <c r="C9923" s="19">
        <v>3</v>
      </c>
      <c r="D9923" s="19">
        <v>-4.5935999999999986</v>
      </c>
    </row>
    <row r="9924" spans="1:4" x14ac:dyDescent="0.2">
      <c r="A9924" s="19" t="s">
        <v>159</v>
      </c>
      <c r="B9924" s="19">
        <v>191.96800000000002</v>
      </c>
      <c r="C9924" s="19">
        <v>4</v>
      </c>
      <c r="D9924" s="19">
        <v>28.79519999999998</v>
      </c>
    </row>
    <row r="9925" spans="1:4" x14ac:dyDescent="0.2">
      <c r="A9925" s="19" t="s">
        <v>164</v>
      </c>
      <c r="B9925" s="19">
        <v>49.847999999999999</v>
      </c>
      <c r="C9925" s="19">
        <v>3</v>
      </c>
      <c r="D9925" s="19">
        <v>16.823699999999999</v>
      </c>
    </row>
    <row r="9926" spans="1:4" x14ac:dyDescent="0.2">
      <c r="A9926" s="19" t="s">
        <v>164</v>
      </c>
      <c r="B9926" s="19">
        <v>23.99</v>
      </c>
      <c r="C9926" s="19">
        <v>1</v>
      </c>
      <c r="D9926" s="19">
        <v>11.994999999999999</v>
      </c>
    </row>
    <row r="9927" spans="1:4" x14ac:dyDescent="0.2">
      <c r="A9927" s="19" t="s">
        <v>164</v>
      </c>
      <c r="B9927" s="19">
        <v>1087.9360000000001</v>
      </c>
      <c r="C9927" s="19">
        <v>8</v>
      </c>
      <c r="D9927" s="19">
        <v>353.5791999999999</v>
      </c>
    </row>
    <row r="9928" spans="1:4" x14ac:dyDescent="0.2">
      <c r="A9928" s="19" t="s">
        <v>164</v>
      </c>
      <c r="B9928" s="19">
        <v>199.98</v>
      </c>
      <c r="C9928" s="19">
        <v>2</v>
      </c>
      <c r="D9928" s="19">
        <v>53.994599999999991</v>
      </c>
    </row>
    <row r="9929" spans="1:4" x14ac:dyDescent="0.2">
      <c r="A9929" s="19" t="s">
        <v>164</v>
      </c>
      <c r="B9929" s="19">
        <v>83.92</v>
      </c>
      <c r="C9929" s="19">
        <v>4</v>
      </c>
      <c r="D9929" s="19">
        <v>20.140799999999999</v>
      </c>
    </row>
    <row r="9930" spans="1:4" x14ac:dyDescent="0.2">
      <c r="A9930" s="19" t="s">
        <v>150</v>
      </c>
      <c r="B9930" s="19">
        <v>24.27</v>
      </c>
      <c r="C9930" s="19">
        <v>3</v>
      </c>
      <c r="D9930" s="19">
        <v>8.7371999999999996</v>
      </c>
    </row>
    <row r="9931" spans="1:4" x14ac:dyDescent="0.2">
      <c r="A9931" s="19" t="s">
        <v>150</v>
      </c>
      <c r="B9931" s="19">
        <v>2799.9600000000005</v>
      </c>
      <c r="C9931" s="19">
        <v>5</v>
      </c>
      <c r="D9931" s="19">
        <v>944.98649999999986</v>
      </c>
    </row>
    <row r="9932" spans="1:4" x14ac:dyDescent="0.2">
      <c r="A9932" s="19" t="s">
        <v>150</v>
      </c>
      <c r="B9932" s="19">
        <v>9.8719999999999999</v>
      </c>
      <c r="C9932" s="19">
        <v>2</v>
      </c>
      <c r="D9932" s="19">
        <v>3.4551999999999996</v>
      </c>
    </row>
    <row r="9933" spans="1:4" x14ac:dyDescent="0.2">
      <c r="A9933" s="19" t="s">
        <v>150</v>
      </c>
      <c r="B9933" s="19">
        <v>683.33199999999999</v>
      </c>
      <c r="C9933" s="19">
        <v>4</v>
      </c>
      <c r="D9933" s="19">
        <v>-40.196000000000055</v>
      </c>
    </row>
    <row r="9934" spans="1:4" x14ac:dyDescent="0.2">
      <c r="A9934" s="19" t="s">
        <v>150</v>
      </c>
      <c r="B9934" s="19">
        <v>29.96</v>
      </c>
      <c r="C9934" s="19">
        <v>7</v>
      </c>
      <c r="D9934" s="19">
        <v>13.481999999999998</v>
      </c>
    </row>
    <row r="9935" spans="1:4" x14ac:dyDescent="0.2">
      <c r="A9935" s="19" t="s">
        <v>164</v>
      </c>
      <c r="B9935" s="19">
        <v>164.85000000000002</v>
      </c>
      <c r="C9935" s="19">
        <v>3</v>
      </c>
      <c r="D9935" s="19">
        <v>47.806499999999993</v>
      </c>
    </row>
    <row r="9936" spans="1:4" x14ac:dyDescent="0.2">
      <c r="A9936" s="19" t="s">
        <v>158</v>
      </c>
      <c r="B9936" s="19">
        <v>33.528000000000006</v>
      </c>
      <c r="C9936" s="19">
        <v>3</v>
      </c>
      <c r="D9936" s="19">
        <v>2.5146000000000015</v>
      </c>
    </row>
    <row r="9937" spans="1:4" x14ac:dyDescent="0.2">
      <c r="A9937" s="19" t="s">
        <v>158</v>
      </c>
      <c r="B9937" s="19">
        <v>36.744</v>
      </c>
      <c r="C9937" s="19">
        <v>3</v>
      </c>
      <c r="D9937" s="19">
        <v>3.6744000000000039</v>
      </c>
    </row>
    <row r="9938" spans="1:4" x14ac:dyDescent="0.2">
      <c r="A9938" s="19" t="s">
        <v>182</v>
      </c>
      <c r="B9938" s="19">
        <v>102.93</v>
      </c>
      <c r="C9938" s="19">
        <v>3</v>
      </c>
      <c r="D9938" s="19">
        <v>48.377100000000006</v>
      </c>
    </row>
    <row r="9939" spans="1:4" x14ac:dyDescent="0.2">
      <c r="A9939" s="19" t="s">
        <v>150</v>
      </c>
      <c r="B9939" s="19">
        <v>71.088000000000008</v>
      </c>
      <c r="C9939" s="19">
        <v>2</v>
      </c>
      <c r="D9939" s="19">
        <v>-1.7772000000000041</v>
      </c>
    </row>
    <row r="9940" spans="1:4" x14ac:dyDescent="0.2">
      <c r="A9940" s="19" t="s">
        <v>164</v>
      </c>
      <c r="B9940" s="19">
        <v>60.35</v>
      </c>
      <c r="C9940" s="19">
        <v>5</v>
      </c>
      <c r="D9940" s="19">
        <v>19.915500000000002</v>
      </c>
    </row>
    <row r="9941" spans="1:4" x14ac:dyDescent="0.2">
      <c r="A9941" s="19" t="s">
        <v>164</v>
      </c>
      <c r="B9941" s="19">
        <v>35.520000000000003</v>
      </c>
      <c r="C9941" s="19">
        <v>4</v>
      </c>
      <c r="D9941" s="19">
        <v>9.9456000000000024</v>
      </c>
    </row>
    <row r="9942" spans="1:4" x14ac:dyDescent="0.2">
      <c r="A9942" s="19" t="s">
        <v>164</v>
      </c>
      <c r="B9942" s="19">
        <v>11.200000000000001</v>
      </c>
      <c r="C9942" s="19">
        <v>7</v>
      </c>
      <c r="D9942" s="19">
        <v>4.8160000000000007</v>
      </c>
    </row>
    <row r="9943" spans="1:4" x14ac:dyDescent="0.2">
      <c r="A9943" s="19" t="s">
        <v>150</v>
      </c>
      <c r="B9943" s="19">
        <v>223.58</v>
      </c>
      <c r="C9943" s="19">
        <v>14</v>
      </c>
      <c r="D9943" s="19">
        <v>87.196200000000005</v>
      </c>
    </row>
    <row r="9944" spans="1:4" x14ac:dyDescent="0.2">
      <c r="A9944" s="19" t="s">
        <v>150</v>
      </c>
      <c r="B9944" s="19">
        <v>998.82</v>
      </c>
      <c r="C9944" s="19">
        <v>9</v>
      </c>
      <c r="D9944" s="19">
        <v>29.964600000000061</v>
      </c>
    </row>
    <row r="9945" spans="1:4" x14ac:dyDescent="0.2">
      <c r="A9945" s="19" t="s">
        <v>150</v>
      </c>
      <c r="B9945" s="19">
        <v>51.150000000000006</v>
      </c>
      <c r="C9945" s="19">
        <v>5</v>
      </c>
      <c r="D9945" s="19">
        <v>13.299000000000003</v>
      </c>
    </row>
    <row r="9946" spans="1:4" x14ac:dyDescent="0.2">
      <c r="A9946" s="19" t="s">
        <v>153</v>
      </c>
      <c r="B9946" s="19">
        <v>40.74</v>
      </c>
      <c r="C9946" s="19">
        <v>3</v>
      </c>
      <c r="D9946" s="19">
        <v>0.4073999999999991</v>
      </c>
    </row>
    <row r="9947" spans="1:4" x14ac:dyDescent="0.2">
      <c r="A9947" s="19" t="s">
        <v>158</v>
      </c>
      <c r="B9947" s="19">
        <v>3.4240000000000004</v>
      </c>
      <c r="C9947" s="19">
        <v>1</v>
      </c>
      <c r="D9947" s="19">
        <v>1.0699999999999996</v>
      </c>
    </row>
    <row r="9948" spans="1:4" x14ac:dyDescent="0.2">
      <c r="A9948" s="19" t="s">
        <v>158</v>
      </c>
      <c r="B9948" s="19">
        <v>151.20000000000002</v>
      </c>
      <c r="C9948" s="19">
        <v>3</v>
      </c>
      <c r="D9948" s="19">
        <v>32.130000000000003</v>
      </c>
    </row>
    <row r="9949" spans="1:4" x14ac:dyDescent="0.2">
      <c r="A9949" s="19" t="s">
        <v>163</v>
      </c>
      <c r="B9949" s="19">
        <v>1925.88</v>
      </c>
      <c r="C9949" s="19">
        <v>6</v>
      </c>
      <c r="D9949" s="19">
        <v>539.24639999999999</v>
      </c>
    </row>
    <row r="9950" spans="1:4" x14ac:dyDescent="0.2">
      <c r="A9950" s="19" t="s">
        <v>163</v>
      </c>
      <c r="B9950" s="19">
        <v>2405.1999999999998</v>
      </c>
      <c r="C9950" s="19">
        <v>8</v>
      </c>
      <c r="D9950" s="19">
        <v>793.71599999999989</v>
      </c>
    </row>
    <row r="9951" spans="1:4" x14ac:dyDescent="0.2">
      <c r="A9951" s="19" t="s">
        <v>163</v>
      </c>
      <c r="B9951" s="19">
        <v>83.97</v>
      </c>
      <c r="C9951" s="19">
        <v>3</v>
      </c>
      <c r="D9951" s="19">
        <v>15.954299999999993</v>
      </c>
    </row>
    <row r="9952" spans="1:4" x14ac:dyDescent="0.2">
      <c r="A9952" s="19" t="s">
        <v>163</v>
      </c>
      <c r="B9952" s="19">
        <v>39.89</v>
      </c>
      <c r="C9952" s="19">
        <v>1</v>
      </c>
      <c r="D9952" s="19">
        <v>14.7593</v>
      </c>
    </row>
    <row r="9953" spans="1:4" x14ac:dyDescent="0.2">
      <c r="A9953" s="19" t="s">
        <v>163</v>
      </c>
      <c r="B9953" s="19">
        <v>17.38</v>
      </c>
      <c r="C9953" s="19">
        <v>2</v>
      </c>
      <c r="D9953" s="19">
        <v>8.69</v>
      </c>
    </row>
    <row r="9954" spans="1:4" x14ac:dyDescent="0.2">
      <c r="A9954" s="19" t="s">
        <v>150</v>
      </c>
      <c r="B9954" s="19">
        <v>55.264000000000003</v>
      </c>
      <c r="C9954" s="19">
        <v>2</v>
      </c>
      <c r="D9954" s="19">
        <v>20.723999999999997</v>
      </c>
    </row>
    <row r="9955" spans="1:4" x14ac:dyDescent="0.2">
      <c r="A9955" s="19" t="s">
        <v>150</v>
      </c>
      <c r="B9955" s="19">
        <v>6.48</v>
      </c>
      <c r="C9955" s="19">
        <v>1</v>
      </c>
      <c r="D9955" s="19">
        <v>3.1104000000000003</v>
      </c>
    </row>
    <row r="9956" spans="1:4" x14ac:dyDescent="0.2">
      <c r="A9956" s="19" t="s">
        <v>150</v>
      </c>
      <c r="B9956" s="19">
        <v>34.248000000000005</v>
      </c>
      <c r="C9956" s="19">
        <v>3</v>
      </c>
      <c r="D9956" s="19">
        <v>11.558699999999998</v>
      </c>
    </row>
    <row r="9957" spans="1:4" x14ac:dyDescent="0.2">
      <c r="A9957" s="19" t="s">
        <v>150</v>
      </c>
      <c r="B9957" s="19">
        <v>273.56799999999998</v>
      </c>
      <c r="C9957" s="19">
        <v>2</v>
      </c>
      <c r="D9957" s="19">
        <v>10.258800000000008</v>
      </c>
    </row>
    <row r="9958" spans="1:4" x14ac:dyDescent="0.2">
      <c r="A9958" s="19" t="s">
        <v>164</v>
      </c>
      <c r="B9958" s="19">
        <v>46.349999999999994</v>
      </c>
      <c r="C9958" s="19">
        <v>5</v>
      </c>
      <c r="D9958" s="19">
        <v>21.784499999999998</v>
      </c>
    </row>
    <row r="9959" spans="1:4" x14ac:dyDescent="0.2">
      <c r="A9959" s="19" t="s">
        <v>164</v>
      </c>
      <c r="B9959" s="19">
        <v>223.92</v>
      </c>
      <c r="C9959" s="19">
        <v>4</v>
      </c>
      <c r="D9959" s="19">
        <v>109.7208</v>
      </c>
    </row>
    <row r="9960" spans="1:4" x14ac:dyDescent="0.2">
      <c r="A9960" s="19" t="s">
        <v>164</v>
      </c>
      <c r="B9960" s="19">
        <v>7.3</v>
      </c>
      <c r="C9960" s="19">
        <v>2</v>
      </c>
      <c r="D9960" s="19">
        <v>2.1899999999999995</v>
      </c>
    </row>
    <row r="9961" spans="1:4" x14ac:dyDescent="0.2">
      <c r="A9961" s="19" t="s">
        <v>165</v>
      </c>
      <c r="B9961" s="19">
        <v>9.3439999999999994</v>
      </c>
      <c r="C9961" s="19">
        <v>2</v>
      </c>
      <c r="D9961" s="19">
        <v>1.8687999999999998</v>
      </c>
    </row>
    <row r="9962" spans="1:4" x14ac:dyDescent="0.2">
      <c r="A9962" s="19" t="s">
        <v>149</v>
      </c>
      <c r="B9962" s="19">
        <v>18</v>
      </c>
      <c r="C9962" s="19">
        <v>1</v>
      </c>
      <c r="D9962" s="19">
        <v>3.2399999999999984</v>
      </c>
    </row>
    <row r="9963" spans="1:4" x14ac:dyDescent="0.2">
      <c r="A9963" s="19" t="s">
        <v>154</v>
      </c>
      <c r="B9963" s="19">
        <v>65.584000000000003</v>
      </c>
      <c r="C9963" s="19">
        <v>2</v>
      </c>
      <c r="D9963" s="19">
        <v>23.7742</v>
      </c>
    </row>
    <row r="9964" spans="1:4" x14ac:dyDescent="0.2">
      <c r="A9964" s="19" t="s">
        <v>154</v>
      </c>
      <c r="B9964" s="19">
        <v>383.46559999999994</v>
      </c>
      <c r="C9964" s="19">
        <v>4</v>
      </c>
      <c r="D9964" s="19">
        <v>-67.670400000000001</v>
      </c>
    </row>
    <row r="9965" spans="1:4" x14ac:dyDescent="0.2">
      <c r="A9965" s="19" t="s">
        <v>158</v>
      </c>
      <c r="B9965" s="19">
        <v>10.368000000000002</v>
      </c>
      <c r="C9965" s="19">
        <v>2</v>
      </c>
      <c r="D9965" s="19">
        <v>3.6288</v>
      </c>
    </row>
    <row r="9966" spans="1:4" x14ac:dyDescent="0.2">
      <c r="A9966" s="19" t="s">
        <v>162</v>
      </c>
      <c r="B9966" s="19">
        <v>13.4</v>
      </c>
      <c r="C9966" s="19">
        <v>1</v>
      </c>
      <c r="D9966" s="19">
        <v>6.4319999999999995</v>
      </c>
    </row>
    <row r="9967" spans="1:4" x14ac:dyDescent="0.2">
      <c r="A9967" s="19" t="s">
        <v>162</v>
      </c>
      <c r="B9967" s="19">
        <v>4.9800000000000004</v>
      </c>
      <c r="C9967" s="19">
        <v>1</v>
      </c>
      <c r="D9967" s="19">
        <v>2.3406000000000002</v>
      </c>
    </row>
    <row r="9968" spans="1:4" x14ac:dyDescent="0.2">
      <c r="A9968" s="19" t="s">
        <v>162</v>
      </c>
      <c r="B9968" s="19">
        <v>109.69</v>
      </c>
      <c r="C9968" s="19">
        <v>7</v>
      </c>
      <c r="D9968" s="19">
        <v>51.554299999999991</v>
      </c>
    </row>
    <row r="9969" spans="1:4" x14ac:dyDescent="0.2">
      <c r="A9969" s="19" t="s">
        <v>179</v>
      </c>
      <c r="B9969" s="19">
        <v>40.199999999999996</v>
      </c>
      <c r="C9969" s="19">
        <v>5</v>
      </c>
      <c r="D9969" s="19">
        <v>18.089999999999996</v>
      </c>
    </row>
    <row r="9970" spans="1:4" x14ac:dyDescent="0.2">
      <c r="A9970" s="19" t="s">
        <v>179</v>
      </c>
      <c r="B9970" s="19">
        <v>735.98</v>
      </c>
      <c r="C9970" s="19">
        <v>2</v>
      </c>
      <c r="D9970" s="19">
        <v>331.19099999999997</v>
      </c>
    </row>
    <row r="9971" spans="1:4" x14ac:dyDescent="0.2">
      <c r="A9971" s="19" t="s">
        <v>179</v>
      </c>
      <c r="B9971" s="19">
        <v>22.75</v>
      </c>
      <c r="C9971" s="19">
        <v>7</v>
      </c>
      <c r="D9971" s="19">
        <v>6.5974999999999993</v>
      </c>
    </row>
    <row r="9972" spans="1:4" x14ac:dyDescent="0.2">
      <c r="A9972" s="19" t="s">
        <v>101</v>
      </c>
      <c r="B9972" s="19">
        <v>119.56</v>
      </c>
      <c r="C9972" s="19">
        <v>2</v>
      </c>
      <c r="D9972" s="19">
        <v>54.997599999999991</v>
      </c>
    </row>
    <row r="9973" spans="1:4" x14ac:dyDescent="0.2">
      <c r="A9973" s="19" t="s">
        <v>101</v>
      </c>
      <c r="B9973" s="19">
        <v>140.75</v>
      </c>
      <c r="C9973" s="19">
        <v>5</v>
      </c>
      <c r="D9973" s="19">
        <v>42.22499999999998</v>
      </c>
    </row>
    <row r="9974" spans="1:4" x14ac:dyDescent="0.2">
      <c r="A9974" s="19" t="s">
        <v>154</v>
      </c>
      <c r="B9974" s="19">
        <v>99.567999999999998</v>
      </c>
      <c r="C9974" s="19">
        <v>2</v>
      </c>
      <c r="D9974" s="19">
        <v>33.604199999999992</v>
      </c>
    </row>
    <row r="9975" spans="1:4" x14ac:dyDescent="0.2">
      <c r="A9975" s="19" t="s">
        <v>150</v>
      </c>
      <c r="B9975" s="19">
        <v>271.95999999999998</v>
      </c>
      <c r="C9975" s="19">
        <v>5</v>
      </c>
      <c r="D9975" s="19">
        <v>27.195999999999998</v>
      </c>
    </row>
    <row r="9976" spans="1:4" x14ac:dyDescent="0.2">
      <c r="A9976" s="19" t="s">
        <v>150</v>
      </c>
      <c r="B9976" s="19">
        <v>18.689999999999998</v>
      </c>
      <c r="C9976" s="19">
        <v>7</v>
      </c>
      <c r="D9976" s="19">
        <v>5.2332000000000001</v>
      </c>
    </row>
    <row r="9977" spans="1:4" x14ac:dyDescent="0.2">
      <c r="A9977" s="19" t="s">
        <v>150</v>
      </c>
      <c r="B9977" s="19">
        <v>13.36</v>
      </c>
      <c r="C9977" s="19">
        <v>2</v>
      </c>
      <c r="D9977" s="19">
        <v>6.4127999999999998</v>
      </c>
    </row>
    <row r="9978" spans="1:4" x14ac:dyDescent="0.2">
      <c r="A9978" s="19" t="s">
        <v>150</v>
      </c>
      <c r="B9978" s="19">
        <v>249.58400000000003</v>
      </c>
      <c r="C9978" s="19">
        <v>2</v>
      </c>
      <c r="D9978" s="19">
        <v>31.197999999999986</v>
      </c>
    </row>
    <row r="9979" spans="1:4" x14ac:dyDescent="0.2">
      <c r="A9979" s="19" t="s">
        <v>150</v>
      </c>
      <c r="B9979" s="19">
        <v>13.86</v>
      </c>
      <c r="C9979" s="19">
        <v>7</v>
      </c>
      <c r="D9979" s="19">
        <v>0</v>
      </c>
    </row>
    <row r="9980" spans="1:4" x14ac:dyDescent="0.2">
      <c r="A9980" s="19" t="s">
        <v>150</v>
      </c>
      <c r="B9980" s="19">
        <v>13.375999999999999</v>
      </c>
      <c r="C9980" s="19">
        <v>4</v>
      </c>
      <c r="D9980" s="19">
        <v>4.6815999999999995</v>
      </c>
    </row>
    <row r="9981" spans="1:4" x14ac:dyDescent="0.2">
      <c r="A9981" s="19" t="s">
        <v>150</v>
      </c>
      <c r="B9981" s="19">
        <v>437.47200000000009</v>
      </c>
      <c r="C9981" s="19">
        <v>14</v>
      </c>
      <c r="D9981" s="19">
        <v>153.11519999999999</v>
      </c>
    </row>
    <row r="9982" spans="1:4" x14ac:dyDescent="0.2">
      <c r="A9982" s="19" t="s">
        <v>177</v>
      </c>
      <c r="B9982" s="19">
        <v>85.98</v>
      </c>
      <c r="C9982" s="19">
        <v>1</v>
      </c>
      <c r="D9982" s="19">
        <v>22.354800000000004</v>
      </c>
    </row>
    <row r="9983" spans="1:4" x14ac:dyDescent="0.2">
      <c r="A9983" s="19" t="s">
        <v>173</v>
      </c>
      <c r="B9983" s="19">
        <v>16.520000000000003</v>
      </c>
      <c r="C9983" s="19">
        <v>5</v>
      </c>
      <c r="D9983" s="19">
        <v>5.368999999999998</v>
      </c>
    </row>
    <row r="9984" spans="1:4" x14ac:dyDescent="0.2">
      <c r="A9984" s="19" t="s">
        <v>161</v>
      </c>
      <c r="B9984" s="19">
        <v>35.56</v>
      </c>
      <c r="C9984" s="19">
        <v>7</v>
      </c>
      <c r="D9984" s="19">
        <v>16.713200000000001</v>
      </c>
    </row>
    <row r="9985" spans="1:4" x14ac:dyDescent="0.2">
      <c r="A9985" s="19" t="s">
        <v>161</v>
      </c>
      <c r="B9985" s="19">
        <v>97.98</v>
      </c>
      <c r="C9985" s="19">
        <v>2</v>
      </c>
      <c r="D9985" s="19">
        <v>27.434400000000011</v>
      </c>
    </row>
    <row r="9986" spans="1:4" x14ac:dyDescent="0.2">
      <c r="A9986" s="19" t="s">
        <v>164</v>
      </c>
      <c r="B9986" s="19">
        <v>31.5</v>
      </c>
      <c r="C9986" s="19">
        <v>10</v>
      </c>
      <c r="D9986" s="19">
        <v>15.120000000000001</v>
      </c>
    </row>
    <row r="9987" spans="1:4" x14ac:dyDescent="0.2">
      <c r="A9987" s="19" t="s">
        <v>164</v>
      </c>
      <c r="B9987" s="19">
        <v>55.6</v>
      </c>
      <c r="C9987" s="19">
        <v>4</v>
      </c>
      <c r="D9987" s="19">
        <v>16.123999999999995</v>
      </c>
    </row>
    <row r="9988" spans="1:4" x14ac:dyDescent="0.2">
      <c r="A9988" s="19" t="s">
        <v>150</v>
      </c>
      <c r="B9988" s="19">
        <v>36.24</v>
      </c>
      <c r="C9988" s="19">
        <v>1</v>
      </c>
      <c r="D9988" s="19">
        <v>15.220800000000001</v>
      </c>
    </row>
    <row r="9989" spans="1:4" x14ac:dyDescent="0.2">
      <c r="A9989" s="19" t="s">
        <v>101</v>
      </c>
      <c r="B9989" s="19">
        <v>79.989999999999995</v>
      </c>
      <c r="C9989" s="19">
        <v>1</v>
      </c>
      <c r="D9989" s="19">
        <v>28.796399999999998</v>
      </c>
    </row>
    <row r="9990" spans="1:4" x14ac:dyDescent="0.2">
      <c r="A9990" s="19" t="s">
        <v>101</v>
      </c>
      <c r="B9990" s="19">
        <v>206.1</v>
      </c>
      <c r="C9990" s="19">
        <v>5</v>
      </c>
      <c r="D9990" s="19">
        <v>55.647000000000006</v>
      </c>
    </row>
    <row r="9991" spans="1:4" x14ac:dyDescent="0.2">
      <c r="A9991" s="19" t="s">
        <v>151</v>
      </c>
      <c r="B9991" s="19">
        <v>25.248000000000001</v>
      </c>
      <c r="C9991" s="19">
        <v>3</v>
      </c>
      <c r="D9991" s="19">
        <v>4.1027999999999993</v>
      </c>
    </row>
    <row r="9992" spans="1:4" x14ac:dyDescent="0.2">
      <c r="A9992" s="19" t="s">
        <v>150</v>
      </c>
      <c r="B9992" s="19">
        <v>91.96</v>
      </c>
      <c r="C9992" s="19">
        <v>2</v>
      </c>
      <c r="D9992" s="19">
        <v>15.633199999999988</v>
      </c>
    </row>
    <row r="9993" spans="1:4" x14ac:dyDescent="0.2">
      <c r="A9993" s="19" t="s">
        <v>150</v>
      </c>
      <c r="B9993" s="19">
        <v>258.57600000000002</v>
      </c>
      <c r="C9993" s="19">
        <v>2</v>
      </c>
      <c r="D9993" s="19">
        <v>19.393200000000007</v>
      </c>
    </row>
    <row r="9994" spans="1:4" x14ac:dyDescent="0.2">
      <c r="A9994" s="19" t="s">
        <v>150</v>
      </c>
      <c r="B9994" s="19">
        <v>29.6</v>
      </c>
      <c r="C9994" s="19">
        <v>4</v>
      </c>
      <c r="D9994" s="19">
        <v>13.32</v>
      </c>
    </row>
    <row r="9995" spans="1:4" x14ac:dyDescent="0.2">
      <c r="A9995" s="19" t="s">
        <v>150</v>
      </c>
      <c r="B9995" s="19">
        <v>243.16</v>
      </c>
      <c r="C9995" s="19">
        <v>2</v>
      </c>
      <c r="D9995" s="19">
        <v>72.947999999999979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AGENDA</vt:lpstr>
      <vt:lpstr>PIE CHART</vt:lpstr>
      <vt:lpstr>BAR</vt:lpstr>
      <vt:lpstr>Line</vt:lpstr>
      <vt:lpstr>SCATTER plot</vt:lpstr>
      <vt:lpstr>BOX-whisker</vt:lpstr>
      <vt:lpstr>pareto</vt:lpstr>
      <vt:lpstr>waterfall</vt:lpstr>
      <vt:lpstr>sunburst</vt:lpstr>
      <vt:lpstr>radar</vt:lpstr>
      <vt:lpstr>treemap</vt:lpstr>
      <vt:lpstr>sparklines</vt:lpstr>
      <vt:lpstr>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2026-01-22T15:49:29Z</dcterms:created>
  <dcterms:modified xsi:type="dcterms:W3CDTF">2026-01-22T17:37:34Z</dcterms:modified>
</cp:coreProperties>
</file>