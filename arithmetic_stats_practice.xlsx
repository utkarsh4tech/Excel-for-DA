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9CAFD286-7344-4D44-8404-E33AEC43D0A0}" xr6:coauthVersionLast="47" xr6:coauthVersionMax="47" xr10:uidLastSave="{00000000-0000-0000-0000-000000000000}"/>
  <bookViews>
    <workbookView xWindow="380" yWindow="500" windowWidth="28040" windowHeight="16940" xr2:uid="{DC3C37F6-EAE6-684C-8D35-6151285EAD53}"/>
  </bookViews>
  <sheets>
    <sheet name="DATASET" sheetId="2" r:id="rId1"/>
    <sheet name="QUESTIONS" sheetId="1" r:id="rId2"/>
    <sheet name="Solution" sheetId="3" r:id="rId3"/>
  </sheets>
  <definedNames>
    <definedName name="ExternalData_1" localSheetId="0" hidden="1">DATASET!$A$1:$I$25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" l="1"/>
  <c r="K19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10" i="1"/>
  <c r="I9" i="1"/>
  <c r="I14" i="1"/>
  <c r="J10" i="1"/>
  <c r="J12" i="1"/>
  <c r="I11" i="1"/>
  <c r="I10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ED770-B4BC-FA4F-B869-2D022076B1FB}" keepAlive="1" name="Query - data csv" description="Connection to the 'data csv' query in the workbook." type="5" refreshedVersion="8" background="1" saveData="1">
    <dbPr connection="Provider=Microsoft.Mashup.OleDb.1;Data Source=$Workbook$;Location=&quot;data csv&quot;;Extended Properties=&quot;&quot;" command="SELECT * FROM [data csv]"/>
  </connection>
</connections>
</file>

<file path=xl/sharedStrings.xml><?xml version="1.0" encoding="utf-8"?>
<sst xmlns="http://schemas.openxmlformats.org/spreadsheetml/2006/main" count="123" uniqueCount="46">
  <si>
    <t>OrderID</t>
  </si>
  <si>
    <t>OrderDate</t>
  </si>
  <si>
    <t>Region</t>
  </si>
  <si>
    <t>SalesChannel</t>
  </si>
  <si>
    <t>ProductCategory</t>
  </si>
  <si>
    <t>UnitsSold</t>
  </si>
  <si>
    <t>UnitPrice</t>
  </si>
  <si>
    <t>SalesAmount</t>
  </si>
  <si>
    <t>North</t>
  </si>
  <si>
    <t>Online</t>
  </si>
  <si>
    <t>Electronics</t>
  </si>
  <si>
    <t>South</t>
  </si>
  <si>
    <t>In-Store</t>
  </si>
  <si>
    <t>Apparel</t>
  </si>
  <si>
    <t>Home Goods</t>
  </si>
  <si>
    <t>West</t>
  </si>
  <si>
    <t>East</t>
  </si>
  <si>
    <t>Groceries</t>
  </si>
  <si>
    <t>SalesRepID</t>
  </si>
  <si>
    <t>SR101</t>
  </si>
  <si>
    <t>SR203</t>
  </si>
  <si>
    <t/>
  </si>
  <si>
    <t>SR301</t>
  </si>
  <si>
    <t>SR202</t>
  </si>
  <si>
    <t>SR401</t>
  </si>
  <si>
    <t>SR102</t>
  </si>
  <si>
    <t>SR302</t>
  </si>
  <si>
    <t>SR402</t>
  </si>
  <si>
    <t>Can you create a new column called ValidationCheck that calculates UnitsSold × UnitPrice and then subtracts the existing SalesAmount? If the data is correct, all values in this new column should be 0.</t>
  </si>
  <si>
    <r>
      <t xml:space="preserve">How many transactions in the dataset are missing a </t>
    </r>
    <r>
      <rPr>
        <sz val="10"/>
        <color theme="1"/>
        <rFont val="Arial Unicode MS"/>
        <family val="2"/>
      </rPr>
      <t>SalesRepID</t>
    </r>
    <r>
      <rPr>
        <sz val="12"/>
        <color theme="1"/>
        <rFont val="Aptos Narrow"/>
        <family val="2"/>
        <scheme val="minor"/>
      </rPr>
      <t>?</t>
    </r>
  </si>
  <si>
    <r>
      <t xml:space="preserve">Assume the Cost of Goods Sold (COGS) is 65% of the </t>
    </r>
    <r>
      <rPr>
        <sz val="10"/>
        <color theme="1"/>
        <rFont val="Arial Unicode MS"/>
        <family val="2"/>
      </rPr>
      <t>SalesAmount</t>
    </r>
    <r>
      <rPr>
        <sz val="12"/>
        <color theme="1"/>
        <rFont val="Aptos Narrow"/>
        <family val="2"/>
        <scheme val="minor"/>
      </rPr>
      <t xml:space="preserve">. Create a new column called </t>
    </r>
    <r>
      <rPr>
        <sz val="10"/>
        <color theme="1"/>
        <rFont val="Arial Unicode MS"/>
        <family val="2"/>
      </rPr>
      <t>Profit</t>
    </r>
    <r>
      <rPr>
        <sz val="12"/>
        <color theme="1"/>
        <rFont val="Aptos Narrow"/>
        <family val="2"/>
        <scheme val="minor"/>
      </rPr>
      <t>. What is the total profit for all transactions?</t>
    </r>
  </si>
  <si>
    <t>What are the total sales generated from the 'North' region?</t>
  </si>
  <si>
    <t>How many individual sales transactions were made 'In-Store' vs. 'Online'?</t>
  </si>
  <si>
    <t>How many transactions in the 'Groceries' category involved selling more than 20 units?</t>
  </si>
  <si>
    <r>
      <t xml:space="preserve">What is the average </t>
    </r>
    <r>
      <rPr>
        <sz val="10"/>
        <color theme="1"/>
        <rFont val="Arial Unicode MS"/>
        <family val="2"/>
      </rPr>
      <t>SalesAmount</t>
    </r>
    <r>
      <rPr>
        <sz val="12"/>
        <color theme="1"/>
        <rFont val="Aptos Narrow"/>
        <family val="2"/>
        <scheme val="minor"/>
      </rPr>
      <t xml:space="preserve"> for products in the 'Electronics' category?</t>
    </r>
  </si>
  <si>
    <t>What is the total revenue from 'Online' sales in the 'West' region?</t>
  </si>
  <si>
    <r>
      <t xml:space="preserve">Sales Rep </t>
    </r>
    <r>
      <rPr>
        <sz val="10"/>
        <color theme="1"/>
        <rFont val="Arial Unicode MS"/>
        <family val="2"/>
      </rPr>
      <t>SR101</t>
    </r>
    <r>
      <rPr>
        <sz val="12"/>
        <color theme="1"/>
        <rFont val="Aptos Narrow"/>
        <family val="2"/>
        <scheme val="minor"/>
      </rPr>
      <t xml:space="preserve"> works in the 'North' region. How many 'Electronics' sales did this specific representative make?</t>
    </r>
  </si>
  <si>
    <r>
      <t xml:space="preserve">What is the average </t>
    </r>
    <r>
      <rPr>
        <sz val="10"/>
        <color theme="1"/>
        <rFont val="Arial Unicode MS"/>
        <family val="2"/>
      </rPr>
      <t>SalesAmount</t>
    </r>
    <r>
      <rPr>
        <sz val="12"/>
        <color theme="1"/>
        <rFont val="Aptos Narrow"/>
        <family val="2"/>
        <scheme val="minor"/>
      </rPr>
      <t xml:space="preserve"> for 'Apparel' products sold 'In-Store' in the 'South' region?</t>
    </r>
  </si>
  <si>
    <r>
      <t xml:space="preserve">The marketing team wants to target high-spending customers. How many transactions for 'Home Goods' or 'Electronics' exceeded a </t>
    </r>
    <r>
      <rPr>
        <sz val="10"/>
        <color theme="1"/>
        <rFont val="Arial Unicode MS"/>
        <family val="2"/>
      </rPr>
      <t>SalesAmount</t>
    </r>
    <r>
      <rPr>
        <sz val="12"/>
        <color theme="1"/>
        <rFont val="Aptos Narrow"/>
        <family val="2"/>
        <scheme val="minor"/>
      </rPr>
      <t xml:space="preserve"> of $400?</t>
    </r>
  </si>
  <si>
    <r>
      <t xml:space="preserve">Without using the </t>
    </r>
    <r>
      <rPr>
        <sz val="10"/>
        <color theme="1"/>
        <rFont val="Arial Unicode MS"/>
        <family val="2"/>
      </rPr>
      <t>SalesAmount</t>
    </r>
    <r>
      <rPr>
        <sz val="12"/>
        <color theme="1"/>
        <rFont val="Aptos Narrow"/>
        <family val="2"/>
        <scheme val="minor"/>
      </rPr>
      <t xml:space="preserve"> column at all, calculate the total revenue for all transactions?</t>
    </r>
  </si>
  <si>
    <r>
      <t xml:space="preserve">Calculate the overall weighted average price per unit sold across all transactions. The formula for this is Total Revenue / Total Units Sold. Can you calculate the "Total Revenue" part of this using </t>
    </r>
    <r>
      <rPr>
        <sz val="10"/>
        <color theme="1"/>
        <rFont val="Arial Unicode MS"/>
        <family val="2"/>
      </rPr>
      <t>SUMPRODUCT</t>
    </r>
    <r>
      <rPr>
        <sz val="12"/>
        <color theme="1"/>
        <rFont val="Aptos Narrow"/>
        <family val="2"/>
        <scheme val="minor"/>
      </rPr>
      <t>?</t>
    </r>
  </si>
  <si>
    <r>
      <t xml:space="preserve">The company performs a random audit on every 3rd order based on its </t>
    </r>
    <r>
      <rPr>
        <sz val="10"/>
        <color theme="1"/>
        <rFont val="Arial Unicode MS"/>
        <family val="2"/>
      </rPr>
      <t>OrderID</t>
    </r>
    <r>
      <rPr>
        <sz val="12"/>
        <color theme="1"/>
        <rFont val="Aptos Narrow"/>
        <family val="2"/>
        <scheme val="minor"/>
      </rPr>
      <t xml:space="preserve">. Create a new column named </t>
    </r>
    <r>
      <rPr>
        <sz val="10"/>
        <color theme="1"/>
        <rFont val="Arial Unicode MS"/>
        <family val="2"/>
      </rPr>
      <t>AuditFlag</t>
    </r>
    <r>
      <rPr>
        <sz val="12"/>
        <color theme="1"/>
        <rFont val="Aptos Narrow"/>
        <family val="2"/>
        <scheme val="minor"/>
      </rPr>
      <t xml:space="preserve">. If the </t>
    </r>
    <r>
      <rPr>
        <sz val="10"/>
        <color theme="1"/>
        <rFont val="Arial Unicode MS"/>
        <family val="2"/>
      </rPr>
      <t>OrderID</t>
    </r>
    <r>
      <rPr>
        <sz val="12"/>
        <color theme="1"/>
        <rFont val="Aptos Narrow"/>
        <family val="2"/>
        <scheme val="minor"/>
      </rPr>
      <t xml:space="preserve"> is perfectly divisible by 3, the column should say "Audit", otherwise it should be blank. How many orders are flagged for an audit? </t>
    </r>
  </si>
  <si>
    <t>A bonus is given for any transaction over $1,000 OR any transaction in the 'Groceries' category where more than 20 units were sold. How many transactions qualify for a bonus?</t>
  </si>
  <si>
    <t>PROFIT</t>
  </si>
  <si>
    <t>Cost Price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</si>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</sst>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CF4003-DBB3-0848-9026-72ADE498EEFE}" autoFormatId="16" applyNumberFormats="0" applyBorderFormats="0" applyFontFormats="0" applyPatternFormats="0" applyAlignmentFormats="0" applyWidthHeightFormats="0">
  <queryTableRefresh nextId="17" unboundColumnsRight="3">
    <queryTableFields count="12">
      <queryTableField id="1" name="OrderID" tableColumnId="1"/>
      <queryTableField id="2" name="OrderDate" tableColumnId="2"/>
      <queryTableField id="3" name="Region" tableColumnId="3"/>
      <queryTableField id="4" name="SalesChannel" tableColumnId="4"/>
      <queryTableField id="5" name="ProductCategory" tableColumnId="5"/>
      <queryTableField id="6" name="UnitsSold" tableColumnId="6"/>
      <queryTableField id="7" name="UnitPrice" tableColumnId="7"/>
      <queryTableField id="8" name="SalesAmount" tableColumnId="8"/>
      <queryTableField id="9" name="SalesRepID" tableColumnId="9"/>
      <queryTableField id="14" dataBound="0" tableColumnId="14"/>
      <queryTableField id="15" dataBound="0" tableColumnId="15"/>
      <queryTableField id="16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9B0E3-B6D4-8741-B3E4-DCF713361033}" name="data_csv" displayName="data_csv" ref="A1:L25" tableType="queryTable" totalsRowShown="0">
  <autoFilter ref="A1:L25" xr:uid="{5709B0E3-B6D4-8741-B3E4-DCF713361033}"/>
  <tableColumns count="12">
    <tableColumn id="1" xr3:uid="{53FF69BE-2019-3B4B-932B-138208DE84F1}" uniqueName="1" name="OrderID" queryTableFieldId="1"/>
    <tableColumn id="2" xr3:uid="{6568C430-2DC1-CD45-A564-6015E5D05D9D}" uniqueName="2" name="OrderDate" queryTableFieldId="2" dataDxfId="14" totalsRowDxfId="13"/>
    <tableColumn id="3" xr3:uid="{E29CA24D-BA49-C148-8400-B7D57505FC74}" uniqueName="3" name="Region" queryTableFieldId="3" dataDxfId="12" totalsRowDxfId="11"/>
    <tableColumn id="4" xr3:uid="{4639A9A4-6376-7946-B985-0C14546D6372}" uniqueName="4" name="SalesChannel" queryTableFieldId="4" dataDxfId="10" totalsRowDxfId="9"/>
    <tableColumn id="5" xr3:uid="{E8E55C26-C816-894B-BC6D-0D7A10C8B059}" uniqueName="5" name="ProductCategory" queryTableFieldId="5" dataDxfId="8" totalsRowDxfId="7"/>
    <tableColumn id="6" xr3:uid="{626C208D-F773-8A4D-BC83-E5052E16C1EE}" uniqueName="6" name="UnitsSold" queryTableFieldId="6"/>
    <tableColumn id="7" xr3:uid="{DB9D3962-5541-FB45-A574-6AF6B858B153}" uniqueName="7" name="UnitPrice" queryTableFieldId="7"/>
    <tableColumn id="8" xr3:uid="{A17DDDB2-62E9-7C45-8979-67FF821B43AE}" uniqueName="8" name="SalesAmount" queryTableFieldId="8"/>
    <tableColumn id="9" xr3:uid="{9E2B82CA-0954-6440-B8A3-1970EF546901}" uniqueName="9" name="SalesRepID" queryTableFieldId="9" dataDxfId="6" totalsRowDxfId="5"/>
    <tableColumn id="14" xr3:uid="{91820D26-5E3F-D54E-90F6-496B5B9B2ECC}" uniqueName="14" name="Cost Price" queryTableFieldId="14" dataDxfId="4" totalsRowDxfId="3">
      <calculatedColumnFormula>data_csv[[#This Row],[SalesAmount]]*65%</calculatedColumnFormula>
    </tableColumn>
    <tableColumn id="15" xr3:uid="{4DED8382-4FA1-6F4C-8466-648196BB6DA5}" uniqueName="15" name="PROFIT" queryTableFieldId="15" dataDxfId="2" totalsRowDxfId="1">
      <calculatedColumnFormula>data_csv[[#This Row],[SalesAmount]]*(1-65%)</calculatedColumnFormula>
    </tableColumn>
    <tableColumn id="10" xr3:uid="{DDB6C5F8-D4B7-F447-8534-70789261FBF6}" uniqueName="10" name="Column1" queryTableFieldId="16" dataDxfId="0">
      <calculatedColumnFormula>IF(MOD(A2,3)=0,"Audit","")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7350-BA05-DE40-A9B4-7186D98516AC}">
  <dimension ref="A1:L25"/>
  <sheetViews>
    <sheetView tabSelected="1" topLeftCell="D1" zoomScale="176" workbookViewId="0">
      <selection activeCell="O8" sqref="O8"/>
    </sheetView>
  </sheetViews>
  <sheetFormatPr baseColWidth="10" defaultRowHeight="16" x14ac:dyDescent="0.2"/>
  <cols>
    <col min="1" max="1" width="10.1640625" bestFit="1" customWidth="1"/>
    <col min="2" max="2" width="12.33203125" bestFit="1" customWidth="1"/>
    <col min="3" max="3" width="9.33203125" bestFit="1" customWidth="1"/>
    <col min="4" max="4" width="15" bestFit="1" customWidth="1"/>
    <col min="5" max="5" width="17.6640625" bestFit="1" customWidth="1"/>
    <col min="6" max="6" width="11.5" bestFit="1" customWidth="1"/>
    <col min="7" max="7" width="11.33203125" bestFit="1" customWidth="1"/>
    <col min="8" max="8" width="14.6640625" bestFit="1" customWidth="1"/>
    <col min="9" max="9" width="13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44</v>
      </c>
      <c r="K1" t="s">
        <v>43</v>
      </c>
      <c r="L1" t="s">
        <v>45</v>
      </c>
    </row>
    <row r="2" spans="1:12" x14ac:dyDescent="0.2">
      <c r="A2">
        <v>1001</v>
      </c>
      <c r="B2" s="1">
        <v>45931</v>
      </c>
      <c r="C2" t="s">
        <v>8</v>
      </c>
      <c r="D2" t="s">
        <v>9</v>
      </c>
      <c r="E2" t="s">
        <v>10</v>
      </c>
      <c r="F2">
        <v>2</v>
      </c>
      <c r="G2">
        <v>250</v>
      </c>
      <c r="H2">
        <v>500</v>
      </c>
      <c r="I2" t="s">
        <v>19</v>
      </c>
      <c r="J2">
        <f>data_csv[[#This Row],[SalesAmount]]*65%</f>
        <v>325</v>
      </c>
      <c r="K2">
        <f>data_csv[[#This Row],[SalesAmount]]*(1-65%)</f>
        <v>175</v>
      </c>
      <c r="L2" s="2" t="str">
        <f>IF(MOD(A2,3)=0,"Audit","")</f>
        <v/>
      </c>
    </row>
    <row r="3" spans="1:12" x14ac:dyDescent="0.2">
      <c r="A3">
        <v>1002</v>
      </c>
      <c r="B3" s="1">
        <v>45931</v>
      </c>
      <c r="C3" t="s">
        <v>11</v>
      </c>
      <c r="D3" t="s">
        <v>12</v>
      </c>
      <c r="E3" t="s">
        <v>13</v>
      </c>
      <c r="F3">
        <v>5</v>
      </c>
      <c r="G3">
        <v>45</v>
      </c>
      <c r="H3">
        <v>225</v>
      </c>
      <c r="I3" t="s">
        <v>20</v>
      </c>
      <c r="J3">
        <f>data_csv[[#This Row],[SalesAmount]]*65%</f>
        <v>146.25</v>
      </c>
      <c r="K3">
        <f>data_csv[[#This Row],[SalesAmount]]*(1-65%)</f>
        <v>78.75</v>
      </c>
      <c r="L3" s="2" t="str">
        <f>IF(MOD(A3,3)=0,"Audit","")</f>
        <v>Audit</v>
      </c>
    </row>
    <row r="4" spans="1:12" x14ac:dyDescent="0.2">
      <c r="A4">
        <v>1003</v>
      </c>
      <c r="B4" s="1">
        <v>45932</v>
      </c>
      <c r="C4" t="s">
        <v>8</v>
      </c>
      <c r="D4" t="s">
        <v>9</v>
      </c>
      <c r="E4" t="s">
        <v>14</v>
      </c>
      <c r="F4">
        <v>1</v>
      </c>
      <c r="G4">
        <v>120</v>
      </c>
      <c r="H4">
        <v>120</v>
      </c>
      <c r="I4" t="s">
        <v>19</v>
      </c>
      <c r="J4">
        <f>data_csv[[#This Row],[SalesAmount]]*65%</f>
        <v>78</v>
      </c>
      <c r="K4">
        <f>data_csv[[#This Row],[SalesAmount]]*(1-65%)</f>
        <v>42</v>
      </c>
      <c r="L4" s="2" t="str">
        <f>IF(MOD(A4,3)=0,"Audit","")</f>
        <v/>
      </c>
    </row>
    <row r="5" spans="1:12" x14ac:dyDescent="0.2">
      <c r="A5">
        <v>1004</v>
      </c>
      <c r="B5" s="1">
        <v>45933</v>
      </c>
      <c r="C5" t="s">
        <v>15</v>
      </c>
      <c r="D5" t="s">
        <v>9</v>
      </c>
      <c r="E5" t="s">
        <v>13</v>
      </c>
      <c r="F5">
        <v>3</v>
      </c>
      <c r="G5">
        <v>50</v>
      </c>
      <c r="H5">
        <v>150</v>
      </c>
      <c r="I5" t="s">
        <v>21</v>
      </c>
      <c r="J5">
        <f>data_csv[[#This Row],[SalesAmount]]*65%</f>
        <v>97.5</v>
      </c>
      <c r="K5">
        <f>data_csv[[#This Row],[SalesAmount]]*(1-65%)</f>
        <v>52.5</v>
      </c>
      <c r="L5" s="2" t="str">
        <f t="shared" ref="L2:L25" si="0">IF(MOD(A5,3)=0,"Audit","")</f>
        <v/>
      </c>
    </row>
    <row r="6" spans="1:12" x14ac:dyDescent="0.2">
      <c r="A6">
        <v>1005</v>
      </c>
      <c r="B6" s="1">
        <v>45934</v>
      </c>
      <c r="C6" t="s">
        <v>16</v>
      </c>
      <c r="D6" t="s">
        <v>12</v>
      </c>
      <c r="E6" t="s">
        <v>10</v>
      </c>
      <c r="F6">
        <v>1</v>
      </c>
      <c r="G6">
        <v>1200</v>
      </c>
      <c r="H6">
        <v>1200</v>
      </c>
      <c r="I6" t="s">
        <v>22</v>
      </c>
      <c r="J6">
        <f>data_csv[[#This Row],[SalesAmount]]*65%</f>
        <v>780</v>
      </c>
      <c r="K6">
        <f>data_csv[[#This Row],[SalesAmount]]*(1-65%)</f>
        <v>420</v>
      </c>
      <c r="L6" s="2" t="str">
        <f t="shared" si="0"/>
        <v>Audit</v>
      </c>
    </row>
    <row r="7" spans="1:12" x14ac:dyDescent="0.2">
      <c r="A7">
        <v>1006</v>
      </c>
      <c r="B7" s="1">
        <v>45935</v>
      </c>
      <c r="C7" t="s">
        <v>11</v>
      </c>
      <c r="D7" t="s">
        <v>9</v>
      </c>
      <c r="E7" t="s">
        <v>17</v>
      </c>
      <c r="F7">
        <v>15</v>
      </c>
      <c r="G7">
        <v>5</v>
      </c>
      <c r="H7">
        <v>75</v>
      </c>
      <c r="I7" t="s">
        <v>23</v>
      </c>
      <c r="J7">
        <f>data_csv[[#This Row],[SalesAmount]]*65%</f>
        <v>48.75</v>
      </c>
      <c r="K7">
        <f>data_csv[[#This Row],[SalesAmount]]*(1-65%)</f>
        <v>26.25</v>
      </c>
      <c r="L7" s="2" t="str">
        <f t="shared" si="0"/>
        <v/>
      </c>
    </row>
    <row r="8" spans="1:12" x14ac:dyDescent="0.2">
      <c r="A8">
        <v>1007</v>
      </c>
      <c r="B8" s="1">
        <v>45936</v>
      </c>
      <c r="C8" t="s">
        <v>15</v>
      </c>
      <c r="D8" t="s">
        <v>12</v>
      </c>
      <c r="E8" t="s">
        <v>14</v>
      </c>
      <c r="F8">
        <v>2</v>
      </c>
      <c r="G8">
        <v>85</v>
      </c>
      <c r="H8">
        <v>170</v>
      </c>
      <c r="I8" t="s">
        <v>24</v>
      </c>
      <c r="J8">
        <f>data_csv[[#This Row],[SalesAmount]]*65%</f>
        <v>110.5</v>
      </c>
      <c r="K8">
        <f>data_csv[[#This Row],[SalesAmount]]*(1-65%)</f>
        <v>59.499999999999993</v>
      </c>
      <c r="L8" s="2" t="str">
        <f t="shared" si="0"/>
        <v/>
      </c>
    </row>
    <row r="9" spans="1:12" x14ac:dyDescent="0.2">
      <c r="A9">
        <v>1008</v>
      </c>
      <c r="B9" s="1">
        <v>45937</v>
      </c>
      <c r="C9" t="s">
        <v>8</v>
      </c>
      <c r="D9" t="s">
        <v>12</v>
      </c>
      <c r="E9" t="s">
        <v>13</v>
      </c>
      <c r="F9">
        <v>4</v>
      </c>
      <c r="G9">
        <v>40</v>
      </c>
      <c r="H9">
        <v>160</v>
      </c>
      <c r="I9" t="s">
        <v>25</v>
      </c>
      <c r="J9">
        <f>data_csv[[#This Row],[SalesAmount]]*65%</f>
        <v>104</v>
      </c>
      <c r="K9">
        <f>data_csv[[#This Row],[SalesAmount]]*(1-65%)</f>
        <v>56</v>
      </c>
      <c r="L9" s="2" t="str">
        <f t="shared" si="0"/>
        <v>Audit</v>
      </c>
    </row>
    <row r="10" spans="1:12" x14ac:dyDescent="0.2">
      <c r="A10">
        <v>1009</v>
      </c>
      <c r="B10" s="1">
        <v>45938</v>
      </c>
      <c r="C10" t="s">
        <v>16</v>
      </c>
      <c r="D10" t="s">
        <v>9</v>
      </c>
      <c r="E10" t="s">
        <v>13</v>
      </c>
      <c r="F10">
        <v>2</v>
      </c>
      <c r="G10">
        <v>55</v>
      </c>
      <c r="H10">
        <v>110</v>
      </c>
      <c r="I10" t="s">
        <v>26</v>
      </c>
      <c r="J10">
        <f>data_csv[[#This Row],[SalesAmount]]*65%</f>
        <v>71.5</v>
      </c>
      <c r="K10">
        <f>data_csv[[#This Row],[SalesAmount]]*(1-65%)</f>
        <v>38.5</v>
      </c>
      <c r="L10" s="2" t="str">
        <f t="shared" si="0"/>
        <v/>
      </c>
    </row>
    <row r="11" spans="1:12" x14ac:dyDescent="0.2">
      <c r="A11">
        <v>1010</v>
      </c>
      <c r="B11" s="1">
        <v>45939</v>
      </c>
      <c r="C11" t="s">
        <v>11</v>
      </c>
      <c r="D11" t="s">
        <v>12</v>
      </c>
      <c r="E11" t="s">
        <v>10</v>
      </c>
      <c r="F11">
        <v>1</v>
      </c>
      <c r="G11">
        <v>950</v>
      </c>
      <c r="H11">
        <v>950</v>
      </c>
      <c r="I11" t="s">
        <v>20</v>
      </c>
      <c r="J11">
        <f>data_csv[[#This Row],[SalesAmount]]*65%</f>
        <v>617.5</v>
      </c>
      <c r="K11">
        <f>data_csv[[#This Row],[SalesAmount]]*(1-65%)</f>
        <v>332.5</v>
      </c>
      <c r="L11" s="2" t="str">
        <f t="shared" si="0"/>
        <v/>
      </c>
    </row>
    <row r="12" spans="1:12" x14ac:dyDescent="0.2">
      <c r="A12">
        <v>1011</v>
      </c>
      <c r="B12" s="1">
        <v>45940</v>
      </c>
      <c r="C12" t="s">
        <v>15</v>
      </c>
      <c r="D12" t="s">
        <v>9</v>
      </c>
      <c r="E12" t="s">
        <v>17</v>
      </c>
      <c r="F12">
        <v>25</v>
      </c>
      <c r="G12">
        <v>4</v>
      </c>
      <c r="H12">
        <v>100</v>
      </c>
      <c r="I12" t="s">
        <v>21</v>
      </c>
      <c r="J12">
        <f>data_csv[[#This Row],[SalesAmount]]*65%</f>
        <v>65</v>
      </c>
      <c r="K12">
        <f>data_csv[[#This Row],[SalesAmount]]*(1-65%)</f>
        <v>35</v>
      </c>
      <c r="L12" s="2" t="str">
        <f t="shared" si="0"/>
        <v>Audit</v>
      </c>
    </row>
    <row r="13" spans="1:12" x14ac:dyDescent="0.2">
      <c r="A13">
        <v>1012</v>
      </c>
      <c r="B13" s="1">
        <v>45941</v>
      </c>
      <c r="C13" t="s">
        <v>8</v>
      </c>
      <c r="D13" t="s">
        <v>9</v>
      </c>
      <c r="E13" t="s">
        <v>10</v>
      </c>
      <c r="F13">
        <v>3</v>
      </c>
      <c r="G13">
        <v>250</v>
      </c>
      <c r="H13">
        <v>750</v>
      </c>
      <c r="I13" t="s">
        <v>19</v>
      </c>
      <c r="J13">
        <f>data_csv[[#This Row],[SalesAmount]]*65%</f>
        <v>487.5</v>
      </c>
      <c r="K13">
        <f>data_csv[[#This Row],[SalesAmount]]*(1-65%)</f>
        <v>262.5</v>
      </c>
      <c r="L13" s="2" t="str">
        <f t="shared" si="0"/>
        <v/>
      </c>
    </row>
    <row r="14" spans="1:12" x14ac:dyDescent="0.2">
      <c r="A14">
        <v>1013</v>
      </c>
      <c r="B14" s="1">
        <v>45942</v>
      </c>
      <c r="C14" t="s">
        <v>16</v>
      </c>
      <c r="D14" t="s">
        <v>12</v>
      </c>
      <c r="E14" t="s">
        <v>14</v>
      </c>
      <c r="F14">
        <v>2</v>
      </c>
      <c r="G14">
        <v>115</v>
      </c>
      <c r="H14">
        <v>230</v>
      </c>
      <c r="I14" t="s">
        <v>22</v>
      </c>
      <c r="J14">
        <f>data_csv[[#This Row],[SalesAmount]]*65%</f>
        <v>149.5</v>
      </c>
      <c r="K14">
        <f>data_csv[[#This Row],[SalesAmount]]*(1-65%)</f>
        <v>80.5</v>
      </c>
      <c r="L14" s="2" t="str">
        <f t="shared" si="0"/>
        <v/>
      </c>
    </row>
    <row r="15" spans="1:12" x14ac:dyDescent="0.2">
      <c r="A15">
        <v>1014</v>
      </c>
      <c r="B15" s="1">
        <v>45943</v>
      </c>
      <c r="C15" t="s">
        <v>11</v>
      </c>
      <c r="D15" t="s">
        <v>9</v>
      </c>
      <c r="E15" t="s">
        <v>13</v>
      </c>
      <c r="F15">
        <v>6</v>
      </c>
      <c r="G15">
        <v>35</v>
      </c>
      <c r="H15">
        <v>210</v>
      </c>
      <c r="I15" t="s">
        <v>23</v>
      </c>
      <c r="J15">
        <f>data_csv[[#This Row],[SalesAmount]]*65%</f>
        <v>136.5</v>
      </c>
      <c r="K15">
        <f>data_csv[[#This Row],[SalesAmount]]*(1-65%)</f>
        <v>73.5</v>
      </c>
      <c r="L15" s="2" t="str">
        <f t="shared" si="0"/>
        <v>Audit</v>
      </c>
    </row>
    <row r="16" spans="1:12" x14ac:dyDescent="0.2">
      <c r="A16">
        <v>1015</v>
      </c>
      <c r="B16" s="1">
        <v>45944</v>
      </c>
      <c r="C16" t="s">
        <v>15</v>
      </c>
      <c r="D16" t="s">
        <v>12</v>
      </c>
      <c r="E16" t="s">
        <v>10</v>
      </c>
      <c r="F16">
        <v>1</v>
      </c>
      <c r="G16">
        <v>1100</v>
      </c>
      <c r="H16">
        <v>1100</v>
      </c>
      <c r="I16" t="s">
        <v>24</v>
      </c>
      <c r="J16">
        <f>data_csv[[#This Row],[SalesAmount]]*65%</f>
        <v>715</v>
      </c>
      <c r="K16">
        <f>data_csv[[#This Row],[SalesAmount]]*(1-65%)</f>
        <v>385</v>
      </c>
      <c r="L16" s="2" t="str">
        <f t="shared" si="0"/>
        <v/>
      </c>
    </row>
    <row r="17" spans="1:12" x14ac:dyDescent="0.2">
      <c r="A17">
        <v>1016</v>
      </c>
      <c r="B17" s="1">
        <v>45945</v>
      </c>
      <c r="C17" t="s">
        <v>8</v>
      </c>
      <c r="D17" t="s">
        <v>12</v>
      </c>
      <c r="E17" t="s">
        <v>17</v>
      </c>
      <c r="F17">
        <v>30</v>
      </c>
      <c r="G17">
        <v>3</v>
      </c>
      <c r="H17">
        <v>90</v>
      </c>
      <c r="I17" t="s">
        <v>25</v>
      </c>
      <c r="J17">
        <f>data_csv[[#This Row],[SalesAmount]]*65%</f>
        <v>58.5</v>
      </c>
      <c r="K17">
        <f>data_csv[[#This Row],[SalesAmount]]*(1-65%)</f>
        <v>31.499999999999996</v>
      </c>
      <c r="L17" s="2" t="str">
        <f t="shared" si="0"/>
        <v/>
      </c>
    </row>
    <row r="18" spans="1:12" x14ac:dyDescent="0.2">
      <c r="A18">
        <v>1017</v>
      </c>
      <c r="B18" s="1">
        <v>45946</v>
      </c>
      <c r="C18" t="s">
        <v>16</v>
      </c>
      <c r="D18" t="s">
        <v>9</v>
      </c>
      <c r="E18" t="s">
        <v>14</v>
      </c>
      <c r="F18">
        <v>1</v>
      </c>
      <c r="G18">
        <v>150</v>
      </c>
      <c r="H18">
        <v>150</v>
      </c>
      <c r="I18" t="s">
        <v>21</v>
      </c>
      <c r="J18">
        <f>data_csv[[#This Row],[SalesAmount]]*65%</f>
        <v>97.5</v>
      </c>
      <c r="K18">
        <f>data_csv[[#This Row],[SalesAmount]]*(1-65%)</f>
        <v>52.5</v>
      </c>
      <c r="L18" s="2" t="str">
        <f t="shared" si="0"/>
        <v>Audit</v>
      </c>
    </row>
    <row r="19" spans="1:12" x14ac:dyDescent="0.2">
      <c r="A19">
        <v>1018</v>
      </c>
      <c r="B19" s="1">
        <v>45947</v>
      </c>
      <c r="C19" t="s">
        <v>11</v>
      </c>
      <c r="D19" t="s">
        <v>9</v>
      </c>
      <c r="E19" t="s">
        <v>10</v>
      </c>
      <c r="F19">
        <v>2</v>
      </c>
      <c r="G19">
        <v>450</v>
      </c>
      <c r="H19">
        <v>900</v>
      </c>
      <c r="I19" t="s">
        <v>23</v>
      </c>
      <c r="J19">
        <f>data_csv[[#This Row],[SalesAmount]]*65%</f>
        <v>585</v>
      </c>
      <c r="K19">
        <f>data_csv[[#This Row],[SalesAmount]]*(1-65%)</f>
        <v>315</v>
      </c>
      <c r="L19" s="2" t="str">
        <f t="shared" si="0"/>
        <v/>
      </c>
    </row>
    <row r="20" spans="1:12" x14ac:dyDescent="0.2">
      <c r="A20">
        <v>1019</v>
      </c>
      <c r="B20" s="1">
        <v>45948</v>
      </c>
      <c r="C20" t="s">
        <v>15</v>
      </c>
      <c r="D20" t="s">
        <v>9</v>
      </c>
      <c r="E20" t="s">
        <v>13</v>
      </c>
      <c r="F20">
        <v>3</v>
      </c>
      <c r="G20">
        <v>60</v>
      </c>
      <c r="H20">
        <v>180</v>
      </c>
      <c r="I20" t="s">
        <v>27</v>
      </c>
      <c r="J20">
        <f>data_csv[[#This Row],[SalesAmount]]*65%</f>
        <v>117</v>
      </c>
      <c r="K20">
        <f>data_csv[[#This Row],[SalesAmount]]*(1-65%)</f>
        <v>62.999999999999993</v>
      </c>
      <c r="L20" s="2" t="str">
        <f t="shared" si="0"/>
        <v/>
      </c>
    </row>
    <row r="21" spans="1:12" x14ac:dyDescent="0.2">
      <c r="A21">
        <v>1020</v>
      </c>
      <c r="B21" s="1">
        <v>45949</v>
      </c>
      <c r="C21" t="s">
        <v>8</v>
      </c>
      <c r="D21" t="s">
        <v>12</v>
      </c>
      <c r="E21" t="s">
        <v>14</v>
      </c>
      <c r="F21">
        <v>4</v>
      </c>
      <c r="G21">
        <v>75</v>
      </c>
      <c r="H21">
        <v>300</v>
      </c>
      <c r="I21" t="s">
        <v>25</v>
      </c>
      <c r="J21">
        <f>data_csv[[#This Row],[SalesAmount]]*65%</f>
        <v>195</v>
      </c>
      <c r="K21">
        <f>data_csv[[#This Row],[SalesAmount]]*(1-65%)</f>
        <v>105</v>
      </c>
      <c r="L21" s="2" t="str">
        <f t="shared" si="0"/>
        <v>Audit</v>
      </c>
    </row>
    <row r="22" spans="1:12" x14ac:dyDescent="0.2">
      <c r="A22">
        <v>1021</v>
      </c>
      <c r="B22" s="1">
        <v>45950</v>
      </c>
      <c r="C22" t="s">
        <v>16</v>
      </c>
      <c r="D22" t="s">
        <v>12</v>
      </c>
      <c r="E22" t="s">
        <v>13</v>
      </c>
      <c r="F22">
        <v>5</v>
      </c>
      <c r="G22">
        <v>50</v>
      </c>
      <c r="H22">
        <v>250</v>
      </c>
      <c r="I22" t="s">
        <v>22</v>
      </c>
      <c r="J22">
        <f>data_csv[[#This Row],[SalesAmount]]*65%</f>
        <v>162.5</v>
      </c>
      <c r="K22">
        <f>data_csv[[#This Row],[SalesAmount]]*(1-65%)</f>
        <v>87.5</v>
      </c>
      <c r="L22" s="2" t="str">
        <f t="shared" si="0"/>
        <v/>
      </c>
    </row>
    <row r="23" spans="1:12" x14ac:dyDescent="0.2">
      <c r="A23">
        <v>1022</v>
      </c>
      <c r="B23" s="1">
        <v>45951</v>
      </c>
      <c r="C23" t="s">
        <v>11</v>
      </c>
      <c r="D23" t="s">
        <v>12</v>
      </c>
      <c r="E23" t="s">
        <v>17</v>
      </c>
      <c r="F23">
        <v>22</v>
      </c>
      <c r="G23">
        <v>5</v>
      </c>
      <c r="H23">
        <v>110</v>
      </c>
      <c r="I23" t="s">
        <v>20</v>
      </c>
      <c r="J23">
        <f>data_csv[[#This Row],[SalesAmount]]*65%</f>
        <v>71.5</v>
      </c>
      <c r="K23">
        <f>data_csv[[#This Row],[SalesAmount]]*(1-65%)</f>
        <v>38.5</v>
      </c>
      <c r="L23" s="2" t="str">
        <f t="shared" si="0"/>
        <v/>
      </c>
    </row>
    <row r="24" spans="1:12" x14ac:dyDescent="0.2">
      <c r="A24">
        <v>1023</v>
      </c>
      <c r="B24" s="1">
        <v>45952</v>
      </c>
      <c r="C24" t="s">
        <v>15</v>
      </c>
      <c r="D24" t="s">
        <v>9</v>
      </c>
      <c r="E24" t="s">
        <v>10</v>
      </c>
      <c r="F24">
        <v>1</v>
      </c>
      <c r="G24">
        <v>1500</v>
      </c>
      <c r="H24">
        <v>1500</v>
      </c>
      <c r="I24" t="s">
        <v>27</v>
      </c>
      <c r="J24">
        <f>data_csv[[#This Row],[SalesAmount]]*65%</f>
        <v>975</v>
      </c>
      <c r="K24">
        <f>data_csv[[#This Row],[SalesAmount]]*(1-65%)</f>
        <v>525</v>
      </c>
      <c r="L24" s="2" t="str">
        <f t="shared" si="0"/>
        <v>Audit</v>
      </c>
    </row>
    <row r="25" spans="1:12" x14ac:dyDescent="0.2">
      <c r="A25">
        <v>1024</v>
      </c>
      <c r="B25" s="1">
        <v>45953</v>
      </c>
      <c r="C25" t="s">
        <v>8</v>
      </c>
      <c r="D25" t="s">
        <v>9</v>
      </c>
      <c r="E25" t="s">
        <v>17</v>
      </c>
      <c r="F25">
        <v>40</v>
      </c>
      <c r="G25">
        <v>2.5</v>
      </c>
      <c r="H25">
        <v>100</v>
      </c>
      <c r="I25" t="s">
        <v>21</v>
      </c>
      <c r="J25">
        <f>data_csv[[#This Row],[SalesAmount]]*65%</f>
        <v>65</v>
      </c>
      <c r="K25">
        <f>data_csv[[#This Row],[SalesAmount]]*(1-65%)</f>
        <v>35</v>
      </c>
      <c r="L25" s="2" t="str">
        <f t="shared" si="0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EFA5-EC9C-444D-91B4-BC241AC830C7}">
  <dimension ref="C5:S22"/>
  <sheetViews>
    <sheetView topLeftCell="G6" zoomScale="162" workbookViewId="0">
      <selection activeCell="S20" sqref="S20"/>
    </sheetView>
  </sheetViews>
  <sheetFormatPr baseColWidth="10" defaultRowHeight="16" x14ac:dyDescent="0.2"/>
  <sheetData>
    <row r="5" spans="3:12" x14ac:dyDescent="0.2">
      <c r="C5" t="s">
        <v>28</v>
      </c>
    </row>
    <row r="6" spans="3:12" ht="17" x14ac:dyDescent="0.25">
      <c r="C6" t="s">
        <v>29</v>
      </c>
    </row>
    <row r="7" spans="3:12" ht="17" x14ac:dyDescent="0.25">
      <c r="C7" t="s">
        <v>30</v>
      </c>
    </row>
    <row r="9" spans="3:12" x14ac:dyDescent="0.2">
      <c r="C9" t="s">
        <v>31</v>
      </c>
      <c r="I9">
        <f>SUMIF(data_csv[Region],"North",data_csv[SalesAmount])</f>
        <v>2020</v>
      </c>
    </row>
    <row r="10" spans="3:12" x14ac:dyDescent="0.2">
      <c r="C10" t="s">
        <v>32</v>
      </c>
      <c r="I10">
        <f>COUNTIF(data_csv[SalesChannel],"In-Store")</f>
        <v>11</v>
      </c>
      <c r="J10">
        <f>COUNTIF(data_csv[SalesChannel],"Online")</f>
        <v>13</v>
      </c>
      <c r="L10">
        <f>COUNTIF(data_csv[SalesChannel],"In-Store") + COUNTIF(data_csv[SalesChannel],"Online")</f>
        <v>24</v>
      </c>
    </row>
    <row r="11" spans="3:12" ht="17" x14ac:dyDescent="0.25">
      <c r="C11" t="s">
        <v>34</v>
      </c>
      <c r="I11">
        <f>AVERAGEIF(data_csv[ProductCategory],"Electronics",data_csv[SalesAmount])</f>
        <v>985.71428571428567</v>
      </c>
    </row>
    <row r="12" spans="3:12" x14ac:dyDescent="0.2">
      <c r="C12" t="s">
        <v>33</v>
      </c>
      <c r="J12">
        <f>COUNTIFS(data_csv[ProductCategory],"Groceries",data_csv[UnitsSold],"&gt;20")</f>
        <v>4</v>
      </c>
    </row>
    <row r="14" spans="3:12" x14ac:dyDescent="0.2">
      <c r="C14" t="s">
        <v>35</v>
      </c>
      <c r="I14">
        <f>SUMIFS(data_csv[SalesAmount],data_csv[SalesChannel],"Online",data_csv[Region],"west")</f>
        <v>1930</v>
      </c>
    </row>
    <row r="15" spans="3:12" ht="17" x14ac:dyDescent="0.25">
      <c r="C15" t="s">
        <v>36</v>
      </c>
    </row>
    <row r="16" spans="3:12" ht="17" x14ac:dyDescent="0.25">
      <c r="C16" t="s">
        <v>37</v>
      </c>
    </row>
    <row r="18" spans="3:19" ht="17" x14ac:dyDescent="0.25">
      <c r="C18" t="s">
        <v>38</v>
      </c>
    </row>
    <row r="19" spans="3:19" ht="17" x14ac:dyDescent="0.25">
      <c r="C19" t="s">
        <v>39</v>
      </c>
      <c r="K19">
        <f>SUMPRODUCT(data_csv[UnitsSold],data_csv[UnitPrice])</f>
        <v>9630</v>
      </c>
    </row>
    <row r="20" spans="3:19" ht="17" x14ac:dyDescent="0.25">
      <c r="C20" t="s">
        <v>40</v>
      </c>
      <c r="S20">
        <f>SUMPRODUCT(data_csv[UnitsSold],data_csv[UnitPrice])/SUM(data_csv[UnitsSold])</f>
        <v>53.204419889502759</v>
      </c>
    </row>
    <row r="21" spans="3:19" ht="17" x14ac:dyDescent="0.25">
      <c r="C21" t="s">
        <v>41</v>
      </c>
    </row>
    <row r="22" spans="3:19" x14ac:dyDescent="0.2">
      <c r="C2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6C0A-3F3A-894A-B4F2-072D3A0DB4AA}">
  <dimension ref="A1"/>
  <sheetViews>
    <sheetView workbookViewId="0">
      <selection activeCell="E14" sqref="E14:G23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77285E-D5C8-534B-872A-39FBE5111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QUESTIONS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2025-10-14T17:38:46Z</dcterms:created>
  <dcterms:modified xsi:type="dcterms:W3CDTF">2025-12-02T16:22:43Z</dcterms:modified>
</cp:coreProperties>
</file>