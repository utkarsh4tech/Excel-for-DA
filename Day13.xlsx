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ink/ink1.xml" ContentType="application/inkml+xml"/>
  <Override PartName="/xl/ink/ink2.xml" ContentType="application/inkml+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Users/utkarsh/Downloads/Accio_excel/Excel-for-DA/"/>
    </mc:Choice>
  </mc:AlternateContent>
  <xr:revisionPtr revIDLastSave="0" documentId="13_ncr:1_{FFA21B7B-3945-054B-A6E4-0AF50B9B4347}" xr6:coauthVersionLast="47" xr6:coauthVersionMax="47" xr10:uidLastSave="{00000000-0000-0000-0000-000000000000}"/>
  <bookViews>
    <workbookView xWindow="0" yWindow="600" windowWidth="28800" windowHeight="17400" activeTab="2" xr2:uid="{E4F6F371-13F6-9F44-904A-76F311BF9D8F}"/>
  </bookViews>
  <sheets>
    <sheet name="AGENDA" sheetId="1" r:id="rId1"/>
    <sheet name="text" sheetId="2" r:id="rId2"/>
    <sheet name="Sheet3" sheetId="3" r:id="rId3"/>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7" i="3" l="1"/>
  <c r="D138" i="3"/>
  <c r="D139" i="3"/>
  <c r="B134" i="3"/>
  <c r="B128" i="3"/>
  <c r="C112" i="3" a="1"/>
  <c r="C112" i="3" s="1"/>
  <c r="B103" i="3" a="1"/>
  <c r="B103" i="3" s="1"/>
  <c r="B94" i="3" a="1"/>
  <c r="B94" i="3" s="1"/>
  <c r="D97" i="3" a="1"/>
  <c r="D97" i="3" s="1"/>
  <c r="B82" i="3"/>
  <c r="B84" i="3"/>
  <c r="C75" i="3"/>
  <c r="C73" i="3"/>
  <c r="B63" i="3"/>
  <c r="B60" i="3"/>
  <c r="D57" i="3"/>
  <c r="D51" i="3"/>
  <c r="D49" i="3"/>
  <c r="D42" i="3"/>
  <c r="D35" i="3"/>
  <c r="C24" i="3"/>
  <c r="C27" i="3"/>
  <c r="B15" i="3"/>
  <c r="B18" i="3"/>
  <c r="D18" i="3"/>
  <c r="D15" i="3"/>
  <c r="D6" i="3"/>
  <c r="D7" i="3"/>
  <c r="D5" i="3"/>
  <c r="B64" i="2"/>
  <c r="D64" i="2" s="1"/>
  <c r="H58" i="2"/>
  <c r="F58" i="2"/>
  <c r="H61" i="2"/>
  <c r="F61" i="2"/>
  <c r="D61" i="2"/>
  <c r="D58" i="2"/>
  <c r="H55" i="2"/>
  <c r="F55" i="2"/>
  <c r="D55" i="2"/>
  <c r="B47" i="2"/>
  <c r="C49" i="2"/>
  <c r="D42" i="2"/>
  <c r="D41" i="2"/>
  <c r="E33" i="2"/>
  <c r="E31" i="2"/>
  <c r="B27" i="2"/>
  <c r="B29" i="2"/>
  <c r="G7" i="2"/>
  <c r="E19" i="2"/>
  <c r="E21" i="2"/>
  <c r="C21" i="2"/>
  <c r="C20" i="2"/>
  <c r="E20" i="2"/>
  <c r="C19" i="2"/>
  <c r="G10" i="2"/>
  <c r="G8" i="2"/>
  <c r="G9"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<sst xmlns="http://schemas.openxmlformats.org/spreadsheetml/2006/main" count="94" uniqueCount="78">
  <si>
    <t>TEXT functions</t>
  </si>
  <si>
    <t>TEXT()</t>
  </si>
  <si>
    <t>FORMATTING different things in different way as text</t>
  </si>
  <si>
    <t>LEADING ( LEFT ) ZEROS</t>
  </si>
  <si>
    <t>WITHOUT FORMATTING</t>
  </si>
  <si>
    <t>WITH FORMATTING</t>
  </si>
  <si>
    <t xml:space="preserve">VALUE </t>
  </si>
  <si>
    <t>WHAT IS TO BE FORMATTED</t>
  </si>
  <si>
    <t>FORMAT_TEXT</t>
  </si>
  <si>
    <t>TEXT REPRESENTATION OF THE FORMAT DESIRED</t>
  </si>
  <si>
    <t>CURRENCY</t>
  </si>
  <si>
    <t>K - 1000</t>
  </si>
  <si>
    <t>10M</t>
  </si>
  <si>
    <t>for thousands</t>
  </si>
  <si>
    <t>#,##0.00,, \M</t>
  </si>
  <si>
    <t>for Million</t>
  </si>
  <si>
    <t>#,##0.00, \K</t>
  </si>
  <si>
    <t>Phn Num formatting</t>
  </si>
  <si>
    <t>(+1) 926 - 379 - 2773</t>
  </si>
  <si>
    <t>Perc Formatting</t>
  </si>
  <si>
    <t xml:space="preserve">maths % </t>
  </si>
  <si>
    <t>date of result</t>
  </si>
  <si>
    <t>29/02/2026</t>
  </si>
  <si>
    <t>DATE time formatting</t>
  </si>
  <si>
    <t>dd</t>
  </si>
  <si>
    <t>ddd</t>
  </si>
  <si>
    <t>dddd</t>
  </si>
  <si>
    <t>mm</t>
  </si>
  <si>
    <t>mmm</t>
  </si>
  <si>
    <t>mmmm</t>
  </si>
  <si>
    <t>yy</t>
  </si>
  <si>
    <t>yyy</t>
  </si>
  <si>
    <t>yyyy</t>
  </si>
  <si>
    <t>char()</t>
  </si>
  <si>
    <t>Gives char corresponding to the number is exixts</t>
  </si>
  <si>
    <t>TRIM()</t>
  </si>
  <si>
    <t>Remove extra spaces from start n end</t>
  </si>
  <si>
    <t>LEN</t>
  </si>
  <si>
    <t>LEN()</t>
  </si>
  <si>
    <t>counting length ( num of char ) of string</t>
  </si>
  <si>
    <t>LEFT()</t>
  </si>
  <si>
    <t>To get "n"chars from left of string</t>
  </si>
  <si>
    <t>UTKARSH SAHU</t>
  </si>
  <si>
    <t xml:space="preserve"> UTKARSH SAHU</t>
  </si>
  <si>
    <t>RIGHT</t>
  </si>
  <si>
    <t>MID</t>
  </si>
  <si>
    <t>UPPER</t>
  </si>
  <si>
    <t>LOWER</t>
  </si>
  <si>
    <t>PROPER</t>
  </si>
  <si>
    <t>To get "n"chars from RIGHT of string</t>
  </si>
  <si>
    <t xml:space="preserve">utkarsh SAHU 1 @ </t>
  </si>
  <si>
    <t>EXACT</t>
  </si>
  <si>
    <t>To check if two strings are exactly similar ( CASE SENSITIVE)</t>
  </si>
  <si>
    <t>Utkarsh</t>
  </si>
  <si>
    <t>UTKARSH</t>
  </si>
  <si>
    <t>concat</t>
  </si>
  <si>
    <t>( &amp; )</t>
  </si>
  <si>
    <t>CONCAT</t>
  </si>
  <si>
    <t>JOIN one or more strings together</t>
  </si>
  <si>
    <t>TEXTSPLIT</t>
  </si>
  <si>
    <t>SQL, Java, Python, C++, R ? Python, C++, R</t>
  </si>
  <si>
    <t>SQL</t>
  </si>
  <si>
    <t>Utkarsh Sahu</t>
  </si>
  <si>
    <t>SQL, Java,, Python, C++, R, Python, C++, R</t>
  </si>
  <si>
    <t>Lorem Ipsum is simply dummy text of the printing and typesetting industry. Lorem Ipsum has been the industry's standard dummy text ever since the 1500s, when an unknown printer took a galley of type and scrambled it to make a type specimen book. It has survived not only five centuries, but also the leap into electronic typesetting, remaining essentially unchanged. It was popularised in the 1960s with the release of Letraset sheets containing Lorem Ipsum passages, and more recently with desktop publishing software like Aldus PageMaker including versions of Lorem Ipsum.</t>
  </si>
  <si>
    <t>Sen1</t>
  </si>
  <si>
    <t>Sen2</t>
  </si>
  <si>
    <t>Sen3</t>
  </si>
  <si>
    <t>Word 1</t>
  </si>
  <si>
    <t>Word 2</t>
  </si>
  <si>
    <t>TEXTJOIN</t>
  </si>
  <si>
    <t xml:space="preserve"> Java</t>
  </si>
  <si>
    <t xml:space="preserve"> Python</t>
  </si>
  <si>
    <t xml:space="preserve"> C++</t>
  </si>
  <si>
    <t xml:space="preserve"> R</t>
  </si>
  <si>
    <t>FIND</t>
  </si>
  <si>
    <t>Sakshi Kumar</t>
  </si>
  <si>
    <t>RamPal Singh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</si>
</sst>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9" formatCode="h:mm:ss;@"/>
    <numFmt numFmtId="170" formatCode="hh:mm:ss;@"/>
  </numFmts>
  <fonts count="3" x14ac:knownFonts="1">
    <font>
      <sz val="12"/>
      <color theme="1"/>
      <name val="Aptos Narrow"/>
      <family val="2"/>
      <scheme val="minor"/>
    </font>
    <font>
      <sz val="12"/>
      <color rgb="FFFF0000"/>
      <name val="Aptos Narrow"/>
      <family val="2"/>
      <scheme val="minor"/>
    </font>
    <font>
      <sz val="12"/>
      <color rgb="FF000000"/>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1">
    <xf numFmtId="0" fontId="0" fillId="0" borderId="0" xfId="0"/>
    <xf numFmtId="0" fontId="0" fillId="2" borderId="0" xfId="0" applyFill="1"/>
    <xf numFmtId="0" fontId="1" fillId="2" borderId="0" xfId="0" applyFont="1" applyFill="1"/>
    <xf numFmtId="0" fontId="2" fillId="0" borderId="0" xfId="0" applyFont="1"/>
    <xf numFmtId="0" fontId="2" fillId="2" borderId="0" xfId="0" applyFont="1" applyFill="1"/>
    <xf numFmtId="10" fontId="2" fillId="0" borderId="0" xfId="0" applyNumberFormat="1" applyFont="1"/>
    <xf numFmtId="14" fontId="2" fillId="0" borderId="0" xfId="0" applyNumberFormat="1" applyFont="1"/>
    <xf numFmtId="2" fontId="0" fillId="0" borderId="0" xfId="0" applyNumberFormat="1"/>
    <xf numFmtId="170" fontId="0" fillId="0" borderId="0" xfId="0" applyNumberFormat="1"/>
    <xf numFmtId="169" fontId="0" fillId="2" borderId="0" xfId="0" applyNumberFormat="1" applyFill="1"/>
    <xf numFmtId="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customXml" Target="../ink/ink2.xml"/><Relationship Id="rId2" Type="http://schemas.openxmlformats.org/officeDocument/2006/relationships/image" Target="../media/image1.png"/><Relationship Id="rId1" Type="http://schemas.openxmlformats.org/officeDocument/2006/relationships/customXml" Target="../ink/ink1.xml"/><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59575</xdr:colOff>
      <xdr:row>47</xdr:row>
      <xdr:rowOff>124944</xdr:rowOff>
    </xdr:from>
    <xdr:to>
      <xdr:col>1</xdr:col>
      <xdr:colOff>313375</xdr:colOff>
      <xdr:row>48</xdr:row>
      <xdr:rowOff>74828</xdr:rowOff>
    </xdr:to>
    <mc:AlternateContent xmlns:mc="http://schemas.openxmlformats.org/markup-compatibility/2006">
      <mc:Choice xmlns:xdr14="http://schemas.microsoft.com/office/excel/2010/spreadsheetDrawing" Requires="xdr14">
        <xdr:contentPart xmlns:r="http://schemas.openxmlformats.org/officeDocument/2006/relationships" r:id="rId1">
          <xdr14:nvContentPartPr>
            <xdr14:cNvPr id="8" name="Ink 7">
              <a:extLst>
                <a:ext uri="{FF2B5EF4-FFF2-40B4-BE49-F238E27FC236}">
                  <a16:creationId xmlns:a16="http://schemas.microsoft.com/office/drawing/2014/main" id="{30AC391E-6BB3-7DAB-D9EB-30B82AD4C4FB}"/>
                </a:ext>
              </a:extLst>
            </xdr14:cNvPr>
            <xdr14:cNvContentPartPr/>
          </xdr14:nvContentPartPr>
          <xdr14:nvPr macro=""/>
          <xdr14:xfrm>
            <a:off x="886320" y="9722160"/>
            <a:ext cx="253800" cy="154080"/>
          </xdr14:xfrm>
        </xdr:contentPart>
      </mc:Choice>
      <mc:Fallback>
        <xdr:pic>
          <xdr:nvPicPr>
            <xdr:cNvPr id="8" name="Ink 7">
              <a:extLst>
                <a:ext uri="{FF2B5EF4-FFF2-40B4-BE49-F238E27FC236}">
                  <a16:creationId xmlns:a16="http://schemas.microsoft.com/office/drawing/2014/main" id="{30AC391E-6BB3-7DAB-D9EB-30B82AD4C4FB}"/>
                </a:ext>
              </a:extLst>
            </xdr:cNvPr>
            <xdr:cNvPicPr/>
          </xdr:nvPicPr>
          <xdr:blipFill>
            <a:blip xmlns:r="http://schemas.openxmlformats.org/officeDocument/2006/relationships" r:embed="rId2"/>
            <a:stretch>
              <a:fillRect/>
            </a:stretch>
          </xdr:blipFill>
          <xdr:spPr>
            <a:xfrm>
              <a:off x="880209" y="9716040"/>
              <a:ext cx="266023" cy="166320"/>
            </a:xfrm>
            <a:prstGeom prst="rect">
              <a:avLst/>
            </a:prstGeom>
          </xdr:spPr>
        </xdr:pic>
      </mc:Fallback>
    </mc:AlternateContent>
    <xdr:clientData/>
  </xdr:twoCellAnchor>
  <xdr:twoCellAnchor editAs="oneCell">
    <xdr:from>
      <xdr:col>1</xdr:col>
      <xdr:colOff>280255</xdr:colOff>
      <xdr:row>49</xdr:row>
      <xdr:rowOff>18592</xdr:rowOff>
    </xdr:from>
    <xdr:to>
      <xdr:col>1</xdr:col>
      <xdr:colOff>490135</xdr:colOff>
      <xdr:row>49</xdr:row>
      <xdr:rowOff>23272</xdr:rowOff>
    </xdr:to>
    <mc:AlternateContent xmlns:mc="http://schemas.openxmlformats.org/markup-compatibility/2006">
      <mc:Choice xmlns:xdr14="http://schemas.microsoft.com/office/excel/2010/spreadsheetDrawing" Requires="xdr14">
        <xdr:contentPart xmlns:r="http://schemas.openxmlformats.org/officeDocument/2006/relationships" r:id="rId3">
          <xdr14:nvContentPartPr>
            <xdr14:cNvPr id="9" name="Ink 8">
              <a:extLst>
                <a:ext uri="{FF2B5EF4-FFF2-40B4-BE49-F238E27FC236}">
                  <a16:creationId xmlns:a16="http://schemas.microsoft.com/office/drawing/2014/main" id="{A00BB1C3-9C14-4E19-2EA8-7365BFF460CC}"/>
                </a:ext>
              </a:extLst>
            </xdr14:cNvPr>
            <xdr14:cNvContentPartPr/>
          </xdr14:nvContentPartPr>
          <xdr14:nvPr macro=""/>
          <xdr14:xfrm>
            <a:off x="1107000" y="10024200"/>
            <a:ext cx="209880" cy="4680"/>
          </xdr14:xfrm>
        </xdr:contentPart>
      </mc:Choice>
      <mc:Fallback>
        <xdr:pic>
          <xdr:nvPicPr>
            <xdr:cNvPr id="9" name="Ink 8">
              <a:extLst>
                <a:ext uri="{FF2B5EF4-FFF2-40B4-BE49-F238E27FC236}">
                  <a16:creationId xmlns:a16="http://schemas.microsoft.com/office/drawing/2014/main" id="{A00BB1C3-9C14-4E19-2EA8-7365BFF460CC}"/>
                </a:ext>
              </a:extLst>
            </xdr:cNvPr>
            <xdr:cNvPicPr/>
          </xdr:nvPicPr>
          <xdr:blipFill>
            <a:blip xmlns:r="http://schemas.openxmlformats.org/officeDocument/2006/relationships" r:embed="rId4"/>
            <a:stretch>
              <a:fillRect/>
            </a:stretch>
          </xdr:blipFill>
          <xdr:spPr>
            <a:xfrm>
              <a:off x="1100880" y="10018080"/>
              <a:ext cx="222120" cy="16920"/>
            </a:xfrm>
            <a:prstGeom prst="rect">
              <a:avLst/>
            </a:prstGeom>
          </xdr:spPr>
        </xdr:pic>
      </mc:Fallback>
    </mc:AlternateContent>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3-10T16:47:36.460"/>
    </inkml:context>
    <inkml:brush xml:id="br0">
      <inkml:brushProperty name="width" value="0.035" units="cm"/>
      <inkml:brushProperty name="height" value="0.035" units="cm"/>
      <inkml:brushProperty name="color" value="#E71224"/>
    </inkml:brush>
  </inkml:definitions>
  <inkml:trace contextRef="#ctx0" brushRef="#br0">2 0 24575,'0'17'0,"0"4"0,0 7 0,0-1 0,0-6 0,0-7 0,0-5 0,0-3 0,0-2 0,0 0 0,0 0 0,-1-1 0,1-1 0,-1-1 0</inkml:trace>
  <inkml:trace contextRef="#ctx0" brushRef="#br0" timeOffset="2167">159 82 24575,'3'-2'0,"1"1"0,1 1 0,0 2 0,-1 0 0,0 1 0,0 0 0,0 1 0,0 0 0,-1 1 0,0 1 0,1 1 0,-2 0 0,2 0 0,-1-1 0,0 1 0,-1 0 0,-1 1 0,-1 3 0,-3 3 0,-3 2 0,-3 2 0,-3-2 0,2-2 0,3-5 0,2-3 0,2-4 0,2-3 0,4-3 0,2-1 0,1-1 0,1 1 0,-1 2 0,0 0 0,0 1 0,-1 1 0,1 1 0,-1 0 0,1 0 0,-1 0 0,-1 0 0,0 0 0,0 0 0,1 0 0,-1 0 0,0 0 0,0 0 0,-1 0 0,1 1 0,-1 1 0,0 1 0,-2-1 0,0-1 0</inkml:trace>
  <inkml:trace contextRef="#ctx0" brushRef="#br0" timeOffset="4234">357 124 24575,'0'-2'0,"2"0"0,7 2 0,2 0 0,5 0 0,0 0 0,-3 0 0,-2 0 0,-2 0 0,-2 0 0,0 0 0,-2 1 0,-4 2 0,-2 3 0,-5 2 0,-1 3 0,-1 0 0,1-1 0,1 0 0,1-1 0,2 0 0,2-3 0,2-1 0,2-3 0,1-1 0,1-1 0,1 0 0,0 0 0,0 0 0,-1 0 0,0 0 0,-1 0 0,0 1 0,0 0 0,-1 3 0,0 2 0,1 1 0,0 2 0,-2 0 0,0 1 0,-1-1 0,-1 1 0,0 0 0,-2 1 0,-3-1 0,-2 1 0,-3 0 0,-3 2 0,-1 4 0,-2 2 0,1-1 0,2-2 0,4-6 0,2-7 0,2-8 0,2 2 0,1-4 0</inkml:trace>
  <inkml:trace contextRef="#ctx0" brushRef="#br0" timeOffset="6433">594 60 24575,'0'-5'0,"0"4"0,0 3 0,0 6 0,0 1 0,0 1 0,0 0 0,0-2 0,0-1 0,0-1 0,0 1 0,1-2 0,1-2 0,2-4 0,3-6 0,3-1 0,0-2 0,-1 1 0,0 4 0,-1 0 0,-1 2 0,0 0 0,-1 1 0,0-1 0,-2-1 0,1-1 0,0-1 0,0-2 0,-1 2 0,-2 2 0,-3 2 0,-2 4 0,-1 2 0,0 1 0,0 2 0,1 0 0,1 0 0,-1 1 0,1-1 0,0 1 0,0-1 0,1 2 0,-1-1 0,0 1 0,0-1 0,1 0 0,0-1 0,1 0 0,0-1 0,0-1 0,0 0 0,0-1 0,-1 0 0,0 1 0,0-1 0,0-1 0,-1 0 0,1-2 0,0 0 0</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3-10T16:47:48.993"/>
    </inkml:context>
    <inkml:brush xml:id="br0">
      <inkml:brushProperty name="width" value="0.035" units="cm"/>
      <inkml:brushProperty name="height" value="0.035" units="cm"/>
      <inkml:brushProperty name="color" value="#E71224"/>
    </inkml:brush>
  </inkml:definitions>
  <inkml:trace contextRef="#ctx0" brushRef="#br0">0 13 24575,'6'0'0,"-1"0"0,-1 0 0,1 0 0,-1 0 0,0 0 0,1 0 0,1 0 0,0 0 0,-1 0 0,0 0 0,-1 0 0,-1 0 0,1 0 0,0 0 0,0 0 0,0 0 0,0 0 0,-1 0 0,0 0 0,0 0 0,1 0 0,0 0 0,0 0 0,1 0 0,1 0 0,1 0 0,2 0 0,2 0 0,1 0 0,2 0 0,-1 0 0,-2 0 0,-2 0 0,-2 0 0,0 0 0,-1 0 0,-2 0 0,-1 0 0,1 0 0,-1 0 0,0 0 0,0 0 0,0 0 0,1 0 0,-1 0 0,0 0 0,0 0 0,1 0 0,-1 0 0,0 0 0,0 0 0,0 0 0,1 0 0,-1 0 0,1 0 0,-1 0 0,0 0 0,1 0 0,-1 0 0,0 0 0,1 0 0,-1 0 0,0 0 0,-1 0 0,2 0 0,-1 0 0,1 0 0,-1 0 0,1 0 0,-1 0 0,0 0 0,0 0 0,0 0 0,1 0 0,0 0 0,0 0 0,0 0 0,3 0 0,4 0 0,6 0 0,3 0 0,3 0 0,-2 0 0,-2 0 0,-4 0 0,-3 0 0,-3 0 0,-2 0 0,-1 0 0,-1 0 0,-1-1 0,0 0 0,1 0 0,1 0 0,-1 0 0,0 0 0,0 0 0,-1 1 0,-1 0 0,1 0 0,-2-1 0,1 0 0,-2-1 0,0 1 0,0 1 0</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0BD4AA-6E06-694D-9B22-20277BAC7559}">
  <dimension ref="B3:F42"/>
  <sheetViews>
    <sheetView topLeftCell="A31" zoomScale="268" workbookViewId="0">
      <selection activeCell="B43" sqref="B43"/>
    </sheetView>
  </sheetViews>
  <sheetFormatPr baseColWidth="10" defaultRowHeight="16" x14ac:dyDescent="0.2"/>
  <sheetData>
    <row r="3" spans="2:6" x14ac:dyDescent="0.2">
      <c r="B3" t="s">
        <v>0</v>
      </c>
    </row>
    <row r="5" spans="2:6" x14ac:dyDescent="0.2">
      <c r="B5" s="1"/>
      <c r="C5" s="1"/>
      <c r="D5" s="1"/>
      <c r="E5" s="1"/>
      <c r="F5" s="1"/>
    </row>
    <row r="8" spans="2:6" x14ac:dyDescent="0.2">
      <c r="B8" t="s">
        <v>1</v>
      </c>
      <c r="D8" t="s">
        <v>2</v>
      </c>
    </row>
    <row r="11" spans="2:6" x14ac:dyDescent="0.2">
      <c r="B11" t="s">
        <v>6</v>
      </c>
      <c r="D11" t="s">
        <v>7</v>
      </c>
    </row>
    <row r="13" spans="2:6" x14ac:dyDescent="0.2">
      <c r="B13" t="s">
        <v>8</v>
      </c>
      <c r="D13" t="s">
        <v>9</v>
      </c>
    </row>
    <row r="17" spans="2:4" x14ac:dyDescent="0.2">
      <c r="B17" t="s">
        <v>33</v>
      </c>
      <c r="D17" s="3" t="s">
        <v>34</v>
      </c>
    </row>
    <row r="19" spans="2:4" x14ac:dyDescent="0.2">
      <c r="B19" t="s">
        <v>35</v>
      </c>
      <c r="D19" t="s">
        <v>36</v>
      </c>
    </row>
    <row r="22" spans="2:4" x14ac:dyDescent="0.2">
      <c r="B22" t="s">
        <v>38</v>
      </c>
      <c r="D22" t="s">
        <v>39</v>
      </c>
    </row>
    <row r="25" spans="2:4" x14ac:dyDescent="0.2">
      <c r="B25" t="s">
        <v>40</v>
      </c>
      <c r="D25" t="s">
        <v>41</v>
      </c>
    </row>
    <row r="27" spans="2:4" x14ac:dyDescent="0.2">
      <c r="B27" t="s">
        <v>44</v>
      </c>
      <c r="D27" t="s">
        <v>49</v>
      </c>
    </row>
    <row r="29" spans="2:4" x14ac:dyDescent="0.2">
      <c r="B29" t="s">
        <v>45</v>
      </c>
    </row>
    <row r="31" spans="2:4" x14ac:dyDescent="0.2">
      <c r="B31" t="s">
        <v>46</v>
      </c>
    </row>
    <row r="33" spans="2:4" x14ac:dyDescent="0.2">
      <c r="B33" t="s">
        <v>47</v>
      </c>
    </row>
    <row r="35" spans="2:4" x14ac:dyDescent="0.2">
      <c r="B35" t="s">
        <v>48</v>
      </c>
    </row>
    <row r="37" spans="2:4" x14ac:dyDescent="0.2">
      <c r="B37" t="s">
        <v>51</v>
      </c>
      <c r="D37" t="s">
        <v>52</v>
      </c>
    </row>
    <row r="40" spans="2:4" x14ac:dyDescent="0.2">
      <c r="B40" t="s">
        <v>57</v>
      </c>
      <c r="D40" t="s">
        <v>58</v>
      </c>
    </row>
    <row r="42" spans="2:4" x14ac:dyDescent="0.2">
      <c r="B42" t="s">
        <v>59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900DD-EC7E-B945-836E-4DD16E9E3985}">
  <dimension ref="B3:H67"/>
  <sheetViews>
    <sheetView topLeftCell="A34" zoomScale="264" workbookViewId="0">
      <selection activeCell="B67" sqref="B67:F67"/>
    </sheetView>
  </sheetViews>
  <sheetFormatPr baseColWidth="10" defaultRowHeight="16" x14ac:dyDescent="0.2"/>
  <cols>
    <col min="2" max="2" width="15.33203125" bestFit="1" customWidth="1"/>
  </cols>
  <sheetData>
    <row r="3" spans="2:7" x14ac:dyDescent="0.2">
      <c r="B3" t="s">
        <v>1</v>
      </c>
    </row>
    <row r="5" spans="2:7" x14ac:dyDescent="0.2">
      <c r="B5" s="2" t="s">
        <v>3</v>
      </c>
      <c r="C5" s="2"/>
    </row>
    <row r="6" spans="2:7" x14ac:dyDescent="0.2">
      <c r="D6" t="s">
        <v>4</v>
      </c>
      <c r="G6" t="s">
        <v>5</v>
      </c>
    </row>
    <row r="7" spans="2:7" x14ac:dyDescent="0.2">
      <c r="B7">
        <v>1</v>
      </c>
      <c r="D7">
        <v>1</v>
      </c>
      <c r="G7" t="str">
        <f>TEXT(D7,"0000")</f>
        <v>0001</v>
      </c>
    </row>
    <row r="8" spans="2:7" x14ac:dyDescent="0.2">
      <c r="B8">
        <v>12</v>
      </c>
      <c r="D8">
        <v>12</v>
      </c>
      <c r="G8" t="str">
        <f t="shared" ref="G8:G10" si="0">TEXT(D8,"0000")</f>
        <v>0012</v>
      </c>
    </row>
    <row r="9" spans="2:7" x14ac:dyDescent="0.2">
      <c r="B9">
        <v>156</v>
      </c>
      <c r="D9">
        <v>156</v>
      </c>
      <c r="G9" t="str">
        <f t="shared" si="0"/>
        <v>0156</v>
      </c>
    </row>
    <row r="10" spans="2:7" x14ac:dyDescent="0.2">
      <c r="B10">
        <v>19082</v>
      </c>
      <c r="D10">
        <v>19082</v>
      </c>
      <c r="G10" t="str">
        <f>TEXT(D10,"0000")</f>
        <v>19082</v>
      </c>
    </row>
    <row r="13" spans="2:7" x14ac:dyDescent="0.2">
      <c r="B13" s="2" t="s">
        <v>10</v>
      </c>
      <c r="D13" t="s">
        <v>11</v>
      </c>
      <c r="F13" t="s">
        <v>12</v>
      </c>
    </row>
    <row r="15" spans="2:7" x14ac:dyDescent="0.2">
      <c r="C15" s="4" t="s">
        <v>13</v>
      </c>
      <c r="E15" s="4" t="s">
        <v>15</v>
      </c>
    </row>
    <row r="16" spans="2:7" x14ac:dyDescent="0.2">
      <c r="C16" s="4" t="s">
        <v>16</v>
      </c>
      <c r="E16" s="4" t="s">
        <v>14</v>
      </c>
      <c r="F16" s="3"/>
    </row>
    <row r="19" spans="2:5" x14ac:dyDescent="0.2">
      <c r="B19">
        <v>100000</v>
      </c>
      <c r="C19" t="str">
        <f>TEXT(B19,C16)</f>
        <v>100.00 K</v>
      </c>
      <c r="E19" t="str">
        <f>TEXT(B19,$E$16)</f>
        <v>0.10 M</v>
      </c>
    </row>
    <row r="20" spans="2:5" x14ac:dyDescent="0.2">
      <c r="B20">
        <v>173737</v>
      </c>
      <c r="C20" t="str">
        <f>TEXT(B20,$C$16)</f>
        <v>173.74 K</v>
      </c>
      <c r="E20" t="str">
        <f>TEXT(B20,$E$16)</f>
        <v>0.17 M</v>
      </c>
    </row>
    <row r="21" spans="2:5" x14ac:dyDescent="0.2">
      <c r="B21">
        <v>1734464737</v>
      </c>
      <c r="C21" t="str">
        <f>TEXT(B21,$C$16)</f>
        <v>17,34,464.74 K</v>
      </c>
      <c r="E21" t="str">
        <f>TEXT(B21,$E$16)</f>
        <v>1,734.46 M</v>
      </c>
    </row>
    <row r="24" spans="2:5" x14ac:dyDescent="0.2">
      <c r="B24" s="2" t="s">
        <v>17</v>
      </c>
      <c r="C24" s="1"/>
    </row>
    <row r="27" spans="2:5" x14ac:dyDescent="0.2">
      <c r="B27" t="str">
        <f>"+91 9263792773"</f>
        <v>+91 9263792773</v>
      </c>
    </row>
    <row r="29" spans="2:5" x14ac:dyDescent="0.2">
      <c r="B29" t="str">
        <f>"+1 (XXX) - YYYY YYYY"</f>
        <v>+1 (XXX) - YYYY YYYY</v>
      </c>
    </row>
    <row r="31" spans="2:5" x14ac:dyDescent="0.2">
      <c r="B31">
        <v>9263792773</v>
      </c>
      <c r="E31" t="str">
        <f>TEXT(B31,"(+91) ##### #####")</f>
        <v>(+91) 92637 92773</v>
      </c>
    </row>
    <row r="33" spans="2:8" x14ac:dyDescent="0.2">
      <c r="B33">
        <v>9263792773</v>
      </c>
      <c r="E33" t="str">
        <f>TEXT(B33,"(+1) ### - ### - ####")</f>
        <v>(+1) 926 - 379 - 2773</v>
      </c>
    </row>
    <row r="35" spans="2:8" x14ac:dyDescent="0.2">
      <c r="B35" t="s">
        <v>18</v>
      </c>
    </row>
    <row r="39" spans="2:8" x14ac:dyDescent="0.2">
      <c r="B39" s="2" t="s">
        <v>19</v>
      </c>
      <c r="C39" s="2"/>
    </row>
    <row r="41" spans="2:8" x14ac:dyDescent="0.2">
      <c r="B41">
        <v>0.25</v>
      </c>
      <c r="D41" t="str">
        <f>TEXT(B41,"0.000 %")</f>
        <v>25.000 %</v>
      </c>
    </row>
    <row r="42" spans="2:8" x14ac:dyDescent="0.2">
      <c r="B42">
        <v>9.2999999999999999E-2</v>
      </c>
      <c r="D42" t="str">
        <f>TEXT(B42,"0.00 %")</f>
        <v>9.30 %</v>
      </c>
    </row>
    <row r="45" spans="2:8" x14ac:dyDescent="0.2">
      <c r="B45" s="3" t="s">
        <v>20</v>
      </c>
      <c r="C45" s="5">
        <v>0.67449999999999999</v>
      </c>
      <c r="D45" s="3"/>
      <c r="E45" s="3" t="s">
        <v>21</v>
      </c>
      <c r="F45" s="3"/>
      <c r="G45" s="6" t="s">
        <v>22</v>
      </c>
      <c r="H45" s="3"/>
    </row>
    <row r="46" spans="2:8" x14ac:dyDescent="0.2">
      <c r="B46" s="3"/>
      <c r="C46" s="3"/>
      <c r="D46" s="3"/>
      <c r="E46" s="3"/>
      <c r="F46" s="3"/>
      <c r="G46" s="3"/>
      <c r="H46" s="3"/>
    </row>
    <row r="47" spans="2:8" x14ac:dyDescent="0.2">
      <c r="B47" s="3" t="str">
        <f>"My Maths percentage is "&amp;TEXT(C45,"0.000 %")&amp;" the date of result was "&amp; TEXT(G45, "dd-mm-yyyy")</f>
        <v>My Maths percentage is 67.450 % the date of result was 29/02/2026</v>
      </c>
      <c r="C47" s="3"/>
      <c r="D47" s="3"/>
      <c r="E47" s="3"/>
      <c r="F47" s="3"/>
      <c r="G47" s="3"/>
      <c r="H47" s="3"/>
    </row>
    <row r="49" spans="2:8" x14ac:dyDescent="0.2">
      <c r="C49" t="str">
        <f>_xlfn.CONCAT("My Date of result was ", G45)</f>
        <v>My Date of result was 29/02/2026</v>
      </c>
    </row>
    <row r="52" spans="2:8" x14ac:dyDescent="0.2">
      <c r="B52" s="2" t="s">
        <v>23</v>
      </c>
      <c r="C52" s="2"/>
    </row>
    <row r="54" spans="2:8" x14ac:dyDescent="0.2">
      <c r="D54" t="s">
        <v>24</v>
      </c>
      <c r="F54" t="s">
        <v>25</v>
      </c>
      <c r="H54" t="s">
        <v>26</v>
      </c>
    </row>
    <row r="55" spans="2:8" x14ac:dyDescent="0.2">
      <c r="B55" s="6">
        <v>46091</v>
      </c>
      <c r="D55" t="str">
        <f>TEXT(B55,D54)</f>
        <v>10</v>
      </c>
      <c r="F55" t="str">
        <f>TEXT(B55,F54)</f>
        <v>Tue</v>
      </c>
      <c r="H55" t="str">
        <f>TEXT(B55,H54)</f>
        <v>Tuesday</v>
      </c>
    </row>
    <row r="56" spans="2:8" x14ac:dyDescent="0.2">
      <c r="B56" s="3"/>
    </row>
    <row r="57" spans="2:8" x14ac:dyDescent="0.2">
      <c r="B57" s="3"/>
      <c r="D57" t="s">
        <v>27</v>
      </c>
      <c r="F57" t="s">
        <v>28</v>
      </c>
      <c r="H57" t="s">
        <v>29</v>
      </c>
    </row>
    <row r="58" spans="2:8" x14ac:dyDescent="0.2">
      <c r="B58" s="6">
        <v>46183</v>
      </c>
      <c r="D58" t="str">
        <f>TEXT(B58,D57)</f>
        <v>06</v>
      </c>
      <c r="F58" t="str">
        <f>TEXT(B58,F57)</f>
        <v>Jun</v>
      </c>
      <c r="H58" t="str">
        <f>TEXT(B58,H57)</f>
        <v>June</v>
      </c>
    </row>
    <row r="59" spans="2:8" x14ac:dyDescent="0.2">
      <c r="B59" s="3"/>
    </row>
    <row r="60" spans="2:8" x14ac:dyDescent="0.2">
      <c r="B60" s="3"/>
      <c r="D60" t="s">
        <v>30</v>
      </c>
      <c r="F60" t="s">
        <v>31</v>
      </c>
      <c r="H60" t="s">
        <v>32</v>
      </c>
    </row>
    <row r="61" spans="2:8" x14ac:dyDescent="0.2">
      <c r="B61" s="6">
        <v>46124</v>
      </c>
      <c r="D61" t="str">
        <f>TEXT(B61,D60)</f>
        <v>26</v>
      </c>
      <c r="F61" t="str">
        <f>TEXT(B61,F60)</f>
        <v>2026</v>
      </c>
      <c r="H61" t="str">
        <f>TEXT(B61,H60)</f>
        <v>2026</v>
      </c>
    </row>
    <row r="64" spans="2:8" x14ac:dyDescent="0.2">
      <c r="B64" s="8">
        <f ca="1">NOW()</f>
        <v>46091.958133796295</v>
      </c>
      <c r="D64" t="str">
        <f ca="1">TEXT(B64, "hh - mm - ss")</f>
        <v>22 - 59 - 43</v>
      </c>
    </row>
    <row r="66" spans="2:6" x14ac:dyDescent="0.2">
      <c r="B66" s="7"/>
    </row>
    <row r="67" spans="2:6" x14ac:dyDescent="0.2">
      <c r="B67" s="9"/>
      <c r="C67" s="1"/>
      <c r="D67" s="1"/>
      <c r="E67" s="1"/>
      <c r="F67"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5BBF0-82A4-8B42-BB72-1689DBC53D00}">
  <dimension ref="B3:AG139"/>
  <sheetViews>
    <sheetView tabSelected="1" topLeftCell="A132" zoomScale="255" workbookViewId="0">
      <selection activeCell="D137" sqref="D137"/>
    </sheetView>
  </sheetViews>
  <sheetFormatPr baseColWidth="10" defaultRowHeight="16" x14ac:dyDescent="0.2"/>
  <sheetData>
    <row r="3" spans="2:6" x14ac:dyDescent="0.2">
      <c r="B3" t="s">
        <v>33</v>
      </c>
    </row>
    <row r="5" spans="2:6" x14ac:dyDescent="0.2">
      <c r="B5">
        <v>65</v>
      </c>
      <c r="D5" t="str">
        <f>CHAR(B5)</f>
        <v>A</v>
      </c>
    </row>
    <row r="6" spans="2:6" x14ac:dyDescent="0.2">
      <c r="B6">
        <v>66</v>
      </c>
      <c r="D6" t="str">
        <f t="shared" ref="D6:D45" si="0">CHAR(B6)</f>
        <v>B</v>
      </c>
    </row>
    <row r="7" spans="2:6" x14ac:dyDescent="0.2">
      <c r="B7">
        <v>67</v>
      </c>
      <c r="D7" t="str">
        <f t="shared" si="0"/>
        <v>C</v>
      </c>
    </row>
    <row r="11" spans="2:6" x14ac:dyDescent="0.2">
      <c r="B11" s="1"/>
      <c r="C11" s="1"/>
      <c r="D11" s="1"/>
      <c r="E11" s="1"/>
      <c r="F11" s="1"/>
    </row>
    <row r="13" spans="2:6" x14ac:dyDescent="0.2">
      <c r="B13" t="s">
        <v>35</v>
      </c>
    </row>
    <row r="15" spans="2:6" x14ac:dyDescent="0.2">
      <c r="B15" t="str">
        <f>"  Utkarsh  "</f>
        <v xml:space="preserve">  Utkarsh  </v>
      </c>
      <c r="D15" t="str">
        <f>TRIM(B15)</f>
        <v>Utkarsh</v>
      </c>
    </row>
    <row r="18" spans="2:6" x14ac:dyDescent="0.2">
      <c r="B18">
        <f>LEN(B15)</f>
        <v>11</v>
      </c>
      <c r="D18">
        <f>LEN(D15)</f>
        <v>7</v>
      </c>
    </row>
    <row r="21" spans="2:6" x14ac:dyDescent="0.2">
      <c r="B21" s="1"/>
      <c r="C21" s="1"/>
      <c r="D21" s="1"/>
      <c r="E21" s="1"/>
      <c r="F21" s="1"/>
    </row>
    <row r="23" spans="2:6" x14ac:dyDescent="0.2">
      <c r="B23" t="s">
        <v>37</v>
      </c>
    </row>
    <row r="24" spans="2:6" x14ac:dyDescent="0.2">
      <c r="C24" t="str">
        <f>"Utkarsh SAHU"</f>
        <v>Utkarsh SAHU</v>
      </c>
    </row>
    <row r="27" spans="2:6" x14ac:dyDescent="0.2">
      <c r="C27">
        <f>LEN(C24)</f>
        <v>12</v>
      </c>
    </row>
    <row r="30" spans="2:6" x14ac:dyDescent="0.2">
      <c r="B30" s="1"/>
      <c r="C30" s="1"/>
      <c r="D30" s="1"/>
      <c r="E30" s="1"/>
    </row>
    <row r="33" spans="2:6" x14ac:dyDescent="0.2">
      <c r="B33" t="s">
        <v>40</v>
      </c>
    </row>
    <row r="35" spans="2:6" x14ac:dyDescent="0.2">
      <c r="B35" t="s">
        <v>43</v>
      </c>
      <c r="D35" t="str">
        <f>LEFT(B35,4)</f>
        <v xml:space="preserve"> UTK</v>
      </c>
    </row>
    <row r="39" spans="2:6" x14ac:dyDescent="0.2">
      <c r="B39" t="s">
        <v>44</v>
      </c>
    </row>
    <row r="42" spans="2:6" x14ac:dyDescent="0.2">
      <c r="B42" t="s">
        <v>43</v>
      </c>
      <c r="D42" t="str">
        <f>RIGHT(B42,4)</f>
        <v>SAHU</v>
      </c>
    </row>
    <row r="45" spans="2:6" x14ac:dyDescent="0.2">
      <c r="B45" s="1"/>
      <c r="C45" s="1"/>
      <c r="D45" s="1"/>
      <c r="E45" s="1"/>
      <c r="F45" s="1"/>
    </row>
    <row r="47" spans="2:6" x14ac:dyDescent="0.2">
      <c r="B47" t="s">
        <v>45</v>
      </c>
    </row>
    <row r="49" spans="2:5" x14ac:dyDescent="0.2">
      <c r="B49" t="s">
        <v>42</v>
      </c>
      <c r="D49" t="str">
        <f>MID(B49,4,3)</f>
        <v>ARS</v>
      </c>
    </row>
    <row r="51" spans="2:5" x14ac:dyDescent="0.2">
      <c r="B51">
        <v>9457557</v>
      </c>
      <c r="D51" t="str">
        <f>LEFT(B51,4)</f>
        <v>9457</v>
      </c>
    </row>
    <row r="54" spans="2:5" x14ac:dyDescent="0.2">
      <c r="B54" s="1"/>
      <c r="C54" s="1"/>
      <c r="D54" s="1"/>
      <c r="E54" s="1"/>
    </row>
    <row r="55" spans="2:5" x14ac:dyDescent="0.2">
      <c r="B55" t="s">
        <v>46</v>
      </c>
      <c r="C55" t="s">
        <v>47</v>
      </c>
      <c r="D55" t="s">
        <v>48</v>
      </c>
    </row>
    <row r="57" spans="2:5" x14ac:dyDescent="0.2">
      <c r="B57" t="s">
        <v>50</v>
      </c>
      <c r="D57" t="str">
        <f>UPPER(B57)</f>
        <v xml:space="preserve">UTKARSH SAHU 1 @ </v>
      </c>
    </row>
    <row r="60" spans="2:5" x14ac:dyDescent="0.2">
      <c r="B60" t="str">
        <f>LOWER(B57)</f>
        <v xml:space="preserve">utkarsh sahu 1 @ </v>
      </c>
    </row>
    <row r="63" spans="2:5" x14ac:dyDescent="0.2">
      <c r="B63" t="str">
        <f>PROPER(B60)</f>
        <v xml:space="preserve">Utkarsh Sahu 1 @ </v>
      </c>
    </row>
    <row r="65" spans="2:6" x14ac:dyDescent="0.2">
      <c r="B65" s="1"/>
      <c r="C65" s="1"/>
      <c r="D65" s="1"/>
      <c r="E65" s="1"/>
      <c r="F65" s="1"/>
    </row>
    <row r="66" spans="2:6" x14ac:dyDescent="0.2">
      <c r="B66" s="1"/>
      <c r="C66" s="1"/>
      <c r="D66" s="1"/>
      <c r="E66" s="1"/>
      <c r="F66" s="1"/>
    </row>
    <row r="68" spans="2:6" x14ac:dyDescent="0.2">
      <c r="B68" t="s">
        <v>51</v>
      </c>
    </row>
    <row r="71" spans="2:6" x14ac:dyDescent="0.2">
      <c r="B71" t="s">
        <v>53</v>
      </c>
      <c r="D71" t="s">
        <v>54</v>
      </c>
    </row>
    <row r="73" spans="2:6" x14ac:dyDescent="0.2">
      <c r="C73" t="b">
        <f>(B71=D71)</f>
        <v>1</v>
      </c>
    </row>
    <row r="75" spans="2:6" x14ac:dyDescent="0.2">
      <c r="C75" t="b">
        <f>EXACT(B71,D71)</f>
        <v>0</v>
      </c>
    </row>
    <row r="77" spans="2:6" x14ac:dyDescent="0.2">
      <c r="B77" s="1"/>
      <c r="C77" s="1"/>
      <c r="D77" s="1"/>
      <c r="E77" s="1"/>
      <c r="F77" s="1"/>
    </row>
    <row r="79" spans="2:6" x14ac:dyDescent="0.2">
      <c r="E79" s="10">
        <v>0.05</v>
      </c>
    </row>
    <row r="80" spans="2:6" x14ac:dyDescent="0.2">
      <c r="B80" t="s">
        <v>55</v>
      </c>
      <c r="C80" t="s">
        <v>56</v>
      </c>
    </row>
    <row r="82" spans="2:9" x14ac:dyDescent="0.2">
      <c r="B82" t="str">
        <f>_xlfn.CONCAT("My name is ",TEXT(E79,"0.00 %"))</f>
        <v>My name is 5.00 %</v>
      </c>
    </row>
    <row r="84" spans="2:9" x14ac:dyDescent="0.2">
      <c r="B84" t="str">
        <f>"My name is " &amp; E79</f>
        <v>My name is 0.05</v>
      </c>
    </row>
    <row r="86" spans="2:9" x14ac:dyDescent="0.2">
      <c r="B86" s="1"/>
      <c r="C86" s="1"/>
      <c r="D86" s="1"/>
      <c r="E86" s="1"/>
      <c r="F86" s="1"/>
      <c r="G86" s="1"/>
    </row>
    <row r="89" spans="2:9" x14ac:dyDescent="0.2">
      <c r="B89" t="s">
        <v>59</v>
      </c>
    </row>
    <row r="91" spans="2:9" x14ac:dyDescent="0.2">
      <c r="B91" s="3" t="s">
        <v>63</v>
      </c>
    </row>
    <row r="94" spans="2:9" x14ac:dyDescent="0.2">
      <c r="B94" t="str" cm="1">
        <f t="array" ref="B94:I94">_xlfn.TEXTSPLIT(B91,",",,TRUE)</f>
        <v>SQL</v>
      </c>
      <c r="C94" t="str">
        <v xml:space="preserve"> Java</v>
      </c>
      <c r="D94" t="str">
        <v xml:space="preserve"> Python</v>
      </c>
      <c r="E94" t="str">
        <v xml:space="preserve"> C++</v>
      </c>
      <c r="F94" t="str">
        <v xml:space="preserve"> R</v>
      </c>
      <c r="G94" t="str">
        <v xml:space="preserve"> Python</v>
      </c>
      <c r="H94" t="str">
        <v xml:space="preserve"> C++</v>
      </c>
      <c r="I94" t="str">
        <v xml:space="preserve"> R</v>
      </c>
    </row>
    <row r="97" spans="2:33" x14ac:dyDescent="0.2">
      <c r="B97" t="s">
        <v>62</v>
      </c>
      <c r="D97" t="str" cm="1">
        <f t="array" ref="D97:E97">_xlfn.TEXTSPLIT(B97," ")</f>
        <v>Utkarsh</v>
      </c>
      <c r="E97" t="str">
        <v>Sahu</v>
      </c>
    </row>
    <row r="100" spans="2:33" x14ac:dyDescent="0.2">
      <c r="B100" s="3" t="s">
        <v>60</v>
      </c>
    </row>
    <row r="103" spans="2:33" x14ac:dyDescent="0.2">
      <c r="B103" t="str" cm="1">
        <f t="array" ref="B103:F104">_xlfn.TEXTSPLIT(B100,",","?",TRUE,,"")</f>
        <v>SQL</v>
      </c>
      <c r="C103" t="str">
        <v xml:space="preserve"> Java</v>
      </c>
      <c r="D103" t="str">
        <v xml:space="preserve"> Python</v>
      </c>
      <c r="E103" t="str">
        <v xml:space="preserve"> C++</v>
      </c>
      <c r="F103" t="str">
        <v xml:space="preserve"> R </v>
      </c>
    </row>
    <row r="104" spans="2:33" x14ac:dyDescent="0.2">
      <c r="B104" t="str">
        <v xml:space="preserve"> Python</v>
      </c>
      <c r="C104" t="str">
        <v xml:space="preserve"> C++</v>
      </c>
      <c r="D104" t="str">
        <v xml:space="preserve"> R</v>
      </c>
      <c r="E104" t="str">
        <v/>
      </c>
      <c r="F104" t="str">
        <v/>
      </c>
    </row>
    <row r="108" spans="2:33" x14ac:dyDescent="0.2">
      <c r="B108" t="s">
        <v>64</v>
      </c>
    </row>
    <row r="111" spans="2:33" x14ac:dyDescent="0.2">
      <c r="C111" t="s">
        <v>68</v>
      </c>
      <c r="D111" t="s">
        <v>69</v>
      </c>
    </row>
    <row r="112" spans="2:33" x14ac:dyDescent="0.2">
      <c r="B112" t="s">
        <v>65</v>
      </c>
      <c r="C112" t="str" cm="1">
        <f t="array" ref="C112:AG115">_xlfn.TEXTSPLIT(B108," ",". ",TRUE,,"")</f>
        <v>Lorem</v>
      </c>
      <c r="D112" t="str">
        <v>Ipsum</v>
      </c>
      <c r="E112" t="str">
        <v>is</v>
      </c>
      <c r="F112" t="str">
        <v>simply</v>
      </c>
      <c r="G112" t="str">
        <v>dummy</v>
      </c>
      <c r="H112" t="str">
        <v>text</v>
      </c>
      <c r="I112" t="str">
        <v>of</v>
      </c>
      <c r="J112" t="str">
        <v>the</v>
      </c>
      <c r="K112" t="str">
        <v>printing</v>
      </c>
      <c r="L112" t="str">
        <v>and</v>
      </c>
      <c r="M112" t="str">
        <v>typesetting</v>
      </c>
      <c r="N112" t="str">
        <v>industry</v>
      </c>
      <c r="O112" t="str">
        <v/>
      </c>
      <c r="P112" t="str">
        <v/>
      </c>
      <c r="Q112" t="str">
        <v/>
      </c>
      <c r="R112" t="str">
        <v/>
      </c>
      <c r="S112" t="str">
        <v/>
      </c>
      <c r="T112" t="str">
        <v/>
      </c>
      <c r="U112" t="str">
        <v/>
      </c>
      <c r="V112" t="str">
        <v/>
      </c>
      <c r="W112" t="str">
        <v/>
      </c>
      <c r="X112" t="str">
        <v/>
      </c>
      <c r="Y112" t="str">
        <v/>
      </c>
      <c r="Z112" t="str">
        <v/>
      </c>
      <c r="AA112" t="str">
        <v/>
      </c>
      <c r="AB112" t="str">
        <v/>
      </c>
      <c r="AC112" t="str">
        <v/>
      </c>
      <c r="AD112" t="str">
        <v/>
      </c>
      <c r="AE112" t="str">
        <v/>
      </c>
      <c r="AF112" t="str">
        <v/>
      </c>
      <c r="AG112" t="str">
        <v/>
      </c>
    </row>
    <row r="113" spans="2:33" x14ac:dyDescent="0.2">
      <c r="B113" t="s">
        <v>66</v>
      </c>
      <c r="C113" t="str">
        <v>Lorem</v>
      </c>
      <c r="D113" t="str">
        <v>Ipsum</v>
      </c>
      <c r="E113" t="str">
        <v>has</v>
      </c>
      <c r="F113" t="str">
        <v>been</v>
      </c>
      <c r="G113" t="str">
        <v>the</v>
      </c>
      <c r="H113" t="str">
        <v>industry's</v>
      </c>
      <c r="I113" t="str">
        <v>standard</v>
      </c>
      <c r="J113" t="str">
        <v>dummy</v>
      </c>
      <c r="K113" t="str">
        <v>text</v>
      </c>
      <c r="L113" t="str">
        <v>ever</v>
      </c>
      <c r="M113" t="str">
        <v>since</v>
      </c>
      <c r="N113" t="str">
        <v>the</v>
      </c>
      <c r="O113" t="str">
        <v>1500s,</v>
      </c>
      <c r="P113" t="str">
        <v>when</v>
      </c>
      <c r="Q113" t="str">
        <v>an</v>
      </c>
      <c r="R113" t="str">
        <v>unknown</v>
      </c>
      <c r="S113" t="str">
        <v>printer</v>
      </c>
      <c r="T113" t="str">
        <v>took</v>
      </c>
      <c r="U113" t="str">
        <v>a</v>
      </c>
      <c r="V113" t="str">
        <v>galley</v>
      </c>
      <c r="W113" t="str">
        <v>of</v>
      </c>
      <c r="X113" t="str">
        <v>type</v>
      </c>
      <c r="Y113" t="str">
        <v>and</v>
      </c>
      <c r="Z113" t="str">
        <v>scrambled</v>
      </c>
      <c r="AA113" t="str">
        <v>it</v>
      </c>
      <c r="AB113" t="str">
        <v>to</v>
      </c>
      <c r="AC113" t="str">
        <v>make</v>
      </c>
      <c r="AD113" t="str">
        <v>a</v>
      </c>
      <c r="AE113" t="str">
        <v>type</v>
      </c>
      <c r="AF113" t="str">
        <v>specimen</v>
      </c>
      <c r="AG113" t="str">
        <v>book</v>
      </c>
    </row>
    <row r="114" spans="2:33" x14ac:dyDescent="0.2">
      <c r="B114" t="s">
        <v>67</v>
      </c>
      <c r="C114" t="str">
        <v>It</v>
      </c>
      <c r="D114" t="str">
        <v>has</v>
      </c>
      <c r="E114" t="str">
        <v>survived</v>
      </c>
      <c r="F114" t="str">
        <v>not</v>
      </c>
      <c r="G114" t="str">
        <v>only</v>
      </c>
      <c r="H114" t="str">
        <v>five</v>
      </c>
      <c r="I114" t="str">
        <v>centuries,</v>
      </c>
      <c r="J114" t="str">
        <v>but</v>
      </c>
      <c r="K114" t="str">
        <v>also</v>
      </c>
      <c r="L114" t="str">
        <v>the</v>
      </c>
      <c r="M114" t="str">
        <v>leap</v>
      </c>
      <c r="N114" t="str">
        <v>into</v>
      </c>
      <c r="O114" t="str">
        <v>electronic</v>
      </c>
      <c r="P114" t="str">
        <v>typesetting,</v>
      </c>
      <c r="Q114" t="str">
        <v>remaining</v>
      </c>
      <c r="R114" t="str">
        <v>essentially</v>
      </c>
      <c r="S114" t="str">
        <v>unchanged</v>
      </c>
      <c r="T114" t="str">
        <v/>
      </c>
      <c r="U114" t="str">
        <v/>
      </c>
      <c r="V114" t="str">
        <v/>
      </c>
      <c r="W114" t="str">
        <v/>
      </c>
      <c r="X114" t="str">
        <v/>
      </c>
      <c r="Y114" t="str">
        <v/>
      </c>
      <c r="Z114" t="str">
        <v/>
      </c>
      <c r="AA114" t="str">
        <v/>
      </c>
      <c r="AB114" t="str">
        <v/>
      </c>
      <c r="AC114" t="str">
        <v/>
      </c>
      <c r="AD114" t="str">
        <v/>
      </c>
      <c r="AE114" t="str">
        <v/>
      </c>
      <c r="AF114" t="str">
        <v/>
      </c>
      <c r="AG114" t="str">
        <v/>
      </c>
    </row>
    <row r="115" spans="2:33" x14ac:dyDescent="0.2">
      <c r="C115" t="str">
        <v>It</v>
      </c>
      <c r="D115" t="str">
        <v>was</v>
      </c>
      <c r="E115" t="str">
        <v>popularised</v>
      </c>
      <c r="F115" t="str">
        <v>in</v>
      </c>
      <c r="G115" t="str">
        <v>the</v>
      </c>
      <c r="H115" t="str">
        <v>1960s</v>
      </c>
      <c r="I115" t="str">
        <v>with</v>
      </c>
      <c r="J115" t="str">
        <v>the</v>
      </c>
      <c r="K115" t="str">
        <v>release</v>
      </c>
      <c r="L115" t="str">
        <v>of</v>
      </c>
      <c r="M115" t="str">
        <v>Letraset</v>
      </c>
      <c r="N115" t="str">
        <v>sheets</v>
      </c>
      <c r="O115" t="str">
        <v>containing</v>
      </c>
      <c r="P115" t="str">
        <v>Lorem</v>
      </c>
      <c r="Q115" t="str">
        <v>Ipsum</v>
      </c>
      <c r="R115" t="str">
        <v>passages,</v>
      </c>
      <c r="S115" t="str">
        <v>and</v>
      </c>
      <c r="T115" t="str">
        <v>more</v>
      </c>
      <c r="U115" t="str">
        <v>recently</v>
      </c>
      <c r="V115" t="str">
        <v>with</v>
      </c>
      <c r="W115" t="str">
        <v>desktop</v>
      </c>
      <c r="X115" t="str">
        <v>publishing</v>
      </c>
      <c r="Y115" t="str">
        <v>software</v>
      </c>
      <c r="Z115" t="str">
        <v>like</v>
      </c>
      <c r="AA115" t="str">
        <v>Aldus</v>
      </c>
      <c r="AB115" t="str">
        <v>PageMaker</v>
      </c>
      <c r="AC115" t="str">
        <v>including</v>
      </c>
      <c r="AD115" t="str">
        <v>versions</v>
      </c>
      <c r="AE115" t="str">
        <v>of</v>
      </c>
      <c r="AF115" t="str">
        <v>Lorem</v>
      </c>
      <c r="AG115" t="str">
        <v>Ipsum.</v>
      </c>
    </row>
    <row r="118" spans="2:33" x14ac:dyDescent="0.2">
      <c r="B118" s="1"/>
      <c r="C118" s="1"/>
      <c r="D118" s="1"/>
      <c r="E118" s="1"/>
      <c r="F118" s="1"/>
    </row>
    <row r="121" spans="2:33" x14ac:dyDescent="0.2">
      <c r="B121" t="s">
        <v>70</v>
      </c>
    </row>
    <row r="125" spans="2:33" x14ac:dyDescent="0.2">
      <c r="B125" s="3" t="s">
        <v>61</v>
      </c>
      <c r="C125" s="3" t="s">
        <v>71</v>
      </c>
      <c r="D125" s="3" t="s">
        <v>72</v>
      </c>
      <c r="E125" s="3" t="s">
        <v>73</v>
      </c>
      <c r="F125" s="3" t="s">
        <v>74</v>
      </c>
      <c r="G125" s="3" t="s">
        <v>72</v>
      </c>
      <c r="H125" s="3" t="s">
        <v>73</v>
      </c>
      <c r="I125" s="3" t="s">
        <v>74</v>
      </c>
    </row>
    <row r="128" spans="2:33" x14ac:dyDescent="0.2">
      <c r="B128" t="str">
        <f>_xlfn.TEXTJOIN(",",TRUE,B125:I125)</f>
        <v>SQL, Java, Python, C++, R, Python, C++, R</v>
      </c>
    </row>
    <row r="130" spans="2:6" x14ac:dyDescent="0.2">
      <c r="B130" s="1"/>
      <c r="C130" s="1"/>
      <c r="D130" s="1"/>
      <c r="E130" s="1"/>
      <c r="F130" s="1"/>
    </row>
    <row r="131" spans="2:6" x14ac:dyDescent="0.2">
      <c r="B131" t="s">
        <v>75</v>
      </c>
    </row>
    <row r="134" spans="2:6" x14ac:dyDescent="0.2">
      <c r="B134">
        <f>FIND("Utkarsh","My name is Utkarsh")</f>
        <v>12</v>
      </c>
    </row>
    <row r="137" spans="2:6" x14ac:dyDescent="0.2">
      <c r="B137" t="s">
        <v>62</v>
      </c>
      <c r="D137" t="str">
        <f>LEFT(B137, FIND(" ",B137))</f>
        <v xml:space="preserve">Utkarsh </v>
      </c>
    </row>
    <row r="138" spans="2:6" x14ac:dyDescent="0.2">
      <c r="B138" t="s">
        <v>77</v>
      </c>
      <c r="D138" t="str">
        <f>LEFT(B138, FIND(" ",B138))</f>
        <v xml:space="preserve">RamPal </v>
      </c>
    </row>
    <row r="139" spans="2:6" x14ac:dyDescent="0.2">
      <c r="B139" t="s">
        <v>76</v>
      </c>
      <c r="D139" t="str">
        <f t="shared" ref="D138:D139" si="1">LEFT(B139, FIND(" ",B139))</f>
        <v xml:space="preserve">Sakshi </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AGENDA</vt:lpstr>
      <vt:lpstr>text</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SAHU</dc:creator>
  <cp:lastModifiedBy>UTKARSH SAHU</cp:lastModifiedBy>
  <dcterms:created xsi:type="dcterms:W3CDTF">2026-03-10T15:36:40Z</dcterms:created>
  <dcterms:modified xsi:type="dcterms:W3CDTF">2026-03-10T17:30:14Z</dcterms:modified>
</cp:coreProperties>
</file>