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DE4B2DAC-DAB7-4E4D-B44F-D56AD147A449}" xr6:coauthVersionLast="47" xr6:coauthVersionMax="47" xr10:uidLastSave="{00000000-0000-0000-0000-000000000000}"/>
  <bookViews>
    <workbookView xWindow="0" yWindow="600" windowWidth="28800" windowHeight="17400" activeTab="1" xr2:uid="{28C0B58A-BC14-534F-A850-5EA026AC1073}"/>
  </bookViews>
  <sheets>
    <sheet name="agenda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9" i="2" l="1" a="1"/>
  <c r="F139" i="2"/>
  <c r="B120" i="2"/>
  <c r="D120" i="2"/>
  <c r="D118" i="2"/>
  <c r="B118" i="2"/>
  <c r="D114" i="2"/>
  <c r="B114" i="2"/>
  <c r="D111" i="2"/>
  <c r="B111" i="2"/>
  <c r="D100" i="2"/>
  <c r="B100" i="2"/>
  <c r="D85" i="2"/>
  <c r="B85" i="2"/>
  <c r="B80" i="2"/>
  <c r="D80" i="2"/>
  <c r="B75" i="2"/>
  <c r="D75" i="2"/>
  <c r="B77" i="2"/>
  <c r="B73" i="2"/>
  <c r="B71" i="2"/>
  <c r="D71" i="2"/>
  <c r="B62" i="2"/>
  <c r="B56" i="2"/>
  <c r="B64" i="2"/>
  <c r="B57" i="2"/>
  <c r="D49" i="2"/>
  <c r="D47" i="2"/>
  <c r="D45" i="2"/>
  <c r="B42" i="2"/>
  <c r="B32" i="2"/>
  <c r="B35" i="2"/>
  <c r="B37" i="2"/>
  <c r="D30" i="2"/>
  <c r="D37" i="2"/>
  <c r="D35" i="2"/>
  <c r="D32" i="2"/>
  <c r="B25" i="2"/>
  <c r="D25" i="2"/>
  <c r="D18" i="2"/>
  <c r="B18" i="2"/>
  <c r="D11" i="2"/>
  <c r="B11" i="2"/>
  <c r="B3" i="2"/>
  <c r="B49" i="2" l="1"/>
  <c r="B45" i="2"/>
  <c r="B4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<sst xmlns="http://schemas.openxmlformats.org/spreadsheetml/2006/main" count="47" uniqueCount="41">
  <si>
    <t>TODAY</t>
  </si>
  <si>
    <t>Current Date</t>
  </si>
  <si>
    <t xml:space="preserve">DATE </t>
  </si>
  <si>
    <t>To build a date</t>
  </si>
  <si>
    <t>DATE</t>
  </si>
  <si>
    <t>TIME</t>
  </si>
  <si>
    <t>To build a TIME</t>
  </si>
  <si>
    <t>NOW</t>
  </si>
  <si>
    <t>Current Time</t>
  </si>
  <si>
    <t>HOUR</t>
  </si>
  <si>
    <t>excracts the HOUR part from the TIME ( serial num )</t>
  </si>
  <si>
    <t>MINUTE</t>
  </si>
  <si>
    <t>excracts the MINUTE part from the TIME ( serial num )</t>
  </si>
  <si>
    <t>SECONDS</t>
  </si>
  <si>
    <t>excracts the SECOND part from the TIME ( serial num )</t>
  </si>
  <si>
    <t>datevalue</t>
  </si>
  <si>
    <t>Timevalue</t>
  </si>
  <si>
    <t>TIMEVALUE</t>
  </si>
  <si>
    <t>Return corresponding serial number for the TIME AS TEXT</t>
  </si>
  <si>
    <t>DATEVALUE</t>
  </si>
  <si>
    <t>Return corresponding serial number for the DATE AS TEXT</t>
  </si>
  <si>
    <t>EDATE</t>
  </si>
  <si>
    <t xml:space="preserve">RETURN SERIALNUM and only add the months, </t>
  </si>
  <si>
    <t>EOMONTH</t>
  </si>
  <si>
    <t>RETURN serial num of the LAST DAY OF THAT MONTH after adding the months given in input</t>
  </si>
  <si>
    <t>WEEKDAY</t>
  </si>
  <si>
    <t>TELL THE DAY ( of week ) as per the date , LIKE MONDAY, TUES, etc ( convention)</t>
  </si>
  <si>
    <t>WEEkNUM</t>
  </si>
  <si>
    <t>TELLS the WEEK num In that year, numerically ( refer the actual calander)</t>
  </si>
  <si>
    <t>DATEDIF</t>
  </si>
  <si>
    <t>To tell difference b/w two dates in desired unit</t>
  </si>
  <si>
    <t>START</t>
  </si>
  <si>
    <t>END</t>
  </si>
  <si>
    <t>OFFSET</t>
  </si>
  <si>
    <t>OFFSET(START, ROW,COL,..,..)</t>
  </si>
  <si>
    <t>Utkarsh Sahu 1</t>
  </si>
  <si>
    <t>Utkarsh Sahu 2</t>
  </si>
  <si>
    <t>Utkarsh Sahu 3</t>
  </si>
  <si>
    <t>Utkarsh Sahu 4</t>
  </si>
  <si>
    <t>Utkarsh Sahu 5</t>
  </si>
  <si>
    <t>Utkarsh Sahu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</si>
</sst>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:ss;@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ill="1"/>
    <xf numFmtId="18" fontId="0" fillId="0" borderId="0" xfId="0" applyNumberFormat="1"/>
    <xf numFmtId="22" fontId="0" fillId="0" borderId="0" xfId="0" applyNumberFormat="1"/>
    <xf numFmtId="166" fontId="0" fillId="0" borderId="0" xfId="0" applyNumberFormat="1"/>
    <xf numFmtId="0" fontId="1" fillId="0" borderId="0" xfId="0" applyFont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410036</xdr:colOff>
      <xdr:row>88</xdr:row>
      <xdr:rowOff>9136</xdr:rowOff>
    </xdr:from>
    <xdr:to>
      <xdr:col>4</xdr:col>
      <xdr:colOff>579084</xdr:colOff>
      <xdr:row>96</xdr:row>
      <xdr:rowOff>96665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4453B-ECD3-101E-9C88-BCB13CD8C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907" y="17697769"/>
          <a:ext cx="3371458" cy="1695587"/>
        </a:xfrm>
        <a:prstGeom prst="rect">
          <a:avLst/>
        </a:prstGeom>
      </xdr:spPr>
    </xdr:pic>
    <xdr:clientData/>
  </xdr:twoCellAnchor>
  <xdr:twoCellAnchor editAs="oneCell">
    <xdr:from>
      <xdr:col>2</xdr:col>
      <xdr:colOff>404257</xdr:colOff>
      <xdr:row>128</xdr:row>
      <xdr:rowOff>13959</xdr:rowOff>
    </xdr:from>
    <xdr:to>
      <xdr:col>4</xdr:col>
      <xdr:colOff>271639</xdr:colOff>
      <xdr:row>133</xdr:row>
      <xdr:rowOff>181803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1144F630-9BD0-D665-246A-BB577755D677}"/>
                </a:ext>
              </a:extLst>
            </xdr14:cNvPr>
            <xdr14:cNvContentPartPr/>
          </xdr14:nvContentPartPr>
          <xdr14:nvPr macro=""/>
          <xdr14:xfrm>
            <a:off x="2715840" y="25742880"/>
            <a:ext cx="1585080" cy="117288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1144F630-9BD0-D665-246A-BB577755D67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709719" y="25736760"/>
              <a:ext cx="1597323" cy="118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398160</xdr:colOff>
      <xdr:row>131</xdr:row>
      <xdr:rowOff>63258</xdr:rowOff>
    </xdr:from>
    <xdr:to>
      <xdr:col>1</xdr:col>
      <xdr:colOff>738769</xdr:colOff>
      <xdr:row>135</xdr:row>
      <xdr:rowOff>134389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F7F9ADDE-BFA1-0069-DF2E-3ED813C0D7CE}"/>
                </a:ext>
              </a:extLst>
            </xdr14:cNvPr>
            <xdr14:cNvContentPartPr/>
          </xdr14:nvContentPartPr>
          <xdr14:nvPr macro=""/>
          <xdr14:xfrm>
            <a:off x="398160" y="26395200"/>
            <a:ext cx="1167480" cy="87516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F7F9ADDE-BFA1-0069-DF2E-3ED813C0D7C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89520" y="26386200"/>
              <a:ext cx="1185120" cy="892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17:18:59.25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1582 319 24575,'0'52'0,"0"-1"0,0 36 0,0 13 0,0-28 0,0 5 0,0 5 0,0 3-994,0-4 1,1 4 0,-1 2 0,0 1 0,-1 0 993,1 3 0,0 2 0,0 0 0,0-1 0,-1-1 0,1-5 0,0 0 0,-1 0 0,1-3 0,-1-3 0,0 6 0,1-3 0,-1-3 0,0-5 501,1 2 1,-1-6 0,0-7-502,0-2 0,1-8 806,0 14-806,0-37 0,0-22 0,0-6 0,0-3 0</inkml:trace>
  <inkml:trace contextRef="#ctx0" brushRef="#br0" timeOffset="983">420 1880 24575,'51'-2'0,"9"2"0,14-1 0,5 0 0,10 1 0,6-1-1355,-3 0 0,5 0 1,4-1-1,1 0 1355,-9 1 0,2 0 0,1-1 0,1 1 0,-1 0 0,0-1 0,1 1 0,-1 0 0,0 0 0,-4-1 0,-8 2 0,-2-1 0,-2 0 0,-1 0 0,-3 1 421,29 0 1,-5 0-1,-8 0-421,6 0 0,-12 0 476,-30 0 0,-8 0-476,6 0 0,-34 1 0,-13 1 0,-6 0 0,1 0 0</inkml:trace>
  <inkml:trace contextRef="#ctx0" brushRef="#br0" timeOffset="2016">2098 0 24575,'-2'5'0,"1"27"0,1 35 0,0 30 0,0-41 0,0 0 0,0 31 0,0-31 0,0-30 0,0-18 0</inkml:trace>
  <inkml:trace contextRef="#ctx0" brushRef="#br0" timeOffset="2933">2012 249 24575,'8'0'0,"13"0"0,14 0 0,10 0 0,0 0 0,-12 0 0,-15 0 0,-11 0 0</inkml:trace>
  <inkml:trace contextRef="#ctx0" brushRef="#br0" timeOffset="4249">3694 1536 24575,'0'12'0,"0"23"0,0 15 0,0 9 0,0-4 0,0-27 0,0-9 0,0-8 0,0-2 0,0 2 0,0 2 0,0 0 0,0-1 0,0 1 0,0-3 0,0-4 0,0-2 0</inkml:trace>
  <inkml:trace contextRef="#ctx0" brushRef="#br0" timeOffset="5099">3520 1694 24575,'19'0'0,"38"0"0,-1 0 0,8 0 0,16 0 0,4 0 0,4 0 0,-1 0 0,-9 0 0,-6 0 0,26 0 0,-38 0 0,-31 0 0,-19 0 0</inkml:trace>
  <inkml:trace contextRef="#ctx0" brushRef="#br0" timeOffset="6583">1439 3257 24575,'20'-1'0,"20"-1"0,19 2 0,10 0 0,-7 0 0,-20 0 0,-19 0 0,-12 0 0</inkml:trace>
  <inkml:trace contextRef="#ctx0" brushRef="#br0" timeOffset="7766">1 2110 24575,'15'0'0,"8"0"0,11 0 0,4 0 0,-4 0 0,-8 0 0,-9 0 0,-7 0 0,-4 0 0,-1 0 0,1 0 0,0 0 0,1 0 0,-2 0 0,-2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17:19:10.356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1624 127 24575,'2'57'0,"-1"-10"0,-1 7 0,0 26 0,0 8 0,0-14 0,0 4 0,0 3-846,0 11 0,0 2 0,0 3 846,0-22 0,0 2 0,0 0 0,0-1 0,0 23 0,0-1 0,0-1 0,0-6 0,0 0 0,0-4 269,0-13 1,0-3 0,0-4-270,0 12 0,0-8 418,0 25-418,0-50 0,0-27 0,0-18 0,0-2 0,0-4 0</inkml:trace>
  <inkml:trace contextRef="#ctx0" brushRef="#br0" timeOffset="1867">151 1322 24575,'56'0'0,"42"0"0,-22 0 0,7-1 0,10-1 0,4-1 0,-29 0 0,1-1 0,0 0 0,-1 0 0,0 0 0,-1 0 0,31-3 0,-1 1 0,0 2 0,-2 0 0,-8 2 0,-2 1 0,-13 0 0,-5 1 0,-11 0 0,-3 1 0,32 3 0,-16 5 0,4 3 0,-3 2 0,-6-2 0,-12-1 0,-17-4 0,-9-2 0,-3-1 0,8-1 0,11-1 0,7 1 0,-4-2 0,-10-1 0,-12 0 0,-11 1 0,-3 0 0,2 1 0,15 1 0,30 0 0,23 0 0,9-1 0,-10 0 0,-26-2 0,-21 0 0,-17 1 0,-9 0 0,-4 0 0,0 0 0</inkml:trace>
  <inkml:trace contextRef="#ctx0" brushRef="#br0" timeOffset="8383">1337 2117 24575,'0'15'0,"0"8"0,0 28 0,0 5 0,0-1 0,0-10 0,0-13 0,0-11 0,0-11 0,0-5 0</inkml:trace>
  <inkml:trace contextRef="#ctx0" brushRef="#br0" timeOffset="9433">1170 2345 24575,'13'0'0,"2"0"0,3 0 0,-2 0 0,-2 0 0,-4 0 0,0 0 0,5 0 0,9 0 0,7-2 0,3-1 0,-5-1 0,-9 1 0,-8 2 0,-7 1 0,-3 0 0</inkml:trace>
  <inkml:trace contextRef="#ctx0" brushRef="#br0" timeOffset="10934">3025 1056 24575,'31'0'0,"7"0"0,7 0 0,-3 0 0,-11 0 0,-12 0 0,-11 0 0,-4 0 0</inkml:trace>
  <inkml:trace contextRef="#ctx0" brushRef="#br0" timeOffset="11900">3185 980 24575,'-2'20'0,"1"29"0,1 26 0,0 13 0,0-10 0,0-27 0,0-25 0,0-18 0,0-11 0,0-6-1696,0-2 0,0 4 0,0 0 0</inkml:trace>
  <inkml:trace contextRef="#ctx0" brushRef="#br0" timeOffset="13083">1 1130 24575,'7'-2'0,"16"1"0,32 1 0,36-1 0,-34-1 0,2 0 0,-2-1 0,-1-1 0,33-5 0,-34 2 0,-25 2 0,-19 4 0,-7 1 0</inkml:trace>
  <inkml:trace contextRef="#ctx0" brushRef="#br0" timeOffset="14300">1141 0 24575,'16'0'0,"7"0"0,3 0 0,0 0 0,-6 0 0,0 0 0,4 0 0,7 0 0,4 0 0,-7 0 0,-14 0 0,-6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E12C-CFE4-6748-9559-69D506B62A75}">
  <dimension ref="A3:G52"/>
  <sheetViews>
    <sheetView topLeftCell="A43" zoomScale="298" workbookViewId="0">
      <selection activeCell="B54" sqref="B54"/>
    </sheetView>
  </sheetViews>
  <sheetFormatPr baseColWidth="10" defaultRowHeight="16" x14ac:dyDescent="0.2"/>
  <sheetData>
    <row r="3" spans="1:6" x14ac:dyDescent="0.2">
      <c r="C3" s="1"/>
    </row>
    <row r="4" spans="1:6" x14ac:dyDescent="0.2">
      <c r="B4" t="s">
        <v>0</v>
      </c>
      <c r="D4" t="s">
        <v>1</v>
      </c>
    </row>
    <row r="5" spans="1:6" x14ac:dyDescent="0.2">
      <c r="C5" s="2"/>
    </row>
    <row r="7" spans="1:6" x14ac:dyDescent="0.2">
      <c r="B7" t="s">
        <v>2</v>
      </c>
      <c r="C7" s="1"/>
      <c r="D7" t="s">
        <v>3</v>
      </c>
    </row>
    <row r="10" spans="1:6" x14ac:dyDescent="0.2">
      <c r="B10" t="s">
        <v>5</v>
      </c>
      <c r="D10" t="s">
        <v>6</v>
      </c>
    </row>
    <row r="13" spans="1:6" x14ac:dyDescent="0.2">
      <c r="B13" t="s">
        <v>7</v>
      </c>
      <c r="D13" t="s">
        <v>8</v>
      </c>
    </row>
    <row r="15" spans="1:6" x14ac:dyDescent="0.2">
      <c r="A15" s="3"/>
      <c r="B15" s="3"/>
      <c r="C15" s="3"/>
      <c r="D15" s="3"/>
      <c r="E15" s="3"/>
      <c r="F15" s="3"/>
    </row>
    <row r="17" spans="1:7" x14ac:dyDescent="0.2">
      <c r="B17" s="7" t="s">
        <v>9</v>
      </c>
      <c r="D17" s="7" t="s">
        <v>10</v>
      </c>
      <c r="E17" s="7"/>
    </row>
    <row r="18" spans="1:7" x14ac:dyDescent="0.2">
      <c r="B18" s="7"/>
      <c r="D18" s="7"/>
      <c r="E18" s="7"/>
    </row>
    <row r="19" spans="1:7" x14ac:dyDescent="0.2">
      <c r="B19" s="7" t="s">
        <v>11</v>
      </c>
      <c r="D19" s="7" t="s">
        <v>12</v>
      </c>
      <c r="E19" s="7"/>
    </row>
    <row r="20" spans="1:7" x14ac:dyDescent="0.2">
      <c r="B20" s="7"/>
      <c r="D20" s="7"/>
      <c r="E20" s="7"/>
    </row>
    <row r="21" spans="1:7" x14ac:dyDescent="0.2">
      <c r="B21" s="7" t="s">
        <v>13</v>
      </c>
      <c r="D21" s="7" t="s">
        <v>14</v>
      </c>
      <c r="E21" s="7"/>
    </row>
    <row r="24" spans="1:7" x14ac:dyDescent="0.2">
      <c r="A24" s="3"/>
      <c r="B24" s="3"/>
      <c r="C24" s="3"/>
      <c r="D24" s="3"/>
      <c r="E24" s="3"/>
      <c r="F24" s="3"/>
      <c r="G24" s="3"/>
    </row>
    <row r="26" spans="1:7" x14ac:dyDescent="0.2">
      <c r="B26" t="s">
        <v>17</v>
      </c>
      <c r="D26" t="s">
        <v>18</v>
      </c>
    </row>
    <row r="28" spans="1:7" x14ac:dyDescent="0.2">
      <c r="B28" t="s">
        <v>19</v>
      </c>
      <c r="D28" t="s">
        <v>20</v>
      </c>
    </row>
    <row r="31" spans="1:7" x14ac:dyDescent="0.2">
      <c r="A31" s="3"/>
      <c r="B31" s="3"/>
      <c r="C31" s="3"/>
      <c r="D31" s="3"/>
      <c r="E31" s="3"/>
      <c r="F31" s="3"/>
      <c r="G31" s="3"/>
    </row>
    <row r="33" spans="1:7" x14ac:dyDescent="0.2">
      <c r="B33" s="7" t="s">
        <v>21</v>
      </c>
      <c r="D33" s="7" t="s">
        <v>22</v>
      </c>
    </row>
    <row r="34" spans="1:7" x14ac:dyDescent="0.2">
      <c r="B34" s="7"/>
      <c r="D34" s="7"/>
    </row>
    <row r="35" spans="1:7" x14ac:dyDescent="0.2">
      <c r="B35" s="7" t="s">
        <v>23</v>
      </c>
      <c r="D35" s="7" t="s">
        <v>24</v>
      </c>
    </row>
    <row r="38" spans="1:7" x14ac:dyDescent="0.2">
      <c r="A38" s="3"/>
      <c r="B38" s="3"/>
      <c r="C38" s="3"/>
      <c r="D38" s="3"/>
      <c r="E38" s="3"/>
      <c r="F38" s="3"/>
    </row>
    <row r="40" spans="1:7" x14ac:dyDescent="0.2">
      <c r="B40" s="7" t="s">
        <v>25</v>
      </c>
      <c r="D40" s="7" t="s">
        <v>26</v>
      </c>
      <c r="E40" s="7"/>
    </row>
    <row r="41" spans="1:7" x14ac:dyDescent="0.2">
      <c r="B41" s="7"/>
      <c r="D41" s="7"/>
      <c r="E41" s="7"/>
    </row>
    <row r="42" spans="1:7" x14ac:dyDescent="0.2">
      <c r="B42" s="7" t="s">
        <v>27</v>
      </c>
      <c r="D42" s="7" t="s">
        <v>28</v>
      </c>
      <c r="E42" s="7"/>
    </row>
    <row r="45" spans="1:7" x14ac:dyDescent="0.2">
      <c r="A45" s="3"/>
      <c r="B45" s="3"/>
      <c r="C45" s="3"/>
      <c r="D45" s="3"/>
      <c r="E45" s="3"/>
      <c r="F45" s="3"/>
      <c r="G45" s="3"/>
    </row>
    <row r="47" spans="1:7" x14ac:dyDescent="0.2">
      <c r="B47" t="s">
        <v>29</v>
      </c>
      <c r="D47" t="s">
        <v>30</v>
      </c>
    </row>
    <row r="50" spans="1:7" x14ac:dyDescent="0.2">
      <c r="A50" s="3"/>
      <c r="B50" s="3"/>
      <c r="C50" s="3"/>
      <c r="D50" s="3"/>
      <c r="E50" s="3"/>
      <c r="F50" s="3"/>
      <c r="G50" s="3"/>
    </row>
    <row r="52" spans="1:7" x14ac:dyDescent="0.2">
      <c r="B5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68D0-59F0-A840-A51E-8E12D607AF4E}">
  <dimension ref="A2:G141"/>
  <sheetViews>
    <sheetView tabSelected="1" topLeftCell="A129" zoomScale="278" workbookViewId="0">
      <selection activeCell="B133" sqref="B133"/>
    </sheetView>
  </sheetViews>
  <sheetFormatPr baseColWidth="10" defaultRowHeight="16" x14ac:dyDescent="0.2"/>
  <cols>
    <col min="2" max="2" width="19.5" customWidth="1"/>
    <col min="3" max="3" width="11.6640625" bestFit="1" customWidth="1"/>
  </cols>
  <sheetData>
    <row r="2" spans="1:5" x14ac:dyDescent="0.2">
      <c r="B2" t="s">
        <v>0</v>
      </c>
    </row>
    <row r="3" spans="1:5" x14ac:dyDescent="0.2">
      <c r="B3" s="1">
        <f ca="1">TODAY()</f>
        <v>46214</v>
      </c>
    </row>
    <row r="7" spans="1:5" x14ac:dyDescent="0.2">
      <c r="A7" s="3"/>
      <c r="B7" s="3"/>
      <c r="C7" s="3"/>
      <c r="D7" s="3"/>
      <c r="E7" s="3"/>
    </row>
    <row r="9" spans="1:5" x14ac:dyDescent="0.2">
      <c r="B9" t="s">
        <v>4</v>
      </c>
    </row>
    <row r="11" spans="1:5" x14ac:dyDescent="0.2">
      <c r="B11" s="1">
        <f>DATE(2026,2,4)</f>
        <v>46057</v>
      </c>
      <c r="D11" t="str">
        <f ca="1">_xlfn.FORMULATEXT(B11)</f>
        <v>=DATE(2026,2,4)</v>
      </c>
    </row>
    <row r="14" spans="1:5" x14ac:dyDescent="0.2">
      <c r="A14" s="3"/>
      <c r="B14" s="3"/>
      <c r="C14" s="3"/>
      <c r="D14" s="3"/>
      <c r="E14" s="3"/>
    </row>
    <row r="16" spans="1:5" x14ac:dyDescent="0.2">
      <c r="B16" t="s">
        <v>5</v>
      </c>
    </row>
    <row r="18" spans="1:5" x14ac:dyDescent="0.2">
      <c r="B18" s="4">
        <f>TIME(22,15,36)</f>
        <v>0.92749999999999999</v>
      </c>
      <c r="D18" t="str">
        <f ca="1">_xlfn.FORMULATEXT(B18)</f>
        <v>=TIME(22,15,36)</v>
      </c>
    </row>
    <row r="21" spans="1:5" x14ac:dyDescent="0.2">
      <c r="A21" s="3"/>
      <c r="B21" s="3"/>
      <c r="C21" s="3"/>
      <c r="D21" s="3"/>
      <c r="E21" s="3"/>
    </row>
    <row r="23" spans="1:5" x14ac:dyDescent="0.2">
      <c r="B23" t="s">
        <v>7</v>
      </c>
    </row>
    <row r="25" spans="1:5" x14ac:dyDescent="0.2">
      <c r="B25" s="5">
        <f ca="1">NOW()</f>
        <v>46214.957528125</v>
      </c>
      <c r="D25" t="str">
        <f ca="1">_xlfn.FORMULATEXT(B25)</f>
        <v>=NOW()</v>
      </c>
    </row>
    <row r="26" spans="1:5" x14ac:dyDescent="0.2">
      <c r="B26" s="6"/>
    </row>
    <row r="28" spans="1:5" x14ac:dyDescent="0.2">
      <c r="A28" s="3"/>
      <c r="B28" s="3"/>
      <c r="C28" s="3"/>
      <c r="D28" s="3"/>
      <c r="E28" s="3"/>
    </row>
    <row r="30" spans="1:5" x14ac:dyDescent="0.2">
      <c r="B30" s="1">
        <v>46057</v>
      </c>
      <c r="D30" s="2">
        <f>B30</f>
        <v>46057</v>
      </c>
    </row>
    <row r="32" spans="1:5" x14ac:dyDescent="0.2">
      <c r="B32">
        <f>YEAR(B30)</f>
        <v>2026</v>
      </c>
      <c r="D32" t="str">
        <f ca="1">_xlfn.FORMULATEXT(B32)</f>
        <v>=YEAR(B30)</v>
      </c>
    </row>
    <row r="35" spans="1:6" x14ac:dyDescent="0.2">
      <c r="B35">
        <f>MONTH(B30)</f>
        <v>2</v>
      </c>
      <c r="D35" t="str">
        <f ca="1">_xlfn.FORMULATEXT(B35)</f>
        <v>=MONTH(B30)</v>
      </c>
    </row>
    <row r="37" spans="1:6" x14ac:dyDescent="0.2">
      <c r="B37">
        <f>DAY(B30)</f>
        <v>4</v>
      </c>
      <c r="D37" t="str">
        <f ca="1">_xlfn.FORMULATEXT(B37)</f>
        <v>=DAY(B30)</v>
      </c>
    </row>
    <row r="40" spans="1:6" x14ac:dyDescent="0.2">
      <c r="A40" s="3"/>
      <c r="B40" s="3"/>
      <c r="C40" s="3"/>
      <c r="D40" s="3"/>
      <c r="E40" s="3"/>
      <c r="F40" s="3"/>
    </row>
    <row r="42" spans="1:6" x14ac:dyDescent="0.2">
      <c r="B42" s="5">
        <f ca="1">NOW()</f>
        <v>46214.957528125</v>
      </c>
    </row>
    <row r="45" spans="1:6" x14ac:dyDescent="0.2">
      <c r="B45">
        <f ca="1">HOUR(B42)</f>
        <v>22</v>
      </c>
      <c r="D45" t="str">
        <f ca="1">_xlfn.FORMULATEXT(B45)</f>
        <v>=HOUR(B42)</v>
      </c>
    </row>
    <row r="47" spans="1:6" x14ac:dyDescent="0.2">
      <c r="B47">
        <f ca="1">MINUTE(B42)</f>
        <v>58</v>
      </c>
      <c r="D47" t="str">
        <f ca="1">_xlfn.FORMULATEXT(B47)</f>
        <v>=MINUTE(B42)</v>
      </c>
    </row>
    <row r="49" spans="1:6" x14ac:dyDescent="0.2">
      <c r="B49">
        <f ca="1">SECOND(B42)</f>
        <v>50</v>
      </c>
      <c r="D49" t="str">
        <f ca="1">_xlfn.FORMULATEXT(B49)</f>
        <v>=SECOND(B42)</v>
      </c>
    </row>
    <row r="51" spans="1:6" x14ac:dyDescent="0.2">
      <c r="A51" s="3"/>
      <c r="B51" s="3"/>
      <c r="C51" s="3"/>
      <c r="D51" s="3"/>
      <c r="E51" s="3"/>
      <c r="F51" s="3"/>
    </row>
    <row r="53" spans="1:6" x14ac:dyDescent="0.2">
      <c r="B53" t="s">
        <v>15</v>
      </c>
    </row>
    <row r="56" spans="1:6" x14ac:dyDescent="0.2">
      <c r="B56" s="1" t="str">
        <f>"04/02/2026"</f>
        <v>04/02/2026</v>
      </c>
    </row>
    <row r="57" spans="1:6" x14ac:dyDescent="0.2">
      <c r="B57">
        <f>DATEVALUE(B56)</f>
        <v>46057</v>
      </c>
    </row>
    <row r="60" spans="1:6" x14ac:dyDescent="0.2">
      <c r="B60" t="s">
        <v>16</v>
      </c>
    </row>
    <row r="62" spans="1:6" x14ac:dyDescent="0.2">
      <c r="B62" t="str">
        <f>"23:59:59"</f>
        <v>23:59:59</v>
      </c>
    </row>
    <row r="64" spans="1:6" x14ac:dyDescent="0.2">
      <c r="B64">
        <f>TIMEVALUE(B62)</f>
        <v>0.99998842592592596</v>
      </c>
    </row>
    <row r="67" spans="1:6" x14ac:dyDescent="0.2">
      <c r="A67" s="3"/>
      <c r="B67" s="3"/>
      <c r="C67" s="3"/>
      <c r="D67" s="3"/>
      <c r="E67" s="3"/>
      <c r="F67" s="3"/>
    </row>
    <row r="69" spans="1:6" x14ac:dyDescent="0.2">
      <c r="B69" s="3"/>
    </row>
    <row r="71" spans="1:6" x14ac:dyDescent="0.2">
      <c r="B71" s="8">
        <f ca="1">EOMONTH(NOW(),3)</f>
        <v>46326</v>
      </c>
      <c r="D71" s="1">
        <f ca="1">EOMONTH(NOW(),3)</f>
        <v>46326</v>
      </c>
    </row>
    <row r="73" spans="1:6" x14ac:dyDescent="0.2">
      <c r="B73" t="str">
        <f ca="1">_xlfn.FORMULATEXT(B71)</f>
        <v>=EOMONTH(NOW(),3)</v>
      </c>
    </row>
    <row r="75" spans="1:6" x14ac:dyDescent="0.2">
      <c r="B75" s="8">
        <f ca="1">EDATE(NOW(),3)</f>
        <v>46306</v>
      </c>
      <c r="D75" s="1">
        <f ca="1">EDATE(NOW(),3)</f>
        <v>46306</v>
      </c>
    </row>
    <row r="77" spans="1:6" x14ac:dyDescent="0.2">
      <c r="B77" t="str">
        <f ca="1">_xlfn.FORMULATEXT(B75)</f>
        <v>=EDATE(NOW(),3)</v>
      </c>
    </row>
    <row r="80" spans="1:6" x14ac:dyDescent="0.2">
      <c r="B80">
        <f>EDATE(DATE(2026,2,10),2)</f>
        <v>46122</v>
      </c>
      <c r="D80" s="1">
        <f>EDATE(DATE(2026,2,10),2)</f>
        <v>46122</v>
      </c>
    </row>
    <row r="82" spans="1:5" x14ac:dyDescent="0.2">
      <c r="A82" s="3"/>
      <c r="B82" s="3"/>
      <c r="C82" s="3"/>
      <c r="D82" s="3"/>
      <c r="E82" s="3"/>
    </row>
    <row r="84" spans="1:5" x14ac:dyDescent="0.2">
      <c r="B84" s="5"/>
    </row>
    <row r="85" spans="1:5" x14ac:dyDescent="0.2">
      <c r="B85">
        <f ca="1">WEEKDAY(TODAY(),1)</f>
        <v>7</v>
      </c>
      <c r="D85" t="str">
        <f ca="1">_xlfn.FORMULATEXT(B85)</f>
        <v>=WEEKDAY(TODAY(),1)</v>
      </c>
    </row>
    <row r="86" spans="1:5" x14ac:dyDescent="0.2">
      <c r="D86" s="1"/>
    </row>
    <row r="100" spans="2:7" x14ac:dyDescent="0.2">
      <c r="B100">
        <f ca="1">WEEKNUM(NOW(),14)</f>
        <v>28</v>
      </c>
      <c r="D100" t="str">
        <f ca="1">_xlfn.FORMULATEXT(B100)</f>
        <v>=WEEKNUM(NOW(),14)</v>
      </c>
    </row>
    <row r="103" spans="2:7" x14ac:dyDescent="0.2">
      <c r="B103" s="3"/>
      <c r="C103" s="3"/>
      <c r="D103" s="3"/>
      <c r="E103" s="3"/>
      <c r="F103" s="3"/>
      <c r="G103" s="3"/>
    </row>
    <row r="104" spans="2:7" x14ac:dyDescent="0.2">
      <c r="B104" s="3"/>
      <c r="C104" s="3"/>
      <c r="D104" s="3"/>
      <c r="E104" s="3"/>
      <c r="F104" s="3"/>
      <c r="G104" s="3"/>
    </row>
    <row r="107" spans="2:7" x14ac:dyDescent="0.2">
      <c r="B107" t="s">
        <v>29</v>
      </c>
    </row>
    <row r="110" spans="2:7" x14ac:dyDescent="0.2">
      <c r="B110" t="s">
        <v>31</v>
      </c>
      <c r="D110" t="s">
        <v>32</v>
      </c>
    </row>
    <row r="111" spans="2:7" x14ac:dyDescent="0.2">
      <c r="B111" s="1">
        <f>DATE(2001,7,16)</f>
        <v>37088</v>
      </c>
      <c r="D111" s="1">
        <f>DATE(2024,6,12)</f>
        <v>45455</v>
      </c>
    </row>
    <row r="114" spans="1:5" x14ac:dyDescent="0.2">
      <c r="B114">
        <f>DATEDIF(B111,D111,"d")</f>
        <v>8367</v>
      </c>
      <c r="D114" t="str">
        <f ca="1">_xlfn.FORMULATEXT(B114)</f>
        <v>=DATEDIF(B111,D111,"d")</v>
      </c>
    </row>
    <row r="118" spans="1:5" x14ac:dyDescent="0.2">
      <c r="B118">
        <f>_xlfn.DAYS(D111,B111)</f>
        <v>8367</v>
      </c>
      <c r="D118" t="str">
        <f ca="1">_xlfn.FORMULATEXT(B118)</f>
        <v>=DAYS(D111,B111)</v>
      </c>
    </row>
    <row r="120" spans="1:5" x14ac:dyDescent="0.2">
      <c r="B120">
        <f>DAYS360(B111,D111,0)</f>
        <v>8246</v>
      </c>
      <c r="D120" t="str">
        <f ca="1">_xlfn.FORMULATEXT(B120)</f>
        <v>=DAYS360(B111,D111,0)</v>
      </c>
    </row>
    <row r="121" spans="1:5" x14ac:dyDescent="0.2">
      <c r="A121" s="3"/>
      <c r="B121" s="3"/>
      <c r="C121" s="3"/>
      <c r="D121" s="3"/>
      <c r="E121" s="3"/>
    </row>
    <row r="124" spans="1:5" x14ac:dyDescent="0.2">
      <c r="B124" s="9" t="s">
        <v>33</v>
      </c>
      <c r="C124" s="9"/>
    </row>
    <row r="125" spans="1:5" x14ac:dyDescent="0.2">
      <c r="B125" s="9"/>
      <c r="C125" s="9"/>
    </row>
    <row r="126" spans="1:5" x14ac:dyDescent="0.2">
      <c r="E126" t="s">
        <v>32</v>
      </c>
    </row>
    <row r="129" spans="2:7" x14ac:dyDescent="0.2">
      <c r="B129" t="s">
        <v>31</v>
      </c>
    </row>
    <row r="133" spans="2:7" x14ac:dyDescent="0.2">
      <c r="F133" t="s">
        <v>35</v>
      </c>
      <c r="G133" t="s">
        <v>36</v>
      </c>
    </row>
    <row r="134" spans="2:7" x14ac:dyDescent="0.2">
      <c r="F134" t="s">
        <v>37</v>
      </c>
      <c r="G134" t="s">
        <v>38</v>
      </c>
    </row>
    <row r="135" spans="2:7" x14ac:dyDescent="0.2">
      <c r="F135" t="s">
        <v>39</v>
      </c>
      <c r="G135" t="s">
        <v>40</v>
      </c>
    </row>
    <row r="139" spans="2:7" x14ac:dyDescent="0.2">
      <c r="B139" t="str" cm="1">
        <f t="array" aca="1" ref="B139:C141" ca="1">OFFSET(B129,4,4,3,2)</f>
        <v>Utkarsh Sahu 1</v>
      </c>
      <c r="C139" t="str">
        <f ca="1"/>
        <v>Utkarsh Sahu 2</v>
      </c>
      <c r="F139" t="str">
        <f ca="1">_xlfn.FORMULATEXT(B139)</f>
        <v>=OFFSET(B129,4,4,3,2)</v>
      </c>
    </row>
    <row r="140" spans="2:7" x14ac:dyDescent="0.2">
      <c r="B140" t="str">
        <f ca="1"/>
        <v>Utkarsh Sahu 3</v>
      </c>
      <c r="C140" t="str">
        <f ca="1"/>
        <v>Utkarsh Sahu 4</v>
      </c>
    </row>
    <row r="141" spans="2:7" x14ac:dyDescent="0.2">
      <c r="B141" t="str">
        <f ca="1"/>
        <v>Utkarsh Sahu 5</v>
      </c>
      <c r="C141" t="str">
        <f ca="1"/>
        <v>Utkarsh Sahu 6</v>
      </c>
    </row>
  </sheetData>
  <mergeCells count="1">
    <mergeCell ref="B124:C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2026-07-11T15:46:11Z</dcterms:created>
  <dcterms:modified xsi:type="dcterms:W3CDTF">2026-07-11T17:32:06Z</dcterms:modified>
</cp:coreProperties>
</file>