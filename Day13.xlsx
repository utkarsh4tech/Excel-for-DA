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407B3149-FA7D-1A47-884F-1909EF039742}" xr6:coauthVersionLast="47" xr6:coauthVersionMax="47" xr10:uidLastSave="{00000000-0000-0000-0000-000000000000}"/>
  <bookViews>
    <workbookView xWindow="0" yWindow="1120" windowWidth="28080" windowHeight="16700" activeTab="1" xr2:uid="{E268A854-6A76-2F4E-9C8D-A090D3B217E8}"/>
  </bookViews>
  <sheets>
    <sheet name="AGENDA" sheetId="1" r:id="rId1"/>
    <sheet name="Sheet2" sheetId="2" r:id="rId2"/>
    <sheet name="OFFSET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2" l="1"/>
  <c r="C111" i="2"/>
  <c r="G8" i="3"/>
  <c r="E19" i="3"/>
  <c r="E17" i="3"/>
  <c r="B96" i="2"/>
  <c r="B81" i="2"/>
  <c r="D81" i="2" s="1"/>
  <c r="B70" i="2"/>
  <c r="B73" i="2" s="1"/>
  <c r="C63" i="2"/>
  <c r="C57" i="2"/>
  <c r="B47" i="2"/>
  <c r="D47" i="2"/>
  <c r="C5" i="2"/>
  <c r="C28" i="2"/>
  <c r="C33" i="2" s="1"/>
  <c r="C15" i="2"/>
  <c r="C11" i="2"/>
  <c r="C13" i="2"/>
  <c r="C3" i="2"/>
  <c r="C112" i="2"/>
  <c r="D72" i="2"/>
  <c r="B72" i="2"/>
  <c r="D73" i="2" l="1"/>
  <c r="C37" i="2"/>
  <c r="C35" i="2"/>
</calcChain>
</file>

<file path=xl/sharedStrings.xml><?xml version="1.0" encoding="utf-8"?>
<sst xmlns="http://schemas.openxmlformats.org/spreadsheetml/2006/main" count="64" uniqueCount="47">
  <si>
    <t>DATE AND TIME FUNCTION</t>
  </si>
  <si>
    <t xml:space="preserve">DATE </t>
  </si>
  <si>
    <t>WHOLE NUM</t>
  </si>
  <si>
    <t>TIME</t>
  </si>
  <si>
    <t>DECIMAL</t>
  </si>
  <si>
    <t>TODAY</t>
  </si>
  <si>
    <t>NOW</t>
  </si>
  <si>
    <t>RETURN THE DATE TODAY</t>
  </si>
  <si>
    <t>CURRENT TIME</t>
  </si>
  <si>
    <t>TODAY's DATE</t>
  </si>
  <si>
    <t>TIME RN</t>
  </si>
  <si>
    <t>YEAR</t>
  </si>
  <si>
    <t>MONTH</t>
  </si>
  <si>
    <t>DAY</t>
  </si>
  <si>
    <t>excracts the YEAR part from the date ( serial num )</t>
  </si>
  <si>
    <t>excracts the MONTH part from the date ( serial num )</t>
  </si>
  <si>
    <t>excracts the DAY part from the date ( serial num )</t>
  </si>
  <si>
    <t>HOUR</t>
  </si>
  <si>
    <t>MINUTE</t>
  </si>
  <si>
    <t>SECONDS</t>
  </si>
  <si>
    <t>excracts the HOUR part from the TIME ( serial num )</t>
  </si>
  <si>
    <t>excracts the MINUTE part from the TIME ( serial num )</t>
  </si>
  <si>
    <t>excracts the SECOND part from the TIME ( serial num )</t>
  </si>
  <si>
    <t xml:space="preserve">ANOTHER </t>
  </si>
  <si>
    <t>MIN</t>
  </si>
  <si>
    <t>Seconds</t>
  </si>
  <si>
    <t>TIMEVALUE</t>
  </si>
  <si>
    <t>DATEVALUE</t>
  </si>
  <si>
    <t>DATE</t>
  </si>
  <si>
    <t>CONSTRUCT the date using day, month and year</t>
  </si>
  <si>
    <t>CONSTRUCT the Time using hour, min and sec</t>
  </si>
  <si>
    <t>EDATE</t>
  </si>
  <si>
    <t xml:space="preserve">RETURN SERIALNUM and only add the months, </t>
  </si>
  <si>
    <t>RETURN serial num of the LAST DAY OF THAT MONTH after adding the months given in input</t>
  </si>
  <si>
    <t>START</t>
  </si>
  <si>
    <t>EOMONTH</t>
  </si>
  <si>
    <t>WEEKDAY</t>
  </si>
  <si>
    <t>TELL THE DAY ( of week ) as per the date , LIKE MONDAY, TUES, etc ( convention)</t>
  </si>
  <si>
    <t>WEEkNUM</t>
  </si>
  <si>
    <t>TELLS the WEEK num In that year, numerically ( refer the actual calander)</t>
  </si>
  <si>
    <t>END</t>
  </si>
  <si>
    <t>EXTRA</t>
  </si>
  <si>
    <t>FEW</t>
  </si>
  <si>
    <t>THING</t>
  </si>
  <si>
    <t>Down and RIGHT</t>
  </si>
  <si>
    <t>UP and LEFT</t>
  </si>
  <si>
    <t>END ON 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</si>
</sst>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-F800]dddd\,\ mmmm\ dd\,\ yyyy"/>
  </numFmts>
  <fonts count="3" x14ac:knownFonts="1">
    <font>
      <sz val="12"/>
      <color theme="1"/>
      <name val="Aptos Narrow"/>
      <family val="2"/>
      <scheme val="minor"/>
    </font>
    <font>
      <sz val="36"/>
      <color theme="1"/>
      <name val="Aptos Narrow (Body)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22" fontId="0" fillId="0" borderId="0" xfId="0" applyNumberFormat="1"/>
    <xf numFmtId="0" fontId="2" fillId="0" borderId="0" xfId="0" applyFont="1"/>
    <xf numFmtId="168" fontId="0" fillId="0" borderId="0" xfId="0" applyNumberFormat="1"/>
    <xf numFmtId="0" fontId="0" fillId="0" borderId="0" xfId="0" applyAlignment="1">
      <alignment wrapText="1"/>
    </xf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782633</xdr:colOff>
      <xdr:row>65</xdr:row>
      <xdr:rowOff>177992</xdr:rowOff>
    </xdr:from>
    <xdr:to>
      <xdr:col>4</xdr:col>
      <xdr:colOff>207241</xdr:colOff>
      <xdr:row>75</xdr:row>
      <xdr:rowOff>137006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4F1AC7-0E57-B1C6-9EF2-5AB793F86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0057" y="13310947"/>
          <a:ext cx="1906881" cy="19794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764301</xdr:colOff>
      <xdr:row>81</xdr:row>
      <xdr:rowOff>74707</xdr:rowOff>
    </xdr:from>
    <xdr:to>
      <xdr:col>3</xdr:col>
      <xdr:colOff>1032517</xdr:colOff>
      <xdr:row>90</xdr:row>
      <xdr:rowOff>95957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1920B5-F404-D676-EE86-14CBD0D29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0216" y="16547354"/>
          <a:ext cx="2667105" cy="1851544"/>
        </a:xfrm>
        <a:prstGeom prst="rect">
          <a:avLst/>
        </a:prstGeom>
      </xdr:spPr>
    </xdr:pic>
    <xdr:clientData/>
  </xdr:twoCellAnchor>
  <xdr:twoCellAnchor editAs="oneCell">
    <xdr:from>
      <xdr:col>1</xdr:col>
      <xdr:colOff>907639</xdr:colOff>
      <xdr:row>96</xdr:row>
      <xdr:rowOff>199216</xdr:rowOff>
    </xdr:from>
    <xdr:to>
      <xdr:col>2</xdr:col>
      <xdr:colOff>767229</xdr:colOff>
      <xdr:row>106</xdr:row>
      <xdr:rowOff>95540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74A8D6-0CDE-08CE-A9C8-B2A1FE52C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3554" y="19722353"/>
          <a:ext cx="797564" cy="19299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2E70-2C34-6E49-A21F-B19C84ED263C}">
  <dimension ref="A2:K65"/>
  <sheetViews>
    <sheetView topLeftCell="C62" zoomScale="264" workbookViewId="0">
      <selection activeCell="G72" sqref="G72"/>
    </sheetView>
  </sheetViews>
  <sheetFormatPr baseColWidth="10" defaultRowHeight="16" x14ac:dyDescent="0.2"/>
  <sheetData>
    <row r="2" spans="2:11" x14ac:dyDescent="0.2">
      <c r="B2" s="2" t="s">
        <v>0</v>
      </c>
      <c r="C2" s="1"/>
      <c r="D2" s="1"/>
      <c r="E2" s="1"/>
      <c r="F2" s="1"/>
      <c r="G2" s="1"/>
    </row>
    <row r="3" spans="2:11" x14ac:dyDescent="0.2">
      <c r="B3" s="1"/>
      <c r="C3" s="1"/>
      <c r="D3" s="1"/>
      <c r="E3" s="1"/>
      <c r="F3" s="1"/>
      <c r="G3" s="1"/>
    </row>
    <row r="4" spans="2:11" x14ac:dyDescent="0.2">
      <c r="B4" s="1"/>
      <c r="C4" s="1"/>
      <c r="D4" s="1"/>
      <c r="E4" s="1"/>
      <c r="F4" s="1"/>
      <c r="G4" s="1"/>
    </row>
    <row r="5" spans="2:11" x14ac:dyDescent="0.2">
      <c r="B5" s="1"/>
      <c r="C5" s="1"/>
      <c r="D5" s="1"/>
      <c r="E5" s="1"/>
      <c r="F5" s="1"/>
      <c r="G5" s="1"/>
    </row>
    <row r="6" spans="2:11" x14ac:dyDescent="0.2">
      <c r="B6" s="1"/>
      <c r="C6" s="1"/>
      <c r="D6" s="1"/>
      <c r="E6" s="1"/>
      <c r="F6" s="1"/>
      <c r="G6" s="1"/>
    </row>
    <row r="10" spans="2:11" x14ac:dyDescent="0.2">
      <c r="B10" t="s">
        <v>1</v>
      </c>
      <c r="D10" t="s">
        <v>2</v>
      </c>
    </row>
    <row r="12" spans="2:11" x14ac:dyDescent="0.2">
      <c r="B12" t="s">
        <v>3</v>
      </c>
      <c r="D12" t="s">
        <v>4</v>
      </c>
    </row>
    <row r="14" spans="2:11" x14ac:dyDescent="0.2">
      <c r="B14" s="3"/>
      <c r="C14" s="3"/>
      <c r="D14" s="3"/>
      <c r="E14" s="3"/>
      <c r="F14" s="3"/>
      <c r="G14" s="3"/>
      <c r="H14" s="3"/>
      <c r="I14" s="3"/>
      <c r="J14" s="3"/>
      <c r="K14" s="3"/>
    </row>
    <row r="17" spans="2:7" x14ac:dyDescent="0.2">
      <c r="B17" t="s">
        <v>5</v>
      </c>
      <c r="D17" t="s">
        <v>7</v>
      </c>
    </row>
    <row r="19" spans="2:7" x14ac:dyDescent="0.2">
      <c r="B19" t="s">
        <v>6</v>
      </c>
      <c r="D19" t="s">
        <v>8</v>
      </c>
    </row>
    <row r="21" spans="2:7" x14ac:dyDescent="0.2">
      <c r="B21" t="s">
        <v>11</v>
      </c>
      <c r="C21" s="6"/>
      <c r="D21" s="6" t="s">
        <v>14</v>
      </c>
      <c r="E21" s="6"/>
      <c r="F21" s="6"/>
    </row>
    <row r="22" spans="2:7" x14ac:dyDescent="0.2">
      <c r="C22" s="6"/>
      <c r="D22" s="6"/>
      <c r="E22" s="6"/>
      <c r="F22" s="6"/>
    </row>
    <row r="23" spans="2:7" x14ac:dyDescent="0.2">
      <c r="B23" t="s">
        <v>12</v>
      </c>
      <c r="C23" s="6"/>
      <c r="D23" s="6" t="s">
        <v>15</v>
      </c>
      <c r="E23" s="6"/>
      <c r="F23" s="6"/>
    </row>
    <row r="24" spans="2:7" x14ac:dyDescent="0.2">
      <c r="C24" s="6"/>
      <c r="D24" s="6"/>
      <c r="E24" s="6"/>
      <c r="F24" s="6"/>
    </row>
    <row r="25" spans="2:7" x14ac:dyDescent="0.2">
      <c r="B25" t="s">
        <v>13</v>
      </c>
      <c r="C25" s="6"/>
      <c r="D25" s="6" t="s">
        <v>16</v>
      </c>
      <c r="E25" s="6"/>
      <c r="F25" s="6"/>
    </row>
    <row r="28" spans="2:7" x14ac:dyDescent="0.2">
      <c r="B28" s="3"/>
      <c r="C28" s="3"/>
      <c r="D28" s="3"/>
      <c r="E28" s="3"/>
      <c r="F28" s="3"/>
      <c r="G28" s="3"/>
    </row>
    <row r="30" spans="2:7" x14ac:dyDescent="0.2">
      <c r="C30" s="6"/>
      <c r="D30" s="6"/>
      <c r="E30" s="6"/>
      <c r="F30" s="6"/>
      <c r="G30" s="6"/>
    </row>
    <row r="31" spans="2:7" x14ac:dyDescent="0.2">
      <c r="B31" t="s">
        <v>17</v>
      </c>
      <c r="C31" s="6"/>
      <c r="D31" s="6" t="s">
        <v>20</v>
      </c>
      <c r="E31" s="6"/>
      <c r="F31" s="6"/>
      <c r="G31" s="6"/>
    </row>
    <row r="32" spans="2:7" x14ac:dyDescent="0.2">
      <c r="C32" s="6"/>
      <c r="D32" s="6"/>
      <c r="E32" s="6"/>
      <c r="F32" s="6"/>
      <c r="G32" s="6"/>
    </row>
    <row r="33" spans="2:8" x14ac:dyDescent="0.2">
      <c r="B33" t="s">
        <v>18</v>
      </c>
      <c r="C33" s="6"/>
      <c r="D33" s="6" t="s">
        <v>21</v>
      </c>
      <c r="E33" s="6"/>
      <c r="F33" s="6"/>
      <c r="G33" s="6"/>
    </row>
    <row r="34" spans="2:8" x14ac:dyDescent="0.2">
      <c r="C34" s="6"/>
      <c r="D34" s="6"/>
      <c r="E34" s="6"/>
      <c r="F34" s="6"/>
      <c r="G34" s="6"/>
    </row>
    <row r="35" spans="2:8" x14ac:dyDescent="0.2">
      <c r="B35" t="s">
        <v>19</v>
      </c>
      <c r="C35" s="6"/>
      <c r="D35" s="6" t="s">
        <v>22</v>
      </c>
      <c r="E35" s="6"/>
      <c r="F35" s="6"/>
      <c r="G35" s="6"/>
    </row>
    <row r="36" spans="2:8" x14ac:dyDescent="0.2">
      <c r="C36" s="6"/>
      <c r="D36" s="6"/>
      <c r="E36" s="6"/>
      <c r="F36" s="6"/>
      <c r="G36" s="6"/>
    </row>
    <row r="37" spans="2:8" x14ac:dyDescent="0.2">
      <c r="B37" s="3"/>
      <c r="C37" s="3"/>
      <c r="D37" s="3"/>
      <c r="E37" s="3"/>
      <c r="F37" s="3"/>
      <c r="G37" s="3"/>
      <c r="H37" s="3"/>
    </row>
    <row r="40" spans="2:8" x14ac:dyDescent="0.2">
      <c r="B40" t="s">
        <v>26</v>
      </c>
    </row>
    <row r="42" spans="2:8" x14ac:dyDescent="0.2">
      <c r="B42" t="s">
        <v>27</v>
      </c>
    </row>
    <row r="45" spans="2:8" x14ac:dyDescent="0.2">
      <c r="B45" s="3"/>
      <c r="C45" s="3"/>
      <c r="D45" s="3"/>
      <c r="E45" s="3"/>
      <c r="F45" s="3"/>
      <c r="G45" s="3"/>
      <c r="H45" s="3"/>
    </row>
    <row r="47" spans="2:8" x14ac:dyDescent="0.2">
      <c r="D47" s="6"/>
      <c r="E47" s="6"/>
    </row>
    <row r="48" spans="2:8" x14ac:dyDescent="0.2">
      <c r="B48" t="s">
        <v>28</v>
      </c>
      <c r="D48" s="6" t="s">
        <v>29</v>
      </c>
      <c r="E48" s="6"/>
    </row>
    <row r="49" spans="1:8" x14ac:dyDescent="0.2">
      <c r="D49" s="6"/>
      <c r="E49" s="6"/>
    </row>
    <row r="50" spans="1:8" x14ac:dyDescent="0.2">
      <c r="B50" t="s">
        <v>3</v>
      </c>
      <c r="D50" s="6" t="s">
        <v>30</v>
      </c>
      <c r="E50" s="6"/>
    </row>
    <row r="52" spans="1:8" x14ac:dyDescent="0.2">
      <c r="A52" s="3"/>
      <c r="B52" s="3"/>
      <c r="C52" s="3"/>
      <c r="D52" s="3"/>
      <c r="E52" s="3"/>
      <c r="F52" s="3"/>
      <c r="G52" s="3"/>
    </row>
    <row r="54" spans="1:8" x14ac:dyDescent="0.2">
      <c r="B54" t="s">
        <v>31</v>
      </c>
      <c r="D54" s="6" t="s">
        <v>32</v>
      </c>
      <c r="E54" s="6"/>
      <c r="F54" s="6"/>
    </row>
    <row r="55" spans="1:8" x14ac:dyDescent="0.2">
      <c r="D55" s="6"/>
      <c r="E55" s="6"/>
      <c r="F55" s="6"/>
    </row>
    <row r="56" spans="1:8" x14ac:dyDescent="0.2">
      <c r="B56" t="s">
        <v>35</v>
      </c>
      <c r="D56" s="6" t="s">
        <v>33</v>
      </c>
      <c r="E56" s="6"/>
      <c r="F56" s="6"/>
    </row>
    <row r="57" spans="1:8" x14ac:dyDescent="0.2">
      <c r="D57" s="6"/>
      <c r="E57" s="6"/>
      <c r="F57" s="6"/>
    </row>
    <row r="59" spans="1:8" x14ac:dyDescent="0.2">
      <c r="A59" s="3"/>
      <c r="B59" s="3"/>
      <c r="C59" s="3"/>
      <c r="D59" s="3"/>
      <c r="E59" s="3"/>
      <c r="F59" s="3"/>
      <c r="G59" s="3"/>
      <c r="H59" s="3"/>
    </row>
    <row r="62" spans="1:8" x14ac:dyDescent="0.2">
      <c r="B62" s="6"/>
      <c r="C62" s="6"/>
      <c r="D62" s="6"/>
      <c r="E62" s="6"/>
      <c r="F62" s="6"/>
    </row>
    <row r="63" spans="1:8" x14ac:dyDescent="0.2">
      <c r="B63" s="6" t="s">
        <v>36</v>
      </c>
      <c r="C63" s="6"/>
      <c r="D63" s="6" t="s">
        <v>37</v>
      </c>
      <c r="E63" s="6"/>
      <c r="F63" s="6"/>
    </row>
    <row r="64" spans="1:8" x14ac:dyDescent="0.2">
      <c r="B64" s="6"/>
      <c r="C64" s="6"/>
      <c r="D64" s="6"/>
      <c r="E64" s="6"/>
      <c r="F64" s="6"/>
    </row>
    <row r="65" spans="2:6" x14ac:dyDescent="0.2">
      <c r="B65" s="6" t="s">
        <v>38</v>
      </c>
      <c r="C65" s="6"/>
      <c r="D65" s="6" t="s">
        <v>39</v>
      </c>
      <c r="E65" s="6"/>
      <c r="F65" s="6"/>
    </row>
  </sheetData>
  <mergeCells count="1">
    <mergeCell ref="B2:G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5AF7-B165-364F-B8E0-3183C002B7F3}">
  <dimension ref="A3:F117"/>
  <sheetViews>
    <sheetView tabSelected="1" topLeftCell="A81" zoomScale="306" workbookViewId="0">
      <selection activeCell="A84" sqref="A84"/>
    </sheetView>
  </sheetViews>
  <sheetFormatPr baseColWidth="10" defaultRowHeight="16" x14ac:dyDescent="0.2"/>
  <cols>
    <col min="2" max="2" width="12.33203125" bestFit="1" customWidth="1"/>
    <col min="3" max="3" width="19.1640625" bestFit="1" customWidth="1"/>
    <col min="4" max="4" width="16.33203125" bestFit="1" customWidth="1"/>
  </cols>
  <sheetData>
    <row r="3" spans="2:3" x14ac:dyDescent="0.2">
      <c r="B3" t="s">
        <v>9</v>
      </c>
      <c r="C3" s="4">
        <f ca="1">TODAY()</f>
        <v>46130</v>
      </c>
    </row>
    <row r="5" spans="2:3" x14ac:dyDescent="0.2">
      <c r="B5" t="s">
        <v>10</v>
      </c>
      <c r="C5" s="5">
        <f ca="1">NOW()</f>
        <v>46130.946873148147</v>
      </c>
    </row>
    <row r="7" spans="2:3" x14ac:dyDescent="0.2">
      <c r="C7" s="4">
        <v>41237</v>
      </c>
    </row>
    <row r="8" spans="2:3" x14ac:dyDescent="0.2">
      <c r="C8" s="4">
        <v>45651</v>
      </c>
    </row>
    <row r="11" spans="2:3" x14ac:dyDescent="0.2">
      <c r="B11" t="s">
        <v>11</v>
      </c>
      <c r="C11">
        <f>YEAR(41237)</f>
        <v>2012</v>
      </c>
    </row>
    <row r="13" spans="2:3" x14ac:dyDescent="0.2">
      <c r="B13" t="s">
        <v>12</v>
      </c>
      <c r="C13">
        <f>MONTH(41237)</f>
        <v>11</v>
      </c>
    </row>
    <row r="15" spans="2:3" x14ac:dyDescent="0.2">
      <c r="B15" t="s">
        <v>13</v>
      </c>
      <c r="C15" s="6">
        <f>DAY(41237)</f>
        <v>24</v>
      </c>
    </row>
    <row r="17" spans="2:6" x14ac:dyDescent="0.2">
      <c r="B17" s="3"/>
      <c r="C17" s="3"/>
      <c r="D17" s="3"/>
      <c r="E17" s="3"/>
    </row>
    <row r="21" spans="2:6" x14ac:dyDescent="0.2">
      <c r="B21" t="s">
        <v>17</v>
      </c>
      <c r="C21" s="6"/>
      <c r="D21" s="6" t="s">
        <v>20</v>
      </c>
      <c r="E21" s="6"/>
      <c r="F21" s="6"/>
    </row>
    <row r="22" spans="2:6" x14ac:dyDescent="0.2">
      <c r="C22" s="6"/>
      <c r="D22" s="6"/>
      <c r="E22" s="6"/>
      <c r="F22" s="6"/>
    </row>
    <row r="23" spans="2:6" x14ac:dyDescent="0.2">
      <c r="B23" t="s">
        <v>18</v>
      </c>
      <c r="C23" s="6"/>
      <c r="D23" s="6" t="s">
        <v>21</v>
      </c>
      <c r="E23" s="6"/>
      <c r="F23" s="6"/>
    </row>
    <row r="24" spans="2:6" x14ac:dyDescent="0.2">
      <c r="C24" s="6"/>
      <c r="D24" s="6"/>
      <c r="E24" s="6"/>
      <c r="F24" s="6"/>
    </row>
    <row r="25" spans="2:6" x14ac:dyDescent="0.2">
      <c r="B25" t="s">
        <v>19</v>
      </c>
      <c r="C25" s="6"/>
      <c r="D25" s="6" t="s">
        <v>22</v>
      </c>
      <c r="E25" s="6"/>
      <c r="F25" s="6"/>
    </row>
    <row r="28" spans="2:6" x14ac:dyDescent="0.2">
      <c r="B28" t="s">
        <v>6</v>
      </c>
      <c r="C28" s="5">
        <f ca="1">NOW()</f>
        <v>46130.946873148147</v>
      </c>
    </row>
    <row r="30" spans="2:6" x14ac:dyDescent="0.2">
      <c r="B30" t="s">
        <v>23</v>
      </c>
      <c r="C30" s="7">
        <v>46130.75</v>
      </c>
    </row>
    <row r="33" spans="2:6" x14ac:dyDescent="0.2">
      <c r="B33" t="s">
        <v>17</v>
      </c>
      <c r="C33">
        <f ca="1">HOUR(C28)</f>
        <v>22</v>
      </c>
    </row>
    <row r="35" spans="2:6" x14ac:dyDescent="0.2">
      <c r="B35" t="s">
        <v>24</v>
      </c>
      <c r="C35">
        <f ca="1">MINUTE(C28)</f>
        <v>43</v>
      </c>
    </row>
    <row r="37" spans="2:6" x14ac:dyDescent="0.2">
      <c r="B37" t="s">
        <v>25</v>
      </c>
      <c r="C37">
        <f ca="1">SECOND(C28)</f>
        <v>30</v>
      </c>
    </row>
    <row r="39" spans="2:6" x14ac:dyDescent="0.2">
      <c r="B39" s="8"/>
      <c r="C39" s="8"/>
      <c r="D39" s="8"/>
      <c r="E39" s="8"/>
    </row>
    <row r="40" spans="2:6" x14ac:dyDescent="0.2">
      <c r="B40" s="3"/>
      <c r="C40" s="3"/>
      <c r="D40" s="3"/>
      <c r="E40" s="3"/>
      <c r="F40" s="3"/>
    </row>
    <row r="42" spans="2:6" x14ac:dyDescent="0.2">
      <c r="B42" t="s">
        <v>26</v>
      </c>
      <c r="D42" t="s">
        <v>27</v>
      </c>
    </row>
    <row r="47" spans="2:6" x14ac:dyDescent="0.2">
      <c r="B47">
        <f>DATEVALUE("18/4/2026")</f>
        <v>46130</v>
      </c>
      <c r="D47">
        <f>TIMEVALUE("13:30")</f>
        <v>0.5625</v>
      </c>
    </row>
    <row r="51" spans="1:6" x14ac:dyDescent="0.2">
      <c r="A51" s="3"/>
      <c r="B51" s="3"/>
      <c r="C51" s="3"/>
      <c r="D51" s="3"/>
      <c r="E51" s="3"/>
      <c r="F51" s="3"/>
    </row>
    <row r="55" spans="1:6" x14ac:dyDescent="0.2">
      <c r="B55" t="s">
        <v>28</v>
      </c>
    </row>
    <row r="57" spans="1:6" x14ac:dyDescent="0.2">
      <c r="C57" s="4">
        <f>DATE(2026,4,19)</f>
        <v>46131</v>
      </c>
    </row>
    <row r="63" spans="1:6" x14ac:dyDescent="0.2">
      <c r="B63" t="s">
        <v>3</v>
      </c>
      <c r="C63" s="9">
        <f>TIME(21,57,39)</f>
        <v>0.91503472222222226</v>
      </c>
    </row>
    <row r="66" spans="1:5" x14ac:dyDescent="0.2">
      <c r="B66" s="3"/>
      <c r="C66" s="3"/>
      <c r="D66" s="3"/>
      <c r="E66" s="3"/>
    </row>
    <row r="69" spans="1:5" x14ac:dyDescent="0.2">
      <c r="B69" t="s">
        <v>34</v>
      </c>
    </row>
    <row r="70" spans="1:5" x14ac:dyDescent="0.2">
      <c r="B70" s="4">
        <f ca="1">TODAY()</f>
        <v>46130</v>
      </c>
    </row>
    <row r="72" spans="1:5" x14ac:dyDescent="0.2">
      <c r="B72" t="str">
        <f ca="1">_xlfn.FORMULATEXT(B73)</f>
        <v>=EDATE(B70,3)</v>
      </c>
      <c r="D72" t="str">
        <f ca="1">_xlfn.FORMULATEXT(D73)</f>
        <v>=EOMONTH(B70,3)</v>
      </c>
    </row>
    <row r="73" spans="1:5" x14ac:dyDescent="0.2">
      <c r="B73" s="4">
        <f ca="1">EDATE(B70,3)</f>
        <v>46221</v>
      </c>
      <c r="D73" s="4">
        <f ca="1">EOMONTH(B70,3)</f>
        <v>46234</v>
      </c>
    </row>
    <row r="77" spans="1:5" x14ac:dyDescent="0.2">
      <c r="A77" s="3"/>
      <c r="B77" s="3"/>
      <c r="C77" s="3"/>
      <c r="D77" s="3"/>
      <c r="E77" s="3"/>
    </row>
    <row r="81" spans="2:5" x14ac:dyDescent="0.2">
      <c r="B81" s="4">
        <f ca="1">TODAY()</f>
        <v>46130</v>
      </c>
      <c r="D81">
        <f ca="1">WEEKDAY(B81,1)</f>
        <v>7</v>
      </c>
    </row>
    <row r="93" spans="2:5" x14ac:dyDescent="0.2">
      <c r="B93" s="3"/>
      <c r="C93" s="3"/>
      <c r="D93" s="3"/>
      <c r="E93" s="3"/>
    </row>
    <row r="96" spans="2:5" x14ac:dyDescent="0.2">
      <c r="B96" s="4">
        <f ca="1">TODAY()</f>
        <v>46130</v>
      </c>
    </row>
    <row r="108" spans="2:6" x14ac:dyDescent="0.2">
      <c r="B108" s="3"/>
      <c r="C108" s="3"/>
      <c r="D108" s="3"/>
      <c r="E108" s="3"/>
      <c r="F108" s="3"/>
    </row>
    <row r="109" spans="2:6" x14ac:dyDescent="0.2">
      <c r="B109" s="3"/>
      <c r="C109" s="3"/>
      <c r="D109" s="3"/>
      <c r="E109" s="3"/>
      <c r="F109" s="3"/>
    </row>
    <row r="111" spans="2:6" x14ac:dyDescent="0.2">
      <c r="C111" s="4">
        <f>C7</f>
        <v>41237</v>
      </c>
    </row>
    <row r="112" spans="2:6" x14ac:dyDescent="0.2">
      <c r="B112">
        <f ca="1">DATEDIF(C7,TODAY(),"Y")</f>
        <v>13</v>
      </c>
      <c r="C112" t="str">
        <f ca="1">_xlfn.FORMULATEXT(B112)</f>
        <v>=DATEDIF(C7,TODAY(),"Y")</v>
      </c>
    </row>
    <row r="117" spans="1:5" x14ac:dyDescent="0.2">
      <c r="A117" s="3"/>
      <c r="B117" s="3"/>
      <c r="C117" s="3"/>
      <c r="D117" s="3"/>
      <c r="E117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D3AD-679F-DD4A-9C9E-41FF40DE68BF}">
  <dimension ref="B6:G19"/>
  <sheetViews>
    <sheetView topLeftCell="A5" zoomScale="237" workbookViewId="0">
      <selection activeCell="D11" sqref="D11"/>
    </sheetView>
  </sheetViews>
  <sheetFormatPr baseColWidth="10" defaultRowHeight="16" x14ac:dyDescent="0.2"/>
  <sheetData>
    <row r="6" spans="2:7" x14ac:dyDescent="0.2">
      <c r="D6" s="3" t="s">
        <v>34</v>
      </c>
    </row>
    <row r="8" spans="2:7" x14ac:dyDescent="0.2">
      <c r="G8" t="str">
        <f ca="1">OFFSET(D6,6,-2)</f>
        <v>END ON LEFT</v>
      </c>
    </row>
    <row r="12" spans="2:7" x14ac:dyDescent="0.2">
      <c r="B12" t="s">
        <v>46</v>
      </c>
      <c r="F12" s="3" t="s">
        <v>40</v>
      </c>
      <c r="G12" t="s">
        <v>42</v>
      </c>
    </row>
    <row r="13" spans="2:7" x14ac:dyDescent="0.2">
      <c r="F13" t="s">
        <v>41</v>
      </c>
      <c r="G13" t="s">
        <v>43</v>
      </c>
    </row>
    <row r="17" spans="5:7" x14ac:dyDescent="0.2">
      <c r="E17" t="str">
        <f>"+ve Dirn"</f>
        <v>+ve Dirn</v>
      </c>
      <c r="G17" t="s">
        <v>44</v>
      </c>
    </row>
    <row r="19" spans="5:7" x14ac:dyDescent="0.2">
      <c r="E19" t="str">
        <f>"-ve Dirn"</f>
        <v>-ve Dirn</v>
      </c>
      <c r="G19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Sheet2</vt:lpstr>
      <vt:lpstr>OFFSET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2026-04-18T15:54:07Z</dcterms:created>
  <dcterms:modified xsi:type="dcterms:W3CDTF">2026-04-18T17:15:01Z</dcterms:modified>
</cp:coreProperties>
</file>