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drawings/drawing2.xml" ContentType="application/vnd.openxmlformats-officedocument.drawing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ink/ink195.xml" ContentType="application/inkml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02BBCFC6-C632-2241-914B-4B7F721489F6}" xr6:coauthVersionLast="47" xr6:coauthVersionMax="47" xr10:uidLastSave="{00000000-0000-0000-0000-000000000000}"/>
  <bookViews>
    <workbookView xWindow="0" yWindow="600" windowWidth="28800" windowHeight="17400" activeTab="3" xr2:uid="{2FDD6F2D-573E-254A-91D3-FC5A9C08670A}"/>
  </bookViews>
  <sheets>
    <sheet name="agenda" sheetId="1" r:id="rId1"/>
    <sheet name="Data" sheetId="2" r:id="rId2"/>
    <sheet name="STATS" sheetId="3" r:id="rId3"/>
    <sheet name="Logical fun" sheetId="4" r:id="rId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7" i="4" l="1"/>
  <c r="H98" i="4"/>
  <c r="H97" i="4"/>
  <c r="F98" i="4"/>
  <c r="F97" i="4"/>
  <c r="E98" i="4"/>
  <c r="E97" i="4"/>
  <c r="C98" i="4"/>
  <c r="K66" i="4"/>
  <c r="K67" i="4"/>
  <c r="K68" i="4"/>
  <c r="K69" i="4"/>
  <c r="K70" i="4"/>
  <c r="K65" i="4"/>
  <c r="J66" i="4"/>
  <c r="J67" i="4"/>
  <c r="J68" i="4"/>
  <c r="J69" i="4"/>
  <c r="J70" i="4"/>
  <c r="J65" i="4"/>
  <c r="C93" i="4"/>
  <c r="C94" i="4"/>
  <c r="H86" i="4"/>
  <c r="H87" i="4"/>
  <c r="H88" i="4"/>
  <c r="H85" i="4"/>
  <c r="D86" i="4"/>
  <c r="D87" i="4"/>
  <c r="D88" i="4"/>
  <c r="D85" i="4"/>
  <c r="H66" i="4"/>
  <c r="H67" i="4"/>
  <c r="H68" i="4"/>
  <c r="H69" i="4"/>
  <c r="H70" i="4"/>
  <c r="H65" i="4"/>
  <c r="F65" i="4"/>
  <c r="F66" i="4"/>
  <c r="F67" i="4"/>
  <c r="F68" i="4"/>
  <c r="F69" i="4"/>
  <c r="F70" i="4"/>
  <c r="E69" i="4"/>
  <c r="E66" i="4"/>
  <c r="E67" i="4"/>
  <c r="E68" i="4"/>
  <c r="E70" i="4"/>
  <c r="E65" i="4"/>
  <c r="C53" i="4"/>
  <c r="G14" i="4"/>
  <c r="D22" i="4"/>
  <c r="G17" i="4"/>
  <c r="G16" i="4"/>
  <c r="G15" i="4"/>
  <c r="G18" i="4"/>
  <c r="G19" i="4"/>
  <c r="C39" i="4"/>
  <c r="C38" i="4"/>
  <c r="C37" i="4"/>
  <c r="C36" i="4"/>
  <c r="C35" i="4"/>
  <c r="C34" i="4"/>
  <c r="E97" i="3"/>
  <c r="C97" i="3"/>
  <c r="D34" i="3"/>
  <c r="C63" i="3"/>
  <c r="D43" i="3"/>
  <c r="G29" i="3"/>
  <c r="E8" i="3"/>
  <c r="E7" i="3"/>
  <c r="E35" i="1"/>
</calcChain>
</file>

<file path=xl/sharedStrings.xml><?xml version="1.0" encoding="utf-8"?>
<sst xmlns="http://schemas.openxmlformats.org/spreadsheetml/2006/main" count="226" uniqueCount="153">
  <si>
    <t>Percentiles</t>
  </si>
  <si>
    <t>.inc vs .exc</t>
  </si>
  <si>
    <t xml:space="preserve"> T - TEST</t>
  </si>
  <si>
    <t>A/B testing</t>
  </si>
  <si>
    <t xml:space="preserve">Question: </t>
  </si>
  <si>
    <t>Average salary of MAN is Higher than AVG salary of WOMEN</t>
  </si>
  <si>
    <t xml:space="preserve">cake is 100gm , 100₹. </t>
  </si>
  <si>
    <t xml:space="preserve">CAKE IS NOT 100 gm, </t>
  </si>
  <si>
    <t xml:space="preserve">T TEST </t>
  </si>
  <si>
    <t>this for comparing sample average</t>
  </si>
  <si>
    <t>AVERAGE wt of cake != 100</t>
  </si>
  <si>
    <t>ONE SAMPLE</t>
  </si>
  <si>
    <t>TWO SAMPLE</t>
  </si>
  <si>
    <t>AVERAGE MARKS OF CLASS A = AVG MARKS OF CLASS B</t>
  </si>
  <si>
    <t xml:space="preserve">MATHEMATICALLY / STATISTICALLY </t>
  </si>
  <si>
    <t>you cannot give results or conclusion with 100% confidence</t>
  </si>
  <si>
    <t>CONFIDENCE LEVEL =</t>
  </si>
  <si>
    <t>HOW SURE YOU ARE ABOUT THE RESULTS</t>
  </si>
  <si>
    <t>SIGNIFICANCE LEVEL =</t>
  </si>
  <si>
    <t>100% - CONFIDENCE LEVEL</t>
  </si>
  <si>
    <t>( 95% confident)</t>
  </si>
  <si>
    <t>(5% significance level)</t>
  </si>
  <si>
    <t xml:space="preserve">MAX ERROR I ALLOW </t>
  </si>
  <si>
    <t>nights_booked</t>
  </si>
  <si>
    <t>active_listings</t>
  </si>
  <si>
    <t>new_hosts_onboarded</t>
  </si>
  <si>
    <t>host_retention_rate</t>
  </si>
  <si>
    <t>conversion_rate</t>
  </si>
  <si>
    <t>click_rate</t>
  </si>
  <si>
    <t>booking_completion_rate</t>
  </si>
  <si>
    <t>payment_success_rate</t>
  </si>
  <si>
    <t>customer_engagement</t>
  </si>
  <si>
    <t>repeat_bookings</t>
  </si>
  <si>
    <t>average_length_of_stay</t>
  </si>
  <si>
    <t>MANAGER:</t>
  </si>
  <si>
    <t>You:</t>
  </si>
  <si>
    <t>AVG CUSTOMER ENG  is 51</t>
  </si>
  <si>
    <t>AVG CUST ENG != 51</t>
  </si>
  <si>
    <t>AVERAGE FROM SAMPLE</t>
  </si>
  <si>
    <t xml:space="preserve">H0 </t>
  </si>
  <si>
    <t>AVERAGE VALUE != HYPOTHESISED MEAN</t>
  </si>
  <si>
    <t>AVERAGE VALUE = HYPOTHESISED MEAN</t>
  </si>
  <si>
    <t>Ha</t>
  </si>
  <si>
    <t>Null Hypothesis</t>
  </si>
  <si>
    <t xml:space="preserve">Alterate </t>
  </si>
  <si>
    <t>SAMPLE AVG</t>
  </si>
  <si>
    <t>HYP AVG</t>
  </si>
  <si>
    <t xml:space="preserve">Confidence </t>
  </si>
  <si>
    <t>Significance</t>
  </si>
  <si>
    <t>Std Dev of Sample</t>
  </si>
  <si>
    <t>Std Dev</t>
  </si>
  <si>
    <t>T- STATISTIC</t>
  </si>
  <si>
    <t>(SAMPLE AVG) - (GIVEN AVG or HYPOTHESIS AVG)</t>
  </si>
  <si>
    <t>------------------------------------------------------------------</t>
  </si>
  <si>
    <t>(std dev)/sqrt(n)</t>
  </si>
  <si>
    <t>T - statistic</t>
  </si>
  <si>
    <t>P-value</t>
  </si>
  <si>
    <t>SAMPLE AVG +/- t*(std dev/sqrt(n))</t>
  </si>
  <si>
    <t>Is performance of STUDENT in class A same as perfo. Of students in class b</t>
  </si>
  <si>
    <t>T Test: Two-Sample Assuming Unequal Variances</t>
  </si>
  <si>
    <t>Variable 1</t>
  </si>
  <si>
    <t>Variable 2</t>
  </si>
  <si>
    <t>Mean</t>
  </si>
  <si>
    <t>Variance</t>
  </si>
  <si>
    <t>Observations</t>
  </si>
  <si>
    <t>Hypothesized Mean Difference</t>
  </si>
  <si>
    <t>df</t>
  </si>
  <si>
    <t>t Stat</t>
  </si>
  <si>
    <t>P(T&lt;=t) one-tail</t>
  </si>
  <si>
    <t>t Critical one-tail</t>
  </si>
  <si>
    <t>P(T&lt;=t) two-tail</t>
  </si>
  <si>
    <t>t Critical two-tail</t>
  </si>
  <si>
    <t>Sales(before)</t>
  </si>
  <si>
    <t>Sales(after)</t>
  </si>
  <si>
    <t>if P value is less than alpha</t>
  </si>
  <si>
    <t>REJECT H0</t>
  </si>
  <si>
    <t>AVERAGES are not SAME</t>
  </si>
  <si>
    <t>if P value is not less than alpha</t>
  </si>
  <si>
    <t>FAIL to reject H0</t>
  </si>
  <si>
    <t>SAMPLE AVG IS NOT SAME AS HYPOTHESISED (GIVEN) AVG</t>
  </si>
  <si>
    <t>SAMPLE AVG IS  SAME AS HYPOTHESISED (GIVEN) AVG</t>
  </si>
  <si>
    <t>avg sales = 6</t>
  </si>
  <si>
    <t>AVERAGES for both group are same</t>
  </si>
  <si>
    <t>CONCLUSIOn</t>
  </si>
  <si>
    <t>AVG click rate is 0.2</t>
  </si>
  <si>
    <t>t-Test: Two-Sample Assuming Unequal Variances</t>
  </si>
  <si>
    <t>is P less than alpha??</t>
  </si>
  <si>
    <t>Tell conclusion</t>
  </si>
  <si>
    <t>T -TEST</t>
  </si>
  <si>
    <t>LOGIC ??</t>
  </si>
  <si>
    <t>YES or NO</t>
  </si>
  <si>
    <t>TRUE or FALSE</t>
  </si>
  <si>
    <t>1 or 0</t>
  </si>
  <si>
    <t>Brand</t>
  </si>
  <si>
    <t>Type</t>
  </si>
  <si>
    <t>Price</t>
  </si>
  <si>
    <t>Apple</t>
  </si>
  <si>
    <t>Electronics</t>
  </si>
  <si>
    <t>Android</t>
  </si>
  <si>
    <t>Food</t>
  </si>
  <si>
    <t>Washing machine</t>
  </si>
  <si>
    <t>Utility</t>
  </si>
  <si>
    <t>TV</t>
  </si>
  <si>
    <t>is_BRAND_APPLE</t>
  </si>
  <si>
    <t>LOGICAL TEST</t>
  </si>
  <si>
    <t>ANY MATHEMATICAL TEST which has the answer as YES OR NO</t>
  </si>
  <si>
    <t>Basically TRUE OR FALSE</t>
  </si>
  <si>
    <t>Symbols</t>
  </si>
  <si>
    <t>for Equality</t>
  </si>
  <si>
    <t>for greater thn or Equal to</t>
  </si>
  <si>
    <t>NOT EQ</t>
  </si>
  <si>
    <t>IF</t>
  </si>
  <si>
    <t>CHECKS some LOGIC ( YES OR NO)</t>
  </si>
  <si>
    <t xml:space="preserve">Logical TEST </t>
  </si>
  <si>
    <t>3rd Parameter is VALUE TO RETURN WHEN LOGIC IS NO or FALSE</t>
  </si>
  <si>
    <t>2nd Parameter is VALUE TO RETURN WHEN LOGIC IS YES or TRUE</t>
  </si>
  <si>
    <t># val</t>
  </si>
  <si>
    <t># num</t>
  </si>
  <si>
    <t>Num</t>
  </si>
  <si>
    <t>Dem</t>
  </si>
  <si>
    <t>IFERROR</t>
  </si>
  <si>
    <t>1st para THE CALCULATION WHICH IS PRONE TO ERROR</t>
  </si>
  <si>
    <t>2nd one is CUSTOM ERROR MESSAGE YOU WANT TO SHOW IN CASE ERRO</t>
  </si>
  <si>
    <t>error</t>
  </si>
  <si>
    <t>DENOMINATOR MIGHT BE MISSING OR ZERO</t>
  </si>
  <si>
    <t>AND OR NOT</t>
  </si>
  <si>
    <t>AND</t>
  </si>
  <si>
    <t xml:space="preserve">OR </t>
  </si>
  <si>
    <t>NOT</t>
  </si>
  <si>
    <t>JUST OPPOSiTE THE INPUT</t>
  </si>
  <si>
    <t>AND OUTPUT IF</t>
  </si>
  <si>
    <t>either_APPLE_OR_UTIL</t>
  </si>
  <si>
    <t>IF EVERY INPUT IS TRUE, then I WILL OUTPUT TRUE</t>
  </si>
  <si>
    <t>ANY ONE INPUT (COND) MUST BE TRUE, then OUTPUT is True</t>
  </si>
  <si>
    <t>OR</t>
  </si>
  <si>
    <t>CITIZEN OF INDIA</t>
  </si>
  <si>
    <t>BTECH GRAD</t>
  </si>
  <si>
    <t>Inp1</t>
  </si>
  <si>
    <t>Inp2</t>
  </si>
  <si>
    <t>O/P</t>
  </si>
  <si>
    <t>Inp</t>
  </si>
  <si>
    <t>O/p</t>
  </si>
  <si>
    <t>_is_APPLE</t>
  </si>
  <si>
    <t>_IS_NOT_APPLE</t>
  </si>
  <si>
    <t>ISNUMBER</t>
  </si>
  <si>
    <t>isNUM</t>
  </si>
  <si>
    <t>isTEXT</t>
  </si>
  <si>
    <t>Checks If input is actually a num</t>
  </si>
  <si>
    <t>ISTEXT</t>
  </si>
  <si>
    <t>Checks if input is a text</t>
  </si>
  <si>
    <t>isblank</t>
  </si>
  <si>
    <t>isBlank</t>
  </si>
  <si>
    <t>Check if there is some value or 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</si>
</sst>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i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CE6F1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9" fontId="0" fillId="0" borderId="0" xfId="0" applyNumberFormat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0" fillId="0" borderId="0" xfId="0" quotePrefix="1"/>
    <xf numFmtId="0" fontId="0" fillId="5" borderId="0" xfId="0" applyFill="1"/>
    <xf numFmtId="0" fontId="0" fillId="0" borderId="0" xfId="0" applyFill="1" applyBorder="1" applyAlignment="1"/>
    <xf numFmtId="0" fontId="0" fillId="0" borderId="1" xfId="0" applyFill="1" applyBorder="1" applyAlignment="1"/>
    <xf numFmtId="0" fontId="2" fillId="0" borderId="2" xfId="0" applyFont="1" applyFill="1" applyBorder="1" applyAlignment="1">
      <alignment horizontal="center"/>
    </xf>
    <xf numFmtId="14" fontId="0" fillId="0" borderId="0" xfId="0" applyNumberFormat="1"/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customXml" Target="../ink/ink59.xml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47" Type="http://schemas.openxmlformats.org/officeDocument/2006/relationships/customXml" Target="../ink/ink24.xml"/><Relationship Id="rId63" Type="http://schemas.openxmlformats.org/officeDocument/2006/relationships/customXml" Target="../ink/ink32.xm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customXml" Target="../ink/ink45.xm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customXml" Target="../ink/ink54.xml"/><Relationship Id="rId11" Type="http://schemas.openxmlformats.org/officeDocument/2006/relationships/customXml" Target="../ink/ink6.xml"/><Relationship Id="rId32" Type="http://schemas.openxmlformats.org/officeDocument/2006/relationships/image" Target="../media/image16.png"/><Relationship Id="rId37" Type="http://schemas.openxmlformats.org/officeDocument/2006/relationships/customXml" Target="../ink/ink19.xml"/><Relationship Id="rId53" Type="http://schemas.openxmlformats.org/officeDocument/2006/relationships/customXml" Target="../ink/ink27.xm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customXml" Target="../ink/ink40.xml"/><Relationship Id="rId102" Type="http://schemas.openxmlformats.org/officeDocument/2006/relationships/image" Target="../media/image51.png"/><Relationship Id="rId5" Type="http://schemas.openxmlformats.org/officeDocument/2006/relationships/customXml" Target="../ink/ink3.xml"/><Relationship Id="rId90" Type="http://schemas.openxmlformats.org/officeDocument/2006/relationships/image" Target="../media/image45.png"/><Relationship Id="rId95" Type="http://schemas.openxmlformats.org/officeDocument/2006/relationships/customXml" Target="../ink/ink48.xml"/><Relationship Id="rId22" Type="http://schemas.openxmlformats.org/officeDocument/2006/relationships/image" Target="../media/image11.png"/><Relationship Id="rId27" Type="http://schemas.openxmlformats.org/officeDocument/2006/relationships/customXml" Target="../ink/ink14.xml"/><Relationship Id="rId43" Type="http://schemas.openxmlformats.org/officeDocument/2006/relationships/customXml" Target="../ink/ink22.xm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customXml" Target="../ink/ink35.xml"/><Relationship Id="rId113" Type="http://schemas.openxmlformats.org/officeDocument/2006/relationships/customXml" Target="../ink/ink57.xm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customXml" Target="../ink/ink43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33" Type="http://schemas.openxmlformats.org/officeDocument/2006/relationships/customXml" Target="../ink/ink17.xml"/><Relationship Id="rId38" Type="http://schemas.openxmlformats.org/officeDocument/2006/relationships/image" Target="../media/image19.png"/><Relationship Id="rId59" Type="http://schemas.openxmlformats.org/officeDocument/2006/relationships/customXml" Target="../ink/ink30.xml"/><Relationship Id="rId103" Type="http://schemas.openxmlformats.org/officeDocument/2006/relationships/customXml" Target="../ink/ink52.xml"/><Relationship Id="rId108" Type="http://schemas.openxmlformats.org/officeDocument/2006/relationships/image" Target="../media/image54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customXml" Target="../ink/ink38.xml"/><Relationship Id="rId91" Type="http://schemas.openxmlformats.org/officeDocument/2006/relationships/customXml" Target="../ink/ink46.xml"/><Relationship Id="rId96" Type="http://schemas.openxmlformats.org/officeDocument/2006/relationships/image" Target="../media/image48.png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23" Type="http://schemas.openxmlformats.org/officeDocument/2006/relationships/customXml" Target="../ink/ink12.xml"/><Relationship Id="rId28" Type="http://schemas.openxmlformats.org/officeDocument/2006/relationships/image" Target="../media/image14.png"/><Relationship Id="rId49" Type="http://schemas.openxmlformats.org/officeDocument/2006/relationships/customXml" Target="../ink/ink25.xml"/><Relationship Id="rId114" Type="http://schemas.openxmlformats.org/officeDocument/2006/relationships/image" Target="../media/image57.png"/><Relationship Id="rId119" Type="http://schemas.openxmlformats.org/officeDocument/2006/relationships/image" Target="../media/image60.png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65" Type="http://schemas.openxmlformats.org/officeDocument/2006/relationships/customXml" Target="../ink/ink33.xml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81" Type="http://schemas.openxmlformats.org/officeDocument/2006/relationships/customXml" Target="../ink/ink41.xml"/><Relationship Id="rId86" Type="http://schemas.openxmlformats.org/officeDocument/2006/relationships/image" Target="../media/image43.png"/><Relationship Id="rId94" Type="http://schemas.openxmlformats.org/officeDocument/2006/relationships/image" Target="../media/image47.png"/><Relationship Id="rId99" Type="http://schemas.openxmlformats.org/officeDocument/2006/relationships/customXml" Target="../ink/ink50.xml"/><Relationship Id="rId101" Type="http://schemas.openxmlformats.org/officeDocument/2006/relationships/customXml" Target="../ink/ink51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39" Type="http://schemas.openxmlformats.org/officeDocument/2006/relationships/customXml" Target="../ink/ink20.xml"/><Relationship Id="rId109" Type="http://schemas.openxmlformats.org/officeDocument/2006/relationships/customXml" Target="../ink/ink55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97" Type="http://schemas.openxmlformats.org/officeDocument/2006/relationships/customXml" Target="../ink/ink49.xml"/><Relationship Id="rId104" Type="http://schemas.openxmlformats.org/officeDocument/2006/relationships/image" Target="../media/image52.png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customXml" Target="../ink/ink15.xm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66" Type="http://schemas.openxmlformats.org/officeDocument/2006/relationships/image" Target="../media/image33.png"/><Relationship Id="rId87" Type="http://schemas.openxmlformats.org/officeDocument/2006/relationships/customXml" Target="../ink/ink44.xml"/><Relationship Id="rId110" Type="http://schemas.openxmlformats.org/officeDocument/2006/relationships/image" Target="../media/image55.png"/><Relationship Id="rId115" Type="http://schemas.openxmlformats.org/officeDocument/2006/relationships/customXml" Target="../ink/ink58.xml"/><Relationship Id="rId61" Type="http://schemas.openxmlformats.org/officeDocument/2006/relationships/customXml" Target="../ink/ink31.xml"/><Relationship Id="rId82" Type="http://schemas.openxmlformats.org/officeDocument/2006/relationships/image" Target="../media/image41.png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56" Type="http://schemas.openxmlformats.org/officeDocument/2006/relationships/image" Target="../media/image28.png"/><Relationship Id="rId77" Type="http://schemas.openxmlformats.org/officeDocument/2006/relationships/customXml" Target="../ink/ink39.xml"/><Relationship Id="rId100" Type="http://schemas.openxmlformats.org/officeDocument/2006/relationships/image" Target="../media/image50.png"/><Relationship Id="rId105" Type="http://schemas.openxmlformats.org/officeDocument/2006/relationships/customXml" Target="../ink/ink53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93" Type="http://schemas.openxmlformats.org/officeDocument/2006/relationships/customXml" Target="../ink/ink47.xml"/><Relationship Id="rId98" Type="http://schemas.openxmlformats.org/officeDocument/2006/relationships/image" Target="../media/image49.png"/><Relationship Id="rId3" Type="http://schemas.openxmlformats.org/officeDocument/2006/relationships/customXml" Target="../ink/ink2.xml"/><Relationship Id="rId25" Type="http://schemas.openxmlformats.org/officeDocument/2006/relationships/customXml" Target="../ink/ink13.xml"/><Relationship Id="rId46" Type="http://schemas.openxmlformats.org/officeDocument/2006/relationships/image" Target="../media/image23.png"/><Relationship Id="rId67" Type="http://schemas.openxmlformats.org/officeDocument/2006/relationships/customXml" Target="../ink/ink34.xm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62" Type="http://schemas.openxmlformats.org/officeDocument/2006/relationships/image" Target="../media/image31.png"/><Relationship Id="rId83" Type="http://schemas.openxmlformats.org/officeDocument/2006/relationships/customXml" Target="../ink/ink42.xml"/><Relationship Id="rId88" Type="http://schemas.openxmlformats.org/officeDocument/2006/relationships/image" Target="../media/image44.png"/><Relationship Id="rId111" Type="http://schemas.openxmlformats.org/officeDocument/2006/relationships/customXml" Target="../ink/ink56.xml"/><Relationship Id="rId15" Type="http://schemas.openxmlformats.org/officeDocument/2006/relationships/customXml" Target="../ink/ink8.xml"/><Relationship Id="rId36" Type="http://schemas.openxmlformats.org/officeDocument/2006/relationships/image" Target="../media/image18.png"/><Relationship Id="rId57" Type="http://schemas.openxmlformats.org/officeDocument/2006/relationships/customXml" Target="../ink/ink29.xml"/><Relationship Id="rId106" Type="http://schemas.openxmlformats.org/officeDocument/2006/relationships/image" Target="../media/image53.png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118.xml"/><Relationship Id="rId21" Type="http://schemas.openxmlformats.org/officeDocument/2006/relationships/customXml" Target="../ink/ink70.xml"/><Relationship Id="rId63" Type="http://schemas.openxmlformats.org/officeDocument/2006/relationships/customXml" Target="../ink/ink91.xml"/><Relationship Id="rId159" Type="http://schemas.openxmlformats.org/officeDocument/2006/relationships/customXml" Target="../ink/ink139.xml"/><Relationship Id="rId170" Type="http://schemas.openxmlformats.org/officeDocument/2006/relationships/image" Target="../media/image145.png"/><Relationship Id="rId226" Type="http://schemas.openxmlformats.org/officeDocument/2006/relationships/image" Target="../media/image173.png"/><Relationship Id="rId268" Type="http://schemas.openxmlformats.org/officeDocument/2006/relationships/image" Target="../media/image194.png"/><Relationship Id="rId11" Type="http://schemas.openxmlformats.org/officeDocument/2006/relationships/customXml" Target="../ink/ink65.xml"/><Relationship Id="rId32" Type="http://schemas.openxmlformats.org/officeDocument/2006/relationships/image" Target="../media/image76.png"/><Relationship Id="rId53" Type="http://schemas.openxmlformats.org/officeDocument/2006/relationships/customXml" Target="../ink/ink86.xml"/><Relationship Id="rId74" Type="http://schemas.openxmlformats.org/officeDocument/2006/relationships/image" Target="../media/image97.png"/><Relationship Id="rId128" Type="http://schemas.openxmlformats.org/officeDocument/2006/relationships/image" Target="../media/image124.png"/><Relationship Id="rId149" Type="http://schemas.openxmlformats.org/officeDocument/2006/relationships/customXml" Target="../ink/ink134.xml"/><Relationship Id="rId5" Type="http://schemas.openxmlformats.org/officeDocument/2006/relationships/customXml" Target="../ink/ink62.xml"/><Relationship Id="rId95" Type="http://schemas.openxmlformats.org/officeDocument/2006/relationships/customXml" Target="../ink/ink107.xml"/><Relationship Id="rId160" Type="http://schemas.openxmlformats.org/officeDocument/2006/relationships/image" Target="../media/image140.png"/><Relationship Id="rId181" Type="http://schemas.openxmlformats.org/officeDocument/2006/relationships/customXml" Target="../ink/ink150.xml"/><Relationship Id="rId216" Type="http://schemas.openxmlformats.org/officeDocument/2006/relationships/image" Target="../media/image168.png"/><Relationship Id="rId237" Type="http://schemas.openxmlformats.org/officeDocument/2006/relationships/customXml" Target="../ink/ink178.xml"/><Relationship Id="rId258" Type="http://schemas.openxmlformats.org/officeDocument/2006/relationships/image" Target="../media/image189.png"/><Relationship Id="rId22" Type="http://schemas.openxmlformats.org/officeDocument/2006/relationships/image" Target="../media/image71.png"/><Relationship Id="rId43" Type="http://schemas.openxmlformats.org/officeDocument/2006/relationships/customXml" Target="../ink/ink81.xml"/><Relationship Id="rId64" Type="http://schemas.openxmlformats.org/officeDocument/2006/relationships/image" Target="../media/image92.png"/><Relationship Id="rId118" Type="http://schemas.openxmlformats.org/officeDocument/2006/relationships/image" Target="../media/image119.png"/><Relationship Id="rId139" Type="http://schemas.openxmlformats.org/officeDocument/2006/relationships/customXml" Target="../ink/ink129.xml"/><Relationship Id="rId85" Type="http://schemas.openxmlformats.org/officeDocument/2006/relationships/customXml" Target="../ink/ink102.xml"/><Relationship Id="rId150" Type="http://schemas.openxmlformats.org/officeDocument/2006/relationships/image" Target="../media/image135.png"/><Relationship Id="rId171" Type="http://schemas.openxmlformats.org/officeDocument/2006/relationships/customXml" Target="../ink/ink145.xml"/><Relationship Id="rId192" Type="http://schemas.openxmlformats.org/officeDocument/2006/relationships/image" Target="../media/image156.png"/><Relationship Id="rId206" Type="http://schemas.openxmlformats.org/officeDocument/2006/relationships/image" Target="../media/image163.png"/><Relationship Id="rId227" Type="http://schemas.openxmlformats.org/officeDocument/2006/relationships/customXml" Target="../ink/ink173.xml"/><Relationship Id="rId248" Type="http://schemas.openxmlformats.org/officeDocument/2006/relationships/image" Target="../media/image184.png"/><Relationship Id="rId269" Type="http://schemas.openxmlformats.org/officeDocument/2006/relationships/customXml" Target="../ink/ink194.xml"/><Relationship Id="rId12" Type="http://schemas.openxmlformats.org/officeDocument/2006/relationships/image" Target="../media/image66.png"/><Relationship Id="rId33" Type="http://schemas.openxmlformats.org/officeDocument/2006/relationships/customXml" Target="../ink/ink76.xml"/><Relationship Id="rId108" Type="http://schemas.openxmlformats.org/officeDocument/2006/relationships/image" Target="../media/image114.png"/><Relationship Id="rId129" Type="http://schemas.openxmlformats.org/officeDocument/2006/relationships/customXml" Target="../ink/ink124.xml"/><Relationship Id="rId54" Type="http://schemas.openxmlformats.org/officeDocument/2006/relationships/image" Target="../media/image87.png"/><Relationship Id="rId75" Type="http://schemas.openxmlformats.org/officeDocument/2006/relationships/customXml" Target="../ink/ink97.xml"/><Relationship Id="rId96" Type="http://schemas.openxmlformats.org/officeDocument/2006/relationships/image" Target="../media/image108.png"/><Relationship Id="rId140" Type="http://schemas.openxmlformats.org/officeDocument/2006/relationships/image" Target="../media/image130.png"/><Relationship Id="rId161" Type="http://schemas.openxmlformats.org/officeDocument/2006/relationships/customXml" Target="../ink/ink140.xml"/><Relationship Id="rId182" Type="http://schemas.openxmlformats.org/officeDocument/2006/relationships/image" Target="../media/image151.png"/><Relationship Id="rId217" Type="http://schemas.openxmlformats.org/officeDocument/2006/relationships/customXml" Target="../ink/ink168.xml"/><Relationship Id="rId6" Type="http://schemas.openxmlformats.org/officeDocument/2006/relationships/image" Target="../media/image63.png"/><Relationship Id="rId238" Type="http://schemas.openxmlformats.org/officeDocument/2006/relationships/image" Target="../media/image179.png"/><Relationship Id="rId259" Type="http://schemas.openxmlformats.org/officeDocument/2006/relationships/customXml" Target="../ink/ink189.xml"/><Relationship Id="rId23" Type="http://schemas.openxmlformats.org/officeDocument/2006/relationships/customXml" Target="../ink/ink71.xml"/><Relationship Id="rId119" Type="http://schemas.openxmlformats.org/officeDocument/2006/relationships/customXml" Target="../ink/ink119.xml"/><Relationship Id="rId270" Type="http://schemas.openxmlformats.org/officeDocument/2006/relationships/image" Target="../media/image195.png"/><Relationship Id="rId44" Type="http://schemas.openxmlformats.org/officeDocument/2006/relationships/image" Target="../media/image82.png"/><Relationship Id="rId65" Type="http://schemas.openxmlformats.org/officeDocument/2006/relationships/customXml" Target="../ink/ink92.xml"/><Relationship Id="rId86" Type="http://schemas.openxmlformats.org/officeDocument/2006/relationships/image" Target="../media/image103.png"/><Relationship Id="rId130" Type="http://schemas.openxmlformats.org/officeDocument/2006/relationships/image" Target="../media/image125.png"/><Relationship Id="rId151" Type="http://schemas.openxmlformats.org/officeDocument/2006/relationships/customXml" Target="../ink/ink135.xml"/><Relationship Id="rId172" Type="http://schemas.openxmlformats.org/officeDocument/2006/relationships/image" Target="../media/image146.png"/><Relationship Id="rId193" Type="http://schemas.openxmlformats.org/officeDocument/2006/relationships/customXml" Target="../ink/ink156.xml"/><Relationship Id="rId207" Type="http://schemas.openxmlformats.org/officeDocument/2006/relationships/customXml" Target="../ink/ink163.xml"/><Relationship Id="rId228" Type="http://schemas.openxmlformats.org/officeDocument/2006/relationships/image" Target="../media/image174.png"/><Relationship Id="rId249" Type="http://schemas.openxmlformats.org/officeDocument/2006/relationships/customXml" Target="../ink/ink184.xml"/><Relationship Id="rId13" Type="http://schemas.openxmlformats.org/officeDocument/2006/relationships/customXml" Target="../ink/ink66.xml"/><Relationship Id="rId109" Type="http://schemas.openxmlformats.org/officeDocument/2006/relationships/customXml" Target="../ink/ink114.xml"/><Relationship Id="rId260" Type="http://schemas.openxmlformats.org/officeDocument/2006/relationships/image" Target="../media/image190.png"/><Relationship Id="rId34" Type="http://schemas.openxmlformats.org/officeDocument/2006/relationships/image" Target="../media/image77.png"/><Relationship Id="rId55" Type="http://schemas.openxmlformats.org/officeDocument/2006/relationships/customXml" Target="../ink/ink87.xml"/><Relationship Id="rId76" Type="http://schemas.openxmlformats.org/officeDocument/2006/relationships/image" Target="../media/image98.png"/><Relationship Id="rId97" Type="http://schemas.openxmlformats.org/officeDocument/2006/relationships/customXml" Target="../ink/ink108.xml"/><Relationship Id="rId120" Type="http://schemas.openxmlformats.org/officeDocument/2006/relationships/image" Target="../media/image120.png"/><Relationship Id="rId141" Type="http://schemas.openxmlformats.org/officeDocument/2006/relationships/customXml" Target="../ink/ink130.xml"/><Relationship Id="rId7" Type="http://schemas.openxmlformats.org/officeDocument/2006/relationships/customXml" Target="../ink/ink63.xml"/><Relationship Id="rId162" Type="http://schemas.openxmlformats.org/officeDocument/2006/relationships/image" Target="../media/image141.png"/><Relationship Id="rId183" Type="http://schemas.openxmlformats.org/officeDocument/2006/relationships/customXml" Target="../ink/ink151.xml"/><Relationship Id="rId218" Type="http://schemas.openxmlformats.org/officeDocument/2006/relationships/image" Target="../media/image169.png"/><Relationship Id="rId239" Type="http://schemas.openxmlformats.org/officeDocument/2006/relationships/customXml" Target="../ink/ink179.xml"/><Relationship Id="rId250" Type="http://schemas.openxmlformats.org/officeDocument/2006/relationships/image" Target="../media/image185.png"/><Relationship Id="rId271" Type="http://schemas.openxmlformats.org/officeDocument/2006/relationships/customXml" Target="../ink/ink195.xml"/><Relationship Id="rId24" Type="http://schemas.openxmlformats.org/officeDocument/2006/relationships/image" Target="../media/image72.png"/><Relationship Id="rId45" Type="http://schemas.openxmlformats.org/officeDocument/2006/relationships/customXml" Target="../ink/ink82.xml"/><Relationship Id="rId66" Type="http://schemas.openxmlformats.org/officeDocument/2006/relationships/image" Target="../media/image93.png"/><Relationship Id="rId87" Type="http://schemas.openxmlformats.org/officeDocument/2006/relationships/customXml" Target="../ink/ink103.xml"/><Relationship Id="rId110" Type="http://schemas.openxmlformats.org/officeDocument/2006/relationships/image" Target="../media/image115.png"/><Relationship Id="rId131" Type="http://schemas.openxmlformats.org/officeDocument/2006/relationships/customXml" Target="../ink/ink125.xml"/><Relationship Id="rId152" Type="http://schemas.openxmlformats.org/officeDocument/2006/relationships/image" Target="../media/image136.png"/><Relationship Id="rId173" Type="http://schemas.openxmlformats.org/officeDocument/2006/relationships/customXml" Target="../ink/ink146.xml"/><Relationship Id="rId194" Type="http://schemas.openxmlformats.org/officeDocument/2006/relationships/image" Target="../media/image157.png"/><Relationship Id="rId208" Type="http://schemas.openxmlformats.org/officeDocument/2006/relationships/image" Target="../media/image164.png"/><Relationship Id="rId229" Type="http://schemas.openxmlformats.org/officeDocument/2006/relationships/customXml" Target="../ink/ink174.xml"/><Relationship Id="rId240" Type="http://schemas.openxmlformats.org/officeDocument/2006/relationships/image" Target="../media/image180.png"/><Relationship Id="rId261" Type="http://schemas.openxmlformats.org/officeDocument/2006/relationships/customXml" Target="../ink/ink190.xml"/><Relationship Id="rId14" Type="http://schemas.openxmlformats.org/officeDocument/2006/relationships/image" Target="../media/image67.png"/><Relationship Id="rId35" Type="http://schemas.openxmlformats.org/officeDocument/2006/relationships/customXml" Target="../ink/ink77.xml"/><Relationship Id="rId56" Type="http://schemas.openxmlformats.org/officeDocument/2006/relationships/image" Target="../media/image88.png"/><Relationship Id="rId77" Type="http://schemas.openxmlformats.org/officeDocument/2006/relationships/customXml" Target="../ink/ink98.xml"/><Relationship Id="rId100" Type="http://schemas.openxmlformats.org/officeDocument/2006/relationships/image" Target="../media/image110.png"/><Relationship Id="rId8" Type="http://schemas.openxmlformats.org/officeDocument/2006/relationships/image" Target="../media/image64.png"/><Relationship Id="rId98" Type="http://schemas.openxmlformats.org/officeDocument/2006/relationships/image" Target="../media/image109.png"/><Relationship Id="rId121" Type="http://schemas.openxmlformats.org/officeDocument/2006/relationships/customXml" Target="../ink/ink120.xml"/><Relationship Id="rId142" Type="http://schemas.openxmlformats.org/officeDocument/2006/relationships/image" Target="../media/image131.png"/><Relationship Id="rId163" Type="http://schemas.openxmlformats.org/officeDocument/2006/relationships/customXml" Target="../ink/ink141.xml"/><Relationship Id="rId184" Type="http://schemas.openxmlformats.org/officeDocument/2006/relationships/image" Target="../media/image152.png"/><Relationship Id="rId219" Type="http://schemas.openxmlformats.org/officeDocument/2006/relationships/customXml" Target="../ink/ink169.xml"/><Relationship Id="rId230" Type="http://schemas.openxmlformats.org/officeDocument/2006/relationships/image" Target="../media/image175.png"/><Relationship Id="rId251" Type="http://schemas.openxmlformats.org/officeDocument/2006/relationships/customXml" Target="../ink/ink185.xml"/><Relationship Id="rId25" Type="http://schemas.openxmlformats.org/officeDocument/2006/relationships/customXml" Target="../ink/ink72.xml"/><Relationship Id="rId46" Type="http://schemas.openxmlformats.org/officeDocument/2006/relationships/image" Target="../media/image83.png"/><Relationship Id="rId67" Type="http://schemas.openxmlformats.org/officeDocument/2006/relationships/customXml" Target="../ink/ink93.xml"/><Relationship Id="rId272" Type="http://schemas.openxmlformats.org/officeDocument/2006/relationships/image" Target="../media/image196.png"/><Relationship Id="rId88" Type="http://schemas.openxmlformats.org/officeDocument/2006/relationships/image" Target="../media/image104.png"/><Relationship Id="rId111" Type="http://schemas.openxmlformats.org/officeDocument/2006/relationships/customXml" Target="../ink/ink115.xml"/><Relationship Id="rId132" Type="http://schemas.openxmlformats.org/officeDocument/2006/relationships/image" Target="../media/image126.png"/><Relationship Id="rId153" Type="http://schemas.openxmlformats.org/officeDocument/2006/relationships/customXml" Target="../ink/ink136.xml"/><Relationship Id="rId174" Type="http://schemas.openxmlformats.org/officeDocument/2006/relationships/image" Target="../media/image147.png"/><Relationship Id="rId195" Type="http://schemas.openxmlformats.org/officeDocument/2006/relationships/customXml" Target="../ink/ink157.xml"/><Relationship Id="rId209" Type="http://schemas.openxmlformats.org/officeDocument/2006/relationships/customXml" Target="../ink/ink164.xml"/><Relationship Id="rId220" Type="http://schemas.openxmlformats.org/officeDocument/2006/relationships/image" Target="../media/image170.png"/><Relationship Id="rId241" Type="http://schemas.openxmlformats.org/officeDocument/2006/relationships/customXml" Target="../ink/ink180.xml"/><Relationship Id="rId15" Type="http://schemas.openxmlformats.org/officeDocument/2006/relationships/customXml" Target="../ink/ink67.xml"/><Relationship Id="rId36" Type="http://schemas.openxmlformats.org/officeDocument/2006/relationships/image" Target="../media/image78.png"/><Relationship Id="rId57" Type="http://schemas.openxmlformats.org/officeDocument/2006/relationships/customXml" Target="../ink/ink88.xml"/><Relationship Id="rId262" Type="http://schemas.openxmlformats.org/officeDocument/2006/relationships/image" Target="../media/image191.png"/><Relationship Id="rId78" Type="http://schemas.openxmlformats.org/officeDocument/2006/relationships/image" Target="../media/image99.png"/><Relationship Id="rId99" Type="http://schemas.openxmlformats.org/officeDocument/2006/relationships/customXml" Target="../ink/ink109.xml"/><Relationship Id="rId101" Type="http://schemas.openxmlformats.org/officeDocument/2006/relationships/customXml" Target="../ink/ink110.xml"/><Relationship Id="rId122" Type="http://schemas.openxmlformats.org/officeDocument/2006/relationships/image" Target="../media/image121.png"/><Relationship Id="rId143" Type="http://schemas.openxmlformats.org/officeDocument/2006/relationships/customXml" Target="../ink/ink131.xml"/><Relationship Id="rId164" Type="http://schemas.openxmlformats.org/officeDocument/2006/relationships/image" Target="../media/image142.png"/><Relationship Id="rId185" Type="http://schemas.openxmlformats.org/officeDocument/2006/relationships/customXml" Target="../ink/ink152.xml"/><Relationship Id="rId9" Type="http://schemas.openxmlformats.org/officeDocument/2006/relationships/customXml" Target="../ink/ink64.xml"/><Relationship Id="rId210" Type="http://schemas.openxmlformats.org/officeDocument/2006/relationships/image" Target="../media/image165.png"/><Relationship Id="rId26" Type="http://schemas.openxmlformats.org/officeDocument/2006/relationships/image" Target="../media/image73.png"/><Relationship Id="rId231" Type="http://schemas.openxmlformats.org/officeDocument/2006/relationships/customXml" Target="../ink/ink175.xml"/><Relationship Id="rId252" Type="http://schemas.openxmlformats.org/officeDocument/2006/relationships/image" Target="../media/image186.png"/><Relationship Id="rId47" Type="http://schemas.openxmlformats.org/officeDocument/2006/relationships/customXml" Target="../ink/ink83.xml"/><Relationship Id="rId68" Type="http://schemas.openxmlformats.org/officeDocument/2006/relationships/image" Target="../media/image94.png"/><Relationship Id="rId89" Type="http://schemas.openxmlformats.org/officeDocument/2006/relationships/customXml" Target="../ink/ink104.xml"/><Relationship Id="rId112" Type="http://schemas.openxmlformats.org/officeDocument/2006/relationships/image" Target="../media/image116.png"/><Relationship Id="rId133" Type="http://schemas.openxmlformats.org/officeDocument/2006/relationships/customXml" Target="../ink/ink126.xml"/><Relationship Id="rId154" Type="http://schemas.openxmlformats.org/officeDocument/2006/relationships/image" Target="../media/image137.png"/><Relationship Id="rId175" Type="http://schemas.openxmlformats.org/officeDocument/2006/relationships/customXml" Target="../ink/ink147.xml"/><Relationship Id="rId196" Type="http://schemas.openxmlformats.org/officeDocument/2006/relationships/image" Target="../media/image158.png"/><Relationship Id="rId200" Type="http://schemas.openxmlformats.org/officeDocument/2006/relationships/image" Target="../media/image160.png"/><Relationship Id="rId16" Type="http://schemas.openxmlformats.org/officeDocument/2006/relationships/image" Target="../media/image68.png"/><Relationship Id="rId221" Type="http://schemas.openxmlformats.org/officeDocument/2006/relationships/customXml" Target="../ink/ink170.xml"/><Relationship Id="rId242" Type="http://schemas.openxmlformats.org/officeDocument/2006/relationships/image" Target="../media/image181.png"/><Relationship Id="rId263" Type="http://schemas.openxmlformats.org/officeDocument/2006/relationships/customXml" Target="../ink/ink191.xml"/><Relationship Id="rId37" Type="http://schemas.openxmlformats.org/officeDocument/2006/relationships/customXml" Target="../ink/ink78.xml"/><Relationship Id="rId58" Type="http://schemas.openxmlformats.org/officeDocument/2006/relationships/image" Target="../media/image89.png"/><Relationship Id="rId79" Type="http://schemas.openxmlformats.org/officeDocument/2006/relationships/customXml" Target="../ink/ink99.xml"/><Relationship Id="rId102" Type="http://schemas.openxmlformats.org/officeDocument/2006/relationships/image" Target="../media/image111.png"/><Relationship Id="rId123" Type="http://schemas.openxmlformats.org/officeDocument/2006/relationships/customXml" Target="../ink/ink121.xml"/><Relationship Id="rId144" Type="http://schemas.openxmlformats.org/officeDocument/2006/relationships/image" Target="../media/image132.png"/><Relationship Id="rId90" Type="http://schemas.openxmlformats.org/officeDocument/2006/relationships/image" Target="../media/image105.png"/><Relationship Id="rId165" Type="http://schemas.openxmlformats.org/officeDocument/2006/relationships/customXml" Target="../ink/ink142.xml"/><Relationship Id="rId186" Type="http://schemas.openxmlformats.org/officeDocument/2006/relationships/image" Target="../media/image153.png"/><Relationship Id="rId211" Type="http://schemas.openxmlformats.org/officeDocument/2006/relationships/customXml" Target="../ink/ink165.xml"/><Relationship Id="rId232" Type="http://schemas.openxmlformats.org/officeDocument/2006/relationships/image" Target="../media/image176.png"/><Relationship Id="rId253" Type="http://schemas.openxmlformats.org/officeDocument/2006/relationships/customXml" Target="../ink/ink186.xml"/><Relationship Id="rId27" Type="http://schemas.openxmlformats.org/officeDocument/2006/relationships/customXml" Target="../ink/ink73.xml"/><Relationship Id="rId48" Type="http://schemas.openxmlformats.org/officeDocument/2006/relationships/image" Target="../media/image84.png"/><Relationship Id="rId69" Type="http://schemas.openxmlformats.org/officeDocument/2006/relationships/customXml" Target="../ink/ink94.xml"/><Relationship Id="rId113" Type="http://schemas.openxmlformats.org/officeDocument/2006/relationships/customXml" Target="../ink/ink116.xml"/><Relationship Id="rId134" Type="http://schemas.openxmlformats.org/officeDocument/2006/relationships/image" Target="../media/image127.png"/><Relationship Id="rId80" Type="http://schemas.openxmlformats.org/officeDocument/2006/relationships/image" Target="../media/image100.png"/><Relationship Id="rId155" Type="http://schemas.openxmlformats.org/officeDocument/2006/relationships/customXml" Target="../ink/ink137.xml"/><Relationship Id="rId176" Type="http://schemas.openxmlformats.org/officeDocument/2006/relationships/image" Target="../media/image148.png"/><Relationship Id="rId197" Type="http://schemas.openxmlformats.org/officeDocument/2006/relationships/customXml" Target="../ink/ink158.xml"/><Relationship Id="rId201" Type="http://schemas.openxmlformats.org/officeDocument/2006/relationships/customXml" Target="../ink/ink160.xml"/><Relationship Id="rId222" Type="http://schemas.openxmlformats.org/officeDocument/2006/relationships/image" Target="../media/image171.png"/><Relationship Id="rId243" Type="http://schemas.openxmlformats.org/officeDocument/2006/relationships/customXml" Target="../ink/ink181.xml"/><Relationship Id="rId264" Type="http://schemas.openxmlformats.org/officeDocument/2006/relationships/image" Target="../media/image192.png"/><Relationship Id="rId17" Type="http://schemas.openxmlformats.org/officeDocument/2006/relationships/customXml" Target="../ink/ink68.xml"/><Relationship Id="rId38" Type="http://schemas.openxmlformats.org/officeDocument/2006/relationships/image" Target="../media/image79.png"/><Relationship Id="rId59" Type="http://schemas.openxmlformats.org/officeDocument/2006/relationships/customXml" Target="../ink/ink89.xml"/><Relationship Id="rId103" Type="http://schemas.openxmlformats.org/officeDocument/2006/relationships/customXml" Target="../ink/ink111.xml"/><Relationship Id="rId124" Type="http://schemas.openxmlformats.org/officeDocument/2006/relationships/image" Target="../media/image122.png"/><Relationship Id="rId70" Type="http://schemas.openxmlformats.org/officeDocument/2006/relationships/image" Target="../media/image95.png"/><Relationship Id="rId91" Type="http://schemas.openxmlformats.org/officeDocument/2006/relationships/customXml" Target="../ink/ink105.xml"/><Relationship Id="rId145" Type="http://schemas.openxmlformats.org/officeDocument/2006/relationships/customXml" Target="../ink/ink132.xml"/><Relationship Id="rId166" Type="http://schemas.openxmlformats.org/officeDocument/2006/relationships/image" Target="../media/image143.png"/><Relationship Id="rId187" Type="http://schemas.openxmlformats.org/officeDocument/2006/relationships/customXml" Target="../ink/ink153.xml"/><Relationship Id="rId1" Type="http://schemas.openxmlformats.org/officeDocument/2006/relationships/customXml" Target="../ink/ink60.xml"/><Relationship Id="rId212" Type="http://schemas.openxmlformats.org/officeDocument/2006/relationships/image" Target="../media/image166.png"/><Relationship Id="rId233" Type="http://schemas.openxmlformats.org/officeDocument/2006/relationships/customXml" Target="../ink/ink176.xml"/><Relationship Id="rId254" Type="http://schemas.openxmlformats.org/officeDocument/2006/relationships/image" Target="../media/image187.png"/><Relationship Id="rId28" Type="http://schemas.openxmlformats.org/officeDocument/2006/relationships/image" Target="../media/image74.png"/><Relationship Id="rId49" Type="http://schemas.openxmlformats.org/officeDocument/2006/relationships/customXml" Target="../ink/ink84.xml"/><Relationship Id="rId114" Type="http://schemas.openxmlformats.org/officeDocument/2006/relationships/image" Target="../media/image117.png"/><Relationship Id="rId60" Type="http://schemas.openxmlformats.org/officeDocument/2006/relationships/image" Target="../media/image90.png"/><Relationship Id="rId81" Type="http://schemas.openxmlformats.org/officeDocument/2006/relationships/customXml" Target="../ink/ink100.xml"/><Relationship Id="rId135" Type="http://schemas.openxmlformats.org/officeDocument/2006/relationships/customXml" Target="../ink/ink127.xml"/><Relationship Id="rId156" Type="http://schemas.openxmlformats.org/officeDocument/2006/relationships/image" Target="../media/image138.png"/><Relationship Id="rId177" Type="http://schemas.openxmlformats.org/officeDocument/2006/relationships/customXml" Target="../ink/ink148.xml"/><Relationship Id="rId198" Type="http://schemas.openxmlformats.org/officeDocument/2006/relationships/image" Target="../media/image159.png"/><Relationship Id="rId202" Type="http://schemas.openxmlformats.org/officeDocument/2006/relationships/image" Target="../media/image161.png"/><Relationship Id="rId223" Type="http://schemas.openxmlformats.org/officeDocument/2006/relationships/customXml" Target="../ink/ink171.xml"/><Relationship Id="rId244" Type="http://schemas.openxmlformats.org/officeDocument/2006/relationships/image" Target="../media/image182.png"/><Relationship Id="rId18" Type="http://schemas.openxmlformats.org/officeDocument/2006/relationships/image" Target="../media/image69.png"/><Relationship Id="rId39" Type="http://schemas.openxmlformats.org/officeDocument/2006/relationships/customXml" Target="../ink/ink79.xml"/><Relationship Id="rId265" Type="http://schemas.openxmlformats.org/officeDocument/2006/relationships/customXml" Target="../ink/ink192.xml"/><Relationship Id="rId50" Type="http://schemas.openxmlformats.org/officeDocument/2006/relationships/image" Target="../media/image85.png"/><Relationship Id="rId104" Type="http://schemas.openxmlformats.org/officeDocument/2006/relationships/image" Target="../media/image112.png"/><Relationship Id="rId125" Type="http://schemas.openxmlformats.org/officeDocument/2006/relationships/customXml" Target="../ink/ink122.xml"/><Relationship Id="rId146" Type="http://schemas.openxmlformats.org/officeDocument/2006/relationships/image" Target="../media/image133.png"/><Relationship Id="rId167" Type="http://schemas.openxmlformats.org/officeDocument/2006/relationships/customXml" Target="../ink/ink143.xml"/><Relationship Id="rId188" Type="http://schemas.openxmlformats.org/officeDocument/2006/relationships/image" Target="../media/image154.png"/><Relationship Id="rId71" Type="http://schemas.openxmlformats.org/officeDocument/2006/relationships/customXml" Target="../ink/ink95.xml"/><Relationship Id="rId92" Type="http://schemas.openxmlformats.org/officeDocument/2006/relationships/image" Target="../media/image106.png"/><Relationship Id="rId213" Type="http://schemas.openxmlformats.org/officeDocument/2006/relationships/customXml" Target="../ink/ink166.xml"/><Relationship Id="rId234" Type="http://schemas.openxmlformats.org/officeDocument/2006/relationships/image" Target="../media/image177.png"/><Relationship Id="rId2" Type="http://schemas.openxmlformats.org/officeDocument/2006/relationships/image" Target="../media/image61.png"/><Relationship Id="rId29" Type="http://schemas.openxmlformats.org/officeDocument/2006/relationships/customXml" Target="../ink/ink74.xml"/><Relationship Id="rId255" Type="http://schemas.openxmlformats.org/officeDocument/2006/relationships/customXml" Target="../ink/ink187.xml"/><Relationship Id="rId40" Type="http://schemas.openxmlformats.org/officeDocument/2006/relationships/image" Target="../media/image80.png"/><Relationship Id="rId115" Type="http://schemas.openxmlformats.org/officeDocument/2006/relationships/customXml" Target="../ink/ink117.xml"/><Relationship Id="rId136" Type="http://schemas.openxmlformats.org/officeDocument/2006/relationships/image" Target="../media/image128.png"/><Relationship Id="rId157" Type="http://schemas.openxmlformats.org/officeDocument/2006/relationships/customXml" Target="../ink/ink138.xml"/><Relationship Id="rId178" Type="http://schemas.openxmlformats.org/officeDocument/2006/relationships/image" Target="../media/image149.png"/><Relationship Id="rId61" Type="http://schemas.openxmlformats.org/officeDocument/2006/relationships/customXml" Target="../ink/ink90.xml"/><Relationship Id="rId82" Type="http://schemas.openxmlformats.org/officeDocument/2006/relationships/image" Target="../media/image101.png"/><Relationship Id="rId199" Type="http://schemas.openxmlformats.org/officeDocument/2006/relationships/customXml" Target="../ink/ink159.xml"/><Relationship Id="rId203" Type="http://schemas.openxmlformats.org/officeDocument/2006/relationships/customXml" Target="../ink/ink161.xml"/><Relationship Id="rId19" Type="http://schemas.openxmlformats.org/officeDocument/2006/relationships/customXml" Target="../ink/ink69.xml"/><Relationship Id="rId224" Type="http://schemas.openxmlformats.org/officeDocument/2006/relationships/image" Target="../media/image172.png"/><Relationship Id="rId245" Type="http://schemas.openxmlformats.org/officeDocument/2006/relationships/customXml" Target="../ink/ink182.xml"/><Relationship Id="rId266" Type="http://schemas.openxmlformats.org/officeDocument/2006/relationships/image" Target="../media/image193.png"/><Relationship Id="rId30" Type="http://schemas.openxmlformats.org/officeDocument/2006/relationships/image" Target="../media/image75.png"/><Relationship Id="rId105" Type="http://schemas.openxmlformats.org/officeDocument/2006/relationships/customXml" Target="../ink/ink112.xml"/><Relationship Id="rId126" Type="http://schemas.openxmlformats.org/officeDocument/2006/relationships/image" Target="../media/image123.png"/><Relationship Id="rId147" Type="http://schemas.openxmlformats.org/officeDocument/2006/relationships/customXml" Target="../ink/ink133.xml"/><Relationship Id="rId168" Type="http://schemas.openxmlformats.org/officeDocument/2006/relationships/image" Target="../media/image144.png"/><Relationship Id="rId51" Type="http://schemas.openxmlformats.org/officeDocument/2006/relationships/customXml" Target="../ink/ink85.xml"/><Relationship Id="rId72" Type="http://schemas.openxmlformats.org/officeDocument/2006/relationships/image" Target="../media/image96.png"/><Relationship Id="rId93" Type="http://schemas.openxmlformats.org/officeDocument/2006/relationships/customXml" Target="../ink/ink106.xml"/><Relationship Id="rId189" Type="http://schemas.openxmlformats.org/officeDocument/2006/relationships/customXml" Target="../ink/ink154.xml"/><Relationship Id="rId3" Type="http://schemas.openxmlformats.org/officeDocument/2006/relationships/customXml" Target="../ink/ink61.xml"/><Relationship Id="rId214" Type="http://schemas.openxmlformats.org/officeDocument/2006/relationships/image" Target="../media/image167.png"/><Relationship Id="rId235" Type="http://schemas.openxmlformats.org/officeDocument/2006/relationships/customXml" Target="../ink/ink177.xml"/><Relationship Id="rId256" Type="http://schemas.openxmlformats.org/officeDocument/2006/relationships/image" Target="../media/image188.png"/><Relationship Id="rId116" Type="http://schemas.openxmlformats.org/officeDocument/2006/relationships/image" Target="../media/image118.png"/><Relationship Id="rId137" Type="http://schemas.openxmlformats.org/officeDocument/2006/relationships/customXml" Target="../ink/ink128.xml"/><Relationship Id="rId158" Type="http://schemas.openxmlformats.org/officeDocument/2006/relationships/image" Target="../media/image139.png"/><Relationship Id="rId20" Type="http://schemas.openxmlformats.org/officeDocument/2006/relationships/image" Target="../media/image70.png"/><Relationship Id="rId41" Type="http://schemas.openxmlformats.org/officeDocument/2006/relationships/customXml" Target="../ink/ink80.xml"/><Relationship Id="rId62" Type="http://schemas.openxmlformats.org/officeDocument/2006/relationships/image" Target="../media/image91.png"/><Relationship Id="rId83" Type="http://schemas.openxmlformats.org/officeDocument/2006/relationships/customXml" Target="../ink/ink101.xml"/><Relationship Id="rId179" Type="http://schemas.openxmlformats.org/officeDocument/2006/relationships/customXml" Target="../ink/ink149.xml"/><Relationship Id="rId190" Type="http://schemas.openxmlformats.org/officeDocument/2006/relationships/image" Target="../media/image155.png"/><Relationship Id="rId204" Type="http://schemas.openxmlformats.org/officeDocument/2006/relationships/image" Target="../media/image162.png"/><Relationship Id="rId225" Type="http://schemas.openxmlformats.org/officeDocument/2006/relationships/customXml" Target="../ink/ink172.xml"/><Relationship Id="rId246" Type="http://schemas.openxmlformats.org/officeDocument/2006/relationships/image" Target="../media/image183.png"/><Relationship Id="rId267" Type="http://schemas.openxmlformats.org/officeDocument/2006/relationships/customXml" Target="../ink/ink193.xml"/><Relationship Id="rId106" Type="http://schemas.openxmlformats.org/officeDocument/2006/relationships/image" Target="../media/image113.png"/><Relationship Id="rId127" Type="http://schemas.openxmlformats.org/officeDocument/2006/relationships/customXml" Target="../ink/ink123.xml"/><Relationship Id="rId10" Type="http://schemas.openxmlformats.org/officeDocument/2006/relationships/image" Target="../media/image65.png"/><Relationship Id="rId31" Type="http://schemas.openxmlformats.org/officeDocument/2006/relationships/customXml" Target="../ink/ink75.xml"/><Relationship Id="rId52" Type="http://schemas.openxmlformats.org/officeDocument/2006/relationships/image" Target="../media/image86.png"/><Relationship Id="rId73" Type="http://schemas.openxmlformats.org/officeDocument/2006/relationships/customXml" Target="../ink/ink96.xml"/><Relationship Id="rId94" Type="http://schemas.openxmlformats.org/officeDocument/2006/relationships/image" Target="../media/image107.png"/><Relationship Id="rId148" Type="http://schemas.openxmlformats.org/officeDocument/2006/relationships/image" Target="../media/image134.png"/><Relationship Id="rId169" Type="http://schemas.openxmlformats.org/officeDocument/2006/relationships/customXml" Target="../ink/ink144.xml"/><Relationship Id="rId4" Type="http://schemas.openxmlformats.org/officeDocument/2006/relationships/image" Target="../media/image62.png"/><Relationship Id="rId180" Type="http://schemas.openxmlformats.org/officeDocument/2006/relationships/image" Target="../media/image150.png"/><Relationship Id="rId215" Type="http://schemas.openxmlformats.org/officeDocument/2006/relationships/customXml" Target="../ink/ink167.xml"/><Relationship Id="rId236" Type="http://schemas.openxmlformats.org/officeDocument/2006/relationships/image" Target="../media/image178.png"/><Relationship Id="rId257" Type="http://schemas.openxmlformats.org/officeDocument/2006/relationships/customXml" Target="../ink/ink188.xml"/><Relationship Id="rId42" Type="http://schemas.openxmlformats.org/officeDocument/2006/relationships/image" Target="../media/image81.png"/><Relationship Id="rId84" Type="http://schemas.openxmlformats.org/officeDocument/2006/relationships/image" Target="../media/image102.png"/><Relationship Id="rId138" Type="http://schemas.openxmlformats.org/officeDocument/2006/relationships/image" Target="../media/image129.png"/><Relationship Id="rId191" Type="http://schemas.openxmlformats.org/officeDocument/2006/relationships/customXml" Target="../ink/ink155.xml"/><Relationship Id="rId205" Type="http://schemas.openxmlformats.org/officeDocument/2006/relationships/customXml" Target="../ink/ink162.xml"/><Relationship Id="rId247" Type="http://schemas.openxmlformats.org/officeDocument/2006/relationships/customXml" Target="../ink/ink183.xml"/><Relationship Id="rId107" Type="http://schemas.openxmlformats.org/officeDocument/2006/relationships/customXml" Target="../ink/ink1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208355</xdr:colOff>
      <xdr:row>7</xdr:row>
      <xdr:rowOff>136793</xdr:rowOff>
    </xdr:from>
    <xdr:to>
      <xdr:col>1</xdr:col>
      <xdr:colOff>646115</xdr:colOff>
      <xdr:row>9</xdr:row>
      <xdr:rowOff>12437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DCC465F5-B8D4-B7C3-0DD4-961A586C15AA}"/>
                </a:ext>
              </a:extLst>
            </xdr14:cNvPr>
            <xdr14:cNvContentPartPr/>
          </xdr14:nvContentPartPr>
          <xdr14:nvPr macro=""/>
          <xdr14:xfrm>
            <a:off x="1033200" y="1557360"/>
            <a:ext cx="437760" cy="28152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DCC465F5-B8D4-B7C3-0DD4-961A586C15A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025640" y="1549800"/>
              <a:ext cx="452880" cy="29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196115</xdr:colOff>
      <xdr:row>6</xdr:row>
      <xdr:rowOff>48491</xdr:rowOff>
    </xdr:from>
    <xdr:to>
      <xdr:col>1</xdr:col>
      <xdr:colOff>712355</xdr:colOff>
      <xdr:row>7</xdr:row>
      <xdr:rowOff>36713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125047B8-794D-0647-00B4-0177306AA514}"/>
                </a:ext>
              </a:extLst>
            </xdr14:cNvPr>
            <xdr14:cNvContentPartPr/>
          </xdr14:nvContentPartPr>
          <xdr14:nvPr macro=""/>
          <xdr14:xfrm>
            <a:off x="1020960" y="1266120"/>
            <a:ext cx="516240" cy="19116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125047B8-794D-0647-00B4-0177306AA514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013400" y="1258560"/>
              <a:ext cx="531360" cy="2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121064</xdr:colOff>
      <xdr:row>2</xdr:row>
      <xdr:rowOff>62124</xdr:rowOff>
    </xdr:from>
    <xdr:to>
      <xdr:col>7</xdr:col>
      <xdr:colOff>225482</xdr:colOff>
      <xdr:row>4</xdr:row>
      <xdr:rowOff>71687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493149E8-1341-DEB8-E562-B2E77894B5CF}"/>
                </a:ext>
              </a:extLst>
            </xdr14:cNvPr>
            <xdr14:cNvContentPartPr/>
          </xdr14:nvContentPartPr>
          <xdr14:nvPr macro=""/>
          <xdr14:xfrm>
            <a:off x="2595600" y="468000"/>
            <a:ext cx="3403800" cy="41544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493149E8-1341-DEB8-E562-B2E77894B5CF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588040" y="460794"/>
              <a:ext cx="3418560" cy="43057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98024</xdr:colOff>
      <xdr:row>5</xdr:row>
      <xdr:rowOff>174389</xdr:rowOff>
    </xdr:from>
    <xdr:to>
      <xdr:col>5</xdr:col>
      <xdr:colOff>76253</xdr:colOff>
      <xdr:row>9</xdr:row>
      <xdr:rowOff>116117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570ADF92-6BDE-8E24-F5B1-6D366F635CD7}"/>
                </a:ext>
              </a:extLst>
            </xdr14:cNvPr>
            <xdr14:cNvContentPartPr/>
          </xdr14:nvContentPartPr>
          <xdr14:nvPr macro=""/>
          <xdr14:xfrm>
            <a:off x="2572560" y="1189080"/>
            <a:ext cx="1627920" cy="75348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570ADF92-6BDE-8E24-F5B1-6D366F635CD7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565000" y="1181880"/>
              <a:ext cx="1643040" cy="768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408533</xdr:colOff>
      <xdr:row>17</xdr:row>
      <xdr:rowOff>151852</xdr:rowOff>
    </xdr:from>
    <xdr:to>
      <xdr:col>5</xdr:col>
      <xdr:colOff>804893</xdr:colOff>
      <xdr:row>19</xdr:row>
      <xdr:rowOff>91215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391C1EC2-549A-56ED-3C14-D0EE3CB5D77B}"/>
                </a:ext>
              </a:extLst>
            </xdr14:cNvPr>
            <xdr14:cNvContentPartPr/>
          </xdr14:nvContentPartPr>
          <xdr14:nvPr macro=""/>
          <xdr14:xfrm>
            <a:off x="4532760" y="3601800"/>
            <a:ext cx="396360" cy="34524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391C1EC2-549A-56ED-3C14-D0EE3CB5D77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525200" y="3594240"/>
              <a:ext cx="411480" cy="36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659075</xdr:colOff>
      <xdr:row>15</xdr:row>
      <xdr:rowOff>169648</xdr:rowOff>
    </xdr:from>
    <xdr:to>
      <xdr:col>3</xdr:col>
      <xdr:colOff>617504</xdr:colOff>
      <xdr:row>23</xdr:row>
      <xdr:rowOff>74703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4BF4F211-13B9-115D-65BE-A0413C50BC35}"/>
                </a:ext>
              </a:extLst>
            </xdr14:cNvPr>
            <xdr14:cNvContentPartPr/>
          </xdr14:nvContentPartPr>
          <xdr14:nvPr macro=""/>
          <xdr14:xfrm>
            <a:off x="1483920" y="3213720"/>
            <a:ext cx="1608120" cy="1528560"/>
          </xdr14:xfrm>
        </xdr:contentPart>
      </mc:Choice>
      <mc:Fallback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4BF4F211-13B9-115D-65BE-A0413C50BC3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76360" y="3206160"/>
              <a:ext cx="1622880" cy="154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488499</xdr:colOff>
      <xdr:row>41</xdr:row>
      <xdr:rowOff>199042</xdr:rowOff>
    </xdr:from>
    <xdr:to>
      <xdr:col>4</xdr:col>
      <xdr:colOff>109772</xdr:colOff>
      <xdr:row>43</xdr:row>
      <xdr:rowOff>36909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371ABA2B-1E91-AC0A-CA4E-6206DDD9C21B}"/>
                </a:ext>
              </a:extLst>
            </xdr14:cNvPr>
            <xdr14:cNvContentPartPr/>
          </xdr14:nvContentPartPr>
          <xdr14:nvPr macro=""/>
          <xdr14:xfrm>
            <a:off x="2966040" y="8592840"/>
            <a:ext cx="447120" cy="247320"/>
          </xdr14:xfrm>
        </xdr:contentPart>
      </mc:Choice>
      <mc:Fallback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371ABA2B-1E91-AC0A-CA4E-6206DDD9C21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58480" y="8585280"/>
              <a:ext cx="462240" cy="262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163433</xdr:colOff>
      <xdr:row>41</xdr:row>
      <xdr:rowOff>142882</xdr:rowOff>
    </xdr:from>
    <xdr:to>
      <xdr:col>1</xdr:col>
      <xdr:colOff>174953</xdr:colOff>
      <xdr:row>41</xdr:row>
      <xdr:rowOff>171322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0DF5FCC7-92F9-E782-FEC2-FE1157FB301E}"/>
                </a:ext>
              </a:extLst>
            </xdr14:cNvPr>
            <xdr14:cNvContentPartPr/>
          </xdr14:nvContentPartPr>
          <xdr14:nvPr macro=""/>
          <xdr14:xfrm>
            <a:off x="989280" y="8536680"/>
            <a:ext cx="11520" cy="28440"/>
          </xdr14:xfrm>
        </xdr:contentPart>
      </mc:Choice>
      <mc:Fallback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0DF5FCC7-92F9-E782-FEC2-FE1157FB301E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981720" y="8529120"/>
              <a:ext cx="26640" cy="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44986</xdr:colOff>
      <xdr:row>42</xdr:row>
      <xdr:rowOff>177555</xdr:rowOff>
    </xdr:from>
    <xdr:to>
      <xdr:col>3</xdr:col>
      <xdr:colOff>379779</xdr:colOff>
      <xdr:row>43</xdr:row>
      <xdr:rowOff>92709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FF8EDA02-3CA6-66F0-F642-7A6123A2C242}"/>
                </a:ext>
              </a:extLst>
            </xdr14:cNvPr>
            <xdr14:cNvContentPartPr/>
          </xdr14:nvContentPartPr>
          <xdr14:nvPr macro=""/>
          <xdr14:xfrm>
            <a:off x="1696680" y="8776080"/>
            <a:ext cx="1160640" cy="119880"/>
          </xdr14:xfrm>
        </xdr:contentPart>
      </mc:Choice>
      <mc:Fallback>
        <xdr:pic>
          <xdr:nvPicPr>
            <xdr:cNvPr id="73" name="Ink 72">
              <a:extLst>
                <a:ext uri="{FF2B5EF4-FFF2-40B4-BE49-F238E27FC236}">
                  <a16:creationId xmlns:a16="http://schemas.microsoft.com/office/drawing/2014/main" id="{FF8EDA02-3CA6-66F0-F642-7A6123A2C242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689120" y="8768880"/>
              <a:ext cx="1175760" cy="13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551866</xdr:colOff>
      <xdr:row>30</xdr:row>
      <xdr:rowOff>182317</xdr:rowOff>
    </xdr:from>
    <xdr:to>
      <xdr:col>3</xdr:col>
      <xdr:colOff>9699</xdr:colOff>
      <xdr:row>31</xdr:row>
      <xdr:rowOff>95670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77" name="Ink 76">
              <a:extLst>
                <a:ext uri="{FF2B5EF4-FFF2-40B4-BE49-F238E27FC236}">
                  <a16:creationId xmlns:a16="http://schemas.microsoft.com/office/drawing/2014/main" id="{1D83F929-F97A-50D4-0818-2B5309BC3D0E}"/>
                </a:ext>
              </a:extLst>
            </xdr14:cNvPr>
            <xdr14:cNvContentPartPr/>
          </xdr14:nvContentPartPr>
          <xdr14:nvPr macro=""/>
          <xdr14:xfrm>
            <a:off x="2203560" y="6324120"/>
            <a:ext cx="283680" cy="118080"/>
          </xdr14:xfrm>
        </xdr:contentPart>
      </mc:Choice>
      <mc:Fallback>
        <xdr:pic>
          <xdr:nvPicPr>
            <xdr:cNvPr id="77" name="Ink 76">
              <a:extLst>
                <a:ext uri="{FF2B5EF4-FFF2-40B4-BE49-F238E27FC236}">
                  <a16:creationId xmlns:a16="http://schemas.microsoft.com/office/drawing/2014/main" id="{1D83F929-F97A-50D4-0818-2B5309BC3D0E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196000" y="6316560"/>
              <a:ext cx="298800" cy="133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721779</xdr:colOff>
      <xdr:row>33</xdr:row>
      <xdr:rowOff>146296</xdr:rowOff>
    </xdr:from>
    <xdr:to>
      <xdr:col>5</xdr:col>
      <xdr:colOff>299125</xdr:colOff>
      <xdr:row>36</xdr:row>
      <xdr:rowOff>14876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10CF62F9-ED8B-F299-231A-EC543B29856F}"/>
                </a:ext>
              </a:extLst>
            </xdr14:cNvPr>
            <xdr14:cNvContentPartPr/>
          </xdr14:nvContentPartPr>
          <xdr14:nvPr macro=""/>
          <xdr14:xfrm>
            <a:off x="3199320" y="6902280"/>
            <a:ext cx="1229040" cy="482760"/>
          </xdr14:xfrm>
        </xdr:contentPart>
      </mc:Choice>
      <mc:Fallback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10CF62F9-ED8B-F299-231A-EC543B29856F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191760" y="6894720"/>
              <a:ext cx="1244160" cy="49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812139</xdr:colOff>
      <xdr:row>32</xdr:row>
      <xdr:rowOff>57623</xdr:rowOff>
    </xdr:from>
    <xdr:to>
      <xdr:col>4</xdr:col>
      <xdr:colOff>345932</xdr:colOff>
      <xdr:row>33</xdr:row>
      <xdr:rowOff>130816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8E2A322D-65AB-C976-BCAF-93C771D97837}"/>
                </a:ext>
              </a:extLst>
            </xdr14:cNvPr>
            <xdr14:cNvContentPartPr/>
          </xdr14:nvContentPartPr>
          <xdr14:nvPr macro=""/>
          <xdr14:xfrm>
            <a:off x="3289680" y="6608880"/>
            <a:ext cx="359640" cy="27792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8E2A322D-65AB-C976-BCAF-93C771D97837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282120" y="6601320"/>
              <a:ext cx="374760" cy="293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792623</xdr:colOff>
      <xdr:row>52</xdr:row>
      <xdr:rowOff>128668</xdr:rowOff>
    </xdr:from>
    <xdr:to>
      <xdr:col>8</xdr:col>
      <xdr:colOff>359511</xdr:colOff>
      <xdr:row>54</xdr:row>
      <xdr:rowOff>136981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94E33718-D5C1-B0DF-E0DD-3F5E0635D01D}"/>
                </a:ext>
              </a:extLst>
            </xdr14:cNvPr>
            <xdr14:cNvContentPartPr/>
          </xdr14:nvContentPartPr>
          <xdr14:nvPr macro=""/>
          <xdr14:xfrm>
            <a:off x="5763960" y="10723320"/>
            <a:ext cx="1224000" cy="41580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94E33718-D5C1-B0DF-E0DD-3F5E0635D01D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5756400" y="10715760"/>
              <a:ext cx="1239120" cy="430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696307</xdr:colOff>
      <xdr:row>50</xdr:row>
      <xdr:rowOff>146634</xdr:rowOff>
    </xdr:from>
    <xdr:to>
      <xdr:col>8</xdr:col>
      <xdr:colOff>435831</xdr:colOff>
      <xdr:row>52</xdr:row>
      <xdr:rowOff>19228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9AC3634C-649A-5A98-4BC4-3E379C615323}"/>
                </a:ext>
              </a:extLst>
            </xdr14:cNvPr>
            <xdr14:cNvContentPartPr/>
          </xdr14:nvContentPartPr>
          <xdr14:nvPr macro=""/>
          <xdr14:xfrm>
            <a:off x="6496200" y="10333800"/>
            <a:ext cx="568080" cy="280080"/>
          </xdr14:xfrm>
        </xdr:contentPart>
      </mc:Choice>
      <mc:Fallback>
        <xdr:pic>
          <xdr:nvPicPr>
            <xdr:cNvPr id="88" name="Ink 87">
              <a:extLst>
                <a:ext uri="{FF2B5EF4-FFF2-40B4-BE49-F238E27FC236}">
                  <a16:creationId xmlns:a16="http://schemas.microsoft.com/office/drawing/2014/main" id="{9AC3634C-649A-5A98-4BC4-3E379C615323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6488645" y="10326240"/>
              <a:ext cx="582831" cy="29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734859</xdr:colOff>
      <xdr:row>18</xdr:row>
      <xdr:rowOff>12180</xdr:rowOff>
    </xdr:from>
    <xdr:to>
      <xdr:col>7</xdr:col>
      <xdr:colOff>363667</xdr:colOff>
      <xdr:row>22</xdr:row>
      <xdr:rowOff>142567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100" name="Ink 99">
              <a:extLst>
                <a:ext uri="{FF2B5EF4-FFF2-40B4-BE49-F238E27FC236}">
                  <a16:creationId xmlns:a16="http://schemas.microsoft.com/office/drawing/2014/main" id="{74BA3C40-1FF4-763E-2B96-E71E23D94EA9}"/>
                </a:ext>
              </a:extLst>
            </xdr14:cNvPr>
            <xdr14:cNvContentPartPr/>
          </xdr14:nvContentPartPr>
          <xdr14:nvPr macro=""/>
          <xdr14:xfrm>
            <a:off x="4877640" y="3679560"/>
            <a:ext cx="1285920" cy="945360"/>
          </xdr14:xfrm>
        </xdr:contentPart>
      </mc:Choice>
      <mc:Fallback>
        <xdr:pic>
          <xdr:nvPicPr>
            <xdr:cNvPr id="100" name="Ink 99">
              <a:extLst>
                <a:ext uri="{FF2B5EF4-FFF2-40B4-BE49-F238E27FC236}">
                  <a16:creationId xmlns:a16="http://schemas.microsoft.com/office/drawing/2014/main" id="{74BA3C40-1FF4-763E-2B96-E71E23D94EA9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870080" y="3672000"/>
              <a:ext cx="1301040" cy="9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651012</xdr:colOff>
      <xdr:row>21</xdr:row>
      <xdr:rowOff>34190</xdr:rowOff>
    </xdr:from>
    <xdr:to>
      <xdr:col>6</xdr:col>
      <xdr:colOff>8543</xdr:colOff>
      <xdr:row>24</xdr:row>
      <xdr:rowOff>117040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114" name="Ink 113">
              <a:extLst>
                <a:ext uri="{FF2B5EF4-FFF2-40B4-BE49-F238E27FC236}">
                  <a16:creationId xmlns:a16="http://schemas.microsoft.com/office/drawing/2014/main" id="{9F6F3B40-291D-0FE1-8705-05A87E7C2482}"/>
                </a:ext>
              </a:extLst>
            </xdr14:cNvPr>
            <xdr14:cNvContentPartPr/>
          </xdr14:nvContentPartPr>
          <xdr14:nvPr macro=""/>
          <xdr14:xfrm>
            <a:off x="3136680" y="4312800"/>
            <a:ext cx="1843200" cy="694080"/>
          </xdr14:xfrm>
        </xdr:contentPart>
      </mc:Choice>
      <mc:Fallback>
        <xdr:pic>
          <xdr:nvPicPr>
            <xdr:cNvPr id="114" name="Ink 113">
              <a:extLst>
                <a:ext uri="{FF2B5EF4-FFF2-40B4-BE49-F238E27FC236}">
                  <a16:creationId xmlns:a16="http://schemas.microsoft.com/office/drawing/2014/main" id="{9F6F3B40-291D-0FE1-8705-05A87E7C248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3129120" y="4305240"/>
              <a:ext cx="1857960" cy="70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104892</xdr:colOff>
      <xdr:row>15</xdr:row>
      <xdr:rowOff>39850</xdr:rowOff>
    </xdr:from>
    <xdr:to>
      <xdr:col>5</xdr:col>
      <xdr:colOff>424539</xdr:colOff>
      <xdr:row>18</xdr:row>
      <xdr:rowOff>32700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115" name="Ink 114">
              <a:extLst>
                <a:ext uri="{FF2B5EF4-FFF2-40B4-BE49-F238E27FC236}">
                  <a16:creationId xmlns:a16="http://schemas.microsoft.com/office/drawing/2014/main" id="{E4A163B1-E49B-CCCC-5A18-49D75A8A4AFC}"/>
                </a:ext>
              </a:extLst>
            </xdr14:cNvPr>
            <xdr14:cNvContentPartPr/>
          </xdr14:nvContentPartPr>
          <xdr14:nvPr macro=""/>
          <xdr14:xfrm>
            <a:off x="2590560" y="3096000"/>
            <a:ext cx="1976760" cy="604080"/>
          </xdr14:xfrm>
        </xdr:contentPart>
      </mc:Choice>
      <mc:Fallback>
        <xdr:pic>
          <xdr:nvPicPr>
            <xdr:cNvPr id="115" name="Ink 114">
              <a:extLst>
                <a:ext uri="{FF2B5EF4-FFF2-40B4-BE49-F238E27FC236}">
                  <a16:creationId xmlns:a16="http://schemas.microsoft.com/office/drawing/2014/main" id="{E4A163B1-E49B-CCCC-5A18-49D75A8A4AFC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583000" y="3088440"/>
              <a:ext cx="1991880" cy="61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42972</xdr:colOff>
      <xdr:row>22</xdr:row>
      <xdr:rowOff>193327</xdr:rowOff>
    </xdr:from>
    <xdr:to>
      <xdr:col>5</xdr:col>
      <xdr:colOff>126459</xdr:colOff>
      <xdr:row>24</xdr:row>
      <xdr:rowOff>98320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7F027576-67F5-1B4B-DF8A-50FA28447320}"/>
                </a:ext>
              </a:extLst>
            </xdr14:cNvPr>
            <xdr14:cNvContentPartPr/>
          </xdr14:nvContentPartPr>
          <xdr14:nvPr macro=""/>
          <xdr14:xfrm>
            <a:off x="2528640" y="4675680"/>
            <a:ext cx="1740600" cy="312480"/>
          </xdr14:xfrm>
        </xdr:contentPart>
      </mc:Choice>
      <mc:Fallback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7F027576-67F5-1B4B-DF8A-50FA28447320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2521078" y="4668111"/>
              <a:ext cx="1755723" cy="32761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1048</xdr:colOff>
      <xdr:row>32</xdr:row>
      <xdr:rowOff>42654</xdr:rowOff>
    </xdr:from>
    <xdr:to>
      <xdr:col>3</xdr:col>
      <xdr:colOff>411252</xdr:colOff>
      <xdr:row>39</xdr:row>
      <xdr:rowOff>162291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55D8FBB5-1904-9E79-7357-B5D3742126B7}"/>
                </a:ext>
              </a:extLst>
            </xdr14:cNvPr>
            <xdr14:cNvContentPartPr/>
          </xdr14:nvContentPartPr>
          <xdr14:nvPr macro=""/>
          <xdr14:xfrm>
            <a:off x="1658160" y="6562440"/>
            <a:ext cx="1238760" cy="1545840"/>
          </xdr14:xfrm>
        </xdr:contentPart>
      </mc:Choice>
      <mc:Fallback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55D8FBB5-1904-9E79-7357-B5D3742126B7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1650600" y="6554880"/>
              <a:ext cx="1253880" cy="156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364779</xdr:colOff>
      <xdr:row>16</xdr:row>
      <xdr:rowOff>61467</xdr:rowOff>
    </xdr:from>
    <xdr:to>
      <xdr:col>6</xdr:col>
      <xdr:colOff>226343</xdr:colOff>
      <xdr:row>20</xdr:row>
      <xdr:rowOff>75574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124" name="Ink 123">
              <a:extLst>
                <a:ext uri="{FF2B5EF4-FFF2-40B4-BE49-F238E27FC236}">
                  <a16:creationId xmlns:a16="http://schemas.microsoft.com/office/drawing/2014/main" id="{4D307A35-6F4D-F304-A16D-5EAE6A112182}"/>
                </a:ext>
              </a:extLst>
            </xdr14:cNvPr>
            <xdr14:cNvContentPartPr/>
          </xdr14:nvContentPartPr>
          <xdr14:nvPr macro=""/>
          <xdr14:xfrm>
            <a:off x="4507560" y="3321360"/>
            <a:ext cx="690120" cy="829080"/>
          </xdr14:xfrm>
        </xdr:contentPart>
      </mc:Choice>
      <mc:Fallback>
        <xdr:pic>
          <xdr:nvPicPr>
            <xdr:cNvPr id="124" name="Ink 123">
              <a:extLst>
                <a:ext uri="{FF2B5EF4-FFF2-40B4-BE49-F238E27FC236}">
                  <a16:creationId xmlns:a16="http://schemas.microsoft.com/office/drawing/2014/main" id="{4D307A35-6F4D-F304-A16D-5EAE6A112182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4500000" y="3313800"/>
              <a:ext cx="705240" cy="84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676735</xdr:colOff>
      <xdr:row>17</xdr:row>
      <xdr:rowOff>162644</xdr:rowOff>
    </xdr:from>
    <xdr:to>
      <xdr:col>5</xdr:col>
      <xdr:colOff>263619</xdr:colOff>
      <xdr:row>19</xdr:row>
      <xdr:rowOff>20117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125" name="Ink 124">
              <a:extLst>
                <a:ext uri="{FF2B5EF4-FFF2-40B4-BE49-F238E27FC236}">
                  <a16:creationId xmlns:a16="http://schemas.microsoft.com/office/drawing/2014/main" id="{E54324A6-FB5B-BF92-9AB8-4216F3AA4AD5}"/>
                </a:ext>
              </a:extLst>
            </xdr14:cNvPr>
            <xdr14:cNvContentPartPr/>
          </xdr14:nvContentPartPr>
          <xdr14:nvPr macro=""/>
          <xdr14:xfrm>
            <a:off x="3990960" y="3626280"/>
            <a:ext cx="415440" cy="264960"/>
          </xdr14:xfrm>
        </xdr:contentPart>
      </mc:Choice>
      <mc:Fallback>
        <xdr:pic>
          <xdr:nvPicPr>
            <xdr:cNvPr id="125" name="Ink 124">
              <a:extLst>
                <a:ext uri="{FF2B5EF4-FFF2-40B4-BE49-F238E27FC236}">
                  <a16:creationId xmlns:a16="http://schemas.microsoft.com/office/drawing/2014/main" id="{E54324A6-FB5B-BF92-9AB8-4216F3AA4AD5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983400" y="3619080"/>
              <a:ext cx="430560" cy="28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289507</xdr:colOff>
      <xdr:row>15</xdr:row>
      <xdr:rowOff>146410</xdr:rowOff>
    </xdr:from>
    <xdr:to>
      <xdr:col>8</xdr:col>
      <xdr:colOff>295431</xdr:colOff>
      <xdr:row>19</xdr:row>
      <xdr:rowOff>19757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135" name="Ink 134">
              <a:extLst>
                <a:ext uri="{FF2B5EF4-FFF2-40B4-BE49-F238E27FC236}">
                  <a16:creationId xmlns:a16="http://schemas.microsoft.com/office/drawing/2014/main" id="{17848C73-8127-640C-8E64-8B34806E9424}"/>
                </a:ext>
              </a:extLst>
            </xdr14:cNvPr>
            <xdr14:cNvContentPartPr/>
          </xdr14:nvContentPartPr>
          <xdr14:nvPr macro=""/>
          <xdr14:xfrm>
            <a:off x="6089400" y="3202560"/>
            <a:ext cx="834480" cy="688320"/>
          </xdr14:xfrm>
        </xdr:contentPart>
      </mc:Choice>
      <mc:Fallback>
        <xdr:pic>
          <xdr:nvPicPr>
            <xdr:cNvPr id="135" name="Ink 134">
              <a:extLst>
                <a:ext uri="{FF2B5EF4-FFF2-40B4-BE49-F238E27FC236}">
                  <a16:creationId xmlns:a16="http://schemas.microsoft.com/office/drawing/2014/main" id="{17848C73-8127-640C-8E64-8B34806E9424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6081840" y="3195004"/>
              <a:ext cx="849600" cy="7034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782019</xdr:colOff>
      <xdr:row>33</xdr:row>
      <xdr:rowOff>132311</xdr:rowOff>
    </xdr:from>
    <xdr:to>
      <xdr:col>5</xdr:col>
      <xdr:colOff>820179</xdr:colOff>
      <xdr:row>34</xdr:row>
      <xdr:rowOff>97767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136" name="Ink 135">
              <a:extLst>
                <a:ext uri="{FF2B5EF4-FFF2-40B4-BE49-F238E27FC236}">
                  <a16:creationId xmlns:a16="http://schemas.microsoft.com/office/drawing/2014/main" id="{C56B9C98-47BB-A9D7-41D1-488EBDD4BF90}"/>
                </a:ext>
              </a:extLst>
            </xdr14:cNvPr>
            <xdr14:cNvContentPartPr/>
          </xdr14:nvContentPartPr>
          <xdr14:nvPr macro=""/>
          <xdr14:xfrm>
            <a:off x="4924800" y="6855840"/>
            <a:ext cx="38160" cy="169200"/>
          </xdr14:xfrm>
        </xdr:contentPart>
      </mc:Choice>
      <mc:Fallback>
        <xdr:pic>
          <xdr:nvPicPr>
            <xdr:cNvPr id="136" name="Ink 135">
              <a:extLst>
                <a:ext uri="{FF2B5EF4-FFF2-40B4-BE49-F238E27FC236}">
                  <a16:creationId xmlns:a16="http://schemas.microsoft.com/office/drawing/2014/main" id="{C56B9C98-47BB-A9D7-41D1-488EBDD4BF90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4917240" y="6848280"/>
              <a:ext cx="52920" cy="18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45623</xdr:colOff>
      <xdr:row>33</xdr:row>
      <xdr:rowOff>136271</xdr:rowOff>
    </xdr:from>
    <xdr:to>
      <xdr:col>6</xdr:col>
      <xdr:colOff>137423</xdr:colOff>
      <xdr:row>34</xdr:row>
      <xdr:rowOff>18927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137" name="Ink 136">
              <a:extLst>
                <a:ext uri="{FF2B5EF4-FFF2-40B4-BE49-F238E27FC236}">
                  <a16:creationId xmlns:a16="http://schemas.microsoft.com/office/drawing/2014/main" id="{E47269FF-817C-6E98-15FF-9F9EC38AA0A5}"/>
                </a:ext>
              </a:extLst>
            </xdr14:cNvPr>
            <xdr14:cNvContentPartPr/>
          </xdr14:nvContentPartPr>
          <xdr14:nvPr macro=""/>
          <xdr14:xfrm>
            <a:off x="5016960" y="6859800"/>
            <a:ext cx="91800" cy="86400"/>
          </xdr14:xfrm>
        </xdr:contentPart>
      </mc:Choice>
      <mc:Fallback>
        <xdr:pic>
          <xdr:nvPicPr>
            <xdr:cNvPr id="137" name="Ink 136">
              <a:extLst>
                <a:ext uri="{FF2B5EF4-FFF2-40B4-BE49-F238E27FC236}">
                  <a16:creationId xmlns:a16="http://schemas.microsoft.com/office/drawing/2014/main" id="{E47269FF-817C-6E98-15FF-9F9EC38AA0A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5009400" y="6852240"/>
              <a:ext cx="106920" cy="1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176663</xdr:colOff>
      <xdr:row>33</xdr:row>
      <xdr:rowOff>160751</xdr:rowOff>
    </xdr:from>
    <xdr:to>
      <xdr:col>6</xdr:col>
      <xdr:colOff>209423</xdr:colOff>
      <xdr:row>34</xdr:row>
      <xdr:rowOff>11007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138" name="Ink 137">
              <a:extLst>
                <a:ext uri="{FF2B5EF4-FFF2-40B4-BE49-F238E27FC236}">
                  <a16:creationId xmlns:a16="http://schemas.microsoft.com/office/drawing/2014/main" id="{EF939002-7EA4-657E-00C2-9C3813B3F0D4}"/>
                </a:ext>
              </a:extLst>
            </xdr14:cNvPr>
            <xdr14:cNvContentPartPr/>
          </xdr14:nvContentPartPr>
          <xdr14:nvPr macro=""/>
          <xdr14:xfrm>
            <a:off x="5148000" y="6884280"/>
            <a:ext cx="32760" cy="54000"/>
          </xdr14:xfrm>
        </xdr:contentPart>
      </mc:Choice>
      <mc:Fallback>
        <xdr:pic>
          <xdr:nvPicPr>
            <xdr:cNvPr id="138" name="Ink 137">
              <a:extLst>
                <a:ext uri="{FF2B5EF4-FFF2-40B4-BE49-F238E27FC236}">
                  <a16:creationId xmlns:a16="http://schemas.microsoft.com/office/drawing/2014/main" id="{EF939002-7EA4-657E-00C2-9C3813B3F0D4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5140440" y="6876720"/>
              <a:ext cx="4788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215183</xdr:colOff>
      <xdr:row>33</xdr:row>
      <xdr:rowOff>43751</xdr:rowOff>
    </xdr:from>
    <xdr:to>
      <xdr:col>6</xdr:col>
      <xdr:colOff>324263</xdr:colOff>
      <xdr:row>33</xdr:row>
      <xdr:rowOff>194591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139" name="Ink 138">
              <a:extLst>
                <a:ext uri="{FF2B5EF4-FFF2-40B4-BE49-F238E27FC236}">
                  <a16:creationId xmlns:a16="http://schemas.microsoft.com/office/drawing/2014/main" id="{0D1610B0-99B6-A09A-B9D8-B401D434AD95}"/>
                </a:ext>
              </a:extLst>
            </xdr14:cNvPr>
            <xdr14:cNvContentPartPr/>
          </xdr14:nvContentPartPr>
          <xdr14:nvPr macro=""/>
          <xdr14:xfrm>
            <a:off x="5186520" y="6767280"/>
            <a:ext cx="109080" cy="150840"/>
          </xdr14:xfrm>
        </xdr:contentPart>
      </mc:Choice>
      <mc:Fallback>
        <xdr:pic>
          <xdr:nvPicPr>
            <xdr:cNvPr id="139" name="Ink 138">
              <a:extLst>
                <a:ext uri="{FF2B5EF4-FFF2-40B4-BE49-F238E27FC236}">
                  <a16:creationId xmlns:a16="http://schemas.microsoft.com/office/drawing/2014/main" id="{0D1610B0-99B6-A09A-B9D8-B401D434AD95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5178960" y="6759720"/>
              <a:ext cx="124200" cy="165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411383</xdr:colOff>
      <xdr:row>33</xdr:row>
      <xdr:rowOff>121511</xdr:rowOff>
    </xdr:from>
    <xdr:to>
      <xdr:col>6</xdr:col>
      <xdr:colOff>426143</xdr:colOff>
      <xdr:row>33</xdr:row>
      <xdr:rowOff>140231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140" name="Ink 139">
              <a:extLst>
                <a:ext uri="{FF2B5EF4-FFF2-40B4-BE49-F238E27FC236}">
                  <a16:creationId xmlns:a16="http://schemas.microsoft.com/office/drawing/2014/main" id="{8AD80026-21DF-1069-C45A-DDA86D750004}"/>
                </a:ext>
              </a:extLst>
            </xdr14:cNvPr>
            <xdr14:cNvContentPartPr/>
          </xdr14:nvContentPartPr>
          <xdr14:nvPr macro=""/>
          <xdr14:xfrm>
            <a:off x="5382720" y="6845040"/>
            <a:ext cx="14760" cy="18720"/>
          </xdr14:xfrm>
        </xdr:contentPart>
      </mc:Choice>
      <mc:Fallback>
        <xdr:pic>
          <xdr:nvPicPr>
            <xdr:cNvPr id="140" name="Ink 139">
              <a:extLst>
                <a:ext uri="{FF2B5EF4-FFF2-40B4-BE49-F238E27FC236}">
                  <a16:creationId xmlns:a16="http://schemas.microsoft.com/office/drawing/2014/main" id="{8AD80026-21DF-1069-C45A-DDA86D750004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5375160" y="6837480"/>
              <a:ext cx="29880" cy="3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489143</xdr:colOff>
      <xdr:row>32</xdr:row>
      <xdr:rowOff>130134</xdr:rowOff>
    </xdr:from>
    <xdr:to>
      <xdr:col>6</xdr:col>
      <xdr:colOff>637103</xdr:colOff>
      <xdr:row>33</xdr:row>
      <xdr:rowOff>76511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141" name="Ink 140">
              <a:extLst>
                <a:ext uri="{FF2B5EF4-FFF2-40B4-BE49-F238E27FC236}">
                  <a16:creationId xmlns:a16="http://schemas.microsoft.com/office/drawing/2014/main" id="{AD1B9A0D-1FB6-177B-7154-827AD668AC06}"/>
                </a:ext>
              </a:extLst>
            </xdr14:cNvPr>
            <xdr14:cNvContentPartPr/>
          </xdr14:nvContentPartPr>
          <xdr14:nvPr macro=""/>
          <xdr14:xfrm>
            <a:off x="5460480" y="6649920"/>
            <a:ext cx="147960" cy="150120"/>
          </xdr14:xfrm>
        </xdr:contentPart>
      </mc:Choice>
      <mc:Fallback>
        <xdr:pic>
          <xdr:nvPicPr>
            <xdr:cNvPr id="141" name="Ink 140">
              <a:extLst>
                <a:ext uri="{FF2B5EF4-FFF2-40B4-BE49-F238E27FC236}">
                  <a16:creationId xmlns:a16="http://schemas.microsoft.com/office/drawing/2014/main" id="{AD1B9A0D-1FB6-177B-7154-827AD668AC06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5452920" y="6642360"/>
              <a:ext cx="162720" cy="16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629739</xdr:colOff>
      <xdr:row>32</xdr:row>
      <xdr:rowOff>52374</xdr:rowOff>
    </xdr:from>
    <xdr:to>
      <xdr:col>7</xdr:col>
      <xdr:colOff>159907</xdr:colOff>
      <xdr:row>35</xdr:row>
      <xdr:rowOff>63584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142" name="Ink 141">
              <a:extLst>
                <a:ext uri="{FF2B5EF4-FFF2-40B4-BE49-F238E27FC236}">
                  <a16:creationId xmlns:a16="http://schemas.microsoft.com/office/drawing/2014/main" id="{12204613-4EA5-CD1C-9038-14F8EFA91076}"/>
                </a:ext>
              </a:extLst>
            </xdr14:cNvPr>
            <xdr14:cNvContentPartPr/>
          </xdr14:nvContentPartPr>
          <xdr14:nvPr macro=""/>
          <xdr14:xfrm>
            <a:off x="4772520" y="6572160"/>
            <a:ext cx="1187280" cy="622440"/>
          </xdr14:xfrm>
        </xdr:contentPart>
      </mc:Choice>
      <mc:Fallback>
        <xdr:pic>
          <xdr:nvPicPr>
            <xdr:cNvPr id="142" name="Ink 141">
              <a:extLst>
                <a:ext uri="{FF2B5EF4-FFF2-40B4-BE49-F238E27FC236}">
                  <a16:creationId xmlns:a16="http://schemas.microsoft.com/office/drawing/2014/main" id="{12204613-4EA5-CD1C-9038-14F8EFA91076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764960" y="6564960"/>
              <a:ext cx="1202400" cy="63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681579</xdr:colOff>
      <xdr:row>27</xdr:row>
      <xdr:rowOff>75330</xdr:rowOff>
    </xdr:from>
    <xdr:to>
      <xdr:col>5</xdr:col>
      <xdr:colOff>802899</xdr:colOff>
      <xdr:row>28</xdr:row>
      <xdr:rowOff>193427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143" name="Ink 142">
              <a:extLst>
                <a:ext uri="{FF2B5EF4-FFF2-40B4-BE49-F238E27FC236}">
                  <a16:creationId xmlns:a16="http://schemas.microsoft.com/office/drawing/2014/main" id="{EE5BEA2F-8707-9AF7-DB74-A918C6B2C569}"/>
                </a:ext>
              </a:extLst>
            </xdr14:cNvPr>
            <xdr14:cNvContentPartPr/>
          </xdr14:nvContentPartPr>
          <xdr14:nvPr macro=""/>
          <xdr14:xfrm>
            <a:off x="4824360" y="5576400"/>
            <a:ext cx="121320" cy="321840"/>
          </xdr14:xfrm>
        </xdr:contentPart>
      </mc:Choice>
      <mc:Fallback>
        <xdr:pic>
          <xdr:nvPicPr>
            <xdr:cNvPr id="143" name="Ink 142">
              <a:extLst>
                <a:ext uri="{FF2B5EF4-FFF2-40B4-BE49-F238E27FC236}">
                  <a16:creationId xmlns:a16="http://schemas.microsoft.com/office/drawing/2014/main" id="{EE5BEA2F-8707-9AF7-DB74-A918C6B2C569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817160" y="5568840"/>
              <a:ext cx="136080" cy="33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765623</xdr:colOff>
      <xdr:row>27</xdr:row>
      <xdr:rowOff>9450</xdr:rowOff>
    </xdr:from>
    <xdr:to>
      <xdr:col>6</xdr:col>
      <xdr:colOff>827183</xdr:colOff>
      <xdr:row>28</xdr:row>
      <xdr:rowOff>4427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144" name="Ink 143">
              <a:extLst>
                <a:ext uri="{FF2B5EF4-FFF2-40B4-BE49-F238E27FC236}">
                  <a16:creationId xmlns:a16="http://schemas.microsoft.com/office/drawing/2014/main" id="{9E77DE04-8E26-D2B9-6D82-CDED6BAA00C8}"/>
                </a:ext>
              </a:extLst>
            </xdr14:cNvPr>
            <xdr14:cNvContentPartPr/>
          </xdr14:nvContentPartPr>
          <xdr14:nvPr macro=""/>
          <xdr14:xfrm>
            <a:off x="5736960" y="5510520"/>
            <a:ext cx="61560" cy="198720"/>
          </xdr14:xfrm>
        </xdr:contentPart>
      </mc:Choice>
      <mc:Fallback>
        <xdr:pic>
          <xdr:nvPicPr>
            <xdr:cNvPr id="144" name="Ink 143">
              <a:extLst>
                <a:ext uri="{FF2B5EF4-FFF2-40B4-BE49-F238E27FC236}">
                  <a16:creationId xmlns:a16="http://schemas.microsoft.com/office/drawing/2014/main" id="{9E77DE04-8E26-D2B9-6D82-CDED6BAA00C8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5729400" y="5502960"/>
              <a:ext cx="76680" cy="21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742223</xdr:colOff>
      <xdr:row>28</xdr:row>
      <xdr:rowOff>106307</xdr:rowOff>
    </xdr:from>
    <xdr:to>
      <xdr:col>7</xdr:col>
      <xdr:colOff>50107</xdr:colOff>
      <xdr:row>29</xdr:row>
      <xdr:rowOff>13804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145" name="Ink 144">
              <a:extLst>
                <a:ext uri="{FF2B5EF4-FFF2-40B4-BE49-F238E27FC236}">
                  <a16:creationId xmlns:a16="http://schemas.microsoft.com/office/drawing/2014/main" id="{F32E4A64-5160-7BD3-7808-0B3025AF9206}"/>
                </a:ext>
              </a:extLst>
            </xdr14:cNvPr>
            <xdr14:cNvContentPartPr/>
          </xdr14:nvContentPartPr>
          <xdr14:nvPr macro=""/>
          <xdr14:xfrm>
            <a:off x="5713560" y="5811120"/>
            <a:ext cx="136440" cy="111240"/>
          </xdr14:xfrm>
        </xdr:contentPart>
      </mc:Choice>
      <mc:Fallback>
        <xdr:pic>
          <xdr:nvPicPr>
            <xdr:cNvPr id="145" name="Ink 144">
              <a:extLst>
                <a:ext uri="{FF2B5EF4-FFF2-40B4-BE49-F238E27FC236}">
                  <a16:creationId xmlns:a16="http://schemas.microsoft.com/office/drawing/2014/main" id="{F32E4A64-5160-7BD3-7808-0B3025AF9206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706000" y="5803560"/>
              <a:ext cx="151560" cy="126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65227</xdr:colOff>
      <xdr:row>28</xdr:row>
      <xdr:rowOff>97667</xdr:rowOff>
    </xdr:from>
    <xdr:to>
      <xdr:col>7</xdr:col>
      <xdr:colOff>153787</xdr:colOff>
      <xdr:row>28</xdr:row>
      <xdr:rowOff>187307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146" name="Ink 145">
              <a:extLst>
                <a:ext uri="{FF2B5EF4-FFF2-40B4-BE49-F238E27FC236}">
                  <a16:creationId xmlns:a16="http://schemas.microsoft.com/office/drawing/2014/main" id="{FF2730A6-B5D7-78B3-DBDA-DC59820B9840}"/>
                </a:ext>
              </a:extLst>
            </xdr14:cNvPr>
            <xdr14:cNvContentPartPr/>
          </xdr14:nvContentPartPr>
          <xdr14:nvPr macro=""/>
          <xdr14:xfrm>
            <a:off x="5865120" y="5802480"/>
            <a:ext cx="88560" cy="89640"/>
          </xdr14:xfrm>
        </xdr:contentPart>
      </mc:Choice>
      <mc:Fallback>
        <xdr:pic>
          <xdr:nvPicPr>
            <xdr:cNvPr id="146" name="Ink 145">
              <a:extLst>
                <a:ext uri="{FF2B5EF4-FFF2-40B4-BE49-F238E27FC236}">
                  <a16:creationId xmlns:a16="http://schemas.microsoft.com/office/drawing/2014/main" id="{FF2730A6-B5D7-78B3-DBDA-DC59820B9840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5857560" y="5794920"/>
              <a:ext cx="103680" cy="10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73507</xdr:colOff>
      <xdr:row>28</xdr:row>
      <xdr:rowOff>34307</xdr:rowOff>
    </xdr:from>
    <xdr:to>
      <xdr:col>7</xdr:col>
      <xdr:colOff>236947</xdr:colOff>
      <xdr:row>28</xdr:row>
      <xdr:rowOff>111347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7">
          <xdr14:nvContentPartPr>
            <xdr14:cNvPr id="147" name="Ink 146">
              <a:extLst>
                <a:ext uri="{FF2B5EF4-FFF2-40B4-BE49-F238E27FC236}">
                  <a16:creationId xmlns:a16="http://schemas.microsoft.com/office/drawing/2014/main" id="{499C8C5D-C351-78B4-99D0-488B0D1E284B}"/>
                </a:ext>
              </a:extLst>
            </xdr14:cNvPr>
            <xdr14:cNvContentPartPr/>
          </xdr14:nvContentPartPr>
          <xdr14:nvPr macro=""/>
          <xdr14:xfrm>
            <a:off x="5873400" y="5739120"/>
            <a:ext cx="163440" cy="77040"/>
          </xdr14:xfrm>
        </xdr:contentPart>
      </mc:Choice>
      <mc:Fallback>
        <xdr:pic>
          <xdr:nvPicPr>
            <xdr:cNvPr id="147" name="Ink 146">
              <a:extLst>
                <a:ext uri="{FF2B5EF4-FFF2-40B4-BE49-F238E27FC236}">
                  <a16:creationId xmlns:a16="http://schemas.microsoft.com/office/drawing/2014/main" id="{499C8C5D-C351-78B4-99D0-488B0D1E284B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5865840" y="5731560"/>
              <a:ext cx="178560" cy="9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683183</xdr:colOff>
      <xdr:row>28</xdr:row>
      <xdr:rowOff>176507</xdr:rowOff>
    </xdr:from>
    <xdr:to>
      <xdr:col>6</xdr:col>
      <xdr:colOff>741143</xdr:colOff>
      <xdr:row>29</xdr:row>
      <xdr:rowOff>105964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9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BEE37C7C-8821-F71B-836C-E0ACBF6D642B}"/>
                </a:ext>
              </a:extLst>
            </xdr14:cNvPr>
            <xdr14:cNvContentPartPr/>
          </xdr14:nvContentPartPr>
          <xdr14:nvPr macro=""/>
          <xdr14:xfrm>
            <a:off x="5654520" y="5881320"/>
            <a:ext cx="57960" cy="133200"/>
          </xdr14:xfrm>
        </xdr:contentPart>
      </mc:Choice>
      <mc:Fallback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BEE37C7C-8821-F71B-836C-E0ACBF6D642B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646960" y="5873760"/>
              <a:ext cx="73080" cy="148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14663</xdr:colOff>
      <xdr:row>27</xdr:row>
      <xdr:rowOff>100170</xdr:rowOff>
    </xdr:from>
    <xdr:to>
      <xdr:col>6</xdr:col>
      <xdr:colOff>585623</xdr:colOff>
      <xdr:row>28</xdr:row>
      <xdr:rowOff>75347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1">
          <xdr14:nvContentPartPr>
            <xdr14:cNvPr id="149" name="Ink 148">
              <a:extLst>
                <a:ext uri="{FF2B5EF4-FFF2-40B4-BE49-F238E27FC236}">
                  <a16:creationId xmlns:a16="http://schemas.microsoft.com/office/drawing/2014/main" id="{10ADE2DF-5005-4924-A297-50078E21F607}"/>
                </a:ext>
              </a:extLst>
            </xdr14:cNvPr>
            <xdr14:cNvContentPartPr/>
          </xdr14:nvContentPartPr>
          <xdr14:nvPr macro=""/>
          <xdr14:xfrm>
            <a:off x="4986000" y="5601240"/>
            <a:ext cx="570960" cy="178920"/>
          </xdr14:xfrm>
        </xdr:contentPart>
      </mc:Choice>
      <mc:Fallback>
        <xdr:pic>
          <xdr:nvPicPr>
            <xdr:cNvPr id="149" name="Ink 148">
              <a:extLst>
                <a:ext uri="{FF2B5EF4-FFF2-40B4-BE49-F238E27FC236}">
                  <a16:creationId xmlns:a16="http://schemas.microsoft.com/office/drawing/2014/main" id="{10ADE2DF-5005-4924-A297-50078E21F607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978440" y="5593680"/>
              <a:ext cx="586080" cy="19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798939</xdr:colOff>
      <xdr:row>27</xdr:row>
      <xdr:rowOff>188010</xdr:rowOff>
    </xdr:from>
    <xdr:to>
      <xdr:col>6</xdr:col>
      <xdr:colOff>54263</xdr:colOff>
      <xdr:row>28</xdr:row>
      <xdr:rowOff>132947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3">
          <xdr14:nvContentPartPr>
            <xdr14:cNvPr id="150" name="Ink 149">
              <a:extLst>
                <a:ext uri="{FF2B5EF4-FFF2-40B4-BE49-F238E27FC236}">
                  <a16:creationId xmlns:a16="http://schemas.microsoft.com/office/drawing/2014/main" id="{020A8569-B50B-6160-2EA9-493CC35B5B5E}"/>
                </a:ext>
              </a:extLst>
            </xdr14:cNvPr>
            <xdr14:cNvContentPartPr/>
          </xdr14:nvContentPartPr>
          <xdr14:nvPr macro=""/>
          <xdr14:xfrm>
            <a:off x="4941720" y="5689080"/>
            <a:ext cx="83880" cy="148680"/>
          </xdr14:xfrm>
        </xdr:contentPart>
      </mc:Choice>
      <mc:Fallback>
        <xdr:pic>
          <xdr:nvPicPr>
            <xdr:cNvPr id="150" name="Ink 149">
              <a:extLst>
                <a:ext uri="{FF2B5EF4-FFF2-40B4-BE49-F238E27FC236}">
                  <a16:creationId xmlns:a16="http://schemas.microsoft.com/office/drawing/2014/main" id="{020A8569-B50B-6160-2EA9-493CC35B5B5E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4934160" y="5681520"/>
              <a:ext cx="99000" cy="16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641979</xdr:colOff>
      <xdr:row>29</xdr:row>
      <xdr:rowOff>146644</xdr:rowOff>
    </xdr:from>
    <xdr:to>
      <xdr:col>5</xdr:col>
      <xdr:colOff>739899</xdr:colOff>
      <xdr:row>30</xdr:row>
      <xdr:rowOff>38661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5">
          <xdr14:nvContentPartPr>
            <xdr14:cNvPr id="151" name="Ink 150">
              <a:extLst>
                <a:ext uri="{FF2B5EF4-FFF2-40B4-BE49-F238E27FC236}">
                  <a16:creationId xmlns:a16="http://schemas.microsoft.com/office/drawing/2014/main" id="{3EE81BBE-4EC5-CC24-DBC7-CEA155EDE790}"/>
                </a:ext>
              </a:extLst>
            </xdr14:cNvPr>
            <xdr14:cNvContentPartPr/>
          </xdr14:nvContentPartPr>
          <xdr14:nvPr macro=""/>
          <xdr14:xfrm>
            <a:off x="4784760" y="6055200"/>
            <a:ext cx="97920" cy="95760"/>
          </xdr14:xfrm>
        </xdr:contentPart>
      </mc:Choice>
      <mc:Fallback>
        <xdr:pic>
          <xdr:nvPicPr>
            <xdr:cNvPr id="151" name="Ink 150">
              <a:extLst>
                <a:ext uri="{FF2B5EF4-FFF2-40B4-BE49-F238E27FC236}">
                  <a16:creationId xmlns:a16="http://schemas.microsoft.com/office/drawing/2014/main" id="{3EE81BBE-4EC5-CC24-DBC7-CEA155EDE790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4777200" y="6047640"/>
              <a:ext cx="112680" cy="11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821979</xdr:colOff>
      <xdr:row>29</xdr:row>
      <xdr:rowOff>98404</xdr:rowOff>
    </xdr:from>
    <xdr:to>
      <xdr:col>6</xdr:col>
      <xdr:colOff>122303</xdr:colOff>
      <xdr:row>30</xdr:row>
      <xdr:rowOff>17421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A556FC8E-4A31-FC04-96CC-182E860FA83F}"/>
                </a:ext>
              </a:extLst>
            </xdr14:cNvPr>
            <xdr14:cNvContentPartPr/>
          </xdr14:nvContentPartPr>
          <xdr14:nvPr macro=""/>
          <xdr14:xfrm>
            <a:off x="4964760" y="6006960"/>
            <a:ext cx="128880" cy="122760"/>
          </xdr14:xfrm>
        </xdr:contentPart>
      </mc:Choice>
      <mc:Fallback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A556FC8E-4A31-FC04-96CC-182E860FA83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957200" y="5999400"/>
              <a:ext cx="144000" cy="13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138667</xdr:colOff>
      <xdr:row>26</xdr:row>
      <xdr:rowOff>106994</xdr:rowOff>
    </xdr:from>
    <xdr:to>
      <xdr:col>7</xdr:col>
      <xdr:colOff>672907</xdr:colOff>
      <xdr:row>27</xdr:row>
      <xdr:rowOff>121050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9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D99EB1C1-EA88-F3AC-70C0-C575C90CABA5}"/>
                </a:ext>
              </a:extLst>
            </xdr14:cNvPr>
            <xdr14:cNvContentPartPr/>
          </xdr14:nvContentPartPr>
          <xdr14:nvPr macro=""/>
          <xdr14:xfrm>
            <a:off x="5938560" y="5404320"/>
            <a:ext cx="534240" cy="217800"/>
          </xdr14:xfrm>
        </xdr:contentPart>
      </mc:Choice>
      <mc:Fallback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D99EB1C1-EA88-F3AC-70C0-C575C90CABA5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5931000" y="5397120"/>
              <a:ext cx="549360" cy="23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716107</xdr:colOff>
      <xdr:row>27</xdr:row>
      <xdr:rowOff>102690</xdr:rowOff>
    </xdr:from>
    <xdr:to>
      <xdr:col>7</xdr:col>
      <xdr:colOff>738787</xdr:colOff>
      <xdr:row>28</xdr:row>
      <xdr:rowOff>14507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1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BDBB3B27-8748-BDE6-2D4D-A142055CDA56}"/>
                </a:ext>
              </a:extLst>
            </xdr14:cNvPr>
            <xdr14:cNvContentPartPr/>
          </xdr14:nvContentPartPr>
          <xdr14:nvPr macro=""/>
          <xdr14:xfrm>
            <a:off x="6516000" y="5603760"/>
            <a:ext cx="22680" cy="115560"/>
          </xdr14:xfrm>
        </xdr:contentPart>
      </mc:Choice>
      <mc:Fallback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BDBB3B27-8748-BDE6-2D4D-A142055CDA56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6508440" y="5596200"/>
              <a:ext cx="37440" cy="130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772987</xdr:colOff>
      <xdr:row>27</xdr:row>
      <xdr:rowOff>171810</xdr:rowOff>
    </xdr:from>
    <xdr:to>
      <xdr:col>8</xdr:col>
      <xdr:colOff>21471</xdr:colOff>
      <xdr:row>28</xdr:row>
      <xdr:rowOff>16307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3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F1CA455A-3770-AD8F-FB2C-2D12B145D36F}"/>
                </a:ext>
              </a:extLst>
            </xdr14:cNvPr>
            <xdr14:cNvContentPartPr/>
          </xdr14:nvContentPartPr>
          <xdr14:nvPr macro=""/>
          <xdr14:xfrm>
            <a:off x="6572880" y="5672880"/>
            <a:ext cx="77040" cy="48240"/>
          </xdr14:xfrm>
        </xdr:contentPart>
      </mc:Choice>
      <mc:Fallback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F1CA455A-3770-AD8F-FB2C-2D12B145D36F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6565320" y="5665320"/>
              <a:ext cx="91800" cy="63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40911</xdr:colOff>
      <xdr:row>27</xdr:row>
      <xdr:rowOff>116730</xdr:rowOff>
    </xdr:from>
    <xdr:to>
      <xdr:col>8</xdr:col>
      <xdr:colOff>101751</xdr:colOff>
      <xdr:row>27</xdr:row>
      <xdr:rowOff>173250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5">
          <xdr14:nvContentPartPr>
            <xdr14:cNvPr id="156" name="Ink 155">
              <a:extLst>
                <a:ext uri="{FF2B5EF4-FFF2-40B4-BE49-F238E27FC236}">
                  <a16:creationId xmlns:a16="http://schemas.microsoft.com/office/drawing/2014/main" id="{86CD6BC0-8516-B19B-F7AA-38EEF16B2101}"/>
                </a:ext>
              </a:extLst>
            </xdr14:cNvPr>
            <xdr14:cNvContentPartPr/>
          </xdr14:nvContentPartPr>
          <xdr14:nvPr macro=""/>
          <xdr14:xfrm>
            <a:off x="6669360" y="5617800"/>
            <a:ext cx="60840" cy="56520"/>
          </xdr14:xfrm>
        </xdr:contentPart>
      </mc:Choice>
      <mc:Fallback>
        <xdr:pic>
          <xdr:nvPicPr>
            <xdr:cNvPr id="156" name="Ink 155">
              <a:extLst>
                <a:ext uri="{FF2B5EF4-FFF2-40B4-BE49-F238E27FC236}">
                  <a16:creationId xmlns:a16="http://schemas.microsoft.com/office/drawing/2014/main" id="{86CD6BC0-8516-B19B-F7AA-38EEF16B210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6661800" y="5610240"/>
              <a:ext cx="75960" cy="71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41631</xdr:colOff>
      <xdr:row>26</xdr:row>
      <xdr:rowOff>8714</xdr:rowOff>
    </xdr:from>
    <xdr:to>
      <xdr:col>8</xdr:col>
      <xdr:colOff>135951</xdr:colOff>
      <xdr:row>27</xdr:row>
      <xdr:rowOff>65610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7">
          <xdr14:nvContentPartPr>
            <xdr14:cNvPr id="157" name="Ink 156">
              <a:extLst>
                <a:ext uri="{FF2B5EF4-FFF2-40B4-BE49-F238E27FC236}">
                  <a16:creationId xmlns:a16="http://schemas.microsoft.com/office/drawing/2014/main" id="{5EC4F391-EB37-2B0F-6B66-312EB0C6AC0D}"/>
                </a:ext>
              </a:extLst>
            </xdr14:cNvPr>
            <xdr14:cNvContentPartPr/>
          </xdr14:nvContentPartPr>
          <xdr14:nvPr macro=""/>
          <xdr14:xfrm>
            <a:off x="6670080" y="5306040"/>
            <a:ext cx="94320" cy="260640"/>
          </xdr14:xfrm>
        </xdr:contentPart>
      </mc:Choice>
      <mc:Fallback>
        <xdr:pic>
          <xdr:nvPicPr>
            <xdr:cNvPr id="157" name="Ink 156">
              <a:extLst>
                <a:ext uri="{FF2B5EF4-FFF2-40B4-BE49-F238E27FC236}">
                  <a16:creationId xmlns:a16="http://schemas.microsoft.com/office/drawing/2014/main" id="{5EC4F391-EB37-2B0F-6B66-312EB0C6AC0D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6662520" y="5298480"/>
              <a:ext cx="109440" cy="27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373419</xdr:colOff>
      <xdr:row>25</xdr:row>
      <xdr:rowOff>195177</xdr:rowOff>
    </xdr:from>
    <xdr:to>
      <xdr:col>8</xdr:col>
      <xdr:colOff>502431</xdr:colOff>
      <xdr:row>31</xdr:row>
      <xdr:rowOff>122197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9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CA55C969-8974-8CC9-78C8-A0F9AAAA9E00}"/>
                </a:ext>
              </a:extLst>
            </xdr14:cNvPr>
            <xdr14:cNvContentPartPr/>
          </xdr14:nvContentPartPr>
          <xdr14:nvPr macro=""/>
          <xdr14:xfrm>
            <a:off x="4516200" y="5288760"/>
            <a:ext cx="2614680" cy="1149480"/>
          </xdr14:xfrm>
        </xdr:contentPart>
      </mc:Choice>
      <mc:Fallback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CA55C969-8974-8CC9-78C8-A0F9AAAA9E00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508640" y="5281200"/>
              <a:ext cx="2629800" cy="1164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155063</xdr:colOff>
      <xdr:row>27</xdr:row>
      <xdr:rowOff>183330</xdr:rowOff>
    </xdr:from>
    <xdr:to>
      <xdr:col>8</xdr:col>
      <xdr:colOff>95271</xdr:colOff>
      <xdr:row>31</xdr:row>
      <xdr:rowOff>517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1">
          <xdr14:nvContentPartPr>
            <xdr14:cNvPr id="159" name="Ink 158">
              <a:extLst>
                <a:ext uri="{FF2B5EF4-FFF2-40B4-BE49-F238E27FC236}">
                  <a16:creationId xmlns:a16="http://schemas.microsoft.com/office/drawing/2014/main" id="{3DD6AAEB-E081-90AA-AC8D-DEC24D55F8BE}"/>
                </a:ext>
              </a:extLst>
            </xdr14:cNvPr>
            <xdr14:cNvContentPartPr/>
          </xdr14:nvContentPartPr>
          <xdr14:nvPr macro=""/>
          <xdr14:xfrm>
            <a:off x="5126400" y="5684400"/>
            <a:ext cx="1597320" cy="632160"/>
          </xdr14:xfrm>
        </xdr:contentPart>
      </mc:Choice>
      <mc:Fallback>
        <xdr:pic>
          <xdr:nvPicPr>
            <xdr:cNvPr id="159" name="Ink 158">
              <a:extLst>
                <a:ext uri="{FF2B5EF4-FFF2-40B4-BE49-F238E27FC236}">
                  <a16:creationId xmlns:a16="http://schemas.microsoft.com/office/drawing/2014/main" id="{3DD6AAEB-E081-90AA-AC8D-DEC24D55F8BE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5118840" y="5676840"/>
              <a:ext cx="1612440" cy="64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67027</xdr:colOff>
      <xdr:row>34</xdr:row>
      <xdr:rowOff>190647</xdr:rowOff>
    </xdr:from>
    <xdr:to>
      <xdr:col>7</xdr:col>
      <xdr:colOff>99787</xdr:colOff>
      <xdr:row>35</xdr:row>
      <xdr:rowOff>150704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3">
          <xdr14:nvContentPartPr>
            <xdr14:cNvPr id="160" name="Ink 159">
              <a:extLst>
                <a:ext uri="{FF2B5EF4-FFF2-40B4-BE49-F238E27FC236}">
                  <a16:creationId xmlns:a16="http://schemas.microsoft.com/office/drawing/2014/main" id="{700EB05A-F218-2447-EC45-73A67F3C01C8}"/>
                </a:ext>
              </a:extLst>
            </xdr14:cNvPr>
            <xdr14:cNvContentPartPr/>
          </xdr14:nvContentPartPr>
          <xdr14:nvPr macro=""/>
          <xdr14:xfrm>
            <a:off x="5866920" y="7117920"/>
            <a:ext cx="32760" cy="163800"/>
          </xdr14:xfrm>
        </xdr:contentPart>
      </mc:Choice>
      <mc:Fallback>
        <xdr:pic>
          <xdr:nvPicPr>
            <xdr:cNvPr id="160" name="Ink 159">
              <a:extLst>
                <a:ext uri="{FF2B5EF4-FFF2-40B4-BE49-F238E27FC236}">
                  <a16:creationId xmlns:a16="http://schemas.microsoft.com/office/drawing/2014/main" id="{700EB05A-F218-2447-EC45-73A67F3C01C8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5859360" y="7110360"/>
              <a:ext cx="47880" cy="178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154507</xdr:colOff>
      <xdr:row>34</xdr:row>
      <xdr:rowOff>138807</xdr:rowOff>
    </xdr:from>
    <xdr:to>
      <xdr:col>7</xdr:col>
      <xdr:colOff>459067</xdr:colOff>
      <xdr:row>35</xdr:row>
      <xdr:rowOff>116864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5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5A7C3746-AF5D-AFF1-BEAE-3F354CFC493A}"/>
                </a:ext>
              </a:extLst>
            </xdr14:cNvPr>
            <xdr14:cNvContentPartPr/>
          </xdr14:nvContentPartPr>
          <xdr14:nvPr macro=""/>
          <xdr14:xfrm>
            <a:off x="5954400" y="7066080"/>
            <a:ext cx="304560" cy="18180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5A7C3746-AF5D-AFF1-BEAE-3F354CFC493A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5946840" y="7058520"/>
              <a:ext cx="319320" cy="196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684623</xdr:colOff>
      <xdr:row>34</xdr:row>
      <xdr:rowOff>18567</xdr:rowOff>
    </xdr:from>
    <xdr:to>
      <xdr:col>7</xdr:col>
      <xdr:colOff>593707</xdr:colOff>
      <xdr:row>36</xdr:row>
      <xdr:rowOff>89521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7">
          <xdr14:nvContentPartPr>
            <xdr14:cNvPr id="162" name="Ink 161">
              <a:extLst>
                <a:ext uri="{FF2B5EF4-FFF2-40B4-BE49-F238E27FC236}">
                  <a16:creationId xmlns:a16="http://schemas.microsoft.com/office/drawing/2014/main" id="{9ACF9A2D-1033-0F92-C764-F183B4CEB9AE}"/>
                </a:ext>
              </a:extLst>
            </xdr14:cNvPr>
            <xdr14:cNvContentPartPr/>
          </xdr14:nvContentPartPr>
          <xdr14:nvPr macro=""/>
          <xdr14:xfrm>
            <a:off x="5655960" y="6945840"/>
            <a:ext cx="737640" cy="478440"/>
          </xdr14:xfrm>
        </xdr:contentPart>
      </mc:Choice>
      <mc:Fallback>
        <xdr:pic>
          <xdr:nvPicPr>
            <xdr:cNvPr id="162" name="Ink 161">
              <a:extLst>
                <a:ext uri="{FF2B5EF4-FFF2-40B4-BE49-F238E27FC236}">
                  <a16:creationId xmlns:a16="http://schemas.microsoft.com/office/drawing/2014/main" id="{9ACF9A2D-1033-0F92-C764-F183B4CEB9AE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5648400" y="6938640"/>
              <a:ext cx="752400" cy="49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452587</xdr:colOff>
      <xdr:row>35</xdr:row>
      <xdr:rowOff>6344</xdr:rowOff>
    </xdr:from>
    <xdr:to>
      <xdr:col>8</xdr:col>
      <xdr:colOff>656511</xdr:colOff>
      <xdr:row>36</xdr:row>
      <xdr:rowOff>70801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9">
          <xdr14:nvContentPartPr>
            <xdr14:cNvPr id="163" name="Ink 162">
              <a:extLst>
                <a:ext uri="{FF2B5EF4-FFF2-40B4-BE49-F238E27FC236}">
                  <a16:creationId xmlns:a16="http://schemas.microsoft.com/office/drawing/2014/main" id="{76F45023-48C9-5270-9C3D-AD331B982D25}"/>
                </a:ext>
              </a:extLst>
            </xdr14:cNvPr>
            <xdr14:cNvContentPartPr/>
          </xdr14:nvContentPartPr>
          <xdr14:nvPr macro=""/>
          <xdr14:xfrm>
            <a:off x="6252480" y="7137360"/>
            <a:ext cx="1032480" cy="268200"/>
          </xdr14:xfrm>
        </xdr:contentPart>
      </mc:Choice>
      <mc:Fallback>
        <xdr:pic>
          <xdr:nvPicPr>
            <xdr:cNvPr id="163" name="Ink 162">
              <a:extLst>
                <a:ext uri="{FF2B5EF4-FFF2-40B4-BE49-F238E27FC236}">
                  <a16:creationId xmlns:a16="http://schemas.microsoft.com/office/drawing/2014/main" id="{76F45023-48C9-5270-9C3D-AD331B982D25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6244920" y="7129800"/>
              <a:ext cx="1047600" cy="28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263063</xdr:colOff>
      <xdr:row>35</xdr:row>
      <xdr:rowOff>196424</xdr:rowOff>
    </xdr:from>
    <xdr:to>
      <xdr:col>7</xdr:col>
      <xdr:colOff>442147</xdr:colOff>
      <xdr:row>38</xdr:row>
      <xdr:rowOff>76234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1">
          <xdr14:nvContentPartPr>
            <xdr14:cNvPr id="164" name="Ink 163">
              <a:extLst>
                <a:ext uri="{FF2B5EF4-FFF2-40B4-BE49-F238E27FC236}">
                  <a16:creationId xmlns:a16="http://schemas.microsoft.com/office/drawing/2014/main" id="{E8EEBED0-1109-2A4F-3B86-012541EFCCA5}"/>
                </a:ext>
              </a:extLst>
            </xdr14:cNvPr>
            <xdr14:cNvContentPartPr/>
          </xdr14:nvContentPartPr>
          <xdr14:nvPr macro=""/>
          <xdr14:xfrm>
            <a:off x="5234400" y="7327440"/>
            <a:ext cx="1007640" cy="491040"/>
          </xdr14:xfrm>
        </xdr:contentPart>
      </mc:Choice>
      <mc:Fallback>
        <xdr:pic>
          <xdr:nvPicPr>
            <xdr:cNvPr id="164" name="Ink 163">
              <a:extLst>
                <a:ext uri="{FF2B5EF4-FFF2-40B4-BE49-F238E27FC236}">
                  <a16:creationId xmlns:a16="http://schemas.microsoft.com/office/drawing/2014/main" id="{E8EEBED0-1109-2A4F-3B86-012541EFCCA5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5226840" y="7319880"/>
              <a:ext cx="1022760" cy="50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314543</xdr:colOff>
      <xdr:row>38</xdr:row>
      <xdr:rowOff>154354</xdr:rowOff>
    </xdr:from>
    <xdr:to>
      <xdr:col>6</xdr:col>
      <xdr:colOff>703343</xdr:colOff>
      <xdr:row>40</xdr:row>
      <xdr:rowOff>79147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3">
          <xdr14:nvContentPartPr>
            <xdr14:cNvPr id="165" name="Ink 164">
              <a:extLst>
                <a:ext uri="{FF2B5EF4-FFF2-40B4-BE49-F238E27FC236}">
                  <a16:creationId xmlns:a16="http://schemas.microsoft.com/office/drawing/2014/main" id="{B19E4790-92C1-215F-608A-C9BD423CC120}"/>
                </a:ext>
              </a:extLst>
            </xdr14:cNvPr>
            <xdr14:cNvContentPartPr/>
          </xdr14:nvContentPartPr>
          <xdr14:nvPr macro=""/>
          <xdr14:xfrm>
            <a:off x="5285880" y="7896600"/>
            <a:ext cx="388800" cy="332280"/>
          </xdr14:xfrm>
        </xdr:contentPart>
      </mc:Choice>
      <mc:Fallback>
        <xdr:pic>
          <xdr:nvPicPr>
            <xdr:cNvPr id="165" name="Ink 164">
              <a:extLst>
                <a:ext uri="{FF2B5EF4-FFF2-40B4-BE49-F238E27FC236}">
                  <a16:creationId xmlns:a16="http://schemas.microsoft.com/office/drawing/2014/main" id="{B19E4790-92C1-215F-608A-C9BD423CC120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5278320" y="7889040"/>
              <a:ext cx="403920" cy="347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586311</xdr:colOff>
      <xdr:row>37</xdr:row>
      <xdr:rowOff>76937</xdr:rowOff>
    </xdr:from>
    <xdr:to>
      <xdr:col>8</xdr:col>
      <xdr:colOff>716271</xdr:colOff>
      <xdr:row>38</xdr:row>
      <xdr:rowOff>195754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5">
          <xdr14:nvContentPartPr>
            <xdr14:cNvPr id="166" name="Ink 165">
              <a:extLst>
                <a:ext uri="{FF2B5EF4-FFF2-40B4-BE49-F238E27FC236}">
                  <a16:creationId xmlns:a16="http://schemas.microsoft.com/office/drawing/2014/main" id="{0BE1B509-7406-4130-AEA6-4C4554F075AC}"/>
                </a:ext>
              </a:extLst>
            </xdr14:cNvPr>
            <xdr14:cNvContentPartPr/>
          </xdr14:nvContentPartPr>
          <xdr14:nvPr macro=""/>
          <xdr14:xfrm>
            <a:off x="7214760" y="7615440"/>
            <a:ext cx="129960" cy="322560"/>
          </xdr14:xfrm>
        </xdr:contentPart>
      </mc:Choice>
      <mc:Fallback>
        <xdr:pic>
          <xdr:nvPicPr>
            <xdr:cNvPr id="166" name="Ink 165">
              <a:extLst>
                <a:ext uri="{FF2B5EF4-FFF2-40B4-BE49-F238E27FC236}">
                  <a16:creationId xmlns:a16="http://schemas.microsoft.com/office/drawing/2014/main" id="{0BE1B509-7406-4130-AEA6-4C4554F075AC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7207200" y="7607880"/>
              <a:ext cx="144720" cy="337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772823</xdr:colOff>
      <xdr:row>37</xdr:row>
      <xdr:rowOff>186737</xdr:rowOff>
    </xdr:from>
    <xdr:to>
      <xdr:col>8</xdr:col>
      <xdr:colOff>458511</xdr:colOff>
      <xdr:row>39</xdr:row>
      <xdr:rowOff>73371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7">
          <xdr14:nvContentPartPr>
            <xdr14:cNvPr id="167" name="Ink 166">
              <a:extLst>
                <a:ext uri="{FF2B5EF4-FFF2-40B4-BE49-F238E27FC236}">
                  <a16:creationId xmlns:a16="http://schemas.microsoft.com/office/drawing/2014/main" id="{FE1C4877-7B00-C21D-59F2-2BC6DFE9682A}"/>
                </a:ext>
              </a:extLst>
            </xdr14:cNvPr>
            <xdr14:cNvContentPartPr/>
          </xdr14:nvContentPartPr>
          <xdr14:nvPr macro=""/>
          <xdr14:xfrm>
            <a:off x="5744160" y="7725240"/>
            <a:ext cx="1342800" cy="294120"/>
          </xdr14:xfrm>
        </xdr:contentPart>
      </mc:Choice>
      <mc:Fallback>
        <xdr:pic>
          <xdr:nvPicPr>
            <xdr:cNvPr id="167" name="Ink 166">
              <a:extLst>
                <a:ext uri="{FF2B5EF4-FFF2-40B4-BE49-F238E27FC236}">
                  <a16:creationId xmlns:a16="http://schemas.microsoft.com/office/drawing/2014/main" id="{FE1C4877-7B00-C21D-59F2-2BC6DFE9682A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5736600" y="7717680"/>
              <a:ext cx="1357920" cy="30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194663</xdr:colOff>
      <xdr:row>40</xdr:row>
      <xdr:rowOff>91387</xdr:rowOff>
    </xdr:from>
    <xdr:to>
      <xdr:col>6</xdr:col>
      <xdr:colOff>334703</xdr:colOff>
      <xdr:row>41</xdr:row>
      <xdr:rowOff>91404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9">
          <xdr14:nvContentPartPr>
            <xdr14:cNvPr id="168" name="Ink 167">
              <a:extLst>
                <a:ext uri="{FF2B5EF4-FFF2-40B4-BE49-F238E27FC236}">
                  <a16:creationId xmlns:a16="http://schemas.microsoft.com/office/drawing/2014/main" id="{63FDF806-E3DC-5569-83FC-F81FBF59CE91}"/>
                </a:ext>
              </a:extLst>
            </xdr14:cNvPr>
            <xdr14:cNvContentPartPr/>
          </xdr14:nvContentPartPr>
          <xdr14:nvPr macro=""/>
          <xdr14:xfrm>
            <a:off x="5166000" y="8241120"/>
            <a:ext cx="140040" cy="203760"/>
          </xdr14:xfrm>
        </xdr:contentPart>
      </mc:Choice>
      <mc:Fallback>
        <xdr:pic>
          <xdr:nvPicPr>
            <xdr:cNvPr id="168" name="Ink 167">
              <a:extLst>
                <a:ext uri="{FF2B5EF4-FFF2-40B4-BE49-F238E27FC236}">
                  <a16:creationId xmlns:a16="http://schemas.microsoft.com/office/drawing/2014/main" id="{63FDF806-E3DC-5569-83FC-F81FBF59CE91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5158440" y="8233560"/>
              <a:ext cx="155160" cy="21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346223</xdr:colOff>
      <xdr:row>40</xdr:row>
      <xdr:rowOff>110467</xdr:rowOff>
    </xdr:from>
    <xdr:to>
      <xdr:col>6</xdr:col>
      <xdr:colOff>481943</xdr:colOff>
      <xdr:row>41</xdr:row>
      <xdr:rowOff>131004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1">
          <xdr14:nvContentPartPr>
            <xdr14:cNvPr id="169" name="Ink 168">
              <a:extLst>
                <a:ext uri="{FF2B5EF4-FFF2-40B4-BE49-F238E27FC236}">
                  <a16:creationId xmlns:a16="http://schemas.microsoft.com/office/drawing/2014/main" id="{ED714741-B3C0-BEF6-9F26-A6E071C3D200}"/>
                </a:ext>
              </a:extLst>
            </xdr14:cNvPr>
            <xdr14:cNvContentPartPr/>
          </xdr14:nvContentPartPr>
          <xdr14:nvPr macro=""/>
          <xdr14:xfrm>
            <a:off x="5317560" y="8260200"/>
            <a:ext cx="135720" cy="224280"/>
          </xdr14:xfrm>
        </xdr:contentPart>
      </mc:Choice>
      <mc:Fallback>
        <xdr:pic>
          <xdr:nvPicPr>
            <xdr:cNvPr id="169" name="Ink 168">
              <a:extLst>
                <a:ext uri="{FF2B5EF4-FFF2-40B4-BE49-F238E27FC236}">
                  <a16:creationId xmlns:a16="http://schemas.microsoft.com/office/drawing/2014/main" id="{ED714741-B3C0-BEF6-9F26-A6E071C3D200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5310000" y="8252640"/>
              <a:ext cx="150840" cy="23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730311</xdr:colOff>
      <xdr:row>39</xdr:row>
      <xdr:rowOff>196491</xdr:rowOff>
    </xdr:from>
    <xdr:to>
      <xdr:col>8</xdr:col>
      <xdr:colOff>793671</xdr:colOff>
      <xdr:row>40</xdr:row>
      <xdr:rowOff>105787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3">
          <xdr14:nvContentPartPr>
            <xdr14:cNvPr id="170" name="Ink 169">
              <a:extLst>
                <a:ext uri="{FF2B5EF4-FFF2-40B4-BE49-F238E27FC236}">
                  <a16:creationId xmlns:a16="http://schemas.microsoft.com/office/drawing/2014/main" id="{2A624532-F57A-1F73-A554-3F539A6E638F}"/>
                </a:ext>
              </a:extLst>
            </xdr14:cNvPr>
            <xdr14:cNvContentPartPr/>
          </xdr14:nvContentPartPr>
          <xdr14:nvPr macro=""/>
          <xdr14:xfrm>
            <a:off x="7358760" y="8142480"/>
            <a:ext cx="63360" cy="113040"/>
          </xdr14:xfrm>
        </xdr:contentPart>
      </mc:Choice>
      <mc:Fallback>
        <xdr:pic>
          <xdr:nvPicPr>
            <xdr:cNvPr id="170" name="Ink 169">
              <a:extLst>
                <a:ext uri="{FF2B5EF4-FFF2-40B4-BE49-F238E27FC236}">
                  <a16:creationId xmlns:a16="http://schemas.microsoft.com/office/drawing/2014/main" id="{2A624532-F57A-1F73-A554-3F539A6E638F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351200" y="8134920"/>
              <a:ext cx="78480" cy="1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34595</xdr:colOff>
      <xdr:row>39</xdr:row>
      <xdr:rowOff>172731</xdr:rowOff>
    </xdr:from>
    <xdr:to>
      <xdr:col>9</xdr:col>
      <xdr:colOff>177875</xdr:colOff>
      <xdr:row>40</xdr:row>
      <xdr:rowOff>79507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5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1A68F84B-292F-4CB9-5BDC-5A78ED82F1A4}"/>
                </a:ext>
              </a:extLst>
            </xdr14:cNvPr>
            <xdr14:cNvContentPartPr/>
          </xdr14:nvContentPartPr>
          <xdr14:nvPr macro=""/>
          <xdr14:xfrm>
            <a:off x="7491600" y="8118720"/>
            <a:ext cx="143280" cy="110520"/>
          </xdr14:xfrm>
        </xdr:contentPart>
      </mc:Choice>
      <mc:Fallback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1A68F84B-292F-4CB9-5BDC-5A78ED82F1A4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7484040" y="8111160"/>
              <a:ext cx="158400" cy="12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817823</xdr:colOff>
      <xdr:row>39</xdr:row>
      <xdr:rowOff>199731</xdr:rowOff>
    </xdr:from>
    <xdr:to>
      <xdr:col>8</xdr:col>
      <xdr:colOff>536631</xdr:colOff>
      <xdr:row>40</xdr:row>
      <xdr:rowOff>199027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7">
          <xdr14:nvContentPartPr>
            <xdr14:cNvPr id="172" name="Ink 171">
              <a:extLst>
                <a:ext uri="{FF2B5EF4-FFF2-40B4-BE49-F238E27FC236}">
                  <a16:creationId xmlns:a16="http://schemas.microsoft.com/office/drawing/2014/main" id="{78E9BFA4-FA51-9DE8-3236-C91725F6656A}"/>
                </a:ext>
              </a:extLst>
            </xdr14:cNvPr>
            <xdr14:cNvContentPartPr/>
          </xdr14:nvContentPartPr>
          <xdr14:nvPr macro=""/>
          <xdr14:xfrm>
            <a:off x="5789160" y="8145720"/>
            <a:ext cx="1375920" cy="203040"/>
          </xdr14:xfrm>
        </xdr:contentPart>
      </mc:Choice>
      <mc:Fallback>
        <xdr:pic>
          <xdr:nvPicPr>
            <xdr:cNvPr id="172" name="Ink 171">
              <a:extLst>
                <a:ext uri="{FF2B5EF4-FFF2-40B4-BE49-F238E27FC236}">
                  <a16:creationId xmlns:a16="http://schemas.microsoft.com/office/drawing/2014/main" id="{78E9BFA4-FA51-9DE8-3236-C91725F6656A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5781600" y="8138160"/>
              <a:ext cx="139104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554381</xdr:colOff>
      <xdr:row>65</xdr:row>
      <xdr:rowOff>61123</xdr:rowOff>
    </xdr:from>
    <xdr:to>
      <xdr:col>3</xdr:col>
      <xdr:colOff>230568</xdr:colOff>
      <xdr:row>68</xdr:row>
      <xdr:rowOff>64316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2E4C6C81-F2FF-A1B9-6B90-BCD77B79A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/>
        <a:stretch>
          <a:fillRect/>
        </a:stretch>
      </xdr:blipFill>
      <xdr:spPr>
        <a:xfrm>
          <a:off x="554381" y="13304439"/>
          <a:ext cx="2161855" cy="6144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87780</xdr:colOff>
      <xdr:row>8</xdr:row>
      <xdr:rowOff>72239</xdr:rowOff>
    </xdr:from>
    <xdr:to>
      <xdr:col>4</xdr:col>
      <xdr:colOff>287580</xdr:colOff>
      <xdr:row>9</xdr:row>
      <xdr:rowOff>165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2810F997-2C0A-2C0E-EC73-4BB0BF2FABB9}"/>
                </a:ext>
              </a:extLst>
            </xdr14:cNvPr>
            <xdr14:cNvContentPartPr/>
          </xdr14:nvContentPartPr>
          <xdr14:nvPr macro=""/>
          <xdr14:xfrm>
            <a:off x="3390480" y="1695600"/>
            <a:ext cx="199800" cy="12600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2810F997-2C0A-2C0E-EC73-4BB0BF2FABB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3382920" y="1688400"/>
              <a:ext cx="214560" cy="14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55545</xdr:colOff>
      <xdr:row>8</xdr:row>
      <xdr:rowOff>162239</xdr:rowOff>
    </xdr:from>
    <xdr:to>
      <xdr:col>5</xdr:col>
      <xdr:colOff>195585</xdr:colOff>
      <xdr:row>10</xdr:row>
      <xdr:rowOff>103799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DE6DDB2C-506E-91C6-9566-70B5ECAF2686}"/>
                </a:ext>
              </a:extLst>
            </xdr14:cNvPr>
            <xdr14:cNvContentPartPr/>
          </xdr14:nvContentPartPr>
          <xdr14:nvPr macro=""/>
          <xdr14:xfrm>
            <a:off x="4183920" y="1785600"/>
            <a:ext cx="140040" cy="34740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DE6DDB2C-506E-91C6-9566-70B5ECAF2686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176360" y="1778040"/>
              <a:ext cx="155160" cy="36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321120</xdr:colOff>
      <xdr:row>10</xdr:row>
      <xdr:rowOff>61319</xdr:rowOff>
    </xdr:from>
    <xdr:to>
      <xdr:col>0</xdr:col>
      <xdr:colOff>393120</xdr:colOff>
      <xdr:row>11</xdr:row>
      <xdr:rowOff>19679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2B138589-DFD6-9E6F-1A5A-C0EFDBBD829C}"/>
                </a:ext>
              </a:extLst>
            </xdr14:cNvPr>
            <xdr14:cNvContentPartPr/>
          </xdr14:nvContentPartPr>
          <xdr14:nvPr macro=""/>
          <xdr14:xfrm>
            <a:off x="321120" y="2090520"/>
            <a:ext cx="72000" cy="16128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2B138589-DFD6-9E6F-1A5A-C0EFDBBD829C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313560" y="2082960"/>
              <a:ext cx="87120" cy="17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398520</xdr:colOff>
      <xdr:row>10</xdr:row>
      <xdr:rowOff>111719</xdr:rowOff>
    </xdr:from>
    <xdr:to>
      <xdr:col>0</xdr:col>
      <xdr:colOff>444960</xdr:colOff>
      <xdr:row>10</xdr:row>
      <xdr:rowOff>166799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F62C1CD2-54C2-3131-22EA-5AE00F9DBCBA}"/>
                </a:ext>
              </a:extLst>
            </xdr14:cNvPr>
            <xdr14:cNvContentPartPr/>
          </xdr14:nvContentPartPr>
          <xdr14:nvPr macro=""/>
          <xdr14:xfrm>
            <a:off x="398520" y="2140920"/>
            <a:ext cx="46440" cy="5508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F62C1CD2-54C2-3131-22EA-5AE00F9DBCBA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390960" y="2133360"/>
              <a:ext cx="61200" cy="7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460800</xdr:colOff>
      <xdr:row>10</xdr:row>
      <xdr:rowOff>67079</xdr:rowOff>
    </xdr:from>
    <xdr:to>
      <xdr:col>0</xdr:col>
      <xdr:colOff>509400</xdr:colOff>
      <xdr:row>10</xdr:row>
      <xdr:rowOff>192719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61647DF9-7A3D-C1E9-B1DA-5098288D0589}"/>
                </a:ext>
              </a:extLst>
            </xdr14:cNvPr>
            <xdr14:cNvContentPartPr/>
          </xdr14:nvContentPartPr>
          <xdr14:nvPr macro=""/>
          <xdr14:xfrm>
            <a:off x="460800" y="2096280"/>
            <a:ext cx="48600" cy="12564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61647DF9-7A3D-C1E9-B1DA-5098288D0589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453240" y="2088720"/>
              <a:ext cx="63720" cy="14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520920</xdr:colOff>
      <xdr:row>10</xdr:row>
      <xdr:rowOff>39359</xdr:rowOff>
    </xdr:from>
    <xdr:to>
      <xdr:col>0</xdr:col>
      <xdr:colOff>710280</xdr:colOff>
      <xdr:row>11</xdr:row>
      <xdr:rowOff>1126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6C62C1C8-1264-FB1D-98E1-7B323D2D8991}"/>
                </a:ext>
              </a:extLst>
            </xdr14:cNvPr>
            <xdr14:cNvContentPartPr/>
          </xdr14:nvContentPartPr>
          <xdr14:nvPr macro=""/>
          <xdr14:xfrm>
            <a:off x="520920" y="2068560"/>
            <a:ext cx="189360" cy="15984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6C62C1C8-1264-FB1D-98E1-7B323D2D8991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513360" y="2061000"/>
              <a:ext cx="204480" cy="174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707760</xdr:colOff>
      <xdr:row>10</xdr:row>
      <xdr:rowOff>23519</xdr:rowOff>
    </xdr:from>
    <xdr:to>
      <xdr:col>0</xdr:col>
      <xdr:colOff>715680</xdr:colOff>
      <xdr:row>10</xdr:row>
      <xdr:rowOff>40079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6085B972-E4B2-A0AA-5C15-0D210AC62F0B}"/>
                </a:ext>
              </a:extLst>
            </xdr14:cNvPr>
            <xdr14:cNvContentPartPr/>
          </xdr14:nvContentPartPr>
          <xdr14:nvPr macro=""/>
          <xdr14:xfrm>
            <a:off x="707760" y="2052720"/>
            <a:ext cx="7920" cy="1656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6085B972-E4B2-A0AA-5C15-0D210AC62F0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700200" y="2045160"/>
              <a:ext cx="23040" cy="31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723240</xdr:colOff>
      <xdr:row>10</xdr:row>
      <xdr:rowOff>27839</xdr:rowOff>
    </xdr:from>
    <xdr:to>
      <xdr:col>0</xdr:col>
      <xdr:colOff>750960</xdr:colOff>
      <xdr:row>10</xdr:row>
      <xdr:rowOff>79679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98694F91-54A3-CCDC-7052-AE196D2F37AA}"/>
                </a:ext>
              </a:extLst>
            </xdr14:cNvPr>
            <xdr14:cNvContentPartPr/>
          </xdr14:nvContentPartPr>
          <xdr14:nvPr macro=""/>
          <xdr14:xfrm>
            <a:off x="723240" y="2057040"/>
            <a:ext cx="27720" cy="5184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98694F91-54A3-CCDC-7052-AE196D2F37AA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715680" y="2049480"/>
              <a:ext cx="42840" cy="6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731160</xdr:colOff>
      <xdr:row>10</xdr:row>
      <xdr:rowOff>22439</xdr:rowOff>
    </xdr:from>
    <xdr:to>
      <xdr:col>0</xdr:col>
      <xdr:colOff>795240</xdr:colOff>
      <xdr:row>10</xdr:row>
      <xdr:rowOff>85439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55C18C32-0C73-D527-16F4-F87D4D86117F}"/>
                </a:ext>
              </a:extLst>
            </xdr14:cNvPr>
            <xdr14:cNvContentPartPr/>
          </xdr14:nvContentPartPr>
          <xdr14:nvPr macro=""/>
          <xdr14:xfrm>
            <a:off x="731160" y="2051640"/>
            <a:ext cx="64080" cy="6300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55C18C32-0C73-D527-16F4-F87D4D86117F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723600" y="2044080"/>
              <a:ext cx="79200" cy="78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623325</xdr:colOff>
      <xdr:row>3</xdr:row>
      <xdr:rowOff>148680</xdr:rowOff>
    </xdr:from>
    <xdr:to>
      <xdr:col>3</xdr:col>
      <xdr:colOff>664695</xdr:colOff>
      <xdr:row>5</xdr:row>
      <xdr:rowOff>67919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7F1D6BFA-4792-A48E-E85C-5DB3BCAA6765}"/>
                </a:ext>
              </a:extLst>
            </xdr14:cNvPr>
            <xdr14:cNvContentPartPr/>
          </xdr14:nvContentPartPr>
          <xdr14:nvPr macro=""/>
          <xdr14:xfrm>
            <a:off x="1449000" y="757440"/>
            <a:ext cx="1692720" cy="325080"/>
          </xdr14:xfrm>
        </xdr:contentPart>
      </mc:Choice>
      <mc:Fallback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7F1D6BFA-4792-A48E-E85C-5DB3BCAA6765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441440" y="749880"/>
              <a:ext cx="1707840" cy="34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217215</xdr:colOff>
      <xdr:row>10</xdr:row>
      <xdr:rowOff>202079</xdr:rowOff>
    </xdr:from>
    <xdr:to>
      <xdr:col>3</xdr:col>
      <xdr:colOff>471735</xdr:colOff>
      <xdr:row>12</xdr:row>
      <xdr:rowOff>48239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B55ED107-8548-F8D7-A291-248150A9CC61}"/>
                </a:ext>
              </a:extLst>
            </xdr14:cNvPr>
            <xdr14:cNvContentPartPr/>
          </xdr14:nvContentPartPr>
          <xdr14:nvPr macro=""/>
          <xdr14:xfrm>
            <a:off x="2694240" y="2231280"/>
            <a:ext cx="254520" cy="25200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B55ED107-8548-F8D7-A291-248150A9CC6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686680" y="2223720"/>
              <a:ext cx="269640" cy="26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435960</xdr:colOff>
      <xdr:row>7</xdr:row>
      <xdr:rowOff>109559</xdr:rowOff>
    </xdr:from>
    <xdr:to>
      <xdr:col>2</xdr:col>
      <xdr:colOff>97170</xdr:colOff>
      <xdr:row>10</xdr:row>
      <xdr:rowOff>62759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20A9150C-29C3-6DCE-330E-29F0B1182424}"/>
                </a:ext>
              </a:extLst>
            </xdr14:cNvPr>
            <xdr14:cNvContentPartPr/>
          </xdr14:nvContentPartPr>
          <xdr14:nvPr macro=""/>
          <xdr14:xfrm>
            <a:off x="435960" y="1530000"/>
            <a:ext cx="1312560" cy="56196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20A9150C-29C3-6DCE-330E-29F0B1182424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428400" y="1522440"/>
              <a:ext cx="132768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239957</xdr:colOff>
      <xdr:row>13</xdr:row>
      <xdr:rowOff>33902</xdr:rowOff>
    </xdr:from>
    <xdr:to>
      <xdr:col>3</xdr:col>
      <xdr:colOff>208016</xdr:colOff>
      <xdr:row>15</xdr:row>
      <xdr:rowOff>159275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081EC56E-B960-A9CD-88EA-B38B9F581071}"/>
                </a:ext>
              </a:extLst>
            </xdr14:cNvPr>
            <xdr14:cNvContentPartPr/>
          </xdr14:nvContentPartPr>
          <xdr14:nvPr macro=""/>
          <xdr14:xfrm>
            <a:off x="1891440" y="2670480"/>
            <a:ext cx="793800" cy="53100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081EC56E-B960-A9CD-88EA-B38B9F581071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1883880" y="2663280"/>
              <a:ext cx="808920" cy="546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515816</xdr:colOff>
      <xdr:row>13</xdr:row>
      <xdr:rowOff>41822</xdr:rowOff>
    </xdr:from>
    <xdr:to>
      <xdr:col>4</xdr:col>
      <xdr:colOff>633274</xdr:colOff>
      <xdr:row>15</xdr:row>
      <xdr:rowOff>1295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08F209D6-FFB8-EA71-5FA5-1EC13A5FA71B}"/>
                </a:ext>
              </a:extLst>
            </xdr14:cNvPr>
            <xdr14:cNvContentPartPr/>
          </xdr14:nvContentPartPr>
          <xdr14:nvPr macro=""/>
          <xdr14:xfrm>
            <a:off x="2993040" y="2678400"/>
            <a:ext cx="943200" cy="36036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08F209D6-FFB8-EA71-5FA5-1EC13A5FA71B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2985859" y="2670771"/>
              <a:ext cx="957921" cy="37561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773379</xdr:colOff>
      <xdr:row>18</xdr:row>
      <xdr:rowOff>175074</xdr:rowOff>
    </xdr:from>
    <xdr:to>
      <xdr:col>3</xdr:col>
      <xdr:colOff>243656</xdr:colOff>
      <xdr:row>20</xdr:row>
      <xdr:rowOff>65726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9">
          <xdr14:nvContentPartPr>
            <xdr14:cNvPr id="55" name="Ink 54">
              <a:extLst>
                <a:ext uri="{FF2B5EF4-FFF2-40B4-BE49-F238E27FC236}">
                  <a16:creationId xmlns:a16="http://schemas.microsoft.com/office/drawing/2014/main" id="{FD00F06A-3B4A-2756-6A34-728F1753F1D4}"/>
                </a:ext>
              </a:extLst>
            </xdr14:cNvPr>
            <xdr14:cNvContentPartPr/>
          </xdr14:nvContentPartPr>
          <xdr14:nvPr macro=""/>
          <xdr14:xfrm>
            <a:off x="1599120" y="3825720"/>
            <a:ext cx="1121760" cy="296280"/>
          </xdr14:xfrm>
        </xdr:contentPart>
      </mc:Choice>
      <mc:Fallback>
        <xdr:pic>
          <xdr:nvPicPr>
            <xdr:cNvPr id="55" name="Ink 54">
              <a:extLst>
                <a:ext uri="{FF2B5EF4-FFF2-40B4-BE49-F238E27FC236}">
                  <a16:creationId xmlns:a16="http://schemas.microsoft.com/office/drawing/2014/main" id="{FD00F06A-3B4A-2756-6A34-728F1753F1D4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591558" y="3818160"/>
              <a:ext cx="1136885" cy="31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809936</xdr:colOff>
      <xdr:row>17</xdr:row>
      <xdr:rowOff>132367</xdr:rowOff>
    </xdr:from>
    <xdr:to>
      <xdr:col>7</xdr:col>
      <xdr:colOff>462930</xdr:colOff>
      <xdr:row>21</xdr:row>
      <xdr:rowOff>159553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1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1505B804-BD51-E6EC-1178-2FB360D5463F}"/>
                </a:ext>
              </a:extLst>
            </xdr14:cNvPr>
            <xdr14:cNvContentPartPr/>
          </xdr14:nvContentPartPr>
          <xdr14:nvPr macro=""/>
          <xdr14:xfrm>
            <a:off x="3287160" y="3580200"/>
            <a:ext cx="2955960" cy="838440"/>
          </xdr14:xfrm>
        </xdr:contentPart>
      </mc:Choice>
      <mc:Fallback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1505B804-BD51-E6EC-1178-2FB360D5463F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3279586" y="3572558"/>
              <a:ext cx="2971108" cy="85372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773478</xdr:colOff>
      <xdr:row>45</xdr:row>
      <xdr:rowOff>123703</xdr:rowOff>
    </xdr:from>
    <xdr:to>
      <xdr:col>7</xdr:col>
      <xdr:colOff>350974</xdr:colOff>
      <xdr:row>54</xdr:row>
      <xdr:rowOff>58876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93" name="Ink 92">
              <a:extLst>
                <a:ext uri="{FF2B5EF4-FFF2-40B4-BE49-F238E27FC236}">
                  <a16:creationId xmlns:a16="http://schemas.microsoft.com/office/drawing/2014/main" id="{492CBA98-07A4-CE32-3808-D97A3191C83E}"/>
                </a:ext>
              </a:extLst>
            </xdr14:cNvPr>
            <xdr14:cNvContentPartPr/>
          </xdr14:nvContentPartPr>
          <xdr14:nvPr macro=""/>
          <xdr14:xfrm>
            <a:off x="2430000" y="9131040"/>
            <a:ext cx="3718800" cy="1736640"/>
          </xdr14:xfrm>
        </xdr:contentPart>
      </mc:Choice>
      <mc:Fallback>
        <xdr:pic>
          <xdr:nvPicPr>
            <xdr:cNvPr id="93" name="Ink 92">
              <a:extLst>
                <a:ext uri="{FF2B5EF4-FFF2-40B4-BE49-F238E27FC236}">
                  <a16:creationId xmlns:a16="http://schemas.microsoft.com/office/drawing/2014/main" id="{492CBA98-07A4-CE32-3808-D97A3191C83E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2422401" y="9123496"/>
              <a:ext cx="3733998" cy="17517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347958</xdr:colOff>
      <xdr:row>44</xdr:row>
      <xdr:rowOff>94906</xdr:rowOff>
    </xdr:from>
    <xdr:to>
      <xdr:col>7</xdr:col>
      <xdr:colOff>695494</xdr:colOff>
      <xdr:row>51</xdr:row>
      <xdr:rowOff>173365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94" name="Ink 93">
              <a:extLst>
                <a:ext uri="{FF2B5EF4-FFF2-40B4-BE49-F238E27FC236}">
                  <a16:creationId xmlns:a16="http://schemas.microsoft.com/office/drawing/2014/main" id="{9EAB2F57-7FA3-4683-7F36-BDF1D39B3B2D}"/>
                </a:ext>
              </a:extLst>
            </xdr14:cNvPr>
            <xdr14:cNvContentPartPr/>
          </xdr14:nvContentPartPr>
          <xdr14:nvPr macro=""/>
          <xdr14:xfrm>
            <a:off x="2004480" y="8902080"/>
            <a:ext cx="4488840" cy="1479600"/>
          </xdr14:xfrm>
        </xdr:contentPart>
      </mc:Choice>
      <mc:Fallback>
        <xdr:pic>
          <xdr:nvPicPr>
            <xdr:cNvPr id="94" name="Ink 93">
              <a:extLst>
                <a:ext uri="{FF2B5EF4-FFF2-40B4-BE49-F238E27FC236}">
                  <a16:creationId xmlns:a16="http://schemas.microsoft.com/office/drawing/2014/main" id="{9EAB2F57-7FA3-4683-7F36-BDF1D39B3B2D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996888" y="8894535"/>
              <a:ext cx="4504025" cy="149469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587557</xdr:colOff>
      <xdr:row>42</xdr:row>
      <xdr:rowOff>181672</xdr:rowOff>
    </xdr:from>
    <xdr:to>
      <xdr:col>4</xdr:col>
      <xdr:colOff>790597</xdr:colOff>
      <xdr:row>52</xdr:row>
      <xdr:rowOff>192442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119" name="Ink 118">
              <a:extLst>
                <a:ext uri="{FF2B5EF4-FFF2-40B4-BE49-F238E27FC236}">
                  <a16:creationId xmlns:a16="http://schemas.microsoft.com/office/drawing/2014/main" id="{775BD263-70A0-6F76-4999-BDE3555F975F}"/>
                </a:ext>
              </a:extLst>
            </xdr14:cNvPr>
            <xdr14:cNvContentPartPr/>
          </xdr14:nvContentPartPr>
          <xdr14:nvPr macro=""/>
          <xdr14:xfrm>
            <a:off x="3900600" y="8588520"/>
            <a:ext cx="203040" cy="2012400"/>
          </xdr14:xfrm>
        </xdr:contentPart>
      </mc:Choice>
      <mc:Fallback>
        <xdr:pic>
          <xdr:nvPicPr>
            <xdr:cNvPr id="119" name="Ink 118">
              <a:extLst>
                <a:ext uri="{FF2B5EF4-FFF2-40B4-BE49-F238E27FC236}">
                  <a16:creationId xmlns:a16="http://schemas.microsoft.com/office/drawing/2014/main" id="{775BD263-70A0-6F76-4999-BDE3555F975F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893040" y="8580975"/>
              <a:ext cx="218160" cy="20274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677197</xdr:colOff>
      <xdr:row>53</xdr:row>
      <xdr:rowOff>47359</xdr:rowOff>
    </xdr:from>
    <xdr:to>
      <xdr:col>5</xdr:col>
      <xdr:colOff>55576</xdr:colOff>
      <xdr:row>55</xdr:row>
      <xdr:rowOff>28633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120" name="Ink 119">
              <a:extLst>
                <a:ext uri="{FF2B5EF4-FFF2-40B4-BE49-F238E27FC236}">
                  <a16:creationId xmlns:a16="http://schemas.microsoft.com/office/drawing/2014/main" id="{16376497-2D4E-DF72-4C86-FB0E607BC48D}"/>
                </a:ext>
              </a:extLst>
            </xdr14:cNvPr>
            <xdr14:cNvContentPartPr/>
          </xdr14:nvContentPartPr>
          <xdr14:nvPr macro=""/>
          <xdr14:xfrm>
            <a:off x="3990240" y="10656000"/>
            <a:ext cx="206640" cy="381600"/>
          </xdr14:xfrm>
        </xdr:contentPart>
      </mc:Choice>
      <mc:Fallback>
        <xdr:pic>
          <xdr:nvPicPr>
            <xdr:cNvPr id="120" name="Ink 119">
              <a:extLst>
                <a:ext uri="{FF2B5EF4-FFF2-40B4-BE49-F238E27FC236}">
                  <a16:creationId xmlns:a16="http://schemas.microsoft.com/office/drawing/2014/main" id="{16376497-2D4E-DF72-4C86-FB0E607BC48D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982680" y="10648390"/>
              <a:ext cx="221760" cy="39682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67816</xdr:colOff>
      <xdr:row>53</xdr:row>
      <xdr:rowOff>53119</xdr:rowOff>
    </xdr:from>
    <xdr:to>
      <xdr:col>5</xdr:col>
      <xdr:colOff>299656</xdr:colOff>
      <xdr:row>54</xdr:row>
      <xdr:rowOff>192076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121" name="Ink 120">
              <a:extLst>
                <a:ext uri="{FF2B5EF4-FFF2-40B4-BE49-F238E27FC236}">
                  <a16:creationId xmlns:a16="http://schemas.microsoft.com/office/drawing/2014/main" id="{A11BEA16-1852-F907-42BB-64DEA035BCD6}"/>
                </a:ext>
              </a:extLst>
            </xdr14:cNvPr>
            <xdr14:cNvContentPartPr/>
          </xdr14:nvContentPartPr>
          <xdr14:nvPr macro=""/>
          <xdr14:xfrm>
            <a:off x="4209120" y="10661760"/>
            <a:ext cx="231840" cy="339120"/>
          </xdr14:xfrm>
        </xdr:contentPart>
      </mc:Choice>
      <mc:Fallback>
        <xdr:pic>
          <xdr:nvPicPr>
            <xdr:cNvPr id="121" name="Ink 120">
              <a:extLst>
                <a:ext uri="{FF2B5EF4-FFF2-40B4-BE49-F238E27FC236}">
                  <a16:creationId xmlns:a16="http://schemas.microsoft.com/office/drawing/2014/main" id="{A11BEA16-1852-F907-42BB-64DEA035BCD6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4201560" y="10654200"/>
              <a:ext cx="246960" cy="35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419697</xdr:colOff>
      <xdr:row>9</xdr:row>
      <xdr:rowOff>189693</xdr:rowOff>
    </xdr:from>
    <xdr:to>
      <xdr:col>5</xdr:col>
      <xdr:colOff>54856</xdr:colOff>
      <xdr:row>10</xdr:row>
      <xdr:rowOff>65850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3">
          <xdr14:nvContentPartPr>
            <xdr14:cNvPr id="122" name="Ink 121">
              <a:extLst>
                <a:ext uri="{FF2B5EF4-FFF2-40B4-BE49-F238E27FC236}">
                  <a16:creationId xmlns:a16="http://schemas.microsoft.com/office/drawing/2014/main" id="{747311FD-C11C-D3AD-0FF1-124FD9C8D48A}"/>
                </a:ext>
              </a:extLst>
            </xdr14:cNvPr>
            <xdr14:cNvContentPartPr/>
          </xdr14:nvContentPartPr>
          <xdr14:nvPr macro=""/>
          <xdr14:xfrm>
            <a:off x="2904480" y="1991160"/>
            <a:ext cx="1291680" cy="76320"/>
          </xdr14:xfrm>
        </xdr:contentPart>
      </mc:Choice>
      <mc:Fallback>
        <xdr:pic>
          <xdr:nvPicPr>
            <xdr:cNvPr id="122" name="Ink 121">
              <a:extLst>
                <a:ext uri="{FF2B5EF4-FFF2-40B4-BE49-F238E27FC236}">
                  <a16:creationId xmlns:a16="http://schemas.microsoft.com/office/drawing/2014/main" id="{747311FD-C11C-D3AD-0FF1-124FD9C8D48A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2896837" y="1984637"/>
              <a:ext cx="1306602" cy="9001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730377</xdr:colOff>
      <xdr:row>7</xdr:row>
      <xdr:rowOff>167739</xdr:rowOff>
    </xdr:from>
    <xdr:to>
      <xdr:col>4</xdr:col>
      <xdr:colOff>461917</xdr:colOff>
      <xdr:row>9</xdr:row>
      <xdr:rowOff>66213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5">
          <xdr14:nvContentPartPr>
            <xdr14:cNvPr id="123" name="Ink 122">
              <a:extLst>
                <a:ext uri="{FF2B5EF4-FFF2-40B4-BE49-F238E27FC236}">
                  <a16:creationId xmlns:a16="http://schemas.microsoft.com/office/drawing/2014/main" id="{81A385EB-35B8-235F-8F6B-5CFF87508ED5}"/>
                </a:ext>
              </a:extLst>
            </xdr14:cNvPr>
            <xdr14:cNvContentPartPr/>
          </xdr14:nvContentPartPr>
          <xdr14:nvPr macro=""/>
          <xdr14:xfrm>
            <a:off x="3215160" y="1568880"/>
            <a:ext cx="559800" cy="298800"/>
          </xdr14:xfrm>
        </xdr:contentPart>
      </mc:Choice>
      <mc:Fallback>
        <xdr:pic>
          <xdr:nvPicPr>
            <xdr:cNvPr id="123" name="Ink 122">
              <a:extLst>
                <a:ext uri="{FF2B5EF4-FFF2-40B4-BE49-F238E27FC236}">
                  <a16:creationId xmlns:a16="http://schemas.microsoft.com/office/drawing/2014/main" id="{81A385EB-35B8-235F-8F6B-5CFF87508ED5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207960" y="1561256"/>
              <a:ext cx="574560" cy="31404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265158</xdr:colOff>
      <xdr:row>8</xdr:row>
      <xdr:rowOff>107616</xdr:rowOff>
    </xdr:from>
    <xdr:to>
      <xdr:col>2</xdr:col>
      <xdr:colOff>418878</xdr:colOff>
      <xdr:row>9</xdr:row>
      <xdr:rowOff>10053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7">
          <xdr14:nvContentPartPr>
            <xdr14:cNvPr id="124" name="Ink 123">
              <a:extLst>
                <a:ext uri="{FF2B5EF4-FFF2-40B4-BE49-F238E27FC236}">
                  <a16:creationId xmlns:a16="http://schemas.microsoft.com/office/drawing/2014/main" id="{9019F2F0-D391-225D-61E9-2EE1B6AB8E82}"/>
                </a:ext>
              </a:extLst>
            </xdr14:cNvPr>
            <xdr14:cNvContentPartPr/>
          </xdr14:nvContentPartPr>
          <xdr14:nvPr macro=""/>
          <xdr14:xfrm>
            <a:off x="1921680" y="1708920"/>
            <a:ext cx="153720" cy="102600"/>
          </xdr14:xfrm>
        </xdr:contentPart>
      </mc:Choice>
      <mc:Fallback>
        <xdr:pic>
          <xdr:nvPicPr>
            <xdr:cNvPr id="124" name="Ink 123">
              <a:extLst>
                <a:ext uri="{FF2B5EF4-FFF2-40B4-BE49-F238E27FC236}">
                  <a16:creationId xmlns:a16="http://schemas.microsoft.com/office/drawing/2014/main" id="{9019F2F0-D391-225D-61E9-2EE1B6AB8E82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1914120" y="1701360"/>
              <a:ext cx="168840" cy="117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454158</xdr:colOff>
      <xdr:row>8</xdr:row>
      <xdr:rowOff>76656</xdr:rowOff>
    </xdr:from>
    <xdr:to>
      <xdr:col>2</xdr:col>
      <xdr:colOff>555678</xdr:colOff>
      <xdr:row>9</xdr:row>
      <xdr:rowOff>21213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9">
          <xdr14:nvContentPartPr>
            <xdr14:cNvPr id="125" name="Ink 124">
              <a:extLst>
                <a:ext uri="{FF2B5EF4-FFF2-40B4-BE49-F238E27FC236}">
                  <a16:creationId xmlns:a16="http://schemas.microsoft.com/office/drawing/2014/main" id="{FE486DAB-56DB-1E43-92CB-B879FD9E5024}"/>
                </a:ext>
              </a:extLst>
            </xdr14:cNvPr>
            <xdr14:cNvContentPartPr/>
          </xdr14:nvContentPartPr>
          <xdr14:nvPr macro=""/>
          <xdr14:xfrm>
            <a:off x="2110680" y="1677960"/>
            <a:ext cx="101520" cy="144720"/>
          </xdr14:xfrm>
        </xdr:contentPart>
      </mc:Choice>
      <mc:Fallback>
        <xdr:pic>
          <xdr:nvPicPr>
            <xdr:cNvPr id="125" name="Ink 124">
              <a:extLst>
                <a:ext uri="{FF2B5EF4-FFF2-40B4-BE49-F238E27FC236}">
                  <a16:creationId xmlns:a16="http://schemas.microsoft.com/office/drawing/2014/main" id="{FE486DAB-56DB-1E43-92CB-B879FD9E5024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2103120" y="1670400"/>
              <a:ext cx="116640" cy="15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624438</xdr:colOff>
      <xdr:row>8</xdr:row>
      <xdr:rowOff>140376</xdr:rowOff>
    </xdr:from>
    <xdr:to>
      <xdr:col>2</xdr:col>
      <xdr:colOff>630558</xdr:colOff>
      <xdr:row>8</xdr:row>
      <xdr:rowOff>143256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1">
          <xdr14:nvContentPartPr>
            <xdr14:cNvPr id="126" name="Ink 125">
              <a:extLst>
                <a:ext uri="{FF2B5EF4-FFF2-40B4-BE49-F238E27FC236}">
                  <a16:creationId xmlns:a16="http://schemas.microsoft.com/office/drawing/2014/main" id="{5EC1DB39-5AED-710B-C19F-BCFBDA235692}"/>
                </a:ext>
              </a:extLst>
            </xdr14:cNvPr>
            <xdr14:cNvContentPartPr/>
          </xdr14:nvContentPartPr>
          <xdr14:nvPr macro=""/>
          <xdr14:xfrm>
            <a:off x="2280960" y="1741680"/>
            <a:ext cx="6120" cy="2880"/>
          </xdr14:xfrm>
        </xdr:contentPart>
      </mc:Choice>
      <mc:Fallback>
        <xdr:pic>
          <xdr:nvPicPr>
            <xdr:cNvPr id="126" name="Ink 125">
              <a:extLst>
                <a:ext uri="{FF2B5EF4-FFF2-40B4-BE49-F238E27FC236}">
                  <a16:creationId xmlns:a16="http://schemas.microsoft.com/office/drawing/2014/main" id="{5EC1DB39-5AED-710B-C19F-BCFBDA235692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2273400" y="1734120"/>
              <a:ext cx="2124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667998</xdr:colOff>
      <xdr:row>8</xdr:row>
      <xdr:rowOff>60096</xdr:rowOff>
    </xdr:from>
    <xdr:to>
      <xdr:col>2</xdr:col>
      <xdr:colOff>765198</xdr:colOff>
      <xdr:row>9</xdr:row>
      <xdr:rowOff>10773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3">
          <xdr14:nvContentPartPr>
            <xdr14:cNvPr id="127" name="Ink 126">
              <a:extLst>
                <a:ext uri="{FF2B5EF4-FFF2-40B4-BE49-F238E27FC236}">
                  <a16:creationId xmlns:a16="http://schemas.microsoft.com/office/drawing/2014/main" id="{948AA4FD-9DD8-689A-5526-F7860899F8BF}"/>
                </a:ext>
              </a:extLst>
            </xdr14:cNvPr>
            <xdr14:cNvContentPartPr/>
          </xdr14:nvContentPartPr>
          <xdr14:nvPr macro=""/>
          <xdr14:xfrm>
            <a:off x="2324520" y="1661400"/>
            <a:ext cx="97200" cy="150840"/>
          </xdr14:xfrm>
        </xdr:contentPart>
      </mc:Choice>
      <mc:Fallback>
        <xdr:pic>
          <xdr:nvPicPr>
            <xdr:cNvPr id="127" name="Ink 126">
              <a:extLst>
                <a:ext uri="{FF2B5EF4-FFF2-40B4-BE49-F238E27FC236}">
                  <a16:creationId xmlns:a16="http://schemas.microsoft.com/office/drawing/2014/main" id="{948AA4FD-9DD8-689A-5526-F7860899F8BF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2316960" y="1653840"/>
              <a:ext cx="112320" cy="165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25137</xdr:colOff>
      <xdr:row>8</xdr:row>
      <xdr:rowOff>62256</xdr:rowOff>
    </xdr:from>
    <xdr:to>
      <xdr:col>3</xdr:col>
      <xdr:colOff>81657</xdr:colOff>
      <xdr:row>9</xdr:row>
      <xdr:rowOff>4653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5">
          <xdr14:nvContentPartPr>
            <xdr14:cNvPr id="128" name="Ink 127">
              <a:extLst>
                <a:ext uri="{FF2B5EF4-FFF2-40B4-BE49-F238E27FC236}">
                  <a16:creationId xmlns:a16="http://schemas.microsoft.com/office/drawing/2014/main" id="{ADF72562-B86A-40AA-2FE8-7BE24169D008}"/>
                </a:ext>
              </a:extLst>
            </xdr14:cNvPr>
            <xdr14:cNvContentPartPr/>
          </xdr14:nvContentPartPr>
          <xdr14:nvPr macro=""/>
          <xdr14:xfrm>
            <a:off x="2509920" y="1663560"/>
            <a:ext cx="56520" cy="142560"/>
          </xdr14:xfrm>
        </xdr:contentPart>
      </mc:Choice>
      <mc:Fallback>
        <xdr:pic>
          <xdr:nvPicPr>
            <xdr:cNvPr id="128" name="Ink 127">
              <a:extLst>
                <a:ext uri="{FF2B5EF4-FFF2-40B4-BE49-F238E27FC236}">
                  <a16:creationId xmlns:a16="http://schemas.microsoft.com/office/drawing/2014/main" id="{ADF72562-B86A-40AA-2FE8-7BE24169D008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2502360" y="1656000"/>
              <a:ext cx="71640" cy="157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78057</xdr:colOff>
      <xdr:row>8</xdr:row>
      <xdr:rowOff>64416</xdr:rowOff>
    </xdr:from>
    <xdr:to>
      <xdr:col>3</xdr:col>
      <xdr:colOff>174897</xdr:colOff>
      <xdr:row>9</xdr:row>
      <xdr:rowOff>60093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7">
          <xdr14:nvContentPartPr>
            <xdr14:cNvPr id="129" name="Ink 128">
              <a:extLst>
                <a:ext uri="{FF2B5EF4-FFF2-40B4-BE49-F238E27FC236}">
                  <a16:creationId xmlns:a16="http://schemas.microsoft.com/office/drawing/2014/main" id="{276DFB73-2970-E641-B08B-EB20FED497B6}"/>
                </a:ext>
              </a:extLst>
            </xdr14:cNvPr>
            <xdr14:cNvContentPartPr/>
          </xdr14:nvContentPartPr>
          <xdr14:nvPr macro=""/>
          <xdr14:xfrm>
            <a:off x="2562840" y="1665720"/>
            <a:ext cx="96840" cy="195840"/>
          </xdr14:xfrm>
        </xdr:contentPart>
      </mc:Choice>
      <mc:Fallback>
        <xdr:pic>
          <xdr:nvPicPr>
            <xdr:cNvPr id="129" name="Ink 128">
              <a:extLst>
                <a:ext uri="{FF2B5EF4-FFF2-40B4-BE49-F238E27FC236}">
                  <a16:creationId xmlns:a16="http://schemas.microsoft.com/office/drawing/2014/main" id="{276DFB73-2970-E641-B08B-EB20FED497B6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2555280" y="1658160"/>
              <a:ext cx="111960" cy="21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601237</xdr:colOff>
      <xdr:row>43</xdr:row>
      <xdr:rowOff>84469</xdr:rowOff>
    </xdr:from>
    <xdr:to>
      <xdr:col>4</xdr:col>
      <xdr:colOff>775477</xdr:colOff>
      <xdr:row>52</xdr:row>
      <xdr:rowOff>83722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9">
          <xdr14:nvContentPartPr>
            <xdr14:cNvPr id="130" name="Ink 129">
              <a:extLst>
                <a:ext uri="{FF2B5EF4-FFF2-40B4-BE49-F238E27FC236}">
                  <a16:creationId xmlns:a16="http://schemas.microsoft.com/office/drawing/2014/main" id="{7B471677-6A9A-0D44-E84A-FB1B7B8A2E83}"/>
                </a:ext>
              </a:extLst>
            </xdr14:cNvPr>
            <xdr14:cNvContentPartPr/>
          </xdr14:nvContentPartPr>
          <xdr14:nvPr macro=""/>
          <xdr14:xfrm>
            <a:off x="3914280" y="8691480"/>
            <a:ext cx="174240" cy="1800720"/>
          </xdr14:xfrm>
        </xdr:contentPart>
      </mc:Choice>
      <mc:Fallback>
        <xdr:pic>
          <xdr:nvPicPr>
            <xdr:cNvPr id="130" name="Ink 129">
              <a:extLst>
                <a:ext uri="{FF2B5EF4-FFF2-40B4-BE49-F238E27FC236}">
                  <a16:creationId xmlns:a16="http://schemas.microsoft.com/office/drawing/2014/main" id="{7B471677-6A9A-0D44-E84A-FB1B7B8A2E83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3906720" y="8683935"/>
              <a:ext cx="189000" cy="181581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504757</xdr:colOff>
      <xdr:row>51</xdr:row>
      <xdr:rowOff>108925</xdr:rowOff>
    </xdr:from>
    <xdr:to>
      <xdr:col>4</xdr:col>
      <xdr:colOff>528157</xdr:colOff>
      <xdr:row>52</xdr:row>
      <xdr:rowOff>34762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1">
          <xdr14:nvContentPartPr>
            <xdr14:cNvPr id="131" name="Ink 130">
              <a:extLst>
                <a:ext uri="{FF2B5EF4-FFF2-40B4-BE49-F238E27FC236}">
                  <a16:creationId xmlns:a16="http://schemas.microsoft.com/office/drawing/2014/main" id="{FC78E555-6BB2-411B-A3A5-98BFD16B381D}"/>
                </a:ext>
              </a:extLst>
            </xdr14:cNvPr>
            <xdr14:cNvContentPartPr/>
          </xdr14:nvContentPartPr>
          <xdr14:nvPr macro=""/>
          <xdr14:xfrm>
            <a:off x="3817800" y="10317240"/>
            <a:ext cx="23400" cy="126000"/>
          </xdr14:xfrm>
        </xdr:contentPart>
      </mc:Choice>
      <mc:Fallback>
        <xdr:pic>
          <xdr:nvPicPr>
            <xdr:cNvPr id="131" name="Ink 130">
              <a:extLst>
                <a:ext uri="{FF2B5EF4-FFF2-40B4-BE49-F238E27FC236}">
                  <a16:creationId xmlns:a16="http://schemas.microsoft.com/office/drawing/2014/main" id="{FC78E555-6BB2-411B-A3A5-98BFD16B381D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810600" y="10309680"/>
              <a:ext cx="38520" cy="14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342037</xdr:colOff>
      <xdr:row>52</xdr:row>
      <xdr:rowOff>113242</xdr:rowOff>
    </xdr:from>
    <xdr:to>
      <xdr:col>4</xdr:col>
      <xdr:colOff>528517</xdr:colOff>
      <xdr:row>53</xdr:row>
      <xdr:rowOff>49519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3">
          <xdr14:nvContentPartPr>
            <xdr14:cNvPr id="132" name="Ink 131">
              <a:extLst>
                <a:ext uri="{FF2B5EF4-FFF2-40B4-BE49-F238E27FC236}">
                  <a16:creationId xmlns:a16="http://schemas.microsoft.com/office/drawing/2014/main" id="{86B9FADD-3DC0-8AF1-6BE0-D0212C9EAF3F}"/>
                </a:ext>
              </a:extLst>
            </xdr14:cNvPr>
            <xdr14:cNvContentPartPr/>
          </xdr14:nvContentPartPr>
          <xdr14:nvPr macro=""/>
          <xdr14:xfrm>
            <a:off x="3655080" y="10521720"/>
            <a:ext cx="186480" cy="136440"/>
          </xdr14:xfrm>
        </xdr:contentPart>
      </mc:Choice>
      <mc:Fallback>
        <xdr:pic>
          <xdr:nvPicPr>
            <xdr:cNvPr id="132" name="Ink 131">
              <a:extLst>
                <a:ext uri="{FF2B5EF4-FFF2-40B4-BE49-F238E27FC236}">
                  <a16:creationId xmlns:a16="http://schemas.microsoft.com/office/drawing/2014/main" id="{86B9FADD-3DC0-8AF1-6BE0-D0212C9EAF3F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647520" y="10514160"/>
              <a:ext cx="201600" cy="15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336177</xdr:colOff>
      <xdr:row>52</xdr:row>
      <xdr:rowOff>4162</xdr:rowOff>
    </xdr:from>
    <xdr:to>
      <xdr:col>3</xdr:col>
      <xdr:colOff>354897</xdr:colOff>
      <xdr:row>52</xdr:row>
      <xdr:rowOff>131602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5">
          <xdr14:nvContentPartPr>
            <xdr14:cNvPr id="133" name="Ink 132">
              <a:extLst>
                <a:ext uri="{FF2B5EF4-FFF2-40B4-BE49-F238E27FC236}">
                  <a16:creationId xmlns:a16="http://schemas.microsoft.com/office/drawing/2014/main" id="{CF4434DA-5A1C-B812-F937-EAC5CC1D718F}"/>
                </a:ext>
              </a:extLst>
            </xdr14:cNvPr>
            <xdr14:cNvContentPartPr/>
          </xdr14:nvContentPartPr>
          <xdr14:nvPr macro=""/>
          <xdr14:xfrm>
            <a:off x="2820960" y="10412640"/>
            <a:ext cx="18720" cy="127440"/>
          </xdr14:xfrm>
        </xdr:contentPart>
      </mc:Choice>
      <mc:Fallback>
        <xdr:pic>
          <xdr:nvPicPr>
            <xdr:cNvPr id="133" name="Ink 132">
              <a:extLst>
                <a:ext uri="{FF2B5EF4-FFF2-40B4-BE49-F238E27FC236}">
                  <a16:creationId xmlns:a16="http://schemas.microsoft.com/office/drawing/2014/main" id="{CF4434DA-5A1C-B812-F937-EAC5CC1D718F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2813400" y="10405080"/>
              <a:ext cx="33840" cy="14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210177</xdr:colOff>
      <xdr:row>53</xdr:row>
      <xdr:rowOff>132679</xdr:rowOff>
    </xdr:from>
    <xdr:to>
      <xdr:col>3</xdr:col>
      <xdr:colOff>355257</xdr:colOff>
      <xdr:row>54</xdr:row>
      <xdr:rowOff>44116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7">
          <xdr14:nvContentPartPr>
            <xdr14:cNvPr id="134" name="Ink 133">
              <a:extLst>
                <a:ext uri="{FF2B5EF4-FFF2-40B4-BE49-F238E27FC236}">
                  <a16:creationId xmlns:a16="http://schemas.microsoft.com/office/drawing/2014/main" id="{1DB1FAE6-9A73-AF86-CE88-A833640D9953}"/>
                </a:ext>
              </a:extLst>
            </xdr14:cNvPr>
            <xdr14:cNvContentPartPr/>
          </xdr14:nvContentPartPr>
          <xdr14:nvPr macro=""/>
          <xdr14:xfrm>
            <a:off x="2694960" y="10741320"/>
            <a:ext cx="145080" cy="111600"/>
          </xdr14:xfrm>
        </xdr:contentPart>
      </mc:Choice>
      <mc:Fallback>
        <xdr:pic>
          <xdr:nvPicPr>
            <xdr:cNvPr id="134" name="Ink 133">
              <a:extLst>
                <a:ext uri="{FF2B5EF4-FFF2-40B4-BE49-F238E27FC236}">
                  <a16:creationId xmlns:a16="http://schemas.microsoft.com/office/drawing/2014/main" id="{1DB1FAE6-9A73-AF86-CE88-A833640D9953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687400" y="10733760"/>
              <a:ext cx="160200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387297</xdr:colOff>
      <xdr:row>53</xdr:row>
      <xdr:rowOff>102799</xdr:rowOff>
    </xdr:from>
    <xdr:to>
      <xdr:col>3</xdr:col>
      <xdr:colOff>460737</xdr:colOff>
      <xdr:row>54</xdr:row>
      <xdr:rowOff>36556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69">
          <xdr14:nvContentPartPr>
            <xdr14:cNvPr id="135" name="Ink 134">
              <a:extLst>
                <a:ext uri="{FF2B5EF4-FFF2-40B4-BE49-F238E27FC236}">
                  <a16:creationId xmlns:a16="http://schemas.microsoft.com/office/drawing/2014/main" id="{ACC62096-880D-4D29-0CC6-B6D660B50CFC}"/>
                </a:ext>
              </a:extLst>
            </xdr14:cNvPr>
            <xdr14:cNvContentPartPr/>
          </xdr14:nvContentPartPr>
          <xdr14:nvPr macro=""/>
          <xdr14:xfrm>
            <a:off x="2872080" y="10711440"/>
            <a:ext cx="73440" cy="133920"/>
          </xdr14:xfrm>
        </xdr:contentPart>
      </mc:Choice>
      <mc:Fallback>
        <xdr:pic>
          <xdr:nvPicPr>
            <xdr:cNvPr id="135" name="Ink 134">
              <a:extLst>
                <a:ext uri="{FF2B5EF4-FFF2-40B4-BE49-F238E27FC236}">
                  <a16:creationId xmlns:a16="http://schemas.microsoft.com/office/drawing/2014/main" id="{ACC62096-880D-4D29-0CC6-B6D660B50CFC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2864520" y="10703880"/>
              <a:ext cx="88200" cy="14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258652</xdr:colOff>
      <xdr:row>44</xdr:row>
      <xdr:rowOff>121186</xdr:rowOff>
    </xdr:from>
    <xdr:to>
      <xdr:col>9</xdr:col>
      <xdr:colOff>420652</xdr:colOff>
      <xdr:row>45</xdr:row>
      <xdr:rowOff>140263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1">
          <xdr14:nvContentPartPr>
            <xdr14:cNvPr id="136" name="Ink 135">
              <a:extLst>
                <a:ext uri="{FF2B5EF4-FFF2-40B4-BE49-F238E27FC236}">
                  <a16:creationId xmlns:a16="http://schemas.microsoft.com/office/drawing/2014/main" id="{EEC7107D-A77B-312F-AD6F-996149CF60D5}"/>
                </a:ext>
              </a:extLst>
            </xdr14:cNvPr>
            <xdr14:cNvContentPartPr/>
          </xdr14:nvContentPartPr>
          <xdr14:nvPr macro=""/>
          <xdr14:xfrm>
            <a:off x="7713000" y="8928360"/>
            <a:ext cx="162000" cy="219240"/>
          </xdr14:xfrm>
        </xdr:contentPart>
      </mc:Choice>
      <mc:Fallback>
        <xdr:pic>
          <xdr:nvPicPr>
            <xdr:cNvPr id="136" name="Ink 135">
              <a:extLst>
                <a:ext uri="{FF2B5EF4-FFF2-40B4-BE49-F238E27FC236}">
                  <a16:creationId xmlns:a16="http://schemas.microsoft.com/office/drawing/2014/main" id="{EEC7107D-A77B-312F-AD6F-996149CF60D5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7705440" y="8920800"/>
              <a:ext cx="17712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298972</xdr:colOff>
      <xdr:row>44</xdr:row>
      <xdr:rowOff>92026</xdr:rowOff>
    </xdr:from>
    <xdr:to>
      <xdr:col>9</xdr:col>
      <xdr:colOff>575092</xdr:colOff>
      <xdr:row>45</xdr:row>
      <xdr:rowOff>83023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3">
          <xdr14:nvContentPartPr>
            <xdr14:cNvPr id="137" name="Ink 136">
              <a:extLst>
                <a:ext uri="{FF2B5EF4-FFF2-40B4-BE49-F238E27FC236}">
                  <a16:creationId xmlns:a16="http://schemas.microsoft.com/office/drawing/2014/main" id="{D0BB7D87-5CB2-EBE3-219C-BCA42AE0D5A9}"/>
                </a:ext>
              </a:extLst>
            </xdr14:cNvPr>
            <xdr14:cNvContentPartPr/>
          </xdr14:nvContentPartPr>
          <xdr14:nvPr macro=""/>
          <xdr14:xfrm>
            <a:off x="7753320" y="8899200"/>
            <a:ext cx="276120" cy="191160"/>
          </xdr14:xfrm>
        </xdr:contentPart>
      </mc:Choice>
      <mc:Fallback>
        <xdr:pic>
          <xdr:nvPicPr>
            <xdr:cNvPr id="137" name="Ink 136">
              <a:extLst>
                <a:ext uri="{FF2B5EF4-FFF2-40B4-BE49-F238E27FC236}">
                  <a16:creationId xmlns:a16="http://schemas.microsoft.com/office/drawing/2014/main" id="{D0BB7D87-5CB2-EBE3-219C-BCA42AE0D5A9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7745760" y="8891640"/>
              <a:ext cx="290880" cy="2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74332</xdr:colOff>
      <xdr:row>44</xdr:row>
      <xdr:rowOff>8866</xdr:rowOff>
    </xdr:from>
    <xdr:to>
      <xdr:col>9</xdr:col>
      <xdr:colOff>786772</xdr:colOff>
      <xdr:row>46</xdr:row>
      <xdr:rowOff>103180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5">
          <xdr14:nvContentPartPr>
            <xdr14:cNvPr id="138" name="Ink 137">
              <a:extLst>
                <a:ext uri="{FF2B5EF4-FFF2-40B4-BE49-F238E27FC236}">
                  <a16:creationId xmlns:a16="http://schemas.microsoft.com/office/drawing/2014/main" id="{8DDDD65F-36C0-9625-4DA4-38A38D96221A}"/>
                </a:ext>
              </a:extLst>
            </xdr14:cNvPr>
            <xdr14:cNvContentPartPr/>
          </xdr14:nvContentPartPr>
          <xdr14:nvPr macro=""/>
          <xdr14:xfrm>
            <a:off x="7528680" y="8816040"/>
            <a:ext cx="712440" cy="494640"/>
          </xdr14:xfrm>
        </xdr:contentPart>
      </mc:Choice>
      <mc:Fallback>
        <xdr:pic>
          <xdr:nvPicPr>
            <xdr:cNvPr id="138" name="Ink 137">
              <a:extLst>
                <a:ext uri="{FF2B5EF4-FFF2-40B4-BE49-F238E27FC236}">
                  <a16:creationId xmlns:a16="http://schemas.microsoft.com/office/drawing/2014/main" id="{8DDDD65F-36C0-9625-4DA4-38A38D96221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7521120" y="8808441"/>
              <a:ext cx="727560" cy="50983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10252</xdr:colOff>
      <xdr:row>48</xdr:row>
      <xdr:rowOff>20374</xdr:rowOff>
    </xdr:from>
    <xdr:to>
      <xdr:col>9</xdr:col>
      <xdr:colOff>293212</xdr:colOff>
      <xdr:row>49</xdr:row>
      <xdr:rowOff>90931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7">
          <xdr14:nvContentPartPr>
            <xdr14:cNvPr id="139" name="Ink 138">
              <a:extLst>
                <a:ext uri="{FF2B5EF4-FFF2-40B4-BE49-F238E27FC236}">
                  <a16:creationId xmlns:a16="http://schemas.microsoft.com/office/drawing/2014/main" id="{39D85A7B-4B1A-F31E-7FF5-D5946FB81A03}"/>
                </a:ext>
              </a:extLst>
            </xdr14:cNvPr>
            <xdr14:cNvContentPartPr/>
          </xdr14:nvContentPartPr>
          <xdr14:nvPr macro=""/>
          <xdr14:xfrm>
            <a:off x="7464600" y="9628200"/>
            <a:ext cx="282960" cy="270720"/>
          </xdr14:xfrm>
        </xdr:contentPart>
      </mc:Choice>
      <mc:Fallback>
        <xdr:pic>
          <xdr:nvPicPr>
            <xdr:cNvPr id="139" name="Ink 138">
              <a:extLst>
                <a:ext uri="{FF2B5EF4-FFF2-40B4-BE49-F238E27FC236}">
                  <a16:creationId xmlns:a16="http://schemas.microsoft.com/office/drawing/2014/main" id="{39D85A7B-4B1A-F31E-7FF5-D5946FB81A03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7457040" y="9620640"/>
              <a:ext cx="298080" cy="28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316612</xdr:colOff>
      <xdr:row>47</xdr:row>
      <xdr:rowOff>176617</xdr:rowOff>
    </xdr:from>
    <xdr:to>
      <xdr:col>9</xdr:col>
      <xdr:colOff>534052</xdr:colOff>
      <xdr:row>49</xdr:row>
      <xdr:rowOff>132331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9">
          <xdr14:nvContentPartPr>
            <xdr14:cNvPr id="140" name="Ink 139">
              <a:extLst>
                <a:ext uri="{FF2B5EF4-FFF2-40B4-BE49-F238E27FC236}">
                  <a16:creationId xmlns:a16="http://schemas.microsoft.com/office/drawing/2014/main" id="{FFDF174B-31B5-B646-946D-E001237DA78B}"/>
                </a:ext>
              </a:extLst>
            </xdr14:cNvPr>
            <xdr14:cNvContentPartPr/>
          </xdr14:nvContentPartPr>
          <xdr14:nvPr macro=""/>
          <xdr14:xfrm>
            <a:off x="7770960" y="9584280"/>
            <a:ext cx="217440" cy="356040"/>
          </xdr14:xfrm>
        </xdr:contentPart>
      </mc:Choice>
      <mc:Fallback>
        <xdr:pic>
          <xdr:nvPicPr>
            <xdr:cNvPr id="140" name="Ink 139">
              <a:extLst>
                <a:ext uri="{FF2B5EF4-FFF2-40B4-BE49-F238E27FC236}">
                  <a16:creationId xmlns:a16="http://schemas.microsoft.com/office/drawing/2014/main" id="{FFDF174B-31B5-B646-946D-E001237DA78B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7763400" y="9576666"/>
              <a:ext cx="232560" cy="37126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182332</xdr:colOff>
      <xdr:row>46</xdr:row>
      <xdr:rowOff>139900</xdr:rowOff>
    </xdr:from>
    <xdr:to>
      <xdr:col>9</xdr:col>
      <xdr:colOff>256132</xdr:colOff>
      <xdr:row>47</xdr:row>
      <xdr:rowOff>135937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1">
          <xdr14:nvContentPartPr>
            <xdr14:cNvPr id="141" name="Ink 140">
              <a:extLst>
                <a:ext uri="{FF2B5EF4-FFF2-40B4-BE49-F238E27FC236}">
                  <a16:creationId xmlns:a16="http://schemas.microsoft.com/office/drawing/2014/main" id="{278005BB-8AD8-27D7-AB0C-31570ABF8980}"/>
                </a:ext>
              </a:extLst>
            </xdr14:cNvPr>
            <xdr14:cNvContentPartPr/>
          </xdr14:nvContentPartPr>
          <xdr14:nvPr macro=""/>
          <xdr14:xfrm>
            <a:off x="7636680" y="9347400"/>
            <a:ext cx="73800" cy="196200"/>
          </xdr14:xfrm>
        </xdr:contentPart>
      </mc:Choice>
      <mc:Fallback>
        <xdr:pic>
          <xdr:nvPicPr>
            <xdr:cNvPr id="141" name="Ink 140">
              <a:extLst>
                <a:ext uri="{FF2B5EF4-FFF2-40B4-BE49-F238E27FC236}">
                  <a16:creationId xmlns:a16="http://schemas.microsoft.com/office/drawing/2014/main" id="{278005BB-8AD8-27D7-AB0C-31570ABF8980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7629120" y="9339840"/>
              <a:ext cx="88920" cy="21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142012</xdr:colOff>
      <xdr:row>47</xdr:row>
      <xdr:rowOff>129457</xdr:rowOff>
    </xdr:from>
    <xdr:to>
      <xdr:col>9</xdr:col>
      <xdr:colOff>240292</xdr:colOff>
      <xdr:row>47</xdr:row>
      <xdr:rowOff>163657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3">
          <xdr14:nvContentPartPr>
            <xdr14:cNvPr id="142" name="Ink 141">
              <a:extLst>
                <a:ext uri="{FF2B5EF4-FFF2-40B4-BE49-F238E27FC236}">
                  <a16:creationId xmlns:a16="http://schemas.microsoft.com/office/drawing/2014/main" id="{39ABE34B-E0DF-C87E-724E-BA1E9BC19686}"/>
                </a:ext>
              </a:extLst>
            </xdr14:cNvPr>
            <xdr14:cNvContentPartPr/>
          </xdr14:nvContentPartPr>
          <xdr14:nvPr macro=""/>
          <xdr14:xfrm>
            <a:off x="7596360" y="9537120"/>
            <a:ext cx="98280" cy="34200"/>
          </xdr14:xfrm>
        </xdr:contentPart>
      </mc:Choice>
      <mc:Fallback>
        <xdr:pic>
          <xdr:nvPicPr>
            <xdr:cNvPr id="142" name="Ink 141">
              <a:extLst>
                <a:ext uri="{FF2B5EF4-FFF2-40B4-BE49-F238E27FC236}">
                  <a16:creationId xmlns:a16="http://schemas.microsoft.com/office/drawing/2014/main" id="{39ABE34B-E0DF-C87E-724E-BA1E9BC19686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7588800" y="9529560"/>
              <a:ext cx="113400" cy="4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84151</xdr:colOff>
      <xdr:row>43</xdr:row>
      <xdr:rowOff>111109</xdr:rowOff>
    </xdr:from>
    <xdr:to>
      <xdr:col>10</xdr:col>
      <xdr:colOff>167311</xdr:colOff>
      <xdr:row>51</xdr:row>
      <xdr:rowOff>85885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5">
          <xdr14:nvContentPartPr>
            <xdr14:cNvPr id="143" name="Ink 142">
              <a:extLst>
                <a:ext uri="{FF2B5EF4-FFF2-40B4-BE49-F238E27FC236}">
                  <a16:creationId xmlns:a16="http://schemas.microsoft.com/office/drawing/2014/main" id="{8DC2B97E-D34F-D323-A4AF-D73DB45EEC77}"/>
                </a:ext>
              </a:extLst>
            </xdr14:cNvPr>
            <xdr14:cNvContentPartPr/>
          </xdr14:nvContentPartPr>
          <xdr14:nvPr macro=""/>
          <xdr14:xfrm>
            <a:off x="8366760" y="8718120"/>
            <a:ext cx="83160" cy="1576080"/>
          </xdr14:xfrm>
        </xdr:contentPart>
      </mc:Choice>
      <mc:Fallback>
        <xdr:pic>
          <xdr:nvPicPr>
            <xdr:cNvPr id="143" name="Ink 142">
              <a:extLst>
                <a:ext uri="{FF2B5EF4-FFF2-40B4-BE49-F238E27FC236}">
                  <a16:creationId xmlns:a16="http://schemas.microsoft.com/office/drawing/2014/main" id="{8DC2B97E-D34F-D323-A4AF-D73DB45EEC77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8359200" y="8710508"/>
              <a:ext cx="97920" cy="15913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433711</xdr:colOff>
      <xdr:row>44</xdr:row>
      <xdr:rowOff>62146</xdr:rowOff>
    </xdr:from>
    <xdr:to>
      <xdr:col>10</xdr:col>
      <xdr:colOff>565111</xdr:colOff>
      <xdr:row>45</xdr:row>
      <xdr:rowOff>145303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7">
          <xdr14:nvContentPartPr>
            <xdr14:cNvPr id="144" name="Ink 143">
              <a:extLst>
                <a:ext uri="{FF2B5EF4-FFF2-40B4-BE49-F238E27FC236}">
                  <a16:creationId xmlns:a16="http://schemas.microsoft.com/office/drawing/2014/main" id="{FDDB7EDE-1803-A324-60CD-72898370D134}"/>
                </a:ext>
              </a:extLst>
            </xdr14:cNvPr>
            <xdr14:cNvContentPartPr/>
          </xdr14:nvContentPartPr>
          <xdr14:nvPr macro=""/>
          <xdr14:xfrm>
            <a:off x="8716320" y="8869320"/>
            <a:ext cx="131400" cy="283320"/>
          </xdr14:xfrm>
        </xdr:contentPart>
      </mc:Choice>
      <mc:Fallback>
        <xdr:pic>
          <xdr:nvPicPr>
            <xdr:cNvPr id="144" name="Ink 143">
              <a:extLst>
                <a:ext uri="{FF2B5EF4-FFF2-40B4-BE49-F238E27FC236}">
                  <a16:creationId xmlns:a16="http://schemas.microsoft.com/office/drawing/2014/main" id="{FDDB7EDE-1803-A324-60CD-72898370D134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8708760" y="8861760"/>
              <a:ext cx="146520" cy="29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459991</xdr:colOff>
      <xdr:row>44</xdr:row>
      <xdr:rowOff>1306</xdr:rowOff>
    </xdr:from>
    <xdr:to>
      <xdr:col>10</xdr:col>
      <xdr:colOff>645391</xdr:colOff>
      <xdr:row>45</xdr:row>
      <xdr:rowOff>60703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89">
          <xdr14:nvContentPartPr>
            <xdr14:cNvPr id="145" name="Ink 144">
              <a:extLst>
                <a:ext uri="{FF2B5EF4-FFF2-40B4-BE49-F238E27FC236}">
                  <a16:creationId xmlns:a16="http://schemas.microsoft.com/office/drawing/2014/main" id="{0ED078D0-DDD1-C64F-9E71-A489930B0F74}"/>
                </a:ext>
              </a:extLst>
            </xdr14:cNvPr>
            <xdr14:cNvContentPartPr/>
          </xdr14:nvContentPartPr>
          <xdr14:nvPr macro=""/>
          <xdr14:xfrm>
            <a:off x="8742600" y="8808480"/>
            <a:ext cx="185400" cy="259560"/>
          </xdr14:xfrm>
        </xdr:contentPart>
      </mc:Choice>
      <mc:Fallback>
        <xdr:pic>
          <xdr:nvPicPr>
            <xdr:cNvPr id="145" name="Ink 144">
              <a:extLst>
                <a:ext uri="{FF2B5EF4-FFF2-40B4-BE49-F238E27FC236}">
                  <a16:creationId xmlns:a16="http://schemas.microsoft.com/office/drawing/2014/main" id="{0ED078D0-DDD1-C64F-9E71-A489930B0F7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8735040" y="8800920"/>
              <a:ext cx="200520" cy="27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488431</xdr:colOff>
      <xdr:row>47</xdr:row>
      <xdr:rowOff>183817</xdr:rowOff>
    </xdr:from>
    <xdr:to>
      <xdr:col>10</xdr:col>
      <xdr:colOff>595711</xdr:colOff>
      <xdr:row>49</xdr:row>
      <xdr:rowOff>861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1">
          <xdr14:nvContentPartPr>
            <xdr14:cNvPr id="146" name="Ink 145">
              <a:extLst>
                <a:ext uri="{FF2B5EF4-FFF2-40B4-BE49-F238E27FC236}">
                  <a16:creationId xmlns:a16="http://schemas.microsoft.com/office/drawing/2014/main" id="{613E1BA1-A446-9984-0DD5-D9DB62527749}"/>
                </a:ext>
              </a:extLst>
            </xdr14:cNvPr>
            <xdr14:cNvContentPartPr/>
          </xdr14:nvContentPartPr>
          <xdr14:nvPr macro=""/>
          <xdr14:xfrm>
            <a:off x="8771040" y="9591480"/>
            <a:ext cx="107280" cy="215280"/>
          </xdr14:xfrm>
        </xdr:contentPart>
      </mc:Choice>
      <mc:Fallback>
        <xdr:pic>
          <xdr:nvPicPr>
            <xdr:cNvPr id="146" name="Ink 145">
              <a:extLst>
                <a:ext uri="{FF2B5EF4-FFF2-40B4-BE49-F238E27FC236}">
                  <a16:creationId xmlns:a16="http://schemas.microsoft.com/office/drawing/2014/main" id="{613E1BA1-A446-9984-0DD5-D9DB62527749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8763480" y="9583907"/>
              <a:ext cx="122400" cy="2304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613351</xdr:colOff>
      <xdr:row>47</xdr:row>
      <xdr:rowOff>150697</xdr:rowOff>
    </xdr:from>
    <xdr:to>
      <xdr:col>10</xdr:col>
      <xdr:colOff>793711</xdr:colOff>
      <xdr:row>48</xdr:row>
      <xdr:rowOff>131614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3">
          <xdr14:nvContentPartPr>
            <xdr14:cNvPr id="147" name="Ink 146">
              <a:extLst>
                <a:ext uri="{FF2B5EF4-FFF2-40B4-BE49-F238E27FC236}">
                  <a16:creationId xmlns:a16="http://schemas.microsoft.com/office/drawing/2014/main" id="{C51897A0-C4C5-22CE-C7D0-73B989259D2B}"/>
                </a:ext>
              </a:extLst>
            </xdr14:cNvPr>
            <xdr14:cNvContentPartPr/>
          </xdr14:nvContentPartPr>
          <xdr14:nvPr macro=""/>
          <xdr14:xfrm>
            <a:off x="8895960" y="9558360"/>
            <a:ext cx="180360" cy="181080"/>
          </xdr14:xfrm>
        </xdr:contentPart>
      </mc:Choice>
      <mc:Fallback>
        <xdr:pic>
          <xdr:nvPicPr>
            <xdr:cNvPr id="147" name="Ink 146">
              <a:extLst>
                <a:ext uri="{FF2B5EF4-FFF2-40B4-BE49-F238E27FC236}">
                  <a16:creationId xmlns:a16="http://schemas.microsoft.com/office/drawing/2014/main" id="{C51897A0-C4C5-22CE-C7D0-73B989259D2B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8888400" y="9550800"/>
              <a:ext cx="195480" cy="19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575191</xdr:colOff>
      <xdr:row>46</xdr:row>
      <xdr:rowOff>62860</xdr:rowOff>
    </xdr:from>
    <xdr:to>
      <xdr:col>10</xdr:col>
      <xdr:colOff>592831</xdr:colOff>
      <xdr:row>47</xdr:row>
      <xdr:rowOff>66457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5">
          <xdr14:nvContentPartPr>
            <xdr14:cNvPr id="148" name="Ink 147">
              <a:extLst>
                <a:ext uri="{FF2B5EF4-FFF2-40B4-BE49-F238E27FC236}">
                  <a16:creationId xmlns:a16="http://schemas.microsoft.com/office/drawing/2014/main" id="{E7709566-5FB6-AE48-25C4-8F2F00A8B8AB}"/>
                </a:ext>
              </a:extLst>
            </xdr14:cNvPr>
            <xdr14:cNvContentPartPr/>
          </xdr14:nvContentPartPr>
          <xdr14:nvPr macro=""/>
          <xdr14:xfrm>
            <a:off x="8857800" y="9270360"/>
            <a:ext cx="17640" cy="203760"/>
          </xdr14:xfrm>
        </xdr:contentPart>
      </mc:Choice>
      <mc:Fallback>
        <xdr:pic>
          <xdr:nvPicPr>
            <xdr:cNvPr id="148" name="Ink 147">
              <a:extLst>
                <a:ext uri="{FF2B5EF4-FFF2-40B4-BE49-F238E27FC236}">
                  <a16:creationId xmlns:a16="http://schemas.microsoft.com/office/drawing/2014/main" id="{E7709566-5FB6-AE48-25C4-8F2F00A8B8AB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8850240" y="9262800"/>
              <a:ext cx="32760" cy="218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555391</xdr:colOff>
      <xdr:row>46</xdr:row>
      <xdr:rowOff>49180</xdr:rowOff>
    </xdr:from>
    <xdr:to>
      <xdr:col>10</xdr:col>
      <xdr:colOff>651511</xdr:colOff>
      <xdr:row>46</xdr:row>
      <xdr:rowOff>156820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7">
          <xdr14:nvContentPartPr>
            <xdr14:cNvPr id="149" name="Ink 148">
              <a:extLst>
                <a:ext uri="{FF2B5EF4-FFF2-40B4-BE49-F238E27FC236}">
                  <a16:creationId xmlns:a16="http://schemas.microsoft.com/office/drawing/2014/main" id="{BF1AEA6E-19B5-EAF6-11CD-BF9594D60B8F}"/>
                </a:ext>
              </a:extLst>
            </xdr14:cNvPr>
            <xdr14:cNvContentPartPr/>
          </xdr14:nvContentPartPr>
          <xdr14:nvPr macro=""/>
          <xdr14:xfrm>
            <a:off x="8838000" y="9256680"/>
            <a:ext cx="96120" cy="107640"/>
          </xdr14:xfrm>
        </xdr:contentPart>
      </mc:Choice>
      <mc:Fallback>
        <xdr:pic>
          <xdr:nvPicPr>
            <xdr:cNvPr id="149" name="Ink 148">
              <a:extLst>
                <a:ext uri="{FF2B5EF4-FFF2-40B4-BE49-F238E27FC236}">
                  <a16:creationId xmlns:a16="http://schemas.microsoft.com/office/drawing/2014/main" id="{BF1AEA6E-19B5-EAF6-11CD-BF9594D60B8F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8830440" y="9249120"/>
              <a:ext cx="110880" cy="12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438751</xdr:colOff>
      <xdr:row>49</xdr:row>
      <xdr:rowOff>129091</xdr:rowOff>
    </xdr:from>
    <xdr:to>
      <xdr:col>10</xdr:col>
      <xdr:colOff>760591</xdr:colOff>
      <xdr:row>50</xdr:row>
      <xdr:rowOff>8848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9">
          <xdr14:nvContentPartPr>
            <xdr14:cNvPr id="150" name="Ink 149">
              <a:extLst>
                <a:ext uri="{FF2B5EF4-FFF2-40B4-BE49-F238E27FC236}">
                  <a16:creationId xmlns:a16="http://schemas.microsoft.com/office/drawing/2014/main" id="{FD0962F7-0132-8EF5-1CE2-9DFA5B9E4196}"/>
                </a:ext>
              </a:extLst>
            </xdr14:cNvPr>
            <xdr14:cNvContentPartPr/>
          </xdr14:nvContentPartPr>
          <xdr14:nvPr macro=""/>
          <xdr14:xfrm>
            <a:off x="8721360" y="9937080"/>
            <a:ext cx="321840" cy="79920"/>
          </xdr14:xfrm>
        </xdr:contentPart>
      </mc:Choice>
      <mc:Fallback>
        <xdr:pic>
          <xdr:nvPicPr>
            <xdr:cNvPr id="150" name="Ink 149">
              <a:extLst>
                <a:ext uri="{FF2B5EF4-FFF2-40B4-BE49-F238E27FC236}">
                  <a16:creationId xmlns:a16="http://schemas.microsoft.com/office/drawing/2014/main" id="{FD0962F7-0132-8EF5-1CE2-9DFA5B9E4196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8713800" y="9929520"/>
              <a:ext cx="336960" cy="9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499231</xdr:colOff>
      <xdr:row>50</xdr:row>
      <xdr:rowOff>26848</xdr:rowOff>
    </xdr:from>
    <xdr:to>
      <xdr:col>10</xdr:col>
      <xdr:colOff>758791</xdr:colOff>
      <xdr:row>50</xdr:row>
      <xdr:rowOff>70048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1">
          <xdr14:nvContentPartPr>
            <xdr14:cNvPr id="151" name="Ink 150">
              <a:extLst>
                <a:ext uri="{FF2B5EF4-FFF2-40B4-BE49-F238E27FC236}">
                  <a16:creationId xmlns:a16="http://schemas.microsoft.com/office/drawing/2014/main" id="{BBBDCF04-C013-4FD0-1568-6268732D585F}"/>
                </a:ext>
              </a:extLst>
            </xdr14:cNvPr>
            <xdr14:cNvContentPartPr/>
          </xdr14:nvContentPartPr>
          <xdr14:nvPr macro=""/>
          <xdr14:xfrm>
            <a:off x="8781840" y="10035000"/>
            <a:ext cx="259560" cy="43200"/>
          </xdr14:xfrm>
        </xdr:contentPart>
      </mc:Choice>
      <mc:Fallback>
        <xdr:pic>
          <xdr:nvPicPr>
            <xdr:cNvPr id="151" name="Ink 150">
              <a:extLst>
                <a:ext uri="{FF2B5EF4-FFF2-40B4-BE49-F238E27FC236}">
                  <a16:creationId xmlns:a16="http://schemas.microsoft.com/office/drawing/2014/main" id="{BBBDCF04-C013-4FD0-1568-6268732D585F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8774280" y="10027440"/>
              <a:ext cx="274320" cy="58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497791</xdr:colOff>
      <xdr:row>49</xdr:row>
      <xdr:rowOff>147811</xdr:rowOff>
    </xdr:from>
    <xdr:to>
      <xdr:col>11</xdr:col>
      <xdr:colOff>38530</xdr:colOff>
      <xdr:row>50</xdr:row>
      <xdr:rowOff>96328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3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9B49EFE9-4606-B274-8B21-ACA5DB429184}"/>
                </a:ext>
              </a:extLst>
            </xdr14:cNvPr>
            <xdr14:cNvContentPartPr/>
          </xdr14:nvContentPartPr>
          <xdr14:nvPr macro=""/>
          <xdr14:xfrm>
            <a:off x="8780400" y="9955800"/>
            <a:ext cx="369000" cy="148680"/>
          </xdr14:xfrm>
        </xdr:contentPart>
      </mc:Choice>
      <mc:Fallback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9B49EFE9-4606-B274-8B21-ACA5DB429184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8773200" y="9948240"/>
              <a:ext cx="384120" cy="16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486631</xdr:colOff>
      <xdr:row>40</xdr:row>
      <xdr:rowOff>147478</xdr:rowOff>
    </xdr:from>
    <xdr:to>
      <xdr:col>11</xdr:col>
      <xdr:colOff>113410</xdr:colOff>
      <xdr:row>42</xdr:row>
      <xdr:rowOff>33352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5">
          <xdr14:nvContentPartPr>
            <xdr14:cNvPr id="153" name="Ink 152">
              <a:extLst>
                <a:ext uri="{FF2B5EF4-FFF2-40B4-BE49-F238E27FC236}">
                  <a16:creationId xmlns:a16="http://schemas.microsoft.com/office/drawing/2014/main" id="{7815FC95-CEC3-5F39-AE06-D2AE4DC8138D}"/>
                </a:ext>
              </a:extLst>
            </xdr14:cNvPr>
            <xdr14:cNvContentPartPr/>
          </xdr14:nvContentPartPr>
          <xdr14:nvPr macro=""/>
          <xdr14:xfrm>
            <a:off x="8769240" y="8154000"/>
            <a:ext cx="455040" cy="286200"/>
          </xdr14:xfrm>
        </xdr:contentPart>
      </mc:Choice>
      <mc:Fallback>
        <xdr:pic>
          <xdr:nvPicPr>
            <xdr:cNvPr id="153" name="Ink 152">
              <a:extLst>
                <a:ext uri="{FF2B5EF4-FFF2-40B4-BE49-F238E27FC236}">
                  <a16:creationId xmlns:a16="http://schemas.microsoft.com/office/drawing/2014/main" id="{7815FC95-CEC3-5F39-AE06-D2AE4DC8138D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8761680" y="8146373"/>
              <a:ext cx="470160" cy="3014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662671</xdr:colOff>
      <xdr:row>42</xdr:row>
      <xdr:rowOff>64672</xdr:rowOff>
    </xdr:from>
    <xdr:to>
      <xdr:col>11</xdr:col>
      <xdr:colOff>20890</xdr:colOff>
      <xdr:row>42</xdr:row>
      <xdr:rowOff>152512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7">
          <xdr14:nvContentPartPr>
            <xdr14:cNvPr id="154" name="Ink 153">
              <a:extLst>
                <a:ext uri="{FF2B5EF4-FFF2-40B4-BE49-F238E27FC236}">
                  <a16:creationId xmlns:a16="http://schemas.microsoft.com/office/drawing/2014/main" id="{0F090F2E-DC8E-02AF-BDF6-150A6298BBB1}"/>
                </a:ext>
              </a:extLst>
            </xdr14:cNvPr>
            <xdr14:cNvContentPartPr/>
          </xdr14:nvContentPartPr>
          <xdr14:nvPr macro=""/>
          <xdr14:xfrm>
            <a:off x="8945280" y="8471520"/>
            <a:ext cx="186480" cy="87840"/>
          </xdr14:xfrm>
        </xdr:contentPart>
      </mc:Choice>
      <mc:Fallback>
        <xdr:pic>
          <xdr:nvPicPr>
            <xdr:cNvPr id="154" name="Ink 153">
              <a:extLst>
                <a:ext uri="{FF2B5EF4-FFF2-40B4-BE49-F238E27FC236}">
                  <a16:creationId xmlns:a16="http://schemas.microsoft.com/office/drawing/2014/main" id="{0F090F2E-DC8E-02AF-BDF6-150A6298BBB1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8937720" y="8464320"/>
              <a:ext cx="201600" cy="10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41770</xdr:colOff>
      <xdr:row>42</xdr:row>
      <xdr:rowOff>65392</xdr:rowOff>
    </xdr:from>
    <xdr:to>
      <xdr:col>11</xdr:col>
      <xdr:colOff>156250</xdr:colOff>
      <xdr:row>43</xdr:row>
      <xdr:rowOff>9949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9">
          <xdr14:nvContentPartPr>
            <xdr14:cNvPr id="155" name="Ink 154">
              <a:extLst>
                <a:ext uri="{FF2B5EF4-FFF2-40B4-BE49-F238E27FC236}">
                  <a16:creationId xmlns:a16="http://schemas.microsoft.com/office/drawing/2014/main" id="{806A081A-9F2C-9A30-D323-E64F085F2D17}"/>
                </a:ext>
              </a:extLst>
            </xdr14:cNvPr>
            <xdr14:cNvContentPartPr/>
          </xdr14:nvContentPartPr>
          <xdr14:nvPr macro=""/>
          <xdr14:xfrm>
            <a:off x="9152640" y="8472240"/>
            <a:ext cx="114480" cy="144720"/>
          </xdr14:xfrm>
        </xdr:contentPart>
      </mc:Choice>
      <mc:Fallback>
        <xdr:pic>
          <xdr:nvPicPr>
            <xdr:cNvPr id="155" name="Ink 154">
              <a:extLst>
                <a:ext uri="{FF2B5EF4-FFF2-40B4-BE49-F238E27FC236}">
                  <a16:creationId xmlns:a16="http://schemas.microsoft.com/office/drawing/2014/main" id="{806A081A-9F2C-9A30-D323-E64F085F2D17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9145080" y="8464680"/>
              <a:ext cx="129600" cy="15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168031</xdr:colOff>
      <xdr:row>47</xdr:row>
      <xdr:rowOff>45577</xdr:rowOff>
    </xdr:from>
    <xdr:to>
      <xdr:col>11</xdr:col>
      <xdr:colOff>131050</xdr:colOff>
      <xdr:row>49</xdr:row>
      <xdr:rowOff>111811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1">
          <xdr14:nvContentPartPr>
            <xdr14:cNvPr id="156" name="Ink 155">
              <a:extLst>
                <a:ext uri="{FF2B5EF4-FFF2-40B4-BE49-F238E27FC236}">
                  <a16:creationId xmlns:a16="http://schemas.microsoft.com/office/drawing/2014/main" id="{4BD264A3-77F7-8AF0-9510-98FD7DD86C50}"/>
                </a:ext>
              </a:extLst>
            </xdr14:cNvPr>
            <xdr14:cNvContentPartPr/>
          </xdr14:nvContentPartPr>
          <xdr14:nvPr macro=""/>
          <xdr14:xfrm>
            <a:off x="8450640" y="9453240"/>
            <a:ext cx="791280" cy="466560"/>
          </xdr14:xfrm>
        </xdr:contentPart>
      </mc:Choice>
      <mc:Fallback>
        <xdr:pic>
          <xdr:nvPicPr>
            <xdr:cNvPr id="156" name="Ink 155">
              <a:extLst>
                <a:ext uri="{FF2B5EF4-FFF2-40B4-BE49-F238E27FC236}">
                  <a16:creationId xmlns:a16="http://schemas.microsoft.com/office/drawing/2014/main" id="{4BD264A3-77F7-8AF0-9510-98FD7DD86C50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8443080" y="9445639"/>
              <a:ext cx="806400" cy="48176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783819</xdr:colOff>
      <xdr:row>43</xdr:row>
      <xdr:rowOff>196789</xdr:rowOff>
    </xdr:from>
    <xdr:to>
      <xdr:col>7</xdr:col>
      <xdr:colOff>1471753</xdr:colOff>
      <xdr:row>55</xdr:row>
      <xdr:rowOff>179473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3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A07F92DF-EF54-37BB-DA3C-B28DC84B2BC0}"/>
                </a:ext>
              </a:extLst>
            </xdr14:cNvPr>
            <xdr14:cNvContentPartPr/>
          </xdr14:nvContentPartPr>
          <xdr14:nvPr macro=""/>
          <xdr14:xfrm>
            <a:off x="1612080" y="8803800"/>
            <a:ext cx="5662800" cy="2384640"/>
          </xdr14:xfrm>
        </xdr:contentPart>
      </mc:Choice>
      <mc:Fallback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A07F92DF-EF54-37BB-DA3C-B28DC84B2BC0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1604482" y="8796255"/>
              <a:ext cx="5677996" cy="23997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280117</xdr:colOff>
      <xdr:row>43</xdr:row>
      <xdr:rowOff>139549</xdr:rowOff>
    </xdr:from>
    <xdr:to>
      <xdr:col>4</xdr:col>
      <xdr:colOff>750637</xdr:colOff>
      <xdr:row>53</xdr:row>
      <xdr:rowOff>126559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5">
          <xdr14:nvContentPartPr>
            <xdr14:cNvPr id="160" name="Ink 159">
              <a:extLst>
                <a:ext uri="{FF2B5EF4-FFF2-40B4-BE49-F238E27FC236}">
                  <a16:creationId xmlns:a16="http://schemas.microsoft.com/office/drawing/2014/main" id="{8CB083E6-E92A-7F36-1AFB-925B7851D232}"/>
                </a:ext>
              </a:extLst>
            </xdr14:cNvPr>
            <xdr14:cNvContentPartPr/>
          </xdr14:nvContentPartPr>
          <xdr14:nvPr macro=""/>
          <xdr14:xfrm>
            <a:off x="3593160" y="8746560"/>
            <a:ext cx="470520" cy="1988640"/>
          </xdr14:xfrm>
        </xdr:contentPart>
      </mc:Choice>
      <mc:Fallback>
        <xdr:pic>
          <xdr:nvPicPr>
            <xdr:cNvPr id="160" name="Ink 159">
              <a:extLst>
                <a:ext uri="{FF2B5EF4-FFF2-40B4-BE49-F238E27FC236}">
                  <a16:creationId xmlns:a16="http://schemas.microsoft.com/office/drawing/2014/main" id="{8CB083E6-E92A-7F36-1AFB-925B7851D232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585600" y="8739015"/>
              <a:ext cx="485640" cy="20037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349957</xdr:colOff>
      <xdr:row>44</xdr:row>
      <xdr:rowOff>95626</xdr:rowOff>
    </xdr:from>
    <xdr:to>
      <xdr:col>5</xdr:col>
      <xdr:colOff>1115</xdr:colOff>
      <xdr:row>45</xdr:row>
      <xdr:rowOff>27943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7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32CC7124-FF6C-5726-1627-D11DD5493152}"/>
                </a:ext>
              </a:extLst>
            </xdr14:cNvPr>
            <xdr14:cNvContentPartPr/>
          </xdr14:nvContentPartPr>
          <xdr14:nvPr macro=""/>
          <xdr14:xfrm>
            <a:off x="3663000" y="8902800"/>
            <a:ext cx="471600" cy="13248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32CC7124-FF6C-5726-1627-D11DD5493152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655440" y="8895240"/>
              <a:ext cx="486360" cy="14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591877</xdr:colOff>
      <xdr:row>52</xdr:row>
      <xdr:rowOff>17482</xdr:rowOff>
    </xdr:from>
    <xdr:to>
      <xdr:col>4</xdr:col>
      <xdr:colOff>600157</xdr:colOff>
      <xdr:row>52</xdr:row>
      <xdr:rowOff>18562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9">
          <xdr14:nvContentPartPr>
            <xdr14:cNvPr id="169" name="Ink 168">
              <a:extLst>
                <a:ext uri="{FF2B5EF4-FFF2-40B4-BE49-F238E27FC236}">
                  <a16:creationId xmlns:a16="http://schemas.microsoft.com/office/drawing/2014/main" id="{0D97BA45-B40F-9B71-9F75-E568D3813BB8}"/>
                </a:ext>
              </a:extLst>
            </xdr14:cNvPr>
            <xdr14:cNvContentPartPr/>
          </xdr14:nvContentPartPr>
          <xdr14:nvPr macro=""/>
          <xdr14:xfrm>
            <a:off x="3904920" y="10425960"/>
            <a:ext cx="8280" cy="1080"/>
          </xdr14:xfrm>
        </xdr:contentPart>
      </mc:Choice>
      <mc:Fallback>
        <xdr:pic>
          <xdr:nvPicPr>
            <xdr:cNvPr id="169" name="Ink 168">
              <a:extLst>
                <a:ext uri="{FF2B5EF4-FFF2-40B4-BE49-F238E27FC236}">
                  <a16:creationId xmlns:a16="http://schemas.microsoft.com/office/drawing/2014/main" id="{0D97BA45-B40F-9B71-9F75-E568D3813BB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3897360" y="10418400"/>
              <a:ext cx="23400" cy="1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703539</xdr:colOff>
      <xdr:row>45</xdr:row>
      <xdr:rowOff>89503</xdr:rowOff>
    </xdr:from>
    <xdr:to>
      <xdr:col>2</xdr:col>
      <xdr:colOff>331398</xdr:colOff>
      <xdr:row>48</xdr:row>
      <xdr:rowOff>67174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1">
          <xdr14:nvContentPartPr>
            <xdr14:cNvPr id="174" name="Ink 173">
              <a:extLst>
                <a:ext uri="{FF2B5EF4-FFF2-40B4-BE49-F238E27FC236}">
                  <a16:creationId xmlns:a16="http://schemas.microsoft.com/office/drawing/2014/main" id="{69CF818C-6629-B2A9-3AB5-F1AD20CA4878}"/>
                </a:ext>
              </a:extLst>
            </xdr14:cNvPr>
            <xdr14:cNvContentPartPr/>
          </xdr14:nvContentPartPr>
          <xdr14:nvPr macro=""/>
          <xdr14:xfrm>
            <a:off x="1531800" y="9096840"/>
            <a:ext cx="456120" cy="578160"/>
          </xdr14:xfrm>
        </xdr:contentPart>
      </mc:Choice>
      <mc:Fallback>
        <xdr:pic>
          <xdr:nvPicPr>
            <xdr:cNvPr id="174" name="Ink 173">
              <a:extLst>
                <a:ext uri="{FF2B5EF4-FFF2-40B4-BE49-F238E27FC236}">
                  <a16:creationId xmlns:a16="http://schemas.microsoft.com/office/drawing/2014/main" id="{69CF818C-6629-B2A9-3AB5-F1AD20CA4878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1524240" y="9089228"/>
              <a:ext cx="471240" cy="59338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683739</xdr:colOff>
      <xdr:row>10</xdr:row>
      <xdr:rowOff>118050</xdr:rowOff>
    </xdr:from>
    <xdr:to>
      <xdr:col>5</xdr:col>
      <xdr:colOff>223696</xdr:colOff>
      <xdr:row>12</xdr:row>
      <xdr:rowOff>84923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3">
          <xdr14:nvContentPartPr>
            <xdr14:cNvPr id="175" name="Ink 174">
              <a:extLst>
                <a:ext uri="{FF2B5EF4-FFF2-40B4-BE49-F238E27FC236}">
                  <a16:creationId xmlns:a16="http://schemas.microsoft.com/office/drawing/2014/main" id="{8C346290-9156-3982-7107-4FAB2FC61134}"/>
                </a:ext>
              </a:extLst>
            </xdr14:cNvPr>
            <xdr14:cNvContentPartPr/>
          </xdr14:nvContentPartPr>
          <xdr14:nvPr macro=""/>
          <xdr14:xfrm>
            <a:off x="1512000" y="2119680"/>
            <a:ext cx="2853000" cy="367200"/>
          </xdr14:xfrm>
        </xdr:contentPart>
      </mc:Choice>
      <mc:Fallback>
        <xdr:pic>
          <xdr:nvPicPr>
            <xdr:cNvPr id="175" name="Ink 174">
              <a:extLst>
                <a:ext uri="{FF2B5EF4-FFF2-40B4-BE49-F238E27FC236}">
                  <a16:creationId xmlns:a16="http://schemas.microsoft.com/office/drawing/2014/main" id="{8C346290-9156-3982-7107-4FAB2FC61134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1504399" y="2112142"/>
              <a:ext cx="2868202" cy="3822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399574</xdr:colOff>
      <xdr:row>10</xdr:row>
      <xdr:rowOff>94290</xdr:rowOff>
    </xdr:from>
    <xdr:to>
      <xdr:col>7</xdr:col>
      <xdr:colOff>654454</xdr:colOff>
      <xdr:row>11</xdr:row>
      <xdr:rowOff>146487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5">
          <xdr14:nvContentPartPr>
            <xdr14:cNvPr id="179" name="Ink 178">
              <a:extLst>
                <a:ext uri="{FF2B5EF4-FFF2-40B4-BE49-F238E27FC236}">
                  <a16:creationId xmlns:a16="http://schemas.microsoft.com/office/drawing/2014/main" id="{AE16214A-3A31-7B5E-2CF4-8687E067777B}"/>
                </a:ext>
              </a:extLst>
            </xdr14:cNvPr>
            <xdr14:cNvContentPartPr/>
          </xdr14:nvContentPartPr>
          <xdr14:nvPr macro=""/>
          <xdr14:xfrm>
            <a:off x="6197400" y="2095920"/>
            <a:ext cx="254880" cy="252360"/>
          </xdr14:xfrm>
        </xdr:contentPart>
      </mc:Choice>
      <mc:Fallback>
        <xdr:pic>
          <xdr:nvPicPr>
            <xdr:cNvPr id="179" name="Ink 178">
              <a:extLst>
                <a:ext uri="{FF2B5EF4-FFF2-40B4-BE49-F238E27FC236}">
                  <a16:creationId xmlns:a16="http://schemas.microsoft.com/office/drawing/2014/main" id="{AE16214A-3A31-7B5E-2CF4-8687E067777B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6189840" y="2088360"/>
              <a:ext cx="270000" cy="26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462934</xdr:colOff>
      <xdr:row>13</xdr:row>
      <xdr:rowOff>8960</xdr:rowOff>
    </xdr:from>
    <xdr:to>
      <xdr:col>7</xdr:col>
      <xdr:colOff>645094</xdr:colOff>
      <xdr:row>14</xdr:row>
      <xdr:rowOff>99677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7">
          <xdr14:nvContentPartPr>
            <xdr14:cNvPr id="184" name="Ink 183">
              <a:extLst>
                <a:ext uri="{FF2B5EF4-FFF2-40B4-BE49-F238E27FC236}">
                  <a16:creationId xmlns:a16="http://schemas.microsoft.com/office/drawing/2014/main" id="{C473141D-5407-05A6-30C6-5207DB924214}"/>
                </a:ext>
              </a:extLst>
            </xdr14:cNvPr>
            <xdr14:cNvContentPartPr/>
          </xdr14:nvContentPartPr>
          <xdr14:nvPr macro=""/>
          <xdr14:xfrm>
            <a:off x="6260760" y="2611080"/>
            <a:ext cx="182160" cy="290880"/>
          </xdr14:xfrm>
        </xdr:contentPart>
      </mc:Choice>
      <mc:Fallback>
        <xdr:pic>
          <xdr:nvPicPr>
            <xdr:cNvPr id="184" name="Ink 183">
              <a:extLst>
                <a:ext uri="{FF2B5EF4-FFF2-40B4-BE49-F238E27FC236}">
                  <a16:creationId xmlns:a16="http://schemas.microsoft.com/office/drawing/2014/main" id="{C473141D-5407-05A6-30C6-5207DB924214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6253200" y="2603520"/>
              <a:ext cx="197280" cy="30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176113</xdr:colOff>
      <xdr:row>13</xdr:row>
      <xdr:rowOff>112280</xdr:rowOff>
    </xdr:from>
    <xdr:to>
      <xdr:col>8</xdr:col>
      <xdr:colOff>418393</xdr:colOff>
      <xdr:row>14</xdr:row>
      <xdr:rowOff>127037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9">
          <xdr14:nvContentPartPr>
            <xdr14:cNvPr id="185" name="Ink 184">
              <a:extLst>
                <a:ext uri="{FF2B5EF4-FFF2-40B4-BE49-F238E27FC236}">
                  <a16:creationId xmlns:a16="http://schemas.microsoft.com/office/drawing/2014/main" id="{4794A20E-FC60-1F38-2BC9-B25E3BB5FB46}"/>
                </a:ext>
              </a:extLst>
            </xdr14:cNvPr>
            <xdr14:cNvContentPartPr/>
          </xdr14:nvContentPartPr>
          <xdr14:nvPr macro=""/>
          <xdr14:xfrm>
            <a:off x="6802200" y="2714400"/>
            <a:ext cx="242280" cy="214920"/>
          </xdr14:xfrm>
        </xdr:contentPart>
      </mc:Choice>
      <mc:Fallback>
        <xdr:pic>
          <xdr:nvPicPr>
            <xdr:cNvPr id="185" name="Ink 184">
              <a:extLst>
                <a:ext uri="{FF2B5EF4-FFF2-40B4-BE49-F238E27FC236}">
                  <a16:creationId xmlns:a16="http://schemas.microsoft.com/office/drawing/2014/main" id="{4794A20E-FC60-1F38-2BC9-B25E3BB5FB46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6794640" y="2706840"/>
              <a:ext cx="257400" cy="23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392995</xdr:colOff>
      <xdr:row>13</xdr:row>
      <xdr:rowOff>85280</xdr:rowOff>
    </xdr:from>
    <xdr:to>
      <xdr:col>6</xdr:col>
      <xdr:colOff>698275</xdr:colOff>
      <xdr:row>14</xdr:row>
      <xdr:rowOff>61157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1">
          <xdr14:nvContentPartPr>
            <xdr14:cNvPr id="186" name="Ink 185">
              <a:extLst>
                <a:ext uri="{FF2B5EF4-FFF2-40B4-BE49-F238E27FC236}">
                  <a16:creationId xmlns:a16="http://schemas.microsoft.com/office/drawing/2014/main" id="{98AF12E0-70DD-A3E2-004E-9EA65C525E2B}"/>
                </a:ext>
              </a:extLst>
            </xdr14:cNvPr>
            <xdr14:cNvContentPartPr/>
          </xdr14:nvContentPartPr>
          <xdr14:nvPr macro=""/>
          <xdr14:xfrm>
            <a:off x="5362560" y="2687400"/>
            <a:ext cx="305280" cy="176040"/>
          </xdr14:xfrm>
        </xdr:contentPart>
      </mc:Choice>
      <mc:Fallback>
        <xdr:pic>
          <xdr:nvPicPr>
            <xdr:cNvPr id="186" name="Ink 185">
              <a:extLst>
                <a:ext uri="{FF2B5EF4-FFF2-40B4-BE49-F238E27FC236}">
                  <a16:creationId xmlns:a16="http://schemas.microsoft.com/office/drawing/2014/main" id="{98AF12E0-70DD-A3E2-004E-9EA65C525E2B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5355000" y="2679840"/>
              <a:ext cx="320400" cy="191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128593</xdr:colOff>
      <xdr:row>10</xdr:row>
      <xdr:rowOff>123090</xdr:rowOff>
    </xdr:from>
    <xdr:to>
      <xdr:col>8</xdr:col>
      <xdr:colOff>587233</xdr:colOff>
      <xdr:row>11</xdr:row>
      <xdr:rowOff>180687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3">
          <xdr14:nvContentPartPr>
            <xdr14:cNvPr id="187" name="Ink 186">
              <a:extLst>
                <a:ext uri="{FF2B5EF4-FFF2-40B4-BE49-F238E27FC236}">
                  <a16:creationId xmlns:a16="http://schemas.microsoft.com/office/drawing/2014/main" id="{D713040B-4B06-C406-9861-98F30A37B4B4}"/>
                </a:ext>
              </a:extLst>
            </xdr14:cNvPr>
            <xdr14:cNvContentPartPr/>
          </xdr14:nvContentPartPr>
          <xdr14:nvPr macro=""/>
          <xdr14:xfrm>
            <a:off x="6754680" y="2124720"/>
            <a:ext cx="458640" cy="257760"/>
          </xdr14:xfrm>
        </xdr:contentPart>
      </mc:Choice>
      <mc:Fallback>
        <xdr:pic>
          <xdr:nvPicPr>
            <xdr:cNvPr id="187" name="Ink 186">
              <a:extLst>
                <a:ext uri="{FF2B5EF4-FFF2-40B4-BE49-F238E27FC236}">
                  <a16:creationId xmlns:a16="http://schemas.microsoft.com/office/drawing/2014/main" id="{D713040B-4B06-C406-9861-98F30A37B4B4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6747120" y="2117160"/>
              <a:ext cx="473760" cy="27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345475</xdr:colOff>
      <xdr:row>11</xdr:row>
      <xdr:rowOff>6447</xdr:rowOff>
    </xdr:from>
    <xdr:to>
      <xdr:col>6</xdr:col>
      <xdr:colOff>780355</xdr:colOff>
      <xdr:row>12</xdr:row>
      <xdr:rowOff>14723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5">
          <xdr14:nvContentPartPr>
            <xdr14:cNvPr id="188" name="Ink 187">
              <a:extLst>
                <a:ext uri="{FF2B5EF4-FFF2-40B4-BE49-F238E27FC236}">
                  <a16:creationId xmlns:a16="http://schemas.microsoft.com/office/drawing/2014/main" id="{28E7FD32-5AF3-C1B5-6954-1C606D32DEAA}"/>
                </a:ext>
              </a:extLst>
            </xdr14:cNvPr>
            <xdr14:cNvContentPartPr/>
          </xdr14:nvContentPartPr>
          <xdr14:nvPr macro=""/>
          <xdr14:xfrm>
            <a:off x="5315040" y="2208240"/>
            <a:ext cx="434880" cy="208440"/>
          </xdr14:xfrm>
        </xdr:contentPart>
      </mc:Choice>
      <mc:Fallback>
        <xdr:pic>
          <xdr:nvPicPr>
            <xdr:cNvPr id="188" name="Ink 187">
              <a:extLst>
                <a:ext uri="{FF2B5EF4-FFF2-40B4-BE49-F238E27FC236}">
                  <a16:creationId xmlns:a16="http://schemas.microsoft.com/office/drawing/2014/main" id="{28E7FD32-5AF3-C1B5-6954-1C606D32DEAA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307486" y="2200680"/>
              <a:ext cx="449987" cy="22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801099</xdr:colOff>
      <xdr:row>41</xdr:row>
      <xdr:rowOff>126235</xdr:rowOff>
    </xdr:from>
    <xdr:to>
      <xdr:col>4</xdr:col>
      <xdr:colOff>125677</xdr:colOff>
      <xdr:row>43</xdr:row>
      <xdr:rowOff>144229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7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55C28CFF-ED11-2EA5-1958-0AA454CD6E88}"/>
                </a:ext>
              </a:extLst>
            </xdr14:cNvPr>
            <xdr14:cNvContentPartPr/>
          </xdr14:nvContentPartPr>
          <xdr14:nvPr macro=""/>
          <xdr14:xfrm>
            <a:off x="1629360" y="8332920"/>
            <a:ext cx="1809360" cy="418320"/>
          </xdr14:xfrm>
        </xdr:contentPart>
      </mc:Choice>
      <mc:Fallback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55C28CFF-ED11-2EA5-1958-0AA454CD6E88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1621806" y="8325519"/>
              <a:ext cx="1824468" cy="43312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440019</xdr:colOff>
      <xdr:row>58</xdr:row>
      <xdr:rowOff>14583</xdr:rowOff>
    </xdr:from>
    <xdr:to>
      <xdr:col>2</xdr:col>
      <xdr:colOff>528678</xdr:colOff>
      <xdr:row>59</xdr:row>
      <xdr:rowOff>185940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9">
          <xdr14:nvContentPartPr>
            <xdr14:cNvPr id="204" name="Ink 203">
              <a:extLst>
                <a:ext uri="{FF2B5EF4-FFF2-40B4-BE49-F238E27FC236}">
                  <a16:creationId xmlns:a16="http://schemas.microsoft.com/office/drawing/2014/main" id="{A0E5F74C-D3E2-F04E-D88F-F014DC2CB979}"/>
                </a:ext>
              </a:extLst>
            </xdr14:cNvPr>
            <xdr14:cNvContentPartPr/>
          </xdr14:nvContentPartPr>
          <xdr14:nvPr macro=""/>
          <xdr14:xfrm>
            <a:off x="1268280" y="11624040"/>
            <a:ext cx="916920" cy="371520"/>
          </xdr14:xfrm>
        </xdr:contentPart>
      </mc:Choice>
      <mc:Fallback>
        <xdr:pic>
          <xdr:nvPicPr>
            <xdr:cNvPr id="204" name="Ink 203">
              <a:extLst>
                <a:ext uri="{FF2B5EF4-FFF2-40B4-BE49-F238E27FC236}">
                  <a16:creationId xmlns:a16="http://schemas.microsoft.com/office/drawing/2014/main" id="{A0E5F74C-D3E2-F04E-D88F-F014DC2CB979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1260720" y="11616480"/>
              <a:ext cx="932040" cy="38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354177</xdr:colOff>
      <xdr:row>28</xdr:row>
      <xdr:rowOff>134555</xdr:rowOff>
    </xdr:from>
    <xdr:to>
      <xdr:col>4</xdr:col>
      <xdr:colOff>203797</xdr:colOff>
      <xdr:row>30</xdr:row>
      <xdr:rowOff>70829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1">
          <xdr14:nvContentPartPr>
            <xdr14:cNvPr id="206" name="Ink 205">
              <a:extLst>
                <a:ext uri="{FF2B5EF4-FFF2-40B4-BE49-F238E27FC236}">
                  <a16:creationId xmlns:a16="http://schemas.microsoft.com/office/drawing/2014/main" id="{35509502-8D37-509D-B4A8-B3B94E2E7E4F}"/>
                </a:ext>
              </a:extLst>
            </xdr14:cNvPr>
            <xdr14:cNvContentPartPr/>
          </xdr14:nvContentPartPr>
          <xdr14:nvPr macro=""/>
          <xdr14:xfrm>
            <a:off x="2838960" y="5739120"/>
            <a:ext cx="677880" cy="336600"/>
          </xdr14:xfrm>
        </xdr:contentPart>
      </mc:Choice>
      <mc:Fallback>
        <xdr:pic>
          <xdr:nvPicPr>
            <xdr:cNvPr id="206" name="Ink 205">
              <a:extLst>
                <a:ext uri="{FF2B5EF4-FFF2-40B4-BE49-F238E27FC236}">
                  <a16:creationId xmlns:a16="http://schemas.microsoft.com/office/drawing/2014/main" id="{35509502-8D37-509D-B4A8-B3B94E2E7E4F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2831400" y="5731503"/>
              <a:ext cx="693000" cy="3518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318177</xdr:colOff>
      <xdr:row>30</xdr:row>
      <xdr:rowOff>194669</xdr:rowOff>
    </xdr:from>
    <xdr:to>
      <xdr:col>4</xdr:col>
      <xdr:colOff>438877</xdr:colOff>
      <xdr:row>32</xdr:row>
      <xdr:rowOff>128423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3">
          <xdr14:nvContentPartPr>
            <xdr14:cNvPr id="209" name="Ink 208">
              <a:extLst>
                <a:ext uri="{FF2B5EF4-FFF2-40B4-BE49-F238E27FC236}">
                  <a16:creationId xmlns:a16="http://schemas.microsoft.com/office/drawing/2014/main" id="{F1DF6145-4D0C-7282-A39E-9E7C96BFB917}"/>
                </a:ext>
              </a:extLst>
            </xdr14:cNvPr>
            <xdr14:cNvContentPartPr/>
          </xdr14:nvContentPartPr>
          <xdr14:nvPr macro=""/>
          <xdr14:xfrm>
            <a:off x="2802960" y="6199560"/>
            <a:ext cx="948960" cy="334080"/>
          </xdr14:xfrm>
        </xdr:contentPart>
      </mc:Choice>
      <mc:Fallback>
        <xdr:pic>
          <xdr:nvPicPr>
            <xdr:cNvPr id="209" name="Ink 208">
              <a:extLst>
                <a:ext uri="{FF2B5EF4-FFF2-40B4-BE49-F238E27FC236}">
                  <a16:creationId xmlns:a16="http://schemas.microsoft.com/office/drawing/2014/main" id="{F1DF6145-4D0C-7282-A39E-9E7C96BFB917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2795400" y="6191943"/>
              <a:ext cx="964080" cy="3493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290817</xdr:colOff>
      <xdr:row>45</xdr:row>
      <xdr:rowOff>49543</xdr:rowOff>
    </xdr:from>
    <xdr:to>
      <xdr:col>6</xdr:col>
      <xdr:colOff>292195</xdr:colOff>
      <xdr:row>51</xdr:row>
      <xdr:rowOff>61765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5">
          <xdr14:nvContentPartPr>
            <xdr14:cNvPr id="213" name="Ink 212">
              <a:extLst>
                <a:ext uri="{FF2B5EF4-FFF2-40B4-BE49-F238E27FC236}">
                  <a16:creationId xmlns:a16="http://schemas.microsoft.com/office/drawing/2014/main" id="{3DEDF616-D017-5E5A-CD45-C8EBE6B2BAFA}"/>
                </a:ext>
              </a:extLst>
            </xdr14:cNvPr>
            <xdr14:cNvContentPartPr/>
          </xdr14:nvContentPartPr>
          <xdr14:nvPr macro=""/>
          <xdr14:xfrm>
            <a:off x="2775600" y="9056880"/>
            <a:ext cx="2486160" cy="1213200"/>
          </xdr14:xfrm>
        </xdr:contentPart>
      </mc:Choice>
      <mc:Fallback>
        <xdr:pic>
          <xdr:nvPicPr>
            <xdr:cNvPr id="213" name="Ink 212">
              <a:extLst>
                <a:ext uri="{FF2B5EF4-FFF2-40B4-BE49-F238E27FC236}">
                  <a16:creationId xmlns:a16="http://schemas.microsoft.com/office/drawing/2014/main" id="{3DEDF616-D017-5E5A-CD45-C8EBE6B2BAFA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2721600" y="8949240"/>
              <a:ext cx="2593800" cy="142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733779</xdr:colOff>
      <xdr:row>44</xdr:row>
      <xdr:rowOff>110386</xdr:rowOff>
    </xdr:from>
    <xdr:to>
      <xdr:col>7</xdr:col>
      <xdr:colOff>1251433</xdr:colOff>
      <xdr:row>57</xdr:row>
      <xdr:rowOff>7027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7">
          <xdr14:nvContentPartPr>
            <xdr14:cNvPr id="229" name="Ink 228">
              <a:extLst>
                <a:ext uri="{FF2B5EF4-FFF2-40B4-BE49-F238E27FC236}">
                  <a16:creationId xmlns:a16="http://schemas.microsoft.com/office/drawing/2014/main" id="{DD972799-D44E-4D87-246B-C2B337207DA0}"/>
                </a:ext>
              </a:extLst>
            </xdr14:cNvPr>
            <xdr14:cNvContentPartPr/>
          </xdr14:nvContentPartPr>
          <xdr14:nvPr macro=""/>
          <xdr14:xfrm>
            <a:off x="1562040" y="8917560"/>
            <a:ext cx="5492520" cy="2498760"/>
          </xdr14:xfrm>
        </xdr:contentPart>
      </mc:Choice>
      <mc:Fallback>
        <xdr:pic>
          <xdr:nvPicPr>
            <xdr:cNvPr id="229" name="Ink 228">
              <a:extLst>
                <a:ext uri="{FF2B5EF4-FFF2-40B4-BE49-F238E27FC236}">
                  <a16:creationId xmlns:a16="http://schemas.microsoft.com/office/drawing/2014/main" id="{DD972799-D44E-4D87-246B-C2B337207DA0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1554441" y="8910015"/>
              <a:ext cx="5507719" cy="251385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214696</xdr:colOff>
      <xdr:row>63</xdr:row>
      <xdr:rowOff>113208</xdr:rowOff>
    </xdr:from>
    <xdr:to>
      <xdr:col>5</xdr:col>
      <xdr:colOff>674056</xdr:colOff>
      <xdr:row>65</xdr:row>
      <xdr:rowOff>157122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9">
          <xdr14:nvContentPartPr>
            <xdr14:cNvPr id="235" name="Ink 234">
              <a:extLst>
                <a:ext uri="{FF2B5EF4-FFF2-40B4-BE49-F238E27FC236}">
                  <a16:creationId xmlns:a16="http://schemas.microsoft.com/office/drawing/2014/main" id="{C5B348BA-F35B-6EB2-E5FC-F4F197276A98}"/>
                </a:ext>
              </a:extLst>
            </xdr14:cNvPr>
            <xdr14:cNvContentPartPr/>
          </xdr14:nvContentPartPr>
          <xdr14:nvPr macro=""/>
          <xdr14:xfrm>
            <a:off x="4356000" y="12723480"/>
            <a:ext cx="459360" cy="444240"/>
          </xdr14:xfrm>
        </xdr:contentPart>
      </mc:Choice>
      <mc:Fallback>
        <xdr:pic>
          <xdr:nvPicPr>
            <xdr:cNvPr id="235" name="Ink 234">
              <a:extLst>
                <a:ext uri="{FF2B5EF4-FFF2-40B4-BE49-F238E27FC236}">
                  <a16:creationId xmlns:a16="http://schemas.microsoft.com/office/drawing/2014/main" id="{C5B348BA-F35B-6EB2-E5FC-F4F197276A98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348440" y="12715877"/>
              <a:ext cx="474480" cy="45944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109278</xdr:colOff>
      <xdr:row>30</xdr:row>
      <xdr:rowOff>111509</xdr:rowOff>
    </xdr:from>
    <xdr:to>
      <xdr:col>2</xdr:col>
      <xdr:colOff>615078</xdr:colOff>
      <xdr:row>32</xdr:row>
      <xdr:rowOff>127343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1">
          <xdr14:nvContentPartPr>
            <xdr14:cNvPr id="240" name="Ink 239">
              <a:extLst>
                <a:ext uri="{FF2B5EF4-FFF2-40B4-BE49-F238E27FC236}">
                  <a16:creationId xmlns:a16="http://schemas.microsoft.com/office/drawing/2014/main" id="{72DE44CD-89AD-B9A3-97B0-C24FCA9D6F42}"/>
                </a:ext>
              </a:extLst>
            </xdr14:cNvPr>
            <xdr14:cNvContentPartPr/>
          </xdr14:nvContentPartPr>
          <xdr14:nvPr macro=""/>
          <xdr14:xfrm>
            <a:off x="1765800" y="6116400"/>
            <a:ext cx="505800" cy="416160"/>
          </xdr14:xfrm>
        </xdr:contentPart>
      </mc:Choice>
      <mc:Fallback>
        <xdr:pic>
          <xdr:nvPicPr>
            <xdr:cNvPr id="240" name="Ink 239">
              <a:extLst>
                <a:ext uri="{FF2B5EF4-FFF2-40B4-BE49-F238E27FC236}">
                  <a16:creationId xmlns:a16="http://schemas.microsoft.com/office/drawing/2014/main" id="{72DE44CD-89AD-B9A3-97B0-C24FCA9D6F42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1758240" y="6108794"/>
              <a:ext cx="520920" cy="4313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297198</xdr:colOff>
      <xdr:row>63</xdr:row>
      <xdr:rowOff>85848</xdr:rowOff>
    </xdr:from>
    <xdr:to>
      <xdr:col>4</xdr:col>
      <xdr:colOff>485317</xdr:colOff>
      <xdr:row>68</xdr:row>
      <xdr:rowOff>48033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3">
          <xdr14:nvContentPartPr>
            <xdr14:cNvPr id="241" name="Ink 240">
              <a:extLst>
                <a:ext uri="{FF2B5EF4-FFF2-40B4-BE49-F238E27FC236}">
                  <a16:creationId xmlns:a16="http://schemas.microsoft.com/office/drawing/2014/main" id="{DE5A61C3-B898-B5B1-576B-367981FB9F9B}"/>
                </a:ext>
              </a:extLst>
            </xdr14:cNvPr>
            <xdr14:cNvContentPartPr/>
          </xdr14:nvContentPartPr>
          <xdr14:nvPr macro=""/>
          <xdr14:xfrm>
            <a:off x="1953720" y="12696120"/>
            <a:ext cx="1844640" cy="963000"/>
          </xdr14:xfrm>
        </xdr:contentPart>
      </mc:Choice>
      <mc:Fallback>
        <xdr:pic>
          <xdr:nvPicPr>
            <xdr:cNvPr id="241" name="Ink 240">
              <a:extLst>
                <a:ext uri="{FF2B5EF4-FFF2-40B4-BE49-F238E27FC236}">
                  <a16:creationId xmlns:a16="http://schemas.microsoft.com/office/drawing/2014/main" id="{DE5A61C3-B898-B5B1-576B-367981FB9F9B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1946160" y="12688868"/>
              <a:ext cx="1859760" cy="9782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137755</xdr:colOff>
      <xdr:row>7</xdr:row>
      <xdr:rowOff>142899</xdr:rowOff>
    </xdr:from>
    <xdr:to>
      <xdr:col>6</xdr:col>
      <xdr:colOff>509635</xdr:colOff>
      <xdr:row>9</xdr:row>
      <xdr:rowOff>149013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5">
          <xdr14:nvContentPartPr>
            <xdr14:cNvPr id="252" name="Ink 251">
              <a:extLst>
                <a:ext uri="{FF2B5EF4-FFF2-40B4-BE49-F238E27FC236}">
                  <a16:creationId xmlns:a16="http://schemas.microsoft.com/office/drawing/2014/main" id="{14C18E95-D467-4671-2276-B3D52E622E8A}"/>
                </a:ext>
              </a:extLst>
            </xdr14:cNvPr>
            <xdr14:cNvContentPartPr/>
          </xdr14:nvContentPartPr>
          <xdr14:nvPr macro=""/>
          <xdr14:xfrm>
            <a:off x="5107320" y="1544040"/>
            <a:ext cx="371880" cy="406440"/>
          </xdr14:xfrm>
        </xdr:contentPart>
      </mc:Choice>
      <mc:Fallback>
        <xdr:pic>
          <xdr:nvPicPr>
            <xdr:cNvPr id="252" name="Ink 251">
              <a:extLst>
                <a:ext uri="{FF2B5EF4-FFF2-40B4-BE49-F238E27FC236}">
                  <a16:creationId xmlns:a16="http://schemas.microsoft.com/office/drawing/2014/main" id="{14C18E95-D467-4671-2276-B3D52E622E8A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5099760" y="1536433"/>
              <a:ext cx="386640" cy="421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392635</xdr:colOff>
      <xdr:row>63</xdr:row>
      <xdr:rowOff>14568</xdr:rowOff>
    </xdr:from>
    <xdr:to>
      <xdr:col>7</xdr:col>
      <xdr:colOff>1423153</xdr:colOff>
      <xdr:row>66</xdr:row>
      <xdr:rowOff>45879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7">
          <xdr14:nvContentPartPr>
            <xdr14:cNvPr id="253" name="Ink 252">
              <a:extLst>
                <a:ext uri="{FF2B5EF4-FFF2-40B4-BE49-F238E27FC236}">
                  <a16:creationId xmlns:a16="http://schemas.microsoft.com/office/drawing/2014/main" id="{A6DC7BC7-7409-FB70-1444-C7D73678B064}"/>
                </a:ext>
              </a:extLst>
            </xdr14:cNvPr>
            <xdr14:cNvContentPartPr/>
          </xdr14:nvContentPartPr>
          <xdr14:nvPr macro=""/>
          <xdr14:xfrm>
            <a:off x="5362200" y="12624840"/>
            <a:ext cx="1864080" cy="631800"/>
          </xdr14:xfrm>
        </xdr:contentPart>
      </mc:Choice>
      <mc:Fallback>
        <xdr:pic>
          <xdr:nvPicPr>
            <xdr:cNvPr id="253" name="Ink 252">
              <a:extLst>
                <a:ext uri="{FF2B5EF4-FFF2-40B4-BE49-F238E27FC236}">
                  <a16:creationId xmlns:a16="http://schemas.microsoft.com/office/drawing/2014/main" id="{A6DC7BC7-7409-FB70-1444-C7D73678B064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5354620" y="12617232"/>
              <a:ext cx="1879241" cy="6470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732835</xdr:colOff>
      <xdr:row>60</xdr:row>
      <xdr:rowOff>150657</xdr:rowOff>
    </xdr:from>
    <xdr:to>
      <xdr:col>7</xdr:col>
      <xdr:colOff>652294</xdr:colOff>
      <xdr:row>62</xdr:row>
      <xdr:rowOff>64611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9">
          <xdr14:nvContentPartPr>
            <xdr14:cNvPr id="260" name="Ink 259">
              <a:extLst>
                <a:ext uri="{FF2B5EF4-FFF2-40B4-BE49-F238E27FC236}">
                  <a16:creationId xmlns:a16="http://schemas.microsoft.com/office/drawing/2014/main" id="{81A9182A-BB87-3B86-29CB-113637F14465}"/>
                </a:ext>
              </a:extLst>
            </xdr14:cNvPr>
            <xdr14:cNvContentPartPr/>
          </xdr14:nvContentPartPr>
          <xdr14:nvPr macro=""/>
          <xdr14:xfrm>
            <a:off x="5702400" y="12160440"/>
            <a:ext cx="747720" cy="314280"/>
          </xdr14:xfrm>
        </xdr:contentPart>
      </mc:Choice>
      <mc:Fallback>
        <xdr:pic>
          <xdr:nvPicPr>
            <xdr:cNvPr id="260" name="Ink 259">
              <a:extLst>
                <a:ext uri="{FF2B5EF4-FFF2-40B4-BE49-F238E27FC236}">
                  <a16:creationId xmlns:a16="http://schemas.microsoft.com/office/drawing/2014/main" id="{81A9182A-BB87-3B86-29CB-113637F14465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5694840" y="12152819"/>
              <a:ext cx="762840" cy="32952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728217</xdr:colOff>
      <xdr:row>68</xdr:row>
      <xdr:rowOff>193833</xdr:rowOff>
    </xdr:from>
    <xdr:to>
      <xdr:col>4</xdr:col>
      <xdr:colOff>370837</xdr:colOff>
      <xdr:row>70</xdr:row>
      <xdr:rowOff>173667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1">
          <xdr14:nvContentPartPr>
            <xdr14:cNvPr id="264" name="Ink 263">
              <a:extLst>
                <a:ext uri="{FF2B5EF4-FFF2-40B4-BE49-F238E27FC236}">
                  <a16:creationId xmlns:a16="http://schemas.microsoft.com/office/drawing/2014/main" id="{D3A7F4B3-75CC-94D6-BF7C-E1AD8B5AE6AB}"/>
                </a:ext>
              </a:extLst>
            </xdr14:cNvPr>
            <xdr14:cNvContentPartPr/>
          </xdr14:nvContentPartPr>
          <xdr14:nvPr macro=""/>
          <xdr14:xfrm>
            <a:off x="3213000" y="13804920"/>
            <a:ext cx="470880" cy="380160"/>
          </xdr14:xfrm>
        </xdr:contentPart>
      </mc:Choice>
      <mc:Fallback>
        <xdr:pic>
          <xdr:nvPicPr>
            <xdr:cNvPr id="264" name="Ink 263">
              <a:extLst>
                <a:ext uri="{FF2B5EF4-FFF2-40B4-BE49-F238E27FC236}">
                  <a16:creationId xmlns:a16="http://schemas.microsoft.com/office/drawing/2014/main" id="{D3A7F4B3-75CC-94D6-BF7C-E1AD8B5AE6AB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3205440" y="13797310"/>
              <a:ext cx="486000" cy="395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668619</xdr:colOff>
      <xdr:row>73</xdr:row>
      <xdr:rowOff>1578</xdr:rowOff>
    </xdr:from>
    <xdr:to>
      <xdr:col>2</xdr:col>
      <xdr:colOff>808758</xdr:colOff>
      <xdr:row>75</xdr:row>
      <xdr:rowOff>132612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3">
          <xdr14:nvContentPartPr>
            <xdr14:cNvPr id="268" name="Ink 267">
              <a:extLst>
                <a:ext uri="{FF2B5EF4-FFF2-40B4-BE49-F238E27FC236}">
                  <a16:creationId xmlns:a16="http://schemas.microsoft.com/office/drawing/2014/main" id="{32F79E66-D60A-8022-A20B-FD45FC7CC664}"/>
                </a:ext>
              </a:extLst>
            </xdr14:cNvPr>
            <xdr14:cNvContentPartPr/>
          </xdr14:nvContentPartPr>
          <xdr14:nvPr macro=""/>
          <xdr14:xfrm>
            <a:off x="1496880" y="14613480"/>
            <a:ext cx="968400" cy="531360"/>
          </xdr14:xfrm>
        </xdr:contentPart>
      </mc:Choice>
      <mc:Fallback>
        <xdr:pic>
          <xdr:nvPicPr>
            <xdr:cNvPr id="268" name="Ink 267">
              <a:extLst>
                <a:ext uri="{FF2B5EF4-FFF2-40B4-BE49-F238E27FC236}">
                  <a16:creationId xmlns:a16="http://schemas.microsoft.com/office/drawing/2014/main" id="{32F79E66-D60A-8022-A20B-FD45FC7CC664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1489320" y="14605884"/>
              <a:ext cx="983520" cy="54619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644014</xdr:colOff>
      <xdr:row>74</xdr:row>
      <xdr:rowOff>170055</xdr:rowOff>
    </xdr:from>
    <xdr:to>
      <xdr:col>7</xdr:col>
      <xdr:colOff>1692892</xdr:colOff>
      <xdr:row>75</xdr:row>
      <xdr:rowOff>144852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5">
          <xdr14:nvContentPartPr>
            <xdr14:cNvPr id="277" name="Ink 276">
              <a:extLst>
                <a:ext uri="{FF2B5EF4-FFF2-40B4-BE49-F238E27FC236}">
                  <a16:creationId xmlns:a16="http://schemas.microsoft.com/office/drawing/2014/main" id="{CEE72E02-F2D6-2F3E-C0B9-5B9539B7D82D}"/>
                </a:ext>
              </a:extLst>
            </xdr14:cNvPr>
            <xdr14:cNvContentPartPr/>
          </xdr14:nvContentPartPr>
          <xdr14:nvPr macro=""/>
          <xdr14:xfrm>
            <a:off x="6441840" y="14982120"/>
            <a:ext cx="1059480" cy="174960"/>
          </xdr14:xfrm>
        </xdr:contentPart>
      </mc:Choice>
      <mc:Fallback>
        <xdr:pic>
          <xdr:nvPicPr>
            <xdr:cNvPr id="277" name="Ink 276">
              <a:extLst>
                <a:ext uri="{FF2B5EF4-FFF2-40B4-BE49-F238E27FC236}">
                  <a16:creationId xmlns:a16="http://schemas.microsoft.com/office/drawing/2014/main" id="{CEE72E02-F2D6-2F3E-C0B9-5B9539B7D82D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6434640" y="14974560"/>
              <a:ext cx="1074600" cy="18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315657</xdr:colOff>
      <xdr:row>66</xdr:row>
      <xdr:rowOff>179439</xdr:rowOff>
    </xdr:from>
    <xdr:to>
      <xdr:col>7</xdr:col>
      <xdr:colOff>436294</xdr:colOff>
      <xdr:row>72</xdr:row>
      <xdr:rowOff>28581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7">
          <xdr14:nvContentPartPr>
            <xdr14:cNvPr id="279" name="Ink 278">
              <a:extLst>
                <a:ext uri="{FF2B5EF4-FFF2-40B4-BE49-F238E27FC236}">
                  <a16:creationId xmlns:a16="http://schemas.microsoft.com/office/drawing/2014/main" id="{3C1EE9FF-4069-367C-CFCB-1BB1F477144A}"/>
                </a:ext>
              </a:extLst>
            </xdr14:cNvPr>
            <xdr14:cNvContentPartPr/>
          </xdr14:nvContentPartPr>
          <xdr14:nvPr macro=""/>
          <xdr14:xfrm>
            <a:off x="2800440" y="13390200"/>
            <a:ext cx="3433680" cy="1050120"/>
          </xdr14:xfrm>
        </xdr:contentPart>
      </mc:Choice>
      <mc:Fallback>
        <xdr:pic>
          <xdr:nvPicPr>
            <xdr:cNvPr id="279" name="Ink 278">
              <a:extLst>
                <a:ext uri="{FF2B5EF4-FFF2-40B4-BE49-F238E27FC236}">
                  <a16:creationId xmlns:a16="http://schemas.microsoft.com/office/drawing/2014/main" id="{3C1EE9FF-4069-367C-CFCB-1BB1F477144A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2792846" y="13382658"/>
              <a:ext cx="3448868" cy="10652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508456</xdr:colOff>
      <xdr:row>74</xdr:row>
      <xdr:rowOff>39015</xdr:rowOff>
    </xdr:from>
    <xdr:to>
      <xdr:col>7</xdr:col>
      <xdr:colOff>164134</xdr:colOff>
      <xdr:row>76</xdr:row>
      <xdr:rowOff>167889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9">
          <xdr14:nvContentPartPr>
            <xdr14:cNvPr id="280" name="Ink 279">
              <a:extLst>
                <a:ext uri="{FF2B5EF4-FFF2-40B4-BE49-F238E27FC236}">
                  <a16:creationId xmlns:a16="http://schemas.microsoft.com/office/drawing/2014/main" id="{E92B7C9F-58D1-3175-6D72-7D25E229F18C}"/>
                </a:ext>
              </a:extLst>
            </xdr14:cNvPr>
            <xdr14:cNvContentPartPr/>
          </xdr14:nvContentPartPr>
          <xdr14:nvPr macro=""/>
          <xdr14:xfrm>
            <a:off x="4649760" y="14851080"/>
            <a:ext cx="1312200" cy="529200"/>
          </xdr14:xfrm>
        </xdr:contentPart>
      </mc:Choice>
      <mc:Fallback>
        <xdr:pic>
          <xdr:nvPicPr>
            <xdr:cNvPr id="280" name="Ink 279">
              <a:extLst>
                <a:ext uri="{FF2B5EF4-FFF2-40B4-BE49-F238E27FC236}">
                  <a16:creationId xmlns:a16="http://schemas.microsoft.com/office/drawing/2014/main" id="{E92B7C9F-58D1-3175-6D72-7D25E229F18C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4642200" y="14843484"/>
              <a:ext cx="1327320" cy="54439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101557</xdr:colOff>
      <xdr:row>75</xdr:row>
      <xdr:rowOff>86532</xdr:rowOff>
    </xdr:from>
    <xdr:to>
      <xdr:col>4</xdr:col>
      <xdr:colOff>627877</xdr:colOff>
      <xdr:row>77</xdr:row>
      <xdr:rowOff>12366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1">
          <xdr14:nvContentPartPr>
            <xdr14:cNvPr id="281" name="Ink 280">
              <a:extLst>
                <a:ext uri="{FF2B5EF4-FFF2-40B4-BE49-F238E27FC236}">
                  <a16:creationId xmlns:a16="http://schemas.microsoft.com/office/drawing/2014/main" id="{EEF0E62B-EBA9-9603-718F-4229D61586C2}"/>
                </a:ext>
              </a:extLst>
            </xdr14:cNvPr>
            <xdr14:cNvContentPartPr/>
          </xdr14:nvContentPartPr>
          <xdr14:nvPr macro=""/>
          <xdr14:xfrm>
            <a:off x="3414600" y="15098760"/>
            <a:ext cx="526320" cy="326160"/>
          </xdr14:xfrm>
        </xdr:contentPart>
      </mc:Choice>
      <mc:Fallback>
        <xdr:pic>
          <xdr:nvPicPr>
            <xdr:cNvPr id="281" name="Ink 280">
              <a:extLst>
                <a:ext uri="{FF2B5EF4-FFF2-40B4-BE49-F238E27FC236}">
                  <a16:creationId xmlns:a16="http://schemas.microsoft.com/office/drawing/2014/main" id="{EEF0E62B-EBA9-9603-718F-4229D61586C2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3407040" y="15091141"/>
              <a:ext cx="541440" cy="34139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473275</xdr:colOff>
      <xdr:row>59</xdr:row>
      <xdr:rowOff>182340</xdr:rowOff>
    </xdr:from>
    <xdr:to>
      <xdr:col>7</xdr:col>
      <xdr:colOff>996913</xdr:colOff>
      <xdr:row>63</xdr:row>
      <xdr:rowOff>66408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3">
          <xdr14:nvContentPartPr>
            <xdr14:cNvPr id="282" name="Ink 281">
              <a:extLst>
                <a:ext uri="{FF2B5EF4-FFF2-40B4-BE49-F238E27FC236}">
                  <a16:creationId xmlns:a16="http://schemas.microsoft.com/office/drawing/2014/main" id="{DF9F9D91-4F7F-3820-99B8-FB304F9D9B15}"/>
                </a:ext>
              </a:extLst>
            </xdr14:cNvPr>
            <xdr14:cNvContentPartPr/>
          </xdr14:nvContentPartPr>
          <xdr14:nvPr macro=""/>
          <xdr14:xfrm>
            <a:off x="5442840" y="11991960"/>
            <a:ext cx="1357200" cy="684720"/>
          </xdr14:xfrm>
        </xdr:contentPart>
      </mc:Choice>
      <mc:Fallback>
        <xdr:pic>
          <xdr:nvPicPr>
            <xdr:cNvPr id="282" name="Ink 281">
              <a:extLst>
                <a:ext uri="{FF2B5EF4-FFF2-40B4-BE49-F238E27FC236}">
                  <a16:creationId xmlns:a16="http://schemas.microsoft.com/office/drawing/2014/main" id="{DF9F9D91-4F7F-3820-99B8-FB304F9D9B15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5435252" y="11984340"/>
              <a:ext cx="1372376" cy="69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420067</xdr:colOff>
      <xdr:row>14</xdr:row>
      <xdr:rowOff>76240</xdr:rowOff>
    </xdr:from>
    <xdr:to>
      <xdr:col>11</xdr:col>
      <xdr:colOff>456493</xdr:colOff>
      <xdr:row>16</xdr:row>
      <xdr:rowOff>2207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5">
          <xdr14:nvContentPartPr>
            <xdr14:cNvPr id="298" name="Ink 297">
              <a:extLst>
                <a:ext uri="{FF2B5EF4-FFF2-40B4-BE49-F238E27FC236}">
                  <a16:creationId xmlns:a16="http://schemas.microsoft.com/office/drawing/2014/main" id="{60A2EF8D-EF29-A2DC-5210-C4C38D15CB6E}"/>
                </a:ext>
              </a:extLst>
            </xdr14:cNvPr>
            <xdr14:cNvContentPartPr/>
          </xdr14:nvContentPartPr>
          <xdr14:nvPr macro=""/>
          <xdr14:xfrm>
            <a:off x="8717400" y="2921040"/>
            <a:ext cx="866160" cy="327240"/>
          </xdr14:xfrm>
        </xdr:contentPart>
      </mc:Choice>
      <mc:Fallback>
        <xdr:pic>
          <xdr:nvPicPr>
            <xdr:cNvPr id="298" name="Ink 297">
              <a:extLst>
                <a:ext uri="{FF2B5EF4-FFF2-40B4-BE49-F238E27FC236}">
                  <a16:creationId xmlns:a16="http://schemas.microsoft.com/office/drawing/2014/main" id="{60A2EF8D-EF29-A2DC-5210-C4C38D15CB6E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8709840" y="2913480"/>
              <a:ext cx="880920" cy="34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609360</xdr:colOff>
      <xdr:row>3</xdr:row>
      <xdr:rowOff>75840</xdr:rowOff>
    </xdr:from>
    <xdr:to>
      <xdr:col>12</xdr:col>
      <xdr:colOff>221080</xdr:colOff>
      <xdr:row>13</xdr:row>
      <xdr:rowOff>12680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7">
          <xdr14:nvContentPartPr>
            <xdr14:cNvPr id="299" name="Ink 298">
              <a:extLst>
                <a:ext uri="{FF2B5EF4-FFF2-40B4-BE49-F238E27FC236}">
                  <a16:creationId xmlns:a16="http://schemas.microsoft.com/office/drawing/2014/main" id="{5FEF7B5E-A2A8-B405-C613-7825BAF7B884}"/>
                </a:ext>
              </a:extLst>
            </xdr14:cNvPr>
            <xdr14:cNvContentPartPr/>
          </xdr14:nvContentPartPr>
          <xdr14:nvPr macro=""/>
          <xdr14:xfrm>
            <a:off x="8076960" y="685440"/>
            <a:ext cx="2243160" cy="1968840"/>
          </xdr14:xfrm>
        </xdr:contentPart>
      </mc:Choice>
      <mc:Fallback>
        <xdr:pic>
          <xdr:nvPicPr>
            <xdr:cNvPr id="299" name="Ink 298">
              <a:extLst>
                <a:ext uri="{FF2B5EF4-FFF2-40B4-BE49-F238E27FC236}">
                  <a16:creationId xmlns:a16="http://schemas.microsoft.com/office/drawing/2014/main" id="{5FEF7B5E-A2A8-B405-C613-7825BAF7B884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8069355" y="677776"/>
              <a:ext cx="2258370" cy="19841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436427</xdr:colOff>
      <xdr:row>41</xdr:row>
      <xdr:rowOff>8920</xdr:rowOff>
    </xdr:from>
    <xdr:to>
      <xdr:col>7</xdr:col>
      <xdr:colOff>1026173</xdr:colOff>
      <xdr:row>42</xdr:row>
      <xdr:rowOff>82560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9">
          <xdr14:nvContentPartPr>
            <xdr14:cNvPr id="315" name="Ink 314">
              <a:extLst>
                <a:ext uri="{FF2B5EF4-FFF2-40B4-BE49-F238E27FC236}">
                  <a16:creationId xmlns:a16="http://schemas.microsoft.com/office/drawing/2014/main" id="{DC42CEA7-8169-7F33-0FF8-53616500623B}"/>
                </a:ext>
              </a:extLst>
            </xdr14:cNvPr>
            <xdr14:cNvContentPartPr/>
          </xdr14:nvContentPartPr>
          <xdr14:nvPr macro=""/>
          <xdr14:xfrm>
            <a:off x="6244560" y="8340120"/>
            <a:ext cx="596520" cy="276840"/>
          </xdr14:xfrm>
        </xdr:contentPart>
      </mc:Choice>
      <mc:Fallback>
        <xdr:pic>
          <xdr:nvPicPr>
            <xdr:cNvPr id="315" name="Ink 314">
              <a:extLst>
                <a:ext uri="{FF2B5EF4-FFF2-40B4-BE49-F238E27FC236}">
                  <a16:creationId xmlns:a16="http://schemas.microsoft.com/office/drawing/2014/main" id="{DC42CEA7-8169-7F33-0FF8-53616500623B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6237000" y="8332560"/>
              <a:ext cx="611640" cy="29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446960</xdr:colOff>
      <xdr:row>26</xdr:row>
      <xdr:rowOff>123280</xdr:rowOff>
    </xdr:from>
    <xdr:to>
      <xdr:col>4</xdr:col>
      <xdr:colOff>81627</xdr:colOff>
      <xdr:row>28</xdr:row>
      <xdr:rowOff>94880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1">
          <xdr14:nvContentPartPr>
            <xdr14:cNvPr id="322" name="Ink 321">
              <a:extLst>
                <a:ext uri="{FF2B5EF4-FFF2-40B4-BE49-F238E27FC236}">
                  <a16:creationId xmlns:a16="http://schemas.microsoft.com/office/drawing/2014/main" id="{BC4B13FE-E7D7-D86C-8308-EDA6FD94C4F9}"/>
                </a:ext>
              </a:extLst>
            </xdr14:cNvPr>
            <xdr14:cNvContentPartPr/>
          </xdr14:nvContentPartPr>
          <xdr14:nvPr macro=""/>
          <xdr14:xfrm>
            <a:off x="2936160" y="5406480"/>
            <a:ext cx="464400" cy="378000"/>
          </xdr14:xfrm>
        </xdr:contentPart>
      </mc:Choice>
      <mc:Fallback>
        <xdr:pic>
          <xdr:nvPicPr>
            <xdr:cNvPr id="322" name="Ink 321">
              <a:extLst>
                <a:ext uri="{FF2B5EF4-FFF2-40B4-BE49-F238E27FC236}">
                  <a16:creationId xmlns:a16="http://schemas.microsoft.com/office/drawing/2014/main" id="{BC4B13FE-E7D7-D86C-8308-EDA6FD94C4F9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2928600" y="5399280"/>
              <a:ext cx="479520" cy="393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427133</xdr:colOff>
      <xdr:row>34</xdr:row>
      <xdr:rowOff>38840</xdr:rowOff>
    </xdr:from>
    <xdr:to>
      <xdr:col>10</xdr:col>
      <xdr:colOff>800040</xdr:colOff>
      <xdr:row>39</xdr:row>
      <xdr:rowOff>86280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3">
          <xdr14:nvContentPartPr>
            <xdr14:cNvPr id="324" name="Ink 323">
              <a:extLst>
                <a:ext uri="{FF2B5EF4-FFF2-40B4-BE49-F238E27FC236}">
                  <a16:creationId xmlns:a16="http://schemas.microsoft.com/office/drawing/2014/main" id="{96AE0707-581D-8F12-D3F8-11E1B4880C83}"/>
                </a:ext>
              </a:extLst>
            </xdr14:cNvPr>
            <xdr14:cNvContentPartPr/>
          </xdr14:nvContentPartPr>
          <xdr14:nvPr macro=""/>
          <xdr14:xfrm>
            <a:off x="7065000" y="6947640"/>
            <a:ext cx="3641040" cy="1063440"/>
          </xdr14:xfrm>
        </xdr:contentPart>
      </mc:Choice>
      <mc:Fallback>
        <xdr:pic>
          <xdr:nvPicPr>
            <xdr:cNvPr id="324" name="Ink 323">
              <a:extLst>
                <a:ext uri="{FF2B5EF4-FFF2-40B4-BE49-F238E27FC236}">
                  <a16:creationId xmlns:a16="http://schemas.microsoft.com/office/drawing/2014/main" id="{96AE0707-581D-8F12-D3F8-11E1B4880C83}"/>
                </a:ext>
              </a:extLst>
            </xdr:cNvPr>
            <xdr:cNvPicPr/>
          </xdr:nvPicPr>
          <xdr:blipFill>
            <a:blip xmlns:r="http://schemas.openxmlformats.org/officeDocument/2006/relationships" r:embed="rId184"/>
            <a:stretch>
              <a:fillRect/>
            </a:stretch>
          </xdr:blipFill>
          <xdr:spPr>
            <a:xfrm>
              <a:off x="7057373" y="6939921"/>
              <a:ext cx="3656294" cy="107887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229587</xdr:colOff>
      <xdr:row>60</xdr:row>
      <xdr:rowOff>480</xdr:rowOff>
    </xdr:from>
    <xdr:to>
      <xdr:col>4</xdr:col>
      <xdr:colOff>229947</xdr:colOff>
      <xdr:row>60</xdr:row>
      <xdr:rowOff>840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5">
          <xdr14:nvContentPartPr>
            <xdr14:cNvPr id="325" name="Ink 324">
              <a:extLst>
                <a:ext uri="{FF2B5EF4-FFF2-40B4-BE49-F238E27FC236}">
                  <a16:creationId xmlns:a16="http://schemas.microsoft.com/office/drawing/2014/main" id="{FCCE064F-8980-8C34-475C-08CD4FC8D1C1}"/>
                </a:ext>
              </a:extLst>
            </xdr14:cNvPr>
            <xdr14:cNvContentPartPr/>
          </xdr14:nvContentPartPr>
          <xdr14:nvPr macro=""/>
          <xdr14:xfrm>
            <a:off x="3548520" y="12192480"/>
            <a:ext cx="360" cy="360"/>
          </xdr14:xfrm>
        </xdr:contentPart>
      </mc:Choice>
      <mc:Fallback>
        <xdr:pic>
          <xdr:nvPicPr>
            <xdr:cNvPr id="325" name="Ink 324">
              <a:extLst>
                <a:ext uri="{FF2B5EF4-FFF2-40B4-BE49-F238E27FC236}">
                  <a16:creationId xmlns:a16="http://schemas.microsoft.com/office/drawing/2014/main" id="{FCCE064F-8980-8C34-475C-08CD4FC8D1C1}"/>
                </a:ext>
              </a:extLst>
            </xdr:cNvPr>
            <xdr:cNvPicPr/>
          </xdr:nvPicPr>
          <xdr:blipFill>
            <a:blip xmlns:r="http://schemas.openxmlformats.org/officeDocument/2006/relationships" r:embed="rId186"/>
            <a:stretch>
              <a:fillRect/>
            </a:stretch>
          </xdr:blipFill>
          <xdr:spPr>
            <a:xfrm>
              <a:off x="3544200" y="12188160"/>
              <a:ext cx="9000" cy="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35640</xdr:colOff>
      <xdr:row>86</xdr:row>
      <xdr:rowOff>73720</xdr:rowOff>
    </xdr:from>
    <xdr:to>
      <xdr:col>10</xdr:col>
      <xdr:colOff>3200</xdr:colOff>
      <xdr:row>88</xdr:row>
      <xdr:rowOff>12920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7">
          <xdr14:nvContentPartPr>
            <xdr14:cNvPr id="331" name="Ink 330">
              <a:extLst>
                <a:ext uri="{FF2B5EF4-FFF2-40B4-BE49-F238E27FC236}">
                  <a16:creationId xmlns:a16="http://schemas.microsoft.com/office/drawing/2014/main" id="{19D986D0-2138-251F-17D5-384B80621DBC}"/>
                </a:ext>
              </a:extLst>
            </xdr14:cNvPr>
            <xdr14:cNvContentPartPr/>
          </xdr14:nvContentPartPr>
          <xdr14:nvPr macro=""/>
          <xdr14:xfrm>
            <a:off x="12837240" y="17548920"/>
            <a:ext cx="932760" cy="345600"/>
          </xdr14:xfrm>
        </xdr:contentPart>
      </mc:Choice>
      <mc:Fallback>
        <xdr:pic>
          <xdr:nvPicPr>
            <xdr:cNvPr id="331" name="Ink 330">
              <a:extLst>
                <a:ext uri="{FF2B5EF4-FFF2-40B4-BE49-F238E27FC236}">
                  <a16:creationId xmlns:a16="http://schemas.microsoft.com/office/drawing/2014/main" id="{19D986D0-2138-251F-17D5-384B80621DBC}"/>
                </a:ext>
              </a:extLst>
            </xdr:cNvPr>
            <xdr:cNvPicPr/>
          </xdr:nvPicPr>
          <xdr:blipFill>
            <a:blip xmlns:r="http://schemas.openxmlformats.org/officeDocument/2006/relationships" r:embed="rId188"/>
            <a:stretch>
              <a:fillRect/>
            </a:stretch>
          </xdr:blipFill>
          <xdr:spPr>
            <a:xfrm>
              <a:off x="12829680" y="17541360"/>
              <a:ext cx="947880" cy="36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631720</xdr:colOff>
      <xdr:row>86</xdr:row>
      <xdr:rowOff>112240</xdr:rowOff>
    </xdr:from>
    <xdr:to>
      <xdr:col>8</xdr:col>
      <xdr:colOff>1766440</xdr:colOff>
      <xdr:row>88</xdr:row>
      <xdr:rowOff>53600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9">
          <xdr14:nvContentPartPr>
            <xdr14:cNvPr id="332" name="Ink 331">
              <a:extLst>
                <a:ext uri="{FF2B5EF4-FFF2-40B4-BE49-F238E27FC236}">
                  <a16:creationId xmlns:a16="http://schemas.microsoft.com/office/drawing/2014/main" id="{3BBF9D20-AB0D-1406-72B9-5A3481629E54}"/>
                </a:ext>
              </a:extLst>
            </xdr14:cNvPr>
            <xdr14:cNvContentPartPr/>
          </xdr14:nvContentPartPr>
          <xdr14:nvPr macro=""/>
          <xdr14:xfrm>
            <a:off x="11157480" y="17587440"/>
            <a:ext cx="1134720" cy="347760"/>
          </xdr14:xfrm>
        </xdr:contentPart>
      </mc:Choice>
      <mc:Fallback>
        <xdr:pic>
          <xdr:nvPicPr>
            <xdr:cNvPr id="332" name="Ink 331">
              <a:extLst>
                <a:ext uri="{FF2B5EF4-FFF2-40B4-BE49-F238E27FC236}">
                  <a16:creationId xmlns:a16="http://schemas.microsoft.com/office/drawing/2014/main" id="{3BBF9D20-AB0D-1406-72B9-5A3481629E54}"/>
                </a:ext>
              </a:extLst>
            </xdr:cNvPr>
            <xdr:cNvPicPr/>
          </xdr:nvPicPr>
          <xdr:blipFill>
            <a:blip xmlns:r="http://schemas.openxmlformats.org/officeDocument/2006/relationships" r:embed="rId190"/>
            <a:stretch>
              <a:fillRect/>
            </a:stretch>
          </xdr:blipFill>
          <xdr:spPr>
            <a:xfrm>
              <a:off x="11149920" y="17579880"/>
              <a:ext cx="1149840" cy="362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1145440</xdr:colOff>
      <xdr:row>90</xdr:row>
      <xdr:rowOff>18360</xdr:rowOff>
    </xdr:from>
    <xdr:to>
      <xdr:col>8</xdr:col>
      <xdr:colOff>1571680</xdr:colOff>
      <xdr:row>90</xdr:row>
      <xdr:rowOff>139320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1">
          <xdr14:nvContentPartPr>
            <xdr14:cNvPr id="339" name="Ink 338">
              <a:extLst>
                <a:ext uri="{FF2B5EF4-FFF2-40B4-BE49-F238E27FC236}">
                  <a16:creationId xmlns:a16="http://schemas.microsoft.com/office/drawing/2014/main" id="{4343AF93-9C1E-377B-9CEC-460B9BBA59CC}"/>
                </a:ext>
              </a:extLst>
            </xdr14:cNvPr>
            <xdr14:cNvContentPartPr/>
          </xdr14:nvContentPartPr>
          <xdr14:nvPr macro=""/>
          <xdr14:xfrm>
            <a:off x="11671200" y="18306360"/>
            <a:ext cx="426240" cy="120960"/>
          </xdr14:xfrm>
        </xdr:contentPart>
      </mc:Choice>
      <mc:Fallback>
        <xdr:pic>
          <xdr:nvPicPr>
            <xdr:cNvPr id="339" name="Ink 338">
              <a:extLst>
                <a:ext uri="{FF2B5EF4-FFF2-40B4-BE49-F238E27FC236}">
                  <a16:creationId xmlns:a16="http://schemas.microsoft.com/office/drawing/2014/main" id="{4343AF93-9C1E-377B-9CEC-460B9BBA59CC}"/>
                </a:ext>
              </a:extLst>
            </xdr:cNvPr>
            <xdr:cNvPicPr/>
          </xdr:nvPicPr>
          <xdr:blipFill>
            <a:blip xmlns:r="http://schemas.openxmlformats.org/officeDocument/2006/relationships" r:embed="rId192"/>
            <a:stretch>
              <a:fillRect/>
            </a:stretch>
          </xdr:blipFill>
          <xdr:spPr>
            <a:xfrm>
              <a:off x="11663640" y="18298800"/>
              <a:ext cx="441000" cy="13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142920</xdr:colOff>
      <xdr:row>90</xdr:row>
      <xdr:rowOff>33120</xdr:rowOff>
    </xdr:from>
    <xdr:to>
      <xdr:col>9</xdr:col>
      <xdr:colOff>326520</xdr:colOff>
      <xdr:row>90</xdr:row>
      <xdr:rowOff>144720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3">
          <xdr14:nvContentPartPr>
            <xdr14:cNvPr id="340" name="Ink 339">
              <a:extLst>
                <a:ext uri="{FF2B5EF4-FFF2-40B4-BE49-F238E27FC236}">
                  <a16:creationId xmlns:a16="http://schemas.microsoft.com/office/drawing/2014/main" id="{05A9A7A7-38D3-7CCC-7B4A-5CAB3CD4665A}"/>
                </a:ext>
              </a:extLst>
            </xdr14:cNvPr>
            <xdr14:cNvContentPartPr/>
          </xdr14:nvContentPartPr>
          <xdr14:nvPr macro=""/>
          <xdr14:xfrm>
            <a:off x="12944520" y="18321120"/>
            <a:ext cx="183600" cy="111600"/>
          </xdr14:xfrm>
        </xdr:contentPart>
      </mc:Choice>
      <mc:Fallback>
        <xdr:pic>
          <xdr:nvPicPr>
            <xdr:cNvPr id="340" name="Ink 339">
              <a:extLst>
                <a:ext uri="{FF2B5EF4-FFF2-40B4-BE49-F238E27FC236}">
                  <a16:creationId xmlns:a16="http://schemas.microsoft.com/office/drawing/2014/main" id="{05A9A7A7-38D3-7CCC-7B4A-5CAB3CD4665A}"/>
                </a:ext>
              </a:extLst>
            </xdr:cNvPr>
            <xdr:cNvPicPr/>
          </xdr:nvPicPr>
          <xdr:blipFill>
            <a:blip xmlns:r="http://schemas.openxmlformats.org/officeDocument/2006/relationships" r:embed="rId194"/>
            <a:stretch>
              <a:fillRect/>
            </a:stretch>
          </xdr:blipFill>
          <xdr:spPr>
            <a:xfrm>
              <a:off x="12936960" y="18313560"/>
              <a:ext cx="198360" cy="126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241200</xdr:colOff>
      <xdr:row>102</xdr:row>
      <xdr:rowOff>136680</xdr:rowOff>
    </xdr:from>
    <xdr:to>
      <xdr:col>5</xdr:col>
      <xdr:colOff>137520</xdr:colOff>
      <xdr:row>105</xdr:row>
      <xdr:rowOff>91200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5">
          <xdr14:nvContentPartPr>
            <xdr14:cNvPr id="358" name="Ink 357">
              <a:extLst>
                <a:ext uri="{FF2B5EF4-FFF2-40B4-BE49-F238E27FC236}">
                  <a16:creationId xmlns:a16="http://schemas.microsoft.com/office/drawing/2014/main" id="{072A6F0E-E05F-DC8F-CB45-AA30F02E81BF}"/>
                </a:ext>
              </a:extLst>
            </xdr14:cNvPr>
            <xdr14:cNvContentPartPr/>
          </xdr14:nvContentPartPr>
          <xdr14:nvPr macro=""/>
          <xdr14:xfrm>
            <a:off x="2710080" y="20863080"/>
            <a:ext cx="1542240" cy="564120"/>
          </xdr14:xfrm>
        </xdr:contentPart>
      </mc:Choice>
      <mc:Fallback>
        <xdr:pic>
          <xdr:nvPicPr>
            <xdr:cNvPr id="358" name="Ink 357">
              <a:extLst>
                <a:ext uri="{FF2B5EF4-FFF2-40B4-BE49-F238E27FC236}">
                  <a16:creationId xmlns:a16="http://schemas.microsoft.com/office/drawing/2014/main" id="{072A6F0E-E05F-DC8F-CB45-AA30F02E81BF}"/>
                </a:ext>
              </a:extLst>
            </xdr:cNvPr>
            <xdr:cNvPicPr/>
          </xdr:nvPicPr>
          <xdr:blipFill>
            <a:blip xmlns:r="http://schemas.openxmlformats.org/officeDocument/2006/relationships" r:embed="rId196"/>
            <a:stretch>
              <a:fillRect/>
            </a:stretch>
          </xdr:blipFill>
          <xdr:spPr>
            <a:xfrm>
              <a:off x="2702573" y="20855342"/>
              <a:ext cx="1557255" cy="5795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2024200</xdr:colOff>
      <xdr:row>91</xdr:row>
      <xdr:rowOff>68240</xdr:rowOff>
    </xdr:from>
    <xdr:to>
      <xdr:col>9</xdr:col>
      <xdr:colOff>418680</xdr:colOff>
      <xdr:row>94</xdr:row>
      <xdr:rowOff>12680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7">
          <xdr14:nvContentPartPr>
            <xdr14:cNvPr id="359" name="Ink 358">
              <a:extLst>
                <a:ext uri="{FF2B5EF4-FFF2-40B4-BE49-F238E27FC236}">
                  <a16:creationId xmlns:a16="http://schemas.microsoft.com/office/drawing/2014/main" id="{2256BC0B-005D-5D1C-EA9A-B34E73BC0300}"/>
                </a:ext>
              </a:extLst>
            </xdr14:cNvPr>
            <xdr14:cNvContentPartPr/>
          </xdr14:nvContentPartPr>
          <xdr14:nvPr macro=""/>
          <xdr14:xfrm>
            <a:off x="12549960" y="18559440"/>
            <a:ext cx="670320" cy="554040"/>
          </xdr14:xfrm>
        </xdr:contentPart>
      </mc:Choice>
      <mc:Fallback>
        <xdr:pic>
          <xdr:nvPicPr>
            <xdr:cNvPr id="359" name="Ink 358">
              <a:extLst>
                <a:ext uri="{FF2B5EF4-FFF2-40B4-BE49-F238E27FC236}">
                  <a16:creationId xmlns:a16="http://schemas.microsoft.com/office/drawing/2014/main" id="{2256BC0B-005D-5D1C-EA9A-B34E73BC0300}"/>
                </a:ext>
              </a:extLst>
            </xdr:cNvPr>
            <xdr:cNvPicPr/>
          </xdr:nvPicPr>
          <xdr:blipFill>
            <a:blip xmlns:r="http://schemas.openxmlformats.org/officeDocument/2006/relationships" r:embed="rId198"/>
            <a:stretch>
              <a:fillRect/>
            </a:stretch>
          </xdr:blipFill>
          <xdr:spPr>
            <a:xfrm>
              <a:off x="12542396" y="18551880"/>
              <a:ext cx="685448" cy="56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480160</xdr:colOff>
      <xdr:row>91</xdr:row>
      <xdr:rowOff>69320</xdr:rowOff>
    </xdr:from>
    <xdr:to>
      <xdr:col>8</xdr:col>
      <xdr:colOff>1552600</xdr:colOff>
      <xdr:row>92</xdr:row>
      <xdr:rowOff>167080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9">
          <xdr14:nvContentPartPr>
            <xdr14:cNvPr id="360" name="Ink 359">
              <a:extLst>
                <a:ext uri="{FF2B5EF4-FFF2-40B4-BE49-F238E27FC236}">
                  <a16:creationId xmlns:a16="http://schemas.microsoft.com/office/drawing/2014/main" id="{14C854ED-E4BB-7CF9-9F90-CD89C4498F71}"/>
                </a:ext>
              </a:extLst>
            </xdr14:cNvPr>
            <xdr14:cNvContentPartPr/>
          </xdr14:nvContentPartPr>
          <xdr14:nvPr macro=""/>
          <xdr14:xfrm>
            <a:off x="11005920" y="18560520"/>
            <a:ext cx="1072440" cy="300960"/>
          </xdr14:xfrm>
        </xdr:contentPart>
      </mc:Choice>
      <mc:Fallback>
        <xdr:pic>
          <xdr:nvPicPr>
            <xdr:cNvPr id="360" name="Ink 359">
              <a:extLst>
                <a:ext uri="{FF2B5EF4-FFF2-40B4-BE49-F238E27FC236}">
                  <a16:creationId xmlns:a16="http://schemas.microsoft.com/office/drawing/2014/main" id="{14C854ED-E4BB-7CF9-9F90-CD89C4498F71}"/>
                </a:ext>
              </a:extLst>
            </xdr:cNvPr>
            <xdr:cNvPicPr/>
          </xdr:nvPicPr>
          <xdr:blipFill>
            <a:blip xmlns:r="http://schemas.openxmlformats.org/officeDocument/2006/relationships" r:embed="rId200"/>
            <a:stretch>
              <a:fillRect/>
            </a:stretch>
          </xdr:blipFill>
          <xdr:spPr>
            <a:xfrm>
              <a:off x="10998360" y="18552960"/>
              <a:ext cx="1087560" cy="31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755640</xdr:colOff>
      <xdr:row>2</xdr:row>
      <xdr:rowOff>59800</xdr:rowOff>
    </xdr:from>
    <xdr:to>
      <xdr:col>7</xdr:col>
      <xdr:colOff>390240</xdr:colOff>
      <xdr:row>6</xdr:row>
      <xdr:rowOff>107040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1">
          <xdr14:nvContentPartPr>
            <xdr14:cNvPr id="361" name="Ink 360">
              <a:extLst>
                <a:ext uri="{FF2B5EF4-FFF2-40B4-BE49-F238E27FC236}">
                  <a16:creationId xmlns:a16="http://schemas.microsoft.com/office/drawing/2014/main" id="{6539A0C2-C678-DA97-F22A-29CB103C805A}"/>
                </a:ext>
              </a:extLst>
            </xdr14:cNvPr>
            <xdr14:cNvContentPartPr/>
          </xdr14:nvContentPartPr>
          <xdr14:nvPr macro=""/>
          <xdr14:xfrm>
            <a:off x="4870440" y="466200"/>
            <a:ext cx="1280520" cy="860040"/>
          </xdr14:xfrm>
        </xdr:contentPart>
      </mc:Choice>
      <mc:Fallback>
        <xdr:pic>
          <xdr:nvPicPr>
            <xdr:cNvPr id="361" name="Ink 360">
              <a:extLst>
                <a:ext uri="{FF2B5EF4-FFF2-40B4-BE49-F238E27FC236}">
                  <a16:creationId xmlns:a16="http://schemas.microsoft.com/office/drawing/2014/main" id="{6539A0C2-C678-DA97-F22A-29CB103C805A}"/>
                </a:ext>
              </a:extLst>
            </xdr:cNvPr>
            <xdr:cNvPicPr/>
          </xdr:nvPicPr>
          <xdr:blipFill>
            <a:blip xmlns:r="http://schemas.openxmlformats.org/officeDocument/2006/relationships" r:embed="rId202"/>
            <a:stretch>
              <a:fillRect/>
            </a:stretch>
          </xdr:blipFill>
          <xdr:spPr>
            <a:xfrm>
              <a:off x="4862943" y="458482"/>
              <a:ext cx="1295514" cy="8754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25920</xdr:colOff>
      <xdr:row>102</xdr:row>
      <xdr:rowOff>30120</xdr:rowOff>
    </xdr:from>
    <xdr:to>
      <xdr:col>7</xdr:col>
      <xdr:colOff>631800</xdr:colOff>
      <xdr:row>110</xdr:row>
      <xdr:rowOff>91840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3">
          <xdr14:nvContentPartPr>
            <xdr14:cNvPr id="369" name="Ink 368">
              <a:extLst>
                <a:ext uri="{FF2B5EF4-FFF2-40B4-BE49-F238E27FC236}">
                  <a16:creationId xmlns:a16="http://schemas.microsoft.com/office/drawing/2014/main" id="{7DDAD563-4071-04F2-E5C0-72E0392F24FA}"/>
                </a:ext>
              </a:extLst>
            </xdr14:cNvPr>
            <xdr14:cNvContentPartPr/>
          </xdr14:nvContentPartPr>
          <xdr14:nvPr macro=""/>
          <xdr14:xfrm>
            <a:off x="3317760" y="20756520"/>
            <a:ext cx="3074760" cy="1687320"/>
          </xdr14:xfrm>
        </xdr:contentPart>
      </mc:Choice>
      <mc:Fallback>
        <xdr:pic>
          <xdr:nvPicPr>
            <xdr:cNvPr id="369" name="Ink 368">
              <a:extLst>
                <a:ext uri="{FF2B5EF4-FFF2-40B4-BE49-F238E27FC236}">
                  <a16:creationId xmlns:a16="http://schemas.microsoft.com/office/drawing/2014/main" id="{7DDAD563-4071-04F2-E5C0-72E0392F24FA}"/>
                </a:ext>
              </a:extLst>
            </xdr:cNvPr>
            <xdr:cNvPicPr/>
          </xdr:nvPicPr>
          <xdr:blipFill>
            <a:blip xmlns:r="http://schemas.openxmlformats.org/officeDocument/2006/relationships" r:embed="rId204"/>
            <a:stretch>
              <a:fillRect/>
            </a:stretch>
          </xdr:blipFill>
          <xdr:spPr>
            <a:xfrm>
              <a:off x="3310240" y="20748799"/>
              <a:ext cx="3089801" cy="17027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1383480</xdr:colOff>
      <xdr:row>98</xdr:row>
      <xdr:rowOff>73600</xdr:rowOff>
    </xdr:from>
    <xdr:to>
      <xdr:col>8</xdr:col>
      <xdr:colOff>1224280</xdr:colOff>
      <xdr:row>99</xdr:row>
      <xdr:rowOff>31320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5">
          <xdr14:nvContentPartPr>
            <xdr14:cNvPr id="370" name="Ink 369">
              <a:extLst>
                <a:ext uri="{FF2B5EF4-FFF2-40B4-BE49-F238E27FC236}">
                  <a16:creationId xmlns:a16="http://schemas.microsoft.com/office/drawing/2014/main" id="{34F526FC-FA50-2BDE-7E9B-8580B1D74652}"/>
                </a:ext>
              </a:extLst>
            </xdr14:cNvPr>
            <xdr14:cNvContentPartPr/>
          </xdr14:nvContentPartPr>
          <xdr14:nvPr macro=""/>
          <xdr14:xfrm>
            <a:off x="7144200" y="19987200"/>
            <a:ext cx="4605840" cy="160920"/>
          </xdr14:xfrm>
        </xdr:contentPart>
      </mc:Choice>
      <mc:Fallback>
        <xdr:pic>
          <xdr:nvPicPr>
            <xdr:cNvPr id="370" name="Ink 369">
              <a:extLst>
                <a:ext uri="{FF2B5EF4-FFF2-40B4-BE49-F238E27FC236}">
                  <a16:creationId xmlns:a16="http://schemas.microsoft.com/office/drawing/2014/main" id="{34F526FC-FA50-2BDE-7E9B-8580B1D74652}"/>
                </a:ext>
              </a:extLst>
            </xdr:cNvPr>
            <xdr:cNvPicPr/>
          </xdr:nvPicPr>
          <xdr:blipFill>
            <a:blip xmlns:r="http://schemas.openxmlformats.org/officeDocument/2006/relationships" r:embed="rId206"/>
            <a:stretch>
              <a:fillRect/>
            </a:stretch>
          </xdr:blipFill>
          <xdr:spPr>
            <a:xfrm>
              <a:off x="7137000" y="19979640"/>
              <a:ext cx="4620960" cy="17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2153880</xdr:colOff>
      <xdr:row>104</xdr:row>
      <xdr:rowOff>66880</xdr:rowOff>
    </xdr:from>
    <xdr:to>
      <xdr:col>7</xdr:col>
      <xdr:colOff>3058200</xdr:colOff>
      <xdr:row>107</xdr:row>
      <xdr:rowOff>63160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7">
          <xdr14:nvContentPartPr>
            <xdr14:cNvPr id="371" name="Ink 370">
              <a:extLst>
                <a:ext uri="{FF2B5EF4-FFF2-40B4-BE49-F238E27FC236}">
                  <a16:creationId xmlns:a16="http://schemas.microsoft.com/office/drawing/2014/main" id="{924F11CA-3A28-FC9D-55D2-DFBE7059C37D}"/>
                </a:ext>
              </a:extLst>
            </xdr14:cNvPr>
            <xdr14:cNvContentPartPr/>
          </xdr14:nvContentPartPr>
          <xdr14:nvPr macro=""/>
          <xdr14:xfrm>
            <a:off x="7914600" y="21199680"/>
            <a:ext cx="904320" cy="605880"/>
          </xdr14:xfrm>
        </xdr:contentPart>
      </mc:Choice>
      <mc:Fallback>
        <xdr:pic>
          <xdr:nvPicPr>
            <xdr:cNvPr id="371" name="Ink 370">
              <a:extLst>
                <a:ext uri="{FF2B5EF4-FFF2-40B4-BE49-F238E27FC236}">
                  <a16:creationId xmlns:a16="http://schemas.microsoft.com/office/drawing/2014/main" id="{924F11CA-3A28-FC9D-55D2-DFBE7059C37D}"/>
                </a:ext>
              </a:extLst>
            </xdr:cNvPr>
            <xdr:cNvPicPr/>
          </xdr:nvPicPr>
          <xdr:blipFill>
            <a:blip xmlns:r="http://schemas.openxmlformats.org/officeDocument/2006/relationships" r:embed="rId208"/>
            <a:stretch>
              <a:fillRect/>
            </a:stretch>
          </xdr:blipFill>
          <xdr:spPr>
            <a:xfrm>
              <a:off x="7907040" y="21192120"/>
              <a:ext cx="919440" cy="62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3132827</xdr:colOff>
      <xdr:row>109</xdr:row>
      <xdr:rowOff>153200</xdr:rowOff>
    </xdr:from>
    <xdr:to>
      <xdr:col>7</xdr:col>
      <xdr:colOff>4625387</xdr:colOff>
      <xdr:row>112</xdr:row>
      <xdr:rowOff>197000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09">
          <xdr14:nvContentPartPr>
            <xdr14:cNvPr id="390" name="Ink 389">
              <a:extLst>
                <a:ext uri="{FF2B5EF4-FFF2-40B4-BE49-F238E27FC236}">
                  <a16:creationId xmlns:a16="http://schemas.microsoft.com/office/drawing/2014/main" id="{B639E49C-D78F-D394-5A80-BF47B8ED56D8}"/>
                </a:ext>
              </a:extLst>
            </xdr14:cNvPr>
            <xdr14:cNvContentPartPr/>
          </xdr14:nvContentPartPr>
          <xdr14:nvPr macro=""/>
          <xdr14:xfrm>
            <a:off x="8940960" y="22302000"/>
            <a:ext cx="1492560" cy="653400"/>
          </xdr14:xfrm>
        </xdr:contentPart>
      </mc:Choice>
      <mc:Fallback>
        <xdr:pic>
          <xdr:nvPicPr>
            <xdr:cNvPr id="390" name="Ink 389">
              <a:extLst>
                <a:ext uri="{FF2B5EF4-FFF2-40B4-BE49-F238E27FC236}">
                  <a16:creationId xmlns:a16="http://schemas.microsoft.com/office/drawing/2014/main" id="{B639E49C-D78F-D394-5A80-BF47B8ED56D8}"/>
                </a:ext>
              </a:extLst>
            </xdr:cNvPr>
            <xdr:cNvPicPr/>
          </xdr:nvPicPr>
          <xdr:blipFill>
            <a:blip xmlns:r="http://schemas.openxmlformats.org/officeDocument/2006/relationships" r:embed="rId210"/>
            <a:stretch>
              <a:fillRect/>
            </a:stretch>
          </xdr:blipFill>
          <xdr:spPr>
            <a:xfrm>
              <a:off x="8933400" y="22294287"/>
              <a:ext cx="1507680" cy="6688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323413</xdr:colOff>
      <xdr:row>109</xdr:row>
      <xdr:rowOff>109280</xdr:rowOff>
    </xdr:from>
    <xdr:to>
      <xdr:col>8</xdr:col>
      <xdr:colOff>1680973</xdr:colOff>
      <xdr:row>112</xdr:row>
      <xdr:rowOff>47960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1">
          <xdr14:nvContentPartPr>
            <xdr14:cNvPr id="416" name="Ink 415">
              <a:extLst>
                <a:ext uri="{FF2B5EF4-FFF2-40B4-BE49-F238E27FC236}">
                  <a16:creationId xmlns:a16="http://schemas.microsoft.com/office/drawing/2014/main" id="{7881D320-FFA9-7E5B-5083-5363CD77FC8B}"/>
                </a:ext>
              </a:extLst>
            </xdr14:cNvPr>
            <xdr14:cNvContentPartPr/>
          </xdr14:nvContentPartPr>
          <xdr14:nvPr macro=""/>
          <xdr14:xfrm>
            <a:off x="10898280" y="22258080"/>
            <a:ext cx="1357560" cy="548280"/>
          </xdr14:xfrm>
        </xdr:contentPart>
      </mc:Choice>
      <mc:Fallback>
        <xdr:pic>
          <xdr:nvPicPr>
            <xdr:cNvPr id="416" name="Ink 415">
              <a:extLst>
                <a:ext uri="{FF2B5EF4-FFF2-40B4-BE49-F238E27FC236}">
                  <a16:creationId xmlns:a16="http://schemas.microsoft.com/office/drawing/2014/main" id="{7881D320-FFA9-7E5B-5083-5363CD77FC8B}"/>
                </a:ext>
              </a:extLst>
            </xdr:cNvPr>
            <xdr:cNvPicPr/>
          </xdr:nvPicPr>
          <xdr:blipFill>
            <a:blip xmlns:r="http://schemas.openxmlformats.org/officeDocument/2006/relationships" r:embed="rId212"/>
            <a:stretch>
              <a:fillRect/>
            </a:stretch>
          </xdr:blipFill>
          <xdr:spPr>
            <a:xfrm>
              <a:off x="10890722" y="22250520"/>
              <a:ext cx="1372316" cy="5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628880</xdr:colOff>
      <xdr:row>99</xdr:row>
      <xdr:rowOff>86760</xdr:rowOff>
    </xdr:from>
    <xdr:to>
      <xdr:col>10</xdr:col>
      <xdr:colOff>573760</xdr:colOff>
      <xdr:row>101</xdr:row>
      <xdr:rowOff>40720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3">
          <xdr14:nvContentPartPr>
            <xdr14:cNvPr id="442" name="Ink 441">
              <a:extLst>
                <a:ext uri="{FF2B5EF4-FFF2-40B4-BE49-F238E27FC236}">
                  <a16:creationId xmlns:a16="http://schemas.microsoft.com/office/drawing/2014/main" id="{60203163-C113-BEA3-3C1D-63B66B0F911B}"/>
                </a:ext>
              </a:extLst>
            </xdr14:cNvPr>
            <xdr14:cNvContentPartPr/>
          </xdr14:nvContentPartPr>
          <xdr14:nvPr macro=""/>
          <xdr14:xfrm>
            <a:off x="13481280" y="20203560"/>
            <a:ext cx="910080" cy="360360"/>
          </xdr14:xfrm>
        </xdr:contentPart>
      </mc:Choice>
      <mc:Fallback>
        <xdr:pic>
          <xdr:nvPicPr>
            <xdr:cNvPr id="442" name="Ink 441">
              <a:extLst>
                <a:ext uri="{FF2B5EF4-FFF2-40B4-BE49-F238E27FC236}">
                  <a16:creationId xmlns:a16="http://schemas.microsoft.com/office/drawing/2014/main" id="{60203163-C113-BEA3-3C1D-63B66B0F911B}"/>
                </a:ext>
              </a:extLst>
            </xdr:cNvPr>
            <xdr:cNvPicPr/>
          </xdr:nvPicPr>
          <xdr:blipFill>
            <a:blip xmlns:r="http://schemas.openxmlformats.org/officeDocument/2006/relationships" r:embed="rId214"/>
            <a:stretch>
              <a:fillRect/>
            </a:stretch>
          </xdr:blipFill>
          <xdr:spPr>
            <a:xfrm>
              <a:off x="13474080" y="20196000"/>
              <a:ext cx="925200" cy="375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440267</xdr:colOff>
      <xdr:row>93</xdr:row>
      <xdr:rowOff>97800</xdr:rowOff>
    </xdr:from>
    <xdr:to>
      <xdr:col>12</xdr:col>
      <xdr:colOff>757853</xdr:colOff>
      <xdr:row>96</xdr:row>
      <xdr:rowOff>118560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5">
          <xdr14:nvContentPartPr>
            <xdr14:cNvPr id="454" name="Ink 453">
              <a:extLst>
                <a:ext uri="{FF2B5EF4-FFF2-40B4-BE49-F238E27FC236}">
                  <a16:creationId xmlns:a16="http://schemas.microsoft.com/office/drawing/2014/main" id="{9CF839C0-206F-2461-885F-58FDC6BB00AF}"/>
                </a:ext>
              </a:extLst>
            </xdr14:cNvPr>
            <xdr14:cNvContentPartPr/>
          </xdr14:nvContentPartPr>
          <xdr14:nvPr macro=""/>
          <xdr14:xfrm>
            <a:off x="15087600" y="18995400"/>
            <a:ext cx="1147320" cy="630360"/>
          </xdr14:xfrm>
        </xdr:contentPart>
      </mc:Choice>
      <mc:Fallback>
        <xdr:pic>
          <xdr:nvPicPr>
            <xdr:cNvPr id="454" name="Ink 453">
              <a:extLst>
                <a:ext uri="{FF2B5EF4-FFF2-40B4-BE49-F238E27FC236}">
                  <a16:creationId xmlns:a16="http://schemas.microsoft.com/office/drawing/2014/main" id="{9CF839C0-206F-2461-885F-58FDC6BB00AF}"/>
                </a:ext>
              </a:extLst>
            </xdr:cNvPr>
            <xdr:cNvPicPr/>
          </xdr:nvPicPr>
          <xdr:blipFill>
            <a:blip xmlns:r="http://schemas.openxmlformats.org/officeDocument/2006/relationships" r:embed="rId216"/>
            <a:stretch>
              <a:fillRect/>
            </a:stretch>
          </xdr:blipFill>
          <xdr:spPr>
            <a:xfrm>
              <a:off x="15080030" y="18987681"/>
              <a:ext cx="1162459" cy="6457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50813</xdr:colOff>
      <xdr:row>89</xdr:row>
      <xdr:rowOff>155320</xdr:rowOff>
    </xdr:from>
    <xdr:to>
      <xdr:col>12</xdr:col>
      <xdr:colOff>527453</xdr:colOff>
      <xdr:row>91</xdr:row>
      <xdr:rowOff>169760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7">
          <xdr14:nvContentPartPr>
            <xdr14:cNvPr id="455" name="Ink 454">
              <a:extLst>
                <a:ext uri="{FF2B5EF4-FFF2-40B4-BE49-F238E27FC236}">
                  <a16:creationId xmlns:a16="http://schemas.microsoft.com/office/drawing/2014/main" id="{8B3CCA23-035F-99D4-E002-C1D2E982DF03}"/>
                </a:ext>
              </a:extLst>
            </xdr14:cNvPr>
            <xdr14:cNvContentPartPr/>
          </xdr14:nvContentPartPr>
          <xdr14:nvPr macro=""/>
          <xdr14:xfrm>
            <a:off x="15527880" y="18240120"/>
            <a:ext cx="476640" cy="420840"/>
          </xdr14:xfrm>
        </xdr:contentPart>
      </mc:Choice>
      <mc:Fallback>
        <xdr:pic>
          <xdr:nvPicPr>
            <xdr:cNvPr id="455" name="Ink 454">
              <a:extLst>
                <a:ext uri="{FF2B5EF4-FFF2-40B4-BE49-F238E27FC236}">
                  <a16:creationId xmlns:a16="http://schemas.microsoft.com/office/drawing/2014/main" id="{8B3CCA23-035F-99D4-E002-C1D2E982DF03}"/>
                </a:ext>
              </a:extLst>
            </xdr:cNvPr>
            <xdr:cNvPicPr/>
          </xdr:nvPicPr>
          <xdr:blipFill>
            <a:blip xmlns:r="http://schemas.openxmlformats.org/officeDocument/2006/relationships" r:embed="rId218"/>
            <a:stretch>
              <a:fillRect/>
            </a:stretch>
          </xdr:blipFill>
          <xdr:spPr>
            <a:xfrm>
              <a:off x="15520326" y="18232566"/>
              <a:ext cx="491389" cy="43594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760733</xdr:colOff>
      <xdr:row>89</xdr:row>
      <xdr:rowOff>86560</xdr:rowOff>
    </xdr:from>
    <xdr:to>
      <xdr:col>16</xdr:col>
      <xdr:colOff>265280</xdr:colOff>
      <xdr:row>96</xdr:row>
      <xdr:rowOff>131160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9">
          <xdr14:nvContentPartPr>
            <xdr14:cNvPr id="468" name="Ink 467">
              <a:extLst>
                <a:ext uri="{FF2B5EF4-FFF2-40B4-BE49-F238E27FC236}">
                  <a16:creationId xmlns:a16="http://schemas.microsoft.com/office/drawing/2014/main" id="{D147E777-FC4C-72FD-03C1-DB7AC382BF28}"/>
                </a:ext>
              </a:extLst>
            </xdr14:cNvPr>
            <xdr14:cNvContentPartPr/>
          </xdr14:nvContentPartPr>
          <xdr14:nvPr macro=""/>
          <xdr14:xfrm>
            <a:off x="16237800" y="18171360"/>
            <a:ext cx="2823480" cy="1467000"/>
          </xdr14:xfrm>
        </xdr:contentPart>
      </mc:Choice>
      <mc:Fallback>
        <xdr:pic>
          <xdr:nvPicPr>
            <xdr:cNvPr id="468" name="Ink 467">
              <a:extLst>
                <a:ext uri="{FF2B5EF4-FFF2-40B4-BE49-F238E27FC236}">
                  <a16:creationId xmlns:a16="http://schemas.microsoft.com/office/drawing/2014/main" id="{D147E777-FC4C-72FD-03C1-DB7AC382BF28}"/>
                </a:ext>
              </a:extLst>
            </xdr:cNvPr>
            <xdr:cNvPicPr/>
          </xdr:nvPicPr>
          <xdr:blipFill>
            <a:blip xmlns:r="http://schemas.openxmlformats.org/officeDocument/2006/relationships" r:embed="rId220"/>
            <a:stretch>
              <a:fillRect/>
            </a:stretch>
          </xdr:blipFill>
          <xdr:spPr>
            <a:xfrm>
              <a:off x="16230183" y="18163704"/>
              <a:ext cx="2838352" cy="14823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172200</xdr:colOff>
      <xdr:row>104</xdr:row>
      <xdr:rowOff>5320</xdr:rowOff>
    </xdr:from>
    <xdr:to>
      <xdr:col>13</xdr:col>
      <xdr:colOff>684840</xdr:colOff>
      <xdr:row>105</xdr:row>
      <xdr:rowOff>57720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1">
          <xdr14:nvContentPartPr>
            <xdr14:cNvPr id="490" name="Ink 489">
              <a:extLst>
                <a:ext uri="{FF2B5EF4-FFF2-40B4-BE49-F238E27FC236}">
                  <a16:creationId xmlns:a16="http://schemas.microsoft.com/office/drawing/2014/main" id="{082DA3A5-6AFE-108B-4D38-B6244D43529B}"/>
                </a:ext>
              </a:extLst>
            </xdr14:cNvPr>
            <xdr14:cNvContentPartPr/>
          </xdr14:nvContentPartPr>
          <xdr14:nvPr macro=""/>
          <xdr14:xfrm>
            <a:off x="16479000" y="21138120"/>
            <a:ext cx="512640" cy="255600"/>
          </xdr14:xfrm>
        </xdr:contentPart>
      </mc:Choice>
      <mc:Fallback>
        <xdr:pic>
          <xdr:nvPicPr>
            <xdr:cNvPr id="490" name="Ink 489">
              <a:extLst>
                <a:ext uri="{FF2B5EF4-FFF2-40B4-BE49-F238E27FC236}">
                  <a16:creationId xmlns:a16="http://schemas.microsoft.com/office/drawing/2014/main" id="{082DA3A5-6AFE-108B-4D38-B6244D43529B}"/>
                </a:ext>
              </a:extLst>
            </xdr:cNvPr>
            <xdr:cNvPicPr/>
          </xdr:nvPicPr>
          <xdr:blipFill>
            <a:blip xmlns:r="http://schemas.openxmlformats.org/officeDocument/2006/relationships" r:embed="rId222"/>
            <a:stretch>
              <a:fillRect/>
            </a:stretch>
          </xdr:blipFill>
          <xdr:spPr>
            <a:xfrm>
              <a:off x="16471440" y="21130560"/>
              <a:ext cx="527760" cy="27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49013</xdr:colOff>
      <xdr:row>96</xdr:row>
      <xdr:rowOff>190200</xdr:rowOff>
    </xdr:from>
    <xdr:to>
      <xdr:col>17</xdr:col>
      <xdr:colOff>172107</xdr:colOff>
      <xdr:row>103</xdr:row>
      <xdr:rowOff>84680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3">
          <xdr14:nvContentPartPr>
            <xdr14:cNvPr id="491" name="Ink 490">
              <a:extLst>
                <a:ext uri="{FF2B5EF4-FFF2-40B4-BE49-F238E27FC236}">
                  <a16:creationId xmlns:a16="http://schemas.microsoft.com/office/drawing/2014/main" id="{2B7E5FB4-381D-F0C8-BAB4-E34FD94E3103}"/>
                </a:ext>
              </a:extLst>
            </xdr14:cNvPr>
            <xdr14:cNvContentPartPr/>
          </xdr14:nvContentPartPr>
          <xdr14:nvPr macro=""/>
          <xdr14:xfrm>
            <a:off x="15526080" y="19697400"/>
            <a:ext cx="4271760" cy="1316880"/>
          </xdr14:xfrm>
        </xdr:contentPart>
      </mc:Choice>
      <mc:Fallback>
        <xdr:pic>
          <xdr:nvPicPr>
            <xdr:cNvPr id="491" name="Ink 490">
              <a:extLst>
                <a:ext uri="{FF2B5EF4-FFF2-40B4-BE49-F238E27FC236}">
                  <a16:creationId xmlns:a16="http://schemas.microsoft.com/office/drawing/2014/main" id="{2B7E5FB4-381D-F0C8-BAB4-E34FD94E3103}"/>
                </a:ext>
              </a:extLst>
            </xdr:cNvPr>
            <xdr:cNvPicPr/>
          </xdr:nvPicPr>
          <xdr:blipFill>
            <a:blip xmlns:r="http://schemas.openxmlformats.org/officeDocument/2006/relationships" r:embed="rId224"/>
            <a:stretch>
              <a:fillRect/>
            </a:stretch>
          </xdr:blipFill>
          <xdr:spPr>
            <a:xfrm>
              <a:off x="15518473" y="19689733"/>
              <a:ext cx="4286975" cy="133221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602333</xdr:colOff>
      <xdr:row>85</xdr:row>
      <xdr:rowOff>161360</xdr:rowOff>
    </xdr:from>
    <xdr:to>
      <xdr:col>15</xdr:col>
      <xdr:colOff>668053</xdr:colOff>
      <xdr:row>89</xdr:row>
      <xdr:rowOff>10240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5">
          <xdr14:nvContentPartPr>
            <xdr14:cNvPr id="504" name="Ink 503">
              <a:extLst>
                <a:ext uri="{FF2B5EF4-FFF2-40B4-BE49-F238E27FC236}">
                  <a16:creationId xmlns:a16="http://schemas.microsoft.com/office/drawing/2014/main" id="{9CE9950A-38CE-B930-8FBC-BDD284B8AFCE}"/>
                </a:ext>
              </a:extLst>
            </xdr14:cNvPr>
            <xdr14:cNvContentPartPr/>
          </xdr14:nvContentPartPr>
          <xdr14:nvPr macro=""/>
          <xdr14:xfrm>
            <a:off x="16079400" y="17433360"/>
            <a:ext cx="2554920" cy="661680"/>
          </xdr14:xfrm>
        </xdr:contentPart>
      </mc:Choice>
      <mc:Fallback>
        <xdr:pic>
          <xdr:nvPicPr>
            <xdr:cNvPr id="504" name="Ink 503">
              <a:extLst>
                <a:ext uri="{FF2B5EF4-FFF2-40B4-BE49-F238E27FC236}">
                  <a16:creationId xmlns:a16="http://schemas.microsoft.com/office/drawing/2014/main" id="{9CE9950A-38CE-B930-8FBC-BDD284B8AFCE}"/>
                </a:ext>
              </a:extLst>
            </xdr:cNvPr>
            <xdr:cNvPicPr/>
          </xdr:nvPicPr>
          <xdr:blipFill>
            <a:blip xmlns:r="http://schemas.openxmlformats.org/officeDocument/2006/relationships" r:embed="rId226"/>
            <a:stretch>
              <a:fillRect/>
            </a:stretch>
          </xdr:blipFill>
          <xdr:spPr>
            <a:xfrm>
              <a:off x="16071827" y="17425593"/>
              <a:ext cx="2570066" cy="67721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579493</xdr:colOff>
      <xdr:row>85</xdr:row>
      <xdr:rowOff>152360</xdr:rowOff>
    </xdr:from>
    <xdr:to>
      <xdr:col>16</xdr:col>
      <xdr:colOff>557240</xdr:colOff>
      <xdr:row>89</xdr:row>
      <xdr:rowOff>23200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7">
          <xdr14:nvContentPartPr>
            <xdr14:cNvPr id="509" name="Ink 508">
              <a:extLst>
                <a:ext uri="{FF2B5EF4-FFF2-40B4-BE49-F238E27FC236}">
                  <a16:creationId xmlns:a16="http://schemas.microsoft.com/office/drawing/2014/main" id="{4F6AC034-11FC-0CF3-6062-0907B0ACB1F3}"/>
                </a:ext>
              </a:extLst>
            </xdr14:cNvPr>
            <xdr14:cNvContentPartPr/>
          </xdr14:nvContentPartPr>
          <xdr14:nvPr macro=""/>
          <xdr14:xfrm>
            <a:off x="18545760" y="17424360"/>
            <a:ext cx="807480" cy="683640"/>
          </xdr14:xfrm>
        </xdr:contentPart>
      </mc:Choice>
      <mc:Fallback>
        <xdr:pic>
          <xdr:nvPicPr>
            <xdr:cNvPr id="509" name="Ink 508">
              <a:extLst>
                <a:ext uri="{FF2B5EF4-FFF2-40B4-BE49-F238E27FC236}">
                  <a16:creationId xmlns:a16="http://schemas.microsoft.com/office/drawing/2014/main" id="{4F6AC034-11FC-0CF3-6062-0907B0ACB1F3}"/>
                </a:ext>
              </a:extLst>
            </xdr:cNvPr>
            <xdr:cNvPicPr/>
          </xdr:nvPicPr>
          <xdr:blipFill>
            <a:blip xmlns:r="http://schemas.openxmlformats.org/officeDocument/2006/relationships" r:embed="rId228"/>
            <a:stretch>
              <a:fillRect/>
            </a:stretch>
          </xdr:blipFill>
          <xdr:spPr>
            <a:xfrm>
              <a:off x="18538186" y="17416600"/>
              <a:ext cx="822627" cy="69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1815823</xdr:colOff>
      <xdr:row>128</xdr:row>
      <xdr:rowOff>115847</xdr:rowOff>
    </xdr:from>
    <xdr:to>
      <xdr:col>10</xdr:col>
      <xdr:colOff>101099</xdr:colOff>
      <xdr:row>138</xdr:row>
      <xdr:rowOff>190918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29">
          <xdr14:nvContentPartPr>
            <xdr14:cNvPr id="530" name="Ink 529">
              <a:extLst>
                <a:ext uri="{FF2B5EF4-FFF2-40B4-BE49-F238E27FC236}">
                  <a16:creationId xmlns:a16="http://schemas.microsoft.com/office/drawing/2014/main" id="{F82AE318-D0BC-41D9-F83C-F5ABA99984C6}"/>
                </a:ext>
              </a:extLst>
            </xdr14:cNvPr>
            <xdr14:cNvContentPartPr/>
          </xdr14:nvContentPartPr>
          <xdr14:nvPr macro=""/>
          <xdr14:xfrm>
            <a:off x="7558920" y="26010360"/>
            <a:ext cx="6287400" cy="2098080"/>
          </xdr14:xfrm>
        </xdr:contentPart>
      </mc:Choice>
      <mc:Fallback>
        <xdr:pic>
          <xdr:nvPicPr>
            <xdr:cNvPr id="530" name="Ink 529">
              <a:extLst>
                <a:ext uri="{FF2B5EF4-FFF2-40B4-BE49-F238E27FC236}">
                  <a16:creationId xmlns:a16="http://schemas.microsoft.com/office/drawing/2014/main" id="{F82AE318-D0BC-41D9-F83C-F5ABA99984C6}"/>
                </a:ext>
              </a:extLst>
            </xdr:cNvPr>
            <xdr:cNvPicPr/>
          </xdr:nvPicPr>
          <xdr:blipFill>
            <a:blip xmlns:r="http://schemas.openxmlformats.org/officeDocument/2006/relationships" r:embed="rId230"/>
            <a:stretch>
              <a:fillRect/>
            </a:stretch>
          </xdr:blipFill>
          <xdr:spPr>
            <a:xfrm>
              <a:off x="7551370" y="26002736"/>
              <a:ext cx="6302501" cy="21133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200503</xdr:colOff>
      <xdr:row>112</xdr:row>
      <xdr:rowOff>195920</xdr:rowOff>
    </xdr:from>
    <xdr:to>
      <xdr:col>9</xdr:col>
      <xdr:colOff>792387</xdr:colOff>
      <xdr:row>131</xdr:row>
      <xdr:rowOff>129224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1">
          <xdr14:nvContentPartPr>
            <xdr14:cNvPr id="531" name="Ink 530">
              <a:extLst>
                <a:ext uri="{FF2B5EF4-FFF2-40B4-BE49-F238E27FC236}">
                  <a16:creationId xmlns:a16="http://schemas.microsoft.com/office/drawing/2014/main" id="{3480F37B-3280-82EA-865A-AA412151B1AE}"/>
                </a:ext>
              </a:extLst>
            </xdr14:cNvPr>
            <xdr14:cNvContentPartPr/>
          </xdr14:nvContentPartPr>
          <xdr14:nvPr macro=""/>
          <xdr14:xfrm>
            <a:off x="5943600" y="22853619"/>
            <a:ext cx="7627460" cy="3777021"/>
          </xdr14:xfrm>
        </xdr:contentPart>
      </mc:Choice>
      <mc:Fallback>
        <xdr:pic>
          <xdr:nvPicPr>
            <xdr:cNvPr id="531" name="Ink 530">
              <a:extLst>
                <a:ext uri="{FF2B5EF4-FFF2-40B4-BE49-F238E27FC236}">
                  <a16:creationId xmlns:a16="http://schemas.microsoft.com/office/drawing/2014/main" id="{3480F37B-3280-82EA-865A-AA412151B1AE}"/>
                </a:ext>
              </a:extLst>
            </xdr:cNvPr>
            <xdr:cNvPicPr/>
          </xdr:nvPicPr>
          <xdr:blipFill>
            <a:blip xmlns:r="http://schemas.openxmlformats.org/officeDocument/2006/relationships" r:embed="rId232"/>
            <a:stretch>
              <a:fillRect/>
            </a:stretch>
          </xdr:blipFill>
          <xdr:spPr>
            <a:xfrm>
              <a:off x="5936045" y="22845992"/>
              <a:ext cx="7642210" cy="37922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12943</xdr:colOff>
      <xdr:row>144</xdr:row>
      <xdr:rowOff>113633</xdr:rowOff>
    </xdr:from>
    <xdr:to>
      <xdr:col>7</xdr:col>
      <xdr:colOff>1410823</xdr:colOff>
      <xdr:row>148</xdr:row>
      <xdr:rowOff>78429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3">
          <xdr14:nvContentPartPr>
            <xdr14:cNvPr id="536" name="Ink 535">
              <a:extLst>
                <a:ext uri="{FF2B5EF4-FFF2-40B4-BE49-F238E27FC236}">
                  <a16:creationId xmlns:a16="http://schemas.microsoft.com/office/drawing/2014/main" id="{2F004B87-D06E-1F0B-1F45-337A1F5F1BAF}"/>
                </a:ext>
              </a:extLst>
            </xdr14:cNvPr>
            <xdr14:cNvContentPartPr/>
          </xdr14:nvContentPartPr>
          <xdr14:nvPr macro=""/>
          <xdr14:xfrm>
            <a:off x="5756040" y="29244960"/>
            <a:ext cx="1397880" cy="774000"/>
          </xdr14:xfrm>
        </xdr:contentPart>
      </mc:Choice>
      <mc:Fallback>
        <xdr:pic>
          <xdr:nvPicPr>
            <xdr:cNvPr id="536" name="Ink 535">
              <a:extLst>
                <a:ext uri="{FF2B5EF4-FFF2-40B4-BE49-F238E27FC236}">
                  <a16:creationId xmlns:a16="http://schemas.microsoft.com/office/drawing/2014/main" id="{2F004B87-D06E-1F0B-1F45-337A1F5F1BAF}"/>
                </a:ext>
              </a:extLst>
            </xdr:cNvPr>
            <xdr:cNvPicPr/>
          </xdr:nvPicPr>
          <xdr:blipFill>
            <a:blip xmlns:r="http://schemas.openxmlformats.org/officeDocument/2006/relationships" r:embed="rId234"/>
            <a:stretch>
              <a:fillRect/>
            </a:stretch>
          </xdr:blipFill>
          <xdr:spPr>
            <a:xfrm>
              <a:off x="5748480" y="29237627"/>
              <a:ext cx="1413000" cy="78939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1462663</xdr:colOff>
      <xdr:row>148</xdr:row>
      <xdr:rowOff>130629</xdr:rowOff>
    </xdr:from>
    <xdr:to>
      <xdr:col>7</xdr:col>
      <xdr:colOff>2262223</xdr:colOff>
      <xdr:row>152</xdr:row>
      <xdr:rowOff>22345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5">
          <xdr14:nvContentPartPr>
            <xdr14:cNvPr id="545" name="Ink 544">
              <a:extLst>
                <a:ext uri="{FF2B5EF4-FFF2-40B4-BE49-F238E27FC236}">
                  <a16:creationId xmlns:a16="http://schemas.microsoft.com/office/drawing/2014/main" id="{0FBB28D4-BE37-8FA3-588A-1B6FECEC4E48}"/>
                </a:ext>
              </a:extLst>
            </xdr14:cNvPr>
            <xdr14:cNvContentPartPr/>
          </xdr14:nvContentPartPr>
          <xdr14:nvPr macro=""/>
          <xdr14:xfrm>
            <a:off x="7205760" y="30071160"/>
            <a:ext cx="799560" cy="700920"/>
          </xdr14:xfrm>
        </xdr:contentPart>
      </mc:Choice>
      <mc:Fallback>
        <xdr:pic>
          <xdr:nvPicPr>
            <xdr:cNvPr id="545" name="Ink 544">
              <a:extLst>
                <a:ext uri="{FF2B5EF4-FFF2-40B4-BE49-F238E27FC236}">
                  <a16:creationId xmlns:a16="http://schemas.microsoft.com/office/drawing/2014/main" id="{0FBB28D4-BE37-8FA3-588A-1B6FECEC4E48}"/>
                </a:ext>
              </a:extLst>
            </xdr:cNvPr>
            <xdr:cNvPicPr/>
          </xdr:nvPicPr>
          <xdr:blipFill>
            <a:blip xmlns:r="http://schemas.openxmlformats.org/officeDocument/2006/relationships" r:embed="rId236"/>
            <a:stretch>
              <a:fillRect/>
            </a:stretch>
          </xdr:blipFill>
          <xdr:spPr>
            <a:xfrm>
              <a:off x="7198200" y="30063445"/>
              <a:ext cx="814680" cy="71634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2453383</xdr:colOff>
      <xdr:row>141</xdr:row>
      <xdr:rowOff>87655</xdr:rowOff>
    </xdr:from>
    <xdr:to>
      <xdr:col>8</xdr:col>
      <xdr:colOff>710993</xdr:colOff>
      <xdr:row>146</xdr:row>
      <xdr:rowOff>168031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7">
          <xdr14:nvContentPartPr>
            <xdr14:cNvPr id="546" name="Ink 545">
              <a:extLst>
                <a:ext uri="{FF2B5EF4-FFF2-40B4-BE49-F238E27FC236}">
                  <a16:creationId xmlns:a16="http://schemas.microsoft.com/office/drawing/2014/main" id="{C1DEFBDC-C660-4AFA-9511-7F1E22E8A982}"/>
                </a:ext>
              </a:extLst>
            </xdr14:cNvPr>
            <xdr14:cNvContentPartPr/>
          </xdr14:nvContentPartPr>
          <xdr14:nvPr macro=""/>
          <xdr14:xfrm>
            <a:off x="8196480" y="28612080"/>
            <a:ext cx="3022920" cy="1091880"/>
          </xdr14:xfrm>
        </xdr:contentPart>
      </mc:Choice>
      <mc:Fallback>
        <xdr:pic>
          <xdr:nvPicPr>
            <xdr:cNvPr id="546" name="Ink 545">
              <a:extLst>
                <a:ext uri="{FF2B5EF4-FFF2-40B4-BE49-F238E27FC236}">
                  <a16:creationId xmlns:a16="http://schemas.microsoft.com/office/drawing/2014/main" id="{C1DEFBDC-C660-4AFA-9511-7F1E22E8A982}"/>
                </a:ext>
              </a:extLst>
            </xdr:cNvPr>
            <xdr:cNvPicPr/>
          </xdr:nvPicPr>
          <xdr:blipFill>
            <a:blip xmlns:r="http://schemas.openxmlformats.org/officeDocument/2006/relationships" r:embed="rId238"/>
            <a:stretch>
              <a:fillRect/>
            </a:stretch>
          </xdr:blipFill>
          <xdr:spPr>
            <a:xfrm>
              <a:off x="8188906" y="28604398"/>
              <a:ext cx="3038067" cy="11072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28075</xdr:colOff>
      <xdr:row>120</xdr:row>
      <xdr:rowOff>110654</xdr:rowOff>
    </xdr:from>
    <xdr:to>
      <xdr:col>2</xdr:col>
      <xdr:colOff>611995</xdr:colOff>
      <xdr:row>122</xdr:row>
      <xdr:rowOff>10252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39">
          <xdr14:nvContentPartPr>
            <xdr14:cNvPr id="557" name="Ink 556">
              <a:extLst>
                <a:ext uri="{FF2B5EF4-FFF2-40B4-BE49-F238E27FC236}">
                  <a16:creationId xmlns:a16="http://schemas.microsoft.com/office/drawing/2014/main" id="{93D4C14D-D4A4-D76D-CE09-81459AA2FD7E}"/>
                </a:ext>
              </a:extLst>
            </xdr14:cNvPr>
            <xdr14:cNvContentPartPr/>
          </xdr14:nvContentPartPr>
          <xdr14:nvPr macro=""/>
          <xdr14:xfrm>
            <a:off x="1668960" y="24386760"/>
            <a:ext cx="583920" cy="304200"/>
          </xdr14:xfrm>
        </xdr:contentPart>
      </mc:Choice>
      <mc:Fallback>
        <xdr:pic>
          <xdr:nvPicPr>
            <xdr:cNvPr id="557" name="Ink 556">
              <a:extLst>
                <a:ext uri="{FF2B5EF4-FFF2-40B4-BE49-F238E27FC236}">
                  <a16:creationId xmlns:a16="http://schemas.microsoft.com/office/drawing/2014/main" id="{93D4C14D-D4A4-D76D-CE09-81459AA2FD7E}"/>
                </a:ext>
              </a:extLst>
            </xdr:cNvPr>
            <xdr:cNvPicPr/>
          </xdr:nvPicPr>
          <xdr:blipFill>
            <a:blip xmlns:r="http://schemas.openxmlformats.org/officeDocument/2006/relationships" r:embed="rId240"/>
            <a:stretch>
              <a:fillRect/>
            </a:stretch>
          </xdr:blipFill>
          <xdr:spPr>
            <a:xfrm>
              <a:off x="1661400" y="24379200"/>
              <a:ext cx="599040" cy="31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94673</xdr:colOff>
      <xdr:row>120</xdr:row>
      <xdr:rowOff>112454</xdr:rowOff>
    </xdr:from>
    <xdr:to>
      <xdr:col>3</xdr:col>
      <xdr:colOff>246233</xdr:colOff>
      <xdr:row>121</xdr:row>
      <xdr:rowOff>42993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1">
          <xdr14:nvContentPartPr>
            <xdr14:cNvPr id="561" name="Ink 560">
              <a:extLst>
                <a:ext uri="{FF2B5EF4-FFF2-40B4-BE49-F238E27FC236}">
                  <a16:creationId xmlns:a16="http://schemas.microsoft.com/office/drawing/2014/main" id="{2DF219AF-0844-E6D9-3A6E-A4F1D9A4DD9B}"/>
                </a:ext>
              </a:extLst>
            </xdr14:cNvPr>
            <xdr14:cNvContentPartPr/>
          </xdr14:nvContentPartPr>
          <xdr14:nvPr macro=""/>
          <xdr14:xfrm>
            <a:off x="2556000" y="24388560"/>
            <a:ext cx="151560" cy="132840"/>
          </xdr14:xfrm>
        </xdr:contentPart>
      </mc:Choice>
      <mc:Fallback>
        <xdr:pic>
          <xdr:nvPicPr>
            <xdr:cNvPr id="561" name="Ink 560">
              <a:extLst>
                <a:ext uri="{FF2B5EF4-FFF2-40B4-BE49-F238E27FC236}">
                  <a16:creationId xmlns:a16="http://schemas.microsoft.com/office/drawing/2014/main" id="{2DF219AF-0844-E6D9-3A6E-A4F1D9A4DD9B}"/>
                </a:ext>
              </a:extLst>
            </xdr:cNvPr>
            <xdr:cNvPicPr/>
          </xdr:nvPicPr>
          <xdr:blipFill>
            <a:blip xmlns:r="http://schemas.openxmlformats.org/officeDocument/2006/relationships" r:embed="rId242"/>
            <a:stretch>
              <a:fillRect/>
            </a:stretch>
          </xdr:blipFill>
          <xdr:spPr>
            <a:xfrm>
              <a:off x="2548440" y="24381360"/>
              <a:ext cx="166680" cy="14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691553</xdr:colOff>
      <xdr:row>118</xdr:row>
      <xdr:rowOff>816</xdr:rowOff>
    </xdr:from>
    <xdr:to>
      <xdr:col>7</xdr:col>
      <xdr:colOff>121663</xdr:colOff>
      <xdr:row>130</xdr:row>
      <xdr:rowOff>70525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3">
          <xdr14:nvContentPartPr>
            <xdr14:cNvPr id="565" name="Ink 564">
              <a:extLst>
                <a:ext uri="{FF2B5EF4-FFF2-40B4-BE49-F238E27FC236}">
                  <a16:creationId xmlns:a16="http://schemas.microsoft.com/office/drawing/2014/main" id="{AA864C6C-A356-13F2-4AB1-A81FB0A57156}"/>
                </a:ext>
              </a:extLst>
            </xdr14:cNvPr>
            <xdr14:cNvContentPartPr/>
          </xdr14:nvContentPartPr>
          <xdr14:nvPr macro=""/>
          <xdr14:xfrm>
            <a:off x="3152880" y="23872320"/>
            <a:ext cx="2711880" cy="2497320"/>
          </xdr14:xfrm>
        </xdr:contentPart>
      </mc:Choice>
      <mc:Fallback>
        <xdr:pic>
          <xdr:nvPicPr>
            <xdr:cNvPr id="565" name="Ink 564">
              <a:extLst>
                <a:ext uri="{FF2B5EF4-FFF2-40B4-BE49-F238E27FC236}">
                  <a16:creationId xmlns:a16="http://schemas.microsoft.com/office/drawing/2014/main" id="{AA864C6C-A356-13F2-4AB1-A81FB0A57156}"/>
                </a:ext>
              </a:extLst>
            </xdr:cNvPr>
            <xdr:cNvPicPr/>
          </xdr:nvPicPr>
          <xdr:blipFill>
            <a:blip xmlns:r="http://schemas.openxmlformats.org/officeDocument/2006/relationships" r:embed="rId244"/>
            <a:stretch>
              <a:fillRect/>
            </a:stretch>
          </xdr:blipFill>
          <xdr:spPr>
            <a:xfrm>
              <a:off x="3145722" y="23864695"/>
              <a:ext cx="2726912" cy="25125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420470</xdr:colOff>
      <xdr:row>78</xdr:row>
      <xdr:rowOff>45051</xdr:rowOff>
    </xdr:from>
    <xdr:to>
      <xdr:col>6</xdr:col>
      <xdr:colOff>653745</xdr:colOff>
      <xdr:row>83</xdr:row>
      <xdr:rowOff>36507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5">
          <xdr14:nvContentPartPr>
            <xdr14:cNvPr id="568" name="Ink 567">
              <a:extLst>
                <a:ext uri="{FF2B5EF4-FFF2-40B4-BE49-F238E27FC236}">
                  <a16:creationId xmlns:a16="http://schemas.microsoft.com/office/drawing/2014/main" id="{36FE28A0-CAAF-7E7C-244D-0D1684B68020}"/>
                </a:ext>
              </a:extLst>
            </xdr14:cNvPr>
            <xdr14:cNvContentPartPr/>
          </xdr14:nvContentPartPr>
          <xdr14:nvPr macro=""/>
          <xdr14:xfrm>
            <a:off x="3702240" y="15824520"/>
            <a:ext cx="1874160" cy="1002960"/>
          </xdr14:xfrm>
        </xdr:contentPart>
      </mc:Choice>
      <mc:Fallback>
        <xdr:pic>
          <xdr:nvPicPr>
            <xdr:cNvPr id="568" name="Ink 567">
              <a:extLst>
                <a:ext uri="{FF2B5EF4-FFF2-40B4-BE49-F238E27FC236}">
                  <a16:creationId xmlns:a16="http://schemas.microsoft.com/office/drawing/2014/main" id="{36FE28A0-CAAF-7E7C-244D-0D1684B68020}"/>
                </a:ext>
              </a:extLst>
            </xdr:cNvPr>
            <xdr:cNvPicPr/>
          </xdr:nvPicPr>
          <xdr:blipFill>
            <a:blip xmlns:r="http://schemas.openxmlformats.org/officeDocument/2006/relationships" r:embed="rId246"/>
            <a:stretch>
              <a:fillRect/>
            </a:stretch>
          </xdr:blipFill>
          <xdr:spPr>
            <a:xfrm>
              <a:off x="3694743" y="15816827"/>
              <a:ext cx="1889153" cy="10183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713800</xdr:colOff>
      <xdr:row>77</xdr:row>
      <xdr:rowOff>195430</xdr:rowOff>
    </xdr:from>
    <xdr:to>
      <xdr:col>3</xdr:col>
      <xdr:colOff>86673</xdr:colOff>
      <xdr:row>80</xdr:row>
      <xdr:rowOff>188647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7">
          <xdr14:nvContentPartPr>
            <xdr14:cNvPr id="569" name="Ink 568">
              <a:extLst>
                <a:ext uri="{FF2B5EF4-FFF2-40B4-BE49-F238E27FC236}">
                  <a16:creationId xmlns:a16="http://schemas.microsoft.com/office/drawing/2014/main" id="{BC8B68E1-C734-52E6-C69F-2B2981D29A45}"/>
                </a:ext>
              </a:extLst>
            </xdr14:cNvPr>
            <xdr14:cNvContentPartPr/>
          </xdr14:nvContentPartPr>
          <xdr14:nvPr macro=""/>
          <xdr14:xfrm>
            <a:off x="713800" y="15841830"/>
            <a:ext cx="1841753" cy="602817"/>
          </xdr14:xfrm>
        </xdr:contentPart>
      </mc:Choice>
      <mc:Fallback>
        <xdr:pic>
          <xdr:nvPicPr>
            <xdr:cNvPr id="569" name="Ink 568">
              <a:extLst>
                <a:ext uri="{FF2B5EF4-FFF2-40B4-BE49-F238E27FC236}">
                  <a16:creationId xmlns:a16="http://schemas.microsoft.com/office/drawing/2014/main" id="{BC8B68E1-C734-52E6-C69F-2B2981D29A45}"/>
                </a:ext>
              </a:extLst>
            </xdr:cNvPr>
            <xdr:cNvPicPr/>
          </xdr:nvPicPr>
          <xdr:blipFill>
            <a:blip xmlns:r="http://schemas.openxmlformats.org/officeDocument/2006/relationships" r:embed="rId248"/>
            <a:stretch>
              <a:fillRect/>
            </a:stretch>
          </xdr:blipFill>
          <xdr:spPr>
            <a:xfrm>
              <a:off x="706306" y="15834102"/>
              <a:ext cx="1856741" cy="61827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397075</xdr:colOff>
      <xdr:row>124</xdr:row>
      <xdr:rowOff>97410</xdr:rowOff>
    </xdr:from>
    <xdr:to>
      <xdr:col>2</xdr:col>
      <xdr:colOff>741595</xdr:colOff>
      <xdr:row>129</xdr:row>
      <xdr:rowOff>146106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49">
          <xdr14:nvContentPartPr>
            <xdr14:cNvPr id="570" name="Ink 569">
              <a:extLst>
                <a:ext uri="{FF2B5EF4-FFF2-40B4-BE49-F238E27FC236}">
                  <a16:creationId xmlns:a16="http://schemas.microsoft.com/office/drawing/2014/main" id="{E43ECD73-59B4-91C3-7D1A-D4FC15D00D4B}"/>
                </a:ext>
              </a:extLst>
            </xdr14:cNvPr>
            <xdr14:cNvContentPartPr/>
          </xdr14:nvContentPartPr>
          <xdr14:nvPr macro=""/>
          <xdr14:xfrm>
            <a:off x="2037960" y="25182720"/>
            <a:ext cx="344520" cy="1060200"/>
          </xdr14:xfrm>
        </xdr:contentPart>
      </mc:Choice>
      <mc:Fallback>
        <xdr:pic>
          <xdr:nvPicPr>
            <xdr:cNvPr id="570" name="Ink 569">
              <a:extLst>
                <a:ext uri="{FF2B5EF4-FFF2-40B4-BE49-F238E27FC236}">
                  <a16:creationId xmlns:a16="http://schemas.microsoft.com/office/drawing/2014/main" id="{E43ECD73-59B4-91C3-7D1A-D4FC15D00D4B}"/>
                </a:ext>
              </a:extLst>
            </xdr:cNvPr>
            <xdr:cNvPicPr/>
          </xdr:nvPicPr>
          <xdr:blipFill>
            <a:blip xmlns:r="http://schemas.openxmlformats.org/officeDocument/2006/relationships" r:embed="rId250"/>
            <a:stretch>
              <a:fillRect/>
            </a:stretch>
          </xdr:blipFill>
          <xdr:spPr>
            <a:xfrm>
              <a:off x="2030400" y="25175035"/>
              <a:ext cx="359280" cy="107557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403908</xdr:colOff>
      <xdr:row>122</xdr:row>
      <xdr:rowOff>198532</xdr:rowOff>
    </xdr:from>
    <xdr:to>
      <xdr:col>5</xdr:col>
      <xdr:colOff>672108</xdr:colOff>
      <xdr:row>127</xdr:row>
      <xdr:rowOff>39148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1">
          <xdr14:nvContentPartPr>
            <xdr14:cNvPr id="571" name="Ink 570">
              <a:extLst>
                <a:ext uri="{FF2B5EF4-FFF2-40B4-BE49-F238E27FC236}">
                  <a16:creationId xmlns:a16="http://schemas.microsoft.com/office/drawing/2014/main" id="{98C5CA9A-0ED3-3ACA-4AAC-6AA0C669815B}"/>
                </a:ext>
              </a:extLst>
            </xdr14:cNvPr>
            <xdr14:cNvContentPartPr/>
          </xdr14:nvContentPartPr>
          <xdr14:nvPr macro=""/>
          <xdr14:xfrm>
            <a:off x="4506120" y="24879240"/>
            <a:ext cx="268200" cy="852120"/>
          </xdr14:xfrm>
        </xdr:contentPart>
      </mc:Choice>
      <mc:Fallback>
        <xdr:pic>
          <xdr:nvPicPr>
            <xdr:cNvPr id="571" name="Ink 570">
              <a:extLst>
                <a:ext uri="{FF2B5EF4-FFF2-40B4-BE49-F238E27FC236}">
                  <a16:creationId xmlns:a16="http://schemas.microsoft.com/office/drawing/2014/main" id="{98C5CA9A-0ED3-3ACA-4AAC-6AA0C669815B}"/>
                </a:ext>
              </a:extLst>
            </xdr:cNvPr>
            <xdr:cNvPicPr/>
          </xdr:nvPicPr>
          <xdr:blipFill>
            <a:blip xmlns:r="http://schemas.openxmlformats.org/officeDocument/2006/relationships" r:embed="rId252"/>
            <a:stretch>
              <a:fillRect/>
            </a:stretch>
          </xdr:blipFill>
          <xdr:spPr>
            <a:xfrm>
              <a:off x="4498560" y="24871524"/>
              <a:ext cx="283320" cy="86755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2052946</xdr:colOff>
      <xdr:row>199</xdr:row>
      <xdr:rowOff>52354</xdr:rowOff>
    </xdr:from>
    <xdr:to>
      <xdr:col>7</xdr:col>
      <xdr:colOff>3219346</xdr:colOff>
      <xdr:row>201</xdr:row>
      <xdr:rowOff>152288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3">
          <xdr14:nvContentPartPr>
            <xdr14:cNvPr id="584" name="Ink 583">
              <a:extLst>
                <a:ext uri="{FF2B5EF4-FFF2-40B4-BE49-F238E27FC236}">
                  <a16:creationId xmlns:a16="http://schemas.microsoft.com/office/drawing/2014/main" id="{901503AA-9F5C-C40F-B3B7-2D51130EB78D}"/>
                </a:ext>
              </a:extLst>
            </xdr14:cNvPr>
            <xdr14:cNvContentPartPr/>
          </xdr14:nvContentPartPr>
          <xdr14:nvPr macro=""/>
          <xdr14:xfrm>
            <a:off x="7843680" y="39468960"/>
            <a:ext cx="1166400" cy="496080"/>
          </xdr14:xfrm>
        </xdr:contentPart>
      </mc:Choice>
      <mc:Fallback>
        <xdr:pic>
          <xdr:nvPicPr>
            <xdr:cNvPr id="584" name="Ink 583">
              <a:extLst>
                <a:ext uri="{FF2B5EF4-FFF2-40B4-BE49-F238E27FC236}">
                  <a16:creationId xmlns:a16="http://schemas.microsoft.com/office/drawing/2014/main" id="{901503AA-9F5C-C40F-B3B7-2D51130EB78D}"/>
                </a:ext>
              </a:extLst>
            </xdr:cNvPr>
            <xdr:cNvPicPr/>
          </xdr:nvPicPr>
          <xdr:blipFill>
            <a:blip xmlns:r="http://schemas.openxmlformats.org/officeDocument/2006/relationships" r:embed="rId254"/>
            <a:stretch>
              <a:fillRect/>
            </a:stretch>
          </xdr:blipFill>
          <xdr:spPr>
            <a:xfrm>
              <a:off x="7836120" y="39461422"/>
              <a:ext cx="1181520" cy="51079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4320586</xdr:colOff>
      <xdr:row>193</xdr:row>
      <xdr:rowOff>135595</xdr:rowOff>
    </xdr:from>
    <xdr:to>
      <xdr:col>8</xdr:col>
      <xdr:colOff>557773</xdr:colOff>
      <xdr:row>195</xdr:row>
      <xdr:rowOff>196288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5">
          <xdr14:nvContentPartPr>
            <xdr14:cNvPr id="585" name="Ink 584">
              <a:extLst>
                <a:ext uri="{FF2B5EF4-FFF2-40B4-BE49-F238E27FC236}">
                  <a16:creationId xmlns:a16="http://schemas.microsoft.com/office/drawing/2014/main" id="{28A6977F-9AC6-B92E-C599-3F7420424921}"/>
                </a:ext>
              </a:extLst>
            </xdr14:cNvPr>
            <xdr14:cNvContentPartPr/>
          </xdr14:nvContentPartPr>
          <xdr14:nvPr macro=""/>
          <xdr14:xfrm>
            <a:off x="10111320" y="38363760"/>
            <a:ext cx="1002600" cy="456840"/>
          </xdr14:xfrm>
        </xdr:contentPart>
      </mc:Choice>
      <mc:Fallback>
        <xdr:pic>
          <xdr:nvPicPr>
            <xdr:cNvPr id="585" name="Ink 584">
              <a:extLst>
                <a:ext uri="{FF2B5EF4-FFF2-40B4-BE49-F238E27FC236}">
                  <a16:creationId xmlns:a16="http://schemas.microsoft.com/office/drawing/2014/main" id="{28A6977F-9AC6-B92E-C599-3F7420424921}"/>
                </a:ext>
              </a:extLst>
            </xdr:cNvPr>
            <xdr:cNvPicPr/>
          </xdr:nvPicPr>
          <xdr:blipFill>
            <a:blip xmlns:r="http://schemas.openxmlformats.org/officeDocument/2006/relationships" r:embed="rId256"/>
            <a:stretch>
              <a:fillRect/>
            </a:stretch>
          </xdr:blipFill>
          <xdr:spPr>
            <a:xfrm>
              <a:off x="10104081" y="38356224"/>
              <a:ext cx="1017802" cy="4719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1817866</xdr:colOff>
      <xdr:row>193</xdr:row>
      <xdr:rowOff>58195</xdr:rowOff>
    </xdr:from>
    <xdr:to>
      <xdr:col>7</xdr:col>
      <xdr:colOff>3644506</xdr:colOff>
      <xdr:row>196</xdr:row>
      <xdr:rowOff>29535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7">
          <xdr14:nvContentPartPr>
            <xdr14:cNvPr id="586" name="Ink 585">
              <a:extLst>
                <a:ext uri="{FF2B5EF4-FFF2-40B4-BE49-F238E27FC236}">
                  <a16:creationId xmlns:a16="http://schemas.microsoft.com/office/drawing/2014/main" id="{CA13851A-60DA-BCA0-AAC6-89AFE6BFD9BD}"/>
                </a:ext>
              </a:extLst>
            </xdr14:cNvPr>
            <xdr14:cNvContentPartPr/>
          </xdr14:nvContentPartPr>
          <xdr14:nvPr macro=""/>
          <xdr14:xfrm>
            <a:off x="7608600" y="38286360"/>
            <a:ext cx="1826640" cy="565560"/>
          </xdr14:xfrm>
        </xdr:contentPart>
      </mc:Choice>
      <mc:Fallback>
        <xdr:pic>
          <xdr:nvPicPr>
            <xdr:cNvPr id="586" name="Ink 585">
              <a:extLst>
                <a:ext uri="{FF2B5EF4-FFF2-40B4-BE49-F238E27FC236}">
                  <a16:creationId xmlns:a16="http://schemas.microsoft.com/office/drawing/2014/main" id="{CA13851A-60DA-BCA0-AAC6-89AFE6BFD9BD}"/>
                </a:ext>
              </a:extLst>
            </xdr:cNvPr>
            <xdr:cNvPicPr/>
          </xdr:nvPicPr>
          <xdr:blipFill>
            <a:blip xmlns:r="http://schemas.openxmlformats.org/officeDocument/2006/relationships" r:embed="rId258"/>
            <a:stretch>
              <a:fillRect/>
            </a:stretch>
          </xdr:blipFill>
          <xdr:spPr>
            <a:xfrm>
              <a:off x="7601040" y="38278829"/>
              <a:ext cx="1841760" cy="58062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710413</xdr:colOff>
      <xdr:row>193</xdr:row>
      <xdr:rowOff>194275</xdr:rowOff>
    </xdr:from>
    <xdr:to>
      <xdr:col>8</xdr:col>
      <xdr:colOff>1686733</xdr:colOff>
      <xdr:row>196</xdr:row>
      <xdr:rowOff>8295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59">
          <xdr14:nvContentPartPr>
            <xdr14:cNvPr id="589" name="Ink 588">
              <a:extLst>
                <a:ext uri="{FF2B5EF4-FFF2-40B4-BE49-F238E27FC236}">
                  <a16:creationId xmlns:a16="http://schemas.microsoft.com/office/drawing/2014/main" id="{B7537ED3-6A01-3B07-DCA2-12AEE77DA9C8}"/>
                </a:ext>
              </a:extLst>
            </xdr14:cNvPr>
            <xdr14:cNvContentPartPr/>
          </xdr14:nvContentPartPr>
          <xdr14:nvPr macro=""/>
          <xdr14:xfrm>
            <a:off x="11266560" y="38422440"/>
            <a:ext cx="976320" cy="408240"/>
          </xdr14:xfrm>
        </xdr:contentPart>
      </mc:Choice>
      <mc:Fallback>
        <xdr:pic>
          <xdr:nvPicPr>
            <xdr:cNvPr id="589" name="Ink 588">
              <a:extLst>
                <a:ext uri="{FF2B5EF4-FFF2-40B4-BE49-F238E27FC236}">
                  <a16:creationId xmlns:a16="http://schemas.microsoft.com/office/drawing/2014/main" id="{B7537ED3-6A01-3B07-DCA2-12AEE77DA9C8}"/>
                </a:ext>
              </a:extLst>
            </xdr:cNvPr>
            <xdr:cNvPicPr/>
          </xdr:nvPicPr>
          <xdr:blipFill>
            <a:blip xmlns:r="http://schemas.openxmlformats.org/officeDocument/2006/relationships" r:embed="rId260"/>
            <a:stretch>
              <a:fillRect/>
            </a:stretch>
          </xdr:blipFill>
          <xdr:spPr>
            <a:xfrm>
              <a:off x="11259000" y="38415156"/>
              <a:ext cx="991080" cy="4228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3982906</xdr:colOff>
      <xdr:row>199</xdr:row>
      <xdr:rowOff>75394</xdr:rowOff>
    </xdr:from>
    <xdr:to>
      <xdr:col>7</xdr:col>
      <xdr:colOff>4317346</xdr:colOff>
      <xdr:row>200</xdr:row>
      <xdr:rowOff>190161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1">
          <xdr14:nvContentPartPr>
            <xdr14:cNvPr id="590" name="Ink 589">
              <a:extLst>
                <a:ext uri="{FF2B5EF4-FFF2-40B4-BE49-F238E27FC236}">
                  <a16:creationId xmlns:a16="http://schemas.microsoft.com/office/drawing/2014/main" id="{4B260653-E016-11A9-B178-638ED428135C}"/>
                </a:ext>
              </a:extLst>
            </xdr14:cNvPr>
            <xdr14:cNvContentPartPr/>
          </xdr14:nvContentPartPr>
          <xdr14:nvPr macro=""/>
          <xdr14:xfrm>
            <a:off x="9773640" y="39492000"/>
            <a:ext cx="334440" cy="312840"/>
          </xdr14:xfrm>
        </xdr:contentPart>
      </mc:Choice>
      <mc:Fallback>
        <xdr:pic>
          <xdr:nvPicPr>
            <xdr:cNvPr id="590" name="Ink 589">
              <a:extLst>
                <a:ext uri="{FF2B5EF4-FFF2-40B4-BE49-F238E27FC236}">
                  <a16:creationId xmlns:a16="http://schemas.microsoft.com/office/drawing/2014/main" id="{4B260653-E016-11A9-B178-638ED428135C}"/>
                </a:ext>
              </a:extLst>
            </xdr:cNvPr>
            <xdr:cNvPicPr/>
          </xdr:nvPicPr>
          <xdr:blipFill>
            <a:blip xmlns:r="http://schemas.openxmlformats.org/officeDocument/2006/relationships" r:embed="rId262"/>
            <a:stretch>
              <a:fillRect/>
            </a:stretch>
          </xdr:blipFill>
          <xdr:spPr>
            <a:xfrm>
              <a:off x="9766080" y="39484440"/>
              <a:ext cx="349560" cy="32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4448026</xdr:colOff>
      <xdr:row>200</xdr:row>
      <xdr:rowOff>28521</xdr:rowOff>
    </xdr:from>
    <xdr:to>
      <xdr:col>7</xdr:col>
      <xdr:colOff>4524706</xdr:colOff>
      <xdr:row>200</xdr:row>
      <xdr:rowOff>123201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3">
          <xdr14:nvContentPartPr>
            <xdr14:cNvPr id="591" name="Ink 590">
              <a:extLst>
                <a:ext uri="{FF2B5EF4-FFF2-40B4-BE49-F238E27FC236}">
                  <a16:creationId xmlns:a16="http://schemas.microsoft.com/office/drawing/2014/main" id="{AF89B6A5-8B0B-7CDC-F046-79AE147FE598}"/>
                </a:ext>
              </a:extLst>
            </xdr14:cNvPr>
            <xdr14:cNvContentPartPr/>
          </xdr14:nvContentPartPr>
          <xdr14:nvPr macro=""/>
          <xdr14:xfrm>
            <a:off x="10238760" y="39643200"/>
            <a:ext cx="76680" cy="94680"/>
          </xdr14:xfrm>
        </xdr:contentPart>
      </mc:Choice>
      <mc:Fallback>
        <xdr:pic>
          <xdr:nvPicPr>
            <xdr:cNvPr id="591" name="Ink 590">
              <a:extLst>
                <a:ext uri="{FF2B5EF4-FFF2-40B4-BE49-F238E27FC236}">
                  <a16:creationId xmlns:a16="http://schemas.microsoft.com/office/drawing/2014/main" id="{AF89B6A5-8B0B-7CDC-F046-79AE147FE598}"/>
                </a:ext>
              </a:extLst>
            </xdr:cNvPr>
            <xdr:cNvPicPr/>
          </xdr:nvPicPr>
          <xdr:blipFill>
            <a:blip xmlns:r="http://schemas.openxmlformats.org/officeDocument/2006/relationships" r:embed="rId264"/>
            <a:stretch>
              <a:fillRect/>
            </a:stretch>
          </xdr:blipFill>
          <xdr:spPr>
            <a:xfrm>
              <a:off x="10231200" y="39635640"/>
              <a:ext cx="91800" cy="10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4707586</xdr:colOff>
      <xdr:row>198</xdr:row>
      <xdr:rowOff>177708</xdr:rowOff>
    </xdr:from>
    <xdr:to>
      <xdr:col>8</xdr:col>
      <xdr:colOff>355093</xdr:colOff>
      <xdr:row>200</xdr:row>
      <xdr:rowOff>143001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5">
          <xdr14:nvContentPartPr>
            <xdr14:cNvPr id="592" name="Ink 591">
              <a:extLst>
                <a:ext uri="{FF2B5EF4-FFF2-40B4-BE49-F238E27FC236}">
                  <a16:creationId xmlns:a16="http://schemas.microsoft.com/office/drawing/2014/main" id="{DEDF494A-4093-8E7F-1C68-17C9A2B868DC}"/>
                </a:ext>
              </a:extLst>
            </xdr14:cNvPr>
            <xdr14:cNvContentPartPr/>
          </xdr14:nvContentPartPr>
          <xdr14:nvPr macro=""/>
          <xdr14:xfrm>
            <a:off x="10498320" y="39396240"/>
            <a:ext cx="412920" cy="361440"/>
          </xdr14:xfrm>
        </xdr:contentPart>
      </mc:Choice>
      <mc:Fallback>
        <xdr:pic>
          <xdr:nvPicPr>
            <xdr:cNvPr id="592" name="Ink 591">
              <a:extLst>
                <a:ext uri="{FF2B5EF4-FFF2-40B4-BE49-F238E27FC236}">
                  <a16:creationId xmlns:a16="http://schemas.microsoft.com/office/drawing/2014/main" id="{DEDF494A-4093-8E7F-1C68-17C9A2B868DC}"/>
                </a:ext>
              </a:extLst>
            </xdr:cNvPr>
            <xdr:cNvPicPr/>
          </xdr:nvPicPr>
          <xdr:blipFill>
            <a:blip xmlns:r="http://schemas.openxmlformats.org/officeDocument/2006/relationships" r:embed="rId266"/>
            <a:stretch>
              <a:fillRect/>
            </a:stretch>
          </xdr:blipFill>
          <xdr:spPr>
            <a:xfrm>
              <a:off x="10490660" y="39388710"/>
              <a:ext cx="428240" cy="3765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545533</xdr:colOff>
      <xdr:row>198</xdr:row>
      <xdr:rowOff>188868</xdr:rowOff>
    </xdr:from>
    <xdr:to>
      <xdr:col>8</xdr:col>
      <xdr:colOff>756853</xdr:colOff>
      <xdr:row>200</xdr:row>
      <xdr:rowOff>65241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7">
          <xdr14:nvContentPartPr>
            <xdr14:cNvPr id="593" name="Ink 592">
              <a:extLst>
                <a:ext uri="{FF2B5EF4-FFF2-40B4-BE49-F238E27FC236}">
                  <a16:creationId xmlns:a16="http://schemas.microsoft.com/office/drawing/2014/main" id="{EAB9DC5D-262B-EA16-9BF2-6B87A7666E48}"/>
                </a:ext>
              </a:extLst>
            </xdr14:cNvPr>
            <xdr14:cNvContentPartPr/>
          </xdr14:nvContentPartPr>
          <xdr14:nvPr macro=""/>
          <xdr14:xfrm>
            <a:off x="11101680" y="39407400"/>
            <a:ext cx="211320" cy="272520"/>
          </xdr14:xfrm>
        </xdr:contentPart>
      </mc:Choice>
      <mc:Fallback>
        <xdr:pic>
          <xdr:nvPicPr>
            <xdr:cNvPr id="593" name="Ink 592">
              <a:extLst>
                <a:ext uri="{FF2B5EF4-FFF2-40B4-BE49-F238E27FC236}">
                  <a16:creationId xmlns:a16="http://schemas.microsoft.com/office/drawing/2014/main" id="{EAB9DC5D-262B-EA16-9BF2-6B87A7666E48}"/>
                </a:ext>
              </a:extLst>
            </xdr:cNvPr>
            <xdr:cNvPicPr/>
          </xdr:nvPicPr>
          <xdr:blipFill>
            <a:blip xmlns:r="http://schemas.openxmlformats.org/officeDocument/2006/relationships" r:embed="rId268"/>
            <a:stretch>
              <a:fillRect/>
            </a:stretch>
          </xdr:blipFill>
          <xdr:spPr>
            <a:xfrm>
              <a:off x="11094120" y="39399880"/>
              <a:ext cx="226440" cy="28756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618613</xdr:colOff>
      <xdr:row>198</xdr:row>
      <xdr:rowOff>65028</xdr:rowOff>
    </xdr:from>
    <xdr:to>
      <xdr:col>8</xdr:col>
      <xdr:colOff>937573</xdr:colOff>
      <xdr:row>199</xdr:row>
      <xdr:rowOff>39394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69">
          <xdr14:nvContentPartPr>
            <xdr14:cNvPr id="594" name="Ink 593">
              <a:extLst>
                <a:ext uri="{FF2B5EF4-FFF2-40B4-BE49-F238E27FC236}">
                  <a16:creationId xmlns:a16="http://schemas.microsoft.com/office/drawing/2014/main" id="{4E62A25A-49E0-99BE-8A2B-87149910CADE}"/>
                </a:ext>
              </a:extLst>
            </xdr14:cNvPr>
            <xdr14:cNvContentPartPr/>
          </xdr14:nvContentPartPr>
          <xdr14:nvPr macro=""/>
          <xdr14:xfrm>
            <a:off x="11174760" y="39283560"/>
            <a:ext cx="318960" cy="172440"/>
          </xdr14:xfrm>
        </xdr:contentPart>
      </mc:Choice>
      <mc:Fallback>
        <xdr:pic>
          <xdr:nvPicPr>
            <xdr:cNvPr id="594" name="Ink 593">
              <a:extLst>
                <a:ext uri="{FF2B5EF4-FFF2-40B4-BE49-F238E27FC236}">
                  <a16:creationId xmlns:a16="http://schemas.microsoft.com/office/drawing/2014/main" id="{4E62A25A-49E0-99BE-8A2B-87149910CADE}"/>
                </a:ext>
              </a:extLst>
            </xdr:cNvPr>
            <xdr:cNvPicPr/>
          </xdr:nvPicPr>
          <xdr:blipFill>
            <a:blip xmlns:r="http://schemas.openxmlformats.org/officeDocument/2006/relationships" r:embed="rId270"/>
            <a:stretch>
              <a:fillRect/>
            </a:stretch>
          </xdr:blipFill>
          <xdr:spPr>
            <a:xfrm>
              <a:off x="11167200" y="39276000"/>
              <a:ext cx="334080" cy="18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144960</xdr:colOff>
      <xdr:row>218</xdr:row>
      <xdr:rowOff>71580</xdr:rowOff>
    </xdr:from>
    <xdr:to>
      <xdr:col>6</xdr:col>
      <xdr:colOff>614040</xdr:colOff>
      <xdr:row>220</xdr:row>
      <xdr:rowOff>18340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71">
          <xdr14:nvContentPartPr>
            <xdr14:cNvPr id="595" name="Ink 594">
              <a:extLst>
                <a:ext uri="{FF2B5EF4-FFF2-40B4-BE49-F238E27FC236}">
                  <a16:creationId xmlns:a16="http://schemas.microsoft.com/office/drawing/2014/main" id="{A638BD6E-EE5D-2378-3CA4-86D59BAFB980}"/>
                </a:ext>
              </a:extLst>
            </xdr14:cNvPr>
            <xdr14:cNvContentPartPr/>
          </xdr14:nvContentPartPr>
          <xdr14:nvPr macro=""/>
          <xdr14:xfrm>
            <a:off x="5097960" y="44381880"/>
            <a:ext cx="469080" cy="353160"/>
          </xdr14:xfrm>
        </xdr:contentPart>
      </mc:Choice>
      <mc:Fallback>
        <xdr:pic>
          <xdr:nvPicPr>
            <xdr:cNvPr id="595" name="Ink 594">
              <a:extLst>
                <a:ext uri="{FF2B5EF4-FFF2-40B4-BE49-F238E27FC236}">
                  <a16:creationId xmlns:a16="http://schemas.microsoft.com/office/drawing/2014/main" id="{A638BD6E-EE5D-2378-3CA4-86D59BAFB980}"/>
                </a:ext>
              </a:extLst>
            </xdr:cNvPr>
            <xdr:cNvPicPr/>
          </xdr:nvPicPr>
          <xdr:blipFill>
            <a:blip xmlns:r="http://schemas.openxmlformats.org/officeDocument/2006/relationships" r:embed="rId272"/>
            <a:stretch>
              <a:fillRect/>
            </a:stretch>
          </xdr:blipFill>
          <xdr:spPr>
            <a:xfrm>
              <a:off x="5090400" y="44374320"/>
              <a:ext cx="484200" cy="3682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41:16.20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64 347 20305,'7'16'4678,"-4"36"-3959,-5 15-1078,1 20-4229,14 5-899,16-43-2608,15-19 8095,-6-31 0,-11-12 0,-18 6 0</inkml:trace>
  <inkml:trace contextRef="#ctx0" brushRef="#br0" timeOffset="334">208 194 7892,'-46'-16'6927,"24"9"-6388,-23-2-359,38 14 270,7 2 269,13-2 2250,18-27-1440,-11-5 0,0-30-809,-43 13-900,-8 15-2339,-22 31-3058,14 49 720,17 12 4857,18 10 0,18-22 0,5-14 0</inkml:trace>
  <inkml:trace contextRef="#ctx0" brushRef="#br0" timeOffset="750">301 406 10591,'11'7'9830,"-1"19"-5628,-1 9-3842,2 48-450,0-15 0,6 25 90,-3-42 450,9-39 629,-5-43-359,3-37-181,-6-10-179,3 6-270,10 14 0,8 22 0,5 28-90,-4 30-1439,-9 25-3778,-9 12-4614,-8 3 8690,-3-16 1,-4-19 0,-1-17 0</inkml:trace>
  <inkml:trace contextRef="#ctx0" brushRef="#br0" timeOffset="1033">1021 545 11221,'25'-70'9830,"-8"13"-4459,-13 10-3842,-26 37-809,-14 32-720,-8 39 0,17 19 0,30 1-2789,31-17-3147,26-28-3895,15-32 9095,-20-12 1,-14-8-1,-32 10 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41:14.873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48 57 14639,'-5'5'4767,"3"0"-4677,17 13 180,14-6-180,24-5 90,-4-11 359,7-17 271,-29-10-630,-14 5 0,-34 5 89,-20 29 271,-27 18 90,2 26 269,10 16-89,25 8-450,36-3-540,40-16-2249,34-24 90,-28-26 1,3-6-2578,0-5 1,-3-3 4674,20-5 0,-24 0 1,-39 9-1</inkml:trace>
  <inkml:trace contextRef="#ctx0" brushRef="#br0" timeOffset="233">540 121 9961,'-24'-24'9830,"6"5"-6167,2-6-2674,37 22-539,28 23-2429,32 27-270,-39-16 0,1 1-1259,-2 0 0,-3-1 3508,15 11 0,-22-20 0,-21-17 0</inkml:trace>
  <inkml:trace contextRef="#ctx0" brushRef="#br0" timeOffset="433">961 161 8882,'-16'-40'9830,"-9"7"-7517,-16 8-2043,-19 35-1799,-10 39-2519,5 26 4048,38-30 0,5-2 0,-1 7 0,15-12 0</inkml:trace>
  <inkml:trace contextRef="#ctx0" brushRef="#br0" timeOffset="733">1259 163 9152,'16'-41'9830,"-7"3"-4819,-14 12-4111,-18 30 809,-19 43-810,-1 37-719,24-33 0,6 1-90,8 0 0,10-3-1619,32 26-3868,26-29-3148,17-33 8545,-18-19 0,-24-3 0,-23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41:19.85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77 446 10051,'-1'-48'9830,"0"15"-7337,-1 50-1773,10 48-540,0-7 0,2 6-90,3 1 0,3 0-1,0-7 1,0-6-90,6 16 0,-17-54-90,-28-74 90,4 3 0,-1-8 0,-4-19 0,2-3-45,5-2 1,7 2 44,9 7 0,11 7 0,9 20 0,10 10 0,52 2-90,10 61 135,-49 9 0,-8 8 44,5 52-178,-62 5-721,-12-54 0,-8-5-1259,-9-5 1,-1-6-7763,-42 4 9612,32-17 1,40-8 0,15-2 0</inkml:trace>
  <inkml:trace contextRef="#ctx0" brushRef="#br0" timeOffset="1117">520 678 10951,'-23'-19'4677,"13"11"-4497,19 7 0,24 4 1349,22-13 720,-8-15-1530,-18-12 1,-44 7 179,-44 20-269,-16 23-315,29 9 0,5 7-135,-5 30-90,29 10-90,79-6 0,26-37 0,-31-19 0,1-9 44,0-18 1,-5-9 495,12-18 629,-8-17-809,-33 27-270,-3 12-90,15 30-360,10 33-89,3 10 89,-4 19 360,-36-16 90,-12-16 90,-37-25-180,7-43-90,2-10-1799,31-25-2878,45 6 1438,10 13 91,30 6 2968,-8 21 2789,-15 6 1349,-16 5-2339,-36 4 900,-23 8 89,-16 11-1079,-7 20-809,4 21-540,24 13-1799,25 4-2429,28-13-809,18-20 4947,8-26 0,-30-7 0,-10-10 0</inkml:trace>
  <inkml:trace contextRef="#ctx0" brushRef="#br0" timeOffset="2133">1749 521 12390,'-25'9'3778,"6"4"-3598,8 19 90,17-1-181,21-9 361,11-21 1889,5-20-1170,-20-16 90,-28 3-449,-30 12-450,-17 22-360,4 27-1529,25 18-720,40 9 810,30-10 1169,21-21 1529,0-28 630,-12-23 450,-16-6-630,-12-3-720,-15 15-719,6 14 0,-5 29-180,5 23-180,-3 16-360,-6-8 270,-7-48 90,3-37 0,2-41 90,9 2 0,7 28 90,-1 39-90,3 36-629,7 27-91,8 2 360,11-11 180,6-33 900,3-44 1259,-7-50-990,-33 23 1,-6-6-855,-7-9 0,-7-1-135,-6 7 0,-5 3 0,-2 6 0,-2 6 0,-10-9 0,3 59 0,13 54 0,7-4 0,3 7-990,5 6 1,2 0-2924,3-2 0,1-4 3913,10 27 0,-10-41 0,-7-28 0</inkml:trace>
  <inkml:trace contextRef="#ctx0" brushRef="#br0" timeOffset="2417">2455 613 11131,'-57'-42'9354,"22"3"-8634,42 8-450,40 7-180,29 11 180,5 14 809,-12 13-359,-17 9-181,-8 34-2788,-19 8-1169,-4 14 3418,-12-9 0,-5-37 0,-1-10 0</inkml:trace>
  <inkml:trace contextRef="#ctx0" brushRef="#br0" timeOffset="2550">2846 433 9152,'-27'-67'6026,"3"17"-10073,-2 6 4047,11 33 0,10 9 0,4 7 0</inkml:trace>
  <inkml:trace contextRef="#ctx0" brushRef="#br0" timeOffset="3200">2866 869 12840,'0'15'7286,"12"-3"-6657,22-7-449,7-9-90,22-28-45,-29-9 0,-3-8 90,-4 2 0,-3-5 179,3-24 1,-7-4 584,-14 10 1,-6 2-495,-1 9 0,-5 4 404,-19-33-89,-19 82-450,13 43-180,9 17 0,6 13-540,11 18 0,7 4-135,0-8 1,5-2-181,8 5 1,12-13-405,50-20 899,6-47 270,-27-32 0,-4-17 494,-10-12 1,-8-8 584,-1-6 1,-8-3-136,-10 4 1,-8 3 674,-19-26-1169,-23 54-450,-7 58 0,10 53 0,24-16 0,9 6-450,6 4 0,7-2-2249,5-3 1,6-5-3418,33 17 6116,3-49 0,-24-20 0,-9-15 0</inkml:trace>
  <inkml:trace contextRef="#ctx0" brushRef="#br0" timeOffset="4067">4283 175 10231,'-16'-42'9265,"-21"19"-6567,-31 41-1214,28 16 1,3 13-586,4 17 1,8 9-541,12 18 1,14 4-945,17-1 1,15-4-2295,14-4 1,13-9-360,10-18 0,8-14 3238,-2-16 0,-1-11 0,-15-10 0,-3-8 0,28-13 0</inkml:trace>
  <inkml:trace contextRef="#ctx0" brushRef="#br0" timeOffset="5160">4864 799 16528,'40'-3'2428,"17"0"-2068,9 2 0,10 0-270,7 0 0,3 0-276,-18 1 1,1-1 0,2 1 185,6-1 0,1 0 0,1 1 30,1-1 0,1-1 0,-2 1-30,-7-1 0,-2 1 0,0-1-30,5 0 0,1 0 0,-6 0 135,9-1 1,-6 1-106,-13 0 0,-3 0 107,34-1-107,-40 1 0,-12 1 89,-9 0 330,-8 0-419,-7 1 0,-7-1 0,-2 1 0</inkml:trace>
  <inkml:trace contextRef="#ctx0" brushRef="#br0" timeOffset="6617">7175 894 12570,'6'5'6836,"-5"-1"-6656,-18 5-90,-1-6 0,-8-7 359,13-13 1,8-6-90,18-2 0,8 11-180,6 15-90,-7 14 0,-7 4-90,-13 8-90,-11-9 90,-5-5-90,-9-23 180,16-9 90,0-6 989,40 4-450,3 26-449,11 9-180,-12 39-2518,-38 7-811,-27 8 3239,-14-35 0,-5-7 0,0 2 0,-17-12 0</inkml:trace>
  <inkml:trace contextRef="#ctx0" brushRef="#br0" timeOffset="7550">7721 342 9062,'1'-17'9830,"-1"1"-7337,-1 22-694,3 32-540,4 49-989,1-32 0,0 2-180,3 4 0,0-3 90,8 38-91,-2-33-178,-20-58-91,5-44 135,1-8 0,6-7 90,11-5 0,7 1-45,8-2 0,6 6 45,2 10 0,3 9-45,32 0 0,-29 43-180,-40 31 90,-40 21 0,-25 2 180,-3-5 629,15-7-179,27-2-180,32 1-1979,32 3-4588,19-6 6207,3-7 0,-30-18 0,-14-8 0</inkml:trace>
  <inkml:trace contextRef="#ctx0" brushRef="#br0" timeOffset="8233">8303 231 10681,'-18'-62'9534,"5"16"-8904,4 46-270,10 30-1799,7 36-2069,11 12-1439,5-7 3507,-5-24 1980,-13-34 1079,-24-35 180,-16-22-360,-7-8-989,13 6-360,27 11 90,26 11-90,21 7 809,6 4-179,-12 4 449,-3 6-359,-13 20-540,2 11-90,-5 19-91,-8-4 91,-4-1-90,0-25 720,11-21 449,8-21-359,5-6-271,2 4-359,-7 21-900,-2 23-3327,-9 19-2070,-2 18 6027,-3-5 0,-5-19 0,0-13 0</inkml:trace>
  <inkml:trace contextRef="#ctx0" brushRef="#br0" timeOffset="8550">9268 126 10051,'-14'-57'9625,"3"17"-8186,11 12 360,29 57-1260,-2 10 1,2 9-360,3 12 0,-3 10-630,-7-4 0,-1 6 1,-6-2-2115,-8 19 1,-9-1-2353,-8 7 1,-9-6 4452,1-33 1,-7-6 0,-7-6 0,-3-4-1,-15 10 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42:10.25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3193 215 10321,'27'-72'9830,"-6"11"-4818,-9 25-4563,-12 26-89,-7 20 0,-28 39 270,-13 14 359,-11 16-269,6-5-720,20-17 0,28 2 0,35-12-720,32 3-6476,25-12-1529,4-8 8725,-22-12 0,-28-7 0,-26-8 0</inkml:trace>
  <inkml:trace contextRef="#ctx0" brushRef="#br0" timeOffset="717">3872 102 12570,'16'-25'7735,"-22"21"-7285,-15 19-270,-17 18-90,5-3 270,10-9-270,14-18 1349,27-24 90,7-10-450,11-8 271,-5 8-721,-6 29-179,-5 13-180,7 52-180,-6 12-180,5 21-270,-7-12 270,-6-23 0,-13-14 180,-25-20 810,-17-10-900,-10-7 0,2-6 0,44 0 0,42-4-810,28 0-3103,-14-2 1,1-1 3912,41-4 0,-36 3 0,-12 0 0</inkml:trace>
  <inkml:trace contextRef="#ctx0" brushRef="#br0" timeOffset="-2283">134 224 12480,'-4'-13'6296,"-2"4"-5126,-19 18-181,-7 25-539,-4 28-90,21 17-91,39-1 1,38-25-45,-15-39 0,4-9 359,5-11 1,0-9 224,-3-6 1,-4-7 450,24-40-541,-44-4-359,-45 6-270,-36 21-1619,-38 33-630,40 19 0,0 7-405,1 6 1,5 3-7241,-18 24 9804,34-9 0,22-18 0,7-10 0</inkml:trace>
  <inkml:trace contextRef="#ctx0" brushRef="#br0" timeOffset="-1383">1301 37 9871,'10'-12'9830,"2"-4"-7876,-13 8-1235,-27 21-269,-46 36-405,34-20 0,-1 3 225,-12 11 0,4 0 1619,-1 9-270,18 5-270,47-19-989,44 7-450,9-9-3104,-14-14 1,2-1-5622,23 7 8815,-4-4 0,-40-13 0,-21-6 0</inkml:trace>
  <inkml:trace contextRef="#ctx0" brushRef="#br0" timeOffset="-733">1858 71 9332,'2'-19'9830,"0"3"-4099,3 15-5102,-3 11 1260,4 55-1619,0 5-1529,-1-11 0,2 2-1665,0-7 1,2-2-765,0 1 0,0-3 3688,5 21 0,-6-32 0,-5-26 0</inkml:trace>
  <inkml:trace contextRef="#ctx0" brushRef="#br0" timeOffset="-383">2181 387 10501,'18'-46'9535,"-8"8"-8546,-18 10-629,-20 16 0,-17 15 359,-6 14 540,5 10 810,10 7-360,16 3-629,18 3-990,25 2-90,31 0-4588,22-5-2518,18-2 7106,-1-11 0,-39-9 0,-14-8 0</inkml:trace>
  <inkml:trace contextRef="#ctx0" brushRef="#br0" timeOffset="2717">236 1346 11131,'0'-13'8095,"-16"10"-7465,-12 21 89,-12 28-359,9 22-270,17 4 0,39 1 0,30-37 360,28-24 629,-3-45-90,-25-32-359,-47-22-360,-54 0-270,5 49 0,-8 10-1350,-7 12 1,-2 11-4407,-33 29 5756,39 23 0,33-11 0,28-12 0</inkml:trace>
  <inkml:trace contextRef="#ctx0" brushRef="#br0" timeOffset="3083">1175 1317 9781,'16'-30'9830,"-13"-1"-7067,-16 5-1863,-25 18-630,-4 17 89,-28 38 901,16 2-91,-2 9 360,23-14-719,28 5-810,19-14-3059,33 12-5216,31-11-1556,-6-4 8899,-8-5 1,-37-14 0,-20-10 0</inkml:trace>
  <inkml:trace contextRef="#ctx0" brushRef="#br0" timeOffset="3283">1117 1721 10861,'-58'-12'9830,"25"1"-6528,29-6-4381,88 1-2339,12 4 674,-18 8 1,1 2 2743,-23 3 0,-6 0 0,25 3 0,-38-2 0</inkml:trace>
  <inkml:trace contextRef="#ctx0" brushRef="#br0" timeOffset="3567">1681 1366 11131,'-20'-42'9830,"4"9"-4549,10 30-4202,13 24-2518,27 55-1619,-14-30 0,2 2-1858,6 13 1,-1-2 4224,7 16 1,-13-26-1,-16-40 1</inkml:trace>
  <inkml:trace contextRef="#ctx0" brushRef="#br0" timeOffset="3867">2139 1530 11580,'14'-73'9830,"-7"17"-8056,-19 32-1414,-16 34-181,-14 27-89,1 14 360,8-1 90,17-9-450,23-6-2429,30-5-2518,31-1-59,-17-13 1,1-2 3893,24 6 1,6-3 0,-44-12 0</inkml:trace>
  <inkml:trace contextRef="#ctx0" brushRef="#br0" timeOffset="4200">2938 1339 11580,'-2'-37'9355,"-6"17"-8905,-15 19 179,-21 31-179,-18 23 450,-3 10 989,11 0-1170,32-10-269,35-11-2159,42-9-3418,30-7 1394,-34-13 0,0-2 3733,31 7 0,-30-5 0,-33-7 0</inkml:trace>
  <inkml:trace contextRef="#ctx0" brushRef="#br0" timeOffset="4750">2889 1832 11041,'-25'-3'9830,"5"1"-5898,10 3-3572,39 5-4138,55 5 450,-20-7 0,5-2 3328,3 0 0,-2-3 0,-12-1 0,-6-1 0,20-6 0</inkml:trace>
  <inkml:trace contextRef="#ctx0" brushRef="#br0" timeOffset="5350">3701 1303 12660,'-9'-35'8455,"2"12"-7556,-12 8-179,0 35-630,-5 12-180,5 7 90,7-9 270,17-30 360,7-16 1348,24-37-449,-2 1-809,1-1 90,-6 23-810,-8 45 0,4 14 0,7 48-810,-3 18 270,-6-8 405,-16-34 1,-5-4-46,-11 8 270,-23 5 359,-6-26 541,-3-9-720,11-10-270,44-8 0,23-9-2069,15-3 0,7-2-1619,2-1 0,0-1 3688,3-1 0,-5 1 0,17-2 0,-45 4 0</inkml:trace>
  <inkml:trace contextRef="#ctx0" brushRef="#br0" timeOffset="6383">7 1849 9062,'-4'-15'8095,"3"14"-7645,27 23 0,12 5-360,31 10 0,2-20 179,0-16 361,-4-16 270,-9-13-361,-14-1-89,-5 2-270,-6 14-90,10 13 0,1 7-90,14 3 270,3-10 629,0-7-449,-7-5-540,-19 4-2878,0 12-2609,1 11 5577,21 7 0,-5-1 0,5-5 0</inkml:trace>
  <inkml:trace contextRef="#ctx0" brushRef="#br0" timeOffset="7133">3639 2028 11221,'-26'-16'7645,"11"12"-7015,9 6 89,21 16-179,12 2-270,10 3-180,4-6 0,3-12 90,3-15 449,2-9 181,-1-3-270,-2 7-450,-6 9 179,15 13-269,-3 5 0,5 3-3238,3 2-2249,-16-9-2338,-4-2 7825,-11-10 0,-18 2 0,-2-2 0</inkml:trace>
  <inkml:trace contextRef="#ctx0" brushRef="#br0" timeOffset="13066">381 911 10591,'-5'-13'7825,"1"2"-6745,-3 0-900,-6 28-90,3 7-450,-3 35-1979,7 0-629,3 5 1079,3-20-270,2-11 1979,-14-29 810,-3-10 719,-12-17-719,6-8-360,14-3 0,20 0 89,20 3 91,14 4 180,-3 10 449,-2 7-629,-17 7-90,-2 11-270,-12 2 0,-3 7 89,-5-3 181,5-9 900,15-17-271,-1-2 180,15-6-899,-12 29-1259,-2 21-3689,-3 28 4678,-1 2 0,-8-20 0,-2-16 0</inkml:trace>
  <inkml:trace contextRef="#ctx0" brushRef="#br0" timeOffset="14633">4047 970 11670,'9'10'5307,"-3"8"-6386,0 49-1979,2-4-450,5 3 3508,0-27 0,-6-20 0,-4-15 0</inkml:trace>
  <inkml:trace contextRef="#ctx0" brushRef="#br0" timeOffset="15033">4050 1215 7533,'-23'-22'4317,"3"-7"-3687,22 1-540,16-2 629,23 4-89,16 17 90,-10 10-181,-2 10-269,-14 5-90,-7 0-90,-4-1 360,-6-5-270,-3-9 629,8-15-269,-1-2 359,11-10-539,1 21-989,4 18-1800,-5 11 2429,-2 18 0,-17-23 0,-1 1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0:03.062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717 138 10501,'-47'-38'7376,"-5"11"-6207,-46 18-180,40 15 1,-3 7-181,-9 9 1,2 9-91,-3 13 1,7 9-315,12 7 0,11 7-180,16 6 0,15 3-181,17 1 1,15-3 45,13-3 0,12-6-90,11-9 0,9-10 0,5-13 0,4-12 45,5-14 0,0-12 0,-7-8 0,-1-8 180,-5-5 0,-4-8 449,-9-5 1,-6-4-135,-5-5 0,-5-4-540,-8-2 0,-6-2 0,-6 1 0,-8-1 0,-9 2 0,-8 2 0,-10-1 0,-9 3 0,-8 1 0,-8 3 0,-7 4 0,-5 5 0,-1 7 0,-3 7 0,1 8 0,1 9-1125,3 11 1,3 9-6612,-35 40 7736,27 28 0,28-31 0,20-5 0</inkml:trace>
  <inkml:trace contextRef="#ctx0" brushRef="#br0" timeOffset="717">373 367 11760,'-7'-4'4768,"0"3"-4319,-1 11-269,7 3 0,13 3 540,21-7 629,9-10 90,3-12-539,-17-14-271,-26 0-359,-19 2-2159,-21 18-1889,3 14-989,4 10 4767,19 14 0,8-18 0,4 6 0</inkml:trace>
  <inkml:trace contextRef="#ctx0" brushRef="#br0" timeOffset="1083">424 432 14639,'-5'-11'5487,"3"10"-5398,3 22 91,6 9-180,10 23 90,-2-17 0,1-3-90,-14-22 0,-16-19 180,-9-8 180,-25-13-360,-4 12-90,-7 2-5037,0 20-3598,29 4 8725,7 7 0,21-8 0,4-1 0</inkml:trace>
  <inkml:trace contextRef="#ctx0" brushRef="#br0" timeOffset="1350">459 567 10591,'9'-7'7556,"1"-1"-6837,-2 8-539,-3 14-90,-4 14-630,-5 14-1349,-3-3-1978,-5 2 3867,-2-12 0,5-10 0,1-8 0</inkml:trace>
  <inkml:trace contextRef="#ctx0" brushRef="#br0" timeOffset="1600">417 715 8792,'2'-15'7556,"-2"-1"-5488,1 0-1168,-1 1-720,4 9-90,2 5-630,15 17-1888,9 3-1260,13 3 3688,0-7 0,-16-7 0,-10-5 0</inkml:trace>
  <inkml:trace contextRef="#ctx0" brushRef="#br0" timeOffset="2317">763 320 10591,'-15'-32'4857,"-6"13"-4677,-3 20 90,1 15-90,6 16-180,17-5 90,13-4 360,17-19 1438,0-16-628,-6-18-721,-22-3-1258,-17 9-2070,-10 17-539,5 22 1619,12 14 1889,16 3 2339,9-6 359,-1-9-719,-1-6-1350,-6-3-269,3 4-270,1 3-180,2 5 0,-2-3 0,-2-2-90,-20 3 0,-12 1 0,-18 9-1259,-6 1-3329,3 0 4588,11-1 0,13-13 0,11-4 0</inkml:trace>
  <inkml:trace contextRef="#ctx0" brushRef="#br0" timeOffset="2550">732 584 8342,'12'-20'7196,"-1"-2"-4048,3-7-2518,4 18-450,-1 15-540,5 16-1979,-1 9-2248,-3-3 4587,-2-4 0,-8-9 0,-4-8 0</inkml:trace>
  <inkml:trace contextRef="#ctx0" brushRef="#br0" timeOffset="2716">890 607 8792,'-18'-10'7556,"-4"4"-6297,-9 9-539,-3 14-1440,0 16-2788,5 11 3508,6 2 0,13-20 0,5-6 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4:59:55.39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306 2646 7083,'-21'-16'4947,"-5"-5"-3867,-6-10-721,0-11 181,7-4 90,6-33-181,9-11-314,7 38 0,2-3 180,3-20 0,1-1-90,2 9 0,0 2-135,0-8 0,2-2-1,3-5 1,2 1 90,1 14 0,3 1 0,8-19 0,4-1 135,2 10 0,4 3-136,6-5 1,2 3 0,-3 10 0,3 0-45,15-12 0,5 2 0,-3 11 0,1 2-45,9-4 0,5 1 0,6 5 0,2 3-45,-1 8 0,2 3-15,-19 12 0,2 1 0,2 2 0,9-1 0,3 2 0,-2 2-30,-12 5 0,-1 2 0,3 2 30,18-2 0,5 2 0,-5 3-195,9 4 1,-2 3 194,-23 3 0,1 1 0,-1 3 15,26 4 0,0 5 75,-30 1 0,1 3 0,-2 0 15,24 6 0,-1 4 14,-22-2 1,0 2 0,-2 3 165,21 17 0,-4 3-45,-6-2 0,-2 2-61,-19-8 1,1 3 0,-3 2 105,17 19 0,-4 2-180,-6-6 0,-2 2-45,6 12 0,-2 3-45,-12-4 0,-3 0 0,-6-9 0,-3 1-1,1 13 1,-4 0 225,-12-17 0,-4 0-45,0 7 0,-2 1-135,-3 4 0,-3 3 164,-3 3 0,-2 2-209,-2 4 0,-1 1 45,-1-3 0,-2-2 135,0-5 0,-3-3-90,-1-8 0,-2-1-90,-3-1 0,-3-1-45,-4 3 0,-2 0 45,-5 7 0,-3 1 0,-4 3-1,-2 0 1,-5 3 0,-3-2 0,-2-3 0,-3-3-90,-5-2 0,-3-2 45,-1-1 0,-2-3 0,0-1 0,1-2 0,2-4 0,2 0 0,4-4 0,0-2 0,1-4 0,-1-2 0,-2-1 0,-3-2 0,-4-3 0,-3-3-45,-2-2 0,-2-4 45,-2-4 0,-1-2-135,-1-4 1,-2-2-181,-1-2 0,-1-2 90,-1-2 0,-1-2 90,1-3 0,0-3 0,4-3 1,0-2 89,5-3 0,1-3 0,0-2 0,2-3 45,0-2 0,2-2 0,-2-2 0,1-2 0,0-1 0,1-2 0,2 1 0,0 0 0,4-1 0,1 1 0,3 0 0,2-1 0,-37-25 0,12 0 0,10 1 0,7 2 0,4 0 0,-1 0 0,-4 1-90,0-2 90,1 1 0,2 0 0,3 2 0,0 1 0,0 1 0,-5 0 0,0 0 0,1 3 0,6 3 0,8 0 0,9-1 0,5-4 0,2-3 0,0-4 0,-1-4 0,-1-4 0,1-1 0,-2-3 0,-1 3-360,-5 6-4767,-2 11-4704,3 13 9208,15 11 0,6 10 0,14 3 0</inkml:trace>
  <inkml:trace contextRef="#ctx0" brushRef="#br0" timeOffset="916">1189 1116 10051,'-5'-8'3868,"-3"6"-2879,-17 27-449,-5 33-450,4 3 270,8 28 90,21-41-1,14-3 181,11-36 809,9-33-719,-8-16 269,-9-41-539,-24 12-270,-11-1-180,-10 24-2339,-2 25-1079,8 29 3418,10 26 0,5-7 0,8 4 0</inkml:trace>
  <inkml:trace contextRef="#ctx0" brushRef="#br0" timeOffset="1165">1205 1418 13289,'-15'-11'4948,"2"8"-4769,-2 25 91,5 15-719,-1 19-1980,5 6-2878,3-6 5307,0-13 0,2-22 0,-1-11 0</inkml:trace>
  <inkml:trace contextRef="#ctx0" brushRef="#br0" timeOffset="1382">1128 1645 9512,'-6'-11'7645,"-11"10"-7555,-10 19-360,-12 17-1978,-4 16-3059,4-1 5307,13-13 0,10-15 0,12-15 0</inkml:trace>
  <inkml:trace contextRef="#ctx0" brushRef="#br0" timeOffset="1715">1222 1708 11580,'-18'-28'5937,"5"8"-4858,-1 4-989,16 13-90,14 11-1529,19 10-1709,12 12-3508,-6-2 5898,-9-4 0,-18-13 0,-8-5 0</inkml:trace>
  <inkml:trace contextRef="#ctx0" brushRef="#br0" timeOffset="1949">1197 1739 9512,'-15'-14'8185,"1"10"-7915,2 15-450,4 23-2069,8 20-2878,4 8 5127,0-20 0,0-12 0,-4-24 0</inkml:trace>
  <inkml:trace contextRef="#ctx0" brushRef="#br0" timeOffset="2365">1167 1999 7713,'-12'-9'5307,"-8"5"-4408,-7 14-809,-1 6-90,-6 20-2069,16 0-539,3-2 2608,11-7 0,3-17 0,1-4 0</inkml:trace>
  <inkml:trace contextRef="#ctx0" brushRef="#br0" timeOffset="2565">1225 1991 13110,'4'-25'3597,"2"11"-4136,23 29-1890,3 8-1439,16 11 1170,-17-15 1635,-7-8 0,-17-9 0,-2 0 0</inkml:trace>
  <inkml:trace contextRef="#ctx0" brushRef="#br0" timeOffset="4082">2293 1121 9242,'-23'-36'6296,"-4"13"-5486,-3 22-451,8 33-269,17 6 0,28 11 1080,26-34 179,0-16-90,1-34-539,-41-17-540,-21 7-360,-34 8-1979,-4 37-1079,8 23 360,27 21 1438,27 7 1890,12-8 1439,-1-13 1259,-4-18 1170,-11-13-4138,5 3 0,-7 2-91,7 22 1,-2 10 0,3 14-90,-2-3 0,-1-2 1619,-4-12-1259,-12-7-270,-10-13-90,-18-10 0,-3-7 0,-7-4-3868,10 3 2789,15 8 359,11-1-179,28 5 629,15-12 630,7-6 539,0-4 1,-9-3-630,-14 7-180,-3 2-90,-4 6 0,1 2 90,10 2-180,5-2 90,6-2-90,-6-1 90,-19 16-630,-20 9-1079,-21 23-630,-12 11 720,2-1 1619,6-9 630,12-23 1169,12-25-450,5-8-180,3-10-179,0 6-900,-2 9 90,0 17-180,-1 17-810,2 14-989,5-1 360,8-9 719,20-21 631,9-16 988,10-11-89,-15 2-271,-8 6-179,-1 19-2609,3 9-5756,25 20 7157,-18-12 0,-1-6 0,-23-16 0</inkml:trace>
  <inkml:trace contextRef="#ctx0" brushRef="#br0" timeOffset="5065">1965 2903 8342,'0'-22'7556,"-1"-3"-6207,-4 12-1169,-10 14 450,4 33-360,12 13-181,18 3 721,38-25 629,-5-35-629,0-22 539,-38-36-989,-31 16-450,-31 2-2968,-8 47 899,15 12 180,20 35 1079,49 10 2070,-1-8 1888,12-5 270,-19-31-2518,-13-12-720,-3 4 90,-6 8-180,-1 28 89,0 27-89,-1-2-359,-8 13-1260,-23-22 539,-6-12-1079,-23-10-989,10-28-630,5-16-629,21-14 4407,18 0 0,9 9 0,5 9 0</inkml:trace>
  <inkml:trace contextRef="#ctx0" brushRef="#br0" timeOffset="5415">1890 3196 2116,'41'-31'7106,"-8"5"-2989,8-6-1688,-16 14-844,-6 10-955,-3 24 255,-3 30-1244,8 29 896,9 7-1796,14-13 359,10-33 541,4-32 1078,-6-21 1,-12-5-540,-15 5-270,-4 22-2159,0 18-3418,19 18 4819,-5-5 0,-5-11 0,-16-17 0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08.53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338 627 9602,'5'7'6206,"11"3"-6116,25 5 270,23-2-180,19-16 0,8-6 89,-22 0 1,1-4-180,-4 0 0,3-2 0,-6-3 0,-3-5 0,-7-2 90,23-24 90,-24-10 89,-28-2-179,-22-8-90,-28 1-90,-31 5 0,10 34 0,-6 4-45,-7 4 0,-3 3 45,-11 1 0,0 3 0,2 2 0,1 3 45,0-1 0,0 2 45,4 2 0,2 2 180,3 2 0,1 4-45,8 3 0,3 4 404,-29 23 181,31 15-91,31 20 1,27 14-450,23 8-180,-10-42 0,2-2-45,3-3 0,2-2-765,34 31-1888,4-17-1080,1-19-5397,-7-20 8237,-20-10 0,-17-7 0,-19 1 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23.31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32 79 0,'-16'-41'0,"1"4"0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25.76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6 109 9152,'-3'-5'6476,"1"11"-4857,4 9-180,10 18-629,6 6-180,15 12-271,0-12 91,10-5-270,-8-22 270,36-34-91,-18-8 91,27-19 0,-20 9 90,-5 11-91,-8 12 181,10 19-450,-6 12-90,7 6 0,1 2-90,8-14 90,3-11-135,-15-11 0,2-4 45,-9 1 0,0-1 0,6-3 0,0 1 90,-3 5 0,-1 4 180,33 5-91,2 10 1,11 19 0,-16 0-180,9 0 90,-3-12-90,11-20 0,-10-3 135,-33 0 0,-2-1-45,11-1 90,13 4-180,0 18 90,-5 8-90,-25-1 0,3 2 45,1-1 0,0 0-45,-2-2 0,2-4-45,12-1 0,2-7 45,-6-10 0,-2-6 45,-7 1 0,-2-5-45,0-5 0,-6-3-180,5-14-4857,-18 8-4794,-12 11 8735,-16 14 1,-1 4 0,-3 3 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29.284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85 35 9422,'-2'-7'7016,"-3"5"-5757,-6 13-540,-6 13-359,-2 9-180,1-2 1079,7-8-719,9-19 540,8-19 179,6-18 0,1-8-269,-2 3-721,-4 15-89,2 21-90,0 21-90,7 25 0,-1 13-90,0 4 0,-6-6 0,-9-12 180,-10-14 360,-7-14 0,-3-11 179,6-5-359,11-9-270,15 3-2878,16-5-2699,21-1-1799,10-3 7376,-8 1 0,-16 4 0,-22 6 0</inkml:trace>
  <inkml:trace contextRef="#ctx0" brushRef="#br0" timeOffset="449">471 80 12210,'-12'-12'7466,"-4"6"-6297,1 10-809,5 7 0,15 15-270,11 5-180,10 10 90,-6-11 90,0 4-90,-19-19 0,-10 1-180,-18-16-90,-5-14 270,8-13 0,13-9 270,13 1 719,6 8-899,1 15-1169,-7 17-8752,-1 33 7865,-2-15 0,0 11 1,2-30-1</inkml:trace>
  <inkml:trace contextRef="#ctx0" brushRef="#br0" timeOffset="783">577 114 10141,'3'-30'8725,"-7"6"-7915,-4 17-540,-3 11-360,7 11-90,13-2 270,14-8 899,7-13 180,-2-7 990,-3-1-1349,-8 12-1980,1 15-3147,-2 18-91,2 11 3560,2 6 0,-5-15 0,0-2 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08:36.61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226 155 7443,'-6'3'7825,"-4"2"-7195,14-3 629,24-3 90,46-5-764,-10 1 0,6-1-91,14 0 1,4-1-165,-20 1 0,2 1 0,1 0 5,3 0 0,1-1 0,1 0 174,5 0 1,1 0 0,2-1-61,4 1 1,1 0 0,1 0-150,4 0 0,0 1 0,0 1-121,1 1 1,-1 0 0,1 1-90,-2 0 0,-1 1 0,-1-1-60,-3 1 0,-1-1 0,-2 0-30,-8 0 0,-2 0 0,-3 0-45,21-2 0,-7 0 45,-19 2 0,-8-1 90,21 0 180,-29 0 90,-20 1-270,-11 0 344,-7 1-434,-4 1 90,-3 3 0,-3 12-90,-4 15 0,-5 29 0,-5 24 0,4-30 0,1 4 0,-1 4 0,2 1 0,0 0 0,1-1 0,2-6 0,0-2 0,-3 31 0,-4-22 0,-9-20 0,-20-13 0,-46-8-90,14-12 0,-9-2-210,12-2 0,-4 0 0,-4 0-86,-15 1 1,-5 0-1,0 1 236,-3 1 0,-1 1 1,-1 1 59,25-2 0,1 0 0,-1 1 0,1 0-30,-21 4 0,0 2 0,2-1 90,8 0 0,1 0 0,2 0 0,4 0 0,1 0 0,2-1-15,-21 5 0,4-1 90,12-1 0,4-1 45,13-2 0,3 0 45,9-1 0,1 0 225,-39 12-91,18-3 349,13-3-618,12-4 90,8-3 0,6-4-90,1-6-180,0-11 180,-3-14 0,-5-19 90,-2-22-180,18 18 0,3-3 90,0-8 0,4-2 0,1-4 0,4 0 45,3 2 0,3 1-45,2 7 0,1 2 0,1-42 90,2 9 269,5 10 91,4 11 0,2 16-180,-2 14 0,-3 11-270,-3 10 0,-1 3 0,0 2 0,-1 2 0,1-1 0,2-2 0,3-4 0,4-2 0,3-1 0,4 0 0,7 2 0,3 1-990,0 3-2518,-3 6-1709,-8 5-4614,-7 6 9343,-4 2 0,-5-3 0,-1-3 0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0:29.23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276 413 8612,'-4'-25'8006,"-4"5"-7107,-8-10-539,-13 17-90,2 18-180,1 11-90,13 22 90,19-6-90,9-1 359,18-21 361,-7-16 269,4-19 540,-11-10-449,-7 5-361,-4 5-539,-3 18 0,1 13-90,4 13 0,3 16 360,-1-2 0,-5 9-181,-23-6-448,-9-6-3150,-29 0-1888,9-18 5217,1-6 0,24-6 0,12-3 0</inkml:trace>
  <inkml:trace contextRef="#ctx0" brushRef="#br0" timeOffset="466">498 357 8252,'-5'-5'9830,"8"6"-5628,-21 43-4651,24-2-91,13 0 360,9-14 540,3-24-90,-13-15 89,-18-23-269,-24-9 0,-11-7-90,1 0 0,17 5 0,16 16 90,18 10 0,7 26-899,5 20-3509,-3 18 4318,-5 11 0,-10-21 0,-5-9 0</inkml:trace>
  <inkml:trace contextRef="#ctx0" brushRef="#br0" timeOffset="6266">464 124 8162,'-46'-15'4048,"-6"7"-3598,-18 14 539,-5 20-179,0 25-91,15 26-539,39-30 0,9 3 45,10 7 0,12 0-45,14 2 0,11-3-90,13-3 0,10-7 44,4-10 1,5-9 45,3-10 0,2-11-90,12-18 0,-2-12 0,-13-5 0,-4-7 180,3-9 0,-8-7 179,-21 0 1,-13-6-225,-17-2 0,-12-1-135,-8 2 0,-13 3-45,-27-12 0,-14 9-45,3 20 0,-7 10-90,6 11 0,-5 7 0,1 8-1170,-24 15 1,4 15-1080,1 12 1,8 8 2338,21-2 0,9 2 0,-7 28 0,41-25 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4:23.01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2904 35 4602,'3'-14'8365,"-1"0"-5854,-18 8-1521,-18 6-220,-6 6-410,-49 10-185,39-8 0,0 0-175,-7 0 0,0 0 828,-38 4-828,9-8 0,-1-3 0,35-2 0,-1-1-1131,-22 0 1,-10-1-1,11 0 1131,21-1 0,1 0-20,-25-2 0,-11-2 0,8 1 20,15 3 0,0 1 0,-12-2 0,-7 1 0,8 2 0,11 2 0,5 2 0,-4 2 0,2 2 0,-29 6 3362,-6 3-3092,4-3 180,1 0-180,3-3 90,3-1-181,6-1 91,7 4 0,0 16 0,17 8-90,-2 25-90,24 6 90,16 12-180,28 9 45,9-34 0,7-1-45,0-7 0,3-1 0,11 9 0,4-3 45,-5-14 0,3-3-45,6 1 0,3-2 0,2-4 0,3-1 0,8 0 0,0 0 0,-9-5 0,1-2 0,8 3 0,0-2 0,-10-7 0,1-3 45,10-1 0,3-3-45,8-2 0,3-2 0,12 0 0,3-1 0,-27 0 0,1-1 0,1 0 0,1 0 0,1 1 0,-1-1 0,3-1 0,0 0 0,-1 0-79,-2-2 1,-1 0-1,1-1 79,-1 1 0,0-2 0,0 0 0,29-3 0,-1-2 0,-13 0 0,-3-3 0,-10-1 0,-3-3 90,-10-2 0,-3-5 45,-6-4 0,-4-4 90,-5-3 0,-3-4 44,-3-2 1,-5-3 270,14-41-35,-19-1-325,-19 2 270,-22-5 0,-19 3-360,9 42 0,-6 3-45,-8 1 0,-7 5-45,-10 1 0,-5 4-225,-8 4 0,-5 4-1439,-4 3 0,0 5-720,4 3 0,3 5-2428,7 5 0,6 2 4812,-14 4 0,33 3 0,33-5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4:49.981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202 44 8304,'-4'-13'8905,"-7"13"-7364,3 24-732,-3 30-322,8 37-307,3 6-103,1-35 0,0 0 13,2 30 195,-2-2-285,-3-46 0,-12-20-90,-14-31 90,-8-11 180,0-13 0,6-3 180,12 9-180,11 15 179,12 20-89,11 16-90,15 23 630,-1-10 359,6-3-539,1-26 449,0-26-629,-6-8-540,-2-15-5847,-15 8-2608,4 7 8545,-2 12 0,-4 9 0,-3 5 0</inkml:trace>
  <inkml:trace contextRef="#ctx0" brushRef="#br0" timeOffset="650">1514 93 7713,'22'-31'8994,"-5"6"-5126,3-6-3418,-15 25 2338,-25 43-1798,-14 23-631,2-5 1,-3 7-180,-2 1 0,1 1-135,2-5 0,0-2 0,1-1 0,2-5-45,-15 9 0,11-22-90,-1-18 180,9-40 450,5-4 629,0-18-269,12 8-900,-1 30 0,2 26 0,5 28 0,7 14 0,15-15 0,17-20 0,15-23 0,8-18-4588,-7-6-1798,-7-1 6386,-13 9 0,-13 3 0,-5 5 0</inkml:trace>
  <inkml:trace contextRef="#ctx0" brushRef="#br0" timeOffset="1200">1092 660 8882,'-6'-11'9830,"1"-1"-5178,4 13-4472,15 7 89,3 7-89,25 8-1619,-3-6-2878,10 2-2789,-7-5 7106,-12-7 0,-14-3 0,-9-4 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5:16.112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26 1158 12660,'-14'3'8185,"2"4"-7106,39 35-629,26 4-450,-15-14 0,8-1-2609,42 1 1,5-8 719,-37-12 0,-1-4-3027,26 3 1,-7-5 4758,-19-13 0,-31 0 1,-14 4-1</inkml:trace>
  <inkml:trace contextRef="#ctx0" brushRef="#br0" timeOffset="233">799 1236 9242,'-17'-24'9830,"-39"13"-7067,50 32-5192,5 68 1799,30-6 360,-10-15 1,-8 0-901,-28 13-2608,-36-1-2042,16-45 5820,-4-8 0,33-23 0,2-1 0</inkml:trace>
  <inkml:trace contextRef="#ctx0" brushRef="#br0" timeOffset="567">1100 1291 9152,'-25'-12'9175,"0"-2"-8366,55-16-2698,21 4 0,-5 9 0,5 3 1889,38-4 0,-42 11 0,-18 4 0</inkml:trace>
  <inkml:trace contextRef="#ctx0" brushRef="#br0" timeOffset="733">1439 1149 10250,'-13'15'9715,"-4"1"-6714,-7 5-1652,6 11-557,10 17-3940,11 22-2932,15 21 6080,8-6 0,-8-29 0,-2-25 0</inkml:trace>
  <inkml:trace contextRef="#ctx0" brushRef="#br0" timeOffset="1100">1757 1524 11850,'-20'-73'9830,"-6"11"-7067,-14 26-2493,-1 33-2339,9 37-809,21 27 1079,31 5 1259,24-14 2069,11-32 990,-10-28-1170,-21-24-270,-33-9-719,-24 6-2429,-16 18-2338,4 29-5424,22 22 8787,14-3 0,15-5 1,-1-21-1</inkml:trace>
  <inkml:trace contextRef="#ctx0" brushRef="#br0" timeOffset="1984">2093 1439 9781,'15'-70'9830,"-18"-11"-6077,-20-15-3034,-23 21-449,-17 49-1169,-4 67-406,39 2 1,9 8 224,9 10 1,11 1 494,9-8 1,11-7 854,39 9 1439,3-66-180,-16-55-765,-30 19 1,-5-4 584,-1-47-989,-11 30-360,-15 51-1259,7 39-2609,5 59 1979,20-9 899,7-24 1,8-8 1169,31-11 1979,20-35 270,-21-44-630,-19-18-1440,-22 14-89,-19 12-1349,-12 42-1440,-4 21 450,4 20-359,14 10 2248,15-20 1619,15-25 90,1-28-719,1-17-181,-3-3-449,-2 31-90,3 45 0,-3 42-90,-15-25 0,-4 6 45,0 25 0,-4 5 315,-5-4 0,-4 0 224,-3 10 1,-6-1 89,-8-8 1,-10-7-495,-8-21 0,-6-10-1529,-32 2-1260,7-97 360,68-29 1,18-14 179,-5 13 0,4 0 1390,16-13 1,2 10 0,4 10 0,-15 31-1</inkml:trace>
  <inkml:trace contextRef="#ctx0" brushRef="#br0" timeOffset="2400">1984 794 10501,'2'-18'8995,"6"25"-8006,2 30-809,10 50-1574,-8-27 0,0 2-720,0 1 0,1 0 2114,0-1 0,0-6 0,-1 3 0,-2-20 0</inkml:trace>
  <inkml:trace contextRef="#ctx0" brushRef="#br0" timeOffset="3350">984 2592 8612,'-20'7'6746,"6"0"-5846,24 5-586,37-10 1,20-6-225,19 0 0,12-4-547,-21-1 0,6-3 0,5-2 0,1-3 421,-9 0 0,2-2 0,2-2 0,0-1 0,0 0 0,3-2 0,0-2 0,0 0 0,0-1 0,1-2 18,2-2 0,1-2 0,-1-1 0,-1 0 0,-5 0 18,6-4 0,-3-1 0,-4 0 0,-5 1 248,2 1 1,-6 1-1,-9-7 142,-13-9 0,-8-7 0,-16 3-300,-27-42-90,-21 14 0,-18-2-180,-5 34 0,-11 4 0,-2 2-86,1 1 0,-2 1 0,-6 2 198,0 4 1,-5 1 0,-3 2 0,-1 3 22,-6 5 0,-3 4 0,-1 2 0,2 1 134,5 2 1,2 2 0,-1 1 0,-2 2-90,-11 0 0,-2 2 0,0 2 0,4 2 0,-4 2 0,3 2 0,-1 6 45,13 3 0,-3 3 0,1 4 0,2 4 15,-18 12 0,4 6 0,3 9-15,19-3 0,2 6 0,3 4 0,6 3 75,-7 19 0,8 5 0,9 4-167,9 2 0,8 3 0,11 2 77,13 3 0,11 2 0,11-4-60,10-4 0,11-4 0,6-3-570,10 0 0,8-4 1,6-9-1230,4-13 0,4-9 0,-2-7-1256,7 0 0,-4-11 3085,-4-14 0,-9-9 0,-3-6 0,-1-2 0</inkml:trace>
  <inkml:trace contextRef="#ctx0" brushRef="#br0" timeOffset="4950">938 148 10501,'-18'-13'8815,"-17"13"-8545,-20 17 539,6 23-359,30 22-270,59 15-180,-3-36 0,6-4 0,6 1 0,1-3 450,29 15-360,-38-14 0,-56-20-1619,-37-5-1800,-30-14-718,3-17 1168,25-24 2610,31-22 2067,26-17 631,17 4 180,2 16-271,5 18-988,4 39-721,7 29-449,14 37-720,9 15 91,13-10 269,7-36 899,-5-52 271,-25-46-451,-42-27-269,-44 6-809,-39 36-2520,-17 54-3867,15 44 6926,28 10 0,27-13 0,21-23 0</inkml:trace>
  <inkml:trace contextRef="#ctx0" brushRef="#br0" timeOffset="5783">1866 215 8522,'20'-46'9830,"-16"2"-7877,-12 3-1683,-37 30 0,-2 42-1439,4 32-1620,41 22 1080,34-16 1259,11-42 1,7-11 1708,42-24-315,-41-9 1,-5-8 404,11-33 1,-34-6-991,-29 34-89,-12 35-720,8 33-269,9 19 179,29 1 540,4-37 360,4-20 539,-11-63-449,-17-16 180,-7-13 89,-9 8-719,-1 55 90,12 38-90,10 36 0,21 34 90,6-13 0,-8-18-90,-15-15 0,-36-36 0,-5-7 0,-14-24 0,28-1-90,14-3 90,25 8 0,21 25-90,-15 16-1529,2 31-4407,-35 23 6026,-11 0 0,-2-16 0,2-25 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5:53.3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5119 0 9691,'-1'17'9445,"-1"-9"-8366,-10 66-449,-18 10-450,3-19 0,-6 5-135,-12 11 0,-8 2-283,7-18 0,-6 0 0,-3 0 238,-7 3 0,-5-1 0,-3 0-170,10-14 0,-2 0 0,-2-1 1,-2-2 169,-2-1 0,-2-1 0,-1-2 0,-2-2 0,0-1 0,-2-1 0,-1-2 0,0-1 0,0-2 0,-1-1 0,-1-2 0,1-1 0,2-3 0,0-2 0,0-1 0,-1-2 0,0-1 0,0-1 0,-1-2 0,-1-2-23,-1-1 1,0-2-1,0-1 1,-1-1 22,1-1 0,-1-2 0,1 0 0,-1-2-23,2 0 1,0-1-1,0 0 1,1-2 52,-21 0 0,2-1 0,2-2-129,8-3 1,2-1 0,1-2 98,8-2 0,0-2 0,4-1 0,-24-7 0,5-3 0,17 0 0,4-3 0,10 2 0,2-2 288,10 2 0,2 0-18,-35-19 1057,11 2-787,10 2 54,9 2-234,8 4-180,8 2 269,0-8 181,12 7-180,-5-10-180,9 12-360,4 4 180,-1 30-90,5 28 90,-6 42-180,4 19 180,1-3 0,2-22-90,2-45 0,-1-57 269,-5-46 1,7 26 0,0-3-180,1 1 0,1 1 90,8-27-180,21 29-360,26 33-2518,45 32-181,-26 0 1,5 1 3058,16-2 0,-2-2 0,-17-3 0,-4-3 0,-7-8 0,1 1 0</inkml:trace>
  <inkml:trace contextRef="#ctx0" brushRef="#br0" timeOffset="300">1106 959 2142,'-46'-12'9830,"18"-5"-6353,23-11-2937,50-9-679,41-4-1480,-37 22 0,1 3-1495,35-9 3114,-30 14 0,-32 7 0,-13 3 0</inkml:trace>
  <inkml:trace contextRef="#ctx0" brushRef="#br0" timeOffset="450">1415 791 11490,'-38'69'6926,"14"3"-9444,43 7-450,7-14 2968,14-5 0,-20-34 0,1-9 0</inkml:trace>
  <inkml:trace contextRef="#ctx0" brushRef="#br0" timeOffset="1117">1607 1114 7083,'10'-41'7736,"-7"1"-4588,-8-28-2069,-9 27-629,-12 8-270,2 45-180,11 24-180,11 14-90,30 8 180,2-29 90,14-15 180,-9-43-270,-5-13 90,-8-3 0,-1 2 0,9 30 0,1 10 0,19 36 0,-19 1 90,1 10-90,-25-13 90,-17-8-180,-6-9-180,3-30 90,21-11 0,30-43 180,-10 29 0,2-3 180,4-11 0,-1-4 135,-5 1 0,-6-2 314,-7 0 1,-7 2-90,-9-20 269,-14 20-449,-2 49-450,10 30-1709,10 30-3418,24 30 180,0-14 5037,2-3 0,-17-39 0,-7-13 0</inkml:trace>
  <inkml:trace contextRef="#ctx0" brushRef="#br0" timeOffset="1250">2187 804 8882,'-16'4'8905,"-7"-4"-8995,16-7-2699,18-11 2789,47-12 0,-5 5 0,16-2 0</inkml:trace>
  <inkml:trace contextRef="#ctx0" brushRef="#br0" timeOffset="2316">1756 1395 10861,'-50'2'9265,"7"22"-8726,10 13-359,21 60-90,42-56 0,34 21-90,-15-58 0,5-14 45,4-7 0,-2-7-45,-3-2 0,-5-5 270,20-33-90,-39 10-90,-32 15-90,-23 19-90,-13 24 90,-4 25-90,13 17-180,23 5 90,31-9 180,26-25 0,10-27 90,-5-23-180,-25-25-90,-23 18 90,-16 3 90,3 31 0,25 3 0,16 0 180,12-6 90,-1-3-270,-13 3 0,-6 2 0,-7 1 0,-7 1 0,4-11 0,-3 2-180,18-12-630,-12 18-3327,15 8 4137,-15 23 0,-6-8 0,-7 3 0</inkml:trace>
  <inkml:trace contextRef="#ctx0" brushRef="#br0" timeOffset="2633">1062 1672 12660,'-7'41'1349,"10"3"-8185,15-12 6836,-1-5 0,-8-15 0,-6-7 0</inkml:trace>
  <inkml:trace contextRef="#ctx0" brushRef="#br0" timeOffset="2766">1104 1818 12210,'-16'-26'5037,"13"-4"-5666,26-3-2385,17 5 1,9 2 3013,38-17 0,-31 19 0,-2 2 0,17-5 0</inkml:trace>
  <inkml:trace contextRef="#ctx0" brushRef="#br0" timeOffset="3516">2848 937 12840,'-11'-5'5037,"-9"9"-3508,-18 22-540,-11 26-809,8 2 0,20 13-270,41-30 0,27-20 180,15-34 270,-4-30 719,-14-15-179,-20 8-450,-13 16-450,2 37-540,8 11 180,19 7 180,15-26 270,3-36 360,-9-39-225,-33 28 0,-7-3 134,-7-3 1,-6 0-45,-5 5 0,-4 5-135,-21-19-90,3 51-540,18 52-2968,26 44 989,4-26 1,4 1-631,6-2 1,2-3 3058,16 17 0,-16-32 0,-20-24 0</inkml:trace>
  <inkml:trace contextRef="#ctx0" brushRef="#br0" timeOffset="3666">3309 820 11221,'-54'-33'9264,"2"-1"-9174,7-3-1619,37-8-2429,55-14 3958,0 19 0,5 2 0,-10 8 0,0 2 0,2-1 0,0 0 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5:48.99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14 1677 11940,'-11'-15'6207,"9"-23"-5668,10-7 990,11-32-719,11-11-630,-8 35 0,4-2-135,8-9 0,7-1 0,9-8 0,5 1-45,8-4 0,4 3-45,2 4 0,3 2 45,-1 6 0,3 3 0,2 5 0,3 3-119,-21 15 1,3 1 0,0 2 118,5 0 0,1 2 0,2 0 0,4 0 0,2 2 0,1 1 0,-1 2 0,1 2 0,-1 2 30,1 1 0,-1 2 0,1 1-60,0 1 0,1 1 0,1 1 30,3 1 0,0 0 0,1 2 30,2 1 0,1 1 0,-1 2-30,1 1 0,0 1 0,0 2-30,-3 2 0,-1 3 0,-1 0 60,-2 2 0,-2 2 0,0 0-30,-3 2 0,1 0 0,-1 2 30,0 0 0,-1 0 0,1 2 30,-1-1 0,-1 1 0,0 1-30,-1 0 0,-1 1 0,0 0-30,27 8 0,-3 0 45,-12 0-1,-1 0-68,11 6 1,-3 2 67,-18-5 1,-2 1-45,4 1 0,-2 2 0,-9-2 0,-5 0 0,19 12 0,-7-1 0,-25-14 534,-14-7-355,-8-4-129,-7-15 220,-14-14 270,-9-21 89,-8-5 900,-17-21-629,0 10-1,-7-7-539,9 20-270,9 12-180,8 12 180,5 13 0,14 17-90,23 25-90,19 16 90,12 6-90,2 1 90,-12-7 450,-12-11 180,-17-1-630,-33-10 0,-13-3-900,-43 11-6296,7-8-180,-6 3 7376,28-14 0,24-11 0,13-7 0</inkml:trace>
  <inkml:trace contextRef="#ctx0" brushRef="#br0" timeOffset="1399">1605 772 12210,'-15'-21'6746,"-21"19"-6206,-9 28-270,-3 22-90,30 18-90,48 4-90,35-3 89,-25-36 1,2-1 720,30 17 359,-26-11-989,-31-2-1889,-32-8-2518,-16-2-5038,-14-12 8417,19-11 0,8-3 0,15-1 0</inkml:trace>
  <inkml:trace contextRef="#ctx0" brushRef="#br0" timeOffset="2833">1891 946 8972,'-17'-20'9830,"7"16"-8866,-10 68-1684,28-11 360,24-19 810,13-30 719,2-27-89,-12-13-361,-11-8-539,-14 17-270,-2 17 0,-1 24-179,3 18 179,9 3 180,9-15-1,4-26 91,1-27 0,-4-17-90,-9 2-90,-4 9 0,-3 25 0,3 14-90,2 15 90,4 5 0,2 0 90,-6-7 0,-2-1-90,-4-12 0,-2-8-90,-1-9-90,1-11 90,-2 2 90,3-5 0,0-9 90,-5-7 360,-4-14 270,-7 5-450,0 14-270,5 21 89,11 45 1,12 40-90,-7-16 0,1 2 0,-1-1 0,0 0 135,0 1 0,-1-5-135,0 2 0,-9-23-90,-7-54 0,3-36 0,10-16-89,10 4 89,-1 29 90,-3 24 90,-15 42-180,-6 11-90,-7 14-180,0-10 270,12-16 0,16-29 180,17-26 0,7-26 269,-18 17 1,-3-2 270,3-31-450,-14 7-180,-23 40 0,-8 48-90,4 17-270,13 38-179,32-3 449,9-18 359,28-33 631,-19-41-1,-3-10-269,-22-2-630,-21 28-989,0 30-4048,2 29-4794,25 24 9050,-1-18 1,4-16-1,-19-31 1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03.1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3835 867 9871,'70'-58'1379,"-20"21"1,8-5-1,2-1-1409,-2 2 0,1 0 0,4-2-330,1-1 0,6-2 1,-2 0-1,-5 5-658,17-12 0,-8 6 748,-7 8 0,-18 5 825,-38 13 344,-79 49-584,8-2 0,-10 7-46,-1 3 1,-6 5 0,4-1 274,-15 7 1,10-3-365,18-7 0,28-14-45,79-42 0,31-19-495,7-2 0,7-5-720,-9 2 1,5-3 0,-11 3 836,-12 7 0,-10 3 0,20-13 0,-58 32 0</inkml:trace>
  <inkml:trace contextRef="#ctx0" brushRef="#br0" timeOffset="1217">2672 604 12840,'-55'16'2338,"-17"3"-2113,21-7 0,-5-2 0,-19-1 0,-7-4-135,10-5 0,-5-2 0,-3-3-461,-15-4 1,-3-4 0,-2-2 437,18 1 1,-1-3-1,-1-1 1,1-1 44,2 0 0,1-3 1,1 0-1,2-1 38,-15-7 0,3-1 0,4 0 58,12 3 0,3-1 0,4 1-28,-13-8 0,5 0 134,14 6 1,4 0-45,-26-17 0,26 12 90,18 8 1083,15 11-723,1 0-507,12 8-123,-5-3-90,6 4 90,2 8 0,3 8 90,1 31-90,5 19-1,2 26-89,2 4 90,0-16 0,-1-12 0,-10-40-90,-7-32 270,-11-45 720,-3-24-361,3-4-449,5 20-90,6 16-90,13 25 0,36 11-1439,39 23-765,-13 0 0,5 0-1349,11 2 0,-1-1 3553,-13-3 0,-4-1 0,23 0 0,-53-6 0</inkml:trace>
  <inkml:trace contextRef="#ctx0" brushRef="#br0" timeOffset="2750">226 284 10231,'-11'7'1709,"-4"11"-1709,0 8 270,-2 6 180,-1 5 719,1-10-629,-1-13 989,0-39-90,6-28-180,7-29-539,6 4-360,8 13-90,10 23-180,17 20-270,19 16-1709,16 15-2159,14 7 4048,2-1 0,-34-5 0,-14-6 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11.90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492 207 7713,'-7'-46'7375,"-23"1"-4766,-32 1-2519,14 38 0,-5 15 179,-7 19 1,4 16-225,-3 22 0,11 14 15,21-11 0,8 6 0,9 3-278,8 16 1,11 4 0,7 0 217,1-20 0,4 0 0,4 0 0,2-1 22,1-3 1,3 0 0,1-2-1,-1-2 128,8 10 0,1-2 0,-4-5 255,4 8 0,-7-6-136,-13-16 1,-9-2-180,-13-2 0,-11-1-45,-14 4 0,-10-3-90,-11 3 0,-6-4-90,-1-7 0,-3-8 326,7-13 0,3-12-280,-10-30 178,43-35 631,38-9 809,30 31 630,19 82-1680,-42-1 1,-5 16 0,0 5-300,-3-2 0,-1 4 0,0 4 0,1 3-414,-2-4 1,0 2-1,1 3 1,0 0-1,2-1-54,1 0 0,1 0 0,2-1 1,1-1-1,4-2-814,9 13 0,3-2 0,5-3 0,4-7-165,1-11 0,4-3 1,5-7-1,3-9-217,1-10 0,4-8 0,2-7 0,-1-5 1484,11-5 0,0-8 0,-3-9 0,-7-8 0,-3-7 0,-5-3 0,5-14 0,-1 1 0</inkml:trace>
  <inkml:trace contextRef="#ctx0" brushRef="#br0" timeOffset="834">2326 75 9602,'-17'-30'6656,"5"7"-5937,19 1 271,31 30-1,48 20-180,-26 2 1,3 10 44,9 23 1,-6 15-524,-24-10 1,-5 8-1,-7 6 51,-10-9 0,-5 5 1,-3 2-1,-4 1-180,-3 9 1,-4 3-1,-4 0 1,0-1-136,-3-7 1,-1-1-1,-1-1 1,0-1-203,1-4 0,-1 0 0,2-2 0,1-3-493,3 5 1,2-4 0,5-3-318,8 22 1,11-9 449,4-22 0,8-10 495,40 12 1260,-6-40 1078,-3-13 169,-14 30-2057,-16 12 0,-2 14-450,-7-2 0,-1 8 0,-2 3-357,1 5 0,-2 3 0,-4 2-3,-1 7 0,-3 2 0,-6-4-90,-5-19 0,-4-3 1,-11 1-1140,-16 15 0,-12 1 0,-9-8-960,-3-18 1,-6-7-1,-3-1 2549,0 3 0,-2-2 0,0-8 0,-21-5 0,4-14 0,-12-11 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33.77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1800 108 11400,'-10'-12'5667,"-15"6"-4407,-68 12-901,28 4 1,-5 2-225,-16 4 0,-3 1-90,-5 3 0,-5 2 45,15-2 0,-3 1 0,5-1-90,-9 2 0,1 0 90,10-2 0,-4 0 0,11-2 134,16-4 1,7-1 315,-39 8 180,42-11-271,20-4-89,0 0 180,-2 12-90,-2 9-1,-11 39-314,20-10 0,4 7-180,0 1 0,4 4 90,-1 24 0,6 4 0,6 0 0,4-2-45,1-8 0,0 0 0,4 10 0,0-2 0,0-18 0,0-4-45,0-10 0,-1-2 45,2 1 0,-1-1-90,8 34 90,1-13 0,7 6 90,11-25-90,9-18 0,3-31 0,10-10 0,26-21 0,10-12 0,-11 4 0,6-4 0,2-2-286,-11 4 0,2-3 0,1 0 1,-1 2 150,-7 2 0,0 0 0,-2 1 0,-1 1-45,12-3 0,-2 0 0,-5 2 90,6-3 0,-9 1 90,-18 5 0,-6-2-90,19-28 0,-25-7 180,-20-15-90,-20 23 0,-7-6 0,-10-29 0,-6-8 34,2 14 1,-2-3 0,-2-2-5,-1-4 0,-2-2 0,-1 2-30,0 0 0,-1 1 0,1 5 45,-7-14 0,0 9-135,6 21 0,1 6-2158,-20-22-2250,4 34 4498,5 24 0,15 15 0,7 10 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36.83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79 736 9871,'-42'-14'7196,"12"-14"-6746,23-26 1259,45-31-1215,2 34 1,9 3-270,20-4 0,8 5-165,-18 18 0,4 3 0,0 4-60,34-5 0,-1 7-45,-8 6 0,-5 4 45,-14 4 0,-6 1 90,27 1 0,-31-1-90,-25 0 0,-18-5 90,-32-15 360,-21-5 359,-23-8 180,13 19 1,-3 2 269,-31-7-719,-8 4-540,54 21-719,53 17-361,64 22 675,-29-15 1,2 1 134,2 2 0,-5 3-1799,4 34-1619,-60 16-1228,-14-34 1,-6-1 4876,-19 23 1,12-20 0,25-38 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16:40.35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368 250 4296,'-21'-39'7375,"-13"6"-4406,-25 12-2340,-23 44-21,38 6 0,4 10-518,5 12 0,8 5 374,5 40-284,52-17 2007,37-59-1557,2-28 179,10-38-359,-27-1-270,-4 10-90,-12 37 0,-2 55 0,-11 17 179,-13-19 1,-4 2 450,-9 36-270,-20-2-450,-23-18-1260,-27-22-1798,-16-22-1349,-2-18 4407,18-17 0,32 3 0,23-4 0</inkml:trace>
  <inkml:trace contextRef="#ctx0" brushRef="#br0" timeOffset="600">594 379 9152,'30'-37'9830,"17"37"-8776,7 60-1054,-20-19 0,2 1 45,-3-3 0,-1-1 44,16 20-89,-25-11-629,-47-19-1620,-37-17-539,-35-17 809,4-22 989,28-19 990,41-13 540,34-9 0,26-3-360,23 4-135,-18 34 0,5 3 89,3-1 1,3 0 675,3-2 0,-1-1 224,-7 2 0,-3 0 765,27-26 0,-24 26-719,-18 41 89,-13 54-1034,-13-6 0,-3 7-1530,-3 14 1,-2 3-2384,0 2 1,-2-3 3777,2-17 0,-1-7 0,0 12 0,4-47 0</inkml:trace>
  <inkml:trace contextRef="#ctx0" brushRef="#br0" timeOffset="766">1125 442 11490,'-39'-63'-629,"11"18"629,26 20 0,0 17 0,20 11 0</inkml:trace>
  <inkml:trace contextRef="#ctx0" brushRef="#br0" timeOffset="880">1431 450 18327,'7'-10'-3277,"-6"3"0,5 6 0</inkml:trace>
  <inkml:trace contextRef="#ctx0" brushRef="#br0" timeOffset="2083">1092 1447 11131,'-3'-66'9714,"-10"10"-9624,-39 11 90,-12 39-90,-9 20-180,7 45-90,38-1 90,19 0 0,53-25 90,15-24 0,12-10 0,-2-8 0,-13 8-90,4 14-180,6 33 270,-16 6 270,-4 26 270,-37-17-90,-27-1-540,-37-12-3148,-32-12-2069,10-15 5307,8-18 0,43-3 0,15-8 0</inkml:trace>
  <inkml:trace contextRef="#ctx0" brushRef="#br0" timeOffset="2466">1547 1391 8792,'15'-55'4915,"0"0"0,-12-6-2962,-43 42-2043,-8 63-1079,24 23-720,38 5 900,36-11 719,18-12 899,-2-12 990,-19-7 1,-14 3-541,-28 7-719,-25 6-1260,-39 8-944,17-29 0,-4-1 1844,-43 19 0,28-17 0,29-11 0</inkml:trace>
  <inkml:trace contextRef="#ctx0" brushRef="#br0" timeOffset="2733">2215 1080 5784,'4'-25'9830,"-1"8"-6845,2 4-1996,-7 42-1968,-7 35 0,-4 13-3937,1-13 1,-1 0 3985,-3 16 1,1-6-1,-2-9 1,14-52-1</inkml:trace>
  <inkml:trace contextRef="#ctx0" brushRef="#br0" timeOffset="2883">1993 1385 10501,'-24'-31'-3328,"4"9"1913,3 6 0,7 9 0,13 15 0</inkml:trace>
  <inkml:trace contextRef="#ctx0" brushRef="#br0" timeOffset="3016">2308 1470 9512,'10'-9'0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2.07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40 49 9602,'-6'-25'9830,"-2"1"-7068,-7 29-2222,8 27-2069,3 52-585,10-30 0,5 0-2788,4 3 0,2-3 4902,9 22 0,-3-30 0,-16-38 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2.4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97 239 8792,'-9'-65'7106,"3"26"-4947,-19-22-1260,5 44-629,-10 6-180,23 44-90,25 19 0,28 6 180,20-27 539,-6-30 990,-8-44-899,-39-16-540,-23-7-1439,-50 20-2699,1 39-270,2 26 4138,35 27 0,16-18 0,12-4 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2.55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1 149 7892,'23'-19'8456,"-9"2"-7917,7-24-3147,-14 19-4498,1-8 7106,-1 19 0,-3 5 0,2 3 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2.94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190 103 10771,'-6'-42'9624,"-2"6"-8904,-4 12 89,-7 36-179,4 46-450,9 36-540,13-34 0,5-2 91,18 24 269,21-29 809,-9-75-359,-12-23-90,-23-49-270,-45 7-450,-10 19-2519,-27 31-2967,13 60 5846,17 14 0,16-2 0,24-11 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3.34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40 51 12390,'-11'-17'3508,"-1"0"-3508,4 9 0,3 2 0,2 3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3.8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153 177 8612,'-24'-34'8275,"1"10"-7195,-15 17-990,9 27-270,2 17 90,16 12 180,23-29 989,14-32 630,12-36 90,-3-19-540,-10 5-899,-10 22-360,3 31 180,3 37-360,15 34-180,4 17 181,-6-2 179,-22-13 90,-30-17 179,-22-13-179,-3-11-809,26-20-3149,44-17-1709,29-10 5577,12-1 0,-27 12 0,-18 7 0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4.5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772 1614 9602,'-40'27'6296,"39"-16"-5712,40-19 1,26-16-435,2 1 0,9-6 0,8-4-757,-12 5 1,7-5 0,4-1 0,0 0 0,-2-1 624,-2 1 0,0 0 0,0-1 0,1-2 0,3 0-18,-3-1 0,3-1 0,2-2 0,-1 1 0,-3-1 0,-4 2 51,15-10 1,-6 1 0,-2 1 0,-1-1-52,-3 0 0,1 1 0,-5-1 0,-5 0 245,-1-3 0,-6 0 0,-10 0-110,-2-7 0,-15-1-45,-20 3 0,-18 1-45,-28 6 0,-21 8-15,-8 12 0,-12 7 0,-6 5 111,3 4 1,-4 5 0,-5 2-1,-1 2-159,4 2 0,-4 2 0,-2 2 0,1 1 0,0 2 0,3 0 0,1 2 0,0 1 0,-1 2 0,-4 5 33,-3 3 0,-5 3 0,-1 3 0,-1 2 0,3 3 0,5 1-15,-3 5 0,4 3 0,3 2 0,0 2 0,-1 2 15,9-6 0,-1 1 0,0 0 0,1 4 0,4 2 0,5 4 39,-5 15 0,4 6 0,4 3 0,7-1 0,9-2-14,-1 14 0,12-3 1,9 4-11,-1 11 0,10 3 0,28-13-60,40-20 0,27-13 0,9-13-353,-7-19 1,7-12 0,5-7-1,0-1-298,-12 0 1,2-1 0,1-3 0,1-5-1,1-4 681,10-9 0,5-8 0,-1-4 0,-5-1 0,-9 4 0,-1-1 0,-8 2 0,-1-3 0,3-7 0,0 0 0,0 1 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7.8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202 42 8882,'-11'-32'8725,"-11"22"-6566,-18 41-1665,13 10 1,2 11-135,-2 14 0,5 7-136,4 11 1,9 3-900,12 0 1,13-2-1980,12-13 1,11-7 2653,5-14 0,4-9 0,38 4 0,-14-35 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8.55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54 33 10411,'-15'-20'9085,"3"8"-5487,-11 17-2339,19 20 0,8 40-1349,26 29-3058,3 1 135,-11-37 0,0-1 3013,6 17 0,-7-22 0,-11-26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8.95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94 85 9422,'-31'10'9444,"11"-1"-7375,-16 17-1709,29 15-90,21 11-90,36 3-1,27-25-89,19-38 1260,-14-37-91,-27-26-899,-50-10-720,-46 18-3508,-25 27-2608,-1 32 6476,25 23 0,21-3 0,18-1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9.3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75 7892,'25'-12'9830,"-6"3"-6347,-9 12-2943,-10 7 89,-9 28-1348,6 6-900,12 9 719,24-15 810,15-30 1349,6-33-359,-13-27-540,-23-14-360,-27 6-1170,-20 22-3057,-6 32 1079,13 26 3148,28 7 0,0-7 0,14-11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9.45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336 213 8792,'53'-57'9830,"-31"25"-7607,21-35-1503,-56 31-271,-26 16-3417,-35 19-585,22 18 0,0 6 3553,4 2 0,2 3 0,-34 29 0,31-16 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39.69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30 84 10411,'-13'-43'9830,"3"12"-8506,3 21-4922,24 84-6233,19 16 9638,-19-37 0,3-2 1,25 23-1,-20-46 1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0.55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10 496 9512,'-9'-10'6386,"8"-15"-4767,39-4-1169,46-17-271,-7 22 1,17 0 0,0 1-379,-13 4 1,-1 0 0,5 0 198,2 0 0,6 0 0,0-1 0,-6 1-300,-1 0 0,-6 1 1,-4 0-282,14-3 1,-9-1-1714,-17 1 0,-12 1 2294,-14-1 0,-16 6 0,-18 9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0.9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195 65 8792,'-8'-25'7196,"3"8"-5757,-2-5-1079,-16 31 0,-9 24 269,-21 31-359,8 11-90,23-5-1799,41-16-4498,44-10 6117,6-11 0,-14-13 0,-29-10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1.50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244 54 8342,'-30'-26'7736,"-10"7"-7017,-16 10-359,-1 25-270,15 24 0,24 11-90,29-7 0,24-23 180,14-30 270,1-22-180,-9-6-91,-12 9-89,1 23 0,-17 19 90,0 19-180,-29 12 0,-19 2-2248,-13-9-1620,1-17 3868,16-15 0,13-9 0,15-1 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1.8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1 109 9512,'48'-43'8185,"-10"10"-7376,-11 10-629,-9 14 90,-3 16-360,13 14-90,9 9 90,12 6 90,-1-5 360,-9-5-270,-29 2-90,-39 6-2159,-34 8-3867,-12-2 6026,20-11 0,25-15 0,25-12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2.6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58 592 9422,'-38'8'8635,"18"-3"-7016,106-17-1529,-27 0 0,8-3 0,5-2-1048,16-5 0,5-2 0,1-3 463,-21 6 0,1-1 1,0-1-1,-3-2-105,12-7 1,-2-2-1,-7 1 440,3-6 1,-6 0 114,-4-5 0,-8 1 1870,4-14-745,-23 12 1618,-71 27-1708,-7 19 287,-25 10-917,42 27-270,31 0-180,34 29-630,13 2-89,-15-5-1800,-24 8-7195,-36-16 9804,2-18 0,-5-10 0,18-24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2.87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11 1 19226,'-6'25'1439,"1"-5"-1799,9 19-2968,6 15-6476,8 21 9804,-3-17 0,-3-17 0,-9-33 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3.19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71 133 8252,'1'-18'9830,"-2"-5"-7157,-2 4-2493,0 10-90,2 12-450,10 22 270,10-4 630,19-11 1619,1-21 89,-3-21-1798,-28-7-1259,-31 10-3149,-28 17-989,-9 22 4947,14 9 0,21-3 0,18-4 0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3.50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1 154 9422,'32'-37'9830,"-6"6"-4099,2-9-5192,-14 16-359,-10 16-1169,-11 24-1080,-1 17 900,5 9 899,12-8 630,12-17 629,2-18-629,-4-8-1799,-9-16-2609,-25-2-5783,-9-11 9725,-3 9 0,6 9 1,17 14-1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3.7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9 147 10231,'-9'-76'9830,"14"19"-8506,26 44-515,34 63-1664,-27 0 1,-3 10-1305,0 16 1,-7 6 2158,-12 9 0,-9-2 0,-5-26 0,-6-5 0,-6-6 0,0-1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6.42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1580 3007 9781,'-20'-15'5307,"8"15"-5037,15 10 450,28 35-180,37 10-451,-14-22 1,8-5 0,19-7 0,8-12-60,-18-14 0,3-8 0,-1-6-138,-3-3 0,-1-6 1,-1-5 226,2-7 1,0-5 0,-6-2 150,14-16 0,-6-1-135,-8 8 0,-1 3-45,-3 10 0,0 6-90,1 8 0,2 6 45,4 3 0,2 4-45,5 2 0,3 1 0,2 0 0,1 0 225,6-2 0,0-3-91,5-6 1,1-4-105,-24 4 0,2-2 0,-1-1 146,-1 0 1,0-1-1,0 2-86,0-1 0,-1 2 0,0 2 45,19-3 0,-1 7-45,-8 7 0,-1 4 0,-4 5 0,1 2-90,7-1 0,3 0 45,10-5 0,2-4-45,-27 1 0,1-2 0,1-3-74,0-2 0,0-3 0,-1-2 104,-4-1 0,-1-1 0,-2-2 44,20-11 1,-3-2-75,-6 2 0,-1 0 0,-3 4 0,2 2 0,8 2 0,2 2-45,6 3 0,1 0-315,4-1 0,-1-3 180,-7-4 1,-5-7 89,-12-8 0,-10-10 90,-14-9 0,-14-8-45,-16-14 0,-15-4 0,-12-4 0,-12 1 15,4 29 0,-5 1 0,-3 2 30,-3 4 0,-4 2 0,-2 3-45,-23-19 0,-5 7 0,-3 8 0,-5 5 45,-4 6 0,-4 5-45,-4 6 0,-3 5 45,26 13 0,-3 2 0,-1 3-279,-8 2 0,-1 3 1,-4 2 255,8 2 1,-2 2-1,-2 2 1,-1 0-1,-3 2 1,-2 1-1,0 1 1,-1 2-144,-2-1 0,-1 2 1,-1 1-1,1 2 166,0 2 0,-1 2 0,1 2 0,2 1 0,5 1 0,2 1 0,0 2 0,-1 1 0,-3 1 0,0 2 0,0 0 0,2 1 0,6-1 0,0 0 0,2 1 0,0-1-161,-18 6 0,0 0 0,3-1 161,9-3 0,1-2 0,1 0-30,4-1 0,1-1 0,-1-1-90,-6 1 0,0 0 0,-2-2 30,-4 0 0,0-2 0,-1-1 60,-5-1 0,0-3 0,-1-1 30,-3-3 0,-1-3 0,0-2-30,2-2 0,0-2 0,0 1 30,17 1 0,-1-1 0,0 2 0,2 1 0,-22 4 0,1 3 0,1 2 0,3 5 0,2 2 0,3 4 30,16-2 0,3 4 0,2 4-30,-1 6 0,3 6 0,5 4 30,8 0 0,5 3 0,2 2 194,-2 0 0,1 2 1,5 5-225,1 14 0,5 5 0,6 0-180,4 18 0,8 2-39,5-25 1,4 1 0,10 1-1281,19 13 0,14 0 0,8-8 1209,-2-24 1,6-6 0,1-1 0,5 8 0,2-1 0,2-11 0,20-17 0,0-1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48.55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29 1580 9242,'-29'5'4497,"29"-7"-4182,38-15 0,30-11-91,4-2 1,16-7 0,7-4 0,-1 2-954,-15 5 0,0 0 0,3 0 0,2-2 0,7-2 751,-13 5 1,4-2-1,4-1 1,2-1-1,2-1 1,0 1-1,0 0 1,-1 1-1,0 0 1,2 1-1,0-1 1,0 1-1,0 0 1,-1 1-1,-1 0 1,-1 0-23,4-1 0,-2 0 0,-1 1 0,0 1 0,-1 0 0,1 0 0,1 1 0,3-1 0,1 0 0,1 0 0,-1 1 0,-2 2 0,-2 1 0,-5 3 29,5 0 0,-3 2 0,-3 2 1,-4 2-1,-4 1-59,21-5 0,-6 3 0,-6 3 437,36-2 1,-48 18-408,-119 40 0,-19-9 0,-23 1 0,-10 3-304,21-7 0,-8 2 0,-5 1 1,-4 1-1,1-1 0,2 0 304,4-2 0,0 0 0,0-1 0,-1 1 0,-2 0 0,-2 1 12,0 1 1,-5 1 0,-1 1 0,-1-1 0,2 1 0,3-1 0,5-2 149,-7 4 0,5-2 1,3 0-1,2 0 0,-1-1-162,3 0 0,0 1 0,1-1 0,3-1 0,6-2 30,-19 8 0,7-2 0,13-5 329,5-3 1,32-12-360,91-38 0,50-17 0,-27 12 0,12-3 0,5-1 0,4-2-184,-21 8 1,4-2-1,2-1 1,2 1-1,0-1 1,0 1 183,5 0 0,1-1 0,1 0 0,-1 2 0,-1-1 0,-2 3 0,5-2 0,-2 0 0,-1 2 0,-4 1 0,-5 2 0,-3 1 0,-3 2 0,-5 2 0,-8 1 935,27-7 1,-42 12-936,-103 28 0,-50 15 0,33-6 0,-10 3 0,-8 3 0,-4 3 0,-2 1-225,10-3 1,-4 2 0,-3 2-1,-3 1 1,0 0 0,-2 2 0,1 1 224,14-5 0,-2 2 0,-2 0 0,0 1 0,0 1 0,1-1 0,0 1 0,2 0 0,2-1 0,-1 2 0,0-1 0,1 1 0,2 0 0,0-1 0,3 1 0,1-1 0,1 0-145,-10 6 0,1 1 1,2 0-1,4-1 0,3-2 1,7-3 144,-26 14 0,10-4 0,18-6 994,3 16-994,105-72 0,47-27 0,9-5 54,-19 10 0,7-3 0,5-3 0,4-1 0,3-2-216,-22 10 0,4-1 0,2-2 0,2 0 0,1-1 1,0 0-1,-1 0 0,-1 2 184,-2 0 1,1 0-1,0 0 1,0 0-1,-1 1 1,-1 1-1,-1 0 1,-2 2-23,14-6 0,0 1 0,-1 2 0,-4 1 0,-3 1 0,-6 3 478,4-1 0,-4 2 0,-7 2 0,-9 5-478,8-3 0,-32 12 0,-103 34 0,-57 19 0,49-15 0,-8 4 0,-7 2 0,-3 1 0,-1 2-68,14-5 0,-4 1 0,-2 2 0,0 0 0,-2 1 0,1-1 1,2 1 67,1-1 0,-2 1 0,1 1 0,1-1 0,1 0 0,3-1 0,4-1-90,-8 4 0,1 0 0,5-1 0,6-3 0,10-2 0,-28 15 0,43-17-45,103-45 0,49-21 117,-39 15 0,10-4 0,6-2 0,2-2 0,0 2 101,-8 2 0,3-1 0,0-1 0,2 1 0,0 0 0,-1 0-428,3-1 0,2 0 0,1 0 1,-3 0-1,-3 3 0,-6 2-1154,28-10 0,-8 4 0,-10 3 1490,-2 2 0,-16 4 1,-18 5-1,-44 14 1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1.10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 38 10951,'-1'-25'9830,"3"19"-6528,-1-1-2762,5 52-2249,0 22-855,0-17 1,1 4-2353,4 2 1,1-2 4719,6 20 0,-1-28 1,-13-38-1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1.77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89 443 10501,'-7'-53'4915,"0"0"0,-15-20 366,-9 75-5011,10 43-1889,25 28 360,28 1 809,24-27 990,12-48 539,-8-50-359,-19-37-540,-31-6-180,-32 22-990,-22 55-2967,-4 53 628,20 34 1530,38 8 1799,38-30 2069,35-43-675,-35-24 1,-1-10-271,-2-4 0,-4-6 630,0-8 0,-5 0-404,1-9-1260,-14 24-360,-19 59-1259,6 18 989,12 10 180,37-22 1619,4-41-359,3-25-181,-34-48-898,-57 6-1710,-33 8-1619,-8 54 0,-7 18 3508,5 16 0,3 8 0,3-3 0,5 3 0,16 5 0,0 0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2.5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320 1289 9602,'-18'12'7825,"17"-6"-6206,55-15-1259,22-8 0,16-5-270,-7 1 0,7-2 0,3-3-452,-10 1 0,4-1 1,1-1-1,-1-3 384,1 0 1,1-2 0,-3-2-1,-3-2 0,-12 3 1,-2-3 0,-4-1-1,-4-2 53,6-10 0,-5-3 0,-11-4-30,-2-23 0,-22-4-90,-23-2 0,-24 2 75,-14 24 0,-14 2 0,-8 7-192,-7 5 1,-9 7 0,-6 9 161,-2 10 0,-7 6 0,-3 7 0,1 7-275,-3 6 0,0 9 0,0 6 0,-1 5 311,9 2 0,-2 5 0,0 5 0,3 3 0,3 2 0,8 0 0,3 4 0,1 2 0,5 2 0,3 1 141,-8 11 1,4 4 0,8 1-1,15 1-237,11 14 0,16 2 0,22-9-750,25-12 1,20-7 0,11-10-788,-1-15 0,10-7 1,3-6-1,-1-3 1311,20 1 1,0-8-1,-3-4 1,-12-5-1,-1-5 1,-9-1 0,-11-3-1,1-1 1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3.94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58 454 9422,'-21'-13'9830,"6"4"-8147,-1 5 116,10 24-720,9 24-539,14 21-270,24 11-180,27-13-45,-21-39 0,5-8 0,16-8 0,5-8-45,19-10 0,7-5-270,-16-1 1,4-2 0,3 0 269,-15 3 0,2-1 0,1 0 0,0 1 0,-1 0 0,1 1 0,-1-1 0,0 2 0,22-3 0,-2 0 0,-3 2-13,-16 4 0,-4 0 0,-2 1 13,23-4 0,-5 0 0,-15 2 0,-5 0 0,-12 0 0,-4 1 0,30-7 90,-25 4 715,-26 3-715,-8-4-48,-17 2-42,0-17 90,-13-14 359,-8-12 631,-11-12 269,-3 9-899,3 12-270,6 16-180,16 20 0,11 15 0,13 12 0,15 10 0,-6-4 0,16 10 0,-12-8 0,4 3 0,1 2 0,-11-4 0,-3-2 0,-4 4 0,-12-13 0,3 9 0,-8-2 0,-2-4 0,0 6 0,-7-2 0,-16 9 0,-6 0 0,-47 25-5847,-4-4 3058,34-22 1,1 1 2788,-33 32 0,45-35 0,8-1 0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5.1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2566 34 9781,'0'-16'9830,"-1"0"-7337,0 15-1683,6 18-360,9 29-180,24 36-181,-11-31 1,1 0-90,-2-5 0,0 0 45,2-1 0,-4-2 45,-6 4 0,-23-8-90,-39-13 0,-8-14 0,-8-3 0,-2-1 0,-5 1 0,-1 0 0,-5 2 0,-4 2-376,-18 7 1,-4 3-1,1 1 376,6-2 0,1 2 0,-5 1 0,8 0 0,-5 2 0,1 1 0,4-2-208,-7 2 0,4-1 0,3-1 208,7-2 0,2-1 0,2-1-30,5-3 0,2 0 0,5-2 75,0-1 0,4 0 225,6-3 0,5 0 539,-15 3 1148,17-7-1688,21-6 786,0-8-336,6-8-359,-4-17-180,6-9 90,10-20-90,14-11-180,9-7 0,1 3 0,-3 18 0,-29 56 0,-18 50 0,2 4 0,-1 7 0,3 3 0,4 1 0,4-2 0,9-2 0,25 33 0,52-30-2699,-9-39 1,9-7-2160,23-6 1,5-6 4857,-11-2 0,-1-4 0,-3-2 0,-6-1 0,22-4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6.17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70 36 11400,'-20'-24'9175,"4"13"-8185,-3 39 719,9 42-1350,5-7 1,6 8-540,11 16 1,12 4-1189,5-23 0,9 0 0,8-5-401,16-1 0,10-6 0,5-7 1454,10-7 1,5-7 0,-1-7 0,-10-9 0,0-5 0,-2-6 0,-10-9-1,0 0 1,0 0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6.65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120 112 9871,'-15'-44'9830,"3"9"-5987,11 3-3484,36 44 91,31 51-450,-24-13 0,-3 8-720,-1 8 1,-8 5-1260,-14 3 0,-14 1-1574,-21-1 0,-13-4 3553,-9-6 0,-8-5 0,-5-8 0,-4-6 0,5-13 0,0-1 0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37.84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147 697 8612,'-76'-32'9085,"55"47"-8455,-5 0-496,58 13 1,29 1-45,23-10 0,14-12-30,-9-10 0,7-7 0,3-5-434,-16-1 1,1-3 0,3-3 0,1-1 391,-11 2 0,2-2 0,0-1 0,1 0 0,0 0-18,3-1 0,0 0 0,0 0 0,2 0 0,1 0 0,8 0 0,2-1 0,1 1 0,0 1 0,-1 1 0,-6 2 0,1 1 0,-1 0 0,-2 2 0,0 0-23,13-2 1,-1 0 0,-3 2-1,-6 2-7,0 0 1,-7 3 0,-10 2 29,-4 4 0,-26-4 0,-47-11 0,-57 7 0,-36 7-23,26 1 1,-9-1 0,-7 2-1,-5 1-312,3 2 0,-7 1 1,-5 2-1,-2 0 0,-1 1 1,1 1 334,14 1 0,-1 1 0,0 0 0,-1 1 0,0 1 0,0 1 0,-1 0 25,-3 1 1,-1 1 0,-2 1-1,1 0 1,1 1 0,3 1 0,2 2 47,1 1 0,1 2 1,2 0-1,2 1 1,4 1-1,4 1-28,-12 4 0,4 0 0,6 2 0,5 1 73,-1 2 1,6 2 0,17 2-29,13 36-90,90-46 0,37-14 0,-22-7 0,10-6 0,8-3 0,5-2 0,0 0-267,-7 1 1,2-2 0,4 0-1,2-2 1,2 1 0,1-1-1,0 0 267,-2 1 0,3-1 0,2 0 0,0-1 0,1 1 0,-1-1 0,0 1 0,-2 0 0,-4 1 0,0 0 0,0-1 0,0 1 0,-2 0 0,0 1 0,-3 0 0,-2 2 144,12-2 1,-1 2 0,-2 0 0,-3 1 0,-3 0 0,-6 1-190,9-1 0,-5 2 0,-5 0 0,-7 0 0,32 1 0,-30-3 678,-55-2-813,-87 5 0,-57 6 144,42 0 0,-12 0 0,-7 1 0,-4 1 0,-1 0-214,18 0 1,-3 0 0,-2 1-1,-2 0 1,-1 1 0,0 0-1,0 0 261,6 0 0,-1 0 1,-1 1-1,-1 0 0,1 0 1,0 1-1,1 1 0,3 0 1,-6 1 1,1 1 0,1 0 0,1 1 0,2 1 0,3 0 0,3 1 277,-8 3 1,4 0 0,3 2 0,3 0 0,5 2-291,-27 10 0,7 1 0,16 5 382,10 9 0,38-3-337,84-12 0,45-12-45,-32-14 0,11-6 0,9-4 0,4-3 0,4-1 0,-2 0-250,-8 2 1,3-1 0,1-2-1,3 0 1,1-1 0,0 0-1,1 0 1,-1-1 249,6-1 0,2-1 0,1 0 0,1 0 0,-1-1 0,-1 0 0,-4 0 0,-2 1 0,12-3 0,-1 1 0,-3-1 0,-4 1 0,-6-1 0,-9 1 576,32-4 0,-13 0 1,-55-1-532,-77-3 0,-36 3 29,1 12 1,-19 5 0,-13 4 0,-7 1 0,1 2 0,6-2-242,6 0 0,1 1 0,0 1 0,-2 0 0,-1 2 1,-4 1 177,8 1 0,-5 0 0,-4 1 1,0 2-1,1 0 0,2 2 0,5 2 1,7 3-174,-13 6 0,5 3 0,6 3 0,5 1 0,6 0-678,-15 7 1,9 0 0,23 9-3839,25 21 1,31-4 4600,75-14 0,6-27 0,5-8 0,-26-11 0,0-1 0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0.05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277 104 9422,'-6'-34'9444,"-18"6"-7915,-14-7-1349,-34 28 0,10 32-180,5 19-270,40 39 270,44-22 0,20-7 360,33-50 180,-20-20-450,-6-8 0,-7 21-90,-20 28 0,5 19 809,-18 35-89,-21-18-1,-32 12-898,-35-39-1710,-3-13-3688,-10-21 5577,51-16 0,9 7 0,26-3 0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0.3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201 144 10411,'6'-62'9830,"-15"11"-8776,-25 23-964,2 26-1349,13 34-451,47 31 1261,14-1 314,-7-24 0,3-3 495,19 16 899,-10 2-719,-30 1-181,-42 8-1618,-46 3-1125,23-35 1,-4-4 2383,-42 7 0,34-16 0,34-18 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1.02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26 69 9332,'-10'-27'9830,"3"7"-8057,-2-1-1503,9 33-2159,11 25-2519,22 41 4408,-5-33 0,1-2 0,8 15 0,0-19 0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1.4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58 280 9062,'-27'-57'9624,"7"31"-9624,9 38 90,27 26 180,25 5 810,13-27 179,-6-32-450,-21-26-359,-30-15-540,-25 3-2518,-11 16 179,8 21 1619,16 18 1,37 6 1439,17-11 1348,19-16 91,-10-11-90,-10-4-1709,-10 39-2519,-6 23-3238,5 46 5487,-6 6 0,-6-26 0,-5-19 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2:42.87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36 558 7353,'-25'0'6296,"21"2"-4857,-3 0-1349,47-1 0,33-2 240,-6-3 0,7-3 0,9-2-674,-8 1 1,6-1 0,4-1-1,4-1 1,2 0 433,0 0 0,2-2 0,3 0 0,2 0 0,1-1 0,2 1-39,-5 0 0,3 0 1,2 0-1,0 0 1,0 0-1,-2 1 1,-3 0-37,4-1 0,-2 1 0,-2 0 0,0 0 0,-1 1 0,1 0-15,-1 1 0,3 0 0,-1 1 0,-3 0 0,-4 0 0,-6 0 99,1 0 1,-6 0 0,-4 0 0,-3-1-10,8 0 0,-4 0 0,-8-3 180,2-1 0,-23-7 0,-45-16-270,-68 12 0,-2 15 0,-17 5 0,-11 3-328,16 3 0,-9 4 1,-6 1-1,-3 2 1,0 0-1,3 0 328,2 0 0,2 0 0,0 0 0,-1 1 0,-3 1 0,-2 1 78,9-1 1,-3 0 0,-3 1 0,0 1 0,-1 0-1,2 0 1,3 0 0,4 1 115,-7 1 0,3 1 1,3 0-1,2 0 1,0 0-1,1 1-86,-9 1 0,0 1 0,2 0 0,3 0 0,3 0 23,-2-1 0,3 1 0,4-2 1,6 0-42,-3 1 0,6-2 0,17-1 0,15 2-46,87-20 1,42-7 0,-12 1 0,13-2 0,8-2 0,4 0 96,-15 3 0,4-2 1,4 0-1,2 0 0,2 0 1,0 0-86,-15 3 0,2-1 0,1 1 0,1-1 1,1 0-1,0 1 0,-1 0 0,0 0-34,-1 0 1,2 0-1,-1 1 1,1-1-1,-1 1 1,-1 0 0,-2 1-1,-3-1-24,14 0 0,-2 0 1,-2 1-1,-2 0 1,-2 0-1,-4 0-21,19 0 1,-3-1 0,-6 1-1,-9 0 55,-10 2 1,-7-1 0,-15-4-33,-4-20 0,-94 14 0,-38 4-23,11 4 1,-11 3-1,-9 1 1,-2 3-251,10 1 0,-5 2 1,-4 1-1,-2 1 1,0 2-1,-1 0 260,8 0 0,-1 2 0,-1 0 0,-1 1 1,0 1-1,1 0 0,1 2 13,1-1 0,0 2 0,0 0 0,1 1 0,1 0 0,2 1 0,4 0 241,-15 5 1,2 0 0,4 1 0,3 0 0,5 0-272,-21 6 0,7 1 0,11 0 424,-6 5 1,38-1-395,72-3 0,41-24 0,32-17 0,8-3-285,-18 5 0,6-3 1,6-1-1,2-1 0,1 1 285,-5-1 0,2 1 0,3-2 0,0 1 0,0-1 0,-1 0-45,0 0 0,0 0 0,1 0 0,-2-1 0,-4 2 1,-5 0 142,14-1 0,-5 1 0,-6 0 0,-8 0-548,-5 2 0,-6 0 1,-28-5-1642,-35-10 22,-63 19 0,-33 13 2069,5 2 0,-8 5 0,2 1 0,13-2 0,2 0 0,1 3 0,-6 4 0,1 1 0,0 0 0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3:36.801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230 110 10231,'9'-12'8006,"-1"2"-6028,-4 5-1798,-5 2-180,-4 2 180,-20 7-180,-6 1 0,-15 3 90,3-4 270,8-1 0,8-3 269,10 2-179,4 7 0,6 14-360,7 6-90,4 3 540,6-4 89,3-15 1,2-10 89,10-20-449,1-5-270,5-2 0,3 9 0,-2 14 0,-5 6-90,-1 11 180,-15 8 0,-8-2-90,-14 5-270,-21-8-1708,-1-6-2880,-13-6 4858,10-12 0,13 2 0,7-4 0</inkml:trace>
  <inkml:trace contextRef="#ctx0" brushRef="#br0" timeOffset="616">419 24 9242,'5'-13'9830,"0"3"-7877,-8 10-1773,-5 13-90,-8 12 0,1 4 539,3-9-179,6-12-180,7-11 809,6-12-269,3-2-540,0 0-180,5 7 0,-1 19-90,3 9-90,-2 17 90,-6 4 0,-4 1 0,-6-5 0,-6-7 0,-7-8 0,-2-7 360,-2-3 719,6-5-1259,16-2-3688,17-9-2068,20-4 5936,1-3 0,-15 4 0,-12 4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13.930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36 43 11940,'-19'-9'6566,"5"2"-5936,11-3-270,18 5 0,15-3 359,8 6 181,-1 0-1,-6 2-269,-6 2 449,-4 8-359,0 14-270,5 39-450,-4 7 45,-8-17 0,0 4-45,-1-1 0,1 0-45,-2-1 0,1 0 45,-1 0 0,0-3 90,1 24 89,-8-16-89,-17-10-719,-18-4-2250,-19-4-2338,-11-5 5217,3-11 0,24-13 0,12-6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0.99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39 61 7803,'0'-24'8815,"0"7"-5937,0-3-2338,3 21-91,0 11-89,6 33-90,4 30-270,-1 0 90,2 19-90,-8-38 0,-13 7 0,-6-46 0,-12-8 360,3-32-90,4-1 539,5 3-359,18 18-90,5 8-180,14 14-91,0 2 1,-2-4 0,5-11 0,-6-13-449,2-9-3149,-9-2-2069,-3 0 5577,-2 4 0,-5 7 0,0 1 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1.34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97 60 8972,'-15'-25'8365,"6"10"-6476,-15 3-1799,7 20 180,-4 10-90,11 13-180,16 8 0,14-7-90,10-16 540,3-24 719,-7-18-360,-14-12-449,-19 0-1169,-15 10-2430,-10 14-2157,3 20 5396,10 6 0,9 0 0,8-7 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1.84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9 46 8342,'2'-17'9830,"-2"0"-8416,-2 6-605,2 20-629,4 32 90,6 30-270,5 10-180,1-7-270,-3-23 361,-7-30-1,-10-28 0,-7-25 90,-1-18-90,3-6-90,11 7-90,10 15 180,9 17 0,5 18 270,-4 15 360,-8 9-271,-16 5-1168,-17 1-2969,-14-6-4407,-4-10 8275,11-9 0,11-8 0,13 0 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2.89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 0 10681,'8'7'7735,"3"20"-7285,10 37-90,2 22-270,-10-37 0,0 1 0,8 34-90,-10-30-90,-11-32 90,-9-35-180,-9-41 0,7-5 90,4-10 0,15 15 90,8 23-90,2 8 180,10 20-90,-11 13-270,2 8-1708,-18 15-1261,-8-3-898,-5-2 3507,2-16 720,10-26 720,5-6 1888,11-23-539,1 11-720,-2 2 720,2 14-1530,-7 19-179,3 14-540,1 17-360,1-5-89,6-4 269,-1-28 270,-3-10 0,-4-20 0,-7 0 0,-1 8 0,6 2 0,5 23 0,0 5 0,3 18 90,-13 9-90,-5-4-90,-7-1-720,-4-21 271,4-15-91,5-16 450,12-10 360,5 0 1349,3 7-180,1 16-449,-4 20-990,-2 20-3418,-3 12 3508,-3 3 0,-4-18 0,-2-9 0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3.02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22 45 10321,'-11'-23'719,"4"6"1,3 13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3.19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 0 8882,'7'1'9355,"-1"5"-8906,3 12-1708,3 8-3148,4 7 4407,-2-2 0,-6-13 0,-4-8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3.32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43 175 9152,'-15'-3'7286,"1"-3"-5128,2-6-1708,11-5-2789,19-11-3597,22-7 5936,4 4 0,0 4 0,-13 12 0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25.87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549 897 11041,'6'4'2608,"7"-2"-2068,21-7-180,30-5-180,30-4-135,-34 6 0,1-1-1,4 0 1,2 0 0,-1 1 0,1 1 180,-2 0 0,0 2-90,-5 0 0,0 2 45,-5 1 0,0 0-90,-5 2 0,0 1 270,47 0-226,-45-1 1,2-1-45,2-1 0,1-1 0,5-2 0,1-1-90,2 0 0,1-1 180,0-1 0,1 0-135,1 1 0,-1-1 0,2 1 0,-1 0-45,0 1 0,1 1 0,-1 2 0,1 1 0,-2 1 0,1 2 0,-1 0 0,1 0 45,3-1 0,1-1-45,5-3 0,0-1 0,3-3 0,0-2 0,-3-2 0,0-1 0,0-2 0,-1-3 0,-7 0 0,-2 0-45,-1-2 0,-2 0 45,-6 0 0,-3 1 90,32-11-90,-17 4-90,-14 4 90,-4-1 0,-1 0 0,-6 3 270,-8 4-180,-13 1-90,-15-3 0,-26-13 0,-43-16-90,10 19 0,-7 0 45,-17-3 0,-7 2-15,19 10 0,-3 2 0,-1 1-194,-6 1 0,-1 1 0,-2 2 194,-5 2 0,-2 2 0,0 2 30,-5 1 0,-1 3 0,1 2 0,-1 1 0,1 3 0,1 0 30,3 2 0,1 2 0,3 0 0,-21 3 0,6 1-19,10 1 0,3 0-26,2-1 0,1 1 45,-1 0 0,-1-1 0,-3-1 0,-1-1 0,-2-1 0,2-3-45,7-1 0,-1-2 45,-13 1 0,-3 0-45,-4 0 0,-2 0-58,27 0 0,-3 0 0,2 0 73,3 0 0,1 1 0,1-1 30,-22 2 0,4-1 0,17-1 0,5-2 298,-31 0-298,12 0 39,-2 6-39,-7 9 323,-1 10-323,11 10 0,18 15 0,28 15 0,33 27-180,24-41 0,12-1-1484,18 1 0,10-7 1664,10-7 0,4-8 0,-9-11 0,-1-6 0,-8-10 0,0 0 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5:31.312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472 42 9152,'-25'-26'7735,"-29"10"-6835,-18 33-451,26 0 1,2 9 90,-2 21 0,8 8-360,14-1 0,8 4-91,7 9 1,13 1-45,25 3 0,14-7 0,-1-18 0,5-6-90,9-1 0,4-12 90,-1-24 0,-2-13 675,20-22 224,-33-2 1,-6-10 449,-16-11 0,-8-4-720,-3 4 1,-6-1-180,-10-19 0,-12 3-270,-13 20 0,-7 6-225,-1 3 0,-7 10-360,-23 11 0,-5 17-1889,2 24 1,2 10 224,8-3 0,4 5-1664,2 16 0,13 3 3688,16 5 0,14-3 0,14-24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3:50.134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1664 835 9602,'10'-7'7016,"-1"1"-6567,-20 6-269,-15 6-180,-34 9 0,-18 3 90,-8 0 0,8-5 270,17-6 90,14-4-1,11-3-89,14 0 90,6-1 90,7 1-450,0 0 269,-1 12-179,1 9 0,-4 20-90,-1 15 0,-1 6-90,2 2 0,2-11 90,5-8 180,3-8 90,4-4-91,3-3 91,7 0-180,7-2-90,11 2 0,13 1-90,11 1 90,13-4-90,8-9 0,9-11-90,2-12-540,-4-10 1,-9-11 359,-12-8 180,-15-8 0,-16-9 270,-17-16 0,-16-20-135,-4 36 0,-4 0-45,-3-1 0,-3 2-990,-25-32-3057,-6 25-5218,0 26 9265,15 17 0,12 9 0,17 3 0</inkml:trace>
  <inkml:trace contextRef="#ctx0" brushRef="#br0" timeOffset="1566">114 822 7353,'-9'-22'8995,"2"6"-6117,-1-1-2518,4 15-180,2 7 180,5 22-271,2 1-89,2 11 180,-2-18 0,-3-13 270,-8-33 180,-10-47 269,-1-8-225,8 27 1,0-1 405,2-18-810,6 23 89,14 37-179,22 55-180,8 11 45,-11-12 0,2 0-45,30 20 0,-10-20 0,1-28 270,-28-49-180,-14-19 0,-24-37-90,-21 11-450,-11 11-3418,1 32-1888,9 32 5756,17 23 0,8-4 0,10 2 0</inkml:trace>
  <inkml:trace contextRef="#ctx0" brushRef="#br0" timeOffset="2349">482 577 10411,'86'25'9830,"-21"13"-3559,-55-94-5372,-9 44-899,1 2 180,4 24-270,11 20-449,10 11-1,8-4 180,3-18 360,-6-30 0,-10-35 0,-13-33 270,-13-7-90,-9 7 0,-2 33-180,1 43 90,11 37-360,14 34-1079,19 8 179,9-13 721,5-33 269,-2-48 360,-10-43 809,-10-29 810,-15-10-270,-12 20-809,-6 28-630,-2 41-90,7 46-3239,12 42-314,3-26 1,6 1 3552,5-2 0,3-2 0,12 19 0,2-25 0</inkml:trace>
  <inkml:trace contextRef="#ctx0" brushRef="#br0" timeOffset="2966">1505 358 8432,'-3'-17'9830,"0"1"-6887,-1 14-1234,5 25-989,9 37-2160,9 25-3507,8 8-4884,2-17 9770,-9-32 0,-7-23 1,-10-18-1</inkml:trace>
  <inkml:trace contextRef="#ctx0" brushRef="#br0" timeOffset="3567">1577 602 9062,'-33'-29'8095,"11"6"-7735,17 5-360,30-8-180,7-5 180,14-8 720,-13 7 1798,-13 8-1708,-9 28-271,-4 20-359,7 33-539,7 6-541,11-3 450,2-21 450,-1-27 360,-11-22 360,-4-21-540,-9 6-90,0 1-90,2 21 0,4 16-90,8 13-360,13 24 360,-8-4 360,-2 4 359,-22-8-449,-28-9-1619,-6-10-2878,-21-22 4317,19-47 0,9 9 0,15-22 0</inkml:trace>
  <inkml:trace contextRef="#ctx0" brushRef="#br0" timeOffset="3982">2069 235 11850,'5'-22'8815,"0"11"-7196,2 27-1079,3 36-270,4 28-540,-1 13-90,-6-11-269,-6-25 269,-5-28 180,1-41 90,9-40 90,6-3 0,16-9 180,3 39-90,4 20 0,-3 26-900,-13 17-2698,-20 18-6323,-33 6 9770,-2-15 0,-19-4 1,16-21-1</inkml:trace>
  <inkml:trace contextRef="#ctx0" brushRef="#br0" timeOffset="4732">501 1219 11850,'-5'-6'4588,"9"-2"-3689,56-22-629,0 5 0,12-3-180,3 0 0,9-3 0,4 1-397,-11 5 0,5 0 1,1-1-1,1 2 329,5-2 1,3 0 0,0 0-1,-3 1-180,-9 4 1,-2 0 0,-1 0 0,-3 0-29,11-4 1,-3 0 0,-7 0 95,3-5 0,-9-2 405,-18 2 0,-6-1 584,8-22 1,-21 0-360,-15-2 884,-12-2-1244,-15-5-3,-18 0-87,-24 3-135,11 28 0,-6 4 45,-14-1 0,-8 6 0,-17 2 0,-10 7-271,9 8 0,-8 5 1,-2 4 247,18 2 1,-1 3-1,-1 2 1,-2 2-1,-6 3 1,-2 1-1,1 2 1,1 2-1,6 1 1,1 2-1,1 1 1,4 1 22,-11 6 0,4 3 0,3 1-130,11 0 1,3 2 0,5 2 84,-15 19 0,8 4-45,13 0 0,11 4 0,14-6 1,12 1 89,14-2 0,16-4-180,17-9 0,14-9-540,23-10 1,15-14-481,1-16 1,8-11 0,0-5 1043,2-4 1,1-6 0,-3-1 0,-9 2-1,-2-1 1,-5-1 0,7-7 0,0 0-1</inkml:trace>
  <inkml:trace contextRef="#ctx0" brushRef="#br0" timeOffset="82512">3468 810 9062,'1'-4'6386,"-7"0"-6116,-13-2 360,-14 6-91,-8 3 91,-3 1-180,7-2-180,7-1-1,14-2 271,2 1 180,9 11-181,5 11-179,7 21-270,7 16 0,3 12 0,1 9 180,-2 1 90,-4-8 359,-3-12 181,0-16-271,6-15-359,9-9-450,14-8-2788,15-7-2609,11-3 5577,-1-2 0,-24-1 0,-15 1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10.74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936 438 11221,'16'-10'9174,"-2"1"-8814,-21 2-90,-14 4-90,-24 0-90,-16 5 539,-4 0 181,5 3 179,12 9-269,16 15-360,14 16-180,14 14-90,9 0 809,4-8-89,0-19-91,5-16-539,3-18-180,13-9 90,12-4-90,10 7 0,9 15 0,-3 20 90,-10 18 0,-23 8 0,-27 2-90,-32-11-720,-25-15-2698,-15-21-2248,4-15-1350,13-14 7016,27 1 0,14 5 0,14 6 0</inkml:trace>
  <inkml:trace contextRef="#ctx0" brushRef="#br0" timeOffset="649">1198 451 8612,'16'-17'9830,"-1"0"-7967,2 0-154,-6 3-1079,-12 20-270,-4 10-270,-7 14 90,0 0 90,7-18 179,6-14 361,8-22-270,1 1 89,5 2-449,-1 21-90,4 17 0,-1 24-90,0 16-90,-4 12 90,-6-12 0,-8 0-90,-12-24 180,-9-7 270,-5-11 989,-3-5-719,10-5-540,3-1-90,25-6-2069,21-4-4497,32-8-1350,20-5 7916,-14 2 0,-22 5 0,-27 7 0</inkml:trace>
  <inkml:trace contextRef="#ctx0" brushRef="#br0" timeOffset="1549">1573 162 6993,'-29'-29'6206,"-5"0"-3957,-40-12-1349,-19 10-586,37 15 1,-4 5-45,-23 7 0,-4 8-135,1 7 0,0 6 135,-3 3 0,-2 6-121,22 0 1,0 4 0,5 1 30,-5 8 0,4 4 0,-5 4 0,4 6 45,10 4 0,9 2-1,13-6 1,5 1 0,-1 3 0,7 3 90,11 7 0,11 0-1,7-10 1,7-1 0,3 5 0,9 0 0,23 6 0,9-7-180,-13-18 0,5-4-91,29 15 1,8-7 45,2-15 0,1-7-45,-5-2 0,3-5-15,-15-8 0,5-3 0,-3-3-30,21-4 0,0-6 0,-22 1 0,2-3 0,0-1-60,-3-2 0,-1-2 0,0-2 30,2-5 0,0-2 0,-4-1 75,11-6 0,-6-4 90,0-5 0,-12-6 90,-29 2 0,-10-2-45,0-49-180,-36 22 0,-16-3-90,-17-9 0,-7 2 90,2 5 0,-4 4-30,12 21 0,-4 1 0,-1 6-105,-16 0 0,-1 9-135,7 6 0,-2 4-1124,-12 4 0,-3 7-675,7 11 0,-1 7-2743,-9 5 0,2 4 4812,20-3 0,3 3 0,-39 16 0,57-15 0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6:15.41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82 358 11311,'-7'-17'9830,"4"15"-7517,4 10-1594,11 32-1348,8 14-2610,6 15-1078,-2-3-4498,-5-15 8815,-8-16 0,-6-20 0,-4-8 0</inkml:trace>
  <inkml:trace contextRef="#ctx0" brushRef="#br0" timeOffset="233">46 641 10591,'-28'-15'9830,"11"2"-6707,23 0-3123,22 5-1889,14 1-2879,20 2-1258,-11 1 6026,-7 1 0,-20 0 0,-20 3 0</inkml:trace>
  <inkml:trace contextRef="#ctx0" brushRef="#br0" timeOffset="533">71 965 7982,'-22'14'9830,"10"-1"-2659,38-14-7081,10-3-1889,41-13-4678,12-6-3147,-7 0 9624,-16 5 0,-38 10 0,-21 6 0</inkml:trace>
  <inkml:trace contextRef="#ctx0" brushRef="#br0" timeOffset="2200">1025 207 8792,'-7'-11'6926,"-8"11"-5037,-12 27-180,-3 37-1125,17-17 1,4 5-315,6 11 0,8 2-180,7 2 0,7-1-630,9 1 1,9-5-1350,8-6 0,7-8-2699,12-11 1,2-10 4587,29 3 0,2-28 0,-53-9 0</inkml:trace>
  <inkml:trace contextRef="#ctx0" brushRef="#br0" timeOffset="2600">2483 4 13020,'12'-3'8185,"6"24"-7825,17 46-315,-15-18 0,-2 4-180,0 5 0,-5 2-1035,-5 4 1,-7 0-1125,-8-4 1,-9-1 2293,-8-4 0,-5-5 0,-16 19 0,-4-21 0</inkml:trace>
  <inkml:trace contextRef="#ctx0" brushRef="#br0" timeOffset="2916">1577 804 9512,'-23'-7'8725,"29"-9"-8096,58-9-809,-6 6 0,7-1-1079,8-1 0,2 2-495,-2 1 0,-4 2-3553,26-4 5307,-42 11 0,-34 6 0,-12 2 0</inkml:trace>
  <inkml:trace contextRef="#ctx0" brushRef="#br0" timeOffset="3150">1806 833 9242,'-48'35'9444,"14"-5"-8184,29-7-721,33-13-764,21-14 1,9-7-1306,0-2 1,2-1-225,12-4 0,-2-1 1754,-14 3 0,-7 1 0,-2 1 0,-19 5 0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8:23.7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205 84 9242,'-4'-9'9624,"1"0"-6655,-1 2-1530,0 6-810,1 19-89,1 9-90,1 32 269,-3 19-449,0-5 90,0 18 90,1-17-180,1-8-180,2 4 89,3-20-89,4-9 0,8-5-90,11-14 0,4-8-539,13-10-2969,2-10 359,-3-2-628,3-3-361,-13-1 4138,-1-6 0,-13 8 0,-7-1 0</inkml:trace>
  <inkml:trace contextRef="#ctx0" brushRef="#br0" timeOffset="333">10 537 11760,'-9'-2'8815,"9"-1"-8005,32-2-450,20-7-2249,25-8-2519,10-2 4408,3 0 0,-41 11 0,-13 4 0</inkml:trace>
  <inkml:trace contextRef="#ctx0" brushRef="#br0" timeOffset="700">519 447 11041,'-21'2'9830,"13"0"-8417,27-3-3841,34-6-2879,32-8 5307,7-4 0,-31 6 0,-24 5 0</inkml:trace>
  <inkml:trace contextRef="#ctx0" brushRef="#br0" timeOffset="1100">1158 265 14099,'-20'-13'7196,"-8"11"-6926,-7 18 269,7 15-449,23 12-449,30 10-181,23 1 360,7-3 90,-8-9 180,-22-7 270,-31-4-180,-23-5-360,-41-2-2249,5-16-719,-2-9 3148,30-24 0,22 12 0,9-6 0</inkml:trace>
  <inkml:trace contextRef="#ctx0" brushRef="#br0" timeOffset="1500">1132 326 9602,'-6'-7'9830,"-5"3"-5718,-2 19-1864,-14 33-1618,-5 27-900,-4 14-1754,18-40 0,1 0-7330,-8 33 9354,9-25 0,6-19 0,10-33 0</inkml:trace>
  <inkml:trace contextRef="#ctx0" brushRef="#br0" timeOffset="1950">1381 172 11400,'-6'-25'9830,"0"14"-7606,2 14 204,2 40-1258,7 28-1036,1-21 1,0 3-1035,3 1 1,1 1-2609,3-4 0,0-2-6323,9 16 9455,-2-22 1,-12-30-1,-4-9 1</inkml:trace>
  <inkml:trace contextRef="#ctx0" brushRef="#br0" timeOffset="2667">1412 504 9152,'-18'-19'7555,"13"0"-7555,23-4-1888,39-3 268,30-3 1441,5-3 1528,-22 3 450,-35 4 0,-47 16-180,-30 19-720,-24 25-539,9 18-270,28 4-540,42-10 180,31-19 181,19-22 898,-2-23 810,-12-13 810,-16-2-2429,-14 17-180,-8 17-720,1 16 181,6 2 449,13-19 450,3-25 270,-1-36 269,-17-35 135,-15 41 1,-3 0-46,-3 3 1,-3 3 180,-9-22-900,-5 50-90,8 50 0,9 52-2024,9-27 0,4 3-1259,4 3 0,2-2-180,2-6 0,0-4 3463,8 12 0,-9-28 0,-11-25 0</inkml:trace>
  <inkml:trace contextRef="#ctx0" brushRef="#br0" timeOffset="2917">2011 490 10591,'-25'-34'9085,"5"1"-8546,9-2-179,19 6-270,21 8 90,15 14 540,5 18-1,-2 15-539,-9 11-2878,-12 7-4768,-14 3 7466,-10-12 0,-4-11 0,-1-15 0</inkml:trace>
  <inkml:trace contextRef="#ctx0" brushRef="#br0" timeOffset="3417">2144 275 8162,'6'-29'7106,"3"7"-6476,11 3-450,12 23 0,5 13 629,6 16 900,-1 5-539,1 6-361,0 5-89,-8 2 179,-15-1-449,-27-4-720,-29-9-1079,-23-16 0,-7-28 719,18-25 720,26-17 1169,31 0 360,21 18-90,6 26-1169,-8 32-3328,-15 29-810,-15 8 3778,-10 14 0,5-40 0,0-4 0</inkml:trace>
  <inkml:trace contextRef="#ctx0" brushRef="#br0" timeOffset="3700">2940 308 10411,'-16'-5'9715,"3"0"-9715,7-4-4318,33-4 4318,12-2 0,-1 3 0,-12 6 0</inkml:trace>
  <inkml:trace contextRef="#ctx0" brushRef="#br0" timeOffset="3883">2971 379 11041,'-29'19'9830,"9"-1"-6618,21-9-6990,29-6-6053,33-14 9005,-16 1 1,-3-1 0,-36 9 0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38:37.43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8026 95 9332,'5'-49'9830,"3"13"-6798,18 27-1592,11 40-811,10 44-629,-27-23 0,-4 3-1080,-7 7 1,-7 1-945,-10-2 1,-7-3-1350,-5-9 0,-4-4 3373,-21 16 0,15-31 0,18-22 0</inkml:trace>
  <inkml:trace contextRef="#ctx0" brushRef="#br0" timeOffset="-8066">140 513 9242,'6'-14'9830,"-3"4"-6528,-6 5-1053,-20 32 359,-16 41-1888,15-16 0,2 6-720,2 7 0,7 3 0,8 2 0,11-1-2339,10-7 0,9-6-1574,10-6 1,7-8 3912,0-12 0,1-6 0,15 1 0,-23-20 0</inkml:trace>
  <inkml:trace contextRef="#ctx0" brushRef="#br0" timeOffset="-6466">747 581 9691,'6'-27'9830,"-10"2"-8146,-20 9-1234,-6 14-91,-10 23-269,22 19 0,15 1 90,35 10-90,34-8-90,-2-6 180,10 8 270,-41 2 179,-22 0 361,-55 15-720,-23-26-1619,-16-5-5128,9-21-3354,40-19 9792,14 2 1,19-4 0,5 7 0</inkml:trace>
  <inkml:trace contextRef="#ctx0" brushRef="#br0" timeOffset="-4749">1051 778 8162,'26'-18'9830,"-6"-1"-6617,-1-4-3033,-23 11 449,-22 20-359,-10 20-270,6 14-899,19 1-271,31-15 811,8-17 179,15-23 989,-13-12 451,-6-3 539,-11 5-2339,-7 15-2968,6 22-900,6 7 720,10 8 1979,5-15 2609,0-16 2248,-7-14-1169,-10-1 1709,-6-1-3328,-3 13-90,0 7-91,5 11-179,1 5 90,-2-3 180,4-11 0,-6-16 0,4-8-90,-5 2 0,5 7-180,7 20 90,10 7-180,12 8-90,2-9 90,-1-16 90,-7-25 90,-12-30 899,-11-21 990,-10-1 0,-5 12-1439,4 58-270,15 55-270,2 16 0,3 10-90,3 2 0,2 1 0,2 9 0,0-4-45,-8-24 0,-1-7 135,3 10-450,-21-57 90,-19-59 225,6 8 1,0-6 44,1-5 0,2-1 90,5 5 0,3 2 0,12-20 0,7 33 0,13 29 90,-10 26-90,-5 21 0,-18 13-630,-10-2 90,2-13-359,12-19 449,17-37 180,19-41 270,-14 11 0,-2-6 45,-1-10 0,-4-1 270,-3 3 0,-4 2 224,-7-36-89,-16 54 0,-8 53-360,1 55-45,14-12 0,5 4-180,8 4 0,7-2-180,7-7 0,6-6-224,39 7 359,2-50 180,-20-37 539,-21-17-89,-23 2-270,-21 20-180,0 33-270,4 22-90,17 17 271,18-1-1,14-14 90,7-19 90,1-18 179,-9-8-89,-12 2-180,-8 16-2338,-7 18-2879,7 17 5217,10 10 0,-11-16 0,6-8 0</inkml:trace>
  <inkml:trace contextRef="#ctx0" brushRef="#br0" timeOffset="-4200">3245 433 7892,'-35'-24'9830,"19"17"0,59 89-9431,8-8-354,-10-20 0,2-1-45,24 18 90,-15-24-90,-3-37 0,-24-51 90,4-35-270,-18 25 0,-4-2-2069,-1-2 1,-2 2-1980,1-28 4228,-4 23 0,-1 38 0,1 10 0</inkml:trace>
  <inkml:trace contextRef="#ctx0" brushRef="#br0" timeOffset="-3466">2969 595 9691,'3'-10'9805,"-1"0"-9175,-5 3-271,-3 3-89,-2 4 180,-2 3-360,-6 10 90,3 10-90,2 14 0,15 4-90,16-7 0,12-15 989,7-22 720,-4-18 720,-11-14-1260,-10-1-629,-9 10-450,-2 7-1530,6 28-4316,9 15-2969,27 30 8725,4-7 0,6-3 0,-13-21 0</inkml:trace>
  <inkml:trace contextRef="#ctx0" brushRef="#br0" timeOffset="-2983">3860 572 7533,'13'-30'8815,"-6"-4"-5397,-6-9-2159,-15 6-270,-18 17-539,-11 26-540,5 25-1259,18 15 270,27-5 719,21-17 1259,10-21 91,-2-17-451,-5-3-359,-4 12-180,-3 24 180,-5 30-90,-9 28-45,-10-26 0,-6 1-45,-4 4 0,-5-1-675,-3-4 1,-3-4-3014,-27 21-6143,6-49 9702,15-21 1,10-27 0,12 4 0</inkml:trace>
  <inkml:trace contextRef="#ctx0" brushRef="#br0" timeOffset="-2717">4113 150 8432,'19'-14'9830,"3"15"-7157,4 27-1773,5 38-541,-17-18 1,-2 4-315,-2 8 0,-3 3-945,-5-1 1,-4 0-271,-2-8 1,-3-2-2474,-6 1 1,-2-6 3642,-6 4 0,2-12 0,13-32 0</inkml:trace>
  <inkml:trace contextRef="#ctx0" brushRef="#br0" timeOffset="-2500">4423 612 13559,'34'-23'9265,"0"4"-10524,36 1-3688,12 3 224,-29 6 1,0 0 4722,24-3 0,-14 1 0,-31 5 0</inkml:trace>
  <inkml:trace contextRef="#ctx0" brushRef="#br0" timeOffset="-1833">5598 89 12300,'-11'-22'9830,"-15"6"-7247,-30 21-155,-18 34-1798,33-2 0,5 7-495,5 2 0,10 5-675,16 26 0,16 3-2563,11-14 0,11-3-360,12 9 0,6-6 3463,-2-23 0,-2-8 0,14 1 0,-28-27 0</inkml:trace>
  <inkml:trace contextRef="#ctx0" brushRef="#br0" timeOffset="-1050">5954 287 8792,'-18'-43'9830,"-9"4"-2750,0 20-6270,4 19-1,22 61-2608,19 22-180,-6-34 1,3 0-406,3 3 0,0-5 316,3 4 2607,-4-19 1080,-20-46 450,-9-15-989,-4-6-631,7 1-269,22 9-90,15-3-90,34-13 450,-9 1 989,3-4-90,-21 10-809,-19 17-270,0 19-90,-7 36-180,3 13 0,9 34-90,9-17 180,-4-16-90,12-31 0,-15-43 0,3-5-90,-1-12 90,0 24 0,-1 16 0,14 32 0,-2 30 90,-8-2-90,-16 12-1529,-48-28-1620,-12-16-1888,-28-20 5037,22-37 0,17 13 0,21-12 0</inkml:trace>
  <inkml:trace contextRef="#ctx0" brushRef="#br0" timeOffset="-466">6551 262 8342,'16'-23'9830,"3"7"-7697,0 20-1053,1 27-451,-3 27-359,-3 10-180,-2-5-90,-4-24 90,3-28-90,2-30 0,6-18 0,-1-2 0,2 8-90,2 24 0,8 14-899,19 15 89,15 0 451,7-9 449,-6-15 899,-17-15 1,-17-6-361,-10-2-359,-4 10-90,0 15-90,4 17-270,1 14-1169,-4 2-1529,-8 1-1620,-12-8 4588,-9-3 0,2-11 0,0-7 0</inkml:trace>
  <inkml:trace contextRef="#ctx0" brushRef="#br0" timeOffset="2383">7498 317 16528,'-9'9'4947,"-8"14"-3868,-4 18-539,1 11-450,6 1 90,13-7-180,9-31 0,9-31 0,4-51 90,-9 19 0,-3-2 494,0-4 1,-2 0 404,2-35-269,-6 31-630,2 37 0,1 28-90,11 39-360,4 9-3058,14 29 360,-7-21 1259,-2-3 1619,-21-35 90,-19-23 899,-21-22 361,-5-10-451,3 0-539,32-8-180,21 19 90,26-5-90,9 20 90,-6 9-90,-4 9 90,-16 2 0,-7 2 180,-7-7-270,-1-3 0,7-5-360,4 0-2788,19 5-1979,4 3 5127,2 4 0,-18-6 0,-12-2 0</inkml:trace>
  <inkml:trace contextRef="#ctx0" brushRef="#br0" timeOffset="3683">582 1316 8882,'-10'3'4947,"6"4"-4137,11 2 1348,38 10-988,25-5-406,-6-7 1,10-3-406,-4-5 1,4-2 0,0-1-90,23-2 0,3 0-60,-18-1 0,3-1 0,-1 1-91,-8 0 1,-1 0 0,-1 0-85,-5 0 0,-1 0 1,3 0 143,18-3 1,5 1 0,-2-1-90,-4 1 0,-1 1 0,-2-1 300,-4 1 0,-2 0 0,3 0-61,12-1 1,2 1 0,0 0-180,-2 2 0,0 0 0,-1 0-120,-3 0 0,0 1 0,3-1-209,-10 2 0,3 0 1,0 0-1,-3 0 179,15 1 0,-3-1 0,3 1 0,-18 0 0,2 1 0,1-1 0,-1 0-23,0 1 1,-1-1 0,1 1-1,-2-1 23,0 1 0,-1-1 0,-1 0 0,-1 1-136,18-1 0,-2 0 0,-2 0 136,-7 1 0,-1-1 0,-2 1-30,-10 0 0,-2 0 0,0 0-10,26 0 1,-2-1-6,-4 0 0,-1-1 45,-6 1 0,-3-2 233,-5 0 1,-3 0-234,-8-2 0,0 0 352,-1-1 0,-2 0-352,37-5 230,-42 5 1,-2 1-231,31-5 4,5-3-4,-5 0 0,11 1 0,-3 6 0,-39 5 0,-2 1-90,33 0-180,6 1-2698,-27-3-2968,-5-1 5936,-25-1 0,-19 3 0,-9 0 0</inkml:trace>
  <inkml:trace contextRef="#ctx0" brushRef="#br0" timeOffset="4400">3227 1473 10861,'-3'-17'9830,"-16"8"-4189,-9 13-4112,-24 39-719,6 38-810,23-22 0,6 7 0,7 8 0,10 3 0,9 0 0,10-1-1934,9-6 0,7-6-2982,5-14 1,4-7 4696,29 7 1,-27-30 0,-27-17 0</inkml:trace>
  <inkml:trace contextRef="#ctx0" brushRef="#br0" timeOffset="5500">3804 1683 10591,'-20'-23'8635,"-4"8"-7735,-23 18-91,14 13-539,8 10 0,51 17-180,24-1 0,17 5 179,3-2 811,-28-19 449,-5 0-450,-28-5-899,-15-3 0,-27 9-2249,-27-5-1259,4-7-540,-7-15 720,35-27 1619,21-29 2249,25-19 2158,14-13-989,-4 23 1709,-9 14-3328,-15 40 989,-11 22-809,-15 30-2249,-16 37-1349,5-6-3688,-1 12 6836,21-42 0,7-14 0,6-19 0</inkml:trace>
  <inkml:trace contextRef="#ctx0" brushRef="#br0" timeOffset="6483">4370 1748 10141,'-18'-26'6387,"-11"6"-4768,-18 15-810,-12 28-359,7 29-360,23 19 0,37 0-90,36-28 719,25-39 451,1-45-721,-38-1 1,-6-7 90,-6-3 0,-7-3-1,-4-1 1,-4 1 180,-5-30-541,-3 37 91,-10 42-270,7 43 0,5 39 0,21 19-360,-2-48 1,6-4-181,29 20 360,8-39 180,-7-42 450,-14-32 0,-19-15-181,-24 7-269,-16 30 0,-3 33-629,9 32-810,23 16 719,22-3 450,16-17 360,6-28 540,-5-27 179,-10-13-269,-13-1-720,-15 19-2248,-10 24-2969,-5 22 5397,3 10 0,1-14 0,2-7 0</inkml:trace>
  <inkml:trace contextRef="#ctx0" brushRef="#br0" timeOffset="6733">5224 1543 9422,'14'-57'8005,"1"-13"-5306,-9 38-1,-1-8-359,-12 43-990,-7 43-1079,0 0 0,0 6-1170,-3 14 1,1 4-1305,1-4 0,2 0-2712,2 3 1,4-5 3954,1 1 1,6-15 0,1-44 0</inkml:trace>
  <inkml:trace contextRef="#ctx0" brushRef="#br0" timeOffset="7183">5546 1718 10501,'-1'-16'8995,"1"15"-8725,3 7 359,6 30-359,8 11-180,8 8 0,6-9-90,0-25 90,-6-30 360,-13-36 1079,-11-27 630,-9-7-360,0 4-900,8 17-449,16 15-360,21 8-1799,18 9-1619,7 7-4408,18 11 7736,-26 8 0,-8 1 0,-29 3 0</inkml:trace>
  <inkml:trace contextRef="#ctx0" brushRef="#br0" timeOffset="7416">5990 1521 9242,'-22'0'9830,"5"4"-4729,9 21-4021,15 18-1890,15 29-3867,5 8 179,-3-8 4498,-4-15 0,-12-31 0,-2-10 0</inkml:trace>
  <inkml:trace contextRef="#ctx0" brushRef="#br0" timeOffset="7733">6346 1202 11580,'-9'-28'9805,"17"14"-8006,26 38-900,25 41-764,-25-14 0,-2 6-855,-4 7 1,-6 1-586,-7-4 1,-9 1-1889,-18 14 0,-12-2 3193,-7-15 0,-7-3 0,0 1 0,-3-5 0,0-16 0,0 0 0</inkml:trace>
  <inkml:trace contextRef="#ctx0" brushRef="#br0" timeOffset="8900">6057 1717 10411,'5'-16'9265,"1"-1"-8726,4 10 91,4 19-360,8 27-180,3 18 0,0-1 0,-7-12-90,-9-17 0,-14-27 90,-4-22 0,-2-29 359,17-23 901,20-9-1,18 9-450,11 20-359,1 28-270,-3 29-180,-10 21 0,-11 15-360,-15 1-809,-9 0 89,-5-17 540,-3-2 271,-11-27 89,-5-10 90,-13-17 0,-6-2 0,-6 8 90,-5 15-1,-1 16 91,2 21-180,6 19 0,10 14-1979,12 5-2338,13-8 4317,16-19 0,-4-18 0,4-12 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3:46.838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4178 1 13829,'-4'58'3688,"1"16"-2969,2-23 1,1 4-135,1 11 0,1 4-91,2 11 1,1 4-1,2 13 1,2 2-285,-1-30 0,0 1 0,2 2-235,1 3 1,2 1-1,0 0 145,1 2 0,1-1 0,0 0-30,0 0 0,0 0 0,0 0-30,0-1 0,-1 1 0,-1 0-60,-1 0 0,-1 0 0,-1 1 30,0 0 0,-1 0 0,-1 1-30,0 0 0,-1 0 0,-1 0 0,1 0 0,-1 0 0,0 1 0,0-2 0,0-1 0,-1 1 0,1-1 0,0 0 0,-1-1 0,1-4 0,0-1 0,-1-1 0,1-3 0,0-1 0,0-1 19,3 26 0,0-3-649,-2-7 1,-1-2-1395,-2-7 0,-2-2-2892,-2-12 1,-2-4 4494,-4 14 1,1-31-1,3-32 1</inkml:trace>
  <inkml:trace contextRef="#ctx0" brushRef="#br0" timeOffset="700">0 3861 10321,'13'-32'4498,"25"-1"-4094,5 10 1,10 1 179,34-3 1,14 3-315,-12 5 0,7 1 0,5 0-555,-11 4 0,5 1 1,2 0-1,2 1 555,-11 2 0,1 0 0,2 1 0,1 0 0,3 0-407,-5 1 1,2-1 0,2 1 0,1 0-1,1-1 1,2 1 238,-6 0 1,2 0 0,2 0 0,0 0 0,1-1 0,1 1 0,1 0-36,-8 0 1,1 0-1,1 0 1,0-1-1,1 1 1,0 0-1,1 0 1,1-1-29,-5 2 1,1-1 0,1 0 0,0 0 0,1 0 0,-1 1 0,1-1 0,-1 0 0,-1 1-176,-2 0 1,-1 0 0,0 0 0,0 0-1,-1 0 1,1 0 0,-1 1 0,1-1-1,0 0 226,1 1 0,0-1 0,1 1 0,-1-1 0,1 1 0,-1-1 0,0 1 0,0-1 0,-1 1-185,9-1 1,0 0 0,0-1 0,0 1 0,-1 0 0,0 0 0,-1 0 0,1 0 150,-4-1 0,1 1 0,0 0 1,-1-1-1,-1 1 0,0-1 1,0 1-1,-2 0-31,7-1 1,-1 0 0,-1 0 0,-1 0-1,0 1 1,-1-1 0,0 0-52,-3 1 0,-1-1 0,0 0 0,-1 1 0,-1-1 1,-1 1-1,-1-1-19,5 1 0,-2-1 0,-2 1 0,0 0 0,-1-1 0,-2 1-513,9-1 0,-2-1 1,0 1-1,-4-1 1,-3 1-235,3-2 1,-2 1 0,-5-1 0,-5 0-4125,32-7 1,-17-1 4831,-5-10 1,-54 10 0,-28 7 0</inkml:trace>
  <inkml:trace contextRef="#ctx0" brushRef="#br0" timeOffset="1566">4700 4269 9422,'-32'-15'9534,"-17"13"-6655,-27 31-2250,10 18-269,32-9 0,10 7-90,31 53-180,26-11-45,2-38 0,7-4 404,30 13 1440,-7-14 90,-23-16-1709,-30-14-630,-44-17-2069,-27-11-2788,-26-13-269,7-15 5486,27-15 0,24 25 0,19-4 0</inkml:trace>
  <inkml:trace contextRef="#ctx0" brushRef="#br0" timeOffset="1850">4606 4210 9602,'15'-24'9830,"1"2"-8237,12-12-1593,18 2-360,27 0 360,17 2 1619,1 10 1979,-15 20-1169,-24 30-2069,-11 43-1125,-22-19 0,-2 6-2743,2 12 1,1 4-1409,1 3 1,0-2 4290,-6-21 1,-1-4 0,12 35-1,-16-51 1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3:52.754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10 4065 8342,'-9'9'5217,"16"10"-3598,22-7-449,33 0-271,27-17-539,-36-3 0,3-4-91,10-6 1,3-5-90,7-8 0,4-5-120,-15 3 0,2-4 0,-1-1-30,-3 0 0,-1-1 0,0-2 0,4-4 0,1-2 0,-2 1 12,-9 3 0,-2-1 0,-1 0 108,-2-1 0,-1 0 0,-2-1-60,21-23 0,-2-1 0,-3 0 0,-2-1-90,-1 2 0,0-1 90,0 3 0,0 0 45,-2 4 0,1 1 44,-2 2 1,1 1-45,-2 3 0,0 1 45,-1 1 0,0 0 45,-2 2 0,-1-1 0,-1 2 0,-1-1-46,0 0 1,0-1-45,2-4 0,1 0 161,-2 1 1,1 0-162,0 0 0,0 0 0,-3 4 0,0 1-45,-1 2 0,-1-1 0,2 0 0,0-1 0,1-1 0,0 1-45,1-1 0,0 1 45,-1-1 0,0 2 0,-1 0 0,-1 1-1,-1 1 1,0 0 0,-1 2 0,1 0 0,-2 4 0,1 0-45,-1 2 0,1 0-45,1 2 0,1 0 45,-1 0 0,2 1 45,1 0 0,0 2 0,-1 1 0,1 1 45,0 1 0,1 3-90,-2 1 0,1 1 45,1 1 0,1 2 0,1 1 0,0 1 44,4 1 1,0 2-90,1 1 0,1 3-45,2 0 0,1 3 0,0 3 0,-1 2 90,-5 3 0,0 1 0,16 4 0,1 2 0,-9 3 0,0 2-90,15 3 0,1 2 0,-5 2 0,-1 2 45,2 3 0,-1 0 0,-6-1 0,2 3 45,14 7 0,0 2-90,-13-3 0,0 1 45,12 7 0,0 2 0,-11-4 0,-2 0-45,-1 1 0,-2-1 0,-8-4 0,0 1 0,14 7 0,2 2 45,-10-4 0,1 0 0,16 9 0,1 1-45,-7-3 0,-2-1 0,-11-6 0,-1 1 0,9 6 0,-1-1 0,-14-7 0,-1 0 0,4 1 0,1 1 0,-3-3 0,0-1 0,0 0 0,-1-2-45,-6-3 0,2 1 0,14 6 0,2 0 45,-15-9 0,0-1-45,6 2 0,3 1 45,7 4 0,-1-1 0,-11-3 0,-2 0 0,6 4 0,-2 0 45,-8-2 0,-1 1 0,-2 0 0,0 1-90,-8-4 0,1 2 45,10 8 0,-1 2 90,22 22-90,-37-29 0,1 0 0,1 2 0,-1-1 90,20 16-90,-17-18 0,1 1 0,0-3 0,1 0 0,38 25 0,-33-24 0,3 0 0,-3-3 0,1-2 0,-4-2 0,1-1 0,8 3 0,1 0 0,-4-5 0,-1-1 0,42 16 0,-37-16 0,0-1 0,35 11 0,-41-14 0,1 2 0,-2-2 0,-1 2 0,5 2 0,-1 0 0,31 11 0,-35-12 0,0-1 0,34 14 0,-8-5 0,11 6 0,-10-6 0,-7-4 0,4-1 0,-26-10 0,3-1 0,-13-6-1709,-3-3-6477,-10-3 8186,-9-10 0,-7 7 0,-4-6 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0.50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18 122 15358,'8'23'1619,"3"13"-539,2 8 269,7 23-180,5 24-809,-13-39 0,0 2-46,1 7 1,-1 3-135,0 3 0,0 2-135,-1 2 0,1 1 0,-2-2 0,0-1-45,0-2 0,-1-2 45,-2-6 0,0-3-45,-1-2 0,-1-2 0,3 40 0,-4-5 0,-3-7 0,-2-6 0,-4-3 90,0-1-90,0 1 0,1 4 0,2 1 0,2 1 0,3 1 90,2 1 360,0 2-180,1 2-90,0 1-91,-1-2-89,1-1 90,0-3-90,1 1 0,1 2 0,0-6 0,2 21 0,-2-10 0,2 9 45,-5-42 0,0 0-45,5 37 0,-5-40 0,1 0-45,-1 7 0,1-2 135,4 38-180,1 7 180,1-3-180,-1-20 180,1 6-90,-2 3 0,-1-15-90,0 6 90,1 1 0,0-11 0,-1 4 0,1 10 0,-5-21 0,2 20 0,-5-7-90,0-6 90,-2 10 90,1-19-180,0-2 180,1 1-180,3 1 90,-1-15 0,1 12 0,-2-14 0,1-7 0,1 9 0,-2-23 0,0 4 0,-1-7 0,0-1-989,1-1 809,-5-13 180,0-7-180,-10-32 90,-4-19 90,-7-30 0,10 37 0,-1-3 0,1-3 0,-1 0 0,-1-4 0,0 0 0,-1-5 0,-1-2-45,-2-6 0,-1-2 90,0-7 0,-1-2-45,0 0 0,0-1 0,2 0 0,1 0 0,2 7 0,1 0-45,3 1 0,0-1 90,2 0 0,1-1-45,0-1 0,2-2-45,-1-2 0,2-1 45,0 5 0,1 1 45,0 3 0,1 0-90,0 4 0,1 1 45,-1 0 0,1-1 0,-1-4 0,1-1 45,0-2 0,0 0-45,0-1 0,-1 0 0,1 4 0,0 1 0,0 6 0,0 1-45,1 6 0,0 0 45,0 3 0,-1 1 0,1 3 0,-1 0 45,0 3 0,-1-1-45,-3-44-90,-2 3 90,3 3 0,2-1-90,4 0 90,3-1 0,1 0 0,0 0 0,-1-4 0,-2 46 0,0-1 0,-1-3 0,-1 0 0,1 1 0,-1 0-45,0 2 0,0 0 45,-1-40 0,-1 8 0,-1 7 0,-1 5 0,1 12 0,-1 5 0,2 17 0,2 20 0,4 30 540,3 43-315,-1-4 0,0 7-90,1 24 0,1 9-15,0-12 0,0 6 0,1 1-281,1 2 0,0 1 0,0 2 273,-1-17 1,1 2-1,0 0 1,-1-2-53,2 17 0,-1-1 0,0-1-30,-1-3 0,-1-1 0,-1-3-30,0-8 0,-2-2 0,0-3 0,1 16 0,-1-7 0,0-21 0,-1-9 0,-2-8 0,-5-77-45,-2-24 0,0-18 45,0-3 0,1-11 0,-1-1-82,1-4 1,0-2-1,1-3 82,0 18 0,1-4 0,0 2 0,0 2-30,0-11 0,0 3 1,0 3 24,0 12 0,0 3 1,0 4-41,-3-18 0,3 19 135,4 38-90,3 74 0,1 37 29,1 2 1,1 12 0,-1 5-239,-2-13 0,1 4 0,-2 2 0,1-1 231,0 0 1,-1 1 0,1-2-1,0-2-22,-1-9 0,0-2 0,0-2 0,1-3 202,1 7 1,0-4 0,1-3-158,2 15 0,0-10-45,4 14-76,-7-98 76,-4-36 0,-5-22-23,2-1 1,-2-13-1,1-4 1,-1 4-227,-2-16 1,0 2-1,-1-3 249,1 13 0,0-4 0,0 2 0,-2 6-30,-1 2 0,-1 5 0,0 7 379,-1 0 0,0 7-259,-7-30 37,11 116-127,7 42 0,5 21 30,-3-14 0,1 5 0,0 8-252,0-10 1,0 7 0,1 4 0,-1-1 0,1-5 221,-1 4 0,1-4 0,-1-1 0,1 1 0,0 7 0,0 1 0,0-1 0,1-7 214,1 4 1,-1-6-1,1-7-214,-1 8 0,4-25 39,7-46-129,-9-83 0,-10-50 90,4 49 0,0-6 0,-1-5 0,0-3-334,0-7 0,-1-8 0,-1-2 1,0 2-1,0 8 334,0 10 0,0 6 0,-1 2 0,0-2 0,0-5 0,0-4 0,-1 6 0,-1 13 504,-2 6 0,-2 15-504,-6 20 45,8 73 0,5 40-23,2-13 1,2 11-1,1 5 1,0 0-299,-1 1 1,1 1-1,0 2 1,1 4 275,-1-16 0,2 3 0,-1 2 0,1 1 0,-1-2 0,1-4 0,0 21 0,1-4 0,0-2 0,0-3-92,0-10 1,-1-3-1,1-1 1,-1-3 91,2 17 0,0-2 0,0-11 609,0-10 0,-1-12-609,-1 8-90,-17-126 60,0-21 0,-1-25 0,0-1 30,3 28 0,1-1 0,-1-1 0,1-5 168,-1-2 1,0-7 0,0-2 0,0 3-1,1 8-168,0-15 0,0 8 0,1 5 241,-2-16 1,2 16-152,-1 22-90,17 160 0,-1-26 0,2 12 0,0 5 0,1-1 0,-1 5 0,1 4 0,0 1-236,-1-9 0,-1 3 0,1 1 0,0-1 0,-1-2 236,1 12 0,0-2 0,0-2 0,-2-2 0,0-9 0,-1-1 0,0-4 0,-1-4 98,0-2 0,-1-5 0,0-5-188,1 9 0,-2-11 0,-7-12-45,-6-88 0,-3-34 45,1-10 0,1-15 0,0-7-157,3 22 0,0-5 1,1-4-1,0 0 1,0-1 246,0-4 0,0-3 0,0 0 0,1 1 0,1 4 67,-1-6 0,1 1 1,0 5-1,1 5 407,-2-1 1,1 5-1,-1 15-384,-9-20 0,7 142-60,7 17 0,3 22 0,1 6-295,-1-22 1,1 4 0,0 4 0,1 2 0,0 1 264,0-1 0,0 3 0,1 2 0,1 0 0,-1 1 0,0-3 0,1-1 0,0 1 0,0-1 0,1 0 0,-1-3 0,1-2 0,0 2 0,0-1 0,1-3 0,0-2 0,-1-3 0,4 27 0,0-4 0,0-12-45,1 1 0,-1-24 1151,-3-45-1106,-14-82 0,-7-53 0,4 31 0,-1-10 0,-1-6 0,0-2-255,2 10 0,-1-4 0,1-1 0,-1-1 0,1 1 255,0 1 0,0-1 0,0 0 0,0 4 0,2 5 22,0 3 0,1 4 1,0 5-1,1 7 749,-2-24 1,3 26-682,6 45 45,8 84 0,3 49-113,-4-41 0,0 7 1,1 4-1,0 3-206,0 0 0,0 5 0,1 2 0,0 0 0,0-1 184,-1-3 0,0 1 0,1 0 0,-1-2 0,0-3-23,1 7 1,0-2 0,0-3-1,0-5-108,1 3 0,-1-5 0,0-8-4,-1 3 1,1-22 1269,-1-37-1270,-13-79 0,-9-52 90,5 34 0,0-9 0,-1-6 1,0-1-151,0 10 1,0-3-1,-1-2 1,0 1-1,1 0 231,-1 3 0,1-1 0,-1 0 0,1 4 0,-1 6 114,-1-23 0,0 8 0,0 12 447,0 3 1,-1 24-508,2 39 0,11 78 0,7 44-68,-2-33 1,0 6-1,2 6 1,-1 2-196,1 2 0,1 4 0,-1 2 1,1 2-1,1-2 173,-1 1 0,0 1 0,1 0 0,-1-2 0,0-2-23,2 7 1,-1-2-1,-1-3 1,1-5-8,0 5 0,0-5 0,-1-10 30,0 1 0,-4-35-180,-7-59 150,-6-36 0,-3-28 0,0-6 7,2 3 1,-1-7 0,1-4-1,-1-3 42,1 6 0,0-4 1,-1-1-1,1 0 0,1 4 3,-1-10 1,1 1 0,0 4-1,1 5 38,-1-8 0,1 7 0,1 11 30,-1 6 0,2 35 297,6 94-297,3 11 0,2 17 0,2 8-68,-2-1 1,2 7-1,0 3 1,1 3 11,-1-10 0,1 3 0,1 1 0,-1-1 0,1-2-34,0 12 0,1-2 0,0-2 0,0-5-30,2 8 0,-1-5 0,-1-8-330,2 2 0,-3-16 270,-2-22 0,-15-96 0,-6-36 60,2-1 0,-1-12 0,0-4 138,1 11 0,-1-4 0,0-1 0,1 3 161,1 7 1,0 1 0,0 3 0,1 7-225,-1-32 0,-2 45 202,-1 80-1461,5 38 0,5 18-795,0-13 0,2 6 0,2 0 1980,1 5 0,1 2 0,1-6 0,1 6 0,2-6 0,2-18 0,1 1 0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1.48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447 34 10771,'21'-18'9830,"-7"5"-6438,-23 10-2762,-21 9-360,-35 7-90,-16-6 90,-5-8 89,6-6-359,17-3 270,25 4 270,14 17 179,18 30-269,9 50-360,4-31 0,3 4-90,1 7 0,3 0-45,0-7 0,2-5 45,15 23 180,11-46-90,3-39-90,20-21 0,6-4 0,6 17 0,-3 26 0,-13 33 630,-29 26-630,-36 24 0,-32-9 0,-5-40 0,-8-8 0,2-16 0,-3-8-3014,-13-6 1,0-12-495,12-12 0,4-7 3508,-24-28 0,35 14 0,25 15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2.1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98 88 11221,'7'-47'9714,"-3"16"-9084,-7 21 449,-16 65-719,-9 31-315,12-36 0,1 1 135,-9 39-180,20-62 360,12-30 719,28-80 0,-1-2-944,-15 35 0,-1 2 855,7-10-541,-4 49-179,2 46-225,-3 19 0,-2 10-45,-1 0 0,-1 4-135,4 25 0,-2 2 45,-8-19 0,-4-4 90,-1-12 0,-6-4 0,-19 34 360,-28-61 0,-3-17 180,-6-18-540,31-5 0,32 3 0,44 2-3688,47-1 809,-49 2 1,2-2-2038,12-4 1,-3-2 4359,6-6 1,-13 0-1,-39 10 1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7.48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0 210 14099,'31'15'2698,"25"-7"-2338,-3-7 0,5-2-270,0-1 0,3-1 0,18-1 0,2 0-45,-15 1 0,0-1 0,9 0 0,0-2 134,-8 0 1,0-2 0,4-2 0,1 0-135,0 0 0,0 1 0,3 1 0,-1 2-45,-10 1 0,0 3 0,11 0 0,-1 2 45,-12-1 0,-2 1-45,4-1 0,1-1 0,-1-1 0,-2-2 45,-11 0 0,-1 0-90,3-1 0,1-1 180,4-2 0,-1-1-45,-6 2 0,0-1-45,4 0 0,1 0 180,4 1 0,1 2-136,-7 3 1,-1 1 0,4 0 0,1 1 135,5 2 0,-1 0-45,-11 0 0,-1 0-90,1 0 0,-1 0 180,43-1-90,-28 0-91,-8-1 361,-13 0-90,-23 0 0,4-1-180,-10 1-1080,-1 0-6925,0-1 7825,-8-3 0,-1 3 0,-8-3 0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38.51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1264 109 10051,'-39'-26'4138,"-5"1"-3778,-20-1 179,-15 6-269,29 14 0,-3 2 0,-11 3 0,-3 2-1,-7 4 1,-3 3-45,-4 3 0,1 5 135,2 2 0,2 6-46,8 5 1,3 4-135,10 4 0,7 4 135,9 3 0,9 4-135,10 0 0,9 1-90,10 1 0,10 0 89,11-1 1,9-2-45,10-3 0,8-4-45,10-4 0,7-6-45,7-7 0,4-5 0,6-6 0,1-4-45,4-6 0,0-3 45,-1-3 0,0-3 0,-4-3 0,-2-2 45,-8-1 0,-3-2 179,-7-3 1,-3-2 315,-9-1 0,-3-2 584,24-29-359,-26-8-271,-33-5-269,-37-11-225,-3 32 0,-9 2-90,-14-5 0,-8 5-540,-19 1 1,-8 9-1095,21 14 0,-4 4 0,-1 5-1112,-1 6 1,-2 5-1,4 2 2791,-15 5 0,7 3 0,23-1 0,11 1 0,14 0 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0.3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23 16887,'6'29'1889,"9"6"-1349,11 1 0,16-11 449,13-25 630,6-27 540,-6-13-990,-13 0-539,-13 10-540,-11 19 0,-1 19-540,-5 24-4227,-3 21-900,0 13 5577,4-3 0,-6-25 0,2-13 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0.8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153 152 10861,'-1'-47'6026,"-4"6"-5126,-9 0-540,-11 18-180,-12 24-91,3 20-89,6 15 90,19 5-90,21-13 0,23-14 0,8-15 90,9-8-90,-9 8 0,-7 17 360,-5 19 450,-10 12-181,-13 3-179,-17-2-360,-16-9-2698,-7-12-4139,-1-17 6747,14-14 0,7-1 0,10-2 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1.00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 7 13919,'-7'-3'120,"3"-1"0,-1 7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1.885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7 0 13559,'-4'33'3688,"2"12"-2878,8 19-181,5 0-89,8-17 90,19-23 359,4-32 180,10-18 271,-8-11-1081,-17 11 1,-9 7-270,-8 32-3058,-9 27-2789,-2 25 5757,-2 7 0,-1-29 0,5-19 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2.2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89 112 7982,'3'-39'9535,"-5"3"-8456,-2-1-629,-22 38-270,2 43-180,-5 37-270,23 18 180,24-13 90,13-28 630,13-32 179,-8-29-179,-10-17-450,-27-2-1349,-26 10-4408,-14 19 5577,8 7 0,12 1 0,17-9 0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42.65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214 192 10231,'23'-67'8635,"-8"8"-7915,-8 13-270,-24 26-360,-4 35-90,-10 18-90,12 3 90,9-2 269,18-23-89,-1-7 0,8-9-90,4 4 0,1 18 180,5 19 0,-11 21-450,-25 15-2609,-31 6-2607,-28-8 5396,-2-19 0,24-24 0,23-18 0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50.968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45 7533,'3'-15'5217,"0"0"-3148,1 1-1440,2 13 720,7 34-269,6 44-811,-6-13 1,0 8-90,2 19 0,-1 7-224,-4-24 1,-1 3 0,-1 0 73,1 6 0,-1 1 0,-1-1-30,-1-4 0,0-1 0,-1-2-45,0 24 0,-1-6 90,-1-21 0,-1-8-45,0 12-90,-3-54 90,-3-71 0,0-7 0,-2-9 0,-1-22 0,-1-6 0,0-3 0,-1 1 45,1 9 0,0 6-90,2 17 0,0 14 405,1 27 310,10 84-625,3 13 0,1 13-15,-1-16 0,2 5 0,-1 0-97,2 5 0,0 1 0,0-2 67,-2-10 0,2-1 0,-2-4 0,4 15 0,-1-9 90,3 8-180,-6-81 90,-13-87 0,-1 5 0,-2-10 0,1 19 0,-1-3 0,0 1 0,0 4 0,0 0 0,1 4 0,-2-19 0,0 9 0,-2-6 381,0 85-291,6 87-90,2-3 0,3 12 29,1-9 1,3 6 0,-1 1-309,1 1 0,0 0 0,-1 2 279,0-19 0,-1 1 0,1-1 0,-1-3 0,0 10 0,-1-4 0,0-4-45,-1 21 0,-1-11 45,-2 9 0,-5-120 0,0-44 0,0-20 0,-1 10 0,1-5 0,-1-2-15,0-4 1,0-2-1,0 4 105,0 12 0,1 3 0,0 6 320,1-6 0,-1 31-230,1 56-180,7 44 0,4 23 30,0 0 0,0 10 0,1 3-259,0-17 0,0 4 0,1 0 0,0 1 229,0 3 0,0 2 0,1-1 0,-1-4 0,1 7 0,0-3 0,0-2-60,-1-4 0,0-2 0,-1-9-345,-1-10 0,-1-8 534,-3 17-264,-12-115 1,-5-33 134,0-8 0,-2-6 29,4 14 1,-1-3 0,1 1 90,1 6 0,0 2 0,2 10-30,-4-27 0,0 59 0,16 74 0,7 35-60,-2-9 0,1 7 0,0 3 158,2 8 1,1 2 0,-1 4-189,0-7 0,0 4 0,0 0 0,-1-5-30,-1 4 0,0-4 0,-1-2 30,0-1 0,-1-2 0,0-6-135,0 9 1,0-17 44,-1-26 0,-16-131 120,4 27 0,-1-9 0,-1-1-30,0-1 0,0 0 0,0-1 119,-2-5 1,1-1 0,1 10-30,2 12 0,1 13 90,4 13-90,17 105-60,-1-4 0,3 15 0,-1 0-30,0-10 0,-1-1 0,1 4-23,0 0 1,1 5-1,1-1 1,-1-6-218,0-3 0,-1-6 1,-1-2-121,5 15 0,-2-7 411,-2-7 0,-6-29-321,-22-103 270,2 1 0,-2-11 120,1 1 0,-1-6 0,1 1 269,0 6 1,1 1 0,2 5-120,-1-6 0,3 14 90,4 20-90,18 110-135,1 5 0,3 13-135,-4-18 0,1 4 0,1 1 0,1 9 0,1 2 0,0-3-30,-3-9 0,0-2 0,-1-4-150,2 10 0,-1-11 90,-1-8 90,-31-149 0,4 31 0,-1-8 0,0-1 30,-1-5 0,-1-1 0,0 1 0,1 4 0,0 0 0,2 12 60,-6-18 0,19 102 0,11 69-135,-1-21 0,2 4-135,1 3 0,-1-2-765,-1-8 1,-3-5-2474,3 29-2249,-11-31 5667,-6-32 0,1-12 0,0-13 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56.70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1 10231,'1'8'7556,"2"4"-7286,2 49-180,6 4-90,4 15 90,1-10 179,-5-26 1,-9-35 630,-6-38-1,-4-28-179,0-4-270,2 3-360,-1 36-90,2 14 0,1 46-270,9 4 540,3 12 1169,6-39-270,-7-27-899,-5-26-2699,-5 2-2518,-11 18 4947,1 42 0,2-13 0,2 18 0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57.48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64 0 10051,'-11'1'4768,"5"5"-4409,4 6 1,10 15-180,11 7-90,12 15-90,9 6 0,-1 0 810,-9-7-361,-21-8-89,-24-12-450,-17-10-1349,-23-13-900,11-16 540,-1-18 1080,23-17 1078,15-10 721,12-4 179,11 3-179,3 15-271,12 12-449,10 29-180,4 23-90,6 28 0,-3 12-270,6-3 90,6-20 989,4-34 1530,-8-34-810,-30-24-1079,-45-3-2609,-44 21-5037,-25 35 7106,17 22 0,27 1 0,29-8 0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4:59.3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0 12120,'5'12'5487,"1"7"-7016,4 54-1439,0-4 2968,1 27 0,-6-50 0,-1-7 0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00.43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25 22 9871,'-14'-17'5757,"3"13"-5217,15 28-270,11 14-180,19 11 89,13-20 91,9-28 1169,-1-25 181,-7-14-1171,-18 6-269,-5 25-719,-16 35-2520,5 28-3057,4 20 6116,2-18 0,-4-20 0,-5-25 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00.784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161 190 9062,'-1'-42'7016,"-7"0"-5937,-7-13-719,-1 21-630,-2 18-449,14 29-271,8 14 450,15 15 361,7-1 718,-1-6 451,-3 1 179,-14-1-449,-14 8-451,-20-5-1528,-20-6-5127,-6-13 6386,12-12 0,15-4 0,18-5 0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0.8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181 14 11670,'-4'-10'4768,"-10"7"-3689,-20 17-359,-6 19-181,14 21-179,49 18-315,15-31 0,10-4 45,4 1 0,4-2 270,0-4 0,-4 0 629,7 19-269,-57-6-361,-56 1-404,9-24 0,-4-4-1124,-4-1 0,0-5-3239,-39-4-3777,33-29 8185,29-1 0,17-2 0,12 16 0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1.23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1 235 9152,'3'-27'9264,"2"11"-8274,23-5-450,26 13-1530,37-4 180,-35 4 1,2-1 359,1-3 1,0-2 449,-8 0 0,-3-2 1529,22-13 3778,-27-1-2879,-27 11-1618,-4 19-1,-3 29-1348,8 44-1755,-5-23 0,0 3-674,1 5 0,-1 1 2968,-1-2 0,-1-5 0,1 9 0,-6-23 0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2.3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1602 123 11400,'-1'-19'4588,"-35"-11"-3958,-34 9-316,19 7 1,-8 0 269,-34 1 1,-8 5-90,6 4 0,-2 4-376,23 1 1,-3 2-1,-1 5 91,-7 9 0,-1 6 0,5 6-241,14 0 1,3 5-1,3 3 91,-5 2 0,2 4 0,8 6-53,11 9 0,7 5 0,10 2 38,8 20 0,14 2-45,4 7 0,16 2 30,18-23 0,14 0 0,7-7-30,5-13 0,8-6 0,3-3-138,4 4 1,4-2 0,7-12 92,-1-18 0,6-10 0,2-7 1,-5-6-227,7-10 0,-5-8 1,1-6 270,-13 5 0,2-3 0,-2-4 0,-6-4 0,12-21 0,-8-7 0,-7 0 29,-20 13 1,-6 0 0,-2-3 305,2-12 0,-3-5 0,-8 1 204,-9-24 1,-14 1-360,-7 8 0,-17 5-90,-30 0 0,-24 15-480,-7 37 0,-14 14 1,0 6-689,6 2 1,0 6 0,-4 6-160,3 8 0,-5 6 1,1 4-1,7 4 1237,-1 11 0,6 4 0,5 0 0,-14 8 0,9 1 0,24-6 0,0 1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4.117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 71 10411,'-5'8'4947,"2"17"-4497,9 27-270,18 7-90,27-13 90,26-33 719,19-40-135,-49 2 1,-3-4 225,28-31-91,-23 1-539,-22 18-270,-8 9 0,12 36-90,7 46 0,16 31 0,-18-16 0,-3 3 90,-8-13 0,-4 0 0,1 1 0,-9-1 90,-28 41-1260,-33-33-1079,-24-3-4946,-21-30 7105,36-21 0,10-5 0,36-7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4.5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489 180 10681,'-39'-81'7196,"-8"19"-6387,-42 25-719,21 40-450,5 36-899,65 29 720,24-9 269,42-4 270,10-38 270,-9-7 269,6 2 271,-22 33-91,-17 12-179,-23-9 0,-12 5-271,-23 8 1,-12 0-630,-3-3 1,-8-2-931,-2-10 1,-7 0 0,-1-6 1289,-18 1 0,2-7 0,19-7 0,5-3 0,-19-3 0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6.43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121 50 8342,'-1'11'3328,"-4"24"-2878,-5 35-360,-8 23 90,-4-2-90,1-9 90,5-21 270,5-23-271,3-25 1,5-16 270,4-42 180,10-18 89,10-31-89,3 4-180,0 11-1,-8 24-359,-3 7-90,-7 22 0,-7 8 0,-12 26 0,-11 15 0,-3 8 0,2-2 0,10-12-90,2-11 90,9-15 540,5-28-360,1 11-90,4-12 0,3 20-90,10 10-270,7 9-2428,17 38-2070,-6 14 4768,-2 5 0,-15-21 0,-13-22 0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6.80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57 37 10231,'-26'3'5487,"3"0"-5307,15 5 90,10 4-180,14 7 0,13-6-90,13-13-90,12-18-1619,-10-4-3238,1-5 4947,-24 12 0,-6 7 0,-11 4 0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19.7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230 1 8432,'-6'10'7646,"2"-2"-6387,-9 78-360,5-27 1,0 9 0,0 4-511,-2 12 1,1 4 0,0 9-522,1-14 0,1 6 1,-1 4-1,1 3 0,2-1 431,1-8 1,1 2 0,1 0 0,0 1 0,0 0 0,0-1-367,0-4 0,0-1 0,1 0 1,-1 0-1,1 1 0,-1 2 131,1-3 0,1 1 1,-1 2-1,1 0 0,0-1 1,-1-1-1,0-2-34,-1 4 0,-1-1 0,1-2 0,-1-1 0,0-1 0,0-2-102,1 2 0,-1-2 0,0-1 0,0-1 0,-1 0-738,-2 22 1,0 2-1,0-5 1,0-11-3644,-2 16 1,1-13 4452,1-20 0,0-8 0,-2 7 0,7-62 0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0.5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186 67 7353,'-15'-29'7196,"-1"7"-5217,-11 6-1350,-2 30 630,10 35-629,24 40-450,14-31 0,7 3-90,6 5 0,5 1-90,1 0 0,0-1 449,-6-8 1,-5-4-180,3 15 0,-33-13-450,-45-44-2159,-26-12-989,-11-25 3328,40-6 0,6-3 0,1 4 0,6-16 0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0.90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0 302 8702,'43'-79'6926,"4"17"-6881,-1 40 0,4 7-45,28-13 764,-31 8 1,-1 0 944,12-10-629,-11 4-181,-22 33-269,-18 35-271,3 46-719,-7-28 1,-1 6-1800,0 8 0,0 2 2159,-1 3 0,-1-4 0,0 14 0,-1-25 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1.5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297 10 12210,'-51'-9'5757,"-2"22"-5577,-4 30 89,27 29 1,43 27-270,18-18 135,-4-35 0,3-3 1934,11 19-360,-13-11-989,-22-6-540,-29-19-3059,-29-11-2158,-17-19 5037,-1-24 0,27 12 0,18-9 0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1.933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 72 8702,'27'-29'7736,"8"2"-6567,10 11-539,-3 38-271,-11 51-314,-17-9 0,-1 3-45,-2-7 0,1-2-45,4 5 0,6-9 405,33-13 1169,5-49 0,3-61-1124,-39 21 0,-8-4-450,-5-3 0,-8 1-2384,-24-29-2068,-25 33 4497,-15 28 0,23 15 0,9 9 0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2.2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49 12 9781,'-10'-11'8276,"-2"14"-7287,9 36-539,-2 25-540,5-14 0,0 3-990,-1-2 1,0 1-810,-2 0 0,0-2 1889,-2 31 0,1-36 0,2-21 0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2.60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68 298 8432,'-7'-64'7376,"2"15"-6656,-1 8-361,-11 23-179,6 14 0,-10 7-180,21-4 90,5-3 720,25-19 269,6-12-359,-1 0-271,5 8-449,-14 34-1799,1 27-3058,-2 28 4857,-5 4 0,-7-24 0,-5-16 0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3.21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0 221 13919,'55'-3'3418,"41"-9"-3553,-21 0 0,7-3-989,10-5 0,3-4-1425,-29 5 0,0-2 1,-6 1 2548,2 0 0,-7 1 0,23-12 0,-67 27 0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3.466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97 0 11311,'-68'49'9534,"40"-11"-9264,76-9-720,21-26 0,11-8-1034,1 1 0,1-3-675,10-3 1,-4-2 2158,-30 2 0,-8 2 0,0 1 0,-29 3 0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4.250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367 321 7713,'-58'16'2608,"1"0"1,6-1-1,4 1-2428,-22 9-90,72-21 90,90-32-180,-30 9 0,9-3 0,-1 1-90,-3 1 0,0 1 0,1 0-90,5-2 0,1 0 0,-7 2 45,3 5 0,-26 0-134,-45 2 179,-59 16 0,-31 14 270,-2-3 0,-6 3-89,13 0 1,-3 2 0,6 0 178,-3 3 0,13-1-91,6 9-179,152-44 30,-26 2 0,10-2 0,2-2-120,10-2 0,3-2 1,-1 1-121,-3 1 0,-1 0 0,-8 1 75,5 1 0,-22 0 45,-42 2 90,-50 12 0,-28 8 0,-5 2 0,-9 2 0,-1 2 60,4 0 0,-1 1 0,2 0 148,2 0 0,1 1 0,9-3-208,-28 4 0,139-41 0,30-5 0,15-2 60,-26 8 0,2 1 0,0-1 60,2 0 0,1 1 0,-11 0-30,22-18 0,-134 23 90,-19 15 0,-16 7-31,9 1 1,-5 3 0,0 2-30,0 0 0,0 2 0,6 0-30,-13 4 0,20-4-90,38-8 90,75-12 0,33-5 180,15-3 0,4 0-136,-2 3 1,-4 3-135,-23 3 0,-16 10-1349,-36 19-1979,-73 23 3328,11-14 0,0-2 0,-22 9 0,20-7 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8.89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41 274 9602,'-1'-15'9174,"-5"12"-7735,1 11-989,-8 43-90,3 30-270,7-24 0,1 2-90,3 3 0,2-2 0,3-8 0,2-5 0,11 8-90,-1-68 90,-7-35 0,-6-15 0,2 1 0,-1-4 45,0-24 0,1 0 180,-2 25 0,0 7 224,5-27-359,6 42 90,15 59-270,14 13-270,21 10 181,9-28-1,8-41 450,-9-27 89,-14-8-89,-26 18-180,-30 52-180,-10 42-1349,-3 46 359,12-34 1,6 0 359,4-4 1,7-6 179,33 20 1350,7-54 539,-5-43-269,-13-14-451,-14 3-629,-16 29-180,-7 16-719,3 35 89,4-3 720,10 2 180,3-32 540,-8-42-540,-16-22 0,-18-15-360,-13 18 270,3 25-90,13 23 0,21 30 180,12 5 180,11 4 0,7-9-90,3-4-180,-1 10-180,-8 15 0,-15 4 630,-11 4-181,-10-32-89,2-31 0,9-48-1349,26-35-4048,6 16-1979,4 18 7196,-14 47 0,-20 13 0,-2 3 0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9.299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29 45 12480,'-23'-27'9534,"17"11"-10163,36 15-2250,43 13 765,-21-4 1,4 0 1168,0-4 1,1-1 3013,39-9 4047,-32-8-5666,-39 9-90,-17 2 269,-43 39-3867,-4 8-3148,-14 18 6386,13-9 0,21-25 0,12-15 0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29.68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59 125 12570,'5'-30'7825,"8"25"-8184,5 15-181,13 14 630,8-12 539,1-25 721,-9-22-721,-19-12 451,-27 9-181,-35 36-449,-24 49-495,36 1 0,6 6-855,7-4 1,11 1-2429,21 6 0,13-7-270,33-13 3598,-1-30 0,2-11 0,7-17 0,10-18 0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40.282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1933 176 11670,'-22'-35'3958,"-14"-1"-3868,-35-5 0,16 20 0,-6 5-45,-24 0 0,-11 7-474,7 7 1,-6 6-1,-4 5 496,17 2 1,-1 3 0,-2 4-1,-1 3 77,11 1 0,-3 2 0,1 2 0,2 3 0,2 2 103,-8 8 0,3 3 1,3 3-1,9 3-37,-6 11 0,9 4 0,18 5-63,23 0 0,15 4 0,16-4-87,20-2 0,19-4 0,7-3 0,16 3 0,9-5 0,5-6-187,-19-16 0,1-4 0,4-4 0,3-5 104,14-4 1,5-7-1,2-6 1,-3-4-157,-9-5 0,-1-5 0,-1-4 1,2-3 245,11-5 0,2-5 1,-1-4-1,-6-4 0,-14 1 1,-4-4 0,-3-3-1,-7-1 252,6-10 1,-6-3-1,-19-6-319,-16-36 0,-35-1-120,-26 33 0,-19 4 1,-11 6-315,-1 10 0,-9 4 0,-6 5 0,-4 5 164,7 9 0,-5 4 0,-3 4 0,-1 5 0,1 4-324,-3 4 1,-1 6-1,0 4 1,2 3-1,2 3-1250,-10 8 0,1 6 0,5 2 0,7 0 1844,2 0 0,7 1 0,10 2 0,2 12 0,17-3 0,26-10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3:58.271"/>
    </inkml:context>
    <inkml:brush xml:id="br0">
      <inkml:brushProperty name="width" value="0.04286" units="cm"/>
      <inkml:brushProperty name="height" value="0.04286" units="cm"/>
      <inkml:brushProperty name="color" value="#008C3A"/>
    </inkml:brush>
  </inkml:definitions>
  <inkml:trace contextRef="#ctx0" brushRef="#br0">4 1269 9242,'-2'10'6926,"0"6"-5757,3 60-630,3-18 1,1 7-135,3 25 0,3 10-195,0-9 0,2 6 0,0 2-404,-2-19 1,1 1 0,0 1-1,1 1 239,2 9 0,0 3 0,1 0 0,-1-2-23,-1-6 1,1 0 0,-1-2-1,0 0-22,0-3 0,-1-1 0,0-1 0,-1-2-106,2 20 1,0-3 0,-2 0 105,0-1 0,-1-1 0,-1 0 0,0-2 0,-1 0 0,0 0 0,0-2 0,0 0 0,-1-2 0,0-4 0,-1-1 0,0-2 14,0-7 1,-1-1 0,1-1-60,2 27 0,0-3 90,-1-10 0,-1-2-45,1-6 0,-1 0 0,0-5 0,-1-1 402,1-2 0,1-2-402,-2-8 0,1-1 319,2 10 0,0-2-139,6 32-64,-7-45 1,-1-2-27,4 14 0,-4-12 0,-3-23 0,0-3 270,-2-10 269,0-2 1,-1 0-450,-2-1-180,-1 0 90,3 7-90,2 2 0,4 12 0,1 2 90,-1 3-90,-1-3 180,-1-9 0,12-13-91,13-19-89,25-10-89,36-14 44,-32 14 0,6 2-45,11 0 0,5 2 0,7 3 0,4 3-65,-26 3 1,1 0-1,3 1 724,10 1 1,3 0 0,4 0-858,-3-2 0,4-1 1,2 0-1,4 0 180,-8 1 0,2-1 0,2-1 0,3 1 1,2 0-256,-1 0 0,2-1 1,2 1-1,1 0 0,2 0 1,-1 0 310,-9 2 1,1 0-1,1 0 1,1 1 0,-1 0-1,0 0 1,0 0-158,-1 0 0,-1 0 0,1 0 0,-1 1 0,0 0 0,-1 0 0,-1 0 254,9 0 0,-3 2 0,0-1 0,0 0 0,1 0 0,2 0-7,-3-2 1,1 1-1,2-1 1,0-1-1,0 1 1,-1-1 0,-2 1-1,-8-1 1,-2-1-1,-1 1 1,0-1-1,0 1 1,3-1-1,1 1-27,2-1 0,3 1 1,2-1-1,1 0 0,0 1 1,-1-1-1,-1 1 0,-2-1-11,3 1 0,-1 0 0,-1 0 0,-1 0 0,-1 0 0,2 1 0,0-1 0,3 2 0,0-1 0,1 1 0,0-1 0,0 1 0,-2 0 0,-1 0-128,7 1 1,-2-1 0,0 1 0,-2-1 0,2 1 0,0-1 139,-9 0 1,0 0 0,0 0 0,1 0 0,0 0 0,0-1 0,-1 1-26,0-1 0,0 0 0,1 0 0,-1-1 1,0 1-1,-1-1 0,0 1 13,10-1 0,-2 0 0,0-1 0,1 1 0,1-1 0,2 0 0,-4-1 0,2 1 0,2-1 0,0-1 0,0 1 0,-2-1 0,-2 0 0,3 0 0,-2-1 0,-2 0 0,0 0 0,0 0 0,0-1 45,-1 0 0,1 0 0,0 0 0,-1-1 0,0 0 0,-1-1 45,-3 0 0,-1-1 0,0 0 0,0-1 0,0 0 0,-1 0-1,-1 0 1,1 0 0,-1-1 0,-1 0 0,0 0 0,-1 1-72,8-2 0,-2 0 0,-1 0 0,1 0 0,1 0-48,-9 1 0,1 1 0,1-1 0,-1 0 0,-2 1 0,-4 0-817,15-1 1,-4 1 0,-4 0 0,-1 0-953,16-1 0,-4 1 0,-5-1 1799,-17 2 0,-4 1 0,-12 0 0,14-1 0,-40 2 0</inkml:trace>
  <inkml:trace contextRef="#ctx0" brushRef="#br0" timeOffset="2833">5819 242 11760,'4'46'-4587,"3"18"4587,2-10 0,-2-6 0,-5-36 0</inkml:trace>
  <inkml:trace contextRef="#ctx0" brushRef="#br0" timeOffset="2966">5911 832 8702,'2'17'720,"-1"-1"-2969,0 3 2249,-1-1 0,1-6 0,-1-3 0</inkml:trace>
  <inkml:trace contextRef="#ctx0" brushRef="#br0" timeOffset="3099">5967 1225 8072,'-3'24'1889,"-1"0"-1889,2 8 0,-1-16 0,3 0 0</inkml:trace>
  <inkml:trace contextRef="#ctx0" brushRef="#br0" timeOffset="3232">6003 1704 7982,'-3'24'1530,"1"3"-3329,2 12 1799,2-5 0,1-9 0,-1-13 0</inkml:trace>
  <inkml:trace contextRef="#ctx0" brushRef="#br0" timeOffset="4316">6898 1 12750,'6'34'-1799,"-1"32"1799,-2-17 0,-1 3 0,2 41 0,2-3 0</inkml:trace>
  <inkml:trace contextRef="#ctx0" brushRef="#br0" timeOffset="4466">7003 1184 7623,'-12'65'3058,"3"3"-6566,4 21 3508,4-29 0,6-16 0,-4-33 0</inkml:trace>
  <inkml:trace contextRef="#ctx0" brushRef="#br0" timeOffset="4599">7031 2113 7263,'-2'71'2698,"3"10"-4092,1-26 0,0 0 1394,2 20 0,0-17 0,-3-45 0</inkml:trace>
  <inkml:trace contextRef="#ctx0" brushRef="#br0" timeOffset="3549">6204 3509 7803,'-2'53'494,"-1"0"1,-1 41-495,3-36 0,1-4 0,0-4 0,1 3 0</inkml:trace>
  <inkml:trace contextRef="#ctx0" brushRef="#br0" timeOffset="3632">6258 4351 6903,'11'88'2519,"-1"-4"-2519,0 5 0,-5-43 0,-1-5 0</inkml:trace>
  <inkml:trace contextRef="#ctx0" brushRef="#br0" timeOffset="4732">7109 3292 6633,'10'88'629,"-3"-36"1,1 1-630,1 8 0,1 0 0,6 35 0,-2-21 0</inkml:trace>
  <inkml:trace contextRef="#ctx0" brushRef="#br0" timeOffset="4882">7339 4795 6363,'-3'43'30,"2"-26"0,-3 14 0</inkml:trace>
  <inkml:trace contextRef="#ctx0" brushRef="#br0" timeOffset="6105">6035 452 6094,'0'0'0</inkml:trace>
  <inkml:trace contextRef="#ctx0" brushRef="#br0" timeOffset="6416">6646 325 6094,'0'0'0</inkml:trace>
  <inkml:trace contextRef="#ctx0" brushRef="#br0" timeOffset="6616">6131 466 8162,'-28'2'0,"5"0"0,12-2 0,4 0 0</inkml:trace>
  <inkml:trace contextRef="#ctx0" brushRef="#br0" timeOffset="6782">6265 460 10501,'10'-12'-608,"11"-2"1,-9 7 0,6 1 0</inkml:trace>
  <inkml:trace contextRef="#ctx0" brushRef="#br0" timeOffset="6932">6663 425 9781,'-42'1'-1349,"9"-2"1349,7 0 0,16 1 0,4-2 0</inkml:trace>
  <inkml:trace contextRef="#ctx0" brushRef="#br0" timeOffset="7049">6090 586 5756,'-25'5'-4,"12"-2"0,3 0 1</inkml:trace>
  <inkml:trace contextRef="#ctx0" brushRef="#br0" timeOffset="7176">5801 710 8432,'-15'5'0,"3"-1"0</inkml:trace>
  <inkml:trace contextRef="#ctx0" brushRef="#br0" timeOffset="9549">10572 1680 8702,'-2'-52'8725,"1"15"-7556,4 26 1080,11 57-1125,2 25 1,1 17-646,-2-4 1,1 9 0,1 6-734,-2-7 0,2 5 0,-1 2 1,1 2 324,-3-15 1,1 2 0,-1 1 0,1 0 0,0-1-36,1 0 0,0 1 0,0-1 0,0-1 0,0 0-54,-1-3 0,1 0 0,-1-1 0,1-1 0,-2-2-323,3 12 0,0-2 0,-1-2 0,-1-1-289,-1-6 0,-1-1 1,-1-2-1,-1-3-550,2 11 0,-2-3 0,0-5-1294,2 18 1,-2-9 2473,-3-25 0,-1-9 0,0 1 0,-5-39 0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47.648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722 4887 9152,'-21'-11'4947,"-5"-2"-4227,-12-2-631,-10 2 271,-8 4 90,-12 8 0,-11 12 89,-9 15-314,41-5 0,2 5-45,0 6 0,4 4 45,4 4 0,5 3 44,7 1 1,7 2 180,10 50-180,41-2-225,1-48 0,10-5-45,12-4 0,8-6 0,11-9 0,3-9 0,3-8 0,0-8 45,-4-7 0,-3-7 225,-10-5 0,-6-5 179,-12 1 1,-6-5 539,-4-11 1,-7-5 449,-1-35-899,-13-11-180,-45 2-720,-30 34-450,19 29 1,-7 9-1395,-29 19 0,-3 14-45,17 4 1,2 5-1305,-7 5 0,7 2 3553,2 13 0,43-22 0,14-16 0</inkml:trace>
  <inkml:trace contextRef="#ctx0" brushRef="#br0" timeOffset="1850">969 1 13020,'-1'25'3328,"6"18"-2519,8 54-449,-4-35 0,1 2-1,1 9 1,-1 1-135,1 5 0,-1-1-135,-1-2 0,0-1 0,-1-4 0,1-3-90,0-3 0,-1-2 45,0-4 0,0-1 0,-2-4 0,1-2 45,1 45 0,-2-6 90,-4 0-180,-2 2 0,-2 3 90,2 4-45,0-50 0,1 1-45,1 3 0,1 0 0,2-1 0,-1 0 0,2 2 0,-1 0 0,2-2 0,0 0 44,-1-2 1,1 0-45,0-1 0,-1 1 0,0-1 0,-1 1 0,0 0 0,-1 1 0,-1 1 0,0-1 0,-1 1 0,-1-1 0,0-1 0,0-1 0,-1 1 0,-1-1 0,-1 50 0,1-1 0,1 0 0,2-48 0,1 1 0,2 0 0,0 2 90,2-2 0,0 0 0,0 0 0,0-1 0,5 43 90,-3-3 180,-4-1-180,-2 5-90,-3-45 0,-1 1-45,-1 2 0,1 0 0,-1 0 0,0 1 0,1-2 0,1-1-315,0 42-2429,2-11-3957,-2-15 6656,0-23 0,-2-18 0,2-19 0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5:52.865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796 139 9152,'-14'-7'2428,"-19"-1"-2158,-11 6-90,-33 8-135,28 7 0,-3 3 135,-6 4 0,-1 3 90,2 0 0,2 0 539,-36 17-539,92-30-90,81-30-180,6-3 0,10-4 30,-27 6 0,2-1 0,-1 0 0,-3 2 0,-1 0 0,-3 1 374,9-4 1,-9 3 675,16-6-990,-57 17 90,-62 19-180,-10 6 0,-10 4 44,-18 8 1,-4 2-45,-6 4 0,1 0-45,13-4 1,7-2 133,-19 9 1,77-29 90,89-32-135,-3 0 0,10-3-45,-18 6 0,3 0 0,-1 1 30,-3 1 0,-1 0 0,-4 2 60,11-1 0,-12 3-90,-6 1 0,-92 20 0,-27 8 0,-14 5 0,7-2 0,-4 2 0,-2 1-75,-5 1 0,-1 2 0,2-1 75,8-2 0,2 0 0,5-2-45,-2 2 0,11-6 45,17-12 90,87-31-90,-8 7 0,8-2 45,31-11 0,3 0 135,-25 10 0,-3 2-135,3 1 0,-18 1-45,-42 5 0,-66 23 112,14 1 1,-8 4-113,-29 13 0,-2 3-45,21-5 0,2 0 45,-1 2 0,11-3 0,27-5 0,107-42 0,-6 5 0,12-4 30,-1 1 0,7-2 0,-3 1-224,-13 5 0,-2 0 0,-3 2 239,27-6 0,-14 4-45,-28 4-90,-112 25 90,9-1 0,-9 3 0,-15 6 0,-11 3 0,4 0-45,-7 3 0,2 1-15,15-4 0,0 1 0,11-2-210,-8 9 90,55-19 762,92-28-717,-12 0 0,3-2 0,-6 2 1,-1 1-406,4-2 0,-12 3 450,-27 8 0,-35 8 0,-36 8 180,-9 3-90,-12 6 90,-12 12-90,2 3 45,27-9 0,0 0 45,-26 17-90,18-10 450,9-4 90,29-16-91,-1-2 1,6-6-270,1-3-450,7-6-6926,6 1 7196,7-5 0,-2 8 0,0-1 0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15.280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23 2 5776,'-13'-1'0,"3"1"0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22.46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0 180 17247,'47'-3'3598,"34"14"-3478,-12 6 0,13 6 0,0 3-660,-2 2 0,0 3 1,2 1-361,9 3 1,2 2-1,-4 3-2338,-10 0 0,-4 3 0,-10-4 2548,-17-9 0,-6-3 0,31 27 0,-65-47 0</inkml:trace>
  <inkml:trace contextRef="#ctx0" brushRef="#br0" timeOffset="216">1037 121 9961,'-61'-73'7106,"8"26"-4227,-38 47-2385,38 50 1,2 21-585,10-14 0,0 4 0,-1 8-979,7-4 1,-1 7 0,0 4 0,1 0 0,2-4 33,0 2 1,2-2 0,0-1 0,0 3 1034,-6 12 0,0 3 0,0-2 0,6-10 0,-4 12 0,5-10 0,6-16 0,1 1 0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2.563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926 1020 10321,'-30'2'4318,"20"-1"-3059,50-3-810,24-2 1,12-1-315,3-1 0,7-1-285,5 0 1,10-2 0,-1 0 179,-3-1 0,1 0 0,-2 1-30,-5-1 0,0 1 0,-1 0 0,4-1 0,0 0 0,-6 2 45,13-1 0,-8 2 121,-14 1 1,-4 1 13,-2 2 0,-6 0 360,15 2-271,-1 1-89,-3-1-90,7-1 475,8 0-565,-41 2 0,1 0 0,4 1 0,0 1 0,3 0 0,0 0 0,0-1 0,1 1 0,-2-1 0,-1 0 0,0-1 0,-1 0 0,1 1 0,0-1 0,1-1 0,1 0 0,3 0 0,1 0 0,1 0 0,0 0 0,0 0 0,0 2 0,-1 0 0,-1 1 0,0 1 0,0 1 0,-1 1 0,0 0 45,1 0 0,0 1-45,0-1 0,1 1 0,0-1 0,0 0 0,1 0 0,-1-1 0,1 0 0,0-2 0,0 0 0,1-1 0,0 0 0,1-1 0,0 0 0,1 0 0,1 1 0,0-1 0,1 1 0,-1 0 0,1 0 0,-1 0 0,-1 1 0,0 0 0,-2 0 0,0 1 0,-1-1 0,0 0 0,-1-1 0,0-1 0,-2-1 0,0-1 0,-2-1 0,-1-2 0,-4 0 0,-1-2 0,-4-1 0,-2-2 90,39-15-90,-8-12 0,-9-13 0,-5-13 0,-7-10 0,-9 3 0,-8 3 90,-13 10 0,-14 4 90,-15 3-90,-12 3-90,-11 2 0,-11 1 0,-25-2 0,11 19 0,-7 3 0,-16-2 0,-7 2 0,-12 1 0,-4 3 0,-3 5 0,0 4-141,-1 4 0,0 5 111,31 3 0,0 3 0,-1-1 60,-5 2 0,-2 0 0,-1 1-60,-12 0 0,-2 1 0,0-1 30,0 0 0,0 0 0,-1 0 0,-4 0 0,-1-1 0,2-1-30,9 0 0,3-1 0,0 0 30,2-2 0,1 1 0,1-2 0,2-1 0,1 0 0,-1-1 0,-2 0 0,-1 0 0,-1 0-30,-1-1 0,0 1 0,1-1 30,3 2 0,1 0 0,1 1 0,5 0 0,1 1 0,1 1 0,-24 4 0,2 2 0,-1 4 0,0 2 0,27-3 0,0 1 0,-1 0 0,-5 1 0,-1 0 0,-1-1 0,-1 0 0,-1 0 0,1-2 0,3-1 0,1-1 0,1-1 30,2-1 0,0-2 0,0-1-75,-29-1 0,0-2 45,27-1 0,0 0 0,-1-1 0,-2 0 0,0 0 0,0 0 30,0 1 0,1 0 0,1 0-30,-29 2 0,3 0 0,13 1 0,4 1 0,6-1 0,2 0 0,5-2 0,1 0 0,0-1 0,-1-1 0,0-1 0,0 0 0,5 0 0,0-1 0,-10-1 0,0-2 0,15 1 0,2-1 141,-6-2 0,1 0-141,-26-7 0,25 3-90,7 9 90,5 19 270,3 25-90,4 23-135,22-5 0,7 6 134,6-2 1,7 2-45,1 7 0,11 0-90,26 0 0,16-10-405,6-19 1,8-8-946,13-1 1,7-8 1304,-10-18 0,3-7 0,-7-1 0,-10-1 0,-3-2 0,19-3 0,-1 0 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4.62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507 126 9062,'6'-53'9830,"-16"9"-7877,-29 16-1323,-40 49-46,26 8 1,0 10 179,-4 11 1,2 4 134,5 2 1,7 1-46,11-7 1,7-1 135,9 30-990,46-18-2159,44-17-1439,-16-24 0,6-4-315,11-1 0,2-2 3913,-7-2 0,-2-1 0,-9-1 0,-4-2 0,22 3 0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7.179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13 70 12840,'-7'-40'7555,"2"13"-7375,36 25-180,41 48-90,-12-4 0,4 7 90,6 11 0,-4 3 0,-10-3 0,-10 2-225,-18-6 1,-16-1-1081,-26-3 1,-14-3-1754,-7-3 0,-6-3 3058,0-6 0,3-4 0,-10 7 0,35-26 0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8.06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63 1 10771,'-16'-1'7016,"-2"29"-6297,-2 40-899,13-18 1,5 3-991,5 6 1,5-1-540,3-5 0,4-4-1079,17 20 2788,-8-40 1709,-10-54 179,-13-25-718,-3-27-451,4 3-359,18 5-270,15 13 0,35 17 0,-1 33 180,10 20 0,-6 33-90,-20-1-180,-5 1 449,-16-12 181,-11-11-450,-1-2-1170,-5 14-898,-6 5 1888,3 37 0,-10-40 0,4 10 0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6.74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0 159 19136,'2'21'1619,"-2"-4"-719,1 45-631,-2-12 1,0 36 90,2-31-270,6-29 720,11-57-91,-1-16 1,1-7-91,-1 2 1,0-2-91,5-14 1,-1 5-270,1-1-270,8 22-2158,1 58-4319,26 58 4363,-30-32 1,-1 3 2113,6 15 0,-3-4 0,-3-4 0,-8-10 0</inkml:trace>
  <inkml:trace contextRef="#ctx0" brushRef="#br0" timeOffset="133">413 489 7623,'-46'-17'8545,"8"2"-6926,-23-10-2339,53 2-3327,76-7 4047,8 10 0,10 3 0,-4 1 0,1 1 0,13 0 0,0 0 0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5.096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43 35 11490,'-17'-29'9830,"-3"23"-4908,14 59-3843,9 40-1529,2-35 1,3 4-2655,5 16 1,2 0 315,-3-19 0,0-3 2788,1 2 0,-2-7 0,0-2 0,-5-29 0</inkml:trace>
  <inkml:trace contextRef="#ctx0" brushRef="#br0" timeOffset="600">125 687 9961,'-4'-41'7376,"-4"-18"-6027,7-3-1079,7-6-180,38-2-450,8 15 360,16-9 1080,-14 13 359,-18 13-809,-13 11 719,-7 16-1079,-9 26-90,1 31-91,-3 36-89,0-5-269,6 0-1,5-40 180,7-35 90,16-26 90,4-15 0,4 3 0,3 23-90,5 34 0,-3 12-360,4 25-450,-15-10 720,-11-31 90,-9-28 0,2-41-629,25-22-1170,1 16-1889,25 0-5127,-9 35 8815,-17 8 0,-11 11 0,-27 5 0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33.712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198 66 13020,'-18'16'2968,"-34"58"-2608,12 4-270,8-11 0,4 3-45,14-19 0,6-2 674,2 33-359,15-57 1349,2-77-630,-5-35-135,-4 14 1,-1-3-1,0 15 1,1 2-495,-2 4 0,3 4 89,8-13-179,18 72-810,10 28-1529,-7 9 1,2 6-361,-2-2 0,-1 0-2563,2 1 0,-2-4 4902,10 14 0,-18-26 0,-20-28 0</inkml:trace>
  <inkml:trace contextRef="#ctx0" brushRef="#br0" timeOffset="167">245 426 7982,'-46'-13'9265,"8"2"-10344,11-1-990,47 1 2069,58-5 0,-6 4 0,19-4 0</inkml:trace>
  <inkml:trace contextRef="#ctx0" brushRef="#br0" timeOffset="567">872 365 8432,'-25'-5'8365,"-3"-1"-6746,0-1-1079,36 11-270,15 13-180,32 13 630,-3 0-91,-1-17 1,-6-28-180,-7-26-181,-9-13-2517,-8 3-271,0 26 2519,12 28 0,-16 5 0,7 9 0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51.91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2486 985 10501,'-10'5'5037,"16"6"-3868,31 6-629,46-2-405,-16-11 0,7-5-90,13-4 0,4-5 0,5-2 0,-1-4-45,-5-1 0,-3-2 90,-15 1 0,-5 1 45,-10 2 0,-4 2 134,35-2-179,-6 12 0,14 6-90,-39-2 0,2-2 45,9-3 0,1-3-45,4-4 0,-1-2 0,-2-3 0,-3-3 45,-5-1 0,-2-2-45,-8 2 0,-3 0 0,36-15 0,-11 10 0,-18 12 0,-2 7 90,-5-1-90,0-9 0,-2-22 90,-13-18 45,-21 5 0,-6-3 405,-14-48-450,-8 40 0,-11 3-45,-16 11 0,-10 7 0,-17 5 0,-9 9-45,-3 5 0,-6 7 0,5 7 0,-6 4 0,0 3-154,5 2 1,0 3 0,-3 1 153,-11 1 0,-4 1 0,3 0 0,7 2 0,1 0 0,4-1 0,11-2 0,2-1 0,4-1 0,-16-1 0,3-3 0,3-5 0,2-2 0,16 0 0,1 1 0,-4-1 0,-1 2-45,-5 1 0,3 3 45,14 1 0,1 2 230,-2 0 0,2 5-230,-33 36 90,37 10-90,20-5 0,6 7-45,12 7 0,6 2 90,2-1 0,5 1-90,8 11 0,10 0 45,13-4 0,8-5 0,-4-8 0,6-4 0,18 7 0,8-7-90,4-15 0,5-8-270,-1-3 0,2-4-360,-15-9 1,1-2-1,0-3-2473,23-1 0,-3-4 3193,-16-3 0,-4-1 0,-6-2 0,-7-2 0,8-7 0</inkml:trace>
  <inkml:trace contextRef="#ctx0" brushRef="#br0" timeOffset="2167">14 573 9152,'-10'-8'8455,"7"-3"-8005,12 0 1079,50-5-1259,-6 9 0,8 2-136,27-1 1,8 1-105,-24 2 0,4 0 0,-1 1-129,1-1 1,0 1-1,-3 0 99,23-2 0,-5-1-45,-3-1 0,-6-2 0,-27 1 0,-5 0 45,34-6 0,-36 0 0,-31 3 0,-8-8 296,-28-4-206,-5 1 270,-19-3 809,-3 6-539,8 6 270,-12 2-271,20 7-629,10 6 90,23 6-90,50 21-90,2 0 0,23 14 90,-28-5 0,-26-2-1889,-36 11-4407,-41 5 6296,0-4 0,9-12 0,28-22 0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6:58.528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224 90 10321,'-28'-45'7016,"-28"8"-6206,-2 30-451,-4 14-89,43 40-180,58 23-90,-6-26 0,6 2 0,21 16 0,2 1 90,-17-15 0,-2-1 315,2 1 0,-9 0 404,-17 22-539,-39-29-90,-42-4-720,-17-47-89,18-21 89,31-47 270,67-6 270,21 11 90,-14 41 0,5 7 540,41 9-450,-12 18-810,4 43-2698,-41 11-5667,-6 15 8995,-24-20 0,-8-26 0,-3-14 0</inkml:trace>
  <inkml:trace contextRef="#ctx0" brushRef="#br0" timeOffset="135">688 223 7803,'15'2'-240,"-6"-2"0,-3 3 0</inkml:trace>
  <inkml:trace contextRef="#ctx0" brushRef="#br0" timeOffset="416">944 271 14369,'8'1'3688,"0"5"-3598,-3 23-180,15 25-270,13 23 270,-10-24 0,0 4 135,0 2 0,-2 0 539,-4-2 1,-4 0 585,-8 39-721,-35-17-1978,-35-24-3778,-31-33 5307,44-29 0,2-6 0,-26-19 0,20-16 0</inkml:trace>
  <inkml:trace contextRef="#ctx0" brushRef="#br0" timeOffset="900">1659 339 9602,'-15'-17'9830,"31"0"-9496,49 2-1279,2 4 1,10 0 404,-13 3 0,4 1 1,0-2 239,2 0 0,-1-2 0,-2 0 255,17-4 0,-9-3 1305,16-21 898,-70 0-269,-48 2-1079,-18 10-360,2 11-450,36 31-180,32 15 180,19 30-90,-12 16-2069,-40 21-1529,-10-48 0,-5-2 3688,-24 29 0,14-31 0,23-32 0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7:02.477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213 882 12930,'10'11'2248,"-1"-3"-359,51-4-450,40-2-1079,-15-4 0,11-3-210,-8-2 0,5-1 0,2-2-433,2-2 0,2-2 1,-1-2 304,-22 4 1,1-2-1,-2 0 1,-3-2 37,8-4 0,-3-2 0,-7-3 278,8-11 0,-14-8-204,-21-4 1,-18-7-90,-22-8 0,-21-3-45,-30-10 0,-22 4-30,6 23 0,-9 5 0,-5 4-155,12 12 0,-5 3 0,-2 4 0,-2 4 185,-10 4 0,-4 4 0,0 6 0,3 4-23,7 3 1,1 5 0,2 4 0,0 3 22,2 4 0,1 3 0,2 4 0,6 4 158,-6 12 0,7 6 0,9 4-158,-6 28 0,20 7 0,27 2 0,27-1-150,18-33 0,15-3 0,6-7-600,9-6 1,8-7-1,6-7-673,1-9 0,8-7 0,1-4 0,-3-3 1423,8-5 0,-3-6 0,-2-2 0,-8 0 0,-2-1 0,-8-2 0,-6-3 0,0 0 0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7:01.694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1534 66 8162,'-70'-31'8725,"-6"8"-8680,22 15 0,-5 4 90,-9 5 0,-4 3-45,-23 9 0,-5 5-163,30-3 0,-2 3 1,-2 2 281,-12 8 1,-3 4 0,5 0 25,18-5 1,4 0-1,1 3 184,-5 8 1,2 3 0,11 2-60,12 5 0,13 4-180,7 8 0,19 1-90,37 4 0,25-6-30,6-18 0,13-7 0,2-4-354,1-3 0,3-4 1,7-5 315,-1-8 1,6-5-1,3-4 1,-2-7 21,-5-6 1,0-7 0,-2-3 0,-2 0 67,-10 3 1,-2-1 0,-1-2-1,-2-3 337,-1-3 1,1-3 0,-5-2 0,-12-3 510,4-22 1,-18-5-736,-16 5 0,-19-2-540,-36-11 0,-26 8-1125,-5 26 1,-14 8 0,-4 6 479,-6 0 1,-4 5 0,-4 6-452,13 7 1,-4 5-1,1 3 1,5 2 1410,-4 5 0,4 2 0,6 2 0,-5 1 0,10 1 0,3 3 0</inkml:trace>
  <inkml:trace contextRef="#ctx0" brushRef="#br0" timeOffset="2134">1796 400 10321,'4'-8'9265,"44"-21"-9040,-2 3 0,8-3-450,12-3 0,5-2-945,-6 6 1,4-1 0,-3 2-1620,8-1 1,-3 1 2407,0 1 1,-7 3 0,-9 5 0,-39 12 0</inkml:trace>
  <inkml:trace contextRef="#ctx0" brushRef="#br0" timeOffset="2483">2115 72 11580,'-22'-10'7016,"-5"10"-5666,-18 32-631,-14 22-584,22-18 0,1 2-90,-1 4 0,2 1 135,-7 28-180,28-15-1259,73-20-585,-6-29 0,9-6-855,13 0 1,1-1 2374,-3-3 0,-6 1 0,10-1 1,-37 1-1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7:22.632"/>
    </inkml:context>
    <inkml:brush xml:id="br0">
      <inkml:brushProperty name="width" value="0.3" units="cm"/>
      <inkml:brushProperty name="height" value="0.6" units="cm"/>
      <inkml:brushProperty name="color" value="#FFFC00"/>
      <inkml:brushProperty name="tip" value="rectangle"/>
      <inkml:brushProperty name="rasterOp" value="maskPen"/>
    </inkml:brush>
  </inkml:definitions>
  <inkml:trace contextRef="#ctx0" brushRef="#br0">428 2287 10369,'-42'5'983,"15"-6"0,86-29 0,2-2-492,-4 4 1,4-2-1,-12 4 1,-1 1-1,1-2 1,-1 0-1,1 0 1,-2-1-1,-1 1 1,-2-1-1,0-1 1,0-1-1,0-2 1,0-2-280,0-2 0,-2-1-167,1-1 0,-2-1 0,-3 0 0,-1-1 45,-3 1 0,0-1 0,-2-1 0,0-1 0,0 0 0,0-1 0,1 1 0,0 1-45,-1 1 0,1 0-45,34-33 90,-1 4 90,3 4 0,-1 4-180,-3 6 180,-14 12 89,-1-4-179,-15 5 0,0-6-90,-3-10 180,-7 7 0,7-12-180,0 7 90,8-2-90,-5 13 180,26-19 0,-21 28 0,26-21-90,-7 19 0,-2 5 0,17 1-90,4 8 89,6 3-89,0 4 90,9 2-90,-24 6 0,27 0 180,0 7-180,-6 2 45,-33 3 0,1 2-45,-4 4 0,-2 1 0,34 9 45,-27-1 0,-1 4-45,32 17 0,-39-16 0,1 1 0,8 5 0,-1 1 0,-12-7 0,-2 0 45,3 1 0,-1-1-45,36 21 0,-5-3 0,-5-4 0,16 6 0,0-1 0,-7-2 0,-28-13 0,0 0 0,21 11 0,-25-13 0,2 1-45,-5-1 0,-1-1 45,39 22 0,-36-18 0,0 0 0,33 18 0,-36-21 0,0-1 0,41 20 0,-7-4 90,-7-5-90,-3 0 0,1-2 0,-2 3 0,-3 1-90,-5 3 180,-5 0-90,-4-2 0,-3-4-90,-5-4 180,-3-2-180,-2-1 90,-3-2 0,-3 0 0,-3-4 0,-10-6 90,1 0-90,-10-7 983,4 3-796,2-9-187,-5-1 0,8-4 0,-5 2 0,0 0 0,3 8 0,-3 5 0,3 10 89,-7 6 91,-3 5-90,-8 4 0,-4-3 0,-3-2 0,-13-1 90,-18-9 0,-49 1-180,12-12 0,-10-3 0,2 0 0,-8-1 0,-3 1 0,14-1 0,-3 0 0,-3 1 0,-1 0-18,10-1 0,-3 0 0,0 0 0,-1 1 0,0 0-18,-1 1 0,0 1 0,-1 0 0,0 0 0,0 1-18,-1 0 0,-1 1 0,0 0 0,0 0 0,-1 1-54,-1 1 0,0 0 0,0 0 0,0 0 1,0 1 71,0-1 0,1 0 0,0 1 0,0-1 0,1 0 18,3-1 0,0 1 0,1-2 0,0 1 0,3-2-5,-12 2 1,2-1-1,2-1 1,1-1 22,4-1 0,2-2 0,1 0 0,2-1 0,-16 1 0,3-2 0,1-1-30,2-2 0,0 0 0,3 0 30,6-1 0,2-1 0,1 0 0,5-1 0,1 0 0,1 0-45,-19-1 0,4 0 45,13 1 0,2 0 0,0 1 0,2 2 0,-27 4-90,2 4 0,36-1 270,38-11-135,69-18 0,42-9-75,-25 9 0,6-2 0,7-1 30,-8 2 0,6-1 0,4-1 0,1-1 0,-1 1 0,3 0 0,0 0 0,1 0 0,1 0 0,0-1 0,1 0 0,2-1 0,0 1 0,-1-1 0,-1-1-18,-4 2 0,0-1 0,-1-1 0,-2 1 0,-3 0 18,6-2 0,-3-1 0,-3 1 0,-4 0 30,5-2 0,-5 0 0,-11 0 15,-2-3 0,-24-1-45,-52-16 0,-57 28 0,-28 13-30,17 3 0,-7 5 0,-12 5 15,16 2 0,-11 3 0,-5 3 0,-2 2 0,1 0 0,6 0-3,0 1 0,2 1 0,3 1 0,-1 1 0,-3 0 3,6 0 0,-4 1 0,-1 0 0,2 1 0,5 1 0,7-2-45,-27 12 0,9-1 0,16 0 15,14-3 0,24 0-45,40 3 90,43-29 0,35-18 0,16-10 0,-3 2-18,-11 1 0,3-3 0,3-3 0,1 0 0,1-1 18,-6 4 0,1-1 0,2-1 0,0 0 0,0-3 0,-1-1 30,4-4 0,3-3 0,-1-2 0,-2 1 0,-6 0 0,-8 3 90,12-10 0,-10 3 0,-5-2-90,1-2 0,-3-1 0,-42 9 60,-83 8 0,-46 18-90,32 17 0,-10 9 0,-8 6 0,-2 3 0,1 0 0,8-3 0,-2 0 0,-1 2 0,-1 2 0,-1 3 0,-1 3-13,-1 4 0,-5 3 0,-1 4 0,0 1 0,3 2 1,4 0-1,6 1-5,-3 5 0,5 2 0,4 1 0,4 0 0,3 1-27,-7 5 0,2 1 0,9 1 0,16 2-225,15 10 0,16 1 0,19-8 45,33-4 1,24-12 104,13-14 0,16-9 0,8-15 84,-18-14 0,6-11 0,4-7 0,-1-2 0,-4 0 81,8-3 0,-3-1 0,-1-3 0,0-6 151,-10 0 1,4-4-1,-2-2 1,-9-3 0,-15 1 256,7-32 0,-30 1-408,-27 16 0,-24 10 15,-32 25 0,-26 15 0,-7 13-6,11 10 0,-7 12 0,-4 7 0,0 3 0,3-1-19,5-1 1,1 1 0,1 2 0,1 3 0,-2 5-36,3 2 0,-3 4 0,0 3 0,3 2 0,6 3 0,8-1-45,-1 18 0,8 2 0,8 2 1,6-3-16,-3 9 0,9-1 0,13-1-90,15 0 0,11 0 0,21-19 30,26-28 0,18-17 0,3-8 90,2-4 0,2-10 0,5-10 52,2-11 1,6-11-1,-1-8 1,-7-3 134,-13-1 1,-4-5-1,-5-3 1,-3 2-68,9-8 0,-5 1 0,-27-3 44,-43-32 1,-36 14-45,-25 46 0,-23 19-23,16 7 1,-11 5 0,-4 6-1,5 7-45,9 7 1,1 8-1,2 4 1,1 4-23,-3 6 0,0 4 0,4 5 0,7 3-60,-3 13 0,9 5 0,20 5-210,27 5 0,17 4 1,16-9-46,25 3 0,28-20 157,5-30 1,20-13 0,7-10-1,-4-9 122,-24-5 0,0-8 0,0-6 0,1-3 1,1-2 20,-3 0 0,3-3 0,1-3 0,-2-1 0,-2-3 0,-4-1 140,3-7 1,-1-3 0,-4-2 0,-5 0 0,-7 1 174,14-17 0,-10 0 0,-17-1-165,-13-19 0,-36 12-46,-68 34 1,-36 24-90,28 16 0,-9 10 0,-5 6 0,-1 5-18,8 1 0,-2 4 0,-2 5 0,1 2 1,3 4 17,0 2 0,1 4 0,2 3 0,3 2 0,8 2-45,0 5 0,3 2 0,11 2 0,14 2-135,2 40 0,43-10-30,43-49 0,27-12 0,10-11 138,-4-12 0,10-9 0,7-7 0,1-5 0,-2-1 42,-11 1 0,0-4 0,1-2 0,0-2 0,0-2 0,-1-1 90,4-3 0,2-3 0,-1-1 0,-2-2 0,-5 0 0,-7 1 52,6-6 1,-4 1-1,-10-2 1,-16 0 22,-1-21 0,-36 11-45,-79 31 0,-40 23-68,29 6 1,-9 9-1,-4 5 1,-1 3-5,8 1 0,-3 4 0,-1 4 0,2 1 0,3 3-18,6-1 0,0 1 0,3 3 0,5 2 0,9 2-30,-15 20 0,10 4 0,40-5-60,71 12 0,51-16 60,-31-40 0,13-10 0,12-6 0,5-5 0,4-2 0,-1 1-83,-9 1 1,4-2-1,2-2 1,2-2 0,3 0-1,0-2 1,2-1-1,0 0 14,-9 0 1,2-2 0,2-1-1,2 0 1,0-2 0,-1 1-1,0-2 1,-1 1 0,-2 0-1,-4 0-24,9-1 0,-1 0 0,-1-1 0,-2 0 0,-2-1 0,-2 1 0,-3 0 0,-3 1 286,7-2 1,0-1 0,-2 2 0,-7-1 0,-8 0 0,-12-1 327,31-14 1,-49 5-342,-90 15 1,-51 8 0,-11 3-106,25 3 0,-8 3 0,-8 2 0,-4 2 0,-2 1 0,-1 1-25,19 0 0,-2 0 0,-2 1 0,-2 1 0,0 0 0,-2 2 0,1 0 0,-1 1 0,2 1 0,-1 0 0,-2 2 0,-1 0 0,0 1 0,1 0 0,1 2 0,2 0 0,2 1 0,4 0-20,-8 4 0,1 0 0,3 2 0,2 0 0,3 1 0,6 0 0,6 1-23,-21 8 1,2 2-1,18 0 1,38 0 67,48 13 0,37-8-45,13-28 0,24-15 0,16-9 0,6-3 0,-1 1-57,-27 4 1,4-2 0,2 0 0,3-2 0,1 0-1,2-1 1,0-1 0,0-1-54,1 0 1,2-1 0,2-2 0,1 0-1,1 0 1,-1-1 0,-2 0 0,-2 0-1,-3 0-31,11-2 1,-2-1-1,-1 1 1,-2-1-1,-3 0 1,-3 0-1,-5 1 300,9-2 1,-3 1 0,-5-1 0,-8 0 0,-11-1 331,31-15 1,-49-1-84,-83 7 0,-36 3-363,-9 13 0,-20 7 0,-11 5 0,-2 2-33,28 1 1,-4 2 0,-3 1 0,-3 1 0,0 2 0,0 1 0,1 0-13,-2 1 0,-1 2 0,-1 0 0,1 1 0,1 1 0,1 2 0,3 0-30,-5 2 0,-1 1 0,1 1 0,5 1 0,8 1 0,12 1-15,-48 25 0,59-5 45,101-24 0,53-9 0,10-3-90,-30-4 0,9-2 0,5-3 0,4-1 0,2 0 0,-1-1-51,-3 2 1,1-1-1,3-1 1,0 0-1,1 0 1,-1 0-1,-2 0 0,-1-1 1,1 1-1,0-1 1,-1 0-1,-3 0 1,-4 0-1,-5 1 138,18-1 0,-6 0 1,-7 0-1,-7-1 273,34-1 0,-39-11 0,-71-19-240,-49 19 0,-34 7 0,-8 3-30,8 3 0,-8 3 0,-7 3 0,-1 1 0,1 1-18,-4 1 0,-2 1 0,-1 2 0,1 1 0,1 2 36,1 1 0,-2 1 0,1 2 0,8 1 0,11 2-18,-44 15 0,59-3 45,124-13 0,55-9-45,-32-4 0,13-5 0,9-2 0,4-1 0,-2 0-120,-10 1 0,1-2 0,2 0 0,1 0 0,1-1 0,-1-1 107,-8 0 0,2 1 0,1-2 0,-1 0 1,-2 0-1,-5 0 0,-6 0 258,18-3 1,-7 1 0,-6-2 0,-9-2 245,38-13 1,-52-1-171,-94 7 1,-33 3-210,-13 11 0,-19 7 1,-11 5-1,-2 1-97,19 1 0,-6 1 0,-3 3 0,-2 1 0,1 1 0,1 1 0,0 1 0,-1 0 0,0 2 0,1 2 0,3 0 0,5 1-15,-4 1 0,-1 0 0,5 1 0,12 3 0,21 5-45,8 16 0,33-2-165,62-20 0,44-11 1,9-4 12,-18-2 0,9-2 1,4-2-1,3-2 0,-2-1 33,-11-1 0,1-1 0,1-1 0,1-1 0,-3-1 0,-1 0 89,7-1 1,-1 0 0,-1-2 0,-4 0 0,-7-2 401,22-4 1,-7-2 0,-30-7 655,-35-20-492,-72 30 1,-35 13-429,14 6 0,-16 4 0,-9 5 1,-5 1-1,3 2 0,6-1-45,1 2 0,2 1 0,2 1 0,0 1 0,-4 1-3,0-2 0,-9-1 0,-1 2 0,7 1 0,12 3 0,22 3 30,2 21 0,37-3-113,58-23 1,42-11-1,18-4 1,-6 0-130,-19 1 0,0 0 1,3-1-1,3 0 0,4-2 56,-4 0 1,7-1-1,3-1 1,1 0-1,-2-1 1,-5 0-1,-7 0-105,15-2 0,-8 1 0,-4-2 0,-2-1 0,23 2 1,-3-1 0,-26-13 1228,-23-40-492,-109 25 1,-44 6-399,34 10 0,-6 3 0,-8 2 1,-8 5-83,15 4 0,-8 2 0,-6 3 1,-3 2-1,-2 1 0,1 1 0,3 1 1,6-1-12,-9 3 0,3 1 0,3 0 0,1 2 0,-1 0 0,-1 1-30,-10 1 0,-6 1 0,-1 1 0,7 1 0,13 0 0,21 0-60,-1 12 0,37-9 0,67-21 0,46-15 0,8-2-107,-14 1 0,8-2 1,6-2-1,2-2 0,-2-3 33,-7 1 0,2-3 0,1-2 0,-1 0 0,-2-1 0,-4 0 0,4 1 0,0 0 0,-4-1 0,-6-3 0,-9-7 491,21-27 1,-14-10 0,-41 0-1,-59 2 1,-39-1 0,-11 5-132,19 22 1,-7 3-1,-6 2 1,-5 3 0,-6 2-92,0 6 1,-6 1-1,-5 3 1,-5 2-1,-2 2 1,-1 4 0,0 4-136,14 4 0,-3 4 0,-2 3 0,-1 1 0,-1 3 0,1 0 0,1 1 0,2 0 0,3 0-22,-10 0 1,3 1-1,1 0 1,2 2 0,0 0-1,1 2 1,-1 2-90,1 2 1,-4 2-1,-1 1 1,3 2-1,5-1 1,10 1-1,11-2-351,-39 15 0,51-11 363,84-26 1,48-14 0,27-7 0,6-3 0,-16 3 128,-3-1 0,-4-1 0,3-2 0,9-2 33,-23 9 1,9-2 0,4-2 0,3 0 0,0-2 0,-4 0-1,-7 1 1,-9-1 211,19-13 1,-8-1 0,-11 0 0,-13 0-18,8-17 0,-44 8-174,-67 30 0,-45 8 0,-26 8 0,-7 5 0,13 5-84,26 5 0,1 6 0,0 3 0,-1 3 0,-4 1 0,-4-1 7,-2-2 1,-6-1-1,-5 1 1,-1 1 0,-1 1-1,4 2 1,4 2 0,7 3-83,-1 5 0,2 4 0,5 2 0,4 1 0,6 1 0,6-2-195,-19 13 0,11 0 0,20 1-60,20 2 1,27-9 179,79-31 0,44-26 216,-41 1 0,9-8 0,5-4 0,1-3 0,-2-1 125,1-1 1,0-2 0,0-2 0,0-3 0,-1-2 1,-7 3 1,2-3 0,1-1 0,-3-2 0,-6 0 0,-9 1 163,23-21 1,-12 0 0,-26-5 128,-27-25 1,-40 9-457,-39 39 0,-31 15 0,-11 10 0,22 12 0,-9 6 0,-6 5 0,-3 5 0,-1 2 0,2 3-13,10 1 0,0 3 0,-2 3 0,1 2 0,-1 3 1,1 2-1,-1 3 13,-6 5 0,-2 3 0,0 3 0,0 2 0,4 3 0,3 3 0,5 1-60,3 4 0,3 3 0,4 3 0,4 2 0,5 1 0,4 1-137,0 6 0,5 3 1,5 0-1,7 1 0,8-1 15,5 6 1,8 0 0,9-2 0,12-5 31,14 5 0,14-6 0,18-18 105,18-29 0,18-16 0,9-14 0,-2-8 45,-3-10 0,3-10 0,1-10 0,2-5 0,-1-4 115,-16 5 1,3-4 0,0-4 0,0-4-1,-2-1 1,-2-1 0,-4 1 47,4-8 1,-1-2 0,-3-1 0,-3-1 0,-5 0 0,-6 0 32,-1-3 1,-1-2-1,-7 0 1,-10 2 0,-15 3 130,-14-18 1,-19 4 0,-20 14-202,-27 20 1,-20 14-1,-10 10-126,15 15 0,-7 6 0,-5 7 0,-1 5 0,1 4-18,-4 5 0,-3 7 0,1 5 0,1 5 0,3 4-126,-1 5 0,1 5 0,3 5 0,4 4 1,8 4-54,10 2 0,3 4 1,5 5-1,9 1 0,9 1-49,7 13 0,10 4 0,13-1 0,13-4 0,15-7 0,13-1 0,12-6 0,12-11 49,9-14 0,14-9 1,9-9-1,4-6 0,2-6 65,-15-9 0,4-5 1,2-5-1,3-4 0,1-4 1,0-2-1,0-3 165,-3-1 1,2-4 0,1-3 0,1-3 0,-1-2-1,0-1 1,-2-2 0,-2 0 88,-4-1 1,-1-1 0,1-2 0,-2-1 0,-2-1 0,-2-1 0,-2 0 0,-4 0 40,8-6 1,-2-1 0,-4 0 0,-3-1 0,-6 0 0,-8 0 163,28-29 1,-14 1 0,-39 4 163,-60-9 1,-41 15-247,3 39 1,-17 11 0,-11 9 0,-3 3-286,10 5 0,-6 3 1,-5 5-1,-2 3 1,1 3-1,2 2-65,1 3 0,0 3 0,0 3 0,1 3 1,2 2-1,2 2-30,4 1 0,-1 3 0,2 2 0,4 2 0,6 1 0,11 2-75,-23 24 0,14 3 1,40-1 74,59 14 0,46-13 135,-10-45 0,17-12 0,12-7 0,4-5 0,0 0 0,-13 0 0,3-3 0,4-1 0,1-3 0,1-1 0,-1-2 0,0-1 0,3-3 0,1-3 0,1-1 0,0-2 0,-2 0 0,-3-1 0,-4 2 18,10-2 0,-2 3 0,-4-2 0,-4-5 0,-4-8 178,-4-7 1,2-7-1,-6-5 1,-17 0 0,-24 3 294,-36-18 1,-27-1-428,-3-2 0,-12-2 1,-19 16-65,-4 32 0,-17 13 0,-11 8 0,-5 7 0,-1 3 0,5-2-15,1 2 0,-1 3 0,-1 2 0,1 3 0,0 2 0,2 2-15,0 1 0,-2 1 0,0 2 0,5 2 0,7 3 0,10 3 0,-24 20 0,15 6 0,48-2 30,69-3 0,43-1 0,15-6 0,-23-19 0,9-4 0,8-4 0,4-1 0,2-1 0,0 0-52,1 0 1,2 0-1,3-2 1,2 0 0,1-1-1,0-1 1,-1-1-17,-11-2 1,2-1-1,1 0 1,-1-1-1,1-1 1,-2-1 0,-1-1-1,-2-1-7,16 0 0,-1-2 0,-2-1 0,-2-1 0,-3-1 0,-4-2 111,-4-2 0,-2 0 0,-3-2 0,-4-2 0,-5-1 84,22-6 0,-8-3 0,-20-6 240,-8-38 360,-138 29-496,12 30 1,-5 9-135,-1 8 0,8 9-450,1 38-624,113 6 492,10-33 0,12-6 307,9-4 0,1-6 185,-4-6 0,-4-9 269,-17-9 1,-6-8 713,17-29-167,-27-3 167,-14 15-347,-17 52-366,2 56-270,3-9 0,6 7-315,15 16 1,8 0-14,-8-29 0,4-1 0,2-2 0,2-3 0,2-3 0,0-3 187,10 7 1,-4-6 140,16 24 270,-51-28 180,-43-10-91,-21-7-89,-32 16-270,17-2-90,-8 11-90,-1 3 0,15-15 91,5-4-1,52-11 180,54-15-90,29 1 89,-24-9 1,0-1 630,26-1-630,-17 0 0,-71-3-45,-47 1 0,-29 1-90,15 0 0,-8 0 0,-6 1 0,-4 0-152,-7 1 0,-6 0 1,-4 0-1,-2 1 0,1-1 33,12 1 0,-1 0 0,-1 0 0,1 1 0,0-1 0,3 1-33,-11 0 0,1 0 1,2 1-1,2 0 0,5-1-49,-1 0 0,1 0 0,7-1 0,10 0-170,-5 0 1,12-4 505,-15-17 0,49-1-90,-25 2 0,-8 18 0,-17 7 0,-5 3-45,13-1 0,-3 2 0,-3 1 0,-3 0 27,4-1 0,-4 1 0,-1 1 0,-1-1 0,0 0 0,-2 1 0,-1 0 0,0 0 0,2-1 0,4-3 18,-3-2 0,3-2 0,2-2 0,3-2 0,-10 1 0,3-3 0,5-5 135,-15-14 0,11-7-45,33 5 0,4-1 89,-42-20-89,-6 16-90,39 21 0,1 3 90,-44-1-135,39 5 0,4 0 45,-13-3-90,10 0 90,9-2-90,3 1-89,-12 0-1,-16-1 0,-10-1 135,32 2 0,-2 1 45,-1 2 0,-1 0 0,2 1 0,1 2-90,-34 5 90,17 4 0,15 4 0,12 3 0,-5 12 0,15-6 0,-15 15-90,10-7 90,-2 1 0,11-10-90,-3-9 90,5-22 0,-12-15 0,-6-28 0,-3-25-45,21 30 0,-1-3 45,2 2 0,1 0 0,-18-34 90,12 20-90,8 14 0,9 6-90,13-4 90,12-4 0,15-3 90,11 0-90,9-11 0,8-16 90,-26 33 0,0-2-45,-1-2 0,0 0 135,21-35-180,-5 12 90,-1 3-90,9 0 90,6 1-90,5 8 0,1 12 90,3 5 89,9-8 1,-33 20 0,0-1-45,0-2 0,-1-1-45,-1-1 0,0 0 0,27-30 90,-6-1-180,-3-1 90,-1-4 90,-2 2-90,-6 5-90,-7 6 0,-3 6 0,4 1 0,11 1 0,7 5 0,8 4 0,3 8 0,12 4 45,-37 15 0,3-1 0,8-1 0,3 0-45,6 0 0,1 0 0,4 0 0,1 1-45,-2 2 0,0 0 45,1 2 0,0-1 0,-2 1 0,1-1 45,0-1 0,1-1-45,-4 0 0,-1-1 0,-3 0 0,0-1 0,-4-1 0,0 0 0,1-3 0,1 0 0,2-1 0,1 1 44,0 0 1,-1 3-45,-2 3 0,0 5 135,-2 6 0,0 5-45,2 7 0,2 6 0,8 8 0,3 6 0,-18-4 0,2 3 0,2 2 30,7 6 0,3 3 0,0 2-60,4 5 0,0 1 0,-1 1-30,-7-3 0,0 0 0,0 3-30,9 9 0,1 3 0,-2-2 0,-13-7 0,-3-1 0,2 1 0,7 5 0,0 2 0,-1-1 0,-7-4 0,-1-1 0,-3-1 0,-7-4 0,-2 0 0,-1 0 45,16 20 0,-3 1-45,-10-4 0,-4 0 0,-9-9 0,-5-2 179,13 29 91,-25-15-180,-47-28 0,-42-7-90,3-24 0,-16-8 0,-3 0-68,11-1 1,-2-1 0,-3-1-1,-5 0-4,-2 1 0,-5 0 0,-2 0 0,-2 1 1,0 1 35,-1 2 0,-1 1 0,0 1 0,0 2 0,1 2 18,0 2 0,0 1 0,0 3 0,2 1 0,3 2-18,9 0 0,2 1 0,2 2 0,0 1 0,0 3-90,-2 3 0,-1 4 0,2 1 0,2 0 0,7 0-24,-13 6 0,8 0 0,1 2 0,0 1 0,1 3 1,11-4 14,12-1 0,10-3 135,-7 13 90,10-14 0,-9-20 0,-11-11 0,-25-17-90,31 1 0,-3-3 0,-9-1 0,-5 0 0,-7-1 0,-3 2 0,-2 2 0,0 2 0,1 3 0,3 2-225,9 3 0,0 2-267,-17 4 0,2 3 0,20 0 0,3 1 295,-3 0 0,7 1 1,2-1-1,38-5 0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7:08.410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3099 1870 9512,'-10'-93'7735,"2"51"-7465,19 131 90,2-7 0,4 19-925,-2-23 1,3 11-1,2 7 1,1 2-1,-1-3 565,0 0 0,0 1 0,1 0 0,0 1 0,1 2-15,-2-10 0,0 2 0,1 0 0,-1 1 0,2 1 0,-1-1-135,1 2 0,1 3 0,0-1 0,0 0 1,0-4-1,0-4-102,0-4 0,-1-4 0,0-2 0,1-1 0,-1 0 19,7 21 0,0 0 1,0-3-1,0-5-1087,4 5 1,-1-5 0,-4-13 1319,-5-14 0,-3-9 0,9 26 0,-25-67 0</inkml:trace>
  <inkml:trace contextRef="#ctx0" brushRef="#br0" timeOffset="284">3296 2686 1777,'-5'-91'1169,"0"-1"0,0 1 1,1 9-1,1 2 1,0 3 613,0-26 1,1 12-795,6 1-719,5 161 0,4 54-248,-4-57 1,-1 3-1,2 6 1,0 5-85,0 0 0,0 7 0,1 4 0,1 4 1,-1 0-1,1-1-157,-1-9 1,1 2-1,0 2 1,0-1 0,0 0-1,0-1 1,-1-3-142,1 3 0,0-1 0,-1-3 1,1 1-1,0-1 0,0 1-675,1 4 1,1 3 0,0 0-1,-1-3 1,0-6 0,-1-10 1034,0 7 0,-1-10 0,0-3 0,7 38 0,-1-17 0,-5-31 0</inkml:trace>
  <inkml:trace contextRef="#ctx0" brushRef="#br0" timeOffset="-72962">1586 4835 8522,'-4'-28'9715,"1"10"-9356,-1 28-2697,10 40-586,2 1 1,0 3 2923,10 38 0,2-7 0,-8-37 0</inkml:trace>
  <inkml:trace contextRef="#ctx0" brushRef="#br0" timeOffset="-72579">1393 5584 7982,'-29'-25'8995,"1"3"-7016,-8 5-1529,16 30 0,23 26-270,22 18-1,22-8-89,14-27 720,5-36-1,-8-22 271,-11-9-990,-18 20-1439,-5 44-2519,-4 29-1259,14 36 5127,4-13 0,-11-23 0,-5-26 0</inkml:trace>
  <inkml:trace contextRef="#ctx0" brushRef="#br0" timeOffset="-72196">2010 5801 7623,'22'-74'9830,"-6"17"-6618,-17 41-3392,7 31-899,11 16 179,20 11 631,6-11 89,2-16 180,-31-25 359,-37-28 91,-8 2 0,-6-3 134,-3-10 1,0-3 269,3-3 1,7 0 1304,0-38-720,40 42-1079,27 59-3688,18 74-1170,-20-15 1,-1 5 4497,-2-3 0,-2-2 0,-3-7 0,-1-7 0,12 8 0</inkml:trace>
  <inkml:trace contextRef="#ctx0" brushRef="#br0" timeOffset="-68346">1748 3831 8432,'-21'-46'2009,"0"1"0,-9 1 0,-8 5-1515,-13 5 1,-10 10-135,-30 16 0,-6 16-465,28 5 1,0 7 0,-2 9 261,-5 11 1,-3 11-1,0 6 1,6 3-474,7 2 1,4 4 0,4 3-1,0 4 460,7-9 0,1 2 0,1 3 0,3 2 0,7 4 71,2 10 1,6 5 0,5 3 0,4-1 0,4-1-223,7-10 0,5-2 0,3 0 0,3 1 0,3 2 61,2 11 0,4 3 0,3 1 0,5-3 0,5-3-200,4-12 0,3-1 1,5-4-1,3-1 1,3-3 167,14 13 1,4-3-1,5-4 1,3-5-1,3-6 1,3-5-1,4-5 1,1-4-23,1-6 0,2-4 0,2-4 0,0-6-27,-4-5 0,1-5 1,1-5-1,1-5 27,1-6 0,1-6 0,0-5 0,-2-6 0,-5-6 0,-2-5 0,-1-5 0,0-4 22,3-7 1,0-4-1,-1-4 1,-4-4-23,-1-5 0,-3-3 0,-2-4 0,-3-2 22,-3-2 1,-2-4-1,-4-1 1,-3-1 22,-7 4 0,-3-2 0,-5-1 0,-6-1-45,-6-3 0,-6-2 0,-7-2 0,-7 1 0,-9-1 0,-7 0 0,-8-1 0,-6-2-54,-6 2 0,-8-2 0,-6-1 0,-2 1 0,-3 2 50,-2 1 1,-3 1-1,-3 1 1,-3 2 0,-2 1-27,6 9 0,-3 0 0,-1 1 0,-2 2 0,-2 4 0,-1 3-42,-11-1 0,-1 3 0,-3 4 0,-1 6 0,-1 6-72,2 7 0,-1 4 0,-1 6 0,-1 4 0,-1 7-144,-1 5 0,-1 5 1,0 5-1,1 6 0,3 5-198,2 6 0,1 5 1,2 5-1,3 5 1,4 3-221,-10 14 1,4 7 0,6 4 0,8 3 705,13-3 0,6 4 0,6 1 0,5-4 0,3 1 0,6-3 0,8-2 0,12 11 0,0 0 0</inkml:trace>
  <inkml:trace contextRef="#ctx0" brushRef="#br0" timeOffset="-71529">12921 3114 7533,'3'-44'9264,"-1"13"-5846,-1-5-2878,-10 72-270,-6 60-1619,6-12 0,5 10-151,4-18 1,3 4 0,4 0 1411,6 0 0,3 0 0,1-4 0,4 9 0,3-7 0,4-15 1,0 1-1</inkml:trace>
  <inkml:trace contextRef="#ctx0" brushRef="#br0" timeOffset="-71012">13314 4394 11760,'-18'-13'7556,"-9"5"-6926,-6 8-361,14 19-179,34 28-90,33 29 0,-17-33 0,1 0 0,20 35-90,-27-16-899,-48-41-540,-22-32-90,-17-47 1124,38 12 0,7-7 270,11-8 1,9-1 134,8 2 0,8 3 314,7 6 1,7 7 765,36-4 449,6 41 180,-3 36-270,-1 25-269,-8 17-181,-14 15-539,-15 7-990,-10 3-2698,16-21-1529,36-43 4857,-26-33 0,2-8 0,38-19 0,-12-11 0</inkml:trace>
  <inkml:trace contextRef="#ctx0" brushRef="#br0" timeOffset="-69612">13504 2640 10141,'-57'-34'6117,"-26"-7"-5488,28 18 1,-4 2-46,-7 1 1,-4 6-315,-9 8 0,-3 8-90,-3 10 0,-1 8 45,-8 9 0,1 8 14,31-8 1,1 4 0,3 3-60,2 6 0,3 3 0,5 4-30,5 6 0,5 4 0,6 4-61,5 4 1,6 4 0,8 4-250,7 11 1,10 4-1,6-1 160,8 3 0,7 0 0,7 0 22,-4-19 1,5-1 0,3 0-1,2-2-22,2-3 0,3-2 0,1-2 0,2-3 0,12 11 0,3-5 0,1-4-110,0-7 1,1-3 0,2-6 109,-2-10 0,1-5 0,3-4 0,3-5 0,3-4 0,2-5 0,10-4 0,3-4 0,2-4 30,7-4 0,1-4 0,1-1-30,-23 0 0,0-1 0,1-1 0,-2-1 0,20-4 0,-2-2 0,-2-2 29,-9 0 1,-3-2 0,-2-4 30,-9-2 0,-3-3 0,-3-4 180,-5-4 0,-3-3 0,-4-4 0,-6-5 0,-4-4 0,-6-4-91,-6-3 1,-7-4 0,-7-3-120,-8-15 0,-10-5 0,-7 0-53,-5 16 1,-4-1 0,-6 0-1,-4-2-319,-1 5 1,-4-2 0,-4-1 0,-3 2 0,-4 2 125,-5-2 0,-5 1 0,-3 2 1,-4 3-1,-2 2-311,-4 1 1,-4 3 0,-3 2 0,-2 4 0,-4 6 238,-5 2 0,-3 5 0,-3 5 0,-3 4 1,0 8-73,11 7 0,-2 6 0,-1 3 0,0 4 1,0 4-1,3 2-396,-11 3 0,2 5 1,1 4-1,3 3 1,1 4 755,7 2 0,0 5 0,3 3 0,4 0 0,8-1 0,-6 7 0,8 0 0,10 2 0,10 11 0,0 1 0</inkml:trace>
  <inkml:trace contextRef="#ctx0" brushRef="#br0" timeOffset="-25415">3157 1888 8612,'-8'-46'9175,"1"11"-8635,3 27 1618,7 60-1528,3 16 0,4 13-331,0-1 1,3 9 0,0 3-539,0-8 0,1 4 0,1 2 1,0 1 291,-1-13 1,0 2 0,1 1 0,0 0 0,0-1-36,-1 2 0,1-1 0,0 1 0,0-1 0,-1-1 4,1 12 1,1 0 0,-1-2-1,-2-1-44,-1-5 1,-1-1-1,-2-1 1,0-2 51,1 16 0,-2-3 0,-1-2-60,-2-7 0,0-2 0,0-2-60,0-7 0,-1-2 0,1-2-630,1 20 1,1-6-721,-2-15 1,1-5-6206,5 34 7932,-6-38 1,-1-27 0,-4-22 0</inkml:trace>
  <inkml:trace contextRef="#ctx0" brushRef="#br0" timeOffset="-24631">10321 272 8252,'-13'-38'7106,"3"9"-4677,-5 39-630,8 84-1260,3-9 1,3 18-846,4-25 0,2 11 1,2 6-1,1 2 1,2-1 454,0-11 1,1 2 0,1 0 0,1 1 0,1 2 0,-1 0-99,0-5 0,0 0 1,1 2-1,0 0 1,0 1-1,1 1 1,1 0-14,2 7 1,2 2-1,1 1 1,0 0 0,-1 0-1,0-4 1,-1-2-39,-1-2 0,-1-4 0,-1-1 0,0-1 0,0 0 0,0 2-15,1 4 0,-1 1 0,1 0 0,0 1 0,-1-1 0,-1 0-60,-1-1 0,0 1 0,-1 1 0,0-3 0,0-1 0,0-3-336,0-1 0,-1-4 0,1-1 0,-1-2 0,0 2-39,3 18 0,0 0 1,0-2-1,-2-4-1040,1 9 0,-2-5 0,-2-9-2558,-4-5 1,-2-9 4047,-2-8 0,-1-9 0,-4-6 0,1-42 0</inkml:trace>
  <inkml:trace contextRef="#ctx0" brushRef="#br0" timeOffset="-23115">3636 3592 8792,'-15'-4'7646,"1"1"-7107,26-5 721,53-2-766,15-4 1,16-4-315,-7 1 0,8-2 0,5-2-487,-28 6 1,3-1 0,3-1 0,1 0 0,0-1 360,8-1 0,1-2 0,2 1 0,0-1 0,1 1-36,1 0 0,1 1 0,0 0 0,1 0 0,0 1-18,-1 1 0,1 0 0,-1 1 0,1 0 0,-1 0 18,-2 2 0,0 0 0,0 0 0,-1 0 0,-1 0-18,-3 0 0,-1 1 0,0-1 0,-1 0 0,-1-1-96,-3 0 1,-1 0-1,-1 0 1,-1-1-1,-1-1 96,11-2 0,-1-1 0,-2-1 0,-1 1-124,-4 0 1,-2 0 0,0 0 0,-2 1 123,21-5 0,-3 1 0,1 1 0,-1 1 0,-1 1 0,0 1 30,-2 1 0,0 2 0,0 1-30,-1 0 0,1 1 0,-1 2 0,-4 1 0,0 0 0,-1 2-116,0 0 1,-1 0-1,0 1 176,-2 1 0,0 1 0,-2 0-30,-10 1 0,-1 0 0,1 0 351,3 0 0,1-1 0,-5 1-336,7-1 0,-4-1 90,-3 0 0,-4 0 1993,19-4-1588,-33-1 456,-9-3-906,-20-7 399,-19-8-489,-17-5 71,-44-25 648,-18-3-224,26 24 0,-5 1 944,-14-4 0,-1 3-1169,15 11 0,2 3-270,0 0 0,3 8 0,-5 25 0,76 35 0,31 30 0,11-11 0,5 0 0,-19-15 0,-6 1 0,3 19 0,-23 0-450,-43-20 0,-18-4-2249,-19 3 1,-14-5-361,-2-11 1,-9-4 0,2-3 2634,13-4 0,2-3 0,0 0 0,-31 5 0,7-1 0,33-8 0,1 0 0</inkml:trace>
  <inkml:trace contextRef="#ctx0" brushRef="#br0" timeOffset="-22498">4203 3085 8882,'7'-12'9175,"-10"10"-8995,-7 9 179,-38 41-224,4-5 0,-3 4 0,-2 1 0,-3 2 180,-20 16 0,-2 0 224,12-11 1,3-4-45,9-8 0,5 0 1304,-13 37-630,104-36-1349,30-8-1709,2-14 0,8 0-810,-4 2 1,0 2 2304,3 5 0,-5 1 0,-18-6 0,-8 0 1,21 18-1</inkml:trace>
  <inkml:trace contextRef="#ctx0" brushRef="#br0" timeOffset="-19649">3248 1987 7353,'-21'-8'7555,"3"6"-7375,-14 6 0,5 11 0,0 5 810,8-2-721,8-16 901,9-25 629,4-35-540,5-12-809,0 2-180,6 20-360,19 40-2339,17 25-4497,31 33 6926,-11-3 0,-4-4 0,-21-20 0</inkml:trace>
  <inkml:trace contextRef="#ctx0" brushRef="#br0" timeOffset="-18732">10746 1205 20126,'-2'11'1079,"-11"21"-809,-5 2-180,-13 28 90,8-18-90,8-21 269,12-26 1260,16-44-449,1 5-181,3-10-359,-5 23-630,15 28-3958,10 34-270,13 17-2788,14 25 7016,-20-26 0,-10-12 0,-19-22 0</inkml:trace>
  <inkml:trace contextRef="#ctx0" brushRef="#br0" timeOffset="16016">5348 3959 16887,'-3'31'1709,"6"11"-1529,13 29-90,-1-12 90,1-10-180,-6-35 450,-6-29 359,-7-28 91,-3-9-181,-3 3-269,4 23-540,2 20-1439,3 30-2788,3 29 4317,2 20 0,-1-29 0,0-6 0</inkml:trace>
  <inkml:trace contextRef="#ctx0" brushRef="#br0" timeOffset="17133">4835 4801 9691,'-14'-21'4228,"0"2"-2069,7 9 629,-1 0-1439,-1 2-1259,-3 4 0,-4 8-90,-3 12 0,1 9 90,11 9-90,13 0 0,36 6 0,13-9 0,13-2 810,2-7 1259,-25-9-990,-7 0-809,-27-4-180,-15-4-90,-21-1-810,-10-4-1888,-9-3-450,0-6-180,6-6 719,5-7 1440,6-6 1169,-1-11 1079,8 6 630,-1-5-809,19 3-271,12 3-179,26-4-270,22 5-90,-2 9-90,4 6 1619,-20 11-720,-15 8 541,-5 15-541,-13 35-629,1 1-720,13 32-90,3-40 451,16-8 1078,-5-47 180,-10-25-629,-13-18-720,-30-13-1709,-1 28-2428,-20 7 4317,12 39 0,6-4 0,8 10 0</inkml:trace>
  <inkml:trace contextRef="#ctx0" brushRef="#br0" timeOffset="17266">5256 4750 9242,'5'-13'202,"1"1"0,-3 6 1,0 1-1</inkml:trace>
  <inkml:trace contextRef="#ctx0" brushRef="#br0" timeOffset="17633">5378 4567 10321,'-15'-12'6476,"-7"0"-6116,3 7-90,-7 10-630,11 14-539,6 12-271,15 5 1,12-3 539,11-6 361,4-8 538,1-4 991,-7 3-91,-14 7-179,-19 12-1080,-23 10-2789,-15 3 2879,-7-6 0,20-18 0,10-12 0</inkml:trace>
  <inkml:trace contextRef="#ctx0" brushRef="#br0" timeOffset="19182">9210 3780 9332,'18'-32'8095,"1"7"-6026,-2 11-450,3 17-270,-4 24-1259,2 27-2788,-5 31 269,-6-32 0,-2 1 2429,0 0 0,-1-2 0,1 14 0,-2-25 0</inkml:trace>
  <inkml:trace contextRef="#ctx0" brushRef="#br0" timeOffset="20073">9373 4497 7892,'-21'68'0,"0"0"0,0 0 0,-5 14 0,1 0 0</inkml:trace>
  <inkml:trace contextRef="#ctx0" brushRef="#br0" timeOffset="20099">9331 4582 20036,'61'36'0,"-1"0"0,1 0 0,11 8 0,1-1 0</inkml:trace>
  <inkml:trace contextRef="#ctx0" brushRef="#br0" timeOffset="20499">9293 4590 8702,'-28'-14'8365,"-11"1"-5576,-16 5-2340,-5 19 1,14 26-360,30 25-90,40 17 0,33-2 90,-20-40 0,1-3 630,15 11 449,-12-7-719,-55-17-1260,-9-5-2068,-42-5-1440,12-12-3867,0-8 7337,30-3 0,11 2 0,13 3 0</inkml:trace>
  <inkml:trace contextRef="#ctx0" brushRef="#br0" timeOffset="20916">9500 4595 13379,'-28'-17'7916,"2"2"-6927,11 29 91,9 21-1170,5 32-2699,14 23-2428,9 2 5217,6-18 0,-10-31 0,-4-24 0</inkml:trace>
  <inkml:trace contextRef="#ctx0" brushRef="#br0" timeOffset="21316">9754 4906 13110,'-16'0'3867,"0"6"-3867,10 11-180,10 4 180,7-2 1170,6-5-1170,-13-16-630,-6 0-2788,-19-9 3418,-2-3 0,3 6 0,9-1 0</inkml:trace>
  <inkml:trace contextRef="#ctx0" brushRef="#br0" timeOffset="21616">9830 4626 10681,'5'-14'7376,"9"-1"-5307,21 8-1800,5 16 91,6 29-180,-23 37 0,-19-25 0,-3 2-90,-3 3 0,0-1 0,4 41-900,19-32-1529,19-35-1708,17-27 4047,6-20 0,-26 5 0,-8 1 0</inkml:trace>
  <inkml:trace contextRef="#ctx0" brushRef="#br0" timeOffset="24216">10365 0 14369,'-4'13'3598,"-1"19"-2789,-10 46-359,9-26 0,0 5 89,-1 7 1,2 1-90,0 5 0,2 0 44,2-1 1,0-2-180,1-1 0,1 0-135,0 0 0,1 0-1,-1 1 1,0 0 90,0 1 0,-1 0-45,1 1 0,0 1-45,0 2 0,0 2-46,1 2 1,1 2 90,1 1 0,1 1 90,1 4 0,2-1-1,2 0 1,1 0-90,1 1 0,2 0-90,-1 0 0,2 1-45,-1-2 0,1-1-90,-1 0 0,0 0 45,-1-2 0,1-1 0,-1 0 0,1-1-45,-1 1 0,1-1 0,-1 0 0,2 0 0,0-1 0,0 0-45,2 1 0,1 0 90,1 4 0,2-1-45,2 3 0,1 1 45,1 3 0,0 2 45,3 4 0,-1 1-90,-9-26 0,-1 0 0,1 1-89,1 4 0,0 2 1,-1 0 88,0 4 0,0 0 0,-1 1-960,0 0 1,-1 0 0,-2 0-1050,-1-2 0,-2-1 0,-1-1-1268,-2-4 0,-1-2 0,-1-4 2063,-1 3 1,-1-7 0,-1 21 0,-3-68 0</inkml:trace>
  <inkml:trace contextRef="#ctx0" brushRef="#br0" timeOffset="25432">3006 1197 8792,'-7'-35'8455,"3"11"-7735,2 12 539,12 52-359,10 44-601,-2-12 1,5 14 0,-1-1-180,-3-11 0,1-1 0,0 6-201,3 7 1,2 6 0,0 3-1,-2-5 103,-3-11 1,0-3 0,-2 0-1,1-1 8,4 22 0,-1-1 0,-1 1-8,-5-19 1,0 1 0,-2 0-1,-1-3-22,0 10 0,-2-3 0,0 2 0,0 8 0,0 2 0,-1-1 0,-1-6 0,-1-2 0,0 2 0,2 8 0,1 0 0,-1-3-30,-1-15 0,1-4 0,0 2 30,3 11 0,1 1 0,0-5-37,5 16 1,1-3 36,-6-29 0,1 0 0,1-1 0,5 25 0,1-3 0,-2-7 0,0-4-90,-1-7 0,-1-2 0,-1-5 0,-1-1-135,-2-7 0,-2-1-720,-1-1 1,-2 0-1527,1 36-857,-8-9 3328,-7-13 0,2-34 0,0-7 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8:57.270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869 54 8072,'10'-20'7826,"-5"0"-7286,-15 6 359,-24 20-179,-31 29-316,19-5 1,-4 5 45,-11 8 0,-2 3-136,-6 6 1,-1 1-45,0 0 0,3-1-90,8-6 0,5-3 134,11-8 1,4-2 1484,-11 16-539,25-19 809,17 6-450,26-4-1619,32 9 0,-3-16 0,8 0 0,14 4 0,6-1 0,14 6 0,4 1 0,-28-10 0,1 1 0,0-1-1650,-1 0 1,0 0 0,-1-1-2219,22 10 1,-4-2 3867,-16-7 0,-6-3 0,4 4 0,-34-14 0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01.703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81 334 9332,'1'-15'9830,"-11"13"-6888,-4 16-873,-18 60-1709,21-26 0,5 5-585,-2 11 0,8 3-2699,13 6 1,11-5-1993,4-24 1,5-6 4517,27 28 0,-14-52 0,-33-15 0</inkml:trace>
  <inkml:trace contextRef="#ctx0" brushRef="#br0" timeOffset="417">816 338 9871,'11'-66'9830,"-7"10"-7966,-22 52-875,-12 31-629,1 17 0,-1 10-225,-1 5 0,1 2-90,-3 4 0,1-1-45,7-11 0,0-5 0,-16 2 0,9-52 1529,0-53-270,10-7 990,4-13-2249,22 48 0,13 22 0,37 43-630,-10-6 0,4 2-1709,-1-1 1,4-2-631,14 4 1,3-7 2968,-9-18 0,-1-6 0,34-1 0,-9-24 0</inkml:trace>
  <inkml:trace contextRef="#ctx0" brushRef="#br0" timeOffset="667">1353 274 10141,'-10'-53'4915,"-1"1"0,-12-36 457,-2 21-4293,17 53 360,33 70-1124,-5 1 0,1 11-225,4 22 0,-5 6-900,-10-25 1,-4 2-1,-4 1-1499,-4-2 0,-5 1 1,-3-2 2308,-13 25 0,-4-8 0,10-33 0,0-7 0,-16 13 0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8:43.35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612 1361 9512,'-15'-48'8455,"5"15"-6566,6 47-1440,25 76-314,-1-16 0,3 8-105,-2-15 0,2 2 0,1 0 60,-2-4 0,1-1 0,-1-2 674,7 15 1,-2-6 405,1 17-901,-35-74-179,-14-46 0,-7-29-90,1 1 0,-1-9 0,1-2 0,-2-6 0,0-3 0,2-1 30,2-1 0,1 0 0,5 5-30,1-8 0,9 9-45,9 21 0,11 9 45,39 0 0,44 59 45,-36 19 0,-1 11-45,2 13 0,-6 7 225,-8 5 0,-11 2 45,-13-6 0,-12-1-180,-13-9 0,-11-4-810,-43 26-3688,-18-31-1348,7-28 5756,21-27 0,28 1 0,13-5 0</inkml:trace>
  <inkml:trace contextRef="#ctx0" brushRef="#br0" timeOffset="315">1305 1563 8792,'-31'1'9830,"2"-2"-6168,7-4-3302,19-3-3058,56-16-3149,35-7 5847,-33 13 0,0 1 0,38-12 0,-23 11 0</inkml:trace>
  <inkml:trace contextRef="#ctx0" brushRef="#br0" timeOffset="682">1977 1258 11221,'-12'-18'9830,"10"17"-6438,20 23-3032,31 38-270,-12-18 0,2 2-90,2 1 0,0-1 180,-5-6 0,-2-4 899,14 9-90,-15-48-179,-18-40-540,-7-42-2609,-11-8-3058,-3 22 5397,-3 22 0,6 35 0,0 7 0</inkml:trace>
  <inkml:trace contextRef="#ctx0" brushRef="#br0" timeOffset="1815">2820 1330 8702,'7'-38'9830,"-11"3"-5718,-21-13-3752,-12 30 0,-10 20-270,3 64-360,24 10 90,13 15 90,27-25 180,16-42 450,-2-23 1259,9-38-900,-20 3-719,0 0 0,-1 42-180,-3 12-990,16 27-179,9-8 1079,0-18 0,13-33 90,-13-75 90,-27 29 0,-4-8 180,-5 1 0,-4-7 0,-2 1 584,-4-23 1,-3 3-586,1 13 1,-3 9 630,-14-9-630,13 134-270,7 40 0,12-6 0,9 6 0,6-8 0,6-2 0,3-3 0,5-7 0,-3-19 0,3-13 0,30-13 0,-15-72 0,-13-48 0,-27 39 0,-3 0 0,3-27 0,-5 62 0,0 52 0,9 41 0,9 16 0,14-11 0,9-33 0,4-49 0,-6-48 0,-14-18 0,-15 8 0,-10 39 0,-1 47 0,18 28 0,20 6 0,24-23 0,12-44 0,-11-57 0,-43 11 0,-9-6 0,-6-4 0,-8 0 0,-14-38 0,-12 66 0,3 66-540,13 54-3778,12-32 1,6 0-599,11-4 1,3-5 4292,17 14 0,-5-29 0,-29-29 0</inkml:trace>
  <inkml:trace contextRef="#ctx0" brushRef="#br0" timeOffset="3315">620 2544 19406,'67'-1'2653,"-15"-4"1,9 0-2235,4-2 1,8 0 0,4-1-645,-7 0 0,5-1 0,1 0 0,3-1 314,9-1 1,4 1 0,1-2 0,0 1-45,5-1 0,1 0 0,0 0 0,-1-1-23,-2 0 1,0 0-1,0 0 1,-1-2-181,-2 0 0,-1-2 0,0 0 0,-2-1 158,-2 0 0,-2-1 0,0-1 0,-2-1 22,-4 2 1,-2-1-1,-1-1 1,0 1 64,17-4 0,-1-1 0,-1 2 3,-7 2 0,-2 1 0,-3 1 0,-11 3 0,-2 2 0,0 0 41,5 0 0,1 0 1,-4 2-87,8-1 0,-4 2 292,4-1 1,-4 3-338,24-2 966,-31 6-966,-16 0 515,-21 3-515,-1-4 71,-6-4-71,9-14 0,-3-13 0,1-30 0,-19 11 0,-5-7 0,-2-16 0,-4-10-148,-3 1 1,-4-8 0,-3 0 57,-2 1 0,-3 0 1,-2 1-1,1 1 0,-3 2 0,-4 2 60,-4 9 0,-4 3 0,-7 8-166,-24-9 0,-7 12 106,8 9 0,-5 9 0,-16 5 0,-7 15 0,20 24 0,-4 9 1,-1 4-61,0 0 0,-1 4 0,-7 4-297,6 2 1,-6 5-1,-5 2 1,1 1-1,3-2 334,-10 4 1,2-1 0,1 0-1,-3 0 95,13-3 0,-1 0 0,-1 0 0,0-2 0,2-3-72,-13 1 0,1-4 0,1-2 1,1-3-191,9-6 1,0-2-1,2-3 1,-1 0 211,5 0 1,1-2-1,-1 0 1,-2-2-68,-13-1 0,-3-2 0,2 0 0,5 0 105,4 2 0,6 0 0,-2 1-30,-14 0 0,-3 0 1,7 2 53,-9 5 1,8 3 5,15 0 0,3 4 82,0 3 1,3 5-83,15 3 0,4 1 1236,-33 21-1236,39-15 0,3 4 1107,-17 46-1107,31-36 0,4 4 258,-2 20 0,6 8-78,7 15 0,6 4-135,2-1 0,4 3 15,5-17 0,3 3 0,3-1 0,2-3 0,3-2 0,0-1-60,-1-7 0,0-3 0,2 2 30,1 3 0,1 0 0,1-4-840,6 3 1,2-5-1980,7-1 1,6-6 2788,12-6 0,2-7 0,25 10 0,11-13 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17.36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25 192 8252,'-8'-29'9830,"0"1"-7427,-1-3 746,11 8-1261,28 33-1303,28 21 0,11 11-405,6 8 0,4 4-450,-15-11 0,2 2 0,0 0-1259,2 3 0,0 1 0,-6-4-810,3 1 0,-3-4-360,0 1 1,-6-4 2698,-2-4 0,-33-23 0,-16-9 0</inkml:trace>
  <inkml:trace contextRef="#ctx0" brushRef="#br0" timeOffset="300">972 119 9422,'-44'-69'9830,"2"20"-3650,-30 49-4830,3 49-406,11 13 1,-3 14-945,18-15 0,0 5 0,1-1 0,2-3 0,0-1 0,0 1 0,-4 7 0,0 1 0,2-5-2024,-1 0 0,2-4-765,2-3 1,3-5 2788,-14 17 0,29-39 0,11-16 0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09.369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458 444 8072,'-35'-65'8815,"-27"16"-8006,15 29 1,-5 10-540,-9 18 0,1 14 0,7 10 0,9 12 0,14 11 0,16 6-136,28 2 1,17-2-90,23 0 0,13-6 0,14-1 0,4-5-45,-3-5 0,-3 1 0,-15-3 0,-9 5 45,-20 1 0,-14 5 0,-16 3 0,-14-1 0,-10-4 0,-9-5-45,-45 18-90,0-64 90,28-68 0,38 7 0,13-7 90,11-3 0,10 2-45,7 5 0,9 8 0,2 20 0,4 11 0,1 16 0,1 10-45,-1 11 0,-3 8 0,-2 8 0,-4 6-945,-8 7 1,-6 3-3823,10 48 4767,-17-15 0,-12-33 0,-3-25 0</inkml:trace>
  <inkml:trace contextRef="#ctx0" brushRef="#br0" timeOffset="133">1008 779 8162,'-29'-66'629,"2"14"1,7 20 0,7 18 0</inkml:trace>
  <inkml:trace contextRef="#ctx0" brushRef="#br0" timeOffset="567">1414 786 12840,'-36'-35'6476,"-13"24"-6116,-16 42-180,9 35-270,30 20 90,37-5-90,35-31 270,26-36 0,15-31-90,2-6-1,1 18 1,-10 47 45,-46-1 0,-6 9 315,-6 14 0,-10 6 179,-11 10 1,-11 0-315,-11-5 0,-11-4-630,-6-10 0,-10-12-1664,-2-21 0,-4-19-765,3-27 1,5-18 2743,10-10 0,8-6 0,7-1 0,6-1 0,12-35 0</inkml:trace>
  <inkml:trace contextRef="#ctx0" brushRef="#br0" timeOffset="1084">1612 826 8702,'33'-28'9175,"9"18"-7196,3 26-810,10 35-719,-5 24-180,-6 3-91,-11-13-89,-13-38-90,-3-42 270,2-42 270,8-17-270,5 9 0,18 30-180,-3 44-90,6 20 0,1 27 0,-8-25 0,4-18 90,11-67 359,-11-15 1,2-13 450,-8 31-721,-15 52-1888,-2 25-5127,-2 52-2968,-7-15 9804,-2 1 0,-8-37 0,-5-19 0</inkml:trace>
  <inkml:trace contextRef="#ctx0" brushRef="#br0" timeOffset="1217">2616 702 8522,'-35'-67'4318,"-8"-1"-4318,1-4 0,11 30 0,22 24 0</inkml:trace>
  <inkml:trace contextRef="#ctx0" brushRef="#br0" timeOffset="1734">3015 83 8882,'-5'-42'9830,"-9"5"-7517,-4 33-1593,7 39-226,16 28 1,9 18-315,2 0 0,4 8 0,1-1-366,-3-7 0,0-2 0,0 3 208,-2-8 1,1 4-1,-1-2 1,-3-8 22,-1 16 0,-6-7-596,-3-4 1,-9-7-2599,-35 12-448,-34-51 1977,27-34 1,0-11 674,0-13 1,5-9 494,6-9 1,9-5 739,12-5 0,9-2 114,12 0 1,9 0 359,12 1 1,9 3 44,10 4 1,7 5 89,4 6 1,3 6-181,-4 11 1,0 7 90,37 10-360,-24 30-1170,-18 21-5756,-19 14 6476,-15-9 0,-10-15 0,-7-20 0</inkml:trace>
  <inkml:trace contextRef="#ctx0" brushRef="#br0" timeOffset="1867">3397 580 9961,'-16'-55'-2788,"9"9"2788,11 25 0,1 9 0,4 15 0</inkml:trace>
  <inkml:trace contextRef="#ctx0" brushRef="#br0" timeOffset="2850">3721 522 9871,'15'-25'7916,"-9"-4"-6657,-15 4-1079,-22 21 0,-4 32-1170,1 37-359,23 16 540,24 0 629,22-26 899,11-39-89,0-42-360,-11-32-180,-14-2-90,-13 3 0,-12 31-90,-10 24-360,-2 23 270,4 6 180,17-9 0,12-20 0,13-14 0,4-6 0,3 9 90,0 18 0,-1 18-899,-5 13-91,-8-1 450,2-9 720,-2-28 630,7-21-1,4-21-359,3-2-180,-2 12-270,1 14 0,-6 19-180,-1 13-360,1 6-450,9 3 271,9-10 269,14-14 450,2-21 360,-4-12-1,-12 1-89,4 12-180,-5 23-180,20 18 0,12 7 0,7-9 720,-2-22 1528,-23-22-898,-34-8-721,-37 19-1438,-31 50-4948,-6 48 5757,27-31 0,4-1 0,-2 21 0,17-31 0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26.868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1053 602 9961,'-54'-64'9830,"-4"20"-8236,-2 44-515,15 40-719,35 34-270,39 11-90,32-15 180,20-35 1349,3-45 630,-14-40-450,-24-27-1529,-40-12-180,-55 8-1350,-37 33-1753,32 38 0,-1 11-5172,-38 33 8275,34 9 0,31-9 0,22-17 0</inkml:trace>
  <inkml:trace contextRef="#ctx0" brushRef="#br0" timeOffset="467">229 442 7713,'-49'-17'8005,"0"10"-5037,-10 21-1618,12 38-271,22 33-854,30-28 0,11-1-90,13-3 0,10-5-46,10-8 1,8-11 495,5-15 0,0-14 404,-5-17 1,-8-13-361,-9-13 1,-12-10-181,-17-15 1,-17-4-270,-18-1 0,-14 3-135,-12 4 0,-9 9-405,-1 16 1,-4 15-1755,5 21 0,5 16-3913,-9 55 6027,56-11 0,13 4 0,16 25 0,7-43 0,-1 0 0</inkml:trace>
  <inkml:trace contextRef="#ctx0" brushRef="#br0" timeOffset="917">782 825 12300,'-56'-1'5397,"11"3"-5307,17 9 539,33-8 1530,25-3 90,-5-16-1799,-23-1-1440,-15 3-8454,-20 23 9444,25 6 0,-8 4 0,23-8 0</inkml:trace>
  <inkml:trace contextRef="#ctx0" brushRef="#br0" timeOffset="1384">1550 469 8252,'-12'-33'8905,"-11"-9"-5936,-9-9-1890,-3 4-629,9 17 899,1 15-719,16 15 449,1 22-360,38 19-539,10 8-90,-1-15 0,4 0 270,-4-2 0,0 1 989,26 27-539,-19 3-810,-45-19 0,-31-5-1260,-32-12-6835,-14-21-1736,8-33 9253,28 0 0,22-5 0,17 21 0</inkml:trace>
  <inkml:trace contextRef="#ctx0" brushRef="#br0" timeOffset="1567">1542 244 10771,'0'-55'9830,"2"6"-5718,19 8-3393,32 14-3327,32 10 404,-33 11 0,3 0-1124,1 0 0,-1-1 3328,25-5 0,-26 1 0,-33 5 0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30.135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0 43 11670,'13'-6'9830,"-4"10"-6707,8 55-1594,4 33-1259,-5-20 0,1 6-315,2 12 0,0 1-810,-1-1 1,-1-2-1215,-2-10 0,-3-5-810,-4-20 1,-3-6 2878,-10 11 0,3-30 0,-8-17 0</inkml:trace>
  <inkml:trace contextRef="#ctx0" brushRef="#br0" timeOffset="383">81 649 9062,'3'-61'7466,"6"32"-6837,12-28-539,39 36 0,29-7-90,-29 9 0,1-3 225,1-3 0,-4-3 764,-6-1 1,-7-5 1618,15-36 1080,-29-5-1079,-22 8-2609,-10 19 0,-2 13 0,7 51 0,0 42 0,1-1 0,1 7-2069,0 13 0,1 2-2847,2 3 1,2-3 4740,-2-18 1,1-6-1,6 15 1,-8-46-1</inkml:trace>
  <inkml:trace contextRef="#ctx0" brushRef="#br0" timeOffset="700">1112 738 15268,'-6'-32'9830,"-2"5"-9406,6 47-2402,12 4 718,13 16 1710,34-25 2968,-1-36-1169,-3-20-1979,-41-43-270,-54 16-3688,-24 3-990,17 47 1,-3 9 4677,-16 10 0,17 5 0,30 2 0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40.81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498 563 8882,'9'-64'7286,"-28"-1"-4048,-38-10-2744,5 55 1,-8 15 135,-10 19 0,2 19-271,3 20 1,12 16-225,16 16 0,22 9-225,23-23 0,13 1 0,8-4-255,8-10 0,8-4 1,6-7 164,11-2 0,6-7 0,2-11 90,29-12 0,0-21 225,-12-16 0,-7-14 45,-17-9 0,-14-10 134,-18-7 1,-17-5-90,-19-1 0,-16 3-180,-13 5 0,-12 7-45,-16 9 0,-10 13-45,-13 17 0,-6 16-45,25 9 0,-1 9 0,3 5-150,2 6 0,4 7 1,5 6-301,6 5 0,6 5 1,11 4-631,11 33 1,23 2 494,28-1 1,20-8 404,14-12 0,12-13 225,5-13 0,4-14 180,-10-17 0,-2-12-45,-11-8 0,-3-7 67,-6-5 1,-4-3-158,-4-1 0,-3-1 0,35-22 0,-12 1 0,-5-7 0,-1-18 45,-31 21 0,-2-5 449,-2-11 1,-5-5 45,-2-9 0,-6-3-136,-5-5 1,-5-2 0,-5 2 0,-4 1-136,-5 2 1,-4 3 0,-5 9 0,-5 6-135,-2 11 0,-7 9-45,-41-1 90,-7 67-1,43 21 1,8 15-90,8 18 0,13 10-60,12-18 0,9 4 0,6-3-60,7-3 0,7-3 0,7-3 0,8-2 0,6-3 0,5-7 0,0-9 0,5-6 0,-1-4 30,28 3 0,0-9 0,-9-10 0,-4-9 45,-19-7 0,-6-7 45,15-28-90,-38-18 0,-35-28 45,-5 33 0,-5-1 45,-1 1 0,-1 1-180,-18-37 90,20 34 0,26 28 0,66 39 90,-23 8 0,3 6-90,15 13 0,-1 5 0,-11 5 0,-8 3 45,-13-8 0,-12 2 0,-15 5 0,-10-2-45,-21 20-180,-6-7-629,0-39-91,39-55 630,16-31 225,9-6 0,5-6 225,-8 9 0,-1 0 90,3-4 0,-3 1 224,-11 14 1,-4 6-315,-2 1-180,5 27 90,5 74-180,-5-12 0,1 5 45,3 9 0,-2 2-270,1 5 1,-7 0-901,-13-12 1,-9-2-450,-8 4 0,-11-3 1664,-23 2 0,-7-6 0,-18 11 0,28-29 0,0-1 0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45.984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1 147 10951,'83'24'2457,"0"1"1,0-1-1,16 26 1,-17-22 3633,-21-71-6001,-25 51-810,38 14-315,-22-4 1,3 0 449,6-1 1,1-3 629,2-3 0,-3-9 1574,28-32-1079,-68-37-361,-51-19-449,-16 37 1,-9 6-3059,-26-9 719,4 19 1080,86 36 1079,43-4 1304,-3 2 1,5 0 314,1-4 1,2-1 89,-2 3 1,-1 3-1,44 14-719,-11 22-361,-13 18-448,-24 9-631,-24-8-2248,-24-5 2069,2-59 629,12-20 630,21-43 719,21 3-269,-8 31-1,10 35-359,4 62-270,-29-20 0,-2 3-45,0 5 0,0-1-360,-3-3 1,0-7 224,13-5 180,0-26 0,-13-42-180,-10-30-90,-7-18-180,1-3 181,9 13 269,12 31 629,11 39 271,27 48-451,-28-4 1,0 4-270,2 4 0,-2 1-450,-5-2 0,-6 0-90,0 18 271,-27-31-1,-9-35 90,15-39-90,18-27-1170,23-8-2517,13 16-5668,3 29 9445,-22 18 0,-14 12 0,-26 0 0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35.968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4664 980 7623,'-43'-25'4677,"-1"1"0,-21-16-719,24 7-1439,48 35 449,39 44-2204,-2-3 1,6 8-495,13 18 0,3 5-660,-20-22 0,0 0 0,0 1-1379,1 0 0,0 0 0,-1-3-1469,16 16 0,-2-6 3238,-10-14 0,-5-7 0,9 4 0,-26-27 0</inkml:trace>
  <inkml:trace contextRef="#ctx0" brushRef="#br0" timeOffset="600">5530 1286 10411,'-16'-74'9830,"-6"20"-7877,-5 77-1503,-6 45-450,17-20 0,2 3-450,0 11 1,2-1-91,0 16 540,10-69 270,13-75 44,-1 10 1,1-7 135,3-11 0,1 4 719,9-15-539,10 25-1,11 80-539,30 46-90,-6 6-90,-8-20 1,3-7-91,19-11 135,-15-18 0,2-15 224,-12-28 1,-6-13 135,-7-1 0,-8-10 104,-15-8 1,-9-10 0,-8-1 30,-13-4 0,-10-2 0,-2 1-450,1 5 0,-1 0 0,-5 2 0,-5-1 0,-4 2 0,-1 11-2069,-4 13 0,1 12-2968,-17 0-4794,28 62 9208,26 5 0,11 3 0,-4-24 0</inkml:trace>
  <inkml:trace contextRef="#ctx0" brushRef="#br0" timeOffset="2116">6494 751 9242,'3'-24'9830,"-17"-6"-7517,-6 2-1594,-19 30 91,0 64-630,23-8 0,7 6-180,6 16 0,7 1-90,7-2 0,6-5 0,5-11 0,4-8 90,22 11 180,-10-46-90,-18-39 0,-20-33 0,-22-22 0,-15-11 0,9 30 0,1 2-90,-9-19 44,14 22 1,4 0 405,10-13 180,9-12-180,22 17 179,23 27-269,30 41-315,-25 16 0,2 9-45,6 15 0,-1 7 45,-1 8 0,-4 3-45,-9-1 0,-7 0 0,-11-9 0,-8-3 0,-9 29-270,-26-38-539,-21-53 89,-3-74 540,24 16 0,8-6 135,4-12 0,7 0 0,8 9 0,7 5 45,3 16 0,6 10 90,30 4 90,4 60-90,-3 59-45,-31-22 0,-3 5-45,-2 4 0,-1 0 0,0-8 0,2-5 0,29 12 0,10-48 90,-2-53 0,-15-48-135,-35 25 0,-10-3 0,-11 1 0,-9 5 0,-7 8 0,-7 11-764,-42 13-990,22 55 359,37 32 721,46 2 809,33-21 1169,20-32 270,-3-25-180,-13-7-449,-3 13-630,-20 23-90,4 21-90,-11 9-1,-7-4 1,0-26 270,3-38 90,10-34 0,8-16 89,-1 13-269,6 31-180,-11 34-270,10 23-180,-2 7-89,6-7 179,4-22 90,-1-30 90,-6-28 0,-10-13 0,-12 5 90,-11 20-270,15 36 90,14 32-315,-10 2 1,2 7-1125,-1 9 0,-5 6-90,-5 5 0,-11 5-1574,-19 8 0,-14-1 3283,-6-13 0,-8-5 0,-11 2 0,-5-5 0,-32 14 0</inkml:trace>
  <inkml:trace contextRef="#ctx0" brushRef="#br0" timeOffset="11932">1344 2923 8432,'-8'-45'6117,"16"-6"-4768,27-11-540,30 8-539,-18 33 0,7 4-90,18 4 0,8 4-150,-9 1 0,5 2 0,4-2-239,-9 1 1,3-2 0,2 0-1,1-1 231,8-1 1,2-1 0,-1-1-1,0 0-22,-5 1 0,0-1 0,-1 0 0,-1 0 13,20-3 0,-1 0 1,-3 2 255,-12 2 1,-3 2 0,0-1-120,-1 1 0,1-1 0,1 0-120,10-3 0,2-1 0,2-1-8,-20 3 1,1-1-1,1 0 1,0 1-208,3-1 1,0 0 0,1 1 0,1 2 184,7 2 0,1 0 0,1 3 0,-1 3-238,-2 4 0,0 3 0,0 3 0,2 1 260,7 4 1,1 3-1,1 2 1,0 0-23,-16-1 0,0 2 0,1 0 0,-1 0 0,1 0-108,0-2 0,1 1 0,-1-1 0,-1 0 0,-1-2-117,11 3 0,-2-1 0,-2-2 1,-1-1 213,-11-3 0,0-1 0,-3-3 0,-4-1-49,5-3 0,-4-3 0,-2-5 168,25-10 0,-1-11-108,-26-2 0,0-6 0,0-4 30,3-8 0,-1-5 0,0-4-48,-12 7 1,0-4 0,0-1-1,-1-2-5,0-1 1,0-3 0,0 1-1,-1 0 23,-2 2 0,0 0 0,0 1 0,-2 2 30,8-8 0,-2 3 0,2 2 233,4 2 1,1 2 0,-2 4-219,11-7 0,-2 3 65,-17 13 1,0-1-1,-3 0 25,8-11 0,-7-2 161,-13 6 0,-12-3-26,-17-45-135,-36 46 0,-17 4-75,-10 10 0,-12 3 0,-6 2-91,5 4 0,-4 3 1,-3 0-1,-3 1 53,-12-4 1,-4 2-1,-2 0 1,0 0-23,-2 1 0,0 0 0,0 1 0,0 0 0,2 0 0,0 1 0,0 0 0,0 2 0,-3 1 0,0 2 0,-1 0 0,-1 3-190,17 4 0,-1 0 0,-1 2 0,0 1 0,-2 1 190,-3 1 0,-1 2 0,0 0 0,-1 2 0,1 0-307,-1 0 1,-1 2 0,1 0 0,1 1 0,4 0 283,-6 0 1,4 1-1,1 0 1,-3 2-32,7 0 0,-2 2 0,-1 0 0,2 1 0,3 0-59,-1 2 1,3 0-1,1 2 1,-3-1-1,-13 3 1,-3 0 0,-2 1-1,-2 1-163,12-1 1,-3 1 0,0 1-1,1 0 1,1-1 239,8-1 0,3 0 0,-1 0 0,1 0 0,-2 1 0,-6 0 0,0 1 0,-1 0 0,-1 0 0,1 0-36,-3 0 0,-1 1 0,0 0 0,1 0 1,3-1-19,-6 1 0,3-2 0,0 1 0,0 0 101,-7 1 0,0-1 0,0 1 0,1-1-56,3-2 0,1 0 0,1-1 1,5 0 44,-7 2 0,4 0 0,2 0 0,1-1 0,0 0 0,3 2 231,5 3 0,2 1 0,4 2-231,-16 7 0,4 2 45,-3 2 0,2 4 759,4 5 0,6 6-669,15 1 0,5 5-90,-6 12 0,2 7 75,18-9 0,3 6 0,4-2 59,-6 17 1,6 3 0,9-12 0,3 4 0,13 2-60,20 6 0,14 1 0,7-3 152,2-8 0,7-2 0,11-3-344,-2-17 0,7 0 0,6-2 0,5-4 0,3-8-756,11-7 1,6-9 0,4-5 0,1-4 0,-1 0-792,-6-3 0,1-2 0,0-3 0,-1-2 0,-1-2 1387,14-1 0,0-4 0,-3-3 0,-8-4 0,-5-6 0,-6-4 1,-10 0-1,-9 0 0,-1 1 0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43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204 959 9062,'-12'-34'9830,"4"17"-4639,-7-7-4921,7 53-3868,9 24-2608,16 37 6206,12-5 0,-7-30 0,-5-24 0</inkml:trace>
  <inkml:trace contextRef="#ctx0" brushRef="#br0" timeOffset="167">160 910 10141,'-71'-70'1979,"14"21"-3508,26 34 1529,36 25 0,20 9 0,16 2 0</inkml:trace>
  <inkml:trace contextRef="#ctx0" brushRef="#br0" timeOffset="484">264 898 9242,'91'32'9264,"-3"-10"-7105,-3-5-1079,-6-2-451,-1 13-539,-9 19-719,-14 10 269,-20-3 270,-29-12 180,-39-36 1349,-20-24 90,-15-19-899,3 8-2159,4 41-3778,7 44-4524,22 35 9522,18-17 1,28-7 0,4-38 0</inkml:trace>
  <inkml:trace contextRef="#ctx0" brushRef="#br0" timeOffset="1450">1926 850 14729,'5'-28'9084,"0"1"-8364,1 35 90,7 28-541,14 34-898,19 13 449,-8-27 0,25-33 180,-14-60 180,9-13 90,3-26 0,0 27-181,-2 23 1,17 36-90,6 33-269,-1 1 134,-32-19 0,1-6 45,33-13 90,-9-31 180,-14-27 899,-21-29-90,-21 24-989,-12 15 90,-10 49-719,4 50-810,22 17 1079,2-28 0,8-3 180,49 12 450,10-39 450,-16-47-271,-40-40-359,-48-16-90,-40 18-270,-15 41-1798,16 53-1530,39 36 1619,43 1 2339,37-29 1439,22-59-1170,-44-20 1,-5-14 89,-3-26 1,-8-10-91,-14 19 1,-5-4 0,-4 3-136,0-16 1,-7 4 449,-4 5 1,-9 17-135,-16 40-540,10 59-2339,12 59-2294,21-7 1,8 6 4362,0-10 0,3-3 0,-2-4 0,1-4 0,10 19 0</inkml:trace>
  <inkml:trace contextRef="#ctx0" brushRef="#br0" timeOffset="1617">3535 695 10231,'-72'-33'9830,"8"4"-9855,2 0-1505,58-4-5306,59-6 6836,19-2 0,9 3 0,-30 13 0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49:41.767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38 118 9602,'-9'-39'9830,"1"8"-6258,-2-6-1413,-1 53-630,12 32-945,7 21 1,6 9-540,6-2 0,3 0-855,4 10 1,4-1-2384,3-7 0,2-7 539,-11-24 1,0-5-2025,20 31 4678,-20-42 0,-16-22 0,-5-6 0</inkml:trace>
  <inkml:trace contextRef="#ctx0" brushRef="#br0" timeOffset="567">281 737 8882,'-48'-79'9804,"36"1"-9624,44 48-225,9 8 0,8-1 0,5-1 0,2-1 45,-5 2 0,-3-3 90,2-5 0,-8-4 1080,-5-34-271,-18 6 270,-19-4-179,-12 15-900,4 20-90,0 1 90,8 17 5307,1 2-5397,4 12 0,5 27 0,13 60 0,-7-22 0,3 6-180,3 10 0,3 2-3733,1-1 0,3-4-1003,0-18 1,1-8 4044,12 13 1,-10-35 0,-24-27 0</inkml:trace>
  <inkml:trace contextRef="#ctx0" brushRef="#br0" timeOffset="884">1224 562 11940,'-21'-36'9830,"-6"15"-3199,-3 30-6361,8 39-270,26 41-495,11-39 0,7-2-135,8-6 1,6-8 629,49-11 1709,-4-70-1439,-49 3 0,-10-8-270,-12-11 0,-13-1 0,-13 7 0,-11 5-2609,-7 11 1,-7 12-7017,-48 16 9625,31 31 0,21 7 0,29-10 0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0:01.516"/>
    </inkml:context>
    <inkml:brush xml:id="br0">
      <inkml:brushProperty name="width" value="0.04286" units="cm"/>
      <inkml:brushProperty name="height" value="0.04286" units="cm"/>
      <inkml:brushProperty name="color" value="#00A0D7"/>
    </inkml:brush>
  </inkml:definitions>
  <inkml:trace contextRef="#ctx0" brushRef="#br0">1053 1708 7713,'17'16'7915,"32"-7"-7645,20-10 0,18-7-91,-17-3 1,8-2 0,5-4 0,4-2-692,-12 1 1,4-1 0,2-2 0,2-2 0,1 0-1,0-1 557,5-2 0,1 0 0,2-2 0,-1-1 0,0 0 0,-1-2-30,-1-1 0,0-1 0,0 0 0,-1-2 0,-4 0 0,-5-1 81,-1 0 0,-3-1 1,-3 0-1,-5-1 0,-5-2-66,16-14 0,-9-3 0,-15-3 215,-8-26 1,-31-3-246,-32 26 0,-18 1 0,-9 2-30,-19-5 0,-13 4 1,-9 4-223,19 20 1,-4 1 0,-4 3-1,-4 3 1,-3 3 251,2 5 0,-3 3 0,-2 3 0,-3 2 0,-2 3 0,0 3-54,3 3 0,-2 3 0,-1 2 0,-1 2 0,-1 3 1,1 3-1,-1 2 54,-3 3 0,-2 3 0,0 3 0,0 2 0,1 2 0,1 3 0,2 2 25,4 1 1,0 1 0,1 3-1,2 2 1,1 2 0,4 3 0,3 1-45,-3 7 1,1 3 0,4 2 0,4 2 0,5 2 0,6 0 85,-9 17 1,8 3-1,10 1 1,14 3 20,17-4 0,10 3 0,11-2 0,11-4 31,24 13 1,19-7 0,13-7-98,-1-17 1,10-5 0,8-6-1,2-7-174,-7-10 0,3-6 1,4-5-1,2-3 1,1-4-374,-6-4 0,3-3 1,1-4-1,1-3 0,0-1 1,-3-2-1261,13-3 1,0-4 0,-2-2-1,-2-1 1,-4 0 1784,3-1 0,-4-1 0,-4-1 0,-4-1 0,4-5 0,-5-1 0,-13 2 0,20-13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1:38.44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444 449 11400,'-28'-67'6927,"-16"-1"-6118,-23 12-179,-23 36-495,39 34 0,3 13-90,4 10 0,10 9-45,8 10 0,14 1 0,41 37 0,47-40 314,-24-46 1,1-13 314,-1-13 1,-4-8-90,-4-3 0,-5-4-90,24-26-450,-5 34-810,10 43 360,-27 9 1,0 8 269,0 6 0,-3 5 404,-6 0 1,-8 2 675,-16 34-630,-55-21-855,5-38 0,-7-5-1124,-4-5 0,-1-4-5127,-36-4 6836,37-9 0,32 0 0,16-2 0</inkml:trace>
  <inkml:trace contextRef="#ctx0" brushRef="#br0" timeOffset="350">1226 149 9332,'4'-27'9830,"-18"8"-7517,-9 8-2043,1 39-540,32 29-450,30 21 405,2-27 1,3-2 493,-9-10 1,-1-2 720,30 35-540,-59-31-990,-51-20-989,-33-7-720,17-11 1,-1-7-2969,-26-23 5307,15-7 0,47 3 0,23 10 0</inkml:trace>
  <inkml:trace contextRef="#ctx0" brushRef="#br0" timeOffset="630">1199 117 7713,'88'45'0,"-1"-1"0,1 1 0,-1 0 0,1 0 0,0 0 0,-1 0 0,1 0 0,-1 0 0</inkml:trace>
  <inkml:trace contextRef="#ctx0" brushRef="#br0" timeOffset="782">1804 181 11580,'-28'-54'4858,"-8"-8"-14123,15 29 9265,25 16 0,-9 2 0,29 26 0</inkml:trace>
  <inkml:trace contextRef="#ctx0" brushRef="#br0" timeOffset="933">2379 312 9422,'15'-19'7825,"-6"4"-12412,-7-10 4587,-3 8 0,0 6 0,2 3 0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1:29.34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817 1612 9781,'-9'-25'9830,"0"16"-5718,6 27-3392,5 15-331,29 19 1,21 15 0,0-10-345,0-17 0,4-4-15,10 13 0,7 3 0,-3-23 195,4-37 0,-6-22 90,-10-10 0,-7-14 584,2-27 1,-9-6-900,-15 19 0,-5 2 0,-3-3 0,-3 7 0,-2 2 0,-4 60 0,-5 35 0,-2 27 0,-1 13 0,-3 5 0,0 4-1350,-1-12 1,0 4 0,1-1-2204,2 25 0,3-3 3553,4-13 0,1-9 0,2 11 0,5-40 0</inkml:trace>
  <inkml:trace contextRef="#ctx0" brushRef="#br0" timeOffset="550">2426 1662 8612,'2'-53'4915,"0"0"0,-8-3-3771,-21-35-245,-27 74-89,-39 39-630,37 11 0,3 8-135,4-1 0,7 7 0,12 15 0,16 1 44,36 3 91,26-21 720,26-64-226,-33-11 1,-2-6-225,29-30-315,-32 26 0,0 6-135,22 15 90,-7 24 179,7 56 271,-40-15 0,-5 5 359,-2 11 1,-8 4-720,-13 9 0,-9-1-180,-1-16 0,-8-4 0,-12 1 0,-7-8-4228,-32-4-2788,0-30 7016,29-42 0,23 7 0,21-10 0</inkml:trace>
  <inkml:trace contextRef="#ctx0" brushRef="#br0" timeOffset="833">2715 1869 10501,'18'-6'8725,"1"0"-8185,0 4 89,0 1 451,2 2 1708,-1-2-269,-2-2-3239,-10-8-1349,-13 6-3957,-15 4 6026,-4 14 0,7-3 0,8 1 0</inkml:trace>
  <inkml:trace contextRef="#ctx0" brushRef="#br0" timeOffset="1950">3264 1156 7173,'-5'-16'7466,"4"1"-5308,4-1 901,3 3 898,0-1-3057,-3 18-181,1 34-179,2 27-360,2-14 0,3 2-90,3-3 0,3-1 45,3-2 0,1-3 584,17 20-89,0-19-90,-9-21-540,-5-8 0,-6-6-90,-6-2 90,-1 1 0,-1-1 0,3 2 0,11-3 90,15-11-90,5-21 0,2-36 0,-27 15 0,-4-4 0,-4-5 0,-1 0 0,-3 4 0,-2 2 0,0-31 0,-2 83 0,4 44 0,-3 14 0,2 7-135,0 2 0,2 3-4781,4 16 1,2-2 4884,5-23 0,0-4 1,5 34-1,2-51 0</inkml:trace>
  <inkml:trace contextRef="#ctx0" brushRef="#br0" timeOffset="2316">4451 1557 8522,'22'-69'4632,"-6"17"1,-4 0-1215,-9-23-540,-17-15-1169,-34 53-989,-15 52-630,24 35 0,7 15-450,10-8 0,8 4-150,8 4 1,6 5-1,7-6 510,10-4 0,7-5 944,4 2 1,6-10 854,34-18-1259,-20-46-540,-15-6 0,-34-19-3418,-49 39-1620,-8 4-2877,-14 27 7915,35-4 0,16-9 0,16-9 0</inkml:trace>
  <inkml:trace contextRef="#ctx0" brushRef="#br0" timeOffset="2766">4882 1385 10591,'32'-82'3028,"1"0"0,-11 23 1,-6 2-2400,-8 1 1,-12 11-360,-26 22-90,-12 42-540,2 45-180,24-18 1,3 4 179,3 3 0,3-1 90,3 44 270,7-35 270,20-29 0,17-37 90,12-6 89,7 0 181,-11 28 270,-12 37 449,-20 40-900,-20-31 1,-8 1-1125,-10 6 1,-9-2-2025,-9-2 1,-7-5 2698,-4-11 0,1-8 0,-13 7 0,19-28 0</inkml:trace>
  <inkml:trace contextRef="#ctx0" brushRef="#br0" timeOffset="3950">1002 3290 9332,'4'1'5936,"20"-7"-4992,45-11 1,28-8-765,-26 7 0,9-3 0,7 0 0,3-2 0,-2 1-800,-8 2 0,-1 1 0,2-1 0,3 0 0,2-2 0,5 0 650,-9 3 0,5-2 0,2-1 0,3 0 0,2 0 0,0-1 0,1 1 0,-2 0 0,-1 1-205,-3 0 0,1 1 0,0-1 1,0 1-1,-1 0 0,1 0 1,-2 0-1,0 1 0,-1-1 208,4 0 1,-2 1 0,0-1 0,-1 1 0,0 0-1,0-1 1,0 1 0,1 0-1,1 0 1,2-1 0,2 1 0,-2-1 0,-1 1-1,-2 0 1,-5 1 0,-6 1 279,9-3 1,-6 1 0,-4 1 0,-3 0 0,-1-1-134,8-1 0,-2 0 0,-5-2 0,-5-3 89,1-5 1,-6-4 0,-11-6-45,-4-23 0,-13-5-225,-5 5 0,-8-5-90,-6-23 0,-13-6-60,-14 27 0,-9 0 0,-2 1 461,1 5 0,-3 1 0,-6-2-334,-5 3 1,-5-2 0,-5 0-1,-4 4 0,-7 3 1,-5 3 0,-3 1-1,0 2 537,2 0 0,1 2 0,-3 0 0,-6 0-550,-5 2 0,-6-2 0,-4 2 0,0 2 0,2 5-128,-9 0 0,2 4 0,-1 4 0,-4 0 146,11 4 0,-3 1 0,-2 2 0,-1 2 0,-2 5-12,10 4 0,-2 4 0,-1 2 0,-1 2 0,0 2 0,1 1 0,-1 3 0,1 2 0,0 2 0,-2 1 0,0 2 0,-3 1-164,2 1 1,-1 1 0,-3 1 0,0 1 0,-1 2 0,1 1-1,0 2 181,-1 1 0,-2 3 0,1 1 1,0 1-1,1 0 0,2 1 0,2 0 13,-3 1 0,3 0 0,1 1 0,1 0 0,1 3 0,0 1 0,1 3 0,-1 2 0,0 1 0,3 2 0,4 1 0,4 1-53,-11 11 1,7 1-1,4 3 1,1 4 70,13-7 0,0 3 0,3 3 0,2 1 0,4 1 49,-6 14 0,4 2 1,5 2-1,6 2 45,8-4 1,4 3-1,6 0 1,7 0 22,9 1 0,6 0 0,7 0 0,7-3-90,8-4 0,6-3 0,7-2 0,3-2-111,6-1 0,6-3 1,4-2-1,2-4-631,2-3 0,3-4 0,1-4 0,2-3-1072,20 4 0,2-7 0,-2-6 1689,-11-9 0,-2-5 1,-4-4-1,14-1 0,-6-7 1,-19-11-1,-1 0 0</inkml:trace>
  <inkml:trace contextRef="#ctx0" brushRef="#br0" timeOffset="5166">2942 4190 11940,'-37'-37'8096,"-22"13"-7197,-31 24-359,15 21 89,27 35-494,74-7 0,23 3-135,1 0 0,9 0 30,4-5 0,7 1 0,-3-1 375,17 10 0,-5-3 269,-13-8 1,-9 2 314,-19-2 1,-19-1 89,-48 10-629,-37-6-585,8-32 0,-5-11-1799,7-9 0,1-8-270,-1-3 1,3-8-406,9-12 1,9-8 2608,-4-48 0,15 30 0,18 10 0</inkml:trace>
  <inkml:trace contextRef="#ctx0" brushRef="#br0" timeOffset="5550">2851 4293 8072,'3'-36'6836,"-1"12"-2968,-2-15-2518,5 10 448,33-5-898,35-6-1305,-11 18 0,5 2-495,7-1 1,1 1 269,3 0 1,-2 1 494,-12 1 0,-3 1 1214,-11 2 1,-4 0 2518,17-9-630,-24 8-1708,-16 13-1260,-4 38 0,6 35 0,-6-10 0,3 8-3553,4 12 0,2 3-855,1 5 1,-1-3 4124,-4-14 0,-2-7 0,4 17 1,-17-53-1</inkml:trace>
  <inkml:trace contextRef="#ctx0" brushRef="#br0" timeOffset="6350">4467 3508 8432,'-30'-29'5217,"-31"-6"-4363,1 7 1,-10 2-705,7 9 0,-6 3 0,-6 2-535,-2 4 1,-5 1 0,-4 3 0,-1 3 491,9 2 1,-2 2 0,-2 2 0,-1 1 0,-1 3 36,-10 2 0,-1 2 0,-2 2 0,1 3 0,1 3-185,0 2 0,1 2 0,0 3 0,2 2 1,1 4 201,4 1 1,0 2 0,2 3 0,2 3 0,4 3-36,4 2 0,3 2 0,2 4 0,4 1 0,3 1 24,-4 10 1,4 3 0,5 1 0,8 2-84,10-4 1,5 2-1,8 1 1,10 0-8,12 20 0,16 1 0,15-5-30,19-5 0,16-5 0,11-6-30,-4-17 0,8-4 0,6-5 0,2-6-214,-10-11 0,3-3 1,3-5-1,1-3 1,1-4 195,6-4 0,3-4 0,1-5 0,0-2 0,-1-4 0,-2-3 0,-1-4 0,1-2 0,-2-3 0,0-2 18,-1-3 0,0-2 0,0-2 0,-3-2 0,-2-1-23,8-6 1,-1-2-1,-4-2 1,-3-1 143,-8 2 1,-3-1-1,-2-2 1,-6 0-122,5-8 0,-5-2 0,-7-1 489,-10 1 0,-5-1 1,-6-2-310,0-28 0,-15-4 134,-16-9 1,-17-2-27,-6 33 0,-7 0 1,-6 2-229,-10 0 0,-7 2 0,-6 6-117,-11 3 1,-7 7 0,-5 6-964,-9 5 1,-5 8 0,-3 8-241,16 8 1,-2 6 0,-1 3 0,3 2 1259,-16 4 0,3 5 0,4 2 0,14 0 0,3 3 0,7 0 0,2 7 0,0-1 0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3:45.20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33 176 8432,'-14'-23'6746,"3"2"-3867,7 3-541,1 0-1708,5 38-180,11 29-315,2-3 0,4 5-1,8 4 1,7-2-90,6-5 0,5-7 180,4-13 0,2-11 405,43-20 224,-43-31 1,-6-12-1,-12 1 1,-6-3-361,1-5 1,-5 1 585,0-23-1080,-6 51 0,-3 31 0,7 71-990,-11-25 1,-1 4-1440,0 9 1,3 3-2430,7 8 1,3-4 4857,11 9 0,1-12 0,-17-57 0</inkml:trace>
  <inkml:trace contextRef="#ctx0" brushRef="#br0" timeOffset="350">1277 91 10411,'-84'-39'9445,"14"7"-9355,54 22 179,36 3 361,61 5 449,-28 5 1,2 2 539,42 10-360,-10 28-1079,-47 42-1574,-26-38 0,-2 4-1530,-1 20 1,0 2 2923,3-2 0,1-5 0,1 19 0,8-17 0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3:51.07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780 51 9332,'2'-19'5846,"-21"-3"-4406,-35 13-946,-6 18 1,-7 12-225,-12 18 0,0 14-181,21-7 1,0 6 0,8 5 0,9 0 0,6 4 0,13 2 45,12 38 0,26-4-90,30-13 0,21-13-94,-10-26 0,8-8 0,4-8 79,9-10 0,5-10 0,-1-9 240,-1-9 0,-2-9 0,-3-8-1,-4-6 1,-4-8 0,-8-4 90,11-25 0,-21-9-180,-30-5 0,-25 0-90,-31 8 0,-21 8-60,6 25 0,-8 6 0,-4 7-146,-11 8 1,-4 9-1,-1 8 116,2 9 0,0 9 0,4 8 0,7 5 0,4 8 0,9 5-42,-7 28 0,22 7 42,26-1 0,26-3 0,49 2 0,25-16 0,4-24 0,7-15 105,-22-9 1,3-6-1,-4-15-105,-2-20 0,-5-16 0,-11-6 0,-6-28 0,-19-9-30,-13 22 0,-6-4 1,-19 5 29,-26-1 0,-20 5 0,-10 16 29,-14 21 1,-10 17 0,-2 9-116,-10 4 0,-2 11 0,3 17-859,15 13 1,1 13 0,6 8-1,11 1-1656,8 12 1,12 4-1,8 2 2601,6-4 0,7 2 0,12-7 0,21 6 0,14-11 0,28 9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3:40.27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5325 209 10411,'-3'-64'9830,"-5"11"-4998,-4 28-3753,6 46-989,18 57-2429,2-20 1,4 5-586,5 6 1,2-1 2923,-2-7 0,0-5 0,5 11 0,-14-36 0</inkml:trace>
  <inkml:trace contextRef="#ctx0" brushRef="#br0" timeOffset="200">5311 534 11041,'-66'-35'9830,"20"4"-6888,49-12-4651,73 5-900,-8 16 1,8 4 2608,6 4 0,-2 3 0,-24 4 0,-6 2 0,13 3 0</inkml:trace>
  <inkml:trace contextRef="#ctx0" brushRef="#br0" timeOffset="383">5637 668 10231,'-55'23'9830,"17"-8"-6078,16-2-6630,69-17-91,2-3 1,7-2 2968,12-4 0,0 0 0,-7 1 0,-3 0 0,32-11 0</inkml:trace>
  <inkml:trace contextRef="#ctx0" brushRef="#br0" timeOffset="1250">6972 335 11400,'-13'-2'2609,"46"-10"0,31-5-2430,16-4 1,18-1 0,6-1-733,-21 6 0,4-1 0,4 1 0,3 0 0,-1 0 388,-7 3 0,3 0 0,1 0 0,0 1 0,-1 1 0,-4 0-87,2 0 0,0 1 0,-3 1 1,-3 1-1,-5 2 385,23-2 1,-8 3-1,-23 1 227,-23 1-90,-105 5 0,-51 3-135,29 0 0,-9 1 0,-7 2 0,-5 0-258,12 1 0,-5 1 0,-4 1 0,-2 1 0,0 0 0,3 1 168,2 1 0,-1 0 0,1 1 0,1 0 0,2 1 0,4 1-9,-5 0 0,-2 0 0,4 1 0,12 2 0,18 4 49,0 14 1,37-2 71,71-16 1,56-11-1,25-3 1,-7 0-69,-33 0 1,3-1 0,3-1 0,2 0 0,2 0 0,2-1-91,-12 0 1,4 0-1,2 0 1,1-1 0,0 0-1,-2 0 1,-4 0-1,-4-1 19,19 2 0,-2-1 0,-5 0 0,-6-1 0,-7-2-18,22 1 0,-9-2 0,-52-6-241,-74-12 1,-35-1 222,5 9 0,-16 4 0,-10 1 0,-4 1 0,-1 1 69,9 2 0,-3 0 1,-4 0-1,-1 2 1,-2 0-1,1 1 1,0 1 56,-1 0 1,-2 2-1,-1 0 1,0 1-1,3 1 1,2 0-1,6 0-90,-19 1 0,-7 0 0,9 2 0,26 1 0,43 5 72,51 10-75,31-13 0,34-7 0,23-4 0,12-2 0,3 0 0,-9 2-15,-20 1 0,2 1 0,2-1 0,2 1 0,0-1 0,2 1 0,-1-1 0,1 1-100,-6 0 0,2 0 0,2 0 0,0 0 0,0 0 0,-2 0 1,-1 0-1,-5 1 0,-3-1-95,15 0 0,-2 1 0,-4 1 0,-4-2 0,-8 0 1,-7-2-316,12 0 0,-10-1 0,-22-9-216,-17-24-803,-81 8 0,-27 2-990,10 6 1,-1 2 2518,-2 0 0,5 2 0,3 5 0,44 9 0</inkml:trace>
  <inkml:trace contextRef="#ctx0" brushRef="#br0" timeOffset="-2734">4 660 12120,'-2'-29'7736,"1"20"-7107,1 37 181,8 21-181,24 36-314,-1-45 0,7-4 225,39 18 179,-19-42 1,3-16 314,-5-24 1,-4-11-451,-6 4 1,-2-4-135,-2-10 0,-6 0-450,-4-5 0,1 24 0,-9 48 0,2 49-2654,-16-12 1,-2 8-900,0 14 0,-1 2 3553,-1-3 0,-1-5 0,2 25 0,-1-44 0</inkml:trace>
  <inkml:trace contextRef="#ctx0" brushRef="#br0" timeOffset="-2267">1319 734 9512,'4'-56'3178,"0"0"0,-6-3 0,-7 5-1469,-30-22-1529,-29 39 90,-6 69-270,19 44-180,41-27 0,10 1-90,26 38 180,27-24 180,11-23-90,2-15 90,-1-1 0,-5 10 540,-9 12 629,-22 12-359,-31 0-631,-37-4-2967,-31-16-2249,-12-19 4947,11-22 0,33-2 0,22-6 0</inkml:trace>
  <inkml:trace contextRef="#ctx0" brushRef="#br0" timeOffset="-1983">1702 1029 3155,'21'-1'7646,"-2"3"-4971,-1 2-1955,-1 2 4507,1-4-3787,-3-19 432,-18-7-2592,-19-9-2249,-19 19-6862,4 26 9320,15 9 1,14 0-1,10-10 1</inkml:trace>
  <inkml:trace contextRef="#ctx0" brushRef="#br0" timeOffset="-1267">2473 473 9871,'1'-18'5577,"-1"1"-630,-3-1-179,0 1-2520,-3 2-1348,5 17-540,2 18-360,22 50 0,15 9 0,-7-31 0,3-3 0,34 11 0,29-55 0,-54-26 0,-3-9 0,3-4 0,-3-6 0,-5-11 0,-6 1 0,2-12 0,-3 16 0,-6 76 0,-3 42-3059,-6-15 1,1 5-1858,7 20 1,0-2 3527,5 7 1,6 0-1,-24-72 1</inkml:trace>
  <inkml:trace contextRef="#ctx0" brushRef="#br0" timeOffset="-767">3641 481 7623,'9'-70'7825,"-6"3"-5936,-4 10 0,-2-1-1259,-10-15 89,-11 5-269,-18 56-270,10 16 180,-11 26 1079,22 3 180,4 15-180,1 29-1034,6-14 0,1 3-315,1-3 0,3 1-90,0 17 0,7-2-360,13-22 0,7-6 90,27 23 180,37-44 360,-41-48 0,-3-13 270,27-37-361,-38 15 1,-14-2-450,-41-27-2428,-23 32-3688,-40 42 6386,26 36 0,18-3 0,28-6 0</inkml:trace>
  <inkml:trace contextRef="#ctx0" brushRef="#br0" timeOffset="-350">4196 410 8882,'23'-61'9830,"-19"-7"-7607,-16-19-1953,-33 29-90,-13 45-540,14 44-809,29 32 449,33 8 450,23-7 450,10-18 180,1-10 90,-1 1 269,-9 14 271,-18 22 719,-28 19-1215,-12-42 1,-7 0-360,-10 1 0,-7-3-1844,-5-5 0,-3-5-2339,0-9 1,1-7 4047,-20-2 0,29-17 0,26-10 0</inkml:trace>
  <inkml:trace contextRef="#ctx0" brushRef="#br0" timeOffset="3099">1420 1560 9602,'15'-24'9264,"-11"10"-6835,-44 55-2249,-7 10 0,-10 12-1,4-2 1,-4 8 0,-1 1-372,12-13 0,-1 1 1,0 1-1,1 1 192,-1 1 0,0 2 0,1-1 0,4-2-300,-4 5 0,3-2 1,3-2-341,-9 14 1,6-7 9,-7 14 540,34-62 0,22-50 720,5-31 899,-2-16-26,-12 9-1143,-18 28 363,-22 45-543,-14 47-90,26-13 0,6 6-45,6 3 0,9 0-135,25 34-2429,56-33 90,-13-39 1,8-11 2428,10-8 0,1-6 0,-16 1 0,-4-1 0,-6 0 0,0-1 0</inkml:trace>
  <inkml:trace contextRef="#ctx0" brushRef="#br0" timeOffset="6916">4030 1238 12030,'-24'-15'7016,"14"3"-5936,52 14-631,16 7 1,14 6-300,11 3 0,10 5 0,5 1-501,-12-3 0,3 2 0,2 1 0,0 1 369,-13-5 0,0 1 0,1 0 0,-1 1 0,-3-2-153,10 4 0,-1-1 0,-3 0 0,-4-2-122,1 1 1,-4-2 0,-7-1-374,5 1 1,-9-4-1350,18 3 1079,-43-13 900,-17-11 90,-32-13 1540,-14-8-101,-50-23 454,0 1-1444,31 20 1,0 1 1259,-35-24-1439,38 22-180,6 0 0,82 38-180,27 27 0,-20-11 0,2 5 0,0 11 0,-7 4 0,-1 21-180,-28 0-3688,-55-7-4228,-6-12 8096,-1-6 0,22-18 0,16-15 0</inkml:trace>
  <inkml:trace contextRef="#ctx0" brushRef="#br0" timeOffset="7516">6915 1818 9152,'-31'-22'8095,"-3"4"-7465,-2 5 89,14 25-359,42 25-270,42 32-45,-14-26 0,5 1 360,3 0 0,0-2 629,-10-6 0,-6-1 406,-2 25-811,-63-25-1528,-48-4-1395,24-20 0,-2-5-7537,-42-4 9433,36-7 0,29-3 0,24 1 0</inkml:trace>
  <inkml:trace contextRef="#ctx0" brushRef="#br0" timeOffset="7832">6996 2031 9422,'-9'-41'8725,"-1"-9"-7556,22 1-1079,26-9 0,26 2-45,-15 29 0,3 2 854,32-10 271,-3 2 449,-20 15-270,-9 35-809,-2 35-1350,-25-7 1,-3 7-2160,0 13 1,-3 3 2968,4 8 0,-1-3 0,-6-19 0,2-4 0,19 40 0</inkml:trace>
  <inkml:trace contextRef="#ctx0" brushRef="#br0" timeOffset="7982">8120 2377 12840,'-26'-72'4677,"0"5"-7645,3 5 2968,28 10 0,-1 27 0,16 6 0</inkml:trace>
  <inkml:trace contextRef="#ctx0" brushRef="#br0" timeOffset="8349">8468 1507 9512,'9'-48'3276,"0"0"1,11-4 0,8 13 1824,31 34-4291,18 23-451,-20 54-269,-42-17 0,-8 6-45,-7 5 0,-4 1 0,0-3 0,7-3-90,10-11 0,12-8 45,19-13 0,11-10-180,16-9 0,5-10-764,2-6 0,0-3-1125,-9-2 0,-5-1-899,12-6 2968,-30 7 0,-33 7 0,-4 2 0</inkml:trace>
  <inkml:trace contextRef="#ctx0" brushRef="#br0" timeOffset="11932">4533 2154 11041,'-60'-17'8095,"0"9"-7645,-15 20-90,29 15-270,17 11 89,81 17-134,-11-24 0,5-2 135,7 2 0,1 2 719,0 4 1,-6 2 629,-1 19-989,-29-1-180,-76-12-900,-21-24-854,15-15 0,0-10-225,12-16 0,7-8-180,-18-30 854,54 7 1,18-4 314,29 1 0,12 3 585,1 0 0,5 2 899,19-7 1,2 4 1034,-15 11 0,-4 3-900,-9 6 1,-4 2 2428,20-18-1799,-24 53-1259,-13 23-4408,13 59-868,-18-20 1,-2 2 4904,-2-10 1,-1-2-1,2 4 1,-1-5-1,3 1 1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4:10.604"/>
    </inkml:context>
    <inkml:brush xml:id="br0">
      <inkml:brushProperty name="width" value="0.025" units="cm"/>
      <inkml:brushProperty name="height" value="0.025" units="cm"/>
      <inkml:brushProperty name="color" value="#E71224"/>
    </inkml:brush>
  </inkml:definitions>
  <inkml:trace contextRef="#ctx0" brushRef="#br0">1 1 24575,'0'0'0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6:43.08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305 462 7443,'-17'-47'8005,"-9"-4"-5126,-17-15-1710,-14 27 90,-8 49-629,3 65-450,39-16 0,11 8-135,14 16 0,17 1-90,20-2 0,16-8-45,18-7 0,12-15 90,-22-28 0,3-7 0,1-11 30,2-10 0,0-10 0,-3-9 52,-3-11 0,-3-10 0,-6-6 247,-4-5 1,-5-6 0,-7-2-1,-7-2 1,-5-3 0,-8 1 165,-5-24 0,-12 5-270,-9 16 0,-10 10 45,-37-12-181,-11 79-89,35 30 0,7 15-135,8 21 1,13 8-226,13 11 0,13-1 90,12-7 0,10-9 327,6-17 0,7-14-57,-1-21 0,1-16 90,-5-19 0,-5-13-45,-6-9 0,-6-7 45,-8-4 0,-7-1-90,0-22-180,-16 17 90,13 39-90,14 24 90,36 38 90,-31-16 0,-2 2 0,28 37 90,-33-3-90,-40-21-1259,-16-8 539,-5-24-179,24-44 539,21-21 270,27-27 90,14 12 90,2 18-90,-10 24 90,-14 28-90,-21 27 0,-9 19 0,-10 8-90,1-13 180,-2-12-90,-1-28-1079,-1-21-1260,4-46 630,19-28 1394,4 25 0,5-2 765,7-1 0,3 2 359,-2 6 1,0 3 359,-1 4 0,-2 4 720,2-5-1259,-2 21 180,-11 81-541,1 25-224,-9-19 0,-2 3 0,0 1 0,0-5 45,-1 10 0,-2-82 180,12-67-180,-6 10 0,3-3 0,5 8 0,3 5 0,24-22 0,-2 51-90,-2 48 90,-13 30-180,-15 38-360,-13-18 90,-3 12 180,21-31 90,25-4 180,5-6 0,-15 12-1169,-67 19-1620,-12-25 1,-12-2 2698,-26 2 0,-3-5 0,17-9 0,2-4 0,1-9 0,1 0 0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6:40.96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365 462 11580,'-2'-51'7916,"-23"3"-6747,-27 26-179,-35 36-406,39 14 1,4 10-1,3 11 1,7 6-180,12 6 0,12 4-91,16-1 1,13-2-135,13-5 0,13-8-135,15-8 0,10-13 45,11-15 0,5-15-45,6-15 0,-2-14 0,-3-16 0,-8-14-117,-32 13 1,-5-6 0,-5-2 71,5-34 0,-12-3 135,-12 3 0,-10 2 0,-10 13 0,-9 7 45,-27-12-180,-10 68 0,11 67-270,31-2 0,9 7-253,10 9 1,9 0 162,11 1 0,8-6 225,0-10 0,6-10 225,3-16 0,2-13 630,44-30-316,-53-10 1,-5-9 135,16-46-450,-38 9 0,-32 29-180,-24 42-270,1 34-180,15 24 181,26 1 359,13-19 0,28-24 0,-3-28-90,13-12 90,-4 7 0,-7 25 0,-5 33 0,-13 28 90,-15 11-90,-24-4 90,-24-22-450,-14-32-90,9-23-1259,20-51 540,45 7 719,33-25 405,-10 39 0,7 2 180,3-3 0,2-1 224,-6 3 1,-1-3 360,-2-7 0,-6-1 179,1-16-629,-13 0-180,-25 25-90,0 23 0,13 24 0,23 37 0,3 8 90,4 26 0,-36-5 0,-22-11-1799,-54-4-3688,-6-44-900,-7-22 6297,35-27 0,26 4 0,15 4 0</inkml:trace>
  <inkml:trace contextRef="#ctx0" brushRef="#br0" timeOffset="400">2370 126 8882,'15'-13'8815,"3"0"-5847,-1 22-2068,-6 26 719,-10 63-1260,-9-20 1,-3 5-270,0-4 0,0-1-90,-2 5 0,1-7-90,2-6 90,15-81 0,6-44 0,3-21 390,-1 8 0,2-6 0,-1 1-31,-1 4 1,0 1 0,0 2 224,3-31 1,5 16 495,19 30-900,-4 54-1530,27 69-1843,-31-6 0,-5 6 1124,0-5 0,-4 2-2743,-1 12 0,-6-6 4812,-4 1 0,-7-21 0,-6-44 0</inkml:trace>
  <inkml:trace contextRef="#ctx0" brushRef="#br0" timeOffset="533">2715 786 13289,'-44'-6'6926,"11"1"-8994,52-8-1126,24 1 1,13 3 3193,7-3 0,5 1 0,7-1 0,0 1 0,-18 3 0,0 0 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38.21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24 330 10861,'-16'-10'7645,"8"-5"-7285,18 5-180,13-1 90,34 10-180,20 0-45,-2-2 0,6-2-45,-3-1 0,0-2 0,8-2 0,-2-2 45,-12-6 0,-8-2 405,0-9 539,-12-21 360,-71 4-719,-6 7-360,-31 3-270,35 38 0,9-2 0,58 31 0,38 9 0,5 3 45,-38-18 0,-3 0-1485,12 19-179,-32-15-2968,-19 17 4587,-17-25 0,-4 1 0,8-15 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38.9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41 120 15358,'-20'3'5577,"1"2"-5487,17-2 0,24 0-90,42-1 90,16-4-90,4-7 90,-29-3 360,-30-18 179,-27 2-449,-7-3-180,6 8 0,33 22 90,14 16 720,19 19-361,-18 12-718,-34 4-3150,-34 2-2607,-29-3 6026,-8-14 0,23-14 0,12-14 0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46.66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91 1116 8162,'-30'-12'7646,"10"2"-6027,-9-3-1259,18 17-90,11 5 89,30 23-89,36-2-180,-17-14 0,5-6-90,10-7 0,3-9 315,2-9 0,-1-11 224,1-13 1,-4-10 90,-8-7 0,-8-8-1,-6-10 1,-10-5-136,-11 0 1,-7-1 0,-8-3 0,-6 1 44,-4 6 1,-3 3 89,-2 7 1,-1 3 90,-8-28-180,-2 22-540,0 80 0,4 35 0,7 9 0,3 8 0,5-1 0,3 4 0,5 16 0,6 0 0,1-14 0,4-1 0,7 9 0,5-2 0,1-15 0,3-5 0,2-8 0,2-5 0,40 16 0,-3-41 0,-3-47 0,-36-3 0,-3-10 0,-1-11 0,-4-6 0,-2-9 0,-4-2 0,-4 0 0,-5-1 0,-4 3 0,-4 1 0,-4 6 0,-1 4 0,-3-34 0,-4 17 0,3 35 0,-1 6 0,1 13 0,1 30 0,1 27 0,1 33 0,0-7 0,0 4 0,0-1 0,0 0 0,0 9 0,1 2 0,2 5 0,4-2 0,3-16 0,3-3 0,2 1 0,7-3-2474,11-10 0,6-8-3192,38-1 1618,11-17 4048,-5-41 0,-44 8 0,-4-9 0</inkml:trace>
  <inkml:trace contextRef="#ctx0" brushRef="#br0" timeOffset="800">2194 1043 12480,'-3'14'9265,"-1"16"-8726,-10 60-449,7-40 0,-1 1-45,-1 6 0,-1-2 1574,-5 32-1349,7-55 90,6-27 989,17-81-630,-4 30 1,1-4-180,4-16 0,1-4-540,0 4 0,-2 2 0,-3 14 0,-1 4 0,11-20 0,-3 44 0,9 28 0,4 39 0,5 28 0,-18-28 0,0 2 0,-1 0 0,-2 1 0,15 44-6567,-6-14 1260,-5-14-4317,-7-23 9624,-8-8 0,-2-23 0,-5 0 0</inkml:trace>
  <inkml:trace contextRef="#ctx0" brushRef="#br0" timeOffset="1083">2279 1401 7892,'-35'-13'9830,"-2"4"-2479,-6-2-4563,45 6-1978,31-3-810,49-6-990,9-7-7645,0-4 8635,-12 0 0,-36 12 0,-16 3 0</inkml:trace>
  <inkml:trace contextRef="#ctx0" brushRef="#br0" timeOffset="1933">3220 751 7533,'-24'-2'9830,"16"-5"-6888,14 1-1862,23-5 1528,46-3-1709,-17 2 1,7 0-495,23-4 0,5-1-270,5-1 0,0 0-90,-5 2 0,-4 0-1260,-19 3 1,-6 0-4093,30-7-1169,-41 7 6476,-18 1 0,-25 9 0,-2-2 0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40.71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777 87 9961,'-27'1'6207,"0"0"-5218,-1-1-539,2 0-360,22 2-90,14-3 0,23 0 90,22-8 629,-7-6 181,-5-1-180,-29-13-541,-20 17-179,-4 5 0,5 16 0,18 25 0,-1 1-899,-9 14-3599,-19-4 4498,-11-4 0,5-18 0,10-9 0</inkml:trace>
  <inkml:trace contextRef="#ctx0" brushRef="#br0" timeOffset="2483">1476 676 10231,'-38'-12'7466,"-1"-2"-6657,0 1-719,28 4-90,38 5-269,53 3 134,-27 1 0,3-1 90,4-2 0,-1 0 764,35-9 721,-37-14-811,-49 1-179,-32-7-270,-6 14-90,6 24-90,38 22 0,17 24 0,6 5-180,-23 0-3148,-29-1 3328,-22-2 0,9-23 0,5-8 0</inkml:trace>
  <inkml:trace contextRef="#ctx0" brushRef="#br0" timeOffset="3866">888 1163 9332,'-20'-34'4407,"-9"-4"-3957,-18 2 269,-24-1 1,-23 6-405,39 19 0,-2 2-1,-2 2 1,-1 4-45,1 1 0,0 5 0,4 5 0,2 6-135,5 7 0,6 7 314,-19 49-179,43 22-180,31-42 0,15-2 0,20 1 0,12-7-45,15-3 0,7-8 0,9-9 0,2-10 0,2-13 0,-2-11 314,-6-9 1,-4-11 180,-8-7 0,-6-9 134,-11-5 1,-10-6-270,-15-2 0,-14-2-271,-20-4 1,-18 4-45,-26 4 0,-16 10-1035,-23 6 1,-10 15-555,24 14 0,-3 7 0,2 6-1778,2 6 0,3 5 0,4 2 2478,-4 4 0,10 3 0,-9 16 0,54-31 0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39.91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5 242 9961,'-4'9'9535,"30"0"-8905,48 0-496,-13-7 1,6-2-90,10-3 0,1-2 315,-3-3 0,-2-4 404,-12-2 1,-8-6 404,7-26-269,-52-8 179,-36 0-719,-8 15-360,21 23 90,40 29-180,51 33 135,-32-16 0,0 3-90,2 5 0,-5 2-675,1 39-3327,-39-5-2969,-23-7 7016,14-14 0,-1-24 0,20-13 0</inkml:trace>
  <inkml:trace contextRef="#ctx0" brushRef="#br0" timeOffset="2450">1672 663 12390,'-46'-26'7376,"13"7"-7286,22 2 180,69 12-450,4 2 0,10-1-150,-6 2 0,5 0 0,1-1 180,3-1 0,2-1 1,-3-2 104,25-6 0,-9-6 494,-27-1 1,-13-7 270,-16-28-1,-58-1-359,-25 12-270,16 27-180,64 32-135,17 9 0,10 5 90,14 6 0,2 2 135,1 2 0,-6 0-45,-17-8 1,-12 3-856,-19 33-2518,-47-13 3418,-22 8 0,13-31 0,16-8 0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17.41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920 1113 12660,'4'-54'6206,"-25"-13"-5396,-24 17-271,-35 11-269,-14 53-225,46 14 0,6 10-45,8 2 0,10 7 0,16 19 0,16 1 0,34 21 45,-5-44 0,7-12 135,43-30 90,-41-21 0,-2-8-45,-4-5 0,-2-3 404,34-27-449,-6 42 0,0 42-180,3 37 90,-15 12 90,-25 22 0,-43-20-270,-29-4-1709,-3-45 0,-7-10-3868,-31-11 5667,5-23 0,41 2 0,32-3 0</inkml:trace>
  <inkml:trace contextRef="#ctx0" brushRef="#br0" timeOffset="584">1569 933 9062,'59'-50'9830,"-14"37"-6438,-6 30-3167,-13 21 0,-1 9-135,3 0 0,2 1-90,3 5 0,1 2 0,0-1 0,-3-3-180,3 8-1169,-14 3-900,-60-51 0,-13-16 765,6-17 0,-1-11 314,4-10 1,5-5 854,4 3 1,3-2 314,3-7 0,9 1 629,14-27-269,22 14 0,46-3-135,-11 38 0,5 3 89,-4 1 1,3-1 494,17-5 1,3-1 269,-1-2 1,-2 1-406,-9 7 1,0 1 269,10-2 1,-3 10 854,18 30-539,-14 49-1395,-47-5 0,-9 10-2114,-8 14 0,-9 5-2667,-7 7 1,-4-3 4578,2-23 1,-2-6 0,-9 24-1,15-66 1</inkml:trace>
  <inkml:trace contextRef="#ctx0" brushRef="#br0" timeOffset="734">2478 995 8612,'-26'-47'3553,"0"0"0,0-3-5082,-4 5 0,10 4 1529,34 23 0,-12 8 0,21 9 0</inkml:trace>
  <inkml:trace contextRef="#ctx0" brushRef="#br0" timeOffset="867">3028 822 15088,'24'-18'-3418,"3"3"3418,0 0 0,-9 8 0,-10 5 0</inkml:trace>
  <inkml:trace contextRef="#ctx0" brushRef="#br0" timeOffset="1450">3262 441 7982,'-11'-56'2758,"1"-1"1,-15-2 0,-12 0-2490,-3 11 1,-10 1 0,-10 8-1010,-8 10 1,-11 8 0,-7 6 0,-7 6 764,13 8 1,-6 4 0,-5 4 0,-3 5 0,-2 2-1,0 2 1,2 2-181,7 1 0,-1 2 1,-1 3-1,0 2 1,0 1-1,0 3 1,1 1-1,-1 1 284,6 0 1,-2 2 0,-1 1 0,0 1 0,1 2 0,2 1 0,2 2 0,4 0 0,5 2 50,-18 14 0,3 2 0,4 2 0,7 3 0,8 1 0,10 3-30,9 3 1,7 3 0,9 2-1,10 0 1,12-1-106,16 16 0,17 1 0,13-1 0,9-6-207,2-16 0,9-3 0,7-4 0,5-2 0,1-5-318,7 1 0,4-4 0,4-4 0,4-6 1,1-7 389,4-8 0,4-5 0,2-8 0,2-7 0,-1-9 204,-11-7 1,1-8-1,1-6 1,0-6-1,-1-4 1,0-4 77,-5-3 1,0-5 0,1-4 0,-2-4-1,0-3 1,-1-1 0,-3 0-26,1-1 0,-2-3 0,-1-1 0,-1-2 0,-2-1 0,-1-2 0,-3 0 165,-1-1 1,-1-2 0,-1-1-1,-2-1 1,-3 0 0,-5 1 0,-6 3-190,2-6 1,-2 1 0,-7 1 0,-10 1 0,-16 0-221,-15-9 1,-14-3 0,-15 7 0,-17 12-176,-20 18 0,-20 12 0,-14 9 0,-6 6 0,1 2-147,13 4 1,-4 3 0,-4 3 0,-2 4-1,-2 3 1,1 3 0,1 3-223,6 2 1,0 4-1,-2 2 1,0 3-1,1 2 1,1 3-1,3 2 1,2 2 620,-2 5 0,0 5 0,1 3 0,3 1 0,4 2 0,5-1 0,6-1 0,-14 10 0,9 0 0,7 1 0,8 3 0,14 13 0,-1-1 0,1 0 0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7:49.67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4058 971 11131,'-16'-7'9534,"12"8"-9174,53-18 539,20-23-179,-9-1 0,-1-10-136,-7-11 1,-8-8-46,-3-5 1,-8-3 135,-10 4 0,-6 2 89,-8 8 1,-5 3-585,-5-34-180,-4 35 0,-3 41 0,0 60 0,6 6 0,2 9 0,5 22 0,5 5 0,9 8 0,8-1 0,6-5 0,9-7 0,5-16 0,8-13 0,2-18 0,3-15 0,5-23 0,-2-16 0,2-17 0,-6-12 0,-3-16 0,-7-9 0,-9-6 0,-9-3 0,-9 5 0,-8 2 0,-7 8 0,-5 5 0,-6-28 0,-4 32 0,-8 58 0,8 50 0,4 5 0,3 7 0,5 16 0,5 2 0,5 8 0,6-1 0,5-4 0,6-3-3104,6-11 1,4-7-315,3-11 0,2-7 3418,27 7 0,-26-26 0,-28-16 0</inkml:trace>
  <inkml:trace contextRef="#ctx0" brushRef="#br0" timeOffset="834">5889 778 18057,'-11'15'2608,"4"9"-1978,10 29-90,0 35-451,-2-33 1,0 3-45,0 6 0,0 1-315,0-6 1,1-5-1,0 22 270,-1-53 270,-9-57 719,-10-47-180,7 28 1,0-3-46,0-1 1,2 0 89,5 4 1,4 2-45,12-29-360,31 9-450,5 41 0,7 19 0,-15 57 0,-23 18-630,-10 7-809,-12 4 809,2-36 450,4 2 90,19-29 90,11-12-90,21-7 180,8 13 450,-11 21-180,-14 8 719,-24 31-629,-35-12-540,-14 1-3148,-37-18-2609,-4-33-1529,-2-28 7376,26-10 0,26 3 0,22 11 0</inkml:trace>
  <inkml:trace contextRef="#ctx0" brushRef="#br0" timeOffset="1217">6891 607 9422,'-21'-5'9830,"17"-3"-3290,51-4-9148,28-5 134,-19 7 1,3-2-1035,-6 1 0,-3-2 3508,20-6 0,-28 5 0,-27 7 0</inkml:trace>
  <inkml:trace contextRef="#ctx0" brushRef="#br0" timeOffset="1417">7194 553 10951,'-55'22'9830,"16"-7"-10306,51 0-4111,48-15 314,4-7 1,4-3 4272,-17 2 0,-2-1 0,8-6 0,-5-1 0,-1-3 0</inkml:trace>
  <inkml:trace contextRef="#ctx0" brushRef="#br0" timeOffset="1800">7978 295 14009,'15'1'9830,"-3"9"-4998,-7 56-4832,13 9-1440,-1-28 1,7-3-1259,47 24 2068,-24-50 1,4-12 1033,8-14 1,1-13 989,-2-11 0,-4-10 180,-6-6 1,-11-6-1530,-13-1 0,-16 0-45,-19 2 0,-15 6 0,-20 9 0,-12 10-1620,-15 12 1,-6 14-2294,-6 19 1,3 14 3912,9 13 0,9 4 0,21-15 0,8 0 0,-2 24 0</inkml:trace>
  <inkml:trace contextRef="#ctx0" brushRef="#br0" timeOffset="2367">7174 684 8432,'-20'-9'6117,"-9"3"-3959,1 1 3419,-5 1-4317,28-1-811,11-1 721,49-7-1170,23-3-1664,-24 4 0,3-1-630,2-1 0,1-1-899,-2-1 0,-4 1 3193,17-6 0,-28 8 0,-35 10 0</inkml:trace>
  <inkml:trace contextRef="#ctx0" brushRef="#br0" timeOffset="2583">7191 880 9512,'-26'13'9830,"25"-9"-3380,32-9-11217,55-22 629,-26 9 1,1-2 4137,-8 3 0,-5 2 0,16-5 0,-41 13 0</inkml:trace>
  <inkml:trace contextRef="#ctx0" brushRef="#br0" timeOffset="3967">376 3573 11760,'76'-15'1638,"-1"1"0,1-1 1,-1 0-1,17-10 0,-3-5 1,-15-13-1018,-23-15 0,-12-11 1,-5-2-83,-5 7 1,-5-1 0,-5 1 359,0-21 1,-9 5-226,-6 14 1,-6 8-315,-13-8-270,-12 76-90,-4 80 0,17-14 0,8 8 0,8-14 0,5 4 0,4-3-225,12 21 0,8-6-45,4-6 0,11-14 135,9-31 0,5-21 90,-8-26 0,-3-16 90,8-22 0,-7-15 45,-9-17 0,-10-8 270,-9-4 0,-8 0-180,-7 9 0,-7 5-180,-4 19 0,-5 7 0,-20-12 0,-13 76 0,0 60 0,21-3 0,7 10 0,8 14 0,10 4-2219,5-28 0,5 0 0,5-3-1379,13 15 1,8-10 3597,5-16 0,1-11 0,11-9 0,-20-31 0</inkml:trace>
  <inkml:trace contextRef="#ctx0" brushRef="#br0" timeOffset="4383">2138 3248 9691,'7'-25'9830,"-6"17"-4908,-7 46-4112,-4 17-361,3-2 1,0 5-270,-2 1 0,-1 1-405,2-8 0,0-1-854,-9 39 899,7-77 0,8-71 225,2 3 0,1-8 225,2-8 0,0 0 179,1 2 1,0 6 539,5-14-359,18 52-360,1 56-1259,15 45-1125,-25-23 0,-2 4-540,-1 4 1,-2 2-630,0-3 0,-2-4 3283,4 21 0,-5-31 0,-8-38 0</inkml:trace>
  <inkml:trace contextRef="#ctx0" brushRef="#br0" timeOffset="4550">2189 3860 9961,'-31'-13'9085,"5"-5"-9175,18-14-2698,30-11-6207,41-15 8995,-9 17 0,-7 7 0,-33 26 0</inkml:trace>
  <inkml:trace contextRef="#ctx0" brushRef="#br0" timeOffset="4766">3089 3072 12660,'-59'-28'9830,"10"3"-10845,26 7-3573,66-1-5126,39 5 9714,3 3 0,-24 3 0,-48 6 0</inkml:trace>
  <inkml:trace contextRef="#ctx0" brushRef="#br0" timeOffset="4967">3164 3144 9242,'-32'15'9830,"-3"2"-5538,1-2-4292,43-16-3508,56-25-270,-9 2 0,2-1 3778,-1 2 0,-3 0 0,20-10 0,-44 21 0</inkml:trace>
  <inkml:trace contextRef="#ctx0" brushRef="#br0" timeOffset="6467">4651 3371 13559,'-7'13'5667,"5"0"-4678,13 2-629,31-17 450,22-38-316,-12-2 1,1-11 0,5-22 0,-5-9-223,-19 22 0,-4-4 0,-3 0 117,-4 1 1,-4 0 0,-5 1 237,-5-20 1,-7 5-269,-6 20 1,-7 9 450,-32 2-540,7 88-270,20 31 0,13 14 0,8 3 0,13 4 0,6-12 0,7 3 0,9-9 0,3-19 0,8-7 0,3-7 0,30 6 0,6-21 0,7-31 0,-4-26 0,-39-4 0,-4-12 0,-5-4 0,-3-9 0,-6-5 0,-5-3 0,-7 0 0,-5-2 0,-6 0 0,-4-27 0,-10 4 0,-5 17 0,-7 7 0,-16-18 263,-13 82-263,14 78 2,14-4 1,7 10-1128,11 15 1,8 2-2474,10-1 0,10-5 854,8-12 1,11-13 1034,3-20 0,8-18 2248,9-25 1,-1-17 989,-10-11 1,-5-11 359,-3-8 0,-7-6 764,-17 6 1,-7 1 854,0-13-2339,-12 34-719,-2 74-450,-1 39 0,-2-20 0,-2 6 0,0-2 0,-2-2 0,-1-5 0,-1-4-180,-4 18 180,-6-89 0,-1-68 90,6 5 0,3-8-90,5-5 0,6 0 0,4 3 0,7 5 0,5 13 0,5 7 0,34-12 0,-5 53 0,-17 37 0,-25 50 0,-19 2 0,-6 12 0,8-22 0,18-15 0,24-8-90,8-6 0,4 4 180,-19 2-180,-31 13-2159,-51 19-585,3-29 1,-7-3-1260,-8-3 1,-3-5 4092,8-10 0,4-5 0,-11-2 0,40-21 0</inkml:trace>
  <inkml:trace contextRef="#ctx0" brushRef="#br0" timeOffset="7800">7522 1837 10411,'-50'-42'2188,"1"0"1,-6 0 0,-3 8-1919,0 19 0,-5 8-135,-31 3 0,-10 6-895,10 6 0,-6 3 0,-5 4 760,27-4 0,-3 3 0,-2 0 0,-3 1 0,0 1-178,7-2 1,-2 1 0,-1 1 0,-1-1 0,-1 1 0,-1-1 177,-7 1 0,-1-1 0,-1 1 0,-1-1 0,1 0 0,0 0-110,0 0 0,0 0 0,-1 0 1,2-1-1,-1 1 0,1-2 110,4 0 0,0-1 0,0 0 0,1-1 0,0 1 0,2-1-36,-10 2 0,2-1 0,0 0 0,2 0 0,1-1-55,7-1 0,1 0 1,1-1-1,1 0 1,1 0 90,-13 0 0,1-1 0,0 0 0,1-1 0,0 0 0,0-2 0,0 1 0,1-1-23,0 0 1,0 0-1,1 0 1,0 0 22,4-1 0,1 1 0,0 0 0,1 0 0,6 1 0,-1 0 0,3 0 0,0 1 285,-13 1 0,2 1 0,3 0-255,8 1 0,2 0 0,1 2-30,5 1 0,1 2 0,2 2 90,-25 12 0,5 5 0,5 4 0,6 5 554,9 1 0,5 2-599,12-3 0,3-1 1025,7-4 1,0-2-711,-29 23 979,4-13-1069,7-13 1,15 0-2,28 22-179,18-8 0,8 8 0,14 24 0,9 9-60,-5-17 0,3 4 0,2 0-230,5 7 0,1 0 1,3 0 199,3 2 0,2 0 0,2-3 30,1-3 0,2-3 0,2-5-1,-4-12 1,3-5 0,1-5-30,-2-6 0,1-4 0,5-8-112,12-7 1,6-9 0,0-4 111,-5-2 0,0-3 0,4-2 22,-4-1 1,4-2 0,2-1-1,0-3-308,6-3 0,0-4 0,2-1 0,1-2 304,-11 2 0,2-3 0,0 0 0,2-1 0,0 0 0,5-2 0,2-2 0,0 0 0,1 1 0,-1 0 0,-1 1 0,0 1 0,0 0 0,0 1 0,0 1-18,-1 2 0,-1 1 0,1 1 0,-1 1 0,2 1 0,0 2 0,0 1 0,1 1 0,1 1 0,2-1 15,-7 2 0,3-1 0,1 1 0,0 0 0,-1 1 0,-1-1 3,10-1 0,-2 1 0,0 0 0,0 0 0,1 0-18,4-1 0,2 0 0,-1 0 0,-2 0 0,-4 0 0,2 0 0,-3-1 0,-3 1 0,-1-1-118,-7 0 0,-2-1 0,-2 0 0,0-1 118,21-3 0,-2-2 0,-3-3-30,-8-2 0,-4-3 0,-1-3 167,-4-1 0,-1-3 0,-4-3-137,-10 2 0,-2-3 0,-4-3 180,20-20 0,-9-6-180,-15 3 0,-8-3 0,-5-4 0,-6-4 0,-1-22 0,-5-3 270,-7 7 0,-2-2-60,-5 17 0,-1-4 0,-2 2-91,-4 3 1,-3 0 0,-2 0 319,-2-4 1,-3 0-1,-2 1-289,-2 1 0,-2 0 0,-3 2-15,-8-28 0,-6 6-201,-4 18 1,-5 7-1959,-1 18 0,-3 8-5084,-33-7 7108,10 26 0,30 16 0,15 7 0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8:28.87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1 198 7713,'13'-10'8005,"6"1"-7555,9 8-270,18 0 179,27-1-224,-23 1 0,4 1 0,12-2 0,4 1-90,4-1 0,1 1 0,3 0 0,0 0 90,1 1 0,1 0 45,5 0 0,1 0 44,2-1 1,2 0-45,6-1 0,1-1-90,0 0 0,-1-1-45,-3 1 0,-2-1-45,-4 1 0,0 1 90,-1-1 0,0 1-90,0 0 0,0 0 0,6 0 0,1 2 0,1 0 0,1 1 0,0 0 0,2 1 30,-25-1 0,1 0 0,-2 0-30,19 0 0,0-1 30,-18 0 0,2-1 0,-2-1-30,20-1 0,-1-1 0,-22 1 0,0 0 0,1 0 0,-2 0 0,0 0 0,0-1-30,-1 1 0,-1-1 0,1 1 30,-1-1 0,1 0 0,0 0-73,0 0 1,0 0 0,1 0 72,1 0 0,0 0 0,-1 1 0,0 0 0,-1 1 0,0 1 45,31 1 0,-3 0-90,-15 2 0,-2 0 90,12 0 0,-2 1-45,-17-1 0,-2 0-45,5-1 0,1 0 45,6 0 0,-2 0 0,-7-1 0,0 0 0,8 0 0,2 0 0,15 1 0,0 1 0,-11 0 0,-1 1 0,6 0 0,3 1 0,-27-1 0,1 1 0,-3 0 0,21 2 0,-2 1 0,8 0 0,3 0 0,-27 0 0,2 0 0,-2 0 0,21 1 0,-1 1 0,8 1 0,4 0 0,-29-3 0,2 0 0,-2-1-25,22 1 1,-2 0 24,-25-2 0,1-1 0,0 0 0,4-1 0,0-2 0,-3 1 0,8 0 0,-1-2 0,20 0 0,1-1 0,-13-1 0,-3 0 0,-9-1 0,-1 0 0,13 0 0,1 0-45,-4 1 0,0 1 90,-5 1 0,3 1-45,15 1 0,2 3 0,-6 1 0,-1 2 0,-12-1 0,0 0 0,13 2 0,0-1 0,-7 0 0,-2 0 0,-4-2 0,0-1 133,14 2 0,0-1-133,-11-2 0,-2 0 0,-10-1 0,1 0 0,8 0 0,1 1 0,-8 0 0,-2 0 0,-8 0 0,1 0-45,8 0 0,-1 0 135,28 0-90,-7-3 0,-5-4 0,-17-5 0,2-2 0,-6-2 0,-9-1 90,-14 1 360,-6-4-91,-16 2 181,0-5-180,-13-3 359,-9-11 91,-9-6 90,-10-7-181,-1 7 360,-3 4-809,8 13-270,1 3 90,35 38-180,18 6 90,30 32 0,3-6 0,-12-6 90,-21-14-180,-37 7-3418,-37-7-5397,-27 24 8905,4-11 0,22-12 0,27-15 0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8:30.42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1666 15988,'15'12'2608,"19"-8"-1348,49-31-586,-19-2 1,5-8-136,-13 2 1,2-4 0,-1-4-157,5-8 0,-1-3 0,-3-5-113,-4-6 0,-4-3 0,-4-3-30,-6-1 0,-4-1 0,-4-1-1,-6 2 1,-4-1 0,-3 1 389,3-24 1,-6 4-225,-6 21 0,-3 4-358,-3 12 0,-2 6-47,-2-4 0,-5 47 0,2 71 0,1 6 0,2 13 0,3-11 0,2 6 0,1 1-104,3 7 1,1 1 0,4-1 103,2-1 0,3-2 0,4-4 0,14 17 0,6-13 0,-4-24 0,8-20 138,18-32 1,3-26-139,-3-30 0,-4-20 0,-10 7 0,-1-7 0,-3-7-181,-9 2 1,-2-6 0,-3-1 0,-2 2 180,0-10 0,-4 3 0,-2 0 0,-1 2 0,-1 2 0,-7 5 0,-7-9 0,-7 11 0,-10-4 295,-21 29-295,-20 125 0,23 0 0,4 12 0,6-19 0,1 5 0,5 3-114,5-3 1,4 3 0,3 1-1,5-6-246,4 2 0,6-4 1,5-2-1920,2 2 0,6-2 1,13-14 2278,24-20 0,14-15 0,-5-7 0,-7-3 0,1-8 0,-1-13 0,-1 0 0,1 0 0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9:41.27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148 900 12030,'-12'-24'9830,"0"39"-6347,18 47-3079,2-1 1,4 8-270,6 17 0,4 3-90,1 4 0,0-1 45,-1-8 0,-1-5-45,-4-19 0,-5-6-45,-6 4-90,-37-89 90,-4-33 0,-2-19-60,8 14 0,1-5 0,0-3-53,-2-13 0,2-2 0,4 1 83,6 13 0,4 1 0,5 3 30,7-17 0,12 8 0,14 22 0,12 12-45,13 15 0,8 15 45,11 17 0,1 16 45,-2 16 0,-6 12 90,-11 11 0,-13 9 0,-18 8 0,-16 3-191,-19 0 1,-12-3-1969,-10-3 0,-5-6-1034,2-14 0,0-7 3058,-19 7 0,35-34 0,16-10 0</inkml:trace>
  <inkml:trace contextRef="#ctx0" brushRef="#br0" timeOffset="166">626 1056 9062,'87'-30'966,"0"1"1,0-1 0,2 0 0,-1 1 0,-17 8 0,-9 7 0,16-4 0</inkml:trace>
  <inkml:trace contextRef="#ctx0" brushRef="#br0" timeOffset="2616">1697 866 10321,'2'-24'9830,"13"42"-7157,17 49-2179,1-3 1,6 5-315,9 10 0,5-1-45,4-6 0,3-6 449,-6-16 1,1-15 1214,34-31-1304,-53-39 0,-7-16-360,-5-22 0,-7-7-1215,-3-7 1,-5 1-3509,-5 11 1,1 8-270,11 2 4857,5 49 0,-3 25 0,-4 4 0</inkml:trace>
  <inkml:trace contextRef="#ctx0" brushRef="#br0" timeOffset="3400">2933 1087 11041,'6'-40'9830,"-23"-13"-7967,-38-5-963,-20 9-541,-9 32-359,14 47 0,26 45 45,35-25 0,9 2-45,8-1 0,9-4 90,36 25 0,14-51 90,5-55 90,-4-37-225,-37 30 0,-4 1 45,15-23-90,-10 48-180,-7 44-270,13 28 180,15-6 180,20-42 135,-26-36 0,-3-18 135,3-28 0,-8-17 239,-12 10 1,-4-6 0,-4-2 168,-2-5 1,-4-1 0,-5 2-259,-4 8 0,-5 2 0,-4 7-330,-5-9 0,-12 27 0,-36 59 0,30 50 0,10 25 0,9-4 0,7 8 0,6 3-509,8 11 1,7 3-1,6-3-571,6-5 1,5-2 0,5-6 569,-1-14 0,4-4 1,5-14 599,17-6 0,2-25 899,-3-38 1,-6-24 411,-9-23 0,-11-13-907,-7-10 1,-11 0-495,-13 9 0,-12 8 0,-25-3 646,-8 83-646,11 76-3553,26-18 0,12 5 3553,15 4 0,7-3 0,-6-18 0,2-7 0,8-12 0,0-1 0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9:45.99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1404 172 8072,'43'-69'9535,"-11"15"-7196,-7 13-1890,-31 33 1,-18 33-270,-10 15 0,-8 10 45,-17 24 0,-4 5 89,2-1 1,-1 1 15,15-20 0,-1 0 0,4-4 704,0 1 1,5-5 1303,-13 29-1348,43-16-990,67-7 0,-19-29 0,8-2-1260,34 10 1,9-3-1754,-3-6 0,1-2-136,10 2 1,-3-3 2853,-20-5 0,-8-3 0,10 3 0,-46-12 0</inkml:trace>
  <inkml:trace contextRef="#ctx0" brushRef="#br0" timeOffset="383">3 821 10051,'-2'-33'9445,"2"30"-9175,5 19 179,20 59-1349,-6-28 1,3 3-1170,6 12 1,3 2 2068,0-1 0,-1-4 0,6 9 0,-13-26 0</inkml:trace>
  <inkml:trace contextRef="#ctx0" brushRef="#br0" timeOffset="533">67 807 7083,'-11'-67'314,"3"10"1,5 42 0,2 5 0</inkml:trace>
  <inkml:trace contextRef="#ctx0" brushRef="#br0" timeOffset="1034">304 686 9152,'-10'-14'6476,"0"4"-6116,-13 18 90,7 29-181,7 42-224,19-22 0,10 1-45,11 7 0,7-2 45,8-1 0,4-5 405,-2-10 0,-2-5 90,18 10-451,-42-24-268,-69-25-631,-24-11 270,21-4 1,2-7-1,-19-34 450,42-19 900,37-5 1438,20 19-1798,-2 31-90,-26 63-2159,-31 51-405,7-19 0,-1 3 2204,0-2 0,1-4 0,-2 21 0,14-40 0</inkml:trace>
  <inkml:trace contextRef="#ctx0" brushRef="#br0" timeOffset="2233">3561 50 8252,'9'-31'9830,"-10"15"-5898,-31 71-3257,-7 14 0,-7 12-466,10-14 1,-3 3 0,-4 6-413,-1 1 0,-4 6 1,-2 0-1,2-4 233,-5 6 0,0-5 0,0-1 0,2-1 0,0-1 0,-1-12 109,-10-2 1,2-26-50,-28-65-90,45-15 0,9-17 300,15-15 0,10-15 0,4 3 61,5 15 0,4 2 0,3 0 29,0-5 0,4 1 0,9 13-76,15 12 1,8 22-315,7 37 0,3 18 0,12 14 0,2 13 0,-5 3 0,2 8 0,-1 0-1618,-4-7 0,-1-1 0,1-1-91,1 2 0,2 0 0,1-7 1709,0-12 0,0-5 0,-7-6 0,27 15 0,0-24 0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0:54.90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165 594 14189,'-31'-16'6296,"-12"22"-5846,-7 36-90,14 35-270,32-27 0,10 1-45,12 0 0,10-3 359,9-7 1,6-9 584,8-13 1,2-13 134,-2-14 1,-3-12-451,-7-11 1,-8-9-315,-11-7 0,-12-5-360,-13-2 0,-12 2-135,-9 6 0,-8 6-4183,-46-7-3417,14 37 7735,15 54 0,34-26 0,7 20 0</inkml:trace>
  <inkml:trace contextRef="#ctx0" brushRef="#br0" timeOffset="167">651 824 10861,'4'-49'4317,"1"16"-12322,-2 1 8005,11 22 0,-5 7 0,2 2 0</inkml:trace>
  <inkml:trace contextRef="#ctx0" brushRef="#br0" timeOffset="667">1114 492 10411,'1'-21'9625,"-1"0"-7377,-2 1 541,-3 2-1530,-2 14-899,6 30-90,7 24-180,18 39-135,-7-41 0,2 1 45,2-2 0,1 0-90,23 31 180,-6-30 0,12-32-90,-1-40 0,17-42 45,-37 18-1,-5-5-44,-1-8 0,-8-2 45,-6-1 0,-10 0 0,-12 6 0,-10 4-45,-10 12 0,-10 8-225,-6 14 1,-4 12-1620,-3 17 0,4 12-1709,8 12 0,8 8 3553,-3 46 0,32-15 0,24-21 0</inkml:trace>
  <inkml:trace contextRef="#ctx0" brushRef="#br0" timeOffset="1317">2085 354 10231,'16'-77'9830,"-8"0"-4459,-11 21-4741,-13 28-90,-5 40-90,-17 55-405,17-19-1,2 2-44,-16 38 90,10-17-90,29-64 0,9-51 90,1-3 0,1-6 135,1-5 0,-1-1-45,-2 4 0,1 3 270,11-22-450,-7 58 0,4 40 0,4 57 0,-12-24 0,-1 4 0,0 8 0,-2 1 0,-3-4 0,-5-1 0,-7-6 0,-8-3 0,-13-9 0,-10-5 0,-16-3 0,-6-7 0,7-8 0,0-4 0,-5-3 0,9-3 0,23-3 0,82-20 0,-6-2 0,7-2-2834,28-7 1,3-1-1125,-6-1 0,-4 1 3958,-12 5 0,-8 1 0,9-2 0,-39 11 0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1:12.34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1158 377 11311,'22'-36'5217,"-13"12"-4858,-23 12-269,-1 29 0,12 34-45,18-6 0,8 6 45,11 16 0,6 4 360,2 6 0,-1 0 224,-3-2 1,-8-2-271,-15-12 1,-13-3-315,-18-8 0,-15-7-1035,-20-3 1,-12-8-1170,-18-5 1,-7-8 2113,-12-12 0,3-7 0,24-2 0,4-5 0,10-7 0,0 0 0</inkml:trace>
  <inkml:trace contextRef="#ctx0" brushRef="#br0" timeOffset="383">363 140 9242,'-42'-41'2278,"1"0"1,-3 11 0,-2 10-1695,-6 12 1,2 15 45,-22 54-495,57-1 0,18 10-90,28 17 0,18 3-220,-9-26 0,6-1 0,3-1 205,5 2 0,4 0 0,-2-2 329,-10-11 1,-2-1 0,-5-1 255,6 14 0,-13 1-256,-19-11 1,-15-1-225,-19-6 0,-14-5-180,-13-5 0,-9-8-675,-7-7 1,-1-9-945,2-9 0,6-10-2189,-12-33 3853,52-18 0,19 17 0,19 9 0</inkml:trace>
  <inkml:trace contextRef="#ctx0" brushRef="#br0" timeOffset="683">833 558 12030,'-12'-25'6656,"0"18"-6296,2 47-540,6 27-1394,6-14 0,4 4-2699,6 1 1,2-2 4272,9 25 0,-1-26 0,-17-45 0</inkml:trace>
  <inkml:trace contextRef="#ctx0" brushRef="#br0" timeOffset="833">722 589 8792,'-26'-65'-1619,"27"26"1619,2 17 0,15 22 0,-10 4 0</inkml:trace>
  <inkml:trace contextRef="#ctx0" brushRef="#br0" timeOffset="1317">1132 668 7982,'-1'-45'8456,"-7"6"-6388,-15-24-1348,-18 44-540,3 28-90,-2 73-180,35-31 0,7 3-45,1 5 0,9-3 90,15-7 0,8-10 405,29-13 270,7-28 89,-18-30-269,-13 1-180,2 41-180,12 70-90,-27-29 0,-3 6 45,6 28 0,-5 6 539,-10-12 1,-8-1-315,-5-9 0,-12-2-90,-19-2 0,-16-10-990,-21-23 0,-9-14-539,4-5 0,-1-11-945,-6-19 1,13-18-1485,38-18 0,14-8 3778,1-33 0,26 35 0,8 6 0,8-1 0</inkml:trace>
  <inkml:trace contextRef="#ctx0" brushRef="#br0" timeOffset="1667">1472 778 9242,'31'-39'4227,"0"0"1,21-22-2249,-8 38-1080,-10 43-359,0 42-270,-4 23-180,-5-9 0,6-22 0,2-60 449,13-48-179,-21 10 0,0-4-135,0 0 0,3 3 134,27-11-628,-2 57-2610,6 53 630,-21-8 1,4 4-2205,10 3 1,2-4 4452,-12-11 0,-1-5 0,29 7 0,-52-35 0</inkml:trace>
  <inkml:trace contextRef="#ctx0" brushRef="#br0" timeOffset="1833">3139 315 8702,'-2'-75'3328,"-4"16"-3328,3 58 0,-3-10 0,9 56 0</inkml:trace>
  <inkml:trace contextRef="#ctx0" brushRef="#br0" timeOffset="1966">3183 791 9961,'-13'43'300,"2"-14"0,12-21 0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0:58.92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818 272 8612,'19'-65'8635,"-19"-1"-6836,-13-18-719,-28 32-541,-6 47-359,16 50-90,40 50-90,15-37 0,9-1 45,10 3 0,5-4 135,-1-9 0,2-5 2338,29 17-2068,-64-53-270,-37-28-180,-37-38-90,1-11 90,34 0 0,39 5 0,39 20 180,26 35 360,5 47-181,-23 38-224,-47-18 0,-14 5-900,-21 9 1,-17 1-1710,-16 3 1,-12-5 44,15-24 1,-4-4-1,1-4 2173,-14 4 1,4-8-1,-19 1 1,52-28-1</inkml:trace>
  <inkml:trace contextRef="#ctx0" brushRef="#br0" timeOffset="466">179 321 7892,'-23'-50'4915,"-1"-1"0,-30-24-2961,19 99-1864,1 47-90,25-14 0,9 5-45,10 5 0,10-3 45,8-9 0,8-10 270,48 0 719,4-61 0,-13-31-359,-14-6-270,-4 22-90,1 57 0,0 38-136,-30-12 1,-10 7 0,-13 7 0,-16 2-135,-21 3 0,-14-4-450,-5-9 1,-11-6-1980,-20-5 1,-4-13-991,26-21 1,4-9 3418,-35-12 0,57-11 0,28 2 0</inkml:trace>
  <inkml:trace contextRef="#ctx0" brushRef="#br0" timeOffset="1033">1312 287 8522,'-15'-53'6566,"-10"2"-4137,-37-15-1620,4 48 1,-6 12-360,-2 8 0,0 11-136,-17 21 1,10 14-135,26 10 0,14 6-135,12-7 0,14 0-45,24 0 0,15-9 45,11-22 0,6-10 135,47 0 0,-41-25 0,-1-7 179,27-15-269,2 15 90,-15 38 720,-23 41-541,-36-15 1,-13 4-225,-19 11 0,-14 0-1125,-17 1 1,-10-5-1665,-5-4 1,-2-7 2653,6-13 0,6-7 0,-5 0 0,36-22 0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1:20.29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563 75 7623,'3'-35'8725,"-2"8"-7016,-10 14-1080,-13 64-269,1 0 0,-2 8-225,-8 24 0,-1 5-315,1-6 0,0 1-1020,5-18 1,0 2 0,2-5-3074,-1 6 1,3-5 4113,0-6 1,4-6-1,3 1 1,12-44-1</inkml:trace>
  <inkml:trace contextRef="#ctx0" brushRef="#br0" timeOffset="633">162 411 8342,'-19'-43'4947,"-16"4"-3867,-6 6-900,-6 27 269,29 39 361,17 3 629,27 1 270,7-34 0,-2-18-1169,-18-20-450,-18 5-270,-12 10-2519,-23 47-539,29 25 720,8 28 1213,30-33 1,14-3 629,15-6 1,6-5 1124,-3-5 0,2-7 1034,14-10 0,-3-10 1214,10-21-89,-10-11-1170,-40 1-899,-22 8-540,2 15 90,11 5 629,14 2 271,1-10-451,-29-18-809,-44-3-3417,-43 20-631,10 27 4318,17 36 0,38-19 0,18 1 0</inkml:trace>
  <inkml:trace contextRef="#ctx0" brushRef="#br0" timeOffset="6283">1395 2483 8882,'-17'-37'6116,"-5"9"-5396,-6-2 1439,-26 41-540,11 44-1170,14-15 1,6 6 45,12 25 0,14 3-360,9-18 0,11-3-1,22 12 1,14-10-45,9-28 0,5-13 270,-3-6 0,0-12 179,2-18 1,-7-15-45,-21-12 0,-9-8-360,-6 7 0,-9-3-90,-9-9 0,-14 3-495,-40-17-719,-15 26-1980,-36 38-2607,11 54-1800,22 13 7556,23 2 0,34-24 0,6-23 0</inkml:trace>
  <inkml:trace contextRef="#ctx0" brushRef="#br0" timeOffset="6583">2068 2732 10411,'23'-17'6476,"-1"5"-6476,-8 12 90,7 10 1799,-6 2-360,3-4-899,-13-16 0,-17-21-2429,-15 1-1260,-6-1 3059,-4 24 0,23 5 0,1 7 0</inkml:trace>
  <inkml:trace contextRef="#ctx0" brushRef="#br0" timeOffset="7083">2904 2152 11131,'-15'-9'6836,"-18"8"-4138,-27 31-1798,2 14-496,24-3 1,11 7-270,20 10 0,14 1-135,5-8 0,11-4-45,22 4 0,11-14 180,1-25 0,3-16 494,4-14 1,-4-13-45,-9-16 0,-10-9-316,-14-9 1,-14-4-405,-16 2 0,-13 2-854,-13 13 0,-9 10-3599,-47 5-5243,8 63 8495,28 9 0,26 6 0,18-30 0</inkml:trace>
  <inkml:trace contextRef="#ctx0" brushRef="#br0" timeOffset="7316">3500 2049 9332,'18'-59'4915,"0"0"0,24 17 996,-9 95-7081,-10 9 1,-2 11-1215,1 8 1,0 3-2533,0-2 1,-2-5 3872,-6-22 0,-1-6 0,7 16 0,-15-52 0</inkml:trace>
  <inkml:trace contextRef="#ctx0" brushRef="#br0" timeOffset="7849">5795 1234 10411,'-4'11'9830,"3"-4"-7877,-6 86-1278,7-39 0,2 4-675,1 25 0,0 6-1125,1 4 1,3 1-945,0-2 0,2-3-1214,0-4 0,2-6 3283,-2-19 0,0-6 0,4 13 0,-7-45 0</inkml:trace>
  <inkml:trace contextRef="#ctx0" brushRef="#br0" timeOffset="8566">6780 1302 8342,'36'-58'9805,"-6"7"-5128,7-13-2338,-16 71-990,-29 65-1034,-4 5-1,-5 10-584,1-20 0,-4 3 1,0 1-1350,-3 5 0,-1 1 0,-1-2-300,0-6 0,0-2 0,0-3 1919,-10 19 0,3-9 0,-6 8 0,15-38 0</inkml:trace>
  <inkml:trace contextRef="#ctx0" brushRef="#br0" timeOffset="8849">6404 1866 7353,'-27'-76'1870,"0"-1"1,0 1 0,-3 0 0,-1 2 0,22 34-1511,20 40 1349,12-14 630,15 1-1440,-9-24-539,-27-3-2878,-35 19-2609,3 50 5127,10 56 0,19-5 0,21 15 0</inkml:trace>
  <inkml:trace contextRef="#ctx0" brushRef="#br0" timeOffset="9100">6718 1940 10591,'69'-50'8995,"-7"1"-7646,-4-2-449,-16 9-721,-23 17-2157,-12 5-2610,-21 16-359,-13 17 4947,-7 7 0,11-1 0,9-8 0</inkml:trace>
  <inkml:trace contextRef="#ctx0" brushRef="#br0" timeOffset="9883">4317 2103 10501,'-5'-4'9265,"0"10"-8905,-8 13 89,15 32-359,14-8-270,36 14 180,6-41 90,5-25 360,-19-66 90,-38-9-270,-17-14-181,-23 30-89,-12 45-89,18 18 89,23 35 89,39-12 91,23 4 1170,23-23-451,-11-4-359,8 5-90,15 35-361,-18 24-44,-34-17 0,-4 5 585,5 32 449,-30-7-269,-30-48-630,-2-56-720,14-24 0,9-15-1574,10-15 1,8-4-991,4-3 1,4 4 3103,0 20 0,-1 10 0,3 3 0,-17 38 0</inkml:trace>
  <inkml:trace contextRef="#ctx0" brushRef="#br0" timeOffset="11083">763 3724 9602,'-7'-11'7915,"66"-15"-7436,-3 8 1,13-2 0,6-1-1232,5 0 1,7 0-1,5-2 1,6 1 781,-12 3 0,6-1 0,4 0 0,2 1 0,2-1 0,0 1-212,-8 3 1,1-1 0,1 1 0,2 0 0,0 0 0,1 0 0,1 0 181,-5 2 0,1-1 0,0 1 0,2 0 0,-1 0 0,1 0 0,0 0 0,-1 0-94,1 1 0,0 0 1,0 0-1,0 0 0,-1 0 1,1 1-1,-2-1 0,0 0 116,-4 1 1,0-1-1,-1 1 1,0 0-1,-1-1 1,0 1 0,-1 0-1,0 0 68,9-2 0,-1 1 0,0-1 0,0 1 0,-2-1 0,-1 1 0,-1 0-92,4-1 0,-1 0 1,-1 0-1,-1 0 1,-3 1-1,0 0 128,4-1 0,-2 1 0,-2 0 0,0 0 0,-2-1 124,-7 1 0,0 0 0,-1-1 0,-2 0 0,-3-2-93,7-2 1,-4-2-1,-2-2 1,-2-1-98,11-6 0,-4-3 0,-5-3 442,-14 3 1,-4-2 0,-6-4-503,5-23 0,-12-5-45,-14 7 1,-9-4 44,-1-22 0,-10-8 396,-10 19 0,-6-4 0,-5-3-509,-1 9 1,-4-2 0,-2-2 0,-1 1 22,-3-4 0,-1 0 0,-2-1 0,-1 2 22,-2-1 1,-1 0-1,-1 2 1,1 3 37,-7-13 0,-1 5 0,1 3 464,4 12 0,0 4 0,-2 5-434,-14-13 0,-7 13 0,-3 22 0,-7 13 0,-18 17 0,-10 15-188,19 4 1,-6 6 0,-4 3-1,2-1 165,0 0 1,2 1 0,-3 1-1,-6 1-241,8-2 0,-4 1 1,-4 0-1,-2 1 1,-1 0-1,0-2 225,7-2 1,-2-1-1,-2 0 1,1-1-1,-1 0 1,1 0-1,2-1-161,-8 2 1,3 0 0,0-1-1,0 0 1,-2 0 0,-3 0 165,13-3 0,-3 0 0,-1 0 1,-2 0-1,1 0 0,0-1 1,2 0-1,2 0-11,-15 2 0,2 0 0,1-1 0,0 0 0,1 0 0,0 1 30,1-1 0,0 0 0,1 0 0,0 1 0,0-1 0,3 0-100,-11 2 0,2-1 0,0 1 1,3-1-1,2 2 115,11-2 0,1 0 0,1 1 0,4-1 0,4 1 0,-19 6 0,7 0 0,1 0-30,3 0 0,1 2 0,3 1 271,6 1 1,2 2 0,4 0-242,-12 9 0,3 1 0,-3 2 0,-1 4 0,20-8 0,-1 2 0,3 0 0,-12 11 0,1 1 89,-10 7 1,3 3 90,11-2 0,8 4 180,8 11 0,9 5-90,7-4-1,11 7 31,18 3 0,10 9 0,10-3-180,11-4 0,10-2 0,3 2-4,-7-14 0,2 2 0,3-1 0,4 1-944,-2-8 1,4 0-1,1 0 1,1-2-1,-1-5-2449,19 18 0,-1-7 0,-1-2 3019,-8-4 1,-1-2 0,-1-9 0,11-5 0,-6-14-1,5-12 1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1:46.590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226 259 8072,'-73'-13'8186,"7"1"-6837,5 3-989,36-3 89,112-10-389,-19 7 0,14 0 0,2 0-290,-12 3 0,2 1 1,3-1-1,1 1 252,14-3 1,4 0 0,-1 1-1,-6 1-22,2 0 0,-6 2 0,-6 1 111,18-5 0,-30 13 249,-57 21-1,-72 11 1,-41 5-180,37-10 0,-5 1 0,-3 3 0,-2 0-267,-9 5 0,-4 1 0,1 1 0,2 1 132,8-2 0,2 1 0,2 1 0,7-2-15,-1 2 0,6 0 0,14 1-30,8 9 0,27-9 90,96-26-120,-16-21 0,13-9 0,2-4 57,7-6 1,1-5 0,1-1-6,-19 7 1,2-2 0,-3 0-1,-5 2 68,28-12 0,-14 5-90,-7 5 0,-102 43 447,-16 8 1,-9 4-493,-14 8 0,-3 3-720,3-1 1,5 0-1305,-19 16-1529,94-32 1214,32-31 1,14-14 2383,4 3 0,2-3 0,6-6 0,-5-2 0,20-14 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1:35.457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367 2461 8702,'-41'-29'9830,"-14"8"-5448,-28 5-1324,-1 43-2159,47 6 1,9 10-450,6 17 0,9 8-450,10 15 0,10 3 0,10 4 0,12-3 0,18-5 0,14-9-256,-9-33 1,6-7 0,6-6-735,11-7 1,7-9 0,1-4-151,7-7 1,2-5 0,-2-5 629,-5-2 0,-1-5 0,-4-2 330,-13 0 0,-3-2 1,-6-3 314,4-11 0,-13-6 1124,-9-36 810,-50 4-180,-27 13-810,-4 19-1619,46 52 496,31 23 44,33 32 630,-3 8-1709,-51 10-3149,-25-3 4228,-11-19 0,-6-5 0,-2-5 0,2 8 0</inkml:trace>
  <inkml:trace contextRef="#ctx0" brushRef="#br0" timeOffset="583">2919 2434 10051,'-1'-74'9830,"-6"12"-7337,-12 46-1233,-4 47-676,-4 41 1,-3 20-435,4-22 0,-3 4 0,-1 0-236,-1 6 1,-2 0 0,-3 1 107,1-14 1,-2 1-1,-2-3 1,3-7 19,-11 11 1,-1-9-178,-10 5 0,-2-21-44,-16-60 179,21-40 89,34-8 1,12-10 540,18-11 0,11-2-91,-1 8 1,8 3 175,9-3 0,9 14-715,43 25 0,-4 53 0,-29 32 0,-2 20 0,-12-9 0,-1 7 0,1 1-143,0-3 1,1 0 0,3 1 142,10 9 0,4 2 0,2-10 0,-8-18 0,2-7 0,2-5-3631,34 11 0,3-15 392,-3-20 1,-1-16 3238,-15-13 0,-6-7 0,-14 1 0,-6-3 0,20-29 0</inkml:trace>
  <inkml:trace contextRef="#ctx0" brushRef="#br0" timeOffset="800">4402 2643 8342,'11'-42'9830,"6"-2"-771,14-9-8789,29 1-1484,-9 25 0,6 2-1485,14-1 1,5 4-136,7 2 1,-2 4 2833,-11 5 0,-6 3 0,12 1 0,-44 9 0</inkml:trace>
  <inkml:trace contextRef="#ctx0" brushRef="#br0" timeOffset="1000">4832 2561 9602,'-63'28'9830,"18"-7"-1131,9 2-8699,72-23-1979,13-8 0,8-3-1439,10-1 0,3-1 3418,4-2 0,-6 2 0,8 0 0,-29 3 0</inkml:trace>
  <inkml:trace contextRef="#ctx0" brushRef="#br0" timeOffset="-2117">1591 907 9512,'55'-51'9830,"-19"11"-6168,-53 30-2493,-11 39-719,-4 49-450,27-27 0,12 4-135,24 16 0,14-5 135,-2-20 0,6-9 315,8-1 0,2-17 764,-6-31 0,-10-17-269,-7-51-1080,-24 26 0,-15-2-2249,-30-4 1,-17 9-360,-1 20 0,-5 9-1845,-4 2 1,-1 10 4043,8 18 1,5 9 0,-8 11-1,6 4 1</inkml:trace>
  <inkml:trace contextRef="#ctx0" brushRef="#br0" timeOffset="-1600">1257 1097 10591,'-46'-86'4047,"7"43"1,-6 8-3058,-35 5-721,20 26 1,1 15-45,18 19 0,7 10-135,-13 40-45,44-26 0,17-2 45,60 8 90,16-31 314,-29-35 1,0-14 584,-13-11 1,-4-5 0,29-30-361,-25 6-449,-14 59-270,-3 26 45,-4 15 0,-1 10 0,2 11 0,-2 2 0,-3-6 0,-5 2 0,-7 6 0,-15-4-135,-24-19 0,-13-6-765,-15 1 1,-8-7-1440,-8-4 0,-1-7-2024,11-7 1,5-5 4317,-1-13 0,36 2 0,27-9 0</inkml:trace>
  <inkml:trace contextRef="#ctx0" brushRef="#br0" timeOffset="-1317">2973 538 10771,'-7'-75'9830,"-6"16"-5808,-14 36-2763,-5 56-1124,14 11 0,2 10-1125,-2 17 1,0 5-1395,0 2 1,0 1-1305,-1-4 0,0-5 3688,-9 24 0,10-42 0,8-36 0</inkml:trace>
  <inkml:trace contextRef="#ctx0" brushRef="#br0" timeOffset="-983">2545 644 8972,'-44'-42'8095,"-7"17"-7105,-13 12-990,35 39-90,62 25 180,51-5 719,-29-32 1,2-7 314,-4-10 0,-4-7 586,13-20-1171,-40-10-1798,-50 29-3508,-16 37-5064,-3 49 9545,22-8 0,17-8 1,10-43-1</inkml:trace>
  <inkml:trace contextRef="#ctx0" brushRef="#br0" timeOffset="-700">3031 1181 13020,'29'-22'6926,"0"4"-6387,-1 4-89,15 0 2249,4-8 1078,2-18-2517,-20-16-1260,-32-3-1619,-35 22-5937,-27 42 7556,-16 48 0,34-16 0,11 10 0</inkml:trace>
  <inkml:trace contextRef="#ctx0" brushRef="#br0" timeOffset="2983">6352 2144 11490,'-14'-42'9830,"0"4"-5448,2 33-3212,10 43-811,12 58-1438,1-26 0,4 4-1845,3 7 1,5-1-1993,5 0 1,2-6 3792,-9-22 0,1-7 0,15 13 1,-27-49-1</inkml:trace>
  <inkml:trace contextRef="#ctx0" brushRef="#br0" timeOffset="3350">6993 2298 8162,'0'-88'9830,"-9"13"-6527,-4 11-3033,-17 54 179,20 48-359,15 42-180,42 4 0,25-19 180,13-40 90,-11-43 720,-24-33-1,-34-19-359,-38-3-720,-37 17-2968,-21 33-5577,8 40 8725,30 20 0,23-6 0,24-10 0</inkml:trace>
  <inkml:trace contextRef="#ctx0" brushRef="#br0" timeOffset="3617">8216 1527 11580,'14'-70'9830,"-17"15"-4638,-29 55-3933,-19 56-1259,13 7 0,2 11-1574,0 15 0,3 6-465,12-29 0,2 1 0,1-1-2877,-3 29 1,5-6 4056,7-31 0,3-5 0,3 13 1,3-53-1</inkml:trace>
  <inkml:trace contextRef="#ctx0" brushRef="#br0" timeOffset="3933">7759 1810 9512,'-51'-84'7735,"12"21"-7735,16 40 0,37 25 540,27 8 1619,16-13-91,-10-24-1258,-27-8-810,-47 7-2968,-23 48-2339,-9 46 5307,38-20 0,5 1 0,-1 22 0,20-25 0</inkml:trace>
  <inkml:trace contextRef="#ctx0" brushRef="#br0" timeOffset="4250">8141 2102 10411,'13'-14'9715,"-9"12"-9356,-2 8-269,2 16 0,13-1 180,19-15 1799,-1-19-990,-7-25-359,-30-12-900,-31 7-3328,-23 20-5217,-4 29 8725,17 15 0,20 1 0,20-11 0</inkml:trace>
  <inkml:trace contextRef="#ctx0" brushRef="#br0" timeOffset="4917">8798 1768 9602,'11'-25'8635,"0"-15"-5577,-7-3-1169,-2 2-1170,-22 32-449,11 41-360,9 33-270,44 9 181,34-21 179,-26-39 0,3-10 314,-2-12 1,-3-11-135,-7-9 0,-9-9-90,-12-8 0,-14-4-45,-15-1 0,-13 2-90,-11 6 0,-7 7 0,-6 9 0,-3 11-225,-33 16 90,40 26 0,53 5 180,49-11 630,33-21-270,-43-6 0,1-1-226,0 0 1,-1 3-45,-1 6 0,-2 8-90,-3 10 0,-4 7 0,-6 8 0,-4 4 270,10 48 630,-30-14-541,-18-30 1,-19-50-450,13-52-1259,10 7 0,6-6-1800,11-4 1,7 1-1768,10 0 1,4 5 4517,19-13 0,-12 32 0,-30 31 0</inkml:trace>
  <inkml:trace contextRef="#ctx0" brushRef="#br0" timeOffset="5300">10529 1066 10321,'-67'-49'9830,"-13"49"-7549,58 42 0,8 14-2191,-4-3 0,6 3-90,7 17 0,15-4 90,47 11 0,10-34 539,26-61-179,-54-27 0,-8-13-46,-2-5 1,-8-5-315,-8-14 0,-12 1-90,-17 15 0,-11 7-1124,-9 14 0,-8 12-2250,-7 17 1,-1 14 3373,-30 41 0,29-8 0,34 7 0</inkml:trace>
  <inkml:trace contextRef="#ctx0" brushRef="#br0" timeOffset="5450">10734 1312 14549,'29'-35'-2339,"6"9"2339,-16 20 0,-2 4 0,-9 2 0</inkml:trace>
  <inkml:trace contextRef="#ctx0" brushRef="#br0" timeOffset="5683">11126 825 9512,'23'-70'9830,"7"40"-7819,-12 65 0,-2 24-2821,6 16 1,1 6-2520,2 9 1,-1 1 3276,-3-1 1,-2-6-1,-7-31 1,-2-9 0,0 6-1</inkml:trace>
  <inkml:trace contextRef="#ctx0" brushRef="#br0" timeOffset="6817">11759 305 10321,'10'-62'2668,"-1"1"1,-6 6 0,-9 6-1770,-44-9-629,-7 42 0,-15 12-210,-6 8 0,-11 8 0,-4 3-596,2 0 1,-5 2-1,-4 3 1,-3 0 550,23-3 0,-3 1 0,-1 1 0,-2 0 0,-2 1 0,0 1-3,4 0 1,-1 0 0,-2 1 0,0 0 0,-1 1 0,0 1 0,0-1-26,-4 2 0,0 1 0,-1 0 0,1 1 0,0-1 1,1 1-1,2-2 13,-4 3 0,2-1 0,0 0 0,2 0 0,-1 1 0,0-1 0,-3 2 0,0 0 0,-1 1 0,1-1 0,1 0 0,3-1 0,-6 2 0,2-1 0,1 0 0,1 0 0,0 0 18,1-1 0,-1 1 0,2 0 0,0-1 0,2 0-42,8-3 1,1 0 0,2-1 0,-1 0 0,1 0 23,-20 6 0,0 0 0,2-2 0,5-1 0,-2-1 0,6-3 0,-1 1 0,-9 3 0,-1 0 0,1-2 0,7-1 0,1-1 0,4-1-89,-13 4 1,4 0 88,-1 0 0,4-2 90,20-5 0,5-2 360,-26 5 1382,10-3-1112,17 12 1002,27 35-1408,27-15 1,10 8-195,10 2 0,8 7 0,4 1-217,11 11 0,7 3 0,3 2 119,-5-12 1,3 1-1,2 1 1,4 0-23,-4-8 0,3 2 0,2-1 0,0-3 0,-2-3 22,1 0 1,-1-4-1,1-3 1,3-1-23,7 4 0,2 0 0,4-6 0,2-13 0,20-10 0,5-16 0,1-5 0,4-2 0,2-6 0,4-6 0,-24-3 0,3-4 0,2-3 0,0-2 0,-1 1-208,-5 0 1,-1-1 0,1 0 0,0 0-1,4 0 208,-1 1 0,2-1 0,3 1 0,0 0 0,-1 1 0,-3 1 0,4 0 0,-3 1 0,-1 1 0,3-1 0,4 1 0,5-1 0,4 1 0,3-1 0,1 1 0,-2-1 0,-4 1-417,3 0 1,-3 0 0,-2 0-1,1 0 1,1-2 341,-9 1 0,2 1 0,0-1 0,0-2 0,0 0 0,-1-4 0,3-1 0,1-3 0,-1-2 0,-1 0 0,-2-2 1,-4-1-111,0-1 1,-4-1 0,-2-2-1,-1-1 1,0-1 256,5-3 0,1-2 0,-1-1 0,-3-1 0,-5 0 72,0-4 0,-4 0 1,-4-2-1,-3 0 6,10-13 0,-6-1 0,-6-5-90,-7-3 0,-5-3 0,-6-4 30,-5-3 0,-5-3 0,-6 1 30,-6 4 0,-5 0 0,-6 1 192,-4 4 1,-5 1 0,-4 3-268,-11-13 0,-8 4-45,-11 1 0,-6 3 0,1 9 0,-1 2 845,-4-1 1,0 2-1341,8 12 1,1 2-767,3 7 1,1 4-5307,-24-13 6725,8 27 1,21 14-1,10 10 1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2:32.106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2119 604 9242,'-15'-59'9830,"4"17"-7877,7 46-694,15 46-854,2 0 0,5 4-270,7 8 0,5-1 0,5-3 0,4-5-46,2-12 1,4-10 720,46-17 89,-9-57-224,-45 5 0,-5-6 134,-5-1 1,-4-1-630,6-32-180,-18 49-630,-7 35-4497,1 56 2068,4-16 1,5 3-1754,10 8 0,2-2 4812,16 26 0,-3-28 0,-29-45 0</inkml:trace>
  <inkml:trace contextRef="#ctx0" brushRef="#br0" timeOffset="317">3108 1018 8522,'13'-42'7916,"-1"-6"-4139,-6-2-3507,-14 21 540,-11 30-450,1 38-360,14 14-180,47-1 90,24-37 180,28-31 539,-20-41-89,-37-29-450,-58-1-360,-35 24-1484,5 46 0,-5 12-5082,-24 25 6836,11 7 0,40 0 0,25-21 0</inkml:trace>
  <inkml:trace contextRef="#ctx0" brushRef="#br0" timeOffset="566">3665 536 10231,'20'-50'4915,"0"0"0,9-26 3695,-46 81-8610,-3 50 0,-4 34-3868,14-9 0,4 5-405,2-12 1,2-2 4047,1 1 0,0-7 1,3 7-1,-3-48 0</inkml:trace>
  <inkml:trace contextRef="#ctx0" brushRef="#br0" timeOffset="867">3509 699 9512,'-62'-34'7195,"19"11"-7105,22 16 900,39-6 1259,21-14-271,-1-27-1798,-16 11-2248,-27 0-2430,-15 62-3957,0 13 8455,6 16 0,10-16 0,4-22 0</inkml:trace>
  <inkml:trace contextRef="#ctx0" brushRef="#br0" timeOffset="1167">3646 909 11400,'15'-4'7556,"6"12"-7466,2 8-180,8 9 540,11-2 1259,4-18 180,-1-14-990,-18-16-1528,-35-9-2789,-25 3-1889,-13 3 5307,-4 5 0,27 12 0,5 0 0</inkml:trace>
  <inkml:trace contextRef="#ctx0" brushRef="#br0" timeOffset="1767">4246 161 7443,'7'-30'9804,"-16"-9"-7105,-25-7-2475,-11 23 1,-14 7-75,-7 9 0,-11 7 0,-5 4-533,3 2 1,-6 3 0,-3 3 0,-3 2 418,7 0 0,-4 2 0,-1 2 0,0 1 0,0 2-18,-3 1 0,0 2 0,-1 1 0,2 2 0,3-1-18,7 0 0,2 0 0,1 0 0,3 2 0,1 0 17,-7 5 0,2 1 0,4 0 1,3 2-18,-5 7 0,6 2 0,6 2 44,-12 20 1,13 4 0,18-1 0,15 5 45,19 7 0,19 3 0,13-19 0,10 1 0,9-3-265,17 7 1,11-3 0,9-5 174,-6-15 0,8-2 0,3-5 0,4-6-60,7-3 0,4-5 0,2-6 1,2-6 23,-18-8 0,1-3 0,1-4 0,0-4 0,-3-4 13,17-8 1,-1-6-1,-2-5 1,-3-6 67,-4-5 0,-2-7 0,-3-4 0,-3-4 292,-4-5 0,-4-6 0,-3-2 1,-4-1 97,-8 4 1,-4-3 0,-3 1 0,-4 0-107,5-13 1,-5 1 0,-14 2-195,-8-12 0,-27 9-855,-40 18 1,-25 13-721,-2 20 1,-12 8 0,-5 6-787,6 6 0,-6 4 1,-1 3-1,3 2 2226,-14 2 0,2 2 0,3 4 0,2 1 0,3 3 0,9 1 0,8 1 0,0 1 0</inkml:trace>
  <inkml:trace contextRef="#ctx0" brushRef="#br0" timeOffset="3683">695 466 9422,'-53'-71'4407,"14"37"1,-8 7-3284,-10 10 0,-5 11-584,-12 8 0,0 12 314,0 15 1,6 14-406,8 22 1,13 9-360,19-7 0,16 3-450,26 19 1,25-8-1800,39-24 0,16-15 270,-5-4 0,4-11 1889,-15-20 0,3-8 0,-10-4 0,-14-3 0,-7-5 0,42-21 0</inkml:trace>
  <inkml:trace contextRef="#ctx0" brushRef="#br0" timeOffset="4083">970 453 8792,'-20'0'2429,"1"3"539,-4 6 180,6 0-2698,7 5-270,34-14-2789,21-6-5576,29-14 8185,-20 5 0,-14 2 0,-31 9 0</inkml:trace>
  <inkml:trace contextRef="#ctx0" brushRef="#br0" timeOffset="4283">1278 317 9422,'-50'0'6116,"11"2"-5396,9 21-360,31 19-181,5 19-358,7 25-1036,-15-36 1,-4 1 1214,-4 2 0,-1-3 0,-10 15 0,8-21 0</inkml:trace>
  <inkml:trace contextRef="#ctx0" brushRef="#br0" timeOffset="5100">4943 911 12120,'-32'0'5577,"4"0"-5577,59-11-720,49-11 495,-11 4 1,4-3 808,1-2 1,-3-3 449,-13 4 1,-9-4 404,0-23-360,-49 16-899,10 38-270,13 29-270,25 42-89,-7 2-586,-39-23 1,-11 0-1395,-27 30-2487,2-24 1,-3-4 4899,-3-1 0,8-9 1,30-40-1</inkml:trace>
  <inkml:trace contextRef="#ctx0" brushRef="#br0" timeOffset="5567">6444 579 9961,'20'-28'8905,"-17"22"-7556,-10 22-809,-12 24 0,-6 13-315,-3 11 0,-1 5-136,-6 12 1,-3 4-30,9-22 0,-2 1 0,2-5-60,-4 4 0,1-6 0,3 0 0,1-20 0,-3-51 450,31-53 224,3-1 1,5-5 89,3 5 1,3 2 134,-1 11 1,3 7-90,25 0-270,36 80-855,-29-8 0,4 3-2294,24 12 1,7-2-1575,8-12 1,4-9 4182,-7-8 0,-1-7 0,-12-4 0,-6-6 0,25-24 0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2:43.32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725 608 9871,'-10'-22'7016,"-4"2"-5936,-7 6-541,-14 38 91,9 37-450,13-9 0,7 5-90,7 7 0,9-1 45,9-2 0,9-6 134,5-12 1,9-11 225,8-15 0,3-14 224,-1-15 1,-2-12-181,-3-9 1,-8-9 0,2-46-540,-59 6-2429,-44 27-2248,-20 31-5154,12 26 9725,28 15 0,25-4 1,12-4-1</inkml:trace>
  <inkml:trace contextRef="#ctx0" brushRef="#br0" timeOffset="167">1049 755 11221,'28'-18'4227,"-2"3"-8904,-13 15 4677,0 3 0,-5 2 0,-2 0 0</inkml:trace>
  <inkml:trace contextRef="#ctx0" brushRef="#br0" timeOffset="517">1548 379 13289,'-14'-16'5307,"-9"22"-4227,-2 53-630,15 24-540,10-33 0,8 1-45,12 3 0,6-4 135,20 9 450,19-15 1348,-18-59-1168,-20-22-360,-27-14-2159,-55 0-2608,-2 25 4497,-23 9 0,45 13 0,7 6 0</inkml:trace>
  <inkml:trace contextRef="#ctx0" brushRef="#br0" timeOffset="1450">1727 248 10231,'15'-51'8545,"-10"6"-8095,-34 5-90,-46 26-315,3 19 0,-13 8-15,0 4 0,-8 5 0,-3 2-328,16-4 1,-3 1 0,0 0 0,0 1 297,-2 1 0,-2 0 0,2 0 0,2 0 0,-11 4 0,4-1 0,7 2 511,-6 7 1,15 6-62,25-1 0,14 8-1,14 13 1,13 9-180,12 17 0,11 6-180,-2-21 0,5 2 0,3 0-150,4 6 1,4 0 0,4-2 119,5-2 0,3-3 0,7-5-60,6-7 0,6-5 0,6-8-60,6-9 0,7-9 0,5-9 15,-8-13 0,5-8 0,2-5 0,-1-6-226,3-6 1,0-6 0,0-6 0,-1-4 270,-12 1 0,1-5 0,-1-3 0,-3-4 0,-3-2 22,10-15 1,-3-6-1,-5-3 1,-7-3 224,-9 4 1,-4-3-1,-6-2 1,-7-1 71,-7-1 0,-4-2 1,-9 0-1,-12 2-207,-11 1 1,-10 1-1,-9 3 1,-9 5-136,-12 4 1,-9 5-1,-8 6 1,-4 4-608,-11 2 0,-7 5 1,-5 8-1,0 8-1115,-2 10 0,-4 9 0,2 7 0,4 5 1745,-10 8 0,4 9 0,10 3 0,-7 11 0,17 5 0,38-5 0,-1 0 0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4:01.939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1079 3321 8702,'-2'-24'9175,"3"1"-8366,5 24-359,-1 42-135,-2 10 0,-1 9-225,-2 9 0,-2 4-90,-1 3 0,0 1 224,-2-2 1,0-7 225,0 8-450,-4-29 90,-3-133-45,4 21 0,2-9 45,0-6 0,1-10 0,2-1 204,3-1 1,2-1-1,1 4-84,-2 12 0,1 3 0,2 2 374,2-32 1,13 22-45,33 48-360,16 51-270,-5 33 0,3 17-1350,-18-16 1,0 5 0,-2-1 120,-1-3 0,-1 0 0,-2 1-1890,1 2 1,-1 1 0,-6-8 3139,16 28 0,-17-21 1,-30-46-1</inkml:trace>
  <inkml:trace contextRef="#ctx0" brushRef="#br0" timeOffset="633">1401 3716 7982,'-72'-39'2488,"0"-1"1,20-13 0,28-2-2309,56 17 0,24 3-90,18-9 0,10 5-30,-17 20 0,3 5 0,1 5 165,26 4 0,-2 9-91,-15 8 1,-4 6 180,-16 1 0,-5 2 1304,25 14-1079,-28-11-270,-10-31-180,-8-30-180,11-28 0,7-4 0,12 22-900,8 38 181,13 28 629,-37-4 0,1-2 180,1-5 0,2-7 135,0-9 0,-2-7 90,-3-10 0,-3-4-46,-3-3 1,-2-1 180,23-18-180,21 51-90,-40 29 0,0 15-45,17 29 0,-2 14-45,-22-21 0,-3 5 0,-5 2-75,-3 5 0,-5 1 0,-9 0 75,-11-4 0,-8-1 0,-10-4-270,-11-7 0,-10-5 0,-6-5-1050,-5-7 1,-6-6 0,-2-10 1319,-25-7 0,2-12 0,-18 0 0,48-35 0</inkml:trace>
  <inkml:trace contextRef="#ctx0" brushRef="#br0" timeOffset="966">5464 3031 7892,'-17'-50'9830,"-1"5"-8416,1 25-964,13 66-1889,25 51-900,2-24 0,5 3 2339,2-8 0,0-6 0,14 18 0,-18-41 0</inkml:trace>
  <inkml:trace contextRef="#ctx0" brushRef="#br0" timeOffset="1466">5496 2850 11850,'-1'-25'7376,"1"22"-7016,2 18 539,11 54-584,7-7 0,6 6-225,12 13 0,7 4-60,-8-22 0,4 2 0,2-5 15,19 17 0,3-10-45,-4-18 0,2-16 180,33-34-135,-57-28 0,-7-13-630,-7-11 0,-8-5-1799,-5-2 1,-3 2-6252,4-26 8635,0 37 0,-1 31 0,-2 14 0</inkml:trace>
  <inkml:trace contextRef="#ctx0" brushRef="#br0" timeOffset="2217">6812 3015 9152,'22'-47'6836,"-9"-9"-4138,-12-25-2338,-23 22 0,-41 40-270,10 60-180,2 37-270,43-16 0,12 1-179,20 29 539,10-12 539,23-71 271,-23-28-450,9-19-90,-7 11-270,7 33-90,11 5-90,42 16 90,-21-27 135,-18-17 0,-3-17 90,-5-42 0,-9-16 179,-3 5 1,-6-7 134,-11 13 1,-3-5 0,-7 5 225,-10-9 0,-7 11-585,3 19 0,-8 18 89,-33 36-404,38 51 1,13 19-181,-5 6 0,6 3 0,19 19 1,9-4 269,-1-27 0,5-9 135,0-13 0,4-15 90,33-34 0,-36-21 0,-4-7-90,15-26 0,7-1-90,4 76 90,-2 10-45,-14 11 0,-2 8-45,-9 0 0,-6 4-540,-1 8 1,-9 4-946,-14 5 1,-13 1-1574,-15-1 0,-10-5 3148,0-12 0,-1-6 0,-23 11 0,33-36 0</inkml:trace>
  <inkml:trace contextRef="#ctx0" brushRef="#br0" timeOffset="3216">11397 2357 8342,'-5'-56'7106,"-9"-13"-4947,-21-23-1934,2 47 0,-8 7 179,-16 12 1,-7 15-225,-10 20 0,1 17-90,6 16 0,10 14-45,15 9 0,19 5-45,27-6 0,19-5 0,17-15 0,10-12 45,11-13 0,3-14 269,-4-13 1,-4-8 495,30-25-360,-26-2-450,-14 31-180,5 19-270,12 19 180,5 0 180,3-28 0,-1-39 45,-31 3 0,-1-5 45,2-3 0,2-1 0,1 4 0,3 5 90,41-3-90,-10 42 0,-16 26 90,-16 20-180,-17-8 0,-6-36 0,5-28-89,6-36-91,19-2-180,14 8 180,17 5 270,-37 24 0,-1-1 225,-1-2 0,-2 0 584,18-24-179,-46 14-180,-59 62-405,4 16 0,0 13-1485,-1 21 1,10 9-3477,20 14 1,13-1 4294,4-28 1,10-7 0,18-3 0,8-12 0,13-11 0</inkml:trace>
  <inkml:trace contextRef="#ctx0" brushRef="#br0" timeOffset="3550">14296 1726 9422,'-1'-58'3912,"-1"0"1,1-27-3733,-3 53 0,22 69-90,-1 6 0,1 9-90,5 16 0,-2 4 314,-3 3 1,-7 1 90,-10-6 0,-11-5-180,-12-13 0,-10-7-315,-9-13 0,-6-11-2069,-42-22-1709,47-62 720,52-2 0,17-3 3148,-5 13 0,5 3 0,16-12 0,1 7 0,-1 4 0</inkml:trace>
  <inkml:trace contextRef="#ctx0" brushRef="#br0" timeOffset="4033">14469 1591 9871,'41'-47'2189,"1"-1"0,-5 4 0,-3 2-660,10-14-1169,-16 64-360,-19 46-360,4 40-45,1-38 0,5-3 135,25 12 270,13-21 270,14-70 180,-14-23-270,0-13 270,-13 13-360,-15 30-1,-5 11-89,-4 18 0,-3 4 0,29-14 180,-2-16-90,12-7-90,14-6-90,-35 20-1259,46 14-1259,-25 8-1980,26 3 4588,-11-11 0,-28-5 0,-14-4 0</inkml:trace>
  <inkml:trace contextRef="#ctx0" brushRef="#br0" timeOffset="5367">16487 737 9242,'-40'-34'6386,"-45"0"-6027,17 19 1,-14 1 0,-3 3-270,-8 0 0,-5 3 0,-10 1-769,24 3 1,-6 1 0,-6 0 0,-3 2 0,0 0 0,0 1 678,11 2 0,0 1 0,-1 0 0,0 2 0,-3 0 0,-2 0 0,-2 1-183,4 0 0,-2 1 0,-3 0 0,-2 1 1,-1 0-1,0 0 0,0 1 0,0 1 0,2 0 173,2 0 0,0 0 0,0 1 0,0 1 0,0 0 0,1 0 0,-2 0 0,0 1 0,0 1 10,6-2 0,-1 1 0,-1 1 0,0 0 0,-1 0 0,1 0 0,0 0 0,1 1 0,0-1 0,1 0-92,-4 1 0,0 1 0,1-1 0,0 1 0,0-1 0,1 1 0,0 0 0,0-1 0,-1 1 42,1-1 0,0 1 0,0-1 0,0 1 0,0-1 0,0 1 0,0-1 0,0 0 0,0 0-87,2-1 0,-1 1 0,1-1 1,0 0-1,-1 0 0,1 0 1,0 0-1,1-1 0,-1 0 125,-8 1 1,-1 1 0,1-1 0,0-1 0,1 1 0,-1-1 0,2 0-1,-1-1 15,4 0 0,1-1 1,-1 1-1,1-1 1,1-1-1,0 1 1,1-1-1,1-1-3,-6 1 0,2-1 0,1 0 0,0-1 0,1 0 0,1 0 0,-1-1 0,5 0 0,0-1 0,0-1 0,0 0 0,2 0 0,1 0 0,0-1-15,-4 0 0,1 0 0,1-1 0,1 0 0,-1 0 0,1 0 156,-16 1 1,1 0-1,0 0 1,0-1 0,1 1-142,5 1 0,0-1 0,0 0 0,1 1 0,-2 0 0,-1 0 0,-1 1 0,0 0 0,0 1 0,1-1-18,2 1 0,0-1 0,1 1 0,-1 1 0,0 0 18,-5 1 0,0 1 0,-1 0 0,0 1 0,1 1 0,2 1 0,1 1 0,-1 0 0,2 2 0,0 0 0,3 1 0,1 1 0,1 0 0,0 1 0,1 2-18,2-1 0,0 2 0,2 1 0,0 0 0,2 0 299,-10 5 0,1 0 0,2 1 0,1 0-281,5 0 0,2 0 0,1 0 0,1 1-23,6-2 1,1 0 0,1 1-1,1-1 53,-17 8 0,3 0 0,2-1 557,7-3 0,2-1 0,2-2-527,6-3 0,1-2 0,2-1 742,-22 4 1,2-2-758,7-4 0,3 1 648,5 0 1,4 5-649,1 11 0,6 10 45,2 19 0,11 14-4,19-10 0,7 8 0,7 5-64,8-1 1,7 4-1,4 5 1,6 0-278,2-5 1,4 3 0,4 1 0,4 0 0,2 1 269,-1-10 0,3 0 0,3 2 0,2-1 0,2-1 0,2-2 0,2 1 0,3 0 0,2-1 0,2-1 0,2-4 0,1-2-243,9 4 1,1-3 0,2-3-1,3-4 1,4-5 227,1-6 0,3-4 0,4-4 0,2-5 0,4-7 15,-6-9 0,2-6 0,3-3 0,2-4 0,1-3 0,1-2-15,-5-3 0,0-3 0,2-2 0,1-2 0,1-2 0,3-3 0,1 0-209,-7-2 0,2-2 0,1-1 0,2-2 0,1-1 0,1-2 0,1 0 0,-1-1 0,1 0 209,-3 0 0,0-2 0,1-1 0,0 0 0,1-2 0,0 1 0,0-2 0,1 1 0,0 0 0,0 1-132,3-2 1,1 0-1,0 0 1,1-1-1,-1 0 1,1 1 0,0-1-1,-1 1 1,1 1-1,-1 0 132,-1 1 0,1 0 0,-1 0 0,0 0 0,0 0 0,1 1 0,-2 1 0,1 1 0,-1 1 0,-1 1 0,6 0 0,0 2 0,-1 1 0,-1 0 0,1 2 0,-1 0 0,-1 2 0,0-1 0,0 2-43,-6 1 1,-1 2-1,-1 0 1,0 2 0,0-1-1,0 1 1,0 0 0,1-1-1,1-1 53,5 0 0,0 0 0,1 0 0,0 0 0,0-1 0,1 0 0,0 0 0,-1-2 0,1-1-83,1 0 1,-1-2 0,1 0 0,0-1 0,0-1 0,0 0 0,1-1 0,-1-1 0,2 0 81,-7 0 0,1-2 0,0 1 0,1-2 0,0 0 0,0 0 0,-1-1 0,1 1 0,-1 0 0,-1 1-9,-3 0 0,0-1 0,0 1 0,-1-1 0,0 1 0,0-1 0,-1 2 0,1-1 0,-1 2 0,-1 0 6,7 0 0,-1 1 1,1 0-1,-2 1 1,1 0-1,-1 2 1,-1-1-1,0 2 0,-1 1 5,4 1 0,0 1 1,-2 1-1,0 0 0,0 2 1,-1-1-1,0 1 0,0-1 40,-3 1 0,0 0 0,-1 1 0,1-1 0,-2 1 0,1-1 0,0-1 0,-1-1-39,10-1 1,-1 0 0,1-1 0,-1-1 0,0 0 0,-1-1 0,-1-1-13,-2 0 0,-1-1 0,0 0 0,-1-1 0,-1 0 0,-1-1 0,-1 0 96,4-1 0,-1-1 0,-2-1 0,-1 1 0,-1-1 0,-1 0-43,9-1 1,-2-1 0,-1 1 0,-3-1 0,-2-1 327,3-1 0,-4 0 1,-2-2-1,-1-3-336,-4-1 0,-2-2 0,-1-4 0,-2-6 45,6-12 0,0-6 0,-4-6 0,-3-6 259,-16 7 0,-2-5 0,-3-3 1,-2-3-1,-4-3-223,2-5 0,-2-4 0,-4-2 0,-5-3 0,-7-3-55,-9 7 0,-4-3 1,-5-3-1,-5 0 1,-6 0-1,-7 1-71,-9-2 0,-6 0 0,-8-1 0,-6 2 0,-6 0 0,-6 3-274,2 15 1,-6-1 0,-6 2 0,-3 0 0,-3 2 0,-3 2 0,-1 2 0,-1 3-110,-3 1 1,-2 3 0,-3 1 0,-2 2-1,-2 3 1,0 1 0,-1 3 0,-1 2-349,2 2 0,-4 3 0,0 2 0,-2 1 0,2 3 1,1 2-1,3 3 0,5 3 598,-13-3 0,2 4 0,5 4 1,4 3-1,5 2 0,-11 0 1,6 5-1,23 4 0,23 6 0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5:59:53.443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13418 630 8252,'-6'-21'9830,"0"1"-6257,-3 32-2314,6 33-1034,4 2 0,4 8-1305,8 15 1,5 4-720,7 6 0,4-1-270,3-5 0,3-4 405,-3-14 0,-1-6 1214,13 7 1170,-19-39 1259,-27-32-360,-10-14-540,-3-12-629,20-1 270,31-7 269,39-17-135,-29 21 1,1-3 134,0-4 1,-5-3 224,-6 1 1,-6 1-46,3-22-629,-27 36-540,-3 63-2069,9 48 45,4-12 0,6 4 360,8 7 0,6-1 899,5-7 1,5-6 944,-2-15 0,2-11 2608,32-10-179,-27-38-1260,-24-8-1349,-16 13-720,14 33 91,19 10 269,38 0 585,-31-30 0,1-9 584,40-31-359,-34-26-720,-61 0-2338,-65 24 494,12 35 0,-5 10 2114,-5 11 0,3 5 0,-20 9 0,30 1 0</inkml:trace>
  <inkml:trace contextRef="#ctx0" brushRef="#br0" timeOffset="2817">18678 424 9691,'-3'-78'9830,"0"18"-5807,10 47-3574,6 61-449,1 4 0,4 6-135,3 2 0,4-3 45,1-10 1,5-10 179,37-4 179,3-55 91,-5-26 0,-11-5-270,6 23-180,-7 36-540,24 19 271,10 6 538,-35-24 1,1-10 405,1-14 0,-3-12-226,-3-21 1,-11-13-270,-10-17 0,-13-5-180,-11 12 0,-12 5-675,-14 2 1,-13 19-4093,-42 51 1889,22 31 449,36 52 3059,64-20 2338,26-21-719,11-22-810,-30-20 0,1 0 1,42 18-1126,-44-7 1,-2 6-135,-5 14 0,-8 6-450,1 33-449,-23 14-990,-23-29 1439,-10-31 0,21-66 450,20-32 180,1 16 0,6 0-45,7 4 0,6 5-46,-1 11 1,3 9-90,43 12-629,-11 57-46,-44-4 0,-5 4-44,14 37 269,-11-9 360,-7-48 0,5-45 180,5-24 0,6-24 809,17 14-629,29 30-540,13 35-945,-46 11 1,-5 8-1170,-9 7 1,-8 6 2293,-12 7 0,-7-1 0,-1 9 0,-13-9 0</inkml:trace>
  <inkml:trace contextRef="#ctx0" brushRef="#br0" timeOffset="10050">13659 3945 9602,'-41'-59'4497,"-4"14"0,-8 1-3688,0 7 1,-3 3-720,-8-3 0,1 15-90,-25 51-449,75 44 89,37 22 270,22-51 0,12-12 270,-3-21 0,3-11 89,4-9 1,-1-12 270,1-22 0,-5-7-226,-14 12 1,-2 2-90,1-1 0,1 9 45,35 29-450,-14 36-270,2 19 1,-17 14 359,-29-31-90,-11 0 0,-16-67 90,16-11 90,28-48 0,0 49 0,6 4-45,-1 4 0,4 4-180,11 5 0,3 5 0,-4 4 1,-2 1 134,40-13 180,-6-18 719,-61-19 180,-31 5 721,-61 7-1126,10 56 1,-3 15-540,7 3 0,5 9-1395,-3 26 1,21 10-2249,44 4 0,22-3 3598,3-12 0,8-7 0,9-2 0,4-11 0,-12-25 0,0 0 0</inkml:trace>
  <inkml:trace contextRef="#ctx0" brushRef="#br0" timeOffset="12033">19454 2641 13559,'-37'-7'4138,"22"17"-4498,48 51 90,24-3 360,19-2 1349,0-50-719,-40-44-450,-23-24-90,-74-10-90,-21 42-270,-12 25-1889,42 64 90,69 9 1170,36 6 988,2-46 1,7-11 584,-6-15 1,-1-9-360,6-5 0,-2-12 0,-1-21 0,-7-9-136,-14 6 1,-6-1 45,-1-4 0,-6 1 45,-10-19-360,-13 48 90,-2 44-90,22 74 0,4-23 0,4 6 0,5 13 0,0 2 0,-1-5 0,-4-1 0,-10-12 0,-10-3-135,-12-11 0,-7-5-945,-22 36 541,3-32 449,20-46 360,44-71-225,0 0 0,4-8-1035,7-14 1,1-2-3599,2-3 1,-4 6 4253,-14 23 1,-5 7 0,5-9 0,-24 46 0</inkml:trace>
  <inkml:trace contextRef="#ctx0" brushRef="#br0" timeOffset="11150">16287 3207 7892,'-3'-22'9830,"6"17"-6347,17 41-2494,23 51-764,-17-34 0,0 1-180,0 0 0,-2-3-135,11 16 0,-2-72 180,-3-34 0,-5-12 0,-1-5 270,12-26 179,16 5-359,-3 74-539,11 30-361,10 24 360,-24-24 0,2-5 360,37-9 270,2-28 900,-21-58-361,-33 9-269,-11-6-540,-27 56-270,2 29-899,9 44 719,28 4 360,20 1 90,22-23 90,-2-46-90,-21-26 270,-28-46-90,-55-2-90,-12 21-360,-21 41-1439,41 61 1169,36 7 405,24-19 0,14-11 135,24-23 0,3-17 180,-3-5 0,-5-14-30,-16-8 0,-3-12 0,-10-6-80,-14-15 1,-11-9-1,-4 1 350,-2 7 0,-5 1 0,-5-1 239,-5-9 1,-7-1 0,-8 14 599,-13 12 0,-7 19-1079,-33 21-180,35 64 0,14 26-2189,24 10 0,18 12 1,2-1 209,-5-10 0,2-3 0,6 2 1620,12 15 1,7 2-1,-2-14 1,-5-19-1,-3-9 1,21 28-1</inkml:trace>
  <inkml:trace contextRef="#ctx0" brushRef="#br0" timeOffset="11300">18184 3096 9781,'-47'-44'3276,"1"0"1,1 3 0,5 2-4292,6-18-4921,54 24 5936,58 19 0,14 13 0,-5 3 0</inkml:trace>
  <inkml:trace contextRef="#ctx0" brushRef="#br0" timeOffset="7833">8625 3986 9512,'-1'-17'9354,"-1"0"-8454,-10 30 179,6 31-764,4 12 0,2 10-135,7 18 0,5 7-510,-3-21 0,0 4 0,2-1-810,2 1 1,0 0 0,2-2-1200,9 24 1,2-8 2338,-4-22 0,-1-9 0,10 9 0,-13-47 0</inkml:trace>
  <inkml:trace contextRef="#ctx0" brushRef="#br0" timeOffset="8266">8693 4497 7443,'-8'-85'1228,"-1"1"1,1 0 0,-1 0 0,1 0-1,1-6 1,-1-2 0,8 12 0,19 22 242,40 21 0,13 28-1381,-3 20 0,-5 19-45,-6 18 0,-13 13-45,-15 13 0,-15 6-90,-15 1 0,-10 0-270,-4-9 1,0-4-46,6-12 0,11-6-224,58 19 539,-5-41 0,8-6 0,8 1 0,2-2 270,-7 0 0,-8 2 179,8 27-179,-84 10-540,-20-24 1,-12-3-1126,-12 3 1,-2-3-810,8-5 1,6-7 2293,4-14 0,32-6 0,29-21 0</inkml:trace>
  <inkml:trace contextRef="#ctx0" brushRef="#br0" timeOffset="9166">9471 4647 7713,'62'-61'7195,"4"-6"-3687,-25 23-3058,-9 20-90,-21 49-360,5 39-810,26 25 630,-6-47 1,8-7 134,10-10 0,6-14 45,4-19 0,-4-18 135,-5-25 0,-13-17 89,-13-25 1,-18-8-45,-15 30 0,-9 0 0,-6 2-120,-8 3 0,-5 3 0,-5 6-105,-19-7 0,-4 15-315,9 21 0,8 16-809,16 31-720,87 38 1439,-5-24 1,9-8 898,15-7 1,1-15 584,-7-20 1,-6-18-136,-13-21 1,-10-12 44,-12-5 1,-11-4-46,-11 5 1,-9 5-360,-15-10-451,-13 80-2877,11 88 539,17-8 1,7 8 134,5 6 0,5-1 1259,4-5 1,0-7 1573,-3-26 1,-8-12 719,-20-16 1,-19-69-721,-7-45-539,28 28 0,9-3-135,10 2 0,10 4 314,5 8 1,7 9 180,40 0-90,-6 49-180,-5 41-180,-5 22-90,-10 1-180,-12-14 90,-5-37 270,-1-50 719,7-25 45,-11 7 1,2 0 854,25-11-1439,1 19-1979,-1 64-2879,-8 31-5126,8 20 9624,-15-18 0,-12-27 0,-16-25 0</inkml:trace>
  <inkml:trace contextRef="#ctx0" brushRef="#br0" timeOffset="-3233">9951 1219 7173,'-15'-5'-720,"4"-4"720,6-4 0,3 5 0,3 0 0</inkml:trace>
  <inkml:trace contextRef="#ctx0" brushRef="#br0" timeOffset="-2300">9983 733 12120,'-20'-41'6566,"1"7"-5846,1 9-270,4 8 179,6 4 361,1 0 1169,2-3-1890,4 18-89,1 3 360,3 31 180,0 22-271,-1 34-314,0-32 0,0 4-135,2 7 0,1 1-765,2 6 1,2 2-1350,2 7 0,2 1-719,4 2 0,2-1 2534,4-6 0,0-7 0,-9-24 0,0-7 0,12 5 1</inkml:trace>
  <inkml:trace contextRef="#ctx0" brushRef="#br0" timeOffset="-1400">10067 853 8252,'-42'-79'2608,"0"1"1,15 10 0,7 1-2070,6-6 1,18 9 0,70 5-405,-8 62 0,5 21-90,-1 18 0,-7 15 0,-9 14 0,-14 10 179,-22 5 1,-17 0 90,-17-7 0,-11-5-180,-4-7 0,-5-5-90,3-17 0,3-3 45,2 30-90,63-23 0,12-22 0,12-6 0,19-6 0,7-9-45,10-7 0,-1-10 90,-8-9 0,-8-11 224,-18-6 1,-11-9 225,-19-1 0,-11-3 224,-15-40-449,-17 29-360,20 40-90,44 57 135,-3 6 1,5 8-1,12 20 0,0 6 45,-21-20 0,-2 2 0,-4 1 314,8 23 1,-10 0 45,-15-11 0,-14-2-180,-19-15 0,-13-7-90,-13-10 0,-9-10-360,-7-9 0,-3-15-180,3-17 0,7-15 135,16-15 1,14-9-1,19-11 0,16-4 135,17-2 0,13 3 135,9 3 0,4 4 270,-3 7 0,-1 2 539,-11 7 1,-7 1 944,6-23-809,-51 60-1530,-1 39-2338,-7 54-91,24-17 1,9 3-1035,2-9 1,2-3 4092,-1-2 0,0-5 0,8 6 0,-22-49 0</inkml:trace>
  <inkml:trace contextRef="#ctx0" brushRef="#br0" timeOffset="900">10169 1315 9602,'41'-49'2338,"0"1"1,-5 2 0,-3 1-1350,-2 2 0,-4 3 451,5-15-721,-37 45-45,-29 49 1,-14 35-405,10-10 0,0 9 0,2 4-377,7-9 1,0 3 0,5 2 0,9 1 16,10 6 0,8 2 0,9-2 0,15-10-90,29 4 0,20-13 0,12-14 112,-2-18 1,10-11 0,5-11-1,0-9-190,-14-8 0,4-9 0,-1-7 0,-1-5 1,-4-3 239,-5-3 0,-1-5 0,-3-5 0,-5-2 0,-7-3 18,2-8 0,-5-4 0,-11-2 0,-16 0-6,-15-11 1,-17-1 0,-20 11 35,-23 15 0,-18 11 0,-8 12 0,-26 13 0,-11 18 0,1 13-162,30 6 1,1 8-1,2 6 1,5 5-72,2 5 1,3 5 0,7 5 0,13 3-38,10 17 0,15 6 0,20-7 381,35 13 0,28-19 189,-8-35 0,9-11 0,1-15 299,1-17 1,0-13 0,-10-12 359,12-36 0,-33-14-629,-46 16 0,-23-4 0,-13 10-210,-17 10 0,-16 12 0,-9 10-52,-1 11 1,-10 10 0,-2 9-1,4 9-368,11 10 0,1 10 0,3 7 1,7 4-511,-12 16 1,8 7-1,24 6 70,28 29 1,39-6 484,51-29 0,27-19 315,-18-22 0,8-10 0,-1-7 150,-6-6 0,-1-6 0,-5-3-1608,14-8 0,-11-1-1690,-1 1 3058,-26 29 0,-35-3 0,11 10 0</inkml:trace>
  <inkml:trace contextRef="#ctx0" brushRef="#br0" timeOffset="6266">7486 2172 9961,'-37'-15'5037,"26"-6"-4137,65-24-750,-2 18 0,13-1 0,6-1-706,1 1 1,6-1 0,4 0 0,2-1 573,-6 2 0,4-1 0,1-1 0,0 2 0,-3 0 72,13-3 0,-2 1 0,-2 0 0,-4 2 391,10-4 1,-5 0-1,-11 3-76,-10 2 0,-16 1 692,-24-3-738,-49 19-179,-9 31-90,34 43 529,17-9 1,11 5-620,12 8 0,5 2 254,0-1 1,-4-1 15,-9-11 0,-12-3 0,-24 27-900,-67-15-1079,10-34 0,-5-3-3207,-5 4 1,3-1 4902,15-9 0,5-2 1,-7 12-1,43-25 1</inkml:trace>
  <inkml:trace contextRef="#ctx0" brushRef="#br0" timeOffset="1317">17130 809 12570,'-39'-34'9354,"-9"13"-10793,10 44-3688,24 26 5127,30 20 0,5-23 0,4-14 0</inkml:trace>
  <inkml:trace contextRef="#ctx0" brushRef="#br0" timeOffset="1750">17091 840 8162,'-32'-49'1529,"16"13"-2608,25 12 1439,21 16 1979,25 7 449,8 9-180,0 5-1888,-2 9-180,-10 5-360,-2 10-180,-3 6 0,-9-2 90,-14 2 0,-34-21-1,-27-11 271,-13-15-270,-7-10-899,23 7-2070,17 25 2879,35 16 0,-7-3 0,14-3 0</inkml:trace>
  <inkml:trace contextRef="#ctx0" brushRef="#br0" timeOffset="238579">3265 8057 7713,'-62'-19'7285,"-21"-1"-6475,11 2-180,11-7-91,112-10-449,-4 16 0,8 1 90,17-2 0,7 4 225,18 6 0,-1 6-226,-20 7 1,-3 3-90,2 2 0,-2 4 0,-9 4 0,-5 1 0,23 8 360,-15-3-180,-14-19-90,-14-38-1,-3 5-179,4-27 90,-6 37-269,15 17-721,39 33 450,3 4 270,-27-15 0,4-6 180,-5-15 0,-2-7 225,-8-1 0,-3-5 270,0-10 0,-6-5 44,4-18-2877,-14 7-2340,-12 39 4678,-2 27 0,-12 0 0,5 3 0</inkml:trace>
  <inkml:trace contextRef="#ctx0" brushRef="#br0" timeOffset="239013">5858 7689 11131,'3'-71'7465,"-3"5"-6205,-4 17-181,-3 9-629,-1 21-360,-3 14-90,14 22 0,20 31 0,20 14 0,9 1 0,-3-9 0,-14-16 90,-4-1-90,-9 3-360,-8-8-1619,-3 2 1979,2-4 0,-7-17 0,4 2 0</inkml:trace>
  <inkml:trace contextRef="#ctx0" brushRef="#br0" timeOffset="240746">2140 6966 9422,'74'-37'6836,"-7"7"-4588,-21 55-1483,-29 17 0,-7 13-361,-3 37 1,-5 11-475,-2-23 1,-2 2 0,-1 0 248,1-2 1,-1 0 0,1-4 989,0 20 1,1-12-851,8-5 221,12-119-316,-6-40 1,-1-23 0,-4 34 0,0-5 0,0-3 0,0 0-33,0-4 1,0-2 0,-1 0 0,0 3 106,2-17 1,-2 4 0,1 5-165,1-12 0,2 14-135,16 10 0,21 93 0,-8 34 0,1 19-960,-8-11 1,1 6 0,1 1-887,2 7 0,0 1 0,0-1 436,-5-6 1,0-2 0,-2-4 240,6 9 0,-5-6 449,0 23 990,-59-65 1666,-50-37-1262,25-9 1,-2-6-46,1-6 1,6-4 90,-3-38 381,67 18-651,59 34-360,-16 30 0,3 12 0,6 10 0,-2 7-45,-1 3 0,-3 3 135,-8-4 0,-4-2 90,18 8-91,11-54-89,-35-29-90,-6-3 0,-2-3 0,4-17-90,19 15-449,35 65 359,-30-1 0,5 1 45,6 5 0,3-5 135,15-10 0,-3-12 225,-26-10 0,-5-6 134,-1-5 1,-7-7 540,2-43-720,-34 27-270,-9 28-360,13 79 360,-2-8 0,3 6 45,6 15 0,3 6 105,-7-12 0,0 3 0,-5-1 255,-2 22 0,-8 0-180,-5 8 0,-14 0-540,-25-5 0,-11-8-1214,9-27 0,-5-8-3297,-7 0 1,0-12 4764,-3-23 0,21-11 1,18-12-1</inkml:trace>
  <inkml:trace contextRef="#ctx0" brushRef="#br0" timeOffset="241129">6305 7404 7713,'-23'-34'9804,"-1"3"-8455,12 50-719,43 59-450,5 0 0,8 8-120,-6-25 0,4 1 0,2-3 59,-2-5 1,2-2 0,1-6 240,17 8 0,2-17-45,-12-24 0,-2-16-136,-7-25 1,-7-13-540,-8-15 1,-8-7-1620,-5-7 0,-5 2 180,-7 15 0,2 5 1799,13-10 0,-12 42 0,11 17 0</inkml:trace>
  <inkml:trace contextRef="#ctx0" brushRef="#br0" timeOffset="241662">7586 7630 8162,'11'-53'4915,"-1"0"0,-3 6-3983,-4-24 0,-9 0-573,-19 25-179,-38 6-270,4 70-135,25 11 1,8 10-46,10 13 0,9 4 135,9 2 0,8-2 135,7-10 0,7-8 90,32 8 90,10-47-90,9-36-180,7-11 90,8 0 0,-41 18 0,0-2 0,2-6 0,-2-6 90,2-18 0,-8-12 209,-16 4 1,-6-6 0,-5-5 201,-4-14 0,-6-5 1,-6 1 277,-5 2 1,-6 1-1,-3 5-194,-8-26 0,-13 21-136,-46 33-538,42 134-1111,31-24 1,8 10 0,6 3-630,8 12 0,9 4 0,7-2-817,10 3 1,8-2-1,0-6 2646,-7-18 0,1-6 0,0-6 0,7 3 0,-4-15 0,0-16 0</inkml:trace>
  <inkml:trace contextRef="#ctx0" brushRef="#br0" timeOffset="241829">9060 7496 8612,'33'-68'9830,"-7"12"-7787,11 54-6450,-9 53-46,-6 12 1,-2 4 4452,-6-17 0,-2-3 0,7 29 0,-14-61 0</inkml:trace>
  <inkml:trace contextRef="#ctx0" brushRef="#br0" timeOffset="241979">9305 7133 8612,'-37'-73'674,"19"13"1,2 22 0,19 17 0</inkml:trace>
  <inkml:trace contextRef="#ctx0" brushRef="#br0" timeOffset="242296">9846 7202 12750,'41'24'7016,"1"3"-6477,3 5-269,-1 3-270,-12-5-180,-31 23 90,-34-12 90,-16 13 0,-14-13 90,17-16 0,10-5 90,1 18-3688,17 13-6323,10 26 9792,9-21 1,10-15 0,-6-34 0</inkml:trace>
  <inkml:trace contextRef="#ctx0" brushRef="#br0" timeOffset="243196">11259 7247 10591,'34'-54'9535,"-8"18"-8276,30 37-809,-15 35-271,13 27-269,-32-18 1,-1 1-1,16 20 90,1-11 0,41-57 0,-13-22 179,25-15-134,-43 22 0,0 5 45,34 14-90,9 15 45,-43 8 0,-1 4-45,37 26 0,-40-26 0,2-3 45,4-7 0,-1-7-45,21-16 540,9-37 1349,-34-26-1619,-16 10-180,-22 20-270,-15 48-90,8 24-719,39 10 629,11-27 0,9-10 270,3-8 0,3-13 150,-5-13 0,0-11 0,-5-12-266,-13-12 0,-6-14 1,-4-6-1,-3 3 431,-1 5 0,-3 1 0,-2-3 0,-4-3 44,-5 0 1,-1-5 0,-3-2 0,-5 4 0,-5 6 100,-12-13 0,-7 7 1,-5 7-102,-5-10 1,-11 24 90,-54 49-1440,71 86 1,18 31-510,1-36 0,2 2 0,4 5 97,4 1 0,3 6 0,1 0 0,0-5 23,1 2 0,-1-4 0,-1-2 1334,1 28 0,-4-11 1664,-5 7 2352,-36-78-822,-4-44-1909,-9-15-2230,41-1-2428,70 17 1664,13 3 0,12 0 1844,-21 5 0,2 0 0,-1 0 0,26-4 0,-3-2 0,-17 0 0,0 0 0</inkml:trace>
  <inkml:trace contextRef="#ctx0" brushRef="#br0" timeOffset="243796">14130 6874 10141,'59'-44'2548,"0"0"1,-5 1 0,-6 6-1110,-12 9-1079,19 28-225,-12 20 0,3 12-90,9 22 0,0 11-45,-15-12 0,0 5 0,-4 2 45,10 29 0,-10 1-45,-17-8 0,-16-6 45,-15-18 0,-14-9-135,-56 2-1170,-3-60-898,36-64 1258,52 12 1,16-5 449,17-8 0,12 3 540,11 1 0,7 9 539,-1 12 1,3 9 0,-3 14 0,-1 7 44,-4 7 1,-1 5 1124,40-1-540,-30 5-1349,-31 10 90,-17 2 0,2 12 0,13 0 0,14 8-90,7 8-1799,3 16-2069,-10 19-3867,-24 12 7825,-15-23 0,-16-16 0,1-34 0</inkml:trace>
  <inkml:trace contextRef="#ctx0" brushRef="#br0" timeOffset="245412">1712 9986 9871,'14'2'6836,"43"-1"-6177,10 0 1,18 0 0,11-1-1334,-20-2 1,7-1-1,5-1 1,6-1-1,3-1 1,5 0 780,-17 1 1,5-2 0,3 0 0,3 0 0,2-1 0,3 0 0,0 0 0,2-1 0,-1 1 0,-1-1-161,-10 2 1,-1-1 0,1 0 0,0 0-1,1 0 1,0 0 0,2 0 0,1 0-1,2-1 1,1 0 0,3 0 0,2 0 72,-17 2 0,3-1 0,1 0 0,3-1 0,1 1 0,2-1 0,1 1 0,0-1 0,1 0 0,0 0 0,0 0 0,0 0 0,0 1 0,-2-1 0,0 1 0,-2-1 0,-1 1 0,-3 0-52,14-1 1,-3 1-1,0-1 1,-2 0 0,-1 1-1,0 0 1,-1 0-1,0-1 1,0 1 0,1 0-1,-1 0 1,2 0-1,0 0 1,1-1 19,-2 1 0,2 0 0,0 0 0,0 0 0,1 0 0,1 0 0,-1 0 0,0-1 0,0 1 0,0 0 0,-1 1 0,-1-1 0,0 0 0,-2 0 0,-1 1-73,4-1 0,0 0 0,-1 1 0,-1-1 0,0 1 0,-1-1 0,0 1 0,-2 0 0,0-1 0,-1 1 1,-2 0-1,-1-1 0,0 1 76,9-1 0,-1-1 0,-2 1 0,-1 0 0,-1 0 0,-1-1 0,-1 1 0,0 0 0,0 0 0,0-1 62,5 1 0,1-1 0,-1 1 0,-1 0 1,0-1-1,-1 1 0,-1-1 0,-1 0 0,-1-1-53,3 0 0,-1 0 0,0 0 0,-1-1 0,-2 1 0,-2-2 0,-2 1 0,-3-2 0,7-1 0,-4-1 0,-3 0 0,-1-1 0,-1-1 0,-1 0 18,11-2 0,-1 0 0,-2-1 0,-1-2 0,-2-3 155,-7-1 1,-2-3-1,-1 0 1,-3-2 0,-3 1-174,20-11 0,-6-1 0,0-2 90,-18 9 0,0-1 0,-1-1 0,0-2 44,2-6 1,-1-1 0,-1-3 0,-2-1-90,-3 0 0,-2-1 0,-1-2 0,0-1-45,3-3 0,0-1 0,-1-3 0,-1-3-18,-8 3 0,-1-4 0,-1-1 0,-3-1 0,-3 2-27,0-7 0,-5 1 0,-2-1 0,0-2 0,1-5 0,0-2 0,-3-2 0,-5-3 27,-8 9 0,-4-4 0,-3-1 0,-3 0 0,-2 3-27,-2-9 0,-4 3 0,-2 0 1,-2-1 44,1-5 0,-2-1 0,-3 0 0,-4 3-23,-4 9 1,-3 0-1,-4 3 1,-6 8 22,-10 0 0,-6 7 0,-6 4-30,-7 0 0,-8 4 0,-13 9 48,-5 16 0,-12 8 0,-9 5 0,-3 3 0,2 2-18,12 3 0,-2 3 0,0 2 0,-3 2 0,-1 1 0,-3 0 61,13 0 0,-1 0 0,-2 0 1,-2 2-1,0 0 0,-2 1 0,0 1 1,-2 1-62,2 2 0,-2 1 0,-2 2 0,0 0 0,-1 2 0,0-1 0,1 1 0,2-1 0,1 0 7,0 0 0,1 0 0,1 0 0,1 0 0,0 0 0,0 1 0,-1-1 0,-1 0-7,5-1 0,1 1 0,-2-1 0,1 1 0,-2 0 0,1-1 0,-2 0 0,0 0 0,-2-1-18,3 0 0,-2-2 0,-1 1 0,0-1 0,-1 0 0,0 0 0,-1 0 0,2-1 0,0 1 1,0-1-72,-5 1 1,1 0 0,0-1 0,0 1-1,0-1 1,1 0 0,-1 0 0,-1 1-1,0-1 62,7 0 0,1 0 0,-1 0 0,0 0 0,0 0 0,-1 0 0,-1 0 0,0 1 0,-1-1 0,-2 2-11,7-1 1,-1 0-1,-2 0 1,-1 1 0,0 0-1,-1 0 1,0 0-1,0 0 1,2 0 0,1 1-1,1-1 1,2 1-102,-5 0 0,2 0 0,2 0 0,1 0 0,1 1 0,-1-1 0,1 1 0,-2 0 0,0 0 0,-2 0 90,1 0 0,-1 1 0,-1-1 0,0 1 0,0-1 0,-1 1 0,-1 1 0,0-1 0,0 2 0,-1-1 0,0 1-19,1 1 1,-1-1-1,-1 2 1,0 0-1,-2 0 1,1 1-1,0-1 1,0 1 0,2 0-1,0 0 1,3-1-1,1 1 1,-5 0 0,2 1 0,1-1 1,2 0-1,1 1 0,0 0 0,0-1 1,-1 1-1,1 0 0,-2 0 49,-3 1 0,-1 0 0,0 1 0,-1-1 0,1 1 0,0 0 0,1-1 0,1 0 0,1 0 0,3-1 44,-10 2 1,0 0 0,0-1 0,2 0 0,3 0 0,3-2 0,5 0 0,5-2-45,-4 1 0,7-1 0,3-2 0,2-1 0,-1 0 287,-21 2 0,-1-1 1,3-4-1,11-5-314,-16-13 0,10-6 45,12 1 0,0-3 835,-14-7 0,-2-2-835,4 4 0,2 2 45,11 5 0,1 2 1158,-8-1 1,4 12-845,19 24 1,8 13-180,7 11 0,9 15-90,11 16 0,8 15 0,8 11-51,9-27 0,4 7 0,4 5 0,2 3 0,2-1 0,-1-2-99,-1-3 0,1-1 0,1 0 0,2 1 0,2 3 0,3 5-230,-1-12 0,2 5 0,1 2 1,2 3-1,2 0 0,1 1 0,2-2 1,3-1-1,1-3-939,7 7 0,5 0 0,2-2 0,3-1 1,0-1-1,-1-2 0,0-2 0,-4-2 1061,2 8 0,-2-4 0,-1-1 0,0-3 0,2-1 1,5 0-1,5 2 0,5 3 0,3-2 0,-2-5 1,-3-7-1,-7-12 0,18 10 0,0-1 0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4:10.8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192 1950 11311,'-6'-50'2788,"-6"9"-2788,31-11 0,-25 29 0,39 8 0</inkml:trace>
  <inkml:trace contextRef="#ctx0" brushRef="#br0" timeOffset="534">639 1091 8162,'-58'-68'7106,"3"6"-4767,3 9-1350,10 22 990,-27 56-1080,20 21 1,1 16-361,4-2 1,1 7 0,2 5-515,1 9 1,3 5 0,9 2 64,8 1 0,7 2 0,16-3-60,15-10 0,13-2 0,11-11-140,9-12 0,9-9 1,7-11 109,13-11 0,9-14 0,-3-13 90,-2-15 0,-2-13 0,-7-11 359,-4-10 1,-7-10 0,-13-8-181,-13-12 1,-14-8 0,-14-1-90,-14-1 0,-15-1 0,-11 4-180,-14 4 0,-11 5 0,-8 10-450,0 15 0,-6 9 1,-2 13-1890,-31 11 1,6 28-631,25 24 1,18 19 2968,33 24 0,19 6 0,5-20 0,10-2 0,23 5 0,-1 0 0</inkml:trace>
  <inkml:trace contextRef="#ctx0" brushRef="#br0" timeOffset="817">1364 1630 9422,'36'-37'9830,"2"13"-8956,-13 26 655,9 7 270,0 0-180,-5-10-1349,-19-14-990,-27 1-3148,-33 18-1709,1 17 5577,5 31 0,29-23 0,16-1 0</inkml:trace>
  <inkml:trace contextRef="#ctx0" brushRef="#br0" timeOffset="1634">2456 1071 9332,'3'-59'3268,"1"1"0,-12 3 0,-7 1-2324,-7-1 1,-6 7-405,-36 3-360,40 70-91,39 18 1,20 9-90,20 19 0,11 2 0,-16-21 0,2 1 0,0-2 45,20 20 0,-6-2 0,-20-13 0,-14-2-45,-30 25-90,-35-46 0,-15-8-540,-21-5 1,-8-10-630,-12-9 0,1-13 89,7-12 1,11-13 179,18-12 1,16-10 494,22-16 1,20-6 629,20-7 0,18 1 284,-7 26 1,6 2 0,4 3 119,4 3 1,4 3 0,2 5 314,24-8 1,2 14 89,-8 16 1,-1 18-316,-11 23 1,-7 17-360,-6 24 0,-8 14-240,-12-12 0,-3 4 0,1 2-269,4 9 0,1 1 1,4-2 58,3-5 0,5-2 0,3-6 60,3-7 0,3-5 0,3-9 108,24-2 0,-1-17 236,-16-17 1,-10-21 45,-21-39 0,-23-22-240,-26 2 0,-20-9 0,-3-1-139,8 15 1,-3-1-1,-2-1 1,-2-3 108,-1 5 0,-4-4 0,-1-1 0,3 3 0,4 3 0,-4-16 0,5 4 0,7 2 0,6 6 0,6 1 0,18 9 45,31 2 0,18 22 134,0 36 1,2 19 166,6 16 0,-8 17-646,-19 17 0,-10 14 0,-3 0-1109,-3-5-1,-3-1 1,-1 3-1868,0 6 0,-1 2 0,0-7 2758,2 4 0,0-12 1,5 7-1,-11-56 1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4:20.1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32 1258 10321,'-8'-61'6926,"2"17"-5846,13 50-271,21 68-629,-3-3 0,4 8-90,4 12 0,1 2 359,0-5 1,-2-3 539,-6-17 1,-3-11-900,-4-14 180,-41-115-180,-1-1 0,-4-16-128,6 16 1,-2-9 0,0-2-1,1 4 248,-1-6 0,1 2 0,2 1-150,-2-6 0,1 0 0,4 11 209,-1 9 1,15 19 270,45 31-180,40 68-315,-32-9 0,9 12 0,2 5 0,-2-2-287,-3-3 1,-2 0 0,1 1 0,2 1 241,8 8 0,2 2 0,1-1 0,-1-8 0,7 1 0,-1-7 0,-3-14 45,9-15 0,-5-20 0,-8-19 0,-12-24-45,-27-26 0,-17-21 0,-9-5-23,-7 13 1,-8-4-1,-4-2 1,-2 1 40,1-1 0,-1-1 1,-5 2-1,-6 1-468,-11-5 0,-7-1 1,-4 7-1,1 15-1664,-19 0 0,-4 20 135,-4 12 1,9 30 1978,35 51 0,14 18 0,8 33 0,24-31 0,0 0 0</inkml:trace>
  <inkml:trace contextRef="#ctx0" brushRef="#br0" timeOffset="367">1307 712 9422,'71'-56'9830,"-10"26"-7460,-36 73 1,-5 22-2191,4-9 0,6 5-180,7 9 0,9 7 0,2-8-135,16 2 0,5-11 135,8 0 0,4-24 315,-1-50 0,-9-31 314,-32-15 1,-12-17 0,-7-6-450,-4-9-1,-8-7 1,-12-2-329,-11 7 0,-8-4 1,-9 2-1,-8 10 149,-5 17 0,-6 6 0,-7 7 0,-4 8-90,-5 7 0,-5 5 0,-2 11 1,2 15-772,-15 18 1,2 21 0,13 13-909,17 12 0,12 13 0,17 4-840,20 10 1,17 4 0,10-5 2608,6-12 0,7-5 0,5-4 0,23 17 0,1-12 0,-24-31 0,0 0 0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4:16.405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1549 1332 7533,'-72'58'491,"0"0"1,0 0-1,0 0 1,0 0-1,0 0 1,0 0-1,0 0 1,0 0-1,0 0 1,0 0-1,0 0 1,-13 10-1,-9 3 1,-3 1-1,1-1 1,5-2-1,10-5 1,15-6-1,17-9 1,24-10 9338,34 20-8352,76-14-1478,-24-25 0,13-2 0,5-1-508,4-1 1,8-1-1,3 0 1,0-1 507,-16-2 0,1 0 0,1-1 0,0 0 0,1 1-1422,5-1 1,2 1 0,-1-1 0,-1-1 0,-5 0-738,1-1 0,-2 0 0,-4-2 1,-5 1 2158,34 3 0,-13-2 0,3 0 0,-62-7 0</inkml:trace>
  <inkml:trace contextRef="#ctx0" brushRef="#br0" timeOffset="567">3153 1532 8072,'33'-32'9830,"-21"10"-7786,-4 3-1055,-49 50 90,16 8 1,4 11-451,2 21 1,9 8-405,12 9 0,18 2-165,19-16 0,15 1 0,5-9-311,-2-14 0,4-7 0,4-5 281,7 3 0,3-4 0,1-17 197,-1-22 1,1-15 0,-10-11 491,1-27 1,-13-15-511,-16 13 1,-3-5 0,-15-5-60,-19-19 0,-17-7 0,-9 6-210,-3 22 0,-7 6 0,-3 0-330,-4-5 0,-4 1 1,-4 17-3254,-27 16 0,4 27-6188,-3 56 9140,16 8 1,50 1 0,13-47-1</inkml:trace>
  <inkml:trace contextRef="#ctx0" brushRef="#br0" timeOffset="733">4808 1847 12030,'50'-67'2069,"-15"22"-5757,7-8 3688,-18 31 0,-3 4 0,-8 12 0</inkml:trace>
  <inkml:trace contextRef="#ctx0" brushRef="#br0" timeOffset="1100">5672 1289 8162,'16'-34'9830,"-10"-7"-6347,-6 6-2044,-26 29-360,5 65-809,10 20-315,21-15 0,14 0-45,13-11 0,9-6 90,-1-7 0,5-9 180,13-12 0,0-19 180,-11-31 0,-6-14-225,-6 0 0,-10-7-1,-8-25 1,-19-3-225,-21 17 0,-16 6-675,-12 2 1,-11 11-1440,-4 18 1,-2 16-1485,7 20 0,6 10 3688,-6 30 0,35-3 0,26-26 0</inkml:trace>
  <inkml:trace contextRef="#ctx0" brushRef="#br0" timeOffset="1467">6149 1207 8072,'65'-64'4407,"-26"30"1,4-1-3329,20-13 1,8 3-720,8 8 0,5 11-61,-19 16 1,3 6 0,0 6-228,1 7 0,1 5 1,-3 6 106,0 4 1,-3 5 0,-4 3 45,14 17 0,-10 5-135,-20-10 0,-11 2 226,-3 33-226,-57-41-112,-26-46-383,8-26 1,3-15-181,1-25 0,11-12-45,13 16 1,7-6 0,9 0-246,10-8 1,9-1 0,10 3-146,10 2 1,10 2-1,6 6-1139,10 3 1,7 4-1,-2 9 1657,9-2 1,-1 11 0,-4 8 0,-7 8 0,-8 6 0</inkml:trace>
  <inkml:trace contextRef="#ctx0" brushRef="#br0" timeOffset="2934">7065 735 8432,'-51'-6'6746,"1"0"-5936,3-3 269,55-13-629,36 0 0,20 0-271,-1-1 1,8-1 0,4-1-329,-7 2 0,5-1 0,1 0 0,-1 0 171,3-1 1,0 1-1,-1-1 1,-1 0 37,13-5 0,-2 0 0,-5 2 169,16-8 0,-11 2-139,-27 9 0,-15 0-90,-26-2 0,-90 40 0,-8 12 0,-10 11 0,17-3 0,-2 4 0,0 3-148,-5 3 1,-1 2-1,3 1 148,7-2 0,3 1 0,2 0 30,11-6 0,3 0 0,2 1 296,-14 15 0,6 2-147,11-4 1,8 4 0,8 0 0,10 3-90,11-2 0,12-1 0,12-4 0,13-6-45,20-8 0,13-10-90,22-9 0,9-12 45,-22-4 0,2-5 0,0 1 186,-1-2 1,0 0-1,-3 3-51,21 5 0,-10 9 0,-26 9 0,-15 9 45,-33 62-495,-59-26 0,-32-2-652,22-25 0,-11-3 0,-6 0 0,-4-2 740,1-2 1,-7 0 0,-3-2 0,1-1 0,3-3 0,11-4 0,3-1 0,0-2 0,0-2 0,1 1 0,-18 0 0,0 0-1,1 1 1,-1-1 0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24.53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291 75 13289,'-32'-48'7196,"-25"21"-6566,-15 33-270,-8 30-180,33 26-90,45 11 0,49 11-46,-6-37 1,6 1 0,4 3 0,-1 2 45,-3 0 0,-6 1-45,-13-2 0,-12 1-45,-27 35 0,-55-27-719,-27-38-361,7-29 271,27-28 539,71-2 90,66-11 180,-2 19 0,9 1 30,-22 6 0,3 0 0,-2-1 180,2-2 0,-1-1 0,-4-2 194,16-11 1,-10-4-45,-22 3 0,-12-4 0,-18-29-91,-52 21-269,-35 38 0,-5 43 0,20 21 0,38 27 0,35-25 0,40 2 90,24-44 270,0-35 360,-11-44-496,-48 19 1,-10-6-90,-7-4 0,-6 1-135,-13-39 0,-21 43 90,11 70-180,10 51-45,21-16 0,8 1 0,6-5 1,9-6 89,16-7 0,5-15 45,33-32 135,-36-10 0,-5-8-46,7-44-178,-18-2-1,-17 34 0,17 35-90,-1 30 90,4 12 0,2 7 90,23 36 0,-25-34 0,-4 0 180,-1 30-990,-63-17-1708,-19-9-1710,5-24 0,-1-4 4228,-13 3 0,17-7 0,32-10 0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28.87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288 205 8072,'-36'-72'8006,"-1"12"-5038,-8 0-1799,-30 48-719,28 32-270,-1 61-360,57-25 0,13 1 45,-1-7 0,8-6 45,22-5 1,6-18 538,27-44-89,-39-1 0,-6-7 989,13-53-809,-41 28-540,-20 29-1170,-37 52-2158,8 20-3778,-2 29 7106,32-28 0,5-11 0,9-23 0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26.27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29 808 8972,'-8'-55'4915,"0"-1"0,-4-20-893,15 101-3513,5 44 1,3 36 0,1 14-1094,-4-45 0,0 6 0,1 5 0,1 5 1,0 4-1,0 1 0,0 1 0,1 0 602,0-6 0,0 3 0,1 0 0,0 3 0,0 1 0,0 0 0,1 2 0,-1 0 0,0 0 0,0 1-146,-2-11 1,0 1-1,0 0 1,0 2 0,0 0-1,0 0 1,0 1-1,0-1 1,-1 0 0,1-1-1,-1 0 1,1-1-176,-1 4 0,1-1 1,0 1-1,0-1 1,-1 0-1,1 0 1,-1-2-1,0 0 1,-1-1-1,0-1 1,-1-2-139,0 8 1,0-2 0,-1-1 0,-1 0-1,0-2 1,0-1 0,-1-1 0,0-2 0,-1 0-447,1 12 0,-2-1 1,0-2-1,0-1 0,-1-3 1,-1-2-1,0-4 887,0 9 0,-1-2 0,0-4 0,-1-6 0,0-7 0,0 5 0,0-8 0,0-14 0,-3 5 0</inkml:trace>
  <inkml:trace contextRef="#ctx0" brushRef="#br0" timeOffset="950">1918 553 10141,'17'-17'8815,"-39"-12"-8275,-14 33-270,-13 19 0,0 13-181,15 7 1,8 10-45,-1 34 0,18 7-15,26-30 0,12-1 0,4-1-30,15 24 0,8-4 30,-5-23 0,5-1 0,-3-4 285,5 6 0,-6-3-180,-12-9 0,-11 0 45,-21 41-270,-63-41-810,-36-18-899,-10-37 90,28-42 1260,47-10 179,58-28 315,9 43 0,9 4 89,-6 4 1,2 2 405,5-1 0,-2 3 629,11-5-989,-55 43-180,-4 12-630,-31 45-89,38-9 449,40-16 720,20-30 89,11-21-449,-22-2-1079,4 38-2699,7 35 3688,-17-18 0,-1 0 0,11 17 0,-3-21 0</inkml:trace>
  <inkml:trace contextRef="#ctx0" brushRef="#br0" timeOffset="1500">4050 1203 7982,'-32'-56'8276,"-19"15"-7287,-30 18-539,-15 49-360,52 4 0,6 7-270,10 7 0,12 3-270,21 35 270,32-30 450,40-54 720,-3-43-586,-28 7 1,1-3-225,-5 1 0,1 3-135,1 10 0,2 6-495,48 7-135,-43 19 1,2 5 179,-1 0 0,1 1 180,2-4 1,1-3-1,-1-9 0,1-5 135,1-8 0,-2-6 0,0-3 0,-1-1-315,-2 0 0,-1 3-1034,41-1-1079,-9 33 2518,6 23 0,-44-6 0,0-4 0</inkml:trace>
  <inkml:trace contextRef="#ctx0" brushRef="#br0" timeOffset="3100">6322 763 17247,'61'23'-90,"12"-10"-4826,10-9 1,4-3 4889,-33-3 1,-1-1-1,19-5 1,-4-1-1,1-5 1</inkml:trace>
  <inkml:trace contextRef="#ctx0" brushRef="#br0" timeOffset="3333">7507 63 9871,'-15'-36'8276,"5"11"-7107,20 23-809,16 82-675,-5-3 0,-2 12-705,-9-12 1,-3 5 0,-5 2-2258,-9 11 0,-5 2 0,-3-6 3080,-1 7 0,-6-7 1,-11-3-1,-4-14 1,-9-16-1</inkml:trace>
  <inkml:trace contextRef="#ctx0" brushRef="#br0" timeOffset="3567">5933 679 9871,'-30'-30'9830,"11"27"-7517,2 43-1683,26 14 0,15 11-1080,0-3 0,7 4 0,4 1-1373,11 9 1,7 1 0,6-4-1455,10 0 0,6-5 0,-4-6 2728,9 6 1,-4-12-1,-9-18 1,-11-13-1,-28-19 1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09.13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78 1891 13289,'-45'-39'7916,"12"22"-7286,34 35-361,23 19 1,15 10-180,20 19 0,10 4-60,-15-15 0,4 1 0,1-1-210,-2-2 0,1-1 0,-2-4 135,14 11 0,-7-7 315,14 8-90,-45-44-90,-35-22 630,-40-32 359,-11-2-539,-7-3-360,5 5-360,26 16 180,19 15 0,14 9 180,19 17-90,-5-4 0,-10-17-90,-12-19-180,-12-19 180,14 19 0,27 29 0,36 31 0,15 9 1169,12 0 360,-31-20-629,-23 1-900,-85-3 0,-23 5-2789,10-10 1,-4 1 2788,10 2 0,6-1 0,-15 5 0,23-3 0</inkml:trace>
  <inkml:trace contextRef="#ctx0" brushRef="#br0" timeOffset="3283">492 1381 8702,'-19'-55'8725,"-20"0"-6386,-38-7-1935,24 49 1,-3 14-180,-4 20 0,4 15-90,5 18 0,13 12-90,17 8 0,18 3-45,18-8 0,15-9 45,11-15 0,8-17 45,2-26 0,-2-19 0,-8-24 0,-10-15 44,-7-14 1,-9-7-90,-7-6 0,-4 1-45,-4 16 0,5 6 90,35-13 0,35 95-90,-16 22 0,0 15 0,2 16 0,-5 8 135,-6 1 0,-7-1 449,-13-17 1,-11-7 945,-24 7-451,-31-82-719,-16-67-450,33 19 0,10-7-1350,12-8 1,16 1-1259,23 6 0,16 8-2218,23 5 1,7 10 4129,-19 14 0,1 7 0,7 6 0,-4 4 1,1 3-1</inkml:trace>
  <inkml:trace contextRef="#ctx0" brushRef="#br0" timeOffset="3733">2632 630 11041,'18'-26'9830,"4"15"-7967,-3 64-1279,-8-8 1,-2 9-315,-1 28 0,-2 6-180,-3 3 0,-2-1 0,-2-11 0,-2-7-180,-11 20 0,-4-121 90,6-34 0,3-18 30,3 5 0,2-8 0,1-1 168,2-6 1,1-3 0,2 4 221,0 10 0,1 2 0,1 8-61,-1-9 1,9 22 270,34 41-540,-15 50 0,0 22-300,1 1 0,2 8 0,0 2-1385,0 5 1,0 3 0,-1 0-505,0-1 0,0 1 0,-3-4 2099,8 15 0,-4-10 0,6 10 0,-18-44 0</inkml:trace>
  <inkml:trace contextRef="#ctx0" brushRef="#br0" timeOffset="3883">2926 1143 9602,'-85'-25'9804,"20"4"-8815,2-17-3417,97 7-586,11 10 1,10 1 3013,19-2 0,2 2 0,-12 1 0,-2 0 0,-10 1 0,1-1 0</inkml:trace>
  <inkml:trace contextRef="#ctx0" brushRef="#br0" timeOffset="4100">4098 121 9602,'20'-61'9830,"-10"2"-6438,-23 58-1683,-8 40-1260,3 19 1,0 22 0,1 2-810,2 10 0,2 3 1,0 5-990,2-13 1,1 4 0,0 2-1,2 0 1349,3-13 0,2 3 0,0 0 0,1-5 0,1-9 0,-2 26 0,3-9 0,3-1 0,0 1 0</inkml:trace>
  <inkml:trace contextRef="#ctx0" brushRef="#br0" timeOffset="4683">4496 947 9871,'11'-55'9830,"5"8"-7517,25 40-1413,7 49-630,-10 23 0,-3 13-136,-2 11 1,-4 3-135,-3-10 0,-6-3 45,-4 0 0,-18-21-135,-37-53 90,-20-76 30,28 12 0,2-13 0,4-4-76,5-11 1,5-4 0,4 1 225,1 8 0,2 0 0,8 3-1,9 1 1,6 1 0,9 13 45,11 12 0,8 14-135,5 13 0,1 17 90,30 61-135,-52 1 0,-10 11-270,-8 5 0,-6 2-90,-3-3 0,2-3 722,21 30-497,24-35 90,28-24 360,6-4 359,-12 11-449,-35 22-720,-56 26-2204,-18-35 1,-13-4-2263,-13-2 1,-3-5 3540,13-11 0,2-6 1,-25-1-1,64-26 1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04.53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144 464 9062,'-36'-39'2878,"1"0"0,7-7 1,7-3-1530,6-6 0,11-1-809,13 3 0,12 5 359,53-17-359,25 52-450,-46 26 0,-3 13 0,-8 13 0,-10 10-90,-14 12 0,-14 5 0,-21 14 0,-16 1 0,-14 2 0,-9-4 135,-3-5 0,-2-6 764,7-15 1,7-8-811,15-2 1,36-30-2068,86-31-991,-24 4 1,8-2 2968,-7 1 0,4 0 0,-3 0 0,14-3 0,-3 0 0,-4 1 0,0-1 0</inkml:trace>
  <inkml:trace contextRef="#ctx0" brushRef="#br0" timeOffset="366">1528 183 11490,'-57'-27'9830,"23"16"-8146,-51 52-1324,57 25-540,22 25-360,21-44 0,8-1 135,12-2 1,5-1 134,3-3 0,2 0 180,-2-1 0,-2 0 270,18 32 630,-42 18 179,-61-21-854,-3-30 0,-11-8-1395,-10-11 1,-4-10-1529,-1-9 0,4-9 2788,-20-25 0,40 6 0,41 3 0</inkml:trace>
  <inkml:trace contextRef="#ctx0" brushRef="#br0" timeOffset="1783">2089 367 12210,'19'-43'8905,"-23"7"-7916,-42 28-539,-18 40-765,27 4 0,5 9-540,10 8 1,10 3 89,10 0 1,9-3 135,25 26 449,37-49 540,-9-47-1,8-25-269,-28 2-90,11 28 90,-16 41-90,19 26 180,-14 2 1079,7-17-359,-4-51 179,15-38-584,-27 11 0,-1-4-45,25-34-181,5 24-179,-18 51-90,3 34 0,-12 22 0,-11-9 0,0-14 90,-1-41-180,2-5 0,4-13 90,18 27-1169,5 29-450,32 22 1259,-36-26 0,2-5 270,3-9 0,1-12 675,-1-17 0,-4-13 89,-1-25 1,-8-13-46,-4-14 1,-7-5 45,-4-2 0,-4 1-136,-6 12 1,-1 10-450,5 10 0,0 92-45,-3 28 0,-2 17-45,-2-12 0,0 5 0,1 1-140,0 5 1,0 2-1,-1-3 50,-1-7 0,-1-2 0,-1-5 0,1 5 1,-5-13 89,-14-18-270,-6-114 225,8 0 0,3-9 0,5-11 0,7-2 45,4 7 0,8 9 0,26-4 0,7 84 0,5 77-61,-30-14 1,-3 6-750,1 7 1,-2 1-91,-3-5 1,3-7 539,22 13 90,7-83 405,-23-38 0,-5-18-45,-6 2 0,-4-8 0,-2-2 89,-1-7 1,-3-3 0,-2 1-30,-1 6 0,-3 1 0,-1 6-105,2-13 0,-10 25 45,-12 49-270,17 79-135,4-5 0,6 5 135,9-6 1,7-5 89,3-10 0,6-10 539,32-15 451,-16-33 719,-2-35-1349,-20 26-360,-1 38-3418,1 51 225,10-7 0,9 2 3283,2-11 0,3-6 0,6 0 0,3-9 0,-9-24 0,-1 1 0</inkml:trace>
  <inkml:trace contextRef="#ctx0" brushRef="#br0" timeOffset="3500">5126 957 11490,'18'-32'9535,"-1"2"-9085,-34 44-180,-12 26-181,-4 5 1,-6 7-45,-3 7 0,-1 2-45,-5 0 0,0-1 45,2-7 0,0-7 45,-25 10 180,9-45 630,22-40 269,9-27-180,18-10-719,9 11 180,6 13-360,9 49 90,-2 34-90,7 47-135,-10-35 0,-1 0 45,5 37 0,7-18-2159,18-45-1799,15-25-2158,26-30 6116,4-10 0,-30 13 0,-12 8 0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35.90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307 313 8432,'-10'-55'2938,"0"0"1,-1 5-1,1 0-1769,-2-12 1,-1 21 269,1 49-495,7 41 1,6 26-676,-2-11 1,2 9 0,0 6 0,0 1-681,0-3 0,-1 3 0,1 1 0,-1 2 1,1-2 446,-1 0 0,1-1 0,-1 0 0,1 2 0,-1 1-19,2 11 1,0 3 0,0 1 0,0-2 0,0-6-14,-1-1 1,1-4 0,0-3-1,-1 3-4,1 5 0,0 2 0,0-2 0,-1-6 0,-1-3 0,-1-5 0,1-5-84,-2 15 0,0-10 84,-3 13-90,-24-79 270,-10-81 1012,9 9 0,-1-5-742,4-3 0,2 1-226,4 11 1,2 6 1414,-5-13-1369,35 65 341,21 45-566,1-1 0,4 4-45,5 3 0,4-3-720,-1-6 1,5-7-2295,8-9 1,6-12-1903,26-18 1,1-9 4244,-27 4 1,-1-3 0,21-11 0,-8-3 0,-6-3 0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06:36.72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66 269 10231,'-4'-54'4497,"0"0"1,-3-23-1800,-1-7-269,8 112-1080,3 62-1079,0-19 0,2 13 0,0 5-672,0-1 0,2 6 0,-1 3 1,1-2 423,0-4 0,-1 1 1,1 0-1,1 2-4,-1-7 0,1 3 0,0 1 0,1-3 0,-1-5-16,0-3 1,-1-3-1,1-4 1,-1-2 177,1 9 0,0-2 0,-1-6 314,4 13 1,-7-17-495,-15-34 0,-5-48 0,-29-72 711,19 28 0,0-1-711,2 4 0,1 1 313,-1-5 0,5 25-313,13 61 0,30 45 0,6 0 0,9 4 0,9-5 0,8-9 0,7-15 0,5-14-585,2-19 0,1-13-2653,-9-13 0,-4-10 3238,-8-7 0,-7-2 0,1-7 0,-26 10 0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37.18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762 127 10321,'15'-51'9830,"-7"17"-7157,2 19-1594,-14 37-809,-6 24 0,-7 14-150,-3 2 0,-5 6 0,-1 3-120,-6 9 0,-1 3 0,-3-1 30,-1 5 0,-3-1 0,-2-3-90,-1-8 0,-4-4 0,2-10-75,-1-6 0,-2-17 0,-10-18 0,4-25 180,12-61 0,13-27 270,2 4 0,8-8 194,9 6 1,5-7 0,8 4-61,8 18 1,5 4 0,3 4 0,5-16 0,11 12-450,14 15 0,10 26 0,19 60 0,4 31 0,-26-16 0,-1 5 0,1 8-182,0 5 1,2 9-1,0 2 1,0 0 181,-1 1 0,0 1 0,0-1 0,-1-4 0,-6-8 0,-1-3 0,1-1 0,2-3-1769,21 18 0,4-4 0,0-16-3147,18-19 1,-3-18 4769,-15-9 1,-4-11-1,-7-13 1,-7-9-1,11-26 1</inkml:trace>
  <inkml:trace contextRef="#ctx0" brushRef="#br0" timeOffset="216">2465 145 10411,'-36'-35'8905,"5"13"-13821,72 4 1,26 3 4452,-4 3 1,0 2 0,34-8-1,-5 3 1</inkml:trace>
  <inkml:trace contextRef="#ctx0" brushRef="#br0" timeOffset="417">2919 242 9242,'-76'42'9830,"21"-10"-2480,21-3-7800,83-23-4497,43-11 809,-22 0 1,0-1 4137,-13 3 0,-6 1 0,16-1 0,-38 5 0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35.4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276 547 8612,'-37'-54'9830,"-10"12"-4998,-25 8-4203,5 67-314,39 18 0,10 15-270,12 27 0,14 6-105,4-25 0,7 0 0,6-2 90,6-4 0,6-2 0,5-9 914,23 5 1,8-23 179,1-37 1,-5-27-1125,-12-28 0,-15-21 0,-18 8 0,-10-8 0,-7-1-80,-10-2 0,-8-1 1,-7 2 79,-4 8 0,-6 2 0,-6 7 0,-18-10 0,-8 19-2159,5 28 0,2 19-6476,-22 53 8635,43 33 0,23-22 0,19-21 0</inkml:trace>
  <inkml:trace contextRef="#ctx0" brushRef="#br0" timeOffset="200">1129 909 14369,'-13'-17'-1439,"2"11"1439,-9 7 0,9 4 0,19 7 0</inkml:trace>
  <inkml:trace contextRef="#ctx0" brushRef="#br0" timeOffset="733">1969 740 15988,'-34'-72'9534,"-13"23"-8814,-13 50-810,15 60-630,37 38 0,33-17 1,15-1 449,2-19 1,7-7 269,6 6 0,4-14 224,-4-28 1,-6-19 225,-4-47-360,-39-44-90,-35 34 0,-18-6 0,-3 3 0,-3 1 0,-3 2 0,-1-1-109,-8-6 1,-3-1-1,4 2 169,8 7 0,3 1 0,11-1 660,10-16 0,15 1-1,8 14 1,15 5-136,33 2 1,17 17-585,0 33 0,5 18 0,13 14 0,-1 18-450,-15 14 0,-4 15 1,-3 2-2392,-5-4 1,-4 2 0,-1 1-437,2 5 0,-2 1 0,-3-6 2208,0 2 0,-6-13 1,0-5-1,-24-50 1</inkml:trace>
  <inkml:trace contextRef="#ctx0" brushRef="#br0" timeOffset="950">2613 578 9422,'-5'-61'3276,"1"0"1,-1 2 0,-1 1 6142,-4-36-9419,10 38 0,20 118 0,6 33-1799,-5-4 0,-1 10-1478,-6-33 0,-1 0 0,0-2 2606,3 15 0,-1-5 0,-2-14 1,-2-11-1,-6-20 0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33.332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123 441 9332,'-29'-17'9830,"1"39"-4549,10 50-4921,16 7 0,7 12-300,3-16 0,3 3 0,2 2-31,1 6 1,1 1 0,0-2 60,0-9 0,0-2 0,-1-5 225,4 13 0,-7-17-225,-14-33-90,-14-79 0,-6-40 30,2 5 0,-1-10 0,1-6-247,4 9 1,0-5-1,2-2 1,2 3 216,2 4 0,1 0 0,2 3 0,6 2-30,4-11 0,6 4 0,10 11-60,15 2 0,15 20-45,14 29 0,9 20 45,3 26 0,-2 17 135,-5 13 0,-10 10 360,-17 5 0,-16 4-180,-25-3 0,-16-2 73,-21-5 0,-13-7-2007,-7-7 0,-4-6-2969,1-7 1,5-3-2249,-10 7 6926,42-7 0,25-14 0,8-3 0</inkml:trace>
  <inkml:trace contextRef="#ctx0" brushRef="#br0" timeOffset="249">813 1034 12660,'-35'-44'9830,"54"0"-12497,36 11 1,19 2 1736,-13 10 1,6 3 0,2-1 929,6-1 0,2 0 0,-6 2 0,3 0 0,-8 3 0,26-7 0</inkml:trace>
  <inkml:trace contextRef="#ctx0" brushRef="#br0" timeOffset="1149">1842 596 11400,'-1'-21'9830,"-4"17"-4458,9 50-4563,13 21-899,12 13 0,10 8-450,-1-14 1,3-1 89,3 9 1,3-3 44,-4-17 0,1-18 315,12-33 0,-8-44 45,-26-28 0,-6-11-135,-2 12 0,-1 0-90,-2-3 1,7 8-1440,41 8 899,6 75 675,-18-3 0,3 5 0,15 20 0,1 0 135,-10-18 0,0-5 225,3-1 0,-2-15 765,20-60-361,-46-26-134,-23 10 0,-12-2-181,-13 11 1,-9 6-225,-26-15-90,-23 74-180,46 41 1,9 16-1,3-6 0,7 4 45,10 18 0,11-5 45,26 9 180,25-42 90,-8-59-90,-3-24-90,-5 11-90,-9 51-540,21 51-179,-6 3 269,18-5 630,15-96 270,-28-55-61,-34 12 1,-6-17 0,-5-3 21,-9 13 0,-4-3 1,-4-2-1,0-1 286,-1-4 0,-1-2 0,-3 1 1,0 3-39,-5-16 1,-3 3 0,-4 14-570,-8 7 0,-4 30 0,-25 73 0,34 41 0,15 23 0,9-9 0,8 7 0,5 1-944,1-17 1,4 2-1,3 0 1,3-2-744,5 0 0,3 0 1,4-3-1,4-5-772,15 8 1,5-7 0,2-9 2458,14 3 0,2-15 0,-5-20 0,-2-13 0,22-15 0</inkml:trace>
  <inkml:trace contextRef="#ctx0" brushRef="#br0" timeOffset="1349">4914 898 12750,'-51'-26'8635,"2"1"-9715,35 13-2697,43 0 3777,51 6 0,-20 2 0,-5 1 0</inkml:trace>
  <inkml:trace contextRef="#ctx0" brushRef="#br0" timeOffset="1532">4971 1004 10861,'-57'22'4915,"-1"-1"0,-22 10-3682,40-1-4920,91-15-6144,42-2 9522,6-8 1,-25-4 0,-54-1 0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39.94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26 109 11311,'-24'3'9830,"23"-11"-6618,12 1-2312,51-12-316,-7 10 1,6 2-181,9 2 1,4 2 0,9 1 0,0 6-90,-12 6 0,-7 10-315,-15 8 0,-11 10 0,-14 14 0,-12 9 0,-13 17 0,-8 6-135,-7 11 0,-1 2-3283,1 2 0,6-2-990,9-8 1,8-6 4358,5-24 0,3-7 0,15 10 1,-10-45-1</inkml:trace>
  <inkml:trace contextRef="#ctx0" brushRef="#br0" timeOffset="416">1504 471 9691,'-19'-49'4915,"0"-1"0,3-52-2544,20 30 0,14 3-1742,21 16 1,14 13-405,21 13 0,7 19-45,3 19 0,-5 19 45,-10 15 0,-15 14 179,-21 13 1,-17 7 45,-22 8 0,-15-1-360,-11-3 0,-7-4-90,-2-9 0,2-6 0,-7 26 0,66-45 0,78-37 0,-20-14 0,7-6-2699,11-2 1,1-2-2218,-3 1 1,-5 2 4657,-21 4 1,-9 2 0,12 0 0,-45 6 0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3.69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367 106 10141,'-61'-51'7466,"-19"41"-6567,29 29 1,3 14-226,0 22 1,10 12-225,9 20 0,17 6-211,15-26 1,9 2 0,8-5 0,10-2 0,8-4 0,7-9 239,10-10 1,7-8 0,3-10-1,2-11 1,2-11 0,0-11 269,7-20 1,-1-14 0,-10-6-600,-18 1 0,-8-5 0,-7-3-150,-2-7 0,-7-4 0,-17 2 0,-24 1 0,-16 0 0,-6 10-450,-17-2 0,-9 13-1124,-11 4 0,0 25-2204,13 44 0,14 23 3778,31 8 0,12 7 0,-2-3 0,10-1 0,23-7 0,1-1 0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3.998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0 223 8432,'41'-29'9830,"-18"5"-6887,-25 24-2853,-6 11-90,7 12 0,20 12 90,13-16 629,17-15 541,-8-51-1170,-23-6-1260,-36-26-2787,-32 35 89,1 15 3868,5 19 0,29 10 0,7 3 0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4.76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127 375 8702,'11'-65'9830,"-16"9"-5718,-8 45-3752,34 58-315,12 14 0,12 9-45,-2-15 0,7 2 0,0-2 0,4 1 0,0-1 0,0-3 359,18 17 1,-6-6 90,-19-19 0,-14-5-180,-26 1-270,-57-39-810,1-11 1,-4-8-586,-6-6 1,1-4-45,2-2 0,3-2 134,9 3 1,5 1 585,-7-14 989,34-21 1439,22 18 180,11-37-90,-5 15 539,-8-6-449,-6 19 180,-5 11-1889,0 41 180,16 60-360,7 3 0,8 9-60,1-11 0,5 3 0,4-2-30,6 0 0,3-2 0,4-8 45,28 11 0,7-22 494,0-31 1,-3-25 270,-10-29 0,-12-21-720,-26 5 0,-8-9 0,-12-3-181,-13-9 1,-13-5 0,-14 5 180,-16 1 0,-14 5 0,-9 10 0,-12 8 0,-9 10 0,-4 15-518,16 18 1,-4 9 0,0 7 0,4 7-1672,-11 12 0,5 10 1,10 9-1860,-10 30 0,24 9 4048,36-8 0,18-1 0,19-11 0,10-5 0,38 20 0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5.114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1 479 8522,'29'-61'3276,"0"0"1,-10 3 0,-5-1-771,-5-4 0,-7 1-1877,-22-21-539,-1 51-90,30 62-45,16 11 0,11 7 45,19 17 0,6 5 60,-17-20 0,3 0 0,-2 0 525,19 20 0,-5-3 179,-15-16 1,-12-1-226,-28 26-2338,-67-43-1124,3-23 0,-7-12-990,-6-17 0,2-10 3913,12-1 0,7-2 0,-14-22 0,50 19 0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16:45.231"/>
    </inkml:context>
    <inkml:brush xml:id="br0">
      <inkml:brushProperty name="width" value="0.04286" units="cm"/>
      <inkml:brushProperty name="height" value="0.04286" units="cm"/>
      <inkml:brushProperty name="color" value="#E71224"/>
    </inkml:brush>
  </inkml:definitions>
  <inkml:trace contextRef="#ctx0" brushRef="#br0">1 478 8342,'65'-60'3148,"1"1"0,-22 26 1,3 2-3989,13-12 1,8-5-1,0 6-1689,21 5 0,-3 8 2529,-19 5 0,-2 2 0,-2 1 0,-8 4 0,-13 5 0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1-17T16:28:23.931"/>
    </inkml:context>
    <inkml:brush xml:id="br0">
      <inkml:brushProperty name="width" value="0.04286" units="cm"/>
      <inkml:brushProperty name="height" value="0.04286" units="cm"/>
      <inkml:brushProperty name="color" value="#FF0066"/>
    </inkml:brush>
  </inkml:definitions>
  <inkml:trace contextRef="#ctx0" brushRef="#br0">366 215 9512,'-4'-48'7825,"-3"8"-4317,-27-30-3058,-15 35 269,-30 13-314,33 39 0,3 13-180,8 12 0,7 7-90,2 9 0,12 5-46,21 21 1,16 1-90,7-17 0,9-4 45,7 5 0,11-9-45,20-19 0,7-15-45,-10-16 0,0-9 45,9-2 0,0-7-45,-4-10 1,-6-4 44,-19 6 0,-5-2 89,38-16 1,-28 9-90,-33 12 0,-5-10 270,-28-5 0,-7-1 270,-29-13 269,-15 4-629,13 9 0,-6 1-180,50 34 0,17 9-90,20 14-180,48 25 90,-20-13 135,-17-12 0,-1 1 405,9 10 0,-16-5-180,-30 10-1619,-46 9-2159,-13 5-2249,-23 3 5847,16-16 0,25-22 0,11-8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B26750-7A42-E147-9304-5EB669A7F74E}">
  <we:reference id="wa104379190" version="2.0.0.0" store="en-US" storeType="OMEX"/>
  <we:alternateReferences>
    <we:reference id="WA104379190" version="2.0.0.0" store="" storeType="OMEX"/>
  </we:alternateReferences>
  <we:properties/>
  <we:bindings>
    <we:binding id="RangeSelect" type="matrix" appref="{DB7F22E4-9636-CC4D-8062-2EFB2049458B}"/>
    <we:binding id="Input1" type="matrix" appref="{ED1A6692-7040-714A-B8DB-C8D6A49961B9}"/>
    <we:binding id="Input2" type="matrix" appref="{B02376FA-8677-1B46-A9AC-5C9821EAF76A}"/>
    <we:binding id="Output" type="matrix" appref="{6248354C-1785-5A4B-BA3A-269448696BE9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3E99E-3E9C-8846-8D3A-93AF1765601F}">
  <dimension ref="A3:J99"/>
  <sheetViews>
    <sheetView topLeftCell="A87" zoomScale="187" workbookViewId="0">
      <selection activeCell="B93" sqref="B93:D93"/>
    </sheetView>
  </sheetViews>
  <sheetFormatPr baseColWidth="10" defaultRowHeight="16" x14ac:dyDescent="0.2"/>
  <sheetData>
    <row r="3" spans="1:7" x14ac:dyDescent="0.2">
      <c r="B3" t="s">
        <v>0</v>
      </c>
    </row>
    <row r="5" spans="1:7" x14ac:dyDescent="0.2">
      <c r="B5" t="s">
        <v>1</v>
      </c>
    </row>
    <row r="12" spans="1:7" x14ac:dyDescent="0.2">
      <c r="A12" s="1"/>
      <c r="B12" s="1"/>
      <c r="C12" s="1"/>
      <c r="D12" s="1"/>
      <c r="E12" s="1"/>
      <c r="F12" s="1"/>
      <c r="G12" s="1"/>
    </row>
    <row r="15" spans="1:7" x14ac:dyDescent="0.2">
      <c r="B15" t="s">
        <v>2</v>
      </c>
      <c r="C15" t="s">
        <v>3</v>
      </c>
    </row>
    <row r="26" spans="2:3" x14ac:dyDescent="0.2">
      <c r="B26" t="s">
        <v>4</v>
      </c>
      <c r="C26" t="s">
        <v>5</v>
      </c>
    </row>
    <row r="29" spans="2:3" x14ac:dyDescent="0.2">
      <c r="C29" t="s">
        <v>6</v>
      </c>
    </row>
    <row r="30" spans="2:3" x14ac:dyDescent="0.2">
      <c r="C30" t="s">
        <v>7</v>
      </c>
    </row>
    <row r="33" spans="2:5" x14ac:dyDescent="0.2">
      <c r="C33">
        <v>100</v>
      </c>
    </row>
    <row r="34" spans="2:5" x14ac:dyDescent="0.2">
      <c r="C34">
        <v>99</v>
      </c>
    </row>
    <row r="35" spans="2:5" x14ac:dyDescent="0.2">
      <c r="C35">
        <v>98</v>
      </c>
      <c r="E35" s="12">
        <f>AVERAGE(C33:C39)</f>
        <v>99.571428571428569</v>
      </c>
    </row>
    <row r="36" spans="2:5" x14ac:dyDescent="0.2">
      <c r="C36">
        <v>99.5</v>
      </c>
    </row>
    <row r="37" spans="2:5" x14ac:dyDescent="0.2">
      <c r="C37">
        <v>99</v>
      </c>
      <c r="E37">
        <v>99</v>
      </c>
    </row>
    <row r="38" spans="2:5" x14ac:dyDescent="0.2">
      <c r="C38">
        <v>101</v>
      </c>
      <c r="E38">
        <v>98</v>
      </c>
    </row>
    <row r="39" spans="2:5" x14ac:dyDescent="0.2">
      <c r="C39">
        <v>100.5</v>
      </c>
    </row>
    <row r="41" spans="2:5" x14ac:dyDescent="0.2">
      <c r="B41" t="s">
        <v>8</v>
      </c>
    </row>
    <row r="42" spans="2:5" x14ac:dyDescent="0.2">
      <c r="C42" t="s">
        <v>9</v>
      </c>
    </row>
    <row r="43" spans="2:5" x14ac:dyDescent="0.2">
      <c r="B43" t="s">
        <v>11</v>
      </c>
      <c r="C43" t="s">
        <v>10</v>
      </c>
    </row>
    <row r="45" spans="2:5" x14ac:dyDescent="0.2">
      <c r="B45" t="s">
        <v>12</v>
      </c>
    </row>
    <row r="47" spans="2:5" x14ac:dyDescent="0.2">
      <c r="C47" t="s">
        <v>13</v>
      </c>
    </row>
    <row r="51" spans="2:10" x14ac:dyDescent="0.2">
      <c r="B51" t="s">
        <v>14</v>
      </c>
    </row>
    <row r="52" spans="2:10" x14ac:dyDescent="0.2">
      <c r="B52" t="s">
        <v>15</v>
      </c>
    </row>
    <row r="54" spans="2:10" x14ac:dyDescent="0.2">
      <c r="B54" t="s">
        <v>16</v>
      </c>
      <c r="D54" t="s">
        <v>17</v>
      </c>
      <c r="H54" t="s">
        <v>20</v>
      </c>
    </row>
    <row r="56" spans="2:10" x14ac:dyDescent="0.2">
      <c r="B56" t="s">
        <v>18</v>
      </c>
      <c r="D56" t="s">
        <v>19</v>
      </c>
      <c r="H56" s="2" t="s">
        <v>21</v>
      </c>
      <c r="J56">
        <v>0.05</v>
      </c>
    </row>
    <row r="58" spans="2:10" x14ac:dyDescent="0.2">
      <c r="C58" t="s">
        <v>22</v>
      </c>
    </row>
    <row r="62" spans="2:10" x14ac:dyDescent="0.2">
      <c r="B62" s="12"/>
      <c r="C62" s="12"/>
      <c r="D62" s="12"/>
      <c r="E62" s="12"/>
      <c r="F62" s="12"/>
      <c r="G62" s="12"/>
    </row>
    <row r="65" spans="2:5" x14ac:dyDescent="0.2">
      <c r="B65" t="s">
        <v>111</v>
      </c>
      <c r="D65" t="s">
        <v>112</v>
      </c>
    </row>
    <row r="70" spans="2:5" x14ac:dyDescent="0.2">
      <c r="E70" t="s">
        <v>113</v>
      </c>
    </row>
    <row r="71" spans="2:5" x14ac:dyDescent="0.2">
      <c r="E71" t="s">
        <v>115</v>
      </c>
    </row>
    <row r="72" spans="2:5" x14ac:dyDescent="0.2">
      <c r="E72" t="s">
        <v>114</v>
      </c>
    </row>
    <row r="76" spans="2:5" x14ac:dyDescent="0.2">
      <c r="B76" t="s">
        <v>120</v>
      </c>
    </row>
    <row r="77" spans="2:5" x14ac:dyDescent="0.2">
      <c r="D77" t="s">
        <v>121</v>
      </c>
    </row>
    <row r="79" spans="2:5" x14ac:dyDescent="0.2">
      <c r="D79" t="s">
        <v>122</v>
      </c>
    </row>
    <row r="86" spans="2:7" x14ac:dyDescent="0.2">
      <c r="C86" t="s">
        <v>144</v>
      </c>
      <c r="E86" t="s">
        <v>147</v>
      </c>
    </row>
    <row r="88" spans="2:7" x14ac:dyDescent="0.2">
      <c r="C88" t="s">
        <v>148</v>
      </c>
      <c r="E88" t="s">
        <v>149</v>
      </c>
    </row>
    <row r="90" spans="2:7" x14ac:dyDescent="0.2">
      <c r="C90" t="s">
        <v>150</v>
      </c>
      <c r="E90" t="s">
        <v>152</v>
      </c>
    </row>
    <row r="93" spans="2:7" x14ac:dyDescent="0.2">
      <c r="C93" t="s">
        <v>125</v>
      </c>
    </row>
    <row r="95" spans="2:7" x14ac:dyDescent="0.2">
      <c r="B95" t="s">
        <v>126</v>
      </c>
      <c r="D95" s="12" t="s">
        <v>132</v>
      </c>
      <c r="E95" s="12"/>
      <c r="F95" s="12"/>
      <c r="G95" s="12"/>
    </row>
    <row r="97" spans="2:8" x14ac:dyDescent="0.2">
      <c r="B97" t="s">
        <v>127</v>
      </c>
      <c r="D97" s="12" t="s">
        <v>133</v>
      </c>
      <c r="E97" s="12"/>
      <c r="F97" s="12"/>
      <c r="G97" s="12"/>
      <c r="H97" s="12"/>
    </row>
    <row r="99" spans="2:8" x14ac:dyDescent="0.2">
      <c r="B99" t="s">
        <v>128</v>
      </c>
      <c r="D99" t="s">
        <v>129</v>
      </c>
    </row>
  </sheetData>
  <pageMargins left="0.7" right="0.7" top="0.75" bottom="0.75" header="0.3" footer="0.3"/>
  <drawing r:id="rId1"/>
  <extLst>
    <ext xmlns:x15="http://schemas.microsoft.com/office/spreadsheetml/2010/11/main" uri="{F7C9EE02-42E1-4005-9D12-6889AFFD525C}">
      <x15:webExtensions xmlns:xm="http://schemas.microsoft.com/office/excel/2006/main">
        <x15:webExtension appRef="{DB7F22E4-9636-CC4D-8062-2EFB2049458B}">
          <xm:f>STATS!1:1048576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D1F4-829D-A048-BF6F-A676C0E03DBE}">
  <dimension ref="A1:K1001"/>
  <sheetViews>
    <sheetView topLeftCell="C1" zoomScale="138" workbookViewId="0">
      <selection activeCell="F1" sqref="F1:F11"/>
    </sheetView>
  </sheetViews>
  <sheetFormatPr baseColWidth="10" defaultRowHeight="16" x14ac:dyDescent="0.2"/>
  <sheetData>
    <row r="1" spans="1:11" x14ac:dyDescent="0.2">
      <c r="A1" s="3" t="s">
        <v>23</v>
      </c>
      <c r="B1" s="3" t="s">
        <v>24</v>
      </c>
      <c r="C1" s="3" t="s">
        <v>25</v>
      </c>
      <c r="D1" s="3" t="s">
        <v>26</v>
      </c>
      <c r="E1" s="4" t="s">
        <v>27</v>
      </c>
      <c r="F1" s="3" t="s">
        <v>28</v>
      </c>
      <c r="G1" s="3" t="s">
        <v>29</v>
      </c>
      <c r="H1" s="3" t="s">
        <v>30</v>
      </c>
      <c r="I1" s="5" t="s">
        <v>31</v>
      </c>
      <c r="J1" s="3" t="s">
        <v>32</v>
      </c>
      <c r="K1" s="3" t="s">
        <v>33</v>
      </c>
    </row>
    <row r="2" spans="1:11" x14ac:dyDescent="0.2">
      <c r="A2" s="3">
        <v>25</v>
      </c>
      <c r="B2" s="3">
        <v>1076</v>
      </c>
      <c r="C2" s="3">
        <v>105</v>
      </c>
      <c r="D2" s="3">
        <v>0.6</v>
      </c>
      <c r="E2" s="4">
        <v>7.2999999999999995E-2</v>
      </c>
      <c r="F2" s="3">
        <v>0.16</v>
      </c>
      <c r="G2" s="3">
        <v>0.93400000000000005</v>
      </c>
      <c r="H2" s="3">
        <v>0.98799999999999999</v>
      </c>
      <c r="I2" s="5">
        <v>2</v>
      </c>
      <c r="J2" s="3">
        <v>4</v>
      </c>
      <c r="K2" s="3">
        <v>9.9</v>
      </c>
    </row>
    <row r="3" spans="1:11" x14ac:dyDescent="0.2">
      <c r="A3" s="3">
        <v>98</v>
      </c>
      <c r="B3" s="3">
        <v>4758</v>
      </c>
      <c r="C3" s="3">
        <v>66</v>
      </c>
      <c r="D3" s="3">
        <v>0.6</v>
      </c>
      <c r="E3" s="4">
        <v>4.8000000000000001E-2</v>
      </c>
      <c r="F3" s="3">
        <v>0.185</v>
      </c>
      <c r="G3" s="3">
        <v>0.73</v>
      </c>
      <c r="H3" s="3">
        <v>0.98199999999999998</v>
      </c>
      <c r="I3" s="5">
        <v>24</v>
      </c>
      <c r="J3" s="3">
        <v>2</v>
      </c>
      <c r="K3" s="3">
        <v>9.5</v>
      </c>
    </row>
    <row r="4" spans="1:11" x14ac:dyDescent="0.2">
      <c r="A4" s="3">
        <v>104</v>
      </c>
      <c r="B4" s="3">
        <v>4992</v>
      </c>
      <c r="C4" s="3">
        <v>156</v>
      </c>
      <c r="D4" s="3">
        <v>0.6</v>
      </c>
      <c r="E4" s="4">
        <v>0.17199999999999999</v>
      </c>
      <c r="F4" s="3">
        <v>0.121</v>
      </c>
      <c r="G4" s="3">
        <v>0.97399999999999998</v>
      </c>
      <c r="H4" s="3">
        <v>0.92300000000000004</v>
      </c>
      <c r="I4" s="5">
        <v>79</v>
      </c>
      <c r="J4" s="3">
        <v>18</v>
      </c>
      <c r="K4" s="3">
        <v>13.6</v>
      </c>
    </row>
    <row r="5" spans="1:11" x14ac:dyDescent="0.2">
      <c r="A5" s="3">
        <v>23</v>
      </c>
      <c r="B5" s="3">
        <v>1009</v>
      </c>
      <c r="C5" s="3">
        <v>128</v>
      </c>
      <c r="D5" s="3">
        <v>0.60199999999999998</v>
      </c>
      <c r="E5" s="4">
        <v>6.2E-2</v>
      </c>
      <c r="F5" s="3">
        <v>0.13800000000000001</v>
      </c>
      <c r="G5" s="3">
        <v>0.83</v>
      </c>
      <c r="H5" s="3">
        <v>0.997</v>
      </c>
      <c r="I5" s="5">
        <v>47</v>
      </c>
      <c r="J5" s="3">
        <v>18</v>
      </c>
      <c r="K5" s="3">
        <v>2.9</v>
      </c>
    </row>
    <row r="6" spans="1:11" x14ac:dyDescent="0.2">
      <c r="A6" s="3">
        <v>46</v>
      </c>
      <c r="B6" s="3">
        <v>2076</v>
      </c>
      <c r="C6" s="3">
        <v>111</v>
      </c>
      <c r="D6" s="3">
        <v>0.60199999999999998</v>
      </c>
      <c r="E6" s="4">
        <v>0.112</v>
      </c>
      <c r="F6" s="3">
        <v>0.22800000000000001</v>
      </c>
      <c r="G6" s="3">
        <v>0.75800000000000001</v>
      </c>
      <c r="H6" s="3">
        <v>0.95299999999999996</v>
      </c>
      <c r="I6" s="5">
        <v>32</v>
      </c>
      <c r="J6" s="3">
        <v>17</v>
      </c>
      <c r="K6" s="3">
        <v>2.4</v>
      </c>
    </row>
    <row r="7" spans="1:11" x14ac:dyDescent="0.2">
      <c r="A7" s="3">
        <v>28</v>
      </c>
      <c r="B7" s="3">
        <v>1220</v>
      </c>
      <c r="C7" s="3">
        <v>148</v>
      </c>
      <c r="D7" s="3">
        <v>0.60299999999999998</v>
      </c>
      <c r="E7" s="4">
        <v>0.10299999999999999</v>
      </c>
      <c r="F7" s="3">
        <v>5.1999999999999998E-2</v>
      </c>
      <c r="G7" s="3">
        <v>0.73799999999999999</v>
      </c>
      <c r="H7" s="3">
        <v>0.996</v>
      </c>
      <c r="I7" s="5">
        <v>48</v>
      </c>
      <c r="J7" s="3">
        <v>1</v>
      </c>
      <c r="K7" s="3">
        <v>15</v>
      </c>
    </row>
    <row r="8" spans="1:11" x14ac:dyDescent="0.2">
      <c r="A8" s="3">
        <v>73</v>
      </c>
      <c r="B8" s="3">
        <v>3454</v>
      </c>
      <c r="C8" s="3">
        <v>23</v>
      </c>
      <c r="D8" s="3">
        <v>0.60299999999999998</v>
      </c>
      <c r="E8" s="4">
        <v>5.3999999999999999E-2</v>
      </c>
      <c r="F8" s="3">
        <v>9.0999999999999998E-2</v>
      </c>
      <c r="G8" s="3">
        <v>0.83799999999999997</v>
      </c>
      <c r="H8" s="3">
        <v>0.94599999999999995</v>
      </c>
      <c r="I8" s="5">
        <v>4</v>
      </c>
      <c r="J8" s="3">
        <v>17</v>
      </c>
      <c r="K8" s="3">
        <v>9.8000000000000007</v>
      </c>
    </row>
    <row r="9" spans="1:11" x14ac:dyDescent="0.2">
      <c r="A9" s="3">
        <v>47</v>
      </c>
      <c r="B9" s="3">
        <v>2264</v>
      </c>
      <c r="C9" s="3">
        <v>175</v>
      </c>
      <c r="D9" s="3">
        <v>0.60399999999999998</v>
      </c>
      <c r="E9" s="4">
        <v>0.10199999999999999</v>
      </c>
      <c r="F9" s="3">
        <v>0.17100000000000001</v>
      </c>
      <c r="G9" s="3">
        <v>0.78600000000000003</v>
      </c>
      <c r="H9" s="3">
        <v>0.95899999999999996</v>
      </c>
      <c r="I9" s="5">
        <v>32</v>
      </c>
      <c r="J9" s="3">
        <v>6</v>
      </c>
      <c r="K9" s="3">
        <v>12.1</v>
      </c>
    </row>
    <row r="10" spans="1:11" x14ac:dyDescent="0.2">
      <c r="A10" s="3">
        <v>52</v>
      </c>
      <c r="B10" s="3">
        <v>2346</v>
      </c>
      <c r="C10" s="3">
        <v>163</v>
      </c>
      <c r="D10" s="3">
        <v>0.60399999999999998</v>
      </c>
      <c r="E10" s="4">
        <v>0.11600000000000001</v>
      </c>
      <c r="F10" s="3">
        <v>0.19900000000000001</v>
      </c>
      <c r="G10" s="3">
        <v>0.84599999999999997</v>
      </c>
      <c r="H10" s="3">
        <v>0.98699999999999999</v>
      </c>
      <c r="I10" s="5">
        <v>98</v>
      </c>
      <c r="J10" s="3">
        <v>4</v>
      </c>
      <c r="K10" s="3">
        <v>3.7</v>
      </c>
    </row>
    <row r="11" spans="1:11" x14ac:dyDescent="0.2">
      <c r="A11" s="3">
        <v>85</v>
      </c>
      <c r="B11" s="3">
        <v>4211</v>
      </c>
      <c r="C11" s="3">
        <v>133</v>
      </c>
      <c r="D11" s="3">
        <v>0.60399999999999998</v>
      </c>
      <c r="E11" s="4">
        <v>0.09</v>
      </c>
      <c r="F11" s="3">
        <v>9.1999999999999998E-2</v>
      </c>
      <c r="G11" s="3">
        <v>0.72899999999999998</v>
      </c>
      <c r="H11" s="3">
        <v>0.90300000000000002</v>
      </c>
      <c r="I11" s="5">
        <v>82</v>
      </c>
      <c r="J11" s="3">
        <v>14</v>
      </c>
      <c r="K11" s="3">
        <v>4.2</v>
      </c>
    </row>
    <row r="12" spans="1:11" x14ac:dyDescent="0.2">
      <c r="A12" s="3">
        <v>35</v>
      </c>
      <c r="B12" s="3">
        <v>1539</v>
      </c>
      <c r="C12" s="3">
        <v>58</v>
      </c>
      <c r="D12" s="3">
        <v>0.60499999999999998</v>
      </c>
      <c r="E12" s="4">
        <v>0.17</v>
      </c>
      <c r="F12" s="3">
        <v>6.3E-2</v>
      </c>
      <c r="G12" s="3">
        <v>0.94199999999999995</v>
      </c>
      <c r="H12" s="3">
        <v>0.90800000000000003</v>
      </c>
      <c r="I12" s="5">
        <v>96</v>
      </c>
      <c r="J12" s="3">
        <v>1</v>
      </c>
      <c r="K12" s="3">
        <v>11.3</v>
      </c>
    </row>
    <row r="13" spans="1:11" x14ac:dyDescent="0.2">
      <c r="A13" s="3">
        <v>79</v>
      </c>
      <c r="B13" s="3">
        <v>3745</v>
      </c>
      <c r="C13" s="3">
        <v>75</v>
      </c>
      <c r="D13" s="3">
        <v>0.60499999999999998</v>
      </c>
      <c r="E13" s="4">
        <v>6.7000000000000004E-2</v>
      </c>
      <c r="F13" s="3">
        <v>5.8000000000000003E-2</v>
      </c>
      <c r="G13" s="3">
        <v>0.93899999999999995</v>
      </c>
      <c r="H13" s="3">
        <v>0.91800000000000004</v>
      </c>
      <c r="I13" s="5">
        <v>37</v>
      </c>
      <c r="J13" s="3">
        <v>13</v>
      </c>
      <c r="K13" s="3">
        <v>3.9</v>
      </c>
    </row>
    <row r="14" spans="1:11" x14ac:dyDescent="0.2">
      <c r="A14" s="3">
        <v>100</v>
      </c>
      <c r="B14" s="3">
        <v>4901</v>
      </c>
      <c r="C14" s="3">
        <v>154</v>
      </c>
      <c r="D14" s="3">
        <v>0.60499999999999998</v>
      </c>
      <c r="E14" s="4">
        <v>3.1E-2</v>
      </c>
      <c r="F14" s="3">
        <v>0.19</v>
      </c>
      <c r="G14" s="3">
        <v>0.92600000000000005</v>
      </c>
      <c r="H14" s="3">
        <v>0.98</v>
      </c>
      <c r="I14" s="5">
        <v>99</v>
      </c>
      <c r="J14" s="3">
        <v>13</v>
      </c>
      <c r="K14" s="3">
        <v>12.9</v>
      </c>
    </row>
    <row r="15" spans="1:11" x14ac:dyDescent="0.2">
      <c r="A15" s="3">
        <v>55</v>
      </c>
      <c r="B15" s="3">
        <v>2681</v>
      </c>
      <c r="C15" s="3">
        <v>176</v>
      </c>
      <c r="D15" s="3">
        <v>0.60599999999999998</v>
      </c>
      <c r="E15" s="4">
        <v>0.13500000000000001</v>
      </c>
      <c r="F15" s="3">
        <v>0.17299999999999999</v>
      </c>
      <c r="G15" s="3">
        <v>0.73499999999999999</v>
      </c>
      <c r="H15" s="3">
        <v>0.93899999999999995</v>
      </c>
      <c r="I15" s="5">
        <v>64</v>
      </c>
      <c r="J15" s="3">
        <v>0</v>
      </c>
      <c r="K15" s="3">
        <v>1.4</v>
      </c>
    </row>
    <row r="16" spans="1:11" x14ac:dyDescent="0.2">
      <c r="A16" s="3">
        <v>85</v>
      </c>
      <c r="B16" s="3">
        <v>4130</v>
      </c>
      <c r="C16" s="3">
        <v>88</v>
      </c>
      <c r="D16" s="3">
        <v>0.60599999999999998</v>
      </c>
      <c r="E16" s="4">
        <v>0.189</v>
      </c>
      <c r="F16" s="3">
        <v>0.13500000000000001</v>
      </c>
      <c r="G16" s="3">
        <v>0.92100000000000004</v>
      </c>
      <c r="H16" s="3">
        <v>0.91400000000000003</v>
      </c>
      <c r="I16" s="5">
        <v>33</v>
      </c>
      <c r="J16" s="3">
        <v>14</v>
      </c>
      <c r="K16" s="3">
        <v>8.6</v>
      </c>
    </row>
    <row r="17" spans="1:11" x14ac:dyDescent="0.2">
      <c r="A17" s="3">
        <v>87</v>
      </c>
      <c r="B17" s="3">
        <v>4253</v>
      </c>
      <c r="C17" s="3">
        <v>190</v>
      </c>
      <c r="D17" s="3">
        <v>0.60599999999999998</v>
      </c>
      <c r="E17" s="4">
        <v>8.2000000000000003E-2</v>
      </c>
      <c r="F17" s="3">
        <v>7.5999999999999998E-2</v>
      </c>
      <c r="G17" s="3">
        <v>0.91400000000000003</v>
      </c>
      <c r="H17" s="3">
        <v>0.90600000000000003</v>
      </c>
      <c r="I17" s="5">
        <v>87</v>
      </c>
      <c r="J17" s="3">
        <v>1</v>
      </c>
      <c r="K17" s="3">
        <v>14.9</v>
      </c>
    </row>
    <row r="18" spans="1:11" x14ac:dyDescent="0.2">
      <c r="A18" s="3">
        <v>82</v>
      </c>
      <c r="B18" s="3">
        <v>3834</v>
      </c>
      <c r="C18" s="3">
        <v>132</v>
      </c>
      <c r="D18" s="3">
        <v>0.60699999999999998</v>
      </c>
      <c r="E18" s="4">
        <v>0.19500000000000001</v>
      </c>
      <c r="F18" s="3">
        <v>0.21099999999999999</v>
      </c>
      <c r="G18" s="3">
        <v>0.72099999999999997</v>
      </c>
      <c r="H18" s="3">
        <v>0.98299999999999998</v>
      </c>
      <c r="I18" s="5">
        <v>4</v>
      </c>
      <c r="J18" s="3">
        <v>10</v>
      </c>
      <c r="K18" s="3">
        <v>1.2</v>
      </c>
    </row>
    <row r="19" spans="1:11" x14ac:dyDescent="0.2">
      <c r="A19" s="3">
        <v>38</v>
      </c>
      <c r="B19" s="3">
        <v>1699</v>
      </c>
      <c r="C19" s="3">
        <v>190</v>
      </c>
      <c r="D19" s="3">
        <v>0.60799999999999998</v>
      </c>
      <c r="E19" s="4">
        <v>8.3000000000000004E-2</v>
      </c>
      <c r="F19" s="3">
        <v>0.18</v>
      </c>
      <c r="G19" s="3">
        <v>0.81899999999999995</v>
      </c>
      <c r="H19" s="3">
        <v>0.90900000000000003</v>
      </c>
      <c r="I19" s="5">
        <v>33</v>
      </c>
      <c r="J19" s="3">
        <v>3</v>
      </c>
      <c r="K19" s="3">
        <v>10.8</v>
      </c>
    </row>
    <row r="20" spans="1:11" x14ac:dyDescent="0.2">
      <c r="A20" s="3">
        <v>92</v>
      </c>
      <c r="B20" s="3">
        <v>4563</v>
      </c>
      <c r="C20" s="3">
        <v>53</v>
      </c>
      <c r="D20" s="3">
        <v>0.60799999999999998</v>
      </c>
      <c r="E20" s="4">
        <v>0.106</v>
      </c>
      <c r="F20" s="3">
        <v>0.14499999999999999</v>
      </c>
      <c r="G20" s="3">
        <v>0.79800000000000004</v>
      </c>
      <c r="H20" s="3">
        <v>0.91</v>
      </c>
      <c r="I20" s="5">
        <v>59</v>
      </c>
      <c r="J20" s="3">
        <v>8</v>
      </c>
      <c r="K20" s="3">
        <v>7.7</v>
      </c>
    </row>
    <row r="21" spans="1:11" x14ac:dyDescent="0.2">
      <c r="A21" s="3">
        <v>37</v>
      </c>
      <c r="B21" s="3">
        <v>1666</v>
      </c>
      <c r="C21" s="3">
        <v>29</v>
      </c>
      <c r="D21" s="3">
        <v>0.60899999999999999</v>
      </c>
      <c r="E21" s="4">
        <v>7.0000000000000007E-2</v>
      </c>
      <c r="F21" s="3">
        <v>0.27900000000000003</v>
      </c>
      <c r="G21" s="3">
        <v>0.753</v>
      </c>
      <c r="H21" s="3">
        <v>0.95599999999999996</v>
      </c>
      <c r="I21" s="5">
        <v>32</v>
      </c>
      <c r="J21" s="3">
        <v>15</v>
      </c>
      <c r="K21" s="3">
        <v>8.1</v>
      </c>
    </row>
    <row r="22" spans="1:11" x14ac:dyDescent="0.2">
      <c r="A22" s="3">
        <v>59</v>
      </c>
      <c r="B22" s="3">
        <v>2890</v>
      </c>
      <c r="C22" s="3">
        <v>167</v>
      </c>
      <c r="D22" s="3">
        <v>0.60899999999999999</v>
      </c>
      <c r="E22" s="4">
        <v>2.5999999999999999E-2</v>
      </c>
      <c r="F22" s="3">
        <v>0.28799999999999998</v>
      </c>
      <c r="G22" s="3">
        <v>0.76200000000000001</v>
      </c>
      <c r="H22" s="3">
        <v>0.91200000000000003</v>
      </c>
      <c r="I22" s="5">
        <v>63</v>
      </c>
      <c r="J22" s="3">
        <v>2</v>
      </c>
      <c r="K22" s="3">
        <v>7.1</v>
      </c>
    </row>
    <row r="23" spans="1:11" x14ac:dyDescent="0.2">
      <c r="A23" s="3">
        <v>62</v>
      </c>
      <c r="B23" s="3">
        <v>2920</v>
      </c>
      <c r="C23" s="3">
        <v>35</v>
      </c>
      <c r="D23" s="3">
        <v>0.60899999999999999</v>
      </c>
      <c r="E23" s="4">
        <v>0.13200000000000001</v>
      </c>
      <c r="F23" s="3">
        <v>8.8999999999999996E-2</v>
      </c>
      <c r="G23" s="3">
        <v>0.71599999999999997</v>
      </c>
      <c r="H23" s="3">
        <v>0.98399999999999999</v>
      </c>
      <c r="I23" s="5">
        <v>89</v>
      </c>
      <c r="J23" s="3">
        <v>4</v>
      </c>
      <c r="K23" s="3">
        <v>3.3</v>
      </c>
    </row>
    <row r="24" spans="1:11" x14ac:dyDescent="0.2">
      <c r="A24" s="3">
        <v>85</v>
      </c>
      <c r="B24" s="3">
        <v>4218</v>
      </c>
      <c r="C24" s="3">
        <v>103</v>
      </c>
      <c r="D24" s="3">
        <v>0.60899999999999999</v>
      </c>
      <c r="E24" s="4">
        <v>7.0999999999999994E-2</v>
      </c>
      <c r="F24" s="3">
        <v>0.27900000000000003</v>
      </c>
      <c r="G24" s="3">
        <v>0.79500000000000004</v>
      </c>
      <c r="H24" s="3">
        <v>0.95899999999999996</v>
      </c>
      <c r="I24" s="5">
        <v>31</v>
      </c>
      <c r="J24" s="3">
        <v>6</v>
      </c>
      <c r="K24" s="3">
        <v>2.1</v>
      </c>
    </row>
    <row r="25" spans="1:11" x14ac:dyDescent="0.2">
      <c r="A25" s="3">
        <v>95</v>
      </c>
      <c r="B25" s="3">
        <v>4702</v>
      </c>
      <c r="C25" s="3">
        <v>159</v>
      </c>
      <c r="D25" s="3">
        <v>0.60899999999999999</v>
      </c>
      <c r="E25" s="4">
        <v>8.5000000000000006E-2</v>
      </c>
      <c r="F25" s="3">
        <v>8.6999999999999994E-2</v>
      </c>
      <c r="G25" s="3">
        <v>0.91800000000000004</v>
      </c>
      <c r="H25" s="3">
        <v>0.99399999999999999</v>
      </c>
      <c r="I25" s="5">
        <v>32</v>
      </c>
      <c r="J25" s="3">
        <v>1</v>
      </c>
      <c r="K25" s="3">
        <v>8.1</v>
      </c>
    </row>
    <row r="26" spans="1:11" x14ac:dyDescent="0.2">
      <c r="A26" s="3">
        <v>56</v>
      </c>
      <c r="B26" s="3">
        <v>2627</v>
      </c>
      <c r="C26" s="3">
        <v>42</v>
      </c>
      <c r="D26" s="3">
        <v>0.61</v>
      </c>
      <c r="E26" s="4">
        <v>0.13700000000000001</v>
      </c>
      <c r="F26" s="3">
        <v>6.4000000000000001E-2</v>
      </c>
      <c r="G26" s="3">
        <v>0.74399999999999999</v>
      </c>
      <c r="H26" s="3">
        <v>0.98599999999999999</v>
      </c>
      <c r="I26" s="5">
        <v>96</v>
      </c>
      <c r="J26" s="3">
        <v>2</v>
      </c>
      <c r="K26" s="3">
        <v>2.2999999999999998</v>
      </c>
    </row>
    <row r="27" spans="1:11" x14ac:dyDescent="0.2">
      <c r="A27" s="3">
        <v>66</v>
      </c>
      <c r="B27" s="3">
        <v>3246</v>
      </c>
      <c r="C27" s="3">
        <v>29</v>
      </c>
      <c r="D27" s="3">
        <v>0.61</v>
      </c>
      <c r="E27" s="4">
        <v>5.2999999999999999E-2</v>
      </c>
      <c r="F27" s="3">
        <v>0.28799999999999998</v>
      </c>
      <c r="G27" s="3">
        <v>0.82199999999999995</v>
      </c>
      <c r="H27" s="3">
        <v>0.90900000000000003</v>
      </c>
      <c r="I27" s="5">
        <v>65</v>
      </c>
      <c r="J27" s="3">
        <v>14</v>
      </c>
      <c r="K27" s="3">
        <v>3.9</v>
      </c>
    </row>
    <row r="28" spans="1:11" x14ac:dyDescent="0.2">
      <c r="A28" s="3">
        <v>95</v>
      </c>
      <c r="B28" s="3">
        <v>4555</v>
      </c>
      <c r="C28" s="3">
        <v>37</v>
      </c>
      <c r="D28" s="3">
        <v>0.61</v>
      </c>
      <c r="E28" s="4">
        <v>5.8999999999999997E-2</v>
      </c>
      <c r="F28" s="3">
        <v>0.22900000000000001</v>
      </c>
      <c r="G28" s="3">
        <v>0.71099999999999997</v>
      </c>
      <c r="H28" s="3">
        <v>0.92600000000000005</v>
      </c>
      <c r="I28" s="5">
        <v>6</v>
      </c>
      <c r="J28" s="3">
        <v>5</v>
      </c>
      <c r="K28" s="3">
        <v>13.7</v>
      </c>
    </row>
    <row r="29" spans="1:11" x14ac:dyDescent="0.2">
      <c r="A29" s="3">
        <v>96</v>
      </c>
      <c r="B29" s="3">
        <v>4575</v>
      </c>
      <c r="C29" s="3">
        <v>48</v>
      </c>
      <c r="D29" s="3">
        <v>0.61</v>
      </c>
      <c r="E29" s="4">
        <v>0.15</v>
      </c>
      <c r="F29" s="3">
        <v>0.111</v>
      </c>
      <c r="G29" s="3">
        <v>0.73799999999999999</v>
      </c>
      <c r="H29" s="3">
        <v>0.96699999999999997</v>
      </c>
      <c r="I29" s="5">
        <v>31</v>
      </c>
      <c r="J29" s="3">
        <v>3</v>
      </c>
      <c r="K29" s="3">
        <v>7.7</v>
      </c>
    </row>
    <row r="30" spans="1:11" x14ac:dyDescent="0.2">
      <c r="A30" s="3">
        <v>50</v>
      </c>
      <c r="B30" s="3">
        <v>2461</v>
      </c>
      <c r="C30" s="3">
        <v>58</v>
      </c>
      <c r="D30" s="3">
        <v>0.61099999999999999</v>
      </c>
      <c r="E30" s="4">
        <v>1.7999999999999999E-2</v>
      </c>
      <c r="F30" s="3">
        <v>0.26900000000000002</v>
      </c>
      <c r="G30" s="3">
        <v>0.95799999999999996</v>
      </c>
      <c r="H30" s="3">
        <v>0.95799999999999996</v>
      </c>
      <c r="I30" s="5">
        <v>19</v>
      </c>
      <c r="J30" s="3">
        <v>1</v>
      </c>
      <c r="K30" s="3">
        <v>6.7</v>
      </c>
    </row>
    <row r="31" spans="1:11" x14ac:dyDescent="0.2">
      <c r="A31" s="3">
        <v>52</v>
      </c>
      <c r="B31" s="3">
        <v>2464</v>
      </c>
      <c r="C31" s="3">
        <v>64</v>
      </c>
      <c r="D31" s="3">
        <v>0.61099999999999999</v>
      </c>
      <c r="E31" s="4">
        <v>6.5000000000000002E-2</v>
      </c>
      <c r="F31" s="3">
        <v>0.152</v>
      </c>
      <c r="G31" s="3">
        <v>0.97699999999999998</v>
      </c>
      <c r="H31" s="3">
        <v>0.91300000000000003</v>
      </c>
      <c r="I31" s="5">
        <v>80</v>
      </c>
      <c r="J31" s="3">
        <v>13</v>
      </c>
      <c r="K31" s="3">
        <v>9.5</v>
      </c>
    </row>
    <row r="32" spans="1:11" x14ac:dyDescent="0.2">
      <c r="A32" s="3">
        <v>73</v>
      </c>
      <c r="B32" s="3">
        <v>3564</v>
      </c>
      <c r="C32" s="3">
        <v>160</v>
      </c>
      <c r="D32" s="3">
        <v>0.61199999999999999</v>
      </c>
      <c r="E32" s="4">
        <v>0.17699999999999999</v>
      </c>
      <c r="F32" s="3">
        <v>0.127</v>
      </c>
      <c r="G32" s="3">
        <v>0.91500000000000004</v>
      </c>
      <c r="H32" s="3">
        <v>0.96699999999999997</v>
      </c>
      <c r="I32" s="5">
        <v>35</v>
      </c>
      <c r="J32" s="3">
        <v>15</v>
      </c>
      <c r="K32" s="3">
        <v>7.6</v>
      </c>
    </row>
    <row r="33" spans="1:11" x14ac:dyDescent="0.2">
      <c r="A33" s="3">
        <v>97</v>
      </c>
      <c r="B33" s="3">
        <v>4634</v>
      </c>
      <c r="C33" s="3">
        <v>90</v>
      </c>
      <c r="D33" s="3">
        <v>0.61199999999999999</v>
      </c>
      <c r="E33" s="4">
        <v>8.3000000000000004E-2</v>
      </c>
      <c r="F33" s="3">
        <v>8.2000000000000003E-2</v>
      </c>
      <c r="G33" s="3">
        <v>0.76900000000000002</v>
      </c>
      <c r="H33" s="3">
        <v>0.97399999999999998</v>
      </c>
      <c r="I33" s="5">
        <v>22</v>
      </c>
      <c r="J33" s="3">
        <v>11</v>
      </c>
      <c r="K33" s="3">
        <v>14.6</v>
      </c>
    </row>
    <row r="34" spans="1:11" x14ac:dyDescent="0.2">
      <c r="A34" s="3">
        <v>28</v>
      </c>
      <c r="B34" s="3">
        <v>1256</v>
      </c>
      <c r="C34" s="3">
        <v>173</v>
      </c>
      <c r="D34" s="3">
        <v>0.61299999999999999</v>
      </c>
      <c r="E34" s="4">
        <v>0.191</v>
      </c>
      <c r="F34" s="3">
        <v>8.5999999999999993E-2</v>
      </c>
      <c r="G34" s="3">
        <v>0.748</v>
      </c>
      <c r="H34" s="3">
        <v>0.94399999999999995</v>
      </c>
      <c r="I34" s="5">
        <v>67</v>
      </c>
      <c r="J34" s="3">
        <v>11</v>
      </c>
      <c r="K34" s="3">
        <v>2.4</v>
      </c>
    </row>
    <row r="35" spans="1:11" x14ac:dyDescent="0.2">
      <c r="A35" s="3">
        <v>91</v>
      </c>
      <c r="B35" s="3">
        <v>4420</v>
      </c>
      <c r="C35" s="3">
        <v>120</v>
      </c>
      <c r="D35" s="3">
        <v>0.61299999999999999</v>
      </c>
      <c r="E35" s="4">
        <v>6.7000000000000004E-2</v>
      </c>
      <c r="F35" s="3">
        <v>0.17599999999999999</v>
      </c>
      <c r="G35" s="3">
        <v>0.83599999999999997</v>
      </c>
      <c r="H35" s="3">
        <v>0.97199999999999998</v>
      </c>
      <c r="I35" s="5">
        <v>36</v>
      </c>
      <c r="J35" s="3">
        <v>16</v>
      </c>
      <c r="K35" s="3">
        <v>8.6</v>
      </c>
    </row>
    <row r="36" spans="1:11" x14ac:dyDescent="0.2">
      <c r="A36" s="3">
        <v>24</v>
      </c>
      <c r="B36" s="3">
        <v>1138</v>
      </c>
      <c r="C36" s="3">
        <v>52</v>
      </c>
      <c r="D36" s="3">
        <v>0.61399999999999999</v>
      </c>
      <c r="E36" s="4">
        <v>0.16700000000000001</v>
      </c>
      <c r="F36" s="3">
        <v>0.19500000000000001</v>
      </c>
      <c r="G36" s="3">
        <v>0.91600000000000004</v>
      </c>
      <c r="H36" s="3">
        <v>0.95</v>
      </c>
      <c r="I36" s="5">
        <v>15</v>
      </c>
      <c r="J36" s="3">
        <v>15</v>
      </c>
      <c r="K36" s="3">
        <v>3.3</v>
      </c>
    </row>
    <row r="37" spans="1:11" x14ac:dyDescent="0.2">
      <c r="A37" s="3">
        <v>30</v>
      </c>
      <c r="B37" s="3">
        <v>1470</v>
      </c>
      <c r="C37" s="3">
        <v>146</v>
      </c>
      <c r="D37" s="3">
        <v>0.61399999999999999</v>
      </c>
      <c r="E37" s="4">
        <v>4.1000000000000002E-2</v>
      </c>
      <c r="F37" s="3">
        <v>0.251</v>
      </c>
      <c r="G37" s="3">
        <v>0.77300000000000002</v>
      </c>
      <c r="H37" s="3">
        <v>0.98299999999999998</v>
      </c>
      <c r="I37" s="5">
        <v>63</v>
      </c>
      <c r="J37" s="3">
        <v>14</v>
      </c>
      <c r="K37" s="3">
        <v>4.5</v>
      </c>
    </row>
    <row r="38" spans="1:11" x14ac:dyDescent="0.2">
      <c r="A38" s="3">
        <v>52</v>
      </c>
      <c r="B38" s="3">
        <v>2556</v>
      </c>
      <c r="C38" s="3">
        <v>183</v>
      </c>
      <c r="D38" s="3">
        <v>0.61499999999999999</v>
      </c>
      <c r="E38" s="4">
        <v>0.17799999999999999</v>
      </c>
      <c r="F38" s="3">
        <v>0.152</v>
      </c>
      <c r="G38" s="3">
        <v>0.82099999999999995</v>
      </c>
      <c r="H38" s="3">
        <v>0.98699999999999999</v>
      </c>
      <c r="I38" s="5">
        <v>16</v>
      </c>
      <c r="J38" s="3">
        <v>7</v>
      </c>
      <c r="K38" s="3">
        <v>12</v>
      </c>
    </row>
    <row r="39" spans="1:11" x14ac:dyDescent="0.2">
      <c r="A39" s="3">
        <v>60</v>
      </c>
      <c r="B39" s="3">
        <v>2739</v>
      </c>
      <c r="C39" s="3">
        <v>97</v>
      </c>
      <c r="D39" s="3">
        <v>0.61499999999999999</v>
      </c>
      <c r="E39" s="4">
        <v>0.152</v>
      </c>
      <c r="F39" s="3">
        <v>0.253</v>
      </c>
      <c r="G39" s="3">
        <v>0.97699999999999998</v>
      </c>
      <c r="H39" s="3">
        <v>0.90400000000000003</v>
      </c>
      <c r="I39" s="5">
        <v>54</v>
      </c>
      <c r="J39" s="3">
        <v>18</v>
      </c>
      <c r="K39" s="3">
        <v>3.1</v>
      </c>
    </row>
    <row r="40" spans="1:11" x14ac:dyDescent="0.2">
      <c r="A40" s="3">
        <v>54</v>
      </c>
      <c r="B40" s="3">
        <v>2625</v>
      </c>
      <c r="C40" s="3">
        <v>71</v>
      </c>
      <c r="D40" s="3">
        <v>0.61599999999999999</v>
      </c>
      <c r="E40" s="4">
        <v>9.4E-2</v>
      </c>
      <c r="F40" s="3">
        <v>8.7999999999999995E-2</v>
      </c>
      <c r="G40" s="3">
        <v>0.86399999999999999</v>
      </c>
      <c r="H40" s="3">
        <v>0.95599999999999996</v>
      </c>
      <c r="I40" s="5">
        <v>53</v>
      </c>
      <c r="J40" s="3">
        <v>4</v>
      </c>
      <c r="K40" s="3">
        <v>13.3</v>
      </c>
    </row>
    <row r="41" spans="1:11" x14ac:dyDescent="0.2">
      <c r="A41" s="3">
        <v>62</v>
      </c>
      <c r="B41" s="3">
        <v>2997</v>
      </c>
      <c r="C41" s="3">
        <v>136</v>
      </c>
      <c r="D41" s="3">
        <v>0.61599999999999999</v>
      </c>
      <c r="E41" s="4">
        <v>6.3E-2</v>
      </c>
      <c r="F41" s="3">
        <v>0.17299999999999999</v>
      </c>
      <c r="G41" s="3">
        <v>0.77200000000000002</v>
      </c>
      <c r="H41" s="3">
        <v>0.92300000000000004</v>
      </c>
      <c r="I41" s="5">
        <v>94</v>
      </c>
      <c r="J41" s="3">
        <v>16</v>
      </c>
      <c r="K41" s="3">
        <v>5.5</v>
      </c>
    </row>
    <row r="42" spans="1:11" x14ac:dyDescent="0.2">
      <c r="A42" s="3">
        <v>66</v>
      </c>
      <c r="B42" s="3">
        <v>3097</v>
      </c>
      <c r="C42" s="3">
        <v>104</v>
      </c>
      <c r="D42" s="3">
        <v>0.61599999999999999</v>
      </c>
      <c r="E42" s="4">
        <v>0.192</v>
      </c>
      <c r="F42" s="3">
        <v>0.19400000000000001</v>
      </c>
      <c r="G42" s="3">
        <v>0.89</v>
      </c>
      <c r="H42" s="3">
        <v>0.97399999999999998</v>
      </c>
      <c r="I42" s="5">
        <v>62</v>
      </c>
      <c r="J42" s="3">
        <v>10</v>
      </c>
      <c r="K42" s="3">
        <v>4.2</v>
      </c>
    </row>
    <row r="43" spans="1:11" x14ac:dyDescent="0.2">
      <c r="A43" s="3">
        <v>73</v>
      </c>
      <c r="B43" s="3">
        <v>3422</v>
      </c>
      <c r="C43" s="3">
        <v>50</v>
      </c>
      <c r="D43" s="3">
        <v>0.61599999999999999</v>
      </c>
      <c r="E43" s="4">
        <v>6.7000000000000004E-2</v>
      </c>
      <c r="F43" s="3">
        <v>0.154</v>
      </c>
      <c r="G43" s="3">
        <v>0.94799999999999995</v>
      </c>
      <c r="H43" s="3">
        <v>0.95299999999999996</v>
      </c>
      <c r="I43" s="5">
        <v>9</v>
      </c>
      <c r="J43" s="3">
        <v>15</v>
      </c>
      <c r="K43" s="3">
        <v>8.6999999999999993</v>
      </c>
    </row>
    <row r="44" spans="1:11" x14ac:dyDescent="0.2">
      <c r="A44" s="3">
        <v>84</v>
      </c>
      <c r="B44" s="3">
        <v>4140</v>
      </c>
      <c r="C44" s="3">
        <v>178</v>
      </c>
      <c r="D44" s="3">
        <v>0.61599999999999999</v>
      </c>
      <c r="E44" s="4">
        <v>0.13600000000000001</v>
      </c>
      <c r="F44" s="3">
        <v>0.26</v>
      </c>
      <c r="G44" s="3">
        <v>0.87</v>
      </c>
      <c r="H44" s="3">
        <v>0.96199999999999997</v>
      </c>
      <c r="I44" s="5">
        <v>46</v>
      </c>
      <c r="J44" s="3">
        <v>3</v>
      </c>
      <c r="K44" s="3">
        <v>8</v>
      </c>
    </row>
    <row r="45" spans="1:11" x14ac:dyDescent="0.2">
      <c r="A45" s="3">
        <v>87</v>
      </c>
      <c r="B45" s="3">
        <v>4225</v>
      </c>
      <c r="C45" s="3">
        <v>111</v>
      </c>
      <c r="D45" s="3">
        <v>0.61599999999999999</v>
      </c>
      <c r="E45" s="4">
        <v>0.14599999999999999</v>
      </c>
      <c r="F45" s="3">
        <v>7.1999999999999995E-2</v>
      </c>
      <c r="G45" s="3">
        <v>0.80500000000000005</v>
      </c>
      <c r="H45" s="3">
        <v>0.90300000000000002</v>
      </c>
      <c r="I45" s="5">
        <v>70</v>
      </c>
      <c r="J45" s="3">
        <v>18</v>
      </c>
      <c r="K45" s="3">
        <v>5</v>
      </c>
    </row>
    <row r="46" spans="1:11" x14ac:dyDescent="0.2">
      <c r="A46" s="3">
        <v>96</v>
      </c>
      <c r="B46" s="3">
        <v>4583</v>
      </c>
      <c r="C46" s="3">
        <v>178</v>
      </c>
      <c r="D46" s="3">
        <v>0.61699999999999999</v>
      </c>
      <c r="E46" s="4">
        <v>0.17399999999999999</v>
      </c>
      <c r="F46" s="3">
        <v>0.191</v>
      </c>
      <c r="G46" s="3">
        <v>0.82299999999999995</v>
      </c>
      <c r="H46" s="3">
        <v>0.90900000000000003</v>
      </c>
      <c r="I46" s="5">
        <v>2</v>
      </c>
      <c r="J46" s="3">
        <v>4</v>
      </c>
      <c r="K46" s="3">
        <v>14.5</v>
      </c>
    </row>
    <row r="47" spans="1:11" x14ac:dyDescent="0.2">
      <c r="A47" s="3">
        <v>58</v>
      </c>
      <c r="B47" s="3">
        <v>2751</v>
      </c>
      <c r="C47" s="3">
        <v>159</v>
      </c>
      <c r="D47" s="3">
        <v>0.61799999999999999</v>
      </c>
      <c r="E47" s="4">
        <v>0.121</v>
      </c>
      <c r="F47" s="3">
        <v>0.223</v>
      </c>
      <c r="G47" s="3">
        <v>0.85599999999999998</v>
      </c>
      <c r="H47" s="3">
        <v>0.97099999999999997</v>
      </c>
      <c r="I47" s="5">
        <v>70</v>
      </c>
      <c r="J47" s="3">
        <v>12</v>
      </c>
      <c r="K47" s="3">
        <v>7.7</v>
      </c>
    </row>
    <row r="48" spans="1:11" x14ac:dyDescent="0.2">
      <c r="A48" s="3">
        <v>61</v>
      </c>
      <c r="B48" s="3">
        <v>2827</v>
      </c>
      <c r="C48" s="3">
        <v>97</v>
      </c>
      <c r="D48" s="3">
        <v>0.61799999999999999</v>
      </c>
      <c r="E48" s="4">
        <v>3.3000000000000002E-2</v>
      </c>
      <c r="F48" s="3">
        <v>5.5E-2</v>
      </c>
      <c r="G48" s="3">
        <v>0.72499999999999998</v>
      </c>
      <c r="H48" s="3">
        <v>0.98799999999999999</v>
      </c>
      <c r="I48" s="5">
        <v>56</v>
      </c>
      <c r="J48" s="3">
        <v>18</v>
      </c>
      <c r="K48" s="3">
        <v>7</v>
      </c>
    </row>
    <row r="49" spans="1:11" x14ac:dyDescent="0.2">
      <c r="A49" s="3">
        <v>29</v>
      </c>
      <c r="B49" s="3">
        <v>1211</v>
      </c>
      <c r="C49" s="3">
        <v>115</v>
      </c>
      <c r="D49" s="3">
        <v>0.61899999999999999</v>
      </c>
      <c r="E49" s="4">
        <v>6.3E-2</v>
      </c>
      <c r="F49" s="3">
        <v>0.19400000000000001</v>
      </c>
      <c r="G49" s="3">
        <v>0.90900000000000003</v>
      </c>
      <c r="H49" s="3">
        <v>0.98699999999999999</v>
      </c>
      <c r="I49" s="5">
        <v>44</v>
      </c>
      <c r="J49" s="3">
        <v>3</v>
      </c>
      <c r="K49" s="3">
        <v>6</v>
      </c>
    </row>
    <row r="50" spans="1:11" x14ac:dyDescent="0.2">
      <c r="A50" s="3">
        <v>64</v>
      </c>
      <c r="B50" s="3">
        <v>3006</v>
      </c>
      <c r="C50" s="3">
        <v>94</v>
      </c>
      <c r="D50" s="3">
        <v>0.61899999999999999</v>
      </c>
      <c r="E50" s="4">
        <v>0.19</v>
      </c>
      <c r="F50" s="3">
        <v>0.21099999999999999</v>
      </c>
      <c r="G50" s="3">
        <v>0.81499999999999995</v>
      </c>
      <c r="H50" s="3">
        <v>0.95499999999999996</v>
      </c>
      <c r="I50" s="5">
        <v>43</v>
      </c>
      <c r="J50" s="3">
        <v>15</v>
      </c>
      <c r="K50" s="3">
        <v>1.1000000000000001</v>
      </c>
    </row>
    <row r="51" spans="1:11" x14ac:dyDescent="0.2">
      <c r="A51" s="3">
        <v>94</v>
      </c>
      <c r="B51" s="3">
        <v>4619</v>
      </c>
      <c r="C51" s="3">
        <v>142</v>
      </c>
      <c r="D51" s="3">
        <v>0.61899999999999999</v>
      </c>
      <c r="E51" s="4">
        <v>0.19400000000000001</v>
      </c>
      <c r="F51" s="3">
        <v>0.23599999999999999</v>
      </c>
      <c r="G51" s="3">
        <v>0.98299999999999998</v>
      </c>
      <c r="H51" s="3">
        <v>0.93300000000000005</v>
      </c>
      <c r="I51" s="5">
        <v>70</v>
      </c>
      <c r="J51" s="3">
        <v>4</v>
      </c>
      <c r="K51" s="3">
        <v>4.5999999999999996</v>
      </c>
    </row>
    <row r="52" spans="1:11" x14ac:dyDescent="0.2">
      <c r="A52" s="3">
        <v>95</v>
      </c>
      <c r="B52" s="3">
        <v>4708</v>
      </c>
      <c r="C52" s="3">
        <v>198</v>
      </c>
      <c r="D52" s="3">
        <v>0.61899999999999999</v>
      </c>
      <c r="E52" s="4">
        <v>0.17699999999999999</v>
      </c>
      <c r="F52" s="3">
        <v>0.122</v>
      </c>
      <c r="G52" s="3">
        <v>0.93400000000000005</v>
      </c>
      <c r="H52" s="3">
        <v>0.95599999999999996</v>
      </c>
      <c r="I52" s="5">
        <v>73</v>
      </c>
      <c r="J52" s="3">
        <v>3</v>
      </c>
      <c r="K52" s="3">
        <v>9.6</v>
      </c>
    </row>
    <row r="53" spans="1:11" x14ac:dyDescent="0.2">
      <c r="A53" s="3">
        <v>28</v>
      </c>
      <c r="B53" s="3">
        <v>1299</v>
      </c>
      <c r="C53" s="3">
        <v>92</v>
      </c>
      <c r="D53" s="3">
        <v>0.62</v>
      </c>
      <c r="E53" s="4">
        <v>9.8000000000000004E-2</v>
      </c>
      <c r="F53" s="3">
        <v>0.253</v>
      </c>
      <c r="G53" s="3">
        <v>0.80100000000000005</v>
      </c>
      <c r="H53" s="3">
        <v>0.97699999999999998</v>
      </c>
      <c r="I53" s="5">
        <v>91</v>
      </c>
      <c r="J53" s="3">
        <v>0</v>
      </c>
      <c r="K53" s="3">
        <v>5.5</v>
      </c>
    </row>
    <row r="54" spans="1:11" x14ac:dyDescent="0.2">
      <c r="A54" s="3">
        <v>34</v>
      </c>
      <c r="B54" s="3">
        <v>1427</v>
      </c>
      <c r="C54" s="3">
        <v>162</v>
      </c>
      <c r="D54" s="3">
        <v>0.62</v>
      </c>
      <c r="E54" s="4">
        <v>0.13300000000000001</v>
      </c>
      <c r="F54" s="3">
        <v>0.17499999999999999</v>
      </c>
      <c r="G54" s="3">
        <v>0.72399999999999998</v>
      </c>
      <c r="H54" s="3">
        <v>0.93100000000000005</v>
      </c>
      <c r="I54" s="5">
        <v>32</v>
      </c>
      <c r="J54" s="3">
        <v>16</v>
      </c>
      <c r="K54" s="3">
        <v>5.8</v>
      </c>
    </row>
    <row r="55" spans="1:11" x14ac:dyDescent="0.2">
      <c r="A55" s="3">
        <v>73</v>
      </c>
      <c r="B55" s="3">
        <v>3437</v>
      </c>
      <c r="C55" s="3">
        <v>44</v>
      </c>
      <c r="D55" s="3">
        <v>0.62</v>
      </c>
      <c r="E55" s="4">
        <v>0.01</v>
      </c>
      <c r="F55" s="3">
        <v>0.184</v>
      </c>
      <c r="G55" s="3">
        <v>0.92400000000000004</v>
      </c>
      <c r="H55" s="3">
        <v>0.97199999999999998</v>
      </c>
      <c r="I55" s="5">
        <v>64</v>
      </c>
      <c r="J55" s="3">
        <v>0</v>
      </c>
      <c r="K55" s="3">
        <v>11.9</v>
      </c>
    </row>
    <row r="56" spans="1:11" x14ac:dyDescent="0.2">
      <c r="A56" s="3">
        <v>79</v>
      </c>
      <c r="B56" s="3">
        <v>3880</v>
      </c>
      <c r="C56" s="3">
        <v>179</v>
      </c>
      <c r="D56" s="3">
        <v>0.62</v>
      </c>
      <c r="E56" s="4">
        <v>9.1999999999999998E-2</v>
      </c>
      <c r="F56" s="3">
        <v>0.28399999999999997</v>
      </c>
      <c r="G56" s="3">
        <v>0.72899999999999998</v>
      </c>
      <c r="H56" s="3">
        <v>0.93899999999999995</v>
      </c>
      <c r="I56" s="5">
        <v>85</v>
      </c>
      <c r="J56" s="3">
        <v>14</v>
      </c>
      <c r="K56" s="3">
        <v>3.8</v>
      </c>
    </row>
    <row r="57" spans="1:11" x14ac:dyDescent="0.2">
      <c r="A57" s="3">
        <v>83</v>
      </c>
      <c r="B57" s="3">
        <v>3920</v>
      </c>
      <c r="C57" s="3">
        <v>63</v>
      </c>
      <c r="D57" s="3">
        <v>0.62</v>
      </c>
      <c r="E57" s="4">
        <v>4.4999999999999998E-2</v>
      </c>
      <c r="F57" s="3">
        <v>0.24199999999999999</v>
      </c>
      <c r="G57" s="3">
        <v>0.90400000000000003</v>
      </c>
      <c r="H57" s="3">
        <v>0.91500000000000004</v>
      </c>
      <c r="I57" s="5">
        <v>87</v>
      </c>
      <c r="J57" s="3">
        <v>0</v>
      </c>
      <c r="K57" s="3">
        <v>14.6</v>
      </c>
    </row>
    <row r="58" spans="1:11" x14ac:dyDescent="0.2">
      <c r="A58" s="3">
        <v>93</v>
      </c>
      <c r="B58" s="3">
        <v>4384</v>
      </c>
      <c r="C58" s="3">
        <v>38</v>
      </c>
      <c r="D58" s="3">
        <v>0.62</v>
      </c>
      <c r="E58" s="4">
        <v>2.9000000000000001E-2</v>
      </c>
      <c r="F58" s="3">
        <v>7.0000000000000007E-2</v>
      </c>
      <c r="G58" s="3">
        <v>0.77100000000000002</v>
      </c>
      <c r="H58" s="3">
        <v>0.94899999999999995</v>
      </c>
      <c r="I58" s="5">
        <v>38</v>
      </c>
      <c r="J58" s="3">
        <v>13</v>
      </c>
      <c r="K58" s="3">
        <v>9.1999999999999993</v>
      </c>
    </row>
    <row r="59" spans="1:11" x14ac:dyDescent="0.2">
      <c r="A59" s="3">
        <v>96</v>
      </c>
      <c r="B59" s="3">
        <v>4735</v>
      </c>
      <c r="C59" s="3">
        <v>196</v>
      </c>
      <c r="D59" s="3">
        <v>0.62</v>
      </c>
      <c r="E59" s="4">
        <v>5.7000000000000002E-2</v>
      </c>
      <c r="F59" s="3">
        <v>0.20699999999999999</v>
      </c>
      <c r="G59" s="3">
        <v>0.79700000000000004</v>
      </c>
      <c r="H59" s="3">
        <v>0.92500000000000004</v>
      </c>
      <c r="I59" s="5">
        <v>24</v>
      </c>
      <c r="J59" s="3">
        <v>5</v>
      </c>
      <c r="K59" s="3">
        <v>14.1</v>
      </c>
    </row>
    <row r="60" spans="1:11" x14ac:dyDescent="0.2">
      <c r="A60" s="3">
        <v>51</v>
      </c>
      <c r="B60" s="3">
        <v>2355</v>
      </c>
      <c r="C60" s="3">
        <v>109</v>
      </c>
      <c r="D60" s="3">
        <v>0.621</v>
      </c>
      <c r="E60" s="4">
        <v>0.189</v>
      </c>
      <c r="F60" s="3">
        <v>0.23599999999999999</v>
      </c>
      <c r="G60" s="3">
        <v>0.76800000000000002</v>
      </c>
      <c r="H60" s="3">
        <v>0.94599999999999995</v>
      </c>
      <c r="I60" s="5">
        <v>63</v>
      </c>
      <c r="J60" s="3">
        <v>19</v>
      </c>
      <c r="K60" s="3">
        <v>8</v>
      </c>
    </row>
    <row r="61" spans="1:11" x14ac:dyDescent="0.2">
      <c r="A61" s="3">
        <v>95</v>
      </c>
      <c r="B61" s="3">
        <v>4618</v>
      </c>
      <c r="C61" s="3">
        <v>109</v>
      </c>
      <c r="D61" s="3">
        <v>0.621</v>
      </c>
      <c r="E61" s="4">
        <v>0.17299999999999999</v>
      </c>
      <c r="F61" s="3">
        <v>0.154</v>
      </c>
      <c r="G61" s="3">
        <v>0.79200000000000004</v>
      </c>
      <c r="H61" s="3">
        <v>0.90200000000000002</v>
      </c>
      <c r="I61" s="5">
        <v>60</v>
      </c>
      <c r="J61" s="3">
        <v>5</v>
      </c>
      <c r="K61" s="3">
        <v>1.2</v>
      </c>
    </row>
    <row r="62" spans="1:11" x14ac:dyDescent="0.2">
      <c r="A62" s="3">
        <v>50</v>
      </c>
      <c r="B62" s="3">
        <v>2239</v>
      </c>
      <c r="C62" s="3">
        <v>88</v>
      </c>
      <c r="D62" s="3">
        <v>0.622</v>
      </c>
      <c r="E62" s="4">
        <v>0.19900000000000001</v>
      </c>
      <c r="F62" s="3">
        <v>0.29799999999999999</v>
      </c>
      <c r="G62" s="3">
        <v>0.95</v>
      </c>
      <c r="H62" s="3">
        <v>0.93</v>
      </c>
      <c r="I62" s="5">
        <v>83</v>
      </c>
      <c r="J62" s="3">
        <v>18</v>
      </c>
      <c r="K62" s="3">
        <v>2.9</v>
      </c>
    </row>
    <row r="63" spans="1:11" x14ac:dyDescent="0.2">
      <c r="A63" s="3">
        <v>70</v>
      </c>
      <c r="B63" s="3">
        <v>3409</v>
      </c>
      <c r="C63" s="3">
        <v>89</v>
      </c>
      <c r="D63" s="3">
        <v>0.622</v>
      </c>
      <c r="E63" s="4">
        <v>0.14099999999999999</v>
      </c>
      <c r="F63" s="3">
        <v>0.21099999999999999</v>
      </c>
      <c r="G63" s="3">
        <v>0.878</v>
      </c>
      <c r="H63" s="3">
        <v>0.97</v>
      </c>
      <c r="I63" s="5">
        <v>87</v>
      </c>
      <c r="J63" s="3">
        <v>11</v>
      </c>
      <c r="K63" s="3">
        <v>4.5</v>
      </c>
    </row>
    <row r="64" spans="1:11" x14ac:dyDescent="0.2">
      <c r="A64" s="3">
        <v>70</v>
      </c>
      <c r="B64" s="3">
        <v>3459</v>
      </c>
      <c r="C64" s="3">
        <v>154</v>
      </c>
      <c r="D64" s="3">
        <v>0.622</v>
      </c>
      <c r="E64" s="4">
        <v>4.3999999999999997E-2</v>
      </c>
      <c r="F64" s="3">
        <v>6.3E-2</v>
      </c>
      <c r="G64" s="3">
        <v>0.93</v>
      </c>
      <c r="H64" s="3">
        <v>0.91600000000000004</v>
      </c>
      <c r="I64" s="5">
        <v>64</v>
      </c>
      <c r="J64" s="3">
        <v>5</v>
      </c>
      <c r="K64" s="3">
        <v>14.1</v>
      </c>
    </row>
    <row r="65" spans="1:11" x14ac:dyDescent="0.2">
      <c r="A65" s="3">
        <v>99</v>
      </c>
      <c r="B65" s="3">
        <v>4769</v>
      </c>
      <c r="C65" s="3">
        <v>70</v>
      </c>
      <c r="D65" s="3">
        <v>0.622</v>
      </c>
      <c r="E65" s="4">
        <v>9.1999999999999998E-2</v>
      </c>
      <c r="F65" s="3">
        <v>0.113</v>
      </c>
      <c r="G65" s="3">
        <v>0.76</v>
      </c>
      <c r="H65" s="3">
        <v>0.90400000000000003</v>
      </c>
      <c r="I65" s="5">
        <v>19</v>
      </c>
      <c r="J65" s="3">
        <v>17</v>
      </c>
      <c r="K65" s="3">
        <v>7.4</v>
      </c>
    </row>
    <row r="66" spans="1:11" x14ac:dyDescent="0.2">
      <c r="A66" s="3">
        <v>75</v>
      </c>
      <c r="B66" s="3">
        <v>3497</v>
      </c>
      <c r="C66" s="3">
        <v>148</v>
      </c>
      <c r="D66" s="3">
        <v>0.623</v>
      </c>
      <c r="E66" s="4">
        <v>0.125</v>
      </c>
      <c r="F66" s="3">
        <v>6.6000000000000003E-2</v>
      </c>
      <c r="G66" s="3">
        <v>0.90400000000000003</v>
      </c>
      <c r="H66" s="3">
        <v>0.98</v>
      </c>
      <c r="I66" s="5">
        <v>5</v>
      </c>
      <c r="J66" s="3">
        <v>11</v>
      </c>
      <c r="K66" s="3">
        <v>5.0999999999999996</v>
      </c>
    </row>
    <row r="67" spans="1:11" x14ac:dyDescent="0.2">
      <c r="A67" s="3">
        <v>99</v>
      </c>
      <c r="B67" s="3">
        <v>4699</v>
      </c>
      <c r="C67" s="3">
        <v>190</v>
      </c>
      <c r="D67" s="3">
        <v>0.623</v>
      </c>
      <c r="E67" s="4">
        <v>5.0999999999999997E-2</v>
      </c>
      <c r="F67" s="3">
        <v>9.8000000000000004E-2</v>
      </c>
      <c r="G67" s="3">
        <v>0.99</v>
      </c>
      <c r="H67" s="3">
        <v>0.91400000000000003</v>
      </c>
      <c r="I67" s="5">
        <v>2</v>
      </c>
      <c r="J67" s="3">
        <v>0</v>
      </c>
      <c r="K67" s="3">
        <v>9.1999999999999993</v>
      </c>
    </row>
    <row r="68" spans="1:11" x14ac:dyDescent="0.2">
      <c r="A68" s="3">
        <v>100</v>
      </c>
      <c r="B68" s="3">
        <v>4809</v>
      </c>
      <c r="C68" s="3">
        <v>172</v>
      </c>
      <c r="D68" s="3">
        <v>0.623</v>
      </c>
      <c r="E68" s="4">
        <v>0.17899999999999999</v>
      </c>
      <c r="F68" s="3">
        <v>0.22800000000000001</v>
      </c>
      <c r="G68" s="3">
        <v>0.88100000000000001</v>
      </c>
      <c r="H68" s="3">
        <v>0.93300000000000005</v>
      </c>
      <c r="I68" s="5">
        <v>13</v>
      </c>
      <c r="J68" s="3">
        <v>12</v>
      </c>
      <c r="K68" s="3">
        <v>9.9</v>
      </c>
    </row>
    <row r="69" spans="1:11" x14ac:dyDescent="0.2">
      <c r="A69" s="3">
        <v>103</v>
      </c>
      <c r="B69" s="3">
        <v>4976</v>
      </c>
      <c r="C69" s="3">
        <v>70</v>
      </c>
      <c r="D69" s="3">
        <v>0.623</v>
      </c>
      <c r="E69" s="4">
        <v>0.106</v>
      </c>
      <c r="F69" s="3">
        <v>0.16400000000000001</v>
      </c>
      <c r="G69" s="3">
        <v>0.70499999999999996</v>
      </c>
      <c r="H69" s="3">
        <v>0.96499999999999997</v>
      </c>
      <c r="I69" s="5">
        <v>26</v>
      </c>
      <c r="J69" s="3">
        <v>2</v>
      </c>
      <c r="K69" s="3">
        <v>11.6</v>
      </c>
    </row>
    <row r="70" spans="1:11" x14ac:dyDescent="0.2">
      <c r="A70" s="3">
        <v>37</v>
      </c>
      <c r="B70" s="3">
        <v>1685</v>
      </c>
      <c r="C70" s="3">
        <v>128</v>
      </c>
      <c r="D70" s="3">
        <v>0.624</v>
      </c>
      <c r="E70" s="4">
        <v>9.9000000000000005E-2</v>
      </c>
      <c r="F70" s="3">
        <v>7.3999999999999996E-2</v>
      </c>
      <c r="G70" s="3">
        <v>0.81200000000000006</v>
      </c>
      <c r="H70" s="3">
        <v>0.93600000000000005</v>
      </c>
      <c r="I70" s="5">
        <v>38</v>
      </c>
      <c r="J70" s="3">
        <v>17</v>
      </c>
      <c r="K70" s="3">
        <v>11.7</v>
      </c>
    </row>
    <row r="71" spans="1:11" x14ac:dyDescent="0.2">
      <c r="A71" s="3">
        <v>63</v>
      </c>
      <c r="B71" s="3">
        <v>2877</v>
      </c>
      <c r="C71" s="3">
        <v>164</v>
      </c>
      <c r="D71" s="3">
        <v>0.624</v>
      </c>
      <c r="E71" s="4">
        <v>5.2999999999999999E-2</v>
      </c>
      <c r="F71" s="3">
        <v>0.2</v>
      </c>
      <c r="G71" s="3">
        <v>0.82499999999999996</v>
      </c>
      <c r="H71" s="3">
        <v>0.95099999999999996</v>
      </c>
      <c r="I71" s="5">
        <v>70</v>
      </c>
      <c r="J71" s="3">
        <v>4</v>
      </c>
      <c r="K71" s="3">
        <v>1.4</v>
      </c>
    </row>
    <row r="72" spans="1:11" x14ac:dyDescent="0.2">
      <c r="A72" s="3">
        <v>81</v>
      </c>
      <c r="B72" s="3">
        <v>3910</v>
      </c>
      <c r="C72" s="3">
        <v>70</v>
      </c>
      <c r="D72" s="3">
        <v>0.624</v>
      </c>
      <c r="E72" s="4">
        <v>0.19400000000000001</v>
      </c>
      <c r="F72" s="3">
        <v>9.2999999999999999E-2</v>
      </c>
      <c r="G72" s="3">
        <v>0.96499999999999997</v>
      </c>
      <c r="H72" s="3">
        <v>0.997</v>
      </c>
      <c r="I72" s="5">
        <v>99</v>
      </c>
      <c r="J72" s="3">
        <v>15</v>
      </c>
      <c r="K72" s="3">
        <v>7.7</v>
      </c>
    </row>
    <row r="73" spans="1:11" x14ac:dyDescent="0.2">
      <c r="A73" s="3">
        <v>96</v>
      </c>
      <c r="B73" s="3">
        <v>4600</v>
      </c>
      <c r="C73" s="3">
        <v>78</v>
      </c>
      <c r="D73" s="3">
        <v>0.624</v>
      </c>
      <c r="E73" s="4">
        <v>0.184</v>
      </c>
      <c r="F73" s="3">
        <v>9.9000000000000005E-2</v>
      </c>
      <c r="G73" s="3">
        <v>0.79800000000000004</v>
      </c>
      <c r="H73" s="3">
        <v>0.91</v>
      </c>
      <c r="I73" s="5">
        <v>19</v>
      </c>
      <c r="J73" s="3">
        <v>10</v>
      </c>
      <c r="K73" s="3">
        <v>8.1999999999999993</v>
      </c>
    </row>
    <row r="74" spans="1:11" x14ac:dyDescent="0.2">
      <c r="A74" s="3">
        <v>46</v>
      </c>
      <c r="B74" s="3">
        <v>2137</v>
      </c>
      <c r="C74" s="3">
        <v>117</v>
      </c>
      <c r="D74" s="3">
        <v>0.626</v>
      </c>
      <c r="E74" s="4">
        <v>0.191</v>
      </c>
      <c r="F74" s="3">
        <v>0.216</v>
      </c>
      <c r="G74" s="3">
        <v>0.78800000000000003</v>
      </c>
      <c r="H74" s="3">
        <v>0.92200000000000004</v>
      </c>
      <c r="I74" s="5">
        <v>92</v>
      </c>
      <c r="J74" s="3">
        <v>16</v>
      </c>
      <c r="K74" s="3">
        <v>5.7</v>
      </c>
    </row>
    <row r="75" spans="1:11" x14ac:dyDescent="0.2">
      <c r="A75" s="3">
        <v>77</v>
      </c>
      <c r="B75" s="3">
        <v>3809</v>
      </c>
      <c r="C75" s="3">
        <v>89</v>
      </c>
      <c r="D75" s="3">
        <v>0.626</v>
      </c>
      <c r="E75" s="4">
        <v>0.113</v>
      </c>
      <c r="F75" s="3">
        <v>8.6999999999999994E-2</v>
      </c>
      <c r="G75" s="3">
        <v>0.85799999999999998</v>
      </c>
      <c r="H75" s="3">
        <v>0.93</v>
      </c>
      <c r="I75" s="5">
        <v>25</v>
      </c>
      <c r="J75" s="3">
        <v>19</v>
      </c>
      <c r="K75" s="3">
        <v>1.6</v>
      </c>
    </row>
    <row r="76" spans="1:11" x14ac:dyDescent="0.2">
      <c r="A76" s="3">
        <v>29</v>
      </c>
      <c r="B76" s="3">
        <v>1357</v>
      </c>
      <c r="C76" s="3">
        <v>156</v>
      </c>
      <c r="D76" s="3">
        <v>0.627</v>
      </c>
      <c r="E76" s="4">
        <v>0.16500000000000001</v>
      </c>
      <c r="F76" s="3">
        <v>0.19700000000000001</v>
      </c>
      <c r="G76" s="3">
        <v>0.97799999999999998</v>
      </c>
      <c r="H76" s="3">
        <v>0.90100000000000002</v>
      </c>
      <c r="I76" s="5">
        <v>1</v>
      </c>
      <c r="J76" s="3">
        <v>7</v>
      </c>
      <c r="K76" s="3">
        <v>8.4</v>
      </c>
    </row>
    <row r="77" spans="1:11" x14ac:dyDescent="0.2">
      <c r="A77" s="3">
        <v>39</v>
      </c>
      <c r="B77" s="3">
        <v>1801</v>
      </c>
      <c r="C77" s="3">
        <v>175</v>
      </c>
      <c r="D77" s="3">
        <v>0.627</v>
      </c>
      <c r="E77" s="4">
        <v>3.1E-2</v>
      </c>
      <c r="F77" s="3">
        <v>0.17699999999999999</v>
      </c>
      <c r="G77" s="3">
        <v>0.72099999999999997</v>
      </c>
      <c r="H77" s="3">
        <v>0.90100000000000002</v>
      </c>
      <c r="I77" s="5">
        <v>28</v>
      </c>
      <c r="J77" s="3">
        <v>15</v>
      </c>
      <c r="K77" s="3">
        <v>14.7</v>
      </c>
    </row>
    <row r="78" spans="1:11" x14ac:dyDescent="0.2">
      <c r="A78" s="3">
        <v>77</v>
      </c>
      <c r="B78" s="3">
        <v>3612</v>
      </c>
      <c r="C78" s="3">
        <v>153</v>
      </c>
      <c r="D78" s="3">
        <v>0.627</v>
      </c>
      <c r="E78" s="4">
        <v>0.124</v>
      </c>
      <c r="F78" s="3">
        <v>0.28100000000000003</v>
      </c>
      <c r="G78" s="3">
        <v>0.81799999999999995</v>
      </c>
      <c r="H78" s="3">
        <v>0.996</v>
      </c>
      <c r="I78" s="5">
        <v>89</v>
      </c>
      <c r="J78" s="3">
        <v>9</v>
      </c>
      <c r="K78" s="3">
        <v>5.3</v>
      </c>
    </row>
    <row r="79" spans="1:11" x14ac:dyDescent="0.2">
      <c r="A79" s="3">
        <v>67</v>
      </c>
      <c r="B79" s="3">
        <v>3140</v>
      </c>
      <c r="C79" s="3">
        <v>64</v>
      </c>
      <c r="D79" s="3">
        <v>0.628</v>
      </c>
      <c r="E79" s="4">
        <v>0.106</v>
      </c>
      <c r="F79" s="3">
        <v>0.183</v>
      </c>
      <c r="G79" s="3">
        <v>0.751</v>
      </c>
      <c r="H79" s="3">
        <v>0.91700000000000004</v>
      </c>
      <c r="I79" s="5">
        <v>28</v>
      </c>
      <c r="J79" s="3">
        <v>0</v>
      </c>
      <c r="K79" s="3">
        <v>13.9</v>
      </c>
    </row>
    <row r="80" spans="1:11" x14ac:dyDescent="0.2">
      <c r="A80" s="3">
        <v>92</v>
      </c>
      <c r="B80" s="3">
        <v>4430</v>
      </c>
      <c r="C80" s="3">
        <v>177</v>
      </c>
      <c r="D80" s="3">
        <v>0.628</v>
      </c>
      <c r="E80" s="4">
        <v>0.123</v>
      </c>
      <c r="F80" s="3">
        <v>0.24399999999999999</v>
      </c>
      <c r="G80" s="3">
        <v>0.70699999999999996</v>
      </c>
      <c r="H80" s="3">
        <v>0.995</v>
      </c>
      <c r="I80" s="5">
        <v>52</v>
      </c>
      <c r="J80" s="3">
        <v>11</v>
      </c>
      <c r="K80" s="3">
        <v>6.2</v>
      </c>
    </row>
    <row r="81" spans="1:11" x14ac:dyDescent="0.2">
      <c r="A81" s="3">
        <v>48</v>
      </c>
      <c r="B81" s="3">
        <v>2196</v>
      </c>
      <c r="C81" s="3">
        <v>170</v>
      </c>
      <c r="D81" s="3">
        <v>0.63</v>
      </c>
      <c r="E81" s="4">
        <v>0.14099999999999999</v>
      </c>
      <c r="F81" s="3">
        <v>6.2E-2</v>
      </c>
      <c r="G81" s="3">
        <v>0.82299999999999995</v>
      </c>
      <c r="H81" s="3">
        <v>0.94399999999999995</v>
      </c>
      <c r="I81" s="5">
        <v>55</v>
      </c>
      <c r="J81" s="3">
        <v>7</v>
      </c>
      <c r="K81" s="3">
        <v>10.9</v>
      </c>
    </row>
    <row r="82" spans="1:11" x14ac:dyDescent="0.2">
      <c r="A82" s="3">
        <v>52</v>
      </c>
      <c r="B82" s="3">
        <v>2381</v>
      </c>
      <c r="C82" s="3">
        <v>187</v>
      </c>
      <c r="D82" s="3">
        <v>0.63</v>
      </c>
      <c r="E82" s="4">
        <v>4.5999999999999999E-2</v>
      </c>
      <c r="F82" s="3">
        <v>0.24099999999999999</v>
      </c>
      <c r="G82" s="3">
        <v>0.79500000000000004</v>
      </c>
      <c r="H82" s="3">
        <v>0.94199999999999995</v>
      </c>
      <c r="I82" s="5">
        <v>63</v>
      </c>
      <c r="J82" s="3">
        <v>3</v>
      </c>
      <c r="K82" s="3">
        <v>12.5</v>
      </c>
    </row>
    <row r="83" spans="1:11" x14ac:dyDescent="0.2">
      <c r="A83" s="3">
        <v>71</v>
      </c>
      <c r="B83" s="3">
        <v>3369</v>
      </c>
      <c r="C83" s="3">
        <v>80</v>
      </c>
      <c r="D83" s="3">
        <v>0.63</v>
      </c>
      <c r="E83" s="4">
        <v>9.7000000000000003E-2</v>
      </c>
      <c r="F83" s="3">
        <v>0.13200000000000001</v>
      </c>
      <c r="G83" s="3">
        <v>0.96</v>
      </c>
      <c r="H83" s="3">
        <v>0.94499999999999995</v>
      </c>
      <c r="I83" s="5">
        <v>93</v>
      </c>
      <c r="J83" s="3">
        <v>18</v>
      </c>
      <c r="K83" s="3">
        <v>5.0999999999999996</v>
      </c>
    </row>
    <row r="84" spans="1:11" x14ac:dyDescent="0.2">
      <c r="A84" s="3">
        <v>24</v>
      </c>
      <c r="B84" s="3">
        <v>1007</v>
      </c>
      <c r="C84" s="3">
        <v>60</v>
      </c>
      <c r="D84" s="3">
        <v>0.63100000000000001</v>
      </c>
      <c r="E84" s="4">
        <v>0.126</v>
      </c>
      <c r="F84" s="3">
        <v>0.13900000000000001</v>
      </c>
      <c r="G84" s="3">
        <v>0.84299999999999997</v>
      </c>
      <c r="H84" s="3">
        <v>0.94399999999999995</v>
      </c>
      <c r="I84" s="5">
        <v>24</v>
      </c>
      <c r="J84" s="3">
        <v>6</v>
      </c>
      <c r="K84" s="3">
        <v>2.7</v>
      </c>
    </row>
    <row r="85" spans="1:11" x14ac:dyDescent="0.2">
      <c r="A85" s="3">
        <v>53</v>
      </c>
      <c r="B85" s="3">
        <v>2541</v>
      </c>
      <c r="C85" s="3">
        <v>185</v>
      </c>
      <c r="D85" s="3">
        <v>0.63100000000000001</v>
      </c>
      <c r="E85" s="4">
        <v>0.112</v>
      </c>
      <c r="F85" s="3">
        <v>0.161</v>
      </c>
      <c r="G85" s="3">
        <v>0.96499999999999997</v>
      </c>
      <c r="H85" s="3">
        <v>0.92</v>
      </c>
      <c r="I85" s="5">
        <v>8</v>
      </c>
      <c r="J85" s="3">
        <v>8</v>
      </c>
      <c r="K85" s="3">
        <v>9.5</v>
      </c>
    </row>
    <row r="86" spans="1:11" x14ac:dyDescent="0.2">
      <c r="A86" s="3">
        <v>60</v>
      </c>
      <c r="B86" s="3">
        <v>2932</v>
      </c>
      <c r="C86" s="3">
        <v>17</v>
      </c>
      <c r="D86" s="3">
        <v>0.63100000000000001</v>
      </c>
      <c r="E86" s="4">
        <v>0.159</v>
      </c>
      <c r="F86" s="3">
        <v>0.246</v>
      </c>
      <c r="G86" s="3">
        <v>0.73699999999999999</v>
      </c>
      <c r="H86" s="3">
        <v>0.97799999999999998</v>
      </c>
      <c r="I86" s="5">
        <v>85</v>
      </c>
      <c r="J86" s="3">
        <v>4</v>
      </c>
      <c r="K86" s="3">
        <v>13.3</v>
      </c>
    </row>
    <row r="87" spans="1:11" x14ac:dyDescent="0.2">
      <c r="A87" s="3">
        <v>92</v>
      </c>
      <c r="B87" s="3">
        <v>4461</v>
      </c>
      <c r="C87" s="3">
        <v>143</v>
      </c>
      <c r="D87" s="3">
        <v>0.63100000000000001</v>
      </c>
      <c r="E87" s="4">
        <v>4.4999999999999998E-2</v>
      </c>
      <c r="F87" s="3">
        <v>0.14699999999999999</v>
      </c>
      <c r="G87" s="3">
        <v>0.72299999999999998</v>
      </c>
      <c r="H87" s="3">
        <v>0.96899999999999997</v>
      </c>
      <c r="I87" s="5">
        <v>22</v>
      </c>
      <c r="J87" s="3">
        <v>8</v>
      </c>
      <c r="K87" s="3">
        <v>7.8</v>
      </c>
    </row>
    <row r="88" spans="1:11" x14ac:dyDescent="0.2">
      <c r="A88" s="3">
        <v>96</v>
      </c>
      <c r="B88" s="3">
        <v>4588</v>
      </c>
      <c r="C88" s="3">
        <v>36</v>
      </c>
      <c r="D88" s="3">
        <v>0.63100000000000001</v>
      </c>
      <c r="E88" s="4">
        <v>0.19900000000000001</v>
      </c>
      <c r="F88" s="3">
        <v>0.126</v>
      </c>
      <c r="G88" s="3">
        <v>0.82699999999999996</v>
      </c>
      <c r="H88" s="3">
        <v>0.99099999999999999</v>
      </c>
      <c r="I88" s="5">
        <v>4</v>
      </c>
      <c r="J88" s="3">
        <v>5</v>
      </c>
      <c r="K88" s="3">
        <v>6.5</v>
      </c>
    </row>
    <row r="89" spans="1:11" x14ac:dyDescent="0.2">
      <c r="A89" s="3">
        <v>72</v>
      </c>
      <c r="B89" s="3">
        <v>3535</v>
      </c>
      <c r="C89" s="3">
        <v>16</v>
      </c>
      <c r="D89" s="3">
        <v>0.63200000000000001</v>
      </c>
      <c r="E89" s="4">
        <v>0.06</v>
      </c>
      <c r="F89" s="3">
        <v>0.26300000000000001</v>
      </c>
      <c r="G89" s="3">
        <v>0.71299999999999997</v>
      </c>
      <c r="H89" s="3">
        <v>0.91900000000000004</v>
      </c>
      <c r="I89" s="5">
        <v>12</v>
      </c>
      <c r="J89" s="3">
        <v>11</v>
      </c>
      <c r="K89" s="3">
        <v>11.7</v>
      </c>
    </row>
    <row r="90" spans="1:11" x14ac:dyDescent="0.2">
      <c r="A90" s="3">
        <v>91</v>
      </c>
      <c r="B90" s="3">
        <v>4319</v>
      </c>
      <c r="C90" s="3">
        <v>137</v>
      </c>
      <c r="D90" s="3">
        <v>0.63200000000000001</v>
      </c>
      <c r="E90" s="4">
        <v>0.11</v>
      </c>
      <c r="F90" s="3">
        <v>0.16500000000000001</v>
      </c>
      <c r="G90" s="3">
        <v>0.81699999999999995</v>
      </c>
      <c r="H90" s="3">
        <v>0.94699999999999995</v>
      </c>
      <c r="I90" s="5">
        <v>71</v>
      </c>
      <c r="J90" s="3">
        <v>6</v>
      </c>
      <c r="K90" s="3">
        <v>5.2</v>
      </c>
    </row>
    <row r="91" spans="1:11" x14ac:dyDescent="0.2">
      <c r="A91" s="3">
        <v>91</v>
      </c>
      <c r="B91" s="3">
        <v>4523</v>
      </c>
      <c r="C91" s="3">
        <v>121</v>
      </c>
      <c r="D91" s="3">
        <v>0.63200000000000001</v>
      </c>
      <c r="E91" s="4">
        <v>0.11700000000000001</v>
      </c>
      <c r="F91" s="3">
        <v>0.247</v>
      </c>
      <c r="G91" s="3">
        <v>0.87</v>
      </c>
      <c r="H91" s="3">
        <v>0.92400000000000004</v>
      </c>
      <c r="I91" s="5">
        <v>5</v>
      </c>
      <c r="J91" s="3">
        <v>12</v>
      </c>
      <c r="K91" s="3">
        <v>7.8</v>
      </c>
    </row>
    <row r="92" spans="1:11" x14ac:dyDescent="0.2">
      <c r="A92" s="3">
        <v>27</v>
      </c>
      <c r="B92" s="3">
        <v>1136</v>
      </c>
      <c r="C92" s="3">
        <v>131</v>
      </c>
      <c r="D92" s="3">
        <v>0.63300000000000001</v>
      </c>
      <c r="E92" s="4">
        <v>0.19500000000000001</v>
      </c>
      <c r="F92" s="3">
        <v>5.2999999999999999E-2</v>
      </c>
      <c r="G92" s="3">
        <v>0.97499999999999998</v>
      </c>
      <c r="H92" s="3">
        <v>0.96499999999999997</v>
      </c>
      <c r="I92" s="5">
        <v>19</v>
      </c>
      <c r="J92" s="3">
        <v>14</v>
      </c>
      <c r="K92" s="3">
        <v>5</v>
      </c>
    </row>
    <row r="93" spans="1:11" x14ac:dyDescent="0.2">
      <c r="A93" s="3">
        <v>35</v>
      </c>
      <c r="B93" s="3">
        <v>1578</v>
      </c>
      <c r="C93" s="3">
        <v>31</v>
      </c>
      <c r="D93" s="3">
        <v>0.63300000000000001</v>
      </c>
      <c r="E93" s="4">
        <v>0.04</v>
      </c>
      <c r="F93" s="3">
        <v>0.14000000000000001</v>
      </c>
      <c r="G93" s="3">
        <v>0.93500000000000005</v>
      </c>
      <c r="H93" s="3">
        <v>0.98499999999999999</v>
      </c>
      <c r="I93" s="5">
        <v>8</v>
      </c>
      <c r="J93" s="3">
        <v>16</v>
      </c>
      <c r="K93" s="3">
        <v>7.1</v>
      </c>
    </row>
    <row r="94" spans="1:11" x14ac:dyDescent="0.2">
      <c r="A94" s="3">
        <v>58</v>
      </c>
      <c r="B94" s="3">
        <v>2722</v>
      </c>
      <c r="C94" s="3">
        <v>76</v>
      </c>
      <c r="D94" s="3">
        <v>0.63300000000000001</v>
      </c>
      <c r="E94" s="4">
        <v>1.7999999999999999E-2</v>
      </c>
      <c r="F94" s="3">
        <v>0.125</v>
      </c>
      <c r="G94" s="3">
        <v>0.81899999999999995</v>
      </c>
      <c r="H94" s="3">
        <v>0.91300000000000003</v>
      </c>
      <c r="I94" s="5">
        <v>64</v>
      </c>
      <c r="J94" s="3">
        <v>2</v>
      </c>
      <c r="K94" s="3">
        <v>13.2</v>
      </c>
    </row>
    <row r="95" spans="1:11" x14ac:dyDescent="0.2">
      <c r="A95" s="3">
        <v>76</v>
      </c>
      <c r="B95" s="3">
        <v>3750</v>
      </c>
      <c r="C95" s="3">
        <v>123</v>
      </c>
      <c r="D95" s="3">
        <v>0.63300000000000001</v>
      </c>
      <c r="E95" s="4">
        <v>0.17100000000000001</v>
      </c>
      <c r="F95" s="3">
        <v>5.5E-2</v>
      </c>
      <c r="G95" s="3">
        <v>0.89500000000000002</v>
      </c>
      <c r="H95" s="3">
        <v>0.98899999999999999</v>
      </c>
      <c r="I95" s="5">
        <v>78</v>
      </c>
      <c r="J95" s="3">
        <v>9</v>
      </c>
      <c r="K95" s="3">
        <v>13.2</v>
      </c>
    </row>
    <row r="96" spans="1:11" x14ac:dyDescent="0.2">
      <c r="A96" s="3">
        <v>23</v>
      </c>
      <c r="B96" s="3">
        <v>1123</v>
      </c>
      <c r="C96" s="3">
        <v>158</v>
      </c>
      <c r="D96" s="3">
        <v>0.63400000000000001</v>
      </c>
      <c r="E96" s="4">
        <v>7.0000000000000007E-2</v>
      </c>
      <c r="F96" s="3">
        <v>0.26</v>
      </c>
      <c r="G96" s="3">
        <v>0.91100000000000003</v>
      </c>
      <c r="H96" s="3">
        <v>0.94399999999999995</v>
      </c>
      <c r="I96" s="5">
        <v>64</v>
      </c>
      <c r="J96" s="3">
        <v>19</v>
      </c>
      <c r="K96" s="3">
        <v>1.5</v>
      </c>
    </row>
    <row r="97" spans="1:11" x14ac:dyDescent="0.2">
      <c r="A97" s="3">
        <v>49</v>
      </c>
      <c r="B97" s="3">
        <v>2249</v>
      </c>
      <c r="C97" s="3">
        <v>195</v>
      </c>
      <c r="D97" s="3">
        <v>0.63400000000000001</v>
      </c>
      <c r="E97" s="4">
        <v>0.17499999999999999</v>
      </c>
      <c r="F97" s="3">
        <v>0.151</v>
      </c>
      <c r="G97" s="3">
        <v>0.81100000000000005</v>
      </c>
      <c r="H97" s="3">
        <v>0.93</v>
      </c>
      <c r="I97" s="5">
        <v>51</v>
      </c>
      <c r="J97" s="3">
        <v>7</v>
      </c>
      <c r="K97" s="3">
        <v>6.4</v>
      </c>
    </row>
    <row r="98" spans="1:11" x14ac:dyDescent="0.2">
      <c r="A98" s="3">
        <v>76</v>
      </c>
      <c r="B98" s="3">
        <v>3607</v>
      </c>
      <c r="C98" s="3">
        <v>44</v>
      </c>
      <c r="D98" s="3">
        <v>0.63400000000000001</v>
      </c>
      <c r="E98" s="4">
        <v>9.4E-2</v>
      </c>
      <c r="F98" s="3">
        <v>0.16700000000000001</v>
      </c>
      <c r="G98" s="3">
        <v>0.755</v>
      </c>
      <c r="H98" s="3">
        <v>0.98599999999999999</v>
      </c>
      <c r="I98" s="5">
        <v>80</v>
      </c>
      <c r="J98" s="3">
        <v>9</v>
      </c>
      <c r="K98" s="3">
        <v>4</v>
      </c>
    </row>
    <row r="99" spans="1:11" x14ac:dyDescent="0.2">
      <c r="A99" s="3">
        <v>77</v>
      </c>
      <c r="B99" s="3">
        <v>3675</v>
      </c>
      <c r="C99" s="3">
        <v>161</v>
      </c>
      <c r="D99" s="3">
        <v>0.63400000000000001</v>
      </c>
      <c r="E99" s="4">
        <v>9.9000000000000005E-2</v>
      </c>
      <c r="F99" s="3">
        <v>0.20200000000000001</v>
      </c>
      <c r="G99" s="3">
        <v>0.81399999999999995</v>
      </c>
      <c r="H99" s="3">
        <v>0.98699999999999999</v>
      </c>
      <c r="I99" s="5">
        <v>36</v>
      </c>
      <c r="J99" s="3">
        <v>2</v>
      </c>
      <c r="K99" s="3">
        <v>4</v>
      </c>
    </row>
    <row r="100" spans="1:11" x14ac:dyDescent="0.2">
      <c r="A100" s="3">
        <v>44</v>
      </c>
      <c r="B100" s="3">
        <v>2067</v>
      </c>
      <c r="C100" s="3">
        <v>34</v>
      </c>
      <c r="D100" s="3">
        <v>0.63500000000000001</v>
      </c>
      <c r="E100" s="4">
        <v>0.14299999999999999</v>
      </c>
      <c r="F100" s="3">
        <v>0.186</v>
      </c>
      <c r="G100" s="3">
        <v>0.755</v>
      </c>
      <c r="H100" s="3">
        <v>0.96599999999999997</v>
      </c>
      <c r="I100" s="5">
        <v>23</v>
      </c>
      <c r="J100" s="3">
        <v>6</v>
      </c>
      <c r="K100" s="3">
        <v>14.6</v>
      </c>
    </row>
    <row r="101" spans="1:11" x14ac:dyDescent="0.2">
      <c r="A101" s="3">
        <v>39</v>
      </c>
      <c r="B101" s="3">
        <v>1882</v>
      </c>
      <c r="C101" s="3">
        <v>127</v>
      </c>
      <c r="D101" s="3">
        <v>0.63600000000000001</v>
      </c>
      <c r="E101" s="4">
        <v>0.17</v>
      </c>
      <c r="F101" s="3">
        <v>7.3999999999999996E-2</v>
      </c>
      <c r="G101" s="3">
        <v>0.72599999999999998</v>
      </c>
      <c r="H101" s="3">
        <v>0.94199999999999995</v>
      </c>
      <c r="I101" s="5">
        <v>28</v>
      </c>
      <c r="J101" s="3">
        <v>3</v>
      </c>
      <c r="K101" s="3">
        <v>4.4000000000000004</v>
      </c>
    </row>
    <row r="102" spans="1:11" x14ac:dyDescent="0.2">
      <c r="A102" s="3">
        <v>96</v>
      </c>
      <c r="B102" s="3">
        <v>4565</v>
      </c>
      <c r="C102" s="3">
        <v>37</v>
      </c>
      <c r="D102" s="3">
        <v>0.63600000000000001</v>
      </c>
      <c r="E102" s="4">
        <v>0.17499999999999999</v>
      </c>
      <c r="F102" s="3">
        <v>0.26100000000000001</v>
      </c>
      <c r="G102" s="3">
        <v>0.70699999999999996</v>
      </c>
      <c r="H102" s="3">
        <v>0.97099999999999997</v>
      </c>
      <c r="I102" s="5">
        <v>9</v>
      </c>
      <c r="J102" s="3">
        <v>10</v>
      </c>
      <c r="K102" s="3">
        <v>8.8000000000000007</v>
      </c>
    </row>
    <row r="103" spans="1:11" x14ac:dyDescent="0.2">
      <c r="A103" s="3">
        <v>36</v>
      </c>
      <c r="B103" s="3">
        <v>1632</v>
      </c>
      <c r="C103" s="3">
        <v>162</v>
      </c>
      <c r="D103" s="3">
        <v>0.63700000000000001</v>
      </c>
      <c r="E103" s="4">
        <v>0.14799999999999999</v>
      </c>
      <c r="F103" s="3">
        <v>0.192</v>
      </c>
      <c r="G103" s="3">
        <v>0.82499999999999996</v>
      </c>
      <c r="H103" s="3">
        <v>0.97799999999999998</v>
      </c>
      <c r="I103" s="5">
        <v>25</v>
      </c>
      <c r="J103" s="3">
        <v>19</v>
      </c>
      <c r="K103" s="3">
        <v>10</v>
      </c>
    </row>
    <row r="104" spans="1:11" x14ac:dyDescent="0.2">
      <c r="A104" s="3">
        <v>52</v>
      </c>
      <c r="B104" s="3">
        <v>2401</v>
      </c>
      <c r="C104" s="3">
        <v>57</v>
      </c>
      <c r="D104" s="3">
        <v>0.63700000000000001</v>
      </c>
      <c r="E104" s="4">
        <v>0.121</v>
      </c>
      <c r="F104" s="3">
        <v>7.6999999999999999E-2</v>
      </c>
      <c r="G104" s="3">
        <v>0.92500000000000004</v>
      </c>
      <c r="H104" s="3">
        <v>0.96399999999999997</v>
      </c>
      <c r="I104" s="5">
        <v>95</v>
      </c>
      <c r="J104" s="3">
        <v>16</v>
      </c>
      <c r="K104" s="3">
        <v>12.2</v>
      </c>
    </row>
    <row r="105" spans="1:11" x14ac:dyDescent="0.2">
      <c r="A105" s="3">
        <v>85</v>
      </c>
      <c r="B105" s="3">
        <v>4055</v>
      </c>
      <c r="C105" s="3">
        <v>66</v>
      </c>
      <c r="D105" s="3">
        <v>0.63700000000000001</v>
      </c>
      <c r="E105" s="4">
        <v>3.5999999999999997E-2</v>
      </c>
      <c r="F105" s="3">
        <v>9.6000000000000002E-2</v>
      </c>
      <c r="G105" s="3">
        <v>0.88500000000000001</v>
      </c>
      <c r="H105" s="3">
        <v>0.96599999999999997</v>
      </c>
      <c r="I105" s="5">
        <v>27</v>
      </c>
      <c r="J105" s="3">
        <v>4</v>
      </c>
      <c r="K105" s="3">
        <v>9.1999999999999993</v>
      </c>
    </row>
    <row r="106" spans="1:11" x14ac:dyDescent="0.2">
      <c r="A106" s="3">
        <v>85</v>
      </c>
      <c r="B106" s="3">
        <v>4205</v>
      </c>
      <c r="C106" s="3">
        <v>68</v>
      </c>
      <c r="D106" s="3">
        <v>0.63700000000000001</v>
      </c>
      <c r="E106" s="4">
        <v>3.5000000000000003E-2</v>
      </c>
      <c r="F106" s="3">
        <v>0.29699999999999999</v>
      </c>
      <c r="G106" s="3">
        <v>0.83299999999999996</v>
      </c>
      <c r="H106" s="3">
        <v>0.96799999999999997</v>
      </c>
      <c r="I106" s="5">
        <v>53</v>
      </c>
      <c r="J106" s="3">
        <v>10</v>
      </c>
      <c r="K106" s="3">
        <v>5.9</v>
      </c>
    </row>
    <row r="107" spans="1:11" x14ac:dyDescent="0.2">
      <c r="A107" s="3">
        <v>42</v>
      </c>
      <c r="B107" s="3">
        <v>1979</v>
      </c>
      <c r="C107" s="3">
        <v>186</v>
      </c>
      <c r="D107" s="3">
        <v>0.63800000000000001</v>
      </c>
      <c r="E107" s="4">
        <v>5.6000000000000001E-2</v>
      </c>
      <c r="F107" s="3">
        <v>0.24199999999999999</v>
      </c>
      <c r="G107" s="3">
        <v>0.79</v>
      </c>
      <c r="H107" s="3">
        <v>0.998</v>
      </c>
      <c r="I107" s="5">
        <v>81</v>
      </c>
      <c r="J107" s="3">
        <v>8</v>
      </c>
      <c r="K107" s="3">
        <v>4.9000000000000004</v>
      </c>
    </row>
    <row r="108" spans="1:11" x14ac:dyDescent="0.2">
      <c r="A108" s="3">
        <v>58</v>
      </c>
      <c r="B108" s="3">
        <v>2636</v>
      </c>
      <c r="C108" s="3">
        <v>96</v>
      </c>
      <c r="D108" s="3">
        <v>0.63800000000000001</v>
      </c>
      <c r="E108" s="4">
        <v>0.11899999999999999</v>
      </c>
      <c r="F108" s="3">
        <v>0.12</v>
      </c>
      <c r="G108" s="3">
        <v>0.78300000000000003</v>
      </c>
      <c r="H108" s="3">
        <v>0.95899999999999996</v>
      </c>
      <c r="I108" s="5">
        <v>80</v>
      </c>
      <c r="J108" s="3">
        <v>13</v>
      </c>
      <c r="K108" s="3">
        <v>8.1</v>
      </c>
    </row>
    <row r="109" spans="1:11" x14ac:dyDescent="0.2">
      <c r="A109" s="3">
        <v>59</v>
      </c>
      <c r="B109" s="3">
        <v>2759</v>
      </c>
      <c r="C109" s="3">
        <v>71</v>
      </c>
      <c r="D109" s="3">
        <v>0.63800000000000001</v>
      </c>
      <c r="E109" s="4">
        <v>0.156</v>
      </c>
      <c r="F109" s="3">
        <v>8.5999999999999993E-2</v>
      </c>
      <c r="G109" s="3">
        <v>0.77</v>
      </c>
      <c r="H109" s="3">
        <v>0.91900000000000004</v>
      </c>
      <c r="I109" s="5">
        <v>89</v>
      </c>
      <c r="J109" s="3">
        <v>7</v>
      </c>
      <c r="K109" s="3">
        <v>8.1999999999999993</v>
      </c>
    </row>
    <row r="110" spans="1:11" x14ac:dyDescent="0.2">
      <c r="A110" s="3">
        <v>67</v>
      </c>
      <c r="B110" s="3">
        <v>3176</v>
      </c>
      <c r="C110" s="3">
        <v>165</v>
      </c>
      <c r="D110" s="3">
        <v>0.63800000000000001</v>
      </c>
      <c r="E110" s="4">
        <v>4.7E-2</v>
      </c>
      <c r="F110" s="3">
        <v>0.29699999999999999</v>
      </c>
      <c r="G110" s="3">
        <v>0.75700000000000001</v>
      </c>
      <c r="H110" s="3">
        <v>0.95699999999999996</v>
      </c>
      <c r="I110" s="5">
        <v>77</v>
      </c>
      <c r="J110" s="3">
        <v>17</v>
      </c>
      <c r="K110" s="3">
        <v>1.5</v>
      </c>
    </row>
    <row r="111" spans="1:11" x14ac:dyDescent="0.2">
      <c r="A111" s="3">
        <v>50</v>
      </c>
      <c r="B111" s="3">
        <v>2228</v>
      </c>
      <c r="C111" s="3">
        <v>46</v>
      </c>
      <c r="D111" s="3">
        <v>0.63900000000000001</v>
      </c>
      <c r="E111" s="4">
        <v>0.161</v>
      </c>
      <c r="F111" s="3">
        <v>0.29099999999999998</v>
      </c>
      <c r="G111" s="3">
        <v>0.86399999999999999</v>
      </c>
      <c r="H111" s="3">
        <v>0.93799999999999994</v>
      </c>
      <c r="I111" s="5">
        <v>33</v>
      </c>
      <c r="J111" s="3">
        <v>11</v>
      </c>
      <c r="K111" s="3">
        <v>13.4</v>
      </c>
    </row>
    <row r="112" spans="1:11" x14ac:dyDescent="0.2">
      <c r="A112" s="3">
        <v>78</v>
      </c>
      <c r="B112" s="3">
        <v>3788</v>
      </c>
      <c r="C112" s="3">
        <v>116</v>
      </c>
      <c r="D112" s="3">
        <v>0.64</v>
      </c>
      <c r="E112" s="4">
        <v>1.7000000000000001E-2</v>
      </c>
      <c r="F112" s="3">
        <v>0.248</v>
      </c>
      <c r="G112" s="3">
        <v>0.874</v>
      </c>
      <c r="H112" s="3">
        <v>0.90100000000000002</v>
      </c>
      <c r="I112" s="5">
        <v>72</v>
      </c>
      <c r="J112" s="3">
        <v>4</v>
      </c>
      <c r="K112" s="3">
        <v>8.8000000000000007</v>
      </c>
    </row>
    <row r="113" spans="1:11" x14ac:dyDescent="0.2">
      <c r="A113" s="3">
        <v>99</v>
      </c>
      <c r="B113" s="3">
        <v>4904</v>
      </c>
      <c r="C113" s="3">
        <v>194</v>
      </c>
      <c r="D113" s="3">
        <v>0.64</v>
      </c>
      <c r="E113" s="4">
        <v>0.13300000000000001</v>
      </c>
      <c r="F113" s="3">
        <v>0.17799999999999999</v>
      </c>
      <c r="G113" s="3">
        <v>0.91900000000000004</v>
      </c>
      <c r="H113" s="3">
        <v>0.93</v>
      </c>
      <c r="I113" s="5">
        <v>97</v>
      </c>
      <c r="J113" s="3">
        <v>12</v>
      </c>
      <c r="K113" s="3">
        <v>6.7</v>
      </c>
    </row>
    <row r="114" spans="1:11" x14ac:dyDescent="0.2">
      <c r="A114" s="3">
        <v>100</v>
      </c>
      <c r="B114" s="3">
        <v>4906</v>
      </c>
      <c r="C114" s="3">
        <v>62</v>
      </c>
      <c r="D114" s="3">
        <v>0.64</v>
      </c>
      <c r="E114" s="4">
        <v>0.159</v>
      </c>
      <c r="F114" s="3">
        <v>0.29399999999999998</v>
      </c>
      <c r="G114" s="3">
        <v>0.79100000000000004</v>
      </c>
      <c r="H114" s="3">
        <v>0.91600000000000004</v>
      </c>
      <c r="I114" s="5">
        <v>21</v>
      </c>
      <c r="J114" s="3">
        <v>11</v>
      </c>
      <c r="K114" s="3">
        <v>5.5</v>
      </c>
    </row>
    <row r="115" spans="1:11" x14ac:dyDescent="0.2">
      <c r="A115" s="3">
        <v>46</v>
      </c>
      <c r="B115" s="3">
        <v>2036</v>
      </c>
      <c r="C115" s="3">
        <v>48</v>
      </c>
      <c r="D115" s="3">
        <v>0.64100000000000001</v>
      </c>
      <c r="E115" s="4">
        <v>8.2000000000000003E-2</v>
      </c>
      <c r="F115" s="3">
        <v>0.27700000000000002</v>
      </c>
      <c r="G115" s="3">
        <v>0.95399999999999996</v>
      </c>
      <c r="H115" s="3">
        <v>0.94799999999999995</v>
      </c>
      <c r="I115" s="5">
        <v>48</v>
      </c>
      <c r="J115" s="3">
        <v>3</v>
      </c>
      <c r="K115" s="3">
        <v>5.6</v>
      </c>
    </row>
    <row r="116" spans="1:11" x14ac:dyDescent="0.2">
      <c r="A116" s="3">
        <v>50</v>
      </c>
      <c r="B116" s="3">
        <v>2313</v>
      </c>
      <c r="C116" s="3">
        <v>102</v>
      </c>
      <c r="D116" s="3">
        <v>0.64100000000000001</v>
      </c>
      <c r="E116" s="4">
        <v>7.0000000000000007E-2</v>
      </c>
      <c r="F116" s="3">
        <v>0.23</v>
      </c>
      <c r="G116" s="3">
        <v>0.85399999999999998</v>
      </c>
      <c r="H116" s="3">
        <v>0.93100000000000005</v>
      </c>
      <c r="I116" s="5">
        <v>92</v>
      </c>
      <c r="J116" s="3">
        <v>3</v>
      </c>
      <c r="K116" s="3">
        <v>14.7</v>
      </c>
    </row>
    <row r="117" spans="1:11" x14ac:dyDescent="0.2">
      <c r="A117" s="3">
        <v>90</v>
      </c>
      <c r="B117" s="3">
        <v>4276</v>
      </c>
      <c r="C117" s="3">
        <v>153</v>
      </c>
      <c r="D117" s="3">
        <v>0.64100000000000001</v>
      </c>
      <c r="E117" s="4">
        <v>0.19</v>
      </c>
      <c r="F117" s="3">
        <v>0.17399999999999999</v>
      </c>
      <c r="G117" s="3">
        <v>0.83199999999999996</v>
      </c>
      <c r="H117" s="3">
        <v>0.91700000000000004</v>
      </c>
      <c r="I117" s="5">
        <v>4</v>
      </c>
      <c r="J117" s="3">
        <v>15</v>
      </c>
      <c r="K117" s="3">
        <v>7</v>
      </c>
    </row>
    <row r="118" spans="1:11" x14ac:dyDescent="0.2">
      <c r="A118" s="3">
        <v>105</v>
      </c>
      <c r="B118" s="3">
        <v>4996</v>
      </c>
      <c r="C118" s="3">
        <v>18</v>
      </c>
      <c r="D118" s="3">
        <v>0.64200000000000002</v>
      </c>
      <c r="E118" s="4">
        <v>0.19600000000000001</v>
      </c>
      <c r="F118" s="3">
        <v>7.2999999999999995E-2</v>
      </c>
      <c r="G118" s="3">
        <v>0.97099999999999997</v>
      </c>
      <c r="H118" s="3">
        <v>0.96599999999999997</v>
      </c>
      <c r="I118" s="5">
        <v>17</v>
      </c>
      <c r="J118" s="3">
        <v>4</v>
      </c>
      <c r="K118" s="3">
        <v>14.1</v>
      </c>
    </row>
    <row r="119" spans="1:11" x14ac:dyDescent="0.2">
      <c r="A119" s="3">
        <v>43</v>
      </c>
      <c r="B119" s="3">
        <v>1908</v>
      </c>
      <c r="C119" s="3">
        <v>68</v>
      </c>
      <c r="D119" s="3">
        <v>0.64400000000000002</v>
      </c>
      <c r="E119" s="4">
        <v>3.1E-2</v>
      </c>
      <c r="F119" s="3">
        <v>0.129</v>
      </c>
      <c r="G119" s="3">
        <v>0.71799999999999997</v>
      </c>
      <c r="H119" s="3">
        <v>0.95199999999999996</v>
      </c>
      <c r="I119" s="5">
        <v>98</v>
      </c>
      <c r="J119" s="3">
        <v>3</v>
      </c>
      <c r="K119" s="3">
        <v>11.6</v>
      </c>
    </row>
    <row r="120" spans="1:11" x14ac:dyDescent="0.2">
      <c r="A120" s="3">
        <v>26</v>
      </c>
      <c r="B120" s="3">
        <v>1215</v>
      </c>
      <c r="C120" s="3">
        <v>109</v>
      </c>
      <c r="D120" s="3">
        <v>0.64500000000000002</v>
      </c>
      <c r="E120" s="4">
        <v>4.9000000000000002E-2</v>
      </c>
      <c r="F120" s="3">
        <v>0.08</v>
      </c>
      <c r="G120" s="3">
        <v>0.77400000000000002</v>
      </c>
      <c r="H120" s="3">
        <v>0.90800000000000003</v>
      </c>
      <c r="I120" s="5">
        <v>84</v>
      </c>
      <c r="J120" s="3">
        <v>10</v>
      </c>
      <c r="K120" s="3">
        <v>9.8000000000000007</v>
      </c>
    </row>
    <row r="121" spans="1:11" x14ac:dyDescent="0.2">
      <c r="A121" s="3">
        <v>91</v>
      </c>
      <c r="B121" s="3">
        <v>4400</v>
      </c>
      <c r="C121" s="3">
        <v>186</v>
      </c>
      <c r="D121" s="3">
        <v>0.64500000000000002</v>
      </c>
      <c r="E121" s="4">
        <v>7.5999999999999998E-2</v>
      </c>
      <c r="F121" s="3">
        <v>0.27800000000000002</v>
      </c>
      <c r="G121" s="3">
        <v>0.79500000000000004</v>
      </c>
      <c r="H121" s="3">
        <v>0.97099999999999997</v>
      </c>
      <c r="I121" s="5">
        <v>10</v>
      </c>
      <c r="J121" s="3">
        <v>6</v>
      </c>
      <c r="K121" s="3">
        <v>12</v>
      </c>
    </row>
    <row r="122" spans="1:11" x14ac:dyDescent="0.2">
      <c r="A122" s="3">
        <v>90</v>
      </c>
      <c r="B122" s="3">
        <v>4455</v>
      </c>
      <c r="C122" s="3">
        <v>83</v>
      </c>
      <c r="D122" s="3">
        <v>0.64500000000000002</v>
      </c>
      <c r="E122" s="4">
        <v>8.3000000000000004E-2</v>
      </c>
      <c r="F122" s="3">
        <v>0.28999999999999998</v>
      </c>
      <c r="G122" s="3">
        <v>0.97</v>
      </c>
      <c r="H122" s="3">
        <v>0.96899999999999997</v>
      </c>
      <c r="I122" s="5">
        <v>54</v>
      </c>
      <c r="J122" s="3">
        <v>16</v>
      </c>
      <c r="K122" s="3">
        <v>6</v>
      </c>
    </row>
    <row r="123" spans="1:11" x14ac:dyDescent="0.2">
      <c r="A123" s="3">
        <v>59</v>
      </c>
      <c r="B123" s="3">
        <v>2724</v>
      </c>
      <c r="C123" s="3">
        <v>50</v>
      </c>
      <c r="D123" s="3">
        <v>0.64600000000000002</v>
      </c>
      <c r="E123" s="4">
        <v>0.104</v>
      </c>
      <c r="F123" s="3">
        <v>0.3</v>
      </c>
      <c r="G123" s="3">
        <v>0.94699999999999995</v>
      </c>
      <c r="H123" s="3">
        <v>0.90200000000000002</v>
      </c>
      <c r="I123" s="5">
        <v>72</v>
      </c>
      <c r="J123" s="3">
        <v>9</v>
      </c>
      <c r="K123" s="3">
        <v>12.2</v>
      </c>
    </row>
    <row r="124" spans="1:11" x14ac:dyDescent="0.2">
      <c r="A124" s="3">
        <v>68</v>
      </c>
      <c r="B124" s="3">
        <v>3235</v>
      </c>
      <c r="C124" s="3">
        <v>173</v>
      </c>
      <c r="D124" s="3">
        <v>0.64600000000000002</v>
      </c>
      <c r="E124" s="4">
        <v>8.8999999999999996E-2</v>
      </c>
      <c r="F124" s="3">
        <v>0.153</v>
      </c>
      <c r="G124" s="3">
        <v>0.88</v>
      </c>
      <c r="H124" s="3">
        <v>0.96799999999999997</v>
      </c>
      <c r="I124" s="5">
        <v>52</v>
      </c>
      <c r="J124" s="3">
        <v>15</v>
      </c>
      <c r="K124" s="3">
        <v>12.6</v>
      </c>
    </row>
    <row r="125" spans="1:11" x14ac:dyDescent="0.2">
      <c r="A125" s="3">
        <v>82</v>
      </c>
      <c r="B125" s="3">
        <v>3831</v>
      </c>
      <c r="C125" s="3">
        <v>125</v>
      </c>
      <c r="D125" s="3">
        <v>0.64600000000000002</v>
      </c>
      <c r="E125" s="4">
        <v>6.9000000000000006E-2</v>
      </c>
      <c r="F125" s="3">
        <v>0.19500000000000001</v>
      </c>
      <c r="G125" s="3">
        <v>0.92300000000000004</v>
      </c>
      <c r="H125" s="3">
        <v>0.95299999999999996</v>
      </c>
      <c r="I125" s="5">
        <v>87</v>
      </c>
      <c r="J125" s="3">
        <v>14</v>
      </c>
      <c r="K125" s="3">
        <v>8.6999999999999993</v>
      </c>
    </row>
    <row r="126" spans="1:11" x14ac:dyDescent="0.2">
      <c r="A126" s="3">
        <v>36</v>
      </c>
      <c r="B126" s="3">
        <v>1659</v>
      </c>
      <c r="C126" s="3">
        <v>146</v>
      </c>
      <c r="D126" s="3">
        <v>0.64700000000000002</v>
      </c>
      <c r="E126" s="4">
        <v>0.185</v>
      </c>
      <c r="F126" s="3">
        <v>0.27300000000000002</v>
      </c>
      <c r="G126" s="3">
        <v>0.88500000000000001</v>
      </c>
      <c r="H126" s="3">
        <v>0.91700000000000004</v>
      </c>
      <c r="I126" s="5">
        <v>20</v>
      </c>
      <c r="J126" s="3">
        <v>10</v>
      </c>
      <c r="K126" s="3">
        <v>7.9</v>
      </c>
    </row>
    <row r="127" spans="1:11" x14ac:dyDescent="0.2">
      <c r="A127" s="3">
        <v>57</v>
      </c>
      <c r="B127" s="3">
        <v>2710</v>
      </c>
      <c r="C127" s="3">
        <v>15</v>
      </c>
      <c r="D127" s="3">
        <v>0.64700000000000002</v>
      </c>
      <c r="E127" s="4">
        <v>0.10199999999999999</v>
      </c>
      <c r="F127" s="3">
        <v>0.24099999999999999</v>
      </c>
      <c r="G127" s="3">
        <v>0.78100000000000003</v>
      </c>
      <c r="H127" s="3">
        <v>0.96099999999999997</v>
      </c>
      <c r="I127" s="5">
        <v>90</v>
      </c>
      <c r="J127" s="3">
        <v>10</v>
      </c>
      <c r="K127" s="3">
        <v>12</v>
      </c>
    </row>
    <row r="128" spans="1:11" x14ac:dyDescent="0.2">
      <c r="A128" s="3">
        <v>72</v>
      </c>
      <c r="B128" s="3">
        <v>3503</v>
      </c>
      <c r="C128" s="3">
        <v>137</v>
      </c>
      <c r="D128" s="3">
        <v>0.64700000000000002</v>
      </c>
      <c r="E128" s="4">
        <v>0.17399999999999999</v>
      </c>
      <c r="F128" s="3">
        <v>0.249</v>
      </c>
      <c r="G128" s="3">
        <v>0.95</v>
      </c>
      <c r="H128" s="3">
        <v>0.95799999999999996</v>
      </c>
      <c r="I128" s="5">
        <v>59</v>
      </c>
      <c r="J128" s="3">
        <v>18</v>
      </c>
      <c r="K128" s="3">
        <v>3.7</v>
      </c>
    </row>
    <row r="129" spans="1:11" x14ac:dyDescent="0.2">
      <c r="A129" s="3">
        <v>43</v>
      </c>
      <c r="B129" s="3">
        <v>1943</v>
      </c>
      <c r="C129" s="3">
        <v>113</v>
      </c>
      <c r="D129" s="3">
        <v>0.64800000000000002</v>
      </c>
      <c r="E129" s="4">
        <v>5.6000000000000001E-2</v>
      </c>
      <c r="F129" s="3">
        <v>0.221</v>
      </c>
      <c r="G129" s="3">
        <v>0.71899999999999997</v>
      </c>
      <c r="H129" s="3">
        <v>0.94899999999999995</v>
      </c>
      <c r="I129" s="5">
        <v>67</v>
      </c>
      <c r="J129" s="3">
        <v>12</v>
      </c>
      <c r="K129" s="3">
        <v>9.1999999999999993</v>
      </c>
    </row>
    <row r="130" spans="1:11" x14ac:dyDescent="0.2">
      <c r="A130" s="3">
        <v>86</v>
      </c>
      <c r="B130" s="3">
        <v>4232</v>
      </c>
      <c r="C130" s="3">
        <v>100</v>
      </c>
      <c r="D130" s="3">
        <v>0.64800000000000002</v>
      </c>
      <c r="E130" s="4">
        <v>0.186</v>
      </c>
      <c r="F130" s="3">
        <v>0.218</v>
      </c>
      <c r="G130" s="3">
        <v>0.78800000000000003</v>
      </c>
      <c r="H130" s="3">
        <v>0.90300000000000002</v>
      </c>
      <c r="I130" s="5">
        <v>15</v>
      </c>
      <c r="J130" s="3">
        <v>6</v>
      </c>
      <c r="K130" s="3">
        <v>5.7</v>
      </c>
    </row>
    <row r="131" spans="1:11" x14ac:dyDescent="0.2">
      <c r="A131" s="3">
        <v>31</v>
      </c>
      <c r="B131" s="3">
        <v>1396</v>
      </c>
      <c r="C131" s="3">
        <v>146</v>
      </c>
      <c r="D131" s="3">
        <v>0.64900000000000002</v>
      </c>
      <c r="E131" s="4">
        <v>0.1</v>
      </c>
      <c r="F131" s="3">
        <v>0.17199999999999999</v>
      </c>
      <c r="G131" s="3">
        <v>0.71</v>
      </c>
      <c r="H131" s="3">
        <v>0.94799999999999995</v>
      </c>
      <c r="I131" s="5">
        <v>78</v>
      </c>
      <c r="J131" s="3">
        <v>2</v>
      </c>
      <c r="K131" s="3">
        <v>5.6</v>
      </c>
    </row>
    <row r="132" spans="1:11" x14ac:dyDescent="0.2">
      <c r="A132" s="3">
        <v>35</v>
      </c>
      <c r="B132" s="3">
        <v>1615</v>
      </c>
      <c r="C132" s="3">
        <v>80</v>
      </c>
      <c r="D132" s="3">
        <v>0.64900000000000002</v>
      </c>
      <c r="E132" s="4">
        <v>0.13200000000000001</v>
      </c>
      <c r="F132" s="3">
        <v>0.28000000000000003</v>
      </c>
      <c r="G132" s="3">
        <v>0.85</v>
      </c>
      <c r="H132" s="3">
        <v>0.99299999999999999</v>
      </c>
      <c r="I132" s="5">
        <v>96</v>
      </c>
      <c r="J132" s="3">
        <v>17</v>
      </c>
      <c r="K132" s="3">
        <v>14.9</v>
      </c>
    </row>
    <row r="133" spans="1:11" x14ac:dyDescent="0.2">
      <c r="A133" s="3">
        <v>57</v>
      </c>
      <c r="B133" s="3">
        <v>2589</v>
      </c>
      <c r="C133" s="3">
        <v>31</v>
      </c>
      <c r="D133" s="3">
        <v>0.64900000000000002</v>
      </c>
      <c r="E133" s="4">
        <v>0.189</v>
      </c>
      <c r="F133" s="3">
        <v>0.26100000000000001</v>
      </c>
      <c r="G133" s="3">
        <v>0.92</v>
      </c>
      <c r="H133" s="3">
        <v>0.93899999999999995</v>
      </c>
      <c r="I133" s="5">
        <v>20</v>
      </c>
      <c r="J133" s="3">
        <v>16</v>
      </c>
      <c r="K133" s="3">
        <v>10.7</v>
      </c>
    </row>
    <row r="134" spans="1:11" x14ac:dyDescent="0.2">
      <c r="A134" s="3">
        <v>86</v>
      </c>
      <c r="B134" s="3">
        <v>4170</v>
      </c>
      <c r="C134" s="3">
        <v>36</v>
      </c>
      <c r="D134" s="3">
        <v>0.64900000000000002</v>
      </c>
      <c r="E134" s="4">
        <v>5.7000000000000002E-2</v>
      </c>
      <c r="F134" s="3">
        <v>0.17399999999999999</v>
      </c>
      <c r="G134" s="3">
        <v>0.76800000000000002</v>
      </c>
      <c r="H134" s="3">
        <v>0.95199999999999996</v>
      </c>
      <c r="I134" s="5">
        <v>11</v>
      </c>
      <c r="J134" s="3">
        <v>10</v>
      </c>
      <c r="K134" s="3">
        <v>12.9</v>
      </c>
    </row>
    <row r="135" spans="1:11" x14ac:dyDescent="0.2">
      <c r="A135" s="3">
        <v>74</v>
      </c>
      <c r="B135" s="3">
        <v>3503</v>
      </c>
      <c r="C135" s="3">
        <v>152</v>
      </c>
      <c r="D135" s="3">
        <v>0.65</v>
      </c>
      <c r="E135" s="4">
        <v>0.17499999999999999</v>
      </c>
      <c r="F135" s="3">
        <v>0.26400000000000001</v>
      </c>
      <c r="G135" s="3">
        <v>0.77200000000000002</v>
      </c>
      <c r="H135" s="3">
        <v>0.995</v>
      </c>
      <c r="I135" s="5">
        <v>47</v>
      </c>
      <c r="J135" s="3">
        <v>1</v>
      </c>
      <c r="K135" s="3">
        <v>13</v>
      </c>
    </row>
    <row r="136" spans="1:11" x14ac:dyDescent="0.2">
      <c r="A136" s="3">
        <v>87</v>
      </c>
      <c r="B136" s="3">
        <v>4299</v>
      </c>
      <c r="C136" s="3">
        <v>70</v>
      </c>
      <c r="D136" s="3">
        <v>0.65</v>
      </c>
      <c r="E136" s="4">
        <v>0.13900000000000001</v>
      </c>
      <c r="F136" s="3">
        <v>0.247</v>
      </c>
      <c r="G136" s="3">
        <v>0.872</v>
      </c>
      <c r="H136" s="3">
        <v>0.92400000000000004</v>
      </c>
      <c r="I136" s="5">
        <v>77</v>
      </c>
      <c r="J136" s="3">
        <v>16</v>
      </c>
      <c r="K136" s="3">
        <v>4.0999999999999996</v>
      </c>
    </row>
    <row r="137" spans="1:11" x14ac:dyDescent="0.2">
      <c r="A137" s="3">
        <v>27</v>
      </c>
      <c r="B137" s="3">
        <v>1205</v>
      </c>
      <c r="C137" s="3">
        <v>71</v>
      </c>
      <c r="D137" s="3">
        <v>0.65100000000000002</v>
      </c>
      <c r="E137" s="4">
        <v>9.9000000000000005E-2</v>
      </c>
      <c r="F137" s="3">
        <v>6.2E-2</v>
      </c>
      <c r="G137" s="3">
        <v>0.91200000000000003</v>
      </c>
      <c r="H137" s="3">
        <v>0.97599999999999998</v>
      </c>
      <c r="I137" s="5">
        <v>67</v>
      </c>
      <c r="J137" s="3">
        <v>12</v>
      </c>
      <c r="K137" s="3">
        <v>11.2</v>
      </c>
    </row>
    <row r="138" spans="1:11" x14ac:dyDescent="0.2">
      <c r="A138" s="3">
        <v>57</v>
      </c>
      <c r="B138" s="3">
        <v>2751</v>
      </c>
      <c r="C138" s="3">
        <v>166</v>
      </c>
      <c r="D138" s="3">
        <v>0.65100000000000002</v>
      </c>
      <c r="E138" s="4">
        <v>0.156</v>
      </c>
      <c r="F138" s="3">
        <v>0.24</v>
      </c>
      <c r="G138" s="3">
        <v>0.89</v>
      </c>
      <c r="H138" s="3">
        <v>0.99399999999999999</v>
      </c>
      <c r="I138" s="5">
        <v>50</v>
      </c>
      <c r="J138" s="3">
        <v>5</v>
      </c>
      <c r="K138" s="3">
        <v>14.3</v>
      </c>
    </row>
    <row r="139" spans="1:11" x14ac:dyDescent="0.2">
      <c r="A139" s="3">
        <v>39</v>
      </c>
      <c r="B139" s="3">
        <v>1739</v>
      </c>
      <c r="C139" s="3">
        <v>137</v>
      </c>
      <c r="D139" s="3">
        <v>0.65200000000000002</v>
      </c>
      <c r="E139" s="4">
        <v>3.4000000000000002E-2</v>
      </c>
      <c r="F139" s="3">
        <v>0.14000000000000001</v>
      </c>
      <c r="G139" s="3">
        <v>0.73799999999999999</v>
      </c>
      <c r="H139" s="3">
        <v>0.97</v>
      </c>
      <c r="I139" s="5">
        <v>5</v>
      </c>
      <c r="J139" s="3">
        <v>12</v>
      </c>
      <c r="K139" s="3">
        <v>13.5</v>
      </c>
    </row>
    <row r="140" spans="1:11" x14ac:dyDescent="0.2">
      <c r="A140" s="3">
        <v>39</v>
      </c>
      <c r="B140" s="3">
        <v>1873</v>
      </c>
      <c r="C140" s="3">
        <v>49</v>
      </c>
      <c r="D140" s="3">
        <v>0.65200000000000002</v>
      </c>
      <c r="E140" s="4">
        <v>0.17899999999999999</v>
      </c>
      <c r="F140" s="3">
        <v>5.6000000000000001E-2</v>
      </c>
      <c r="G140" s="3">
        <v>0.94699999999999995</v>
      </c>
      <c r="H140" s="3">
        <v>0.95499999999999996</v>
      </c>
      <c r="I140" s="5">
        <v>90</v>
      </c>
      <c r="J140" s="3">
        <v>18</v>
      </c>
      <c r="K140" s="3">
        <v>5.5</v>
      </c>
    </row>
    <row r="141" spans="1:11" x14ac:dyDescent="0.2">
      <c r="A141" s="3">
        <v>42</v>
      </c>
      <c r="B141" s="3">
        <v>1972</v>
      </c>
      <c r="C141" s="3">
        <v>168</v>
      </c>
      <c r="D141" s="3">
        <v>0.65200000000000002</v>
      </c>
      <c r="E141" s="4">
        <v>0.153</v>
      </c>
      <c r="F141" s="3">
        <v>5.5E-2</v>
      </c>
      <c r="G141" s="3">
        <v>0.76600000000000001</v>
      </c>
      <c r="H141" s="3">
        <v>0.92900000000000005</v>
      </c>
      <c r="I141" s="5">
        <v>33</v>
      </c>
      <c r="J141" s="3">
        <v>17</v>
      </c>
      <c r="K141" s="3">
        <v>8.8000000000000007</v>
      </c>
    </row>
    <row r="142" spans="1:11" x14ac:dyDescent="0.2">
      <c r="A142" s="3">
        <v>90</v>
      </c>
      <c r="B142" s="3">
        <v>4349</v>
      </c>
      <c r="C142" s="3">
        <v>119</v>
      </c>
      <c r="D142" s="3">
        <v>0.65200000000000002</v>
      </c>
      <c r="E142" s="4">
        <v>0.158</v>
      </c>
      <c r="F142" s="3">
        <v>0.185</v>
      </c>
      <c r="G142" s="3">
        <v>0.94299999999999995</v>
      </c>
      <c r="H142" s="3">
        <v>0.94299999999999995</v>
      </c>
      <c r="I142" s="5">
        <v>47</v>
      </c>
      <c r="J142" s="3">
        <v>0</v>
      </c>
      <c r="K142" s="3">
        <v>3.8</v>
      </c>
    </row>
    <row r="143" spans="1:11" x14ac:dyDescent="0.2">
      <c r="A143" s="3">
        <v>97</v>
      </c>
      <c r="B143" s="3">
        <v>4770</v>
      </c>
      <c r="C143" s="3">
        <v>168</v>
      </c>
      <c r="D143" s="3">
        <v>0.65200000000000002</v>
      </c>
      <c r="E143" s="4">
        <v>7.0000000000000007E-2</v>
      </c>
      <c r="F143" s="3">
        <v>0.22900000000000001</v>
      </c>
      <c r="G143" s="3">
        <v>0.95</v>
      </c>
      <c r="H143" s="3">
        <v>0.96099999999999997</v>
      </c>
      <c r="I143" s="5">
        <v>66</v>
      </c>
      <c r="J143" s="3">
        <v>9</v>
      </c>
      <c r="K143" s="3">
        <v>11.5</v>
      </c>
    </row>
    <row r="144" spans="1:11" x14ac:dyDescent="0.2">
      <c r="A144" s="3">
        <v>39</v>
      </c>
      <c r="B144" s="3">
        <v>1849</v>
      </c>
      <c r="C144" s="3">
        <v>194</v>
      </c>
      <c r="D144" s="3">
        <v>0.65300000000000002</v>
      </c>
      <c r="E144" s="4">
        <v>0.13800000000000001</v>
      </c>
      <c r="F144" s="3">
        <v>0.20399999999999999</v>
      </c>
      <c r="G144" s="3">
        <v>0.70199999999999996</v>
      </c>
      <c r="H144" s="3">
        <v>0.90600000000000003</v>
      </c>
      <c r="I144" s="5">
        <v>93</v>
      </c>
      <c r="J144" s="3">
        <v>19</v>
      </c>
      <c r="K144" s="3">
        <v>7.9</v>
      </c>
    </row>
    <row r="145" spans="1:11" x14ac:dyDescent="0.2">
      <c r="A145" s="3">
        <v>61</v>
      </c>
      <c r="B145" s="3">
        <v>2913</v>
      </c>
      <c r="C145" s="3">
        <v>17</v>
      </c>
      <c r="D145" s="3">
        <v>0.65300000000000002</v>
      </c>
      <c r="E145" s="4">
        <v>7.0000000000000007E-2</v>
      </c>
      <c r="F145" s="3">
        <v>0.11700000000000001</v>
      </c>
      <c r="G145" s="3">
        <v>0.80700000000000005</v>
      </c>
      <c r="H145" s="3">
        <v>0.98</v>
      </c>
      <c r="I145" s="5">
        <v>45</v>
      </c>
      <c r="J145" s="3">
        <v>3</v>
      </c>
      <c r="K145" s="3">
        <v>4.2</v>
      </c>
    </row>
    <row r="146" spans="1:11" x14ac:dyDescent="0.2">
      <c r="A146" s="3">
        <v>60</v>
      </c>
      <c r="B146" s="3">
        <v>2838</v>
      </c>
      <c r="C146" s="3">
        <v>90</v>
      </c>
      <c r="D146" s="3">
        <v>0.65400000000000003</v>
      </c>
      <c r="E146" s="4">
        <v>0.16900000000000001</v>
      </c>
      <c r="F146" s="3">
        <v>0.14699999999999999</v>
      </c>
      <c r="G146" s="3">
        <v>0.93799999999999994</v>
      </c>
      <c r="H146" s="3">
        <v>0.94399999999999995</v>
      </c>
      <c r="I146" s="5">
        <v>77</v>
      </c>
      <c r="J146" s="3">
        <v>7</v>
      </c>
      <c r="K146" s="3">
        <v>13.2</v>
      </c>
    </row>
    <row r="147" spans="1:11" x14ac:dyDescent="0.2">
      <c r="A147" s="3">
        <v>47</v>
      </c>
      <c r="B147" s="3">
        <v>2289</v>
      </c>
      <c r="C147" s="3">
        <v>82</v>
      </c>
      <c r="D147" s="3">
        <v>0.65500000000000003</v>
      </c>
      <c r="E147" s="4">
        <v>8.4000000000000005E-2</v>
      </c>
      <c r="F147" s="3">
        <v>0.151</v>
      </c>
      <c r="G147" s="3">
        <v>0.81699999999999995</v>
      </c>
      <c r="H147" s="3">
        <v>0.93799999999999994</v>
      </c>
      <c r="I147" s="5">
        <v>42</v>
      </c>
      <c r="J147" s="3">
        <v>15</v>
      </c>
      <c r="K147" s="3">
        <v>10.199999999999999</v>
      </c>
    </row>
    <row r="148" spans="1:11" x14ac:dyDescent="0.2">
      <c r="A148" s="3">
        <v>72</v>
      </c>
      <c r="B148" s="3">
        <v>3495</v>
      </c>
      <c r="C148" s="3">
        <v>40</v>
      </c>
      <c r="D148" s="3">
        <v>0.65500000000000003</v>
      </c>
      <c r="E148" s="4">
        <v>4.8000000000000001E-2</v>
      </c>
      <c r="F148" s="3">
        <v>0.11700000000000001</v>
      </c>
      <c r="G148" s="3">
        <v>0.85499999999999998</v>
      </c>
      <c r="H148" s="3">
        <v>0.96599999999999997</v>
      </c>
      <c r="I148" s="5">
        <v>37</v>
      </c>
      <c r="J148" s="3">
        <v>14</v>
      </c>
      <c r="K148" s="3">
        <v>4.2</v>
      </c>
    </row>
    <row r="149" spans="1:11" x14ac:dyDescent="0.2">
      <c r="A149" s="3">
        <v>68</v>
      </c>
      <c r="B149" s="3">
        <v>3169</v>
      </c>
      <c r="C149" s="3">
        <v>189</v>
      </c>
      <c r="D149" s="3">
        <v>0.65600000000000003</v>
      </c>
      <c r="E149" s="4">
        <v>2.1999999999999999E-2</v>
      </c>
      <c r="F149" s="3">
        <v>0.218</v>
      </c>
      <c r="G149" s="3">
        <v>0.92200000000000004</v>
      </c>
      <c r="H149" s="3">
        <v>0.91800000000000004</v>
      </c>
      <c r="I149" s="5">
        <v>30</v>
      </c>
      <c r="J149" s="3">
        <v>5</v>
      </c>
      <c r="K149" s="3">
        <v>11.9</v>
      </c>
    </row>
    <row r="150" spans="1:11" x14ac:dyDescent="0.2">
      <c r="A150" s="3">
        <v>68</v>
      </c>
      <c r="B150" s="3">
        <v>3257</v>
      </c>
      <c r="C150" s="3">
        <v>113</v>
      </c>
      <c r="D150" s="3">
        <v>0.65600000000000003</v>
      </c>
      <c r="E150" s="4">
        <v>9.9000000000000005E-2</v>
      </c>
      <c r="F150" s="3">
        <v>0.13800000000000001</v>
      </c>
      <c r="G150" s="3">
        <v>0.746</v>
      </c>
      <c r="H150" s="3">
        <v>0.96099999999999997</v>
      </c>
      <c r="I150" s="5">
        <v>9</v>
      </c>
      <c r="J150" s="3">
        <v>8</v>
      </c>
      <c r="K150" s="3">
        <v>4.2</v>
      </c>
    </row>
    <row r="151" spans="1:11" x14ac:dyDescent="0.2">
      <c r="A151" s="3">
        <v>92</v>
      </c>
      <c r="B151" s="3">
        <v>4522</v>
      </c>
      <c r="C151" s="3">
        <v>157</v>
      </c>
      <c r="D151" s="3">
        <v>0.65600000000000003</v>
      </c>
      <c r="E151" s="4">
        <v>9.4E-2</v>
      </c>
      <c r="F151" s="3">
        <v>0.129</v>
      </c>
      <c r="G151" s="3">
        <v>0.98099999999999998</v>
      </c>
      <c r="H151" s="3">
        <v>0.92400000000000004</v>
      </c>
      <c r="I151" s="5">
        <v>19</v>
      </c>
      <c r="J151" s="3">
        <v>5</v>
      </c>
      <c r="K151" s="3">
        <v>12.1</v>
      </c>
    </row>
    <row r="152" spans="1:11" x14ac:dyDescent="0.2">
      <c r="A152" s="3">
        <v>93</v>
      </c>
      <c r="B152" s="3">
        <v>4596</v>
      </c>
      <c r="C152" s="3">
        <v>65</v>
      </c>
      <c r="D152" s="3">
        <v>0.65600000000000003</v>
      </c>
      <c r="E152" s="4">
        <v>0.154</v>
      </c>
      <c r="F152" s="3">
        <v>0.11600000000000001</v>
      </c>
      <c r="G152" s="3">
        <v>0.90100000000000002</v>
      </c>
      <c r="H152" s="3">
        <v>0.91700000000000004</v>
      </c>
      <c r="I152" s="5">
        <v>6</v>
      </c>
      <c r="J152" s="3">
        <v>9</v>
      </c>
      <c r="K152" s="3">
        <v>1.7</v>
      </c>
    </row>
    <row r="153" spans="1:11" x14ac:dyDescent="0.2">
      <c r="A153" s="3">
        <v>96</v>
      </c>
      <c r="B153" s="3">
        <v>4671</v>
      </c>
      <c r="C153" s="3">
        <v>198</v>
      </c>
      <c r="D153" s="3">
        <v>0.65700000000000003</v>
      </c>
      <c r="E153" s="4">
        <v>0.16400000000000001</v>
      </c>
      <c r="F153" s="3">
        <v>0.29199999999999998</v>
      </c>
      <c r="G153" s="3">
        <v>0.871</v>
      </c>
      <c r="H153" s="3">
        <v>0.95699999999999996</v>
      </c>
      <c r="I153" s="5">
        <v>68</v>
      </c>
      <c r="J153" s="3">
        <v>5</v>
      </c>
      <c r="K153" s="3">
        <v>10.8</v>
      </c>
    </row>
    <row r="154" spans="1:11" x14ac:dyDescent="0.2">
      <c r="A154" s="3">
        <v>104</v>
      </c>
      <c r="B154" s="3">
        <v>4965</v>
      </c>
      <c r="C154" s="3">
        <v>84</v>
      </c>
      <c r="D154" s="3">
        <v>0.65700000000000003</v>
      </c>
      <c r="E154" s="4">
        <v>3.7999999999999999E-2</v>
      </c>
      <c r="F154" s="3">
        <v>0.27900000000000003</v>
      </c>
      <c r="G154" s="3">
        <v>0.93400000000000005</v>
      </c>
      <c r="H154" s="3">
        <v>0.97</v>
      </c>
      <c r="I154" s="5">
        <v>26</v>
      </c>
      <c r="J154" s="3">
        <v>7</v>
      </c>
      <c r="K154" s="3">
        <v>3</v>
      </c>
    </row>
    <row r="155" spans="1:11" x14ac:dyDescent="0.2">
      <c r="A155" s="3">
        <v>94</v>
      </c>
      <c r="B155" s="3">
        <v>4639</v>
      </c>
      <c r="C155" s="3">
        <v>67</v>
      </c>
      <c r="D155" s="3">
        <v>0.65800000000000003</v>
      </c>
      <c r="E155" s="4">
        <v>0.17499999999999999</v>
      </c>
      <c r="F155" s="3">
        <v>8.8999999999999996E-2</v>
      </c>
      <c r="G155" s="3">
        <v>0.80200000000000005</v>
      </c>
      <c r="H155" s="3">
        <v>0.95599999999999996</v>
      </c>
      <c r="I155" s="5">
        <v>44</v>
      </c>
      <c r="J155" s="3">
        <v>1</v>
      </c>
      <c r="K155" s="3">
        <v>11.2</v>
      </c>
    </row>
    <row r="156" spans="1:11" x14ac:dyDescent="0.2">
      <c r="A156" s="3">
        <v>62</v>
      </c>
      <c r="B156" s="3">
        <v>2936</v>
      </c>
      <c r="C156" s="3">
        <v>131</v>
      </c>
      <c r="D156" s="3">
        <v>0.65900000000000003</v>
      </c>
      <c r="E156" s="4">
        <v>6.9000000000000006E-2</v>
      </c>
      <c r="F156" s="3">
        <v>0.19600000000000001</v>
      </c>
      <c r="G156" s="3">
        <v>0.74</v>
      </c>
      <c r="H156" s="3">
        <v>0.96</v>
      </c>
      <c r="I156" s="5">
        <v>72</v>
      </c>
      <c r="J156" s="3">
        <v>6</v>
      </c>
      <c r="K156" s="3">
        <v>7.2</v>
      </c>
    </row>
    <row r="157" spans="1:11" x14ac:dyDescent="0.2">
      <c r="A157" s="3">
        <v>64</v>
      </c>
      <c r="B157" s="3">
        <v>3052</v>
      </c>
      <c r="C157" s="3">
        <v>170</v>
      </c>
      <c r="D157" s="3">
        <v>0.65900000000000003</v>
      </c>
      <c r="E157" s="4">
        <v>6.7000000000000004E-2</v>
      </c>
      <c r="F157" s="3">
        <v>6.6000000000000003E-2</v>
      </c>
      <c r="G157" s="3">
        <v>0.88600000000000001</v>
      </c>
      <c r="H157" s="3">
        <v>0.90700000000000003</v>
      </c>
      <c r="I157" s="5">
        <v>52</v>
      </c>
      <c r="J157" s="3">
        <v>6</v>
      </c>
      <c r="K157" s="3">
        <v>1.2</v>
      </c>
    </row>
    <row r="158" spans="1:11" x14ac:dyDescent="0.2">
      <c r="A158" s="3">
        <v>93</v>
      </c>
      <c r="B158" s="3">
        <v>4375</v>
      </c>
      <c r="C158" s="3">
        <v>42</v>
      </c>
      <c r="D158" s="3">
        <v>0.65900000000000003</v>
      </c>
      <c r="E158" s="4">
        <v>3.3000000000000002E-2</v>
      </c>
      <c r="F158" s="3">
        <v>0.255</v>
      </c>
      <c r="G158" s="3">
        <v>0.83299999999999996</v>
      </c>
      <c r="H158" s="3">
        <v>0.95199999999999996</v>
      </c>
      <c r="I158" s="5">
        <v>19</v>
      </c>
      <c r="J158" s="3">
        <v>18</v>
      </c>
      <c r="K158" s="3">
        <v>11.7</v>
      </c>
    </row>
    <row r="159" spans="1:11" x14ac:dyDescent="0.2">
      <c r="A159" s="3">
        <v>96</v>
      </c>
      <c r="B159" s="3">
        <v>4661</v>
      </c>
      <c r="C159" s="3">
        <v>86</v>
      </c>
      <c r="D159" s="3">
        <v>0.65900000000000003</v>
      </c>
      <c r="E159" s="4">
        <v>0.125</v>
      </c>
      <c r="F159" s="3">
        <v>7.0999999999999994E-2</v>
      </c>
      <c r="G159" s="3">
        <v>0.84099999999999997</v>
      </c>
      <c r="H159" s="3">
        <v>0.96399999999999997</v>
      </c>
      <c r="I159" s="5">
        <v>67</v>
      </c>
      <c r="J159" s="3">
        <v>19</v>
      </c>
      <c r="K159" s="3">
        <v>8.4</v>
      </c>
    </row>
    <row r="160" spans="1:11" x14ac:dyDescent="0.2">
      <c r="A160" s="3">
        <v>37</v>
      </c>
      <c r="B160" s="3">
        <v>1820</v>
      </c>
      <c r="C160" s="3">
        <v>90</v>
      </c>
      <c r="D160" s="3">
        <v>0.66</v>
      </c>
      <c r="E160" s="4">
        <v>0.151</v>
      </c>
      <c r="F160" s="3">
        <v>0.11899999999999999</v>
      </c>
      <c r="G160" s="3">
        <v>0.81899999999999995</v>
      </c>
      <c r="H160" s="3">
        <v>0.96799999999999997</v>
      </c>
      <c r="I160" s="5">
        <v>60</v>
      </c>
      <c r="J160" s="3">
        <v>5</v>
      </c>
      <c r="K160" s="3">
        <v>3.3</v>
      </c>
    </row>
    <row r="161" spans="1:11" x14ac:dyDescent="0.2">
      <c r="A161" s="3">
        <v>77</v>
      </c>
      <c r="B161" s="3">
        <v>3613</v>
      </c>
      <c r="C161" s="3">
        <v>193</v>
      </c>
      <c r="D161" s="3">
        <v>0.66</v>
      </c>
      <c r="E161" s="4">
        <v>0.189</v>
      </c>
      <c r="F161" s="3">
        <v>0.19600000000000001</v>
      </c>
      <c r="G161" s="3">
        <v>0.89200000000000002</v>
      </c>
      <c r="H161" s="3">
        <v>0.96399999999999997</v>
      </c>
      <c r="I161" s="5">
        <v>13</v>
      </c>
      <c r="J161" s="3">
        <v>17</v>
      </c>
      <c r="K161" s="3">
        <v>4.5999999999999996</v>
      </c>
    </row>
    <row r="162" spans="1:11" x14ac:dyDescent="0.2">
      <c r="A162" s="3">
        <v>77</v>
      </c>
      <c r="B162" s="3">
        <v>3671</v>
      </c>
      <c r="C162" s="3">
        <v>115</v>
      </c>
      <c r="D162" s="3">
        <v>0.66</v>
      </c>
      <c r="E162" s="4">
        <v>7.4999999999999997E-2</v>
      </c>
      <c r="F162" s="3">
        <v>0.20300000000000001</v>
      </c>
      <c r="G162" s="3">
        <v>0.92200000000000004</v>
      </c>
      <c r="H162" s="3">
        <v>0.99099999999999999</v>
      </c>
      <c r="I162" s="5">
        <v>88</v>
      </c>
      <c r="J162" s="3">
        <v>10</v>
      </c>
      <c r="K162" s="3">
        <v>14.9</v>
      </c>
    </row>
    <row r="163" spans="1:11" x14ac:dyDescent="0.2">
      <c r="A163" s="3">
        <v>38</v>
      </c>
      <c r="B163" s="3">
        <v>1792</v>
      </c>
      <c r="C163" s="3">
        <v>54</v>
      </c>
      <c r="D163" s="3">
        <v>0.66100000000000003</v>
      </c>
      <c r="E163" s="4">
        <v>4.2000000000000003E-2</v>
      </c>
      <c r="F163" s="3">
        <v>0.21</v>
      </c>
      <c r="G163" s="3">
        <v>0.82899999999999996</v>
      </c>
      <c r="H163" s="3">
        <v>0.97899999999999998</v>
      </c>
      <c r="I163" s="5">
        <v>59</v>
      </c>
      <c r="J163" s="3">
        <v>9</v>
      </c>
      <c r="K163" s="3">
        <v>4.5</v>
      </c>
    </row>
    <row r="164" spans="1:11" x14ac:dyDescent="0.2">
      <c r="A164" s="3">
        <v>43</v>
      </c>
      <c r="B164" s="3">
        <v>1928</v>
      </c>
      <c r="C164" s="3">
        <v>96</v>
      </c>
      <c r="D164" s="3">
        <v>0.66100000000000003</v>
      </c>
      <c r="E164" s="4">
        <v>0.02</v>
      </c>
      <c r="F164" s="3">
        <v>8.2000000000000003E-2</v>
      </c>
      <c r="G164" s="3">
        <v>0.98499999999999999</v>
      </c>
      <c r="H164" s="3">
        <v>0.92300000000000004</v>
      </c>
      <c r="I164" s="5">
        <v>18</v>
      </c>
      <c r="J164" s="3">
        <v>5</v>
      </c>
      <c r="K164" s="3">
        <v>2.9</v>
      </c>
    </row>
    <row r="165" spans="1:11" x14ac:dyDescent="0.2">
      <c r="A165" s="3">
        <v>81</v>
      </c>
      <c r="B165" s="3">
        <v>3983</v>
      </c>
      <c r="C165" s="3">
        <v>52</v>
      </c>
      <c r="D165" s="3">
        <v>0.66100000000000003</v>
      </c>
      <c r="E165" s="4">
        <v>4.7E-2</v>
      </c>
      <c r="F165" s="3">
        <v>0.20699999999999999</v>
      </c>
      <c r="G165" s="3">
        <v>0.88</v>
      </c>
      <c r="H165" s="3">
        <v>0.99299999999999999</v>
      </c>
      <c r="I165" s="5">
        <v>85</v>
      </c>
      <c r="J165" s="3">
        <v>5</v>
      </c>
      <c r="K165" s="3">
        <v>10.9</v>
      </c>
    </row>
    <row r="166" spans="1:11" x14ac:dyDescent="0.2">
      <c r="A166" s="3">
        <v>26</v>
      </c>
      <c r="B166" s="3">
        <v>1052</v>
      </c>
      <c r="C166" s="3">
        <v>116</v>
      </c>
      <c r="D166" s="3">
        <v>0.66200000000000003</v>
      </c>
      <c r="E166" s="4">
        <v>0.11799999999999999</v>
      </c>
      <c r="F166" s="3">
        <v>0.10299999999999999</v>
      </c>
      <c r="G166" s="3">
        <v>0.92200000000000004</v>
      </c>
      <c r="H166" s="3">
        <v>0.95799999999999996</v>
      </c>
      <c r="I166" s="5">
        <v>71</v>
      </c>
      <c r="J166" s="3">
        <v>9</v>
      </c>
      <c r="K166" s="3">
        <v>13.1</v>
      </c>
    </row>
    <row r="167" spans="1:11" x14ac:dyDescent="0.2">
      <c r="A167" s="3">
        <v>72</v>
      </c>
      <c r="B167" s="3">
        <v>3401</v>
      </c>
      <c r="C167" s="3">
        <v>29</v>
      </c>
      <c r="D167" s="3">
        <v>0.66200000000000003</v>
      </c>
      <c r="E167" s="4">
        <v>0.17299999999999999</v>
      </c>
      <c r="F167" s="3">
        <v>6.8000000000000005E-2</v>
      </c>
      <c r="G167" s="3">
        <v>0.88900000000000001</v>
      </c>
      <c r="H167" s="3">
        <v>0.95099999999999996</v>
      </c>
      <c r="I167" s="5">
        <v>5</v>
      </c>
      <c r="J167" s="3">
        <v>6</v>
      </c>
      <c r="K167" s="3">
        <v>13.5</v>
      </c>
    </row>
    <row r="168" spans="1:11" x14ac:dyDescent="0.2">
      <c r="A168" s="3">
        <v>33</v>
      </c>
      <c r="B168" s="3">
        <v>1490</v>
      </c>
      <c r="C168" s="3">
        <v>165</v>
      </c>
      <c r="D168" s="3">
        <v>0.66300000000000003</v>
      </c>
      <c r="E168" s="4">
        <v>0.17399999999999999</v>
      </c>
      <c r="F168" s="3">
        <v>0.15</v>
      </c>
      <c r="G168" s="3">
        <v>0.79300000000000004</v>
      </c>
      <c r="H168" s="3">
        <v>0.94099999999999995</v>
      </c>
      <c r="I168" s="5">
        <v>51</v>
      </c>
      <c r="J168" s="3">
        <v>8</v>
      </c>
      <c r="K168" s="3">
        <v>3.6</v>
      </c>
    </row>
    <row r="169" spans="1:11" x14ac:dyDescent="0.2">
      <c r="A169" s="3">
        <v>68</v>
      </c>
      <c r="B169" s="3">
        <v>3188</v>
      </c>
      <c r="C169" s="3">
        <v>142</v>
      </c>
      <c r="D169" s="3">
        <v>0.66300000000000003</v>
      </c>
      <c r="E169" s="4">
        <v>0.123</v>
      </c>
      <c r="F169" s="3">
        <v>8.6999999999999994E-2</v>
      </c>
      <c r="G169" s="3">
        <v>0.88</v>
      </c>
      <c r="H169" s="3">
        <v>0.91</v>
      </c>
      <c r="I169" s="5">
        <v>13</v>
      </c>
      <c r="J169" s="3">
        <v>0</v>
      </c>
      <c r="K169" s="3">
        <v>11</v>
      </c>
    </row>
    <row r="170" spans="1:11" x14ac:dyDescent="0.2">
      <c r="A170" s="3">
        <v>69</v>
      </c>
      <c r="B170" s="3">
        <v>3194</v>
      </c>
      <c r="C170" s="3">
        <v>129</v>
      </c>
      <c r="D170" s="3">
        <v>0.66300000000000003</v>
      </c>
      <c r="E170" s="4">
        <v>0.151</v>
      </c>
      <c r="F170" s="3">
        <v>9.1999999999999998E-2</v>
      </c>
      <c r="G170" s="3">
        <v>0.97899999999999998</v>
      </c>
      <c r="H170" s="3">
        <v>0.99199999999999999</v>
      </c>
      <c r="I170" s="5">
        <v>81</v>
      </c>
      <c r="J170" s="3">
        <v>0</v>
      </c>
      <c r="K170" s="3">
        <v>3.6</v>
      </c>
    </row>
    <row r="171" spans="1:11" x14ac:dyDescent="0.2">
      <c r="A171" s="3">
        <v>67</v>
      </c>
      <c r="B171" s="3">
        <v>3241</v>
      </c>
      <c r="C171" s="3">
        <v>115</v>
      </c>
      <c r="D171" s="3">
        <v>0.66300000000000003</v>
      </c>
      <c r="E171" s="4">
        <v>4.3999999999999997E-2</v>
      </c>
      <c r="F171" s="3">
        <v>0.26800000000000002</v>
      </c>
      <c r="G171" s="3">
        <v>0.96399999999999997</v>
      </c>
      <c r="H171" s="3">
        <v>0.98099999999999998</v>
      </c>
      <c r="I171" s="5">
        <v>2</v>
      </c>
      <c r="J171" s="3">
        <v>13</v>
      </c>
      <c r="K171" s="3">
        <v>8.3000000000000007</v>
      </c>
    </row>
    <row r="172" spans="1:11" x14ac:dyDescent="0.2">
      <c r="A172" s="3">
        <v>76</v>
      </c>
      <c r="B172" s="3">
        <v>3635</v>
      </c>
      <c r="C172" s="3">
        <v>107</v>
      </c>
      <c r="D172" s="3">
        <v>0.66300000000000003</v>
      </c>
      <c r="E172" s="4">
        <v>0.16400000000000001</v>
      </c>
      <c r="F172" s="3">
        <v>0.19800000000000001</v>
      </c>
      <c r="G172" s="3">
        <v>0.79900000000000004</v>
      </c>
      <c r="H172" s="3">
        <v>0.9</v>
      </c>
      <c r="I172" s="5">
        <v>60</v>
      </c>
      <c r="J172" s="3">
        <v>19</v>
      </c>
      <c r="K172" s="3">
        <v>12.7</v>
      </c>
    </row>
    <row r="173" spans="1:11" x14ac:dyDescent="0.2">
      <c r="A173" s="3">
        <v>83</v>
      </c>
      <c r="B173" s="3">
        <v>3993</v>
      </c>
      <c r="C173" s="3">
        <v>134</v>
      </c>
      <c r="D173" s="3">
        <v>0.66300000000000003</v>
      </c>
      <c r="E173" s="4">
        <v>0.19800000000000001</v>
      </c>
      <c r="F173" s="3">
        <v>0.25700000000000001</v>
      </c>
      <c r="G173" s="3">
        <v>0.86499999999999999</v>
      </c>
      <c r="H173" s="3">
        <v>0.93300000000000005</v>
      </c>
      <c r="I173" s="5">
        <v>80</v>
      </c>
      <c r="J173" s="3">
        <v>11</v>
      </c>
      <c r="K173" s="3">
        <v>6.2</v>
      </c>
    </row>
    <row r="174" spans="1:11" x14ac:dyDescent="0.2">
      <c r="A174" s="3">
        <v>90</v>
      </c>
      <c r="B174" s="3">
        <v>4456</v>
      </c>
      <c r="C174" s="3">
        <v>67</v>
      </c>
      <c r="D174" s="3">
        <v>0.66300000000000003</v>
      </c>
      <c r="E174" s="4">
        <v>0.16900000000000001</v>
      </c>
      <c r="F174" s="3">
        <v>0.25900000000000001</v>
      </c>
      <c r="G174" s="3">
        <v>0.91600000000000004</v>
      </c>
      <c r="H174" s="3">
        <v>0.96899999999999997</v>
      </c>
      <c r="I174" s="5">
        <v>77</v>
      </c>
      <c r="J174" s="3">
        <v>5</v>
      </c>
      <c r="K174" s="3">
        <v>7.9</v>
      </c>
    </row>
    <row r="175" spans="1:11" x14ac:dyDescent="0.2">
      <c r="A175" s="3">
        <v>53</v>
      </c>
      <c r="B175" s="3">
        <v>2489</v>
      </c>
      <c r="C175" s="3">
        <v>107</v>
      </c>
      <c r="D175" s="3">
        <v>0.66400000000000003</v>
      </c>
      <c r="E175" s="4">
        <v>0.16300000000000001</v>
      </c>
      <c r="F175" s="3">
        <v>0.22</v>
      </c>
      <c r="G175" s="3">
        <v>0.95599999999999996</v>
      </c>
      <c r="H175" s="3">
        <v>0.99199999999999999</v>
      </c>
      <c r="I175" s="5">
        <v>36</v>
      </c>
      <c r="J175" s="3">
        <v>11</v>
      </c>
      <c r="K175" s="3">
        <v>1.7</v>
      </c>
    </row>
    <row r="176" spans="1:11" x14ac:dyDescent="0.2">
      <c r="A176" s="3">
        <v>73</v>
      </c>
      <c r="B176" s="3">
        <v>3558</v>
      </c>
      <c r="C176" s="3">
        <v>186</v>
      </c>
      <c r="D176" s="3">
        <v>0.66400000000000003</v>
      </c>
      <c r="E176" s="4">
        <v>0.14399999999999999</v>
      </c>
      <c r="F176" s="3">
        <v>0.11700000000000001</v>
      </c>
      <c r="G176" s="3">
        <v>0.95599999999999996</v>
      </c>
      <c r="H176" s="3">
        <v>0.91</v>
      </c>
      <c r="I176" s="5">
        <v>92</v>
      </c>
      <c r="J176" s="3">
        <v>8</v>
      </c>
      <c r="K176" s="3">
        <v>13.7</v>
      </c>
    </row>
    <row r="177" spans="1:11" x14ac:dyDescent="0.2">
      <c r="A177" s="3">
        <v>93</v>
      </c>
      <c r="B177" s="3">
        <v>4423</v>
      </c>
      <c r="C177" s="3">
        <v>21</v>
      </c>
      <c r="D177" s="3">
        <v>0.66400000000000003</v>
      </c>
      <c r="E177" s="4">
        <v>0.157</v>
      </c>
      <c r="F177" s="3">
        <v>0.17599999999999999</v>
      </c>
      <c r="G177" s="3">
        <v>0.755</v>
      </c>
      <c r="H177" s="3">
        <v>0.96099999999999997</v>
      </c>
      <c r="I177" s="5">
        <v>21</v>
      </c>
      <c r="J177" s="3">
        <v>11</v>
      </c>
      <c r="K177" s="3">
        <v>10.9</v>
      </c>
    </row>
    <row r="178" spans="1:11" x14ac:dyDescent="0.2">
      <c r="A178" s="3">
        <v>95</v>
      </c>
      <c r="B178" s="3">
        <v>4638</v>
      </c>
      <c r="C178" s="3">
        <v>13</v>
      </c>
      <c r="D178" s="3">
        <v>0.66600000000000004</v>
      </c>
      <c r="E178" s="4">
        <v>8.5000000000000006E-2</v>
      </c>
      <c r="F178" s="3">
        <v>0.16</v>
      </c>
      <c r="G178" s="3">
        <v>0.89900000000000002</v>
      </c>
      <c r="H178" s="3">
        <v>0.98499999999999999</v>
      </c>
      <c r="I178" s="5">
        <v>12</v>
      </c>
      <c r="J178" s="3">
        <v>5</v>
      </c>
      <c r="K178" s="3">
        <v>2.8</v>
      </c>
    </row>
    <row r="179" spans="1:11" x14ac:dyDescent="0.2">
      <c r="A179" s="3">
        <v>98</v>
      </c>
      <c r="B179" s="3">
        <v>4817</v>
      </c>
      <c r="C179" s="3">
        <v>187</v>
      </c>
      <c r="D179" s="3">
        <v>0.66600000000000004</v>
      </c>
      <c r="E179" s="4">
        <v>0.124</v>
      </c>
      <c r="F179" s="3">
        <v>0.26700000000000002</v>
      </c>
      <c r="G179" s="3">
        <v>0.75600000000000001</v>
      </c>
      <c r="H179" s="3">
        <v>0.96499999999999997</v>
      </c>
      <c r="I179" s="5">
        <v>47</v>
      </c>
      <c r="J179" s="3">
        <v>15</v>
      </c>
      <c r="K179" s="3">
        <v>14.4</v>
      </c>
    </row>
    <row r="180" spans="1:11" x14ac:dyDescent="0.2">
      <c r="A180" s="3">
        <v>30</v>
      </c>
      <c r="B180" s="3">
        <v>1278</v>
      </c>
      <c r="C180" s="3">
        <v>108</v>
      </c>
      <c r="D180" s="3">
        <v>0.66700000000000004</v>
      </c>
      <c r="E180" s="4">
        <v>0.03</v>
      </c>
      <c r="F180" s="3">
        <v>9.7000000000000003E-2</v>
      </c>
      <c r="G180" s="3">
        <v>0.75600000000000001</v>
      </c>
      <c r="H180" s="3">
        <v>0.95799999999999996</v>
      </c>
      <c r="I180" s="5">
        <v>14</v>
      </c>
      <c r="J180" s="3">
        <v>16</v>
      </c>
      <c r="K180" s="3">
        <v>1.5</v>
      </c>
    </row>
    <row r="181" spans="1:11" x14ac:dyDescent="0.2">
      <c r="A181" s="3">
        <v>70</v>
      </c>
      <c r="B181" s="3">
        <v>3455</v>
      </c>
      <c r="C181" s="3">
        <v>132</v>
      </c>
      <c r="D181" s="3">
        <v>0.66700000000000004</v>
      </c>
      <c r="E181" s="4">
        <v>0.155</v>
      </c>
      <c r="F181" s="3">
        <v>0.11</v>
      </c>
      <c r="G181" s="3">
        <v>0.84399999999999997</v>
      </c>
      <c r="H181" s="3">
        <v>0.93600000000000005</v>
      </c>
      <c r="I181" s="5">
        <v>80</v>
      </c>
      <c r="J181" s="3">
        <v>15</v>
      </c>
      <c r="K181" s="3">
        <v>13.5</v>
      </c>
    </row>
    <row r="182" spans="1:11" x14ac:dyDescent="0.2">
      <c r="A182" s="3">
        <v>89</v>
      </c>
      <c r="B182" s="3">
        <v>4180</v>
      </c>
      <c r="C182" s="3">
        <v>74</v>
      </c>
      <c r="D182" s="3">
        <v>0.66700000000000004</v>
      </c>
      <c r="E182" s="4">
        <v>0.17100000000000001</v>
      </c>
      <c r="F182" s="3">
        <v>0.13800000000000001</v>
      </c>
      <c r="G182" s="3">
        <v>0.752</v>
      </c>
      <c r="H182" s="3">
        <v>0.98</v>
      </c>
      <c r="I182" s="5">
        <v>19</v>
      </c>
      <c r="J182" s="3">
        <v>3</v>
      </c>
      <c r="K182" s="3">
        <v>3.4</v>
      </c>
    </row>
    <row r="183" spans="1:11" x14ac:dyDescent="0.2">
      <c r="A183" s="3">
        <v>94</v>
      </c>
      <c r="B183" s="3">
        <v>4637</v>
      </c>
      <c r="C183" s="3">
        <v>43</v>
      </c>
      <c r="D183" s="3">
        <v>0.66700000000000004</v>
      </c>
      <c r="E183" s="4">
        <v>3.3000000000000002E-2</v>
      </c>
      <c r="F183" s="3">
        <v>0.29099999999999998</v>
      </c>
      <c r="G183" s="3">
        <v>0.72799999999999998</v>
      </c>
      <c r="H183" s="3">
        <v>0.92300000000000004</v>
      </c>
      <c r="I183" s="5">
        <v>2</v>
      </c>
      <c r="J183" s="3">
        <v>19</v>
      </c>
      <c r="K183" s="3">
        <v>4.7</v>
      </c>
    </row>
    <row r="184" spans="1:11" x14ac:dyDescent="0.2">
      <c r="A184" s="3">
        <v>54</v>
      </c>
      <c r="B184" s="3">
        <v>2581</v>
      </c>
      <c r="C184" s="3">
        <v>147</v>
      </c>
      <c r="D184" s="3">
        <v>0.66800000000000004</v>
      </c>
      <c r="E184" s="4">
        <v>3.5000000000000003E-2</v>
      </c>
      <c r="F184" s="3">
        <v>6.3E-2</v>
      </c>
      <c r="G184" s="3">
        <v>0.94299999999999995</v>
      </c>
      <c r="H184" s="3">
        <v>0.91800000000000004</v>
      </c>
      <c r="I184" s="5">
        <v>56</v>
      </c>
      <c r="J184" s="3">
        <v>4</v>
      </c>
      <c r="K184" s="3">
        <v>6.6</v>
      </c>
    </row>
    <row r="185" spans="1:11" x14ac:dyDescent="0.2">
      <c r="A185" s="3">
        <v>65</v>
      </c>
      <c r="B185" s="3">
        <v>3186</v>
      </c>
      <c r="C185" s="3">
        <v>143</v>
      </c>
      <c r="D185" s="3">
        <v>0.66800000000000004</v>
      </c>
      <c r="E185" s="4">
        <v>1.9E-2</v>
      </c>
      <c r="F185" s="3">
        <v>0.19500000000000001</v>
      </c>
      <c r="G185" s="3">
        <v>0.88400000000000001</v>
      </c>
      <c r="H185" s="3">
        <v>0.97399999999999998</v>
      </c>
      <c r="I185" s="5">
        <v>71</v>
      </c>
      <c r="J185" s="3">
        <v>4</v>
      </c>
      <c r="K185" s="3">
        <v>13.5</v>
      </c>
    </row>
    <row r="186" spans="1:11" x14ac:dyDescent="0.2">
      <c r="A186" s="3">
        <v>75</v>
      </c>
      <c r="B186" s="3">
        <v>3693</v>
      </c>
      <c r="C186" s="3">
        <v>60</v>
      </c>
      <c r="D186" s="3">
        <v>0.66800000000000004</v>
      </c>
      <c r="E186" s="4">
        <v>0.17299999999999999</v>
      </c>
      <c r="F186" s="3">
        <v>9.8000000000000004E-2</v>
      </c>
      <c r="G186" s="3">
        <v>0.91</v>
      </c>
      <c r="H186" s="3">
        <v>0.94299999999999995</v>
      </c>
      <c r="I186" s="5">
        <v>74</v>
      </c>
      <c r="J186" s="3">
        <v>14</v>
      </c>
      <c r="K186" s="3">
        <v>10.199999999999999</v>
      </c>
    </row>
    <row r="187" spans="1:11" x14ac:dyDescent="0.2">
      <c r="A187" s="3">
        <v>87</v>
      </c>
      <c r="B187" s="3">
        <v>4323</v>
      </c>
      <c r="C187" s="3">
        <v>26</v>
      </c>
      <c r="D187" s="3">
        <v>0.66800000000000004</v>
      </c>
      <c r="E187" s="4">
        <v>7.2999999999999995E-2</v>
      </c>
      <c r="F187" s="3">
        <v>0.27600000000000002</v>
      </c>
      <c r="G187" s="3">
        <v>0.878</v>
      </c>
      <c r="H187" s="3">
        <v>0.90500000000000003</v>
      </c>
      <c r="I187" s="5">
        <v>59</v>
      </c>
      <c r="J187" s="3">
        <v>4</v>
      </c>
      <c r="K187" s="3">
        <v>3.2</v>
      </c>
    </row>
    <row r="188" spans="1:11" x14ac:dyDescent="0.2">
      <c r="A188" s="3">
        <v>96</v>
      </c>
      <c r="B188" s="3">
        <v>4650</v>
      </c>
      <c r="C188" s="3">
        <v>56</v>
      </c>
      <c r="D188" s="3">
        <v>0.66800000000000004</v>
      </c>
      <c r="E188" s="4">
        <v>4.9000000000000002E-2</v>
      </c>
      <c r="F188" s="3">
        <v>0.18099999999999999</v>
      </c>
      <c r="G188" s="3">
        <v>0.78700000000000003</v>
      </c>
      <c r="H188" s="3">
        <v>0.98299999999999998</v>
      </c>
      <c r="I188" s="5">
        <v>28</v>
      </c>
      <c r="J188" s="3">
        <v>7</v>
      </c>
      <c r="K188" s="3">
        <v>5.0999999999999996</v>
      </c>
    </row>
    <row r="189" spans="1:11" x14ac:dyDescent="0.2">
      <c r="A189" s="3">
        <v>52</v>
      </c>
      <c r="B189" s="3">
        <v>2522</v>
      </c>
      <c r="C189" s="3">
        <v>140</v>
      </c>
      <c r="D189" s="3">
        <v>0.66900000000000004</v>
      </c>
      <c r="E189" s="4">
        <v>7.0999999999999994E-2</v>
      </c>
      <c r="F189" s="3">
        <v>0.17599999999999999</v>
      </c>
      <c r="G189" s="3">
        <v>0.90700000000000003</v>
      </c>
      <c r="H189" s="3">
        <v>0.91500000000000004</v>
      </c>
      <c r="I189" s="5">
        <v>38</v>
      </c>
      <c r="J189" s="3">
        <v>13</v>
      </c>
      <c r="K189" s="3">
        <v>14.6</v>
      </c>
    </row>
    <row r="190" spans="1:11" x14ac:dyDescent="0.2">
      <c r="A190" s="3">
        <v>53</v>
      </c>
      <c r="B190" s="3">
        <v>2524</v>
      </c>
      <c r="C190" s="3">
        <v>141</v>
      </c>
      <c r="D190" s="3">
        <v>0.66900000000000004</v>
      </c>
      <c r="E190" s="4">
        <v>9.0999999999999998E-2</v>
      </c>
      <c r="F190" s="3">
        <v>6.3E-2</v>
      </c>
      <c r="G190" s="3">
        <v>0.84</v>
      </c>
      <c r="H190" s="3">
        <v>0.98099999999999998</v>
      </c>
      <c r="I190" s="5">
        <v>85</v>
      </c>
      <c r="J190" s="3">
        <v>14</v>
      </c>
      <c r="K190" s="3">
        <v>14</v>
      </c>
    </row>
    <row r="191" spans="1:11" x14ac:dyDescent="0.2">
      <c r="A191" s="3">
        <v>71</v>
      </c>
      <c r="B191" s="3">
        <v>3378</v>
      </c>
      <c r="C191" s="3">
        <v>100</v>
      </c>
      <c r="D191" s="3">
        <v>0.66900000000000004</v>
      </c>
      <c r="E191" s="4">
        <v>9.6000000000000002E-2</v>
      </c>
      <c r="F191" s="3">
        <v>0.28299999999999997</v>
      </c>
      <c r="G191" s="3">
        <v>0.98699999999999999</v>
      </c>
      <c r="H191" s="3">
        <v>0.93</v>
      </c>
      <c r="I191" s="5">
        <v>96</v>
      </c>
      <c r="J191" s="3">
        <v>3</v>
      </c>
      <c r="K191" s="3">
        <v>6.7</v>
      </c>
    </row>
    <row r="192" spans="1:11" x14ac:dyDescent="0.2">
      <c r="A192" s="3">
        <v>73</v>
      </c>
      <c r="B192" s="3">
        <v>3451</v>
      </c>
      <c r="C192" s="3">
        <v>75</v>
      </c>
      <c r="D192" s="3">
        <v>0.67</v>
      </c>
      <c r="E192" s="4">
        <v>0.13900000000000001</v>
      </c>
      <c r="F192" s="3">
        <v>0.11700000000000001</v>
      </c>
      <c r="G192" s="3">
        <v>0.89200000000000002</v>
      </c>
      <c r="H192" s="3">
        <v>0.93100000000000005</v>
      </c>
      <c r="I192" s="5">
        <v>17</v>
      </c>
      <c r="J192" s="3">
        <v>12</v>
      </c>
      <c r="K192" s="3">
        <v>13.7</v>
      </c>
    </row>
    <row r="193" spans="1:11" x14ac:dyDescent="0.2">
      <c r="A193" s="3">
        <v>47</v>
      </c>
      <c r="B193" s="3">
        <v>2089</v>
      </c>
      <c r="C193" s="3">
        <v>26</v>
      </c>
      <c r="D193" s="3">
        <v>0.67100000000000004</v>
      </c>
      <c r="E193" s="4">
        <v>3.5000000000000003E-2</v>
      </c>
      <c r="F193" s="3">
        <v>0.109</v>
      </c>
      <c r="G193" s="3">
        <v>0.72399999999999998</v>
      </c>
      <c r="H193" s="3">
        <v>0.90300000000000002</v>
      </c>
      <c r="I193" s="5">
        <v>77</v>
      </c>
      <c r="J193" s="3">
        <v>0</v>
      </c>
      <c r="K193" s="3">
        <v>4.0999999999999996</v>
      </c>
    </row>
    <row r="194" spans="1:11" x14ac:dyDescent="0.2">
      <c r="A194" s="3">
        <v>47</v>
      </c>
      <c r="B194" s="3">
        <v>2105</v>
      </c>
      <c r="C194" s="3">
        <v>153</v>
      </c>
      <c r="D194" s="3">
        <v>0.67100000000000004</v>
      </c>
      <c r="E194" s="4">
        <v>7.5999999999999998E-2</v>
      </c>
      <c r="F194" s="3">
        <v>0.29199999999999998</v>
      </c>
      <c r="G194" s="3">
        <v>0.86199999999999999</v>
      </c>
      <c r="H194" s="3">
        <v>0.95599999999999996</v>
      </c>
      <c r="I194" s="5">
        <v>60</v>
      </c>
      <c r="J194" s="3">
        <v>13</v>
      </c>
      <c r="K194" s="3">
        <v>12.7</v>
      </c>
    </row>
    <row r="195" spans="1:11" x14ac:dyDescent="0.2">
      <c r="A195" s="3">
        <v>59</v>
      </c>
      <c r="B195" s="3">
        <v>2850</v>
      </c>
      <c r="C195" s="3">
        <v>18</v>
      </c>
      <c r="D195" s="3">
        <v>0.67100000000000004</v>
      </c>
      <c r="E195" s="4">
        <v>0.18</v>
      </c>
      <c r="F195" s="3">
        <v>0.19900000000000001</v>
      </c>
      <c r="G195" s="3">
        <v>0.73399999999999999</v>
      </c>
      <c r="H195" s="3">
        <v>0.96599999999999997</v>
      </c>
      <c r="I195" s="5">
        <v>3</v>
      </c>
      <c r="J195" s="3">
        <v>13</v>
      </c>
      <c r="K195" s="3">
        <v>7.4</v>
      </c>
    </row>
    <row r="196" spans="1:11" x14ac:dyDescent="0.2">
      <c r="A196" s="3">
        <v>65</v>
      </c>
      <c r="B196" s="3">
        <v>3012</v>
      </c>
      <c r="C196" s="3">
        <v>139</v>
      </c>
      <c r="D196" s="3">
        <v>0.67100000000000004</v>
      </c>
      <c r="E196" s="4">
        <v>6.6000000000000003E-2</v>
      </c>
      <c r="F196" s="3">
        <v>0.26</v>
      </c>
      <c r="G196" s="3">
        <v>0.77500000000000002</v>
      </c>
      <c r="H196" s="3">
        <v>0.96299999999999997</v>
      </c>
      <c r="I196" s="5">
        <v>62</v>
      </c>
      <c r="J196" s="3">
        <v>6</v>
      </c>
      <c r="K196" s="3">
        <v>7.3</v>
      </c>
    </row>
    <row r="197" spans="1:11" x14ac:dyDescent="0.2">
      <c r="A197" s="3">
        <v>103</v>
      </c>
      <c r="B197" s="3">
        <v>4953</v>
      </c>
      <c r="C197" s="3">
        <v>65</v>
      </c>
      <c r="D197" s="3">
        <v>0.67100000000000004</v>
      </c>
      <c r="E197" s="4">
        <v>7.4999999999999997E-2</v>
      </c>
      <c r="F197" s="3">
        <v>0.13300000000000001</v>
      </c>
      <c r="G197" s="3">
        <v>0.72699999999999998</v>
      </c>
      <c r="H197" s="3">
        <v>0.97599999999999998</v>
      </c>
      <c r="I197" s="5">
        <v>5</v>
      </c>
      <c r="J197" s="3">
        <v>15</v>
      </c>
      <c r="K197" s="3">
        <v>8.1999999999999993</v>
      </c>
    </row>
    <row r="198" spans="1:11" x14ac:dyDescent="0.2">
      <c r="A198" s="3">
        <v>45</v>
      </c>
      <c r="B198" s="3">
        <v>2017</v>
      </c>
      <c r="C198" s="3">
        <v>66</v>
      </c>
      <c r="D198" s="3">
        <v>0.67200000000000004</v>
      </c>
      <c r="E198" s="4">
        <v>0.09</v>
      </c>
      <c r="F198" s="3">
        <v>8.5000000000000006E-2</v>
      </c>
      <c r="G198" s="3">
        <v>0.82399999999999995</v>
      </c>
      <c r="H198" s="3">
        <v>0.97399999999999998</v>
      </c>
      <c r="I198" s="5">
        <v>80</v>
      </c>
      <c r="J198" s="3">
        <v>8</v>
      </c>
      <c r="K198" s="3">
        <v>7.4</v>
      </c>
    </row>
    <row r="199" spans="1:11" x14ac:dyDescent="0.2">
      <c r="A199" s="3">
        <v>61</v>
      </c>
      <c r="B199" s="3">
        <v>3019</v>
      </c>
      <c r="C199" s="3">
        <v>59</v>
      </c>
      <c r="D199" s="3">
        <v>0.67200000000000004</v>
      </c>
      <c r="E199" s="4">
        <v>4.2000000000000003E-2</v>
      </c>
      <c r="F199" s="3">
        <v>0.25800000000000001</v>
      </c>
      <c r="G199" s="3">
        <v>0.96099999999999997</v>
      </c>
      <c r="H199" s="3">
        <v>0.91100000000000003</v>
      </c>
      <c r="I199" s="5">
        <v>54</v>
      </c>
      <c r="J199" s="3">
        <v>6</v>
      </c>
      <c r="K199" s="3">
        <v>9.1</v>
      </c>
    </row>
    <row r="200" spans="1:11" x14ac:dyDescent="0.2">
      <c r="A200" s="3">
        <v>82</v>
      </c>
      <c r="B200" s="3">
        <v>3895</v>
      </c>
      <c r="C200" s="3">
        <v>161</v>
      </c>
      <c r="D200" s="3">
        <v>0.67200000000000004</v>
      </c>
      <c r="E200" s="4">
        <v>0.105</v>
      </c>
      <c r="F200" s="3">
        <v>0.218</v>
      </c>
      <c r="G200" s="3">
        <v>0.95399999999999996</v>
      </c>
      <c r="H200" s="3">
        <v>0.91600000000000004</v>
      </c>
      <c r="I200" s="5">
        <v>58</v>
      </c>
      <c r="J200" s="3">
        <v>9</v>
      </c>
      <c r="K200" s="3">
        <v>2.2000000000000002</v>
      </c>
    </row>
    <row r="201" spans="1:11" x14ac:dyDescent="0.2">
      <c r="A201" s="3">
        <v>88</v>
      </c>
      <c r="B201" s="3">
        <v>4227</v>
      </c>
      <c r="C201" s="3">
        <v>68</v>
      </c>
      <c r="D201" s="3">
        <v>0.67200000000000004</v>
      </c>
      <c r="E201" s="4">
        <v>3.5999999999999997E-2</v>
      </c>
      <c r="F201" s="3">
        <v>7.1999999999999995E-2</v>
      </c>
      <c r="G201" s="3">
        <v>0.88800000000000001</v>
      </c>
      <c r="H201" s="3">
        <v>0.96</v>
      </c>
      <c r="I201" s="5">
        <v>24</v>
      </c>
      <c r="J201" s="3">
        <v>7</v>
      </c>
      <c r="K201" s="3">
        <v>9</v>
      </c>
    </row>
    <row r="202" spans="1:11" x14ac:dyDescent="0.2">
      <c r="A202" s="3">
        <v>94</v>
      </c>
      <c r="B202" s="3">
        <v>4634</v>
      </c>
      <c r="C202" s="3">
        <v>41</v>
      </c>
      <c r="D202" s="3">
        <v>0.67200000000000004</v>
      </c>
      <c r="E202" s="4">
        <v>0.183</v>
      </c>
      <c r="F202" s="3">
        <v>8.1000000000000003E-2</v>
      </c>
      <c r="G202" s="3">
        <v>0.80600000000000005</v>
      </c>
      <c r="H202" s="3">
        <v>0.95699999999999996</v>
      </c>
      <c r="I202" s="5">
        <v>9</v>
      </c>
      <c r="J202" s="3">
        <v>17</v>
      </c>
      <c r="K202" s="3">
        <v>11.6</v>
      </c>
    </row>
    <row r="203" spans="1:11" x14ac:dyDescent="0.2">
      <c r="A203" s="3">
        <v>100</v>
      </c>
      <c r="B203" s="3">
        <v>4802</v>
      </c>
      <c r="C203" s="3">
        <v>71</v>
      </c>
      <c r="D203" s="3">
        <v>0.67200000000000004</v>
      </c>
      <c r="E203" s="4">
        <v>1.2E-2</v>
      </c>
      <c r="F203" s="3">
        <v>0.20799999999999999</v>
      </c>
      <c r="G203" s="3">
        <v>0.94299999999999995</v>
      </c>
      <c r="H203" s="3">
        <v>0.92600000000000005</v>
      </c>
      <c r="I203" s="5">
        <v>28</v>
      </c>
      <c r="J203" s="3">
        <v>11</v>
      </c>
      <c r="K203" s="3">
        <v>5.3</v>
      </c>
    </row>
    <row r="204" spans="1:11" x14ac:dyDescent="0.2">
      <c r="A204" s="3">
        <v>80</v>
      </c>
      <c r="B204" s="3">
        <v>3776</v>
      </c>
      <c r="C204" s="3">
        <v>71</v>
      </c>
      <c r="D204" s="3">
        <v>0.67300000000000004</v>
      </c>
      <c r="E204" s="4">
        <v>0.16200000000000001</v>
      </c>
      <c r="F204" s="3">
        <v>8.8999999999999996E-2</v>
      </c>
      <c r="G204" s="3">
        <v>0.85699999999999998</v>
      </c>
      <c r="H204" s="3">
        <v>0.93100000000000005</v>
      </c>
      <c r="I204" s="5">
        <v>11</v>
      </c>
      <c r="J204" s="3">
        <v>6</v>
      </c>
      <c r="K204" s="3">
        <v>13.5</v>
      </c>
    </row>
    <row r="205" spans="1:11" x14ac:dyDescent="0.2">
      <c r="A205" s="3">
        <v>30</v>
      </c>
      <c r="B205" s="3">
        <v>1277</v>
      </c>
      <c r="C205" s="3">
        <v>49</v>
      </c>
      <c r="D205" s="3">
        <v>0.67400000000000004</v>
      </c>
      <c r="E205" s="4">
        <v>0.124</v>
      </c>
      <c r="F205" s="3">
        <v>0.14799999999999999</v>
      </c>
      <c r="G205" s="3">
        <v>0.82299999999999995</v>
      </c>
      <c r="H205" s="3">
        <v>0.95199999999999996</v>
      </c>
      <c r="I205" s="5">
        <v>34</v>
      </c>
      <c r="J205" s="3">
        <v>11</v>
      </c>
      <c r="K205" s="3">
        <v>11.8</v>
      </c>
    </row>
    <row r="206" spans="1:11" x14ac:dyDescent="0.2">
      <c r="A206" s="3">
        <v>85</v>
      </c>
      <c r="B206" s="3">
        <v>4021</v>
      </c>
      <c r="C206" s="3">
        <v>145</v>
      </c>
      <c r="D206" s="3">
        <v>0.67400000000000004</v>
      </c>
      <c r="E206" s="4">
        <v>0.17499999999999999</v>
      </c>
      <c r="F206" s="3">
        <v>0.14599999999999999</v>
      </c>
      <c r="G206" s="3">
        <v>0.83</v>
      </c>
      <c r="H206" s="3">
        <v>0.97399999999999998</v>
      </c>
      <c r="I206" s="5">
        <v>2</v>
      </c>
      <c r="J206" s="3">
        <v>12</v>
      </c>
      <c r="K206" s="3">
        <v>3.4</v>
      </c>
    </row>
    <row r="207" spans="1:11" x14ac:dyDescent="0.2">
      <c r="A207" s="3">
        <v>42</v>
      </c>
      <c r="B207" s="3">
        <v>1928</v>
      </c>
      <c r="C207" s="3">
        <v>44</v>
      </c>
      <c r="D207" s="3">
        <v>0.67500000000000004</v>
      </c>
      <c r="E207" s="4">
        <v>0.13100000000000001</v>
      </c>
      <c r="F207" s="3">
        <v>0.17499999999999999</v>
      </c>
      <c r="G207" s="3">
        <v>0.75600000000000001</v>
      </c>
      <c r="H207" s="3">
        <v>0.92200000000000004</v>
      </c>
      <c r="I207" s="5">
        <v>94</v>
      </c>
      <c r="J207" s="3">
        <v>2</v>
      </c>
      <c r="K207" s="3">
        <v>8.3000000000000007</v>
      </c>
    </row>
    <row r="208" spans="1:11" x14ac:dyDescent="0.2">
      <c r="A208" s="3">
        <v>35</v>
      </c>
      <c r="B208" s="3">
        <v>1643</v>
      </c>
      <c r="C208" s="3">
        <v>68</v>
      </c>
      <c r="D208" s="3">
        <v>0.67700000000000005</v>
      </c>
      <c r="E208" s="4">
        <v>0.19700000000000001</v>
      </c>
      <c r="F208" s="3">
        <v>0.151</v>
      </c>
      <c r="G208" s="3">
        <v>0.73899999999999999</v>
      </c>
      <c r="H208" s="3">
        <v>0.94</v>
      </c>
      <c r="I208" s="5">
        <v>44</v>
      </c>
      <c r="J208" s="3">
        <v>9</v>
      </c>
      <c r="K208" s="3">
        <v>12.9</v>
      </c>
    </row>
    <row r="209" spans="1:11" x14ac:dyDescent="0.2">
      <c r="A209" s="3">
        <v>74</v>
      </c>
      <c r="B209" s="3">
        <v>3468</v>
      </c>
      <c r="C209" s="3">
        <v>110</v>
      </c>
      <c r="D209" s="3">
        <v>0.67700000000000005</v>
      </c>
      <c r="E209" s="4">
        <v>3.2000000000000001E-2</v>
      </c>
      <c r="F209" s="3">
        <v>0.29499999999999998</v>
      </c>
      <c r="G209" s="3">
        <v>0.92800000000000005</v>
      </c>
      <c r="H209" s="3">
        <v>0.94499999999999995</v>
      </c>
      <c r="I209" s="5">
        <v>1</v>
      </c>
      <c r="J209" s="3">
        <v>8</v>
      </c>
      <c r="K209" s="3">
        <v>13.5</v>
      </c>
    </row>
    <row r="210" spans="1:11" x14ac:dyDescent="0.2">
      <c r="A210" s="3">
        <v>77</v>
      </c>
      <c r="B210" s="3">
        <v>3583</v>
      </c>
      <c r="C210" s="3">
        <v>128</v>
      </c>
      <c r="D210" s="3">
        <v>0.67700000000000005</v>
      </c>
      <c r="E210" s="4">
        <v>3.5000000000000003E-2</v>
      </c>
      <c r="F210" s="3">
        <v>0.27500000000000002</v>
      </c>
      <c r="G210" s="3">
        <v>0.73499999999999999</v>
      </c>
      <c r="H210" s="3">
        <v>0.90200000000000002</v>
      </c>
      <c r="I210" s="5">
        <v>48</v>
      </c>
      <c r="J210" s="3">
        <v>18</v>
      </c>
      <c r="K210" s="3">
        <v>11.3</v>
      </c>
    </row>
    <row r="211" spans="1:11" x14ac:dyDescent="0.2">
      <c r="A211" s="3">
        <v>33</v>
      </c>
      <c r="B211" s="3">
        <v>1494</v>
      </c>
      <c r="C211" s="3">
        <v>141</v>
      </c>
      <c r="D211" s="3">
        <v>0.67900000000000005</v>
      </c>
      <c r="E211" s="4">
        <v>8.3000000000000004E-2</v>
      </c>
      <c r="F211" s="3">
        <v>0.216</v>
      </c>
      <c r="G211" s="3">
        <v>0.89600000000000002</v>
      </c>
      <c r="H211" s="3">
        <v>0.91500000000000004</v>
      </c>
      <c r="I211" s="5">
        <v>10</v>
      </c>
      <c r="J211" s="3">
        <v>13</v>
      </c>
      <c r="K211" s="3">
        <v>13.5</v>
      </c>
    </row>
    <row r="212" spans="1:11" x14ac:dyDescent="0.2">
      <c r="A212" s="3">
        <v>75</v>
      </c>
      <c r="B212" s="3">
        <v>3587</v>
      </c>
      <c r="C212" s="3">
        <v>147</v>
      </c>
      <c r="D212" s="3">
        <v>0.67900000000000005</v>
      </c>
      <c r="E212" s="4">
        <v>0.109</v>
      </c>
      <c r="F212" s="3">
        <v>0.28399999999999997</v>
      </c>
      <c r="G212" s="3">
        <v>0.84099999999999997</v>
      </c>
      <c r="H212" s="3">
        <v>0.91400000000000003</v>
      </c>
      <c r="I212" s="5">
        <v>58</v>
      </c>
      <c r="J212" s="3">
        <v>19</v>
      </c>
      <c r="K212" s="3">
        <v>3.3</v>
      </c>
    </row>
    <row r="213" spans="1:11" x14ac:dyDescent="0.2">
      <c r="A213" s="3">
        <v>40</v>
      </c>
      <c r="B213" s="3">
        <v>1761</v>
      </c>
      <c r="C213" s="3">
        <v>24</v>
      </c>
      <c r="D213" s="3">
        <v>0.68</v>
      </c>
      <c r="E213" s="4">
        <v>4.2000000000000003E-2</v>
      </c>
      <c r="F213" s="3">
        <v>8.2000000000000003E-2</v>
      </c>
      <c r="G213" s="3">
        <v>0.82099999999999995</v>
      </c>
      <c r="H213" s="3">
        <v>0.97499999999999998</v>
      </c>
      <c r="I213" s="5">
        <v>93</v>
      </c>
      <c r="J213" s="3">
        <v>9</v>
      </c>
      <c r="K213" s="3">
        <v>9.6</v>
      </c>
    </row>
    <row r="214" spans="1:11" x14ac:dyDescent="0.2">
      <c r="A214" s="3">
        <v>55</v>
      </c>
      <c r="B214" s="3">
        <v>2603</v>
      </c>
      <c r="C214" s="3">
        <v>186</v>
      </c>
      <c r="D214" s="3">
        <v>0.68100000000000005</v>
      </c>
      <c r="E214" s="4">
        <v>2.1999999999999999E-2</v>
      </c>
      <c r="F214" s="3">
        <v>0.21199999999999999</v>
      </c>
      <c r="G214" s="3">
        <v>0.95299999999999996</v>
      </c>
      <c r="H214" s="3">
        <v>0.94399999999999995</v>
      </c>
      <c r="I214" s="5">
        <v>73</v>
      </c>
      <c r="J214" s="3">
        <v>6</v>
      </c>
      <c r="K214" s="3">
        <v>9.5</v>
      </c>
    </row>
    <row r="215" spans="1:11" x14ac:dyDescent="0.2">
      <c r="A215" s="3">
        <v>63</v>
      </c>
      <c r="B215" s="3">
        <v>2946</v>
      </c>
      <c r="C215" s="3">
        <v>105</v>
      </c>
      <c r="D215" s="3">
        <v>0.68100000000000005</v>
      </c>
      <c r="E215" s="4">
        <v>4.3999999999999997E-2</v>
      </c>
      <c r="F215" s="3">
        <v>0.24099999999999999</v>
      </c>
      <c r="G215" s="3">
        <v>0.74099999999999999</v>
      </c>
      <c r="H215" s="3">
        <v>0.98599999999999999</v>
      </c>
      <c r="I215" s="5">
        <v>22</v>
      </c>
      <c r="J215" s="3">
        <v>19</v>
      </c>
      <c r="K215" s="3">
        <v>3.5</v>
      </c>
    </row>
    <row r="216" spans="1:11" x14ac:dyDescent="0.2">
      <c r="A216" s="3">
        <v>93</v>
      </c>
      <c r="B216" s="3">
        <v>4560</v>
      </c>
      <c r="C216" s="3">
        <v>150</v>
      </c>
      <c r="D216" s="3">
        <v>0.68100000000000005</v>
      </c>
      <c r="E216" s="4">
        <v>0.16400000000000001</v>
      </c>
      <c r="F216" s="3">
        <v>6.2E-2</v>
      </c>
      <c r="G216" s="3">
        <v>0.83</v>
      </c>
      <c r="H216" s="3">
        <v>0.90200000000000002</v>
      </c>
      <c r="I216" s="5">
        <v>60</v>
      </c>
      <c r="J216" s="3">
        <v>16</v>
      </c>
      <c r="K216" s="3">
        <v>9.6</v>
      </c>
    </row>
    <row r="217" spans="1:11" x14ac:dyDescent="0.2">
      <c r="A217" s="3">
        <v>39</v>
      </c>
      <c r="B217" s="3">
        <v>1891</v>
      </c>
      <c r="C217" s="3">
        <v>135</v>
      </c>
      <c r="D217" s="3">
        <v>0.68200000000000005</v>
      </c>
      <c r="E217" s="4">
        <v>0.185</v>
      </c>
      <c r="F217" s="3">
        <v>0.13300000000000001</v>
      </c>
      <c r="G217" s="3">
        <v>0.85099999999999998</v>
      </c>
      <c r="H217" s="3">
        <v>0.92500000000000004</v>
      </c>
      <c r="I217" s="5">
        <v>56</v>
      </c>
      <c r="J217" s="3">
        <v>14</v>
      </c>
      <c r="K217" s="3">
        <v>8.1999999999999993</v>
      </c>
    </row>
    <row r="218" spans="1:11" x14ac:dyDescent="0.2">
      <c r="A218" s="3">
        <v>47</v>
      </c>
      <c r="B218" s="3">
        <v>2132</v>
      </c>
      <c r="C218" s="3">
        <v>67</v>
      </c>
      <c r="D218" s="3">
        <v>0.68200000000000005</v>
      </c>
      <c r="E218" s="4">
        <v>0.14199999999999999</v>
      </c>
      <c r="F218" s="3">
        <v>9.9000000000000005E-2</v>
      </c>
      <c r="G218" s="3">
        <v>0.81699999999999995</v>
      </c>
      <c r="H218" s="3">
        <v>0.97099999999999997</v>
      </c>
      <c r="I218" s="5">
        <v>81</v>
      </c>
      <c r="J218" s="3">
        <v>17</v>
      </c>
      <c r="K218" s="3">
        <v>13.1</v>
      </c>
    </row>
    <row r="219" spans="1:11" x14ac:dyDescent="0.2">
      <c r="A219" s="3">
        <v>61</v>
      </c>
      <c r="B219" s="3">
        <v>2932</v>
      </c>
      <c r="C219" s="3">
        <v>47</v>
      </c>
      <c r="D219" s="3">
        <v>0.68200000000000005</v>
      </c>
      <c r="E219" s="4">
        <v>0.19700000000000001</v>
      </c>
      <c r="F219" s="3">
        <v>0.11799999999999999</v>
      </c>
      <c r="G219" s="3">
        <v>0.90700000000000003</v>
      </c>
      <c r="H219" s="3">
        <v>0.91700000000000004</v>
      </c>
      <c r="I219" s="5">
        <v>12</v>
      </c>
      <c r="J219" s="3">
        <v>6</v>
      </c>
      <c r="K219" s="3">
        <v>7.8</v>
      </c>
    </row>
    <row r="220" spans="1:11" x14ac:dyDescent="0.2">
      <c r="A220" s="3">
        <v>63</v>
      </c>
      <c r="B220" s="3">
        <v>2946</v>
      </c>
      <c r="C220" s="3">
        <v>61</v>
      </c>
      <c r="D220" s="3">
        <v>0.68200000000000005</v>
      </c>
      <c r="E220" s="4">
        <v>0.11899999999999999</v>
      </c>
      <c r="F220" s="3">
        <v>0.186</v>
      </c>
      <c r="G220" s="3">
        <v>0.77</v>
      </c>
      <c r="H220" s="3">
        <v>0.92300000000000004</v>
      </c>
      <c r="I220" s="5">
        <v>42</v>
      </c>
      <c r="J220" s="3">
        <v>19</v>
      </c>
      <c r="K220" s="3">
        <v>8</v>
      </c>
    </row>
    <row r="221" spans="1:11" x14ac:dyDescent="0.2">
      <c r="A221" s="3">
        <v>76</v>
      </c>
      <c r="B221" s="3">
        <v>3694</v>
      </c>
      <c r="C221" s="3">
        <v>132</v>
      </c>
      <c r="D221" s="3">
        <v>0.68200000000000005</v>
      </c>
      <c r="E221" s="4">
        <v>0.113</v>
      </c>
      <c r="F221" s="3">
        <v>9.2999999999999999E-2</v>
      </c>
      <c r="G221" s="3">
        <v>0.76200000000000001</v>
      </c>
      <c r="H221" s="3">
        <v>0.94499999999999995</v>
      </c>
      <c r="I221" s="5">
        <v>43</v>
      </c>
      <c r="J221" s="3">
        <v>10</v>
      </c>
      <c r="K221" s="3">
        <v>6.4</v>
      </c>
    </row>
    <row r="222" spans="1:11" x14ac:dyDescent="0.2">
      <c r="A222" s="3">
        <v>33</v>
      </c>
      <c r="B222" s="3">
        <v>1398</v>
      </c>
      <c r="C222" s="3">
        <v>156</v>
      </c>
      <c r="D222" s="3">
        <v>0.68300000000000005</v>
      </c>
      <c r="E222" s="4">
        <v>0.02</v>
      </c>
      <c r="F222" s="3">
        <v>0.223</v>
      </c>
      <c r="G222" s="3">
        <v>0.98799999999999999</v>
      </c>
      <c r="H222" s="3">
        <v>0.95899999999999996</v>
      </c>
      <c r="I222" s="5">
        <v>22</v>
      </c>
      <c r="J222" s="3">
        <v>14</v>
      </c>
      <c r="K222" s="3">
        <v>5.2</v>
      </c>
    </row>
    <row r="223" spans="1:11" x14ac:dyDescent="0.2">
      <c r="A223" s="3">
        <v>37</v>
      </c>
      <c r="B223" s="3">
        <v>1580</v>
      </c>
      <c r="C223" s="3">
        <v>121</v>
      </c>
      <c r="D223" s="3">
        <v>0.68300000000000005</v>
      </c>
      <c r="E223" s="4">
        <v>0.17499999999999999</v>
      </c>
      <c r="F223" s="3">
        <v>0.29199999999999998</v>
      </c>
      <c r="G223" s="3">
        <v>0.871</v>
      </c>
      <c r="H223" s="3">
        <v>0.98</v>
      </c>
      <c r="I223" s="5">
        <v>3</v>
      </c>
      <c r="J223" s="3">
        <v>14</v>
      </c>
      <c r="K223" s="3">
        <v>13.2</v>
      </c>
    </row>
    <row r="224" spans="1:11" x14ac:dyDescent="0.2">
      <c r="A224" s="3">
        <v>67</v>
      </c>
      <c r="B224" s="3">
        <v>3321</v>
      </c>
      <c r="C224" s="3">
        <v>108</v>
      </c>
      <c r="D224" s="3">
        <v>0.68400000000000005</v>
      </c>
      <c r="E224" s="4">
        <v>1.0999999999999999E-2</v>
      </c>
      <c r="F224" s="3">
        <v>0.122</v>
      </c>
      <c r="G224" s="3">
        <v>0.85499999999999998</v>
      </c>
      <c r="H224" s="3">
        <v>0.97799999999999998</v>
      </c>
      <c r="I224" s="5">
        <v>29</v>
      </c>
      <c r="J224" s="3">
        <v>15</v>
      </c>
      <c r="K224" s="3">
        <v>2.2000000000000002</v>
      </c>
    </row>
    <row r="225" spans="1:11" x14ac:dyDescent="0.2">
      <c r="A225" s="3">
        <v>77</v>
      </c>
      <c r="B225" s="3">
        <v>3767</v>
      </c>
      <c r="C225" s="3">
        <v>157</v>
      </c>
      <c r="D225" s="3">
        <v>0.68400000000000005</v>
      </c>
      <c r="E225" s="4">
        <v>0.03</v>
      </c>
      <c r="F225" s="3">
        <v>0.11600000000000001</v>
      </c>
      <c r="G225" s="3">
        <v>0.94</v>
      </c>
      <c r="H225" s="3">
        <v>0.95399999999999996</v>
      </c>
      <c r="I225" s="5">
        <v>44</v>
      </c>
      <c r="J225" s="3">
        <v>2</v>
      </c>
      <c r="K225" s="3">
        <v>11.8</v>
      </c>
    </row>
    <row r="226" spans="1:11" x14ac:dyDescent="0.2">
      <c r="A226" s="3">
        <v>25</v>
      </c>
      <c r="B226" s="3">
        <v>1161</v>
      </c>
      <c r="C226" s="3">
        <v>73</v>
      </c>
      <c r="D226" s="3">
        <v>0.68500000000000005</v>
      </c>
      <c r="E226" s="4">
        <v>4.7E-2</v>
      </c>
      <c r="F226" s="3">
        <v>0.111</v>
      </c>
      <c r="G226" s="3">
        <v>0.88800000000000001</v>
      </c>
      <c r="H226" s="3">
        <v>0.96799999999999997</v>
      </c>
      <c r="I226" s="5">
        <v>41</v>
      </c>
      <c r="J226" s="3">
        <v>4</v>
      </c>
      <c r="K226" s="3">
        <v>11.5</v>
      </c>
    </row>
    <row r="227" spans="1:11" x14ac:dyDescent="0.2">
      <c r="A227" s="3">
        <v>63</v>
      </c>
      <c r="B227" s="3">
        <v>3043</v>
      </c>
      <c r="C227" s="3">
        <v>136</v>
      </c>
      <c r="D227" s="3">
        <v>0.68500000000000005</v>
      </c>
      <c r="E227" s="4">
        <v>3.7999999999999999E-2</v>
      </c>
      <c r="F227" s="3">
        <v>0.255</v>
      </c>
      <c r="G227" s="3">
        <v>0.84099999999999997</v>
      </c>
      <c r="H227" s="3">
        <v>0.91600000000000004</v>
      </c>
      <c r="I227" s="5">
        <v>87</v>
      </c>
      <c r="J227" s="3">
        <v>18</v>
      </c>
      <c r="K227" s="3">
        <v>8.1</v>
      </c>
    </row>
    <row r="228" spans="1:11" x14ac:dyDescent="0.2">
      <c r="A228" s="3">
        <v>65</v>
      </c>
      <c r="B228" s="3">
        <v>3158</v>
      </c>
      <c r="C228" s="3">
        <v>182</v>
      </c>
      <c r="D228" s="3">
        <v>0.68500000000000005</v>
      </c>
      <c r="E228" s="4">
        <v>0.108</v>
      </c>
      <c r="F228" s="3">
        <v>0.23899999999999999</v>
      </c>
      <c r="G228" s="3">
        <v>0.83399999999999996</v>
      </c>
      <c r="H228" s="3">
        <v>0.96</v>
      </c>
      <c r="I228" s="5">
        <v>57</v>
      </c>
      <c r="J228" s="3">
        <v>12</v>
      </c>
      <c r="K228" s="3">
        <v>13.6</v>
      </c>
    </row>
    <row r="229" spans="1:11" x14ac:dyDescent="0.2">
      <c r="A229" s="3">
        <v>71</v>
      </c>
      <c r="B229" s="3">
        <v>3309</v>
      </c>
      <c r="C229" s="3">
        <v>171</v>
      </c>
      <c r="D229" s="3">
        <v>0.68500000000000005</v>
      </c>
      <c r="E229" s="4">
        <v>0.153</v>
      </c>
      <c r="F229" s="3">
        <v>0.06</v>
      </c>
      <c r="G229" s="3">
        <v>0.85199999999999998</v>
      </c>
      <c r="H229" s="3">
        <v>0.93200000000000005</v>
      </c>
      <c r="I229" s="5">
        <v>65</v>
      </c>
      <c r="J229" s="3">
        <v>4</v>
      </c>
      <c r="K229" s="3">
        <v>12.3</v>
      </c>
    </row>
    <row r="230" spans="1:11" x14ac:dyDescent="0.2">
      <c r="A230" s="3">
        <v>29</v>
      </c>
      <c r="B230" s="3">
        <v>1341</v>
      </c>
      <c r="C230" s="3">
        <v>22</v>
      </c>
      <c r="D230" s="3">
        <v>0.68600000000000005</v>
      </c>
      <c r="E230" s="4">
        <v>0.14799999999999999</v>
      </c>
      <c r="F230" s="3">
        <v>0.19</v>
      </c>
      <c r="G230" s="3">
        <v>0.71599999999999997</v>
      </c>
      <c r="H230" s="3">
        <v>0.98899999999999999</v>
      </c>
      <c r="I230" s="5">
        <v>33</v>
      </c>
      <c r="J230" s="3">
        <v>16</v>
      </c>
      <c r="K230" s="3">
        <v>4.5999999999999996</v>
      </c>
    </row>
    <row r="231" spans="1:11" x14ac:dyDescent="0.2">
      <c r="A231" s="3">
        <v>36</v>
      </c>
      <c r="B231" s="3">
        <v>1618</v>
      </c>
      <c r="C231" s="3">
        <v>29</v>
      </c>
      <c r="D231" s="3">
        <v>0.68600000000000005</v>
      </c>
      <c r="E231" s="4">
        <v>4.2000000000000003E-2</v>
      </c>
      <c r="F231" s="3">
        <v>0.185</v>
      </c>
      <c r="G231" s="3">
        <v>0.98599999999999999</v>
      </c>
      <c r="H231" s="3">
        <v>0.92800000000000005</v>
      </c>
      <c r="I231" s="5">
        <v>99</v>
      </c>
      <c r="J231" s="3">
        <v>14</v>
      </c>
      <c r="K231" s="3">
        <v>1.9</v>
      </c>
    </row>
    <row r="232" spans="1:11" x14ac:dyDescent="0.2">
      <c r="A232" s="3">
        <v>38</v>
      </c>
      <c r="B232" s="3">
        <v>1785</v>
      </c>
      <c r="C232" s="3">
        <v>90</v>
      </c>
      <c r="D232" s="3">
        <v>0.68600000000000005</v>
      </c>
      <c r="E232" s="4">
        <v>0.155</v>
      </c>
      <c r="F232" s="3">
        <v>0.27800000000000002</v>
      </c>
      <c r="G232" s="3">
        <v>0.81799999999999995</v>
      </c>
      <c r="H232" s="3">
        <v>0.95599999999999996</v>
      </c>
      <c r="I232" s="5">
        <v>47</v>
      </c>
      <c r="J232" s="3">
        <v>16</v>
      </c>
      <c r="K232" s="3">
        <v>11.5</v>
      </c>
    </row>
    <row r="233" spans="1:11" x14ac:dyDescent="0.2">
      <c r="A233" s="3">
        <v>54</v>
      </c>
      <c r="B233" s="3">
        <v>2497</v>
      </c>
      <c r="C233" s="3">
        <v>56</v>
      </c>
      <c r="D233" s="3">
        <v>0.68600000000000005</v>
      </c>
      <c r="E233" s="4">
        <v>4.3999999999999997E-2</v>
      </c>
      <c r="F233" s="3">
        <v>0.29899999999999999</v>
      </c>
      <c r="G233" s="3">
        <v>0.83499999999999996</v>
      </c>
      <c r="H233" s="3">
        <v>0.98799999999999999</v>
      </c>
      <c r="I233" s="5">
        <v>64</v>
      </c>
      <c r="J233" s="3">
        <v>14</v>
      </c>
      <c r="K233" s="3">
        <v>13.2</v>
      </c>
    </row>
    <row r="234" spans="1:11" x14ac:dyDescent="0.2">
      <c r="A234" s="3">
        <v>54</v>
      </c>
      <c r="B234" s="3">
        <v>2572</v>
      </c>
      <c r="C234" s="3">
        <v>34</v>
      </c>
      <c r="D234" s="3">
        <v>0.68600000000000005</v>
      </c>
      <c r="E234" s="4">
        <v>0.106</v>
      </c>
      <c r="F234" s="3">
        <v>0.184</v>
      </c>
      <c r="G234" s="3">
        <v>0.81699999999999995</v>
      </c>
      <c r="H234" s="3">
        <v>0.90900000000000003</v>
      </c>
      <c r="I234" s="5">
        <v>35</v>
      </c>
      <c r="J234" s="3">
        <v>19</v>
      </c>
      <c r="K234" s="3">
        <v>7.7</v>
      </c>
    </row>
    <row r="235" spans="1:11" x14ac:dyDescent="0.2">
      <c r="A235" s="3">
        <v>59</v>
      </c>
      <c r="B235" s="3">
        <v>2855</v>
      </c>
      <c r="C235" s="3">
        <v>197</v>
      </c>
      <c r="D235" s="3">
        <v>0.68700000000000006</v>
      </c>
      <c r="E235" s="4">
        <v>0.13600000000000001</v>
      </c>
      <c r="F235" s="3">
        <v>0.28999999999999998</v>
      </c>
      <c r="G235" s="3">
        <v>0.97099999999999997</v>
      </c>
      <c r="H235" s="3">
        <v>0.96799999999999997</v>
      </c>
      <c r="I235" s="5">
        <v>41</v>
      </c>
      <c r="J235" s="3">
        <v>1</v>
      </c>
      <c r="K235" s="3">
        <v>2.5</v>
      </c>
    </row>
    <row r="236" spans="1:11" x14ac:dyDescent="0.2">
      <c r="A236" s="3">
        <v>89</v>
      </c>
      <c r="B236" s="3">
        <v>4249</v>
      </c>
      <c r="C236" s="3">
        <v>94</v>
      </c>
      <c r="D236" s="3">
        <v>0.68700000000000006</v>
      </c>
      <c r="E236" s="4">
        <v>9.5000000000000001E-2</v>
      </c>
      <c r="F236" s="3">
        <v>0.29699999999999999</v>
      </c>
      <c r="G236" s="3">
        <v>0.73699999999999999</v>
      </c>
      <c r="H236" s="3">
        <v>0.93300000000000005</v>
      </c>
      <c r="I236" s="5">
        <v>40</v>
      </c>
      <c r="J236" s="3">
        <v>16</v>
      </c>
      <c r="K236" s="3">
        <v>11.9</v>
      </c>
    </row>
    <row r="237" spans="1:11" x14ac:dyDescent="0.2">
      <c r="A237" s="3">
        <v>26</v>
      </c>
      <c r="B237" s="3">
        <v>1056</v>
      </c>
      <c r="C237" s="3">
        <v>166</v>
      </c>
      <c r="D237" s="3">
        <v>0.68799999999999994</v>
      </c>
      <c r="E237" s="4">
        <v>1.2999999999999999E-2</v>
      </c>
      <c r="F237" s="3">
        <v>0.255</v>
      </c>
      <c r="G237" s="3">
        <v>0.70399999999999996</v>
      </c>
      <c r="H237" s="3">
        <v>0.91</v>
      </c>
      <c r="I237" s="5">
        <v>91</v>
      </c>
      <c r="J237" s="3">
        <v>4</v>
      </c>
      <c r="K237" s="3">
        <v>13.2</v>
      </c>
    </row>
    <row r="238" spans="1:11" x14ac:dyDescent="0.2">
      <c r="A238" s="3">
        <v>41</v>
      </c>
      <c r="B238" s="3">
        <v>1860</v>
      </c>
      <c r="C238" s="3">
        <v>137</v>
      </c>
      <c r="D238" s="3">
        <v>0.68799999999999994</v>
      </c>
      <c r="E238" s="4">
        <v>3.5000000000000003E-2</v>
      </c>
      <c r="F238" s="3">
        <v>0.23100000000000001</v>
      </c>
      <c r="G238" s="3">
        <v>0.73899999999999999</v>
      </c>
      <c r="H238" s="3">
        <v>0.96499999999999997</v>
      </c>
      <c r="I238" s="5">
        <v>48</v>
      </c>
      <c r="J238" s="3">
        <v>5</v>
      </c>
      <c r="K238" s="3">
        <v>12.5</v>
      </c>
    </row>
    <row r="239" spans="1:11" x14ac:dyDescent="0.2">
      <c r="A239" s="3">
        <v>48</v>
      </c>
      <c r="B239" s="3">
        <v>2180</v>
      </c>
      <c r="C239" s="3">
        <v>36</v>
      </c>
      <c r="D239" s="3">
        <v>0.68799999999999994</v>
      </c>
      <c r="E239" s="4">
        <v>0.16900000000000001</v>
      </c>
      <c r="F239" s="3">
        <v>6.0999999999999999E-2</v>
      </c>
      <c r="G239" s="3">
        <v>0.94199999999999995</v>
      </c>
      <c r="H239" s="3">
        <v>0.92200000000000004</v>
      </c>
      <c r="I239" s="5">
        <v>13</v>
      </c>
      <c r="J239" s="3">
        <v>4</v>
      </c>
      <c r="K239" s="3">
        <v>12.7</v>
      </c>
    </row>
    <row r="240" spans="1:11" x14ac:dyDescent="0.2">
      <c r="A240" s="3">
        <v>88</v>
      </c>
      <c r="B240" s="3">
        <v>4171</v>
      </c>
      <c r="C240" s="3">
        <v>171</v>
      </c>
      <c r="D240" s="3">
        <v>0.68799999999999994</v>
      </c>
      <c r="E240" s="4">
        <v>9.1999999999999998E-2</v>
      </c>
      <c r="F240" s="3">
        <v>0.13900000000000001</v>
      </c>
      <c r="G240" s="3">
        <v>0.91400000000000003</v>
      </c>
      <c r="H240" s="3">
        <v>0.94799999999999995</v>
      </c>
      <c r="I240" s="5">
        <v>78</v>
      </c>
      <c r="J240" s="3">
        <v>1</v>
      </c>
      <c r="K240" s="3">
        <v>11.7</v>
      </c>
    </row>
    <row r="241" spans="1:11" x14ac:dyDescent="0.2">
      <c r="A241" s="3">
        <v>89</v>
      </c>
      <c r="B241" s="3">
        <v>4212</v>
      </c>
      <c r="C241" s="3">
        <v>68</v>
      </c>
      <c r="D241" s="3">
        <v>0.68799999999999994</v>
      </c>
      <c r="E241" s="4">
        <v>0.108</v>
      </c>
      <c r="F241" s="3">
        <v>0.16400000000000001</v>
      </c>
      <c r="G241" s="3">
        <v>0.83899999999999997</v>
      </c>
      <c r="H241" s="3">
        <v>0.95099999999999996</v>
      </c>
      <c r="I241" s="5">
        <v>96</v>
      </c>
      <c r="J241" s="3">
        <v>18</v>
      </c>
      <c r="K241" s="3">
        <v>10</v>
      </c>
    </row>
    <row r="242" spans="1:11" x14ac:dyDescent="0.2">
      <c r="A242" s="3">
        <v>43</v>
      </c>
      <c r="B242" s="3">
        <v>1905</v>
      </c>
      <c r="C242" s="3">
        <v>179</v>
      </c>
      <c r="D242" s="3">
        <v>0.69</v>
      </c>
      <c r="E242" s="4">
        <v>0.17299999999999999</v>
      </c>
      <c r="F242" s="3">
        <v>7.1999999999999995E-2</v>
      </c>
      <c r="G242" s="3">
        <v>0.91700000000000004</v>
      </c>
      <c r="H242" s="3">
        <v>0.98899999999999999</v>
      </c>
      <c r="I242" s="5">
        <v>14</v>
      </c>
      <c r="J242" s="3">
        <v>12</v>
      </c>
      <c r="K242" s="3">
        <v>6.2</v>
      </c>
    </row>
    <row r="243" spans="1:11" x14ac:dyDescent="0.2">
      <c r="A243" s="3">
        <v>49</v>
      </c>
      <c r="B243" s="3">
        <v>2178</v>
      </c>
      <c r="C243" s="3">
        <v>63</v>
      </c>
      <c r="D243" s="3">
        <v>0.69</v>
      </c>
      <c r="E243" s="4">
        <v>0.152</v>
      </c>
      <c r="F243" s="3">
        <v>0.13900000000000001</v>
      </c>
      <c r="G243" s="3">
        <v>0.73399999999999999</v>
      </c>
      <c r="H243" s="3">
        <v>0.92100000000000004</v>
      </c>
      <c r="I243" s="5">
        <v>45</v>
      </c>
      <c r="J243" s="3">
        <v>15</v>
      </c>
      <c r="K243" s="3">
        <v>4.0999999999999996</v>
      </c>
    </row>
    <row r="244" spans="1:11" x14ac:dyDescent="0.2">
      <c r="A244" s="3">
        <v>54</v>
      </c>
      <c r="B244" s="3">
        <v>2538</v>
      </c>
      <c r="C244" s="3">
        <v>24</v>
      </c>
      <c r="D244" s="3">
        <v>0.69</v>
      </c>
      <c r="E244" s="4">
        <v>0.187</v>
      </c>
      <c r="F244" s="3">
        <v>8.8999999999999996E-2</v>
      </c>
      <c r="G244" s="3">
        <v>0.84499999999999997</v>
      </c>
      <c r="H244" s="3">
        <v>0.94799999999999995</v>
      </c>
      <c r="I244" s="5">
        <v>62</v>
      </c>
      <c r="J244" s="3">
        <v>15</v>
      </c>
      <c r="K244" s="3">
        <v>8.1999999999999993</v>
      </c>
    </row>
    <row r="245" spans="1:11" x14ac:dyDescent="0.2">
      <c r="A245" s="3">
        <v>92</v>
      </c>
      <c r="B245" s="3">
        <v>4429</v>
      </c>
      <c r="C245" s="3">
        <v>122</v>
      </c>
      <c r="D245" s="3">
        <v>0.69</v>
      </c>
      <c r="E245" s="4">
        <v>0.16700000000000001</v>
      </c>
      <c r="F245" s="3">
        <v>0.17199999999999999</v>
      </c>
      <c r="G245" s="3">
        <v>0.77700000000000002</v>
      </c>
      <c r="H245" s="3">
        <v>0.90400000000000003</v>
      </c>
      <c r="I245" s="5">
        <v>59</v>
      </c>
      <c r="J245" s="3">
        <v>0</v>
      </c>
      <c r="K245" s="3">
        <v>4.4000000000000004</v>
      </c>
    </row>
    <row r="246" spans="1:11" x14ac:dyDescent="0.2">
      <c r="A246" s="3">
        <v>98</v>
      </c>
      <c r="B246" s="3">
        <v>4831</v>
      </c>
      <c r="C246" s="3">
        <v>13</v>
      </c>
      <c r="D246" s="3">
        <v>0.69</v>
      </c>
      <c r="E246" s="4">
        <v>9.6000000000000002E-2</v>
      </c>
      <c r="F246" s="3">
        <v>6.0999999999999999E-2</v>
      </c>
      <c r="G246" s="3">
        <v>0.93799999999999994</v>
      </c>
      <c r="H246" s="3">
        <v>0.98799999999999999</v>
      </c>
      <c r="I246" s="5">
        <v>24</v>
      </c>
      <c r="J246" s="3">
        <v>12</v>
      </c>
      <c r="K246" s="3">
        <v>3.4</v>
      </c>
    </row>
    <row r="247" spans="1:11" x14ac:dyDescent="0.2">
      <c r="A247" s="3">
        <v>46</v>
      </c>
      <c r="B247" s="3">
        <v>2035</v>
      </c>
      <c r="C247" s="3">
        <v>72</v>
      </c>
      <c r="D247" s="3">
        <v>0.69099999999999995</v>
      </c>
      <c r="E247" s="4">
        <v>0.17100000000000001</v>
      </c>
      <c r="F247" s="3">
        <v>0.25600000000000001</v>
      </c>
      <c r="G247" s="3">
        <v>0.70599999999999996</v>
      </c>
      <c r="H247" s="3">
        <v>0.92800000000000005</v>
      </c>
      <c r="I247" s="5">
        <v>7</v>
      </c>
      <c r="J247" s="3">
        <v>11</v>
      </c>
      <c r="K247" s="3">
        <v>11.4</v>
      </c>
    </row>
    <row r="248" spans="1:11" x14ac:dyDescent="0.2">
      <c r="A248" s="3">
        <v>60</v>
      </c>
      <c r="B248" s="3">
        <v>2878</v>
      </c>
      <c r="C248" s="3">
        <v>185</v>
      </c>
      <c r="D248" s="3">
        <v>0.69099999999999995</v>
      </c>
      <c r="E248" s="4">
        <v>0.03</v>
      </c>
      <c r="F248" s="3">
        <v>0.29099999999999998</v>
      </c>
      <c r="G248" s="3">
        <v>0.92200000000000004</v>
      </c>
      <c r="H248" s="3">
        <v>0.91400000000000003</v>
      </c>
      <c r="I248" s="5">
        <v>29</v>
      </c>
      <c r="J248" s="3">
        <v>12</v>
      </c>
      <c r="K248" s="3">
        <v>2</v>
      </c>
    </row>
    <row r="249" spans="1:11" x14ac:dyDescent="0.2">
      <c r="A249" s="3">
        <v>72</v>
      </c>
      <c r="B249" s="3">
        <v>3518</v>
      </c>
      <c r="C249" s="3">
        <v>73</v>
      </c>
      <c r="D249" s="3">
        <v>0.69099999999999995</v>
      </c>
      <c r="E249" s="4">
        <v>0.154</v>
      </c>
      <c r="F249" s="3">
        <v>0.13800000000000001</v>
      </c>
      <c r="G249" s="3">
        <v>0.84799999999999998</v>
      </c>
      <c r="H249" s="3">
        <v>0.95499999999999996</v>
      </c>
      <c r="I249" s="5">
        <v>16</v>
      </c>
      <c r="J249" s="3">
        <v>10</v>
      </c>
      <c r="K249" s="3">
        <v>8.9</v>
      </c>
    </row>
    <row r="250" spans="1:11" x14ac:dyDescent="0.2">
      <c r="A250" s="3">
        <v>72</v>
      </c>
      <c r="B250" s="3">
        <v>3567</v>
      </c>
      <c r="C250" s="3">
        <v>104</v>
      </c>
      <c r="D250" s="3">
        <v>0.69099999999999995</v>
      </c>
      <c r="E250" s="4">
        <v>0.109</v>
      </c>
      <c r="F250" s="3">
        <v>0.19800000000000001</v>
      </c>
      <c r="G250" s="3">
        <v>0.93300000000000005</v>
      </c>
      <c r="H250" s="3">
        <v>0.95899999999999996</v>
      </c>
      <c r="I250" s="5">
        <v>10</v>
      </c>
      <c r="J250" s="3">
        <v>19</v>
      </c>
      <c r="K250" s="3">
        <v>8.6999999999999993</v>
      </c>
    </row>
    <row r="251" spans="1:11" x14ac:dyDescent="0.2">
      <c r="A251" s="3">
        <v>100</v>
      </c>
      <c r="B251" s="3">
        <v>4906</v>
      </c>
      <c r="C251" s="3">
        <v>46</v>
      </c>
      <c r="D251" s="3">
        <v>0.69199999999999995</v>
      </c>
      <c r="E251" s="4">
        <v>0.19700000000000001</v>
      </c>
      <c r="F251" s="3">
        <v>0.28699999999999998</v>
      </c>
      <c r="G251" s="3">
        <v>0.72899999999999998</v>
      </c>
      <c r="H251" s="3">
        <v>0.91200000000000003</v>
      </c>
      <c r="I251" s="5">
        <v>20</v>
      </c>
      <c r="J251" s="3">
        <v>8</v>
      </c>
      <c r="K251" s="3">
        <v>9.1999999999999993</v>
      </c>
    </row>
    <row r="252" spans="1:11" x14ac:dyDescent="0.2">
      <c r="A252" s="3">
        <v>99</v>
      </c>
      <c r="B252" s="3">
        <v>4921</v>
      </c>
      <c r="C252" s="3">
        <v>143</v>
      </c>
      <c r="D252" s="3">
        <v>0.69199999999999995</v>
      </c>
      <c r="E252" s="4">
        <v>6.7000000000000004E-2</v>
      </c>
      <c r="F252" s="3">
        <v>0.10299999999999999</v>
      </c>
      <c r="G252" s="3">
        <v>0.79</v>
      </c>
      <c r="H252" s="3">
        <v>0.94799999999999995</v>
      </c>
      <c r="I252" s="5">
        <v>58</v>
      </c>
      <c r="J252" s="3">
        <v>4</v>
      </c>
      <c r="K252" s="3">
        <v>10.5</v>
      </c>
    </row>
    <row r="253" spans="1:11" x14ac:dyDescent="0.2">
      <c r="A253" s="3">
        <v>51</v>
      </c>
      <c r="B253" s="3">
        <v>2303</v>
      </c>
      <c r="C253" s="3">
        <v>171</v>
      </c>
      <c r="D253" s="3">
        <v>0.69299999999999995</v>
      </c>
      <c r="E253" s="4">
        <v>7.9000000000000001E-2</v>
      </c>
      <c r="F253" s="3">
        <v>0.26300000000000001</v>
      </c>
      <c r="G253" s="3">
        <v>0.8</v>
      </c>
      <c r="H253" s="3">
        <v>0.97599999999999998</v>
      </c>
      <c r="I253" s="5">
        <v>13</v>
      </c>
      <c r="J253" s="3">
        <v>11</v>
      </c>
      <c r="K253" s="3">
        <v>2.4</v>
      </c>
    </row>
    <row r="254" spans="1:11" x14ac:dyDescent="0.2">
      <c r="A254" s="3">
        <v>55</v>
      </c>
      <c r="B254" s="3">
        <v>2534</v>
      </c>
      <c r="C254" s="3">
        <v>157</v>
      </c>
      <c r="D254" s="3">
        <v>0.69299999999999995</v>
      </c>
      <c r="E254" s="4">
        <v>0.16600000000000001</v>
      </c>
      <c r="F254" s="3">
        <v>7.0000000000000007E-2</v>
      </c>
      <c r="G254" s="3">
        <v>0.74299999999999999</v>
      </c>
      <c r="H254" s="3">
        <v>0.92800000000000005</v>
      </c>
      <c r="I254" s="5">
        <v>19</v>
      </c>
      <c r="J254" s="3">
        <v>10</v>
      </c>
      <c r="K254" s="3">
        <v>6.6</v>
      </c>
    </row>
    <row r="255" spans="1:11" x14ac:dyDescent="0.2">
      <c r="A255" s="3">
        <v>69</v>
      </c>
      <c r="B255" s="3">
        <v>3352</v>
      </c>
      <c r="C255" s="3">
        <v>79</v>
      </c>
      <c r="D255" s="3">
        <v>0.69299999999999995</v>
      </c>
      <c r="E255" s="4">
        <v>0.19</v>
      </c>
      <c r="F255" s="3">
        <v>0.193</v>
      </c>
      <c r="G255" s="3">
        <v>0.91900000000000004</v>
      </c>
      <c r="H255" s="3">
        <v>0.94499999999999995</v>
      </c>
      <c r="I255" s="5">
        <v>92</v>
      </c>
      <c r="J255" s="3">
        <v>14</v>
      </c>
      <c r="K255" s="3">
        <v>11</v>
      </c>
    </row>
    <row r="256" spans="1:11" x14ac:dyDescent="0.2">
      <c r="A256" s="3">
        <v>21</v>
      </c>
      <c r="B256" s="3">
        <v>1022</v>
      </c>
      <c r="C256" s="3">
        <v>85</v>
      </c>
      <c r="D256" s="3">
        <v>0.69399999999999995</v>
      </c>
      <c r="E256" s="4">
        <v>9.2999999999999999E-2</v>
      </c>
      <c r="F256" s="3">
        <v>0.26300000000000001</v>
      </c>
      <c r="G256" s="3">
        <v>0.93700000000000006</v>
      </c>
      <c r="H256" s="3">
        <v>0.98299999999999998</v>
      </c>
      <c r="I256" s="5">
        <v>63</v>
      </c>
      <c r="J256" s="3">
        <v>3</v>
      </c>
      <c r="K256" s="3">
        <v>6</v>
      </c>
    </row>
    <row r="257" spans="1:11" x14ac:dyDescent="0.2">
      <c r="A257" s="3">
        <v>30</v>
      </c>
      <c r="B257" s="3">
        <v>1273</v>
      </c>
      <c r="C257" s="3">
        <v>38</v>
      </c>
      <c r="D257" s="3">
        <v>0.69399999999999995</v>
      </c>
      <c r="E257" s="4">
        <v>0.17</v>
      </c>
      <c r="F257" s="3">
        <v>0.182</v>
      </c>
      <c r="G257" s="3">
        <v>0.73699999999999999</v>
      </c>
      <c r="H257" s="3">
        <v>0.94099999999999995</v>
      </c>
      <c r="I257" s="5">
        <v>43</v>
      </c>
      <c r="J257" s="3">
        <v>19</v>
      </c>
      <c r="K257" s="3">
        <v>10.7</v>
      </c>
    </row>
    <row r="258" spans="1:11" x14ac:dyDescent="0.2">
      <c r="A258" s="3">
        <v>54</v>
      </c>
      <c r="B258" s="3">
        <v>2444</v>
      </c>
      <c r="C258" s="3">
        <v>49</v>
      </c>
      <c r="D258" s="3">
        <v>0.69399999999999995</v>
      </c>
      <c r="E258" s="4">
        <v>0.05</v>
      </c>
      <c r="F258" s="3">
        <v>0.152</v>
      </c>
      <c r="G258" s="3">
        <v>0.94899999999999995</v>
      </c>
      <c r="H258" s="3">
        <v>0.90500000000000003</v>
      </c>
      <c r="I258" s="5">
        <v>73</v>
      </c>
      <c r="J258" s="3">
        <v>18</v>
      </c>
      <c r="K258" s="3">
        <v>3</v>
      </c>
    </row>
    <row r="259" spans="1:11" x14ac:dyDescent="0.2">
      <c r="A259" s="3">
        <v>38</v>
      </c>
      <c r="B259" s="3">
        <v>1863</v>
      </c>
      <c r="C259" s="3">
        <v>28</v>
      </c>
      <c r="D259" s="3">
        <v>0.69599999999999995</v>
      </c>
      <c r="E259" s="4">
        <v>9.1999999999999998E-2</v>
      </c>
      <c r="F259" s="3">
        <v>0.219</v>
      </c>
      <c r="G259" s="3">
        <v>0.747</v>
      </c>
      <c r="H259" s="3">
        <v>0.90900000000000003</v>
      </c>
      <c r="I259" s="5">
        <v>77</v>
      </c>
      <c r="J259" s="3">
        <v>0</v>
      </c>
      <c r="K259" s="3">
        <v>10.5</v>
      </c>
    </row>
    <row r="260" spans="1:11" x14ac:dyDescent="0.2">
      <c r="A260" s="3">
        <v>82</v>
      </c>
      <c r="B260" s="3">
        <v>3837</v>
      </c>
      <c r="C260" s="3">
        <v>184</v>
      </c>
      <c r="D260" s="3">
        <v>0.69599999999999995</v>
      </c>
      <c r="E260" s="4">
        <v>0.192</v>
      </c>
      <c r="F260" s="3">
        <v>0.10100000000000001</v>
      </c>
      <c r="G260" s="3">
        <v>0.86599999999999999</v>
      </c>
      <c r="H260" s="3">
        <v>0.95799999999999996</v>
      </c>
      <c r="I260" s="5">
        <v>27</v>
      </c>
      <c r="J260" s="3">
        <v>0</v>
      </c>
      <c r="K260" s="3">
        <v>14.1</v>
      </c>
    </row>
    <row r="261" spans="1:11" x14ac:dyDescent="0.2">
      <c r="A261" s="3">
        <v>84</v>
      </c>
      <c r="B261" s="3">
        <v>4075</v>
      </c>
      <c r="C261" s="3">
        <v>20</v>
      </c>
      <c r="D261" s="3">
        <v>0.69599999999999995</v>
      </c>
      <c r="E261" s="4">
        <v>0.14099999999999999</v>
      </c>
      <c r="F261" s="3">
        <v>0.28199999999999997</v>
      </c>
      <c r="G261" s="3">
        <v>0.76500000000000001</v>
      </c>
      <c r="H261" s="3">
        <v>0.95499999999999996</v>
      </c>
      <c r="I261" s="5">
        <v>67</v>
      </c>
      <c r="J261" s="3">
        <v>15</v>
      </c>
      <c r="K261" s="3">
        <v>7.4</v>
      </c>
    </row>
    <row r="262" spans="1:11" x14ac:dyDescent="0.2">
      <c r="A262" s="3">
        <v>69</v>
      </c>
      <c r="B262" s="3">
        <v>3416</v>
      </c>
      <c r="C262" s="3">
        <v>113</v>
      </c>
      <c r="D262" s="3">
        <v>0.69699999999999995</v>
      </c>
      <c r="E262" s="4">
        <v>0.19</v>
      </c>
      <c r="F262" s="3">
        <v>6.2E-2</v>
      </c>
      <c r="G262" s="3">
        <v>0.93700000000000006</v>
      </c>
      <c r="H262" s="3">
        <v>0.95099999999999996</v>
      </c>
      <c r="I262" s="5">
        <v>53</v>
      </c>
      <c r="J262" s="3">
        <v>15</v>
      </c>
      <c r="K262" s="3">
        <v>14.1</v>
      </c>
    </row>
    <row r="263" spans="1:11" x14ac:dyDescent="0.2">
      <c r="A263" s="3">
        <v>37</v>
      </c>
      <c r="B263" s="3">
        <v>1630</v>
      </c>
      <c r="C263" s="3">
        <v>179</v>
      </c>
      <c r="D263" s="3">
        <v>0.69799999999999995</v>
      </c>
      <c r="E263" s="4">
        <v>2.1000000000000001E-2</v>
      </c>
      <c r="F263" s="3">
        <v>8.7999999999999995E-2</v>
      </c>
      <c r="G263" s="3">
        <v>0.96499999999999997</v>
      </c>
      <c r="H263" s="3">
        <v>0.97299999999999998</v>
      </c>
      <c r="I263" s="5">
        <v>40</v>
      </c>
      <c r="J263" s="3">
        <v>17</v>
      </c>
      <c r="K263" s="3">
        <v>2.9</v>
      </c>
    </row>
    <row r="264" spans="1:11" x14ac:dyDescent="0.2">
      <c r="A264" s="3">
        <v>97</v>
      </c>
      <c r="B264" s="3">
        <v>4764</v>
      </c>
      <c r="C264" s="3">
        <v>122</v>
      </c>
      <c r="D264" s="3">
        <v>0.69799999999999995</v>
      </c>
      <c r="E264" s="4">
        <v>0.16200000000000001</v>
      </c>
      <c r="F264" s="3">
        <v>9.1999999999999998E-2</v>
      </c>
      <c r="G264" s="3">
        <v>0.89400000000000002</v>
      </c>
      <c r="H264" s="3">
        <v>0.92100000000000004</v>
      </c>
      <c r="I264" s="5">
        <v>70</v>
      </c>
      <c r="J264" s="3">
        <v>11</v>
      </c>
      <c r="K264" s="3">
        <v>14.4</v>
      </c>
    </row>
    <row r="265" spans="1:11" x14ac:dyDescent="0.2">
      <c r="A265" s="3">
        <v>103</v>
      </c>
      <c r="B265" s="3">
        <v>4878</v>
      </c>
      <c r="C265" s="3">
        <v>47</v>
      </c>
      <c r="D265" s="3">
        <v>0.69799999999999995</v>
      </c>
      <c r="E265" s="4">
        <v>6.8000000000000005E-2</v>
      </c>
      <c r="F265" s="3">
        <v>0.14399999999999999</v>
      </c>
      <c r="G265" s="3">
        <v>0.88700000000000001</v>
      </c>
      <c r="H265" s="3">
        <v>0.98</v>
      </c>
      <c r="I265" s="5">
        <v>35</v>
      </c>
      <c r="J265" s="3">
        <v>4</v>
      </c>
      <c r="K265" s="3">
        <v>7.8</v>
      </c>
    </row>
    <row r="266" spans="1:11" x14ac:dyDescent="0.2">
      <c r="A266" s="3">
        <v>46</v>
      </c>
      <c r="B266" s="3">
        <v>2036</v>
      </c>
      <c r="C266" s="3">
        <v>161</v>
      </c>
      <c r="D266" s="3">
        <v>0.69899999999999995</v>
      </c>
      <c r="E266" s="4">
        <v>7.1999999999999995E-2</v>
      </c>
      <c r="F266" s="3">
        <v>0.193</v>
      </c>
      <c r="G266" s="3">
        <v>0.92600000000000005</v>
      </c>
      <c r="H266" s="3">
        <v>0.91700000000000004</v>
      </c>
      <c r="I266" s="5">
        <v>9</v>
      </c>
      <c r="J266" s="3">
        <v>15</v>
      </c>
      <c r="K266" s="3">
        <v>4.8</v>
      </c>
    </row>
    <row r="267" spans="1:11" x14ac:dyDescent="0.2">
      <c r="A267" s="3">
        <v>91</v>
      </c>
      <c r="B267" s="3">
        <v>4374</v>
      </c>
      <c r="C267" s="3">
        <v>92</v>
      </c>
      <c r="D267" s="3">
        <v>0.69899999999999995</v>
      </c>
      <c r="E267" s="4">
        <v>0.156</v>
      </c>
      <c r="F267" s="3">
        <v>6.8000000000000005E-2</v>
      </c>
      <c r="G267" s="3">
        <v>0.83799999999999997</v>
      </c>
      <c r="H267" s="3">
        <v>0.92300000000000004</v>
      </c>
      <c r="I267" s="5">
        <v>74</v>
      </c>
      <c r="J267" s="3">
        <v>1</v>
      </c>
      <c r="K267" s="3">
        <v>10.5</v>
      </c>
    </row>
    <row r="268" spans="1:11" x14ac:dyDescent="0.2">
      <c r="A268" s="3">
        <v>96</v>
      </c>
      <c r="B268" s="3">
        <v>4675</v>
      </c>
      <c r="C268" s="3">
        <v>91</v>
      </c>
      <c r="D268" s="3">
        <v>0.69899999999999995</v>
      </c>
      <c r="E268" s="4">
        <v>0.13900000000000001</v>
      </c>
      <c r="F268" s="3">
        <v>9.7000000000000003E-2</v>
      </c>
      <c r="G268" s="3">
        <v>0.77800000000000002</v>
      </c>
      <c r="H268" s="3">
        <v>0.97899999999999998</v>
      </c>
      <c r="I268" s="5">
        <v>38</v>
      </c>
      <c r="J268" s="3">
        <v>2</v>
      </c>
      <c r="K268" s="3">
        <v>3.7</v>
      </c>
    </row>
    <row r="269" spans="1:11" x14ac:dyDescent="0.2">
      <c r="A269" s="3">
        <v>56</v>
      </c>
      <c r="B269" s="3">
        <v>2714</v>
      </c>
      <c r="C269" s="3">
        <v>176</v>
      </c>
      <c r="D269" s="3">
        <v>0.7</v>
      </c>
      <c r="E269" s="4">
        <v>0.14199999999999999</v>
      </c>
      <c r="F269" s="3">
        <v>0.224</v>
      </c>
      <c r="G269" s="3">
        <v>0.96699999999999997</v>
      </c>
      <c r="H269" s="3">
        <v>0.99099999999999999</v>
      </c>
      <c r="I269" s="5">
        <v>68</v>
      </c>
      <c r="J269" s="3">
        <v>3</v>
      </c>
      <c r="K269" s="3">
        <v>14.4</v>
      </c>
    </row>
    <row r="270" spans="1:11" x14ac:dyDescent="0.2">
      <c r="A270" s="3">
        <v>64</v>
      </c>
      <c r="B270" s="3">
        <v>3015</v>
      </c>
      <c r="C270" s="3">
        <v>141</v>
      </c>
      <c r="D270" s="3">
        <v>0.7</v>
      </c>
      <c r="E270" s="4">
        <v>7.3999999999999996E-2</v>
      </c>
      <c r="F270" s="3">
        <v>0.156</v>
      </c>
      <c r="G270" s="3">
        <v>0.72299999999999998</v>
      </c>
      <c r="H270" s="3">
        <v>0.96199999999999997</v>
      </c>
      <c r="I270" s="5">
        <v>30</v>
      </c>
      <c r="J270" s="3">
        <v>12</v>
      </c>
      <c r="K270" s="3">
        <v>5.3</v>
      </c>
    </row>
    <row r="271" spans="1:11" x14ac:dyDescent="0.2">
      <c r="A271" s="3">
        <v>41</v>
      </c>
      <c r="B271" s="3">
        <v>1821</v>
      </c>
      <c r="C271" s="3">
        <v>67</v>
      </c>
      <c r="D271" s="3">
        <v>0.70099999999999996</v>
      </c>
      <c r="E271" s="4">
        <v>0.09</v>
      </c>
      <c r="F271" s="3">
        <v>0.1</v>
      </c>
      <c r="G271" s="3">
        <v>0.76900000000000002</v>
      </c>
      <c r="H271" s="3">
        <v>0.94399999999999995</v>
      </c>
      <c r="I271" s="5">
        <v>13</v>
      </c>
      <c r="J271" s="3">
        <v>5</v>
      </c>
      <c r="K271" s="3">
        <v>13.7</v>
      </c>
    </row>
    <row r="272" spans="1:11" x14ac:dyDescent="0.2">
      <c r="A272" s="3">
        <v>62</v>
      </c>
      <c r="B272" s="3">
        <v>2999</v>
      </c>
      <c r="C272" s="3">
        <v>82</v>
      </c>
      <c r="D272" s="3">
        <v>0.70099999999999996</v>
      </c>
      <c r="E272" s="4">
        <v>0.16600000000000001</v>
      </c>
      <c r="F272" s="3">
        <v>0.14499999999999999</v>
      </c>
      <c r="G272" s="3">
        <v>0.82599999999999996</v>
      </c>
      <c r="H272" s="3">
        <v>0.91100000000000003</v>
      </c>
      <c r="I272" s="5">
        <v>12</v>
      </c>
      <c r="J272" s="3">
        <v>12</v>
      </c>
      <c r="K272" s="3">
        <v>10.8</v>
      </c>
    </row>
    <row r="273" spans="1:11" x14ac:dyDescent="0.2">
      <c r="A273" s="3">
        <v>63</v>
      </c>
      <c r="B273" s="3">
        <v>3010</v>
      </c>
      <c r="C273" s="3">
        <v>159</v>
      </c>
      <c r="D273" s="3">
        <v>0.70099999999999996</v>
      </c>
      <c r="E273" s="4">
        <v>0.05</v>
      </c>
      <c r="F273" s="3">
        <v>0.23799999999999999</v>
      </c>
      <c r="G273" s="3">
        <v>0.95099999999999996</v>
      </c>
      <c r="H273" s="3">
        <v>0.97599999999999998</v>
      </c>
      <c r="I273" s="5">
        <v>26</v>
      </c>
      <c r="J273" s="3">
        <v>5</v>
      </c>
      <c r="K273" s="3">
        <v>8.4</v>
      </c>
    </row>
    <row r="274" spans="1:11" x14ac:dyDescent="0.2">
      <c r="A274" s="3">
        <v>24</v>
      </c>
      <c r="B274" s="3">
        <v>1083</v>
      </c>
      <c r="C274" s="3">
        <v>81</v>
      </c>
      <c r="D274" s="3">
        <v>0.70199999999999996</v>
      </c>
      <c r="E274" s="4">
        <v>0.11799999999999999</v>
      </c>
      <c r="F274" s="3">
        <v>0.105</v>
      </c>
      <c r="G274" s="3">
        <v>0.76200000000000001</v>
      </c>
      <c r="H274" s="3">
        <v>0.91700000000000004</v>
      </c>
      <c r="I274" s="5">
        <v>15</v>
      </c>
      <c r="J274" s="3">
        <v>12</v>
      </c>
      <c r="K274" s="3">
        <v>5.8</v>
      </c>
    </row>
    <row r="275" spans="1:11" x14ac:dyDescent="0.2">
      <c r="A275" s="3">
        <v>45</v>
      </c>
      <c r="B275" s="3">
        <v>2207</v>
      </c>
      <c r="C275" s="3">
        <v>154</v>
      </c>
      <c r="D275" s="3">
        <v>0.70199999999999996</v>
      </c>
      <c r="E275" s="4">
        <v>0.185</v>
      </c>
      <c r="F275" s="3">
        <v>8.5999999999999993E-2</v>
      </c>
      <c r="G275" s="3">
        <v>0.78400000000000003</v>
      </c>
      <c r="H275" s="3">
        <v>0.998</v>
      </c>
      <c r="I275" s="5">
        <v>66</v>
      </c>
      <c r="J275" s="3">
        <v>5</v>
      </c>
      <c r="K275" s="3">
        <v>2.8</v>
      </c>
    </row>
    <row r="276" spans="1:11" x14ac:dyDescent="0.2">
      <c r="A276" s="3">
        <v>66</v>
      </c>
      <c r="B276" s="3">
        <v>3201</v>
      </c>
      <c r="C276" s="3">
        <v>169</v>
      </c>
      <c r="D276" s="3">
        <v>0.70199999999999996</v>
      </c>
      <c r="E276" s="4">
        <v>0.04</v>
      </c>
      <c r="F276" s="3">
        <v>0.20100000000000001</v>
      </c>
      <c r="G276" s="3">
        <v>0.73199999999999998</v>
      </c>
      <c r="H276" s="3">
        <v>0.98</v>
      </c>
      <c r="I276" s="5">
        <v>24</v>
      </c>
      <c r="J276" s="3">
        <v>9</v>
      </c>
      <c r="K276" s="3">
        <v>13.7</v>
      </c>
    </row>
    <row r="277" spans="1:11" x14ac:dyDescent="0.2">
      <c r="A277" s="3">
        <v>40</v>
      </c>
      <c r="B277" s="3">
        <v>1796</v>
      </c>
      <c r="C277" s="3">
        <v>24</v>
      </c>
      <c r="D277" s="3">
        <v>0.70299999999999996</v>
      </c>
      <c r="E277" s="4">
        <v>0.14000000000000001</v>
      </c>
      <c r="F277" s="3">
        <v>0.26100000000000001</v>
      </c>
      <c r="G277" s="3">
        <v>0.75</v>
      </c>
      <c r="H277" s="3">
        <v>0.96399999999999997</v>
      </c>
      <c r="I277" s="5">
        <v>1</v>
      </c>
      <c r="J277" s="3">
        <v>4</v>
      </c>
      <c r="K277" s="3">
        <v>12.3</v>
      </c>
    </row>
    <row r="278" spans="1:11" x14ac:dyDescent="0.2">
      <c r="A278" s="3">
        <v>59</v>
      </c>
      <c r="B278" s="3">
        <v>2909</v>
      </c>
      <c r="C278" s="3">
        <v>124</v>
      </c>
      <c r="D278" s="3">
        <v>0.70399999999999996</v>
      </c>
      <c r="E278" s="4">
        <v>0.19700000000000001</v>
      </c>
      <c r="F278" s="3">
        <v>0.123</v>
      </c>
      <c r="G278" s="3">
        <v>0.78500000000000003</v>
      </c>
      <c r="H278" s="3">
        <v>0.92700000000000005</v>
      </c>
      <c r="I278" s="5">
        <v>59</v>
      </c>
      <c r="J278" s="3">
        <v>2</v>
      </c>
      <c r="K278" s="3">
        <v>11.9</v>
      </c>
    </row>
    <row r="279" spans="1:11" x14ac:dyDescent="0.2">
      <c r="A279" s="3">
        <v>84</v>
      </c>
      <c r="B279" s="3">
        <v>4145</v>
      </c>
      <c r="C279" s="3">
        <v>122</v>
      </c>
      <c r="D279" s="3">
        <v>0.70399999999999996</v>
      </c>
      <c r="E279" s="4">
        <v>0.17699999999999999</v>
      </c>
      <c r="F279" s="3">
        <v>0.21199999999999999</v>
      </c>
      <c r="G279" s="3">
        <v>0.86399999999999999</v>
      </c>
      <c r="H279" s="3">
        <v>0.90800000000000003</v>
      </c>
      <c r="I279" s="5">
        <v>83</v>
      </c>
      <c r="J279" s="3">
        <v>17</v>
      </c>
      <c r="K279" s="3">
        <v>9.5</v>
      </c>
    </row>
    <row r="280" spans="1:11" x14ac:dyDescent="0.2">
      <c r="A280" s="3">
        <v>64</v>
      </c>
      <c r="B280" s="3">
        <v>2995</v>
      </c>
      <c r="C280" s="3">
        <v>48</v>
      </c>
      <c r="D280" s="3">
        <v>0.70499999999999996</v>
      </c>
      <c r="E280" s="4">
        <v>2.7E-2</v>
      </c>
      <c r="F280" s="3">
        <v>0.29099999999999998</v>
      </c>
      <c r="G280" s="3">
        <v>0.80900000000000005</v>
      </c>
      <c r="H280" s="3">
        <v>0.93600000000000005</v>
      </c>
      <c r="I280" s="5">
        <v>78</v>
      </c>
      <c r="J280" s="3">
        <v>0</v>
      </c>
      <c r="K280" s="3">
        <v>14.3</v>
      </c>
    </row>
    <row r="281" spans="1:11" x14ac:dyDescent="0.2">
      <c r="A281" s="3">
        <v>95</v>
      </c>
      <c r="B281" s="3">
        <v>4607</v>
      </c>
      <c r="C281" s="3">
        <v>40</v>
      </c>
      <c r="D281" s="3">
        <v>0.70499999999999996</v>
      </c>
      <c r="E281" s="4">
        <v>0.114</v>
      </c>
      <c r="F281" s="3">
        <v>0.189</v>
      </c>
      <c r="G281" s="3">
        <v>0.72499999999999998</v>
      </c>
      <c r="H281" s="3">
        <v>0.99</v>
      </c>
      <c r="I281" s="5">
        <v>52</v>
      </c>
      <c r="J281" s="3">
        <v>16</v>
      </c>
      <c r="K281" s="3">
        <v>14.1</v>
      </c>
    </row>
    <row r="282" spans="1:11" x14ac:dyDescent="0.2">
      <c r="A282" s="3">
        <v>32</v>
      </c>
      <c r="B282" s="3">
        <v>1386</v>
      </c>
      <c r="C282" s="3">
        <v>178</v>
      </c>
      <c r="D282" s="3">
        <v>0.70599999999999996</v>
      </c>
      <c r="E282" s="4">
        <v>0.11600000000000001</v>
      </c>
      <c r="F282" s="3">
        <v>0.14399999999999999</v>
      </c>
      <c r="G282" s="3">
        <v>0.78200000000000003</v>
      </c>
      <c r="H282" s="3">
        <v>0.97699999999999998</v>
      </c>
      <c r="I282" s="5">
        <v>60</v>
      </c>
      <c r="J282" s="3">
        <v>5</v>
      </c>
      <c r="K282" s="3">
        <v>14.7</v>
      </c>
    </row>
    <row r="283" spans="1:11" x14ac:dyDescent="0.2">
      <c r="A283" s="3">
        <v>47</v>
      </c>
      <c r="B283" s="3">
        <v>2111</v>
      </c>
      <c r="C283" s="3">
        <v>118</v>
      </c>
      <c r="D283" s="3">
        <v>0.70599999999999996</v>
      </c>
      <c r="E283" s="4">
        <v>5.8000000000000003E-2</v>
      </c>
      <c r="F283" s="3">
        <v>0.122</v>
      </c>
      <c r="G283" s="3">
        <v>0.85899999999999999</v>
      </c>
      <c r="H283" s="3">
        <v>0.95099999999999996</v>
      </c>
      <c r="I283" s="5">
        <v>27</v>
      </c>
      <c r="J283" s="3">
        <v>11</v>
      </c>
      <c r="K283" s="3">
        <v>3.6</v>
      </c>
    </row>
    <row r="284" spans="1:11" x14ac:dyDescent="0.2">
      <c r="A284" s="3">
        <v>61</v>
      </c>
      <c r="B284" s="3">
        <v>2808</v>
      </c>
      <c r="C284" s="3">
        <v>125</v>
      </c>
      <c r="D284" s="3">
        <v>0.70599999999999996</v>
      </c>
      <c r="E284" s="4">
        <v>0.111</v>
      </c>
      <c r="F284" s="3">
        <v>0.13900000000000001</v>
      </c>
      <c r="G284" s="3">
        <v>0.78200000000000003</v>
      </c>
      <c r="H284" s="3">
        <v>0.96399999999999997</v>
      </c>
      <c r="I284" s="5">
        <v>47</v>
      </c>
      <c r="J284" s="3">
        <v>5</v>
      </c>
      <c r="K284" s="3">
        <v>1.7</v>
      </c>
    </row>
    <row r="285" spans="1:11" x14ac:dyDescent="0.2">
      <c r="A285" s="3">
        <v>63</v>
      </c>
      <c r="B285" s="3">
        <v>2972</v>
      </c>
      <c r="C285" s="3">
        <v>66</v>
      </c>
      <c r="D285" s="3">
        <v>0.70599999999999996</v>
      </c>
      <c r="E285" s="4">
        <v>0.17399999999999999</v>
      </c>
      <c r="F285" s="3">
        <v>0.27800000000000002</v>
      </c>
      <c r="G285" s="3">
        <v>0.7</v>
      </c>
      <c r="H285" s="3">
        <v>0.92400000000000004</v>
      </c>
      <c r="I285" s="5">
        <v>12</v>
      </c>
      <c r="J285" s="3">
        <v>7</v>
      </c>
      <c r="K285" s="3">
        <v>8.3000000000000007</v>
      </c>
    </row>
    <row r="286" spans="1:11" x14ac:dyDescent="0.2">
      <c r="A286" s="3">
        <v>93</v>
      </c>
      <c r="B286" s="3">
        <v>4474</v>
      </c>
      <c r="C286" s="3">
        <v>140</v>
      </c>
      <c r="D286" s="3">
        <v>0.70599999999999996</v>
      </c>
      <c r="E286" s="4">
        <v>0.115</v>
      </c>
      <c r="F286" s="3">
        <v>0.28199999999999997</v>
      </c>
      <c r="G286" s="3">
        <v>0.98399999999999999</v>
      </c>
      <c r="H286" s="3">
        <v>0.94099999999999995</v>
      </c>
      <c r="I286" s="5">
        <v>17</v>
      </c>
      <c r="J286" s="3">
        <v>4</v>
      </c>
      <c r="K286" s="3">
        <v>6.3</v>
      </c>
    </row>
    <row r="287" spans="1:11" x14ac:dyDescent="0.2">
      <c r="A287" s="3">
        <v>70</v>
      </c>
      <c r="B287" s="3">
        <v>3256</v>
      </c>
      <c r="C287" s="3">
        <v>101</v>
      </c>
      <c r="D287" s="3">
        <v>0.70699999999999996</v>
      </c>
      <c r="E287" s="4">
        <v>0.11</v>
      </c>
      <c r="F287" s="3">
        <v>0.251</v>
      </c>
      <c r="G287" s="3">
        <v>0.71799999999999997</v>
      </c>
      <c r="H287" s="3">
        <v>0.91600000000000004</v>
      </c>
      <c r="I287" s="5">
        <v>76</v>
      </c>
      <c r="J287" s="3">
        <v>4</v>
      </c>
      <c r="K287" s="3">
        <v>6.9</v>
      </c>
    </row>
    <row r="288" spans="1:11" x14ac:dyDescent="0.2">
      <c r="A288" s="3">
        <v>61</v>
      </c>
      <c r="B288" s="3">
        <v>2845</v>
      </c>
      <c r="C288" s="3">
        <v>92</v>
      </c>
      <c r="D288" s="3">
        <v>0.70799999999999996</v>
      </c>
      <c r="E288" s="4">
        <v>4.7E-2</v>
      </c>
      <c r="F288" s="3">
        <v>7.5999999999999998E-2</v>
      </c>
      <c r="G288" s="3">
        <v>0.85799999999999998</v>
      </c>
      <c r="H288" s="3">
        <v>0.97499999999999998</v>
      </c>
      <c r="I288" s="5">
        <v>15</v>
      </c>
      <c r="J288" s="3">
        <v>5</v>
      </c>
      <c r="K288" s="3">
        <v>1.7</v>
      </c>
    </row>
    <row r="289" spans="1:11" x14ac:dyDescent="0.2">
      <c r="A289" s="3">
        <v>65</v>
      </c>
      <c r="B289" s="3">
        <v>3005</v>
      </c>
      <c r="C289" s="3">
        <v>150</v>
      </c>
      <c r="D289" s="3">
        <v>0.70799999999999996</v>
      </c>
      <c r="E289" s="4">
        <v>5.5E-2</v>
      </c>
      <c r="F289" s="3">
        <v>0.186</v>
      </c>
      <c r="G289" s="3">
        <v>0.88500000000000001</v>
      </c>
      <c r="H289" s="3">
        <v>0.95799999999999996</v>
      </c>
      <c r="I289" s="5">
        <v>50</v>
      </c>
      <c r="J289" s="3">
        <v>1</v>
      </c>
      <c r="K289" s="3">
        <v>7.1</v>
      </c>
    </row>
    <row r="290" spans="1:11" x14ac:dyDescent="0.2">
      <c r="A290" s="3">
        <v>88</v>
      </c>
      <c r="B290" s="3">
        <v>4306</v>
      </c>
      <c r="C290" s="3">
        <v>198</v>
      </c>
      <c r="D290" s="3">
        <v>0.70799999999999996</v>
      </c>
      <c r="E290" s="4">
        <v>7.3999999999999996E-2</v>
      </c>
      <c r="F290" s="3">
        <v>0.14000000000000001</v>
      </c>
      <c r="G290" s="3">
        <v>0.98</v>
      </c>
      <c r="H290" s="3">
        <v>0.94699999999999995</v>
      </c>
      <c r="I290" s="5">
        <v>78</v>
      </c>
      <c r="J290" s="3">
        <v>9</v>
      </c>
      <c r="K290" s="3">
        <v>3.6</v>
      </c>
    </row>
    <row r="291" spans="1:11" x14ac:dyDescent="0.2">
      <c r="A291" s="3">
        <v>61</v>
      </c>
      <c r="B291" s="3">
        <v>2841</v>
      </c>
      <c r="C291" s="3">
        <v>196</v>
      </c>
      <c r="D291" s="3">
        <v>0.70899999999999996</v>
      </c>
      <c r="E291" s="4">
        <v>0.08</v>
      </c>
      <c r="F291" s="3">
        <v>0.214</v>
      </c>
      <c r="G291" s="3">
        <v>0.93400000000000005</v>
      </c>
      <c r="H291" s="3">
        <v>0.98899999999999999</v>
      </c>
      <c r="I291" s="5">
        <v>17</v>
      </c>
      <c r="J291" s="3">
        <v>13</v>
      </c>
      <c r="K291" s="3">
        <v>14.8</v>
      </c>
    </row>
    <row r="292" spans="1:11" x14ac:dyDescent="0.2">
      <c r="A292" s="3">
        <v>61</v>
      </c>
      <c r="B292" s="3">
        <v>2855</v>
      </c>
      <c r="C292" s="3">
        <v>175</v>
      </c>
      <c r="D292" s="3">
        <v>0.70899999999999996</v>
      </c>
      <c r="E292" s="4">
        <v>5.8999999999999997E-2</v>
      </c>
      <c r="F292" s="3">
        <v>5.8999999999999997E-2</v>
      </c>
      <c r="G292" s="3">
        <v>0.76200000000000001</v>
      </c>
      <c r="H292" s="3">
        <v>0.97399999999999998</v>
      </c>
      <c r="I292" s="5">
        <v>70</v>
      </c>
      <c r="J292" s="3">
        <v>14</v>
      </c>
      <c r="K292" s="3">
        <v>5.2</v>
      </c>
    </row>
    <row r="293" spans="1:11" x14ac:dyDescent="0.2">
      <c r="A293" s="3">
        <v>97</v>
      </c>
      <c r="B293" s="3">
        <v>4674</v>
      </c>
      <c r="C293" s="3">
        <v>52</v>
      </c>
      <c r="D293" s="3">
        <v>0.70899999999999996</v>
      </c>
      <c r="E293" s="4">
        <v>0.151</v>
      </c>
      <c r="F293" s="3">
        <v>0.191</v>
      </c>
      <c r="G293" s="3">
        <v>0.96</v>
      </c>
      <c r="H293" s="3">
        <v>0.92400000000000004</v>
      </c>
      <c r="I293" s="5">
        <v>10</v>
      </c>
      <c r="J293" s="3">
        <v>5</v>
      </c>
      <c r="K293" s="3">
        <v>2.1</v>
      </c>
    </row>
    <row r="294" spans="1:11" x14ac:dyDescent="0.2">
      <c r="A294" s="3">
        <v>38</v>
      </c>
      <c r="B294" s="3">
        <v>1862</v>
      </c>
      <c r="C294" s="3">
        <v>69</v>
      </c>
      <c r="D294" s="3">
        <v>0.71</v>
      </c>
      <c r="E294" s="4">
        <v>0.16700000000000001</v>
      </c>
      <c r="F294" s="3">
        <v>0.11700000000000001</v>
      </c>
      <c r="G294" s="3">
        <v>0.98699999999999999</v>
      </c>
      <c r="H294" s="3">
        <v>0.96499999999999997</v>
      </c>
      <c r="I294" s="5">
        <v>67</v>
      </c>
      <c r="J294" s="3">
        <v>5</v>
      </c>
      <c r="K294" s="3">
        <v>10.5</v>
      </c>
    </row>
    <row r="295" spans="1:11" x14ac:dyDescent="0.2">
      <c r="A295" s="3">
        <v>58</v>
      </c>
      <c r="B295" s="3">
        <v>2708</v>
      </c>
      <c r="C295" s="3">
        <v>188</v>
      </c>
      <c r="D295" s="3">
        <v>0.71</v>
      </c>
      <c r="E295" s="4">
        <v>0.16600000000000001</v>
      </c>
      <c r="F295" s="3">
        <v>0.214</v>
      </c>
      <c r="G295" s="3">
        <v>0.89200000000000002</v>
      </c>
      <c r="H295" s="3">
        <v>0.95299999999999996</v>
      </c>
      <c r="I295" s="5">
        <v>87</v>
      </c>
      <c r="J295" s="3">
        <v>7</v>
      </c>
      <c r="K295" s="3">
        <v>12.1</v>
      </c>
    </row>
    <row r="296" spans="1:11" x14ac:dyDescent="0.2">
      <c r="A296" s="3">
        <v>83</v>
      </c>
      <c r="B296" s="3">
        <v>3913</v>
      </c>
      <c r="C296" s="3">
        <v>92</v>
      </c>
      <c r="D296" s="3">
        <v>0.71</v>
      </c>
      <c r="E296" s="4">
        <v>0.17799999999999999</v>
      </c>
      <c r="F296" s="3">
        <v>5.8000000000000003E-2</v>
      </c>
      <c r="G296" s="3">
        <v>0.94899999999999995</v>
      </c>
      <c r="H296" s="3">
        <v>0.95699999999999996</v>
      </c>
      <c r="I296" s="5">
        <v>48</v>
      </c>
      <c r="J296" s="3">
        <v>7</v>
      </c>
      <c r="K296" s="3">
        <v>4.5</v>
      </c>
    </row>
    <row r="297" spans="1:11" x14ac:dyDescent="0.2">
      <c r="A297" s="3">
        <v>40</v>
      </c>
      <c r="B297" s="3">
        <v>1910</v>
      </c>
      <c r="C297" s="3">
        <v>19</v>
      </c>
      <c r="D297" s="3">
        <v>0.71099999999999997</v>
      </c>
      <c r="E297" s="4">
        <v>4.4999999999999998E-2</v>
      </c>
      <c r="F297" s="3">
        <v>0.27300000000000002</v>
      </c>
      <c r="G297" s="3">
        <v>0.85599999999999998</v>
      </c>
      <c r="H297" s="3">
        <v>0.96199999999999997</v>
      </c>
      <c r="I297" s="5">
        <v>53</v>
      </c>
      <c r="J297" s="3">
        <v>14</v>
      </c>
      <c r="K297" s="3">
        <v>6.7</v>
      </c>
    </row>
    <row r="298" spans="1:11" x14ac:dyDescent="0.2">
      <c r="A298" s="3">
        <v>53</v>
      </c>
      <c r="B298" s="3">
        <v>2479</v>
      </c>
      <c r="C298" s="3">
        <v>67</v>
      </c>
      <c r="D298" s="3">
        <v>0.71099999999999997</v>
      </c>
      <c r="E298" s="4">
        <v>2.1999999999999999E-2</v>
      </c>
      <c r="F298" s="3">
        <v>0.26100000000000001</v>
      </c>
      <c r="G298" s="3">
        <v>0.92200000000000004</v>
      </c>
      <c r="H298" s="3">
        <v>0.92900000000000005</v>
      </c>
      <c r="I298" s="5">
        <v>12</v>
      </c>
      <c r="J298" s="3">
        <v>10</v>
      </c>
      <c r="K298" s="3">
        <v>14.2</v>
      </c>
    </row>
    <row r="299" spans="1:11" x14ac:dyDescent="0.2">
      <c r="A299" s="3">
        <v>73</v>
      </c>
      <c r="B299" s="3">
        <v>3600</v>
      </c>
      <c r="C299" s="3">
        <v>145</v>
      </c>
      <c r="D299" s="3">
        <v>0.71099999999999997</v>
      </c>
      <c r="E299" s="4">
        <v>4.4999999999999998E-2</v>
      </c>
      <c r="F299" s="3">
        <v>0.252</v>
      </c>
      <c r="G299" s="3">
        <v>0.97399999999999998</v>
      </c>
      <c r="H299" s="3">
        <v>0.97299999999999998</v>
      </c>
      <c r="I299" s="5">
        <v>65</v>
      </c>
      <c r="J299" s="3">
        <v>12</v>
      </c>
      <c r="K299" s="3">
        <v>11.8</v>
      </c>
    </row>
    <row r="300" spans="1:11" x14ac:dyDescent="0.2">
      <c r="A300" s="3">
        <v>79</v>
      </c>
      <c r="B300" s="3">
        <v>3819</v>
      </c>
      <c r="C300" s="3">
        <v>165</v>
      </c>
      <c r="D300" s="3">
        <v>0.71199999999999997</v>
      </c>
      <c r="E300" s="4">
        <v>5.7000000000000002E-2</v>
      </c>
      <c r="F300" s="3">
        <v>9.4E-2</v>
      </c>
      <c r="G300" s="3">
        <v>0.78300000000000003</v>
      </c>
      <c r="H300" s="3">
        <v>0.97099999999999997</v>
      </c>
      <c r="I300" s="5">
        <v>72</v>
      </c>
      <c r="J300" s="3">
        <v>17</v>
      </c>
      <c r="K300" s="3">
        <v>9.8000000000000007</v>
      </c>
    </row>
    <row r="301" spans="1:11" x14ac:dyDescent="0.2">
      <c r="A301" s="3">
        <v>84</v>
      </c>
      <c r="B301" s="3">
        <v>4156</v>
      </c>
      <c r="C301" s="3">
        <v>154</v>
      </c>
      <c r="D301" s="3">
        <v>0.71199999999999997</v>
      </c>
      <c r="E301" s="4">
        <v>0.2</v>
      </c>
      <c r="F301" s="3">
        <v>0.13100000000000001</v>
      </c>
      <c r="G301" s="3">
        <v>0.89200000000000002</v>
      </c>
      <c r="H301" s="3">
        <v>0.98899999999999999</v>
      </c>
      <c r="I301" s="5">
        <v>40</v>
      </c>
      <c r="J301" s="3">
        <v>18</v>
      </c>
      <c r="K301" s="3">
        <v>13.3</v>
      </c>
    </row>
    <row r="302" spans="1:11" x14ac:dyDescent="0.2">
      <c r="A302" s="3">
        <v>88</v>
      </c>
      <c r="B302" s="3">
        <v>4180</v>
      </c>
      <c r="C302" s="3">
        <v>113</v>
      </c>
      <c r="D302" s="3">
        <v>0.71199999999999997</v>
      </c>
      <c r="E302" s="4">
        <v>5.3999999999999999E-2</v>
      </c>
      <c r="F302" s="3">
        <v>0.16900000000000001</v>
      </c>
      <c r="G302" s="3">
        <v>0.73599999999999999</v>
      </c>
      <c r="H302" s="3">
        <v>0.92800000000000005</v>
      </c>
      <c r="I302" s="5">
        <v>13</v>
      </c>
      <c r="J302" s="3">
        <v>9</v>
      </c>
      <c r="K302" s="3">
        <v>4.0999999999999996</v>
      </c>
    </row>
    <row r="303" spans="1:11" x14ac:dyDescent="0.2">
      <c r="A303" s="3">
        <v>58</v>
      </c>
      <c r="B303" s="3">
        <v>2675</v>
      </c>
      <c r="C303" s="3">
        <v>103</v>
      </c>
      <c r="D303" s="3">
        <v>0.71299999999999997</v>
      </c>
      <c r="E303" s="4">
        <v>0.122</v>
      </c>
      <c r="F303" s="3">
        <v>8.2000000000000003E-2</v>
      </c>
      <c r="G303" s="3">
        <v>0.81399999999999995</v>
      </c>
      <c r="H303" s="3">
        <v>0.92700000000000005</v>
      </c>
      <c r="I303" s="5">
        <v>78</v>
      </c>
      <c r="J303" s="3">
        <v>1</v>
      </c>
      <c r="K303" s="3">
        <v>14.1</v>
      </c>
    </row>
    <row r="304" spans="1:11" x14ac:dyDescent="0.2">
      <c r="A304" s="3">
        <v>85</v>
      </c>
      <c r="B304" s="3">
        <v>4173</v>
      </c>
      <c r="C304" s="3">
        <v>102</v>
      </c>
      <c r="D304" s="3">
        <v>0.71399999999999997</v>
      </c>
      <c r="E304" s="4">
        <v>7.0000000000000007E-2</v>
      </c>
      <c r="F304" s="3">
        <v>6.3E-2</v>
      </c>
      <c r="G304" s="3">
        <v>0.96299999999999997</v>
      </c>
      <c r="H304" s="3">
        <v>0.92900000000000005</v>
      </c>
      <c r="I304" s="5">
        <v>38</v>
      </c>
      <c r="J304" s="3">
        <v>2</v>
      </c>
      <c r="K304" s="3">
        <v>12.9</v>
      </c>
    </row>
    <row r="305" spans="1:11" x14ac:dyDescent="0.2">
      <c r="A305" s="3">
        <v>87</v>
      </c>
      <c r="B305" s="3">
        <v>4236</v>
      </c>
      <c r="C305" s="3">
        <v>82</v>
      </c>
      <c r="D305" s="3">
        <v>0.71399999999999997</v>
      </c>
      <c r="E305" s="4">
        <v>0.153</v>
      </c>
      <c r="F305" s="3">
        <v>5.3999999999999999E-2</v>
      </c>
      <c r="G305" s="3">
        <v>0.72499999999999998</v>
      </c>
      <c r="H305" s="3">
        <v>0.90600000000000003</v>
      </c>
      <c r="I305" s="5">
        <v>1</v>
      </c>
      <c r="J305" s="3">
        <v>15</v>
      </c>
      <c r="K305" s="3">
        <v>1.4</v>
      </c>
    </row>
    <row r="306" spans="1:11" x14ac:dyDescent="0.2">
      <c r="A306" s="3">
        <v>26</v>
      </c>
      <c r="B306" s="3">
        <v>1234</v>
      </c>
      <c r="C306" s="3">
        <v>180</v>
      </c>
      <c r="D306" s="3">
        <v>0.71499999999999997</v>
      </c>
      <c r="E306" s="4">
        <v>7.0000000000000007E-2</v>
      </c>
      <c r="F306" s="3">
        <v>8.2000000000000003E-2</v>
      </c>
      <c r="G306" s="3">
        <v>0.77600000000000002</v>
      </c>
      <c r="H306" s="3">
        <v>0.97899999999999998</v>
      </c>
      <c r="I306" s="5">
        <v>37</v>
      </c>
      <c r="J306" s="3">
        <v>0</v>
      </c>
      <c r="K306" s="3">
        <v>7.1</v>
      </c>
    </row>
    <row r="307" spans="1:11" x14ac:dyDescent="0.2">
      <c r="A307" s="3">
        <v>34</v>
      </c>
      <c r="B307" s="3">
        <v>1674</v>
      </c>
      <c r="C307" s="3">
        <v>92</v>
      </c>
      <c r="D307" s="3">
        <v>0.71499999999999997</v>
      </c>
      <c r="E307" s="4">
        <v>7.4999999999999997E-2</v>
      </c>
      <c r="F307" s="3">
        <v>8.7999999999999995E-2</v>
      </c>
      <c r="G307" s="3">
        <v>0.79400000000000004</v>
      </c>
      <c r="H307" s="3">
        <v>0.98599999999999999</v>
      </c>
      <c r="I307" s="5">
        <v>34</v>
      </c>
      <c r="J307" s="3">
        <v>18</v>
      </c>
      <c r="K307" s="3">
        <v>13.7</v>
      </c>
    </row>
    <row r="308" spans="1:11" x14ac:dyDescent="0.2">
      <c r="A308" s="3">
        <v>41</v>
      </c>
      <c r="B308" s="3">
        <v>1872</v>
      </c>
      <c r="C308" s="3">
        <v>152</v>
      </c>
      <c r="D308" s="3">
        <v>0.71499999999999997</v>
      </c>
      <c r="E308" s="4">
        <v>0.187</v>
      </c>
      <c r="F308" s="3">
        <v>0.151</v>
      </c>
      <c r="G308" s="3">
        <v>0.97399999999999998</v>
      </c>
      <c r="H308" s="3">
        <v>0.96299999999999997</v>
      </c>
      <c r="I308" s="5">
        <v>95</v>
      </c>
      <c r="J308" s="3">
        <v>6</v>
      </c>
      <c r="K308" s="3">
        <v>7.3</v>
      </c>
    </row>
    <row r="309" spans="1:11" x14ac:dyDescent="0.2">
      <c r="A309" s="3">
        <v>41</v>
      </c>
      <c r="B309" s="3">
        <v>1871</v>
      </c>
      <c r="C309" s="3">
        <v>73</v>
      </c>
      <c r="D309" s="3">
        <v>0.71599999999999997</v>
      </c>
      <c r="E309" s="4">
        <v>2.8000000000000001E-2</v>
      </c>
      <c r="F309" s="3">
        <v>0.17499999999999999</v>
      </c>
      <c r="G309" s="3">
        <v>0.747</v>
      </c>
      <c r="H309" s="3">
        <v>0.95799999999999996</v>
      </c>
      <c r="I309" s="5">
        <v>50</v>
      </c>
      <c r="J309" s="3">
        <v>17</v>
      </c>
      <c r="K309" s="3">
        <v>13.2</v>
      </c>
    </row>
    <row r="310" spans="1:11" x14ac:dyDescent="0.2">
      <c r="A310" s="3">
        <v>59</v>
      </c>
      <c r="B310" s="3">
        <v>2833</v>
      </c>
      <c r="C310" s="3">
        <v>76</v>
      </c>
      <c r="D310" s="3">
        <v>0.71599999999999997</v>
      </c>
      <c r="E310" s="4">
        <v>3.4000000000000002E-2</v>
      </c>
      <c r="F310" s="3">
        <v>0.125</v>
      </c>
      <c r="G310" s="3">
        <v>0.71699999999999997</v>
      </c>
      <c r="H310" s="3">
        <v>0.90400000000000003</v>
      </c>
      <c r="I310" s="5">
        <v>97</v>
      </c>
      <c r="J310" s="3">
        <v>16</v>
      </c>
      <c r="K310" s="3">
        <v>3.2</v>
      </c>
    </row>
    <row r="311" spans="1:11" x14ac:dyDescent="0.2">
      <c r="A311" s="3">
        <v>74</v>
      </c>
      <c r="B311" s="3">
        <v>3493</v>
      </c>
      <c r="C311" s="3">
        <v>166</v>
      </c>
      <c r="D311" s="3">
        <v>0.71599999999999997</v>
      </c>
      <c r="E311" s="4">
        <v>3.5999999999999997E-2</v>
      </c>
      <c r="F311" s="3">
        <v>0.27</v>
      </c>
      <c r="G311" s="3">
        <v>0.98399999999999999</v>
      </c>
      <c r="H311" s="3">
        <v>0.98299999999999998</v>
      </c>
      <c r="I311" s="5">
        <v>44</v>
      </c>
      <c r="J311" s="3">
        <v>12</v>
      </c>
      <c r="K311" s="3">
        <v>11.9</v>
      </c>
    </row>
    <row r="312" spans="1:11" x14ac:dyDescent="0.2">
      <c r="A312" s="3">
        <v>85</v>
      </c>
      <c r="B312" s="3">
        <v>3998</v>
      </c>
      <c r="C312" s="3">
        <v>14</v>
      </c>
      <c r="D312" s="3">
        <v>0.71599999999999997</v>
      </c>
      <c r="E312" s="4">
        <v>0.11600000000000001</v>
      </c>
      <c r="F312" s="3">
        <v>0.187</v>
      </c>
      <c r="G312" s="3">
        <v>0.80300000000000005</v>
      </c>
      <c r="H312" s="3">
        <v>0.94499999999999995</v>
      </c>
      <c r="I312" s="5">
        <v>75</v>
      </c>
      <c r="J312" s="3">
        <v>10</v>
      </c>
      <c r="K312" s="3">
        <v>3.3</v>
      </c>
    </row>
    <row r="313" spans="1:11" x14ac:dyDescent="0.2">
      <c r="A313" s="3">
        <v>32</v>
      </c>
      <c r="B313" s="3">
        <v>1364</v>
      </c>
      <c r="C313" s="3">
        <v>178</v>
      </c>
      <c r="D313" s="3">
        <v>0.71699999999999997</v>
      </c>
      <c r="E313" s="4">
        <v>0.19900000000000001</v>
      </c>
      <c r="F313" s="3">
        <v>0.23400000000000001</v>
      </c>
      <c r="G313" s="3">
        <v>0.96299999999999997</v>
      </c>
      <c r="H313" s="3">
        <v>0.96199999999999997</v>
      </c>
      <c r="I313" s="5">
        <v>76</v>
      </c>
      <c r="J313" s="3">
        <v>3</v>
      </c>
      <c r="K313" s="3">
        <v>5.6</v>
      </c>
    </row>
    <row r="314" spans="1:11" x14ac:dyDescent="0.2">
      <c r="A314" s="3">
        <v>34</v>
      </c>
      <c r="B314" s="3">
        <v>1647</v>
      </c>
      <c r="C314" s="3">
        <v>58</v>
      </c>
      <c r="D314" s="3">
        <v>0.71799999999999997</v>
      </c>
      <c r="E314" s="4">
        <v>2.7E-2</v>
      </c>
      <c r="F314" s="3">
        <v>0.19900000000000001</v>
      </c>
      <c r="G314" s="3">
        <v>0.745</v>
      </c>
      <c r="H314" s="3">
        <v>0.94499999999999995</v>
      </c>
      <c r="I314" s="5">
        <v>76</v>
      </c>
      <c r="J314" s="3">
        <v>1</v>
      </c>
      <c r="K314" s="3">
        <v>6.2</v>
      </c>
    </row>
    <row r="315" spans="1:11" x14ac:dyDescent="0.2">
      <c r="A315" s="3">
        <v>95</v>
      </c>
      <c r="B315" s="3">
        <v>4613</v>
      </c>
      <c r="C315" s="3">
        <v>27</v>
      </c>
      <c r="D315" s="3">
        <v>0.71799999999999997</v>
      </c>
      <c r="E315" s="4">
        <v>7.9000000000000001E-2</v>
      </c>
      <c r="F315" s="3">
        <v>0.28499999999999998</v>
      </c>
      <c r="G315" s="3">
        <v>0.81399999999999995</v>
      </c>
      <c r="H315" s="3">
        <v>0.97599999999999998</v>
      </c>
      <c r="I315" s="5">
        <v>3</v>
      </c>
      <c r="J315" s="3">
        <v>15</v>
      </c>
      <c r="K315" s="3">
        <v>7.6</v>
      </c>
    </row>
    <row r="316" spans="1:11" x14ac:dyDescent="0.2">
      <c r="A316" s="3">
        <v>55</v>
      </c>
      <c r="B316" s="3">
        <v>2551</v>
      </c>
      <c r="C316" s="3">
        <v>139</v>
      </c>
      <c r="D316" s="3">
        <v>0.71899999999999997</v>
      </c>
      <c r="E316" s="4">
        <v>0.184</v>
      </c>
      <c r="F316" s="3">
        <v>0.13</v>
      </c>
      <c r="G316" s="3">
        <v>0.84499999999999997</v>
      </c>
      <c r="H316" s="3">
        <v>0.90900000000000003</v>
      </c>
      <c r="I316" s="5">
        <v>65</v>
      </c>
      <c r="J316" s="3">
        <v>11</v>
      </c>
      <c r="K316" s="3">
        <v>10.199999999999999</v>
      </c>
    </row>
    <row r="317" spans="1:11" x14ac:dyDescent="0.2">
      <c r="A317" s="3">
        <v>57</v>
      </c>
      <c r="B317" s="3">
        <v>2693</v>
      </c>
      <c r="C317" s="3">
        <v>196</v>
      </c>
      <c r="D317" s="3">
        <v>0.72</v>
      </c>
      <c r="E317" s="4">
        <v>4.9000000000000002E-2</v>
      </c>
      <c r="F317" s="3">
        <v>0.24399999999999999</v>
      </c>
      <c r="G317" s="3">
        <v>0.93300000000000005</v>
      </c>
      <c r="H317" s="3">
        <v>0.97899999999999998</v>
      </c>
      <c r="I317" s="5">
        <v>96</v>
      </c>
      <c r="J317" s="3">
        <v>1</v>
      </c>
      <c r="K317" s="3">
        <v>12.5</v>
      </c>
    </row>
    <row r="318" spans="1:11" x14ac:dyDescent="0.2">
      <c r="A318" s="3">
        <v>60</v>
      </c>
      <c r="B318" s="3">
        <v>2884</v>
      </c>
      <c r="C318" s="3">
        <v>138</v>
      </c>
      <c r="D318" s="3">
        <v>0.72</v>
      </c>
      <c r="E318" s="4">
        <v>0.19400000000000001</v>
      </c>
      <c r="F318" s="3">
        <v>0.27700000000000002</v>
      </c>
      <c r="G318" s="3">
        <v>0.94399999999999995</v>
      </c>
      <c r="H318" s="3">
        <v>0.92700000000000005</v>
      </c>
      <c r="I318" s="5">
        <v>61</v>
      </c>
      <c r="J318" s="3">
        <v>2</v>
      </c>
      <c r="K318" s="3">
        <v>4.3</v>
      </c>
    </row>
    <row r="319" spans="1:11" x14ac:dyDescent="0.2">
      <c r="A319" s="3">
        <v>70</v>
      </c>
      <c r="B319" s="3">
        <v>3459</v>
      </c>
      <c r="C319" s="3">
        <v>11</v>
      </c>
      <c r="D319" s="3">
        <v>0.72</v>
      </c>
      <c r="E319" s="4">
        <v>0.10299999999999999</v>
      </c>
      <c r="F319" s="3">
        <v>0.14699999999999999</v>
      </c>
      <c r="G319" s="3">
        <v>0.97499999999999998</v>
      </c>
      <c r="H319" s="3">
        <v>0.92600000000000005</v>
      </c>
      <c r="I319" s="5">
        <v>34</v>
      </c>
      <c r="J319" s="3">
        <v>16</v>
      </c>
      <c r="K319" s="3">
        <v>12</v>
      </c>
    </row>
    <row r="320" spans="1:11" x14ac:dyDescent="0.2">
      <c r="A320" s="3">
        <v>96</v>
      </c>
      <c r="B320" s="3">
        <v>4716</v>
      </c>
      <c r="C320" s="3">
        <v>198</v>
      </c>
      <c r="D320" s="3">
        <v>0.72</v>
      </c>
      <c r="E320" s="4">
        <v>6.7000000000000004E-2</v>
      </c>
      <c r="F320" s="3">
        <v>0.25</v>
      </c>
      <c r="G320" s="3">
        <v>0.97399999999999998</v>
      </c>
      <c r="H320" s="3">
        <v>0.98599999999999999</v>
      </c>
      <c r="I320" s="5">
        <v>13</v>
      </c>
      <c r="J320" s="3">
        <v>15</v>
      </c>
      <c r="K320" s="3">
        <v>1</v>
      </c>
    </row>
    <row r="321" spans="1:11" x14ac:dyDescent="0.2">
      <c r="A321" s="3">
        <v>102</v>
      </c>
      <c r="B321" s="3">
        <v>4906</v>
      </c>
      <c r="C321" s="3">
        <v>55</v>
      </c>
      <c r="D321" s="3">
        <v>0.72</v>
      </c>
      <c r="E321" s="4">
        <v>0.161</v>
      </c>
      <c r="F321" s="3">
        <v>5.1999999999999998E-2</v>
      </c>
      <c r="G321" s="3">
        <v>0.84499999999999997</v>
      </c>
      <c r="H321" s="3">
        <v>0.97799999999999998</v>
      </c>
      <c r="I321" s="5">
        <v>46</v>
      </c>
      <c r="J321" s="3">
        <v>2</v>
      </c>
      <c r="K321" s="3">
        <v>9</v>
      </c>
    </row>
    <row r="322" spans="1:11" x14ac:dyDescent="0.2">
      <c r="A322" s="3">
        <v>53</v>
      </c>
      <c r="B322" s="3">
        <v>2510</v>
      </c>
      <c r="C322" s="3">
        <v>84</v>
      </c>
      <c r="D322" s="3">
        <v>0.72199999999999998</v>
      </c>
      <c r="E322" s="4">
        <v>7.0999999999999994E-2</v>
      </c>
      <c r="F322" s="3">
        <v>0.125</v>
      </c>
      <c r="G322" s="3">
        <v>0.82</v>
      </c>
      <c r="H322" s="3">
        <v>0.99399999999999999</v>
      </c>
      <c r="I322" s="5">
        <v>10</v>
      </c>
      <c r="J322" s="3">
        <v>4</v>
      </c>
      <c r="K322" s="3">
        <v>9.6</v>
      </c>
    </row>
    <row r="323" spans="1:11" x14ac:dyDescent="0.2">
      <c r="A323" s="3">
        <v>90</v>
      </c>
      <c r="B323" s="3">
        <v>4240</v>
      </c>
      <c r="C323" s="3">
        <v>85</v>
      </c>
      <c r="D323" s="3">
        <v>0.72199999999999998</v>
      </c>
      <c r="E323" s="4">
        <v>3.4000000000000002E-2</v>
      </c>
      <c r="F323" s="3">
        <v>0.22700000000000001</v>
      </c>
      <c r="G323" s="3">
        <v>0.749</v>
      </c>
      <c r="H323" s="3">
        <v>0.90700000000000003</v>
      </c>
      <c r="I323" s="5">
        <v>11</v>
      </c>
      <c r="J323" s="3">
        <v>9</v>
      </c>
      <c r="K323" s="3">
        <v>1.6</v>
      </c>
    </row>
    <row r="324" spans="1:11" x14ac:dyDescent="0.2">
      <c r="A324" s="3">
        <v>95</v>
      </c>
      <c r="B324" s="3">
        <v>4536</v>
      </c>
      <c r="C324" s="3">
        <v>72</v>
      </c>
      <c r="D324" s="3">
        <v>0.72199999999999998</v>
      </c>
      <c r="E324" s="4">
        <v>0.13800000000000001</v>
      </c>
      <c r="F324" s="3">
        <v>7.6999999999999999E-2</v>
      </c>
      <c r="G324" s="3">
        <v>0.78800000000000003</v>
      </c>
      <c r="H324" s="3">
        <v>0.91300000000000003</v>
      </c>
      <c r="I324" s="5">
        <v>40</v>
      </c>
      <c r="J324" s="3">
        <v>9</v>
      </c>
      <c r="K324" s="3">
        <v>3.8</v>
      </c>
    </row>
    <row r="325" spans="1:11" x14ac:dyDescent="0.2">
      <c r="A325" s="3">
        <v>29</v>
      </c>
      <c r="B325" s="3">
        <v>1326</v>
      </c>
      <c r="C325" s="3">
        <v>22</v>
      </c>
      <c r="D325" s="3">
        <v>0.72299999999999998</v>
      </c>
      <c r="E325" s="4">
        <v>9.4E-2</v>
      </c>
      <c r="F325" s="3">
        <v>0.159</v>
      </c>
      <c r="G325" s="3">
        <v>0.83599999999999997</v>
      </c>
      <c r="H325" s="3">
        <v>0.91300000000000003</v>
      </c>
      <c r="I325" s="5">
        <v>90</v>
      </c>
      <c r="J325" s="3">
        <v>15</v>
      </c>
      <c r="K325" s="3">
        <v>1.9</v>
      </c>
    </row>
    <row r="326" spans="1:11" x14ac:dyDescent="0.2">
      <c r="A326" s="3">
        <v>34</v>
      </c>
      <c r="B326" s="3">
        <v>1483</v>
      </c>
      <c r="C326" s="3">
        <v>101</v>
      </c>
      <c r="D326" s="3">
        <v>0.72299999999999998</v>
      </c>
      <c r="E326" s="4">
        <v>0.188</v>
      </c>
      <c r="F326" s="3">
        <v>0.29299999999999998</v>
      </c>
      <c r="G326" s="3">
        <v>0.92400000000000004</v>
      </c>
      <c r="H326" s="3">
        <v>0.999</v>
      </c>
      <c r="I326" s="5">
        <v>20</v>
      </c>
      <c r="J326" s="3">
        <v>13</v>
      </c>
      <c r="K326" s="3">
        <v>8.3000000000000007</v>
      </c>
    </row>
    <row r="327" spans="1:11" x14ac:dyDescent="0.2">
      <c r="A327" s="3">
        <v>88</v>
      </c>
      <c r="B327" s="3">
        <v>4270</v>
      </c>
      <c r="C327" s="3">
        <v>148</v>
      </c>
      <c r="D327" s="3">
        <v>0.72299999999999998</v>
      </c>
      <c r="E327" s="4">
        <v>1.0999999999999999E-2</v>
      </c>
      <c r="F327" s="3">
        <v>0.26100000000000001</v>
      </c>
      <c r="G327" s="3">
        <v>0.83699999999999997</v>
      </c>
      <c r="H327" s="3">
        <v>0.95399999999999996</v>
      </c>
      <c r="I327" s="5">
        <v>69</v>
      </c>
      <c r="J327" s="3">
        <v>6</v>
      </c>
      <c r="K327" s="3">
        <v>14.4</v>
      </c>
    </row>
    <row r="328" spans="1:11" x14ac:dyDescent="0.2">
      <c r="A328" s="3">
        <v>92</v>
      </c>
      <c r="B328" s="3">
        <v>4462</v>
      </c>
      <c r="C328" s="3">
        <v>192</v>
      </c>
      <c r="D328" s="3">
        <v>0.72299999999999998</v>
      </c>
      <c r="E328" s="4">
        <v>4.9000000000000002E-2</v>
      </c>
      <c r="F328" s="3">
        <v>6.4000000000000001E-2</v>
      </c>
      <c r="G328" s="3">
        <v>0.77600000000000002</v>
      </c>
      <c r="H328" s="3">
        <v>0.94299999999999995</v>
      </c>
      <c r="I328" s="5">
        <v>25</v>
      </c>
      <c r="J328" s="3">
        <v>0</v>
      </c>
      <c r="K328" s="3">
        <v>6.5</v>
      </c>
    </row>
    <row r="329" spans="1:11" x14ac:dyDescent="0.2">
      <c r="A329" s="3">
        <v>67</v>
      </c>
      <c r="B329" s="3">
        <v>3111</v>
      </c>
      <c r="C329" s="3">
        <v>16</v>
      </c>
      <c r="D329" s="3">
        <v>0.72399999999999998</v>
      </c>
      <c r="E329" s="4">
        <v>0.13600000000000001</v>
      </c>
      <c r="F329" s="3">
        <v>0.191</v>
      </c>
      <c r="G329" s="3">
        <v>0.81</v>
      </c>
      <c r="H329" s="3">
        <v>0.96399999999999997</v>
      </c>
      <c r="I329" s="5">
        <v>78</v>
      </c>
      <c r="J329" s="3">
        <v>5</v>
      </c>
      <c r="K329" s="3">
        <v>13</v>
      </c>
    </row>
    <row r="330" spans="1:11" x14ac:dyDescent="0.2">
      <c r="A330" s="3">
        <v>95</v>
      </c>
      <c r="B330" s="3">
        <v>4599</v>
      </c>
      <c r="C330" s="3">
        <v>28</v>
      </c>
      <c r="D330" s="3">
        <v>0.72599999999999998</v>
      </c>
      <c r="E330" s="4">
        <v>0.115</v>
      </c>
      <c r="F330" s="3">
        <v>0.28699999999999998</v>
      </c>
      <c r="G330" s="3">
        <v>0.80600000000000005</v>
      </c>
      <c r="H330" s="3">
        <v>0.94299999999999995</v>
      </c>
      <c r="I330" s="5">
        <v>55</v>
      </c>
      <c r="J330" s="3">
        <v>15</v>
      </c>
      <c r="K330" s="3">
        <v>9.6999999999999993</v>
      </c>
    </row>
    <row r="331" spans="1:11" x14ac:dyDescent="0.2">
      <c r="A331" s="3">
        <v>93</v>
      </c>
      <c r="B331" s="3">
        <v>4607</v>
      </c>
      <c r="C331" s="3">
        <v>39</v>
      </c>
      <c r="D331" s="3">
        <v>0.72599999999999998</v>
      </c>
      <c r="E331" s="4">
        <v>2.5000000000000001E-2</v>
      </c>
      <c r="F331" s="3">
        <v>0.28299999999999997</v>
      </c>
      <c r="G331" s="3">
        <v>0.88200000000000001</v>
      </c>
      <c r="H331" s="3">
        <v>0.995</v>
      </c>
      <c r="I331" s="5">
        <v>45</v>
      </c>
      <c r="J331" s="3">
        <v>11</v>
      </c>
      <c r="K331" s="3">
        <v>8.8000000000000007</v>
      </c>
    </row>
    <row r="332" spans="1:11" x14ac:dyDescent="0.2">
      <c r="A332" s="3">
        <v>80</v>
      </c>
      <c r="B332" s="3">
        <v>3828</v>
      </c>
      <c r="C332" s="3">
        <v>86</v>
      </c>
      <c r="D332" s="3">
        <v>0.72699999999999998</v>
      </c>
      <c r="E332" s="4">
        <v>0.114</v>
      </c>
      <c r="F332" s="3">
        <v>9.0999999999999998E-2</v>
      </c>
      <c r="G332" s="3">
        <v>0.84</v>
      </c>
      <c r="H332" s="3">
        <v>0.94899999999999995</v>
      </c>
      <c r="I332" s="5">
        <v>5</v>
      </c>
      <c r="J332" s="3">
        <v>6</v>
      </c>
      <c r="K332" s="3">
        <v>2</v>
      </c>
    </row>
    <row r="333" spans="1:11" x14ac:dyDescent="0.2">
      <c r="A333" s="3">
        <v>101</v>
      </c>
      <c r="B333" s="3">
        <v>4877</v>
      </c>
      <c r="C333" s="3">
        <v>31</v>
      </c>
      <c r="D333" s="3">
        <v>0.72699999999999998</v>
      </c>
      <c r="E333" s="4">
        <v>4.5999999999999999E-2</v>
      </c>
      <c r="F333" s="3">
        <v>0.151</v>
      </c>
      <c r="G333" s="3">
        <v>0.84</v>
      </c>
      <c r="H333" s="3">
        <v>0.90300000000000002</v>
      </c>
      <c r="I333" s="5">
        <v>40</v>
      </c>
      <c r="J333" s="3">
        <v>6</v>
      </c>
      <c r="K333" s="3">
        <v>12.1</v>
      </c>
    </row>
    <row r="334" spans="1:11" x14ac:dyDescent="0.2">
      <c r="A334" s="3">
        <v>34</v>
      </c>
      <c r="B334" s="3">
        <v>1541</v>
      </c>
      <c r="C334" s="3">
        <v>158</v>
      </c>
      <c r="D334" s="3">
        <v>0.72799999999999998</v>
      </c>
      <c r="E334" s="4">
        <v>8.5000000000000006E-2</v>
      </c>
      <c r="F334" s="3">
        <v>0.23300000000000001</v>
      </c>
      <c r="G334" s="3">
        <v>0.98</v>
      </c>
      <c r="H334" s="3">
        <v>0.97199999999999998</v>
      </c>
      <c r="I334" s="5">
        <v>2</v>
      </c>
      <c r="J334" s="3">
        <v>10</v>
      </c>
      <c r="K334" s="3">
        <v>7.3</v>
      </c>
    </row>
    <row r="335" spans="1:11" x14ac:dyDescent="0.2">
      <c r="A335" s="3">
        <v>64</v>
      </c>
      <c r="B335" s="3">
        <v>3059</v>
      </c>
      <c r="C335" s="3">
        <v>167</v>
      </c>
      <c r="D335" s="3">
        <v>0.72799999999999998</v>
      </c>
      <c r="E335" s="4">
        <v>0.112</v>
      </c>
      <c r="F335" s="3">
        <v>9.9000000000000005E-2</v>
      </c>
      <c r="G335" s="3">
        <v>0.76100000000000001</v>
      </c>
      <c r="H335" s="3">
        <v>0.90400000000000003</v>
      </c>
      <c r="I335" s="5">
        <v>15</v>
      </c>
      <c r="J335" s="3">
        <v>13</v>
      </c>
      <c r="K335" s="3">
        <v>14.5</v>
      </c>
    </row>
    <row r="336" spans="1:11" x14ac:dyDescent="0.2">
      <c r="A336" s="3">
        <v>43</v>
      </c>
      <c r="B336" s="3">
        <v>1939</v>
      </c>
      <c r="C336" s="3">
        <v>78</v>
      </c>
      <c r="D336" s="3">
        <v>0.72899999999999998</v>
      </c>
      <c r="E336" s="4">
        <v>1.9E-2</v>
      </c>
      <c r="F336" s="3">
        <v>0.10100000000000001</v>
      </c>
      <c r="G336" s="3">
        <v>0.80300000000000005</v>
      </c>
      <c r="H336" s="3">
        <v>0.95299999999999996</v>
      </c>
      <c r="I336" s="5">
        <v>89</v>
      </c>
      <c r="J336" s="3">
        <v>7</v>
      </c>
      <c r="K336" s="3">
        <v>2.5</v>
      </c>
    </row>
    <row r="337" spans="1:11" x14ac:dyDescent="0.2">
      <c r="A337" s="3">
        <v>54</v>
      </c>
      <c r="B337" s="3">
        <v>2525</v>
      </c>
      <c r="C337" s="3">
        <v>169</v>
      </c>
      <c r="D337" s="3">
        <v>0.72899999999999998</v>
      </c>
      <c r="E337" s="4">
        <v>0.10299999999999999</v>
      </c>
      <c r="F337" s="3">
        <v>7.5999999999999998E-2</v>
      </c>
      <c r="G337" s="3">
        <v>0.91200000000000003</v>
      </c>
      <c r="H337" s="3">
        <v>0.97</v>
      </c>
      <c r="I337" s="5">
        <v>79</v>
      </c>
      <c r="J337" s="3">
        <v>17</v>
      </c>
      <c r="K337" s="3">
        <v>4.3</v>
      </c>
    </row>
    <row r="338" spans="1:11" x14ac:dyDescent="0.2">
      <c r="A338" s="3">
        <v>86</v>
      </c>
      <c r="B338" s="3">
        <v>4096</v>
      </c>
      <c r="C338" s="3">
        <v>187</v>
      </c>
      <c r="D338" s="3">
        <v>0.72899999999999998</v>
      </c>
      <c r="E338" s="4">
        <v>0.08</v>
      </c>
      <c r="F338" s="3">
        <v>0.27300000000000002</v>
      </c>
      <c r="G338" s="3">
        <v>0.82599999999999996</v>
      </c>
      <c r="H338" s="3">
        <v>0.91500000000000004</v>
      </c>
      <c r="I338" s="5">
        <v>17</v>
      </c>
      <c r="J338" s="3">
        <v>3</v>
      </c>
      <c r="K338" s="3">
        <v>5.2</v>
      </c>
    </row>
    <row r="339" spans="1:11" x14ac:dyDescent="0.2">
      <c r="A339" s="3">
        <v>83</v>
      </c>
      <c r="B339" s="3">
        <v>4008</v>
      </c>
      <c r="C339" s="3">
        <v>71</v>
      </c>
      <c r="D339" s="3">
        <v>0.73</v>
      </c>
      <c r="E339" s="4">
        <v>0.114</v>
      </c>
      <c r="F339" s="3">
        <v>6.6000000000000003E-2</v>
      </c>
      <c r="G339" s="3">
        <v>0.88900000000000001</v>
      </c>
      <c r="H339" s="3">
        <v>0.91200000000000003</v>
      </c>
      <c r="I339" s="5">
        <v>69</v>
      </c>
      <c r="J339" s="3">
        <v>16</v>
      </c>
      <c r="K339" s="3">
        <v>9.6</v>
      </c>
    </row>
    <row r="340" spans="1:11" x14ac:dyDescent="0.2">
      <c r="A340" s="3">
        <v>99</v>
      </c>
      <c r="B340" s="3">
        <v>4921</v>
      </c>
      <c r="C340" s="3">
        <v>41</v>
      </c>
      <c r="D340" s="3">
        <v>0.73</v>
      </c>
      <c r="E340" s="4">
        <v>3.3000000000000002E-2</v>
      </c>
      <c r="F340" s="3">
        <v>0.17599999999999999</v>
      </c>
      <c r="G340" s="3">
        <v>0.89300000000000002</v>
      </c>
      <c r="H340" s="3">
        <v>0.92100000000000004</v>
      </c>
      <c r="I340" s="5">
        <v>37</v>
      </c>
      <c r="J340" s="3">
        <v>0</v>
      </c>
      <c r="K340" s="3">
        <v>12.9</v>
      </c>
    </row>
    <row r="341" spans="1:11" x14ac:dyDescent="0.2">
      <c r="A341" s="3">
        <v>77</v>
      </c>
      <c r="B341" s="3">
        <v>3593</v>
      </c>
      <c r="C341" s="3">
        <v>175</v>
      </c>
      <c r="D341" s="3">
        <v>0.73099999999999998</v>
      </c>
      <c r="E341" s="4">
        <v>0.10299999999999999</v>
      </c>
      <c r="F341" s="3">
        <v>0.24</v>
      </c>
      <c r="G341" s="3">
        <v>0.72499999999999998</v>
      </c>
      <c r="H341" s="3">
        <v>0.97499999999999998</v>
      </c>
      <c r="I341" s="5">
        <v>65</v>
      </c>
      <c r="J341" s="3">
        <v>11</v>
      </c>
      <c r="K341" s="3">
        <v>2.2000000000000002</v>
      </c>
    </row>
    <row r="342" spans="1:11" x14ac:dyDescent="0.2">
      <c r="A342" s="3">
        <v>57</v>
      </c>
      <c r="B342" s="3">
        <v>2642</v>
      </c>
      <c r="C342" s="3">
        <v>70</v>
      </c>
      <c r="D342" s="3">
        <v>0.73199999999999998</v>
      </c>
      <c r="E342" s="4">
        <v>0.14899999999999999</v>
      </c>
      <c r="F342" s="3">
        <v>0.216</v>
      </c>
      <c r="G342" s="3">
        <v>0.746</v>
      </c>
      <c r="H342" s="3">
        <v>0.97799999999999998</v>
      </c>
      <c r="I342" s="5">
        <v>18</v>
      </c>
      <c r="J342" s="3">
        <v>4</v>
      </c>
      <c r="K342" s="3">
        <v>13.7</v>
      </c>
    </row>
    <row r="343" spans="1:11" x14ac:dyDescent="0.2">
      <c r="A343" s="3">
        <v>70</v>
      </c>
      <c r="B343" s="3">
        <v>3295</v>
      </c>
      <c r="C343" s="3">
        <v>72</v>
      </c>
      <c r="D343" s="3">
        <v>0.73199999999999998</v>
      </c>
      <c r="E343" s="4">
        <v>7.2999999999999995E-2</v>
      </c>
      <c r="F343" s="3">
        <v>0.14099999999999999</v>
      </c>
      <c r="G343" s="3">
        <v>0.72699999999999998</v>
      </c>
      <c r="H343" s="3">
        <v>0.94199999999999995</v>
      </c>
      <c r="I343" s="5">
        <v>61</v>
      </c>
      <c r="J343" s="3">
        <v>3</v>
      </c>
      <c r="K343" s="3">
        <v>13.4</v>
      </c>
    </row>
    <row r="344" spans="1:11" x14ac:dyDescent="0.2">
      <c r="A344" s="3">
        <v>91</v>
      </c>
      <c r="B344" s="3">
        <v>4483</v>
      </c>
      <c r="C344" s="3">
        <v>138</v>
      </c>
      <c r="D344" s="3">
        <v>0.73199999999999998</v>
      </c>
      <c r="E344" s="4">
        <v>0.14199999999999999</v>
      </c>
      <c r="F344" s="3">
        <v>0.13400000000000001</v>
      </c>
      <c r="G344" s="3">
        <v>0.77700000000000002</v>
      </c>
      <c r="H344" s="3">
        <v>0.90100000000000002</v>
      </c>
      <c r="I344" s="5">
        <v>23</v>
      </c>
      <c r="J344" s="3">
        <v>8</v>
      </c>
      <c r="K344" s="3">
        <v>11.2</v>
      </c>
    </row>
    <row r="345" spans="1:11" x14ac:dyDescent="0.2">
      <c r="A345" s="3">
        <v>27</v>
      </c>
      <c r="B345" s="3">
        <v>1081</v>
      </c>
      <c r="C345" s="3">
        <v>166</v>
      </c>
      <c r="D345" s="3">
        <v>0.73299999999999998</v>
      </c>
      <c r="E345" s="4">
        <v>0.158</v>
      </c>
      <c r="F345" s="3">
        <v>0.158</v>
      </c>
      <c r="G345" s="3">
        <v>0.86599999999999999</v>
      </c>
      <c r="H345" s="3">
        <v>0.98699999999999999</v>
      </c>
      <c r="I345" s="5">
        <v>74</v>
      </c>
      <c r="J345" s="3">
        <v>7</v>
      </c>
      <c r="K345" s="3">
        <v>5.5</v>
      </c>
    </row>
    <row r="346" spans="1:11" x14ac:dyDescent="0.2">
      <c r="A346" s="3">
        <v>31</v>
      </c>
      <c r="B346" s="3">
        <v>1475</v>
      </c>
      <c r="C346" s="3">
        <v>142</v>
      </c>
      <c r="D346" s="3">
        <v>0.73299999999999998</v>
      </c>
      <c r="E346" s="4">
        <v>0.123</v>
      </c>
      <c r="F346" s="3">
        <v>9.7000000000000003E-2</v>
      </c>
      <c r="G346" s="3">
        <v>0.72599999999999998</v>
      </c>
      <c r="H346" s="3">
        <v>0.92200000000000004</v>
      </c>
      <c r="I346" s="5">
        <v>47</v>
      </c>
      <c r="J346" s="3">
        <v>4</v>
      </c>
      <c r="K346" s="3">
        <v>7.6</v>
      </c>
    </row>
    <row r="347" spans="1:11" x14ac:dyDescent="0.2">
      <c r="A347" s="3">
        <v>66</v>
      </c>
      <c r="B347" s="3">
        <v>3100</v>
      </c>
      <c r="C347" s="3">
        <v>165</v>
      </c>
      <c r="D347" s="3">
        <v>0.73299999999999998</v>
      </c>
      <c r="E347" s="4">
        <v>0.13</v>
      </c>
      <c r="F347" s="3">
        <v>0.22600000000000001</v>
      </c>
      <c r="G347" s="3">
        <v>0.96299999999999997</v>
      </c>
      <c r="H347" s="3">
        <v>0.92800000000000005</v>
      </c>
      <c r="I347" s="5">
        <v>12</v>
      </c>
      <c r="J347" s="3">
        <v>1</v>
      </c>
      <c r="K347" s="3">
        <v>14.4</v>
      </c>
    </row>
    <row r="348" spans="1:11" x14ac:dyDescent="0.2">
      <c r="A348" s="3">
        <v>82</v>
      </c>
      <c r="B348" s="3">
        <v>4074</v>
      </c>
      <c r="C348" s="3">
        <v>26</v>
      </c>
      <c r="D348" s="3">
        <v>0.73299999999999998</v>
      </c>
      <c r="E348" s="4">
        <v>0.02</v>
      </c>
      <c r="F348" s="3">
        <v>0.24399999999999999</v>
      </c>
      <c r="G348" s="3">
        <v>0.96799999999999997</v>
      </c>
      <c r="H348" s="3">
        <v>0.94399999999999995</v>
      </c>
      <c r="I348" s="5">
        <v>6</v>
      </c>
      <c r="J348" s="3">
        <v>17</v>
      </c>
      <c r="K348" s="3">
        <v>2.2999999999999998</v>
      </c>
    </row>
    <row r="349" spans="1:11" x14ac:dyDescent="0.2">
      <c r="A349" s="3">
        <v>93</v>
      </c>
      <c r="B349" s="3">
        <v>4568</v>
      </c>
      <c r="C349" s="3">
        <v>109</v>
      </c>
      <c r="D349" s="3">
        <v>0.73299999999999998</v>
      </c>
      <c r="E349" s="4">
        <v>0.16900000000000001</v>
      </c>
      <c r="F349" s="3">
        <v>0.219</v>
      </c>
      <c r="G349" s="3">
        <v>0.77300000000000002</v>
      </c>
      <c r="H349" s="3">
        <v>0.97099999999999997</v>
      </c>
      <c r="I349" s="5">
        <v>33</v>
      </c>
      <c r="J349" s="3">
        <v>3</v>
      </c>
      <c r="K349" s="3">
        <v>14.7</v>
      </c>
    </row>
    <row r="350" spans="1:11" x14ac:dyDescent="0.2">
      <c r="A350" s="3">
        <v>42</v>
      </c>
      <c r="B350" s="3">
        <v>2043</v>
      </c>
      <c r="C350" s="3">
        <v>143</v>
      </c>
      <c r="D350" s="3">
        <v>0.73399999999999999</v>
      </c>
      <c r="E350" s="4">
        <v>7.5999999999999998E-2</v>
      </c>
      <c r="F350" s="3">
        <v>7.5999999999999998E-2</v>
      </c>
      <c r="G350" s="3">
        <v>0.92400000000000004</v>
      </c>
      <c r="H350" s="3">
        <v>0.95499999999999996</v>
      </c>
      <c r="I350" s="5">
        <v>67</v>
      </c>
      <c r="J350" s="3">
        <v>13</v>
      </c>
      <c r="K350" s="3">
        <v>6.9</v>
      </c>
    </row>
    <row r="351" spans="1:11" x14ac:dyDescent="0.2">
      <c r="A351" s="3">
        <v>72</v>
      </c>
      <c r="B351" s="3">
        <v>3456</v>
      </c>
      <c r="C351" s="3">
        <v>188</v>
      </c>
      <c r="D351" s="3">
        <v>0.73399999999999999</v>
      </c>
      <c r="E351" s="4">
        <v>0.11899999999999999</v>
      </c>
      <c r="F351" s="3">
        <v>0.16700000000000001</v>
      </c>
      <c r="G351" s="3">
        <v>0.97399999999999998</v>
      </c>
      <c r="H351" s="3">
        <v>0.91200000000000003</v>
      </c>
      <c r="I351" s="5">
        <v>86</v>
      </c>
      <c r="J351" s="3">
        <v>17</v>
      </c>
      <c r="K351" s="3">
        <v>2.1</v>
      </c>
    </row>
    <row r="352" spans="1:11" x14ac:dyDescent="0.2">
      <c r="A352" s="3">
        <v>85</v>
      </c>
      <c r="B352" s="3">
        <v>3988</v>
      </c>
      <c r="C352" s="3">
        <v>19</v>
      </c>
      <c r="D352" s="3">
        <v>0.73399999999999999</v>
      </c>
      <c r="E352" s="4">
        <v>5.5E-2</v>
      </c>
      <c r="F352" s="3">
        <v>0.114</v>
      </c>
      <c r="G352" s="3">
        <v>0.88400000000000001</v>
      </c>
      <c r="H352" s="3">
        <v>0.92500000000000004</v>
      </c>
      <c r="I352" s="5">
        <v>97</v>
      </c>
      <c r="J352" s="3">
        <v>6</v>
      </c>
      <c r="K352" s="3">
        <v>8.6</v>
      </c>
    </row>
    <row r="353" spans="1:11" x14ac:dyDescent="0.2">
      <c r="A353" s="3">
        <v>49</v>
      </c>
      <c r="B353" s="3">
        <v>2307</v>
      </c>
      <c r="C353" s="3">
        <v>181</v>
      </c>
      <c r="D353" s="3">
        <v>0.73499999999999999</v>
      </c>
      <c r="E353" s="4">
        <v>9.4E-2</v>
      </c>
      <c r="F353" s="3">
        <v>0.23899999999999999</v>
      </c>
      <c r="G353" s="3">
        <v>0.86299999999999999</v>
      </c>
      <c r="H353" s="3">
        <v>0.99299999999999999</v>
      </c>
      <c r="I353" s="5">
        <v>66</v>
      </c>
      <c r="J353" s="3">
        <v>17</v>
      </c>
      <c r="K353" s="3">
        <v>1.4</v>
      </c>
    </row>
    <row r="354" spans="1:11" x14ac:dyDescent="0.2">
      <c r="A354" s="3">
        <v>65</v>
      </c>
      <c r="B354" s="3">
        <v>3078</v>
      </c>
      <c r="C354" s="3">
        <v>188</v>
      </c>
      <c r="D354" s="3">
        <v>0.73499999999999999</v>
      </c>
      <c r="E354" s="4">
        <v>8.1000000000000003E-2</v>
      </c>
      <c r="F354" s="3">
        <v>0.217</v>
      </c>
      <c r="G354" s="3">
        <v>0.96399999999999997</v>
      </c>
      <c r="H354" s="3">
        <v>0.91200000000000003</v>
      </c>
      <c r="I354" s="5">
        <v>84</v>
      </c>
      <c r="J354" s="3">
        <v>4</v>
      </c>
      <c r="K354" s="3">
        <v>13.1</v>
      </c>
    </row>
    <row r="355" spans="1:11" x14ac:dyDescent="0.2">
      <c r="A355" s="3">
        <v>69</v>
      </c>
      <c r="B355" s="3">
        <v>3324</v>
      </c>
      <c r="C355" s="3">
        <v>55</v>
      </c>
      <c r="D355" s="3">
        <v>0.73499999999999999</v>
      </c>
      <c r="E355" s="4">
        <v>2.8000000000000001E-2</v>
      </c>
      <c r="F355" s="3">
        <v>0.29199999999999998</v>
      </c>
      <c r="G355" s="3">
        <v>0.97499999999999998</v>
      </c>
      <c r="H355" s="3">
        <v>0.90700000000000003</v>
      </c>
      <c r="I355" s="5">
        <v>30</v>
      </c>
      <c r="J355" s="3">
        <v>7</v>
      </c>
      <c r="K355" s="3">
        <v>6.1</v>
      </c>
    </row>
    <row r="356" spans="1:11" x14ac:dyDescent="0.2">
      <c r="A356" s="3">
        <v>100</v>
      </c>
      <c r="B356" s="3">
        <v>4752</v>
      </c>
      <c r="C356" s="3">
        <v>79</v>
      </c>
      <c r="D356" s="3">
        <v>0.73599999999999999</v>
      </c>
      <c r="E356" s="4">
        <v>0.192</v>
      </c>
      <c r="F356" s="3">
        <v>0.29499999999999998</v>
      </c>
      <c r="G356" s="3">
        <v>0.82399999999999995</v>
      </c>
      <c r="H356" s="3">
        <v>0.98499999999999999</v>
      </c>
      <c r="I356" s="5">
        <v>24</v>
      </c>
      <c r="J356" s="3">
        <v>15</v>
      </c>
      <c r="K356" s="3">
        <v>6.6</v>
      </c>
    </row>
    <row r="357" spans="1:11" x14ac:dyDescent="0.2">
      <c r="A357" s="3">
        <v>101</v>
      </c>
      <c r="B357" s="3">
        <v>4929</v>
      </c>
      <c r="C357" s="3">
        <v>159</v>
      </c>
      <c r="D357" s="3">
        <v>0.73599999999999999</v>
      </c>
      <c r="E357" s="4">
        <v>0.05</v>
      </c>
      <c r="F357" s="3">
        <v>0.188</v>
      </c>
      <c r="G357" s="3">
        <v>0.76100000000000001</v>
      </c>
      <c r="H357" s="3">
        <v>0.94499999999999995</v>
      </c>
      <c r="I357" s="5">
        <v>46</v>
      </c>
      <c r="J357" s="3">
        <v>2</v>
      </c>
      <c r="K357" s="3">
        <v>6.4</v>
      </c>
    </row>
    <row r="358" spans="1:11" x14ac:dyDescent="0.2">
      <c r="A358" s="3">
        <v>26</v>
      </c>
      <c r="B358" s="3">
        <v>1112</v>
      </c>
      <c r="C358" s="3">
        <v>159</v>
      </c>
      <c r="D358" s="3">
        <v>0.73699999999999999</v>
      </c>
      <c r="E358" s="4">
        <v>6.4000000000000001E-2</v>
      </c>
      <c r="F358" s="3">
        <v>0.26100000000000001</v>
      </c>
      <c r="G358" s="3">
        <v>0.84</v>
      </c>
      <c r="H358" s="3">
        <v>0.93500000000000005</v>
      </c>
      <c r="I358" s="5">
        <v>71</v>
      </c>
      <c r="J358" s="3">
        <v>4</v>
      </c>
      <c r="K358" s="3">
        <v>7.6</v>
      </c>
    </row>
    <row r="359" spans="1:11" x14ac:dyDescent="0.2">
      <c r="A359" s="3">
        <v>99</v>
      </c>
      <c r="B359" s="3">
        <v>4807</v>
      </c>
      <c r="C359" s="3">
        <v>135</v>
      </c>
      <c r="D359" s="3">
        <v>0.73699999999999999</v>
      </c>
      <c r="E359" s="4">
        <v>0.17399999999999999</v>
      </c>
      <c r="F359" s="3">
        <v>9.7000000000000003E-2</v>
      </c>
      <c r="G359" s="3">
        <v>0.85199999999999998</v>
      </c>
      <c r="H359" s="3">
        <v>0.997</v>
      </c>
      <c r="I359" s="5">
        <v>26</v>
      </c>
      <c r="J359" s="3">
        <v>13</v>
      </c>
      <c r="K359" s="3">
        <v>14.7</v>
      </c>
    </row>
    <row r="360" spans="1:11" x14ac:dyDescent="0.2">
      <c r="A360" s="3">
        <v>46</v>
      </c>
      <c r="B360" s="3">
        <v>2098</v>
      </c>
      <c r="C360" s="3">
        <v>172</v>
      </c>
      <c r="D360" s="3">
        <v>0.73799999999999999</v>
      </c>
      <c r="E360" s="4">
        <v>3.7999999999999999E-2</v>
      </c>
      <c r="F360" s="3">
        <v>8.5999999999999993E-2</v>
      </c>
      <c r="G360" s="3">
        <v>0.88200000000000001</v>
      </c>
      <c r="H360" s="3">
        <v>0.94099999999999995</v>
      </c>
      <c r="I360" s="5">
        <v>25</v>
      </c>
      <c r="J360" s="3">
        <v>0</v>
      </c>
      <c r="K360" s="3">
        <v>2.8</v>
      </c>
    </row>
    <row r="361" spans="1:11" x14ac:dyDescent="0.2">
      <c r="A361" s="3">
        <v>63</v>
      </c>
      <c r="B361" s="3">
        <v>3001</v>
      </c>
      <c r="C361" s="3">
        <v>34</v>
      </c>
      <c r="D361" s="3">
        <v>0.73799999999999999</v>
      </c>
      <c r="E361" s="4">
        <v>0.112</v>
      </c>
      <c r="F361" s="3">
        <v>6.8000000000000005E-2</v>
      </c>
      <c r="G361" s="3">
        <v>0.77800000000000002</v>
      </c>
      <c r="H361" s="3">
        <v>0.97499999999999998</v>
      </c>
      <c r="I361" s="5">
        <v>71</v>
      </c>
      <c r="J361" s="3">
        <v>0</v>
      </c>
      <c r="K361" s="3">
        <v>5.7</v>
      </c>
    </row>
    <row r="362" spans="1:11" x14ac:dyDescent="0.2">
      <c r="A362" s="3">
        <v>67</v>
      </c>
      <c r="B362" s="3">
        <v>3092</v>
      </c>
      <c r="C362" s="3">
        <v>132</v>
      </c>
      <c r="D362" s="3">
        <v>0.73799999999999999</v>
      </c>
      <c r="E362" s="4">
        <v>0.13100000000000001</v>
      </c>
      <c r="F362" s="3">
        <v>0.161</v>
      </c>
      <c r="G362" s="3">
        <v>0.78800000000000003</v>
      </c>
      <c r="H362" s="3">
        <v>0.996</v>
      </c>
      <c r="I362" s="5">
        <v>31</v>
      </c>
      <c r="J362" s="3">
        <v>4</v>
      </c>
      <c r="K362" s="3">
        <v>4.9000000000000004</v>
      </c>
    </row>
    <row r="363" spans="1:11" x14ac:dyDescent="0.2">
      <c r="A363" s="3">
        <v>75</v>
      </c>
      <c r="B363" s="3">
        <v>3611</v>
      </c>
      <c r="C363" s="3">
        <v>22</v>
      </c>
      <c r="D363" s="3">
        <v>0.73799999999999999</v>
      </c>
      <c r="E363" s="4">
        <v>8.8999999999999996E-2</v>
      </c>
      <c r="F363" s="3">
        <v>0.25900000000000001</v>
      </c>
      <c r="G363" s="3">
        <v>0.90900000000000003</v>
      </c>
      <c r="H363" s="3">
        <v>0.96099999999999997</v>
      </c>
      <c r="I363" s="5">
        <v>87</v>
      </c>
      <c r="J363" s="3">
        <v>1</v>
      </c>
      <c r="K363" s="3">
        <v>2.2999999999999998</v>
      </c>
    </row>
    <row r="364" spans="1:11" x14ac:dyDescent="0.2">
      <c r="A364" s="3">
        <v>89</v>
      </c>
      <c r="B364" s="3">
        <v>4374</v>
      </c>
      <c r="C364" s="3">
        <v>59</v>
      </c>
      <c r="D364" s="3">
        <v>0.73799999999999999</v>
      </c>
      <c r="E364" s="4">
        <v>0.13600000000000001</v>
      </c>
      <c r="F364" s="3">
        <v>0.14599999999999999</v>
      </c>
      <c r="G364" s="3">
        <v>0.97899999999999998</v>
      </c>
      <c r="H364" s="3">
        <v>0.95099999999999996</v>
      </c>
      <c r="I364" s="5">
        <v>53</v>
      </c>
      <c r="J364" s="3">
        <v>18</v>
      </c>
      <c r="K364" s="3">
        <v>11.9</v>
      </c>
    </row>
    <row r="365" spans="1:11" x14ac:dyDescent="0.2">
      <c r="A365" s="3">
        <v>37</v>
      </c>
      <c r="B365" s="3">
        <v>1708</v>
      </c>
      <c r="C365" s="3">
        <v>26</v>
      </c>
      <c r="D365" s="3">
        <v>0.73899999999999999</v>
      </c>
      <c r="E365" s="4">
        <v>0.14299999999999999</v>
      </c>
      <c r="F365" s="3">
        <v>0.29199999999999998</v>
      </c>
      <c r="G365" s="3">
        <v>0.84899999999999998</v>
      </c>
      <c r="H365" s="3">
        <v>0.91700000000000004</v>
      </c>
      <c r="I365" s="5">
        <v>70</v>
      </c>
      <c r="J365" s="3">
        <v>15</v>
      </c>
      <c r="K365" s="3">
        <v>4.8</v>
      </c>
    </row>
    <row r="366" spans="1:11" x14ac:dyDescent="0.2">
      <c r="A366" s="3">
        <v>64</v>
      </c>
      <c r="B366" s="3">
        <v>3151</v>
      </c>
      <c r="C366" s="3">
        <v>182</v>
      </c>
      <c r="D366" s="3">
        <v>0.73899999999999999</v>
      </c>
      <c r="E366" s="4">
        <v>0.154</v>
      </c>
      <c r="F366" s="3">
        <v>6.6000000000000003E-2</v>
      </c>
      <c r="G366" s="3">
        <v>0.95799999999999996</v>
      </c>
      <c r="H366" s="3">
        <v>0.99299999999999999</v>
      </c>
      <c r="I366" s="5">
        <v>7</v>
      </c>
      <c r="J366" s="3">
        <v>16</v>
      </c>
      <c r="K366" s="3">
        <v>7.6</v>
      </c>
    </row>
    <row r="367" spans="1:11" x14ac:dyDescent="0.2">
      <c r="A367" s="3">
        <v>23</v>
      </c>
      <c r="B367" s="3">
        <v>1018</v>
      </c>
      <c r="C367" s="3">
        <v>19</v>
      </c>
      <c r="D367" s="3">
        <v>0.74</v>
      </c>
      <c r="E367" s="4">
        <v>0.183</v>
      </c>
      <c r="F367" s="3">
        <v>0.08</v>
      </c>
      <c r="G367" s="3">
        <v>0.76800000000000002</v>
      </c>
      <c r="H367" s="3">
        <v>0.92500000000000004</v>
      </c>
      <c r="I367" s="5">
        <v>64</v>
      </c>
      <c r="J367" s="3">
        <v>12</v>
      </c>
      <c r="K367" s="3">
        <v>10.4</v>
      </c>
    </row>
    <row r="368" spans="1:11" x14ac:dyDescent="0.2">
      <c r="A368" s="3">
        <v>43</v>
      </c>
      <c r="B368" s="3">
        <v>1946</v>
      </c>
      <c r="C368" s="3">
        <v>166</v>
      </c>
      <c r="D368" s="3">
        <v>0.74</v>
      </c>
      <c r="E368" s="4">
        <v>0.14199999999999999</v>
      </c>
      <c r="F368" s="3">
        <v>7.9000000000000001E-2</v>
      </c>
      <c r="G368" s="3">
        <v>0.70399999999999996</v>
      </c>
      <c r="H368" s="3">
        <v>0.96399999999999997</v>
      </c>
      <c r="I368" s="5">
        <v>78</v>
      </c>
      <c r="J368" s="3">
        <v>11</v>
      </c>
      <c r="K368" s="3">
        <v>1.4</v>
      </c>
    </row>
    <row r="369" spans="1:11" x14ac:dyDescent="0.2">
      <c r="A369" s="3">
        <v>53</v>
      </c>
      <c r="B369" s="3">
        <v>2594</v>
      </c>
      <c r="C369" s="3">
        <v>103</v>
      </c>
      <c r="D369" s="3">
        <v>0.74</v>
      </c>
      <c r="E369" s="4">
        <v>0.14299999999999999</v>
      </c>
      <c r="F369" s="3">
        <v>0.189</v>
      </c>
      <c r="G369" s="3">
        <v>0.71299999999999997</v>
      </c>
      <c r="H369" s="3">
        <v>0.97899999999999998</v>
      </c>
      <c r="I369" s="5">
        <v>20</v>
      </c>
      <c r="J369" s="3">
        <v>13</v>
      </c>
      <c r="K369" s="3">
        <v>3.6</v>
      </c>
    </row>
    <row r="370" spans="1:11" x14ac:dyDescent="0.2">
      <c r="A370" s="3">
        <v>76</v>
      </c>
      <c r="B370" s="3">
        <v>3660</v>
      </c>
      <c r="C370" s="3">
        <v>102</v>
      </c>
      <c r="D370" s="3">
        <v>0.74</v>
      </c>
      <c r="E370" s="4">
        <v>5.7000000000000002E-2</v>
      </c>
      <c r="F370" s="3">
        <v>0.26800000000000002</v>
      </c>
      <c r="G370" s="3">
        <v>0.81699999999999995</v>
      </c>
      <c r="H370" s="3">
        <v>0.95299999999999996</v>
      </c>
      <c r="I370" s="5">
        <v>48</v>
      </c>
      <c r="J370" s="3">
        <v>1</v>
      </c>
      <c r="K370" s="3">
        <v>1.8</v>
      </c>
    </row>
    <row r="371" spans="1:11" x14ac:dyDescent="0.2">
      <c r="A371" s="3">
        <v>80</v>
      </c>
      <c r="B371" s="3">
        <v>3738</v>
      </c>
      <c r="C371" s="3">
        <v>89</v>
      </c>
      <c r="D371" s="3">
        <v>0.74099999999999999</v>
      </c>
      <c r="E371" s="4">
        <v>0.158</v>
      </c>
      <c r="F371" s="3">
        <v>0.18</v>
      </c>
      <c r="G371" s="3">
        <v>0.85499999999999998</v>
      </c>
      <c r="H371" s="3">
        <v>0.97499999999999998</v>
      </c>
      <c r="I371" s="5">
        <v>46</v>
      </c>
      <c r="J371" s="3">
        <v>11</v>
      </c>
      <c r="K371" s="3">
        <v>12.7</v>
      </c>
    </row>
    <row r="372" spans="1:11" x14ac:dyDescent="0.2">
      <c r="A372" s="3">
        <v>96</v>
      </c>
      <c r="B372" s="3">
        <v>4559</v>
      </c>
      <c r="C372" s="3">
        <v>188</v>
      </c>
      <c r="D372" s="3">
        <v>0.74099999999999999</v>
      </c>
      <c r="E372" s="4">
        <v>6.5000000000000002E-2</v>
      </c>
      <c r="F372" s="3">
        <v>0.161</v>
      </c>
      <c r="G372" s="3">
        <v>0.85099999999999998</v>
      </c>
      <c r="H372" s="3">
        <v>0.93799999999999994</v>
      </c>
      <c r="I372" s="5">
        <v>78</v>
      </c>
      <c r="J372" s="3">
        <v>17</v>
      </c>
      <c r="K372" s="3">
        <v>6.6</v>
      </c>
    </row>
    <row r="373" spans="1:11" x14ac:dyDescent="0.2">
      <c r="A373" s="3">
        <v>104</v>
      </c>
      <c r="B373" s="3">
        <v>4947</v>
      </c>
      <c r="C373" s="3">
        <v>169</v>
      </c>
      <c r="D373" s="3">
        <v>0.74099999999999999</v>
      </c>
      <c r="E373" s="4">
        <v>3.3000000000000002E-2</v>
      </c>
      <c r="F373" s="3">
        <v>7.4999999999999997E-2</v>
      </c>
      <c r="G373" s="3">
        <v>0.74399999999999999</v>
      </c>
      <c r="H373" s="3">
        <v>0.98</v>
      </c>
      <c r="I373" s="5">
        <v>77</v>
      </c>
      <c r="J373" s="3">
        <v>17</v>
      </c>
      <c r="K373" s="3">
        <v>7.1</v>
      </c>
    </row>
    <row r="374" spans="1:11" x14ac:dyDescent="0.2">
      <c r="A374" s="3">
        <v>88</v>
      </c>
      <c r="B374" s="3">
        <v>4214</v>
      </c>
      <c r="C374" s="3">
        <v>113</v>
      </c>
      <c r="D374" s="3">
        <v>0.74199999999999999</v>
      </c>
      <c r="E374" s="4">
        <v>0.121</v>
      </c>
      <c r="F374" s="3">
        <v>0.08</v>
      </c>
      <c r="G374" s="3">
        <v>0.94899999999999995</v>
      </c>
      <c r="H374" s="3">
        <v>0.93600000000000005</v>
      </c>
      <c r="I374" s="5">
        <v>76</v>
      </c>
      <c r="J374" s="3">
        <v>5</v>
      </c>
      <c r="K374" s="3">
        <v>3.9</v>
      </c>
    </row>
    <row r="375" spans="1:11" x14ac:dyDescent="0.2">
      <c r="A375" s="3">
        <v>66</v>
      </c>
      <c r="B375" s="3">
        <v>3217</v>
      </c>
      <c r="C375" s="3">
        <v>132</v>
      </c>
      <c r="D375" s="3">
        <v>0.74299999999999999</v>
      </c>
      <c r="E375" s="4">
        <v>5.7000000000000002E-2</v>
      </c>
      <c r="F375" s="3">
        <v>0.155</v>
      </c>
      <c r="G375" s="3">
        <v>0.73</v>
      </c>
      <c r="H375" s="3">
        <v>0.92400000000000004</v>
      </c>
      <c r="I375" s="5">
        <v>89</v>
      </c>
      <c r="J375" s="3">
        <v>5</v>
      </c>
      <c r="K375" s="3">
        <v>4.5999999999999996</v>
      </c>
    </row>
    <row r="376" spans="1:11" x14ac:dyDescent="0.2">
      <c r="A376" s="3">
        <v>63</v>
      </c>
      <c r="B376" s="3">
        <v>3037</v>
      </c>
      <c r="C376" s="3">
        <v>25</v>
      </c>
      <c r="D376" s="3">
        <v>0.745</v>
      </c>
      <c r="E376" s="4">
        <v>8.6999999999999994E-2</v>
      </c>
      <c r="F376" s="3">
        <v>0.216</v>
      </c>
      <c r="G376" s="3">
        <v>0.96699999999999997</v>
      </c>
      <c r="H376" s="3">
        <v>0.999</v>
      </c>
      <c r="I376" s="5">
        <v>45</v>
      </c>
      <c r="J376" s="3">
        <v>12</v>
      </c>
      <c r="K376" s="3">
        <v>11.7</v>
      </c>
    </row>
    <row r="377" spans="1:11" x14ac:dyDescent="0.2">
      <c r="A377" s="3">
        <v>96</v>
      </c>
      <c r="B377" s="3">
        <v>4595</v>
      </c>
      <c r="C377" s="3">
        <v>165</v>
      </c>
      <c r="D377" s="3">
        <v>0.745</v>
      </c>
      <c r="E377" s="4">
        <v>5.1999999999999998E-2</v>
      </c>
      <c r="F377" s="3">
        <v>8.3000000000000004E-2</v>
      </c>
      <c r="G377" s="3">
        <v>0.873</v>
      </c>
      <c r="H377" s="3">
        <v>0.98899999999999999</v>
      </c>
      <c r="I377" s="5">
        <v>31</v>
      </c>
      <c r="J377" s="3">
        <v>2</v>
      </c>
      <c r="K377" s="3">
        <v>8.3000000000000007</v>
      </c>
    </row>
    <row r="378" spans="1:11" x14ac:dyDescent="0.2">
      <c r="A378" s="3">
        <v>60</v>
      </c>
      <c r="B378" s="3">
        <v>2799</v>
      </c>
      <c r="C378" s="3">
        <v>93</v>
      </c>
      <c r="D378" s="3">
        <v>0.746</v>
      </c>
      <c r="E378" s="4">
        <v>3.3000000000000002E-2</v>
      </c>
      <c r="F378" s="3">
        <v>6.2E-2</v>
      </c>
      <c r="G378" s="3">
        <v>0.91700000000000004</v>
      </c>
      <c r="H378" s="3">
        <v>0.99099999999999999</v>
      </c>
      <c r="I378" s="5">
        <v>62</v>
      </c>
      <c r="J378" s="3">
        <v>18</v>
      </c>
      <c r="K378" s="3">
        <v>9.4</v>
      </c>
    </row>
    <row r="379" spans="1:11" x14ac:dyDescent="0.2">
      <c r="A379" s="3">
        <v>65</v>
      </c>
      <c r="B379" s="3">
        <v>3172</v>
      </c>
      <c r="C379" s="3">
        <v>120</v>
      </c>
      <c r="D379" s="3">
        <v>0.746</v>
      </c>
      <c r="E379" s="4">
        <v>0.10199999999999999</v>
      </c>
      <c r="F379" s="3">
        <v>0.255</v>
      </c>
      <c r="G379" s="3">
        <v>0.77200000000000002</v>
      </c>
      <c r="H379" s="3">
        <v>0.98899999999999999</v>
      </c>
      <c r="I379" s="5">
        <v>10</v>
      </c>
      <c r="J379" s="3">
        <v>18</v>
      </c>
      <c r="K379" s="3">
        <v>8.4</v>
      </c>
    </row>
    <row r="380" spans="1:11" x14ac:dyDescent="0.2">
      <c r="A380" s="3">
        <v>97</v>
      </c>
      <c r="B380" s="3">
        <v>4756</v>
      </c>
      <c r="C380" s="3">
        <v>24</v>
      </c>
      <c r="D380" s="3">
        <v>0.746</v>
      </c>
      <c r="E380" s="4">
        <v>2.3E-2</v>
      </c>
      <c r="F380" s="3">
        <v>5.1999999999999998E-2</v>
      </c>
      <c r="G380" s="3">
        <v>0.97799999999999998</v>
      </c>
      <c r="H380" s="3">
        <v>0.90100000000000002</v>
      </c>
      <c r="I380" s="5">
        <v>21</v>
      </c>
      <c r="J380" s="3">
        <v>18</v>
      </c>
      <c r="K380" s="3">
        <v>13.7</v>
      </c>
    </row>
    <row r="381" spans="1:11" x14ac:dyDescent="0.2">
      <c r="A381" s="3">
        <v>45</v>
      </c>
      <c r="B381" s="3">
        <v>2006</v>
      </c>
      <c r="C381" s="3">
        <v>175</v>
      </c>
      <c r="D381" s="3">
        <v>0.747</v>
      </c>
      <c r="E381" s="4">
        <v>8.3000000000000004E-2</v>
      </c>
      <c r="F381" s="3">
        <v>0.16600000000000001</v>
      </c>
      <c r="G381" s="3">
        <v>0.94699999999999995</v>
      </c>
      <c r="H381" s="3">
        <v>0.99099999999999999</v>
      </c>
      <c r="I381" s="5">
        <v>94</v>
      </c>
      <c r="J381" s="3">
        <v>16</v>
      </c>
      <c r="K381" s="3">
        <v>14.6</v>
      </c>
    </row>
    <row r="382" spans="1:11" x14ac:dyDescent="0.2">
      <c r="A382" s="3">
        <v>43</v>
      </c>
      <c r="B382" s="3">
        <v>1995</v>
      </c>
      <c r="C382" s="3">
        <v>130</v>
      </c>
      <c r="D382" s="3">
        <v>0.748</v>
      </c>
      <c r="E382" s="4">
        <v>0.193</v>
      </c>
      <c r="F382" s="3">
        <v>9.1999999999999998E-2</v>
      </c>
      <c r="G382" s="3">
        <v>0.77300000000000002</v>
      </c>
      <c r="H382" s="3">
        <v>0.996</v>
      </c>
      <c r="I382" s="5">
        <v>1</v>
      </c>
      <c r="J382" s="3">
        <v>1</v>
      </c>
      <c r="K382" s="3">
        <v>11.1</v>
      </c>
    </row>
    <row r="383" spans="1:11" x14ac:dyDescent="0.2">
      <c r="A383" s="3">
        <v>87</v>
      </c>
      <c r="B383" s="3">
        <v>4302</v>
      </c>
      <c r="C383" s="3">
        <v>147</v>
      </c>
      <c r="D383" s="3">
        <v>0.748</v>
      </c>
      <c r="E383" s="4">
        <v>0.10199999999999999</v>
      </c>
      <c r="F383" s="3">
        <v>0.186</v>
      </c>
      <c r="G383" s="3">
        <v>0.75800000000000001</v>
      </c>
      <c r="H383" s="3">
        <v>0.92200000000000004</v>
      </c>
      <c r="I383" s="5">
        <v>8</v>
      </c>
      <c r="J383" s="3">
        <v>12</v>
      </c>
      <c r="K383" s="3">
        <v>14</v>
      </c>
    </row>
    <row r="384" spans="1:11" x14ac:dyDescent="0.2">
      <c r="A384" s="3">
        <v>98</v>
      </c>
      <c r="B384" s="3">
        <v>4805</v>
      </c>
      <c r="C384" s="3">
        <v>12</v>
      </c>
      <c r="D384" s="3">
        <v>0.748</v>
      </c>
      <c r="E384" s="4">
        <v>9.9000000000000005E-2</v>
      </c>
      <c r="F384" s="3">
        <v>0.14299999999999999</v>
      </c>
      <c r="G384" s="3">
        <v>0.90300000000000002</v>
      </c>
      <c r="H384" s="3">
        <v>0.94799999999999995</v>
      </c>
      <c r="I384" s="5">
        <v>87</v>
      </c>
      <c r="J384" s="3">
        <v>7</v>
      </c>
      <c r="K384" s="3">
        <v>13.2</v>
      </c>
    </row>
    <row r="385" spans="1:11" x14ac:dyDescent="0.2">
      <c r="A385" s="3">
        <v>25</v>
      </c>
      <c r="B385" s="3">
        <v>1186</v>
      </c>
      <c r="C385" s="3">
        <v>41</v>
      </c>
      <c r="D385" s="3">
        <v>0.749</v>
      </c>
      <c r="E385" s="4">
        <v>0.12</v>
      </c>
      <c r="F385" s="3">
        <v>0.23499999999999999</v>
      </c>
      <c r="G385" s="3">
        <v>0.85299999999999998</v>
      </c>
      <c r="H385" s="3">
        <v>0.91700000000000004</v>
      </c>
      <c r="I385" s="5">
        <v>23</v>
      </c>
      <c r="J385" s="3">
        <v>7</v>
      </c>
      <c r="K385" s="3">
        <v>14.4</v>
      </c>
    </row>
    <row r="386" spans="1:11" x14ac:dyDescent="0.2">
      <c r="A386" s="3">
        <v>54</v>
      </c>
      <c r="B386" s="3">
        <v>2624</v>
      </c>
      <c r="C386" s="3">
        <v>195</v>
      </c>
      <c r="D386" s="3">
        <v>0.749</v>
      </c>
      <c r="E386" s="4">
        <v>0.183</v>
      </c>
      <c r="F386" s="3">
        <v>0.16500000000000001</v>
      </c>
      <c r="G386" s="3">
        <v>0.89</v>
      </c>
      <c r="H386" s="3">
        <v>0.94599999999999995</v>
      </c>
      <c r="I386" s="5">
        <v>91</v>
      </c>
      <c r="J386" s="3">
        <v>11</v>
      </c>
      <c r="K386" s="3">
        <v>11.1</v>
      </c>
    </row>
    <row r="387" spans="1:11" x14ac:dyDescent="0.2">
      <c r="A387" s="3">
        <v>64</v>
      </c>
      <c r="B387" s="3">
        <v>3048</v>
      </c>
      <c r="C387" s="3">
        <v>37</v>
      </c>
      <c r="D387" s="3">
        <v>0.749</v>
      </c>
      <c r="E387" s="4">
        <v>0.161</v>
      </c>
      <c r="F387" s="3">
        <v>0.29899999999999999</v>
      </c>
      <c r="G387" s="3">
        <v>0.97</v>
      </c>
      <c r="H387" s="3">
        <v>0.92</v>
      </c>
      <c r="I387" s="5">
        <v>23</v>
      </c>
      <c r="J387" s="3">
        <v>15</v>
      </c>
      <c r="K387" s="3">
        <v>9.6999999999999993</v>
      </c>
    </row>
    <row r="388" spans="1:11" x14ac:dyDescent="0.2">
      <c r="A388" s="3">
        <v>85</v>
      </c>
      <c r="B388" s="3">
        <v>4064</v>
      </c>
      <c r="C388" s="3">
        <v>186</v>
      </c>
      <c r="D388" s="3">
        <v>0.749</v>
      </c>
      <c r="E388" s="4">
        <v>0.19400000000000001</v>
      </c>
      <c r="F388" s="3">
        <v>0.111</v>
      </c>
      <c r="G388" s="3">
        <v>0.80200000000000005</v>
      </c>
      <c r="H388" s="3">
        <v>0.97799999999999998</v>
      </c>
      <c r="I388" s="5">
        <v>9</v>
      </c>
      <c r="J388" s="3">
        <v>18</v>
      </c>
      <c r="K388" s="3">
        <v>14.4</v>
      </c>
    </row>
    <row r="389" spans="1:11" x14ac:dyDescent="0.2">
      <c r="A389" s="3">
        <v>101</v>
      </c>
      <c r="B389" s="3">
        <v>4947</v>
      </c>
      <c r="C389" s="3">
        <v>187</v>
      </c>
      <c r="D389" s="3">
        <v>0.749</v>
      </c>
      <c r="E389" s="4">
        <v>7.0999999999999994E-2</v>
      </c>
      <c r="F389" s="3">
        <v>0.17799999999999999</v>
      </c>
      <c r="G389" s="3">
        <v>0.751</v>
      </c>
      <c r="H389" s="3">
        <v>0.95</v>
      </c>
      <c r="I389" s="5">
        <v>59</v>
      </c>
      <c r="J389" s="3">
        <v>4</v>
      </c>
      <c r="K389" s="3">
        <v>4.9000000000000004</v>
      </c>
    </row>
    <row r="390" spans="1:11" x14ac:dyDescent="0.2">
      <c r="A390" s="3">
        <v>28</v>
      </c>
      <c r="B390" s="3">
        <v>1140</v>
      </c>
      <c r="C390" s="3">
        <v>77</v>
      </c>
      <c r="D390" s="3">
        <v>0.75</v>
      </c>
      <c r="E390" s="4">
        <v>0.04</v>
      </c>
      <c r="F390" s="3">
        <v>0.158</v>
      </c>
      <c r="G390" s="3">
        <v>0.96599999999999997</v>
      </c>
      <c r="H390" s="3">
        <v>0.98699999999999999</v>
      </c>
      <c r="I390" s="5">
        <v>2</v>
      </c>
      <c r="J390" s="3">
        <v>13</v>
      </c>
      <c r="K390" s="3">
        <v>7</v>
      </c>
    </row>
    <row r="391" spans="1:11" x14ac:dyDescent="0.2">
      <c r="A391" s="3">
        <v>55</v>
      </c>
      <c r="B391" s="3">
        <v>2592</v>
      </c>
      <c r="C391" s="3">
        <v>83</v>
      </c>
      <c r="D391" s="3">
        <v>0.751</v>
      </c>
      <c r="E391" s="4">
        <v>0.02</v>
      </c>
      <c r="F391" s="3">
        <v>0.29399999999999998</v>
      </c>
      <c r="G391" s="3">
        <v>0.7</v>
      </c>
      <c r="H391" s="3">
        <v>0.90200000000000002</v>
      </c>
      <c r="I391" s="5">
        <v>91</v>
      </c>
      <c r="J391" s="3">
        <v>19</v>
      </c>
      <c r="K391" s="3">
        <v>2.6</v>
      </c>
    </row>
    <row r="392" spans="1:11" x14ac:dyDescent="0.2">
      <c r="A392" s="3">
        <v>57</v>
      </c>
      <c r="B392" s="3">
        <v>2629</v>
      </c>
      <c r="C392" s="3">
        <v>122</v>
      </c>
      <c r="D392" s="3">
        <v>0.751</v>
      </c>
      <c r="E392" s="4">
        <v>7.5999999999999998E-2</v>
      </c>
      <c r="F392" s="3">
        <v>0.13500000000000001</v>
      </c>
      <c r="G392" s="3">
        <v>0.88400000000000001</v>
      </c>
      <c r="H392" s="3">
        <v>0.94299999999999995</v>
      </c>
      <c r="I392" s="5">
        <v>24</v>
      </c>
      <c r="J392" s="3">
        <v>14</v>
      </c>
      <c r="K392" s="3">
        <v>10.8</v>
      </c>
    </row>
    <row r="393" spans="1:11" x14ac:dyDescent="0.2">
      <c r="A393" s="3">
        <v>98</v>
      </c>
      <c r="B393" s="3">
        <v>4735</v>
      </c>
      <c r="C393" s="3">
        <v>156</v>
      </c>
      <c r="D393" s="3">
        <v>0.751</v>
      </c>
      <c r="E393" s="4">
        <v>1.2E-2</v>
      </c>
      <c r="F393" s="3">
        <v>0.27800000000000002</v>
      </c>
      <c r="G393" s="3">
        <v>0.80200000000000005</v>
      </c>
      <c r="H393" s="3">
        <v>0.93100000000000005</v>
      </c>
      <c r="I393" s="5">
        <v>34</v>
      </c>
      <c r="J393" s="3">
        <v>9</v>
      </c>
      <c r="K393" s="3">
        <v>7.4</v>
      </c>
    </row>
    <row r="394" spans="1:11" x14ac:dyDescent="0.2">
      <c r="A394" s="3">
        <v>58</v>
      </c>
      <c r="B394" s="3">
        <v>2697</v>
      </c>
      <c r="C394" s="3">
        <v>73</v>
      </c>
      <c r="D394" s="3">
        <v>0.752</v>
      </c>
      <c r="E394" s="4">
        <v>0.19700000000000001</v>
      </c>
      <c r="F394" s="3">
        <v>0.17199999999999999</v>
      </c>
      <c r="G394" s="3">
        <v>0.71499999999999997</v>
      </c>
      <c r="H394" s="3">
        <v>0.93600000000000005</v>
      </c>
      <c r="I394" s="5">
        <v>95</v>
      </c>
      <c r="J394" s="3">
        <v>3</v>
      </c>
      <c r="K394" s="3">
        <v>11.5</v>
      </c>
    </row>
    <row r="395" spans="1:11" x14ac:dyDescent="0.2">
      <c r="A395" s="3">
        <v>54</v>
      </c>
      <c r="B395" s="3">
        <v>2434</v>
      </c>
      <c r="C395" s="3">
        <v>98</v>
      </c>
      <c r="D395" s="3">
        <v>0.753</v>
      </c>
      <c r="E395" s="4">
        <v>9.0999999999999998E-2</v>
      </c>
      <c r="F395" s="3">
        <v>0.16800000000000001</v>
      </c>
      <c r="G395" s="3">
        <v>0.82099999999999995</v>
      </c>
      <c r="H395" s="3">
        <v>0.98599999999999999</v>
      </c>
      <c r="I395" s="5">
        <v>48</v>
      </c>
      <c r="J395" s="3">
        <v>1</v>
      </c>
      <c r="K395" s="3">
        <v>6.8</v>
      </c>
    </row>
    <row r="396" spans="1:11" x14ac:dyDescent="0.2">
      <c r="A396" s="3">
        <v>58</v>
      </c>
      <c r="B396" s="3">
        <v>2696</v>
      </c>
      <c r="C396" s="3">
        <v>79</v>
      </c>
      <c r="D396" s="3">
        <v>0.753</v>
      </c>
      <c r="E396" s="4">
        <v>7.4999999999999997E-2</v>
      </c>
      <c r="F396" s="3">
        <v>9.9000000000000005E-2</v>
      </c>
      <c r="G396" s="3">
        <v>0.876</v>
      </c>
      <c r="H396" s="3">
        <v>0.90300000000000002</v>
      </c>
      <c r="I396" s="5">
        <v>50</v>
      </c>
      <c r="J396" s="3">
        <v>4</v>
      </c>
      <c r="K396" s="3">
        <v>6.5</v>
      </c>
    </row>
    <row r="397" spans="1:11" x14ac:dyDescent="0.2">
      <c r="A397" s="3">
        <v>67</v>
      </c>
      <c r="B397" s="3">
        <v>3265</v>
      </c>
      <c r="C397" s="3">
        <v>15</v>
      </c>
      <c r="D397" s="3">
        <v>0.753</v>
      </c>
      <c r="E397" s="4">
        <v>0.14399999999999999</v>
      </c>
      <c r="F397" s="3">
        <v>0.254</v>
      </c>
      <c r="G397" s="3">
        <v>0.93400000000000005</v>
      </c>
      <c r="H397" s="3">
        <v>0.94399999999999995</v>
      </c>
      <c r="I397" s="5">
        <v>92</v>
      </c>
      <c r="J397" s="3">
        <v>16</v>
      </c>
      <c r="K397" s="3">
        <v>6.2</v>
      </c>
    </row>
    <row r="398" spans="1:11" x14ac:dyDescent="0.2">
      <c r="A398" s="3">
        <v>71</v>
      </c>
      <c r="B398" s="3">
        <v>3307</v>
      </c>
      <c r="C398" s="3">
        <v>116</v>
      </c>
      <c r="D398" s="3">
        <v>0.753</v>
      </c>
      <c r="E398" s="4">
        <v>7.9000000000000001E-2</v>
      </c>
      <c r="F398" s="3">
        <v>0.27</v>
      </c>
      <c r="G398" s="3">
        <v>0.71399999999999997</v>
      </c>
      <c r="H398" s="3">
        <v>0.91600000000000004</v>
      </c>
      <c r="I398" s="5">
        <v>44</v>
      </c>
      <c r="J398" s="3">
        <v>12</v>
      </c>
      <c r="K398" s="3">
        <v>13.5</v>
      </c>
    </row>
    <row r="399" spans="1:11" x14ac:dyDescent="0.2">
      <c r="A399" s="3">
        <v>72</v>
      </c>
      <c r="B399" s="3">
        <v>3556</v>
      </c>
      <c r="C399" s="3">
        <v>177</v>
      </c>
      <c r="D399" s="3">
        <v>0.753</v>
      </c>
      <c r="E399" s="4">
        <v>0.13</v>
      </c>
      <c r="F399" s="3">
        <v>9.4E-2</v>
      </c>
      <c r="G399" s="3">
        <v>0.85299999999999998</v>
      </c>
      <c r="H399" s="3">
        <v>0.90500000000000003</v>
      </c>
      <c r="I399" s="5">
        <v>12</v>
      </c>
      <c r="J399" s="3">
        <v>16</v>
      </c>
      <c r="K399" s="3">
        <v>12.5</v>
      </c>
    </row>
    <row r="400" spans="1:11" x14ac:dyDescent="0.2">
      <c r="A400" s="3">
        <v>97</v>
      </c>
      <c r="B400" s="3">
        <v>4662</v>
      </c>
      <c r="C400" s="3">
        <v>138</v>
      </c>
      <c r="D400" s="3">
        <v>0.753</v>
      </c>
      <c r="E400" s="4">
        <v>4.9000000000000002E-2</v>
      </c>
      <c r="F400" s="3">
        <v>0.28699999999999998</v>
      </c>
      <c r="G400" s="3">
        <v>0.81599999999999995</v>
      </c>
      <c r="H400" s="3">
        <v>0.93100000000000005</v>
      </c>
      <c r="I400" s="5">
        <v>74</v>
      </c>
      <c r="J400" s="3">
        <v>8</v>
      </c>
      <c r="K400" s="3">
        <v>9.3000000000000007</v>
      </c>
    </row>
    <row r="401" spans="1:11" x14ac:dyDescent="0.2">
      <c r="A401" s="3">
        <v>98</v>
      </c>
      <c r="B401" s="3">
        <v>4824</v>
      </c>
      <c r="C401" s="3">
        <v>75</v>
      </c>
      <c r="D401" s="3">
        <v>0.753</v>
      </c>
      <c r="E401" s="4">
        <v>0.12</v>
      </c>
      <c r="F401" s="3">
        <v>8.8999999999999996E-2</v>
      </c>
      <c r="G401" s="3">
        <v>0.80700000000000005</v>
      </c>
      <c r="H401" s="3">
        <v>0.93100000000000005</v>
      </c>
      <c r="I401" s="5">
        <v>55</v>
      </c>
      <c r="J401" s="3">
        <v>12</v>
      </c>
      <c r="K401" s="3">
        <v>9.6999999999999993</v>
      </c>
    </row>
    <row r="402" spans="1:11" x14ac:dyDescent="0.2">
      <c r="A402" s="3">
        <v>49</v>
      </c>
      <c r="B402" s="3">
        <v>2304</v>
      </c>
      <c r="C402" s="3">
        <v>100</v>
      </c>
      <c r="D402" s="3">
        <v>0.754</v>
      </c>
      <c r="E402" s="4">
        <v>0.184</v>
      </c>
      <c r="F402" s="3">
        <v>7.0999999999999994E-2</v>
      </c>
      <c r="G402" s="3">
        <v>0.75</v>
      </c>
      <c r="H402" s="3">
        <v>0.92400000000000004</v>
      </c>
      <c r="I402" s="5">
        <v>20</v>
      </c>
      <c r="J402" s="3">
        <v>11</v>
      </c>
      <c r="K402" s="3">
        <v>13.4</v>
      </c>
    </row>
    <row r="403" spans="1:11" x14ac:dyDescent="0.2">
      <c r="A403" s="3">
        <v>52</v>
      </c>
      <c r="B403" s="3">
        <v>2424</v>
      </c>
      <c r="C403" s="3">
        <v>126</v>
      </c>
      <c r="D403" s="3">
        <v>0.754</v>
      </c>
      <c r="E403" s="4">
        <v>0.106</v>
      </c>
      <c r="F403" s="3">
        <v>6.4000000000000001E-2</v>
      </c>
      <c r="G403" s="3">
        <v>0.81100000000000005</v>
      </c>
      <c r="H403" s="3">
        <v>0.92500000000000004</v>
      </c>
      <c r="I403" s="5">
        <v>42</v>
      </c>
      <c r="J403" s="3">
        <v>0</v>
      </c>
      <c r="K403" s="3">
        <v>10.1</v>
      </c>
    </row>
    <row r="404" spans="1:11" x14ac:dyDescent="0.2">
      <c r="A404" s="3">
        <v>52</v>
      </c>
      <c r="B404" s="3">
        <v>2551</v>
      </c>
      <c r="C404" s="3">
        <v>101</v>
      </c>
      <c r="D404" s="3">
        <v>0.754</v>
      </c>
      <c r="E404" s="4">
        <v>8.3000000000000004E-2</v>
      </c>
      <c r="F404" s="3">
        <v>0.10299999999999999</v>
      </c>
      <c r="G404" s="3">
        <v>0.84599999999999997</v>
      </c>
      <c r="H404" s="3">
        <v>0.98299999999999998</v>
      </c>
      <c r="I404" s="5">
        <v>37</v>
      </c>
      <c r="J404" s="3">
        <v>15</v>
      </c>
      <c r="K404" s="3">
        <v>7.7</v>
      </c>
    </row>
    <row r="405" spans="1:11" x14ac:dyDescent="0.2">
      <c r="A405" s="3">
        <v>76</v>
      </c>
      <c r="B405" s="3">
        <v>3554</v>
      </c>
      <c r="C405" s="3">
        <v>124</v>
      </c>
      <c r="D405" s="3">
        <v>0.754</v>
      </c>
      <c r="E405" s="4">
        <v>0.09</v>
      </c>
      <c r="F405" s="3">
        <v>7.3999999999999996E-2</v>
      </c>
      <c r="G405" s="3">
        <v>0.96299999999999997</v>
      </c>
      <c r="H405" s="3">
        <v>0.96699999999999997</v>
      </c>
      <c r="I405" s="5">
        <v>83</v>
      </c>
      <c r="J405" s="3">
        <v>2</v>
      </c>
      <c r="K405" s="3">
        <v>2</v>
      </c>
    </row>
    <row r="406" spans="1:11" x14ac:dyDescent="0.2">
      <c r="A406" s="3">
        <v>84</v>
      </c>
      <c r="B406" s="3">
        <v>3958</v>
      </c>
      <c r="C406" s="3">
        <v>64</v>
      </c>
      <c r="D406" s="3">
        <v>0.754</v>
      </c>
      <c r="E406" s="4">
        <v>7.1999999999999995E-2</v>
      </c>
      <c r="F406" s="3">
        <v>0.24099999999999999</v>
      </c>
      <c r="G406" s="3">
        <v>0.96399999999999997</v>
      </c>
      <c r="H406" s="3">
        <v>0.94499999999999995</v>
      </c>
      <c r="I406" s="5">
        <v>49</v>
      </c>
      <c r="J406" s="3">
        <v>3</v>
      </c>
      <c r="K406" s="3">
        <v>14.6</v>
      </c>
    </row>
    <row r="407" spans="1:11" x14ac:dyDescent="0.2">
      <c r="A407" s="3">
        <v>45</v>
      </c>
      <c r="B407" s="3">
        <v>2124</v>
      </c>
      <c r="C407" s="3">
        <v>174</v>
      </c>
      <c r="D407" s="3">
        <v>0.755</v>
      </c>
      <c r="E407" s="4">
        <v>5.8999999999999997E-2</v>
      </c>
      <c r="F407" s="3">
        <v>0.26900000000000002</v>
      </c>
      <c r="G407" s="3">
        <v>0.71199999999999997</v>
      </c>
      <c r="H407" s="3">
        <v>0.98199999999999998</v>
      </c>
      <c r="I407" s="5">
        <v>87</v>
      </c>
      <c r="J407" s="3">
        <v>7</v>
      </c>
      <c r="K407" s="3">
        <v>12.3</v>
      </c>
    </row>
    <row r="408" spans="1:11" x14ac:dyDescent="0.2">
      <c r="A408" s="3">
        <v>49</v>
      </c>
      <c r="B408" s="3">
        <v>2377</v>
      </c>
      <c r="C408" s="3">
        <v>118</v>
      </c>
      <c r="D408" s="3">
        <v>0.755</v>
      </c>
      <c r="E408" s="4">
        <v>0.14599999999999999</v>
      </c>
      <c r="F408" s="3">
        <v>0.219</v>
      </c>
      <c r="G408" s="3">
        <v>0.95099999999999996</v>
      </c>
      <c r="H408" s="3">
        <v>0.91500000000000004</v>
      </c>
      <c r="I408" s="5">
        <v>26</v>
      </c>
      <c r="J408" s="3">
        <v>3</v>
      </c>
      <c r="K408" s="3">
        <v>11.1</v>
      </c>
    </row>
    <row r="409" spans="1:11" x14ac:dyDescent="0.2">
      <c r="A409" s="3">
        <v>77</v>
      </c>
      <c r="B409" s="3">
        <v>3645</v>
      </c>
      <c r="C409" s="3">
        <v>196</v>
      </c>
      <c r="D409" s="3">
        <v>0.755</v>
      </c>
      <c r="E409" s="4">
        <v>0.157</v>
      </c>
      <c r="F409" s="3">
        <v>0.26700000000000002</v>
      </c>
      <c r="G409" s="3">
        <v>0.747</v>
      </c>
      <c r="H409" s="3">
        <v>0.97599999999999998</v>
      </c>
      <c r="I409" s="5">
        <v>48</v>
      </c>
      <c r="J409" s="3">
        <v>1</v>
      </c>
      <c r="K409" s="3">
        <v>3.3</v>
      </c>
    </row>
    <row r="410" spans="1:11" x14ac:dyDescent="0.2">
      <c r="A410" s="3">
        <v>86</v>
      </c>
      <c r="B410" s="3">
        <v>4167</v>
      </c>
      <c r="C410" s="3">
        <v>94</v>
      </c>
      <c r="D410" s="3">
        <v>0.755</v>
      </c>
      <c r="E410" s="4">
        <v>9.0999999999999998E-2</v>
      </c>
      <c r="F410" s="3">
        <v>0.25600000000000001</v>
      </c>
      <c r="G410" s="3">
        <v>0.83699999999999997</v>
      </c>
      <c r="H410" s="3">
        <v>0.98899999999999999</v>
      </c>
      <c r="I410" s="5">
        <v>97</v>
      </c>
      <c r="J410" s="3">
        <v>6</v>
      </c>
      <c r="K410" s="3">
        <v>12.6</v>
      </c>
    </row>
    <row r="411" spans="1:11" x14ac:dyDescent="0.2">
      <c r="A411" s="3">
        <v>93</v>
      </c>
      <c r="B411" s="3">
        <v>4498</v>
      </c>
      <c r="C411" s="3">
        <v>175</v>
      </c>
      <c r="D411" s="3">
        <v>0.755</v>
      </c>
      <c r="E411" s="4">
        <v>0.159</v>
      </c>
      <c r="F411" s="3">
        <v>0.27800000000000002</v>
      </c>
      <c r="G411" s="3">
        <v>0.875</v>
      </c>
      <c r="H411" s="3">
        <v>0.97399999999999998</v>
      </c>
      <c r="I411" s="5">
        <v>89</v>
      </c>
      <c r="J411" s="3">
        <v>5</v>
      </c>
      <c r="K411" s="3">
        <v>7</v>
      </c>
    </row>
    <row r="412" spans="1:11" x14ac:dyDescent="0.2">
      <c r="A412" s="3">
        <v>30</v>
      </c>
      <c r="B412" s="3">
        <v>1253</v>
      </c>
      <c r="C412" s="3">
        <v>199</v>
      </c>
      <c r="D412" s="3">
        <v>0.75600000000000001</v>
      </c>
      <c r="E412" s="4">
        <v>0.129</v>
      </c>
      <c r="F412" s="3">
        <v>0.17399999999999999</v>
      </c>
      <c r="G412" s="3">
        <v>0.748</v>
      </c>
      <c r="H412" s="3">
        <v>0.93899999999999995</v>
      </c>
      <c r="I412" s="5">
        <v>86</v>
      </c>
      <c r="J412" s="3">
        <v>16</v>
      </c>
      <c r="K412" s="3">
        <v>10.199999999999999</v>
      </c>
    </row>
    <row r="413" spans="1:11" x14ac:dyDescent="0.2">
      <c r="A413" s="3">
        <v>61</v>
      </c>
      <c r="B413" s="3">
        <v>3003</v>
      </c>
      <c r="C413" s="3">
        <v>93</v>
      </c>
      <c r="D413" s="3">
        <v>0.75600000000000001</v>
      </c>
      <c r="E413" s="4">
        <v>0.191</v>
      </c>
      <c r="F413" s="3">
        <v>5.8000000000000003E-2</v>
      </c>
      <c r="G413" s="3">
        <v>0.88700000000000001</v>
      </c>
      <c r="H413" s="3">
        <v>0.94099999999999995</v>
      </c>
      <c r="I413" s="5">
        <v>29</v>
      </c>
      <c r="J413" s="3">
        <v>7</v>
      </c>
      <c r="K413" s="3">
        <v>2.1</v>
      </c>
    </row>
    <row r="414" spans="1:11" x14ac:dyDescent="0.2">
      <c r="A414" s="3">
        <v>73</v>
      </c>
      <c r="B414" s="3">
        <v>3591</v>
      </c>
      <c r="C414" s="3">
        <v>98</v>
      </c>
      <c r="D414" s="3">
        <v>0.75600000000000001</v>
      </c>
      <c r="E414" s="4">
        <v>0.15</v>
      </c>
      <c r="F414" s="3">
        <v>0.29099999999999998</v>
      </c>
      <c r="G414" s="3">
        <v>0.71399999999999997</v>
      </c>
      <c r="H414" s="3">
        <v>0.97</v>
      </c>
      <c r="I414" s="5">
        <v>93</v>
      </c>
      <c r="J414" s="3">
        <v>6</v>
      </c>
      <c r="K414" s="3">
        <v>6.1</v>
      </c>
    </row>
    <row r="415" spans="1:11" x14ac:dyDescent="0.2">
      <c r="A415" s="3">
        <v>86</v>
      </c>
      <c r="B415" s="3">
        <v>4173</v>
      </c>
      <c r="C415" s="3">
        <v>164</v>
      </c>
      <c r="D415" s="3">
        <v>0.75600000000000001</v>
      </c>
      <c r="E415" s="4">
        <v>0.17699999999999999</v>
      </c>
      <c r="F415" s="3">
        <v>0.104</v>
      </c>
      <c r="G415" s="3">
        <v>0.82899999999999996</v>
      </c>
      <c r="H415" s="3">
        <v>0.97899999999999998</v>
      </c>
      <c r="I415" s="5">
        <v>68</v>
      </c>
      <c r="J415" s="3">
        <v>10</v>
      </c>
      <c r="K415" s="3">
        <v>9.1999999999999993</v>
      </c>
    </row>
    <row r="416" spans="1:11" x14ac:dyDescent="0.2">
      <c r="A416" s="3">
        <v>95</v>
      </c>
      <c r="B416" s="3">
        <v>4646</v>
      </c>
      <c r="C416" s="3">
        <v>175</v>
      </c>
      <c r="D416" s="3">
        <v>0.75600000000000001</v>
      </c>
      <c r="E416" s="4">
        <v>2.3E-2</v>
      </c>
      <c r="F416" s="3">
        <v>0.21299999999999999</v>
      </c>
      <c r="G416" s="3">
        <v>0.80300000000000005</v>
      </c>
      <c r="H416" s="3">
        <v>0.94499999999999995</v>
      </c>
      <c r="I416" s="5">
        <v>94</v>
      </c>
      <c r="J416" s="3">
        <v>17</v>
      </c>
      <c r="K416" s="3">
        <v>10.9</v>
      </c>
    </row>
    <row r="417" spans="1:11" x14ac:dyDescent="0.2">
      <c r="A417" s="3">
        <v>39</v>
      </c>
      <c r="B417" s="3">
        <v>1703</v>
      </c>
      <c r="C417" s="3">
        <v>157</v>
      </c>
      <c r="D417" s="3">
        <v>0.75700000000000001</v>
      </c>
      <c r="E417" s="4">
        <v>8.4000000000000005E-2</v>
      </c>
      <c r="F417" s="3">
        <v>0.29599999999999999</v>
      </c>
      <c r="G417" s="3">
        <v>0.98799999999999999</v>
      </c>
      <c r="H417" s="3">
        <v>0.93</v>
      </c>
      <c r="I417" s="5">
        <v>34</v>
      </c>
      <c r="J417" s="3">
        <v>9</v>
      </c>
      <c r="K417" s="3">
        <v>4.2</v>
      </c>
    </row>
    <row r="418" spans="1:11" x14ac:dyDescent="0.2">
      <c r="A418" s="3">
        <v>37</v>
      </c>
      <c r="B418" s="3">
        <v>1719</v>
      </c>
      <c r="C418" s="3">
        <v>71</v>
      </c>
      <c r="D418" s="3">
        <v>0.75700000000000001</v>
      </c>
      <c r="E418" s="4">
        <v>8.4000000000000005E-2</v>
      </c>
      <c r="F418" s="3">
        <v>0.19800000000000001</v>
      </c>
      <c r="G418" s="3">
        <v>0.76800000000000002</v>
      </c>
      <c r="H418" s="3">
        <v>0.90100000000000002</v>
      </c>
      <c r="I418" s="5">
        <v>54</v>
      </c>
      <c r="J418" s="3">
        <v>16</v>
      </c>
      <c r="K418" s="3">
        <v>12.7</v>
      </c>
    </row>
    <row r="419" spans="1:11" x14ac:dyDescent="0.2">
      <c r="A419" s="3">
        <v>43</v>
      </c>
      <c r="B419" s="3">
        <v>2064</v>
      </c>
      <c r="C419" s="3">
        <v>46</v>
      </c>
      <c r="D419" s="3">
        <v>0.75700000000000001</v>
      </c>
      <c r="E419" s="4">
        <v>0.16200000000000001</v>
      </c>
      <c r="F419" s="3">
        <v>0.11600000000000001</v>
      </c>
      <c r="G419" s="3">
        <v>0.83899999999999997</v>
      </c>
      <c r="H419" s="3">
        <v>0.995</v>
      </c>
      <c r="I419" s="5">
        <v>20</v>
      </c>
      <c r="J419" s="3">
        <v>0</v>
      </c>
      <c r="K419" s="3">
        <v>7.6</v>
      </c>
    </row>
    <row r="420" spans="1:11" x14ac:dyDescent="0.2">
      <c r="A420" s="3">
        <v>47</v>
      </c>
      <c r="B420" s="3">
        <v>2313</v>
      </c>
      <c r="C420" s="3">
        <v>43</v>
      </c>
      <c r="D420" s="3">
        <v>0.75700000000000001</v>
      </c>
      <c r="E420" s="4">
        <v>0.14099999999999999</v>
      </c>
      <c r="F420" s="3">
        <v>0.16300000000000001</v>
      </c>
      <c r="G420" s="3">
        <v>0.84799999999999998</v>
      </c>
      <c r="H420" s="3">
        <v>0.94</v>
      </c>
      <c r="I420" s="5">
        <v>73</v>
      </c>
      <c r="J420" s="3">
        <v>2</v>
      </c>
      <c r="K420" s="3">
        <v>12</v>
      </c>
    </row>
    <row r="421" spans="1:11" x14ac:dyDescent="0.2">
      <c r="A421" s="3">
        <v>74</v>
      </c>
      <c r="B421" s="3">
        <v>3506</v>
      </c>
      <c r="C421" s="3">
        <v>174</v>
      </c>
      <c r="D421" s="3">
        <v>0.75700000000000001</v>
      </c>
      <c r="E421" s="4">
        <v>4.2000000000000003E-2</v>
      </c>
      <c r="F421" s="3">
        <v>0.114</v>
      </c>
      <c r="G421" s="3">
        <v>0.78700000000000003</v>
      </c>
      <c r="H421" s="3">
        <v>0.95</v>
      </c>
      <c r="I421" s="5">
        <v>9</v>
      </c>
      <c r="J421" s="3">
        <v>6</v>
      </c>
      <c r="K421" s="3">
        <v>8.1</v>
      </c>
    </row>
    <row r="422" spans="1:11" x14ac:dyDescent="0.2">
      <c r="A422" s="3">
        <v>96</v>
      </c>
      <c r="B422" s="3">
        <v>4655</v>
      </c>
      <c r="C422" s="3">
        <v>136</v>
      </c>
      <c r="D422" s="3">
        <v>0.75700000000000001</v>
      </c>
      <c r="E422" s="4">
        <v>0.184</v>
      </c>
      <c r="F422" s="3">
        <v>5.5E-2</v>
      </c>
      <c r="G422" s="3">
        <v>0.96399999999999997</v>
      </c>
      <c r="H422" s="3">
        <v>0.91400000000000003</v>
      </c>
      <c r="I422" s="5">
        <v>48</v>
      </c>
      <c r="J422" s="3">
        <v>3</v>
      </c>
      <c r="K422" s="3">
        <v>4.5999999999999996</v>
      </c>
    </row>
    <row r="423" spans="1:11" x14ac:dyDescent="0.2">
      <c r="A423" s="3">
        <v>100</v>
      </c>
      <c r="B423" s="3">
        <v>4923</v>
      </c>
      <c r="C423" s="3">
        <v>113</v>
      </c>
      <c r="D423" s="3">
        <v>0.75700000000000001</v>
      </c>
      <c r="E423" s="4">
        <v>0.18099999999999999</v>
      </c>
      <c r="F423" s="3">
        <v>0.17199999999999999</v>
      </c>
      <c r="G423" s="3">
        <v>0.76400000000000001</v>
      </c>
      <c r="H423" s="3">
        <v>0.99099999999999999</v>
      </c>
      <c r="I423" s="5">
        <v>80</v>
      </c>
      <c r="J423" s="3">
        <v>2</v>
      </c>
      <c r="K423" s="3">
        <v>4.5999999999999996</v>
      </c>
    </row>
    <row r="424" spans="1:11" x14ac:dyDescent="0.2">
      <c r="A424" s="3">
        <v>52</v>
      </c>
      <c r="B424" s="3">
        <v>2546</v>
      </c>
      <c r="C424" s="3">
        <v>152</v>
      </c>
      <c r="D424" s="3">
        <v>0.75800000000000001</v>
      </c>
      <c r="E424" s="4">
        <v>3.6999999999999998E-2</v>
      </c>
      <c r="F424" s="3">
        <v>0.21199999999999999</v>
      </c>
      <c r="G424" s="3">
        <v>0.82799999999999996</v>
      </c>
      <c r="H424" s="3">
        <v>0.98499999999999999</v>
      </c>
      <c r="I424" s="5">
        <v>46</v>
      </c>
      <c r="J424" s="3">
        <v>3</v>
      </c>
      <c r="K424" s="3">
        <v>12.1</v>
      </c>
    </row>
    <row r="425" spans="1:11" x14ac:dyDescent="0.2">
      <c r="A425" s="3">
        <v>34</v>
      </c>
      <c r="B425" s="3">
        <v>1546</v>
      </c>
      <c r="C425" s="3">
        <v>55</v>
      </c>
      <c r="D425" s="3">
        <v>0.75900000000000001</v>
      </c>
      <c r="E425" s="4">
        <v>1.7999999999999999E-2</v>
      </c>
      <c r="F425" s="3">
        <v>5.3999999999999999E-2</v>
      </c>
      <c r="G425" s="3">
        <v>0.72499999999999998</v>
      </c>
      <c r="H425" s="3">
        <v>0.94599999999999995</v>
      </c>
      <c r="I425" s="5">
        <v>83</v>
      </c>
      <c r="J425" s="3">
        <v>17</v>
      </c>
      <c r="K425" s="3">
        <v>3</v>
      </c>
    </row>
    <row r="426" spans="1:11" x14ac:dyDescent="0.2">
      <c r="A426" s="3">
        <v>33</v>
      </c>
      <c r="B426" s="3">
        <v>1557</v>
      </c>
      <c r="C426" s="3">
        <v>129</v>
      </c>
      <c r="D426" s="3">
        <v>0.75900000000000001</v>
      </c>
      <c r="E426" s="4">
        <v>0.10199999999999999</v>
      </c>
      <c r="F426" s="3">
        <v>0.29699999999999999</v>
      </c>
      <c r="G426" s="3">
        <v>0.71899999999999997</v>
      </c>
      <c r="H426" s="3">
        <v>0.92400000000000004</v>
      </c>
      <c r="I426" s="5">
        <v>98</v>
      </c>
      <c r="J426" s="3">
        <v>8</v>
      </c>
      <c r="K426" s="3">
        <v>4.2</v>
      </c>
    </row>
    <row r="427" spans="1:11" x14ac:dyDescent="0.2">
      <c r="A427" s="3">
        <v>80</v>
      </c>
      <c r="B427" s="3">
        <v>3883</v>
      </c>
      <c r="C427" s="3">
        <v>134</v>
      </c>
      <c r="D427" s="3">
        <v>0.75900000000000001</v>
      </c>
      <c r="E427" s="4">
        <v>0.157</v>
      </c>
      <c r="F427" s="3">
        <v>0.108</v>
      </c>
      <c r="G427" s="3">
        <v>0.93799999999999994</v>
      </c>
      <c r="H427" s="3">
        <v>0.92500000000000004</v>
      </c>
      <c r="I427" s="5">
        <v>69</v>
      </c>
      <c r="J427" s="3">
        <v>1</v>
      </c>
      <c r="K427" s="3">
        <v>8.3000000000000007</v>
      </c>
    </row>
    <row r="428" spans="1:11" x14ac:dyDescent="0.2">
      <c r="A428" s="3">
        <v>92</v>
      </c>
      <c r="B428" s="3">
        <v>4492</v>
      </c>
      <c r="C428" s="3">
        <v>106</v>
      </c>
      <c r="D428" s="3">
        <v>0.75900000000000001</v>
      </c>
      <c r="E428" s="4">
        <v>0.17100000000000001</v>
      </c>
      <c r="F428" s="3">
        <v>6.8000000000000005E-2</v>
      </c>
      <c r="G428" s="3">
        <v>0.7</v>
      </c>
      <c r="H428" s="3">
        <v>0.92500000000000004</v>
      </c>
      <c r="I428" s="5">
        <v>8</v>
      </c>
      <c r="J428" s="3">
        <v>15</v>
      </c>
      <c r="K428" s="3">
        <v>13.6</v>
      </c>
    </row>
    <row r="429" spans="1:11" x14ac:dyDescent="0.2">
      <c r="A429" s="3">
        <v>35</v>
      </c>
      <c r="B429" s="3">
        <v>1692</v>
      </c>
      <c r="C429" s="3">
        <v>125</v>
      </c>
      <c r="D429" s="3">
        <v>0.76</v>
      </c>
      <c r="E429" s="4">
        <v>2.4E-2</v>
      </c>
      <c r="F429" s="3">
        <v>0.19900000000000001</v>
      </c>
      <c r="G429" s="3">
        <v>0.79900000000000004</v>
      </c>
      <c r="H429" s="3">
        <v>0.91800000000000004</v>
      </c>
      <c r="I429" s="5">
        <v>27</v>
      </c>
      <c r="J429" s="3">
        <v>18</v>
      </c>
      <c r="K429" s="3">
        <v>13</v>
      </c>
    </row>
    <row r="430" spans="1:11" x14ac:dyDescent="0.2">
      <c r="A430" s="3">
        <v>35</v>
      </c>
      <c r="B430" s="3">
        <v>1714</v>
      </c>
      <c r="C430" s="3">
        <v>63</v>
      </c>
      <c r="D430" s="3">
        <v>0.76</v>
      </c>
      <c r="E430" s="4">
        <v>1.7000000000000001E-2</v>
      </c>
      <c r="F430" s="3">
        <v>0.29499999999999998</v>
      </c>
      <c r="G430" s="3">
        <v>0.72099999999999997</v>
      </c>
      <c r="H430" s="3">
        <v>0.97299999999999998</v>
      </c>
      <c r="I430" s="5">
        <v>39</v>
      </c>
      <c r="J430" s="3">
        <v>13</v>
      </c>
      <c r="K430" s="3">
        <v>13.4</v>
      </c>
    </row>
    <row r="431" spans="1:11" x14ac:dyDescent="0.2">
      <c r="A431" s="3">
        <v>40</v>
      </c>
      <c r="B431" s="3">
        <v>1912</v>
      </c>
      <c r="C431" s="3">
        <v>167</v>
      </c>
      <c r="D431" s="3">
        <v>0.76</v>
      </c>
      <c r="E431" s="4">
        <v>0.128</v>
      </c>
      <c r="F431" s="3">
        <v>0.22500000000000001</v>
      </c>
      <c r="G431" s="3">
        <v>0.97</v>
      </c>
      <c r="H431" s="3">
        <v>0.94499999999999995</v>
      </c>
      <c r="I431" s="5">
        <v>97</v>
      </c>
      <c r="J431" s="3">
        <v>4</v>
      </c>
      <c r="K431" s="3">
        <v>4.5</v>
      </c>
    </row>
    <row r="432" spans="1:11" x14ac:dyDescent="0.2">
      <c r="A432" s="3">
        <v>54</v>
      </c>
      <c r="B432" s="3">
        <v>2461</v>
      </c>
      <c r="C432" s="3">
        <v>21</v>
      </c>
      <c r="D432" s="3">
        <v>0.76</v>
      </c>
      <c r="E432" s="4">
        <v>1.9E-2</v>
      </c>
      <c r="F432" s="3">
        <v>0.1</v>
      </c>
      <c r="G432" s="3">
        <v>0.84099999999999997</v>
      </c>
      <c r="H432" s="3">
        <v>0.91300000000000003</v>
      </c>
      <c r="I432" s="5">
        <v>94</v>
      </c>
      <c r="J432" s="3">
        <v>19</v>
      </c>
      <c r="K432" s="3">
        <v>14.3</v>
      </c>
    </row>
    <row r="433" spans="1:11" x14ac:dyDescent="0.2">
      <c r="A433" s="3">
        <v>65</v>
      </c>
      <c r="B433" s="3">
        <v>2988</v>
      </c>
      <c r="C433" s="3">
        <v>181</v>
      </c>
      <c r="D433" s="3">
        <v>0.76</v>
      </c>
      <c r="E433" s="4">
        <v>0.13400000000000001</v>
      </c>
      <c r="F433" s="3">
        <v>0.28000000000000003</v>
      </c>
      <c r="G433" s="3">
        <v>0.86799999999999999</v>
      </c>
      <c r="H433" s="3">
        <v>0.96699999999999997</v>
      </c>
      <c r="I433" s="5">
        <v>70</v>
      </c>
      <c r="J433" s="3">
        <v>7</v>
      </c>
      <c r="K433" s="3">
        <v>13.7</v>
      </c>
    </row>
    <row r="434" spans="1:11" x14ac:dyDescent="0.2">
      <c r="A434" s="3">
        <v>66</v>
      </c>
      <c r="B434" s="3">
        <v>3222</v>
      </c>
      <c r="C434" s="3">
        <v>96</v>
      </c>
      <c r="D434" s="3">
        <v>0.76</v>
      </c>
      <c r="E434" s="4">
        <v>0.13700000000000001</v>
      </c>
      <c r="F434" s="3">
        <v>0.154</v>
      </c>
      <c r="G434" s="3">
        <v>0.86</v>
      </c>
      <c r="H434" s="3">
        <v>0.94899999999999995</v>
      </c>
      <c r="I434" s="5">
        <v>85</v>
      </c>
      <c r="J434" s="3">
        <v>17</v>
      </c>
      <c r="K434" s="3">
        <v>6.9</v>
      </c>
    </row>
    <row r="435" spans="1:11" x14ac:dyDescent="0.2">
      <c r="A435" s="3">
        <v>67</v>
      </c>
      <c r="B435" s="3">
        <v>3314</v>
      </c>
      <c r="C435" s="3">
        <v>155</v>
      </c>
      <c r="D435" s="3">
        <v>0.76100000000000001</v>
      </c>
      <c r="E435" s="4">
        <v>0.14599999999999999</v>
      </c>
      <c r="F435" s="3">
        <v>0.23899999999999999</v>
      </c>
      <c r="G435" s="3">
        <v>0.78300000000000003</v>
      </c>
      <c r="H435" s="3">
        <v>0.93300000000000005</v>
      </c>
      <c r="I435" s="5">
        <v>13</v>
      </c>
      <c r="J435" s="3">
        <v>3</v>
      </c>
      <c r="K435" s="3">
        <v>11.2</v>
      </c>
    </row>
    <row r="436" spans="1:11" x14ac:dyDescent="0.2">
      <c r="A436" s="3">
        <v>96</v>
      </c>
      <c r="B436" s="3">
        <v>4644</v>
      </c>
      <c r="C436" s="3">
        <v>82</v>
      </c>
      <c r="D436" s="3">
        <v>0.76100000000000001</v>
      </c>
      <c r="E436" s="4">
        <v>7.8E-2</v>
      </c>
      <c r="F436" s="3">
        <v>0.23300000000000001</v>
      </c>
      <c r="G436" s="3">
        <v>0.81399999999999995</v>
      </c>
      <c r="H436" s="3">
        <v>0.91900000000000004</v>
      </c>
      <c r="I436" s="5">
        <v>26</v>
      </c>
      <c r="J436" s="3">
        <v>12</v>
      </c>
      <c r="K436" s="3">
        <v>14.3</v>
      </c>
    </row>
    <row r="437" spans="1:11" x14ac:dyDescent="0.2">
      <c r="A437" s="3">
        <v>27</v>
      </c>
      <c r="B437" s="3">
        <v>1314</v>
      </c>
      <c r="C437" s="3">
        <v>172</v>
      </c>
      <c r="D437" s="3">
        <v>0.76200000000000001</v>
      </c>
      <c r="E437" s="4">
        <v>0.19600000000000001</v>
      </c>
      <c r="F437" s="3">
        <v>0.06</v>
      </c>
      <c r="G437" s="3">
        <v>0.76500000000000001</v>
      </c>
      <c r="H437" s="3">
        <v>0.995</v>
      </c>
      <c r="I437" s="5">
        <v>34</v>
      </c>
      <c r="J437" s="3">
        <v>1</v>
      </c>
      <c r="K437" s="3">
        <v>9.5</v>
      </c>
    </row>
    <row r="438" spans="1:11" x14ac:dyDescent="0.2">
      <c r="A438" s="3">
        <v>57</v>
      </c>
      <c r="B438" s="3">
        <v>2723</v>
      </c>
      <c r="C438" s="3">
        <v>31</v>
      </c>
      <c r="D438" s="3">
        <v>0.76200000000000001</v>
      </c>
      <c r="E438" s="4">
        <v>0.11600000000000001</v>
      </c>
      <c r="F438" s="3">
        <v>8.8999999999999996E-2</v>
      </c>
      <c r="G438" s="3">
        <v>0.89400000000000002</v>
      </c>
      <c r="H438" s="3">
        <v>0.97499999999999998</v>
      </c>
      <c r="I438" s="5">
        <v>42</v>
      </c>
      <c r="J438" s="3">
        <v>5</v>
      </c>
      <c r="K438" s="3">
        <v>10.3</v>
      </c>
    </row>
    <row r="439" spans="1:11" x14ac:dyDescent="0.2">
      <c r="A439" s="3">
        <v>91</v>
      </c>
      <c r="B439" s="3">
        <v>4318</v>
      </c>
      <c r="C439" s="3">
        <v>127</v>
      </c>
      <c r="D439" s="3">
        <v>0.76200000000000001</v>
      </c>
      <c r="E439" s="4">
        <v>7.6999999999999999E-2</v>
      </c>
      <c r="F439" s="3">
        <v>0.14599999999999999</v>
      </c>
      <c r="G439" s="3">
        <v>0.78800000000000003</v>
      </c>
      <c r="H439" s="3">
        <v>0.97699999999999998</v>
      </c>
      <c r="I439" s="5">
        <v>45</v>
      </c>
      <c r="J439" s="3">
        <v>15</v>
      </c>
      <c r="K439" s="3">
        <v>2.5</v>
      </c>
    </row>
    <row r="440" spans="1:11" x14ac:dyDescent="0.2">
      <c r="A440" s="3">
        <v>97</v>
      </c>
      <c r="B440" s="3">
        <v>4642</v>
      </c>
      <c r="C440" s="3">
        <v>83</v>
      </c>
      <c r="D440" s="3">
        <v>0.76200000000000001</v>
      </c>
      <c r="E440" s="4">
        <v>6.5000000000000002E-2</v>
      </c>
      <c r="F440" s="3">
        <v>5.8999999999999997E-2</v>
      </c>
      <c r="G440" s="3">
        <v>0.84399999999999997</v>
      </c>
      <c r="H440" s="3">
        <v>0.98399999999999999</v>
      </c>
      <c r="I440" s="5">
        <v>13</v>
      </c>
      <c r="J440" s="3">
        <v>15</v>
      </c>
      <c r="K440" s="3">
        <v>11.7</v>
      </c>
    </row>
    <row r="441" spans="1:11" x14ac:dyDescent="0.2">
      <c r="A441" s="3">
        <v>28</v>
      </c>
      <c r="B441" s="3">
        <v>1161</v>
      </c>
      <c r="C441" s="3">
        <v>179</v>
      </c>
      <c r="D441" s="3">
        <v>0.76300000000000001</v>
      </c>
      <c r="E441" s="4">
        <v>0.13200000000000001</v>
      </c>
      <c r="F441" s="3">
        <v>0.115</v>
      </c>
      <c r="G441" s="3">
        <v>0.82599999999999996</v>
      </c>
      <c r="H441" s="3">
        <v>0.95399999999999996</v>
      </c>
      <c r="I441" s="5">
        <v>17</v>
      </c>
      <c r="J441" s="3">
        <v>4</v>
      </c>
      <c r="K441" s="3">
        <v>4.5</v>
      </c>
    </row>
    <row r="442" spans="1:11" x14ac:dyDescent="0.2">
      <c r="A442" s="3">
        <v>44</v>
      </c>
      <c r="B442" s="3">
        <v>1941</v>
      </c>
      <c r="C442" s="3">
        <v>154</v>
      </c>
      <c r="D442" s="3">
        <v>0.76300000000000001</v>
      </c>
      <c r="E442" s="4">
        <v>0.19600000000000001</v>
      </c>
      <c r="F442" s="3">
        <v>9.0999999999999998E-2</v>
      </c>
      <c r="G442" s="3">
        <v>0.76600000000000001</v>
      </c>
      <c r="H442" s="3">
        <v>0.93</v>
      </c>
      <c r="I442" s="5">
        <v>91</v>
      </c>
      <c r="J442" s="3">
        <v>9</v>
      </c>
      <c r="K442" s="3">
        <v>13.2</v>
      </c>
    </row>
    <row r="443" spans="1:11" x14ac:dyDescent="0.2">
      <c r="A443" s="3">
        <v>44</v>
      </c>
      <c r="B443" s="3">
        <v>2011</v>
      </c>
      <c r="C443" s="3">
        <v>67</v>
      </c>
      <c r="D443" s="3">
        <v>0.76300000000000001</v>
      </c>
      <c r="E443" s="4">
        <v>0.183</v>
      </c>
      <c r="F443" s="3">
        <v>0.221</v>
      </c>
      <c r="G443" s="3">
        <v>0.79200000000000004</v>
      </c>
      <c r="H443" s="3">
        <v>0.95</v>
      </c>
      <c r="I443" s="5">
        <v>45</v>
      </c>
      <c r="J443" s="3">
        <v>19</v>
      </c>
      <c r="K443" s="3">
        <v>4.5999999999999996</v>
      </c>
    </row>
    <row r="444" spans="1:11" x14ac:dyDescent="0.2">
      <c r="A444" s="3">
        <v>52</v>
      </c>
      <c r="B444" s="3">
        <v>2422</v>
      </c>
      <c r="C444" s="3">
        <v>49</v>
      </c>
      <c r="D444" s="3">
        <v>0.76300000000000001</v>
      </c>
      <c r="E444" s="4">
        <v>0.13</v>
      </c>
      <c r="F444" s="3">
        <v>0.245</v>
      </c>
      <c r="G444" s="3">
        <v>0.89400000000000002</v>
      </c>
      <c r="H444" s="3">
        <v>0.93100000000000005</v>
      </c>
      <c r="I444" s="5">
        <v>51</v>
      </c>
      <c r="J444" s="3">
        <v>17</v>
      </c>
      <c r="K444" s="3">
        <v>10.5</v>
      </c>
    </row>
    <row r="445" spans="1:11" x14ac:dyDescent="0.2">
      <c r="A445" s="3">
        <v>80</v>
      </c>
      <c r="B445" s="3">
        <v>3871</v>
      </c>
      <c r="C445" s="3">
        <v>103</v>
      </c>
      <c r="D445" s="3">
        <v>0.76300000000000001</v>
      </c>
      <c r="E445" s="4">
        <v>7.2999999999999995E-2</v>
      </c>
      <c r="F445" s="3">
        <v>0.17899999999999999</v>
      </c>
      <c r="G445" s="3">
        <v>0.89400000000000002</v>
      </c>
      <c r="H445" s="3">
        <v>0.90800000000000003</v>
      </c>
      <c r="I445" s="5">
        <v>19</v>
      </c>
      <c r="J445" s="3">
        <v>16</v>
      </c>
      <c r="K445" s="3">
        <v>5.5</v>
      </c>
    </row>
    <row r="446" spans="1:11" x14ac:dyDescent="0.2">
      <c r="A446" s="3">
        <v>83</v>
      </c>
      <c r="B446" s="3">
        <v>3894</v>
      </c>
      <c r="C446" s="3">
        <v>197</v>
      </c>
      <c r="D446" s="3">
        <v>0.76300000000000001</v>
      </c>
      <c r="E446" s="4">
        <v>0.16400000000000001</v>
      </c>
      <c r="F446" s="3">
        <v>0.12</v>
      </c>
      <c r="G446" s="3">
        <v>0.79</v>
      </c>
      <c r="H446" s="3">
        <v>0.94699999999999995</v>
      </c>
      <c r="I446" s="5">
        <v>71</v>
      </c>
      <c r="J446" s="3">
        <v>1</v>
      </c>
      <c r="K446" s="3">
        <v>3.7</v>
      </c>
    </row>
    <row r="447" spans="1:11" x14ac:dyDescent="0.2">
      <c r="A447" s="3">
        <v>47</v>
      </c>
      <c r="B447" s="3">
        <v>2098</v>
      </c>
      <c r="C447" s="3">
        <v>116</v>
      </c>
      <c r="D447" s="3">
        <v>0.76400000000000001</v>
      </c>
      <c r="E447" s="4">
        <v>0.13100000000000001</v>
      </c>
      <c r="F447" s="3">
        <v>0.14199999999999999</v>
      </c>
      <c r="G447" s="3">
        <v>0.89600000000000002</v>
      </c>
      <c r="H447" s="3">
        <v>0.98199999999999998</v>
      </c>
      <c r="I447" s="5">
        <v>88</v>
      </c>
      <c r="J447" s="3">
        <v>15</v>
      </c>
      <c r="K447" s="3">
        <v>3.7</v>
      </c>
    </row>
    <row r="448" spans="1:11" x14ac:dyDescent="0.2">
      <c r="A448" s="3">
        <v>59</v>
      </c>
      <c r="B448" s="3">
        <v>2792</v>
      </c>
      <c r="C448" s="3">
        <v>54</v>
      </c>
      <c r="D448" s="3">
        <v>0.76400000000000001</v>
      </c>
      <c r="E448" s="4">
        <v>6.5000000000000002E-2</v>
      </c>
      <c r="F448" s="3">
        <v>0.26</v>
      </c>
      <c r="G448" s="3">
        <v>0.85599999999999998</v>
      </c>
      <c r="H448" s="3">
        <v>0.96699999999999997</v>
      </c>
      <c r="I448" s="5">
        <v>21</v>
      </c>
      <c r="J448" s="3">
        <v>17</v>
      </c>
      <c r="K448" s="3">
        <v>1.9</v>
      </c>
    </row>
    <row r="449" spans="1:11" x14ac:dyDescent="0.2">
      <c r="A449" s="3">
        <v>28</v>
      </c>
      <c r="B449" s="3">
        <v>1355</v>
      </c>
      <c r="C449" s="3">
        <v>62</v>
      </c>
      <c r="D449" s="3">
        <v>0.76600000000000001</v>
      </c>
      <c r="E449" s="4">
        <v>0.12</v>
      </c>
      <c r="F449" s="3">
        <v>0.23100000000000001</v>
      </c>
      <c r="G449" s="3">
        <v>0.75800000000000001</v>
      </c>
      <c r="H449" s="3">
        <v>0.998</v>
      </c>
      <c r="I449" s="5">
        <v>89</v>
      </c>
      <c r="J449" s="3">
        <v>16</v>
      </c>
      <c r="K449" s="3">
        <v>13.1</v>
      </c>
    </row>
    <row r="450" spans="1:11" x14ac:dyDescent="0.2">
      <c r="A450" s="3">
        <v>69</v>
      </c>
      <c r="B450" s="3">
        <v>3372</v>
      </c>
      <c r="C450" s="3">
        <v>78</v>
      </c>
      <c r="D450" s="3">
        <v>0.76600000000000001</v>
      </c>
      <c r="E450" s="4">
        <v>1.7000000000000001E-2</v>
      </c>
      <c r="F450" s="3">
        <v>0.19400000000000001</v>
      </c>
      <c r="G450" s="3">
        <v>0.71099999999999997</v>
      </c>
      <c r="H450" s="3">
        <v>0.97</v>
      </c>
      <c r="I450" s="5">
        <v>77</v>
      </c>
      <c r="J450" s="3">
        <v>2</v>
      </c>
      <c r="K450" s="3">
        <v>12.8</v>
      </c>
    </row>
    <row r="451" spans="1:11" x14ac:dyDescent="0.2">
      <c r="A451" s="3">
        <v>72</v>
      </c>
      <c r="B451" s="3">
        <v>3518</v>
      </c>
      <c r="C451" s="3">
        <v>19</v>
      </c>
      <c r="D451" s="3">
        <v>0.76600000000000001</v>
      </c>
      <c r="E451" s="4">
        <v>3.7999999999999999E-2</v>
      </c>
      <c r="F451" s="3">
        <v>0.217</v>
      </c>
      <c r="G451" s="3">
        <v>0.92900000000000005</v>
      </c>
      <c r="H451" s="3">
        <v>0.91300000000000003</v>
      </c>
      <c r="I451" s="5">
        <v>95</v>
      </c>
      <c r="J451" s="3">
        <v>14</v>
      </c>
      <c r="K451" s="3">
        <v>13.3</v>
      </c>
    </row>
    <row r="452" spans="1:11" x14ac:dyDescent="0.2">
      <c r="A452" s="3">
        <v>44</v>
      </c>
      <c r="B452" s="3">
        <v>1951</v>
      </c>
      <c r="C452" s="3">
        <v>107</v>
      </c>
      <c r="D452" s="3">
        <v>0.76700000000000002</v>
      </c>
      <c r="E452" s="4">
        <v>0.127</v>
      </c>
      <c r="F452" s="3">
        <v>0.13100000000000001</v>
      </c>
      <c r="G452" s="3">
        <v>0.86599999999999999</v>
      </c>
      <c r="H452" s="3">
        <v>0.96</v>
      </c>
      <c r="I452" s="5">
        <v>84</v>
      </c>
      <c r="J452" s="3">
        <v>4</v>
      </c>
      <c r="K452" s="3">
        <v>13.2</v>
      </c>
    </row>
    <row r="453" spans="1:11" x14ac:dyDescent="0.2">
      <c r="A453" s="3">
        <v>43</v>
      </c>
      <c r="B453" s="3">
        <v>2124</v>
      </c>
      <c r="C453" s="3">
        <v>135</v>
      </c>
      <c r="D453" s="3">
        <v>0.76700000000000002</v>
      </c>
      <c r="E453" s="4">
        <v>0.124</v>
      </c>
      <c r="F453" s="3">
        <v>0.24</v>
      </c>
      <c r="G453" s="3">
        <v>0.81100000000000005</v>
      </c>
      <c r="H453" s="3">
        <v>0.91</v>
      </c>
      <c r="I453" s="5">
        <v>62</v>
      </c>
      <c r="J453" s="3">
        <v>14</v>
      </c>
      <c r="K453" s="3">
        <v>1.1000000000000001</v>
      </c>
    </row>
    <row r="454" spans="1:11" x14ac:dyDescent="0.2">
      <c r="A454" s="3">
        <v>47</v>
      </c>
      <c r="B454" s="3">
        <v>2238</v>
      </c>
      <c r="C454" s="3">
        <v>71</v>
      </c>
      <c r="D454" s="3">
        <v>0.76700000000000002</v>
      </c>
      <c r="E454" s="4">
        <v>5.6000000000000001E-2</v>
      </c>
      <c r="F454" s="3">
        <v>9.8000000000000004E-2</v>
      </c>
      <c r="G454" s="3">
        <v>0.81100000000000005</v>
      </c>
      <c r="H454" s="3">
        <v>0.94399999999999995</v>
      </c>
      <c r="I454" s="5">
        <v>63</v>
      </c>
      <c r="J454" s="3">
        <v>6</v>
      </c>
      <c r="K454" s="3">
        <v>13</v>
      </c>
    </row>
    <row r="455" spans="1:11" x14ac:dyDescent="0.2">
      <c r="A455" s="3">
        <v>37</v>
      </c>
      <c r="B455" s="3">
        <v>1603</v>
      </c>
      <c r="C455" s="3">
        <v>26</v>
      </c>
      <c r="D455" s="3">
        <v>0.76800000000000002</v>
      </c>
      <c r="E455" s="4">
        <v>9.8000000000000004E-2</v>
      </c>
      <c r="F455" s="3">
        <v>0.159</v>
      </c>
      <c r="G455" s="3">
        <v>0.99</v>
      </c>
      <c r="H455" s="3">
        <v>0.98799999999999999</v>
      </c>
      <c r="I455" s="5">
        <v>86</v>
      </c>
      <c r="J455" s="3">
        <v>14</v>
      </c>
      <c r="K455" s="3">
        <v>3.2</v>
      </c>
    </row>
    <row r="456" spans="1:11" x14ac:dyDescent="0.2">
      <c r="A456" s="3">
        <v>65</v>
      </c>
      <c r="B456" s="3">
        <v>2982</v>
      </c>
      <c r="C456" s="3">
        <v>97</v>
      </c>
      <c r="D456" s="3">
        <v>0.76800000000000002</v>
      </c>
      <c r="E456" s="4">
        <v>1.7000000000000001E-2</v>
      </c>
      <c r="F456" s="3">
        <v>0.3</v>
      </c>
      <c r="G456" s="3">
        <v>0.878</v>
      </c>
      <c r="H456" s="3">
        <v>0.90200000000000002</v>
      </c>
      <c r="I456" s="5">
        <v>28</v>
      </c>
      <c r="J456" s="3">
        <v>18</v>
      </c>
      <c r="K456" s="3">
        <v>14.3</v>
      </c>
    </row>
    <row r="457" spans="1:11" x14ac:dyDescent="0.2">
      <c r="A457" s="3">
        <v>70</v>
      </c>
      <c r="B457" s="3">
        <v>3241</v>
      </c>
      <c r="C457" s="3">
        <v>57</v>
      </c>
      <c r="D457" s="3">
        <v>0.76800000000000002</v>
      </c>
      <c r="E457" s="4">
        <v>2.5000000000000001E-2</v>
      </c>
      <c r="F457" s="3">
        <v>0.13600000000000001</v>
      </c>
      <c r="G457" s="3">
        <v>0.91400000000000003</v>
      </c>
      <c r="H457" s="3">
        <v>0.97099999999999997</v>
      </c>
      <c r="I457" s="5">
        <v>49</v>
      </c>
      <c r="J457" s="3">
        <v>1</v>
      </c>
      <c r="K457" s="3">
        <v>1.6</v>
      </c>
    </row>
    <row r="458" spans="1:11" x14ac:dyDescent="0.2">
      <c r="A458" s="3">
        <v>71</v>
      </c>
      <c r="B458" s="3">
        <v>3390</v>
      </c>
      <c r="C458" s="3">
        <v>58</v>
      </c>
      <c r="D458" s="3">
        <v>0.76800000000000002</v>
      </c>
      <c r="E458" s="4">
        <v>5.8000000000000003E-2</v>
      </c>
      <c r="F458" s="3">
        <v>0.23400000000000001</v>
      </c>
      <c r="G458" s="3">
        <v>0.96</v>
      </c>
      <c r="H458" s="3">
        <v>0.92</v>
      </c>
      <c r="I458" s="5">
        <v>96</v>
      </c>
      <c r="J458" s="3">
        <v>15</v>
      </c>
      <c r="K458" s="3">
        <v>12.9</v>
      </c>
    </row>
    <row r="459" spans="1:11" x14ac:dyDescent="0.2">
      <c r="A459" s="3">
        <v>79</v>
      </c>
      <c r="B459" s="3">
        <v>3780</v>
      </c>
      <c r="C459" s="3">
        <v>57</v>
      </c>
      <c r="D459" s="3">
        <v>0.76800000000000002</v>
      </c>
      <c r="E459" s="4">
        <v>1.0999999999999999E-2</v>
      </c>
      <c r="F459" s="3">
        <v>0.20799999999999999</v>
      </c>
      <c r="G459" s="3">
        <v>0.76700000000000002</v>
      </c>
      <c r="H459" s="3">
        <v>0.95699999999999996</v>
      </c>
      <c r="I459" s="5">
        <v>47</v>
      </c>
      <c r="J459" s="3">
        <v>4</v>
      </c>
      <c r="K459" s="3">
        <v>7.8</v>
      </c>
    </row>
    <row r="460" spans="1:11" x14ac:dyDescent="0.2">
      <c r="A460" s="3">
        <v>79</v>
      </c>
      <c r="B460" s="3">
        <v>3761</v>
      </c>
      <c r="C460" s="3">
        <v>155</v>
      </c>
      <c r="D460" s="3">
        <v>0.76900000000000002</v>
      </c>
      <c r="E460" s="4">
        <v>9.0999999999999998E-2</v>
      </c>
      <c r="F460" s="3">
        <v>0.23100000000000001</v>
      </c>
      <c r="G460" s="3">
        <v>0.80600000000000005</v>
      </c>
      <c r="H460" s="3">
        <v>0.90300000000000002</v>
      </c>
      <c r="I460" s="5">
        <v>54</v>
      </c>
      <c r="J460" s="3">
        <v>5</v>
      </c>
      <c r="K460" s="3">
        <v>7.3</v>
      </c>
    </row>
    <row r="461" spans="1:11" x14ac:dyDescent="0.2">
      <c r="A461" s="3">
        <v>84</v>
      </c>
      <c r="B461" s="3">
        <v>4119</v>
      </c>
      <c r="C461" s="3">
        <v>178</v>
      </c>
      <c r="D461" s="3">
        <v>0.76900000000000002</v>
      </c>
      <c r="E461" s="4">
        <v>2.8000000000000001E-2</v>
      </c>
      <c r="F461" s="3">
        <v>6.7000000000000004E-2</v>
      </c>
      <c r="G461" s="3">
        <v>0.76700000000000002</v>
      </c>
      <c r="H461" s="3">
        <v>0.93700000000000006</v>
      </c>
      <c r="I461" s="5">
        <v>81</v>
      </c>
      <c r="J461" s="3">
        <v>18</v>
      </c>
      <c r="K461" s="3">
        <v>9</v>
      </c>
    </row>
    <row r="462" spans="1:11" x14ac:dyDescent="0.2">
      <c r="A462" s="3">
        <v>41</v>
      </c>
      <c r="B462" s="3">
        <v>1835</v>
      </c>
      <c r="C462" s="3">
        <v>172</v>
      </c>
      <c r="D462" s="3">
        <v>0.77100000000000002</v>
      </c>
      <c r="E462" s="4">
        <v>0.14499999999999999</v>
      </c>
      <c r="F462" s="3">
        <v>0.245</v>
      </c>
      <c r="G462" s="3">
        <v>0.91900000000000004</v>
      </c>
      <c r="H462" s="3">
        <v>0.92700000000000005</v>
      </c>
      <c r="I462" s="5">
        <v>90</v>
      </c>
      <c r="J462" s="3">
        <v>4</v>
      </c>
      <c r="K462" s="3">
        <v>1.5</v>
      </c>
    </row>
    <row r="463" spans="1:11" x14ac:dyDescent="0.2">
      <c r="A463" s="3">
        <v>26</v>
      </c>
      <c r="B463" s="3">
        <v>1158</v>
      </c>
      <c r="C463" s="3">
        <v>141</v>
      </c>
      <c r="D463" s="3">
        <v>0.77200000000000002</v>
      </c>
      <c r="E463" s="4">
        <v>0.107</v>
      </c>
      <c r="F463" s="3">
        <v>0.17499999999999999</v>
      </c>
      <c r="G463" s="3">
        <v>0.72299999999999998</v>
      </c>
      <c r="H463" s="3">
        <v>0.90100000000000002</v>
      </c>
      <c r="I463" s="5">
        <v>98</v>
      </c>
      <c r="J463" s="3">
        <v>2</v>
      </c>
      <c r="K463" s="3">
        <v>5</v>
      </c>
    </row>
    <row r="464" spans="1:11" x14ac:dyDescent="0.2">
      <c r="A464" s="3">
        <v>73</v>
      </c>
      <c r="B464" s="3">
        <v>3525</v>
      </c>
      <c r="C464" s="3">
        <v>158</v>
      </c>
      <c r="D464" s="3">
        <v>0.77200000000000002</v>
      </c>
      <c r="E464" s="4">
        <v>0.08</v>
      </c>
      <c r="F464" s="3">
        <v>9.0999999999999998E-2</v>
      </c>
      <c r="G464" s="3">
        <v>0.86799999999999999</v>
      </c>
      <c r="H464" s="3">
        <v>0.97799999999999998</v>
      </c>
      <c r="I464" s="5">
        <v>18</v>
      </c>
      <c r="J464" s="3">
        <v>8</v>
      </c>
      <c r="K464" s="3">
        <v>12.7</v>
      </c>
    </row>
    <row r="465" spans="1:11" x14ac:dyDescent="0.2">
      <c r="A465" s="3">
        <v>77</v>
      </c>
      <c r="B465" s="3">
        <v>3659</v>
      </c>
      <c r="C465" s="3">
        <v>55</v>
      </c>
      <c r="D465" s="3">
        <v>0.77200000000000002</v>
      </c>
      <c r="E465" s="4">
        <v>0.18099999999999999</v>
      </c>
      <c r="F465" s="3">
        <v>0.221</v>
      </c>
      <c r="G465" s="3">
        <v>0.86799999999999999</v>
      </c>
      <c r="H465" s="3">
        <v>0.92700000000000005</v>
      </c>
      <c r="I465" s="5">
        <v>10</v>
      </c>
      <c r="J465" s="3">
        <v>11</v>
      </c>
      <c r="K465" s="3">
        <v>11.6</v>
      </c>
    </row>
    <row r="466" spans="1:11" x14ac:dyDescent="0.2">
      <c r="A466" s="3">
        <v>85</v>
      </c>
      <c r="B466" s="3">
        <v>4161</v>
      </c>
      <c r="C466" s="3">
        <v>161</v>
      </c>
      <c r="D466" s="3">
        <v>0.77200000000000002</v>
      </c>
      <c r="E466" s="4">
        <v>2.7E-2</v>
      </c>
      <c r="F466" s="3">
        <v>0.185</v>
      </c>
      <c r="G466" s="3">
        <v>0.97299999999999998</v>
      </c>
      <c r="H466" s="3">
        <v>0.98</v>
      </c>
      <c r="I466" s="5">
        <v>13</v>
      </c>
      <c r="J466" s="3">
        <v>15</v>
      </c>
      <c r="K466" s="3">
        <v>12.1</v>
      </c>
    </row>
    <row r="467" spans="1:11" x14ac:dyDescent="0.2">
      <c r="A467" s="3">
        <v>24</v>
      </c>
      <c r="B467" s="3">
        <v>1032</v>
      </c>
      <c r="C467" s="3">
        <v>125</v>
      </c>
      <c r="D467" s="3">
        <v>0.77300000000000002</v>
      </c>
      <c r="E467" s="4">
        <v>1.4E-2</v>
      </c>
      <c r="F467" s="3">
        <v>6.4000000000000001E-2</v>
      </c>
      <c r="G467" s="3">
        <v>0.81</v>
      </c>
      <c r="H467" s="3">
        <v>0.94799999999999995</v>
      </c>
      <c r="I467" s="5">
        <v>38</v>
      </c>
      <c r="J467" s="3">
        <v>6</v>
      </c>
      <c r="K467" s="3">
        <v>2.9</v>
      </c>
    </row>
    <row r="468" spans="1:11" x14ac:dyDescent="0.2">
      <c r="A468" s="3">
        <v>41</v>
      </c>
      <c r="B468" s="3">
        <v>1976</v>
      </c>
      <c r="C468" s="3">
        <v>149</v>
      </c>
      <c r="D468" s="3">
        <v>0.77300000000000002</v>
      </c>
      <c r="E468" s="4">
        <v>9.2999999999999999E-2</v>
      </c>
      <c r="F468" s="3">
        <v>7.2999999999999995E-2</v>
      </c>
      <c r="G468" s="3">
        <v>0.76700000000000002</v>
      </c>
      <c r="H468" s="3">
        <v>0.94199999999999995</v>
      </c>
      <c r="I468" s="5">
        <v>55</v>
      </c>
      <c r="J468" s="3">
        <v>1</v>
      </c>
      <c r="K468" s="3">
        <v>13.8</v>
      </c>
    </row>
    <row r="469" spans="1:11" x14ac:dyDescent="0.2">
      <c r="A469" s="3">
        <v>85</v>
      </c>
      <c r="B469" s="3">
        <v>4090</v>
      </c>
      <c r="C469" s="3">
        <v>12</v>
      </c>
      <c r="D469" s="3">
        <v>0.77300000000000002</v>
      </c>
      <c r="E469" s="4">
        <v>0.16400000000000001</v>
      </c>
      <c r="F469" s="3">
        <v>0.112</v>
      </c>
      <c r="G469" s="3">
        <v>0.97399999999999998</v>
      </c>
      <c r="H469" s="3">
        <v>0.98099999999999998</v>
      </c>
      <c r="I469" s="5">
        <v>37</v>
      </c>
      <c r="J469" s="3">
        <v>0</v>
      </c>
      <c r="K469" s="3">
        <v>4.0999999999999996</v>
      </c>
    </row>
    <row r="470" spans="1:11" x14ac:dyDescent="0.2">
      <c r="A470" s="3">
        <v>84</v>
      </c>
      <c r="B470" s="3">
        <v>4116</v>
      </c>
      <c r="C470" s="3">
        <v>108</v>
      </c>
      <c r="D470" s="3">
        <v>0.77300000000000002</v>
      </c>
      <c r="E470" s="4">
        <v>8.4000000000000005E-2</v>
      </c>
      <c r="F470" s="3">
        <v>0.10199999999999999</v>
      </c>
      <c r="G470" s="3">
        <v>0.97</v>
      </c>
      <c r="H470" s="3">
        <v>0.95699999999999996</v>
      </c>
      <c r="I470" s="5">
        <v>95</v>
      </c>
      <c r="J470" s="3">
        <v>11</v>
      </c>
      <c r="K470" s="3">
        <v>4</v>
      </c>
    </row>
    <row r="471" spans="1:11" x14ac:dyDescent="0.2">
      <c r="A471" s="3">
        <v>59</v>
      </c>
      <c r="B471" s="3">
        <v>2771</v>
      </c>
      <c r="C471" s="3">
        <v>59</v>
      </c>
      <c r="D471" s="3">
        <v>0.77400000000000002</v>
      </c>
      <c r="E471" s="4">
        <v>0.14799999999999999</v>
      </c>
      <c r="F471" s="3">
        <v>0.214</v>
      </c>
      <c r="G471" s="3">
        <v>0.97099999999999997</v>
      </c>
      <c r="H471" s="3">
        <v>0.9</v>
      </c>
      <c r="I471" s="5">
        <v>20</v>
      </c>
      <c r="J471" s="3">
        <v>10</v>
      </c>
      <c r="K471" s="3">
        <v>9.8000000000000007</v>
      </c>
    </row>
    <row r="472" spans="1:11" x14ac:dyDescent="0.2">
      <c r="A472" s="3">
        <v>65</v>
      </c>
      <c r="B472" s="3">
        <v>2982</v>
      </c>
      <c r="C472" s="3">
        <v>23</v>
      </c>
      <c r="D472" s="3">
        <v>0.77500000000000002</v>
      </c>
      <c r="E472" s="4">
        <v>0.14199999999999999</v>
      </c>
      <c r="F472" s="3">
        <v>0.23699999999999999</v>
      </c>
      <c r="G472" s="3">
        <v>0.73799999999999999</v>
      </c>
      <c r="H472" s="3">
        <v>0.93400000000000005</v>
      </c>
      <c r="I472" s="5">
        <v>4</v>
      </c>
      <c r="J472" s="3">
        <v>15</v>
      </c>
      <c r="K472" s="3">
        <v>3.4</v>
      </c>
    </row>
    <row r="473" spans="1:11" x14ac:dyDescent="0.2">
      <c r="A473" s="3">
        <v>75</v>
      </c>
      <c r="B473" s="3">
        <v>3624</v>
      </c>
      <c r="C473" s="3">
        <v>30</v>
      </c>
      <c r="D473" s="3">
        <v>0.77600000000000002</v>
      </c>
      <c r="E473" s="4">
        <v>0.124</v>
      </c>
      <c r="F473" s="3">
        <v>0.28299999999999997</v>
      </c>
      <c r="G473" s="3">
        <v>0.83699999999999997</v>
      </c>
      <c r="H473" s="3">
        <v>0.94499999999999995</v>
      </c>
      <c r="I473" s="5">
        <v>66</v>
      </c>
      <c r="J473" s="3">
        <v>9</v>
      </c>
      <c r="K473" s="3">
        <v>7.6</v>
      </c>
    </row>
    <row r="474" spans="1:11" x14ac:dyDescent="0.2">
      <c r="A474" s="3">
        <v>98</v>
      </c>
      <c r="B474" s="3">
        <v>4758</v>
      </c>
      <c r="C474" s="3">
        <v>119</v>
      </c>
      <c r="D474" s="3">
        <v>0.77600000000000002</v>
      </c>
      <c r="E474" s="4">
        <v>0.114</v>
      </c>
      <c r="F474" s="3">
        <v>0.216</v>
      </c>
      <c r="G474" s="3">
        <v>0.71299999999999997</v>
      </c>
      <c r="H474" s="3">
        <v>0.997</v>
      </c>
      <c r="I474" s="5">
        <v>92</v>
      </c>
      <c r="J474" s="3">
        <v>14</v>
      </c>
      <c r="K474" s="3">
        <v>14.7</v>
      </c>
    </row>
    <row r="475" spans="1:11" x14ac:dyDescent="0.2">
      <c r="A475" s="3">
        <v>91</v>
      </c>
      <c r="B475" s="3">
        <v>4410</v>
      </c>
      <c r="C475" s="3">
        <v>32</v>
      </c>
      <c r="D475" s="3">
        <v>0.77700000000000002</v>
      </c>
      <c r="E475" s="4">
        <v>0.183</v>
      </c>
      <c r="F475" s="3">
        <v>0.23499999999999999</v>
      </c>
      <c r="G475" s="3">
        <v>0.85399999999999998</v>
      </c>
      <c r="H475" s="3">
        <v>0.94099999999999995</v>
      </c>
      <c r="I475" s="5">
        <v>1</v>
      </c>
      <c r="J475" s="3">
        <v>2</v>
      </c>
      <c r="K475" s="3">
        <v>4.4000000000000004</v>
      </c>
    </row>
    <row r="476" spans="1:11" x14ac:dyDescent="0.2">
      <c r="A476" s="3">
        <v>51</v>
      </c>
      <c r="B476" s="3">
        <v>2309</v>
      </c>
      <c r="C476" s="3">
        <v>11</v>
      </c>
      <c r="D476" s="3">
        <v>0.77900000000000003</v>
      </c>
      <c r="E476" s="4">
        <v>0.17199999999999999</v>
      </c>
      <c r="F476" s="3">
        <v>0.29699999999999999</v>
      </c>
      <c r="G476" s="3">
        <v>0.71499999999999997</v>
      </c>
      <c r="H476" s="3">
        <v>0.90600000000000003</v>
      </c>
      <c r="I476" s="5">
        <v>13</v>
      </c>
      <c r="J476" s="3">
        <v>6</v>
      </c>
      <c r="K476" s="3">
        <v>8</v>
      </c>
    </row>
    <row r="477" spans="1:11" x14ac:dyDescent="0.2">
      <c r="A477" s="3">
        <v>51</v>
      </c>
      <c r="B477" s="3">
        <v>2380</v>
      </c>
      <c r="C477" s="3">
        <v>31</v>
      </c>
      <c r="D477" s="3">
        <v>0.77900000000000003</v>
      </c>
      <c r="E477" s="4">
        <v>0.16900000000000001</v>
      </c>
      <c r="F477" s="3">
        <v>0.24</v>
      </c>
      <c r="G477" s="3">
        <v>0.88300000000000001</v>
      </c>
      <c r="H477" s="3">
        <v>0.94</v>
      </c>
      <c r="I477" s="5">
        <v>51</v>
      </c>
      <c r="J477" s="3">
        <v>15</v>
      </c>
      <c r="K477" s="3">
        <v>8.5</v>
      </c>
    </row>
    <row r="478" spans="1:11" x14ac:dyDescent="0.2">
      <c r="A478" s="3">
        <v>58</v>
      </c>
      <c r="B478" s="3">
        <v>2767</v>
      </c>
      <c r="C478" s="3">
        <v>16</v>
      </c>
      <c r="D478" s="3">
        <v>0.77900000000000003</v>
      </c>
      <c r="E478" s="4">
        <v>0.114</v>
      </c>
      <c r="F478" s="3">
        <v>0.249</v>
      </c>
      <c r="G478" s="3">
        <v>0.96199999999999997</v>
      </c>
      <c r="H478" s="3">
        <v>0.91600000000000004</v>
      </c>
      <c r="I478" s="5">
        <v>61</v>
      </c>
      <c r="J478" s="3">
        <v>5</v>
      </c>
      <c r="K478" s="3">
        <v>6.7</v>
      </c>
    </row>
    <row r="479" spans="1:11" x14ac:dyDescent="0.2">
      <c r="A479" s="3">
        <v>64</v>
      </c>
      <c r="B479" s="3">
        <v>3156</v>
      </c>
      <c r="C479" s="3">
        <v>176</v>
      </c>
      <c r="D479" s="3">
        <v>0.77900000000000003</v>
      </c>
      <c r="E479" s="4">
        <v>0.16200000000000001</v>
      </c>
      <c r="F479" s="3">
        <v>9.7000000000000003E-2</v>
      </c>
      <c r="G479" s="3">
        <v>0.89300000000000002</v>
      </c>
      <c r="H479" s="3">
        <v>0.93200000000000005</v>
      </c>
      <c r="I479" s="5">
        <v>12</v>
      </c>
      <c r="J479" s="3">
        <v>15</v>
      </c>
      <c r="K479" s="3">
        <v>1.8</v>
      </c>
    </row>
    <row r="480" spans="1:11" x14ac:dyDescent="0.2">
      <c r="A480" s="3">
        <v>86</v>
      </c>
      <c r="B480" s="3">
        <v>4220</v>
      </c>
      <c r="C480" s="3">
        <v>35</v>
      </c>
      <c r="D480" s="3">
        <v>0.78100000000000003</v>
      </c>
      <c r="E480" s="4">
        <v>9.2999999999999999E-2</v>
      </c>
      <c r="F480" s="3">
        <v>0.23499999999999999</v>
      </c>
      <c r="G480" s="3">
        <v>0.872</v>
      </c>
      <c r="H480" s="3">
        <v>0.99</v>
      </c>
      <c r="I480" s="5">
        <v>61</v>
      </c>
      <c r="J480" s="3">
        <v>9</v>
      </c>
      <c r="K480" s="3">
        <v>9.6</v>
      </c>
    </row>
    <row r="481" spans="1:11" x14ac:dyDescent="0.2">
      <c r="A481" s="3">
        <v>96</v>
      </c>
      <c r="B481" s="3">
        <v>4565</v>
      </c>
      <c r="C481" s="3">
        <v>29</v>
      </c>
      <c r="D481" s="3">
        <v>0.78100000000000003</v>
      </c>
      <c r="E481" s="4">
        <v>0.182</v>
      </c>
      <c r="F481" s="3">
        <v>0.255</v>
      </c>
      <c r="G481" s="3">
        <v>0.93300000000000005</v>
      </c>
      <c r="H481" s="3">
        <v>0.99099999999999999</v>
      </c>
      <c r="I481" s="5">
        <v>19</v>
      </c>
      <c r="J481" s="3">
        <v>18</v>
      </c>
      <c r="K481" s="3">
        <v>7.6</v>
      </c>
    </row>
    <row r="482" spans="1:11" x14ac:dyDescent="0.2">
      <c r="A482" s="3">
        <v>29</v>
      </c>
      <c r="B482" s="3">
        <v>1364</v>
      </c>
      <c r="C482" s="3">
        <v>61</v>
      </c>
      <c r="D482" s="3">
        <v>0.78200000000000003</v>
      </c>
      <c r="E482" s="4">
        <v>3.5000000000000003E-2</v>
      </c>
      <c r="F482" s="3">
        <v>0.13700000000000001</v>
      </c>
      <c r="G482" s="3">
        <v>0.95899999999999996</v>
      </c>
      <c r="H482" s="3">
        <v>0.92600000000000005</v>
      </c>
      <c r="I482" s="5">
        <v>18</v>
      </c>
      <c r="J482" s="3">
        <v>15</v>
      </c>
      <c r="K482" s="3">
        <v>4.2</v>
      </c>
    </row>
    <row r="483" spans="1:11" x14ac:dyDescent="0.2">
      <c r="A483" s="3">
        <v>46</v>
      </c>
      <c r="B483" s="3">
        <v>2088</v>
      </c>
      <c r="C483" s="3">
        <v>109</v>
      </c>
      <c r="D483" s="3">
        <v>0.78200000000000003</v>
      </c>
      <c r="E483" s="4">
        <v>0.14099999999999999</v>
      </c>
      <c r="F483" s="3">
        <v>0.20899999999999999</v>
      </c>
      <c r="G483" s="3">
        <v>0.75700000000000001</v>
      </c>
      <c r="H483" s="3">
        <v>0.99299999999999999</v>
      </c>
      <c r="I483" s="5">
        <v>13</v>
      </c>
      <c r="J483" s="3">
        <v>15</v>
      </c>
      <c r="K483" s="3">
        <v>14.7</v>
      </c>
    </row>
    <row r="484" spans="1:11" x14ac:dyDescent="0.2">
      <c r="A484" s="3">
        <v>50</v>
      </c>
      <c r="B484" s="3">
        <v>2316</v>
      </c>
      <c r="C484" s="3">
        <v>159</v>
      </c>
      <c r="D484" s="3">
        <v>0.78200000000000003</v>
      </c>
      <c r="E484" s="4">
        <v>4.5999999999999999E-2</v>
      </c>
      <c r="F484" s="3">
        <v>0.157</v>
      </c>
      <c r="G484" s="3">
        <v>0.88700000000000001</v>
      </c>
      <c r="H484" s="3">
        <v>0.90400000000000003</v>
      </c>
      <c r="I484" s="5">
        <v>89</v>
      </c>
      <c r="J484" s="3">
        <v>6</v>
      </c>
      <c r="K484" s="3">
        <v>9.8000000000000007</v>
      </c>
    </row>
    <row r="485" spans="1:11" x14ac:dyDescent="0.2">
      <c r="A485" s="3">
        <v>77</v>
      </c>
      <c r="B485" s="3">
        <v>3587</v>
      </c>
      <c r="C485" s="3">
        <v>66</v>
      </c>
      <c r="D485" s="3">
        <v>0.78200000000000003</v>
      </c>
      <c r="E485" s="4">
        <v>3.9E-2</v>
      </c>
      <c r="F485" s="3">
        <v>0.245</v>
      </c>
      <c r="G485" s="3">
        <v>0.97499999999999998</v>
      </c>
      <c r="H485" s="3">
        <v>0.95799999999999996</v>
      </c>
      <c r="I485" s="5">
        <v>79</v>
      </c>
      <c r="J485" s="3">
        <v>11</v>
      </c>
      <c r="K485" s="3">
        <v>1.2</v>
      </c>
    </row>
    <row r="486" spans="1:11" x14ac:dyDescent="0.2">
      <c r="A486" s="3">
        <v>75</v>
      </c>
      <c r="B486" s="3">
        <v>3721</v>
      </c>
      <c r="C486" s="3">
        <v>93</v>
      </c>
      <c r="D486" s="3">
        <v>0.78300000000000003</v>
      </c>
      <c r="E486" s="4">
        <v>0.17299999999999999</v>
      </c>
      <c r="F486" s="3">
        <v>0.13200000000000001</v>
      </c>
      <c r="G486" s="3">
        <v>0.84299999999999997</v>
      </c>
      <c r="H486" s="3">
        <v>0.94299999999999995</v>
      </c>
      <c r="I486" s="5">
        <v>3</v>
      </c>
      <c r="J486" s="3">
        <v>5</v>
      </c>
      <c r="K486" s="3">
        <v>11.6</v>
      </c>
    </row>
    <row r="487" spans="1:11" x14ac:dyDescent="0.2">
      <c r="A487" s="3">
        <v>34</v>
      </c>
      <c r="B487" s="3">
        <v>1581</v>
      </c>
      <c r="C487" s="3">
        <v>132</v>
      </c>
      <c r="D487" s="3">
        <v>0.78400000000000003</v>
      </c>
      <c r="E487" s="4">
        <v>3.3000000000000002E-2</v>
      </c>
      <c r="F487" s="3">
        <v>0.221</v>
      </c>
      <c r="G487" s="3">
        <v>0.86299999999999999</v>
      </c>
      <c r="H487" s="3">
        <v>0.96299999999999997</v>
      </c>
      <c r="I487" s="5">
        <v>43</v>
      </c>
      <c r="J487" s="3">
        <v>8</v>
      </c>
      <c r="K487" s="3">
        <v>7.6</v>
      </c>
    </row>
    <row r="488" spans="1:11" x14ac:dyDescent="0.2">
      <c r="A488" s="3">
        <v>69</v>
      </c>
      <c r="B488" s="3">
        <v>3329</v>
      </c>
      <c r="C488" s="3">
        <v>187</v>
      </c>
      <c r="D488" s="3">
        <v>0.78400000000000003</v>
      </c>
      <c r="E488" s="4">
        <v>6.6000000000000003E-2</v>
      </c>
      <c r="F488" s="3">
        <v>0.17100000000000001</v>
      </c>
      <c r="G488" s="3">
        <v>0.74</v>
      </c>
      <c r="H488" s="3">
        <v>0.92500000000000004</v>
      </c>
      <c r="I488" s="5">
        <v>99</v>
      </c>
      <c r="J488" s="3">
        <v>14</v>
      </c>
      <c r="K488" s="3">
        <v>6.9</v>
      </c>
    </row>
    <row r="489" spans="1:11" x14ac:dyDescent="0.2">
      <c r="A489" s="3">
        <v>83</v>
      </c>
      <c r="B489" s="3">
        <v>3971</v>
      </c>
      <c r="C489" s="3">
        <v>48</v>
      </c>
      <c r="D489" s="3">
        <v>0.78400000000000003</v>
      </c>
      <c r="E489" s="4">
        <v>0.186</v>
      </c>
      <c r="F489" s="3">
        <v>0.246</v>
      </c>
      <c r="G489" s="3">
        <v>0.98899999999999999</v>
      </c>
      <c r="H489" s="3">
        <v>0.96499999999999997</v>
      </c>
      <c r="I489" s="5">
        <v>34</v>
      </c>
      <c r="J489" s="3">
        <v>17</v>
      </c>
      <c r="K489" s="3">
        <v>10.8</v>
      </c>
    </row>
    <row r="490" spans="1:11" x14ac:dyDescent="0.2">
      <c r="A490" s="3">
        <v>99</v>
      </c>
      <c r="B490" s="3">
        <v>4682</v>
      </c>
      <c r="C490" s="3">
        <v>84</v>
      </c>
      <c r="D490" s="3">
        <v>0.78500000000000003</v>
      </c>
      <c r="E490" s="4">
        <v>0.13900000000000001</v>
      </c>
      <c r="F490" s="3">
        <v>0.27</v>
      </c>
      <c r="G490" s="3">
        <v>0.75600000000000001</v>
      </c>
      <c r="H490" s="3">
        <v>0.90600000000000003</v>
      </c>
      <c r="I490" s="5">
        <v>23</v>
      </c>
      <c r="J490" s="3">
        <v>13</v>
      </c>
      <c r="K490" s="3">
        <v>2.4</v>
      </c>
    </row>
    <row r="491" spans="1:11" x14ac:dyDescent="0.2">
      <c r="A491" s="3">
        <v>100</v>
      </c>
      <c r="B491" s="3">
        <v>4747</v>
      </c>
      <c r="C491" s="3">
        <v>82</v>
      </c>
      <c r="D491" s="3">
        <v>0.78500000000000003</v>
      </c>
      <c r="E491" s="4">
        <v>7.6999999999999999E-2</v>
      </c>
      <c r="F491" s="3">
        <v>7.2999999999999995E-2</v>
      </c>
      <c r="G491" s="3">
        <v>0.73499999999999999</v>
      </c>
      <c r="H491" s="3">
        <v>0.90700000000000003</v>
      </c>
      <c r="I491" s="5">
        <v>47</v>
      </c>
      <c r="J491" s="3">
        <v>8</v>
      </c>
      <c r="K491" s="3">
        <v>9.6999999999999993</v>
      </c>
    </row>
    <row r="492" spans="1:11" x14ac:dyDescent="0.2">
      <c r="A492" s="3">
        <v>46</v>
      </c>
      <c r="B492" s="3">
        <v>2116</v>
      </c>
      <c r="C492" s="3">
        <v>36</v>
      </c>
      <c r="D492" s="3">
        <v>0.78600000000000003</v>
      </c>
      <c r="E492" s="4">
        <v>0.10100000000000001</v>
      </c>
      <c r="F492" s="3">
        <v>0.14399999999999999</v>
      </c>
      <c r="G492" s="3">
        <v>0.94199999999999995</v>
      </c>
      <c r="H492" s="3">
        <v>0.91800000000000004</v>
      </c>
      <c r="I492" s="5">
        <v>10</v>
      </c>
      <c r="J492" s="3">
        <v>3</v>
      </c>
      <c r="K492" s="3">
        <v>8.8000000000000007</v>
      </c>
    </row>
    <row r="493" spans="1:11" x14ac:dyDescent="0.2">
      <c r="A493" s="3">
        <v>82</v>
      </c>
      <c r="B493" s="3">
        <v>3841</v>
      </c>
      <c r="C493" s="3">
        <v>68</v>
      </c>
      <c r="D493" s="3">
        <v>0.78600000000000003</v>
      </c>
      <c r="E493" s="4">
        <v>4.8000000000000001E-2</v>
      </c>
      <c r="F493" s="3">
        <v>0.17399999999999999</v>
      </c>
      <c r="G493" s="3">
        <v>0.90600000000000003</v>
      </c>
      <c r="H493" s="3">
        <v>0.95599999999999996</v>
      </c>
      <c r="I493" s="5">
        <v>73</v>
      </c>
      <c r="J493" s="3">
        <v>1</v>
      </c>
      <c r="K493" s="3">
        <v>1.6</v>
      </c>
    </row>
    <row r="494" spans="1:11" x14ac:dyDescent="0.2">
      <c r="A494" s="3">
        <v>96</v>
      </c>
      <c r="B494" s="3">
        <v>4667</v>
      </c>
      <c r="C494" s="3">
        <v>37</v>
      </c>
      <c r="D494" s="3">
        <v>0.78600000000000003</v>
      </c>
      <c r="E494" s="4">
        <v>0.158</v>
      </c>
      <c r="F494" s="3">
        <v>0.187</v>
      </c>
      <c r="G494" s="3">
        <v>0.70699999999999996</v>
      </c>
      <c r="H494" s="3">
        <v>0.95799999999999996</v>
      </c>
      <c r="I494" s="5">
        <v>26</v>
      </c>
      <c r="J494" s="3">
        <v>17</v>
      </c>
      <c r="K494" s="3">
        <v>4.4000000000000004</v>
      </c>
    </row>
    <row r="495" spans="1:11" x14ac:dyDescent="0.2">
      <c r="A495" s="3">
        <v>32</v>
      </c>
      <c r="B495" s="3">
        <v>1488</v>
      </c>
      <c r="C495" s="3">
        <v>136</v>
      </c>
      <c r="D495" s="3">
        <v>0.78700000000000003</v>
      </c>
      <c r="E495" s="4">
        <v>8.2000000000000003E-2</v>
      </c>
      <c r="F495" s="3">
        <v>0.28699999999999998</v>
      </c>
      <c r="G495" s="3">
        <v>0.753</v>
      </c>
      <c r="H495" s="3">
        <v>0.92500000000000004</v>
      </c>
      <c r="I495" s="5">
        <v>35</v>
      </c>
      <c r="J495" s="3">
        <v>7</v>
      </c>
      <c r="K495" s="3">
        <v>12.6</v>
      </c>
    </row>
    <row r="496" spans="1:11" x14ac:dyDescent="0.2">
      <c r="A496" s="3">
        <v>46</v>
      </c>
      <c r="B496" s="3">
        <v>2051</v>
      </c>
      <c r="C496" s="3">
        <v>80</v>
      </c>
      <c r="D496" s="3">
        <v>0.78700000000000003</v>
      </c>
      <c r="E496" s="4">
        <v>0.16800000000000001</v>
      </c>
      <c r="F496" s="3">
        <v>0.13500000000000001</v>
      </c>
      <c r="G496" s="3">
        <v>0.9</v>
      </c>
      <c r="H496" s="3">
        <v>0.95799999999999996</v>
      </c>
      <c r="I496" s="5">
        <v>95</v>
      </c>
      <c r="J496" s="3">
        <v>2</v>
      </c>
      <c r="K496" s="3">
        <v>8.9</v>
      </c>
    </row>
    <row r="497" spans="1:11" x14ac:dyDescent="0.2">
      <c r="A497" s="3">
        <v>77</v>
      </c>
      <c r="B497" s="3">
        <v>3640</v>
      </c>
      <c r="C497" s="3">
        <v>23</v>
      </c>
      <c r="D497" s="3">
        <v>0.78800000000000003</v>
      </c>
      <c r="E497" s="4">
        <v>0.161</v>
      </c>
      <c r="F497" s="3">
        <v>0.06</v>
      </c>
      <c r="G497" s="3">
        <v>0.72299999999999998</v>
      </c>
      <c r="H497" s="3">
        <v>0.93799999999999994</v>
      </c>
      <c r="I497" s="5">
        <v>57</v>
      </c>
      <c r="J497" s="3">
        <v>1</v>
      </c>
      <c r="K497" s="3">
        <v>1.8</v>
      </c>
    </row>
    <row r="498" spans="1:11" x14ac:dyDescent="0.2">
      <c r="A498" s="3">
        <v>92</v>
      </c>
      <c r="B498" s="3">
        <v>4363</v>
      </c>
      <c r="C498" s="3">
        <v>107</v>
      </c>
      <c r="D498" s="3">
        <v>0.78800000000000003</v>
      </c>
      <c r="E498" s="4">
        <v>4.2000000000000003E-2</v>
      </c>
      <c r="F498" s="3">
        <v>6.8000000000000005E-2</v>
      </c>
      <c r="G498" s="3">
        <v>0.76200000000000001</v>
      </c>
      <c r="H498" s="3">
        <v>0.93300000000000005</v>
      </c>
      <c r="I498" s="5">
        <v>85</v>
      </c>
      <c r="J498" s="3">
        <v>12</v>
      </c>
      <c r="K498" s="3">
        <v>2.2000000000000002</v>
      </c>
    </row>
    <row r="499" spans="1:11" x14ac:dyDescent="0.2">
      <c r="A499" s="3">
        <v>100</v>
      </c>
      <c r="B499" s="3">
        <v>4752</v>
      </c>
      <c r="C499" s="3">
        <v>196</v>
      </c>
      <c r="D499" s="3">
        <v>0.78800000000000003</v>
      </c>
      <c r="E499" s="4">
        <v>0.2</v>
      </c>
      <c r="F499" s="3">
        <v>0.14000000000000001</v>
      </c>
      <c r="G499" s="3">
        <v>0.90400000000000003</v>
      </c>
      <c r="H499" s="3">
        <v>0.94399999999999995</v>
      </c>
      <c r="I499" s="5">
        <v>53</v>
      </c>
      <c r="J499" s="3">
        <v>4</v>
      </c>
      <c r="K499" s="3">
        <v>9.4</v>
      </c>
    </row>
    <row r="500" spans="1:11" x14ac:dyDescent="0.2">
      <c r="A500" s="3">
        <v>35</v>
      </c>
      <c r="B500" s="3">
        <v>1650</v>
      </c>
      <c r="C500" s="3">
        <v>51</v>
      </c>
      <c r="D500" s="3">
        <v>0.78900000000000003</v>
      </c>
      <c r="E500" s="4">
        <v>8.7999999999999995E-2</v>
      </c>
      <c r="F500" s="3">
        <v>0.28100000000000003</v>
      </c>
      <c r="G500" s="3">
        <v>0.84399999999999997</v>
      </c>
      <c r="H500" s="3">
        <v>0.97</v>
      </c>
      <c r="I500" s="5">
        <v>78</v>
      </c>
      <c r="J500" s="3">
        <v>13</v>
      </c>
      <c r="K500" s="3">
        <v>9.3000000000000007</v>
      </c>
    </row>
    <row r="501" spans="1:11" x14ac:dyDescent="0.2">
      <c r="A501" s="3">
        <v>84</v>
      </c>
      <c r="B501" s="3">
        <v>3960</v>
      </c>
      <c r="C501" s="3">
        <v>28</v>
      </c>
      <c r="D501" s="3">
        <v>0.78900000000000003</v>
      </c>
      <c r="E501" s="4">
        <v>4.1000000000000002E-2</v>
      </c>
      <c r="F501" s="3">
        <v>0.20599999999999999</v>
      </c>
      <c r="G501" s="3">
        <v>0.71499999999999997</v>
      </c>
      <c r="H501" s="3">
        <v>0.998</v>
      </c>
      <c r="I501" s="5">
        <v>53</v>
      </c>
      <c r="J501" s="3">
        <v>6</v>
      </c>
      <c r="K501" s="3">
        <v>10.6</v>
      </c>
    </row>
    <row r="502" spans="1:11" x14ac:dyDescent="0.2">
      <c r="A502" s="3">
        <v>47</v>
      </c>
      <c r="B502" s="3">
        <v>2301</v>
      </c>
      <c r="C502" s="3">
        <v>90</v>
      </c>
      <c r="D502" s="3">
        <v>0.79</v>
      </c>
      <c r="E502" s="4">
        <v>0.191</v>
      </c>
      <c r="F502" s="3">
        <v>6.4000000000000001E-2</v>
      </c>
      <c r="G502" s="3">
        <v>0.79800000000000004</v>
      </c>
      <c r="H502" s="3">
        <v>0.90400000000000003</v>
      </c>
      <c r="I502" s="5">
        <v>29</v>
      </c>
      <c r="J502" s="3">
        <v>8</v>
      </c>
      <c r="K502" s="3">
        <v>8.8000000000000007</v>
      </c>
    </row>
    <row r="503" spans="1:11" x14ac:dyDescent="0.2">
      <c r="A503" s="3">
        <v>49</v>
      </c>
      <c r="B503" s="3">
        <v>2402</v>
      </c>
      <c r="C503" s="3">
        <v>72</v>
      </c>
      <c r="D503" s="3">
        <v>0.79</v>
      </c>
      <c r="E503" s="4">
        <v>0.13900000000000001</v>
      </c>
      <c r="F503" s="3">
        <v>5.7000000000000002E-2</v>
      </c>
      <c r="G503" s="3">
        <v>0.96099999999999997</v>
      </c>
      <c r="H503" s="3">
        <v>0.95099999999999996</v>
      </c>
      <c r="I503" s="5">
        <v>34</v>
      </c>
      <c r="J503" s="3">
        <v>4</v>
      </c>
      <c r="K503" s="3">
        <v>6.2</v>
      </c>
    </row>
    <row r="504" spans="1:11" x14ac:dyDescent="0.2">
      <c r="A504" s="3">
        <v>81</v>
      </c>
      <c r="B504" s="3">
        <v>3838</v>
      </c>
      <c r="C504" s="3">
        <v>135</v>
      </c>
      <c r="D504" s="3">
        <v>0.79</v>
      </c>
      <c r="E504" s="4">
        <v>0.12</v>
      </c>
      <c r="F504" s="3">
        <v>0.14299999999999999</v>
      </c>
      <c r="G504" s="3">
        <v>0.72099999999999997</v>
      </c>
      <c r="H504" s="3">
        <v>0.998</v>
      </c>
      <c r="I504" s="5">
        <v>37</v>
      </c>
      <c r="J504" s="3">
        <v>19</v>
      </c>
      <c r="K504" s="3">
        <v>5.4</v>
      </c>
    </row>
    <row r="505" spans="1:11" x14ac:dyDescent="0.2">
      <c r="A505" s="3">
        <v>98</v>
      </c>
      <c r="B505" s="3">
        <v>4831</v>
      </c>
      <c r="C505" s="3">
        <v>49</v>
      </c>
      <c r="D505" s="3">
        <v>0.79100000000000004</v>
      </c>
      <c r="E505" s="4">
        <v>8.3000000000000004E-2</v>
      </c>
      <c r="F505" s="3">
        <v>0.156</v>
      </c>
      <c r="G505" s="3">
        <v>0.85799999999999998</v>
      </c>
      <c r="H505" s="3">
        <v>0.90500000000000003</v>
      </c>
      <c r="I505" s="5">
        <v>39</v>
      </c>
      <c r="J505" s="3">
        <v>6</v>
      </c>
      <c r="K505" s="3">
        <v>5.8</v>
      </c>
    </row>
    <row r="506" spans="1:11" x14ac:dyDescent="0.2">
      <c r="A506" s="3">
        <v>98</v>
      </c>
      <c r="B506" s="3">
        <v>4843</v>
      </c>
      <c r="C506" s="3">
        <v>25</v>
      </c>
      <c r="D506" s="3">
        <v>0.79100000000000004</v>
      </c>
      <c r="E506" s="4">
        <v>9.0999999999999998E-2</v>
      </c>
      <c r="F506" s="3">
        <v>0.14000000000000001</v>
      </c>
      <c r="G506" s="3">
        <v>0.91700000000000004</v>
      </c>
      <c r="H506" s="3">
        <v>0.91200000000000003</v>
      </c>
      <c r="I506" s="5">
        <v>88</v>
      </c>
      <c r="J506" s="3">
        <v>10</v>
      </c>
      <c r="K506" s="3">
        <v>13.9</v>
      </c>
    </row>
    <row r="507" spans="1:11" x14ac:dyDescent="0.2">
      <c r="A507" s="3">
        <v>40</v>
      </c>
      <c r="B507" s="3">
        <v>1902</v>
      </c>
      <c r="C507" s="3">
        <v>71</v>
      </c>
      <c r="D507" s="3">
        <v>0.79200000000000004</v>
      </c>
      <c r="E507" s="4">
        <v>0.112</v>
      </c>
      <c r="F507" s="3">
        <v>0.26900000000000002</v>
      </c>
      <c r="G507" s="3">
        <v>0.93</v>
      </c>
      <c r="H507" s="3">
        <v>0.96499999999999997</v>
      </c>
      <c r="I507" s="5">
        <v>84</v>
      </c>
      <c r="J507" s="3">
        <v>12</v>
      </c>
      <c r="K507" s="3">
        <v>14.7</v>
      </c>
    </row>
    <row r="508" spans="1:11" x14ac:dyDescent="0.2">
      <c r="A508" s="3">
        <v>52</v>
      </c>
      <c r="B508" s="3">
        <v>2475</v>
      </c>
      <c r="C508" s="3">
        <v>64</v>
      </c>
      <c r="D508" s="3">
        <v>0.79200000000000004</v>
      </c>
      <c r="E508" s="4">
        <v>2.3E-2</v>
      </c>
      <c r="F508" s="3">
        <v>6.8000000000000005E-2</v>
      </c>
      <c r="G508" s="3">
        <v>0.96899999999999997</v>
      </c>
      <c r="H508" s="3">
        <v>0.91200000000000003</v>
      </c>
      <c r="I508" s="5">
        <v>21</v>
      </c>
      <c r="J508" s="3">
        <v>11</v>
      </c>
      <c r="K508" s="3">
        <v>10.7</v>
      </c>
    </row>
    <row r="509" spans="1:11" x14ac:dyDescent="0.2">
      <c r="A509" s="3">
        <v>45</v>
      </c>
      <c r="B509" s="3">
        <v>2127</v>
      </c>
      <c r="C509" s="3">
        <v>179</v>
      </c>
      <c r="D509" s="3">
        <v>0.79400000000000004</v>
      </c>
      <c r="E509" s="4">
        <v>0.151</v>
      </c>
      <c r="F509" s="3">
        <v>0.14199999999999999</v>
      </c>
      <c r="G509" s="3">
        <v>0.90700000000000003</v>
      </c>
      <c r="H509" s="3">
        <v>0.93100000000000005</v>
      </c>
      <c r="I509" s="5">
        <v>85</v>
      </c>
      <c r="J509" s="3">
        <v>5</v>
      </c>
      <c r="K509" s="3">
        <v>7.2</v>
      </c>
    </row>
    <row r="510" spans="1:11" x14ac:dyDescent="0.2">
      <c r="A510" s="3">
        <v>102</v>
      </c>
      <c r="B510" s="3">
        <v>4975</v>
      </c>
      <c r="C510" s="3">
        <v>119</v>
      </c>
      <c r="D510" s="3">
        <v>0.79400000000000004</v>
      </c>
      <c r="E510" s="4">
        <v>6.9000000000000006E-2</v>
      </c>
      <c r="F510" s="3">
        <v>7.0999999999999994E-2</v>
      </c>
      <c r="G510" s="3">
        <v>0.86099999999999999</v>
      </c>
      <c r="H510" s="3">
        <v>0.91500000000000004</v>
      </c>
      <c r="I510" s="5">
        <v>3</v>
      </c>
      <c r="J510" s="3">
        <v>5</v>
      </c>
      <c r="K510" s="3">
        <v>3.4</v>
      </c>
    </row>
    <row r="511" spans="1:11" x14ac:dyDescent="0.2">
      <c r="A511" s="3">
        <v>39</v>
      </c>
      <c r="B511" s="3">
        <v>1843</v>
      </c>
      <c r="C511" s="3">
        <v>146</v>
      </c>
      <c r="D511" s="3">
        <v>0.79500000000000004</v>
      </c>
      <c r="E511" s="4">
        <v>0.19500000000000001</v>
      </c>
      <c r="F511" s="3">
        <v>0.191</v>
      </c>
      <c r="G511" s="3">
        <v>0.80600000000000005</v>
      </c>
      <c r="H511" s="3">
        <v>0.93899999999999995</v>
      </c>
      <c r="I511" s="5">
        <v>36</v>
      </c>
      <c r="J511" s="3">
        <v>1</v>
      </c>
      <c r="K511" s="3">
        <v>10.4</v>
      </c>
    </row>
    <row r="512" spans="1:11" x14ac:dyDescent="0.2">
      <c r="A512" s="3">
        <v>52</v>
      </c>
      <c r="B512" s="3">
        <v>2556</v>
      </c>
      <c r="C512" s="3">
        <v>122</v>
      </c>
      <c r="D512" s="3">
        <v>0.79500000000000004</v>
      </c>
      <c r="E512" s="4">
        <v>0.125</v>
      </c>
      <c r="F512" s="3">
        <v>7.5999999999999998E-2</v>
      </c>
      <c r="G512" s="3">
        <v>0.82799999999999996</v>
      </c>
      <c r="H512" s="3">
        <v>0.96199999999999997</v>
      </c>
      <c r="I512" s="5">
        <v>10</v>
      </c>
      <c r="J512" s="3">
        <v>17</v>
      </c>
      <c r="K512" s="3">
        <v>8.1999999999999993</v>
      </c>
    </row>
    <row r="513" spans="1:11" x14ac:dyDescent="0.2">
      <c r="A513" s="3">
        <v>56</v>
      </c>
      <c r="B513" s="3">
        <v>2673</v>
      </c>
      <c r="C513" s="3">
        <v>133</v>
      </c>
      <c r="D513" s="3">
        <v>0.79500000000000004</v>
      </c>
      <c r="E513" s="4">
        <v>0.17399999999999999</v>
      </c>
      <c r="F513" s="3">
        <v>0.14399999999999999</v>
      </c>
      <c r="G513" s="3">
        <v>0.96599999999999997</v>
      </c>
      <c r="H513" s="3">
        <v>0.93</v>
      </c>
      <c r="I513" s="5">
        <v>6</v>
      </c>
      <c r="J513" s="3">
        <v>14</v>
      </c>
      <c r="K513" s="3">
        <v>13</v>
      </c>
    </row>
    <row r="514" spans="1:11" x14ac:dyDescent="0.2">
      <c r="A514" s="3">
        <v>78</v>
      </c>
      <c r="B514" s="3">
        <v>3823</v>
      </c>
      <c r="C514" s="3">
        <v>110</v>
      </c>
      <c r="D514" s="3">
        <v>0.79500000000000004</v>
      </c>
      <c r="E514" s="4">
        <v>0.155</v>
      </c>
      <c r="F514" s="3">
        <v>0.246</v>
      </c>
      <c r="G514" s="3">
        <v>0.84599999999999997</v>
      </c>
      <c r="H514" s="3">
        <v>0.93300000000000005</v>
      </c>
      <c r="I514" s="5">
        <v>89</v>
      </c>
      <c r="J514" s="3">
        <v>5</v>
      </c>
      <c r="K514" s="3">
        <v>11.5</v>
      </c>
    </row>
    <row r="515" spans="1:11" x14ac:dyDescent="0.2">
      <c r="A515" s="3">
        <v>82</v>
      </c>
      <c r="B515" s="3">
        <v>3867</v>
      </c>
      <c r="C515" s="3">
        <v>121</v>
      </c>
      <c r="D515" s="3">
        <v>0.79600000000000004</v>
      </c>
      <c r="E515" s="4">
        <v>0.186</v>
      </c>
      <c r="F515" s="3">
        <v>0.184</v>
      </c>
      <c r="G515" s="3">
        <v>0.8</v>
      </c>
      <c r="H515" s="3">
        <v>0.98</v>
      </c>
      <c r="I515" s="5">
        <v>13</v>
      </c>
      <c r="J515" s="3">
        <v>7</v>
      </c>
      <c r="K515" s="3">
        <v>11.2</v>
      </c>
    </row>
    <row r="516" spans="1:11" x14ac:dyDescent="0.2">
      <c r="A516" s="3">
        <v>88</v>
      </c>
      <c r="B516" s="3">
        <v>4259</v>
      </c>
      <c r="C516" s="3">
        <v>160</v>
      </c>
      <c r="D516" s="3">
        <v>0.79600000000000004</v>
      </c>
      <c r="E516" s="4">
        <v>4.9000000000000002E-2</v>
      </c>
      <c r="F516" s="3">
        <v>0.10100000000000001</v>
      </c>
      <c r="G516" s="3">
        <v>0.92200000000000004</v>
      </c>
      <c r="H516" s="3">
        <v>0.90500000000000003</v>
      </c>
      <c r="I516" s="5">
        <v>54</v>
      </c>
      <c r="J516" s="3">
        <v>8</v>
      </c>
      <c r="K516" s="3">
        <v>6.8</v>
      </c>
    </row>
    <row r="517" spans="1:11" x14ac:dyDescent="0.2">
      <c r="A517" s="3">
        <v>65</v>
      </c>
      <c r="B517" s="3">
        <v>2994</v>
      </c>
      <c r="C517" s="3">
        <v>182</v>
      </c>
      <c r="D517" s="3">
        <v>0.79700000000000004</v>
      </c>
      <c r="E517" s="4">
        <v>2.5999999999999999E-2</v>
      </c>
      <c r="F517" s="3">
        <v>5.5E-2</v>
      </c>
      <c r="G517" s="3">
        <v>0.96199999999999997</v>
      </c>
      <c r="H517" s="3">
        <v>0.96199999999999997</v>
      </c>
      <c r="I517" s="5">
        <v>10</v>
      </c>
      <c r="J517" s="3">
        <v>8</v>
      </c>
      <c r="K517" s="3">
        <v>6.2</v>
      </c>
    </row>
    <row r="518" spans="1:11" x14ac:dyDescent="0.2">
      <c r="A518" s="3">
        <v>78</v>
      </c>
      <c r="B518" s="3">
        <v>3801</v>
      </c>
      <c r="C518" s="3">
        <v>155</v>
      </c>
      <c r="D518" s="3">
        <v>0.79700000000000004</v>
      </c>
      <c r="E518" s="4">
        <v>5.5E-2</v>
      </c>
      <c r="F518" s="3">
        <v>0.27200000000000002</v>
      </c>
      <c r="G518" s="3">
        <v>0.72599999999999998</v>
      </c>
      <c r="H518" s="3">
        <v>0.94199999999999995</v>
      </c>
      <c r="I518" s="5">
        <v>34</v>
      </c>
      <c r="J518" s="3">
        <v>4</v>
      </c>
      <c r="K518" s="3">
        <v>8.1</v>
      </c>
    </row>
    <row r="519" spans="1:11" x14ac:dyDescent="0.2">
      <c r="A519" s="3">
        <v>31</v>
      </c>
      <c r="B519" s="3">
        <v>1340</v>
      </c>
      <c r="C519" s="3">
        <v>41</v>
      </c>
      <c r="D519" s="3">
        <v>0.79900000000000004</v>
      </c>
      <c r="E519" s="4">
        <v>0.114</v>
      </c>
      <c r="F519" s="3">
        <v>0.26500000000000001</v>
      </c>
      <c r="G519" s="3">
        <v>0.79300000000000004</v>
      </c>
      <c r="H519" s="3">
        <v>0.96599999999999997</v>
      </c>
      <c r="I519" s="5">
        <v>38</v>
      </c>
      <c r="J519" s="3">
        <v>17</v>
      </c>
      <c r="K519" s="3">
        <v>5.7</v>
      </c>
    </row>
    <row r="520" spans="1:11" x14ac:dyDescent="0.2">
      <c r="A520" s="3">
        <v>42</v>
      </c>
      <c r="B520" s="3">
        <v>2003</v>
      </c>
      <c r="C520" s="3">
        <v>155</v>
      </c>
      <c r="D520" s="3">
        <v>0.79900000000000004</v>
      </c>
      <c r="E520" s="4">
        <v>0.107</v>
      </c>
      <c r="F520" s="3">
        <v>9.6000000000000002E-2</v>
      </c>
      <c r="G520" s="3">
        <v>0.86599999999999999</v>
      </c>
      <c r="H520" s="3">
        <v>0.90400000000000003</v>
      </c>
      <c r="I520" s="5">
        <v>83</v>
      </c>
      <c r="J520" s="3">
        <v>13</v>
      </c>
      <c r="K520" s="3">
        <v>4.7</v>
      </c>
    </row>
    <row r="521" spans="1:11" x14ac:dyDescent="0.2">
      <c r="A521" s="3">
        <v>42</v>
      </c>
      <c r="B521" s="3">
        <v>2062</v>
      </c>
      <c r="C521" s="3">
        <v>162</v>
      </c>
      <c r="D521" s="3">
        <v>0.8</v>
      </c>
      <c r="E521" s="4">
        <v>0.10199999999999999</v>
      </c>
      <c r="F521" s="3">
        <v>0.10199999999999999</v>
      </c>
      <c r="G521" s="3">
        <v>0.73499999999999999</v>
      </c>
      <c r="H521" s="3">
        <v>0.95699999999999996</v>
      </c>
      <c r="I521" s="5">
        <v>60</v>
      </c>
      <c r="J521" s="3">
        <v>13</v>
      </c>
      <c r="K521" s="3">
        <v>7.9</v>
      </c>
    </row>
    <row r="522" spans="1:11" x14ac:dyDescent="0.2">
      <c r="A522" s="3">
        <v>77</v>
      </c>
      <c r="B522" s="3">
        <v>3675</v>
      </c>
      <c r="C522" s="3">
        <v>160</v>
      </c>
      <c r="D522" s="3">
        <v>0.8</v>
      </c>
      <c r="E522" s="4">
        <v>0.02</v>
      </c>
      <c r="F522" s="3">
        <v>7.0000000000000007E-2</v>
      </c>
      <c r="G522" s="3">
        <v>0.94199999999999995</v>
      </c>
      <c r="H522" s="3">
        <v>0.93100000000000005</v>
      </c>
      <c r="I522" s="5">
        <v>8</v>
      </c>
      <c r="J522" s="3">
        <v>5</v>
      </c>
      <c r="K522" s="3">
        <v>14</v>
      </c>
    </row>
    <row r="523" spans="1:11" x14ac:dyDescent="0.2">
      <c r="A523" s="3">
        <v>90</v>
      </c>
      <c r="B523" s="3">
        <v>4304</v>
      </c>
      <c r="C523" s="3">
        <v>173</v>
      </c>
      <c r="D523" s="3">
        <v>0.8</v>
      </c>
      <c r="E523" s="4">
        <v>0.19400000000000001</v>
      </c>
      <c r="F523" s="3">
        <v>0.16200000000000001</v>
      </c>
      <c r="G523" s="3">
        <v>0.76700000000000002</v>
      </c>
      <c r="H523" s="3">
        <v>0.91300000000000003</v>
      </c>
      <c r="I523" s="5">
        <v>99</v>
      </c>
      <c r="J523" s="3">
        <v>5</v>
      </c>
      <c r="K523" s="3">
        <v>2.5</v>
      </c>
    </row>
    <row r="524" spans="1:11" x14ac:dyDescent="0.2">
      <c r="A524" s="3">
        <v>41</v>
      </c>
      <c r="B524" s="3">
        <v>1862</v>
      </c>
      <c r="C524" s="3">
        <v>153</v>
      </c>
      <c r="D524" s="3">
        <v>0.80100000000000005</v>
      </c>
      <c r="E524" s="4">
        <v>0.12</v>
      </c>
      <c r="F524" s="3">
        <v>5.7000000000000002E-2</v>
      </c>
      <c r="G524" s="3">
        <v>0.97499999999999998</v>
      </c>
      <c r="H524" s="3">
        <v>0.94899999999999995</v>
      </c>
      <c r="I524" s="5">
        <v>87</v>
      </c>
      <c r="J524" s="3">
        <v>13</v>
      </c>
      <c r="K524" s="3">
        <v>9.8000000000000007</v>
      </c>
    </row>
    <row r="525" spans="1:11" x14ac:dyDescent="0.2">
      <c r="A525" s="3">
        <v>55</v>
      </c>
      <c r="B525" s="3">
        <v>2705</v>
      </c>
      <c r="C525" s="3">
        <v>132</v>
      </c>
      <c r="D525" s="3">
        <v>0.80100000000000005</v>
      </c>
      <c r="E525" s="4">
        <v>0.127</v>
      </c>
      <c r="F525" s="3">
        <v>8.8999999999999996E-2</v>
      </c>
      <c r="G525" s="3">
        <v>0.91200000000000003</v>
      </c>
      <c r="H525" s="3">
        <v>0.995</v>
      </c>
      <c r="I525" s="5">
        <v>5</v>
      </c>
      <c r="J525" s="3">
        <v>13</v>
      </c>
      <c r="K525" s="3">
        <v>10.1</v>
      </c>
    </row>
    <row r="526" spans="1:11" x14ac:dyDescent="0.2">
      <c r="A526" s="3">
        <v>56</v>
      </c>
      <c r="B526" s="3">
        <v>2626</v>
      </c>
      <c r="C526" s="3">
        <v>159</v>
      </c>
      <c r="D526" s="3">
        <v>0.80200000000000005</v>
      </c>
      <c r="E526" s="4">
        <v>0.19400000000000001</v>
      </c>
      <c r="F526" s="3">
        <v>0.27100000000000002</v>
      </c>
      <c r="G526" s="3">
        <v>0.9</v>
      </c>
      <c r="H526" s="3">
        <v>0.99199999999999999</v>
      </c>
      <c r="I526" s="5">
        <v>65</v>
      </c>
      <c r="J526" s="3">
        <v>10</v>
      </c>
      <c r="K526" s="3">
        <v>13.4</v>
      </c>
    </row>
    <row r="527" spans="1:11" x14ac:dyDescent="0.2">
      <c r="A527" s="3">
        <v>81</v>
      </c>
      <c r="B527" s="3">
        <v>3924</v>
      </c>
      <c r="C527" s="3">
        <v>181</v>
      </c>
      <c r="D527" s="3">
        <v>0.80200000000000005</v>
      </c>
      <c r="E527" s="4">
        <v>0.13300000000000001</v>
      </c>
      <c r="F527" s="3">
        <v>0.251</v>
      </c>
      <c r="G527" s="3">
        <v>0.71799999999999997</v>
      </c>
      <c r="H527" s="3">
        <v>0.96699999999999997</v>
      </c>
      <c r="I527" s="5">
        <v>78</v>
      </c>
      <c r="J527" s="3">
        <v>9</v>
      </c>
      <c r="K527" s="3">
        <v>1.6</v>
      </c>
    </row>
    <row r="528" spans="1:11" x14ac:dyDescent="0.2">
      <c r="A528" s="3">
        <v>24</v>
      </c>
      <c r="B528" s="3">
        <v>1104</v>
      </c>
      <c r="C528" s="3">
        <v>128</v>
      </c>
      <c r="D528" s="3">
        <v>0.80300000000000005</v>
      </c>
      <c r="E528" s="4">
        <v>5.6000000000000001E-2</v>
      </c>
      <c r="F528" s="3">
        <v>0.222</v>
      </c>
      <c r="G528" s="3">
        <v>0.80700000000000005</v>
      </c>
      <c r="H528" s="3">
        <v>0.98899999999999999</v>
      </c>
      <c r="I528" s="5">
        <v>97</v>
      </c>
      <c r="J528" s="3">
        <v>8</v>
      </c>
      <c r="K528" s="3">
        <v>6.8</v>
      </c>
    </row>
    <row r="529" spans="1:11" x14ac:dyDescent="0.2">
      <c r="A529" s="3">
        <v>61</v>
      </c>
      <c r="B529" s="3">
        <v>2913</v>
      </c>
      <c r="C529" s="3">
        <v>22</v>
      </c>
      <c r="D529" s="3">
        <v>0.80300000000000005</v>
      </c>
      <c r="E529" s="4">
        <v>0.16400000000000001</v>
      </c>
      <c r="F529" s="3">
        <v>0.26100000000000001</v>
      </c>
      <c r="G529" s="3">
        <v>0.78300000000000003</v>
      </c>
      <c r="H529" s="3">
        <v>0.995</v>
      </c>
      <c r="I529" s="5">
        <v>41</v>
      </c>
      <c r="J529" s="3">
        <v>14</v>
      </c>
      <c r="K529" s="3">
        <v>7.8</v>
      </c>
    </row>
    <row r="530" spans="1:11" x14ac:dyDescent="0.2">
      <c r="A530" s="3">
        <v>33</v>
      </c>
      <c r="B530" s="3">
        <v>1519</v>
      </c>
      <c r="C530" s="3">
        <v>37</v>
      </c>
      <c r="D530" s="3">
        <v>0.80400000000000005</v>
      </c>
      <c r="E530" s="4">
        <v>0.14199999999999999</v>
      </c>
      <c r="F530" s="3">
        <v>0.16700000000000001</v>
      </c>
      <c r="G530" s="3">
        <v>0.94599999999999995</v>
      </c>
      <c r="H530" s="3">
        <v>0.94499999999999995</v>
      </c>
      <c r="I530" s="5">
        <v>60</v>
      </c>
      <c r="J530" s="3">
        <v>8</v>
      </c>
      <c r="K530" s="3">
        <v>9.3000000000000007</v>
      </c>
    </row>
    <row r="531" spans="1:11" x14ac:dyDescent="0.2">
      <c r="A531" s="3">
        <v>42</v>
      </c>
      <c r="B531" s="3">
        <v>1998</v>
      </c>
      <c r="C531" s="3">
        <v>98</v>
      </c>
      <c r="D531" s="3">
        <v>0.80500000000000005</v>
      </c>
      <c r="E531" s="4">
        <v>7.8E-2</v>
      </c>
      <c r="F531" s="3">
        <v>8.8999999999999996E-2</v>
      </c>
      <c r="G531" s="3">
        <v>0.76300000000000001</v>
      </c>
      <c r="H531" s="3">
        <v>0.98699999999999999</v>
      </c>
      <c r="I531" s="5">
        <v>90</v>
      </c>
      <c r="J531" s="3">
        <v>7</v>
      </c>
      <c r="K531" s="3">
        <v>10.1</v>
      </c>
    </row>
    <row r="532" spans="1:11" x14ac:dyDescent="0.2">
      <c r="A532" s="3">
        <v>59</v>
      </c>
      <c r="B532" s="3">
        <v>2815</v>
      </c>
      <c r="C532" s="3">
        <v>95</v>
      </c>
      <c r="D532" s="3">
        <v>0.80500000000000005</v>
      </c>
      <c r="E532" s="4">
        <v>0.186</v>
      </c>
      <c r="F532" s="3">
        <v>7.8E-2</v>
      </c>
      <c r="G532" s="3">
        <v>0.73599999999999999</v>
      </c>
      <c r="H532" s="3">
        <v>0.96199999999999997</v>
      </c>
      <c r="I532" s="5">
        <v>50</v>
      </c>
      <c r="J532" s="3">
        <v>8</v>
      </c>
      <c r="K532" s="3">
        <v>7.1</v>
      </c>
    </row>
    <row r="533" spans="1:11" x14ac:dyDescent="0.2">
      <c r="A533" s="3">
        <v>40</v>
      </c>
      <c r="B533" s="3">
        <v>1818</v>
      </c>
      <c r="C533" s="3">
        <v>105</v>
      </c>
      <c r="D533" s="3">
        <v>0.80700000000000005</v>
      </c>
      <c r="E533" s="4">
        <v>0.16500000000000001</v>
      </c>
      <c r="F533" s="3">
        <v>0.17100000000000001</v>
      </c>
      <c r="G533" s="3">
        <v>0.8</v>
      </c>
      <c r="H533" s="3">
        <v>0.99</v>
      </c>
      <c r="I533" s="5">
        <v>86</v>
      </c>
      <c r="J533" s="3">
        <v>7</v>
      </c>
      <c r="K533" s="3">
        <v>4.7</v>
      </c>
    </row>
    <row r="534" spans="1:11" x14ac:dyDescent="0.2">
      <c r="A534" s="3">
        <v>63</v>
      </c>
      <c r="B534" s="3">
        <v>3102</v>
      </c>
      <c r="C534" s="3">
        <v>84</v>
      </c>
      <c r="D534" s="3">
        <v>0.80700000000000005</v>
      </c>
      <c r="E534" s="4">
        <v>1.7000000000000001E-2</v>
      </c>
      <c r="F534" s="3">
        <v>0.25900000000000001</v>
      </c>
      <c r="G534" s="3">
        <v>0.91700000000000004</v>
      </c>
      <c r="H534" s="3">
        <v>0.93</v>
      </c>
      <c r="I534" s="5">
        <v>22</v>
      </c>
      <c r="J534" s="3">
        <v>19</v>
      </c>
      <c r="K534" s="3">
        <v>3.4</v>
      </c>
    </row>
    <row r="535" spans="1:11" x14ac:dyDescent="0.2">
      <c r="A535" s="3">
        <v>87</v>
      </c>
      <c r="B535" s="3">
        <v>4198</v>
      </c>
      <c r="C535" s="3">
        <v>147</v>
      </c>
      <c r="D535" s="3">
        <v>0.80700000000000005</v>
      </c>
      <c r="E535" s="4">
        <v>0.192</v>
      </c>
      <c r="F535" s="3">
        <v>0.154</v>
      </c>
      <c r="G535" s="3">
        <v>0.96499999999999997</v>
      </c>
      <c r="H535" s="3">
        <v>0.95599999999999996</v>
      </c>
      <c r="I535" s="5">
        <v>69</v>
      </c>
      <c r="J535" s="3">
        <v>14</v>
      </c>
      <c r="K535" s="3">
        <v>7</v>
      </c>
    </row>
    <row r="536" spans="1:11" x14ac:dyDescent="0.2">
      <c r="A536" s="3">
        <v>95</v>
      </c>
      <c r="B536" s="3">
        <v>4522</v>
      </c>
      <c r="C536" s="3">
        <v>70</v>
      </c>
      <c r="D536" s="3">
        <v>0.80700000000000005</v>
      </c>
      <c r="E536" s="4">
        <v>2.1000000000000001E-2</v>
      </c>
      <c r="F536" s="3">
        <v>0.19700000000000001</v>
      </c>
      <c r="G536" s="3">
        <v>0.96099999999999997</v>
      </c>
      <c r="H536" s="3">
        <v>0.95</v>
      </c>
      <c r="I536" s="5">
        <v>14</v>
      </c>
      <c r="J536" s="3">
        <v>16</v>
      </c>
      <c r="K536" s="3">
        <v>6.8</v>
      </c>
    </row>
    <row r="537" spans="1:11" x14ac:dyDescent="0.2">
      <c r="A537" s="3">
        <v>100</v>
      </c>
      <c r="B537" s="3">
        <v>4822</v>
      </c>
      <c r="C537" s="3">
        <v>78</v>
      </c>
      <c r="D537" s="3">
        <v>0.80700000000000005</v>
      </c>
      <c r="E537" s="4">
        <v>0.153</v>
      </c>
      <c r="F537" s="3">
        <v>0.28499999999999998</v>
      </c>
      <c r="G537" s="3">
        <v>0.748</v>
      </c>
      <c r="H537" s="3">
        <v>0.93899999999999995</v>
      </c>
      <c r="I537" s="5">
        <v>71</v>
      </c>
      <c r="J537" s="3">
        <v>13</v>
      </c>
      <c r="K537" s="3">
        <v>1.4</v>
      </c>
    </row>
    <row r="538" spans="1:11" x14ac:dyDescent="0.2">
      <c r="A538" s="3">
        <v>35</v>
      </c>
      <c r="B538" s="3">
        <v>1682</v>
      </c>
      <c r="C538" s="3">
        <v>167</v>
      </c>
      <c r="D538" s="3">
        <v>0.80800000000000005</v>
      </c>
      <c r="E538" s="4">
        <v>4.1000000000000002E-2</v>
      </c>
      <c r="F538" s="3">
        <v>8.4000000000000005E-2</v>
      </c>
      <c r="G538" s="3">
        <v>0.97899999999999998</v>
      </c>
      <c r="H538" s="3">
        <v>0.99299999999999999</v>
      </c>
      <c r="I538" s="5">
        <v>88</v>
      </c>
      <c r="J538" s="3">
        <v>5</v>
      </c>
      <c r="K538" s="3">
        <v>7.7</v>
      </c>
    </row>
    <row r="539" spans="1:11" x14ac:dyDescent="0.2">
      <c r="A539" s="3">
        <v>44</v>
      </c>
      <c r="B539" s="3">
        <v>2050</v>
      </c>
      <c r="C539" s="3">
        <v>91</v>
      </c>
      <c r="D539" s="3">
        <v>0.81100000000000005</v>
      </c>
      <c r="E539" s="4">
        <v>2.7E-2</v>
      </c>
      <c r="F539" s="3">
        <v>0.28799999999999998</v>
      </c>
      <c r="G539" s="3">
        <v>0.79300000000000004</v>
      </c>
      <c r="H539" s="3">
        <v>0.92600000000000005</v>
      </c>
      <c r="I539" s="5">
        <v>29</v>
      </c>
      <c r="J539" s="3">
        <v>19</v>
      </c>
      <c r="K539" s="3">
        <v>13.7</v>
      </c>
    </row>
    <row r="540" spans="1:11" x14ac:dyDescent="0.2">
      <c r="A540" s="3">
        <v>64</v>
      </c>
      <c r="B540" s="3">
        <v>2995</v>
      </c>
      <c r="C540" s="3">
        <v>86</v>
      </c>
      <c r="D540" s="3">
        <v>0.81100000000000005</v>
      </c>
      <c r="E540" s="4">
        <v>4.4999999999999998E-2</v>
      </c>
      <c r="F540" s="3">
        <v>0.23599999999999999</v>
      </c>
      <c r="G540" s="3">
        <v>0.85</v>
      </c>
      <c r="H540" s="3">
        <v>0.97</v>
      </c>
      <c r="I540" s="5">
        <v>68</v>
      </c>
      <c r="J540" s="3">
        <v>2</v>
      </c>
      <c r="K540" s="3">
        <v>10.3</v>
      </c>
    </row>
    <row r="541" spans="1:11" x14ac:dyDescent="0.2">
      <c r="A541" s="3">
        <v>73</v>
      </c>
      <c r="B541" s="3">
        <v>3500</v>
      </c>
      <c r="C541" s="3">
        <v>185</v>
      </c>
      <c r="D541" s="3">
        <v>0.81100000000000005</v>
      </c>
      <c r="E541" s="4">
        <v>6.4000000000000001E-2</v>
      </c>
      <c r="F541" s="3">
        <v>8.5999999999999993E-2</v>
      </c>
      <c r="G541" s="3">
        <v>0.90900000000000003</v>
      </c>
      <c r="H541" s="3">
        <v>0.996</v>
      </c>
      <c r="I541" s="5">
        <v>21</v>
      </c>
      <c r="J541" s="3">
        <v>16</v>
      </c>
      <c r="K541" s="3">
        <v>11.9</v>
      </c>
    </row>
    <row r="542" spans="1:11" x14ac:dyDescent="0.2">
      <c r="A542" s="3">
        <v>78</v>
      </c>
      <c r="B542" s="3">
        <v>3657</v>
      </c>
      <c r="C542" s="3">
        <v>166</v>
      </c>
      <c r="D542" s="3">
        <v>0.81100000000000005</v>
      </c>
      <c r="E542" s="4">
        <v>9.2999999999999999E-2</v>
      </c>
      <c r="F542" s="3">
        <v>0.13400000000000001</v>
      </c>
      <c r="G542" s="3">
        <v>0.81799999999999995</v>
      </c>
      <c r="H542" s="3">
        <v>0.90600000000000003</v>
      </c>
      <c r="I542" s="5">
        <v>29</v>
      </c>
      <c r="J542" s="3">
        <v>4</v>
      </c>
      <c r="K542" s="3">
        <v>9</v>
      </c>
    </row>
    <row r="543" spans="1:11" x14ac:dyDescent="0.2">
      <c r="A543" s="3">
        <v>92</v>
      </c>
      <c r="B543" s="3">
        <v>4326</v>
      </c>
      <c r="C543" s="3">
        <v>98</v>
      </c>
      <c r="D543" s="3">
        <v>0.81100000000000005</v>
      </c>
      <c r="E543" s="4">
        <v>0.11799999999999999</v>
      </c>
      <c r="F543" s="3">
        <v>0.153</v>
      </c>
      <c r="G543" s="3">
        <v>0.70699999999999996</v>
      </c>
      <c r="H543" s="3">
        <v>0.90900000000000003</v>
      </c>
      <c r="I543" s="5">
        <v>17</v>
      </c>
      <c r="J543" s="3">
        <v>6</v>
      </c>
      <c r="K543" s="3">
        <v>13.5</v>
      </c>
    </row>
    <row r="544" spans="1:11" x14ac:dyDescent="0.2">
      <c r="A544" s="3">
        <v>90</v>
      </c>
      <c r="B544" s="3">
        <v>4425</v>
      </c>
      <c r="C544" s="3">
        <v>180</v>
      </c>
      <c r="D544" s="3">
        <v>0.81100000000000005</v>
      </c>
      <c r="E544" s="4">
        <v>0.111</v>
      </c>
      <c r="F544" s="3">
        <v>0.28000000000000003</v>
      </c>
      <c r="G544" s="3">
        <v>0.749</v>
      </c>
      <c r="H544" s="3">
        <v>0.92</v>
      </c>
      <c r="I544" s="5">
        <v>96</v>
      </c>
      <c r="J544" s="3">
        <v>15</v>
      </c>
      <c r="K544" s="3">
        <v>5.9</v>
      </c>
    </row>
    <row r="545" spans="1:11" x14ac:dyDescent="0.2">
      <c r="A545" s="3">
        <v>47</v>
      </c>
      <c r="B545" s="3">
        <v>2147</v>
      </c>
      <c r="C545" s="3">
        <v>30</v>
      </c>
      <c r="D545" s="3">
        <v>0.81200000000000006</v>
      </c>
      <c r="E545" s="4">
        <v>7.1999999999999995E-2</v>
      </c>
      <c r="F545" s="3">
        <v>0.15</v>
      </c>
      <c r="G545" s="3">
        <v>0.77700000000000002</v>
      </c>
      <c r="H545" s="3">
        <v>0.90200000000000002</v>
      </c>
      <c r="I545" s="5">
        <v>28</v>
      </c>
      <c r="J545" s="3">
        <v>11</v>
      </c>
      <c r="K545" s="3">
        <v>7.2</v>
      </c>
    </row>
    <row r="546" spans="1:11" x14ac:dyDescent="0.2">
      <c r="A546" s="3">
        <v>72</v>
      </c>
      <c r="B546" s="3">
        <v>3341</v>
      </c>
      <c r="C546" s="3">
        <v>142</v>
      </c>
      <c r="D546" s="3">
        <v>0.81200000000000006</v>
      </c>
      <c r="E546" s="4">
        <v>0.18099999999999999</v>
      </c>
      <c r="F546" s="3">
        <v>0.1</v>
      </c>
      <c r="G546" s="3">
        <v>0.874</v>
      </c>
      <c r="H546" s="3">
        <v>0.96299999999999997</v>
      </c>
      <c r="I546" s="5">
        <v>51</v>
      </c>
      <c r="J546" s="3">
        <v>17</v>
      </c>
      <c r="K546" s="3">
        <v>2.2000000000000002</v>
      </c>
    </row>
    <row r="547" spans="1:11" x14ac:dyDescent="0.2">
      <c r="A547" s="3">
        <v>58</v>
      </c>
      <c r="B547" s="3">
        <v>2863</v>
      </c>
      <c r="C547" s="3">
        <v>80</v>
      </c>
      <c r="D547" s="3">
        <v>0.81299999999999994</v>
      </c>
      <c r="E547" s="4">
        <v>1.0999999999999999E-2</v>
      </c>
      <c r="F547" s="3">
        <v>0.20799999999999999</v>
      </c>
      <c r="G547" s="3">
        <v>0.73299999999999998</v>
      </c>
      <c r="H547" s="3">
        <v>0.95</v>
      </c>
      <c r="I547" s="5">
        <v>86</v>
      </c>
      <c r="J547" s="3">
        <v>0</v>
      </c>
      <c r="K547" s="3">
        <v>9.6999999999999993</v>
      </c>
    </row>
    <row r="548" spans="1:11" x14ac:dyDescent="0.2">
      <c r="A548" s="3">
        <v>99</v>
      </c>
      <c r="B548" s="3">
        <v>4746</v>
      </c>
      <c r="C548" s="3">
        <v>35</v>
      </c>
      <c r="D548" s="3">
        <v>0.81299999999999994</v>
      </c>
      <c r="E548" s="4">
        <v>2.7E-2</v>
      </c>
      <c r="F548" s="3">
        <v>0.28499999999999998</v>
      </c>
      <c r="G548" s="3">
        <v>0.83299999999999996</v>
      </c>
      <c r="H548" s="3">
        <v>0.95799999999999996</v>
      </c>
      <c r="I548" s="5">
        <v>60</v>
      </c>
      <c r="J548" s="3">
        <v>14</v>
      </c>
      <c r="K548" s="3">
        <v>8.6</v>
      </c>
    </row>
    <row r="549" spans="1:11" x14ac:dyDescent="0.2">
      <c r="A549" s="3">
        <v>103</v>
      </c>
      <c r="B549" s="3">
        <v>4949</v>
      </c>
      <c r="C549" s="3">
        <v>198</v>
      </c>
      <c r="D549" s="3">
        <v>0.81299999999999994</v>
      </c>
      <c r="E549" s="4">
        <v>7.6999999999999999E-2</v>
      </c>
      <c r="F549" s="3">
        <v>0.23300000000000001</v>
      </c>
      <c r="G549" s="3">
        <v>0.83799999999999997</v>
      </c>
      <c r="H549" s="3">
        <v>0.91200000000000003</v>
      </c>
      <c r="I549" s="5">
        <v>80</v>
      </c>
      <c r="J549" s="3">
        <v>10</v>
      </c>
      <c r="K549" s="3">
        <v>10.9</v>
      </c>
    </row>
    <row r="550" spans="1:11" x14ac:dyDescent="0.2">
      <c r="A550" s="3">
        <v>60</v>
      </c>
      <c r="B550" s="3">
        <v>2960</v>
      </c>
      <c r="C550" s="3">
        <v>92</v>
      </c>
      <c r="D550" s="3">
        <v>0.81399999999999995</v>
      </c>
      <c r="E550" s="4">
        <v>4.9000000000000002E-2</v>
      </c>
      <c r="F550" s="3">
        <v>8.6999999999999994E-2</v>
      </c>
      <c r="G550" s="3">
        <v>0.94</v>
      </c>
      <c r="H550" s="3">
        <v>0.97499999999999998</v>
      </c>
      <c r="I550" s="5">
        <v>18</v>
      </c>
      <c r="J550" s="3">
        <v>14</v>
      </c>
      <c r="K550" s="3">
        <v>5.6</v>
      </c>
    </row>
    <row r="551" spans="1:11" x14ac:dyDescent="0.2">
      <c r="A551" s="3">
        <v>69</v>
      </c>
      <c r="B551" s="3">
        <v>3222</v>
      </c>
      <c r="C551" s="3">
        <v>92</v>
      </c>
      <c r="D551" s="3">
        <v>0.81399999999999995</v>
      </c>
      <c r="E551" s="4">
        <v>7.1999999999999995E-2</v>
      </c>
      <c r="F551" s="3">
        <v>0.112</v>
      </c>
      <c r="G551" s="3">
        <v>0.88200000000000001</v>
      </c>
      <c r="H551" s="3">
        <v>0.94199999999999995</v>
      </c>
      <c r="I551" s="5">
        <v>50</v>
      </c>
      <c r="J551" s="3">
        <v>18</v>
      </c>
      <c r="K551" s="3">
        <v>11.5</v>
      </c>
    </row>
    <row r="552" spans="1:11" x14ac:dyDescent="0.2">
      <c r="A552" s="3">
        <v>93</v>
      </c>
      <c r="B552" s="3">
        <v>4604</v>
      </c>
      <c r="C552" s="3">
        <v>71</v>
      </c>
      <c r="D552" s="3">
        <v>0.81399999999999995</v>
      </c>
      <c r="E552" s="4">
        <v>0.11799999999999999</v>
      </c>
      <c r="F552" s="3">
        <v>0.13</v>
      </c>
      <c r="G552" s="3">
        <v>0.97799999999999998</v>
      </c>
      <c r="H552" s="3">
        <v>0.93799999999999994</v>
      </c>
      <c r="I552" s="5">
        <v>95</v>
      </c>
      <c r="J552" s="3">
        <v>6</v>
      </c>
      <c r="K552" s="3">
        <v>5.2</v>
      </c>
    </row>
    <row r="553" spans="1:11" x14ac:dyDescent="0.2">
      <c r="A553" s="3">
        <v>101</v>
      </c>
      <c r="B553" s="3">
        <v>4786</v>
      </c>
      <c r="C553" s="3">
        <v>188</v>
      </c>
      <c r="D553" s="3">
        <v>0.81399999999999995</v>
      </c>
      <c r="E553" s="4">
        <v>0.191</v>
      </c>
      <c r="F553" s="3">
        <v>0.13700000000000001</v>
      </c>
      <c r="G553" s="3">
        <v>0.77500000000000002</v>
      </c>
      <c r="H553" s="3">
        <v>0.93300000000000005</v>
      </c>
      <c r="I553" s="5">
        <v>42</v>
      </c>
      <c r="J553" s="3">
        <v>14</v>
      </c>
      <c r="K553" s="3">
        <v>6.8</v>
      </c>
    </row>
    <row r="554" spans="1:11" x14ac:dyDescent="0.2">
      <c r="A554" s="3">
        <v>32</v>
      </c>
      <c r="B554" s="3">
        <v>1358</v>
      </c>
      <c r="C554" s="3">
        <v>125</v>
      </c>
      <c r="D554" s="3">
        <v>0.81499999999999995</v>
      </c>
      <c r="E554" s="4">
        <v>0.16800000000000001</v>
      </c>
      <c r="F554" s="3">
        <v>0.20499999999999999</v>
      </c>
      <c r="G554" s="3">
        <v>0.95899999999999996</v>
      </c>
      <c r="H554" s="3">
        <v>0.93500000000000005</v>
      </c>
      <c r="I554" s="5">
        <v>11</v>
      </c>
      <c r="J554" s="3">
        <v>14</v>
      </c>
      <c r="K554" s="3">
        <v>4.7</v>
      </c>
    </row>
    <row r="555" spans="1:11" x14ac:dyDescent="0.2">
      <c r="A555" s="3">
        <v>33</v>
      </c>
      <c r="B555" s="3">
        <v>1474</v>
      </c>
      <c r="C555" s="3">
        <v>173</v>
      </c>
      <c r="D555" s="3">
        <v>0.81499999999999995</v>
      </c>
      <c r="E555" s="4">
        <v>0.03</v>
      </c>
      <c r="F555" s="3">
        <v>0.17699999999999999</v>
      </c>
      <c r="G555" s="3">
        <v>0.877</v>
      </c>
      <c r="H555" s="3">
        <v>0.93200000000000005</v>
      </c>
      <c r="I555" s="5">
        <v>13</v>
      </c>
      <c r="J555" s="3">
        <v>10</v>
      </c>
      <c r="K555" s="3">
        <v>5.4</v>
      </c>
    </row>
    <row r="556" spans="1:11" x14ac:dyDescent="0.2">
      <c r="A556" s="3">
        <v>66</v>
      </c>
      <c r="B556" s="3">
        <v>3062</v>
      </c>
      <c r="C556" s="3">
        <v>88</v>
      </c>
      <c r="D556" s="3">
        <v>0.81499999999999995</v>
      </c>
      <c r="E556" s="4">
        <v>9.7000000000000003E-2</v>
      </c>
      <c r="F556" s="3">
        <v>0.10199999999999999</v>
      </c>
      <c r="G556" s="3">
        <v>0.76</v>
      </c>
      <c r="H556" s="3">
        <v>0.95799999999999996</v>
      </c>
      <c r="I556" s="5">
        <v>12</v>
      </c>
      <c r="J556" s="3">
        <v>17</v>
      </c>
      <c r="K556" s="3">
        <v>6.1</v>
      </c>
    </row>
    <row r="557" spans="1:11" x14ac:dyDescent="0.2">
      <c r="A557" s="3">
        <v>94</v>
      </c>
      <c r="B557" s="3">
        <v>4426</v>
      </c>
      <c r="C557" s="3">
        <v>94</v>
      </c>
      <c r="D557" s="3">
        <v>0.81499999999999995</v>
      </c>
      <c r="E557" s="4">
        <v>0.188</v>
      </c>
      <c r="F557" s="3">
        <v>5.1999999999999998E-2</v>
      </c>
      <c r="G557" s="3">
        <v>0.78</v>
      </c>
      <c r="H557" s="3">
        <v>0.92300000000000004</v>
      </c>
      <c r="I557" s="5">
        <v>86</v>
      </c>
      <c r="J557" s="3">
        <v>3</v>
      </c>
      <c r="K557" s="3">
        <v>15</v>
      </c>
    </row>
    <row r="558" spans="1:11" x14ac:dyDescent="0.2">
      <c r="A558" s="3">
        <v>50</v>
      </c>
      <c r="B558" s="3">
        <v>2413</v>
      </c>
      <c r="C558" s="3">
        <v>70</v>
      </c>
      <c r="D558" s="3">
        <v>0.81599999999999995</v>
      </c>
      <c r="E558" s="4">
        <v>5.8999999999999997E-2</v>
      </c>
      <c r="F558" s="3">
        <v>0.29499999999999998</v>
      </c>
      <c r="G558" s="3">
        <v>0.83699999999999997</v>
      </c>
      <c r="H558" s="3">
        <v>0.90300000000000002</v>
      </c>
      <c r="I558" s="5">
        <v>48</v>
      </c>
      <c r="J558" s="3">
        <v>9</v>
      </c>
      <c r="K558" s="3">
        <v>2.8</v>
      </c>
    </row>
    <row r="559" spans="1:11" x14ac:dyDescent="0.2">
      <c r="A559" s="3">
        <v>58</v>
      </c>
      <c r="B559" s="3">
        <v>2676</v>
      </c>
      <c r="C559" s="3">
        <v>121</v>
      </c>
      <c r="D559" s="3">
        <v>0.81599999999999995</v>
      </c>
      <c r="E559" s="4">
        <v>0.11</v>
      </c>
      <c r="F559" s="3">
        <v>0.28499999999999998</v>
      </c>
      <c r="G559" s="3">
        <v>0.873</v>
      </c>
      <c r="H559" s="3">
        <v>0.93799999999999994</v>
      </c>
      <c r="I559" s="5">
        <v>8</v>
      </c>
      <c r="J559" s="3">
        <v>15</v>
      </c>
      <c r="K559" s="3">
        <v>8.8000000000000007</v>
      </c>
    </row>
    <row r="560" spans="1:11" x14ac:dyDescent="0.2">
      <c r="A560" s="3">
        <v>95</v>
      </c>
      <c r="B560" s="3">
        <v>4501</v>
      </c>
      <c r="C560" s="3">
        <v>158</v>
      </c>
      <c r="D560" s="3">
        <v>0.81599999999999995</v>
      </c>
      <c r="E560" s="4">
        <v>5.3999999999999999E-2</v>
      </c>
      <c r="F560" s="3">
        <v>0.221</v>
      </c>
      <c r="G560" s="3">
        <v>0.77300000000000002</v>
      </c>
      <c r="H560" s="3">
        <v>0.90100000000000002</v>
      </c>
      <c r="I560" s="5">
        <v>59</v>
      </c>
      <c r="J560" s="3">
        <v>17</v>
      </c>
      <c r="K560" s="3">
        <v>8.8000000000000007</v>
      </c>
    </row>
    <row r="561" spans="1:11" x14ac:dyDescent="0.2">
      <c r="A561" s="3">
        <v>100</v>
      </c>
      <c r="B561" s="3">
        <v>4954</v>
      </c>
      <c r="C561" s="3">
        <v>80</v>
      </c>
      <c r="D561" s="3">
        <v>0.81599999999999995</v>
      </c>
      <c r="E561" s="4">
        <v>9.5000000000000001E-2</v>
      </c>
      <c r="F561" s="3">
        <v>0.20599999999999999</v>
      </c>
      <c r="G561" s="3">
        <v>0.82699999999999996</v>
      </c>
      <c r="H561" s="3">
        <v>0.99199999999999999</v>
      </c>
      <c r="I561" s="5">
        <v>93</v>
      </c>
      <c r="J561" s="3">
        <v>3</v>
      </c>
      <c r="K561" s="3">
        <v>9.1</v>
      </c>
    </row>
    <row r="562" spans="1:11" x14ac:dyDescent="0.2">
      <c r="A562" s="3">
        <v>28</v>
      </c>
      <c r="B562" s="3">
        <v>1170</v>
      </c>
      <c r="C562" s="3">
        <v>155</v>
      </c>
      <c r="D562" s="3">
        <v>0.81699999999999995</v>
      </c>
      <c r="E562" s="4">
        <v>0.187</v>
      </c>
      <c r="F562" s="3">
        <v>0.25</v>
      </c>
      <c r="G562" s="3">
        <v>0.73699999999999999</v>
      </c>
      <c r="H562" s="3">
        <v>0.92900000000000005</v>
      </c>
      <c r="I562" s="5">
        <v>51</v>
      </c>
      <c r="J562" s="3">
        <v>19</v>
      </c>
      <c r="K562" s="3">
        <v>5.5</v>
      </c>
    </row>
    <row r="563" spans="1:11" x14ac:dyDescent="0.2">
      <c r="A563" s="3">
        <v>31</v>
      </c>
      <c r="B563" s="3">
        <v>1289</v>
      </c>
      <c r="C563" s="3">
        <v>105</v>
      </c>
      <c r="D563" s="3">
        <v>0.81699999999999995</v>
      </c>
      <c r="E563" s="4">
        <v>4.1000000000000002E-2</v>
      </c>
      <c r="F563" s="3">
        <v>6.9000000000000006E-2</v>
      </c>
      <c r="G563" s="3">
        <v>0.94399999999999995</v>
      </c>
      <c r="H563" s="3">
        <v>0.95399999999999996</v>
      </c>
      <c r="I563" s="5">
        <v>97</v>
      </c>
      <c r="J563" s="3">
        <v>14</v>
      </c>
      <c r="K563" s="3">
        <v>10.7</v>
      </c>
    </row>
    <row r="564" spans="1:11" x14ac:dyDescent="0.2">
      <c r="A564" s="3">
        <v>56</v>
      </c>
      <c r="B564" s="3">
        <v>2552</v>
      </c>
      <c r="C564" s="3">
        <v>139</v>
      </c>
      <c r="D564" s="3">
        <v>0.81699999999999995</v>
      </c>
      <c r="E564" s="4">
        <v>0.09</v>
      </c>
      <c r="F564" s="3">
        <v>0.27800000000000002</v>
      </c>
      <c r="G564" s="3">
        <v>0.82799999999999996</v>
      </c>
      <c r="H564" s="3">
        <v>0.94499999999999995</v>
      </c>
      <c r="I564" s="5">
        <v>17</v>
      </c>
      <c r="J564" s="3">
        <v>9</v>
      </c>
      <c r="K564" s="3">
        <v>9.6</v>
      </c>
    </row>
    <row r="565" spans="1:11" x14ac:dyDescent="0.2">
      <c r="A565" s="3">
        <v>89</v>
      </c>
      <c r="B565" s="3">
        <v>4374</v>
      </c>
      <c r="C565" s="3">
        <v>37</v>
      </c>
      <c r="D565" s="3">
        <v>0.81699999999999995</v>
      </c>
      <c r="E565" s="4">
        <v>2.5999999999999999E-2</v>
      </c>
      <c r="F565" s="3">
        <v>0.14899999999999999</v>
      </c>
      <c r="G565" s="3">
        <v>0.84</v>
      </c>
      <c r="H565" s="3">
        <v>0.96899999999999997</v>
      </c>
      <c r="I565" s="5">
        <v>4</v>
      </c>
      <c r="J565" s="3">
        <v>12</v>
      </c>
      <c r="K565" s="3">
        <v>1.5</v>
      </c>
    </row>
    <row r="566" spans="1:11" x14ac:dyDescent="0.2">
      <c r="A566" s="3">
        <v>98</v>
      </c>
      <c r="B566" s="3">
        <v>4727</v>
      </c>
      <c r="C566" s="3">
        <v>48</v>
      </c>
      <c r="D566" s="3">
        <v>0.81699999999999995</v>
      </c>
      <c r="E566" s="4">
        <v>7.9000000000000001E-2</v>
      </c>
      <c r="F566" s="3">
        <v>0.16200000000000001</v>
      </c>
      <c r="G566" s="3">
        <v>0.92300000000000004</v>
      </c>
      <c r="H566" s="3">
        <v>0.96399999999999997</v>
      </c>
      <c r="I566" s="5">
        <v>95</v>
      </c>
      <c r="J566" s="3">
        <v>18</v>
      </c>
      <c r="K566" s="3">
        <v>3.8</v>
      </c>
    </row>
    <row r="567" spans="1:11" x14ac:dyDescent="0.2">
      <c r="A567" s="3">
        <v>101</v>
      </c>
      <c r="B567" s="3">
        <v>4940</v>
      </c>
      <c r="C567" s="3">
        <v>110</v>
      </c>
      <c r="D567" s="3">
        <v>0.81699999999999995</v>
      </c>
      <c r="E567" s="4">
        <v>0.16400000000000001</v>
      </c>
      <c r="F567" s="3">
        <v>0.26900000000000002</v>
      </c>
      <c r="G567" s="3">
        <v>0.75800000000000001</v>
      </c>
      <c r="H567" s="3">
        <v>0.93200000000000005</v>
      </c>
      <c r="I567" s="5">
        <v>22</v>
      </c>
      <c r="J567" s="3">
        <v>14</v>
      </c>
      <c r="K567" s="3">
        <v>9.1999999999999993</v>
      </c>
    </row>
    <row r="568" spans="1:11" x14ac:dyDescent="0.2">
      <c r="A568" s="3">
        <v>70</v>
      </c>
      <c r="B568" s="3">
        <v>3468</v>
      </c>
      <c r="C568" s="3">
        <v>30</v>
      </c>
      <c r="D568" s="3">
        <v>0.81799999999999995</v>
      </c>
      <c r="E568" s="4">
        <v>0.107</v>
      </c>
      <c r="F568" s="3">
        <v>0.20699999999999999</v>
      </c>
      <c r="G568" s="3">
        <v>0.79400000000000004</v>
      </c>
      <c r="H568" s="3">
        <v>0.94899999999999995</v>
      </c>
      <c r="I568" s="5">
        <v>42</v>
      </c>
      <c r="J568" s="3">
        <v>6</v>
      </c>
      <c r="K568" s="3">
        <v>2.7</v>
      </c>
    </row>
    <row r="569" spans="1:11" x14ac:dyDescent="0.2">
      <c r="A569" s="3">
        <v>93</v>
      </c>
      <c r="B569" s="3">
        <v>4606</v>
      </c>
      <c r="C569" s="3">
        <v>15</v>
      </c>
      <c r="D569" s="3">
        <v>0.81899999999999995</v>
      </c>
      <c r="E569" s="4">
        <v>3.6999999999999998E-2</v>
      </c>
      <c r="F569" s="3">
        <v>0.23400000000000001</v>
      </c>
      <c r="G569" s="3">
        <v>0.83</v>
      </c>
      <c r="H569" s="3">
        <v>0.94899999999999995</v>
      </c>
      <c r="I569" s="5">
        <v>81</v>
      </c>
      <c r="J569" s="3">
        <v>7</v>
      </c>
      <c r="K569" s="3">
        <v>10.5</v>
      </c>
    </row>
    <row r="570" spans="1:11" x14ac:dyDescent="0.2">
      <c r="A570" s="3">
        <v>51</v>
      </c>
      <c r="B570" s="3">
        <v>2327</v>
      </c>
      <c r="C570" s="3">
        <v>179</v>
      </c>
      <c r="D570" s="3">
        <v>0.82</v>
      </c>
      <c r="E570" s="4">
        <v>0.11</v>
      </c>
      <c r="F570" s="3">
        <v>0.17699999999999999</v>
      </c>
      <c r="G570" s="3">
        <v>0.70599999999999996</v>
      </c>
      <c r="H570" s="3">
        <v>0.90300000000000002</v>
      </c>
      <c r="I570" s="5">
        <v>16</v>
      </c>
      <c r="J570" s="3">
        <v>3</v>
      </c>
      <c r="K570" s="3">
        <v>2.9</v>
      </c>
    </row>
    <row r="571" spans="1:11" x14ac:dyDescent="0.2">
      <c r="A571" s="3">
        <v>65</v>
      </c>
      <c r="B571" s="3">
        <v>3101</v>
      </c>
      <c r="C571" s="3">
        <v>35</v>
      </c>
      <c r="D571" s="3">
        <v>0.82</v>
      </c>
      <c r="E571" s="4">
        <v>0.19400000000000001</v>
      </c>
      <c r="F571" s="3">
        <v>0.29399999999999998</v>
      </c>
      <c r="G571" s="3">
        <v>0.90900000000000003</v>
      </c>
      <c r="H571" s="3">
        <v>0.94899999999999995</v>
      </c>
      <c r="I571" s="5">
        <v>14</v>
      </c>
      <c r="J571" s="3">
        <v>14</v>
      </c>
      <c r="K571" s="3">
        <v>2.5</v>
      </c>
    </row>
    <row r="572" spans="1:11" x14ac:dyDescent="0.2">
      <c r="A572" s="3">
        <v>72</v>
      </c>
      <c r="B572" s="3">
        <v>3374</v>
      </c>
      <c r="C572" s="3">
        <v>147</v>
      </c>
      <c r="D572" s="3">
        <v>0.82</v>
      </c>
      <c r="E572" s="4">
        <v>0.184</v>
      </c>
      <c r="F572" s="3">
        <v>0.22900000000000001</v>
      </c>
      <c r="G572" s="3">
        <v>0.93400000000000005</v>
      </c>
      <c r="H572" s="3">
        <v>0.91800000000000004</v>
      </c>
      <c r="I572" s="5">
        <v>5</v>
      </c>
      <c r="J572" s="3">
        <v>19</v>
      </c>
      <c r="K572" s="3">
        <v>3.7</v>
      </c>
    </row>
    <row r="573" spans="1:11" x14ac:dyDescent="0.2">
      <c r="A573" s="3">
        <v>100</v>
      </c>
      <c r="B573" s="3">
        <v>4896</v>
      </c>
      <c r="C573" s="3">
        <v>150</v>
      </c>
      <c r="D573" s="3">
        <v>0.82</v>
      </c>
      <c r="E573" s="4">
        <v>0.14499999999999999</v>
      </c>
      <c r="F573" s="3">
        <v>0.22800000000000001</v>
      </c>
      <c r="G573" s="3">
        <v>0.83</v>
      </c>
      <c r="H573" s="3">
        <v>0.96699999999999997</v>
      </c>
      <c r="I573" s="5">
        <v>32</v>
      </c>
      <c r="J573" s="3">
        <v>13</v>
      </c>
      <c r="K573" s="3">
        <v>2.9</v>
      </c>
    </row>
    <row r="574" spans="1:11" x14ac:dyDescent="0.2">
      <c r="A574" s="3">
        <v>46</v>
      </c>
      <c r="B574" s="3">
        <v>2237</v>
      </c>
      <c r="C574" s="3">
        <v>73</v>
      </c>
      <c r="D574" s="3">
        <v>0.82099999999999995</v>
      </c>
      <c r="E574" s="4">
        <v>8.5000000000000006E-2</v>
      </c>
      <c r="F574" s="3">
        <v>0.24</v>
      </c>
      <c r="G574" s="3">
        <v>0.70499999999999996</v>
      </c>
      <c r="H574" s="3">
        <v>0.97599999999999998</v>
      </c>
      <c r="I574" s="5">
        <v>78</v>
      </c>
      <c r="J574" s="3">
        <v>10</v>
      </c>
      <c r="K574" s="3">
        <v>4.3</v>
      </c>
    </row>
    <row r="575" spans="1:11" x14ac:dyDescent="0.2">
      <c r="A575" s="3">
        <v>66</v>
      </c>
      <c r="B575" s="3">
        <v>3122</v>
      </c>
      <c r="C575" s="3">
        <v>127</v>
      </c>
      <c r="D575" s="3">
        <v>0.82099999999999995</v>
      </c>
      <c r="E575" s="4">
        <v>0.106</v>
      </c>
      <c r="F575" s="3">
        <v>6.7000000000000004E-2</v>
      </c>
      <c r="G575" s="3">
        <v>0.81100000000000005</v>
      </c>
      <c r="H575" s="3">
        <v>0.97199999999999998</v>
      </c>
      <c r="I575" s="5">
        <v>3</v>
      </c>
      <c r="J575" s="3">
        <v>5</v>
      </c>
      <c r="K575" s="3">
        <v>8.9</v>
      </c>
    </row>
    <row r="576" spans="1:11" x14ac:dyDescent="0.2">
      <c r="A576" s="3">
        <v>87</v>
      </c>
      <c r="B576" s="3">
        <v>4115</v>
      </c>
      <c r="C576" s="3">
        <v>129</v>
      </c>
      <c r="D576" s="3">
        <v>0.82099999999999995</v>
      </c>
      <c r="E576" s="4">
        <v>1.2E-2</v>
      </c>
      <c r="F576" s="3">
        <v>0.112</v>
      </c>
      <c r="G576" s="3">
        <v>0.86299999999999999</v>
      </c>
      <c r="H576" s="3">
        <v>0.98399999999999999</v>
      </c>
      <c r="I576" s="5">
        <v>99</v>
      </c>
      <c r="J576" s="3">
        <v>5</v>
      </c>
      <c r="K576" s="3">
        <v>8.3000000000000007</v>
      </c>
    </row>
    <row r="577" spans="1:11" x14ac:dyDescent="0.2">
      <c r="A577" s="3">
        <v>88</v>
      </c>
      <c r="B577" s="3">
        <v>4365</v>
      </c>
      <c r="C577" s="3">
        <v>65</v>
      </c>
      <c r="D577" s="3">
        <v>0.82099999999999995</v>
      </c>
      <c r="E577" s="4">
        <v>1.7000000000000001E-2</v>
      </c>
      <c r="F577" s="3">
        <v>0.28799999999999998</v>
      </c>
      <c r="G577" s="3">
        <v>0.73099999999999998</v>
      </c>
      <c r="H577" s="3">
        <v>0.90700000000000003</v>
      </c>
      <c r="I577" s="5">
        <v>18</v>
      </c>
      <c r="J577" s="3">
        <v>19</v>
      </c>
      <c r="K577" s="3">
        <v>4.0999999999999996</v>
      </c>
    </row>
    <row r="578" spans="1:11" x14ac:dyDescent="0.2">
      <c r="A578" s="3">
        <v>97</v>
      </c>
      <c r="B578" s="3">
        <v>4716</v>
      </c>
      <c r="C578" s="3">
        <v>24</v>
      </c>
      <c r="D578" s="3">
        <v>0.82099999999999995</v>
      </c>
      <c r="E578" s="4">
        <v>0.11799999999999999</v>
      </c>
      <c r="F578" s="3">
        <v>0.153</v>
      </c>
      <c r="G578" s="3">
        <v>0.79800000000000004</v>
      </c>
      <c r="H578" s="3">
        <v>0.94599999999999995</v>
      </c>
      <c r="I578" s="5">
        <v>62</v>
      </c>
      <c r="J578" s="3">
        <v>10</v>
      </c>
      <c r="K578" s="3">
        <v>1.4</v>
      </c>
    </row>
    <row r="579" spans="1:11" x14ac:dyDescent="0.2">
      <c r="A579" s="3">
        <v>100</v>
      </c>
      <c r="B579" s="3">
        <v>4764</v>
      </c>
      <c r="C579" s="3">
        <v>29</v>
      </c>
      <c r="D579" s="3">
        <v>0.82099999999999995</v>
      </c>
      <c r="E579" s="4">
        <v>5.2999999999999999E-2</v>
      </c>
      <c r="F579" s="3">
        <v>0.25900000000000001</v>
      </c>
      <c r="G579" s="3">
        <v>0.86799999999999999</v>
      </c>
      <c r="H579" s="3">
        <v>0.97799999999999998</v>
      </c>
      <c r="I579" s="5">
        <v>86</v>
      </c>
      <c r="J579" s="3">
        <v>17</v>
      </c>
      <c r="K579" s="3">
        <v>3.9</v>
      </c>
    </row>
    <row r="580" spans="1:11" x14ac:dyDescent="0.2">
      <c r="A580" s="3">
        <v>101</v>
      </c>
      <c r="B580" s="3">
        <v>4935</v>
      </c>
      <c r="C580" s="3">
        <v>133</v>
      </c>
      <c r="D580" s="3">
        <v>0.82099999999999995</v>
      </c>
      <c r="E580" s="4">
        <v>6.8000000000000005E-2</v>
      </c>
      <c r="F580" s="3">
        <v>8.6999999999999994E-2</v>
      </c>
      <c r="G580" s="3">
        <v>0.83099999999999996</v>
      </c>
      <c r="H580" s="3">
        <v>0.98</v>
      </c>
      <c r="I580" s="5">
        <v>64</v>
      </c>
      <c r="J580" s="3">
        <v>2</v>
      </c>
      <c r="K580" s="3">
        <v>4.5999999999999996</v>
      </c>
    </row>
    <row r="581" spans="1:11" x14ac:dyDescent="0.2">
      <c r="A581" s="3">
        <v>71</v>
      </c>
      <c r="B581" s="3">
        <v>3450</v>
      </c>
      <c r="C581" s="3">
        <v>117</v>
      </c>
      <c r="D581" s="3">
        <v>0.82199999999999995</v>
      </c>
      <c r="E581" s="4">
        <v>0.14799999999999999</v>
      </c>
      <c r="F581" s="3">
        <v>5.2999999999999999E-2</v>
      </c>
      <c r="G581" s="3">
        <v>0.84399999999999997</v>
      </c>
      <c r="H581" s="3">
        <v>0.99199999999999999</v>
      </c>
      <c r="I581" s="5">
        <v>42</v>
      </c>
      <c r="J581" s="3">
        <v>1</v>
      </c>
      <c r="K581" s="3">
        <v>13.2</v>
      </c>
    </row>
    <row r="582" spans="1:11" x14ac:dyDescent="0.2">
      <c r="A582" s="3">
        <v>82</v>
      </c>
      <c r="B582" s="3">
        <v>3953</v>
      </c>
      <c r="C582" s="3">
        <v>159</v>
      </c>
      <c r="D582" s="3">
        <v>0.82199999999999995</v>
      </c>
      <c r="E582" s="4">
        <v>0.13100000000000001</v>
      </c>
      <c r="F582" s="3">
        <v>9.0999999999999998E-2</v>
      </c>
      <c r="G582" s="3">
        <v>0.85299999999999998</v>
      </c>
      <c r="H582" s="3">
        <v>0.92600000000000005</v>
      </c>
      <c r="I582" s="5">
        <v>31</v>
      </c>
      <c r="J582" s="3">
        <v>16</v>
      </c>
      <c r="K582" s="3">
        <v>14.5</v>
      </c>
    </row>
    <row r="583" spans="1:11" x14ac:dyDescent="0.2">
      <c r="A583" s="3">
        <v>29</v>
      </c>
      <c r="B583" s="3">
        <v>1244</v>
      </c>
      <c r="C583" s="3">
        <v>96</v>
      </c>
      <c r="D583" s="3">
        <v>0.82299999999999995</v>
      </c>
      <c r="E583" s="4">
        <v>0.17199999999999999</v>
      </c>
      <c r="F583" s="3">
        <v>0.28599999999999998</v>
      </c>
      <c r="G583" s="3">
        <v>0.75700000000000001</v>
      </c>
      <c r="H583" s="3">
        <v>0.90500000000000003</v>
      </c>
      <c r="I583" s="5">
        <v>47</v>
      </c>
      <c r="J583" s="3">
        <v>19</v>
      </c>
      <c r="K583" s="3">
        <v>14.8</v>
      </c>
    </row>
    <row r="584" spans="1:11" x14ac:dyDescent="0.2">
      <c r="A584" s="3">
        <v>30</v>
      </c>
      <c r="B584" s="3">
        <v>1436</v>
      </c>
      <c r="C584" s="3">
        <v>72</v>
      </c>
      <c r="D584" s="3">
        <v>0.82299999999999995</v>
      </c>
      <c r="E584" s="4">
        <v>0.151</v>
      </c>
      <c r="F584" s="3">
        <v>0.105</v>
      </c>
      <c r="G584" s="3">
        <v>0.94699999999999995</v>
      </c>
      <c r="H584" s="3">
        <v>0.93899999999999995</v>
      </c>
      <c r="I584" s="5">
        <v>58</v>
      </c>
      <c r="J584" s="3">
        <v>10</v>
      </c>
      <c r="K584" s="3">
        <v>7.1</v>
      </c>
    </row>
    <row r="585" spans="1:11" x14ac:dyDescent="0.2">
      <c r="A585" s="3">
        <v>42</v>
      </c>
      <c r="B585" s="3">
        <v>1993</v>
      </c>
      <c r="C585" s="3">
        <v>31</v>
      </c>
      <c r="D585" s="3">
        <v>0.82299999999999995</v>
      </c>
      <c r="E585" s="4">
        <v>9.2999999999999999E-2</v>
      </c>
      <c r="F585" s="3">
        <v>0.14099999999999999</v>
      </c>
      <c r="G585" s="3">
        <v>0.88600000000000001</v>
      </c>
      <c r="H585" s="3">
        <v>0.96699999999999997</v>
      </c>
      <c r="I585" s="5">
        <v>12</v>
      </c>
      <c r="J585" s="3">
        <v>6</v>
      </c>
      <c r="K585" s="3">
        <v>11.4</v>
      </c>
    </row>
    <row r="586" spans="1:11" x14ac:dyDescent="0.2">
      <c r="A586" s="3">
        <v>45</v>
      </c>
      <c r="B586" s="3">
        <v>2106</v>
      </c>
      <c r="C586" s="3">
        <v>45</v>
      </c>
      <c r="D586" s="3">
        <v>0.82299999999999995</v>
      </c>
      <c r="E586" s="4">
        <v>8.5000000000000006E-2</v>
      </c>
      <c r="F586" s="3">
        <v>0.21199999999999999</v>
      </c>
      <c r="G586" s="3">
        <v>0.71099999999999997</v>
      </c>
      <c r="H586" s="3">
        <v>0.97099999999999997</v>
      </c>
      <c r="I586" s="5">
        <v>55</v>
      </c>
      <c r="J586" s="3">
        <v>14</v>
      </c>
      <c r="K586" s="3">
        <v>6.5</v>
      </c>
    </row>
    <row r="587" spans="1:11" x14ac:dyDescent="0.2">
      <c r="A587" s="3">
        <v>49</v>
      </c>
      <c r="B587" s="3">
        <v>2257</v>
      </c>
      <c r="C587" s="3">
        <v>179</v>
      </c>
      <c r="D587" s="3">
        <v>0.82299999999999995</v>
      </c>
      <c r="E587" s="4">
        <v>0.159</v>
      </c>
      <c r="F587" s="3">
        <v>0.129</v>
      </c>
      <c r="G587" s="3">
        <v>0.873</v>
      </c>
      <c r="H587" s="3">
        <v>0.91700000000000004</v>
      </c>
      <c r="I587" s="5">
        <v>65</v>
      </c>
      <c r="J587" s="3">
        <v>13</v>
      </c>
      <c r="K587" s="3">
        <v>1</v>
      </c>
    </row>
    <row r="588" spans="1:11" x14ac:dyDescent="0.2">
      <c r="A588" s="3">
        <v>74</v>
      </c>
      <c r="B588" s="3">
        <v>3532</v>
      </c>
      <c r="C588" s="3">
        <v>57</v>
      </c>
      <c r="D588" s="3">
        <v>0.82299999999999995</v>
      </c>
      <c r="E588" s="4">
        <v>7.3999999999999996E-2</v>
      </c>
      <c r="F588" s="3">
        <v>6.9000000000000006E-2</v>
      </c>
      <c r="G588" s="3">
        <v>0.95199999999999996</v>
      </c>
      <c r="H588" s="3">
        <v>0.93100000000000005</v>
      </c>
      <c r="I588" s="5">
        <v>23</v>
      </c>
      <c r="J588" s="3">
        <v>19</v>
      </c>
      <c r="K588" s="3">
        <v>7.3</v>
      </c>
    </row>
    <row r="589" spans="1:11" x14ac:dyDescent="0.2">
      <c r="A589" s="3">
        <v>27</v>
      </c>
      <c r="B589" s="3">
        <v>1085</v>
      </c>
      <c r="C589" s="3">
        <v>191</v>
      </c>
      <c r="D589" s="3">
        <v>0.82399999999999995</v>
      </c>
      <c r="E589" s="4">
        <v>0.06</v>
      </c>
      <c r="F589" s="3">
        <v>5.7000000000000002E-2</v>
      </c>
      <c r="G589" s="3">
        <v>0.98599999999999999</v>
      </c>
      <c r="H589" s="3">
        <v>0.96599999999999997</v>
      </c>
      <c r="I589" s="5">
        <v>95</v>
      </c>
      <c r="J589" s="3">
        <v>8</v>
      </c>
      <c r="K589" s="3">
        <v>12.9</v>
      </c>
    </row>
    <row r="590" spans="1:11" x14ac:dyDescent="0.2">
      <c r="A590" s="3">
        <v>67</v>
      </c>
      <c r="B590" s="3">
        <v>3146</v>
      </c>
      <c r="C590" s="3">
        <v>20</v>
      </c>
      <c r="D590" s="3">
        <v>0.82399999999999995</v>
      </c>
      <c r="E590" s="4">
        <v>6.8000000000000005E-2</v>
      </c>
      <c r="F590" s="3">
        <v>8.2000000000000003E-2</v>
      </c>
      <c r="G590" s="3">
        <v>0.83</v>
      </c>
      <c r="H590" s="3">
        <v>0.995</v>
      </c>
      <c r="I590" s="5">
        <v>17</v>
      </c>
      <c r="J590" s="3">
        <v>12</v>
      </c>
      <c r="K590" s="3">
        <v>4</v>
      </c>
    </row>
    <row r="591" spans="1:11" x14ac:dyDescent="0.2">
      <c r="A591" s="3">
        <v>95</v>
      </c>
      <c r="B591" s="3">
        <v>4632</v>
      </c>
      <c r="C591" s="3">
        <v>77</v>
      </c>
      <c r="D591" s="3">
        <v>0.82399999999999995</v>
      </c>
      <c r="E591" s="4">
        <v>0.114</v>
      </c>
      <c r="F591" s="3">
        <v>0.15</v>
      </c>
      <c r="G591" s="3">
        <v>0.85399999999999998</v>
      </c>
      <c r="H591" s="3">
        <v>0.98699999999999999</v>
      </c>
      <c r="I591" s="5">
        <v>38</v>
      </c>
      <c r="J591" s="3">
        <v>10</v>
      </c>
      <c r="K591" s="3">
        <v>4.8</v>
      </c>
    </row>
    <row r="592" spans="1:11" x14ac:dyDescent="0.2">
      <c r="A592" s="3">
        <v>99</v>
      </c>
      <c r="B592" s="3">
        <v>4893</v>
      </c>
      <c r="C592" s="3">
        <v>187</v>
      </c>
      <c r="D592" s="3">
        <v>0.82399999999999995</v>
      </c>
      <c r="E592" s="4">
        <v>0.108</v>
      </c>
      <c r="F592" s="3">
        <v>5.8999999999999997E-2</v>
      </c>
      <c r="G592" s="3">
        <v>0.753</v>
      </c>
      <c r="H592" s="3">
        <v>0.92500000000000004</v>
      </c>
      <c r="I592" s="5">
        <v>4</v>
      </c>
      <c r="J592" s="3">
        <v>18</v>
      </c>
      <c r="K592" s="3">
        <v>10.5</v>
      </c>
    </row>
    <row r="593" spans="1:11" x14ac:dyDescent="0.2">
      <c r="A593" s="3">
        <v>24</v>
      </c>
      <c r="B593" s="3">
        <v>1117</v>
      </c>
      <c r="C593" s="3">
        <v>169</v>
      </c>
      <c r="D593" s="3">
        <v>0.82499999999999996</v>
      </c>
      <c r="E593" s="4">
        <v>0.19400000000000001</v>
      </c>
      <c r="F593" s="3">
        <v>0.28599999999999998</v>
      </c>
      <c r="G593" s="3">
        <v>0.82099999999999995</v>
      </c>
      <c r="H593" s="3">
        <v>0.97599999999999998</v>
      </c>
      <c r="I593" s="5">
        <v>87</v>
      </c>
      <c r="J593" s="3">
        <v>9</v>
      </c>
      <c r="K593" s="3">
        <v>8.1</v>
      </c>
    </row>
    <row r="594" spans="1:11" x14ac:dyDescent="0.2">
      <c r="A594" s="3">
        <v>43</v>
      </c>
      <c r="B594" s="3">
        <v>1942</v>
      </c>
      <c r="C594" s="3">
        <v>166</v>
      </c>
      <c r="D594" s="3">
        <v>0.82499999999999996</v>
      </c>
      <c r="E594" s="4">
        <v>0.17599999999999999</v>
      </c>
      <c r="F594" s="3">
        <v>0.11700000000000001</v>
      </c>
      <c r="G594" s="3">
        <v>0.97199999999999998</v>
      </c>
      <c r="H594" s="3">
        <v>0.93400000000000005</v>
      </c>
      <c r="I594" s="5">
        <v>99</v>
      </c>
      <c r="J594" s="3">
        <v>15</v>
      </c>
      <c r="K594" s="3">
        <v>13</v>
      </c>
    </row>
    <row r="595" spans="1:11" x14ac:dyDescent="0.2">
      <c r="A595" s="3">
        <v>47</v>
      </c>
      <c r="B595" s="3">
        <v>2145</v>
      </c>
      <c r="C595" s="3">
        <v>129</v>
      </c>
      <c r="D595" s="3">
        <v>0.82499999999999996</v>
      </c>
      <c r="E595" s="4">
        <v>0.02</v>
      </c>
      <c r="F595" s="3">
        <v>0.158</v>
      </c>
      <c r="G595" s="3">
        <v>0.78200000000000003</v>
      </c>
      <c r="H595" s="3">
        <v>0.90200000000000002</v>
      </c>
      <c r="I595" s="5">
        <v>96</v>
      </c>
      <c r="J595" s="3">
        <v>3</v>
      </c>
      <c r="K595" s="3">
        <v>9.5</v>
      </c>
    </row>
    <row r="596" spans="1:11" x14ac:dyDescent="0.2">
      <c r="A596" s="3">
        <v>49</v>
      </c>
      <c r="B596" s="3">
        <v>2251</v>
      </c>
      <c r="C596" s="3">
        <v>150</v>
      </c>
      <c r="D596" s="3">
        <v>0.82499999999999996</v>
      </c>
      <c r="E596" s="4">
        <v>0.128</v>
      </c>
      <c r="F596" s="3">
        <v>0.16400000000000001</v>
      </c>
      <c r="G596" s="3">
        <v>0.97199999999999998</v>
      </c>
      <c r="H596" s="3">
        <v>0.90800000000000003</v>
      </c>
      <c r="I596" s="5">
        <v>17</v>
      </c>
      <c r="J596" s="3">
        <v>9</v>
      </c>
      <c r="K596" s="3">
        <v>7.9</v>
      </c>
    </row>
    <row r="597" spans="1:11" x14ac:dyDescent="0.2">
      <c r="A597" s="3">
        <v>52</v>
      </c>
      <c r="B597" s="3">
        <v>2390</v>
      </c>
      <c r="C597" s="3">
        <v>13</v>
      </c>
      <c r="D597" s="3">
        <v>0.82499999999999996</v>
      </c>
      <c r="E597" s="4">
        <v>0.12</v>
      </c>
      <c r="F597" s="3">
        <v>0.10299999999999999</v>
      </c>
      <c r="G597" s="3">
        <v>0.84699999999999998</v>
      </c>
      <c r="H597" s="3">
        <v>0.94199999999999995</v>
      </c>
      <c r="I597" s="5">
        <v>4</v>
      </c>
      <c r="J597" s="3">
        <v>19</v>
      </c>
      <c r="K597" s="3">
        <v>9.1</v>
      </c>
    </row>
    <row r="598" spans="1:11" x14ac:dyDescent="0.2">
      <c r="A598" s="3">
        <v>82</v>
      </c>
      <c r="B598" s="3">
        <v>4026</v>
      </c>
      <c r="C598" s="3">
        <v>117</v>
      </c>
      <c r="D598" s="3">
        <v>0.82499999999999996</v>
      </c>
      <c r="E598" s="4">
        <v>0.185</v>
      </c>
      <c r="F598" s="3">
        <v>0.26700000000000002</v>
      </c>
      <c r="G598" s="3">
        <v>0.89200000000000002</v>
      </c>
      <c r="H598" s="3">
        <v>0.996</v>
      </c>
      <c r="I598" s="5">
        <v>95</v>
      </c>
      <c r="J598" s="3">
        <v>3</v>
      </c>
      <c r="K598" s="3">
        <v>12.9</v>
      </c>
    </row>
    <row r="599" spans="1:11" x14ac:dyDescent="0.2">
      <c r="A599" s="3">
        <v>88</v>
      </c>
      <c r="B599" s="3">
        <v>4234</v>
      </c>
      <c r="C599" s="3">
        <v>163</v>
      </c>
      <c r="D599" s="3">
        <v>0.82499999999999996</v>
      </c>
      <c r="E599" s="4">
        <v>0.188</v>
      </c>
      <c r="F599" s="3">
        <v>6.4000000000000001E-2</v>
      </c>
      <c r="G599" s="3">
        <v>0.73799999999999999</v>
      </c>
      <c r="H599" s="3">
        <v>0.95099999999999996</v>
      </c>
      <c r="I599" s="5">
        <v>72</v>
      </c>
      <c r="J599" s="3">
        <v>16</v>
      </c>
      <c r="K599" s="3">
        <v>10.5</v>
      </c>
    </row>
    <row r="600" spans="1:11" x14ac:dyDescent="0.2">
      <c r="A600" s="3">
        <v>36</v>
      </c>
      <c r="B600" s="3">
        <v>1556</v>
      </c>
      <c r="C600" s="3">
        <v>48</v>
      </c>
      <c r="D600" s="3">
        <v>0.82599999999999996</v>
      </c>
      <c r="E600" s="4">
        <v>6.9000000000000006E-2</v>
      </c>
      <c r="F600" s="3">
        <v>0.29299999999999998</v>
      </c>
      <c r="G600" s="3">
        <v>0.94799999999999995</v>
      </c>
      <c r="H600" s="3">
        <v>0.98899999999999999</v>
      </c>
      <c r="I600" s="5">
        <v>4</v>
      </c>
      <c r="J600" s="3">
        <v>19</v>
      </c>
      <c r="K600" s="3">
        <v>2.4</v>
      </c>
    </row>
    <row r="601" spans="1:11" x14ac:dyDescent="0.2">
      <c r="A601" s="3">
        <v>58</v>
      </c>
      <c r="B601" s="3">
        <v>2691</v>
      </c>
      <c r="C601" s="3">
        <v>22</v>
      </c>
      <c r="D601" s="3">
        <v>0.82599999999999996</v>
      </c>
      <c r="E601" s="4">
        <v>6.4000000000000001E-2</v>
      </c>
      <c r="F601" s="3">
        <v>0.20499999999999999</v>
      </c>
      <c r="G601" s="3">
        <v>0.77100000000000002</v>
      </c>
      <c r="H601" s="3">
        <v>0.91300000000000003</v>
      </c>
      <c r="I601" s="5">
        <v>99</v>
      </c>
      <c r="J601" s="3">
        <v>17</v>
      </c>
      <c r="K601" s="3">
        <v>9.1999999999999993</v>
      </c>
    </row>
    <row r="602" spans="1:11" x14ac:dyDescent="0.2">
      <c r="A602" s="3">
        <v>75</v>
      </c>
      <c r="B602" s="3">
        <v>3670</v>
      </c>
      <c r="C602" s="3">
        <v>57</v>
      </c>
      <c r="D602" s="3">
        <v>0.82599999999999996</v>
      </c>
      <c r="E602" s="4">
        <v>7.9000000000000001E-2</v>
      </c>
      <c r="F602" s="3">
        <v>0.124</v>
      </c>
      <c r="G602" s="3">
        <v>0.81</v>
      </c>
      <c r="H602" s="3">
        <v>0.99299999999999999</v>
      </c>
      <c r="I602" s="5">
        <v>7</v>
      </c>
      <c r="J602" s="3">
        <v>5</v>
      </c>
      <c r="K602" s="3">
        <v>6.2</v>
      </c>
    </row>
    <row r="603" spans="1:11" x14ac:dyDescent="0.2">
      <c r="A603" s="3">
        <v>85</v>
      </c>
      <c r="B603" s="3">
        <v>4129</v>
      </c>
      <c r="C603" s="3">
        <v>196</v>
      </c>
      <c r="D603" s="3">
        <v>0.82599999999999996</v>
      </c>
      <c r="E603" s="4">
        <v>5.5E-2</v>
      </c>
      <c r="F603" s="3">
        <v>0.29899999999999999</v>
      </c>
      <c r="G603" s="3">
        <v>0.82699999999999996</v>
      </c>
      <c r="H603" s="3">
        <v>0.91100000000000003</v>
      </c>
      <c r="I603" s="5">
        <v>24</v>
      </c>
      <c r="J603" s="3">
        <v>15</v>
      </c>
      <c r="K603" s="3">
        <v>4</v>
      </c>
    </row>
    <row r="604" spans="1:11" x14ac:dyDescent="0.2">
      <c r="A604" s="3">
        <v>30</v>
      </c>
      <c r="B604" s="3">
        <v>1433</v>
      </c>
      <c r="C604" s="3">
        <v>25</v>
      </c>
      <c r="D604" s="3">
        <v>0.82699999999999996</v>
      </c>
      <c r="E604" s="4">
        <v>8.5999999999999993E-2</v>
      </c>
      <c r="F604" s="3">
        <v>7.5999999999999998E-2</v>
      </c>
      <c r="G604" s="3">
        <v>0.96</v>
      </c>
      <c r="H604" s="3">
        <v>0.93500000000000005</v>
      </c>
      <c r="I604" s="5">
        <v>37</v>
      </c>
      <c r="J604" s="3">
        <v>2</v>
      </c>
      <c r="K604" s="3">
        <v>13.7</v>
      </c>
    </row>
    <row r="605" spans="1:11" x14ac:dyDescent="0.2">
      <c r="A605" s="3">
        <v>42</v>
      </c>
      <c r="B605" s="3">
        <v>1990</v>
      </c>
      <c r="C605" s="3">
        <v>12</v>
      </c>
      <c r="D605" s="3">
        <v>0.82699999999999996</v>
      </c>
      <c r="E605" s="4">
        <v>0.152</v>
      </c>
      <c r="F605" s="3">
        <v>0.24299999999999999</v>
      </c>
      <c r="G605" s="3">
        <v>0.88600000000000001</v>
      </c>
      <c r="H605" s="3">
        <v>0.94599999999999995</v>
      </c>
      <c r="I605" s="5">
        <v>75</v>
      </c>
      <c r="J605" s="3">
        <v>8</v>
      </c>
      <c r="K605" s="3">
        <v>3.2</v>
      </c>
    </row>
    <row r="606" spans="1:11" x14ac:dyDescent="0.2">
      <c r="A606" s="3">
        <v>70</v>
      </c>
      <c r="B606" s="3">
        <v>3408</v>
      </c>
      <c r="C606" s="3">
        <v>10</v>
      </c>
      <c r="D606" s="3">
        <v>0.82699999999999996</v>
      </c>
      <c r="E606" s="4">
        <v>5.2999999999999999E-2</v>
      </c>
      <c r="F606" s="3">
        <v>0.21299999999999999</v>
      </c>
      <c r="G606" s="3">
        <v>0.95399999999999996</v>
      </c>
      <c r="H606" s="3">
        <v>0.97299999999999998</v>
      </c>
      <c r="I606" s="5">
        <v>19</v>
      </c>
      <c r="J606" s="3">
        <v>13</v>
      </c>
      <c r="K606" s="3">
        <v>4.2</v>
      </c>
    </row>
    <row r="607" spans="1:11" x14ac:dyDescent="0.2">
      <c r="A607" s="3">
        <v>99</v>
      </c>
      <c r="B607" s="3">
        <v>4896</v>
      </c>
      <c r="C607" s="3">
        <v>105</v>
      </c>
      <c r="D607" s="3">
        <v>0.82699999999999996</v>
      </c>
      <c r="E607" s="4">
        <v>0.17799999999999999</v>
      </c>
      <c r="F607" s="3">
        <v>0.19</v>
      </c>
      <c r="G607" s="3">
        <v>0.98799999999999999</v>
      </c>
      <c r="H607" s="3">
        <v>0.92300000000000004</v>
      </c>
      <c r="I607" s="5">
        <v>68</v>
      </c>
      <c r="J607" s="3">
        <v>13</v>
      </c>
      <c r="K607" s="3">
        <v>9.6</v>
      </c>
    </row>
    <row r="608" spans="1:11" x14ac:dyDescent="0.2">
      <c r="A608" s="3">
        <v>25</v>
      </c>
      <c r="B608" s="3">
        <v>1111</v>
      </c>
      <c r="C608" s="3">
        <v>65</v>
      </c>
      <c r="D608" s="3">
        <v>0.82799999999999996</v>
      </c>
      <c r="E608" s="4">
        <v>5.8999999999999997E-2</v>
      </c>
      <c r="F608" s="3">
        <v>0.26400000000000001</v>
      </c>
      <c r="G608" s="3">
        <v>0.876</v>
      </c>
      <c r="H608" s="3">
        <v>0.99099999999999999</v>
      </c>
      <c r="I608" s="5">
        <v>26</v>
      </c>
      <c r="J608" s="3">
        <v>1</v>
      </c>
      <c r="K608" s="3">
        <v>13.2</v>
      </c>
    </row>
    <row r="609" spans="1:11" x14ac:dyDescent="0.2">
      <c r="A609" s="3">
        <v>45</v>
      </c>
      <c r="B609" s="3">
        <v>2102</v>
      </c>
      <c r="C609" s="3">
        <v>140</v>
      </c>
      <c r="D609" s="3">
        <v>0.82799999999999996</v>
      </c>
      <c r="E609" s="4">
        <v>5.1999999999999998E-2</v>
      </c>
      <c r="F609" s="3">
        <v>8.1000000000000003E-2</v>
      </c>
      <c r="G609" s="3">
        <v>0.75</v>
      </c>
      <c r="H609" s="3">
        <v>0.97499999999999998</v>
      </c>
      <c r="I609" s="5">
        <v>87</v>
      </c>
      <c r="J609" s="3">
        <v>3</v>
      </c>
      <c r="K609" s="3">
        <v>8.5</v>
      </c>
    </row>
    <row r="610" spans="1:11" x14ac:dyDescent="0.2">
      <c r="A610" s="3">
        <v>68</v>
      </c>
      <c r="B610" s="3">
        <v>3204</v>
      </c>
      <c r="C610" s="3">
        <v>143</v>
      </c>
      <c r="D610" s="3">
        <v>0.82799999999999996</v>
      </c>
      <c r="E610" s="4">
        <v>0.16200000000000001</v>
      </c>
      <c r="F610" s="3">
        <v>0.115</v>
      </c>
      <c r="G610" s="3">
        <v>0.77300000000000002</v>
      </c>
      <c r="H610" s="3">
        <v>0.91300000000000003</v>
      </c>
      <c r="I610" s="5">
        <v>1</v>
      </c>
      <c r="J610" s="3">
        <v>13</v>
      </c>
      <c r="K610" s="3">
        <v>12.8</v>
      </c>
    </row>
    <row r="611" spans="1:11" x14ac:dyDescent="0.2">
      <c r="A611" s="3">
        <v>94</v>
      </c>
      <c r="B611" s="3">
        <v>4431</v>
      </c>
      <c r="C611" s="3">
        <v>71</v>
      </c>
      <c r="D611" s="3">
        <v>0.82799999999999996</v>
      </c>
      <c r="E611" s="4">
        <v>9.7000000000000003E-2</v>
      </c>
      <c r="F611" s="3">
        <v>0.23</v>
      </c>
      <c r="G611" s="3">
        <v>0.747</v>
      </c>
      <c r="H611" s="3">
        <v>0.99</v>
      </c>
      <c r="I611" s="5">
        <v>6</v>
      </c>
      <c r="J611" s="3">
        <v>9</v>
      </c>
      <c r="K611" s="3">
        <v>13.4</v>
      </c>
    </row>
    <row r="612" spans="1:11" x14ac:dyDescent="0.2">
      <c r="A612" s="3">
        <v>42</v>
      </c>
      <c r="B612" s="3">
        <v>1885</v>
      </c>
      <c r="C612" s="3">
        <v>92</v>
      </c>
      <c r="D612" s="3">
        <v>0.82899999999999996</v>
      </c>
      <c r="E612" s="4">
        <v>0.193</v>
      </c>
      <c r="F612" s="3">
        <v>0.154</v>
      </c>
      <c r="G612" s="3">
        <v>0.84899999999999998</v>
      </c>
      <c r="H612" s="3">
        <v>0.996</v>
      </c>
      <c r="I612" s="5">
        <v>24</v>
      </c>
      <c r="J612" s="3">
        <v>6</v>
      </c>
      <c r="K612" s="3">
        <v>12</v>
      </c>
    </row>
    <row r="613" spans="1:11" x14ac:dyDescent="0.2">
      <c r="A613" s="3">
        <v>61</v>
      </c>
      <c r="B613" s="3">
        <v>2809</v>
      </c>
      <c r="C613" s="3">
        <v>47</v>
      </c>
      <c r="D613" s="3">
        <v>0.82899999999999996</v>
      </c>
      <c r="E613" s="4">
        <v>0.192</v>
      </c>
      <c r="F613" s="3">
        <v>0.28399999999999997</v>
      </c>
      <c r="G613" s="3">
        <v>0.89200000000000002</v>
      </c>
      <c r="H613" s="3">
        <v>0.94199999999999995</v>
      </c>
      <c r="I613" s="5">
        <v>88</v>
      </c>
      <c r="J613" s="3">
        <v>3</v>
      </c>
      <c r="K613" s="3">
        <v>14.1</v>
      </c>
    </row>
    <row r="614" spans="1:11" x14ac:dyDescent="0.2">
      <c r="A614" s="3">
        <v>65</v>
      </c>
      <c r="B614" s="3">
        <v>3050</v>
      </c>
      <c r="C614" s="3">
        <v>134</v>
      </c>
      <c r="D614" s="3">
        <v>0.82899999999999996</v>
      </c>
      <c r="E614" s="4">
        <v>0.18</v>
      </c>
      <c r="F614" s="3">
        <v>0.24399999999999999</v>
      </c>
      <c r="G614" s="3">
        <v>0.95699999999999996</v>
      </c>
      <c r="H614" s="3">
        <v>0.92100000000000004</v>
      </c>
      <c r="I614" s="5">
        <v>26</v>
      </c>
      <c r="J614" s="3">
        <v>0</v>
      </c>
      <c r="K614" s="3">
        <v>1.2</v>
      </c>
    </row>
    <row r="615" spans="1:11" x14ac:dyDescent="0.2">
      <c r="A615" s="3">
        <v>75</v>
      </c>
      <c r="B615" s="3">
        <v>3480</v>
      </c>
      <c r="C615" s="3">
        <v>199</v>
      </c>
      <c r="D615" s="3">
        <v>0.82899999999999996</v>
      </c>
      <c r="E615" s="4">
        <v>0.03</v>
      </c>
      <c r="F615" s="3">
        <v>0.113</v>
      </c>
      <c r="G615" s="3">
        <v>0.90300000000000002</v>
      </c>
      <c r="H615" s="3">
        <v>0.93200000000000005</v>
      </c>
      <c r="I615" s="5">
        <v>74</v>
      </c>
      <c r="J615" s="3">
        <v>13</v>
      </c>
      <c r="K615" s="3">
        <v>9.3000000000000007</v>
      </c>
    </row>
    <row r="616" spans="1:11" x14ac:dyDescent="0.2">
      <c r="A616" s="3">
        <v>98</v>
      </c>
      <c r="B616" s="3">
        <v>4851</v>
      </c>
      <c r="C616" s="3">
        <v>148</v>
      </c>
      <c r="D616" s="3">
        <v>0.83099999999999996</v>
      </c>
      <c r="E616" s="4">
        <v>0.193</v>
      </c>
      <c r="F616" s="3">
        <v>5.5E-2</v>
      </c>
      <c r="G616" s="3">
        <v>0.84099999999999997</v>
      </c>
      <c r="H616" s="3">
        <v>0.96699999999999997</v>
      </c>
      <c r="I616" s="5">
        <v>22</v>
      </c>
      <c r="J616" s="3">
        <v>3</v>
      </c>
      <c r="K616" s="3">
        <v>6.7</v>
      </c>
    </row>
    <row r="617" spans="1:11" x14ac:dyDescent="0.2">
      <c r="A617" s="3">
        <v>25</v>
      </c>
      <c r="B617" s="3">
        <v>1162</v>
      </c>
      <c r="C617" s="3">
        <v>91</v>
      </c>
      <c r="D617" s="3">
        <v>0.83199999999999996</v>
      </c>
      <c r="E617" s="4">
        <v>0.17299999999999999</v>
      </c>
      <c r="F617" s="3">
        <v>0.113</v>
      </c>
      <c r="G617" s="3">
        <v>0.98299999999999998</v>
      </c>
      <c r="H617" s="3">
        <v>0.92800000000000005</v>
      </c>
      <c r="I617" s="5">
        <v>99</v>
      </c>
      <c r="J617" s="3">
        <v>16</v>
      </c>
      <c r="K617" s="3">
        <v>2.7</v>
      </c>
    </row>
    <row r="618" spans="1:11" x14ac:dyDescent="0.2">
      <c r="A618" s="3">
        <v>29</v>
      </c>
      <c r="B618" s="3">
        <v>1328</v>
      </c>
      <c r="C618" s="3">
        <v>177</v>
      </c>
      <c r="D618" s="3">
        <v>0.83199999999999996</v>
      </c>
      <c r="E618" s="4">
        <v>0.10199999999999999</v>
      </c>
      <c r="F618" s="3">
        <v>9.1999999999999998E-2</v>
      </c>
      <c r="G618" s="3">
        <v>0.88100000000000001</v>
      </c>
      <c r="H618" s="3">
        <v>0.97299999999999998</v>
      </c>
      <c r="I618" s="5">
        <v>57</v>
      </c>
      <c r="J618" s="3">
        <v>3</v>
      </c>
      <c r="K618" s="3">
        <v>11.4</v>
      </c>
    </row>
    <row r="619" spans="1:11" x14ac:dyDescent="0.2">
      <c r="A619" s="3">
        <v>38</v>
      </c>
      <c r="B619" s="3">
        <v>1660</v>
      </c>
      <c r="C619" s="3">
        <v>156</v>
      </c>
      <c r="D619" s="3">
        <v>0.83199999999999996</v>
      </c>
      <c r="E619" s="4">
        <v>0.156</v>
      </c>
      <c r="F619" s="3">
        <v>0.182</v>
      </c>
      <c r="G619" s="3">
        <v>0.95299999999999996</v>
      </c>
      <c r="H619" s="3">
        <v>0.96499999999999997</v>
      </c>
      <c r="I619" s="5">
        <v>40</v>
      </c>
      <c r="J619" s="3">
        <v>19</v>
      </c>
      <c r="K619" s="3">
        <v>11.5</v>
      </c>
    </row>
    <row r="620" spans="1:11" x14ac:dyDescent="0.2">
      <c r="A620" s="3">
        <v>35</v>
      </c>
      <c r="B620" s="3">
        <v>1665</v>
      </c>
      <c r="C620" s="3">
        <v>68</v>
      </c>
      <c r="D620" s="3">
        <v>0.83199999999999996</v>
      </c>
      <c r="E620" s="4">
        <v>4.2000000000000003E-2</v>
      </c>
      <c r="F620" s="3">
        <v>0.28100000000000003</v>
      </c>
      <c r="G620" s="3">
        <v>0.93400000000000005</v>
      </c>
      <c r="H620" s="3">
        <v>0.95399999999999996</v>
      </c>
      <c r="I620" s="5">
        <v>28</v>
      </c>
      <c r="J620" s="3">
        <v>15</v>
      </c>
      <c r="K620" s="3">
        <v>1.9</v>
      </c>
    </row>
    <row r="621" spans="1:11" x14ac:dyDescent="0.2">
      <c r="A621" s="3">
        <v>70</v>
      </c>
      <c r="B621" s="3">
        <v>3349</v>
      </c>
      <c r="C621" s="3">
        <v>11</v>
      </c>
      <c r="D621" s="3">
        <v>0.83199999999999996</v>
      </c>
      <c r="E621" s="4">
        <v>1.4999999999999999E-2</v>
      </c>
      <c r="F621" s="3">
        <v>0.128</v>
      </c>
      <c r="G621" s="3">
        <v>0.88500000000000001</v>
      </c>
      <c r="H621" s="3">
        <v>0.98199999999999998</v>
      </c>
      <c r="I621" s="5">
        <v>26</v>
      </c>
      <c r="J621" s="3">
        <v>0</v>
      </c>
      <c r="K621" s="3">
        <v>9.1</v>
      </c>
    </row>
    <row r="622" spans="1:11" x14ac:dyDescent="0.2">
      <c r="A622" s="3">
        <v>72</v>
      </c>
      <c r="B622" s="3">
        <v>3527</v>
      </c>
      <c r="C622" s="3">
        <v>156</v>
      </c>
      <c r="D622" s="3">
        <v>0.83199999999999996</v>
      </c>
      <c r="E622" s="4">
        <v>2.1000000000000001E-2</v>
      </c>
      <c r="F622" s="3">
        <v>0.29099999999999998</v>
      </c>
      <c r="G622" s="3">
        <v>0.81599999999999995</v>
      </c>
      <c r="H622" s="3">
        <v>0.94199999999999995</v>
      </c>
      <c r="I622" s="5">
        <v>37</v>
      </c>
      <c r="J622" s="3">
        <v>9</v>
      </c>
      <c r="K622" s="3">
        <v>12.6</v>
      </c>
    </row>
    <row r="623" spans="1:11" x14ac:dyDescent="0.2">
      <c r="A623" s="3">
        <v>77</v>
      </c>
      <c r="B623" s="3">
        <v>3783</v>
      </c>
      <c r="C623" s="3">
        <v>14</v>
      </c>
      <c r="D623" s="3">
        <v>0.83199999999999996</v>
      </c>
      <c r="E623" s="4">
        <v>0.14499999999999999</v>
      </c>
      <c r="F623" s="3">
        <v>0.192</v>
      </c>
      <c r="G623" s="3">
        <v>0.84599999999999997</v>
      </c>
      <c r="H623" s="3">
        <v>0.98399999999999999</v>
      </c>
      <c r="I623" s="5">
        <v>10</v>
      </c>
      <c r="J623" s="3">
        <v>19</v>
      </c>
      <c r="K623" s="3">
        <v>12.9</v>
      </c>
    </row>
    <row r="624" spans="1:11" x14ac:dyDescent="0.2">
      <c r="A624" s="3">
        <v>40</v>
      </c>
      <c r="B624" s="3">
        <v>1796</v>
      </c>
      <c r="C624" s="3">
        <v>180</v>
      </c>
      <c r="D624" s="3">
        <v>0.83299999999999996</v>
      </c>
      <c r="E624" s="4">
        <v>0.19900000000000001</v>
      </c>
      <c r="F624" s="3">
        <v>0.18</v>
      </c>
      <c r="G624" s="3">
        <v>0.71199999999999997</v>
      </c>
      <c r="H624" s="3">
        <v>0.90500000000000003</v>
      </c>
      <c r="I624" s="5">
        <v>97</v>
      </c>
      <c r="J624" s="3">
        <v>0</v>
      </c>
      <c r="K624" s="3">
        <v>5.9</v>
      </c>
    </row>
    <row r="625" spans="1:11" x14ac:dyDescent="0.2">
      <c r="A625" s="3">
        <v>41</v>
      </c>
      <c r="B625" s="3">
        <v>1946</v>
      </c>
      <c r="C625" s="3">
        <v>85</v>
      </c>
      <c r="D625" s="3">
        <v>0.83299999999999996</v>
      </c>
      <c r="E625" s="4">
        <v>0.17599999999999999</v>
      </c>
      <c r="F625" s="3">
        <v>0.20599999999999999</v>
      </c>
      <c r="G625" s="3">
        <v>0.89900000000000002</v>
      </c>
      <c r="H625" s="3">
        <v>0.93200000000000005</v>
      </c>
      <c r="I625" s="5">
        <v>93</v>
      </c>
      <c r="J625" s="3">
        <v>15</v>
      </c>
      <c r="K625" s="3">
        <v>12.6</v>
      </c>
    </row>
    <row r="626" spans="1:11" x14ac:dyDescent="0.2">
      <c r="A626" s="3">
        <v>89</v>
      </c>
      <c r="B626" s="3">
        <v>4354</v>
      </c>
      <c r="C626" s="3">
        <v>175</v>
      </c>
      <c r="D626" s="3">
        <v>0.83299999999999996</v>
      </c>
      <c r="E626" s="4">
        <v>9.7000000000000003E-2</v>
      </c>
      <c r="F626" s="3">
        <v>9.7000000000000003E-2</v>
      </c>
      <c r="G626" s="3">
        <v>0.91100000000000003</v>
      </c>
      <c r="H626" s="3">
        <v>0.94199999999999995</v>
      </c>
      <c r="I626" s="5">
        <v>52</v>
      </c>
      <c r="J626" s="3">
        <v>2</v>
      </c>
      <c r="K626" s="3">
        <v>3.7</v>
      </c>
    </row>
    <row r="627" spans="1:11" x14ac:dyDescent="0.2">
      <c r="A627" s="3">
        <v>34</v>
      </c>
      <c r="B627" s="3">
        <v>1600</v>
      </c>
      <c r="C627" s="3">
        <v>99</v>
      </c>
      <c r="D627" s="3">
        <v>0.83399999999999996</v>
      </c>
      <c r="E627" s="4">
        <v>0.19500000000000001</v>
      </c>
      <c r="F627" s="3">
        <v>6.5000000000000002E-2</v>
      </c>
      <c r="G627" s="3">
        <v>0.81299999999999994</v>
      </c>
      <c r="H627" s="3">
        <v>0.92300000000000004</v>
      </c>
      <c r="I627" s="5">
        <v>10</v>
      </c>
      <c r="J627" s="3">
        <v>15</v>
      </c>
      <c r="K627" s="3">
        <v>8.4</v>
      </c>
    </row>
    <row r="628" spans="1:11" x14ac:dyDescent="0.2">
      <c r="A628" s="3">
        <v>44</v>
      </c>
      <c r="B628" s="3">
        <v>2162</v>
      </c>
      <c r="C628" s="3">
        <v>169</v>
      </c>
      <c r="D628" s="3">
        <v>0.83399999999999996</v>
      </c>
      <c r="E628" s="4">
        <v>7.3999999999999996E-2</v>
      </c>
      <c r="F628" s="3">
        <v>9.1999999999999998E-2</v>
      </c>
      <c r="G628" s="3">
        <v>0.71399999999999997</v>
      </c>
      <c r="H628" s="3">
        <v>0.99299999999999999</v>
      </c>
      <c r="I628" s="5">
        <v>34</v>
      </c>
      <c r="J628" s="3">
        <v>18</v>
      </c>
      <c r="K628" s="3">
        <v>13.8</v>
      </c>
    </row>
    <row r="629" spans="1:11" x14ac:dyDescent="0.2">
      <c r="A629" s="3">
        <v>77</v>
      </c>
      <c r="B629" s="3">
        <v>3801</v>
      </c>
      <c r="C629" s="3">
        <v>65</v>
      </c>
      <c r="D629" s="3">
        <v>0.83399999999999996</v>
      </c>
      <c r="E629" s="4">
        <v>0.109</v>
      </c>
      <c r="F629" s="3">
        <v>0.1</v>
      </c>
      <c r="G629" s="3">
        <v>0.85699999999999998</v>
      </c>
      <c r="H629" s="3">
        <v>0.94199999999999995</v>
      </c>
      <c r="I629" s="5">
        <v>48</v>
      </c>
      <c r="J629" s="3">
        <v>16</v>
      </c>
      <c r="K629" s="3">
        <v>1.8</v>
      </c>
    </row>
    <row r="630" spans="1:11" x14ac:dyDescent="0.2">
      <c r="A630" s="3">
        <v>99</v>
      </c>
      <c r="B630" s="3">
        <v>4886</v>
      </c>
      <c r="C630" s="3">
        <v>63</v>
      </c>
      <c r="D630" s="3">
        <v>0.83399999999999996</v>
      </c>
      <c r="E630" s="4">
        <v>6.4000000000000001E-2</v>
      </c>
      <c r="F630" s="3">
        <v>0.11700000000000001</v>
      </c>
      <c r="G630" s="3">
        <v>0.85</v>
      </c>
      <c r="H630" s="3">
        <v>0.94</v>
      </c>
      <c r="I630" s="5">
        <v>60</v>
      </c>
      <c r="J630" s="3">
        <v>2</v>
      </c>
      <c r="K630" s="3">
        <v>2.7</v>
      </c>
    </row>
    <row r="631" spans="1:11" x14ac:dyDescent="0.2">
      <c r="A631" s="3">
        <v>54</v>
      </c>
      <c r="B631" s="3">
        <v>2479</v>
      </c>
      <c r="C631" s="3">
        <v>106</v>
      </c>
      <c r="D631" s="3">
        <v>0.83499999999999996</v>
      </c>
      <c r="E631" s="4">
        <v>9.8000000000000004E-2</v>
      </c>
      <c r="F631" s="3">
        <v>0.24399999999999999</v>
      </c>
      <c r="G631" s="3">
        <v>0.81699999999999995</v>
      </c>
      <c r="H631" s="3">
        <v>0.98399999999999999</v>
      </c>
      <c r="I631" s="5">
        <v>50</v>
      </c>
      <c r="J631" s="3">
        <v>2</v>
      </c>
      <c r="K631" s="3">
        <v>8</v>
      </c>
    </row>
    <row r="632" spans="1:11" x14ac:dyDescent="0.2">
      <c r="A632" s="3">
        <v>58</v>
      </c>
      <c r="B632" s="3">
        <v>2843</v>
      </c>
      <c r="C632" s="3">
        <v>145</v>
      </c>
      <c r="D632" s="3">
        <v>0.83499999999999996</v>
      </c>
      <c r="E632" s="4">
        <v>0.1</v>
      </c>
      <c r="F632" s="3">
        <v>0.19800000000000001</v>
      </c>
      <c r="G632" s="3">
        <v>0.82499999999999996</v>
      </c>
      <c r="H632" s="3">
        <v>0.95199999999999996</v>
      </c>
      <c r="I632" s="5">
        <v>26</v>
      </c>
      <c r="J632" s="3">
        <v>7</v>
      </c>
      <c r="K632" s="3">
        <v>10.5</v>
      </c>
    </row>
    <row r="633" spans="1:11" x14ac:dyDescent="0.2">
      <c r="A633" s="3">
        <v>81</v>
      </c>
      <c r="B633" s="3">
        <v>3823</v>
      </c>
      <c r="C633" s="3">
        <v>27</v>
      </c>
      <c r="D633" s="3">
        <v>0.83499999999999996</v>
      </c>
      <c r="E633" s="4">
        <v>0.151</v>
      </c>
      <c r="F633" s="3">
        <v>5.1999999999999998E-2</v>
      </c>
      <c r="G633" s="3">
        <v>0.76600000000000001</v>
      </c>
      <c r="H633" s="3">
        <v>0.97199999999999998</v>
      </c>
      <c r="I633" s="5">
        <v>20</v>
      </c>
      <c r="J633" s="3">
        <v>12</v>
      </c>
      <c r="K633" s="3">
        <v>8.6</v>
      </c>
    </row>
    <row r="634" spans="1:11" x14ac:dyDescent="0.2">
      <c r="A634" s="3">
        <v>90</v>
      </c>
      <c r="B634" s="3">
        <v>4237</v>
      </c>
      <c r="C634" s="3">
        <v>184</v>
      </c>
      <c r="D634" s="3">
        <v>0.83499999999999996</v>
      </c>
      <c r="E634" s="4">
        <v>2.5999999999999999E-2</v>
      </c>
      <c r="F634" s="3">
        <v>0.16500000000000001</v>
      </c>
      <c r="G634" s="3">
        <v>0.72199999999999998</v>
      </c>
      <c r="H634" s="3">
        <v>0.96799999999999997</v>
      </c>
      <c r="I634" s="5">
        <v>2</v>
      </c>
      <c r="J634" s="3">
        <v>12</v>
      </c>
      <c r="K634" s="3">
        <v>10.9</v>
      </c>
    </row>
    <row r="635" spans="1:11" x14ac:dyDescent="0.2">
      <c r="A635" s="3">
        <v>41</v>
      </c>
      <c r="B635" s="3">
        <v>1775</v>
      </c>
      <c r="C635" s="3">
        <v>48</v>
      </c>
      <c r="D635" s="3">
        <v>0.83599999999999997</v>
      </c>
      <c r="E635" s="4">
        <v>2.1999999999999999E-2</v>
      </c>
      <c r="F635" s="3">
        <v>0.10100000000000001</v>
      </c>
      <c r="G635" s="3">
        <v>0.879</v>
      </c>
      <c r="H635" s="3">
        <v>0.97199999999999998</v>
      </c>
      <c r="I635" s="5">
        <v>2</v>
      </c>
      <c r="J635" s="3">
        <v>12</v>
      </c>
      <c r="K635" s="3">
        <v>1.8</v>
      </c>
    </row>
    <row r="636" spans="1:11" x14ac:dyDescent="0.2">
      <c r="A636" s="3">
        <v>43</v>
      </c>
      <c r="B636" s="3">
        <v>1929</v>
      </c>
      <c r="C636" s="3">
        <v>119</v>
      </c>
      <c r="D636" s="3">
        <v>0.83599999999999997</v>
      </c>
      <c r="E636" s="4">
        <v>5.2999999999999999E-2</v>
      </c>
      <c r="F636" s="3">
        <v>0.16600000000000001</v>
      </c>
      <c r="G636" s="3">
        <v>0.83199999999999996</v>
      </c>
      <c r="H636" s="3">
        <v>0.91300000000000003</v>
      </c>
      <c r="I636" s="5">
        <v>77</v>
      </c>
      <c r="J636" s="3">
        <v>0</v>
      </c>
      <c r="K636" s="3">
        <v>6.2</v>
      </c>
    </row>
    <row r="637" spans="1:11" x14ac:dyDescent="0.2">
      <c r="A637" s="3">
        <v>49</v>
      </c>
      <c r="B637" s="3">
        <v>2296</v>
      </c>
      <c r="C637" s="3">
        <v>162</v>
      </c>
      <c r="D637" s="3">
        <v>0.83599999999999997</v>
      </c>
      <c r="E637" s="4">
        <v>8.6999999999999994E-2</v>
      </c>
      <c r="F637" s="3">
        <v>0.29199999999999998</v>
      </c>
      <c r="G637" s="3">
        <v>0.92100000000000004</v>
      </c>
      <c r="H637" s="3">
        <v>0.93100000000000005</v>
      </c>
      <c r="I637" s="5">
        <v>45</v>
      </c>
      <c r="J637" s="3">
        <v>18</v>
      </c>
      <c r="K637" s="3">
        <v>12.7</v>
      </c>
    </row>
    <row r="638" spans="1:11" x14ac:dyDescent="0.2">
      <c r="A638" s="3">
        <v>48</v>
      </c>
      <c r="B638" s="3">
        <v>2134</v>
      </c>
      <c r="C638" s="3">
        <v>166</v>
      </c>
      <c r="D638" s="3">
        <v>0.83699999999999997</v>
      </c>
      <c r="E638" s="4">
        <v>8.6999999999999994E-2</v>
      </c>
      <c r="F638" s="3">
        <v>0.28899999999999998</v>
      </c>
      <c r="G638" s="3">
        <v>0.73799999999999999</v>
      </c>
      <c r="H638" s="3">
        <v>0.95099999999999996</v>
      </c>
      <c r="I638" s="5">
        <v>37</v>
      </c>
      <c r="J638" s="3">
        <v>0</v>
      </c>
      <c r="K638" s="3">
        <v>1.3</v>
      </c>
    </row>
    <row r="639" spans="1:11" x14ac:dyDescent="0.2">
      <c r="A639" s="3">
        <v>80</v>
      </c>
      <c r="B639" s="3">
        <v>3792</v>
      </c>
      <c r="C639" s="3">
        <v>191</v>
      </c>
      <c r="D639" s="3">
        <v>0.83699999999999997</v>
      </c>
      <c r="E639" s="4">
        <v>3.7999999999999999E-2</v>
      </c>
      <c r="F639" s="3">
        <v>0.114</v>
      </c>
      <c r="G639" s="3">
        <v>0.90600000000000003</v>
      </c>
      <c r="H639" s="3">
        <v>0.93700000000000006</v>
      </c>
      <c r="I639" s="5">
        <v>15</v>
      </c>
      <c r="J639" s="3">
        <v>3</v>
      </c>
      <c r="K639" s="3">
        <v>8.5</v>
      </c>
    </row>
    <row r="640" spans="1:11" x14ac:dyDescent="0.2">
      <c r="A640" s="3">
        <v>65</v>
      </c>
      <c r="B640" s="3">
        <v>3179</v>
      </c>
      <c r="C640" s="3">
        <v>46</v>
      </c>
      <c r="D640" s="3">
        <v>0.83799999999999997</v>
      </c>
      <c r="E640" s="4">
        <v>7.2999999999999995E-2</v>
      </c>
      <c r="F640" s="3">
        <v>8.3000000000000004E-2</v>
      </c>
      <c r="G640" s="3">
        <v>0.72299999999999998</v>
      </c>
      <c r="H640" s="3">
        <v>0.997</v>
      </c>
      <c r="I640" s="5">
        <v>3</v>
      </c>
      <c r="J640" s="3">
        <v>8</v>
      </c>
      <c r="K640" s="3">
        <v>10.3</v>
      </c>
    </row>
    <row r="641" spans="1:11" x14ac:dyDescent="0.2">
      <c r="A641" s="3">
        <v>96</v>
      </c>
      <c r="B641" s="3">
        <v>4730</v>
      </c>
      <c r="C641" s="3">
        <v>66</v>
      </c>
      <c r="D641" s="3">
        <v>0.83799999999999997</v>
      </c>
      <c r="E641" s="4">
        <v>5.7000000000000002E-2</v>
      </c>
      <c r="F641" s="3">
        <v>0.124</v>
      </c>
      <c r="G641" s="3">
        <v>0.86599999999999999</v>
      </c>
      <c r="H641" s="3">
        <v>0.999</v>
      </c>
      <c r="I641" s="5">
        <v>53</v>
      </c>
      <c r="J641" s="3">
        <v>16</v>
      </c>
      <c r="K641" s="3">
        <v>12</v>
      </c>
    </row>
    <row r="642" spans="1:11" x14ac:dyDescent="0.2">
      <c r="A642" s="3">
        <v>27</v>
      </c>
      <c r="B642" s="3">
        <v>1187</v>
      </c>
      <c r="C642" s="3">
        <v>120</v>
      </c>
      <c r="D642" s="3">
        <v>0.83899999999999997</v>
      </c>
      <c r="E642" s="4">
        <v>0.16400000000000001</v>
      </c>
      <c r="F642" s="3">
        <v>0.18</v>
      </c>
      <c r="G642" s="3">
        <v>0.96399999999999997</v>
      </c>
      <c r="H642" s="3">
        <v>0.92</v>
      </c>
      <c r="I642" s="5">
        <v>94</v>
      </c>
      <c r="J642" s="3">
        <v>8</v>
      </c>
      <c r="K642" s="3">
        <v>4.3</v>
      </c>
    </row>
    <row r="643" spans="1:11" x14ac:dyDescent="0.2">
      <c r="A643" s="3">
        <v>62</v>
      </c>
      <c r="B643" s="3">
        <v>2847</v>
      </c>
      <c r="C643" s="3">
        <v>22</v>
      </c>
      <c r="D643" s="3">
        <v>0.83899999999999997</v>
      </c>
      <c r="E643" s="4">
        <v>0.1</v>
      </c>
      <c r="F643" s="3">
        <v>0.22700000000000001</v>
      </c>
      <c r="G643" s="3">
        <v>0.77100000000000002</v>
      </c>
      <c r="H643" s="3">
        <v>0.91900000000000004</v>
      </c>
      <c r="I643" s="5">
        <v>52</v>
      </c>
      <c r="J643" s="3">
        <v>10</v>
      </c>
      <c r="K643" s="3">
        <v>4.4000000000000004</v>
      </c>
    </row>
    <row r="644" spans="1:11" x14ac:dyDescent="0.2">
      <c r="A644" s="3">
        <v>91</v>
      </c>
      <c r="B644" s="3">
        <v>4331</v>
      </c>
      <c r="C644" s="3">
        <v>123</v>
      </c>
      <c r="D644" s="3">
        <v>0.83899999999999997</v>
      </c>
      <c r="E644" s="4">
        <v>0.157</v>
      </c>
      <c r="F644" s="3">
        <v>0.26300000000000001</v>
      </c>
      <c r="G644" s="3">
        <v>0.96299999999999997</v>
      </c>
      <c r="H644" s="3">
        <v>0.97799999999999998</v>
      </c>
      <c r="I644" s="5">
        <v>74</v>
      </c>
      <c r="J644" s="3">
        <v>0</v>
      </c>
      <c r="K644" s="3">
        <v>1.6</v>
      </c>
    </row>
    <row r="645" spans="1:11" x14ac:dyDescent="0.2">
      <c r="A645" s="3">
        <v>100</v>
      </c>
      <c r="B645" s="3">
        <v>4805</v>
      </c>
      <c r="C645" s="3">
        <v>74</v>
      </c>
      <c r="D645" s="3">
        <v>0.83899999999999997</v>
      </c>
      <c r="E645" s="4">
        <v>0.107</v>
      </c>
      <c r="F645" s="3">
        <v>0.12</v>
      </c>
      <c r="G645" s="3">
        <v>0.93100000000000005</v>
      </c>
      <c r="H645" s="3">
        <v>0.94299999999999995</v>
      </c>
      <c r="I645" s="5">
        <v>72</v>
      </c>
      <c r="J645" s="3">
        <v>6</v>
      </c>
      <c r="K645" s="3">
        <v>2.2000000000000002</v>
      </c>
    </row>
    <row r="646" spans="1:11" x14ac:dyDescent="0.2">
      <c r="A646" s="3">
        <v>83</v>
      </c>
      <c r="B646" s="3">
        <v>3989</v>
      </c>
      <c r="C646" s="3">
        <v>105</v>
      </c>
      <c r="D646" s="3">
        <v>0.84</v>
      </c>
      <c r="E646" s="4">
        <v>4.5999999999999999E-2</v>
      </c>
      <c r="F646" s="3">
        <v>0.29099999999999998</v>
      </c>
      <c r="G646" s="3">
        <v>0.73899999999999999</v>
      </c>
      <c r="H646" s="3">
        <v>0.94699999999999995</v>
      </c>
      <c r="I646" s="5">
        <v>35</v>
      </c>
      <c r="J646" s="3">
        <v>12</v>
      </c>
      <c r="K646" s="3">
        <v>10.8</v>
      </c>
    </row>
    <row r="647" spans="1:11" x14ac:dyDescent="0.2">
      <c r="A647" s="3">
        <v>86</v>
      </c>
      <c r="B647" s="3">
        <v>4252</v>
      </c>
      <c r="C647" s="3">
        <v>177</v>
      </c>
      <c r="D647" s="3">
        <v>0.84</v>
      </c>
      <c r="E647" s="4">
        <v>0.17699999999999999</v>
      </c>
      <c r="F647" s="3">
        <v>0.27200000000000002</v>
      </c>
      <c r="G647" s="3">
        <v>0.80200000000000005</v>
      </c>
      <c r="H647" s="3">
        <v>0.98799999999999999</v>
      </c>
      <c r="I647" s="5">
        <v>15</v>
      </c>
      <c r="J647" s="3">
        <v>13</v>
      </c>
      <c r="K647" s="3">
        <v>6</v>
      </c>
    </row>
    <row r="648" spans="1:11" x14ac:dyDescent="0.2">
      <c r="A648" s="3">
        <v>85</v>
      </c>
      <c r="B648" s="3">
        <v>4030</v>
      </c>
      <c r="C648" s="3">
        <v>182</v>
      </c>
      <c r="D648" s="3">
        <v>0.84099999999999997</v>
      </c>
      <c r="E648" s="4">
        <v>4.9000000000000002E-2</v>
      </c>
      <c r="F648" s="3">
        <v>0.223</v>
      </c>
      <c r="G648" s="3">
        <v>0.93600000000000005</v>
      </c>
      <c r="H648" s="3">
        <v>0.93700000000000006</v>
      </c>
      <c r="I648" s="5">
        <v>74</v>
      </c>
      <c r="J648" s="3">
        <v>3</v>
      </c>
      <c r="K648" s="3">
        <v>9</v>
      </c>
    </row>
    <row r="649" spans="1:11" x14ac:dyDescent="0.2">
      <c r="A649" s="3">
        <v>90</v>
      </c>
      <c r="B649" s="3">
        <v>4285</v>
      </c>
      <c r="C649" s="3">
        <v>53</v>
      </c>
      <c r="D649" s="3">
        <v>0.84099999999999997</v>
      </c>
      <c r="E649" s="4">
        <v>6.4000000000000001E-2</v>
      </c>
      <c r="F649" s="3">
        <v>6.8000000000000005E-2</v>
      </c>
      <c r="G649" s="3">
        <v>0.97499999999999998</v>
      </c>
      <c r="H649" s="3">
        <v>0.90700000000000003</v>
      </c>
      <c r="I649" s="5">
        <v>78</v>
      </c>
      <c r="J649" s="3">
        <v>13</v>
      </c>
      <c r="K649" s="3">
        <v>2</v>
      </c>
    </row>
    <row r="650" spans="1:11" x14ac:dyDescent="0.2">
      <c r="A650" s="3">
        <v>78</v>
      </c>
      <c r="B650" s="3">
        <v>3857</v>
      </c>
      <c r="C650" s="3">
        <v>42</v>
      </c>
      <c r="D650" s="3">
        <v>0.84199999999999997</v>
      </c>
      <c r="E650" s="4">
        <v>0.13700000000000001</v>
      </c>
      <c r="F650" s="3">
        <v>0.09</v>
      </c>
      <c r="G650" s="3">
        <v>0.74399999999999999</v>
      </c>
      <c r="H650" s="3">
        <v>0.97</v>
      </c>
      <c r="I650" s="5">
        <v>33</v>
      </c>
      <c r="J650" s="3">
        <v>8</v>
      </c>
      <c r="K650" s="3">
        <v>5.5</v>
      </c>
    </row>
    <row r="651" spans="1:11" x14ac:dyDescent="0.2">
      <c r="A651" s="3">
        <v>83</v>
      </c>
      <c r="B651" s="3">
        <v>4085</v>
      </c>
      <c r="C651" s="3">
        <v>196</v>
      </c>
      <c r="D651" s="3">
        <v>0.84299999999999997</v>
      </c>
      <c r="E651" s="4">
        <v>0.193</v>
      </c>
      <c r="F651" s="3">
        <v>0.112</v>
      </c>
      <c r="G651" s="3">
        <v>0.82399999999999995</v>
      </c>
      <c r="H651" s="3">
        <v>0.95899999999999996</v>
      </c>
      <c r="I651" s="5">
        <v>41</v>
      </c>
      <c r="J651" s="3">
        <v>17</v>
      </c>
      <c r="K651" s="3">
        <v>12.4</v>
      </c>
    </row>
    <row r="652" spans="1:11" x14ac:dyDescent="0.2">
      <c r="A652" s="3">
        <v>100</v>
      </c>
      <c r="B652" s="3">
        <v>4829</v>
      </c>
      <c r="C652" s="3">
        <v>135</v>
      </c>
      <c r="D652" s="3">
        <v>0.84299999999999997</v>
      </c>
      <c r="E652" s="4">
        <v>0.153</v>
      </c>
      <c r="F652" s="3">
        <v>0.28599999999999998</v>
      </c>
      <c r="G652" s="3">
        <v>0.93899999999999995</v>
      </c>
      <c r="H652" s="3">
        <v>0.94399999999999995</v>
      </c>
      <c r="I652" s="5">
        <v>28</v>
      </c>
      <c r="J652" s="3">
        <v>0</v>
      </c>
      <c r="K652" s="3">
        <v>12.7</v>
      </c>
    </row>
    <row r="653" spans="1:11" x14ac:dyDescent="0.2">
      <c r="A653" s="3">
        <v>46</v>
      </c>
      <c r="B653" s="3">
        <v>2196</v>
      </c>
      <c r="C653" s="3">
        <v>57</v>
      </c>
      <c r="D653" s="3">
        <v>0.84399999999999997</v>
      </c>
      <c r="E653" s="4">
        <v>0.16900000000000001</v>
      </c>
      <c r="F653" s="3">
        <v>0.14399999999999999</v>
      </c>
      <c r="G653" s="3">
        <v>0.82599999999999996</v>
      </c>
      <c r="H653" s="3">
        <v>0.92100000000000004</v>
      </c>
      <c r="I653" s="5">
        <v>8</v>
      </c>
      <c r="J653" s="3">
        <v>9</v>
      </c>
      <c r="K653" s="3">
        <v>13.5</v>
      </c>
    </row>
    <row r="654" spans="1:11" x14ac:dyDescent="0.2">
      <c r="A654" s="3">
        <v>61</v>
      </c>
      <c r="B654" s="3">
        <v>2834</v>
      </c>
      <c r="C654" s="3">
        <v>57</v>
      </c>
      <c r="D654" s="3">
        <v>0.84399999999999997</v>
      </c>
      <c r="E654" s="4">
        <v>0.19600000000000001</v>
      </c>
      <c r="F654" s="3">
        <v>0.16500000000000001</v>
      </c>
      <c r="G654" s="3">
        <v>0.97399999999999998</v>
      </c>
      <c r="H654" s="3">
        <v>0.95299999999999996</v>
      </c>
      <c r="I654" s="5">
        <v>65</v>
      </c>
      <c r="J654" s="3">
        <v>13</v>
      </c>
      <c r="K654" s="3">
        <v>14.2</v>
      </c>
    </row>
    <row r="655" spans="1:11" x14ac:dyDescent="0.2">
      <c r="A655" s="3">
        <v>96</v>
      </c>
      <c r="B655" s="3">
        <v>4576</v>
      </c>
      <c r="C655" s="3">
        <v>58</v>
      </c>
      <c r="D655" s="3">
        <v>0.84399999999999997</v>
      </c>
      <c r="E655" s="4">
        <v>0.14399999999999999</v>
      </c>
      <c r="F655" s="3">
        <v>0.25</v>
      </c>
      <c r="G655" s="3">
        <v>0.73299999999999998</v>
      </c>
      <c r="H655" s="3">
        <v>0.96799999999999997</v>
      </c>
      <c r="I655" s="5">
        <v>62</v>
      </c>
      <c r="J655" s="3">
        <v>9</v>
      </c>
      <c r="K655" s="3">
        <v>12.9</v>
      </c>
    </row>
    <row r="656" spans="1:11" x14ac:dyDescent="0.2">
      <c r="A656" s="3">
        <v>78</v>
      </c>
      <c r="B656" s="3">
        <v>3685</v>
      </c>
      <c r="C656" s="3">
        <v>10</v>
      </c>
      <c r="D656" s="3">
        <v>0.84499999999999997</v>
      </c>
      <c r="E656" s="4">
        <v>0.107</v>
      </c>
      <c r="F656" s="3">
        <v>7.2999999999999995E-2</v>
      </c>
      <c r="G656" s="3">
        <v>0.90300000000000002</v>
      </c>
      <c r="H656" s="3">
        <v>0.97399999999999998</v>
      </c>
      <c r="I656" s="5">
        <v>62</v>
      </c>
      <c r="J656" s="3">
        <v>7</v>
      </c>
      <c r="K656" s="3">
        <v>4.8</v>
      </c>
    </row>
    <row r="657" spans="1:11" x14ac:dyDescent="0.2">
      <c r="A657" s="3">
        <v>36</v>
      </c>
      <c r="B657" s="3">
        <v>1619</v>
      </c>
      <c r="C657" s="3">
        <v>136</v>
      </c>
      <c r="D657" s="3">
        <v>0.84599999999999997</v>
      </c>
      <c r="E657" s="4">
        <v>0.14199999999999999</v>
      </c>
      <c r="F657" s="3">
        <v>0.22700000000000001</v>
      </c>
      <c r="G657" s="3">
        <v>0.97299999999999998</v>
      </c>
      <c r="H657" s="3">
        <v>0.96399999999999997</v>
      </c>
      <c r="I657" s="5">
        <v>23</v>
      </c>
      <c r="J657" s="3">
        <v>13</v>
      </c>
      <c r="K657" s="3">
        <v>5.8</v>
      </c>
    </row>
    <row r="658" spans="1:11" x14ac:dyDescent="0.2">
      <c r="A658" s="3">
        <v>44</v>
      </c>
      <c r="B658" s="3">
        <v>2088</v>
      </c>
      <c r="C658" s="3">
        <v>112</v>
      </c>
      <c r="D658" s="3">
        <v>0.84599999999999997</v>
      </c>
      <c r="E658" s="4">
        <v>9.5000000000000001E-2</v>
      </c>
      <c r="F658" s="3">
        <v>0.13800000000000001</v>
      </c>
      <c r="G658" s="3">
        <v>0.70299999999999996</v>
      </c>
      <c r="H658" s="3">
        <v>0.98099999999999998</v>
      </c>
      <c r="I658" s="5">
        <v>44</v>
      </c>
      <c r="J658" s="3">
        <v>2</v>
      </c>
      <c r="K658" s="3">
        <v>14.3</v>
      </c>
    </row>
    <row r="659" spans="1:11" x14ac:dyDescent="0.2">
      <c r="A659" s="3">
        <v>76</v>
      </c>
      <c r="B659" s="3">
        <v>3555</v>
      </c>
      <c r="C659" s="3">
        <v>185</v>
      </c>
      <c r="D659" s="3">
        <v>0.84599999999999997</v>
      </c>
      <c r="E659" s="4">
        <v>1.4999999999999999E-2</v>
      </c>
      <c r="F659" s="3">
        <v>0.25</v>
      </c>
      <c r="G659" s="3">
        <v>0.74299999999999999</v>
      </c>
      <c r="H659" s="3">
        <v>0.93100000000000005</v>
      </c>
      <c r="I659" s="5">
        <v>5</v>
      </c>
      <c r="J659" s="3">
        <v>15</v>
      </c>
      <c r="K659" s="3">
        <v>3.3</v>
      </c>
    </row>
    <row r="660" spans="1:11" x14ac:dyDescent="0.2">
      <c r="A660" s="3">
        <v>73</v>
      </c>
      <c r="B660" s="3">
        <v>3567</v>
      </c>
      <c r="C660" s="3">
        <v>29</v>
      </c>
      <c r="D660" s="3">
        <v>0.84599999999999997</v>
      </c>
      <c r="E660" s="4">
        <v>8.4000000000000005E-2</v>
      </c>
      <c r="F660" s="3">
        <v>0.14199999999999999</v>
      </c>
      <c r="G660" s="3">
        <v>0.78600000000000003</v>
      </c>
      <c r="H660" s="3">
        <v>0.93300000000000005</v>
      </c>
      <c r="I660" s="5">
        <v>48</v>
      </c>
      <c r="J660" s="3">
        <v>17</v>
      </c>
      <c r="K660" s="3">
        <v>10.1</v>
      </c>
    </row>
    <row r="661" spans="1:11" x14ac:dyDescent="0.2">
      <c r="A661" s="3">
        <v>65</v>
      </c>
      <c r="B661" s="3">
        <v>3064</v>
      </c>
      <c r="C661" s="3">
        <v>140</v>
      </c>
      <c r="D661" s="3">
        <v>0.84699999999999998</v>
      </c>
      <c r="E661" s="4">
        <v>1.2999999999999999E-2</v>
      </c>
      <c r="F661" s="3">
        <v>6.9000000000000006E-2</v>
      </c>
      <c r="G661" s="3">
        <v>0.747</v>
      </c>
      <c r="H661" s="3">
        <v>0.93700000000000006</v>
      </c>
      <c r="I661" s="5">
        <v>46</v>
      </c>
      <c r="J661" s="3">
        <v>12</v>
      </c>
      <c r="K661" s="3">
        <v>12.5</v>
      </c>
    </row>
    <row r="662" spans="1:11" x14ac:dyDescent="0.2">
      <c r="A662" s="3">
        <v>97</v>
      </c>
      <c r="B662" s="3">
        <v>4718</v>
      </c>
      <c r="C662" s="3">
        <v>133</v>
      </c>
      <c r="D662" s="3">
        <v>0.84699999999999998</v>
      </c>
      <c r="E662" s="4">
        <v>0.189</v>
      </c>
      <c r="F662" s="3">
        <v>0.251</v>
      </c>
      <c r="G662" s="3">
        <v>0.96699999999999997</v>
      </c>
      <c r="H662" s="3">
        <v>0.91500000000000004</v>
      </c>
      <c r="I662" s="5">
        <v>86</v>
      </c>
      <c r="J662" s="3">
        <v>8</v>
      </c>
      <c r="K662" s="3">
        <v>11.4</v>
      </c>
    </row>
    <row r="663" spans="1:11" x14ac:dyDescent="0.2">
      <c r="A663" s="3">
        <v>64</v>
      </c>
      <c r="B663" s="3">
        <v>2950</v>
      </c>
      <c r="C663" s="3">
        <v>52</v>
      </c>
      <c r="D663" s="3">
        <v>0.84799999999999998</v>
      </c>
      <c r="E663" s="4">
        <v>0.14000000000000001</v>
      </c>
      <c r="F663" s="3">
        <v>0.27900000000000003</v>
      </c>
      <c r="G663" s="3">
        <v>0.80400000000000005</v>
      </c>
      <c r="H663" s="3">
        <v>0.93899999999999995</v>
      </c>
      <c r="I663" s="5">
        <v>90</v>
      </c>
      <c r="J663" s="3">
        <v>12</v>
      </c>
      <c r="K663" s="3">
        <v>10.7</v>
      </c>
    </row>
    <row r="664" spans="1:11" x14ac:dyDescent="0.2">
      <c r="A664" s="3">
        <v>48</v>
      </c>
      <c r="B664" s="3">
        <v>2241</v>
      </c>
      <c r="C664" s="3">
        <v>99</v>
      </c>
      <c r="D664" s="3">
        <v>0.84899999999999998</v>
      </c>
      <c r="E664" s="4">
        <v>8.5000000000000006E-2</v>
      </c>
      <c r="F664" s="3">
        <v>0.24299999999999999</v>
      </c>
      <c r="G664" s="3">
        <v>0.74299999999999999</v>
      </c>
      <c r="H664" s="3">
        <v>0.93799999999999994</v>
      </c>
      <c r="I664" s="5">
        <v>63</v>
      </c>
      <c r="J664" s="3">
        <v>2</v>
      </c>
      <c r="K664" s="3">
        <v>7.6</v>
      </c>
    </row>
    <row r="665" spans="1:11" x14ac:dyDescent="0.2">
      <c r="A665" s="3">
        <v>88</v>
      </c>
      <c r="B665" s="3">
        <v>4336</v>
      </c>
      <c r="C665" s="3">
        <v>52</v>
      </c>
      <c r="D665" s="3">
        <v>0.85</v>
      </c>
      <c r="E665" s="4">
        <v>0.02</v>
      </c>
      <c r="F665" s="3">
        <v>0.14899999999999999</v>
      </c>
      <c r="G665" s="3">
        <v>0.93899999999999995</v>
      </c>
      <c r="H665" s="3">
        <v>0.94499999999999995</v>
      </c>
      <c r="I665" s="5">
        <v>94</v>
      </c>
      <c r="J665" s="3">
        <v>12</v>
      </c>
      <c r="K665" s="3">
        <v>9.5</v>
      </c>
    </row>
    <row r="666" spans="1:11" x14ac:dyDescent="0.2">
      <c r="A666" s="3">
        <v>99</v>
      </c>
      <c r="B666" s="3">
        <v>4871</v>
      </c>
      <c r="C666" s="3">
        <v>68</v>
      </c>
      <c r="D666" s="3">
        <v>0.85</v>
      </c>
      <c r="E666" s="4">
        <v>0.17799999999999999</v>
      </c>
      <c r="F666" s="3">
        <v>0.29599999999999999</v>
      </c>
      <c r="G666" s="3">
        <v>0.73199999999999998</v>
      </c>
      <c r="H666" s="3">
        <v>0.91200000000000003</v>
      </c>
      <c r="I666" s="5">
        <v>61</v>
      </c>
      <c r="J666" s="3">
        <v>3</v>
      </c>
      <c r="K666" s="3">
        <v>3.5</v>
      </c>
    </row>
    <row r="667" spans="1:11" x14ac:dyDescent="0.2">
      <c r="A667" s="3">
        <v>102</v>
      </c>
      <c r="B667" s="3">
        <v>4899</v>
      </c>
      <c r="C667" s="3">
        <v>48</v>
      </c>
      <c r="D667" s="3">
        <v>0.85</v>
      </c>
      <c r="E667" s="4">
        <v>4.7E-2</v>
      </c>
      <c r="F667" s="3">
        <v>0.16400000000000001</v>
      </c>
      <c r="G667" s="3">
        <v>0.84599999999999997</v>
      </c>
      <c r="H667" s="3">
        <v>0.96699999999999997</v>
      </c>
      <c r="I667" s="5">
        <v>71</v>
      </c>
      <c r="J667" s="3">
        <v>15</v>
      </c>
      <c r="K667" s="3">
        <v>8.1</v>
      </c>
    </row>
    <row r="668" spans="1:11" x14ac:dyDescent="0.2">
      <c r="A668" s="3">
        <v>75</v>
      </c>
      <c r="B668" s="3">
        <v>3493</v>
      </c>
      <c r="C668" s="3">
        <v>123</v>
      </c>
      <c r="D668" s="3">
        <v>0.85099999999999998</v>
      </c>
      <c r="E668" s="4">
        <v>6.8000000000000005E-2</v>
      </c>
      <c r="F668" s="3">
        <v>0.17699999999999999</v>
      </c>
      <c r="G668" s="3">
        <v>0.85</v>
      </c>
      <c r="H668" s="3">
        <v>0.94299999999999995</v>
      </c>
      <c r="I668" s="5">
        <v>47</v>
      </c>
      <c r="J668" s="3">
        <v>14</v>
      </c>
      <c r="K668" s="3">
        <v>3.8</v>
      </c>
    </row>
    <row r="669" spans="1:11" x14ac:dyDescent="0.2">
      <c r="A669" s="3">
        <v>100</v>
      </c>
      <c r="B669" s="3">
        <v>4737</v>
      </c>
      <c r="C669" s="3">
        <v>31</v>
      </c>
      <c r="D669" s="3">
        <v>0.85099999999999998</v>
      </c>
      <c r="E669" s="4">
        <v>0.13300000000000001</v>
      </c>
      <c r="F669" s="3">
        <v>0.16900000000000001</v>
      </c>
      <c r="G669" s="3">
        <v>0.77900000000000003</v>
      </c>
      <c r="H669" s="3">
        <v>0.998</v>
      </c>
      <c r="I669" s="5">
        <v>31</v>
      </c>
      <c r="J669" s="3">
        <v>11</v>
      </c>
      <c r="K669" s="3">
        <v>3</v>
      </c>
    </row>
    <row r="670" spans="1:11" x14ac:dyDescent="0.2">
      <c r="A670" s="3">
        <v>59</v>
      </c>
      <c r="B670" s="3">
        <v>2849</v>
      </c>
      <c r="C670" s="3">
        <v>80</v>
      </c>
      <c r="D670" s="3">
        <v>0.85199999999999998</v>
      </c>
      <c r="E670" s="4">
        <v>9.2999999999999999E-2</v>
      </c>
      <c r="F670" s="3">
        <v>0.192</v>
      </c>
      <c r="G670" s="3">
        <v>0.90500000000000003</v>
      </c>
      <c r="H670" s="3">
        <v>0.90600000000000003</v>
      </c>
      <c r="I670" s="5">
        <v>41</v>
      </c>
      <c r="J670" s="3">
        <v>7</v>
      </c>
      <c r="K670" s="3">
        <v>8.9</v>
      </c>
    </row>
    <row r="671" spans="1:11" x14ac:dyDescent="0.2">
      <c r="A671" s="3">
        <v>69</v>
      </c>
      <c r="B671" s="3">
        <v>3218</v>
      </c>
      <c r="C671" s="3">
        <v>191</v>
      </c>
      <c r="D671" s="3">
        <v>0.85199999999999998</v>
      </c>
      <c r="E671" s="4">
        <v>0.17499999999999999</v>
      </c>
      <c r="F671" s="3">
        <v>0.23799999999999999</v>
      </c>
      <c r="G671" s="3">
        <v>0.93500000000000005</v>
      </c>
      <c r="H671" s="3">
        <v>0.995</v>
      </c>
      <c r="I671" s="5">
        <v>65</v>
      </c>
      <c r="J671" s="3">
        <v>12</v>
      </c>
      <c r="K671" s="3">
        <v>10.1</v>
      </c>
    </row>
    <row r="672" spans="1:11" x14ac:dyDescent="0.2">
      <c r="A672" s="3">
        <v>38</v>
      </c>
      <c r="B672" s="3">
        <v>1680</v>
      </c>
      <c r="C672" s="3">
        <v>74</v>
      </c>
      <c r="D672" s="3">
        <v>0.85299999999999998</v>
      </c>
      <c r="E672" s="4">
        <v>1.9E-2</v>
      </c>
      <c r="F672" s="3">
        <v>0.17599999999999999</v>
      </c>
      <c r="G672" s="3">
        <v>0.77300000000000002</v>
      </c>
      <c r="H672" s="3">
        <v>0.93700000000000006</v>
      </c>
      <c r="I672" s="5">
        <v>76</v>
      </c>
      <c r="J672" s="3">
        <v>17</v>
      </c>
      <c r="K672" s="3">
        <v>7.7</v>
      </c>
    </row>
    <row r="673" spans="1:11" x14ac:dyDescent="0.2">
      <c r="A673" s="3">
        <v>58</v>
      </c>
      <c r="B673" s="3">
        <v>2776</v>
      </c>
      <c r="C673" s="3">
        <v>110</v>
      </c>
      <c r="D673" s="3">
        <v>0.85299999999999998</v>
      </c>
      <c r="E673" s="4">
        <v>4.7E-2</v>
      </c>
      <c r="F673" s="3">
        <v>0.13800000000000001</v>
      </c>
      <c r="G673" s="3">
        <v>0.79300000000000004</v>
      </c>
      <c r="H673" s="3">
        <v>0.93400000000000005</v>
      </c>
      <c r="I673" s="5">
        <v>71</v>
      </c>
      <c r="J673" s="3">
        <v>1</v>
      </c>
      <c r="K673" s="3">
        <v>5</v>
      </c>
    </row>
    <row r="674" spans="1:11" x14ac:dyDescent="0.2">
      <c r="A674" s="3">
        <v>68</v>
      </c>
      <c r="B674" s="3">
        <v>3277</v>
      </c>
      <c r="C674" s="3">
        <v>15</v>
      </c>
      <c r="D674" s="3">
        <v>0.85299999999999998</v>
      </c>
      <c r="E674" s="4">
        <v>0.17699999999999999</v>
      </c>
      <c r="F674" s="3">
        <v>9.1999999999999998E-2</v>
      </c>
      <c r="G674" s="3">
        <v>0.90900000000000003</v>
      </c>
      <c r="H674" s="3">
        <v>0.90200000000000002</v>
      </c>
      <c r="I674" s="5">
        <v>84</v>
      </c>
      <c r="J674" s="3">
        <v>19</v>
      </c>
      <c r="K674" s="3">
        <v>9.8000000000000007</v>
      </c>
    </row>
    <row r="675" spans="1:11" x14ac:dyDescent="0.2">
      <c r="A675" s="3">
        <v>73</v>
      </c>
      <c r="B675" s="3">
        <v>3536</v>
      </c>
      <c r="C675" s="3">
        <v>32</v>
      </c>
      <c r="D675" s="3">
        <v>0.85299999999999998</v>
      </c>
      <c r="E675" s="4">
        <v>6.5000000000000002E-2</v>
      </c>
      <c r="F675" s="3">
        <v>0.29499999999999998</v>
      </c>
      <c r="G675" s="3">
        <v>0.75600000000000001</v>
      </c>
      <c r="H675" s="3">
        <v>0.96499999999999997</v>
      </c>
      <c r="I675" s="5">
        <v>68</v>
      </c>
      <c r="J675" s="3">
        <v>7</v>
      </c>
      <c r="K675" s="3">
        <v>14.2</v>
      </c>
    </row>
    <row r="676" spans="1:11" x14ac:dyDescent="0.2">
      <c r="A676" s="3">
        <v>39</v>
      </c>
      <c r="B676" s="3">
        <v>1839</v>
      </c>
      <c r="C676" s="3">
        <v>33</v>
      </c>
      <c r="D676" s="3">
        <v>0.85599999999999998</v>
      </c>
      <c r="E676" s="4">
        <v>5.6000000000000001E-2</v>
      </c>
      <c r="F676" s="3">
        <v>0.25600000000000001</v>
      </c>
      <c r="G676" s="3">
        <v>0.98699999999999999</v>
      </c>
      <c r="H676" s="3">
        <v>0.98899999999999999</v>
      </c>
      <c r="I676" s="5">
        <v>79</v>
      </c>
      <c r="J676" s="3">
        <v>12</v>
      </c>
      <c r="K676" s="3">
        <v>1.3</v>
      </c>
    </row>
    <row r="677" spans="1:11" x14ac:dyDescent="0.2">
      <c r="A677" s="3">
        <v>79</v>
      </c>
      <c r="B677" s="3">
        <v>3750</v>
      </c>
      <c r="C677" s="3">
        <v>169</v>
      </c>
      <c r="D677" s="3">
        <v>0.85599999999999998</v>
      </c>
      <c r="E677" s="4">
        <v>8.5000000000000006E-2</v>
      </c>
      <c r="F677" s="3">
        <v>0.109</v>
      </c>
      <c r="G677" s="3">
        <v>0.75600000000000001</v>
      </c>
      <c r="H677" s="3">
        <v>0.96099999999999997</v>
      </c>
      <c r="I677" s="5">
        <v>44</v>
      </c>
      <c r="J677" s="3">
        <v>19</v>
      </c>
      <c r="K677" s="3">
        <v>1.1000000000000001</v>
      </c>
    </row>
    <row r="678" spans="1:11" x14ac:dyDescent="0.2">
      <c r="A678" s="3">
        <v>47</v>
      </c>
      <c r="B678" s="3">
        <v>2146</v>
      </c>
      <c r="C678" s="3">
        <v>163</v>
      </c>
      <c r="D678" s="3">
        <v>0.85699999999999998</v>
      </c>
      <c r="E678" s="4">
        <v>0.123</v>
      </c>
      <c r="F678" s="3">
        <v>0.253</v>
      </c>
      <c r="G678" s="3">
        <v>0.86799999999999999</v>
      </c>
      <c r="H678" s="3">
        <v>0.93500000000000005</v>
      </c>
      <c r="I678" s="5">
        <v>21</v>
      </c>
      <c r="J678" s="3">
        <v>4</v>
      </c>
      <c r="K678" s="3">
        <v>10.9</v>
      </c>
    </row>
    <row r="679" spans="1:11" x14ac:dyDescent="0.2">
      <c r="A679" s="3">
        <v>57</v>
      </c>
      <c r="B679" s="3">
        <v>2589</v>
      </c>
      <c r="C679" s="3">
        <v>191</v>
      </c>
      <c r="D679" s="3">
        <v>0.85699999999999998</v>
      </c>
      <c r="E679" s="4">
        <v>5.2999999999999999E-2</v>
      </c>
      <c r="F679" s="3">
        <v>0.218</v>
      </c>
      <c r="G679" s="3">
        <v>0.88800000000000001</v>
      </c>
      <c r="H679" s="3">
        <v>0.98499999999999999</v>
      </c>
      <c r="I679" s="5">
        <v>72</v>
      </c>
      <c r="J679" s="3">
        <v>4</v>
      </c>
      <c r="K679" s="3">
        <v>7.5</v>
      </c>
    </row>
    <row r="680" spans="1:11" x14ac:dyDescent="0.2">
      <c r="A680" s="3">
        <v>60</v>
      </c>
      <c r="B680" s="3">
        <v>2749</v>
      </c>
      <c r="C680" s="3">
        <v>75</v>
      </c>
      <c r="D680" s="3">
        <v>0.85699999999999998</v>
      </c>
      <c r="E680" s="4">
        <v>7.0999999999999994E-2</v>
      </c>
      <c r="F680" s="3">
        <v>0.249</v>
      </c>
      <c r="G680" s="3">
        <v>0.78300000000000003</v>
      </c>
      <c r="H680" s="3">
        <v>0.9</v>
      </c>
      <c r="I680" s="5">
        <v>81</v>
      </c>
      <c r="J680" s="3">
        <v>3</v>
      </c>
      <c r="K680" s="3">
        <v>4</v>
      </c>
    </row>
    <row r="681" spans="1:11" x14ac:dyDescent="0.2">
      <c r="A681" s="3">
        <v>69</v>
      </c>
      <c r="B681" s="3">
        <v>3384</v>
      </c>
      <c r="C681" s="3">
        <v>98</v>
      </c>
      <c r="D681" s="3">
        <v>0.85699999999999998</v>
      </c>
      <c r="E681" s="4">
        <v>7.3999999999999996E-2</v>
      </c>
      <c r="F681" s="3">
        <v>5.7000000000000002E-2</v>
      </c>
      <c r="G681" s="3">
        <v>0.82499999999999996</v>
      </c>
      <c r="H681" s="3">
        <v>0.93300000000000005</v>
      </c>
      <c r="I681" s="5">
        <v>37</v>
      </c>
      <c r="J681" s="3">
        <v>6</v>
      </c>
      <c r="K681" s="3">
        <v>10.5</v>
      </c>
    </row>
    <row r="682" spans="1:11" x14ac:dyDescent="0.2">
      <c r="A682" s="3">
        <v>74</v>
      </c>
      <c r="B682" s="3">
        <v>3606</v>
      </c>
      <c r="C682" s="3">
        <v>190</v>
      </c>
      <c r="D682" s="3">
        <v>0.85699999999999998</v>
      </c>
      <c r="E682" s="4">
        <v>0.19500000000000001</v>
      </c>
      <c r="F682" s="3">
        <v>0.26100000000000001</v>
      </c>
      <c r="G682" s="3">
        <v>0.93400000000000005</v>
      </c>
      <c r="H682" s="3">
        <v>0.98099999999999998</v>
      </c>
      <c r="I682" s="5">
        <v>57</v>
      </c>
      <c r="J682" s="3">
        <v>6</v>
      </c>
      <c r="K682" s="3">
        <v>8.8000000000000007</v>
      </c>
    </row>
    <row r="683" spans="1:11" x14ac:dyDescent="0.2">
      <c r="A683" s="3">
        <v>102</v>
      </c>
      <c r="B683" s="3">
        <v>4904</v>
      </c>
      <c r="C683" s="3">
        <v>158</v>
      </c>
      <c r="D683" s="3">
        <v>0.85699999999999998</v>
      </c>
      <c r="E683" s="4">
        <v>0.10100000000000001</v>
      </c>
      <c r="F683" s="3">
        <v>0.187</v>
      </c>
      <c r="G683" s="3">
        <v>0.86</v>
      </c>
      <c r="H683" s="3">
        <v>0.98499999999999999</v>
      </c>
      <c r="I683" s="5">
        <v>19</v>
      </c>
      <c r="J683" s="3">
        <v>11</v>
      </c>
      <c r="K683" s="3">
        <v>7.2</v>
      </c>
    </row>
    <row r="684" spans="1:11" x14ac:dyDescent="0.2">
      <c r="A684" s="3">
        <v>102</v>
      </c>
      <c r="B684" s="3">
        <v>4923</v>
      </c>
      <c r="C684" s="3">
        <v>143</v>
      </c>
      <c r="D684" s="3">
        <v>0.85699999999999998</v>
      </c>
      <c r="E684" s="4">
        <v>0.14799999999999999</v>
      </c>
      <c r="F684" s="3">
        <v>8.2000000000000003E-2</v>
      </c>
      <c r="G684" s="3">
        <v>0.85599999999999998</v>
      </c>
      <c r="H684" s="3">
        <v>0.93400000000000005</v>
      </c>
      <c r="I684" s="5">
        <v>95</v>
      </c>
      <c r="J684" s="3">
        <v>8</v>
      </c>
      <c r="K684" s="3">
        <v>1.7</v>
      </c>
    </row>
    <row r="685" spans="1:11" x14ac:dyDescent="0.2">
      <c r="A685" s="3">
        <v>31</v>
      </c>
      <c r="B685" s="3">
        <v>1362</v>
      </c>
      <c r="C685" s="3">
        <v>68</v>
      </c>
      <c r="D685" s="3">
        <v>0.85799999999999998</v>
      </c>
      <c r="E685" s="4">
        <v>6.0999999999999999E-2</v>
      </c>
      <c r="F685" s="3">
        <v>0.22900000000000001</v>
      </c>
      <c r="G685" s="3">
        <v>0.86899999999999999</v>
      </c>
      <c r="H685" s="3">
        <v>0.92800000000000005</v>
      </c>
      <c r="I685" s="5">
        <v>75</v>
      </c>
      <c r="J685" s="3">
        <v>2</v>
      </c>
      <c r="K685" s="3">
        <v>9.6999999999999993</v>
      </c>
    </row>
    <row r="686" spans="1:11" x14ac:dyDescent="0.2">
      <c r="A686" s="3">
        <v>51</v>
      </c>
      <c r="B686" s="3">
        <v>2494</v>
      </c>
      <c r="C686" s="3">
        <v>101</v>
      </c>
      <c r="D686" s="3">
        <v>0.85799999999999998</v>
      </c>
      <c r="E686" s="4">
        <v>0.128</v>
      </c>
      <c r="F686" s="3">
        <v>0.13500000000000001</v>
      </c>
      <c r="G686" s="3">
        <v>0.74</v>
      </c>
      <c r="H686" s="3">
        <v>0.96199999999999997</v>
      </c>
      <c r="I686" s="5">
        <v>44</v>
      </c>
      <c r="J686" s="3">
        <v>6</v>
      </c>
      <c r="K686" s="3">
        <v>10</v>
      </c>
    </row>
    <row r="687" spans="1:11" x14ac:dyDescent="0.2">
      <c r="A687" s="3">
        <v>64</v>
      </c>
      <c r="B687" s="3">
        <v>3014</v>
      </c>
      <c r="C687" s="3">
        <v>63</v>
      </c>
      <c r="D687" s="3">
        <v>0.85799999999999998</v>
      </c>
      <c r="E687" s="4">
        <v>0.129</v>
      </c>
      <c r="F687" s="3">
        <v>0.152</v>
      </c>
      <c r="G687" s="3">
        <v>0.70599999999999996</v>
      </c>
      <c r="H687" s="3">
        <v>0.94899999999999995</v>
      </c>
      <c r="I687" s="5">
        <v>36</v>
      </c>
      <c r="J687" s="3">
        <v>9</v>
      </c>
      <c r="K687" s="3">
        <v>13.8</v>
      </c>
    </row>
    <row r="688" spans="1:11" x14ac:dyDescent="0.2">
      <c r="A688" s="3">
        <v>74</v>
      </c>
      <c r="B688" s="3">
        <v>3661</v>
      </c>
      <c r="C688" s="3">
        <v>24</v>
      </c>
      <c r="D688" s="3">
        <v>0.85799999999999998</v>
      </c>
      <c r="E688" s="4">
        <v>2.9000000000000001E-2</v>
      </c>
      <c r="F688" s="3">
        <v>0.185</v>
      </c>
      <c r="G688" s="3">
        <v>0.89500000000000002</v>
      </c>
      <c r="H688" s="3">
        <v>0.996</v>
      </c>
      <c r="I688" s="5">
        <v>99</v>
      </c>
      <c r="J688" s="3">
        <v>18</v>
      </c>
      <c r="K688" s="3">
        <v>2.8</v>
      </c>
    </row>
    <row r="689" spans="1:11" x14ac:dyDescent="0.2">
      <c r="A689" s="3">
        <v>85</v>
      </c>
      <c r="B689" s="3">
        <v>4070</v>
      </c>
      <c r="C689" s="3">
        <v>56</v>
      </c>
      <c r="D689" s="3">
        <v>0.85799999999999998</v>
      </c>
      <c r="E689" s="4">
        <v>0.107</v>
      </c>
      <c r="F689" s="3">
        <v>0.20699999999999999</v>
      </c>
      <c r="G689" s="3">
        <v>0.97399999999999998</v>
      </c>
      <c r="H689" s="3">
        <v>0.99099999999999999</v>
      </c>
      <c r="I689" s="5">
        <v>11</v>
      </c>
      <c r="J689" s="3">
        <v>11</v>
      </c>
      <c r="K689" s="3">
        <v>6.4</v>
      </c>
    </row>
    <row r="690" spans="1:11" x14ac:dyDescent="0.2">
      <c r="A690" s="3">
        <v>36</v>
      </c>
      <c r="B690" s="3">
        <v>1540</v>
      </c>
      <c r="C690" s="3">
        <v>66</v>
      </c>
      <c r="D690" s="3">
        <v>0.85899999999999999</v>
      </c>
      <c r="E690" s="4">
        <v>0.14000000000000001</v>
      </c>
      <c r="F690" s="3">
        <v>0.20899999999999999</v>
      </c>
      <c r="G690" s="3">
        <v>0.89400000000000002</v>
      </c>
      <c r="H690" s="3">
        <v>0.95299999999999996</v>
      </c>
      <c r="I690" s="5">
        <v>55</v>
      </c>
      <c r="J690" s="3">
        <v>6</v>
      </c>
      <c r="K690" s="3">
        <v>8.4</v>
      </c>
    </row>
    <row r="691" spans="1:11" x14ac:dyDescent="0.2">
      <c r="A691" s="3">
        <v>54</v>
      </c>
      <c r="B691" s="3">
        <v>2673</v>
      </c>
      <c r="C691" s="3">
        <v>98</v>
      </c>
      <c r="D691" s="3">
        <v>0.85899999999999999</v>
      </c>
      <c r="E691" s="4">
        <v>3.1E-2</v>
      </c>
      <c r="F691" s="3">
        <v>0.14199999999999999</v>
      </c>
      <c r="G691" s="3">
        <v>0.755</v>
      </c>
      <c r="H691" s="3">
        <v>0.90700000000000003</v>
      </c>
      <c r="I691" s="5">
        <v>75</v>
      </c>
      <c r="J691" s="3">
        <v>18</v>
      </c>
      <c r="K691" s="3">
        <v>9.3000000000000007</v>
      </c>
    </row>
    <row r="692" spans="1:11" x14ac:dyDescent="0.2">
      <c r="A692" s="3">
        <v>61</v>
      </c>
      <c r="B692" s="3">
        <v>2946</v>
      </c>
      <c r="C692" s="3">
        <v>137</v>
      </c>
      <c r="D692" s="3">
        <v>0.85899999999999999</v>
      </c>
      <c r="E692" s="4">
        <v>4.5999999999999999E-2</v>
      </c>
      <c r="F692" s="3">
        <v>0.219</v>
      </c>
      <c r="G692" s="3">
        <v>0.89700000000000002</v>
      </c>
      <c r="H692" s="3">
        <v>0.91700000000000004</v>
      </c>
      <c r="I692" s="5">
        <v>86</v>
      </c>
      <c r="J692" s="3">
        <v>1</v>
      </c>
      <c r="K692" s="3">
        <v>1.3</v>
      </c>
    </row>
    <row r="693" spans="1:11" x14ac:dyDescent="0.2">
      <c r="A693" s="3">
        <v>70</v>
      </c>
      <c r="B693" s="3">
        <v>3274</v>
      </c>
      <c r="C693" s="3">
        <v>34</v>
      </c>
      <c r="D693" s="3">
        <v>0.85899999999999999</v>
      </c>
      <c r="E693" s="4">
        <v>0.03</v>
      </c>
      <c r="F693" s="3">
        <v>9.5000000000000001E-2</v>
      </c>
      <c r="G693" s="3">
        <v>0.71899999999999997</v>
      </c>
      <c r="H693" s="3">
        <v>0.96</v>
      </c>
      <c r="I693" s="5">
        <v>25</v>
      </c>
      <c r="J693" s="3">
        <v>7</v>
      </c>
      <c r="K693" s="3">
        <v>6.6</v>
      </c>
    </row>
    <row r="694" spans="1:11" x14ac:dyDescent="0.2">
      <c r="A694" s="3">
        <v>72</v>
      </c>
      <c r="B694" s="3">
        <v>3409</v>
      </c>
      <c r="C694" s="3">
        <v>142</v>
      </c>
      <c r="D694" s="3">
        <v>0.86</v>
      </c>
      <c r="E694" s="4">
        <v>0.19800000000000001</v>
      </c>
      <c r="F694" s="3">
        <v>0.19600000000000001</v>
      </c>
      <c r="G694" s="3">
        <v>0.80800000000000005</v>
      </c>
      <c r="H694" s="3">
        <v>0.97599999999999998</v>
      </c>
      <c r="I694" s="5">
        <v>21</v>
      </c>
      <c r="J694" s="3">
        <v>17</v>
      </c>
      <c r="K694" s="3">
        <v>11.6</v>
      </c>
    </row>
    <row r="695" spans="1:11" x14ac:dyDescent="0.2">
      <c r="A695" s="3">
        <v>74</v>
      </c>
      <c r="B695" s="3">
        <v>3660</v>
      </c>
      <c r="C695" s="3">
        <v>129</v>
      </c>
      <c r="D695" s="3">
        <v>0.86</v>
      </c>
      <c r="E695" s="4">
        <v>0.106</v>
      </c>
      <c r="F695" s="3">
        <v>0.151</v>
      </c>
      <c r="G695" s="3">
        <v>0.80300000000000005</v>
      </c>
      <c r="H695" s="3">
        <v>0.96799999999999997</v>
      </c>
      <c r="I695" s="5">
        <v>6</v>
      </c>
      <c r="J695" s="3">
        <v>4</v>
      </c>
      <c r="K695" s="3">
        <v>6.6</v>
      </c>
    </row>
    <row r="696" spans="1:11" x14ac:dyDescent="0.2">
      <c r="A696" s="3">
        <v>41</v>
      </c>
      <c r="B696" s="3">
        <v>1824</v>
      </c>
      <c r="C696" s="3">
        <v>66</v>
      </c>
      <c r="D696" s="3">
        <v>0.86099999999999999</v>
      </c>
      <c r="E696" s="4">
        <v>5.8999999999999997E-2</v>
      </c>
      <c r="F696" s="3">
        <v>8.5999999999999993E-2</v>
      </c>
      <c r="G696" s="3">
        <v>0.94099999999999995</v>
      </c>
      <c r="H696" s="3">
        <v>0.93799999999999994</v>
      </c>
      <c r="I696" s="5">
        <v>54</v>
      </c>
      <c r="J696" s="3">
        <v>4</v>
      </c>
      <c r="K696" s="3">
        <v>13.2</v>
      </c>
    </row>
    <row r="697" spans="1:11" x14ac:dyDescent="0.2">
      <c r="A697" s="3">
        <v>77</v>
      </c>
      <c r="B697" s="3">
        <v>3787</v>
      </c>
      <c r="C697" s="3">
        <v>68</v>
      </c>
      <c r="D697" s="3">
        <v>0.86099999999999999</v>
      </c>
      <c r="E697" s="4">
        <v>0.15</v>
      </c>
      <c r="F697" s="3">
        <v>0.26400000000000001</v>
      </c>
      <c r="G697" s="3">
        <v>0.77400000000000002</v>
      </c>
      <c r="H697" s="3">
        <v>0.93500000000000005</v>
      </c>
      <c r="I697" s="5">
        <v>2</v>
      </c>
      <c r="J697" s="3">
        <v>15</v>
      </c>
      <c r="K697" s="3">
        <v>12.4</v>
      </c>
    </row>
    <row r="698" spans="1:11" x14ac:dyDescent="0.2">
      <c r="A698" s="3">
        <v>91</v>
      </c>
      <c r="B698" s="3">
        <v>4327</v>
      </c>
      <c r="C698" s="3">
        <v>73</v>
      </c>
      <c r="D698" s="3">
        <v>0.86099999999999999</v>
      </c>
      <c r="E698" s="4">
        <v>1.2E-2</v>
      </c>
      <c r="F698" s="3">
        <v>0.22800000000000001</v>
      </c>
      <c r="G698" s="3">
        <v>0.81499999999999995</v>
      </c>
      <c r="H698" s="3">
        <v>0.98599999999999999</v>
      </c>
      <c r="I698" s="5">
        <v>18</v>
      </c>
      <c r="J698" s="3">
        <v>12</v>
      </c>
      <c r="K698" s="3">
        <v>11</v>
      </c>
    </row>
    <row r="699" spans="1:11" x14ac:dyDescent="0.2">
      <c r="A699" s="3">
        <v>32</v>
      </c>
      <c r="B699" s="3">
        <v>1522</v>
      </c>
      <c r="C699" s="3">
        <v>55</v>
      </c>
      <c r="D699" s="3">
        <v>0.86199999999999999</v>
      </c>
      <c r="E699" s="4">
        <v>6.8000000000000005E-2</v>
      </c>
      <c r="F699" s="3">
        <v>0.20599999999999999</v>
      </c>
      <c r="G699" s="3">
        <v>0.89300000000000002</v>
      </c>
      <c r="H699" s="3">
        <v>0.93500000000000005</v>
      </c>
      <c r="I699" s="5">
        <v>76</v>
      </c>
      <c r="J699" s="3">
        <v>16</v>
      </c>
      <c r="K699" s="3">
        <v>5.0999999999999996</v>
      </c>
    </row>
    <row r="700" spans="1:11" x14ac:dyDescent="0.2">
      <c r="A700" s="3">
        <v>55</v>
      </c>
      <c r="B700" s="3">
        <v>2605</v>
      </c>
      <c r="C700" s="3">
        <v>44</v>
      </c>
      <c r="D700" s="3">
        <v>0.86199999999999999</v>
      </c>
      <c r="E700" s="4">
        <v>8.6999999999999994E-2</v>
      </c>
      <c r="F700" s="3">
        <v>0.186</v>
      </c>
      <c r="G700" s="3">
        <v>0.84</v>
      </c>
      <c r="H700" s="3">
        <v>0.92</v>
      </c>
      <c r="I700" s="5">
        <v>15</v>
      </c>
      <c r="J700" s="3">
        <v>9</v>
      </c>
      <c r="K700" s="3">
        <v>7.8</v>
      </c>
    </row>
    <row r="701" spans="1:11" x14ac:dyDescent="0.2">
      <c r="A701" s="3">
        <v>59</v>
      </c>
      <c r="B701" s="3">
        <v>2731</v>
      </c>
      <c r="C701" s="3">
        <v>45</v>
      </c>
      <c r="D701" s="3">
        <v>0.86199999999999999</v>
      </c>
      <c r="E701" s="4">
        <v>0.17299999999999999</v>
      </c>
      <c r="F701" s="3">
        <v>7.4999999999999997E-2</v>
      </c>
      <c r="G701" s="3">
        <v>0.73299999999999998</v>
      </c>
      <c r="H701" s="3">
        <v>0.98499999999999999</v>
      </c>
      <c r="I701" s="5">
        <v>20</v>
      </c>
      <c r="J701" s="3">
        <v>15</v>
      </c>
      <c r="K701" s="3">
        <v>10.5</v>
      </c>
    </row>
    <row r="702" spans="1:11" x14ac:dyDescent="0.2">
      <c r="A702" s="3">
        <v>73</v>
      </c>
      <c r="B702" s="3">
        <v>3384</v>
      </c>
      <c r="C702" s="3">
        <v>82</v>
      </c>
      <c r="D702" s="3">
        <v>0.86199999999999999</v>
      </c>
      <c r="E702" s="4">
        <v>0.154</v>
      </c>
      <c r="F702" s="3">
        <v>0.121</v>
      </c>
      <c r="G702" s="3">
        <v>0.878</v>
      </c>
      <c r="H702" s="3">
        <v>0.91100000000000003</v>
      </c>
      <c r="I702" s="5">
        <v>82</v>
      </c>
      <c r="J702" s="3">
        <v>13</v>
      </c>
      <c r="K702" s="3">
        <v>1</v>
      </c>
    </row>
    <row r="703" spans="1:11" x14ac:dyDescent="0.2">
      <c r="A703" s="3">
        <v>75</v>
      </c>
      <c r="B703" s="3">
        <v>3602</v>
      </c>
      <c r="C703" s="3">
        <v>58</v>
      </c>
      <c r="D703" s="3">
        <v>0.86199999999999999</v>
      </c>
      <c r="E703" s="4">
        <v>0.16800000000000001</v>
      </c>
      <c r="F703" s="3">
        <v>0.10299999999999999</v>
      </c>
      <c r="G703" s="3">
        <v>0.81899999999999995</v>
      </c>
      <c r="H703" s="3">
        <v>0.91500000000000004</v>
      </c>
      <c r="I703" s="5">
        <v>30</v>
      </c>
      <c r="J703" s="3">
        <v>13</v>
      </c>
      <c r="K703" s="3">
        <v>8.4</v>
      </c>
    </row>
    <row r="704" spans="1:11" x14ac:dyDescent="0.2">
      <c r="A704" s="3">
        <v>86</v>
      </c>
      <c r="B704" s="3">
        <v>4256</v>
      </c>
      <c r="C704" s="3">
        <v>150</v>
      </c>
      <c r="D704" s="3">
        <v>0.86199999999999999</v>
      </c>
      <c r="E704" s="4">
        <v>0.186</v>
      </c>
      <c r="F704" s="3">
        <v>9.8000000000000004E-2</v>
      </c>
      <c r="G704" s="3">
        <v>0.85099999999999998</v>
      </c>
      <c r="H704" s="3">
        <v>0.95099999999999996</v>
      </c>
      <c r="I704" s="5">
        <v>42</v>
      </c>
      <c r="J704" s="3">
        <v>0</v>
      </c>
      <c r="K704" s="3">
        <v>12.2</v>
      </c>
    </row>
    <row r="705" spans="1:11" x14ac:dyDescent="0.2">
      <c r="A705" s="3">
        <v>99</v>
      </c>
      <c r="B705" s="3">
        <v>4796</v>
      </c>
      <c r="C705" s="3">
        <v>167</v>
      </c>
      <c r="D705" s="3">
        <v>0.86199999999999999</v>
      </c>
      <c r="E705" s="4">
        <v>0.191</v>
      </c>
      <c r="F705" s="3">
        <v>0.26400000000000001</v>
      </c>
      <c r="G705" s="3">
        <v>0.97799999999999998</v>
      </c>
      <c r="H705" s="3">
        <v>0.97899999999999998</v>
      </c>
      <c r="I705" s="5">
        <v>72</v>
      </c>
      <c r="J705" s="3">
        <v>7</v>
      </c>
      <c r="K705" s="3">
        <v>12.2</v>
      </c>
    </row>
    <row r="706" spans="1:11" x14ac:dyDescent="0.2">
      <c r="A706" s="3">
        <v>30</v>
      </c>
      <c r="B706" s="3">
        <v>1234</v>
      </c>
      <c r="C706" s="3">
        <v>136</v>
      </c>
      <c r="D706" s="3">
        <v>0.86299999999999999</v>
      </c>
      <c r="E706" s="4">
        <v>0.187</v>
      </c>
      <c r="F706" s="3">
        <v>7.2999999999999995E-2</v>
      </c>
      <c r="G706" s="3">
        <v>0.875</v>
      </c>
      <c r="H706" s="3">
        <v>0.92300000000000004</v>
      </c>
      <c r="I706" s="5">
        <v>28</v>
      </c>
      <c r="J706" s="3">
        <v>9</v>
      </c>
      <c r="K706" s="3">
        <v>9</v>
      </c>
    </row>
    <row r="707" spans="1:11" x14ac:dyDescent="0.2">
      <c r="A707" s="3">
        <v>49</v>
      </c>
      <c r="B707" s="3">
        <v>2216</v>
      </c>
      <c r="C707" s="3">
        <v>104</v>
      </c>
      <c r="D707" s="3">
        <v>0.86299999999999999</v>
      </c>
      <c r="E707" s="4">
        <v>6.0999999999999999E-2</v>
      </c>
      <c r="F707" s="3">
        <v>0.253</v>
      </c>
      <c r="G707" s="3">
        <v>0.80800000000000005</v>
      </c>
      <c r="H707" s="3">
        <v>0.999</v>
      </c>
      <c r="I707" s="5">
        <v>75</v>
      </c>
      <c r="J707" s="3">
        <v>11</v>
      </c>
      <c r="K707" s="3">
        <v>1.1000000000000001</v>
      </c>
    </row>
    <row r="708" spans="1:11" x14ac:dyDescent="0.2">
      <c r="A708" s="3">
        <v>64</v>
      </c>
      <c r="B708" s="3">
        <v>3078</v>
      </c>
      <c r="C708" s="3">
        <v>42</v>
      </c>
      <c r="D708" s="3">
        <v>0.86299999999999999</v>
      </c>
      <c r="E708" s="4">
        <v>0.185</v>
      </c>
      <c r="F708" s="3">
        <v>7.6999999999999999E-2</v>
      </c>
      <c r="G708" s="3">
        <v>0.745</v>
      </c>
      <c r="H708" s="3">
        <v>0.94399999999999995</v>
      </c>
      <c r="I708" s="5">
        <v>87</v>
      </c>
      <c r="J708" s="3">
        <v>18</v>
      </c>
      <c r="K708" s="3">
        <v>10.1</v>
      </c>
    </row>
    <row r="709" spans="1:11" x14ac:dyDescent="0.2">
      <c r="A709" s="3">
        <v>87</v>
      </c>
      <c r="B709" s="3">
        <v>4109</v>
      </c>
      <c r="C709" s="3">
        <v>49</v>
      </c>
      <c r="D709" s="3">
        <v>0.86299999999999999</v>
      </c>
      <c r="E709" s="4">
        <v>2.1999999999999999E-2</v>
      </c>
      <c r="F709" s="3">
        <v>5.0999999999999997E-2</v>
      </c>
      <c r="G709" s="3">
        <v>0.85699999999999998</v>
      </c>
      <c r="H709" s="3">
        <v>0.93799999999999994</v>
      </c>
      <c r="I709" s="5">
        <v>54</v>
      </c>
      <c r="J709" s="3">
        <v>10</v>
      </c>
      <c r="K709" s="3">
        <v>14</v>
      </c>
    </row>
    <row r="710" spans="1:11" x14ac:dyDescent="0.2">
      <c r="A710" s="3">
        <v>37</v>
      </c>
      <c r="B710" s="3">
        <v>1648</v>
      </c>
      <c r="C710" s="3">
        <v>83</v>
      </c>
      <c r="D710" s="3">
        <v>0.86399999999999999</v>
      </c>
      <c r="E710" s="4">
        <v>0.151</v>
      </c>
      <c r="F710" s="3">
        <v>0.126</v>
      </c>
      <c r="G710" s="3">
        <v>0.82499999999999996</v>
      </c>
      <c r="H710" s="3">
        <v>0.94099999999999995</v>
      </c>
      <c r="I710" s="5">
        <v>76</v>
      </c>
      <c r="J710" s="3">
        <v>16</v>
      </c>
      <c r="K710" s="3">
        <v>8.6</v>
      </c>
    </row>
    <row r="711" spans="1:11" x14ac:dyDescent="0.2">
      <c r="A711" s="3">
        <v>50</v>
      </c>
      <c r="B711" s="3">
        <v>2417</v>
      </c>
      <c r="C711" s="3">
        <v>149</v>
      </c>
      <c r="D711" s="3">
        <v>0.86399999999999999</v>
      </c>
      <c r="E711" s="4">
        <v>0.19600000000000001</v>
      </c>
      <c r="F711" s="3">
        <v>0.28000000000000003</v>
      </c>
      <c r="G711" s="3">
        <v>0.93799999999999994</v>
      </c>
      <c r="H711" s="3">
        <v>0.97</v>
      </c>
      <c r="I711" s="5">
        <v>57</v>
      </c>
      <c r="J711" s="3">
        <v>1</v>
      </c>
      <c r="K711" s="3">
        <v>7.4</v>
      </c>
    </row>
    <row r="712" spans="1:11" x14ac:dyDescent="0.2">
      <c r="A712" s="3">
        <v>57</v>
      </c>
      <c r="B712" s="3">
        <v>2629</v>
      </c>
      <c r="C712" s="3">
        <v>191</v>
      </c>
      <c r="D712" s="3">
        <v>0.86399999999999999</v>
      </c>
      <c r="E712" s="4">
        <v>0.125</v>
      </c>
      <c r="F712" s="3">
        <v>0.23</v>
      </c>
      <c r="G712" s="3">
        <v>0.78300000000000003</v>
      </c>
      <c r="H712" s="3">
        <v>0.92</v>
      </c>
      <c r="I712" s="5">
        <v>5</v>
      </c>
      <c r="J712" s="3">
        <v>8</v>
      </c>
      <c r="K712" s="3">
        <v>7.3</v>
      </c>
    </row>
    <row r="713" spans="1:11" x14ac:dyDescent="0.2">
      <c r="A713" s="3">
        <v>66</v>
      </c>
      <c r="B713" s="3">
        <v>3130</v>
      </c>
      <c r="C713" s="3">
        <v>164</v>
      </c>
      <c r="D713" s="3">
        <v>0.86399999999999999</v>
      </c>
      <c r="E713" s="4">
        <v>3.7999999999999999E-2</v>
      </c>
      <c r="F713" s="3">
        <v>0.108</v>
      </c>
      <c r="G713" s="3">
        <v>0.752</v>
      </c>
      <c r="H713" s="3">
        <v>0.93400000000000005</v>
      </c>
      <c r="I713" s="5">
        <v>22</v>
      </c>
      <c r="J713" s="3">
        <v>15</v>
      </c>
      <c r="K713" s="3">
        <v>1.7</v>
      </c>
    </row>
    <row r="714" spans="1:11" x14ac:dyDescent="0.2">
      <c r="A714" s="3">
        <v>68</v>
      </c>
      <c r="B714" s="3">
        <v>3151</v>
      </c>
      <c r="C714" s="3">
        <v>22</v>
      </c>
      <c r="D714" s="3">
        <v>0.86399999999999999</v>
      </c>
      <c r="E714" s="4">
        <v>0.157</v>
      </c>
      <c r="F714" s="3">
        <v>8.5999999999999993E-2</v>
      </c>
      <c r="G714" s="3">
        <v>0.90100000000000002</v>
      </c>
      <c r="H714" s="3">
        <v>0.90900000000000003</v>
      </c>
      <c r="I714" s="5">
        <v>44</v>
      </c>
      <c r="J714" s="3">
        <v>5</v>
      </c>
      <c r="K714" s="3">
        <v>14.9</v>
      </c>
    </row>
    <row r="715" spans="1:11" x14ac:dyDescent="0.2">
      <c r="A715" s="3">
        <v>82</v>
      </c>
      <c r="B715" s="3">
        <v>3915</v>
      </c>
      <c r="C715" s="3">
        <v>188</v>
      </c>
      <c r="D715" s="3">
        <v>0.86399999999999999</v>
      </c>
      <c r="E715" s="4">
        <v>0.126</v>
      </c>
      <c r="F715" s="3">
        <v>0.247</v>
      </c>
      <c r="G715" s="3">
        <v>0.84</v>
      </c>
      <c r="H715" s="3">
        <v>0.9</v>
      </c>
      <c r="I715" s="5">
        <v>61</v>
      </c>
      <c r="J715" s="3">
        <v>12</v>
      </c>
      <c r="K715" s="3">
        <v>12.8</v>
      </c>
    </row>
    <row r="716" spans="1:11" x14ac:dyDescent="0.2">
      <c r="A716" s="3">
        <v>82</v>
      </c>
      <c r="B716" s="3">
        <v>3951</v>
      </c>
      <c r="C716" s="3">
        <v>187</v>
      </c>
      <c r="D716" s="3">
        <v>0.86399999999999999</v>
      </c>
      <c r="E716" s="4">
        <v>0.126</v>
      </c>
      <c r="F716" s="3">
        <v>0.17299999999999999</v>
      </c>
      <c r="G716" s="3">
        <v>0.97</v>
      </c>
      <c r="H716" s="3">
        <v>0.97899999999999998</v>
      </c>
      <c r="I716" s="5">
        <v>44</v>
      </c>
      <c r="J716" s="3">
        <v>13</v>
      </c>
      <c r="K716" s="3">
        <v>5.9</v>
      </c>
    </row>
    <row r="717" spans="1:11" x14ac:dyDescent="0.2">
      <c r="A717" s="3">
        <v>32</v>
      </c>
      <c r="B717" s="3">
        <v>1397</v>
      </c>
      <c r="C717" s="3">
        <v>127</v>
      </c>
      <c r="D717" s="3">
        <v>0.86499999999999999</v>
      </c>
      <c r="E717" s="4">
        <v>0.114</v>
      </c>
      <c r="F717" s="3">
        <v>0.17699999999999999</v>
      </c>
      <c r="G717" s="3">
        <v>0.72</v>
      </c>
      <c r="H717" s="3">
        <v>0.91300000000000003</v>
      </c>
      <c r="I717" s="5">
        <v>8</v>
      </c>
      <c r="J717" s="3">
        <v>11</v>
      </c>
      <c r="K717" s="3">
        <v>5.2</v>
      </c>
    </row>
    <row r="718" spans="1:11" x14ac:dyDescent="0.2">
      <c r="A718" s="3">
        <v>65</v>
      </c>
      <c r="B718" s="3">
        <v>3046</v>
      </c>
      <c r="C718" s="3">
        <v>81</v>
      </c>
      <c r="D718" s="3">
        <v>0.86499999999999999</v>
      </c>
      <c r="E718" s="4">
        <v>2.4E-2</v>
      </c>
      <c r="F718" s="3">
        <v>0.13900000000000001</v>
      </c>
      <c r="G718" s="3">
        <v>0.91600000000000004</v>
      </c>
      <c r="H718" s="3">
        <v>0.97399999999999998</v>
      </c>
      <c r="I718" s="5">
        <v>8</v>
      </c>
      <c r="J718" s="3">
        <v>15</v>
      </c>
      <c r="K718" s="3">
        <v>8.3000000000000007</v>
      </c>
    </row>
    <row r="719" spans="1:11" x14ac:dyDescent="0.2">
      <c r="A719" s="3">
        <v>71</v>
      </c>
      <c r="B719" s="3">
        <v>3448</v>
      </c>
      <c r="C719" s="3">
        <v>122</v>
      </c>
      <c r="D719" s="3">
        <v>0.86499999999999999</v>
      </c>
      <c r="E719" s="4">
        <v>4.4999999999999998E-2</v>
      </c>
      <c r="F719" s="3">
        <v>0.20699999999999999</v>
      </c>
      <c r="G719" s="3">
        <v>0.77</v>
      </c>
      <c r="H719" s="3">
        <v>0.96899999999999997</v>
      </c>
      <c r="I719" s="5">
        <v>37</v>
      </c>
      <c r="J719" s="3">
        <v>9</v>
      </c>
      <c r="K719" s="3">
        <v>12.4</v>
      </c>
    </row>
    <row r="720" spans="1:11" x14ac:dyDescent="0.2">
      <c r="A720" s="3">
        <v>79</v>
      </c>
      <c r="B720" s="3">
        <v>3727</v>
      </c>
      <c r="C720" s="3">
        <v>185</v>
      </c>
      <c r="D720" s="3">
        <v>0.86499999999999999</v>
      </c>
      <c r="E720" s="4">
        <v>0.15</v>
      </c>
      <c r="F720" s="3">
        <v>6.3E-2</v>
      </c>
      <c r="G720" s="3">
        <v>0.84699999999999998</v>
      </c>
      <c r="H720" s="3">
        <v>0.95899999999999996</v>
      </c>
      <c r="I720" s="5">
        <v>24</v>
      </c>
      <c r="J720" s="3">
        <v>13</v>
      </c>
      <c r="K720" s="3">
        <v>5.4</v>
      </c>
    </row>
    <row r="721" spans="1:11" x14ac:dyDescent="0.2">
      <c r="A721" s="3">
        <v>53</v>
      </c>
      <c r="B721" s="3">
        <v>2482</v>
      </c>
      <c r="C721" s="3">
        <v>166</v>
      </c>
      <c r="D721" s="3">
        <v>0.86599999999999999</v>
      </c>
      <c r="E721" s="4">
        <v>0.19500000000000001</v>
      </c>
      <c r="F721" s="3">
        <v>0.127</v>
      </c>
      <c r="G721" s="3">
        <v>0.84599999999999997</v>
      </c>
      <c r="H721" s="3">
        <v>0.98199999999999998</v>
      </c>
      <c r="I721" s="5">
        <v>13</v>
      </c>
      <c r="J721" s="3">
        <v>7</v>
      </c>
      <c r="K721" s="3">
        <v>8.5</v>
      </c>
    </row>
    <row r="722" spans="1:11" x14ac:dyDescent="0.2">
      <c r="A722" s="3">
        <v>73</v>
      </c>
      <c r="B722" s="3">
        <v>3420</v>
      </c>
      <c r="C722" s="3">
        <v>146</v>
      </c>
      <c r="D722" s="3">
        <v>0.86599999999999999</v>
      </c>
      <c r="E722" s="4">
        <v>3.5000000000000003E-2</v>
      </c>
      <c r="F722" s="3">
        <v>7.9000000000000001E-2</v>
      </c>
      <c r="G722" s="3">
        <v>0.92600000000000005</v>
      </c>
      <c r="H722" s="3">
        <v>0.90700000000000003</v>
      </c>
      <c r="I722" s="5">
        <v>93</v>
      </c>
      <c r="J722" s="3">
        <v>9</v>
      </c>
      <c r="K722" s="3">
        <v>3.9</v>
      </c>
    </row>
    <row r="723" spans="1:11" x14ac:dyDescent="0.2">
      <c r="A723" s="3">
        <v>26</v>
      </c>
      <c r="B723" s="3">
        <v>1200</v>
      </c>
      <c r="C723" s="3">
        <v>138</v>
      </c>
      <c r="D723" s="3">
        <v>0.86699999999999999</v>
      </c>
      <c r="E723" s="4">
        <v>6.2E-2</v>
      </c>
      <c r="F723" s="3">
        <v>0.20799999999999999</v>
      </c>
      <c r="G723" s="3">
        <v>0.98099999999999998</v>
      </c>
      <c r="H723" s="3">
        <v>0.98599999999999999</v>
      </c>
      <c r="I723" s="5">
        <v>67</v>
      </c>
      <c r="J723" s="3">
        <v>12</v>
      </c>
      <c r="K723" s="3">
        <v>2.5</v>
      </c>
    </row>
    <row r="724" spans="1:11" x14ac:dyDescent="0.2">
      <c r="A724" s="3">
        <v>81</v>
      </c>
      <c r="B724" s="3">
        <v>3936</v>
      </c>
      <c r="C724" s="3">
        <v>151</v>
      </c>
      <c r="D724" s="3">
        <v>0.86699999999999999</v>
      </c>
      <c r="E724" s="4">
        <v>0.18</v>
      </c>
      <c r="F724" s="3">
        <v>0.27200000000000002</v>
      </c>
      <c r="G724" s="3">
        <v>0.76300000000000001</v>
      </c>
      <c r="H724" s="3">
        <v>0.92100000000000004</v>
      </c>
      <c r="I724" s="5">
        <v>62</v>
      </c>
      <c r="J724" s="3">
        <v>7</v>
      </c>
      <c r="K724" s="3">
        <v>6.2</v>
      </c>
    </row>
    <row r="725" spans="1:11" x14ac:dyDescent="0.2">
      <c r="A725" s="3">
        <v>57</v>
      </c>
      <c r="B725" s="3">
        <v>2587</v>
      </c>
      <c r="C725" s="3">
        <v>46</v>
      </c>
      <c r="D725" s="3">
        <v>0.86799999999999999</v>
      </c>
      <c r="E725" s="4">
        <v>0.151</v>
      </c>
      <c r="F725" s="3">
        <v>0.20399999999999999</v>
      </c>
      <c r="G725" s="3">
        <v>0.90200000000000002</v>
      </c>
      <c r="H725" s="3">
        <v>0.97599999999999998</v>
      </c>
      <c r="I725" s="5">
        <v>88</v>
      </c>
      <c r="J725" s="3">
        <v>11</v>
      </c>
      <c r="K725" s="3">
        <v>15</v>
      </c>
    </row>
    <row r="726" spans="1:11" x14ac:dyDescent="0.2">
      <c r="A726" s="3">
        <v>31</v>
      </c>
      <c r="B726" s="3">
        <v>1392</v>
      </c>
      <c r="C726" s="3">
        <v>85</v>
      </c>
      <c r="D726" s="3">
        <v>0.86899999999999999</v>
      </c>
      <c r="E726" s="4">
        <v>5.2999999999999999E-2</v>
      </c>
      <c r="F726" s="3">
        <v>0.14299999999999999</v>
      </c>
      <c r="G726" s="3">
        <v>0.97199999999999998</v>
      </c>
      <c r="H726" s="3">
        <v>0.92900000000000005</v>
      </c>
      <c r="I726" s="5">
        <v>17</v>
      </c>
      <c r="J726" s="3">
        <v>18</v>
      </c>
      <c r="K726" s="3">
        <v>9.1999999999999993</v>
      </c>
    </row>
    <row r="727" spans="1:11" x14ac:dyDescent="0.2">
      <c r="A727" s="3">
        <v>57</v>
      </c>
      <c r="B727" s="3">
        <v>2576</v>
      </c>
      <c r="C727" s="3">
        <v>173</v>
      </c>
      <c r="D727" s="3">
        <v>0.86899999999999999</v>
      </c>
      <c r="E727" s="4">
        <v>0.16300000000000001</v>
      </c>
      <c r="F727" s="3">
        <v>0.28799999999999998</v>
      </c>
      <c r="G727" s="3">
        <v>0.85299999999999998</v>
      </c>
      <c r="H727" s="3">
        <v>0.91700000000000004</v>
      </c>
      <c r="I727" s="5">
        <v>89</v>
      </c>
      <c r="J727" s="3">
        <v>7</v>
      </c>
      <c r="K727" s="3">
        <v>9.3000000000000007</v>
      </c>
    </row>
    <row r="728" spans="1:11" x14ac:dyDescent="0.2">
      <c r="A728" s="3">
        <v>30</v>
      </c>
      <c r="B728" s="3">
        <v>1306</v>
      </c>
      <c r="C728" s="3">
        <v>162</v>
      </c>
      <c r="D728" s="3">
        <v>0.87</v>
      </c>
      <c r="E728" s="4">
        <v>0.188</v>
      </c>
      <c r="F728" s="3">
        <v>8.4000000000000005E-2</v>
      </c>
      <c r="G728" s="3">
        <v>0.84599999999999997</v>
      </c>
      <c r="H728" s="3">
        <v>0.95099999999999996</v>
      </c>
      <c r="I728" s="5">
        <v>8</v>
      </c>
      <c r="J728" s="3">
        <v>7</v>
      </c>
      <c r="K728" s="3">
        <v>6.1</v>
      </c>
    </row>
    <row r="729" spans="1:11" x14ac:dyDescent="0.2">
      <c r="A729" s="3">
        <v>36</v>
      </c>
      <c r="B729" s="3">
        <v>1695</v>
      </c>
      <c r="C729" s="3">
        <v>68</v>
      </c>
      <c r="D729" s="3">
        <v>0.87</v>
      </c>
      <c r="E729" s="4">
        <v>4.2000000000000003E-2</v>
      </c>
      <c r="F729" s="3">
        <v>9.1999999999999998E-2</v>
      </c>
      <c r="G729" s="3">
        <v>0.92400000000000004</v>
      </c>
      <c r="H729" s="3">
        <v>0.92200000000000004</v>
      </c>
      <c r="I729" s="5">
        <v>11</v>
      </c>
      <c r="J729" s="3">
        <v>12</v>
      </c>
      <c r="K729" s="3">
        <v>9.1999999999999993</v>
      </c>
    </row>
    <row r="730" spans="1:11" x14ac:dyDescent="0.2">
      <c r="A730" s="3">
        <v>55</v>
      </c>
      <c r="B730" s="3">
        <v>2714</v>
      </c>
      <c r="C730" s="3">
        <v>114</v>
      </c>
      <c r="D730" s="3">
        <v>0.87</v>
      </c>
      <c r="E730" s="4">
        <v>0.107</v>
      </c>
      <c r="F730" s="3">
        <v>0.245</v>
      </c>
      <c r="G730" s="3">
        <v>0.72499999999999998</v>
      </c>
      <c r="H730" s="3">
        <v>0.94199999999999995</v>
      </c>
      <c r="I730" s="5">
        <v>97</v>
      </c>
      <c r="J730" s="3">
        <v>14</v>
      </c>
      <c r="K730" s="3">
        <v>4.3</v>
      </c>
    </row>
    <row r="731" spans="1:11" x14ac:dyDescent="0.2">
      <c r="A731" s="3">
        <v>74</v>
      </c>
      <c r="B731" s="3">
        <v>3584</v>
      </c>
      <c r="C731" s="3">
        <v>48</v>
      </c>
      <c r="D731" s="3">
        <v>0.87</v>
      </c>
      <c r="E731" s="4">
        <v>9.7000000000000003E-2</v>
      </c>
      <c r="F731" s="3">
        <v>0.217</v>
      </c>
      <c r="G731" s="3">
        <v>0.85499999999999998</v>
      </c>
      <c r="H731" s="3">
        <v>0.94599999999999995</v>
      </c>
      <c r="I731" s="5">
        <v>28</v>
      </c>
      <c r="J731" s="3">
        <v>11</v>
      </c>
      <c r="K731" s="3">
        <v>4.8</v>
      </c>
    </row>
    <row r="732" spans="1:11" x14ac:dyDescent="0.2">
      <c r="A732" s="3">
        <v>78</v>
      </c>
      <c r="B732" s="3">
        <v>3668</v>
      </c>
      <c r="C732" s="3">
        <v>102</v>
      </c>
      <c r="D732" s="3">
        <v>0.87</v>
      </c>
      <c r="E732" s="4">
        <v>2.4E-2</v>
      </c>
      <c r="F732" s="3">
        <v>0.16200000000000001</v>
      </c>
      <c r="G732" s="3">
        <v>0.79700000000000004</v>
      </c>
      <c r="H732" s="3">
        <v>0.93100000000000005</v>
      </c>
      <c r="I732" s="5">
        <v>30</v>
      </c>
      <c r="J732" s="3">
        <v>10</v>
      </c>
      <c r="K732" s="3">
        <v>9.1999999999999993</v>
      </c>
    </row>
    <row r="733" spans="1:11" x14ac:dyDescent="0.2">
      <c r="A733" s="3">
        <v>100</v>
      </c>
      <c r="B733" s="3">
        <v>4926</v>
      </c>
      <c r="C733" s="3">
        <v>97</v>
      </c>
      <c r="D733" s="3">
        <v>0.87</v>
      </c>
      <c r="E733" s="4">
        <v>0.08</v>
      </c>
      <c r="F733" s="3">
        <v>0.20399999999999999</v>
      </c>
      <c r="G733" s="3">
        <v>0.876</v>
      </c>
      <c r="H733" s="3">
        <v>0.96399999999999997</v>
      </c>
      <c r="I733" s="5">
        <v>66</v>
      </c>
      <c r="J733" s="3">
        <v>2</v>
      </c>
      <c r="K733" s="3">
        <v>12.1</v>
      </c>
    </row>
    <row r="734" spans="1:11" x14ac:dyDescent="0.2">
      <c r="A734" s="3">
        <v>36</v>
      </c>
      <c r="B734" s="3">
        <v>1551</v>
      </c>
      <c r="C734" s="3">
        <v>61</v>
      </c>
      <c r="D734" s="3">
        <v>0.871</v>
      </c>
      <c r="E734" s="4">
        <v>0.153</v>
      </c>
      <c r="F734" s="3">
        <v>0.125</v>
      </c>
      <c r="G734" s="3">
        <v>0.81499999999999995</v>
      </c>
      <c r="H734" s="3">
        <v>0.91300000000000003</v>
      </c>
      <c r="I734" s="5">
        <v>28</v>
      </c>
      <c r="J734" s="3">
        <v>19</v>
      </c>
      <c r="K734" s="3">
        <v>3.8</v>
      </c>
    </row>
    <row r="735" spans="1:11" x14ac:dyDescent="0.2">
      <c r="A735" s="3">
        <v>62</v>
      </c>
      <c r="B735" s="3">
        <v>2948</v>
      </c>
      <c r="C735" s="3">
        <v>118</v>
      </c>
      <c r="D735" s="3">
        <v>0.872</v>
      </c>
      <c r="E735" s="4">
        <v>0.112</v>
      </c>
      <c r="F735" s="3">
        <v>0.29499999999999998</v>
      </c>
      <c r="G735" s="3">
        <v>0.78100000000000003</v>
      </c>
      <c r="H735" s="3">
        <v>0.96299999999999997</v>
      </c>
      <c r="I735" s="5">
        <v>46</v>
      </c>
      <c r="J735" s="3">
        <v>9</v>
      </c>
      <c r="K735" s="3">
        <v>1.3</v>
      </c>
    </row>
    <row r="736" spans="1:11" x14ac:dyDescent="0.2">
      <c r="A736" s="3">
        <v>102</v>
      </c>
      <c r="B736" s="3">
        <v>4841</v>
      </c>
      <c r="C736" s="3">
        <v>89</v>
      </c>
      <c r="D736" s="3">
        <v>0.872</v>
      </c>
      <c r="E736" s="4">
        <v>2.1000000000000001E-2</v>
      </c>
      <c r="F736" s="3">
        <v>5.0999999999999997E-2</v>
      </c>
      <c r="G736" s="3">
        <v>0.85499999999999998</v>
      </c>
      <c r="H736" s="3">
        <v>0.91200000000000003</v>
      </c>
      <c r="I736" s="5">
        <v>52</v>
      </c>
      <c r="J736" s="3">
        <v>16</v>
      </c>
      <c r="K736" s="3">
        <v>14</v>
      </c>
    </row>
    <row r="737" spans="1:11" x14ac:dyDescent="0.2">
      <c r="A737" s="3">
        <v>30</v>
      </c>
      <c r="B737" s="3">
        <v>1456</v>
      </c>
      <c r="C737" s="3">
        <v>173</v>
      </c>
      <c r="D737" s="3">
        <v>0.873</v>
      </c>
      <c r="E737" s="4">
        <v>6.2E-2</v>
      </c>
      <c r="F737" s="3">
        <v>8.5999999999999993E-2</v>
      </c>
      <c r="G737" s="3">
        <v>0.875</v>
      </c>
      <c r="H737" s="3">
        <v>0.93600000000000005</v>
      </c>
      <c r="I737" s="5">
        <v>28</v>
      </c>
      <c r="J737" s="3">
        <v>12</v>
      </c>
      <c r="K737" s="3">
        <v>14.4</v>
      </c>
    </row>
    <row r="738" spans="1:11" x14ac:dyDescent="0.2">
      <c r="A738" s="3">
        <v>22</v>
      </c>
      <c r="B738" s="3">
        <v>1025</v>
      </c>
      <c r="C738" s="3">
        <v>11</v>
      </c>
      <c r="D738" s="3">
        <v>0.874</v>
      </c>
      <c r="E738" s="4">
        <v>1.7000000000000001E-2</v>
      </c>
      <c r="F738" s="3">
        <v>0.26700000000000002</v>
      </c>
      <c r="G738" s="3">
        <v>0.89200000000000002</v>
      </c>
      <c r="H738" s="3">
        <v>0.96199999999999997</v>
      </c>
      <c r="I738" s="5">
        <v>78</v>
      </c>
      <c r="J738" s="3">
        <v>17</v>
      </c>
      <c r="K738" s="3">
        <v>7.2</v>
      </c>
    </row>
    <row r="739" spans="1:11" x14ac:dyDescent="0.2">
      <c r="A739" s="3">
        <v>30</v>
      </c>
      <c r="B739" s="3">
        <v>1232</v>
      </c>
      <c r="C739" s="3">
        <v>196</v>
      </c>
      <c r="D739" s="3">
        <v>0.874</v>
      </c>
      <c r="E739" s="4">
        <v>0.13600000000000001</v>
      </c>
      <c r="F739" s="3">
        <v>0.19500000000000001</v>
      </c>
      <c r="G739" s="3">
        <v>0.70299999999999996</v>
      </c>
      <c r="H739" s="3">
        <v>0.92</v>
      </c>
      <c r="I739" s="5">
        <v>70</v>
      </c>
      <c r="J739" s="3">
        <v>15</v>
      </c>
      <c r="K739" s="3">
        <v>13.3</v>
      </c>
    </row>
    <row r="740" spans="1:11" x14ac:dyDescent="0.2">
      <c r="A740" s="3">
        <v>99</v>
      </c>
      <c r="B740" s="3">
        <v>4732</v>
      </c>
      <c r="C740" s="3">
        <v>21</v>
      </c>
      <c r="D740" s="3">
        <v>0.875</v>
      </c>
      <c r="E740" s="4">
        <v>5.8999999999999997E-2</v>
      </c>
      <c r="F740" s="3">
        <v>0.16300000000000001</v>
      </c>
      <c r="G740" s="3">
        <v>0.90600000000000003</v>
      </c>
      <c r="H740" s="3">
        <v>0.92300000000000004</v>
      </c>
      <c r="I740" s="5">
        <v>83</v>
      </c>
      <c r="J740" s="3">
        <v>15</v>
      </c>
      <c r="K740" s="3">
        <v>13.6</v>
      </c>
    </row>
    <row r="741" spans="1:11" x14ac:dyDescent="0.2">
      <c r="A741" s="3">
        <v>93</v>
      </c>
      <c r="B741" s="3">
        <v>4414</v>
      </c>
      <c r="C741" s="3">
        <v>30</v>
      </c>
      <c r="D741" s="3">
        <v>0.877</v>
      </c>
      <c r="E741" s="4">
        <v>0.14399999999999999</v>
      </c>
      <c r="F741" s="3">
        <v>0.26300000000000001</v>
      </c>
      <c r="G741" s="3">
        <v>0.82</v>
      </c>
      <c r="H741" s="3">
        <v>0.99</v>
      </c>
      <c r="I741" s="5">
        <v>56</v>
      </c>
      <c r="J741" s="3">
        <v>9</v>
      </c>
      <c r="K741" s="3">
        <v>8.8000000000000007</v>
      </c>
    </row>
    <row r="742" spans="1:11" x14ac:dyDescent="0.2">
      <c r="A742" s="3">
        <v>71</v>
      </c>
      <c r="B742" s="3">
        <v>3512</v>
      </c>
      <c r="C742" s="3">
        <v>58</v>
      </c>
      <c r="D742" s="3">
        <v>0.878</v>
      </c>
      <c r="E742" s="4">
        <v>0.183</v>
      </c>
      <c r="F742" s="3">
        <v>6.3E-2</v>
      </c>
      <c r="G742" s="3">
        <v>0.97899999999999998</v>
      </c>
      <c r="H742" s="3">
        <v>0.91</v>
      </c>
      <c r="I742" s="5">
        <v>98</v>
      </c>
      <c r="J742" s="3">
        <v>0</v>
      </c>
      <c r="K742" s="3">
        <v>2.2999999999999998</v>
      </c>
    </row>
    <row r="743" spans="1:11" x14ac:dyDescent="0.2">
      <c r="A743" s="3">
        <v>70</v>
      </c>
      <c r="B743" s="3">
        <v>3293</v>
      </c>
      <c r="C743" s="3">
        <v>122</v>
      </c>
      <c r="D743" s="3">
        <v>0.879</v>
      </c>
      <c r="E743" s="4">
        <v>9.7000000000000003E-2</v>
      </c>
      <c r="F743" s="3">
        <v>0.29199999999999998</v>
      </c>
      <c r="G743" s="3">
        <v>0.76700000000000002</v>
      </c>
      <c r="H743" s="3">
        <v>0.93600000000000005</v>
      </c>
      <c r="I743" s="5">
        <v>46</v>
      </c>
      <c r="J743" s="3">
        <v>14</v>
      </c>
      <c r="K743" s="3">
        <v>4.2</v>
      </c>
    </row>
    <row r="744" spans="1:11" x14ac:dyDescent="0.2">
      <c r="A744" s="3">
        <v>90</v>
      </c>
      <c r="B744" s="3">
        <v>4336</v>
      </c>
      <c r="C744" s="3">
        <v>185</v>
      </c>
      <c r="D744" s="3">
        <v>0.879</v>
      </c>
      <c r="E744" s="4">
        <v>0.155</v>
      </c>
      <c r="F744" s="3">
        <v>0.13</v>
      </c>
      <c r="G744" s="3">
        <v>0.874</v>
      </c>
      <c r="H744" s="3">
        <v>0.91200000000000003</v>
      </c>
      <c r="I744" s="5">
        <v>78</v>
      </c>
      <c r="J744" s="3">
        <v>7</v>
      </c>
      <c r="K744" s="3">
        <v>7.8</v>
      </c>
    </row>
    <row r="745" spans="1:11" x14ac:dyDescent="0.2">
      <c r="A745" s="3">
        <v>96</v>
      </c>
      <c r="B745" s="3">
        <v>4748</v>
      </c>
      <c r="C745" s="3">
        <v>74</v>
      </c>
      <c r="D745" s="3">
        <v>0.879</v>
      </c>
      <c r="E745" s="4">
        <v>6.4000000000000001E-2</v>
      </c>
      <c r="F745" s="3">
        <v>0.218</v>
      </c>
      <c r="G745" s="3">
        <v>0.86599999999999999</v>
      </c>
      <c r="H745" s="3">
        <v>0.95199999999999996</v>
      </c>
      <c r="I745" s="5">
        <v>63</v>
      </c>
      <c r="J745" s="3">
        <v>3</v>
      </c>
      <c r="K745" s="3">
        <v>10.9</v>
      </c>
    </row>
    <row r="746" spans="1:11" x14ac:dyDescent="0.2">
      <c r="A746" s="3">
        <v>62</v>
      </c>
      <c r="B746" s="3">
        <v>2957</v>
      </c>
      <c r="C746" s="3">
        <v>177</v>
      </c>
      <c r="D746" s="3">
        <v>0.88100000000000001</v>
      </c>
      <c r="E746" s="4">
        <v>7.4999999999999997E-2</v>
      </c>
      <c r="F746" s="3">
        <v>0.11</v>
      </c>
      <c r="G746" s="3">
        <v>0.91300000000000003</v>
      </c>
      <c r="H746" s="3">
        <v>0.91700000000000004</v>
      </c>
      <c r="I746" s="5">
        <v>70</v>
      </c>
      <c r="J746" s="3">
        <v>16</v>
      </c>
      <c r="K746" s="3">
        <v>10</v>
      </c>
    </row>
    <row r="747" spans="1:11" x14ac:dyDescent="0.2">
      <c r="A747" s="3">
        <v>71</v>
      </c>
      <c r="B747" s="3">
        <v>3380</v>
      </c>
      <c r="C747" s="3">
        <v>172</v>
      </c>
      <c r="D747" s="3">
        <v>0.88200000000000001</v>
      </c>
      <c r="E747" s="4">
        <v>6.3E-2</v>
      </c>
      <c r="F747" s="3">
        <v>0.23100000000000001</v>
      </c>
      <c r="G747" s="3">
        <v>0.71099999999999997</v>
      </c>
      <c r="H747" s="3">
        <v>0.98599999999999999</v>
      </c>
      <c r="I747" s="5">
        <v>23</v>
      </c>
      <c r="J747" s="3">
        <v>17</v>
      </c>
      <c r="K747" s="3">
        <v>10.9</v>
      </c>
    </row>
    <row r="748" spans="1:11" x14ac:dyDescent="0.2">
      <c r="A748" s="3">
        <v>76</v>
      </c>
      <c r="B748" s="3">
        <v>3530</v>
      </c>
      <c r="C748" s="3">
        <v>141</v>
      </c>
      <c r="D748" s="3">
        <v>0.88300000000000001</v>
      </c>
      <c r="E748" s="4">
        <v>0.14799999999999999</v>
      </c>
      <c r="F748" s="3">
        <v>0.21</v>
      </c>
      <c r="G748" s="3">
        <v>0.77100000000000002</v>
      </c>
      <c r="H748" s="3">
        <v>0.98699999999999999</v>
      </c>
      <c r="I748" s="5">
        <v>57</v>
      </c>
      <c r="J748" s="3">
        <v>0</v>
      </c>
      <c r="K748" s="3">
        <v>2.2999999999999998</v>
      </c>
    </row>
    <row r="749" spans="1:11" x14ac:dyDescent="0.2">
      <c r="A749" s="3">
        <v>27</v>
      </c>
      <c r="B749" s="3">
        <v>1118</v>
      </c>
      <c r="C749" s="3">
        <v>45</v>
      </c>
      <c r="D749" s="3">
        <v>0.88400000000000001</v>
      </c>
      <c r="E749" s="4">
        <v>0.128</v>
      </c>
      <c r="F749" s="3">
        <v>0.20599999999999999</v>
      </c>
      <c r="G749" s="3">
        <v>0.82799999999999996</v>
      </c>
      <c r="H749" s="3">
        <v>0.93200000000000005</v>
      </c>
      <c r="I749" s="5">
        <v>62</v>
      </c>
      <c r="J749" s="3">
        <v>17</v>
      </c>
      <c r="K749" s="3">
        <v>13</v>
      </c>
    </row>
    <row r="750" spans="1:11" x14ac:dyDescent="0.2">
      <c r="A750" s="3">
        <v>39</v>
      </c>
      <c r="B750" s="3">
        <v>1883</v>
      </c>
      <c r="C750" s="3">
        <v>183</v>
      </c>
      <c r="D750" s="3">
        <v>0.88400000000000001</v>
      </c>
      <c r="E750" s="4">
        <v>0.125</v>
      </c>
      <c r="F750" s="3">
        <v>0.153</v>
      </c>
      <c r="G750" s="3">
        <v>0.95099999999999996</v>
      </c>
      <c r="H750" s="3">
        <v>0.93899999999999995</v>
      </c>
      <c r="I750" s="5">
        <v>40</v>
      </c>
      <c r="J750" s="3">
        <v>14</v>
      </c>
      <c r="K750" s="3">
        <v>7.6</v>
      </c>
    </row>
    <row r="751" spans="1:11" x14ac:dyDescent="0.2">
      <c r="A751" s="3">
        <v>76</v>
      </c>
      <c r="B751" s="3">
        <v>3652</v>
      </c>
      <c r="C751" s="3">
        <v>103</v>
      </c>
      <c r="D751" s="3">
        <v>0.88400000000000001</v>
      </c>
      <c r="E751" s="4">
        <v>8.7999999999999995E-2</v>
      </c>
      <c r="F751" s="3">
        <v>0.11600000000000001</v>
      </c>
      <c r="G751" s="3">
        <v>0.82099999999999995</v>
      </c>
      <c r="H751" s="3">
        <v>0.90100000000000002</v>
      </c>
      <c r="I751" s="5">
        <v>59</v>
      </c>
      <c r="J751" s="3">
        <v>19</v>
      </c>
      <c r="K751" s="3">
        <v>6.2</v>
      </c>
    </row>
    <row r="752" spans="1:11" x14ac:dyDescent="0.2">
      <c r="A752" s="3">
        <v>80</v>
      </c>
      <c r="B752" s="3">
        <v>3773</v>
      </c>
      <c r="C752" s="3">
        <v>17</v>
      </c>
      <c r="D752" s="3">
        <v>0.88400000000000001</v>
      </c>
      <c r="E752" s="4">
        <v>7.1999999999999995E-2</v>
      </c>
      <c r="F752" s="3">
        <v>0.29599999999999999</v>
      </c>
      <c r="G752" s="3">
        <v>0.81</v>
      </c>
      <c r="H752" s="3">
        <v>0.96699999999999997</v>
      </c>
      <c r="I752" s="5">
        <v>66</v>
      </c>
      <c r="J752" s="3">
        <v>16</v>
      </c>
      <c r="K752" s="3">
        <v>14.4</v>
      </c>
    </row>
    <row r="753" spans="1:11" x14ac:dyDescent="0.2">
      <c r="A753" s="3">
        <v>93</v>
      </c>
      <c r="B753" s="3">
        <v>4453</v>
      </c>
      <c r="C753" s="3">
        <v>118</v>
      </c>
      <c r="D753" s="3">
        <v>0.88400000000000001</v>
      </c>
      <c r="E753" s="4">
        <v>0.13200000000000001</v>
      </c>
      <c r="F753" s="3">
        <v>0.248</v>
      </c>
      <c r="G753" s="3">
        <v>0.72199999999999998</v>
      </c>
      <c r="H753" s="3">
        <v>0.96599999999999997</v>
      </c>
      <c r="I753" s="5">
        <v>88</v>
      </c>
      <c r="J753" s="3">
        <v>18</v>
      </c>
      <c r="K753" s="3">
        <v>14.2</v>
      </c>
    </row>
    <row r="754" spans="1:11" x14ac:dyDescent="0.2">
      <c r="A754" s="3">
        <v>29</v>
      </c>
      <c r="B754" s="3">
        <v>1224</v>
      </c>
      <c r="C754" s="3">
        <v>121</v>
      </c>
      <c r="D754" s="3">
        <v>0.88500000000000001</v>
      </c>
      <c r="E754" s="4">
        <v>0.187</v>
      </c>
      <c r="F754" s="3">
        <v>0.28399999999999997</v>
      </c>
      <c r="G754" s="3">
        <v>0.751</v>
      </c>
      <c r="H754" s="3">
        <v>0.92100000000000004</v>
      </c>
      <c r="I754" s="5">
        <v>80</v>
      </c>
      <c r="J754" s="3">
        <v>18</v>
      </c>
      <c r="K754" s="3">
        <v>4.7</v>
      </c>
    </row>
    <row r="755" spans="1:11" x14ac:dyDescent="0.2">
      <c r="A755" s="3">
        <v>44</v>
      </c>
      <c r="B755" s="3">
        <v>1973</v>
      </c>
      <c r="C755" s="3">
        <v>67</v>
      </c>
      <c r="D755" s="3">
        <v>0.88500000000000001</v>
      </c>
      <c r="E755" s="4">
        <v>8.3000000000000004E-2</v>
      </c>
      <c r="F755" s="3">
        <v>0.16600000000000001</v>
      </c>
      <c r="G755" s="3">
        <v>0.84299999999999997</v>
      </c>
      <c r="H755" s="3">
        <v>0.94899999999999995</v>
      </c>
      <c r="I755" s="5">
        <v>94</v>
      </c>
      <c r="J755" s="3">
        <v>19</v>
      </c>
      <c r="K755" s="3">
        <v>2.8</v>
      </c>
    </row>
    <row r="756" spans="1:11" x14ac:dyDescent="0.2">
      <c r="A756" s="3">
        <v>65</v>
      </c>
      <c r="B756" s="3">
        <v>3161</v>
      </c>
      <c r="C756" s="3">
        <v>16</v>
      </c>
      <c r="D756" s="3">
        <v>0.88500000000000001</v>
      </c>
      <c r="E756" s="4">
        <v>3.4000000000000002E-2</v>
      </c>
      <c r="F756" s="3">
        <v>0.188</v>
      </c>
      <c r="G756" s="3">
        <v>0.73399999999999999</v>
      </c>
      <c r="H756" s="3">
        <v>0.97799999999999998</v>
      </c>
      <c r="I756" s="5">
        <v>74</v>
      </c>
      <c r="J756" s="3">
        <v>14</v>
      </c>
      <c r="K756" s="3">
        <v>3.1</v>
      </c>
    </row>
    <row r="757" spans="1:11" x14ac:dyDescent="0.2">
      <c r="A757" s="3">
        <v>70</v>
      </c>
      <c r="B757" s="3">
        <v>3369</v>
      </c>
      <c r="C757" s="3">
        <v>120</v>
      </c>
      <c r="D757" s="3">
        <v>0.88500000000000001</v>
      </c>
      <c r="E757" s="4">
        <v>9.9000000000000005E-2</v>
      </c>
      <c r="F757" s="3">
        <v>0.20699999999999999</v>
      </c>
      <c r="G757" s="3">
        <v>0.76</v>
      </c>
      <c r="H757" s="3">
        <v>0.94499999999999995</v>
      </c>
      <c r="I757" s="5">
        <v>86</v>
      </c>
      <c r="J757" s="3">
        <v>17</v>
      </c>
      <c r="K757" s="3">
        <v>4.3</v>
      </c>
    </row>
    <row r="758" spans="1:11" x14ac:dyDescent="0.2">
      <c r="A758" s="3">
        <v>90</v>
      </c>
      <c r="B758" s="3">
        <v>4402</v>
      </c>
      <c r="C758" s="3">
        <v>17</v>
      </c>
      <c r="D758" s="3">
        <v>0.88500000000000001</v>
      </c>
      <c r="E758" s="4">
        <v>2.1000000000000001E-2</v>
      </c>
      <c r="F758" s="3">
        <v>0.20699999999999999</v>
      </c>
      <c r="G758" s="3">
        <v>0.98199999999999998</v>
      </c>
      <c r="H758" s="3">
        <v>0.95499999999999996</v>
      </c>
      <c r="I758" s="5">
        <v>79</v>
      </c>
      <c r="J758" s="3">
        <v>7</v>
      </c>
      <c r="K758" s="3">
        <v>4</v>
      </c>
    </row>
    <row r="759" spans="1:11" x14ac:dyDescent="0.2">
      <c r="A759" s="3">
        <v>52</v>
      </c>
      <c r="B759" s="3">
        <v>2391</v>
      </c>
      <c r="C759" s="3">
        <v>102</v>
      </c>
      <c r="D759" s="3">
        <v>0.88600000000000001</v>
      </c>
      <c r="E759" s="4">
        <v>0.106</v>
      </c>
      <c r="F759" s="3">
        <v>0.24299999999999999</v>
      </c>
      <c r="G759" s="3">
        <v>0.82</v>
      </c>
      <c r="H759" s="3">
        <v>0.9</v>
      </c>
      <c r="I759" s="5">
        <v>73</v>
      </c>
      <c r="J759" s="3">
        <v>17</v>
      </c>
      <c r="K759" s="3">
        <v>4.0999999999999996</v>
      </c>
    </row>
    <row r="760" spans="1:11" x14ac:dyDescent="0.2">
      <c r="A760" s="3">
        <v>67</v>
      </c>
      <c r="B760" s="3">
        <v>3321</v>
      </c>
      <c r="C760" s="3">
        <v>35</v>
      </c>
      <c r="D760" s="3">
        <v>0.88600000000000001</v>
      </c>
      <c r="E760" s="4">
        <v>1.7000000000000001E-2</v>
      </c>
      <c r="F760" s="3">
        <v>0.155</v>
      </c>
      <c r="G760" s="3">
        <v>0.72599999999999998</v>
      </c>
      <c r="H760" s="3">
        <v>0.98499999999999999</v>
      </c>
      <c r="I760" s="5">
        <v>14</v>
      </c>
      <c r="J760" s="3">
        <v>7</v>
      </c>
      <c r="K760" s="3">
        <v>5.6</v>
      </c>
    </row>
    <row r="761" spans="1:11" x14ac:dyDescent="0.2">
      <c r="A761" s="3">
        <v>72</v>
      </c>
      <c r="B761" s="3">
        <v>3469</v>
      </c>
      <c r="C761" s="3">
        <v>158</v>
      </c>
      <c r="D761" s="3">
        <v>0.88600000000000001</v>
      </c>
      <c r="E761" s="4">
        <v>0.10199999999999999</v>
      </c>
      <c r="F761" s="3">
        <v>0.191</v>
      </c>
      <c r="G761" s="3">
        <v>0.71599999999999997</v>
      </c>
      <c r="H761" s="3">
        <v>0.997</v>
      </c>
      <c r="I761" s="5">
        <v>81</v>
      </c>
      <c r="J761" s="3">
        <v>8</v>
      </c>
      <c r="K761" s="3">
        <v>7.4</v>
      </c>
    </row>
    <row r="762" spans="1:11" x14ac:dyDescent="0.2">
      <c r="A762" s="3">
        <v>101</v>
      </c>
      <c r="B762" s="3">
        <v>4920</v>
      </c>
      <c r="C762" s="3">
        <v>107</v>
      </c>
      <c r="D762" s="3">
        <v>0.88600000000000001</v>
      </c>
      <c r="E762" s="4">
        <v>0.16600000000000001</v>
      </c>
      <c r="F762" s="3">
        <v>0.23</v>
      </c>
      <c r="G762" s="3">
        <v>0.748</v>
      </c>
      <c r="H762" s="3">
        <v>0.93200000000000005</v>
      </c>
      <c r="I762" s="5">
        <v>86</v>
      </c>
      <c r="J762" s="3">
        <v>19</v>
      </c>
      <c r="K762" s="3">
        <v>2.2999999999999998</v>
      </c>
    </row>
    <row r="763" spans="1:11" x14ac:dyDescent="0.2">
      <c r="A763" s="3">
        <v>33</v>
      </c>
      <c r="B763" s="3">
        <v>1461</v>
      </c>
      <c r="C763" s="3">
        <v>140</v>
      </c>
      <c r="D763" s="3">
        <v>0.88700000000000001</v>
      </c>
      <c r="E763" s="4">
        <v>0.1</v>
      </c>
      <c r="F763" s="3">
        <v>0.29199999999999998</v>
      </c>
      <c r="G763" s="3">
        <v>0.95</v>
      </c>
      <c r="H763" s="3">
        <v>0.91800000000000004</v>
      </c>
      <c r="I763" s="5">
        <v>20</v>
      </c>
      <c r="J763" s="3">
        <v>4</v>
      </c>
      <c r="K763" s="3">
        <v>9.6999999999999993</v>
      </c>
    </row>
    <row r="764" spans="1:11" x14ac:dyDescent="0.2">
      <c r="A764" s="3">
        <v>62</v>
      </c>
      <c r="B764" s="3">
        <v>3046</v>
      </c>
      <c r="C764" s="3">
        <v>67</v>
      </c>
      <c r="D764" s="3">
        <v>0.88700000000000001</v>
      </c>
      <c r="E764" s="4">
        <v>0.19800000000000001</v>
      </c>
      <c r="F764" s="3">
        <v>0.28399999999999997</v>
      </c>
      <c r="G764" s="3">
        <v>0.746</v>
      </c>
      <c r="H764" s="3">
        <v>0.90900000000000003</v>
      </c>
      <c r="I764" s="5">
        <v>67</v>
      </c>
      <c r="J764" s="3">
        <v>18</v>
      </c>
      <c r="K764" s="3">
        <v>3.3</v>
      </c>
    </row>
    <row r="765" spans="1:11" x14ac:dyDescent="0.2">
      <c r="A765" s="3">
        <v>25</v>
      </c>
      <c r="B765" s="3">
        <v>1021</v>
      </c>
      <c r="C765" s="3">
        <v>93</v>
      </c>
      <c r="D765" s="3">
        <v>0.88800000000000001</v>
      </c>
      <c r="E765" s="4">
        <v>6.7000000000000004E-2</v>
      </c>
      <c r="F765" s="3">
        <v>0.27900000000000003</v>
      </c>
      <c r="G765" s="3">
        <v>0.79200000000000004</v>
      </c>
      <c r="H765" s="3">
        <v>0.96499999999999997</v>
      </c>
      <c r="I765" s="5">
        <v>89</v>
      </c>
      <c r="J765" s="3">
        <v>16</v>
      </c>
      <c r="K765" s="3">
        <v>4.8</v>
      </c>
    </row>
    <row r="766" spans="1:11" x14ac:dyDescent="0.2">
      <c r="A766" s="3">
        <v>26</v>
      </c>
      <c r="B766" s="3">
        <v>1266</v>
      </c>
      <c r="C766" s="3">
        <v>25</v>
      </c>
      <c r="D766" s="3">
        <v>0.88800000000000001</v>
      </c>
      <c r="E766" s="4">
        <v>0.159</v>
      </c>
      <c r="F766" s="3">
        <v>0.27400000000000002</v>
      </c>
      <c r="G766" s="3">
        <v>0.97</v>
      </c>
      <c r="H766" s="3">
        <v>0.95499999999999996</v>
      </c>
      <c r="I766" s="5">
        <v>29</v>
      </c>
      <c r="J766" s="3">
        <v>13</v>
      </c>
      <c r="K766" s="3">
        <v>4.9000000000000004</v>
      </c>
    </row>
    <row r="767" spans="1:11" x14ac:dyDescent="0.2">
      <c r="A767" s="3">
        <v>94</v>
      </c>
      <c r="B767" s="3">
        <v>4607</v>
      </c>
      <c r="C767" s="3">
        <v>150</v>
      </c>
      <c r="D767" s="3">
        <v>0.88800000000000001</v>
      </c>
      <c r="E767" s="4">
        <v>0.14799999999999999</v>
      </c>
      <c r="F767" s="3">
        <v>0.23</v>
      </c>
      <c r="G767" s="3">
        <v>0.81100000000000005</v>
      </c>
      <c r="H767" s="3">
        <v>0.95199999999999996</v>
      </c>
      <c r="I767" s="5">
        <v>35</v>
      </c>
      <c r="J767" s="3">
        <v>15</v>
      </c>
      <c r="K767" s="3">
        <v>11</v>
      </c>
    </row>
    <row r="768" spans="1:11" x14ac:dyDescent="0.2">
      <c r="A768" s="3">
        <v>38</v>
      </c>
      <c r="B768" s="3">
        <v>1699</v>
      </c>
      <c r="C768" s="3">
        <v>43</v>
      </c>
      <c r="D768" s="3">
        <v>0.88900000000000001</v>
      </c>
      <c r="E768" s="4">
        <v>0.19800000000000001</v>
      </c>
      <c r="F768" s="3">
        <v>0.17299999999999999</v>
      </c>
      <c r="G768" s="3">
        <v>0.89700000000000002</v>
      </c>
      <c r="H768" s="3">
        <v>0.97599999999999998</v>
      </c>
      <c r="I768" s="5">
        <v>72</v>
      </c>
      <c r="J768" s="3">
        <v>1</v>
      </c>
      <c r="K768" s="3">
        <v>6.2</v>
      </c>
    </row>
    <row r="769" spans="1:11" x14ac:dyDescent="0.2">
      <c r="A769" s="3">
        <v>58</v>
      </c>
      <c r="B769" s="3">
        <v>2772</v>
      </c>
      <c r="C769" s="3">
        <v>186</v>
      </c>
      <c r="D769" s="3">
        <v>0.89100000000000001</v>
      </c>
      <c r="E769" s="4">
        <v>5.6000000000000001E-2</v>
      </c>
      <c r="F769" s="3">
        <v>0.115</v>
      </c>
      <c r="G769" s="3">
        <v>0.84</v>
      </c>
      <c r="H769" s="3">
        <v>0.91</v>
      </c>
      <c r="I769" s="5">
        <v>12</v>
      </c>
      <c r="J769" s="3">
        <v>2</v>
      </c>
      <c r="K769" s="3">
        <v>1.4</v>
      </c>
    </row>
    <row r="770" spans="1:11" x14ac:dyDescent="0.2">
      <c r="A770" s="3">
        <v>70</v>
      </c>
      <c r="B770" s="3">
        <v>3236</v>
      </c>
      <c r="C770" s="3">
        <v>136</v>
      </c>
      <c r="D770" s="3">
        <v>0.89200000000000002</v>
      </c>
      <c r="E770" s="4">
        <v>0.13100000000000001</v>
      </c>
      <c r="F770" s="3">
        <v>5.6000000000000001E-2</v>
      </c>
      <c r="G770" s="3">
        <v>0.87</v>
      </c>
      <c r="H770" s="3">
        <v>0.94399999999999995</v>
      </c>
      <c r="I770" s="5">
        <v>6</v>
      </c>
      <c r="J770" s="3">
        <v>3</v>
      </c>
      <c r="K770" s="3">
        <v>4.5</v>
      </c>
    </row>
    <row r="771" spans="1:11" x14ac:dyDescent="0.2">
      <c r="A771" s="3">
        <v>35</v>
      </c>
      <c r="B771" s="3">
        <v>1694</v>
      </c>
      <c r="C771" s="3">
        <v>176</v>
      </c>
      <c r="D771" s="3">
        <v>0.89300000000000002</v>
      </c>
      <c r="E771" s="4">
        <v>7.5999999999999998E-2</v>
      </c>
      <c r="F771" s="3">
        <v>0.11700000000000001</v>
      </c>
      <c r="G771" s="3">
        <v>0.70099999999999996</v>
      </c>
      <c r="H771" s="3">
        <v>0.92100000000000004</v>
      </c>
      <c r="I771" s="5">
        <v>48</v>
      </c>
      <c r="J771" s="3">
        <v>7</v>
      </c>
      <c r="K771" s="3">
        <v>6.3</v>
      </c>
    </row>
    <row r="772" spans="1:11" x14ac:dyDescent="0.2">
      <c r="A772" s="3">
        <v>51</v>
      </c>
      <c r="B772" s="3">
        <v>2523</v>
      </c>
      <c r="C772" s="3">
        <v>160</v>
      </c>
      <c r="D772" s="3">
        <v>0.89300000000000002</v>
      </c>
      <c r="E772" s="4">
        <v>3.3000000000000002E-2</v>
      </c>
      <c r="F772" s="3">
        <v>0.23899999999999999</v>
      </c>
      <c r="G772" s="3">
        <v>0.81899999999999995</v>
      </c>
      <c r="H772" s="3">
        <v>0.94799999999999995</v>
      </c>
      <c r="I772" s="5">
        <v>78</v>
      </c>
      <c r="J772" s="3">
        <v>4</v>
      </c>
      <c r="K772" s="3">
        <v>3.8</v>
      </c>
    </row>
    <row r="773" spans="1:11" x14ac:dyDescent="0.2">
      <c r="A773" s="3">
        <v>55</v>
      </c>
      <c r="B773" s="3">
        <v>2697</v>
      </c>
      <c r="C773" s="3">
        <v>97</v>
      </c>
      <c r="D773" s="3">
        <v>0.89300000000000002</v>
      </c>
      <c r="E773" s="4">
        <v>7.4999999999999997E-2</v>
      </c>
      <c r="F773" s="3">
        <v>0.16500000000000001</v>
      </c>
      <c r="G773" s="3">
        <v>0.77</v>
      </c>
      <c r="H773" s="3">
        <v>0.92700000000000005</v>
      </c>
      <c r="I773" s="5">
        <v>18</v>
      </c>
      <c r="J773" s="3">
        <v>7</v>
      </c>
      <c r="K773" s="3">
        <v>7.4</v>
      </c>
    </row>
    <row r="774" spans="1:11" x14ac:dyDescent="0.2">
      <c r="A774" s="3">
        <v>71</v>
      </c>
      <c r="B774" s="3">
        <v>3320</v>
      </c>
      <c r="C774" s="3">
        <v>92</v>
      </c>
      <c r="D774" s="3">
        <v>0.89300000000000002</v>
      </c>
      <c r="E774" s="4">
        <v>6.0999999999999999E-2</v>
      </c>
      <c r="F774" s="3">
        <v>0.109</v>
      </c>
      <c r="G774" s="3">
        <v>0.89</v>
      </c>
      <c r="H774" s="3">
        <v>0.99299999999999999</v>
      </c>
      <c r="I774" s="5">
        <v>21</v>
      </c>
      <c r="J774" s="3">
        <v>6</v>
      </c>
      <c r="K774" s="3">
        <v>7.9</v>
      </c>
    </row>
    <row r="775" spans="1:11" x14ac:dyDescent="0.2">
      <c r="A775" s="3">
        <v>68</v>
      </c>
      <c r="B775" s="3">
        <v>3342</v>
      </c>
      <c r="C775" s="3">
        <v>49</v>
      </c>
      <c r="D775" s="3">
        <v>0.89300000000000002</v>
      </c>
      <c r="E775" s="4">
        <v>7.0000000000000007E-2</v>
      </c>
      <c r="F775" s="3">
        <v>0.23</v>
      </c>
      <c r="G775" s="3">
        <v>0.83399999999999996</v>
      </c>
      <c r="H775" s="3">
        <v>0.91500000000000004</v>
      </c>
      <c r="I775" s="5">
        <v>46</v>
      </c>
      <c r="J775" s="3">
        <v>14</v>
      </c>
      <c r="K775" s="3">
        <v>4.5</v>
      </c>
    </row>
    <row r="776" spans="1:11" x14ac:dyDescent="0.2">
      <c r="A776" s="3">
        <v>67</v>
      </c>
      <c r="B776" s="3">
        <v>3207</v>
      </c>
      <c r="C776" s="3">
        <v>145</v>
      </c>
      <c r="D776" s="3">
        <v>0.89400000000000002</v>
      </c>
      <c r="E776" s="4">
        <v>7.2999999999999995E-2</v>
      </c>
      <c r="F776" s="3">
        <v>0.224</v>
      </c>
      <c r="G776" s="3">
        <v>0.86199999999999999</v>
      </c>
      <c r="H776" s="3">
        <v>0.98599999999999999</v>
      </c>
      <c r="I776" s="5">
        <v>45</v>
      </c>
      <c r="J776" s="3">
        <v>17</v>
      </c>
      <c r="K776" s="3">
        <v>7.2</v>
      </c>
    </row>
    <row r="777" spans="1:11" x14ac:dyDescent="0.2">
      <c r="A777" s="3">
        <v>98</v>
      </c>
      <c r="B777" s="3">
        <v>4833</v>
      </c>
      <c r="C777" s="3">
        <v>42</v>
      </c>
      <c r="D777" s="3">
        <v>0.89400000000000002</v>
      </c>
      <c r="E777" s="4">
        <v>8.1000000000000003E-2</v>
      </c>
      <c r="F777" s="3">
        <v>0.06</v>
      </c>
      <c r="G777" s="3">
        <v>0.76900000000000002</v>
      </c>
      <c r="H777" s="3">
        <v>0.96599999999999997</v>
      </c>
      <c r="I777" s="5">
        <v>15</v>
      </c>
      <c r="J777" s="3">
        <v>16</v>
      </c>
      <c r="K777" s="3">
        <v>10</v>
      </c>
    </row>
    <row r="778" spans="1:11" x14ac:dyDescent="0.2">
      <c r="A778" s="3">
        <v>45</v>
      </c>
      <c r="B778" s="3">
        <v>2045</v>
      </c>
      <c r="C778" s="3">
        <v>177</v>
      </c>
      <c r="D778" s="3">
        <v>0.89500000000000002</v>
      </c>
      <c r="E778" s="4">
        <v>7.4999999999999997E-2</v>
      </c>
      <c r="F778" s="3">
        <v>0.153</v>
      </c>
      <c r="G778" s="3">
        <v>0.93500000000000005</v>
      </c>
      <c r="H778" s="3">
        <v>0.93600000000000005</v>
      </c>
      <c r="I778" s="5">
        <v>27</v>
      </c>
      <c r="J778" s="3">
        <v>16</v>
      </c>
      <c r="K778" s="3">
        <v>2.8</v>
      </c>
    </row>
    <row r="779" spans="1:11" x14ac:dyDescent="0.2">
      <c r="A779" s="3">
        <v>59</v>
      </c>
      <c r="B779" s="3">
        <v>2757</v>
      </c>
      <c r="C779" s="3">
        <v>191</v>
      </c>
      <c r="D779" s="3">
        <v>0.89500000000000002</v>
      </c>
      <c r="E779" s="4">
        <v>0.155</v>
      </c>
      <c r="F779" s="3">
        <v>0.17100000000000001</v>
      </c>
      <c r="G779" s="3">
        <v>0.78</v>
      </c>
      <c r="H779" s="3">
        <v>0.97</v>
      </c>
      <c r="I779" s="5">
        <v>92</v>
      </c>
      <c r="J779" s="3">
        <v>3</v>
      </c>
      <c r="K779" s="3">
        <v>7.3</v>
      </c>
    </row>
    <row r="780" spans="1:11" x14ac:dyDescent="0.2">
      <c r="A780" s="3">
        <v>91</v>
      </c>
      <c r="B780" s="3">
        <v>4372</v>
      </c>
      <c r="C780" s="3">
        <v>99</v>
      </c>
      <c r="D780" s="3">
        <v>0.89500000000000002</v>
      </c>
      <c r="E780" s="4">
        <v>0.105</v>
      </c>
      <c r="F780" s="3">
        <v>0.186</v>
      </c>
      <c r="G780" s="3">
        <v>0.73499999999999999</v>
      </c>
      <c r="H780" s="3">
        <v>0.90200000000000002</v>
      </c>
      <c r="I780" s="5">
        <v>97</v>
      </c>
      <c r="J780" s="3">
        <v>11</v>
      </c>
      <c r="K780" s="3">
        <v>12.2</v>
      </c>
    </row>
    <row r="781" spans="1:11" x14ac:dyDescent="0.2">
      <c r="A781" s="3">
        <v>92</v>
      </c>
      <c r="B781" s="3">
        <v>4488</v>
      </c>
      <c r="C781" s="3">
        <v>144</v>
      </c>
      <c r="D781" s="3">
        <v>0.89500000000000002</v>
      </c>
      <c r="E781" s="4">
        <v>1.7000000000000001E-2</v>
      </c>
      <c r="F781" s="3">
        <v>0.25800000000000001</v>
      </c>
      <c r="G781" s="3">
        <v>0.86499999999999999</v>
      </c>
      <c r="H781" s="3">
        <v>0.97299999999999998</v>
      </c>
      <c r="I781" s="5">
        <v>28</v>
      </c>
      <c r="J781" s="3">
        <v>5</v>
      </c>
      <c r="K781" s="3">
        <v>3.4</v>
      </c>
    </row>
    <row r="782" spans="1:11" x14ac:dyDescent="0.2">
      <c r="A782" s="3">
        <v>29</v>
      </c>
      <c r="B782" s="3">
        <v>1197</v>
      </c>
      <c r="C782" s="3">
        <v>186</v>
      </c>
      <c r="D782" s="3">
        <v>0.89600000000000002</v>
      </c>
      <c r="E782" s="4">
        <v>0.17199999999999999</v>
      </c>
      <c r="F782" s="3">
        <v>0.26800000000000002</v>
      </c>
      <c r="G782" s="3">
        <v>0.94099999999999995</v>
      </c>
      <c r="H782" s="3">
        <v>0.90900000000000003</v>
      </c>
      <c r="I782" s="5">
        <v>9</v>
      </c>
      <c r="J782" s="3">
        <v>0</v>
      </c>
      <c r="K782" s="3">
        <v>7.7</v>
      </c>
    </row>
    <row r="783" spans="1:11" x14ac:dyDescent="0.2">
      <c r="A783" s="3">
        <v>31</v>
      </c>
      <c r="B783" s="3">
        <v>1419</v>
      </c>
      <c r="C783" s="3">
        <v>91</v>
      </c>
      <c r="D783" s="3">
        <v>0.89600000000000002</v>
      </c>
      <c r="E783" s="4">
        <v>0.13300000000000001</v>
      </c>
      <c r="F783" s="3">
        <v>0.27</v>
      </c>
      <c r="G783" s="3">
        <v>0.91600000000000004</v>
      </c>
      <c r="H783" s="3">
        <v>0.92700000000000005</v>
      </c>
      <c r="I783" s="5">
        <v>43</v>
      </c>
      <c r="J783" s="3">
        <v>5</v>
      </c>
      <c r="K783" s="3">
        <v>14.3</v>
      </c>
    </row>
    <row r="784" spans="1:11" x14ac:dyDescent="0.2">
      <c r="A784" s="3">
        <v>80</v>
      </c>
      <c r="B784" s="3">
        <v>3798</v>
      </c>
      <c r="C784" s="3">
        <v>86</v>
      </c>
      <c r="D784" s="3">
        <v>0.89600000000000002</v>
      </c>
      <c r="E784" s="4">
        <v>0.13300000000000001</v>
      </c>
      <c r="F784" s="3">
        <v>6.9000000000000006E-2</v>
      </c>
      <c r="G784" s="3">
        <v>0.70199999999999996</v>
      </c>
      <c r="H784" s="3">
        <v>0.98499999999999999</v>
      </c>
      <c r="I784" s="5">
        <v>12</v>
      </c>
      <c r="J784" s="3">
        <v>13</v>
      </c>
      <c r="K784" s="3">
        <v>10.8</v>
      </c>
    </row>
    <row r="785" spans="1:11" x14ac:dyDescent="0.2">
      <c r="A785" s="3">
        <v>101</v>
      </c>
      <c r="B785" s="3">
        <v>4925</v>
      </c>
      <c r="C785" s="3">
        <v>12</v>
      </c>
      <c r="D785" s="3">
        <v>0.89700000000000002</v>
      </c>
      <c r="E785" s="4">
        <v>0.14399999999999999</v>
      </c>
      <c r="F785" s="3">
        <v>0.19900000000000001</v>
      </c>
      <c r="G785" s="3">
        <v>0.77800000000000002</v>
      </c>
      <c r="H785" s="3">
        <v>0.91600000000000004</v>
      </c>
      <c r="I785" s="5">
        <v>52</v>
      </c>
      <c r="J785" s="3">
        <v>3</v>
      </c>
      <c r="K785" s="3">
        <v>4.0999999999999996</v>
      </c>
    </row>
    <row r="786" spans="1:11" x14ac:dyDescent="0.2">
      <c r="A786" s="3">
        <v>48</v>
      </c>
      <c r="B786" s="3">
        <v>2270</v>
      </c>
      <c r="C786" s="3">
        <v>192</v>
      </c>
      <c r="D786" s="3">
        <v>0.89800000000000002</v>
      </c>
      <c r="E786" s="4">
        <v>0.113</v>
      </c>
      <c r="F786" s="3">
        <v>0.11</v>
      </c>
      <c r="G786" s="3">
        <v>0.85699999999999998</v>
      </c>
      <c r="H786" s="3">
        <v>0.92300000000000004</v>
      </c>
      <c r="I786" s="5">
        <v>5</v>
      </c>
      <c r="J786" s="3">
        <v>16</v>
      </c>
      <c r="K786" s="3">
        <v>11.9</v>
      </c>
    </row>
    <row r="787" spans="1:11" x14ac:dyDescent="0.2">
      <c r="A787" s="3">
        <v>53</v>
      </c>
      <c r="B787" s="3">
        <v>2478</v>
      </c>
      <c r="C787" s="3">
        <v>165</v>
      </c>
      <c r="D787" s="3">
        <v>0.89800000000000002</v>
      </c>
      <c r="E787" s="4">
        <v>0.105</v>
      </c>
      <c r="F787" s="3">
        <v>0.17299999999999999</v>
      </c>
      <c r="G787" s="3">
        <v>0.89600000000000002</v>
      </c>
      <c r="H787" s="3">
        <v>0.99399999999999999</v>
      </c>
      <c r="I787" s="5">
        <v>32</v>
      </c>
      <c r="J787" s="3">
        <v>18</v>
      </c>
      <c r="K787" s="3">
        <v>11</v>
      </c>
    </row>
    <row r="788" spans="1:11" x14ac:dyDescent="0.2">
      <c r="A788" s="3">
        <v>38</v>
      </c>
      <c r="B788" s="3">
        <v>1868</v>
      </c>
      <c r="C788" s="3">
        <v>192</v>
      </c>
      <c r="D788" s="3">
        <v>0.89900000000000002</v>
      </c>
      <c r="E788" s="4">
        <v>0.14299999999999999</v>
      </c>
      <c r="F788" s="3">
        <v>7.1999999999999995E-2</v>
      </c>
      <c r="G788" s="3">
        <v>0.73499999999999999</v>
      </c>
      <c r="H788" s="3">
        <v>0.92200000000000004</v>
      </c>
      <c r="I788" s="5">
        <v>84</v>
      </c>
      <c r="J788" s="3">
        <v>12</v>
      </c>
      <c r="K788" s="3">
        <v>1.2</v>
      </c>
    </row>
    <row r="789" spans="1:11" x14ac:dyDescent="0.2">
      <c r="A789" s="3">
        <v>91</v>
      </c>
      <c r="B789" s="3">
        <v>4512</v>
      </c>
      <c r="C789" s="3">
        <v>90</v>
      </c>
      <c r="D789" s="3">
        <v>0.89900000000000002</v>
      </c>
      <c r="E789" s="4">
        <v>0.13600000000000001</v>
      </c>
      <c r="F789" s="3">
        <v>0.21299999999999999</v>
      </c>
      <c r="G789" s="3">
        <v>0.95199999999999996</v>
      </c>
      <c r="H789" s="3">
        <v>0.97799999999999998</v>
      </c>
      <c r="I789" s="5">
        <v>33</v>
      </c>
      <c r="J789" s="3">
        <v>4</v>
      </c>
      <c r="K789" s="3">
        <v>11.2</v>
      </c>
    </row>
    <row r="790" spans="1:11" x14ac:dyDescent="0.2">
      <c r="A790" s="3">
        <v>55</v>
      </c>
      <c r="B790" s="3">
        <v>2577</v>
      </c>
      <c r="C790" s="3">
        <v>184</v>
      </c>
      <c r="D790" s="3">
        <v>0.9</v>
      </c>
      <c r="E790" s="4">
        <v>0.02</v>
      </c>
      <c r="F790" s="3">
        <v>0.23499999999999999</v>
      </c>
      <c r="G790" s="3">
        <v>0.72599999999999998</v>
      </c>
      <c r="H790" s="3">
        <v>0.90700000000000003</v>
      </c>
      <c r="I790" s="5">
        <v>60</v>
      </c>
      <c r="J790" s="3">
        <v>8</v>
      </c>
      <c r="K790" s="3">
        <v>9.1999999999999993</v>
      </c>
    </row>
    <row r="791" spans="1:11" x14ac:dyDescent="0.2">
      <c r="A791" s="3">
        <v>65</v>
      </c>
      <c r="B791" s="3">
        <v>3016</v>
      </c>
      <c r="C791" s="3">
        <v>138</v>
      </c>
      <c r="D791" s="3">
        <v>0.9</v>
      </c>
      <c r="E791" s="4">
        <v>0.10199999999999999</v>
      </c>
      <c r="F791" s="3">
        <v>0.188</v>
      </c>
      <c r="G791" s="3">
        <v>0.86099999999999999</v>
      </c>
      <c r="H791" s="3">
        <v>0.93700000000000006</v>
      </c>
      <c r="I791" s="5">
        <v>48</v>
      </c>
      <c r="J791" s="3">
        <v>14</v>
      </c>
      <c r="K791" s="3">
        <v>6.8</v>
      </c>
    </row>
    <row r="792" spans="1:11" x14ac:dyDescent="0.2">
      <c r="A792" s="3">
        <v>102</v>
      </c>
      <c r="B792" s="3">
        <v>4835</v>
      </c>
      <c r="C792" s="3">
        <v>89</v>
      </c>
      <c r="D792" s="3">
        <v>0.90100000000000002</v>
      </c>
      <c r="E792" s="4">
        <v>0.189</v>
      </c>
      <c r="F792" s="3">
        <v>0.27900000000000003</v>
      </c>
      <c r="G792" s="3">
        <v>0.95099999999999996</v>
      </c>
      <c r="H792" s="3">
        <v>0.96099999999999997</v>
      </c>
      <c r="I792" s="5">
        <v>44</v>
      </c>
      <c r="J792" s="3">
        <v>3</v>
      </c>
      <c r="K792" s="3">
        <v>9.4</v>
      </c>
    </row>
    <row r="793" spans="1:11" x14ac:dyDescent="0.2">
      <c r="A793" s="3">
        <v>100</v>
      </c>
      <c r="B793" s="3">
        <v>4924</v>
      </c>
      <c r="C793" s="3">
        <v>157</v>
      </c>
      <c r="D793" s="3">
        <v>0.90200000000000002</v>
      </c>
      <c r="E793" s="4">
        <v>7.4999999999999997E-2</v>
      </c>
      <c r="F793" s="3">
        <v>0.221</v>
      </c>
      <c r="G793" s="3">
        <v>0.89600000000000002</v>
      </c>
      <c r="H793" s="3">
        <v>0.92500000000000004</v>
      </c>
      <c r="I793" s="5">
        <v>16</v>
      </c>
      <c r="J793" s="3">
        <v>12</v>
      </c>
      <c r="K793" s="3">
        <v>8.9</v>
      </c>
    </row>
    <row r="794" spans="1:11" x14ac:dyDescent="0.2">
      <c r="A794" s="3">
        <v>52</v>
      </c>
      <c r="B794" s="3">
        <v>2519</v>
      </c>
      <c r="C794" s="3">
        <v>20</v>
      </c>
      <c r="D794" s="3">
        <v>0.90400000000000003</v>
      </c>
      <c r="E794" s="4">
        <v>9.2999999999999999E-2</v>
      </c>
      <c r="F794" s="3">
        <v>0.26200000000000001</v>
      </c>
      <c r="G794" s="3">
        <v>0.84199999999999997</v>
      </c>
      <c r="H794" s="3">
        <v>0.97899999999999998</v>
      </c>
      <c r="I794" s="5">
        <v>56</v>
      </c>
      <c r="J794" s="3">
        <v>10</v>
      </c>
      <c r="K794" s="3">
        <v>1.5</v>
      </c>
    </row>
    <row r="795" spans="1:11" x14ac:dyDescent="0.2">
      <c r="A795" s="3">
        <v>62</v>
      </c>
      <c r="B795" s="3">
        <v>3038</v>
      </c>
      <c r="C795" s="3">
        <v>111</v>
      </c>
      <c r="D795" s="3">
        <v>0.90400000000000003</v>
      </c>
      <c r="E795" s="4">
        <v>0.126</v>
      </c>
      <c r="F795" s="3">
        <v>0.156</v>
      </c>
      <c r="G795" s="3">
        <v>0.874</v>
      </c>
      <c r="H795" s="3">
        <v>0.92300000000000004</v>
      </c>
      <c r="I795" s="5">
        <v>7</v>
      </c>
      <c r="J795" s="3">
        <v>14</v>
      </c>
      <c r="K795" s="3">
        <v>7.1</v>
      </c>
    </row>
    <row r="796" spans="1:11" x14ac:dyDescent="0.2">
      <c r="A796" s="3">
        <v>86</v>
      </c>
      <c r="B796" s="3">
        <v>4227</v>
      </c>
      <c r="C796" s="3">
        <v>88</v>
      </c>
      <c r="D796" s="3">
        <v>0.90400000000000003</v>
      </c>
      <c r="E796" s="4">
        <v>3.5000000000000003E-2</v>
      </c>
      <c r="F796" s="3">
        <v>0.28699999999999998</v>
      </c>
      <c r="G796" s="3">
        <v>0.879</v>
      </c>
      <c r="H796" s="3">
        <v>0.92500000000000004</v>
      </c>
      <c r="I796" s="5">
        <v>93</v>
      </c>
      <c r="J796" s="3">
        <v>13</v>
      </c>
      <c r="K796" s="3">
        <v>10.8</v>
      </c>
    </row>
    <row r="797" spans="1:11" x14ac:dyDescent="0.2">
      <c r="A797" s="3">
        <v>51</v>
      </c>
      <c r="B797" s="3">
        <v>2469</v>
      </c>
      <c r="C797" s="3">
        <v>48</v>
      </c>
      <c r="D797" s="3">
        <v>0.90500000000000003</v>
      </c>
      <c r="E797" s="4">
        <v>0.124</v>
      </c>
      <c r="F797" s="3">
        <v>9.4E-2</v>
      </c>
      <c r="G797" s="3">
        <v>0.76100000000000001</v>
      </c>
      <c r="H797" s="3">
        <v>0.91800000000000004</v>
      </c>
      <c r="I797" s="5">
        <v>93</v>
      </c>
      <c r="J797" s="3">
        <v>13</v>
      </c>
      <c r="K797" s="3">
        <v>9.4</v>
      </c>
    </row>
    <row r="798" spans="1:11" x14ac:dyDescent="0.2">
      <c r="A798" s="3">
        <v>80</v>
      </c>
      <c r="B798" s="3">
        <v>3749</v>
      </c>
      <c r="C798" s="3">
        <v>153</v>
      </c>
      <c r="D798" s="3">
        <v>0.90500000000000003</v>
      </c>
      <c r="E798" s="4">
        <v>0.16700000000000001</v>
      </c>
      <c r="F798" s="3">
        <v>0.23499999999999999</v>
      </c>
      <c r="G798" s="3">
        <v>0.7</v>
      </c>
      <c r="H798" s="3">
        <v>0.98799999999999999</v>
      </c>
      <c r="I798" s="5">
        <v>3</v>
      </c>
      <c r="J798" s="3">
        <v>8</v>
      </c>
      <c r="K798" s="3">
        <v>12.6</v>
      </c>
    </row>
    <row r="799" spans="1:11" x14ac:dyDescent="0.2">
      <c r="A799" s="3">
        <v>79</v>
      </c>
      <c r="B799" s="3">
        <v>3765</v>
      </c>
      <c r="C799" s="3">
        <v>157</v>
      </c>
      <c r="D799" s="3">
        <v>0.90500000000000003</v>
      </c>
      <c r="E799" s="4">
        <v>0.17</v>
      </c>
      <c r="F799" s="3">
        <v>7.9000000000000001E-2</v>
      </c>
      <c r="G799" s="3">
        <v>0.76600000000000001</v>
      </c>
      <c r="H799" s="3">
        <v>0.90200000000000002</v>
      </c>
      <c r="I799" s="5">
        <v>28</v>
      </c>
      <c r="J799" s="3">
        <v>19</v>
      </c>
      <c r="K799" s="3">
        <v>9.4</v>
      </c>
    </row>
    <row r="800" spans="1:11" x14ac:dyDescent="0.2">
      <c r="A800" s="3">
        <v>31</v>
      </c>
      <c r="B800" s="3">
        <v>1492</v>
      </c>
      <c r="C800" s="3">
        <v>52</v>
      </c>
      <c r="D800" s="3">
        <v>0.90600000000000003</v>
      </c>
      <c r="E800" s="4">
        <v>0.18</v>
      </c>
      <c r="F800" s="3">
        <v>0.252</v>
      </c>
      <c r="G800" s="3">
        <v>0.70899999999999996</v>
      </c>
      <c r="H800" s="3">
        <v>0.95</v>
      </c>
      <c r="I800" s="5">
        <v>54</v>
      </c>
      <c r="J800" s="3">
        <v>3</v>
      </c>
      <c r="K800" s="3">
        <v>10.1</v>
      </c>
    </row>
    <row r="801" spans="1:11" x14ac:dyDescent="0.2">
      <c r="A801" s="3">
        <v>42</v>
      </c>
      <c r="B801" s="3">
        <v>1882</v>
      </c>
      <c r="C801" s="3">
        <v>28</v>
      </c>
      <c r="D801" s="3">
        <v>0.90600000000000003</v>
      </c>
      <c r="E801" s="4">
        <v>0.14899999999999999</v>
      </c>
      <c r="F801" s="3">
        <v>5.1999999999999998E-2</v>
      </c>
      <c r="G801" s="3">
        <v>0.79600000000000004</v>
      </c>
      <c r="H801" s="3">
        <v>0.98199999999999998</v>
      </c>
      <c r="I801" s="5">
        <v>79</v>
      </c>
      <c r="J801" s="3">
        <v>12</v>
      </c>
      <c r="K801" s="3">
        <v>6.7</v>
      </c>
    </row>
    <row r="802" spans="1:11" x14ac:dyDescent="0.2">
      <c r="A802" s="3">
        <v>82</v>
      </c>
      <c r="B802" s="3">
        <v>4065</v>
      </c>
      <c r="C802" s="3">
        <v>130</v>
      </c>
      <c r="D802" s="3">
        <v>0.90700000000000003</v>
      </c>
      <c r="E802" s="4">
        <v>5.0999999999999997E-2</v>
      </c>
      <c r="F802" s="3">
        <v>0.27400000000000002</v>
      </c>
      <c r="G802" s="3">
        <v>0.73699999999999999</v>
      </c>
      <c r="H802" s="3">
        <v>0.90300000000000002</v>
      </c>
      <c r="I802" s="5">
        <v>45</v>
      </c>
      <c r="J802" s="3">
        <v>15</v>
      </c>
      <c r="K802" s="3">
        <v>12</v>
      </c>
    </row>
    <row r="803" spans="1:11" x14ac:dyDescent="0.2">
      <c r="A803" s="3">
        <v>73</v>
      </c>
      <c r="B803" s="3">
        <v>3478</v>
      </c>
      <c r="C803" s="3">
        <v>132</v>
      </c>
      <c r="D803" s="3">
        <v>0.90900000000000003</v>
      </c>
      <c r="E803" s="4">
        <v>0.13300000000000001</v>
      </c>
      <c r="F803" s="3">
        <v>0.187</v>
      </c>
      <c r="G803" s="3">
        <v>0.86099999999999999</v>
      </c>
      <c r="H803" s="3">
        <v>0.98899999999999999</v>
      </c>
      <c r="I803" s="5">
        <v>19</v>
      </c>
      <c r="J803" s="3">
        <v>17</v>
      </c>
      <c r="K803" s="3">
        <v>14.8</v>
      </c>
    </row>
    <row r="804" spans="1:11" x14ac:dyDescent="0.2">
      <c r="A804" s="3">
        <v>99</v>
      </c>
      <c r="B804" s="3">
        <v>4920</v>
      </c>
      <c r="C804" s="3">
        <v>117</v>
      </c>
      <c r="D804" s="3">
        <v>0.90900000000000003</v>
      </c>
      <c r="E804" s="4">
        <v>0.183</v>
      </c>
      <c r="F804" s="3">
        <v>0.251</v>
      </c>
      <c r="G804" s="3">
        <v>0.81899999999999995</v>
      </c>
      <c r="H804" s="3">
        <v>0.92800000000000005</v>
      </c>
      <c r="I804" s="5">
        <v>8</v>
      </c>
      <c r="J804" s="3">
        <v>9</v>
      </c>
      <c r="K804" s="3">
        <v>9.8000000000000007</v>
      </c>
    </row>
    <row r="805" spans="1:11" x14ac:dyDescent="0.2">
      <c r="A805" s="3">
        <v>35</v>
      </c>
      <c r="B805" s="3">
        <v>1532</v>
      </c>
      <c r="C805" s="3">
        <v>94</v>
      </c>
      <c r="D805" s="3">
        <v>0.91</v>
      </c>
      <c r="E805" s="4">
        <v>0.19400000000000001</v>
      </c>
      <c r="F805" s="3">
        <v>0.26800000000000002</v>
      </c>
      <c r="G805" s="3">
        <v>0.83</v>
      </c>
      <c r="H805" s="3">
        <v>0.98499999999999999</v>
      </c>
      <c r="I805" s="5">
        <v>47</v>
      </c>
      <c r="J805" s="3">
        <v>11</v>
      </c>
      <c r="K805" s="3">
        <v>4.4000000000000004</v>
      </c>
    </row>
    <row r="806" spans="1:11" x14ac:dyDescent="0.2">
      <c r="A806" s="3">
        <v>86</v>
      </c>
      <c r="B806" s="3">
        <v>4158</v>
      </c>
      <c r="C806" s="3">
        <v>74</v>
      </c>
      <c r="D806" s="3">
        <v>0.91</v>
      </c>
      <c r="E806" s="4">
        <v>6.7000000000000004E-2</v>
      </c>
      <c r="F806" s="3">
        <v>0.188</v>
      </c>
      <c r="G806" s="3">
        <v>0.84499999999999997</v>
      </c>
      <c r="H806" s="3">
        <v>0.996</v>
      </c>
      <c r="I806" s="5">
        <v>56</v>
      </c>
      <c r="J806" s="3">
        <v>9</v>
      </c>
      <c r="K806" s="3">
        <v>3.1</v>
      </c>
    </row>
    <row r="807" spans="1:11" x14ac:dyDescent="0.2">
      <c r="A807" s="3">
        <v>33</v>
      </c>
      <c r="B807" s="3">
        <v>1404</v>
      </c>
      <c r="C807" s="3">
        <v>93</v>
      </c>
      <c r="D807" s="3">
        <v>0.91100000000000003</v>
      </c>
      <c r="E807" s="4">
        <v>6.2E-2</v>
      </c>
      <c r="F807" s="3">
        <v>0.104</v>
      </c>
      <c r="G807" s="3">
        <v>0.86499999999999999</v>
      </c>
      <c r="H807" s="3">
        <v>0.99299999999999999</v>
      </c>
      <c r="I807" s="5">
        <v>17</v>
      </c>
      <c r="J807" s="3">
        <v>9</v>
      </c>
      <c r="K807" s="3">
        <v>1.3</v>
      </c>
    </row>
    <row r="808" spans="1:11" x14ac:dyDescent="0.2">
      <c r="A808" s="3">
        <v>37</v>
      </c>
      <c r="B808" s="3">
        <v>1628</v>
      </c>
      <c r="C808" s="3">
        <v>45</v>
      </c>
      <c r="D808" s="3">
        <v>0.91100000000000003</v>
      </c>
      <c r="E808" s="4">
        <v>0.14599999999999999</v>
      </c>
      <c r="F808" s="3">
        <v>0.19800000000000001</v>
      </c>
      <c r="G808" s="3">
        <v>0.89300000000000002</v>
      </c>
      <c r="H808" s="3">
        <v>0.91300000000000003</v>
      </c>
      <c r="I808" s="5">
        <v>68</v>
      </c>
      <c r="J808" s="3">
        <v>3</v>
      </c>
      <c r="K808" s="3">
        <v>5.3</v>
      </c>
    </row>
    <row r="809" spans="1:11" x14ac:dyDescent="0.2">
      <c r="A809" s="3">
        <v>53</v>
      </c>
      <c r="B809" s="3">
        <v>2572</v>
      </c>
      <c r="C809" s="3">
        <v>162</v>
      </c>
      <c r="D809" s="3">
        <v>0.91100000000000003</v>
      </c>
      <c r="E809" s="4">
        <v>3.1E-2</v>
      </c>
      <c r="F809" s="3">
        <v>0.111</v>
      </c>
      <c r="G809" s="3">
        <v>0.71099999999999997</v>
      </c>
      <c r="H809" s="3">
        <v>0.93899999999999995</v>
      </c>
      <c r="I809" s="5">
        <v>72</v>
      </c>
      <c r="J809" s="3">
        <v>7</v>
      </c>
      <c r="K809" s="3">
        <v>5.4</v>
      </c>
    </row>
    <row r="810" spans="1:11" x14ac:dyDescent="0.2">
      <c r="A810" s="3">
        <v>95</v>
      </c>
      <c r="B810" s="3">
        <v>4580</v>
      </c>
      <c r="C810" s="3">
        <v>192</v>
      </c>
      <c r="D810" s="3">
        <v>0.91100000000000003</v>
      </c>
      <c r="E810" s="4">
        <v>3.5999999999999997E-2</v>
      </c>
      <c r="F810" s="3">
        <v>0.161</v>
      </c>
      <c r="G810" s="3">
        <v>0.90400000000000003</v>
      </c>
      <c r="H810" s="3">
        <v>0.90900000000000003</v>
      </c>
      <c r="I810" s="5">
        <v>69</v>
      </c>
      <c r="J810" s="3">
        <v>7</v>
      </c>
      <c r="K810" s="3">
        <v>6</v>
      </c>
    </row>
    <row r="811" spans="1:11" x14ac:dyDescent="0.2">
      <c r="A811" s="3">
        <v>66</v>
      </c>
      <c r="B811" s="3">
        <v>3201</v>
      </c>
      <c r="C811" s="3">
        <v>77</v>
      </c>
      <c r="D811" s="3">
        <v>0.91200000000000003</v>
      </c>
      <c r="E811" s="4">
        <v>1.2999999999999999E-2</v>
      </c>
      <c r="F811" s="3">
        <v>0.11799999999999999</v>
      </c>
      <c r="G811" s="3">
        <v>0.83199999999999996</v>
      </c>
      <c r="H811" s="3">
        <v>0.98</v>
      </c>
      <c r="I811" s="5">
        <v>34</v>
      </c>
      <c r="J811" s="3">
        <v>4</v>
      </c>
      <c r="K811" s="3">
        <v>12.5</v>
      </c>
    </row>
    <row r="812" spans="1:11" x14ac:dyDescent="0.2">
      <c r="A812" s="3">
        <v>70</v>
      </c>
      <c r="B812" s="3">
        <v>3371</v>
      </c>
      <c r="C812" s="3">
        <v>183</v>
      </c>
      <c r="D812" s="3">
        <v>0.91200000000000003</v>
      </c>
      <c r="E812" s="4">
        <v>0.128</v>
      </c>
      <c r="F812" s="3">
        <v>0.17100000000000001</v>
      </c>
      <c r="G812" s="3">
        <v>0.77400000000000002</v>
      </c>
      <c r="H812" s="3">
        <v>0.98499999999999999</v>
      </c>
      <c r="I812" s="5">
        <v>74</v>
      </c>
      <c r="J812" s="3">
        <v>11</v>
      </c>
      <c r="K812" s="3">
        <v>6.1</v>
      </c>
    </row>
    <row r="813" spans="1:11" x14ac:dyDescent="0.2">
      <c r="A813" s="3">
        <v>81</v>
      </c>
      <c r="B813" s="3">
        <v>3884</v>
      </c>
      <c r="C813" s="3">
        <v>192</v>
      </c>
      <c r="D813" s="3">
        <v>0.91200000000000003</v>
      </c>
      <c r="E813" s="4">
        <v>8.8999999999999996E-2</v>
      </c>
      <c r="F813" s="3">
        <v>5.3999999999999999E-2</v>
      </c>
      <c r="G813" s="3">
        <v>0.91100000000000003</v>
      </c>
      <c r="H813" s="3">
        <v>0.99399999999999999</v>
      </c>
      <c r="I813" s="5">
        <v>98</v>
      </c>
      <c r="J813" s="3">
        <v>16</v>
      </c>
      <c r="K813" s="3">
        <v>8.1999999999999993</v>
      </c>
    </row>
    <row r="814" spans="1:11" x14ac:dyDescent="0.2">
      <c r="A814" s="3">
        <v>57</v>
      </c>
      <c r="B814" s="3">
        <v>2581</v>
      </c>
      <c r="C814" s="3">
        <v>187</v>
      </c>
      <c r="D814" s="3">
        <v>0.91300000000000003</v>
      </c>
      <c r="E814" s="4">
        <v>0.14699999999999999</v>
      </c>
      <c r="F814" s="3">
        <v>0.16300000000000001</v>
      </c>
      <c r="G814" s="3">
        <v>0.94399999999999995</v>
      </c>
      <c r="H814" s="3">
        <v>0.95099999999999996</v>
      </c>
      <c r="I814" s="5">
        <v>8</v>
      </c>
      <c r="J814" s="3">
        <v>0</v>
      </c>
      <c r="K814" s="3">
        <v>3.9</v>
      </c>
    </row>
    <row r="815" spans="1:11" x14ac:dyDescent="0.2">
      <c r="A815" s="3">
        <v>72</v>
      </c>
      <c r="B815" s="3">
        <v>3482</v>
      </c>
      <c r="C815" s="3">
        <v>186</v>
      </c>
      <c r="D815" s="3">
        <v>0.91300000000000003</v>
      </c>
      <c r="E815" s="4">
        <v>0.13900000000000001</v>
      </c>
      <c r="F815" s="3">
        <v>0.22800000000000001</v>
      </c>
      <c r="G815" s="3">
        <v>0.86099999999999999</v>
      </c>
      <c r="H815" s="3">
        <v>0.90700000000000003</v>
      </c>
      <c r="I815" s="5">
        <v>60</v>
      </c>
      <c r="J815" s="3">
        <v>11</v>
      </c>
      <c r="K815" s="3">
        <v>2</v>
      </c>
    </row>
    <row r="816" spans="1:11" x14ac:dyDescent="0.2">
      <c r="A816" s="3">
        <v>29</v>
      </c>
      <c r="B816" s="3">
        <v>1182</v>
      </c>
      <c r="C816" s="3">
        <v>143</v>
      </c>
      <c r="D816" s="3">
        <v>0.91400000000000003</v>
      </c>
      <c r="E816" s="4">
        <v>7.3999999999999996E-2</v>
      </c>
      <c r="F816" s="3">
        <v>0.19600000000000001</v>
      </c>
      <c r="G816" s="3">
        <v>0.81899999999999995</v>
      </c>
      <c r="H816" s="3">
        <v>0.94099999999999995</v>
      </c>
      <c r="I816" s="5">
        <v>1</v>
      </c>
      <c r="J816" s="3">
        <v>5</v>
      </c>
      <c r="K816" s="3">
        <v>6.3</v>
      </c>
    </row>
    <row r="817" spans="1:11" x14ac:dyDescent="0.2">
      <c r="A817" s="3">
        <v>40</v>
      </c>
      <c r="B817" s="3">
        <v>1888</v>
      </c>
      <c r="C817" s="3">
        <v>149</v>
      </c>
      <c r="D817" s="3">
        <v>0.91400000000000003</v>
      </c>
      <c r="E817" s="4">
        <v>5.6000000000000001E-2</v>
      </c>
      <c r="F817" s="3">
        <v>5.3999999999999999E-2</v>
      </c>
      <c r="G817" s="3">
        <v>0.85599999999999998</v>
      </c>
      <c r="H817" s="3">
        <v>0.92100000000000004</v>
      </c>
      <c r="I817" s="5">
        <v>49</v>
      </c>
      <c r="J817" s="3">
        <v>17</v>
      </c>
      <c r="K817" s="3">
        <v>12.7</v>
      </c>
    </row>
    <row r="818" spans="1:11" x14ac:dyDescent="0.2">
      <c r="A818" s="3">
        <v>59</v>
      </c>
      <c r="B818" s="3">
        <v>2900</v>
      </c>
      <c r="C818" s="3">
        <v>185</v>
      </c>
      <c r="D818" s="3">
        <v>0.91400000000000003</v>
      </c>
      <c r="E818" s="4">
        <v>8.7999999999999995E-2</v>
      </c>
      <c r="F818" s="3">
        <v>0.13</v>
      </c>
      <c r="G818" s="3">
        <v>0.875</v>
      </c>
      <c r="H818" s="3">
        <v>0.94399999999999995</v>
      </c>
      <c r="I818" s="5">
        <v>95</v>
      </c>
      <c r="J818" s="3">
        <v>16</v>
      </c>
      <c r="K818" s="3">
        <v>5.4</v>
      </c>
    </row>
    <row r="819" spans="1:11" x14ac:dyDescent="0.2">
      <c r="A819" s="3">
        <v>65</v>
      </c>
      <c r="B819" s="3">
        <v>3224</v>
      </c>
      <c r="C819" s="3">
        <v>119</v>
      </c>
      <c r="D819" s="3">
        <v>0.91400000000000003</v>
      </c>
      <c r="E819" s="4">
        <v>0.1</v>
      </c>
      <c r="F819" s="3">
        <v>9.2999999999999999E-2</v>
      </c>
      <c r="G819" s="3">
        <v>0.754</v>
      </c>
      <c r="H819" s="3">
        <v>0.96799999999999997</v>
      </c>
      <c r="I819" s="5">
        <v>17</v>
      </c>
      <c r="J819" s="3">
        <v>17</v>
      </c>
      <c r="K819" s="3">
        <v>10.5</v>
      </c>
    </row>
    <row r="820" spans="1:11" x14ac:dyDescent="0.2">
      <c r="A820" s="3">
        <v>89</v>
      </c>
      <c r="B820" s="3">
        <v>4398</v>
      </c>
      <c r="C820" s="3">
        <v>57</v>
      </c>
      <c r="D820" s="3">
        <v>0.91400000000000003</v>
      </c>
      <c r="E820" s="4">
        <v>8.2000000000000003E-2</v>
      </c>
      <c r="F820" s="3">
        <v>0.22700000000000001</v>
      </c>
      <c r="G820" s="3">
        <v>0.98299999999999998</v>
      </c>
      <c r="H820" s="3">
        <v>0.94099999999999995</v>
      </c>
      <c r="I820" s="5">
        <v>28</v>
      </c>
      <c r="J820" s="3">
        <v>6</v>
      </c>
      <c r="K820" s="3">
        <v>5.3</v>
      </c>
    </row>
    <row r="821" spans="1:11" x14ac:dyDescent="0.2">
      <c r="A821" s="3">
        <v>82</v>
      </c>
      <c r="B821" s="3">
        <v>3958</v>
      </c>
      <c r="C821" s="3">
        <v>122</v>
      </c>
      <c r="D821" s="3">
        <v>0.91500000000000004</v>
      </c>
      <c r="E821" s="4">
        <v>0.15</v>
      </c>
      <c r="F821" s="3">
        <v>0.16900000000000001</v>
      </c>
      <c r="G821" s="3">
        <v>0.72599999999999998</v>
      </c>
      <c r="H821" s="3">
        <v>0.94099999999999995</v>
      </c>
      <c r="I821" s="5">
        <v>46</v>
      </c>
      <c r="J821" s="3">
        <v>15</v>
      </c>
      <c r="K821" s="3">
        <v>12.6</v>
      </c>
    </row>
    <row r="822" spans="1:11" x14ac:dyDescent="0.2">
      <c r="A822" s="3">
        <v>22</v>
      </c>
      <c r="B822" s="3">
        <v>1039</v>
      </c>
      <c r="C822" s="3">
        <v>136</v>
      </c>
      <c r="D822" s="3">
        <v>0.91600000000000004</v>
      </c>
      <c r="E822" s="4">
        <v>0.11</v>
      </c>
      <c r="F822" s="3">
        <v>6.7000000000000004E-2</v>
      </c>
      <c r="G822" s="3">
        <v>0.80300000000000005</v>
      </c>
      <c r="H822" s="3">
        <v>0.95299999999999996</v>
      </c>
      <c r="I822" s="5">
        <v>10</v>
      </c>
      <c r="J822" s="3">
        <v>1</v>
      </c>
      <c r="K822" s="3">
        <v>6.5</v>
      </c>
    </row>
    <row r="823" spans="1:11" x14ac:dyDescent="0.2">
      <c r="A823" s="3">
        <v>42</v>
      </c>
      <c r="B823" s="3">
        <v>1979</v>
      </c>
      <c r="C823" s="3">
        <v>63</v>
      </c>
      <c r="D823" s="3">
        <v>0.91600000000000004</v>
      </c>
      <c r="E823" s="4">
        <v>7.6999999999999999E-2</v>
      </c>
      <c r="F823" s="3">
        <v>0.14199999999999999</v>
      </c>
      <c r="G823" s="3">
        <v>0.78800000000000003</v>
      </c>
      <c r="H823" s="3">
        <v>0.98899999999999999</v>
      </c>
      <c r="I823" s="5">
        <v>96</v>
      </c>
      <c r="J823" s="3">
        <v>8</v>
      </c>
      <c r="K823" s="3">
        <v>2.4</v>
      </c>
    </row>
    <row r="824" spans="1:11" x14ac:dyDescent="0.2">
      <c r="A824" s="3">
        <v>70</v>
      </c>
      <c r="B824" s="3">
        <v>3319</v>
      </c>
      <c r="C824" s="3">
        <v>158</v>
      </c>
      <c r="D824" s="3">
        <v>0.91600000000000004</v>
      </c>
      <c r="E824" s="4">
        <v>0.02</v>
      </c>
      <c r="F824" s="3">
        <v>7.0000000000000007E-2</v>
      </c>
      <c r="G824" s="3">
        <v>0.72</v>
      </c>
      <c r="H824" s="3">
        <v>0.90600000000000003</v>
      </c>
      <c r="I824" s="5">
        <v>88</v>
      </c>
      <c r="J824" s="3">
        <v>6</v>
      </c>
      <c r="K824" s="3">
        <v>7.6</v>
      </c>
    </row>
    <row r="825" spans="1:11" x14ac:dyDescent="0.2">
      <c r="A825" s="3">
        <v>26</v>
      </c>
      <c r="B825" s="3">
        <v>1180</v>
      </c>
      <c r="C825" s="3">
        <v>96</v>
      </c>
      <c r="D825" s="3">
        <v>0.91700000000000004</v>
      </c>
      <c r="E825" s="4">
        <v>2.4E-2</v>
      </c>
      <c r="F825" s="3">
        <v>7.1999999999999995E-2</v>
      </c>
      <c r="G825" s="3">
        <v>0.71399999999999997</v>
      </c>
      <c r="H825" s="3">
        <v>0.95099999999999996</v>
      </c>
      <c r="I825" s="5">
        <v>19</v>
      </c>
      <c r="J825" s="3">
        <v>16</v>
      </c>
      <c r="K825" s="3">
        <v>9.6</v>
      </c>
    </row>
    <row r="826" spans="1:11" x14ac:dyDescent="0.2">
      <c r="A826" s="3">
        <v>87</v>
      </c>
      <c r="B826" s="3">
        <v>4313</v>
      </c>
      <c r="C826" s="3">
        <v>79</v>
      </c>
      <c r="D826" s="3">
        <v>0.91700000000000004</v>
      </c>
      <c r="E826" s="4">
        <v>0.17299999999999999</v>
      </c>
      <c r="F826" s="3">
        <v>0.126</v>
      </c>
      <c r="G826" s="3">
        <v>0.84099999999999997</v>
      </c>
      <c r="H826" s="3">
        <v>0.96099999999999997</v>
      </c>
      <c r="I826" s="5">
        <v>62</v>
      </c>
      <c r="J826" s="3">
        <v>16</v>
      </c>
      <c r="K826" s="3">
        <v>14.6</v>
      </c>
    </row>
    <row r="827" spans="1:11" x14ac:dyDescent="0.2">
      <c r="A827" s="3">
        <v>97</v>
      </c>
      <c r="B827" s="3">
        <v>4709</v>
      </c>
      <c r="C827" s="3">
        <v>100</v>
      </c>
      <c r="D827" s="3">
        <v>0.91700000000000004</v>
      </c>
      <c r="E827" s="4">
        <v>2.5999999999999999E-2</v>
      </c>
      <c r="F827" s="3">
        <v>9.2999999999999999E-2</v>
      </c>
      <c r="G827" s="3">
        <v>0.92300000000000004</v>
      </c>
      <c r="H827" s="3">
        <v>0.97199999999999998</v>
      </c>
      <c r="I827" s="5">
        <v>93</v>
      </c>
      <c r="J827" s="3">
        <v>15</v>
      </c>
      <c r="K827" s="3">
        <v>13.6</v>
      </c>
    </row>
    <row r="828" spans="1:11" x14ac:dyDescent="0.2">
      <c r="A828" s="3">
        <v>43</v>
      </c>
      <c r="B828" s="3">
        <v>1909</v>
      </c>
      <c r="C828" s="3">
        <v>165</v>
      </c>
      <c r="D828" s="3">
        <v>0.91800000000000004</v>
      </c>
      <c r="E828" s="4">
        <v>0.129</v>
      </c>
      <c r="F828" s="3">
        <v>0.16400000000000001</v>
      </c>
      <c r="G828" s="3">
        <v>0.72099999999999997</v>
      </c>
      <c r="H828" s="3">
        <v>0.90500000000000003</v>
      </c>
      <c r="I828" s="5">
        <v>47</v>
      </c>
      <c r="J828" s="3">
        <v>16</v>
      </c>
      <c r="K828" s="3">
        <v>13.7</v>
      </c>
    </row>
    <row r="829" spans="1:11" x14ac:dyDescent="0.2">
      <c r="A829" s="3">
        <v>79</v>
      </c>
      <c r="B829" s="3">
        <v>3743</v>
      </c>
      <c r="C829" s="3">
        <v>95</v>
      </c>
      <c r="D829" s="3">
        <v>0.91800000000000004</v>
      </c>
      <c r="E829" s="4">
        <v>0.107</v>
      </c>
      <c r="F829" s="3">
        <v>6.3E-2</v>
      </c>
      <c r="G829" s="3">
        <v>0.86599999999999999</v>
      </c>
      <c r="H829" s="3">
        <v>0.94599999999999995</v>
      </c>
      <c r="I829" s="5">
        <v>16</v>
      </c>
      <c r="J829" s="3">
        <v>3</v>
      </c>
      <c r="K829" s="3">
        <v>1.1000000000000001</v>
      </c>
    </row>
    <row r="830" spans="1:11" x14ac:dyDescent="0.2">
      <c r="A830" s="3">
        <v>24</v>
      </c>
      <c r="B830" s="3">
        <v>1125</v>
      </c>
      <c r="C830" s="3">
        <v>36</v>
      </c>
      <c r="D830" s="3">
        <v>0.91900000000000004</v>
      </c>
      <c r="E830" s="4">
        <v>0.183</v>
      </c>
      <c r="F830" s="3">
        <v>0.11799999999999999</v>
      </c>
      <c r="G830" s="3">
        <v>0.76400000000000001</v>
      </c>
      <c r="H830" s="3">
        <v>0.998</v>
      </c>
      <c r="I830" s="5">
        <v>76</v>
      </c>
      <c r="J830" s="3">
        <v>6</v>
      </c>
      <c r="K830" s="3">
        <v>14.8</v>
      </c>
    </row>
    <row r="831" spans="1:11" x14ac:dyDescent="0.2">
      <c r="A831" s="3">
        <v>34</v>
      </c>
      <c r="B831" s="3">
        <v>1667</v>
      </c>
      <c r="C831" s="3">
        <v>65</v>
      </c>
      <c r="D831" s="3">
        <v>0.91900000000000004</v>
      </c>
      <c r="E831" s="4">
        <v>0.115</v>
      </c>
      <c r="F831" s="3">
        <v>8.5999999999999993E-2</v>
      </c>
      <c r="G831" s="3">
        <v>0.94399999999999995</v>
      </c>
      <c r="H831" s="3">
        <v>0.94299999999999995</v>
      </c>
      <c r="I831" s="5">
        <v>34</v>
      </c>
      <c r="J831" s="3">
        <v>0</v>
      </c>
      <c r="K831" s="3">
        <v>3.1</v>
      </c>
    </row>
    <row r="832" spans="1:11" x14ac:dyDescent="0.2">
      <c r="A832" s="3">
        <v>57</v>
      </c>
      <c r="B832" s="3">
        <v>2610</v>
      </c>
      <c r="C832" s="3">
        <v>191</v>
      </c>
      <c r="D832" s="3">
        <v>0.91900000000000004</v>
      </c>
      <c r="E832" s="4">
        <v>3.1E-2</v>
      </c>
      <c r="F832" s="3">
        <v>0.192</v>
      </c>
      <c r="G832" s="3">
        <v>0.73299999999999998</v>
      </c>
      <c r="H832" s="3">
        <v>0.91600000000000004</v>
      </c>
      <c r="I832" s="5">
        <v>50</v>
      </c>
      <c r="J832" s="3">
        <v>18</v>
      </c>
      <c r="K832" s="3">
        <v>13.2</v>
      </c>
    </row>
    <row r="833" spans="1:11" x14ac:dyDescent="0.2">
      <c r="A833" s="3">
        <v>99</v>
      </c>
      <c r="B833" s="3">
        <v>4839</v>
      </c>
      <c r="C833" s="3">
        <v>56</v>
      </c>
      <c r="D833" s="3">
        <v>0.91900000000000004</v>
      </c>
      <c r="E833" s="4">
        <v>9.2999999999999999E-2</v>
      </c>
      <c r="F833" s="3">
        <v>0.16800000000000001</v>
      </c>
      <c r="G833" s="3">
        <v>0.93300000000000005</v>
      </c>
      <c r="H833" s="3">
        <v>0.93300000000000005</v>
      </c>
      <c r="I833" s="5">
        <v>68</v>
      </c>
      <c r="J833" s="3">
        <v>1</v>
      </c>
      <c r="K833" s="3">
        <v>11.3</v>
      </c>
    </row>
    <row r="834" spans="1:11" x14ac:dyDescent="0.2">
      <c r="A834" s="3">
        <v>33</v>
      </c>
      <c r="B834" s="3">
        <v>1515</v>
      </c>
      <c r="C834" s="3">
        <v>45</v>
      </c>
      <c r="D834" s="3">
        <v>0.92</v>
      </c>
      <c r="E834" s="4">
        <v>0.126</v>
      </c>
      <c r="F834" s="3">
        <v>0.251</v>
      </c>
      <c r="G834" s="3">
        <v>0.877</v>
      </c>
      <c r="H834" s="3">
        <v>0.95</v>
      </c>
      <c r="I834" s="5">
        <v>76</v>
      </c>
      <c r="J834" s="3">
        <v>11</v>
      </c>
      <c r="K834" s="3">
        <v>1.7</v>
      </c>
    </row>
    <row r="835" spans="1:11" x14ac:dyDescent="0.2">
      <c r="A835" s="3">
        <v>70</v>
      </c>
      <c r="B835" s="3">
        <v>3311</v>
      </c>
      <c r="C835" s="3">
        <v>88</v>
      </c>
      <c r="D835" s="3">
        <v>0.92</v>
      </c>
      <c r="E835" s="4">
        <v>0.17899999999999999</v>
      </c>
      <c r="F835" s="3">
        <v>0.28199999999999997</v>
      </c>
      <c r="G835" s="3">
        <v>0.94899999999999995</v>
      </c>
      <c r="H835" s="3">
        <v>0.99</v>
      </c>
      <c r="I835" s="5">
        <v>72</v>
      </c>
      <c r="J835" s="3">
        <v>19</v>
      </c>
      <c r="K835" s="3">
        <v>12.5</v>
      </c>
    </row>
    <row r="836" spans="1:11" x14ac:dyDescent="0.2">
      <c r="A836" s="3">
        <v>68</v>
      </c>
      <c r="B836" s="3">
        <v>3358</v>
      </c>
      <c r="C836" s="3">
        <v>134</v>
      </c>
      <c r="D836" s="3">
        <v>0.92</v>
      </c>
      <c r="E836" s="4">
        <v>2.7E-2</v>
      </c>
      <c r="F836" s="3">
        <v>0.21299999999999999</v>
      </c>
      <c r="G836" s="3">
        <v>0.90100000000000002</v>
      </c>
      <c r="H836" s="3">
        <v>0.91800000000000004</v>
      </c>
      <c r="I836" s="5">
        <v>86</v>
      </c>
      <c r="J836" s="3">
        <v>1</v>
      </c>
      <c r="K836" s="3">
        <v>11</v>
      </c>
    </row>
    <row r="837" spans="1:11" x14ac:dyDescent="0.2">
      <c r="A837" s="3">
        <v>81</v>
      </c>
      <c r="B837" s="3">
        <v>3784</v>
      </c>
      <c r="C837" s="3">
        <v>11</v>
      </c>
      <c r="D837" s="3">
        <v>0.92</v>
      </c>
      <c r="E837" s="4">
        <v>0.01</v>
      </c>
      <c r="F837" s="3">
        <v>0.20699999999999999</v>
      </c>
      <c r="G837" s="3">
        <v>0.91400000000000003</v>
      </c>
      <c r="H837" s="3">
        <v>0.93400000000000005</v>
      </c>
      <c r="I837" s="5">
        <v>91</v>
      </c>
      <c r="J837" s="3">
        <v>15</v>
      </c>
      <c r="K837" s="3">
        <v>14.5</v>
      </c>
    </row>
    <row r="838" spans="1:11" x14ac:dyDescent="0.2">
      <c r="A838" s="3">
        <v>51</v>
      </c>
      <c r="B838" s="3">
        <v>2378</v>
      </c>
      <c r="C838" s="3">
        <v>171</v>
      </c>
      <c r="D838" s="3">
        <v>0.92100000000000004</v>
      </c>
      <c r="E838" s="4">
        <v>4.4999999999999998E-2</v>
      </c>
      <c r="F838" s="3">
        <v>0.184</v>
      </c>
      <c r="G838" s="3">
        <v>0.97</v>
      </c>
      <c r="H838" s="3">
        <v>0.995</v>
      </c>
      <c r="I838" s="5">
        <v>15</v>
      </c>
      <c r="J838" s="3">
        <v>16</v>
      </c>
      <c r="K838" s="3">
        <v>5.2</v>
      </c>
    </row>
    <row r="839" spans="1:11" x14ac:dyDescent="0.2">
      <c r="A839" s="3">
        <v>55</v>
      </c>
      <c r="B839" s="3">
        <v>2572</v>
      </c>
      <c r="C839" s="3">
        <v>54</v>
      </c>
      <c r="D839" s="3">
        <v>0.92100000000000004</v>
      </c>
      <c r="E839" s="4">
        <v>0.13300000000000001</v>
      </c>
      <c r="F839" s="3">
        <v>0.254</v>
      </c>
      <c r="G839" s="3">
        <v>0.84799999999999998</v>
      </c>
      <c r="H839" s="3">
        <v>0.92</v>
      </c>
      <c r="I839" s="5">
        <v>15</v>
      </c>
      <c r="J839" s="3">
        <v>15</v>
      </c>
      <c r="K839" s="3">
        <v>6</v>
      </c>
    </row>
    <row r="840" spans="1:11" x14ac:dyDescent="0.2">
      <c r="A840" s="3">
        <v>86</v>
      </c>
      <c r="B840" s="3">
        <v>4084</v>
      </c>
      <c r="C840" s="3">
        <v>38</v>
      </c>
      <c r="D840" s="3">
        <v>0.92100000000000004</v>
      </c>
      <c r="E840" s="4">
        <v>0.11</v>
      </c>
      <c r="F840" s="3">
        <v>0.11600000000000001</v>
      </c>
      <c r="G840" s="3">
        <v>0.84299999999999997</v>
      </c>
      <c r="H840" s="3">
        <v>0.94</v>
      </c>
      <c r="I840" s="5">
        <v>29</v>
      </c>
      <c r="J840" s="3">
        <v>1</v>
      </c>
      <c r="K840" s="3">
        <v>12.9</v>
      </c>
    </row>
    <row r="841" spans="1:11" x14ac:dyDescent="0.2">
      <c r="A841" s="3">
        <v>91</v>
      </c>
      <c r="B841" s="3">
        <v>4441</v>
      </c>
      <c r="C841" s="3">
        <v>62</v>
      </c>
      <c r="D841" s="3">
        <v>0.92100000000000004</v>
      </c>
      <c r="E841" s="4">
        <v>0.16600000000000001</v>
      </c>
      <c r="F841" s="3">
        <v>0.19500000000000001</v>
      </c>
      <c r="G841" s="3">
        <v>0.97</v>
      </c>
      <c r="H841" s="3">
        <v>0.99299999999999999</v>
      </c>
      <c r="I841" s="5">
        <v>20</v>
      </c>
      <c r="J841" s="3">
        <v>15</v>
      </c>
      <c r="K841" s="3">
        <v>14.2</v>
      </c>
    </row>
    <row r="842" spans="1:11" x14ac:dyDescent="0.2">
      <c r="A842" s="3">
        <v>24</v>
      </c>
      <c r="B842" s="3">
        <v>1164</v>
      </c>
      <c r="C842" s="3">
        <v>52</v>
      </c>
      <c r="D842" s="3">
        <v>0.92200000000000004</v>
      </c>
      <c r="E842" s="4">
        <v>0.08</v>
      </c>
      <c r="F842" s="3">
        <v>0.108</v>
      </c>
      <c r="G842" s="3">
        <v>0.92900000000000005</v>
      </c>
      <c r="H842" s="3">
        <v>0.90700000000000003</v>
      </c>
      <c r="I842" s="5">
        <v>64</v>
      </c>
      <c r="J842" s="3">
        <v>16</v>
      </c>
      <c r="K842" s="3">
        <v>2.7</v>
      </c>
    </row>
    <row r="843" spans="1:11" x14ac:dyDescent="0.2">
      <c r="A843" s="3">
        <v>38</v>
      </c>
      <c r="B843" s="3">
        <v>1631</v>
      </c>
      <c r="C843" s="3">
        <v>170</v>
      </c>
      <c r="D843" s="3">
        <v>0.92200000000000004</v>
      </c>
      <c r="E843" s="4">
        <v>2.5000000000000001E-2</v>
      </c>
      <c r="F843" s="3">
        <v>0.111</v>
      </c>
      <c r="G843" s="3">
        <v>0.96</v>
      </c>
      <c r="H843" s="3">
        <v>0.98399999999999999</v>
      </c>
      <c r="I843" s="5">
        <v>52</v>
      </c>
      <c r="J843" s="3">
        <v>15</v>
      </c>
      <c r="K843" s="3">
        <v>8.9</v>
      </c>
    </row>
    <row r="844" spans="1:11" x14ac:dyDescent="0.2">
      <c r="A844" s="3">
        <v>41</v>
      </c>
      <c r="B844" s="3">
        <v>1869</v>
      </c>
      <c r="C844" s="3">
        <v>147</v>
      </c>
      <c r="D844" s="3">
        <v>0.92200000000000004</v>
      </c>
      <c r="E844" s="4">
        <v>4.1000000000000002E-2</v>
      </c>
      <c r="F844" s="3">
        <v>0.25600000000000001</v>
      </c>
      <c r="G844" s="3">
        <v>0.84199999999999997</v>
      </c>
      <c r="H844" s="3">
        <v>0.94599999999999995</v>
      </c>
      <c r="I844" s="5">
        <v>64</v>
      </c>
      <c r="J844" s="3">
        <v>14</v>
      </c>
      <c r="K844" s="3">
        <v>5.8</v>
      </c>
    </row>
    <row r="845" spans="1:11" x14ac:dyDescent="0.2">
      <c r="A845" s="3">
        <v>49</v>
      </c>
      <c r="B845" s="3">
        <v>2283</v>
      </c>
      <c r="C845" s="3">
        <v>38</v>
      </c>
      <c r="D845" s="3">
        <v>0.92200000000000004</v>
      </c>
      <c r="E845" s="4">
        <v>9.5000000000000001E-2</v>
      </c>
      <c r="F845" s="3">
        <v>0.19900000000000001</v>
      </c>
      <c r="G845" s="3">
        <v>0.90500000000000003</v>
      </c>
      <c r="H845" s="3">
        <v>0.94599999999999995</v>
      </c>
      <c r="I845" s="5">
        <v>12</v>
      </c>
      <c r="J845" s="3">
        <v>3</v>
      </c>
      <c r="K845" s="3">
        <v>3.4</v>
      </c>
    </row>
    <row r="846" spans="1:11" x14ac:dyDescent="0.2">
      <c r="A846" s="3">
        <v>66</v>
      </c>
      <c r="B846" s="3">
        <v>3172</v>
      </c>
      <c r="C846" s="3">
        <v>148</v>
      </c>
      <c r="D846" s="3">
        <v>0.92200000000000004</v>
      </c>
      <c r="E846" s="4">
        <v>0.17100000000000001</v>
      </c>
      <c r="F846" s="3">
        <v>0.26700000000000002</v>
      </c>
      <c r="G846" s="3">
        <v>0.73699999999999999</v>
      </c>
      <c r="H846" s="3">
        <v>0.91900000000000004</v>
      </c>
      <c r="I846" s="5">
        <v>26</v>
      </c>
      <c r="J846" s="3">
        <v>7</v>
      </c>
      <c r="K846" s="3">
        <v>13.7</v>
      </c>
    </row>
    <row r="847" spans="1:11" x14ac:dyDescent="0.2">
      <c r="A847" s="3">
        <v>71</v>
      </c>
      <c r="B847" s="3">
        <v>3490</v>
      </c>
      <c r="C847" s="3">
        <v>180</v>
      </c>
      <c r="D847" s="3">
        <v>0.92200000000000004</v>
      </c>
      <c r="E847" s="4">
        <v>6.5000000000000002E-2</v>
      </c>
      <c r="F847" s="3">
        <v>7.6999999999999999E-2</v>
      </c>
      <c r="G847" s="3">
        <v>0.79200000000000004</v>
      </c>
      <c r="H847" s="3">
        <v>0.90100000000000002</v>
      </c>
      <c r="I847" s="5">
        <v>60</v>
      </c>
      <c r="J847" s="3">
        <v>6</v>
      </c>
      <c r="K847" s="3">
        <v>4.7</v>
      </c>
    </row>
    <row r="848" spans="1:11" x14ac:dyDescent="0.2">
      <c r="A848" s="3">
        <v>102</v>
      </c>
      <c r="B848" s="3">
        <v>4988</v>
      </c>
      <c r="C848" s="3">
        <v>66</v>
      </c>
      <c r="D848" s="3">
        <v>0.92200000000000004</v>
      </c>
      <c r="E848" s="4">
        <v>0.14699999999999999</v>
      </c>
      <c r="F848" s="3">
        <v>7.4999999999999997E-2</v>
      </c>
      <c r="G848" s="3">
        <v>0.93</v>
      </c>
      <c r="H848" s="3">
        <v>0.94099999999999995</v>
      </c>
      <c r="I848" s="5">
        <v>3</v>
      </c>
      <c r="J848" s="3">
        <v>12</v>
      </c>
      <c r="K848" s="3">
        <v>8.3000000000000007</v>
      </c>
    </row>
    <row r="849" spans="1:11" x14ac:dyDescent="0.2">
      <c r="A849" s="3">
        <v>42</v>
      </c>
      <c r="B849" s="3">
        <v>1989</v>
      </c>
      <c r="C849" s="3">
        <v>47</v>
      </c>
      <c r="D849" s="3">
        <v>0.92300000000000004</v>
      </c>
      <c r="E849" s="4">
        <v>9.1999999999999998E-2</v>
      </c>
      <c r="F849" s="3">
        <v>0.14599999999999999</v>
      </c>
      <c r="G849" s="3">
        <v>0.71199999999999997</v>
      </c>
      <c r="H849" s="3">
        <v>0.90400000000000003</v>
      </c>
      <c r="I849" s="5">
        <v>34</v>
      </c>
      <c r="J849" s="3">
        <v>13</v>
      </c>
      <c r="K849" s="3">
        <v>7</v>
      </c>
    </row>
    <row r="850" spans="1:11" x14ac:dyDescent="0.2">
      <c r="A850" s="3">
        <v>53</v>
      </c>
      <c r="B850" s="3">
        <v>2439</v>
      </c>
      <c r="C850" s="3">
        <v>192</v>
      </c>
      <c r="D850" s="3">
        <v>0.92300000000000004</v>
      </c>
      <c r="E850" s="4">
        <v>0.1</v>
      </c>
      <c r="F850" s="3">
        <v>0.10100000000000001</v>
      </c>
      <c r="G850" s="3">
        <v>0.79300000000000004</v>
      </c>
      <c r="H850" s="3">
        <v>0.90700000000000003</v>
      </c>
      <c r="I850" s="5">
        <v>72</v>
      </c>
      <c r="J850" s="3">
        <v>13</v>
      </c>
      <c r="K850" s="3">
        <v>4.4000000000000004</v>
      </c>
    </row>
    <row r="851" spans="1:11" x14ac:dyDescent="0.2">
      <c r="A851" s="3">
        <v>55</v>
      </c>
      <c r="B851" s="3">
        <v>2680</v>
      </c>
      <c r="C851" s="3">
        <v>130</v>
      </c>
      <c r="D851" s="3">
        <v>0.92300000000000004</v>
      </c>
      <c r="E851" s="4">
        <v>5.5E-2</v>
      </c>
      <c r="F851" s="3">
        <v>0.25700000000000001</v>
      </c>
      <c r="G851" s="3">
        <v>0.79900000000000004</v>
      </c>
      <c r="H851" s="3">
        <v>0.98799999999999999</v>
      </c>
      <c r="I851" s="5">
        <v>46</v>
      </c>
      <c r="J851" s="3">
        <v>10</v>
      </c>
      <c r="K851" s="3">
        <v>3.7</v>
      </c>
    </row>
    <row r="852" spans="1:11" x14ac:dyDescent="0.2">
      <c r="A852" s="3">
        <v>93</v>
      </c>
      <c r="B852" s="3">
        <v>4499</v>
      </c>
      <c r="C852" s="3">
        <v>149</v>
      </c>
      <c r="D852" s="3">
        <v>0.92300000000000004</v>
      </c>
      <c r="E852" s="4">
        <v>0.17899999999999999</v>
      </c>
      <c r="F852" s="3">
        <v>0.18099999999999999</v>
      </c>
      <c r="G852" s="3">
        <v>0.92900000000000005</v>
      </c>
      <c r="H852" s="3">
        <v>0.94099999999999995</v>
      </c>
      <c r="I852" s="5">
        <v>55</v>
      </c>
      <c r="J852" s="3">
        <v>13</v>
      </c>
      <c r="K852" s="3">
        <v>3.2</v>
      </c>
    </row>
    <row r="853" spans="1:11" x14ac:dyDescent="0.2">
      <c r="A853" s="3">
        <v>26</v>
      </c>
      <c r="B853" s="3">
        <v>1115</v>
      </c>
      <c r="C853" s="3">
        <v>167</v>
      </c>
      <c r="D853" s="3">
        <v>0.92400000000000004</v>
      </c>
      <c r="E853" s="4">
        <v>5.0999999999999997E-2</v>
      </c>
      <c r="F853" s="3">
        <v>5.5E-2</v>
      </c>
      <c r="G853" s="3">
        <v>0.72199999999999998</v>
      </c>
      <c r="H853" s="3">
        <v>0.92</v>
      </c>
      <c r="I853" s="5">
        <v>55</v>
      </c>
      <c r="J853" s="3">
        <v>15</v>
      </c>
      <c r="K853" s="3">
        <v>5</v>
      </c>
    </row>
    <row r="854" spans="1:11" x14ac:dyDescent="0.2">
      <c r="A854" s="3">
        <v>62</v>
      </c>
      <c r="B854" s="3">
        <v>2970</v>
      </c>
      <c r="C854" s="3">
        <v>75</v>
      </c>
      <c r="D854" s="3">
        <v>0.92400000000000004</v>
      </c>
      <c r="E854" s="4">
        <v>0.19800000000000001</v>
      </c>
      <c r="F854" s="3">
        <v>0.128</v>
      </c>
      <c r="G854" s="3">
        <v>0.78300000000000003</v>
      </c>
      <c r="H854" s="3">
        <v>0.91900000000000004</v>
      </c>
      <c r="I854" s="5">
        <v>81</v>
      </c>
      <c r="J854" s="3">
        <v>11</v>
      </c>
      <c r="K854" s="3">
        <v>3.9</v>
      </c>
    </row>
    <row r="855" spans="1:11" x14ac:dyDescent="0.2">
      <c r="A855" s="3">
        <v>86</v>
      </c>
      <c r="B855" s="3">
        <v>4259</v>
      </c>
      <c r="C855" s="3">
        <v>145</v>
      </c>
      <c r="D855" s="3">
        <v>0.92400000000000004</v>
      </c>
      <c r="E855" s="4">
        <v>0.156</v>
      </c>
      <c r="F855" s="3">
        <v>0.26900000000000002</v>
      </c>
      <c r="G855" s="3">
        <v>0.77700000000000002</v>
      </c>
      <c r="H855" s="3">
        <v>0.93700000000000006</v>
      </c>
      <c r="I855" s="5">
        <v>13</v>
      </c>
      <c r="J855" s="3">
        <v>3</v>
      </c>
      <c r="K855" s="3">
        <v>3</v>
      </c>
    </row>
    <row r="856" spans="1:11" x14ac:dyDescent="0.2">
      <c r="A856" s="3">
        <v>25</v>
      </c>
      <c r="B856" s="3">
        <v>1153</v>
      </c>
      <c r="C856" s="3">
        <v>193</v>
      </c>
      <c r="D856" s="3">
        <v>0.92500000000000004</v>
      </c>
      <c r="E856" s="4">
        <v>5.0999999999999997E-2</v>
      </c>
      <c r="F856" s="3">
        <v>0.158</v>
      </c>
      <c r="G856" s="3">
        <v>0.77800000000000002</v>
      </c>
      <c r="H856" s="3">
        <v>0.96899999999999997</v>
      </c>
      <c r="I856" s="5">
        <v>3</v>
      </c>
      <c r="J856" s="3">
        <v>12</v>
      </c>
      <c r="K856" s="3">
        <v>2.8</v>
      </c>
    </row>
    <row r="857" spans="1:11" x14ac:dyDescent="0.2">
      <c r="A857" s="3">
        <v>54</v>
      </c>
      <c r="B857" s="3">
        <v>2590</v>
      </c>
      <c r="C857" s="3">
        <v>25</v>
      </c>
      <c r="D857" s="3">
        <v>0.92500000000000004</v>
      </c>
      <c r="E857" s="4">
        <v>6.7000000000000004E-2</v>
      </c>
      <c r="F857" s="3">
        <v>0.13400000000000001</v>
      </c>
      <c r="G857" s="3">
        <v>0.70099999999999996</v>
      </c>
      <c r="H857" s="3">
        <v>0.94899999999999995</v>
      </c>
      <c r="I857" s="5">
        <v>53</v>
      </c>
      <c r="J857" s="3">
        <v>3</v>
      </c>
      <c r="K857" s="3">
        <v>10.9</v>
      </c>
    </row>
    <row r="858" spans="1:11" x14ac:dyDescent="0.2">
      <c r="A858" s="3">
        <v>64</v>
      </c>
      <c r="B858" s="3">
        <v>2960</v>
      </c>
      <c r="C858" s="3">
        <v>106</v>
      </c>
      <c r="D858" s="3">
        <v>0.92500000000000004</v>
      </c>
      <c r="E858" s="4">
        <v>0.02</v>
      </c>
      <c r="F858" s="3">
        <v>0.156</v>
      </c>
      <c r="G858" s="3">
        <v>0.72199999999999998</v>
      </c>
      <c r="H858" s="3">
        <v>0.99199999999999999</v>
      </c>
      <c r="I858" s="5">
        <v>7</v>
      </c>
      <c r="J858" s="3">
        <v>10</v>
      </c>
      <c r="K858" s="3">
        <v>5.8</v>
      </c>
    </row>
    <row r="859" spans="1:11" x14ac:dyDescent="0.2">
      <c r="A859" s="3">
        <v>82</v>
      </c>
      <c r="B859" s="3">
        <v>3987</v>
      </c>
      <c r="C859" s="3">
        <v>138</v>
      </c>
      <c r="D859" s="3">
        <v>0.92500000000000004</v>
      </c>
      <c r="E859" s="4">
        <v>0.19600000000000001</v>
      </c>
      <c r="F859" s="3">
        <v>0.21099999999999999</v>
      </c>
      <c r="G859" s="3">
        <v>0.75600000000000001</v>
      </c>
      <c r="H859" s="3">
        <v>0.92</v>
      </c>
      <c r="I859" s="5">
        <v>30</v>
      </c>
      <c r="J859" s="3">
        <v>17</v>
      </c>
      <c r="K859" s="3">
        <v>5.5</v>
      </c>
    </row>
    <row r="860" spans="1:11" x14ac:dyDescent="0.2">
      <c r="A860" s="3">
        <v>101</v>
      </c>
      <c r="B860" s="3">
        <v>4842</v>
      </c>
      <c r="C860" s="3">
        <v>162</v>
      </c>
      <c r="D860" s="3">
        <v>0.92500000000000004</v>
      </c>
      <c r="E860" s="4">
        <v>0.17899999999999999</v>
      </c>
      <c r="F860" s="3">
        <v>0.19700000000000001</v>
      </c>
      <c r="G860" s="3">
        <v>0.88400000000000001</v>
      </c>
      <c r="H860" s="3">
        <v>0.91900000000000004</v>
      </c>
      <c r="I860" s="5">
        <v>39</v>
      </c>
      <c r="J860" s="3">
        <v>3</v>
      </c>
      <c r="K860" s="3">
        <v>11.1</v>
      </c>
    </row>
    <row r="861" spans="1:11" x14ac:dyDescent="0.2">
      <c r="A861" s="3">
        <v>64</v>
      </c>
      <c r="B861" s="3">
        <v>2950</v>
      </c>
      <c r="C861" s="3">
        <v>148</v>
      </c>
      <c r="D861" s="3">
        <v>0.92600000000000005</v>
      </c>
      <c r="E861" s="4">
        <v>0.02</v>
      </c>
      <c r="F861" s="3">
        <v>0.09</v>
      </c>
      <c r="G861" s="3">
        <v>0.83699999999999997</v>
      </c>
      <c r="H861" s="3">
        <v>0.90600000000000003</v>
      </c>
      <c r="I861" s="5">
        <v>67</v>
      </c>
      <c r="J861" s="3">
        <v>4</v>
      </c>
      <c r="K861" s="3">
        <v>10.1</v>
      </c>
    </row>
    <row r="862" spans="1:11" x14ac:dyDescent="0.2">
      <c r="A862" s="3">
        <v>53</v>
      </c>
      <c r="B862" s="3">
        <v>2522</v>
      </c>
      <c r="C862" s="3">
        <v>87</v>
      </c>
      <c r="D862" s="3">
        <v>0.92700000000000005</v>
      </c>
      <c r="E862" s="4">
        <v>0.03</v>
      </c>
      <c r="F862" s="3">
        <v>0.22600000000000001</v>
      </c>
      <c r="G862" s="3">
        <v>0.79600000000000004</v>
      </c>
      <c r="H862" s="3">
        <v>0.96399999999999997</v>
      </c>
      <c r="I862" s="5">
        <v>24</v>
      </c>
      <c r="J862" s="3">
        <v>5</v>
      </c>
      <c r="K862" s="3">
        <v>10.9</v>
      </c>
    </row>
    <row r="863" spans="1:11" x14ac:dyDescent="0.2">
      <c r="A863" s="3">
        <v>97</v>
      </c>
      <c r="B863" s="3">
        <v>4667</v>
      </c>
      <c r="C863" s="3">
        <v>148</v>
      </c>
      <c r="D863" s="3">
        <v>0.92700000000000005</v>
      </c>
      <c r="E863" s="4">
        <v>7.4999999999999997E-2</v>
      </c>
      <c r="F863" s="3">
        <v>0.25700000000000001</v>
      </c>
      <c r="G863" s="3">
        <v>0.81699999999999995</v>
      </c>
      <c r="H863" s="3">
        <v>0.92200000000000004</v>
      </c>
      <c r="I863" s="5">
        <v>22</v>
      </c>
      <c r="J863" s="3">
        <v>12</v>
      </c>
      <c r="K863" s="3">
        <v>2.8</v>
      </c>
    </row>
    <row r="864" spans="1:11" x14ac:dyDescent="0.2">
      <c r="A864" s="3">
        <v>24</v>
      </c>
      <c r="B864" s="3">
        <v>1024</v>
      </c>
      <c r="C864" s="3">
        <v>167</v>
      </c>
      <c r="D864" s="3">
        <v>0.92800000000000005</v>
      </c>
      <c r="E864" s="4">
        <v>6.9000000000000006E-2</v>
      </c>
      <c r="F864" s="3">
        <v>0.14000000000000001</v>
      </c>
      <c r="G864" s="3">
        <v>0.89600000000000002</v>
      </c>
      <c r="H864" s="3">
        <v>0.95599999999999996</v>
      </c>
      <c r="I864" s="5">
        <v>92</v>
      </c>
      <c r="J864" s="3">
        <v>4</v>
      </c>
      <c r="K864" s="3">
        <v>13.9</v>
      </c>
    </row>
    <row r="865" spans="1:11" x14ac:dyDescent="0.2">
      <c r="A865" s="3">
        <v>61</v>
      </c>
      <c r="B865" s="3">
        <v>2787</v>
      </c>
      <c r="C865" s="3">
        <v>74</v>
      </c>
      <c r="D865" s="3">
        <v>0.92800000000000005</v>
      </c>
      <c r="E865" s="4">
        <v>8.1000000000000003E-2</v>
      </c>
      <c r="F865" s="3">
        <v>0.11899999999999999</v>
      </c>
      <c r="G865" s="3">
        <v>0.71799999999999997</v>
      </c>
      <c r="H865" s="3">
        <v>0.97</v>
      </c>
      <c r="I865" s="5">
        <v>60</v>
      </c>
      <c r="J865" s="3">
        <v>10</v>
      </c>
      <c r="K865" s="3">
        <v>7.6</v>
      </c>
    </row>
    <row r="866" spans="1:11" x14ac:dyDescent="0.2">
      <c r="A866" s="3">
        <v>68</v>
      </c>
      <c r="B866" s="3">
        <v>3368</v>
      </c>
      <c r="C866" s="3">
        <v>136</v>
      </c>
      <c r="D866" s="3">
        <v>0.92900000000000005</v>
      </c>
      <c r="E866" s="4">
        <v>0.186</v>
      </c>
      <c r="F866" s="3">
        <v>7.4999999999999997E-2</v>
      </c>
      <c r="G866" s="3">
        <v>0.77600000000000002</v>
      </c>
      <c r="H866" s="3">
        <v>0.90400000000000003</v>
      </c>
      <c r="I866" s="5">
        <v>95</v>
      </c>
      <c r="J866" s="3">
        <v>16</v>
      </c>
      <c r="K866" s="3">
        <v>9.1</v>
      </c>
    </row>
    <row r="867" spans="1:11" x14ac:dyDescent="0.2">
      <c r="A867" s="3">
        <v>98</v>
      </c>
      <c r="B867" s="3">
        <v>4701</v>
      </c>
      <c r="C867" s="3">
        <v>103</v>
      </c>
      <c r="D867" s="3">
        <v>0.92900000000000005</v>
      </c>
      <c r="E867" s="4">
        <v>0.183</v>
      </c>
      <c r="F867" s="3">
        <v>0.183</v>
      </c>
      <c r="G867" s="3">
        <v>0.82199999999999995</v>
      </c>
      <c r="H867" s="3">
        <v>0.98799999999999999</v>
      </c>
      <c r="I867" s="5">
        <v>19</v>
      </c>
      <c r="J867" s="3">
        <v>14</v>
      </c>
      <c r="K867" s="3">
        <v>7.1</v>
      </c>
    </row>
    <row r="868" spans="1:11" x14ac:dyDescent="0.2">
      <c r="A868" s="3">
        <v>80</v>
      </c>
      <c r="B868" s="3">
        <v>3945</v>
      </c>
      <c r="C868" s="3">
        <v>199</v>
      </c>
      <c r="D868" s="3">
        <v>0.93</v>
      </c>
      <c r="E868" s="4">
        <v>1.2E-2</v>
      </c>
      <c r="F868" s="3">
        <v>0.11</v>
      </c>
      <c r="G868" s="3">
        <v>0.753</v>
      </c>
      <c r="H868" s="3">
        <v>0.95599999999999996</v>
      </c>
      <c r="I868" s="5">
        <v>21</v>
      </c>
      <c r="J868" s="3">
        <v>13</v>
      </c>
      <c r="K868" s="3">
        <v>7.9</v>
      </c>
    </row>
    <row r="869" spans="1:11" x14ac:dyDescent="0.2">
      <c r="A869" s="3">
        <v>84</v>
      </c>
      <c r="B869" s="3">
        <v>4106</v>
      </c>
      <c r="C869" s="3">
        <v>111</v>
      </c>
      <c r="D869" s="3">
        <v>0.93</v>
      </c>
      <c r="E869" s="4">
        <v>0.17599999999999999</v>
      </c>
      <c r="F869" s="3">
        <v>0.111</v>
      </c>
      <c r="G869" s="3">
        <v>0.80800000000000005</v>
      </c>
      <c r="H869" s="3">
        <v>0.97399999999999998</v>
      </c>
      <c r="I869" s="5">
        <v>15</v>
      </c>
      <c r="J869" s="3">
        <v>2</v>
      </c>
      <c r="K869" s="3">
        <v>4.2</v>
      </c>
    </row>
    <row r="870" spans="1:11" x14ac:dyDescent="0.2">
      <c r="A870" s="3">
        <v>44</v>
      </c>
      <c r="B870" s="3">
        <v>2082</v>
      </c>
      <c r="C870" s="3">
        <v>38</v>
      </c>
      <c r="D870" s="3">
        <v>0.93100000000000005</v>
      </c>
      <c r="E870" s="4">
        <v>6.8000000000000005E-2</v>
      </c>
      <c r="F870" s="3">
        <v>0.22600000000000001</v>
      </c>
      <c r="G870" s="3">
        <v>0.80700000000000005</v>
      </c>
      <c r="H870" s="3">
        <v>0.91900000000000004</v>
      </c>
      <c r="I870" s="5">
        <v>51</v>
      </c>
      <c r="J870" s="3">
        <v>12</v>
      </c>
      <c r="K870" s="3">
        <v>13.5</v>
      </c>
    </row>
    <row r="871" spans="1:11" x14ac:dyDescent="0.2">
      <c r="A871" s="3">
        <v>85</v>
      </c>
      <c r="B871" s="3">
        <v>4162</v>
      </c>
      <c r="C871" s="3">
        <v>193</v>
      </c>
      <c r="D871" s="3">
        <v>0.93100000000000005</v>
      </c>
      <c r="E871" s="4">
        <v>0.123</v>
      </c>
      <c r="F871" s="3">
        <v>0.113</v>
      </c>
      <c r="G871" s="3">
        <v>0.78800000000000003</v>
      </c>
      <c r="H871" s="3">
        <v>0.93500000000000005</v>
      </c>
      <c r="I871" s="5">
        <v>10</v>
      </c>
      <c r="J871" s="3">
        <v>18</v>
      </c>
      <c r="K871" s="3">
        <v>6.5</v>
      </c>
    </row>
    <row r="872" spans="1:11" x14ac:dyDescent="0.2">
      <c r="A872" s="3">
        <v>92</v>
      </c>
      <c r="B872" s="3">
        <v>4334</v>
      </c>
      <c r="C872" s="3">
        <v>137</v>
      </c>
      <c r="D872" s="3">
        <v>0.93100000000000005</v>
      </c>
      <c r="E872" s="4">
        <v>0.12</v>
      </c>
      <c r="F872" s="3">
        <v>0.22700000000000001</v>
      </c>
      <c r="G872" s="3">
        <v>0.79</v>
      </c>
      <c r="H872" s="3">
        <v>0.90500000000000003</v>
      </c>
      <c r="I872" s="5">
        <v>55</v>
      </c>
      <c r="J872" s="3">
        <v>9</v>
      </c>
      <c r="K872" s="3">
        <v>9.4</v>
      </c>
    </row>
    <row r="873" spans="1:11" x14ac:dyDescent="0.2">
      <c r="A873" s="3">
        <v>79</v>
      </c>
      <c r="B873" s="3">
        <v>3918</v>
      </c>
      <c r="C873" s="3">
        <v>131</v>
      </c>
      <c r="D873" s="3">
        <v>0.93200000000000005</v>
      </c>
      <c r="E873" s="4">
        <v>7.3999999999999996E-2</v>
      </c>
      <c r="F873" s="3">
        <v>0.254</v>
      </c>
      <c r="G873" s="3">
        <v>0.76</v>
      </c>
      <c r="H873" s="3">
        <v>0.98599999999999999</v>
      </c>
      <c r="I873" s="5">
        <v>44</v>
      </c>
      <c r="J873" s="3">
        <v>18</v>
      </c>
      <c r="K873" s="3">
        <v>9.6</v>
      </c>
    </row>
    <row r="874" spans="1:11" x14ac:dyDescent="0.2">
      <c r="A874" s="3">
        <v>98</v>
      </c>
      <c r="B874" s="3">
        <v>4866</v>
      </c>
      <c r="C874" s="3">
        <v>54</v>
      </c>
      <c r="D874" s="3">
        <v>0.93200000000000005</v>
      </c>
      <c r="E874" s="4">
        <v>0.154</v>
      </c>
      <c r="F874" s="3">
        <v>0.23100000000000001</v>
      </c>
      <c r="G874" s="3">
        <v>0.83399999999999996</v>
      </c>
      <c r="H874" s="3">
        <v>0.93799999999999994</v>
      </c>
      <c r="I874" s="5">
        <v>98</v>
      </c>
      <c r="J874" s="3">
        <v>12</v>
      </c>
      <c r="K874" s="3">
        <v>13.8</v>
      </c>
    </row>
    <row r="875" spans="1:11" x14ac:dyDescent="0.2">
      <c r="A875" s="3">
        <v>63</v>
      </c>
      <c r="B875" s="3">
        <v>2987</v>
      </c>
      <c r="C875" s="3">
        <v>41</v>
      </c>
      <c r="D875" s="3">
        <v>0.93500000000000005</v>
      </c>
      <c r="E875" s="4">
        <v>0.19500000000000001</v>
      </c>
      <c r="F875" s="3">
        <v>0.155</v>
      </c>
      <c r="G875" s="3">
        <v>0.71099999999999997</v>
      </c>
      <c r="H875" s="3">
        <v>0.92700000000000005</v>
      </c>
      <c r="I875" s="5">
        <v>56</v>
      </c>
      <c r="J875" s="3">
        <v>13</v>
      </c>
      <c r="K875" s="3">
        <v>13.9</v>
      </c>
    </row>
    <row r="876" spans="1:11" x14ac:dyDescent="0.2">
      <c r="A876" s="3">
        <v>80</v>
      </c>
      <c r="B876" s="3">
        <v>3754</v>
      </c>
      <c r="C876" s="3">
        <v>95</v>
      </c>
      <c r="D876" s="3">
        <v>0.93600000000000005</v>
      </c>
      <c r="E876" s="4">
        <v>0.16900000000000001</v>
      </c>
      <c r="F876" s="3">
        <v>0.106</v>
      </c>
      <c r="G876" s="3">
        <v>0.80700000000000005</v>
      </c>
      <c r="H876" s="3">
        <v>0.94499999999999995</v>
      </c>
      <c r="I876" s="5">
        <v>47</v>
      </c>
      <c r="J876" s="3">
        <v>6</v>
      </c>
      <c r="K876" s="3">
        <v>3.1</v>
      </c>
    </row>
    <row r="877" spans="1:11" x14ac:dyDescent="0.2">
      <c r="A877" s="3">
        <v>51</v>
      </c>
      <c r="B877" s="3">
        <v>2427</v>
      </c>
      <c r="C877" s="3">
        <v>164</v>
      </c>
      <c r="D877" s="3">
        <v>0.93799999999999994</v>
      </c>
      <c r="E877" s="4">
        <v>0.14399999999999999</v>
      </c>
      <c r="F877" s="3">
        <v>0.27700000000000002</v>
      </c>
      <c r="G877" s="3">
        <v>0.95299999999999996</v>
      </c>
      <c r="H877" s="3">
        <v>0.99399999999999999</v>
      </c>
      <c r="I877" s="5">
        <v>62</v>
      </c>
      <c r="J877" s="3">
        <v>7</v>
      </c>
      <c r="K877" s="3">
        <v>8.1999999999999993</v>
      </c>
    </row>
    <row r="878" spans="1:11" x14ac:dyDescent="0.2">
      <c r="A878" s="3">
        <v>57</v>
      </c>
      <c r="B878" s="3">
        <v>2746</v>
      </c>
      <c r="C878" s="3">
        <v>27</v>
      </c>
      <c r="D878" s="3">
        <v>0.93799999999999994</v>
      </c>
      <c r="E878" s="4">
        <v>0.155</v>
      </c>
      <c r="F878" s="3">
        <v>0.19800000000000001</v>
      </c>
      <c r="G878" s="3">
        <v>0.92700000000000005</v>
      </c>
      <c r="H878" s="3">
        <v>0.997</v>
      </c>
      <c r="I878" s="5">
        <v>13</v>
      </c>
      <c r="J878" s="3">
        <v>6</v>
      </c>
      <c r="K878" s="3">
        <v>1.1000000000000001</v>
      </c>
    </row>
    <row r="879" spans="1:11" x14ac:dyDescent="0.2">
      <c r="A879" s="3">
        <v>69</v>
      </c>
      <c r="B879" s="3">
        <v>3257</v>
      </c>
      <c r="C879" s="3">
        <v>81</v>
      </c>
      <c r="D879" s="3">
        <v>0.93799999999999994</v>
      </c>
      <c r="E879" s="4">
        <v>0.15</v>
      </c>
      <c r="F879" s="3">
        <v>0.11</v>
      </c>
      <c r="G879" s="3">
        <v>0.73799999999999999</v>
      </c>
      <c r="H879" s="3">
        <v>0.996</v>
      </c>
      <c r="I879" s="5">
        <v>63</v>
      </c>
      <c r="J879" s="3">
        <v>12</v>
      </c>
      <c r="K879" s="3">
        <v>2.7</v>
      </c>
    </row>
    <row r="880" spans="1:11" x14ac:dyDescent="0.2">
      <c r="A880" s="3">
        <v>29</v>
      </c>
      <c r="B880" s="3">
        <v>1353</v>
      </c>
      <c r="C880" s="3">
        <v>144</v>
      </c>
      <c r="D880" s="3">
        <v>0.93899999999999995</v>
      </c>
      <c r="E880" s="4">
        <v>0.152</v>
      </c>
      <c r="F880" s="3">
        <v>0.20599999999999999</v>
      </c>
      <c r="G880" s="3">
        <v>0.80400000000000005</v>
      </c>
      <c r="H880" s="3">
        <v>0.95199999999999996</v>
      </c>
      <c r="I880" s="5">
        <v>86</v>
      </c>
      <c r="J880" s="3">
        <v>2</v>
      </c>
      <c r="K880" s="3">
        <v>4.9000000000000004</v>
      </c>
    </row>
    <row r="881" spans="1:11" x14ac:dyDescent="0.2">
      <c r="A881" s="3">
        <v>26</v>
      </c>
      <c r="B881" s="3">
        <v>1058</v>
      </c>
      <c r="C881" s="3">
        <v>176</v>
      </c>
      <c r="D881" s="3">
        <v>0.94</v>
      </c>
      <c r="E881" s="4">
        <v>0.105</v>
      </c>
      <c r="F881" s="3">
        <v>0.13600000000000001</v>
      </c>
      <c r="G881" s="3">
        <v>0.90100000000000002</v>
      </c>
      <c r="H881" s="3">
        <v>0.94399999999999995</v>
      </c>
      <c r="I881" s="5">
        <v>58</v>
      </c>
      <c r="J881" s="3">
        <v>13</v>
      </c>
      <c r="K881" s="3">
        <v>5.3</v>
      </c>
    </row>
    <row r="882" spans="1:11" x14ac:dyDescent="0.2">
      <c r="A882" s="3">
        <v>32</v>
      </c>
      <c r="B882" s="3">
        <v>1330</v>
      </c>
      <c r="C882" s="3">
        <v>67</v>
      </c>
      <c r="D882" s="3">
        <v>0.94</v>
      </c>
      <c r="E882" s="4">
        <v>0.14299999999999999</v>
      </c>
      <c r="F882" s="3">
        <v>0.21099999999999999</v>
      </c>
      <c r="G882" s="3">
        <v>0.84099999999999997</v>
      </c>
      <c r="H882" s="3">
        <v>0.93899999999999995</v>
      </c>
      <c r="I882" s="5">
        <v>73</v>
      </c>
      <c r="J882" s="3">
        <v>4</v>
      </c>
      <c r="K882" s="3">
        <v>11.6</v>
      </c>
    </row>
    <row r="883" spans="1:11" x14ac:dyDescent="0.2">
      <c r="A883" s="3">
        <v>94</v>
      </c>
      <c r="B883" s="3">
        <v>4644</v>
      </c>
      <c r="C883" s="3">
        <v>69</v>
      </c>
      <c r="D883" s="3">
        <v>0.94</v>
      </c>
      <c r="E883" s="4">
        <v>0.19700000000000001</v>
      </c>
      <c r="F883" s="3">
        <v>0.26700000000000002</v>
      </c>
      <c r="G883" s="3">
        <v>0.85799999999999998</v>
      </c>
      <c r="H883" s="3">
        <v>0.94399999999999995</v>
      </c>
      <c r="I883" s="5">
        <v>65</v>
      </c>
      <c r="J883" s="3">
        <v>8</v>
      </c>
      <c r="K883" s="3">
        <v>11.6</v>
      </c>
    </row>
    <row r="884" spans="1:11" x14ac:dyDescent="0.2">
      <c r="A884" s="3">
        <v>100</v>
      </c>
      <c r="B884" s="3">
        <v>4730</v>
      </c>
      <c r="C884" s="3">
        <v>72</v>
      </c>
      <c r="D884" s="3">
        <v>0.94</v>
      </c>
      <c r="E884" s="4">
        <v>0.156</v>
      </c>
      <c r="F884" s="3">
        <v>0.25600000000000001</v>
      </c>
      <c r="G884" s="3">
        <v>0.70899999999999996</v>
      </c>
      <c r="H884" s="3">
        <v>0.98299999999999998</v>
      </c>
      <c r="I884" s="5">
        <v>5</v>
      </c>
      <c r="J884" s="3">
        <v>17</v>
      </c>
      <c r="K884" s="3">
        <v>6.1</v>
      </c>
    </row>
    <row r="885" spans="1:11" x14ac:dyDescent="0.2">
      <c r="A885" s="3">
        <v>38</v>
      </c>
      <c r="B885" s="3">
        <v>1684</v>
      </c>
      <c r="C885" s="3">
        <v>49</v>
      </c>
      <c r="D885" s="3">
        <v>0.94099999999999995</v>
      </c>
      <c r="E885" s="4">
        <v>9.7000000000000003E-2</v>
      </c>
      <c r="F885" s="3">
        <v>0.11700000000000001</v>
      </c>
      <c r="G885" s="3">
        <v>0.88500000000000001</v>
      </c>
      <c r="H885" s="3">
        <v>0.92700000000000005</v>
      </c>
      <c r="I885" s="5">
        <v>26</v>
      </c>
      <c r="J885" s="3">
        <v>16</v>
      </c>
      <c r="K885" s="3">
        <v>1.8</v>
      </c>
    </row>
    <row r="886" spans="1:11" x14ac:dyDescent="0.2">
      <c r="A886" s="3">
        <v>69</v>
      </c>
      <c r="B886" s="3">
        <v>3248</v>
      </c>
      <c r="C886" s="3">
        <v>97</v>
      </c>
      <c r="D886" s="3">
        <v>0.94099999999999995</v>
      </c>
      <c r="E886" s="4">
        <v>0.14099999999999999</v>
      </c>
      <c r="F886" s="3">
        <v>0.24</v>
      </c>
      <c r="G886" s="3">
        <v>0.85699999999999998</v>
      </c>
      <c r="H886" s="3">
        <v>0.96799999999999997</v>
      </c>
      <c r="I886" s="5">
        <v>53</v>
      </c>
      <c r="J886" s="3">
        <v>10</v>
      </c>
      <c r="K886" s="3">
        <v>13.5</v>
      </c>
    </row>
    <row r="887" spans="1:11" x14ac:dyDescent="0.2">
      <c r="A887" s="3">
        <v>72</v>
      </c>
      <c r="B887" s="3">
        <v>3566</v>
      </c>
      <c r="C887" s="3">
        <v>131</v>
      </c>
      <c r="D887" s="3">
        <v>0.94099999999999995</v>
      </c>
      <c r="E887" s="4">
        <v>9.5000000000000001E-2</v>
      </c>
      <c r="F887" s="3">
        <v>0.17799999999999999</v>
      </c>
      <c r="G887" s="3">
        <v>0.72799999999999998</v>
      </c>
      <c r="H887" s="3">
        <v>0.96299999999999997</v>
      </c>
      <c r="I887" s="5">
        <v>87</v>
      </c>
      <c r="J887" s="3">
        <v>19</v>
      </c>
      <c r="K887" s="3">
        <v>6</v>
      </c>
    </row>
    <row r="888" spans="1:11" x14ac:dyDescent="0.2">
      <c r="A888" s="3">
        <v>97</v>
      </c>
      <c r="B888" s="3">
        <v>4792</v>
      </c>
      <c r="C888" s="3">
        <v>70</v>
      </c>
      <c r="D888" s="3">
        <v>0.94099999999999995</v>
      </c>
      <c r="E888" s="4">
        <v>0.193</v>
      </c>
      <c r="F888" s="3">
        <v>0.11700000000000001</v>
      </c>
      <c r="G888" s="3">
        <v>0.80500000000000005</v>
      </c>
      <c r="H888" s="3">
        <v>0.96</v>
      </c>
      <c r="I888" s="5">
        <v>81</v>
      </c>
      <c r="J888" s="3">
        <v>9</v>
      </c>
      <c r="K888" s="3">
        <v>10.9</v>
      </c>
    </row>
    <row r="889" spans="1:11" x14ac:dyDescent="0.2">
      <c r="A889" s="3">
        <v>28</v>
      </c>
      <c r="B889" s="3">
        <v>1136</v>
      </c>
      <c r="C889" s="3">
        <v>84</v>
      </c>
      <c r="D889" s="3">
        <v>0.94199999999999995</v>
      </c>
      <c r="E889" s="4">
        <v>0.13300000000000001</v>
      </c>
      <c r="F889" s="3">
        <v>0.16500000000000001</v>
      </c>
      <c r="G889" s="3">
        <v>0.89900000000000002</v>
      </c>
      <c r="H889" s="3">
        <v>0.92600000000000005</v>
      </c>
      <c r="I889" s="5">
        <v>39</v>
      </c>
      <c r="J889" s="3">
        <v>19</v>
      </c>
      <c r="K889" s="3">
        <v>4.2</v>
      </c>
    </row>
    <row r="890" spans="1:11" x14ac:dyDescent="0.2">
      <c r="A890" s="3">
        <v>57</v>
      </c>
      <c r="B890" s="3">
        <v>2772</v>
      </c>
      <c r="C890" s="3">
        <v>62</v>
      </c>
      <c r="D890" s="3">
        <v>0.94299999999999995</v>
      </c>
      <c r="E890" s="4">
        <v>7.8E-2</v>
      </c>
      <c r="F890" s="3">
        <v>0.24199999999999999</v>
      </c>
      <c r="G890" s="3">
        <v>0.79700000000000004</v>
      </c>
      <c r="H890" s="3">
        <v>0.90200000000000002</v>
      </c>
      <c r="I890" s="5">
        <v>49</v>
      </c>
      <c r="J890" s="3">
        <v>14</v>
      </c>
      <c r="K890" s="3">
        <v>2.1</v>
      </c>
    </row>
    <row r="891" spans="1:11" x14ac:dyDescent="0.2">
      <c r="A891" s="3">
        <v>90</v>
      </c>
      <c r="B891" s="3">
        <v>4388</v>
      </c>
      <c r="C891" s="3">
        <v>152</v>
      </c>
      <c r="D891" s="3">
        <v>0.94299999999999995</v>
      </c>
      <c r="E891" s="4">
        <v>0.06</v>
      </c>
      <c r="F891" s="3">
        <v>9.6000000000000002E-2</v>
      </c>
      <c r="G891" s="3">
        <v>0.73299999999999998</v>
      </c>
      <c r="H891" s="3">
        <v>0.96499999999999997</v>
      </c>
      <c r="I891" s="5">
        <v>54</v>
      </c>
      <c r="J891" s="3">
        <v>11</v>
      </c>
      <c r="K891" s="3">
        <v>10.5</v>
      </c>
    </row>
    <row r="892" spans="1:11" x14ac:dyDescent="0.2">
      <c r="A892" s="3">
        <v>92</v>
      </c>
      <c r="B892" s="3">
        <v>4451</v>
      </c>
      <c r="C892" s="3">
        <v>177</v>
      </c>
      <c r="D892" s="3">
        <v>0.94299999999999995</v>
      </c>
      <c r="E892" s="4">
        <v>0.14199999999999999</v>
      </c>
      <c r="F892" s="3">
        <v>0.217</v>
      </c>
      <c r="G892" s="3">
        <v>0.755</v>
      </c>
      <c r="H892" s="3">
        <v>0.93799999999999994</v>
      </c>
      <c r="I892" s="5">
        <v>85</v>
      </c>
      <c r="J892" s="3">
        <v>6</v>
      </c>
      <c r="K892" s="3">
        <v>1.4</v>
      </c>
    </row>
    <row r="893" spans="1:11" x14ac:dyDescent="0.2">
      <c r="A893" s="3">
        <v>95</v>
      </c>
      <c r="B893" s="3">
        <v>4509</v>
      </c>
      <c r="C893" s="3">
        <v>144</v>
      </c>
      <c r="D893" s="3">
        <v>0.94399999999999995</v>
      </c>
      <c r="E893" s="4">
        <v>0.16700000000000001</v>
      </c>
      <c r="F893" s="3">
        <v>0.26300000000000001</v>
      </c>
      <c r="G893" s="3">
        <v>0.755</v>
      </c>
      <c r="H893" s="3">
        <v>0.91800000000000004</v>
      </c>
      <c r="I893" s="5">
        <v>83</v>
      </c>
      <c r="J893" s="3">
        <v>7</v>
      </c>
      <c r="K893" s="3">
        <v>8.5</v>
      </c>
    </row>
    <row r="894" spans="1:11" x14ac:dyDescent="0.2">
      <c r="A894" s="3">
        <v>60</v>
      </c>
      <c r="B894" s="3">
        <v>2889</v>
      </c>
      <c r="C894" s="3">
        <v>123</v>
      </c>
      <c r="D894" s="3">
        <v>0.94499999999999995</v>
      </c>
      <c r="E894" s="4">
        <v>0.09</v>
      </c>
      <c r="F894" s="3">
        <v>0.11600000000000001</v>
      </c>
      <c r="G894" s="3">
        <v>0.93700000000000006</v>
      </c>
      <c r="H894" s="3">
        <v>0.90300000000000002</v>
      </c>
      <c r="I894" s="5">
        <v>38</v>
      </c>
      <c r="J894" s="3">
        <v>17</v>
      </c>
      <c r="K894" s="3">
        <v>4.4000000000000004</v>
      </c>
    </row>
    <row r="895" spans="1:11" x14ac:dyDescent="0.2">
      <c r="A895" s="3">
        <v>79</v>
      </c>
      <c r="B895" s="3">
        <v>3808</v>
      </c>
      <c r="C895" s="3">
        <v>38</v>
      </c>
      <c r="D895" s="3">
        <v>0.94499999999999995</v>
      </c>
      <c r="E895" s="4">
        <v>0.16200000000000001</v>
      </c>
      <c r="F895" s="3">
        <v>0.222</v>
      </c>
      <c r="G895" s="3">
        <v>0.81799999999999995</v>
      </c>
      <c r="H895" s="3">
        <v>0.96599999999999997</v>
      </c>
      <c r="I895" s="5">
        <v>97</v>
      </c>
      <c r="J895" s="3">
        <v>15</v>
      </c>
      <c r="K895" s="3">
        <v>14</v>
      </c>
    </row>
    <row r="896" spans="1:11" x14ac:dyDescent="0.2">
      <c r="A896" s="3">
        <v>44</v>
      </c>
      <c r="B896" s="3">
        <v>2036</v>
      </c>
      <c r="C896" s="3">
        <v>72</v>
      </c>
      <c r="D896" s="3">
        <v>0.94599999999999995</v>
      </c>
      <c r="E896" s="4">
        <v>3.1E-2</v>
      </c>
      <c r="F896" s="3">
        <v>0.17</v>
      </c>
      <c r="G896" s="3">
        <v>0.97399999999999998</v>
      </c>
      <c r="H896" s="3">
        <v>0.91</v>
      </c>
      <c r="I896" s="5">
        <v>6</v>
      </c>
      <c r="J896" s="3">
        <v>2</v>
      </c>
      <c r="K896" s="3">
        <v>11</v>
      </c>
    </row>
    <row r="897" spans="1:11" x14ac:dyDescent="0.2">
      <c r="A897" s="3">
        <v>52</v>
      </c>
      <c r="B897" s="3">
        <v>2349</v>
      </c>
      <c r="C897" s="3">
        <v>18</v>
      </c>
      <c r="D897" s="3">
        <v>0.94599999999999995</v>
      </c>
      <c r="E897" s="4">
        <v>0.126</v>
      </c>
      <c r="F897" s="3">
        <v>5.1999999999999998E-2</v>
      </c>
      <c r="G897" s="3">
        <v>0.83499999999999996</v>
      </c>
      <c r="H897" s="3">
        <v>0.94099999999999995</v>
      </c>
      <c r="I897" s="5">
        <v>99</v>
      </c>
      <c r="J897" s="3">
        <v>4</v>
      </c>
      <c r="K897" s="3">
        <v>8.9</v>
      </c>
    </row>
    <row r="898" spans="1:11" x14ac:dyDescent="0.2">
      <c r="A898" s="3">
        <v>98</v>
      </c>
      <c r="B898" s="3">
        <v>4800</v>
      </c>
      <c r="C898" s="3">
        <v>178</v>
      </c>
      <c r="D898" s="3">
        <v>0.94599999999999995</v>
      </c>
      <c r="E898" s="4">
        <v>1.7999999999999999E-2</v>
      </c>
      <c r="F898" s="3">
        <v>8.3000000000000004E-2</v>
      </c>
      <c r="G898" s="3">
        <v>0.77</v>
      </c>
      <c r="H898" s="3">
        <v>0.94699999999999995</v>
      </c>
      <c r="I898" s="5">
        <v>46</v>
      </c>
      <c r="J898" s="3">
        <v>2</v>
      </c>
      <c r="K898" s="3">
        <v>14.6</v>
      </c>
    </row>
    <row r="899" spans="1:11" x14ac:dyDescent="0.2">
      <c r="A899" s="3">
        <v>27</v>
      </c>
      <c r="B899" s="3">
        <v>1226</v>
      </c>
      <c r="C899" s="3">
        <v>156</v>
      </c>
      <c r="D899" s="3">
        <v>0.94699999999999995</v>
      </c>
      <c r="E899" s="4">
        <v>0.11600000000000001</v>
      </c>
      <c r="F899" s="3">
        <v>0.26200000000000001</v>
      </c>
      <c r="G899" s="3">
        <v>0.96099999999999997</v>
      </c>
      <c r="H899" s="3">
        <v>0.94799999999999995</v>
      </c>
      <c r="I899" s="5">
        <v>34</v>
      </c>
      <c r="J899" s="3">
        <v>4</v>
      </c>
      <c r="K899" s="3">
        <v>12.1</v>
      </c>
    </row>
    <row r="900" spans="1:11" x14ac:dyDescent="0.2">
      <c r="A900" s="3">
        <v>64</v>
      </c>
      <c r="B900" s="3">
        <v>3096</v>
      </c>
      <c r="C900" s="3">
        <v>126</v>
      </c>
      <c r="D900" s="3">
        <v>0.94699999999999995</v>
      </c>
      <c r="E900" s="4">
        <v>0.156</v>
      </c>
      <c r="F900" s="3">
        <v>9.9000000000000005E-2</v>
      </c>
      <c r="G900" s="3">
        <v>0.95599999999999996</v>
      </c>
      <c r="H900" s="3">
        <v>0.97299999999999998</v>
      </c>
      <c r="I900" s="5">
        <v>43</v>
      </c>
      <c r="J900" s="3">
        <v>15</v>
      </c>
      <c r="K900" s="3">
        <v>11.5</v>
      </c>
    </row>
    <row r="901" spans="1:11" x14ac:dyDescent="0.2">
      <c r="A901" s="3">
        <v>91</v>
      </c>
      <c r="B901" s="3">
        <v>4351</v>
      </c>
      <c r="C901" s="3">
        <v>91</v>
      </c>
      <c r="D901" s="3">
        <v>0.94699999999999995</v>
      </c>
      <c r="E901" s="4">
        <v>0.13300000000000001</v>
      </c>
      <c r="F901" s="3">
        <v>0.248</v>
      </c>
      <c r="G901" s="3">
        <v>0.86299999999999999</v>
      </c>
      <c r="H901" s="3">
        <v>0.91600000000000004</v>
      </c>
      <c r="I901" s="5">
        <v>63</v>
      </c>
      <c r="J901" s="3">
        <v>1</v>
      </c>
      <c r="K901" s="3">
        <v>10.199999999999999</v>
      </c>
    </row>
    <row r="902" spans="1:11" x14ac:dyDescent="0.2">
      <c r="A902" s="3">
        <v>73</v>
      </c>
      <c r="B902" s="3">
        <v>3546</v>
      </c>
      <c r="C902" s="3">
        <v>33</v>
      </c>
      <c r="D902" s="3">
        <v>0.94899999999999995</v>
      </c>
      <c r="E902" s="4">
        <v>7.4999999999999997E-2</v>
      </c>
      <c r="F902" s="3">
        <v>0.111</v>
      </c>
      <c r="G902" s="3">
        <v>0.78300000000000003</v>
      </c>
      <c r="H902" s="3">
        <v>0.91600000000000004</v>
      </c>
      <c r="I902" s="5">
        <v>44</v>
      </c>
      <c r="J902" s="3">
        <v>6</v>
      </c>
      <c r="K902" s="3">
        <v>11</v>
      </c>
    </row>
    <row r="903" spans="1:11" x14ac:dyDescent="0.2">
      <c r="A903" s="3">
        <v>75</v>
      </c>
      <c r="B903" s="3">
        <v>3679</v>
      </c>
      <c r="C903" s="3">
        <v>127</v>
      </c>
      <c r="D903" s="3">
        <v>0.94899999999999995</v>
      </c>
      <c r="E903" s="4">
        <v>7.0999999999999994E-2</v>
      </c>
      <c r="F903" s="3">
        <v>0.187</v>
      </c>
      <c r="G903" s="3">
        <v>0.72299999999999998</v>
      </c>
      <c r="H903" s="3">
        <v>0.96099999999999997</v>
      </c>
      <c r="I903" s="5">
        <v>46</v>
      </c>
      <c r="J903" s="3">
        <v>8</v>
      </c>
      <c r="K903" s="3">
        <v>13.8</v>
      </c>
    </row>
    <row r="904" spans="1:11" x14ac:dyDescent="0.2">
      <c r="A904" s="3">
        <v>29</v>
      </c>
      <c r="B904" s="3">
        <v>1270</v>
      </c>
      <c r="C904" s="3">
        <v>45</v>
      </c>
      <c r="D904" s="3">
        <v>0.95</v>
      </c>
      <c r="E904" s="4">
        <v>0.156</v>
      </c>
      <c r="F904" s="3">
        <v>0.23200000000000001</v>
      </c>
      <c r="G904" s="3">
        <v>0.76900000000000002</v>
      </c>
      <c r="H904" s="3">
        <v>0.99099999999999999</v>
      </c>
      <c r="I904" s="5">
        <v>77</v>
      </c>
      <c r="J904" s="3">
        <v>6</v>
      </c>
      <c r="K904" s="3">
        <v>6</v>
      </c>
    </row>
    <row r="905" spans="1:11" x14ac:dyDescent="0.2">
      <c r="A905" s="3">
        <v>31</v>
      </c>
      <c r="B905" s="3">
        <v>1383</v>
      </c>
      <c r="C905" s="3">
        <v>72</v>
      </c>
      <c r="D905" s="3">
        <v>0.95</v>
      </c>
      <c r="E905" s="4">
        <v>1.4999999999999999E-2</v>
      </c>
      <c r="F905" s="3">
        <v>0.13900000000000001</v>
      </c>
      <c r="G905" s="3">
        <v>0.95899999999999996</v>
      </c>
      <c r="H905" s="3">
        <v>0.95399999999999996</v>
      </c>
      <c r="I905" s="5">
        <v>99</v>
      </c>
      <c r="J905" s="3">
        <v>10</v>
      </c>
      <c r="K905" s="3">
        <v>10.5</v>
      </c>
    </row>
    <row r="906" spans="1:11" x14ac:dyDescent="0.2">
      <c r="A906" s="3">
        <v>46</v>
      </c>
      <c r="B906" s="3">
        <v>2053</v>
      </c>
      <c r="C906" s="3">
        <v>173</v>
      </c>
      <c r="D906" s="3">
        <v>0.95</v>
      </c>
      <c r="E906" s="4">
        <v>9.1999999999999998E-2</v>
      </c>
      <c r="F906" s="3">
        <v>0.109</v>
      </c>
      <c r="G906" s="3">
        <v>0.95099999999999996</v>
      </c>
      <c r="H906" s="3">
        <v>0.96299999999999997</v>
      </c>
      <c r="I906" s="5">
        <v>78</v>
      </c>
      <c r="J906" s="3">
        <v>19</v>
      </c>
      <c r="K906" s="3">
        <v>14.7</v>
      </c>
    </row>
    <row r="907" spans="1:11" x14ac:dyDescent="0.2">
      <c r="A907" s="3">
        <v>68</v>
      </c>
      <c r="B907" s="3">
        <v>3194</v>
      </c>
      <c r="C907" s="3">
        <v>83</v>
      </c>
      <c r="D907" s="3">
        <v>0.95</v>
      </c>
      <c r="E907" s="4">
        <v>5.3999999999999999E-2</v>
      </c>
      <c r="F907" s="3">
        <v>0.109</v>
      </c>
      <c r="G907" s="3">
        <v>0.71599999999999997</v>
      </c>
      <c r="H907" s="3">
        <v>0.95099999999999996</v>
      </c>
      <c r="I907" s="5">
        <v>86</v>
      </c>
      <c r="J907" s="3">
        <v>9</v>
      </c>
      <c r="K907" s="3">
        <v>8.6</v>
      </c>
    </row>
    <row r="908" spans="1:11" x14ac:dyDescent="0.2">
      <c r="A908" s="3">
        <v>76</v>
      </c>
      <c r="B908" s="3">
        <v>3655</v>
      </c>
      <c r="C908" s="3">
        <v>20</v>
      </c>
      <c r="D908" s="3">
        <v>0.95</v>
      </c>
      <c r="E908" s="4">
        <v>4.2000000000000003E-2</v>
      </c>
      <c r="F908" s="3">
        <v>9.8000000000000004E-2</v>
      </c>
      <c r="G908" s="3">
        <v>0.73799999999999999</v>
      </c>
      <c r="H908" s="3">
        <v>0.91</v>
      </c>
      <c r="I908" s="5">
        <v>58</v>
      </c>
      <c r="J908" s="3">
        <v>4</v>
      </c>
      <c r="K908" s="3">
        <v>10.9</v>
      </c>
    </row>
    <row r="909" spans="1:11" x14ac:dyDescent="0.2">
      <c r="A909" s="3">
        <v>61</v>
      </c>
      <c r="B909" s="3">
        <v>3005</v>
      </c>
      <c r="C909" s="3">
        <v>178</v>
      </c>
      <c r="D909" s="3">
        <v>0.95099999999999996</v>
      </c>
      <c r="E909" s="4">
        <v>0.10199999999999999</v>
      </c>
      <c r="F909" s="3">
        <v>0.3</v>
      </c>
      <c r="G909" s="3">
        <v>0.95499999999999996</v>
      </c>
      <c r="H909" s="3">
        <v>0.96499999999999997</v>
      </c>
      <c r="I909" s="5">
        <v>40</v>
      </c>
      <c r="J909" s="3">
        <v>13</v>
      </c>
      <c r="K909" s="3">
        <v>9.3000000000000007</v>
      </c>
    </row>
    <row r="910" spans="1:11" x14ac:dyDescent="0.2">
      <c r="A910" s="3">
        <v>25</v>
      </c>
      <c r="B910" s="3">
        <v>1115</v>
      </c>
      <c r="C910" s="3">
        <v>140</v>
      </c>
      <c r="D910" s="3">
        <v>0.95199999999999996</v>
      </c>
      <c r="E910" s="4">
        <v>8.6999999999999994E-2</v>
      </c>
      <c r="F910" s="3">
        <v>0.23</v>
      </c>
      <c r="G910" s="3">
        <v>0.95199999999999996</v>
      </c>
      <c r="H910" s="3">
        <v>0.97</v>
      </c>
      <c r="I910" s="5">
        <v>57</v>
      </c>
      <c r="J910" s="3">
        <v>6</v>
      </c>
      <c r="K910" s="3">
        <v>5.4</v>
      </c>
    </row>
    <row r="911" spans="1:11" x14ac:dyDescent="0.2">
      <c r="A911" s="3">
        <v>28</v>
      </c>
      <c r="B911" s="3">
        <v>1356</v>
      </c>
      <c r="C911" s="3">
        <v>192</v>
      </c>
      <c r="D911" s="3">
        <v>0.95199999999999996</v>
      </c>
      <c r="E911" s="4">
        <v>0.11799999999999999</v>
      </c>
      <c r="F911" s="3">
        <v>9.7000000000000003E-2</v>
      </c>
      <c r="G911" s="3">
        <v>0.77800000000000002</v>
      </c>
      <c r="H911" s="3">
        <v>0.94799999999999995</v>
      </c>
      <c r="I911" s="5">
        <v>81</v>
      </c>
      <c r="J911" s="3">
        <v>17</v>
      </c>
      <c r="K911" s="3">
        <v>10.9</v>
      </c>
    </row>
    <row r="912" spans="1:11" x14ac:dyDescent="0.2">
      <c r="A912" s="3">
        <v>40</v>
      </c>
      <c r="B912" s="3">
        <v>1817</v>
      </c>
      <c r="C912" s="3">
        <v>56</v>
      </c>
      <c r="D912" s="3">
        <v>0.95299999999999996</v>
      </c>
      <c r="E912" s="4">
        <v>9.5000000000000001E-2</v>
      </c>
      <c r="F912" s="3">
        <v>0.28799999999999998</v>
      </c>
      <c r="G912" s="3">
        <v>0.82599999999999996</v>
      </c>
      <c r="H912" s="3">
        <v>0.91500000000000004</v>
      </c>
      <c r="I912" s="5">
        <v>38</v>
      </c>
      <c r="J912" s="3">
        <v>7</v>
      </c>
      <c r="K912" s="3">
        <v>7.3</v>
      </c>
    </row>
    <row r="913" spans="1:11" x14ac:dyDescent="0.2">
      <c r="A913" s="3">
        <v>87</v>
      </c>
      <c r="B913" s="3">
        <v>4173</v>
      </c>
      <c r="C913" s="3">
        <v>93</v>
      </c>
      <c r="D913" s="3">
        <v>0.95299999999999996</v>
      </c>
      <c r="E913" s="4">
        <v>0.14699999999999999</v>
      </c>
      <c r="F913" s="3">
        <v>0.27300000000000002</v>
      </c>
      <c r="G913" s="3">
        <v>0.75</v>
      </c>
      <c r="H913" s="3">
        <v>0.96</v>
      </c>
      <c r="I913" s="5">
        <v>54</v>
      </c>
      <c r="J913" s="3">
        <v>6</v>
      </c>
      <c r="K913" s="3">
        <v>12.9</v>
      </c>
    </row>
    <row r="914" spans="1:11" x14ac:dyDescent="0.2">
      <c r="A914" s="3">
        <v>62</v>
      </c>
      <c r="B914" s="3">
        <v>2932</v>
      </c>
      <c r="C914" s="3">
        <v>15</v>
      </c>
      <c r="D914" s="3">
        <v>0.95399999999999996</v>
      </c>
      <c r="E914" s="4">
        <v>6.9000000000000006E-2</v>
      </c>
      <c r="F914" s="3">
        <v>0.255</v>
      </c>
      <c r="G914" s="3">
        <v>0.93</v>
      </c>
      <c r="H914" s="3">
        <v>0.93300000000000005</v>
      </c>
      <c r="I914" s="5">
        <v>57</v>
      </c>
      <c r="J914" s="3">
        <v>3</v>
      </c>
      <c r="K914" s="3">
        <v>6.8</v>
      </c>
    </row>
    <row r="915" spans="1:11" x14ac:dyDescent="0.2">
      <c r="A915" s="3">
        <v>61</v>
      </c>
      <c r="B915" s="3">
        <v>2960</v>
      </c>
      <c r="C915" s="3">
        <v>128</v>
      </c>
      <c r="D915" s="3">
        <v>0.95399999999999996</v>
      </c>
      <c r="E915" s="4">
        <v>0.14099999999999999</v>
      </c>
      <c r="F915" s="3">
        <v>0.214</v>
      </c>
      <c r="G915" s="3">
        <v>0.93700000000000006</v>
      </c>
      <c r="H915" s="3">
        <v>0.92200000000000004</v>
      </c>
      <c r="I915" s="5">
        <v>37</v>
      </c>
      <c r="J915" s="3">
        <v>12</v>
      </c>
      <c r="K915" s="3">
        <v>2.5</v>
      </c>
    </row>
    <row r="916" spans="1:11" x14ac:dyDescent="0.2">
      <c r="A916" s="3">
        <v>98</v>
      </c>
      <c r="B916" s="3">
        <v>4645</v>
      </c>
      <c r="C916" s="3">
        <v>119</v>
      </c>
      <c r="D916" s="3">
        <v>0.95399999999999996</v>
      </c>
      <c r="E916" s="4">
        <v>1.4E-2</v>
      </c>
      <c r="F916" s="3">
        <v>0.13</v>
      </c>
      <c r="G916" s="3">
        <v>0.84299999999999997</v>
      </c>
      <c r="H916" s="3">
        <v>0.91900000000000004</v>
      </c>
      <c r="I916" s="5">
        <v>66</v>
      </c>
      <c r="J916" s="3">
        <v>12</v>
      </c>
      <c r="K916" s="3">
        <v>3.7</v>
      </c>
    </row>
    <row r="917" spans="1:11" x14ac:dyDescent="0.2">
      <c r="A917" s="3">
        <v>32</v>
      </c>
      <c r="B917" s="3">
        <v>1382</v>
      </c>
      <c r="C917" s="3">
        <v>137</v>
      </c>
      <c r="D917" s="3">
        <v>0.95499999999999996</v>
      </c>
      <c r="E917" s="4">
        <v>0.14699999999999999</v>
      </c>
      <c r="F917" s="3">
        <v>0.20699999999999999</v>
      </c>
      <c r="G917" s="3">
        <v>0.78600000000000003</v>
      </c>
      <c r="H917" s="3">
        <v>0.96399999999999997</v>
      </c>
      <c r="I917" s="5">
        <v>67</v>
      </c>
      <c r="J917" s="3">
        <v>12</v>
      </c>
      <c r="K917" s="3">
        <v>4.0999999999999996</v>
      </c>
    </row>
    <row r="918" spans="1:11" x14ac:dyDescent="0.2">
      <c r="A918" s="3">
        <v>44</v>
      </c>
      <c r="B918" s="3">
        <v>2113</v>
      </c>
      <c r="C918" s="3">
        <v>147</v>
      </c>
      <c r="D918" s="3">
        <v>0.95499999999999996</v>
      </c>
      <c r="E918" s="4">
        <v>8.7999999999999995E-2</v>
      </c>
      <c r="F918" s="3">
        <v>9.4E-2</v>
      </c>
      <c r="G918" s="3">
        <v>0.85799999999999998</v>
      </c>
      <c r="H918" s="3">
        <v>0.95799999999999996</v>
      </c>
      <c r="I918" s="5">
        <v>73</v>
      </c>
      <c r="J918" s="3">
        <v>12</v>
      </c>
      <c r="K918" s="3">
        <v>5</v>
      </c>
    </row>
    <row r="919" spans="1:11" x14ac:dyDescent="0.2">
      <c r="A919" s="3">
        <v>102</v>
      </c>
      <c r="B919" s="3">
        <v>4825</v>
      </c>
      <c r="C919" s="3">
        <v>91</v>
      </c>
      <c r="D919" s="3">
        <v>0.95499999999999996</v>
      </c>
      <c r="E919" s="4">
        <v>9.4E-2</v>
      </c>
      <c r="F919" s="3">
        <v>0.25</v>
      </c>
      <c r="G919" s="3">
        <v>0.86199999999999999</v>
      </c>
      <c r="H919" s="3">
        <v>0.96799999999999997</v>
      </c>
      <c r="I919" s="5">
        <v>42</v>
      </c>
      <c r="J919" s="3">
        <v>7</v>
      </c>
      <c r="K919" s="3">
        <v>11.7</v>
      </c>
    </row>
    <row r="920" spans="1:11" x14ac:dyDescent="0.2">
      <c r="A920" s="3">
        <v>87</v>
      </c>
      <c r="B920" s="3">
        <v>4235</v>
      </c>
      <c r="C920" s="3">
        <v>129</v>
      </c>
      <c r="D920" s="3">
        <v>0.95599999999999996</v>
      </c>
      <c r="E920" s="4">
        <v>2.5000000000000001E-2</v>
      </c>
      <c r="F920" s="3">
        <v>0.25900000000000001</v>
      </c>
      <c r="G920" s="3">
        <v>0.85899999999999999</v>
      </c>
      <c r="H920" s="3">
        <v>0.97699999999999998</v>
      </c>
      <c r="I920" s="5">
        <v>27</v>
      </c>
      <c r="J920" s="3">
        <v>19</v>
      </c>
      <c r="K920" s="3">
        <v>10.4</v>
      </c>
    </row>
    <row r="921" spans="1:11" x14ac:dyDescent="0.2">
      <c r="A921" s="3">
        <v>56</v>
      </c>
      <c r="B921" s="3">
        <v>2588</v>
      </c>
      <c r="C921" s="3">
        <v>91</v>
      </c>
      <c r="D921" s="3">
        <v>0.95699999999999996</v>
      </c>
      <c r="E921" s="4">
        <v>3.3000000000000002E-2</v>
      </c>
      <c r="F921" s="3">
        <v>8.2000000000000003E-2</v>
      </c>
      <c r="G921" s="3">
        <v>0.71099999999999997</v>
      </c>
      <c r="H921" s="3">
        <v>0.92700000000000005</v>
      </c>
      <c r="I921" s="5">
        <v>23</v>
      </c>
      <c r="J921" s="3">
        <v>5</v>
      </c>
      <c r="K921" s="3">
        <v>8.3000000000000007</v>
      </c>
    </row>
    <row r="922" spans="1:11" x14ac:dyDescent="0.2">
      <c r="A922" s="3">
        <v>64</v>
      </c>
      <c r="B922" s="3">
        <v>3158</v>
      </c>
      <c r="C922" s="3">
        <v>78</v>
      </c>
      <c r="D922" s="3">
        <v>0.95699999999999996</v>
      </c>
      <c r="E922" s="4">
        <v>7.4999999999999997E-2</v>
      </c>
      <c r="F922" s="3">
        <v>0.191</v>
      </c>
      <c r="G922" s="3">
        <v>0.76</v>
      </c>
      <c r="H922" s="3">
        <v>0.92100000000000004</v>
      </c>
      <c r="I922" s="5">
        <v>16</v>
      </c>
      <c r="J922" s="3">
        <v>8</v>
      </c>
      <c r="K922" s="3">
        <v>2.2000000000000002</v>
      </c>
    </row>
    <row r="923" spans="1:11" x14ac:dyDescent="0.2">
      <c r="A923" s="3">
        <v>81</v>
      </c>
      <c r="B923" s="3">
        <v>3905</v>
      </c>
      <c r="C923" s="3">
        <v>31</v>
      </c>
      <c r="D923" s="3">
        <v>0.95799999999999996</v>
      </c>
      <c r="E923" s="4">
        <v>8.6999999999999994E-2</v>
      </c>
      <c r="F923" s="3">
        <v>0.246</v>
      </c>
      <c r="G923" s="3">
        <v>0.97099999999999997</v>
      </c>
      <c r="H923" s="3">
        <v>0.99399999999999999</v>
      </c>
      <c r="I923" s="5">
        <v>28</v>
      </c>
      <c r="J923" s="3">
        <v>13</v>
      </c>
      <c r="K923" s="3">
        <v>11.9</v>
      </c>
    </row>
    <row r="924" spans="1:11" x14ac:dyDescent="0.2">
      <c r="A924" s="3">
        <v>97</v>
      </c>
      <c r="B924" s="3">
        <v>4657</v>
      </c>
      <c r="C924" s="3">
        <v>82</v>
      </c>
      <c r="D924" s="3">
        <v>0.95799999999999996</v>
      </c>
      <c r="E924" s="4">
        <v>9.7000000000000003E-2</v>
      </c>
      <c r="F924" s="3">
        <v>0.215</v>
      </c>
      <c r="G924" s="3">
        <v>0.93300000000000005</v>
      </c>
      <c r="H924" s="3">
        <v>0.97199999999999998</v>
      </c>
      <c r="I924" s="5">
        <v>13</v>
      </c>
      <c r="J924" s="3">
        <v>5</v>
      </c>
      <c r="K924" s="3">
        <v>2.2999999999999998</v>
      </c>
    </row>
    <row r="925" spans="1:11" x14ac:dyDescent="0.2">
      <c r="A925" s="3">
        <v>22</v>
      </c>
      <c r="B925" s="3">
        <v>1067</v>
      </c>
      <c r="C925" s="3">
        <v>171</v>
      </c>
      <c r="D925" s="3">
        <v>0.95899999999999996</v>
      </c>
      <c r="E925" s="4">
        <v>7.1999999999999995E-2</v>
      </c>
      <c r="F925" s="3">
        <v>0.19700000000000001</v>
      </c>
      <c r="G925" s="3">
        <v>0.96299999999999997</v>
      </c>
      <c r="H925" s="3">
        <v>0.93200000000000005</v>
      </c>
      <c r="I925" s="5">
        <v>15</v>
      </c>
      <c r="J925" s="3">
        <v>3</v>
      </c>
      <c r="K925" s="3">
        <v>10.199999999999999</v>
      </c>
    </row>
    <row r="926" spans="1:11" x14ac:dyDescent="0.2">
      <c r="A926" s="3">
        <v>99</v>
      </c>
      <c r="B926" s="3">
        <v>4696</v>
      </c>
      <c r="C926" s="3">
        <v>117</v>
      </c>
      <c r="D926" s="3">
        <v>0.96</v>
      </c>
      <c r="E926" s="4">
        <v>2.1999999999999999E-2</v>
      </c>
      <c r="F926" s="3">
        <v>0.17899999999999999</v>
      </c>
      <c r="G926" s="3">
        <v>0.76100000000000001</v>
      </c>
      <c r="H926" s="3">
        <v>0.98499999999999999</v>
      </c>
      <c r="I926" s="5">
        <v>46</v>
      </c>
      <c r="J926" s="3">
        <v>18</v>
      </c>
      <c r="K926" s="3">
        <v>14.1</v>
      </c>
    </row>
    <row r="927" spans="1:11" x14ac:dyDescent="0.2">
      <c r="A927" s="3">
        <v>96</v>
      </c>
      <c r="B927" s="3">
        <v>4710</v>
      </c>
      <c r="C927" s="3">
        <v>70</v>
      </c>
      <c r="D927" s="3">
        <v>0.96099999999999997</v>
      </c>
      <c r="E927" s="4">
        <v>7.8E-2</v>
      </c>
      <c r="F927" s="3">
        <v>0.127</v>
      </c>
      <c r="G927" s="3">
        <v>0.85699999999999998</v>
      </c>
      <c r="H927" s="3">
        <v>0.96599999999999997</v>
      </c>
      <c r="I927" s="5">
        <v>70</v>
      </c>
      <c r="J927" s="3">
        <v>10</v>
      </c>
      <c r="K927" s="3">
        <v>3.2</v>
      </c>
    </row>
    <row r="928" spans="1:11" x14ac:dyDescent="0.2">
      <c r="A928" s="3">
        <v>29</v>
      </c>
      <c r="B928" s="3">
        <v>1244</v>
      </c>
      <c r="C928" s="3">
        <v>26</v>
      </c>
      <c r="D928" s="3">
        <v>0.96199999999999997</v>
      </c>
      <c r="E928" s="4">
        <v>0.192</v>
      </c>
      <c r="F928" s="3">
        <v>0.16200000000000001</v>
      </c>
      <c r="G928" s="3">
        <v>0.97199999999999998</v>
      </c>
      <c r="H928" s="3">
        <v>0.93300000000000005</v>
      </c>
      <c r="I928" s="5">
        <v>31</v>
      </c>
      <c r="J928" s="3">
        <v>14</v>
      </c>
      <c r="K928" s="3">
        <v>8.3000000000000007</v>
      </c>
    </row>
    <row r="929" spans="1:11" x14ac:dyDescent="0.2">
      <c r="A929" s="3">
        <v>57</v>
      </c>
      <c r="B929" s="3">
        <v>2605</v>
      </c>
      <c r="C929" s="3">
        <v>87</v>
      </c>
      <c r="D929" s="3">
        <v>0.96199999999999997</v>
      </c>
      <c r="E929" s="4">
        <v>0.01</v>
      </c>
      <c r="F929" s="3">
        <v>0.21099999999999999</v>
      </c>
      <c r="G929" s="3">
        <v>0.72599999999999998</v>
      </c>
      <c r="H929" s="3">
        <v>0.91400000000000003</v>
      </c>
      <c r="I929" s="5">
        <v>74</v>
      </c>
      <c r="J929" s="3">
        <v>15</v>
      </c>
      <c r="K929" s="3">
        <v>3</v>
      </c>
    </row>
    <row r="930" spans="1:11" x14ac:dyDescent="0.2">
      <c r="A930" s="3">
        <v>58</v>
      </c>
      <c r="B930" s="3">
        <v>2784</v>
      </c>
      <c r="C930" s="3">
        <v>199</v>
      </c>
      <c r="D930" s="3">
        <v>0.96199999999999997</v>
      </c>
      <c r="E930" s="4">
        <v>3.5999999999999997E-2</v>
      </c>
      <c r="F930" s="3">
        <v>0.17499999999999999</v>
      </c>
      <c r="G930" s="3">
        <v>0.80800000000000005</v>
      </c>
      <c r="H930" s="3">
        <v>0.97399999999999998</v>
      </c>
      <c r="I930" s="5">
        <v>98</v>
      </c>
      <c r="J930" s="3">
        <v>0</v>
      </c>
      <c r="K930" s="3">
        <v>9.6999999999999993</v>
      </c>
    </row>
    <row r="931" spans="1:11" x14ac:dyDescent="0.2">
      <c r="A931" s="3">
        <v>70</v>
      </c>
      <c r="B931" s="3">
        <v>3373</v>
      </c>
      <c r="C931" s="3">
        <v>22</v>
      </c>
      <c r="D931" s="3">
        <v>0.96199999999999997</v>
      </c>
      <c r="E931" s="4">
        <v>3.2000000000000001E-2</v>
      </c>
      <c r="F931" s="3">
        <v>0.191</v>
      </c>
      <c r="G931" s="3">
        <v>0.73699999999999999</v>
      </c>
      <c r="H931" s="3">
        <v>0.997</v>
      </c>
      <c r="I931" s="5">
        <v>81</v>
      </c>
      <c r="J931" s="3">
        <v>16</v>
      </c>
      <c r="K931" s="3">
        <v>7.7</v>
      </c>
    </row>
    <row r="932" spans="1:11" x14ac:dyDescent="0.2">
      <c r="A932" s="3">
        <v>42</v>
      </c>
      <c r="B932" s="3">
        <v>1880</v>
      </c>
      <c r="C932" s="3">
        <v>44</v>
      </c>
      <c r="D932" s="3">
        <v>0.96299999999999997</v>
      </c>
      <c r="E932" s="4">
        <v>0.16700000000000001</v>
      </c>
      <c r="F932" s="3">
        <v>0.14399999999999999</v>
      </c>
      <c r="G932" s="3">
        <v>0.78300000000000003</v>
      </c>
      <c r="H932" s="3">
        <v>0.90300000000000002</v>
      </c>
      <c r="I932" s="5">
        <v>77</v>
      </c>
      <c r="J932" s="3">
        <v>7</v>
      </c>
      <c r="K932" s="3">
        <v>11.2</v>
      </c>
    </row>
    <row r="933" spans="1:11" x14ac:dyDescent="0.2">
      <c r="A933" s="3">
        <v>74</v>
      </c>
      <c r="B933" s="3">
        <v>3438</v>
      </c>
      <c r="C933" s="3">
        <v>27</v>
      </c>
      <c r="D933" s="3">
        <v>0.96299999999999997</v>
      </c>
      <c r="E933" s="4">
        <v>6.2E-2</v>
      </c>
      <c r="F933" s="3">
        <v>0.23899999999999999</v>
      </c>
      <c r="G933" s="3">
        <v>0.85299999999999998</v>
      </c>
      <c r="H933" s="3">
        <v>0.97599999999999998</v>
      </c>
      <c r="I933" s="5">
        <v>35</v>
      </c>
      <c r="J933" s="3">
        <v>8</v>
      </c>
      <c r="K933" s="3">
        <v>1.7</v>
      </c>
    </row>
    <row r="934" spans="1:11" x14ac:dyDescent="0.2">
      <c r="A934" s="3">
        <v>99</v>
      </c>
      <c r="B934" s="3">
        <v>4722</v>
      </c>
      <c r="C934" s="3">
        <v>32</v>
      </c>
      <c r="D934" s="3">
        <v>0.96299999999999997</v>
      </c>
      <c r="E934" s="4">
        <v>3.9E-2</v>
      </c>
      <c r="F934" s="3">
        <v>5.3999999999999999E-2</v>
      </c>
      <c r="G934" s="3">
        <v>0.78800000000000003</v>
      </c>
      <c r="H934" s="3">
        <v>0.97699999999999998</v>
      </c>
      <c r="I934" s="5">
        <v>94</v>
      </c>
      <c r="J934" s="3">
        <v>9</v>
      </c>
      <c r="K934" s="3">
        <v>2.2000000000000002</v>
      </c>
    </row>
    <row r="935" spans="1:11" x14ac:dyDescent="0.2">
      <c r="A935" s="3">
        <v>28</v>
      </c>
      <c r="B935" s="3">
        <v>1305</v>
      </c>
      <c r="C935" s="3">
        <v>57</v>
      </c>
      <c r="D935" s="3">
        <v>0.96399999999999997</v>
      </c>
      <c r="E935" s="4">
        <v>1.7999999999999999E-2</v>
      </c>
      <c r="F935" s="3">
        <v>0.27</v>
      </c>
      <c r="G935" s="3">
        <v>0.89500000000000002</v>
      </c>
      <c r="H935" s="3">
        <v>0.92700000000000005</v>
      </c>
      <c r="I935" s="5">
        <v>25</v>
      </c>
      <c r="J935" s="3">
        <v>1</v>
      </c>
      <c r="K935" s="3">
        <v>3.1</v>
      </c>
    </row>
    <row r="936" spans="1:11" x14ac:dyDescent="0.2">
      <c r="A936" s="3">
        <v>45</v>
      </c>
      <c r="B936" s="3">
        <v>2023</v>
      </c>
      <c r="C936" s="3">
        <v>124</v>
      </c>
      <c r="D936" s="3">
        <v>0.96399999999999997</v>
      </c>
      <c r="E936" s="4">
        <v>4.8000000000000001E-2</v>
      </c>
      <c r="F936" s="3">
        <v>0.17799999999999999</v>
      </c>
      <c r="G936" s="3">
        <v>0.95499999999999996</v>
      </c>
      <c r="H936" s="3">
        <v>0.91300000000000003</v>
      </c>
      <c r="I936" s="5">
        <v>6</v>
      </c>
      <c r="J936" s="3">
        <v>6</v>
      </c>
      <c r="K936" s="3">
        <v>8.4</v>
      </c>
    </row>
    <row r="937" spans="1:11" x14ac:dyDescent="0.2">
      <c r="A937" s="3">
        <v>67</v>
      </c>
      <c r="B937" s="3">
        <v>3211</v>
      </c>
      <c r="C937" s="3">
        <v>31</v>
      </c>
      <c r="D937" s="3">
        <v>0.96399999999999997</v>
      </c>
      <c r="E937" s="4">
        <v>3.5999999999999997E-2</v>
      </c>
      <c r="F937" s="3">
        <v>0.29599999999999999</v>
      </c>
      <c r="G937" s="3">
        <v>0.93500000000000005</v>
      </c>
      <c r="H937" s="3">
        <v>0.93400000000000005</v>
      </c>
      <c r="I937" s="5">
        <v>19</v>
      </c>
      <c r="J937" s="3">
        <v>17</v>
      </c>
      <c r="K937" s="3">
        <v>9.6999999999999993</v>
      </c>
    </row>
    <row r="938" spans="1:11" x14ac:dyDescent="0.2">
      <c r="A938" s="3">
        <v>70</v>
      </c>
      <c r="B938" s="3">
        <v>3231</v>
      </c>
      <c r="C938" s="3">
        <v>119</v>
      </c>
      <c r="D938" s="3">
        <v>0.96399999999999997</v>
      </c>
      <c r="E938" s="4">
        <v>0.17799999999999999</v>
      </c>
      <c r="F938" s="3">
        <v>0.17100000000000001</v>
      </c>
      <c r="G938" s="3">
        <v>0.97</v>
      </c>
      <c r="H938" s="3">
        <v>0.98099999999999998</v>
      </c>
      <c r="I938" s="5">
        <v>53</v>
      </c>
      <c r="J938" s="3">
        <v>9</v>
      </c>
      <c r="K938" s="3">
        <v>9.1</v>
      </c>
    </row>
    <row r="939" spans="1:11" x14ac:dyDescent="0.2">
      <c r="A939" s="3">
        <v>86</v>
      </c>
      <c r="B939" s="3">
        <v>4199</v>
      </c>
      <c r="C939" s="3">
        <v>92</v>
      </c>
      <c r="D939" s="3">
        <v>0.96399999999999997</v>
      </c>
      <c r="E939" s="4">
        <v>1.7999999999999999E-2</v>
      </c>
      <c r="F939" s="3">
        <v>0.20100000000000001</v>
      </c>
      <c r="G939" s="3">
        <v>0.746</v>
      </c>
      <c r="H939" s="3">
        <v>0.93799999999999994</v>
      </c>
      <c r="I939" s="5">
        <v>36</v>
      </c>
      <c r="J939" s="3">
        <v>19</v>
      </c>
      <c r="K939" s="3">
        <v>2.5</v>
      </c>
    </row>
    <row r="940" spans="1:11" x14ac:dyDescent="0.2">
      <c r="A940" s="3">
        <v>100</v>
      </c>
      <c r="B940" s="3">
        <v>4832</v>
      </c>
      <c r="C940" s="3">
        <v>115</v>
      </c>
      <c r="D940" s="3">
        <v>0.96399999999999997</v>
      </c>
      <c r="E940" s="4">
        <v>5.8999999999999997E-2</v>
      </c>
      <c r="F940" s="3">
        <v>0.13400000000000001</v>
      </c>
      <c r="G940" s="3">
        <v>0.97399999999999998</v>
      </c>
      <c r="H940" s="3">
        <v>0.99099999999999999</v>
      </c>
      <c r="I940" s="5">
        <v>10</v>
      </c>
      <c r="J940" s="3">
        <v>6</v>
      </c>
      <c r="K940" s="3">
        <v>14</v>
      </c>
    </row>
    <row r="941" spans="1:11" x14ac:dyDescent="0.2">
      <c r="A941" s="3">
        <v>103</v>
      </c>
      <c r="B941" s="3">
        <v>4972</v>
      </c>
      <c r="C941" s="3">
        <v>146</v>
      </c>
      <c r="D941" s="3">
        <v>0.96399999999999997</v>
      </c>
      <c r="E941" s="4">
        <v>8.2000000000000003E-2</v>
      </c>
      <c r="F941" s="3">
        <v>0.27200000000000002</v>
      </c>
      <c r="G941" s="3">
        <v>0.80600000000000005</v>
      </c>
      <c r="H941" s="3">
        <v>0.96</v>
      </c>
      <c r="I941" s="5">
        <v>64</v>
      </c>
      <c r="J941" s="3">
        <v>13</v>
      </c>
      <c r="K941" s="3">
        <v>14</v>
      </c>
    </row>
    <row r="942" spans="1:11" x14ac:dyDescent="0.2">
      <c r="A942" s="3">
        <v>32</v>
      </c>
      <c r="B942" s="3">
        <v>1460</v>
      </c>
      <c r="C942" s="3">
        <v>71</v>
      </c>
      <c r="D942" s="3">
        <v>0.96499999999999997</v>
      </c>
      <c r="E942" s="4">
        <v>0.121</v>
      </c>
      <c r="F942" s="3">
        <v>0.20200000000000001</v>
      </c>
      <c r="G942" s="3">
        <v>0.71399999999999997</v>
      </c>
      <c r="H942" s="3">
        <v>0.96599999999999997</v>
      </c>
      <c r="I942" s="5">
        <v>27</v>
      </c>
      <c r="J942" s="3">
        <v>5</v>
      </c>
      <c r="K942" s="3">
        <v>2</v>
      </c>
    </row>
    <row r="943" spans="1:11" x14ac:dyDescent="0.2">
      <c r="A943" s="3">
        <v>36</v>
      </c>
      <c r="B943" s="3">
        <v>1557</v>
      </c>
      <c r="C943" s="3">
        <v>14</v>
      </c>
      <c r="D943" s="3">
        <v>0.96499999999999997</v>
      </c>
      <c r="E943" s="4">
        <v>4.9000000000000002E-2</v>
      </c>
      <c r="F943" s="3">
        <v>0.249</v>
      </c>
      <c r="G943" s="3">
        <v>0.94</v>
      </c>
      <c r="H943" s="3">
        <v>0.90100000000000002</v>
      </c>
      <c r="I943" s="5">
        <v>55</v>
      </c>
      <c r="J943" s="3">
        <v>3</v>
      </c>
      <c r="K943" s="3">
        <v>8</v>
      </c>
    </row>
    <row r="944" spans="1:11" x14ac:dyDescent="0.2">
      <c r="A944" s="3">
        <v>95</v>
      </c>
      <c r="B944" s="3">
        <v>4563</v>
      </c>
      <c r="C944" s="3">
        <v>122</v>
      </c>
      <c r="D944" s="3">
        <v>0.96499999999999997</v>
      </c>
      <c r="E944" s="4">
        <v>6.3E-2</v>
      </c>
      <c r="F944" s="3">
        <v>0.17699999999999999</v>
      </c>
      <c r="G944" s="3">
        <v>0.85399999999999998</v>
      </c>
      <c r="H944" s="3">
        <v>0.96899999999999997</v>
      </c>
      <c r="I944" s="5">
        <v>39</v>
      </c>
      <c r="J944" s="3">
        <v>7</v>
      </c>
      <c r="K944" s="3">
        <v>5.9</v>
      </c>
    </row>
    <row r="945" spans="1:11" x14ac:dyDescent="0.2">
      <c r="A945" s="3">
        <v>24</v>
      </c>
      <c r="B945" s="3">
        <v>1159</v>
      </c>
      <c r="C945" s="3">
        <v>91</v>
      </c>
      <c r="D945" s="3">
        <v>0.96599999999999997</v>
      </c>
      <c r="E945" s="4">
        <v>9.0999999999999998E-2</v>
      </c>
      <c r="F945" s="3">
        <v>7.0000000000000007E-2</v>
      </c>
      <c r="G945" s="3">
        <v>0.79300000000000004</v>
      </c>
      <c r="H945" s="3">
        <v>0.98099999999999998</v>
      </c>
      <c r="I945" s="5">
        <v>14</v>
      </c>
      <c r="J945" s="3">
        <v>12</v>
      </c>
      <c r="K945" s="3">
        <v>3.5</v>
      </c>
    </row>
    <row r="946" spans="1:11" x14ac:dyDescent="0.2">
      <c r="A946" s="3">
        <v>29</v>
      </c>
      <c r="B946" s="3">
        <v>1413</v>
      </c>
      <c r="C946" s="3">
        <v>36</v>
      </c>
      <c r="D946" s="3">
        <v>0.96599999999999997</v>
      </c>
      <c r="E946" s="4">
        <v>7.4999999999999997E-2</v>
      </c>
      <c r="F946" s="3">
        <v>0.26600000000000001</v>
      </c>
      <c r="G946" s="3">
        <v>0.92700000000000005</v>
      </c>
      <c r="H946" s="3">
        <v>0.92900000000000005</v>
      </c>
      <c r="I946" s="5">
        <v>67</v>
      </c>
      <c r="J946" s="3">
        <v>17</v>
      </c>
      <c r="K946" s="3">
        <v>12.8</v>
      </c>
    </row>
    <row r="947" spans="1:11" x14ac:dyDescent="0.2">
      <c r="A947" s="3">
        <v>70</v>
      </c>
      <c r="B947" s="3">
        <v>3367</v>
      </c>
      <c r="C947" s="3">
        <v>143</v>
      </c>
      <c r="D947" s="3">
        <v>0.96599999999999997</v>
      </c>
      <c r="E947" s="4">
        <v>2.3E-2</v>
      </c>
      <c r="F947" s="3">
        <v>7.4999999999999997E-2</v>
      </c>
      <c r="G947" s="3">
        <v>0.73199999999999998</v>
      </c>
      <c r="H947" s="3">
        <v>0.91200000000000003</v>
      </c>
      <c r="I947" s="5">
        <v>30</v>
      </c>
      <c r="J947" s="3">
        <v>9</v>
      </c>
      <c r="K947" s="3">
        <v>12</v>
      </c>
    </row>
    <row r="948" spans="1:11" x14ac:dyDescent="0.2">
      <c r="A948" s="3">
        <v>90</v>
      </c>
      <c r="B948" s="3">
        <v>4294</v>
      </c>
      <c r="C948" s="3">
        <v>84</v>
      </c>
      <c r="D948" s="3">
        <v>0.96599999999999997</v>
      </c>
      <c r="E948" s="4">
        <v>1.2E-2</v>
      </c>
      <c r="F948" s="3">
        <v>0.161</v>
      </c>
      <c r="G948" s="3">
        <v>0.82499999999999996</v>
      </c>
      <c r="H948" s="3">
        <v>0.92600000000000005</v>
      </c>
      <c r="I948" s="5">
        <v>94</v>
      </c>
      <c r="J948" s="3">
        <v>2</v>
      </c>
      <c r="K948" s="3">
        <v>13.1</v>
      </c>
    </row>
    <row r="949" spans="1:11" x14ac:dyDescent="0.2">
      <c r="A949" s="3">
        <v>35</v>
      </c>
      <c r="B949" s="3">
        <v>1614</v>
      </c>
      <c r="C949" s="3">
        <v>69</v>
      </c>
      <c r="D949" s="3">
        <v>0.96699999999999997</v>
      </c>
      <c r="E949" s="4">
        <v>9.8000000000000004E-2</v>
      </c>
      <c r="F949" s="3">
        <v>0.221</v>
      </c>
      <c r="G949" s="3">
        <v>0.97</v>
      </c>
      <c r="H949" s="3">
        <v>0.92900000000000005</v>
      </c>
      <c r="I949" s="5">
        <v>81</v>
      </c>
      <c r="J949" s="3">
        <v>13</v>
      </c>
      <c r="K949" s="3">
        <v>13</v>
      </c>
    </row>
    <row r="950" spans="1:11" x14ac:dyDescent="0.2">
      <c r="A950" s="3">
        <v>35</v>
      </c>
      <c r="B950" s="3">
        <v>1619</v>
      </c>
      <c r="C950" s="3">
        <v>40</v>
      </c>
      <c r="D950" s="3">
        <v>0.96699999999999997</v>
      </c>
      <c r="E950" s="4">
        <v>0.127</v>
      </c>
      <c r="F950" s="3">
        <v>0.18099999999999999</v>
      </c>
      <c r="G950" s="3">
        <v>0.85299999999999998</v>
      </c>
      <c r="H950" s="3">
        <v>0.92700000000000005</v>
      </c>
      <c r="I950" s="5">
        <v>40</v>
      </c>
      <c r="J950" s="3">
        <v>2</v>
      </c>
      <c r="K950" s="3">
        <v>11.5</v>
      </c>
    </row>
    <row r="951" spans="1:11" x14ac:dyDescent="0.2">
      <c r="A951" s="3">
        <v>80</v>
      </c>
      <c r="B951" s="3">
        <v>3841</v>
      </c>
      <c r="C951" s="3">
        <v>93</v>
      </c>
      <c r="D951" s="3">
        <v>0.96699999999999997</v>
      </c>
      <c r="E951" s="4">
        <v>6.8000000000000005E-2</v>
      </c>
      <c r="F951" s="3">
        <v>0.21</v>
      </c>
      <c r="G951" s="3">
        <v>0.80300000000000005</v>
      </c>
      <c r="H951" s="3">
        <v>0.96899999999999997</v>
      </c>
      <c r="I951" s="5">
        <v>7</v>
      </c>
      <c r="J951" s="3">
        <v>10</v>
      </c>
      <c r="K951" s="3">
        <v>1.5</v>
      </c>
    </row>
    <row r="952" spans="1:11" x14ac:dyDescent="0.2">
      <c r="A952" s="3">
        <v>47</v>
      </c>
      <c r="B952" s="3">
        <v>2140</v>
      </c>
      <c r="C952" s="3">
        <v>128</v>
      </c>
      <c r="D952" s="3">
        <v>0.96899999999999997</v>
      </c>
      <c r="E952" s="4">
        <v>8.8999999999999996E-2</v>
      </c>
      <c r="F952" s="3">
        <v>0.27900000000000003</v>
      </c>
      <c r="G952" s="3">
        <v>0.83299999999999996</v>
      </c>
      <c r="H952" s="3">
        <v>0.90500000000000003</v>
      </c>
      <c r="I952" s="5">
        <v>67</v>
      </c>
      <c r="J952" s="3">
        <v>6</v>
      </c>
      <c r="K952" s="3">
        <v>13.4</v>
      </c>
    </row>
    <row r="953" spans="1:11" x14ac:dyDescent="0.2">
      <c r="A953" s="3">
        <v>66</v>
      </c>
      <c r="B953" s="3">
        <v>3217</v>
      </c>
      <c r="C953" s="3">
        <v>92</v>
      </c>
      <c r="D953" s="3">
        <v>0.96899999999999997</v>
      </c>
      <c r="E953" s="4">
        <v>0.14599999999999999</v>
      </c>
      <c r="F953" s="3">
        <v>0.29799999999999999</v>
      </c>
      <c r="G953" s="3">
        <v>0.78100000000000003</v>
      </c>
      <c r="H953" s="3">
        <v>0.97799999999999998</v>
      </c>
      <c r="I953" s="5">
        <v>69</v>
      </c>
      <c r="J953" s="3">
        <v>7</v>
      </c>
      <c r="K953" s="3">
        <v>13</v>
      </c>
    </row>
    <row r="954" spans="1:11" x14ac:dyDescent="0.2">
      <c r="A954" s="3">
        <v>83</v>
      </c>
      <c r="B954" s="3">
        <v>4094</v>
      </c>
      <c r="C954" s="3">
        <v>116</v>
      </c>
      <c r="D954" s="3">
        <v>0.96899999999999997</v>
      </c>
      <c r="E954" s="4">
        <v>0.191</v>
      </c>
      <c r="F954" s="3">
        <v>7.6999999999999999E-2</v>
      </c>
      <c r="G954" s="3">
        <v>0.97099999999999997</v>
      </c>
      <c r="H954" s="3">
        <v>0.96399999999999997</v>
      </c>
      <c r="I954" s="5">
        <v>58</v>
      </c>
      <c r="J954" s="3">
        <v>14</v>
      </c>
      <c r="K954" s="3">
        <v>12.5</v>
      </c>
    </row>
    <row r="955" spans="1:11" x14ac:dyDescent="0.2">
      <c r="A955" s="3">
        <v>85</v>
      </c>
      <c r="B955" s="3">
        <v>4209</v>
      </c>
      <c r="C955" s="3">
        <v>166</v>
      </c>
      <c r="D955" s="3">
        <v>0.96899999999999997</v>
      </c>
      <c r="E955" s="4">
        <v>5.7000000000000002E-2</v>
      </c>
      <c r="F955" s="3">
        <v>0.125</v>
      </c>
      <c r="G955" s="3">
        <v>0.78100000000000003</v>
      </c>
      <c r="H955" s="3">
        <v>0.99199999999999999</v>
      </c>
      <c r="I955" s="5">
        <v>97</v>
      </c>
      <c r="J955" s="3">
        <v>0</v>
      </c>
      <c r="K955" s="3">
        <v>6</v>
      </c>
    </row>
    <row r="956" spans="1:11" x14ac:dyDescent="0.2">
      <c r="A956" s="3">
        <v>32</v>
      </c>
      <c r="B956" s="3">
        <v>1348</v>
      </c>
      <c r="C956" s="3">
        <v>187</v>
      </c>
      <c r="D956" s="3">
        <v>0.97</v>
      </c>
      <c r="E956" s="4">
        <v>0.19400000000000001</v>
      </c>
      <c r="F956" s="3">
        <v>0.13200000000000001</v>
      </c>
      <c r="G956" s="3">
        <v>0.89400000000000002</v>
      </c>
      <c r="H956" s="3">
        <v>0.9</v>
      </c>
      <c r="I956" s="5">
        <v>44</v>
      </c>
      <c r="J956" s="3">
        <v>1</v>
      </c>
      <c r="K956" s="3">
        <v>9.8000000000000007</v>
      </c>
    </row>
    <row r="957" spans="1:11" x14ac:dyDescent="0.2">
      <c r="A957" s="3">
        <v>83</v>
      </c>
      <c r="B957" s="3">
        <v>4063</v>
      </c>
      <c r="C957" s="3">
        <v>133</v>
      </c>
      <c r="D957" s="3">
        <v>0.97</v>
      </c>
      <c r="E957" s="4">
        <v>0.17100000000000001</v>
      </c>
      <c r="F957" s="3">
        <v>0.28399999999999997</v>
      </c>
      <c r="G957" s="3">
        <v>0.878</v>
      </c>
      <c r="H957" s="3">
        <v>0.92900000000000005</v>
      </c>
      <c r="I957" s="5">
        <v>89</v>
      </c>
      <c r="J957" s="3">
        <v>17</v>
      </c>
      <c r="K957" s="3">
        <v>13</v>
      </c>
    </row>
    <row r="958" spans="1:11" x14ac:dyDescent="0.2">
      <c r="A958" s="3">
        <v>31</v>
      </c>
      <c r="B958" s="3">
        <v>1442</v>
      </c>
      <c r="C958" s="3">
        <v>132</v>
      </c>
      <c r="D958" s="3">
        <v>0.97099999999999997</v>
      </c>
      <c r="E958" s="4">
        <v>0.11899999999999999</v>
      </c>
      <c r="F958" s="3">
        <v>0.128</v>
      </c>
      <c r="G958" s="3">
        <v>0.83199999999999996</v>
      </c>
      <c r="H958" s="3">
        <v>0.91900000000000004</v>
      </c>
      <c r="I958" s="5">
        <v>83</v>
      </c>
      <c r="J958" s="3">
        <v>10</v>
      </c>
      <c r="K958" s="3">
        <v>13.5</v>
      </c>
    </row>
    <row r="959" spans="1:11" x14ac:dyDescent="0.2">
      <c r="A959" s="3">
        <v>35</v>
      </c>
      <c r="B959" s="3">
        <v>1579</v>
      </c>
      <c r="C959" s="3">
        <v>191</v>
      </c>
      <c r="D959" s="3">
        <v>0.97099999999999997</v>
      </c>
      <c r="E959" s="4">
        <v>0.12</v>
      </c>
      <c r="F959" s="3">
        <v>9.8000000000000004E-2</v>
      </c>
      <c r="G959" s="3">
        <v>0.75600000000000001</v>
      </c>
      <c r="H959" s="3">
        <v>0.98199999999999998</v>
      </c>
      <c r="I959" s="5">
        <v>64</v>
      </c>
      <c r="J959" s="3">
        <v>11</v>
      </c>
      <c r="K959" s="3">
        <v>10.8</v>
      </c>
    </row>
    <row r="960" spans="1:11" x14ac:dyDescent="0.2">
      <c r="A960" s="3">
        <v>102</v>
      </c>
      <c r="B960" s="3">
        <v>4953</v>
      </c>
      <c r="C960" s="3">
        <v>93</v>
      </c>
      <c r="D960" s="3">
        <v>0.97199999999999998</v>
      </c>
      <c r="E960" s="4">
        <v>3.5000000000000003E-2</v>
      </c>
      <c r="F960" s="3">
        <v>0.28199999999999997</v>
      </c>
      <c r="G960" s="3">
        <v>0.98</v>
      </c>
      <c r="H960" s="3">
        <v>0.91100000000000003</v>
      </c>
      <c r="I960" s="5">
        <v>50</v>
      </c>
      <c r="J960" s="3">
        <v>18</v>
      </c>
      <c r="K960" s="3">
        <v>3.7</v>
      </c>
    </row>
    <row r="961" spans="1:11" x14ac:dyDescent="0.2">
      <c r="A961" s="3">
        <v>95</v>
      </c>
      <c r="B961" s="3">
        <v>4573</v>
      </c>
      <c r="C961" s="3">
        <v>88</v>
      </c>
      <c r="D961" s="3">
        <v>0.97299999999999998</v>
      </c>
      <c r="E961" s="4">
        <v>0.1</v>
      </c>
      <c r="F961" s="3">
        <v>8.4000000000000005E-2</v>
      </c>
      <c r="G961" s="3">
        <v>0.79100000000000004</v>
      </c>
      <c r="H961" s="3">
        <v>0.94</v>
      </c>
      <c r="I961" s="5">
        <v>42</v>
      </c>
      <c r="J961" s="3">
        <v>14</v>
      </c>
      <c r="K961" s="3">
        <v>6.7</v>
      </c>
    </row>
    <row r="962" spans="1:11" x14ac:dyDescent="0.2">
      <c r="A962" s="3">
        <v>96</v>
      </c>
      <c r="B962" s="3">
        <v>4743</v>
      </c>
      <c r="C962" s="3">
        <v>193</v>
      </c>
      <c r="D962" s="3">
        <v>0.97299999999999998</v>
      </c>
      <c r="E962" s="4">
        <v>6.9000000000000006E-2</v>
      </c>
      <c r="F962" s="3">
        <v>0.16600000000000001</v>
      </c>
      <c r="G962" s="3">
        <v>0.9</v>
      </c>
      <c r="H962" s="3">
        <v>0.92500000000000004</v>
      </c>
      <c r="I962" s="5">
        <v>11</v>
      </c>
      <c r="J962" s="3">
        <v>17</v>
      </c>
      <c r="K962" s="3">
        <v>11.5</v>
      </c>
    </row>
    <row r="963" spans="1:11" x14ac:dyDescent="0.2">
      <c r="A963" s="3">
        <v>33</v>
      </c>
      <c r="B963" s="3">
        <v>1449</v>
      </c>
      <c r="C963" s="3">
        <v>189</v>
      </c>
      <c r="D963" s="3">
        <v>0.97399999999999998</v>
      </c>
      <c r="E963" s="4">
        <v>0.16200000000000001</v>
      </c>
      <c r="F963" s="3">
        <v>0.14000000000000001</v>
      </c>
      <c r="G963" s="3">
        <v>0.79300000000000004</v>
      </c>
      <c r="H963" s="3">
        <v>0.95399999999999996</v>
      </c>
      <c r="I963" s="5">
        <v>12</v>
      </c>
      <c r="J963" s="3">
        <v>12</v>
      </c>
      <c r="K963" s="3">
        <v>7.9</v>
      </c>
    </row>
    <row r="964" spans="1:11" x14ac:dyDescent="0.2">
      <c r="A964" s="3">
        <v>65</v>
      </c>
      <c r="B964" s="3">
        <v>3121</v>
      </c>
      <c r="C964" s="3">
        <v>181</v>
      </c>
      <c r="D964" s="3">
        <v>0.97399999999999998</v>
      </c>
      <c r="E964" s="4">
        <v>9.5000000000000001E-2</v>
      </c>
      <c r="F964" s="3">
        <v>0.189</v>
      </c>
      <c r="G964" s="3">
        <v>0.72699999999999998</v>
      </c>
      <c r="H964" s="3">
        <v>0.997</v>
      </c>
      <c r="I964" s="5">
        <v>23</v>
      </c>
      <c r="J964" s="3">
        <v>8</v>
      </c>
      <c r="K964" s="3">
        <v>6.1</v>
      </c>
    </row>
    <row r="965" spans="1:11" x14ac:dyDescent="0.2">
      <c r="A965" s="3">
        <v>68</v>
      </c>
      <c r="B965" s="3">
        <v>3172</v>
      </c>
      <c r="C965" s="3">
        <v>70</v>
      </c>
      <c r="D965" s="3">
        <v>0.97399999999999998</v>
      </c>
      <c r="E965" s="4">
        <v>0.112</v>
      </c>
      <c r="F965" s="3">
        <v>0.192</v>
      </c>
      <c r="G965" s="3">
        <v>0.85799999999999998</v>
      </c>
      <c r="H965" s="3">
        <v>0.95399999999999996</v>
      </c>
      <c r="I965" s="5">
        <v>87</v>
      </c>
      <c r="J965" s="3">
        <v>8</v>
      </c>
      <c r="K965" s="3">
        <v>2.4</v>
      </c>
    </row>
    <row r="966" spans="1:11" x14ac:dyDescent="0.2">
      <c r="A966" s="3">
        <v>36</v>
      </c>
      <c r="B966" s="3">
        <v>1656</v>
      </c>
      <c r="C966" s="3">
        <v>11</v>
      </c>
      <c r="D966" s="3">
        <v>0.97499999999999998</v>
      </c>
      <c r="E966" s="4">
        <v>0.106</v>
      </c>
      <c r="F966" s="3">
        <v>0.16200000000000001</v>
      </c>
      <c r="G966" s="3">
        <v>0.89200000000000002</v>
      </c>
      <c r="H966" s="3">
        <v>0.94099999999999995</v>
      </c>
      <c r="I966" s="5">
        <v>83</v>
      </c>
      <c r="J966" s="3">
        <v>1</v>
      </c>
      <c r="K966" s="3">
        <v>13.9</v>
      </c>
    </row>
    <row r="967" spans="1:11" x14ac:dyDescent="0.2">
      <c r="A967" s="3">
        <v>27</v>
      </c>
      <c r="B967" s="3">
        <v>1194</v>
      </c>
      <c r="C967" s="3">
        <v>101</v>
      </c>
      <c r="D967" s="3">
        <v>0.97599999999999998</v>
      </c>
      <c r="E967" s="4">
        <v>0.14599999999999999</v>
      </c>
      <c r="F967" s="3">
        <v>0.21299999999999999</v>
      </c>
      <c r="G967" s="3">
        <v>0.73299999999999998</v>
      </c>
      <c r="H967" s="3">
        <v>0.93700000000000006</v>
      </c>
      <c r="I967" s="5">
        <v>50</v>
      </c>
      <c r="J967" s="3">
        <v>15</v>
      </c>
      <c r="K967" s="3">
        <v>10.5</v>
      </c>
    </row>
    <row r="968" spans="1:11" x14ac:dyDescent="0.2">
      <c r="A968" s="3">
        <v>52</v>
      </c>
      <c r="B968" s="3">
        <v>2548</v>
      </c>
      <c r="C968" s="3">
        <v>140</v>
      </c>
      <c r="D968" s="3">
        <v>0.97599999999999998</v>
      </c>
      <c r="E968" s="4">
        <v>0.08</v>
      </c>
      <c r="F968" s="3">
        <v>0.17299999999999999</v>
      </c>
      <c r="G968" s="3">
        <v>0.70799999999999996</v>
      </c>
      <c r="H968" s="3">
        <v>0.92</v>
      </c>
      <c r="I968" s="5">
        <v>16</v>
      </c>
      <c r="J968" s="3">
        <v>11</v>
      </c>
      <c r="K968" s="3">
        <v>9.1</v>
      </c>
    </row>
    <row r="969" spans="1:11" x14ac:dyDescent="0.2">
      <c r="A969" s="3">
        <v>98</v>
      </c>
      <c r="B969" s="3">
        <v>4630</v>
      </c>
      <c r="C969" s="3">
        <v>81</v>
      </c>
      <c r="D969" s="3">
        <v>0.97599999999999998</v>
      </c>
      <c r="E969" s="4">
        <v>0.13300000000000001</v>
      </c>
      <c r="F969" s="3">
        <v>0.27700000000000002</v>
      </c>
      <c r="G969" s="3">
        <v>0.96199999999999997</v>
      </c>
      <c r="H969" s="3">
        <v>0.98299999999999998</v>
      </c>
      <c r="I969" s="5">
        <v>23</v>
      </c>
      <c r="J969" s="3">
        <v>14</v>
      </c>
      <c r="K969" s="3">
        <v>6.8</v>
      </c>
    </row>
    <row r="970" spans="1:11" x14ac:dyDescent="0.2">
      <c r="A970" s="3">
        <v>48</v>
      </c>
      <c r="B970" s="3">
        <v>2135</v>
      </c>
      <c r="C970" s="3">
        <v>196</v>
      </c>
      <c r="D970" s="3">
        <v>0.97699999999999998</v>
      </c>
      <c r="E970" s="4">
        <v>0.02</v>
      </c>
      <c r="F970" s="3">
        <v>0.153</v>
      </c>
      <c r="G970" s="3">
        <v>0.89600000000000002</v>
      </c>
      <c r="H970" s="3">
        <v>0.94699999999999995</v>
      </c>
      <c r="I970" s="5">
        <v>23</v>
      </c>
      <c r="J970" s="3">
        <v>16</v>
      </c>
      <c r="K970" s="3">
        <v>1</v>
      </c>
    </row>
    <row r="971" spans="1:11" x14ac:dyDescent="0.2">
      <c r="A971" s="3">
        <v>91</v>
      </c>
      <c r="B971" s="3">
        <v>4384</v>
      </c>
      <c r="C971" s="3">
        <v>129</v>
      </c>
      <c r="D971" s="3">
        <v>0.97699999999999998</v>
      </c>
      <c r="E971" s="4">
        <v>4.2000000000000003E-2</v>
      </c>
      <c r="F971" s="3">
        <v>0.17899999999999999</v>
      </c>
      <c r="G971" s="3">
        <v>0.78500000000000003</v>
      </c>
      <c r="H971" s="3">
        <v>0.9</v>
      </c>
      <c r="I971" s="5">
        <v>52</v>
      </c>
      <c r="J971" s="3">
        <v>13</v>
      </c>
      <c r="K971" s="3">
        <v>13.3</v>
      </c>
    </row>
    <row r="972" spans="1:11" x14ac:dyDescent="0.2">
      <c r="A972" s="3">
        <v>32</v>
      </c>
      <c r="B972" s="3">
        <v>1541</v>
      </c>
      <c r="C972" s="3">
        <v>77</v>
      </c>
      <c r="D972" s="3">
        <v>0.97799999999999998</v>
      </c>
      <c r="E972" s="4">
        <v>8.2000000000000003E-2</v>
      </c>
      <c r="F972" s="3">
        <v>0.16500000000000001</v>
      </c>
      <c r="G972" s="3">
        <v>0.78900000000000003</v>
      </c>
      <c r="H972" s="3">
        <v>0.92100000000000004</v>
      </c>
      <c r="I972" s="5">
        <v>26</v>
      </c>
      <c r="J972" s="3">
        <v>18</v>
      </c>
      <c r="K972" s="3">
        <v>7.7</v>
      </c>
    </row>
    <row r="973" spans="1:11" x14ac:dyDescent="0.2">
      <c r="A973" s="3">
        <v>46</v>
      </c>
      <c r="B973" s="3">
        <v>2091</v>
      </c>
      <c r="C973" s="3">
        <v>47</v>
      </c>
      <c r="D973" s="3">
        <v>0.97799999999999998</v>
      </c>
      <c r="E973" s="4">
        <v>0.1</v>
      </c>
      <c r="F973" s="3">
        <v>7.1999999999999995E-2</v>
      </c>
      <c r="G973" s="3">
        <v>0.93600000000000005</v>
      </c>
      <c r="H973" s="3">
        <v>0.97899999999999998</v>
      </c>
      <c r="I973" s="5">
        <v>97</v>
      </c>
      <c r="J973" s="3">
        <v>0</v>
      </c>
      <c r="K973" s="3">
        <v>12.3</v>
      </c>
    </row>
    <row r="974" spans="1:11" x14ac:dyDescent="0.2">
      <c r="A974" s="3">
        <v>47</v>
      </c>
      <c r="B974" s="3">
        <v>2227</v>
      </c>
      <c r="C974" s="3">
        <v>105</v>
      </c>
      <c r="D974" s="3">
        <v>0.97799999999999998</v>
      </c>
      <c r="E974" s="4">
        <v>0.113</v>
      </c>
      <c r="F974" s="3">
        <v>7.1999999999999995E-2</v>
      </c>
      <c r="G974" s="3">
        <v>0.93200000000000005</v>
      </c>
      <c r="H974" s="3">
        <v>0.91100000000000003</v>
      </c>
      <c r="I974" s="5">
        <v>51</v>
      </c>
      <c r="J974" s="3">
        <v>2</v>
      </c>
      <c r="K974" s="3">
        <v>4.5</v>
      </c>
    </row>
    <row r="975" spans="1:11" x14ac:dyDescent="0.2">
      <c r="A975" s="3">
        <v>76</v>
      </c>
      <c r="B975" s="3">
        <v>3667</v>
      </c>
      <c r="C975" s="3">
        <v>71</v>
      </c>
      <c r="D975" s="3">
        <v>0.97799999999999998</v>
      </c>
      <c r="E975" s="4">
        <v>2.3E-2</v>
      </c>
      <c r="F975" s="3">
        <v>0.13900000000000001</v>
      </c>
      <c r="G975" s="3">
        <v>0.76500000000000001</v>
      </c>
      <c r="H975" s="3">
        <v>0.91400000000000003</v>
      </c>
      <c r="I975" s="5">
        <v>87</v>
      </c>
      <c r="J975" s="3">
        <v>15</v>
      </c>
      <c r="K975" s="3">
        <v>7</v>
      </c>
    </row>
    <row r="976" spans="1:11" x14ac:dyDescent="0.2">
      <c r="A976" s="3">
        <v>86</v>
      </c>
      <c r="B976" s="3">
        <v>4175</v>
      </c>
      <c r="C976" s="3">
        <v>41</v>
      </c>
      <c r="D976" s="3">
        <v>0.97899999999999998</v>
      </c>
      <c r="E976" s="4">
        <v>0.19</v>
      </c>
      <c r="F976" s="3">
        <v>0.10299999999999999</v>
      </c>
      <c r="G976" s="3">
        <v>0.82099999999999995</v>
      </c>
      <c r="H976" s="3">
        <v>0.98199999999999998</v>
      </c>
      <c r="I976" s="5">
        <v>64</v>
      </c>
      <c r="J976" s="3">
        <v>3</v>
      </c>
      <c r="K976" s="3">
        <v>5.4</v>
      </c>
    </row>
    <row r="977" spans="1:11" x14ac:dyDescent="0.2">
      <c r="A977" s="3">
        <v>98</v>
      </c>
      <c r="B977" s="3">
        <v>4823</v>
      </c>
      <c r="C977" s="3">
        <v>118</v>
      </c>
      <c r="D977" s="3">
        <v>0.97899999999999998</v>
      </c>
      <c r="E977" s="4">
        <v>0.107</v>
      </c>
      <c r="F977" s="3">
        <v>0.11899999999999999</v>
      </c>
      <c r="G977" s="3">
        <v>0.71899999999999997</v>
      </c>
      <c r="H977" s="3">
        <v>0.93899999999999995</v>
      </c>
      <c r="I977" s="5">
        <v>18</v>
      </c>
      <c r="J977" s="3">
        <v>12</v>
      </c>
      <c r="K977" s="3">
        <v>1.7</v>
      </c>
    </row>
    <row r="978" spans="1:11" x14ac:dyDescent="0.2">
      <c r="A978" s="3">
        <v>90</v>
      </c>
      <c r="B978" s="3">
        <v>4361</v>
      </c>
      <c r="C978" s="3">
        <v>195</v>
      </c>
      <c r="D978" s="3">
        <v>0.98</v>
      </c>
      <c r="E978" s="4">
        <v>8.5999999999999993E-2</v>
      </c>
      <c r="F978" s="3">
        <v>0.248</v>
      </c>
      <c r="G978" s="3">
        <v>0.83</v>
      </c>
      <c r="H978" s="3">
        <v>0.96</v>
      </c>
      <c r="I978" s="5">
        <v>39</v>
      </c>
      <c r="J978" s="3">
        <v>1</v>
      </c>
      <c r="K978" s="3">
        <v>8</v>
      </c>
    </row>
    <row r="979" spans="1:11" x14ac:dyDescent="0.2">
      <c r="A979" s="3">
        <v>97</v>
      </c>
      <c r="B979" s="3">
        <v>4797</v>
      </c>
      <c r="C979" s="3">
        <v>166</v>
      </c>
      <c r="D979" s="3">
        <v>0.98</v>
      </c>
      <c r="E979" s="4">
        <v>0.1</v>
      </c>
      <c r="F979" s="3">
        <v>0.248</v>
      </c>
      <c r="G979" s="3">
        <v>0.75800000000000001</v>
      </c>
      <c r="H979" s="3">
        <v>0.997</v>
      </c>
      <c r="I979" s="5">
        <v>53</v>
      </c>
      <c r="J979" s="3">
        <v>11</v>
      </c>
      <c r="K979" s="3">
        <v>10.8</v>
      </c>
    </row>
    <row r="980" spans="1:11" x14ac:dyDescent="0.2">
      <c r="A980" s="3">
        <v>56</v>
      </c>
      <c r="B980" s="3">
        <v>2736</v>
      </c>
      <c r="C980" s="3">
        <v>113</v>
      </c>
      <c r="D980" s="3">
        <v>0.98099999999999998</v>
      </c>
      <c r="E980" s="4">
        <v>0.127</v>
      </c>
      <c r="F980" s="3">
        <v>0.22800000000000001</v>
      </c>
      <c r="G980" s="3">
        <v>0.77700000000000002</v>
      </c>
      <c r="H980" s="3">
        <v>0.92700000000000005</v>
      </c>
      <c r="I980" s="5">
        <v>59</v>
      </c>
      <c r="J980" s="3">
        <v>12</v>
      </c>
      <c r="K980" s="3">
        <v>11.8</v>
      </c>
    </row>
    <row r="981" spans="1:11" x14ac:dyDescent="0.2">
      <c r="A981" s="3">
        <v>90</v>
      </c>
      <c r="B981" s="3">
        <v>4414</v>
      </c>
      <c r="C981" s="3">
        <v>197</v>
      </c>
      <c r="D981" s="3">
        <v>0.98099999999999998</v>
      </c>
      <c r="E981" s="4">
        <v>0.183</v>
      </c>
      <c r="F981" s="3">
        <v>0.14299999999999999</v>
      </c>
      <c r="G981" s="3">
        <v>0.96599999999999997</v>
      </c>
      <c r="H981" s="3">
        <v>0.93400000000000005</v>
      </c>
      <c r="I981" s="5">
        <v>91</v>
      </c>
      <c r="J981" s="3">
        <v>7</v>
      </c>
      <c r="K981" s="3">
        <v>7.4</v>
      </c>
    </row>
    <row r="982" spans="1:11" x14ac:dyDescent="0.2">
      <c r="A982" s="3">
        <v>44</v>
      </c>
      <c r="B982" s="3">
        <v>2123</v>
      </c>
      <c r="C982" s="3">
        <v>184</v>
      </c>
      <c r="D982" s="3">
        <v>0.98199999999999998</v>
      </c>
      <c r="E982" s="4">
        <v>7.3999999999999996E-2</v>
      </c>
      <c r="F982" s="3">
        <v>0.13400000000000001</v>
      </c>
      <c r="G982" s="3">
        <v>0.84399999999999997</v>
      </c>
      <c r="H982" s="3">
        <v>0.93300000000000005</v>
      </c>
      <c r="I982" s="5">
        <v>33</v>
      </c>
      <c r="J982" s="3">
        <v>2</v>
      </c>
      <c r="K982" s="3">
        <v>7.2</v>
      </c>
    </row>
    <row r="983" spans="1:11" x14ac:dyDescent="0.2">
      <c r="A983" s="3">
        <v>68</v>
      </c>
      <c r="B983" s="3">
        <v>3334</v>
      </c>
      <c r="C983" s="3">
        <v>191</v>
      </c>
      <c r="D983" s="3">
        <v>0.98199999999999998</v>
      </c>
      <c r="E983" s="4">
        <v>7.2999999999999995E-2</v>
      </c>
      <c r="F983" s="3">
        <v>0.10299999999999999</v>
      </c>
      <c r="G983" s="3">
        <v>0.86</v>
      </c>
      <c r="H983" s="3">
        <v>0.95799999999999996</v>
      </c>
      <c r="I983" s="5">
        <v>33</v>
      </c>
      <c r="J983" s="3">
        <v>2</v>
      </c>
      <c r="K983" s="3">
        <v>9.1</v>
      </c>
    </row>
    <row r="984" spans="1:11" x14ac:dyDescent="0.2">
      <c r="A984" s="3">
        <v>85</v>
      </c>
      <c r="B984" s="3">
        <v>4162</v>
      </c>
      <c r="C984" s="3">
        <v>192</v>
      </c>
      <c r="D984" s="3">
        <v>0.98199999999999998</v>
      </c>
      <c r="E984" s="4">
        <v>4.8000000000000001E-2</v>
      </c>
      <c r="F984" s="3">
        <v>0.185</v>
      </c>
      <c r="G984" s="3">
        <v>0.90500000000000003</v>
      </c>
      <c r="H984" s="3">
        <v>0.96799999999999997</v>
      </c>
      <c r="I984" s="5">
        <v>18</v>
      </c>
      <c r="J984" s="3">
        <v>1</v>
      </c>
      <c r="K984" s="3">
        <v>2.2999999999999998</v>
      </c>
    </row>
    <row r="985" spans="1:11" x14ac:dyDescent="0.2">
      <c r="A985" s="3">
        <v>102</v>
      </c>
      <c r="B985" s="3">
        <v>4858</v>
      </c>
      <c r="C985" s="3">
        <v>74</v>
      </c>
      <c r="D985" s="3">
        <v>0.98199999999999998</v>
      </c>
      <c r="E985" s="4">
        <v>4.7E-2</v>
      </c>
      <c r="F985" s="3">
        <v>0.155</v>
      </c>
      <c r="G985" s="3">
        <v>0.76200000000000001</v>
      </c>
      <c r="H985" s="3">
        <v>0.90500000000000003</v>
      </c>
      <c r="I985" s="5">
        <v>96</v>
      </c>
      <c r="J985" s="3">
        <v>15</v>
      </c>
      <c r="K985" s="3">
        <v>9.9</v>
      </c>
    </row>
    <row r="986" spans="1:11" x14ac:dyDescent="0.2">
      <c r="A986" s="3">
        <v>51</v>
      </c>
      <c r="B986" s="3">
        <v>2275</v>
      </c>
      <c r="C986" s="3">
        <v>57</v>
      </c>
      <c r="D986" s="3">
        <v>0.98299999999999998</v>
      </c>
      <c r="E986" s="4">
        <v>3.9E-2</v>
      </c>
      <c r="F986" s="3">
        <v>0.152</v>
      </c>
      <c r="G986" s="3">
        <v>0.91400000000000003</v>
      </c>
      <c r="H986" s="3">
        <v>0.98899999999999999</v>
      </c>
      <c r="I986" s="5">
        <v>92</v>
      </c>
      <c r="J986" s="3">
        <v>3</v>
      </c>
      <c r="K986" s="3">
        <v>3.8</v>
      </c>
    </row>
    <row r="987" spans="1:11" x14ac:dyDescent="0.2">
      <c r="A987" s="3">
        <v>31</v>
      </c>
      <c r="B987" s="3">
        <v>1276</v>
      </c>
      <c r="C987" s="3">
        <v>19</v>
      </c>
      <c r="D987" s="3">
        <v>0.98399999999999999</v>
      </c>
      <c r="E987" s="4">
        <v>4.5999999999999999E-2</v>
      </c>
      <c r="F987" s="3">
        <v>0.254</v>
      </c>
      <c r="G987" s="3">
        <v>0.83499999999999996</v>
      </c>
      <c r="H987" s="3">
        <v>0.93100000000000005</v>
      </c>
      <c r="I987" s="5">
        <v>44</v>
      </c>
      <c r="J987" s="3">
        <v>15</v>
      </c>
      <c r="K987" s="3">
        <v>1.3</v>
      </c>
    </row>
    <row r="988" spans="1:11" x14ac:dyDescent="0.2">
      <c r="A988" s="3">
        <v>35</v>
      </c>
      <c r="B988" s="3">
        <v>1664</v>
      </c>
      <c r="C988" s="3">
        <v>69</v>
      </c>
      <c r="D988" s="3">
        <v>0.98499999999999999</v>
      </c>
      <c r="E988" s="4">
        <v>0.11700000000000001</v>
      </c>
      <c r="F988" s="3">
        <v>0.20599999999999999</v>
      </c>
      <c r="G988" s="3">
        <v>0.95699999999999996</v>
      </c>
      <c r="H988" s="3">
        <v>0.97899999999999998</v>
      </c>
      <c r="I988" s="5">
        <v>9</v>
      </c>
      <c r="J988" s="3">
        <v>0</v>
      </c>
      <c r="K988" s="3">
        <v>13.2</v>
      </c>
    </row>
    <row r="989" spans="1:11" x14ac:dyDescent="0.2">
      <c r="A989" s="3">
        <v>57</v>
      </c>
      <c r="B989" s="3">
        <v>2629</v>
      </c>
      <c r="C989" s="3">
        <v>154</v>
      </c>
      <c r="D989" s="3">
        <v>0.98499999999999999</v>
      </c>
      <c r="E989" s="4">
        <v>8.2000000000000003E-2</v>
      </c>
      <c r="F989" s="3">
        <v>0.109</v>
      </c>
      <c r="G989" s="3">
        <v>0.94199999999999995</v>
      </c>
      <c r="H989" s="3">
        <v>0.91</v>
      </c>
      <c r="I989" s="5">
        <v>75</v>
      </c>
      <c r="J989" s="3">
        <v>10</v>
      </c>
      <c r="K989" s="3">
        <v>10.7</v>
      </c>
    </row>
    <row r="990" spans="1:11" x14ac:dyDescent="0.2">
      <c r="A990" s="3">
        <v>71</v>
      </c>
      <c r="B990" s="3">
        <v>3442</v>
      </c>
      <c r="C990" s="3">
        <v>62</v>
      </c>
      <c r="D990" s="3">
        <v>0.98599999999999999</v>
      </c>
      <c r="E990" s="4">
        <v>0.107</v>
      </c>
      <c r="F990" s="3">
        <v>0.219</v>
      </c>
      <c r="G990" s="3">
        <v>0.94899999999999995</v>
      </c>
      <c r="H990" s="3">
        <v>0.90700000000000003</v>
      </c>
      <c r="I990" s="5">
        <v>26</v>
      </c>
      <c r="J990" s="3">
        <v>10</v>
      </c>
      <c r="K990" s="3">
        <v>8.6999999999999993</v>
      </c>
    </row>
    <row r="991" spans="1:11" x14ac:dyDescent="0.2">
      <c r="A991" s="3">
        <v>84</v>
      </c>
      <c r="B991" s="3">
        <v>4081</v>
      </c>
      <c r="C991" s="3">
        <v>197</v>
      </c>
      <c r="D991" s="3">
        <v>0.98599999999999999</v>
      </c>
      <c r="E991" s="4">
        <v>1.9E-2</v>
      </c>
      <c r="F991" s="3">
        <v>0.111</v>
      </c>
      <c r="G991" s="3">
        <v>0.879</v>
      </c>
      <c r="H991" s="3">
        <v>0.99299999999999999</v>
      </c>
      <c r="I991" s="5">
        <v>44</v>
      </c>
      <c r="J991" s="3">
        <v>0</v>
      </c>
      <c r="K991" s="3">
        <v>6.1</v>
      </c>
    </row>
    <row r="992" spans="1:11" x14ac:dyDescent="0.2">
      <c r="A992" s="3">
        <v>88</v>
      </c>
      <c r="B992" s="3">
        <v>4226</v>
      </c>
      <c r="C992" s="3">
        <v>183</v>
      </c>
      <c r="D992" s="3">
        <v>0.98599999999999999</v>
      </c>
      <c r="E992" s="4">
        <v>7.5999999999999998E-2</v>
      </c>
      <c r="F992" s="3">
        <v>6.5000000000000002E-2</v>
      </c>
      <c r="G992" s="3">
        <v>0.80500000000000005</v>
      </c>
      <c r="H992" s="3">
        <v>0.94499999999999995</v>
      </c>
      <c r="I992" s="5">
        <v>88</v>
      </c>
      <c r="J992" s="3">
        <v>16</v>
      </c>
      <c r="K992" s="3">
        <v>8</v>
      </c>
    </row>
    <row r="993" spans="1:11" x14ac:dyDescent="0.2">
      <c r="A993" s="3">
        <v>30</v>
      </c>
      <c r="B993" s="3">
        <v>1430</v>
      </c>
      <c r="C993" s="3">
        <v>160</v>
      </c>
      <c r="D993" s="3">
        <v>0.98699999999999999</v>
      </c>
      <c r="E993" s="4">
        <v>0.124</v>
      </c>
      <c r="F993" s="3">
        <v>0.108</v>
      </c>
      <c r="G993" s="3">
        <v>0.87</v>
      </c>
      <c r="H993" s="3">
        <v>0.91100000000000003</v>
      </c>
      <c r="I993" s="5">
        <v>75</v>
      </c>
      <c r="J993" s="3">
        <v>13</v>
      </c>
      <c r="K993" s="3">
        <v>6</v>
      </c>
    </row>
    <row r="994" spans="1:11" x14ac:dyDescent="0.2">
      <c r="A994" s="3">
        <v>47</v>
      </c>
      <c r="B994" s="3">
        <v>2259</v>
      </c>
      <c r="C994" s="3">
        <v>127</v>
      </c>
      <c r="D994" s="3">
        <v>0.98699999999999999</v>
      </c>
      <c r="E994" s="4">
        <v>7.5999999999999998E-2</v>
      </c>
      <c r="F994" s="3">
        <v>0.25800000000000001</v>
      </c>
      <c r="G994" s="3">
        <v>0.96399999999999997</v>
      </c>
      <c r="H994" s="3">
        <v>0.95499999999999996</v>
      </c>
      <c r="I994" s="5">
        <v>91</v>
      </c>
      <c r="J994" s="3">
        <v>5</v>
      </c>
      <c r="K994" s="3">
        <v>7</v>
      </c>
    </row>
    <row r="995" spans="1:11" x14ac:dyDescent="0.2">
      <c r="A995" s="3">
        <v>79</v>
      </c>
      <c r="B995" s="3">
        <v>3780</v>
      </c>
      <c r="C995" s="3">
        <v>21</v>
      </c>
      <c r="D995" s="3">
        <v>0.98699999999999999</v>
      </c>
      <c r="E995" s="4">
        <v>6.9000000000000006E-2</v>
      </c>
      <c r="F995" s="3">
        <v>0.25600000000000001</v>
      </c>
      <c r="G995" s="3">
        <v>0.71099999999999997</v>
      </c>
      <c r="H995" s="3">
        <v>0.92800000000000005</v>
      </c>
      <c r="I995" s="5">
        <v>34</v>
      </c>
      <c r="J995" s="3">
        <v>15</v>
      </c>
      <c r="K995" s="3">
        <v>7.9</v>
      </c>
    </row>
    <row r="996" spans="1:11" x14ac:dyDescent="0.2">
      <c r="A996" s="3">
        <v>86</v>
      </c>
      <c r="B996" s="3">
        <v>4088</v>
      </c>
      <c r="C996" s="3">
        <v>17</v>
      </c>
      <c r="D996" s="3">
        <v>0.98699999999999999</v>
      </c>
      <c r="E996" s="4">
        <v>1.6E-2</v>
      </c>
      <c r="F996" s="3">
        <v>8.2000000000000003E-2</v>
      </c>
      <c r="G996" s="3">
        <v>0.78100000000000003</v>
      </c>
      <c r="H996" s="3">
        <v>0.96299999999999997</v>
      </c>
      <c r="I996" s="5">
        <v>97</v>
      </c>
      <c r="J996" s="3">
        <v>15</v>
      </c>
      <c r="K996" s="3">
        <v>8.1999999999999993</v>
      </c>
    </row>
    <row r="997" spans="1:11" x14ac:dyDescent="0.2">
      <c r="A997" s="3">
        <v>80</v>
      </c>
      <c r="B997" s="3">
        <v>3803</v>
      </c>
      <c r="C997" s="3">
        <v>116</v>
      </c>
      <c r="D997" s="3">
        <v>0.98799999999999999</v>
      </c>
      <c r="E997" s="4">
        <v>0.16500000000000001</v>
      </c>
      <c r="F997" s="3">
        <v>0.182</v>
      </c>
      <c r="G997" s="3">
        <v>0.83799999999999997</v>
      </c>
      <c r="H997" s="3">
        <v>0.92900000000000005</v>
      </c>
      <c r="I997" s="5">
        <v>49</v>
      </c>
      <c r="J997" s="3">
        <v>10</v>
      </c>
      <c r="K997" s="3">
        <v>5.0999999999999996</v>
      </c>
    </row>
    <row r="998" spans="1:11" x14ac:dyDescent="0.2">
      <c r="A998" s="3">
        <v>44</v>
      </c>
      <c r="B998" s="3">
        <v>2072</v>
      </c>
      <c r="C998" s="3">
        <v>131</v>
      </c>
      <c r="D998" s="3">
        <v>0.98899999999999999</v>
      </c>
      <c r="E998" s="4">
        <v>2.3E-2</v>
      </c>
      <c r="F998" s="3">
        <v>0.20499999999999999</v>
      </c>
      <c r="G998" s="3">
        <v>0.71499999999999997</v>
      </c>
      <c r="H998" s="3">
        <v>0.92500000000000004</v>
      </c>
      <c r="I998" s="5">
        <v>51</v>
      </c>
      <c r="J998" s="3">
        <v>8</v>
      </c>
      <c r="K998" s="3">
        <v>3.3</v>
      </c>
    </row>
    <row r="999" spans="1:11" x14ac:dyDescent="0.2">
      <c r="A999" s="3">
        <v>57</v>
      </c>
      <c r="B999" s="3">
        <v>2638</v>
      </c>
      <c r="C999" s="3">
        <v>124</v>
      </c>
      <c r="D999" s="3">
        <v>0.98899999999999999</v>
      </c>
      <c r="E999" s="4">
        <v>0.13100000000000001</v>
      </c>
      <c r="F999" s="3">
        <v>0.28899999999999998</v>
      </c>
      <c r="G999" s="3">
        <v>0.93500000000000005</v>
      </c>
      <c r="H999" s="3">
        <v>0.98199999999999998</v>
      </c>
      <c r="I999" s="5">
        <v>83</v>
      </c>
      <c r="J999" s="3">
        <v>5</v>
      </c>
      <c r="K999" s="3">
        <v>14.3</v>
      </c>
    </row>
    <row r="1000" spans="1:11" x14ac:dyDescent="0.2">
      <c r="A1000" s="3">
        <v>62</v>
      </c>
      <c r="B1000" s="3">
        <v>2924</v>
      </c>
      <c r="C1000" s="3">
        <v>66</v>
      </c>
      <c r="D1000" s="3">
        <v>0.98899999999999999</v>
      </c>
      <c r="E1000" s="4">
        <v>2.3E-2</v>
      </c>
      <c r="F1000" s="3">
        <v>0.28699999999999998</v>
      </c>
      <c r="G1000" s="3">
        <v>0.96499999999999997</v>
      </c>
      <c r="H1000" s="3">
        <v>0.92700000000000005</v>
      </c>
      <c r="I1000" s="5">
        <v>68</v>
      </c>
      <c r="J1000" s="3">
        <v>15</v>
      </c>
      <c r="K1000" s="3">
        <v>12.8</v>
      </c>
    </row>
    <row r="1001" spans="1:11" x14ac:dyDescent="0.2">
      <c r="A1001" s="3">
        <v>84</v>
      </c>
      <c r="B1001" s="3">
        <v>3946</v>
      </c>
      <c r="C1001" s="3">
        <v>121</v>
      </c>
      <c r="D1001" s="3">
        <v>0.99</v>
      </c>
      <c r="E1001" s="4">
        <v>4.2000000000000003E-2</v>
      </c>
      <c r="F1001" s="3">
        <v>0.19500000000000001</v>
      </c>
      <c r="G1001" s="3">
        <v>0.94899999999999995</v>
      </c>
      <c r="H1001" s="3">
        <v>0.95899999999999996</v>
      </c>
      <c r="I1001" s="5">
        <v>89</v>
      </c>
      <c r="J1001" s="3">
        <v>9</v>
      </c>
      <c r="K1001" s="3">
        <v>6.4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40959-D662-6449-903E-97D38F070F94}">
  <dimension ref="A3:J227"/>
  <sheetViews>
    <sheetView topLeftCell="A176" zoomScale="114" workbookViewId="0">
      <selection activeCell="H156" sqref="H156"/>
    </sheetView>
  </sheetViews>
  <sheetFormatPr baseColWidth="10" defaultRowHeight="16" x14ac:dyDescent="0.2"/>
  <cols>
    <col min="8" max="8" width="62.5" bestFit="1" customWidth="1"/>
    <col min="9" max="9" width="29.83203125" bestFit="1" customWidth="1"/>
    <col min="10" max="10" width="12.6640625" bestFit="1" customWidth="1"/>
  </cols>
  <sheetData>
    <row r="3" spans="1:5" x14ac:dyDescent="0.2">
      <c r="B3" t="s">
        <v>34</v>
      </c>
      <c r="C3" t="s">
        <v>36</v>
      </c>
    </row>
    <row r="5" spans="1:5" x14ac:dyDescent="0.2">
      <c r="B5" t="s">
        <v>35</v>
      </c>
      <c r="C5" t="s">
        <v>37</v>
      </c>
    </row>
    <row r="7" spans="1:5" x14ac:dyDescent="0.2">
      <c r="B7" t="s">
        <v>38</v>
      </c>
      <c r="E7">
        <f>AVERAGE(Data!I2:I1001)</f>
        <v>49.469000000000001</v>
      </c>
    </row>
    <row r="8" spans="1:5" x14ac:dyDescent="0.2">
      <c r="B8" t="s">
        <v>50</v>
      </c>
      <c r="E8">
        <f>_xlfn.STDEV.S(Data!I2:I1001)</f>
        <v>28.918632857144651</v>
      </c>
    </row>
    <row r="10" spans="1:5" x14ac:dyDescent="0.2">
      <c r="A10" t="s">
        <v>43</v>
      </c>
      <c r="B10" t="s">
        <v>39</v>
      </c>
      <c r="C10" t="s">
        <v>41</v>
      </c>
    </row>
    <row r="12" spans="1:5" x14ac:dyDescent="0.2">
      <c r="A12" t="s">
        <v>44</v>
      </c>
      <c r="B12" t="s">
        <v>42</v>
      </c>
      <c r="C12" t="s">
        <v>40</v>
      </c>
    </row>
    <row r="26" spans="2:7" x14ac:dyDescent="0.2">
      <c r="B26" t="s">
        <v>45</v>
      </c>
      <c r="D26">
        <v>49.469000000000001</v>
      </c>
    </row>
    <row r="28" spans="2:7" x14ac:dyDescent="0.2">
      <c r="B28" t="s">
        <v>46</v>
      </c>
      <c r="D28">
        <v>51</v>
      </c>
    </row>
    <row r="29" spans="2:7" x14ac:dyDescent="0.2">
      <c r="G29">
        <f>(D26-D28)/(E8/SQRT(1000))</f>
        <v>-1.6741618186565326</v>
      </c>
    </row>
    <row r="30" spans="2:7" x14ac:dyDescent="0.2">
      <c r="B30" t="s">
        <v>47</v>
      </c>
      <c r="D30" s="2">
        <v>0.95</v>
      </c>
    </row>
    <row r="32" spans="2:7" x14ac:dyDescent="0.2">
      <c r="B32" t="s">
        <v>48</v>
      </c>
      <c r="D32">
        <v>0.05</v>
      </c>
    </row>
    <row r="33" spans="2:9" x14ac:dyDescent="0.2">
      <c r="I33" t="s">
        <v>57</v>
      </c>
    </row>
    <row r="34" spans="2:9" x14ac:dyDescent="0.2">
      <c r="B34" t="s">
        <v>49</v>
      </c>
      <c r="D34">
        <f>_xlfn.STDEV.S(Data!I2:I1001)</f>
        <v>28.918632857144651</v>
      </c>
    </row>
    <row r="38" spans="2:9" x14ac:dyDescent="0.2">
      <c r="B38" t="s">
        <v>51</v>
      </c>
      <c r="D38" t="s">
        <v>52</v>
      </c>
    </row>
    <row r="39" spans="2:9" x14ac:dyDescent="0.2">
      <c r="D39" s="6" t="s">
        <v>53</v>
      </c>
    </row>
    <row r="40" spans="2:9" x14ac:dyDescent="0.2">
      <c r="D40" t="s">
        <v>54</v>
      </c>
    </row>
    <row r="43" spans="2:9" x14ac:dyDescent="0.2">
      <c r="B43" s="1" t="s">
        <v>55</v>
      </c>
      <c r="C43" s="1"/>
      <c r="D43" s="1">
        <f>(D26-D28)/(E8/SQRT(1000))</f>
        <v>-1.6741618186565326</v>
      </c>
    </row>
    <row r="63" spans="2:3" x14ac:dyDescent="0.2">
      <c r="B63" t="s">
        <v>56</v>
      </c>
      <c r="C63">
        <f>_xlfn.T.DIST.2T(ABS(D43),1000-1)</f>
        <v>9.4411815867111046E-2</v>
      </c>
    </row>
    <row r="83" spans="3:10" x14ac:dyDescent="0.2">
      <c r="C83" t="s">
        <v>72</v>
      </c>
      <c r="E83" t="s">
        <v>73</v>
      </c>
    </row>
    <row r="85" spans="3:10" x14ac:dyDescent="0.2">
      <c r="C85">
        <v>10</v>
      </c>
      <c r="E85">
        <v>7</v>
      </c>
      <c r="H85" t="s">
        <v>58</v>
      </c>
    </row>
    <row r="86" spans="3:10" x14ac:dyDescent="0.2">
      <c r="C86">
        <v>9</v>
      </c>
      <c r="E86">
        <v>8</v>
      </c>
    </row>
    <row r="87" spans="3:10" x14ac:dyDescent="0.2">
      <c r="C87">
        <v>8</v>
      </c>
      <c r="E87">
        <v>6</v>
      </c>
    </row>
    <row r="88" spans="3:10" x14ac:dyDescent="0.2">
      <c r="C88">
        <v>6</v>
      </c>
      <c r="E88">
        <v>10</v>
      </c>
      <c r="H88" t="s">
        <v>59</v>
      </c>
    </row>
    <row r="89" spans="3:10" x14ac:dyDescent="0.2">
      <c r="C89">
        <v>4</v>
      </c>
      <c r="E89">
        <v>5</v>
      </c>
    </row>
    <row r="90" spans="3:10" x14ac:dyDescent="0.2">
      <c r="C90">
        <v>2</v>
      </c>
      <c r="E90">
        <v>10</v>
      </c>
      <c r="I90" t="s">
        <v>60</v>
      </c>
      <c r="J90" t="s">
        <v>61</v>
      </c>
    </row>
    <row r="91" spans="3:10" x14ac:dyDescent="0.2">
      <c r="C91">
        <v>4</v>
      </c>
      <c r="E91">
        <v>3</v>
      </c>
      <c r="H91" t="s">
        <v>62</v>
      </c>
      <c r="I91">
        <v>5.8</v>
      </c>
      <c r="J91">
        <v>6.5</v>
      </c>
    </row>
    <row r="92" spans="3:10" x14ac:dyDescent="0.2">
      <c r="C92">
        <v>5</v>
      </c>
      <c r="E92">
        <v>10</v>
      </c>
      <c r="H92" t="s">
        <v>63</v>
      </c>
      <c r="I92">
        <v>7.0666666666666664</v>
      </c>
      <c r="J92">
        <v>8.9444444444444446</v>
      </c>
    </row>
    <row r="93" spans="3:10" x14ac:dyDescent="0.2">
      <c r="C93">
        <v>7</v>
      </c>
      <c r="E93">
        <v>2</v>
      </c>
      <c r="H93" t="s">
        <v>64</v>
      </c>
      <c r="I93">
        <v>10</v>
      </c>
      <c r="J93">
        <v>10</v>
      </c>
    </row>
    <row r="94" spans="3:10" x14ac:dyDescent="0.2">
      <c r="C94">
        <v>3</v>
      </c>
      <c r="E94">
        <v>4</v>
      </c>
      <c r="H94" t="s">
        <v>65</v>
      </c>
      <c r="I94">
        <v>0</v>
      </c>
    </row>
    <row r="95" spans="3:10" x14ac:dyDescent="0.2">
      <c r="H95" t="s">
        <v>66</v>
      </c>
      <c r="I95">
        <v>17</v>
      </c>
    </row>
    <row r="96" spans="3:10" x14ac:dyDescent="0.2">
      <c r="H96" t="s">
        <v>67</v>
      </c>
      <c r="I96">
        <v>-0.55320653826252408</v>
      </c>
    </row>
    <row r="97" spans="3:9" x14ac:dyDescent="0.2">
      <c r="C97">
        <f>AVERAGE(C85:C94)</f>
        <v>5.8</v>
      </c>
      <c r="E97">
        <f>AVERAGE(E85:E94)</f>
        <v>6.5</v>
      </c>
      <c r="H97" t="s">
        <v>68</v>
      </c>
      <c r="I97">
        <v>0.29366208752852013</v>
      </c>
    </row>
    <row r="98" spans="3:9" x14ac:dyDescent="0.2">
      <c r="H98" t="s">
        <v>69</v>
      </c>
      <c r="I98">
        <v>1.739606667874374</v>
      </c>
    </row>
    <row r="99" spans="3:9" x14ac:dyDescent="0.2">
      <c r="H99" t="s">
        <v>70</v>
      </c>
      <c r="I99">
        <v>0.58732417505704027</v>
      </c>
    </row>
    <row r="100" spans="3:9" x14ac:dyDescent="0.2">
      <c r="C100">
        <v>6.4</v>
      </c>
      <c r="E100">
        <v>6.5</v>
      </c>
      <c r="H100" t="s">
        <v>71</v>
      </c>
      <c r="I100">
        <v>2.1098155586275933</v>
      </c>
    </row>
    <row r="150" spans="3:8" x14ac:dyDescent="0.2">
      <c r="E150" t="s">
        <v>88</v>
      </c>
    </row>
    <row r="152" spans="3:8" x14ac:dyDescent="0.2">
      <c r="C152" s="1"/>
      <c r="D152" s="1"/>
      <c r="E152" s="1"/>
      <c r="F152" s="1"/>
      <c r="G152" s="1"/>
      <c r="H152" s="1"/>
    </row>
    <row r="153" spans="3:8" x14ac:dyDescent="0.2">
      <c r="C153" s="1"/>
      <c r="D153" s="1"/>
      <c r="E153" s="1"/>
      <c r="F153" s="1"/>
      <c r="G153" s="1"/>
      <c r="H153" s="1"/>
    </row>
    <row r="154" spans="3:8" x14ac:dyDescent="0.2">
      <c r="C154" s="1"/>
      <c r="D154" s="1" t="s">
        <v>12</v>
      </c>
      <c r="E154" s="1"/>
      <c r="F154" s="1"/>
      <c r="G154" s="1"/>
      <c r="H154" s="1" t="s">
        <v>11</v>
      </c>
    </row>
    <row r="155" spans="3:8" x14ac:dyDescent="0.2">
      <c r="C155" s="1"/>
      <c r="D155" s="1"/>
      <c r="E155" s="1"/>
      <c r="F155" s="1"/>
      <c r="G155" s="1"/>
      <c r="H155" s="1"/>
    </row>
    <row r="156" spans="3:8" x14ac:dyDescent="0.2">
      <c r="C156" s="1"/>
      <c r="D156" s="1"/>
      <c r="E156" s="1"/>
      <c r="F156" s="1"/>
      <c r="G156" s="1"/>
      <c r="H156" s="1"/>
    </row>
    <row r="157" spans="3:8" x14ac:dyDescent="0.2">
      <c r="C157" s="1"/>
      <c r="D157" s="1" t="s">
        <v>74</v>
      </c>
      <c r="E157" s="1"/>
      <c r="F157" s="1"/>
      <c r="G157" s="1"/>
      <c r="H157" s="1" t="s">
        <v>74</v>
      </c>
    </row>
    <row r="158" spans="3:8" x14ac:dyDescent="0.2">
      <c r="C158" s="1"/>
      <c r="D158" s="1"/>
      <c r="E158" s="1"/>
      <c r="F158" s="1"/>
      <c r="G158" s="1"/>
      <c r="H158" s="1"/>
    </row>
    <row r="159" spans="3:8" x14ac:dyDescent="0.2">
      <c r="C159" s="1"/>
      <c r="D159" s="1" t="s">
        <v>75</v>
      </c>
      <c r="E159" s="1"/>
      <c r="F159" s="1"/>
      <c r="G159" s="1"/>
      <c r="H159" s="1" t="s">
        <v>75</v>
      </c>
    </row>
    <row r="160" spans="3:8" x14ac:dyDescent="0.2">
      <c r="C160" s="1"/>
      <c r="D160" s="1"/>
      <c r="E160" s="1"/>
      <c r="F160" s="1"/>
      <c r="G160" s="1"/>
      <c r="H160" s="1"/>
    </row>
    <row r="161" spans="2:8" x14ac:dyDescent="0.2">
      <c r="B161" t="s">
        <v>83</v>
      </c>
      <c r="C161" s="1"/>
      <c r="D161" s="7" t="s">
        <v>76</v>
      </c>
      <c r="E161" s="7"/>
      <c r="F161" s="1"/>
      <c r="G161" s="1"/>
      <c r="H161" s="7" t="s">
        <v>79</v>
      </c>
    </row>
    <row r="162" spans="2:8" x14ac:dyDescent="0.2">
      <c r="C162" s="1"/>
      <c r="D162" s="1"/>
      <c r="E162" s="1"/>
      <c r="F162" s="1"/>
      <c r="G162" s="1"/>
      <c r="H162" s="1"/>
    </row>
    <row r="163" spans="2:8" x14ac:dyDescent="0.2">
      <c r="C163" s="1"/>
      <c r="D163" s="1" t="s">
        <v>77</v>
      </c>
      <c r="E163" s="1"/>
      <c r="F163" s="1"/>
      <c r="G163" s="1"/>
      <c r="H163" s="1" t="s">
        <v>77</v>
      </c>
    </row>
    <row r="164" spans="2:8" x14ac:dyDescent="0.2">
      <c r="C164" s="1"/>
      <c r="D164" s="1"/>
      <c r="E164" s="1"/>
      <c r="F164" s="1"/>
      <c r="G164" s="1"/>
      <c r="H164" s="1"/>
    </row>
    <row r="165" spans="2:8" x14ac:dyDescent="0.2">
      <c r="C165" s="1"/>
      <c r="D165" s="1" t="s">
        <v>78</v>
      </c>
      <c r="E165" s="1"/>
      <c r="F165" s="1"/>
      <c r="G165" s="1"/>
      <c r="H165" s="1" t="s">
        <v>78</v>
      </c>
    </row>
    <row r="166" spans="2:8" x14ac:dyDescent="0.2">
      <c r="C166" s="1"/>
      <c r="D166" s="1"/>
      <c r="E166" s="1"/>
      <c r="F166" s="1"/>
      <c r="G166" s="1"/>
      <c r="H166" s="1"/>
    </row>
    <row r="167" spans="2:8" x14ac:dyDescent="0.2">
      <c r="B167" t="s">
        <v>83</v>
      </c>
      <c r="C167" s="1"/>
      <c r="D167" s="7" t="s">
        <v>82</v>
      </c>
      <c r="E167" s="7"/>
      <c r="F167" s="7"/>
      <c r="G167" s="1"/>
      <c r="H167" s="7" t="s">
        <v>80</v>
      </c>
    </row>
    <row r="168" spans="2:8" x14ac:dyDescent="0.2">
      <c r="C168" s="1"/>
      <c r="D168" s="1"/>
      <c r="E168" s="1"/>
      <c r="F168" s="1"/>
      <c r="G168" s="1"/>
      <c r="H168" s="1"/>
    </row>
    <row r="169" spans="2:8" x14ac:dyDescent="0.2">
      <c r="C169" s="1"/>
      <c r="D169" s="1"/>
      <c r="E169" s="1"/>
      <c r="F169" s="1"/>
      <c r="G169" s="1"/>
      <c r="H169" s="1"/>
    </row>
    <row r="176" spans="2:8" x14ac:dyDescent="0.2">
      <c r="H176" t="s">
        <v>81</v>
      </c>
    </row>
    <row r="178" spans="3:10" x14ac:dyDescent="0.2">
      <c r="C178" t="s">
        <v>72</v>
      </c>
    </row>
    <row r="179" spans="3:10" x14ac:dyDescent="0.2">
      <c r="H179" t="s">
        <v>59</v>
      </c>
    </row>
    <row r="180" spans="3:10" x14ac:dyDescent="0.2">
      <c r="C180">
        <v>10</v>
      </c>
      <c r="E180">
        <v>6</v>
      </c>
    </row>
    <row r="181" spans="3:10" x14ac:dyDescent="0.2">
      <c r="C181">
        <v>9</v>
      </c>
      <c r="E181">
        <v>6</v>
      </c>
      <c r="I181" t="s">
        <v>60</v>
      </c>
      <c r="J181" t="s">
        <v>61</v>
      </c>
    </row>
    <row r="182" spans="3:10" x14ac:dyDescent="0.2">
      <c r="C182">
        <v>8</v>
      </c>
      <c r="E182">
        <v>6</v>
      </c>
      <c r="H182" t="s">
        <v>62</v>
      </c>
      <c r="I182">
        <v>5.8</v>
      </c>
      <c r="J182">
        <v>6</v>
      </c>
    </row>
    <row r="183" spans="3:10" x14ac:dyDescent="0.2">
      <c r="C183">
        <v>6</v>
      </c>
      <c r="E183">
        <v>6</v>
      </c>
      <c r="H183" t="s">
        <v>63</v>
      </c>
      <c r="I183">
        <v>7.0666666666666664</v>
      </c>
      <c r="J183">
        <v>0</v>
      </c>
    </row>
    <row r="184" spans="3:10" x14ac:dyDescent="0.2">
      <c r="C184">
        <v>4</v>
      </c>
      <c r="E184">
        <v>6</v>
      </c>
      <c r="H184" t="s">
        <v>64</v>
      </c>
      <c r="I184">
        <v>10</v>
      </c>
      <c r="J184">
        <v>10</v>
      </c>
    </row>
    <row r="185" spans="3:10" x14ac:dyDescent="0.2">
      <c r="C185">
        <v>2</v>
      </c>
      <c r="E185">
        <v>6</v>
      </c>
      <c r="H185" t="s">
        <v>65</v>
      </c>
      <c r="I185">
        <v>0</v>
      </c>
    </row>
    <row r="186" spans="3:10" x14ac:dyDescent="0.2">
      <c r="C186">
        <v>4</v>
      </c>
      <c r="E186">
        <v>6</v>
      </c>
      <c r="H186" t="s">
        <v>66</v>
      </c>
      <c r="I186">
        <v>9</v>
      </c>
    </row>
    <row r="187" spans="3:10" x14ac:dyDescent="0.2">
      <c r="C187">
        <v>5</v>
      </c>
      <c r="E187">
        <v>6</v>
      </c>
      <c r="H187" t="s">
        <v>67</v>
      </c>
      <c r="I187">
        <v>-0.23791547571544347</v>
      </c>
    </row>
    <row r="188" spans="3:10" x14ac:dyDescent="0.2">
      <c r="C188">
        <v>7</v>
      </c>
      <c r="E188">
        <v>6</v>
      </c>
      <c r="H188" t="s">
        <v>68</v>
      </c>
      <c r="I188">
        <v>0.40863735697933645</v>
      </c>
    </row>
    <row r="189" spans="3:10" x14ac:dyDescent="0.2">
      <c r="C189">
        <v>3</v>
      </c>
      <c r="E189">
        <v>6</v>
      </c>
      <c r="H189" t="s">
        <v>69</v>
      </c>
      <c r="I189">
        <v>1.833112922596501</v>
      </c>
    </row>
    <row r="190" spans="3:10" x14ac:dyDescent="0.2">
      <c r="H190" t="s">
        <v>70</v>
      </c>
      <c r="I190" s="7">
        <v>0.8172747139586729</v>
      </c>
    </row>
    <row r="191" spans="3:10" x14ac:dyDescent="0.2">
      <c r="H191" t="s">
        <v>71</v>
      </c>
      <c r="I191">
        <v>2.2621571582187063</v>
      </c>
    </row>
    <row r="207" spans="4:8" x14ac:dyDescent="0.2">
      <c r="D207" s="3" t="s">
        <v>28</v>
      </c>
      <c r="H207" t="s">
        <v>84</v>
      </c>
    </row>
    <row r="208" spans="4:8" x14ac:dyDescent="0.2">
      <c r="D208" s="3">
        <v>0.16</v>
      </c>
      <c r="E208">
        <v>0.2</v>
      </c>
    </row>
    <row r="209" spans="4:10" x14ac:dyDescent="0.2">
      <c r="D209" s="3">
        <v>0.185</v>
      </c>
      <c r="E209">
        <v>0.2</v>
      </c>
      <c r="H209" t="s">
        <v>85</v>
      </c>
    </row>
    <row r="210" spans="4:10" ht="17" thickBot="1" x14ac:dyDescent="0.25">
      <c r="D210" s="3">
        <v>0.121</v>
      </c>
      <c r="E210">
        <v>0.2</v>
      </c>
    </row>
    <row r="211" spans="4:10" x14ac:dyDescent="0.2">
      <c r="D211" s="3">
        <v>0.13800000000000001</v>
      </c>
      <c r="E211">
        <v>0.2</v>
      </c>
      <c r="H211" s="10"/>
      <c r="I211" s="10" t="s">
        <v>60</v>
      </c>
      <c r="J211" s="10" t="s">
        <v>61</v>
      </c>
    </row>
    <row r="212" spans="4:10" x14ac:dyDescent="0.2">
      <c r="D212" s="3">
        <v>0.22800000000000001</v>
      </c>
      <c r="E212">
        <v>0.2</v>
      </c>
      <c r="H212" s="8" t="s">
        <v>62</v>
      </c>
      <c r="I212" s="8">
        <v>0.14369999999999999</v>
      </c>
      <c r="J212" s="8">
        <v>0.19999999999999998</v>
      </c>
    </row>
    <row r="213" spans="4:10" x14ac:dyDescent="0.2">
      <c r="D213" s="3">
        <v>5.1999999999999998E-2</v>
      </c>
      <c r="E213">
        <v>0.2</v>
      </c>
      <c r="H213" s="8" t="s">
        <v>63</v>
      </c>
      <c r="I213" s="8">
        <v>3.0320111111111154E-3</v>
      </c>
      <c r="J213" s="8">
        <v>8.5596886417210486E-34</v>
      </c>
    </row>
    <row r="214" spans="4:10" x14ac:dyDescent="0.2">
      <c r="D214" s="3">
        <v>9.0999999999999998E-2</v>
      </c>
      <c r="E214">
        <v>0.2</v>
      </c>
      <c r="H214" s="8" t="s">
        <v>64</v>
      </c>
      <c r="I214" s="8">
        <v>10</v>
      </c>
      <c r="J214" s="8">
        <v>10</v>
      </c>
    </row>
    <row r="215" spans="4:10" x14ac:dyDescent="0.2">
      <c r="D215" s="3">
        <v>0.17100000000000001</v>
      </c>
      <c r="E215">
        <v>0.2</v>
      </c>
      <c r="H215" s="8" t="s">
        <v>65</v>
      </c>
      <c r="I215" s="8">
        <v>0</v>
      </c>
      <c r="J215" s="8"/>
    </row>
    <row r="216" spans="4:10" x14ac:dyDescent="0.2">
      <c r="D216" s="3">
        <v>0.19900000000000001</v>
      </c>
      <c r="E216">
        <v>0.2</v>
      </c>
      <c r="H216" s="8" t="s">
        <v>66</v>
      </c>
      <c r="I216" s="8">
        <v>9</v>
      </c>
      <c r="J216" s="8"/>
    </row>
    <row r="217" spans="4:10" x14ac:dyDescent="0.2">
      <c r="D217" s="3">
        <v>9.1999999999999998E-2</v>
      </c>
      <c r="E217">
        <v>0.2</v>
      </c>
      <c r="H217" s="8" t="s">
        <v>67</v>
      </c>
      <c r="I217" s="8">
        <v>-3.2332776529558718</v>
      </c>
      <c r="J217" s="8"/>
    </row>
    <row r="218" spans="4:10" x14ac:dyDescent="0.2">
      <c r="H218" s="8" t="s">
        <v>68</v>
      </c>
      <c r="I218" s="8">
        <v>5.1342990875203973E-3</v>
      </c>
      <c r="J218" s="8"/>
    </row>
    <row r="219" spans="4:10" x14ac:dyDescent="0.2">
      <c r="H219" s="8" t="s">
        <v>69</v>
      </c>
      <c r="I219" s="8">
        <v>1.8331129326562374</v>
      </c>
      <c r="J219" s="8"/>
    </row>
    <row r="220" spans="4:10" x14ac:dyDescent="0.2">
      <c r="H220" s="8" t="s">
        <v>70</v>
      </c>
      <c r="I220" s="8">
        <v>1.0268598175040795E-2</v>
      </c>
      <c r="J220" s="8"/>
    </row>
    <row r="221" spans="4:10" ht="17" thickBot="1" x14ac:dyDescent="0.25">
      <c r="H221" s="9" t="s">
        <v>71</v>
      </c>
      <c r="I221" s="9">
        <v>2.2621571627982053</v>
      </c>
      <c r="J221" s="9"/>
    </row>
    <row r="225" spans="8:8" x14ac:dyDescent="0.2">
      <c r="H225" t="s">
        <v>86</v>
      </c>
    </row>
    <row r="227" spans="8:8" x14ac:dyDescent="0.2">
      <c r="H227" t="s">
        <v>87</v>
      </c>
    </row>
  </sheetData>
  <pageMargins left="0.7" right="0.7" top="0.75" bottom="0.75" header="0.3" footer="0.3"/>
  <drawing r:id="rId1"/>
  <extLst>
    <ext xmlns:x15="http://schemas.microsoft.com/office/spreadsheetml/2010/11/main" uri="{F7C9EE02-42E1-4005-9D12-6889AFFD525C}">
      <x15:webExtensions xmlns:xm="http://schemas.microsoft.com/office/excel/2006/main">
        <x15:webExtension appRef="{ED1A6692-7040-714A-B8DB-C8D6A49961B9}">
          <xm:f>STATS!$C$180:$C$189</xm:f>
        </x15:webExtension>
        <x15:webExtension appRef="{B02376FA-8677-1B46-A9AC-5C9821EAF76A}">
          <xm:f>STATS!$E$180:$E$189</xm:f>
        </x15:webExtension>
        <x15:webExtension appRef="{6248354C-1785-5A4B-BA3A-269448696BE9}">
          <xm:f>STATS!$H$179:$J$192</xm:f>
        </x15:webExtension>
      </x15:webExtens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BF3DE-5B44-714F-AF4A-15FEA526686A}">
  <dimension ref="B3:K106"/>
  <sheetViews>
    <sheetView tabSelected="1" topLeftCell="A104" zoomScale="228" workbookViewId="0">
      <selection activeCell="D111" sqref="D111"/>
    </sheetView>
  </sheetViews>
  <sheetFormatPr baseColWidth="10" defaultRowHeight="16" x14ac:dyDescent="0.2"/>
  <sheetData>
    <row r="3" spans="3:7" x14ac:dyDescent="0.2">
      <c r="C3" t="s">
        <v>89</v>
      </c>
    </row>
    <row r="6" spans="3:7" x14ac:dyDescent="0.2">
      <c r="C6" t="s">
        <v>90</v>
      </c>
    </row>
    <row r="8" spans="3:7" x14ac:dyDescent="0.2">
      <c r="C8" s="12" t="s">
        <v>91</v>
      </c>
    </row>
    <row r="9" spans="3:7" x14ac:dyDescent="0.2">
      <c r="C9" s="12"/>
    </row>
    <row r="10" spans="3:7" x14ac:dyDescent="0.2">
      <c r="C10" s="12" t="s">
        <v>92</v>
      </c>
    </row>
    <row r="13" spans="3:7" x14ac:dyDescent="0.2">
      <c r="C13" t="s">
        <v>93</v>
      </c>
      <c r="D13" t="s">
        <v>94</v>
      </c>
      <c r="E13" s="13" t="s">
        <v>95</v>
      </c>
      <c r="G13" t="s">
        <v>103</v>
      </c>
    </row>
    <row r="14" spans="3:7" x14ac:dyDescent="0.2">
      <c r="C14" t="s">
        <v>96</v>
      </c>
      <c r="D14" t="s">
        <v>97</v>
      </c>
      <c r="E14" s="13">
        <v>2000</v>
      </c>
      <c r="G14">
        <f>IF(C14&lt;&gt;"Apple",1,0)</f>
        <v>0</v>
      </c>
    </row>
    <row r="15" spans="3:7" x14ac:dyDescent="0.2">
      <c r="C15" t="s">
        <v>98</v>
      </c>
      <c r="D15" t="s">
        <v>97</v>
      </c>
      <c r="E15" s="13">
        <v>25870</v>
      </c>
      <c r="G15">
        <f>IF(C15&lt;&gt;"Apple",1,0)</f>
        <v>1</v>
      </c>
    </row>
    <row r="16" spans="3:7" x14ac:dyDescent="0.2">
      <c r="C16" t="s">
        <v>96</v>
      </c>
      <c r="D16" t="s">
        <v>99</v>
      </c>
      <c r="E16" s="13">
        <v>50000</v>
      </c>
      <c r="G16">
        <f>IF(C16&lt;&gt;"Apple",1,0)</f>
        <v>0</v>
      </c>
    </row>
    <row r="17" spans="3:7" x14ac:dyDescent="0.2">
      <c r="C17" t="s">
        <v>100</v>
      </c>
      <c r="D17" t="s">
        <v>101</v>
      </c>
      <c r="E17" s="13">
        <v>80</v>
      </c>
      <c r="G17">
        <f>IF(C17&lt;&gt;"Apple",1,0)</f>
        <v>1</v>
      </c>
    </row>
    <row r="18" spans="3:7" x14ac:dyDescent="0.2">
      <c r="C18" t="s">
        <v>102</v>
      </c>
      <c r="D18" t="s">
        <v>101</v>
      </c>
      <c r="E18" s="13">
        <v>600</v>
      </c>
      <c r="G18">
        <f t="shared" ref="G15:G19" si="0">IF(C18&lt;&gt;"Apple",1,0)</f>
        <v>1</v>
      </c>
    </row>
    <row r="19" spans="3:7" x14ac:dyDescent="0.2">
      <c r="C19" t="s">
        <v>102</v>
      </c>
      <c r="D19" t="s">
        <v>97</v>
      </c>
      <c r="E19" s="13">
        <v>900</v>
      </c>
      <c r="G19">
        <f t="shared" si="0"/>
        <v>1</v>
      </c>
    </row>
    <row r="20" spans="3:7" x14ac:dyDescent="0.2">
      <c r="C20" s="11"/>
    </row>
    <row r="22" spans="3:7" x14ac:dyDescent="0.2">
      <c r="D22" t="str">
        <f>IF(C22&lt;&gt;"Apple","NOT EQL TO APPLE","EQ")</f>
        <v>NOT EQL TO APPLE</v>
      </c>
    </row>
    <row r="25" spans="3:7" x14ac:dyDescent="0.2">
      <c r="C25" t="s">
        <v>104</v>
      </c>
    </row>
    <row r="27" spans="3:7" x14ac:dyDescent="0.2">
      <c r="C27" t="s">
        <v>105</v>
      </c>
    </row>
    <row r="29" spans="3:7" x14ac:dyDescent="0.2">
      <c r="C29" t="s">
        <v>106</v>
      </c>
    </row>
    <row r="32" spans="3:7" x14ac:dyDescent="0.2">
      <c r="C32" t="s">
        <v>107</v>
      </c>
    </row>
    <row r="34" spans="2:7" x14ac:dyDescent="0.2">
      <c r="C34" t="str">
        <f>"="</f>
        <v>=</v>
      </c>
      <c r="D34" t="s">
        <v>108</v>
      </c>
    </row>
    <row r="35" spans="2:7" x14ac:dyDescent="0.2">
      <c r="C35" t="str">
        <f>"&gt;="</f>
        <v>&gt;=</v>
      </c>
      <c r="D35" t="s">
        <v>109</v>
      </c>
    </row>
    <row r="36" spans="2:7" x14ac:dyDescent="0.2">
      <c r="C36" t="str">
        <f>"&gt;"</f>
        <v>&gt;</v>
      </c>
    </row>
    <row r="37" spans="2:7" x14ac:dyDescent="0.2">
      <c r="C37" t="str">
        <f>"&lt;"</f>
        <v>&lt;</v>
      </c>
    </row>
    <row r="38" spans="2:7" x14ac:dyDescent="0.2">
      <c r="C38" t="str">
        <f>"&lt;="</f>
        <v>&lt;=</v>
      </c>
    </row>
    <row r="39" spans="2:7" x14ac:dyDescent="0.2">
      <c r="C39" t="str">
        <f>"&lt;&gt;"</f>
        <v>&lt;&gt;</v>
      </c>
      <c r="D39" t="s">
        <v>110</v>
      </c>
    </row>
    <row r="42" spans="2:7" x14ac:dyDescent="0.2">
      <c r="B42" s="12"/>
      <c r="C42" s="12"/>
      <c r="D42" s="12"/>
      <c r="E42" s="12"/>
    </row>
    <row r="45" spans="2:7" x14ac:dyDescent="0.2">
      <c r="C45" t="s">
        <v>116</v>
      </c>
      <c r="E45" t="s">
        <v>118</v>
      </c>
      <c r="F45" t="s">
        <v>119</v>
      </c>
      <c r="G45" t="s">
        <v>123</v>
      </c>
    </row>
    <row r="46" spans="2:7" x14ac:dyDescent="0.2">
      <c r="C46" t="s">
        <v>117</v>
      </c>
      <c r="E46">
        <v>4</v>
      </c>
      <c r="G46" t="s">
        <v>124</v>
      </c>
    </row>
    <row r="50" spans="2:11" x14ac:dyDescent="0.2">
      <c r="C50" t="s">
        <v>120</v>
      </c>
    </row>
    <row r="53" spans="2:11" x14ac:dyDescent="0.2">
      <c r="C53" t="str">
        <f>IFERROR(E46/F46,G46)</f>
        <v>DENOMINATOR MIGHT BE MISSING OR ZERO</v>
      </c>
    </row>
    <row r="54" spans="2:11" x14ac:dyDescent="0.2">
      <c r="B54" s="12"/>
      <c r="C54" s="12"/>
      <c r="D54" s="12"/>
      <c r="E54" s="12"/>
      <c r="F54" s="12"/>
    </row>
    <row r="57" spans="2:11" x14ac:dyDescent="0.2">
      <c r="B57" t="s">
        <v>126</v>
      </c>
      <c r="D57" s="12" t="s">
        <v>132</v>
      </c>
      <c r="E57" s="12"/>
      <c r="F57" s="12"/>
      <c r="G57" s="12"/>
    </row>
    <row r="59" spans="2:11" x14ac:dyDescent="0.2">
      <c r="B59" t="s">
        <v>127</v>
      </c>
      <c r="D59" s="12" t="s">
        <v>133</v>
      </c>
    </row>
    <row r="61" spans="2:11" x14ac:dyDescent="0.2">
      <c r="B61" t="s">
        <v>128</v>
      </c>
      <c r="D61" t="s">
        <v>129</v>
      </c>
    </row>
    <row r="64" spans="2:11" x14ac:dyDescent="0.2">
      <c r="B64" t="s">
        <v>93</v>
      </c>
      <c r="C64" t="s">
        <v>94</v>
      </c>
      <c r="D64" s="13" t="s">
        <v>95</v>
      </c>
      <c r="E64" t="s">
        <v>126</v>
      </c>
      <c r="F64" t="s">
        <v>130</v>
      </c>
      <c r="H64" t="s">
        <v>131</v>
      </c>
      <c r="J64" t="s">
        <v>142</v>
      </c>
      <c r="K64" t="s">
        <v>143</v>
      </c>
    </row>
    <row r="65" spans="2:11" x14ac:dyDescent="0.2">
      <c r="B65" t="s">
        <v>96</v>
      </c>
      <c r="C65" t="s">
        <v>97</v>
      </c>
      <c r="D65" s="13">
        <v>2000</v>
      </c>
      <c r="E65" t="b">
        <f>AND(B65="Apple",C65="Utility")</f>
        <v>0</v>
      </c>
      <c r="F65" t="str">
        <f>IF(AND(B65="Apple",C65="Utility"),"APPLE &amp; UTIL","AND TEST FAILED")</f>
        <v>AND TEST FAILED</v>
      </c>
      <c r="H65" t="b">
        <f>OR(B65="Apple",C65="Utility")</f>
        <v>1</v>
      </c>
      <c r="J65" t="b">
        <f>IF(B65="Apple",TRUE, FALSE)</f>
        <v>1</v>
      </c>
      <c r="K65" t="b">
        <f>NOT(J65)</f>
        <v>0</v>
      </c>
    </row>
    <row r="66" spans="2:11" x14ac:dyDescent="0.2">
      <c r="B66" t="s">
        <v>98</v>
      </c>
      <c r="C66" t="s">
        <v>97</v>
      </c>
      <c r="D66" s="13">
        <v>25870</v>
      </c>
      <c r="E66" t="b">
        <f t="shared" ref="E66:E70" si="1">AND(B66="Apple",C66="Utility")</f>
        <v>0</v>
      </c>
      <c r="F66" t="str">
        <f t="shared" ref="F66:F70" si="2">IF(AND(B66="Apple",C66="Utility"),"APPLE &amp; UTIL","AND TEST FAILED")</f>
        <v>AND TEST FAILED</v>
      </c>
      <c r="H66" t="b">
        <f t="shared" ref="H66:H70" si="3">OR(B66="Apple",C66="Utility")</f>
        <v>0</v>
      </c>
      <c r="J66" t="b">
        <f t="shared" ref="J66:J70" si="4">IF(B66="Apple",TRUE, FALSE)</f>
        <v>0</v>
      </c>
      <c r="K66" t="b">
        <f t="shared" ref="K66:K74" si="5">NOT(J66)</f>
        <v>1</v>
      </c>
    </row>
    <row r="67" spans="2:11" x14ac:dyDescent="0.2">
      <c r="B67" t="s">
        <v>96</v>
      </c>
      <c r="C67" t="s">
        <v>99</v>
      </c>
      <c r="D67" s="13">
        <v>50000</v>
      </c>
      <c r="E67" t="b">
        <f t="shared" si="1"/>
        <v>0</v>
      </c>
      <c r="F67" t="str">
        <f t="shared" si="2"/>
        <v>AND TEST FAILED</v>
      </c>
      <c r="H67" t="b">
        <f t="shared" si="3"/>
        <v>1</v>
      </c>
      <c r="J67" t="b">
        <f t="shared" si="4"/>
        <v>1</v>
      </c>
      <c r="K67" t="b">
        <f t="shared" si="5"/>
        <v>0</v>
      </c>
    </row>
    <row r="68" spans="2:11" x14ac:dyDescent="0.2">
      <c r="B68" t="s">
        <v>100</v>
      </c>
      <c r="C68" t="s">
        <v>101</v>
      </c>
      <c r="D68" s="13">
        <v>80</v>
      </c>
      <c r="E68" t="b">
        <f t="shared" si="1"/>
        <v>0</v>
      </c>
      <c r="F68" t="str">
        <f t="shared" si="2"/>
        <v>AND TEST FAILED</v>
      </c>
      <c r="H68" t="b">
        <f t="shared" si="3"/>
        <v>1</v>
      </c>
      <c r="J68" t="b">
        <f t="shared" si="4"/>
        <v>0</v>
      </c>
      <c r="K68" t="b">
        <f t="shared" si="5"/>
        <v>1</v>
      </c>
    </row>
    <row r="69" spans="2:11" x14ac:dyDescent="0.2">
      <c r="B69" t="s">
        <v>96</v>
      </c>
      <c r="C69" t="s">
        <v>101</v>
      </c>
      <c r="D69" s="13">
        <v>600</v>
      </c>
      <c r="E69" t="b">
        <f>AND(B69="Apple",C69="Utility")</f>
        <v>1</v>
      </c>
      <c r="F69" t="str">
        <f t="shared" si="2"/>
        <v>APPLE &amp; UTIL</v>
      </c>
      <c r="H69" t="b">
        <f t="shared" si="3"/>
        <v>1</v>
      </c>
      <c r="J69" t="b">
        <f t="shared" si="4"/>
        <v>1</v>
      </c>
      <c r="K69" t="b">
        <f t="shared" si="5"/>
        <v>0</v>
      </c>
    </row>
    <row r="70" spans="2:11" x14ac:dyDescent="0.2">
      <c r="B70" t="s">
        <v>102</v>
      </c>
      <c r="C70" t="s">
        <v>97</v>
      </c>
      <c r="D70" s="13">
        <v>900</v>
      </c>
      <c r="E70" t="b">
        <f t="shared" si="1"/>
        <v>0</v>
      </c>
      <c r="F70" t="str">
        <f t="shared" si="2"/>
        <v>AND TEST FAILED</v>
      </c>
      <c r="H70" t="b">
        <f t="shared" si="3"/>
        <v>0</v>
      </c>
      <c r="J70" t="b">
        <f t="shared" si="4"/>
        <v>0</v>
      </c>
      <c r="K70" t="b">
        <f t="shared" si="5"/>
        <v>1</v>
      </c>
    </row>
    <row r="75" spans="2:11" x14ac:dyDescent="0.2">
      <c r="C75" t="s">
        <v>135</v>
      </c>
    </row>
    <row r="77" spans="2:11" x14ac:dyDescent="0.2">
      <c r="C77" t="s">
        <v>126</v>
      </c>
    </row>
    <row r="79" spans="2:11" x14ac:dyDescent="0.2">
      <c r="C79" t="s">
        <v>136</v>
      </c>
    </row>
    <row r="82" spans="2:8" x14ac:dyDescent="0.2">
      <c r="B82" t="s">
        <v>126</v>
      </c>
      <c r="F82" t="s">
        <v>134</v>
      </c>
    </row>
    <row r="84" spans="2:8" x14ac:dyDescent="0.2">
      <c r="B84" t="s">
        <v>137</v>
      </c>
      <c r="C84" t="s">
        <v>138</v>
      </c>
      <c r="D84" t="s">
        <v>139</v>
      </c>
      <c r="F84" t="s">
        <v>137</v>
      </c>
      <c r="G84" t="s">
        <v>138</v>
      </c>
    </row>
    <row r="85" spans="2:8" x14ac:dyDescent="0.2">
      <c r="B85" t="b">
        <v>1</v>
      </c>
      <c r="C85" t="b">
        <v>1</v>
      </c>
      <c r="D85" t="b">
        <f>AND(B85,C85)</f>
        <v>1</v>
      </c>
      <c r="F85" t="b">
        <v>1</v>
      </c>
      <c r="G85" t="b">
        <v>1</v>
      </c>
      <c r="H85" t="b">
        <f>OR(F85,G85)</f>
        <v>1</v>
      </c>
    </row>
    <row r="86" spans="2:8" x14ac:dyDescent="0.2">
      <c r="B86" t="b">
        <v>1</v>
      </c>
      <c r="C86" t="b">
        <v>0</v>
      </c>
      <c r="D86" t="b">
        <f t="shared" ref="D86:D88" si="6">AND(B86,C86)</f>
        <v>0</v>
      </c>
      <c r="F86" t="b">
        <v>1</v>
      </c>
      <c r="G86" t="b">
        <v>0</v>
      </c>
      <c r="H86" t="b">
        <f t="shared" ref="H86:H88" si="7">OR(F86,G86)</f>
        <v>1</v>
      </c>
    </row>
    <row r="87" spans="2:8" x14ac:dyDescent="0.2">
      <c r="B87" t="b">
        <v>0</v>
      </c>
      <c r="C87" t="b">
        <v>1</v>
      </c>
      <c r="D87" t="b">
        <f t="shared" si="6"/>
        <v>0</v>
      </c>
      <c r="F87" t="b">
        <v>0</v>
      </c>
      <c r="G87" t="b">
        <v>1</v>
      </c>
      <c r="H87" t="b">
        <f t="shared" si="7"/>
        <v>1</v>
      </c>
    </row>
    <row r="88" spans="2:8" x14ac:dyDescent="0.2">
      <c r="B88" t="b">
        <v>0</v>
      </c>
      <c r="C88" t="b">
        <v>0</v>
      </c>
      <c r="D88" t="b">
        <f t="shared" si="6"/>
        <v>0</v>
      </c>
      <c r="F88" t="b">
        <v>0</v>
      </c>
      <c r="G88" t="b">
        <v>0</v>
      </c>
      <c r="H88" t="b">
        <f t="shared" si="7"/>
        <v>0</v>
      </c>
    </row>
    <row r="91" spans="2:8" x14ac:dyDescent="0.2">
      <c r="B91" t="s">
        <v>128</v>
      </c>
    </row>
    <row r="92" spans="2:8" x14ac:dyDescent="0.2">
      <c r="B92" t="s">
        <v>140</v>
      </c>
      <c r="C92" t="s">
        <v>141</v>
      </c>
    </row>
    <row r="93" spans="2:8" x14ac:dyDescent="0.2">
      <c r="B93" t="b">
        <v>1</v>
      </c>
      <c r="C93" t="b">
        <f>NOT(B93)</f>
        <v>0</v>
      </c>
    </row>
    <row r="94" spans="2:8" x14ac:dyDescent="0.2">
      <c r="B94" t="b">
        <v>0</v>
      </c>
      <c r="C94" t="b">
        <f>NOT(B94)</f>
        <v>1</v>
      </c>
    </row>
    <row r="95" spans="2:8" x14ac:dyDescent="0.2">
      <c r="E95" t="s">
        <v>145</v>
      </c>
      <c r="F95" t="s">
        <v>146</v>
      </c>
      <c r="H95" t="s">
        <v>151</v>
      </c>
    </row>
    <row r="97" spans="2:8" x14ac:dyDescent="0.2">
      <c r="B97" t="str">
        <f>""</f>
        <v/>
      </c>
      <c r="C97">
        <v>66</v>
      </c>
      <c r="E97" t="b">
        <f>ISNUMBER(C97)</f>
        <v>1</v>
      </c>
      <c r="F97" t="b">
        <f>ISTEXT(C97)</f>
        <v>0</v>
      </c>
      <c r="H97" t="b">
        <f>ISBLANK(B97)</f>
        <v>0</v>
      </c>
    </row>
    <row r="98" spans="2:8" x14ac:dyDescent="0.2">
      <c r="C98" s="14" t="str">
        <f>"66"</f>
        <v>66</v>
      </c>
      <c r="E98" t="b">
        <f>ISNUMBER(C98)</f>
        <v>0</v>
      </c>
      <c r="F98" t="b">
        <f>ISTEXT(C98)</f>
        <v>1</v>
      </c>
      <c r="H98" t="b">
        <f>ISBLANK(B98)</f>
        <v>1</v>
      </c>
    </row>
    <row r="102" spans="2:8" x14ac:dyDescent="0.2">
      <c r="B102" t="s">
        <v>144</v>
      </c>
      <c r="D102" t="s">
        <v>147</v>
      </c>
    </row>
    <row r="104" spans="2:8" x14ac:dyDescent="0.2">
      <c r="B104" t="s">
        <v>148</v>
      </c>
      <c r="D104" t="s">
        <v>149</v>
      </c>
    </row>
    <row r="106" spans="2:8" x14ac:dyDescent="0.2">
      <c r="B106" t="s">
        <v>150</v>
      </c>
      <c r="D106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agenda</vt:lpstr>
      <vt:lpstr>Data</vt:lpstr>
      <vt:lpstr>STATS</vt:lpstr>
      <vt:lpstr>Logical fun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2026-01-17T14:33:53Z</dcterms:created>
  <dcterms:modified xsi:type="dcterms:W3CDTF">2026-01-17T17:25:52Z</dcterms:modified>
</cp:coreProperties>
</file>