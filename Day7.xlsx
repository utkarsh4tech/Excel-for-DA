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59C40209-85BF-2240-A1D6-AF637614FB3E}" xr6:coauthVersionLast="47" xr6:coauthVersionMax="47" xr10:uidLastSave="{00000000-0000-0000-0000-000000000000}"/>
  <bookViews>
    <workbookView xWindow="0" yWindow="600" windowWidth="28800" windowHeight="17400" activeTab="3" xr2:uid="{C6FBD445-4D12-974F-B14A-5C52D8E39E35}"/>
  </bookViews>
  <sheets>
    <sheet name="AGENDA" sheetId="1" r:id="rId1"/>
    <sheet name="Sheet2" sheetId="2" r:id="rId2"/>
    <sheet name="Sheet3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" i="4" l="1"/>
  <c r="H10" i="3"/>
  <c r="F16" i="2"/>
  <c r="F38" i="2"/>
  <c r="G7" i="2" a="1"/>
  <c r="G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<sst xmlns="http://schemas.openxmlformats.org/spreadsheetml/2006/main" count="113" uniqueCount="61">
  <si>
    <t>INDEX+MATCH</t>
  </si>
  <si>
    <t>XLOOKUP</t>
  </si>
  <si>
    <t>Student Id</t>
  </si>
  <si>
    <t>Name</t>
  </si>
  <si>
    <t>Course</t>
  </si>
  <si>
    <t>Phn Num</t>
  </si>
  <si>
    <t>Jennifer</t>
  </si>
  <si>
    <t>Bsc Phy</t>
  </si>
  <si>
    <t>Fake num 1</t>
  </si>
  <si>
    <t>Shyaam</t>
  </si>
  <si>
    <t>Bsc Chem</t>
  </si>
  <si>
    <t>Fake num 2</t>
  </si>
  <si>
    <t>Meena</t>
  </si>
  <si>
    <t>Ba History</t>
  </si>
  <si>
    <t>Fake num 3</t>
  </si>
  <si>
    <t>Arjun</t>
  </si>
  <si>
    <t>MBA HR</t>
  </si>
  <si>
    <t>Fake num 4</t>
  </si>
  <si>
    <t>Dolly</t>
  </si>
  <si>
    <t>Ba Soci</t>
  </si>
  <si>
    <t>Fake num 5</t>
  </si>
  <si>
    <t>Sonam</t>
  </si>
  <si>
    <t>MBA Ops</t>
  </si>
  <si>
    <t>Fake num 6</t>
  </si>
  <si>
    <t>Student ID</t>
  </si>
  <si>
    <t>TRANSPOSE: WHEN ROWS become Column and columns become rows</t>
  </si>
  <si>
    <t>Groc A</t>
  </si>
  <si>
    <t>Groc B</t>
  </si>
  <si>
    <t>Groc C</t>
  </si>
  <si>
    <t>Sugar</t>
  </si>
  <si>
    <t>Salt</t>
  </si>
  <si>
    <t>Pepper</t>
  </si>
  <si>
    <t>Soap</t>
  </si>
  <si>
    <t>Shampoo</t>
  </si>
  <si>
    <t>Groc</t>
  </si>
  <si>
    <t>Prod</t>
  </si>
  <si>
    <t>Price</t>
  </si>
  <si>
    <t>Finding Row num</t>
  </si>
  <si>
    <t>Data array</t>
  </si>
  <si>
    <t>Finding Colu Num</t>
  </si>
  <si>
    <t>Row Num</t>
  </si>
  <si>
    <t>Col Num</t>
  </si>
  <si>
    <t>Name/Course/PhnNUm</t>
  </si>
  <si>
    <t>ANS</t>
  </si>
  <si>
    <t>name</t>
  </si>
  <si>
    <t>VLOOKUP</t>
  </si>
  <si>
    <t>HLOOKUP</t>
  </si>
  <si>
    <t>Vertical Lookup</t>
  </si>
  <si>
    <t>We are searching the query in a COLUMN</t>
  </si>
  <si>
    <t>IMP</t>
  </si>
  <si>
    <t>We can only lookup in left most Column of given array</t>
  </si>
  <si>
    <t xml:space="preserve">If using EXACT match, the first found value is returned… </t>
  </si>
  <si>
    <t>we can only get right columns in the output</t>
  </si>
  <si>
    <t>if doing approximate match ( by default) data must be sorted in ascending orded…</t>
  </si>
  <si>
    <t>Stu ID</t>
  </si>
  <si>
    <t>Phn NuM</t>
  </si>
  <si>
    <r>
      <t xml:space="preserve">if doing approximate match ( by default) data must be sorted in </t>
    </r>
    <r>
      <rPr>
        <b/>
        <sz val="12"/>
        <color rgb="FF000000"/>
        <rFont val="Aptos Narrow"/>
        <scheme val="minor"/>
      </rPr>
      <t>ascending</t>
    </r>
    <r>
      <rPr>
        <sz val="12"/>
        <color rgb="FF000000"/>
        <rFont val="Aptos Narrow"/>
        <family val="2"/>
        <scheme val="minor"/>
      </rPr>
      <t xml:space="preserve"> orded…</t>
    </r>
  </si>
  <si>
    <t>HORIZONTAL Lookuo</t>
  </si>
  <si>
    <t>We are searching a query inside a ROW</t>
  </si>
  <si>
    <t>search only in TOP MOST row</t>
  </si>
  <si>
    <t>we can only get rows bottom to the search row... in the output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</si>
</sst>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ptos Narrow"/>
      <scheme val="minor"/>
    </font>
    <font>
      <sz val="15"/>
      <color rgb="FF242424"/>
      <name val="Aptos Narrow"/>
      <scheme val="minor"/>
    </font>
    <font>
      <b/>
      <sz val="12"/>
      <color rgb="FF000000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4D93D9"/>
        <bgColor rgb="FF000000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1" fillId="0" borderId="0" xfId="0" applyFont="1"/>
    <xf numFmtId="0" fontId="2" fillId="0" borderId="0" xfId="0" applyFont="1"/>
    <xf numFmtId="0" fontId="2" fillId="3" borderId="0" xfId="0" applyFont="1" applyFill="1"/>
    <xf numFmtId="0" fontId="1" fillId="4" borderId="0" xfId="0" applyFont="1" applyFill="1"/>
    <xf numFmtId="0" fontId="0" fillId="4" borderId="0" xfId="0" applyFill="1"/>
    <xf numFmtId="0" fontId="3" fillId="0" borderId="0" xfId="0" applyFont="1"/>
    <xf numFmtId="0" fontId="1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ustomXml" Target="../ink/ink4.xml"/><Relationship Id="rId3" Type="http://schemas.openxmlformats.org/officeDocument/2006/relationships/image" Target="../media/image2.png"/><Relationship Id="rId7" Type="http://schemas.openxmlformats.org/officeDocument/2006/relationships/image" Target="../media/image4.png"/><Relationship Id="rId2" Type="http://schemas.openxmlformats.org/officeDocument/2006/relationships/customXml" Target="../ink/ink1.xml"/><Relationship Id="rId1" Type="http://schemas.openxmlformats.org/officeDocument/2006/relationships/image" Target="../media/image1.png"/><Relationship Id="rId6" Type="http://schemas.openxmlformats.org/officeDocument/2006/relationships/customXml" Target="../ink/ink3.xml"/><Relationship Id="rId5" Type="http://schemas.openxmlformats.org/officeDocument/2006/relationships/image" Target="../media/image3.png"/><Relationship Id="rId4" Type="http://schemas.openxmlformats.org/officeDocument/2006/relationships/customXml" Target="../ink/ink2.xml"/><Relationship Id="rId9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36080</xdr:colOff>
      <xdr:row>40</xdr:row>
      <xdr:rowOff>137102</xdr:rowOff>
    </xdr:from>
    <xdr:to>
      <xdr:col>12</xdr:col>
      <xdr:colOff>404957</xdr:colOff>
      <xdr:row>45</xdr:row>
      <xdr:rowOff>111856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1702C4-7364-D3F7-D963-0E53CEC6E3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03921" y="8218920"/>
          <a:ext cx="7772400" cy="984981"/>
        </a:xfrm>
        <a:prstGeom prst="rect">
          <a:avLst/>
        </a:prstGeom>
      </xdr:spPr>
    </xdr:pic>
    <xdr:clientData/>
  </xdr:twoCellAnchor>
  <xdr:twoCellAnchor editAs="oneCell">
    <xdr:from>
      <xdr:col>6</xdr:col>
      <xdr:colOff>438398</xdr:colOff>
      <xdr:row>43</xdr:row>
      <xdr:rowOff>170565</xdr:rowOff>
    </xdr:from>
    <xdr:to>
      <xdr:col>7</xdr:col>
      <xdr:colOff>303745</xdr:colOff>
      <xdr:row>45</xdr:row>
      <xdr:rowOff>56635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A3B5F582-1615-99DC-2C93-3CA295C70D0D}"/>
                </a:ext>
              </a:extLst>
            </xdr14:cNvPr>
            <xdr14:cNvContentPartPr/>
          </xdr14:nvContentPartPr>
          <xdr14:nvPr macro=""/>
          <xdr14:xfrm>
            <a:off x="5374080" y="8858520"/>
            <a:ext cx="687960" cy="290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3B5F582-1615-99DC-2C93-3CA295C70D0D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5367960" y="8852400"/>
              <a:ext cx="700200" cy="302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191438</xdr:colOff>
      <xdr:row>47</xdr:row>
      <xdr:rowOff>95704</xdr:rowOff>
    </xdr:from>
    <xdr:to>
      <xdr:col>6</xdr:col>
      <xdr:colOff>191798</xdr:colOff>
      <xdr:row>47</xdr:row>
      <xdr:rowOff>96064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CC9F5EA0-A484-F1CE-6DC3-08D5C35D9434}"/>
                </a:ext>
              </a:extLst>
            </xdr14:cNvPr>
            <xdr14:cNvContentPartPr/>
          </xdr14:nvContentPartPr>
          <xdr14:nvPr macro=""/>
          <xdr14:xfrm>
            <a:off x="5127120" y="9591840"/>
            <a:ext cx="360" cy="360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CC9F5EA0-A484-F1CE-6DC3-08D5C35D9434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5121000" y="958572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315265</xdr:colOff>
      <xdr:row>43</xdr:row>
      <xdr:rowOff>107565</xdr:rowOff>
    </xdr:from>
    <xdr:to>
      <xdr:col>9</xdr:col>
      <xdr:colOff>466077</xdr:colOff>
      <xdr:row>47</xdr:row>
      <xdr:rowOff>154024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D158FF57-F02E-4644-1856-9864D26847D5}"/>
                </a:ext>
              </a:extLst>
            </xdr14:cNvPr>
            <xdr14:cNvContentPartPr/>
          </xdr14:nvContentPartPr>
          <xdr14:nvPr macro=""/>
          <xdr14:xfrm>
            <a:off x="6073560" y="8795520"/>
            <a:ext cx="1796040" cy="854640"/>
          </xdr14:xfrm>
        </xdr:contentPart>
      </mc:Choice>
      <mc:Fallback xmlns=""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D158FF57-F02E-4644-1856-9864D26847D5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6067440" y="8789400"/>
              <a:ext cx="1808280" cy="866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657237</xdr:colOff>
      <xdr:row>44</xdr:row>
      <xdr:rowOff>12440</xdr:rowOff>
    </xdr:from>
    <xdr:to>
      <xdr:col>11</xdr:col>
      <xdr:colOff>634530</xdr:colOff>
      <xdr:row>47</xdr:row>
      <xdr:rowOff>188584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6909AE1D-0F8D-1161-0460-D18912CAFC3B}"/>
                </a:ext>
              </a:extLst>
            </xdr14:cNvPr>
            <xdr14:cNvContentPartPr/>
          </xdr14:nvContentPartPr>
          <xdr14:nvPr macro=""/>
          <xdr14:xfrm>
            <a:off x="8060760" y="8902440"/>
            <a:ext cx="1622520" cy="782280"/>
          </xdr14:xfrm>
        </xdr:contentPart>
      </mc:Choice>
      <mc:Fallback xmlns=""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6909AE1D-0F8D-1161-0460-D18912CAFC3B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8054640" y="8896320"/>
              <a:ext cx="1634760" cy="7945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6T16:45:18.867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0 24575,'12'0'0,"15"0"0,38 0 0,-13 0 0,7 0 0,27 0 0,7 0 0,-19 0 0,4 0 0,0 0-227,2 0 1,0 0-1,0 0 227,-5 0 0,0 0 0,-4 0 0,19 0 0,-7 0 84,-19 0 0,-4 0-84,40 0 0,-17 0 0,-7 0 0,-4 0 0,-11 0 512,-14 0-512,-17 0 0,-12 0 0,-7 0 0,-3 0 0,-3 0 0,0 0 0,1 0 0,-1 0 0,-3 0 0,-10 0 0,4 0 0,-6 0 0</inkml:trace>
  <inkml:trace contextRef="#ctx0" brushRef="#br0" timeOffset="1832">1112 90 24575,'0'21'0,"0"15"0,0 28 0,0 25 0,0-39 0,0 1 0,0 1 0,0-2 0,0 38 0,0-20 0,0-21 0,0-18 0,0-11 0,0-5 0,0-4 0,0-1 0,0-2 0,-2-2 0,-1-1 0,-3-2 0,-6-1 0,-4 0 0,-5-2 0,-3-6 0,0-5 0,3-4 0,3-1 0,4 0 0,3 1 0,4 2 0,1 4 0,5 3 0,3 7 0,6 6 0,6 4 0,4 5 0,2 1 0,0 0 0,1-1 0,-1-1 0,1 0 0,-2-3 0,-3-2 0,-2-3 0,-1-2 0,-3 0 0,0-1 0,-1 1 0,0-1 0,-2-1 0,0 1 0,0-2 0,-2 0 0,1 0 0,2 0 0,-1 0 0,4-5 0,4-6 0,5-9 0,2-6 0,-1 2 0,-3 3 0,-5 7 0,-5 3 0,-7 5 0,1 3 0,-6 2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6T16:45:23.46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 24575,'0'0'0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6T16:45:32.582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3 119 24575,'0'17'0,"0"5"0,0 6 0,-2 3 0,2-1 0,2 0 0,4-2 0,5-2 0,2-3 0,0-4 0,-3-5 0,-2-5 0,-1-5 0,0-3 0,1-2 0,5-2 0,13-2 0,22-1 0,34 0 0,-25 5 0,4 0 0,4 0 0,2 0 0,3 1 0,0 0 0,-1-1 0,0 0 0,0-1 0,0 1 0,4-1 0,1 1 0,4 0 0,0 0 0,7 0 0,0 0 0,6-1 0,1 0 0,5 0 0,1 0 0,-2-1 0,0 0 0,-3 1 0,-1-2 0,-3 0 0,0-1 0,-2-2 0,0 0 0,-5-1 0,-2-1 0,-4 0 0,-1-1 0,-3 1 0,-1 0 0,-3 0 0,0 1 0,3 1 0,-1 0 0,-1 1 0,0 2 0,-5 1 0,-1 1 0,-1 1 0,0 0 0,-1 1 0,-1 0 0,-3 1 0,0 0 0,-1 1 0,-1 2 0,-4 0 0,0 0 0,39 6 0,-10-2 0,-15-3 0,-12-2 0,-8 0 0,0 0 0,2-1 0,4-1 0,0 0 0,-6-1 0,-10 0 0,-12 0 0,-7 0 0,2 0 0,11 0 0,13 0 0,7-2 0,-3-3 0,-12-2 0,-11-2 0,-7 0 0,-7-2 0,-4-2 0,-4-4 0,-1-2 0,0-3 0,-2-2 0,-4-1 0,-3 1 0,-1 2 0,1 2 0,2 5 0,2 4 0,-2 4 0,-1 2 0,3 2 0,0 3 0</inkml:trace>
  <inkml:trace contextRef="#ctx0" brushRef="#br0" timeOffset="2216">2965 386 24575,'0'10'0,"0"11"0,0 22 0,0 26 0,0 17 0,0 8 0,0-6 0,0-13 0,0-11 0,0-9 0,0 4 0,0 14 0,0 19 0,0-40 0,1 1 0,0 5 0,2 0 0,0 1 0,1 0 0,2 2 0,0 0 0,0-2 0,0-1 0,0-3 0,0-2 0,5 45 0,-4-13 0,0-12 0,-3-16 0,-2-15 0,-1-16 0,-1-11 0,-4-11 0,-4-8 0,-7-8 0,-5-5 0,-4-6 0,2-3 0,3-4 0,5 1 0,3 2 0,2 2 0,2 6 0,0 5 0,1 5 0,-1 2 0,1 1 0,2 0 0,0 1 0,1-1 0,0 1 0,1 3 0,0 5 0,4 10 0,6 12 0,7 8 0,6 6 0,7-3 0,1-2 0,-2-5 0,-7-5 0,-8-4 0,-4-6 0,-1-2 0,0-1 0,1-2 0,-2 0 0,-1-2 0,-1-1 0,-3 1 0,2-1 0,0-1 0,1-3 0,3-2 0,1 0 0,3-2 0,3-5 0,7-11 0,8-12 0,7-16 0,9-11 0,3-9 0,-2-1 0,-5 6 0,-8 9 0,-9 11 0,-5 11 0,-7 9 0,-6 6 0,-3 8 0,-2 3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6T16:45:52.797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1 24575,'0'66'0,"0"28"0,0-29 0,0 3 0,1 0 0,0-1 0,0-8 0,2-4 0,5 24 0,5-37 0,9-21 0,21-14 0,36-5 0,-13-2 0,9 0 0,-6 0 0,6 0 0,4 0-597,-4-1 0,5 0 0,2-1 1,3 1 596,-7-1 0,3 1 0,2-1 0,1 0 0,1 0-537,8-1 0,3 1 0,1-1 1,0 0-1,0 0 537,0 0 0,0 0 0,0 0 0,0 0 0,1 1 0,2 0 0,0 0 0,1 0 0,-1 0 0,-2 1 0,-4-1 0,0 1 0,-2 0 0,-1 0 0,-1 1-212,9-1 0,-2 1 0,-2-1 1,-3 1 211,-8 0 0,-3 0 0,-2 0 0,-4 0 0,0 0 0,-5 0 0,-3 0 0,11 1 0,-6 0 0,-17 0 0,-6 0 1921,13 1-1921,-31 0 2871,-17-3-2871,-8-5 1126,-4-5-1126,-1-8 0,2-7 0,1-4 0,2-1 0,0 2 0,-1 2 0,-2 2 0,-2 1 0,-1 2 0,0 1 0,0 5 0,0 5 0,-1 4 0,0 4 0,0 1 0</inkml:trace>
  <inkml:trace contextRef="#ctx0" brushRef="#br0" timeOffset="1599">3251 691 24575,'0'19'0,"0"21"0,0 28 0,0 28 0,0-39 0,0 3 0,0 0 0,0 1 0,0 0 0,0-2 0,0-3 0,0-2 0,0 42 0,0-14 0,0-22 0,0-18 0,0-19 0,0-10 0,-2-6 0,-1-2 0,-4-4 0,-4-6 0,-4-4 0,-20-10 0,-21-8 0,-17-3 0,-8-3 0,14 5 0,18 6 0,22 6 0,16 7 0,9 4 0,8 8 0,6 12 0,8 9 0,6 11 0,9 11 0,19 17 0,-14-19 0,3 3 0,9 6 0,2 0 0,4 1 0,2-1 0,-4-8 0,-1-5 0,30 13 0,-26-25 0,-26-19 0,-15-13 0,-9-12 0,-4-8 0,-2-10 0,1-7 0,2 0 0,3-3 0,3 7 0,2 6 0,-1 8 0,-3 8 0,-4 5 0,-2 3 0,-1 2 0,2 0 0,-2 3 0,-1 0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93CB3-A2D7-C24D-AFEB-EF14A589B98C}">
  <dimension ref="B5:H18"/>
  <sheetViews>
    <sheetView zoomScale="144" workbookViewId="0">
      <selection activeCell="F8" sqref="F8"/>
    </sheetView>
  </sheetViews>
  <sheetFormatPr baseColWidth="10" defaultRowHeight="16" x14ac:dyDescent="0.2"/>
  <sheetData>
    <row r="5" spans="2:8" x14ac:dyDescent="0.2">
      <c r="B5" s="1"/>
      <c r="C5" s="1"/>
      <c r="D5" s="1"/>
      <c r="E5" s="1"/>
      <c r="F5" s="1"/>
      <c r="G5" s="1"/>
      <c r="H5" s="1"/>
    </row>
    <row r="6" spans="2:8" x14ac:dyDescent="0.2">
      <c r="C6" t="s">
        <v>0</v>
      </c>
      <c r="F6" s="6"/>
    </row>
    <row r="8" spans="2:8" x14ac:dyDescent="0.2">
      <c r="C8" t="s">
        <v>45</v>
      </c>
    </row>
    <row r="10" spans="2:8" x14ac:dyDescent="0.2">
      <c r="C10" t="s">
        <v>46</v>
      </c>
    </row>
    <row r="12" spans="2:8" x14ac:dyDescent="0.2">
      <c r="C12" t="s">
        <v>1</v>
      </c>
    </row>
    <row r="18" spans="3:3" x14ac:dyDescent="0.2">
      <c r="C18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5BD27-2112-D747-A0B9-BB43F7A0A54D}">
  <dimension ref="B3:M50"/>
  <sheetViews>
    <sheetView topLeftCell="A2" zoomScale="176" workbookViewId="0">
      <selection activeCell="B3" sqref="B3:E9"/>
    </sheetView>
  </sheetViews>
  <sheetFormatPr baseColWidth="10" defaultRowHeight="16" x14ac:dyDescent="0.2"/>
  <sheetData>
    <row r="3" spans="2:13" x14ac:dyDescent="0.2">
      <c r="B3" s="2" t="s">
        <v>2</v>
      </c>
      <c r="C3" s="5" t="s">
        <v>3</v>
      </c>
      <c r="D3" s="5" t="s">
        <v>4</v>
      </c>
      <c r="E3" s="5" t="s">
        <v>5</v>
      </c>
    </row>
    <row r="4" spans="2:13" x14ac:dyDescent="0.2">
      <c r="B4" s="5">
        <v>1201</v>
      </c>
      <c r="C4" s="2" t="s">
        <v>6</v>
      </c>
      <c r="D4" s="2" t="s">
        <v>7</v>
      </c>
      <c r="E4" s="2" t="s">
        <v>8</v>
      </c>
    </row>
    <row r="5" spans="2:13" x14ac:dyDescent="0.2">
      <c r="B5" s="5">
        <v>1202</v>
      </c>
      <c r="C5" s="2" t="s">
        <v>9</v>
      </c>
      <c r="D5" s="2" t="s">
        <v>10</v>
      </c>
      <c r="E5" s="2" t="s">
        <v>11</v>
      </c>
    </row>
    <row r="6" spans="2:13" x14ac:dyDescent="0.2">
      <c r="B6" s="5">
        <v>1203</v>
      </c>
      <c r="C6" s="2" t="s">
        <v>12</v>
      </c>
      <c r="D6" s="2" t="s">
        <v>13</v>
      </c>
      <c r="E6" s="2" t="s">
        <v>14</v>
      </c>
    </row>
    <row r="7" spans="2:13" x14ac:dyDescent="0.2">
      <c r="B7" s="5">
        <v>1204</v>
      </c>
      <c r="C7" s="2" t="s">
        <v>15</v>
      </c>
      <c r="D7" s="2" t="s">
        <v>16</v>
      </c>
      <c r="E7" s="2" t="s">
        <v>17</v>
      </c>
      <c r="G7" t="str" cm="1">
        <f t="array" ref="G7:M10">TRANSPOSE(B3:E9)</f>
        <v>Student Id</v>
      </c>
      <c r="H7">
        <v>1201</v>
      </c>
      <c r="I7">
        <v>1202</v>
      </c>
      <c r="J7">
        <v>1203</v>
      </c>
      <c r="K7">
        <v>1204</v>
      </c>
      <c r="L7">
        <v>1205</v>
      </c>
      <c r="M7">
        <v>1206</v>
      </c>
    </row>
    <row r="8" spans="2:13" x14ac:dyDescent="0.2">
      <c r="B8" s="5">
        <v>1205</v>
      </c>
      <c r="C8" s="2" t="s">
        <v>18</v>
      </c>
      <c r="D8" s="2" t="s">
        <v>19</v>
      </c>
      <c r="E8" s="2" t="s">
        <v>20</v>
      </c>
      <c r="G8" t="str">
        <v>Name</v>
      </c>
      <c r="H8" t="str">
        <v>Jennifer</v>
      </c>
      <c r="I8" t="str">
        <v>Shyaam</v>
      </c>
      <c r="J8" t="str">
        <v>Meena</v>
      </c>
      <c r="K8" t="str">
        <v>Arjun</v>
      </c>
      <c r="L8" t="str">
        <v>Dolly</v>
      </c>
      <c r="M8" t="str">
        <v>Sonam</v>
      </c>
    </row>
    <row r="9" spans="2:13" x14ac:dyDescent="0.2">
      <c r="B9" s="5">
        <v>1206</v>
      </c>
      <c r="C9" s="2" t="s">
        <v>21</v>
      </c>
      <c r="D9" s="2" t="s">
        <v>22</v>
      </c>
      <c r="E9" s="2" t="s">
        <v>23</v>
      </c>
      <c r="G9" t="str">
        <v>Course</v>
      </c>
      <c r="H9" t="str">
        <v>Bsc Phy</v>
      </c>
      <c r="I9" t="str">
        <v>Bsc Chem</v>
      </c>
      <c r="J9" t="str">
        <v>Ba History</v>
      </c>
      <c r="K9" t="str">
        <v>MBA HR</v>
      </c>
      <c r="L9" t="str">
        <v>Ba Soci</v>
      </c>
      <c r="M9" t="str">
        <v>MBA Ops</v>
      </c>
    </row>
    <row r="10" spans="2:13" x14ac:dyDescent="0.2">
      <c r="G10" t="str">
        <v>Phn Num</v>
      </c>
      <c r="H10" t="str">
        <v>Fake num 1</v>
      </c>
      <c r="I10" t="str">
        <v>Fake num 2</v>
      </c>
      <c r="J10" t="str">
        <v>Fake num 3</v>
      </c>
      <c r="K10" t="str">
        <v>Fake num 4</v>
      </c>
      <c r="L10" t="str">
        <v>Fake num 5</v>
      </c>
      <c r="M10" t="str">
        <v>Fake num 6</v>
      </c>
    </row>
    <row r="15" spans="2:13" x14ac:dyDescent="0.2">
      <c r="B15" t="s">
        <v>24</v>
      </c>
      <c r="C15" t="s">
        <v>42</v>
      </c>
      <c r="F15" t="s">
        <v>43</v>
      </c>
    </row>
    <row r="16" spans="2:13" x14ac:dyDescent="0.2">
      <c r="B16">
        <v>1204</v>
      </c>
      <c r="C16" t="s">
        <v>44</v>
      </c>
      <c r="F16" t="str">
        <f>INDEX(C4:E9,MATCH(B16,B4:B9,0),MATCH(C16,C3:E3,0))</f>
        <v>Arjun</v>
      </c>
    </row>
    <row r="22" spans="2:7" x14ac:dyDescent="0.2">
      <c r="B22" s="1"/>
      <c r="C22" s="1"/>
      <c r="D22" s="1"/>
      <c r="E22" s="1"/>
      <c r="F22" s="1"/>
      <c r="G22" s="1"/>
    </row>
    <row r="23" spans="2:7" x14ac:dyDescent="0.2">
      <c r="B23" s="1"/>
      <c r="C23" s="1"/>
      <c r="D23" s="1"/>
      <c r="E23" s="1"/>
      <c r="F23" s="1"/>
      <c r="G23" s="1"/>
    </row>
    <row r="28" spans="2:7" x14ac:dyDescent="0.2">
      <c r="C28" s="3"/>
      <c r="D28" s="4" t="s">
        <v>26</v>
      </c>
      <c r="E28" s="4" t="s">
        <v>27</v>
      </c>
      <c r="F28" s="4" t="s">
        <v>28</v>
      </c>
    </row>
    <row r="29" spans="2:7" x14ac:dyDescent="0.2">
      <c r="C29" s="4" t="s">
        <v>29</v>
      </c>
      <c r="D29" s="3">
        <v>2</v>
      </c>
      <c r="E29" s="3">
        <v>10</v>
      </c>
      <c r="F29" s="3">
        <v>15</v>
      </c>
    </row>
    <row r="30" spans="2:7" x14ac:dyDescent="0.2">
      <c r="C30" s="4" t="s">
        <v>30</v>
      </c>
      <c r="D30" s="3">
        <v>10</v>
      </c>
      <c r="E30" s="3">
        <v>12</v>
      </c>
      <c r="F30" s="3">
        <v>17</v>
      </c>
    </row>
    <row r="31" spans="2:7" x14ac:dyDescent="0.2">
      <c r="C31" s="4" t="s">
        <v>31</v>
      </c>
      <c r="D31" s="3">
        <v>20</v>
      </c>
      <c r="E31" s="3">
        <v>20</v>
      </c>
      <c r="F31" s="3">
        <v>20</v>
      </c>
    </row>
    <row r="32" spans="2:7" x14ac:dyDescent="0.2">
      <c r="C32" s="4" t="s">
        <v>32</v>
      </c>
      <c r="D32" s="3">
        <v>6</v>
      </c>
      <c r="E32" s="3">
        <v>4</v>
      </c>
      <c r="F32" s="3">
        <v>8</v>
      </c>
    </row>
    <row r="33" spans="3:7" x14ac:dyDescent="0.2">
      <c r="C33" s="4" t="s">
        <v>33</v>
      </c>
      <c r="D33" s="3">
        <v>2</v>
      </c>
      <c r="E33" s="3">
        <v>3</v>
      </c>
      <c r="F33" s="3">
        <v>5</v>
      </c>
    </row>
    <row r="37" spans="3:7" x14ac:dyDescent="0.2">
      <c r="D37" t="s">
        <v>34</v>
      </c>
      <c r="E37" t="s">
        <v>35</v>
      </c>
      <c r="F37" t="s">
        <v>36</v>
      </c>
    </row>
    <row r="38" spans="3:7" x14ac:dyDescent="0.2">
      <c r="D38" t="s">
        <v>27</v>
      </c>
      <c r="E38" t="s">
        <v>29</v>
      </c>
      <c r="F38">
        <f>INDEX(D29:F33,MATCH(E38,C29:C33,0),MATCH(D38,D28:F28,0))</f>
        <v>10</v>
      </c>
    </row>
    <row r="40" spans="3:7" x14ac:dyDescent="0.2">
      <c r="D40" t="s">
        <v>40</v>
      </c>
      <c r="E40" t="s">
        <v>41</v>
      </c>
    </row>
    <row r="48" spans="3:7" x14ac:dyDescent="0.2">
      <c r="G48" t="s">
        <v>38</v>
      </c>
    </row>
    <row r="49" spans="9:12" x14ac:dyDescent="0.2">
      <c r="I49" t="s">
        <v>37</v>
      </c>
    </row>
    <row r="50" spans="9:12" x14ac:dyDescent="0.2">
      <c r="L50" t="s">
        <v>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9D0D6-38E7-E942-963C-38CC819DDA00}">
  <dimension ref="B3:H24"/>
  <sheetViews>
    <sheetView topLeftCell="A4" zoomScale="245" workbookViewId="0">
      <selection activeCell="C7" sqref="C7:C14"/>
    </sheetView>
  </sheetViews>
  <sheetFormatPr baseColWidth="10" defaultRowHeight="16" x14ac:dyDescent="0.2"/>
  <sheetData>
    <row r="3" spans="2:8" x14ac:dyDescent="0.2">
      <c r="B3" t="s">
        <v>47</v>
      </c>
    </row>
    <row r="8" spans="2:8" x14ac:dyDescent="0.2">
      <c r="B8" s="2" t="s">
        <v>2</v>
      </c>
      <c r="C8" s="5" t="s">
        <v>3</v>
      </c>
      <c r="D8" s="5" t="s">
        <v>4</v>
      </c>
      <c r="E8" s="5" t="s">
        <v>5</v>
      </c>
    </row>
    <row r="9" spans="2:8" x14ac:dyDescent="0.2">
      <c r="B9" s="5">
        <v>1201</v>
      </c>
      <c r="C9" s="2" t="s">
        <v>6</v>
      </c>
      <c r="D9" s="2" t="s">
        <v>7</v>
      </c>
      <c r="E9" s="2" t="s">
        <v>8</v>
      </c>
      <c r="G9" t="s">
        <v>54</v>
      </c>
      <c r="H9" t="s">
        <v>55</v>
      </c>
    </row>
    <row r="10" spans="2:8" x14ac:dyDescent="0.2">
      <c r="B10" s="5">
        <v>1202</v>
      </c>
      <c r="C10" s="2" t="s">
        <v>9</v>
      </c>
      <c r="D10" s="2" t="s">
        <v>10</v>
      </c>
      <c r="E10" s="2" t="s">
        <v>11</v>
      </c>
      <c r="G10">
        <v>1204</v>
      </c>
      <c r="H10" t="str">
        <f>VLOOKUP(G10,B9:E14,4,FALSE)</f>
        <v>Fake num 4</v>
      </c>
    </row>
    <row r="11" spans="2:8" x14ac:dyDescent="0.2">
      <c r="B11" s="5">
        <v>1203</v>
      </c>
      <c r="C11" s="2" t="s">
        <v>12</v>
      </c>
      <c r="D11" s="2" t="s">
        <v>13</v>
      </c>
      <c r="E11" s="2" t="s">
        <v>14</v>
      </c>
    </row>
    <row r="12" spans="2:8" x14ac:dyDescent="0.2">
      <c r="B12" s="5">
        <v>1204</v>
      </c>
      <c r="C12" s="2" t="s">
        <v>15</v>
      </c>
      <c r="D12" s="2" t="s">
        <v>16</v>
      </c>
      <c r="E12" s="2" t="s">
        <v>17</v>
      </c>
    </row>
    <row r="13" spans="2:8" x14ac:dyDescent="0.2">
      <c r="B13" s="5">
        <v>1205</v>
      </c>
      <c r="C13" s="2" t="s">
        <v>18</v>
      </c>
      <c r="D13" s="2" t="s">
        <v>19</v>
      </c>
      <c r="E13" s="2" t="s">
        <v>20</v>
      </c>
    </row>
    <row r="14" spans="2:8" x14ac:dyDescent="0.2">
      <c r="B14" s="5">
        <v>1206</v>
      </c>
      <c r="C14" s="2" t="s">
        <v>21</v>
      </c>
      <c r="D14" s="2" t="s">
        <v>22</v>
      </c>
      <c r="E14" s="2" t="s">
        <v>23</v>
      </c>
    </row>
    <row r="18" spans="2:7" ht="20" x14ac:dyDescent="0.25">
      <c r="B18" s="7" t="s">
        <v>48</v>
      </c>
      <c r="C18" s="2"/>
      <c r="D18" s="2"/>
      <c r="E18" s="2"/>
      <c r="F18" s="2"/>
      <c r="G18" s="2"/>
    </row>
    <row r="19" spans="2:7" x14ac:dyDescent="0.2">
      <c r="B19" s="2"/>
      <c r="C19" s="2"/>
      <c r="D19" s="2"/>
      <c r="E19" s="2"/>
      <c r="F19" s="2"/>
      <c r="G19" s="2"/>
    </row>
    <row r="20" spans="2:7" x14ac:dyDescent="0.2">
      <c r="B20" s="8" t="s">
        <v>49</v>
      </c>
      <c r="C20" s="2"/>
      <c r="D20" s="2"/>
      <c r="E20" s="2"/>
      <c r="F20" s="2"/>
      <c r="G20" s="2"/>
    </row>
    <row r="21" spans="2:7" x14ac:dyDescent="0.2">
      <c r="B21" s="2" t="s">
        <v>50</v>
      </c>
      <c r="C21" s="2"/>
      <c r="D21" s="2"/>
      <c r="E21" s="2"/>
      <c r="F21" s="2"/>
      <c r="G21" s="2"/>
    </row>
    <row r="22" spans="2:7" x14ac:dyDescent="0.2">
      <c r="B22" s="2" t="s">
        <v>51</v>
      </c>
      <c r="C22" s="2"/>
      <c r="D22" s="2"/>
      <c r="E22" s="2"/>
      <c r="F22" s="2"/>
      <c r="G22" s="2"/>
    </row>
    <row r="23" spans="2:7" x14ac:dyDescent="0.2">
      <c r="B23" s="2" t="s">
        <v>52</v>
      </c>
      <c r="C23" s="2"/>
      <c r="D23" s="2"/>
      <c r="E23" s="2"/>
      <c r="F23" s="2"/>
      <c r="G23" s="2"/>
    </row>
    <row r="24" spans="2:7" x14ac:dyDescent="0.2">
      <c r="B24" s="2" t="s">
        <v>56</v>
      </c>
      <c r="C24" s="2"/>
      <c r="D24" s="2"/>
      <c r="E24" s="2"/>
      <c r="F24" s="2"/>
      <c r="G2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5214C-E662-364D-87D0-BF88F8EACD65}">
  <dimension ref="C5:J24"/>
  <sheetViews>
    <sheetView tabSelected="1" topLeftCell="F10" zoomScale="400" workbookViewId="0">
      <selection activeCell="J14" sqref="J14"/>
    </sheetView>
  </sheetViews>
  <sheetFormatPr baseColWidth="10" defaultRowHeight="16" x14ac:dyDescent="0.2"/>
  <sheetData>
    <row r="5" spans="3:10" x14ac:dyDescent="0.2">
      <c r="C5" s="2" t="s">
        <v>2</v>
      </c>
      <c r="D5" s="5">
        <v>1201</v>
      </c>
      <c r="E5" s="5">
        <v>1202</v>
      </c>
      <c r="F5" s="5">
        <v>1203</v>
      </c>
      <c r="G5" s="5">
        <v>1204</v>
      </c>
      <c r="H5" s="5">
        <v>1205</v>
      </c>
      <c r="I5" s="5">
        <v>1206</v>
      </c>
    </row>
    <row r="6" spans="3:10" x14ac:dyDescent="0.2">
      <c r="C6" s="5" t="s">
        <v>3</v>
      </c>
      <c r="D6" s="2" t="s">
        <v>6</v>
      </c>
      <c r="E6" s="2" t="s">
        <v>9</v>
      </c>
      <c r="F6" s="2" t="s">
        <v>12</v>
      </c>
      <c r="G6" s="2" t="s">
        <v>15</v>
      </c>
      <c r="H6" s="2" t="s">
        <v>18</v>
      </c>
      <c r="I6" s="2" t="s">
        <v>21</v>
      </c>
    </row>
    <row r="7" spans="3:10" x14ac:dyDescent="0.2">
      <c r="C7" s="5" t="s">
        <v>4</v>
      </c>
      <c r="D7" s="2" t="s">
        <v>7</v>
      </c>
      <c r="E7" s="2" t="s">
        <v>10</v>
      </c>
      <c r="F7" s="2" t="s">
        <v>13</v>
      </c>
      <c r="G7" s="2" t="s">
        <v>16</v>
      </c>
      <c r="H7" s="2" t="s">
        <v>19</v>
      </c>
      <c r="I7" s="2" t="s">
        <v>22</v>
      </c>
    </row>
    <row r="8" spans="3:10" x14ac:dyDescent="0.2">
      <c r="C8" s="5" t="s">
        <v>5</v>
      </c>
      <c r="D8" s="2" t="s">
        <v>8</v>
      </c>
      <c r="E8" s="2" t="s">
        <v>11</v>
      </c>
      <c r="F8" s="2" t="s">
        <v>14</v>
      </c>
      <c r="G8" s="2" t="s">
        <v>17</v>
      </c>
      <c r="H8" s="2" t="s">
        <v>20</v>
      </c>
      <c r="I8" s="2" t="s">
        <v>23</v>
      </c>
    </row>
    <row r="12" spans="3:10" x14ac:dyDescent="0.2">
      <c r="H12" t="s">
        <v>54</v>
      </c>
      <c r="J12" t="s">
        <v>5</v>
      </c>
    </row>
    <row r="13" spans="3:10" x14ac:dyDescent="0.2">
      <c r="D13" t="s">
        <v>46</v>
      </c>
      <c r="H13">
        <v>1206</v>
      </c>
      <c r="J13" t="str">
        <f>HLOOKUP(H13,C5:I8,4,FALSE)</f>
        <v>Fake num 6</v>
      </c>
    </row>
    <row r="15" spans="3:10" x14ac:dyDescent="0.2">
      <c r="D15" t="s">
        <v>57</v>
      </c>
    </row>
    <row r="16" spans="3:10" x14ac:dyDescent="0.2">
      <c r="H16" t="s">
        <v>7</v>
      </c>
    </row>
    <row r="19" spans="4:9" x14ac:dyDescent="0.2">
      <c r="D19" s="2" t="s">
        <v>58</v>
      </c>
      <c r="E19" s="2"/>
      <c r="F19" s="2"/>
      <c r="G19" s="2"/>
      <c r="H19" s="2"/>
      <c r="I19" s="2"/>
    </row>
    <row r="20" spans="4:9" x14ac:dyDescent="0.2">
      <c r="D20" s="8" t="s">
        <v>49</v>
      </c>
      <c r="E20" s="2"/>
      <c r="F20" s="2"/>
      <c r="G20" s="2"/>
      <c r="H20" s="2"/>
      <c r="I20" s="2"/>
    </row>
    <row r="21" spans="4:9" x14ac:dyDescent="0.2">
      <c r="D21" s="2" t="s">
        <v>59</v>
      </c>
      <c r="E21" s="2"/>
      <c r="F21" s="2"/>
      <c r="G21" s="2"/>
      <c r="H21" s="2"/>
      <c r="I21" s="2"/>
    </row>
    <row r="22" spans="4:9" x14ac:dyDescent="0.2">
      <c r="D22" s="2" t="s">
        <v>51</v>
      </c>
      <c r="E22" s="2"/>
      <c r="F22" s="2"/>
      <c r="G22" s="2"/>
      <c r="H22" s="2"/>
      <c r="I22" s="2"/>
    </row>
    <row r="23" spans="4:9" x14ac:dyDescent="0.2">
      <c r="D23" s="2" t="s">
        <v>60</v>
      </c>
      <c r="E23" s="2"/>
      <c r="F23" s="2"/>
      <c r="G23" s="2"/>
      <c r="H23" s="2"/>
      <c r="I23" s="2"/>
    </row>
    <row r="24" spans="4:9" x14ac:dyDescent="0.2">
      <c r="D24" s="2" t="s">
        <v>53</v>
      </c>
      <c r="E24" s="2"/>
      <c r="F24" s="2"/>
      <c r="G24" s="2"/>
      <c r="H24" s="2"/>
      <c r="I24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AGENDA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2026-02-26T15:39:04Z</dcterms:created>
  <dcterms:modified xsi:type="dcterms:W3CDTF">2026-03-01T15:45:32Z</dcterms:modified>
</cp:coreProperties>
</file>