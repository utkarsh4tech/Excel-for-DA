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E33F39B1-9B76-DD48-94C1-9F149C486DB1}" xr6:coauthVersionLast="47" xr6:coauthVersionMax="47" xr10:uidLastSave="{00000000-0000-0000-0000-000000000000}"/>
  <bookViews>
    <workbookView xWindow="0" yWindow="600" windowWidth="28800" windowHeight="17400" activeTab="1" xr2:uid="{94347745-C36F-7E41-AF64-875251F7D563}"/>
  </bookViews>
  <sheets>
    <sheet name="agenda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 a="1"/>
  <c r="D12" i="2"/>
  <c r="D34" i="3"/>
  <c r="D39" i="3"/>
  <c r="D36" i="3"/>
  <c r="E34" i="3"/>
  <c r="D66" i="2"/>
  <c r="D65" i="2"/>
  <c r="C24" i="3"/>
  <c r="C25" i="3"/>
  <c r="D18" i="3"/>
  <c r="D19" i="3"/>
  <c r="D20" i="3"/>
  <c r="D17" i="3"/>
  <c r="D8" i="3"/>
  <c r="D9" i="3"/>
  <c r="D10" i="3"/>
  <c r="D7" i="3"/>
  <c r="D75" i="2"/>
  <c r="D63" i="2"/>
  <c r="D58" i="2"/>
  <c r="D59" i="2"/>
  <c r="D60" i="2"/>
  <c r="D61" i="2"/>
  <c r="D62" i="2"/>
  <c r="D57" i="2"/>
  <c r="F48" i="2"/>
  <c r="E48" i="2"/>
  <c r="F49" i="2"/>
  <c r="E49" i="2"/>
  <c r="C49" i="2"/>
  <c r="C48" i="2"/>
  <c r="D49" i="2"/>
  <c r="D48" i="2"/>
  <c r="E45" i="2"/>
  <c r="E44" i="2"/>
  <c r="C44" i="2"/>
  <c r="C45" i="2"/>
  <c r="D45" i="2"/>
  <c r="D44" i="2"/>
  <c r="C40" i="2"/>
  <c r="E41" i="2"/>
  <c r="D41" i="2"/>
  <c r="E40" i="2"/>
  <c r="D40" i="2"/>
  <c r="C41" i="2"/>
  <c r="C29" i="2"/>
  <c r="D13" i="2"/>
  <c r="D14" i="2"/>
  <c r="D15" i="2"/>
  <c r="D16" i="2"/>
  <c r="E4" i="2"/>
  <c r="E5" i="2" l="1"/>
  <c r="E8" i="2"/>
  <c r="E6" i="2"/>
  <c r="E7" i="2"/>
  <c r="D4" i="2"/>
  <c r="D5" i="2"/>
  <c r="D6" i="2"/>
  <c r="D7" i="2"/>
  <c r="D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<sst xmlns="http://schemas.openxmlformats.org/spreadsheetml/2006/main" count="73" uniqueCount="60">
  <si>
    <t>Logical Func</t>
  </si>
  <si>
    <t>1) What is boolean</t>
  </si>
  <si>
    <t>=</t>
  </si>
  <si>
    <t>&gt;</t>
  </si>
  <si>
    <t>&gt;=</t>
  </si>
  <si>
    <t>&lt;</t>
  </si>
  <si>
    <t>&lt;=</t>
  </si>
  <si>
    <t>aswq</t>
  </si>
  <si>
    <t>IF</t>
  </si>
  <si>
    <t>Name</t>
  </si>
  <si>
    <t>Age</t>
  </si>
  <si>
    <t>Demo 1</t>
  </si>
  <si>
    <t>Demo 2</t>
  </si>
  <si>
    <t>Demo 3</t>
  </si>
  <si>
    <t>Demo 4</t>
  </si>
  <si>
    <t>Demo 5</t>
  </si>
  <si>
    <t>Can Vote?</t>
  </si>
  <si>
    <t>Odd age?</t>
  </si>
  <si>
    <t xml:space="preserve">Name </t>
  </si>
  <si>
    <t>Marks</t>
  </si>
  <si>
    <t>GRADES</t>
  </si>
  <si>
    <t>A</t>
  </si>
  <si>
    <t>B</t>
  </si>
  <si>
    <t>90&gt;MARKS&gt;=80</t>
  </si>
  <si>
    <t>MARKS&gt;=90</t>
  </si>
  <si>
    <t>C</t>
  </si>
  <si>
    <t>80&gt;MARKS&gt;=70</t>
  </si>
  <si>
    <t>D</t>
  </si>
  <si>
    <t>70&gt;MARKS&gt;=60</t>
  </si>
  <si>
    <t>E</t>
  </si>
  <si>
    <t>60&gt;MARKS&gt;=50</t>
  </si>
  <si>
    <t>F</t>
  </si>
  <si>
    <t>Otherwise</t>
  </si>
  <si>
    <t>NESTED</t>
  </si>
  <si>
    <t>One inside another</t>
  </si>
  <si>
    <t>WIRTE an IF func to check divisibility by 7</t>
  </si>
  <si>
    <t>Check if the number is perfect square</t>
  </si>
  <si>
    <t>When we take Square root, we get back Integer</t>
  </si>
  <si>
    <t>Perfect Sq</t>
  </si>
  <si>
    <t>Not Perfect Sq</t>
  </si>
  <si>
    <t>LEAP year??</t>
  </si>
  <si>
    <t>YEAR</t>
  </si>
  <si>
    <t>Leap / Non Leap</t>
  </si>
  <si>
    <t>IFERROR</t>
  </si>
  <si>
    <t>Nr</t>
  </si>
  <si>
    <t>Dr</t>
  </si>
  <si>
    <t>Quot</t>
  </si>
  <si>
    <t>AND Or Not</t>
  </si>
  <si>
    <t>AND</t>
  </si>
  <si>
    <t>cond 1</t>
  </si>
  <si>
    <t>cond 2</t>
  </si>
  <si>
    <t>O/p is true when all are true</t>
  </si>
  <si>
    <t>OR</t>
  </si>
  <si>
    <t>o/p is true, when anyone is tue</t>
  </si>
  <si>
    <t>Not</t>
  </si>
  <si>
    <t>just opposite</t>
  </si>
  <si>
    <t>jfjf</t>
  </si>
  <si>
    <t>IS* ()</t>
  </si>
  <si>
    <t>IFS</t>
  </si>
  <si>
    <t>AND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</si>
</sst>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783739</xdr:colOff>
      <xdr:row>17</xdr:row>
      <xdr:rowOff>194505</xdr:rowOff>
    </xdr:from>
    <xdr:to>
      <xdr:col>7</xdr:col>
      <xdr:colOff>133637</xdr:colOff>
      <xdr:row>25</xdr:row>
      <xdr:rowOff>159837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5B908-C873-29DD-C140-B5A69C13A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523" y="3695586"/>
          <a:ext cx="4292600" cy="1612900"/>
        </a:xfrm>
        <a:prstGeom prst="rect">
          <a:avLst/>
        </a:prstGeom>
      </xdr:spPr>
    </xdr:pic>
    <xdr:clientData/>
  </xdr:twoCellAnchor>
  <xdr:twoCellAnchor editAs="oneCell">
    <xdr:from>
      <xdr:col>2</xdr:col>
      <xdr:colOff>823783</xdr:colOff>
      <xdr:row>34</xdr:row>
      <xdr:rowOff>0</xdr:rowOff>
    </xdr:from>
    <xdr:to>
      <xdr:col>12</xdr:col>
      <xdr:colOff>358346</xdr:colOff>
      <xdr:row>38</xdr:row>
      <xdr:rowOff>9756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776B9E-5BDA-67AD-12A7-BCB745310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1351" y="7002162"/>
          <a:ext cx="7772400" cy="8335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6</xdr:col>
      <xdr:colOff>756165</xdr:colOff>
      <xdr:row>49</xdr:row>
      <xdr:rowOff>110525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2F3894-116A-03DF-6AF4-072CE3163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7568" y="8855676"/>
          <a:ext cx="4051300" cy="1346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7</xdr:col>
      <xdr:colOff>567382</xdr:colOff>
      <xdr:row>50</xdr:row>
      <xdr:rowOff>183979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65D4F6-978D-89FC-1AC8-0A59EC456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7568" y="8855676"/>
          <a:ext cx="4686300" cy="1625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177342</xdr:colOff>
      <xdr:row>23</xdr:row>
      <xdr:rowOff>188784</xdr:rowOff>
    </xdr:from>
    <xdr:to>
      <xdr:col>12</xdr:col>
      <xdr:colOff>744723</xdr:colOff>
      <xdr:row>31</xdr:row>
      <xdr:rowOff>166817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6A6F81-1FAB-26FB-8E92-64CBFC183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828" y="4925541"/>
          <a:ext cx="4686300" cy="1625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761104</xdr:colOff>
      <xdr:row>53</xdr:row>
      <xdr:rowOff>146755</xdr:rowOff>
    </xdr:from>
    <xdr:to>
      <xdr:col>8</xdr:col>
      <xdr:colOff>24836</xdr:colOff>
      <xdr:row>64</xdr:row>
      <xdr:rowOff>146755</xdr:rowOff>
    </xdr:to>
    <xdr:pic>
      <xdr:nvPicPr>
        <xdr:cNvPr id="3" name="Picture 2" descr="Program to Check Leap Year in Python">
          <a:extLst>
            <a:ext uri="{FF2B5EF4-FFF2-40B4-BE49-F238E27FC236}">
              <a16:creationId xmlns:a16="http://schemas.microsoft.com/office/drawing/2014/main" id="{B95B4DBB-417F-D9BD-68F5-47B707562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9193" y="10916355"/>
          <a:ext cx="2560087" cy="223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17C3-03A7-FB45-A225-9F8A0CAE3379}">
  <dimension ref="A2:H71"/>
  <sheetViews>
    <sheetView topLeftCell="A64" zoomScale="222" workbookViewId="0">
      <selection activeCell="B73" sqref="B73"/>
    </sheetView>
  </sheetViews>
  <sheetFormatPr baseColWidth="10" defaultRowHeight="16" x14ac:dyDescent="0.2"/>
  <sheetData>
    <row r="2" spans="1:5" x14ac:dyDescent="0.2">
      <c r="B2" t="s">
        <v>0</v>
      </c>
    </row>
    <row r="5" spans="1:5" x14ac:dyDescent="0.2">
      <c r="B5" t="s">
        <v>1</v>
      </c>
    </row>
    <row r="7" spans="1:5" x14ac:dyDescent="0.2">
      <c r="B7" t="b">
        <v>1</v>
      </c>
      <c r="C7">
        <v>1</v>
      </c>
    </row>
    <row r="8" spans="1:5" x14ac:dyDescent="0.2">
      <c r="B8" t="b">
        <v>0</v>
      </c>
      <c r="C8">
        <v>0</v>
      </c>
    </row>
    <row r="10" spans="1:5" x14ac:dyDescent="0.2">
      <c r="B10" t="s">
        <v>2</v>
      </c>
    </row>
    <row r="11" spans="1:5" x14ac:dyDescent="0.2">
      <c r="B11" t="s">
        <v>3</v>
      </c>
    </row>
    <row r="12" spans="1:5" x14ac:dyDescent="0.2">
      <c r="B12" t="s">
        <v>4</v>
      </c>
      <c r="C12" t="s">
        <v>7</v>
      </c>
      <c r="D12" t="s">
        <v>7</v>
      </c>
    </row>
    <row r="13" spans="1:5" x14ac:dyDescent="0.2">
      <c r="B13" t="s">
        <v>5</v>
      </c>
    </row>
    <row r="14" spans="1:5" x14ac:dyDescent="0.2">
      <c r="B14" t="s">
        <v>6</v>
      </c>
    </row>
    <row r="16" spans="1:5" x14ac:dyDescent="0.2">
      <c r="A16" s="1"/>
      <c r="B16" s="1"/>
      <c r="C16" s="1"/>
      <c r="D16" s="1"/>
      <c r="E16" s="1"/>
    </row>
    <row r="18" spans="2:4" x14ac:dyDescent="0.2">
      <c r="B18" t="s">
        <v>8</v>
      </c>
    </row>
    <row r="31" spans="2:4" x14ac:dyDescent="0.2">
      <c r="B31" t="s">
        <v>33</v>
      </c>
    </row>
    <row r="32" spans="2:4" x14ac:dyDescent="0.2">
      <c r="D32" t="s">
        <v>34</v>
      </c>
    </row>
    <row r="43" spans="2:2" x14ac:dyDescent="0.2">
      <c r="B43" t="s">
        <v>43</v>
      </c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60" spans="1:8" x14ac:dyDescent="0.2">
      <c r="C60" t="s">
        <v>47</v>
      </c>
    </row>
    <row r="63" spans="1:8" x14ac:dyDescent="0.2">
      <c r="B63" t="s">
        <v>48</v>
      </c>
      <c r="D63" t="s">
        <v>51</v>
      </c>
    </row>
    <row r="65" spans="2:4" x14ac:dyDescent="0.2">
      <c r="B65" t="s">
        <v>52</v>
      </c>
      <c r="D65" t="s">
        <v>53</v>
      </c>
    </row>
    <row r="67" spans="2:4" x14ac:dyDescent="0.2">
      <c r="B67" t="s">
        <v>54</v>
      </c>
      <c r="D67" t="s">
        <v>55</v>
      </c>
    </row>
    <row r="71" spans="2:4" x14ac:dyDescent="0.2">
      <c r="B71" t="s">
        <v>58</v>
      </c>
      <c r="D71" t="s">
        <v>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A2F6-6696-904F-8084-3BFA04300919}">
  <dimension ref="A3:H75"/>
  <sheetViews>
    <sheetView tabSelected="1" topLeftCell="A9" zoomScale="225" workbookViewId="0">
      <selection activeCell="B18" sqref="B18"/>
    </sheetView>
  </sheetViews>
  <sheetFormatPr baseColWidth="10" defaultRowHeight="16" x14ac:dyDescent="0.2"/>
  <cols>
    <col min="4" max="4" width="15" bestFit="1" customWidth="1"/>
  </cols>
  <sheetData>
    <row r="3" spans="2:5" x14ac:dyDescent="0.2">
      <c r="B3" t="s">
        <v>9</v>
      </c>
      <c r="C3" t="s">
        <v>10</v>
      </c>
      <c r="D3" t="s">
        <v>16</v>
      </c>
      <c r="E3" t="s">
        <v>17</v>
      </c>
    </row>
    <row r="4" spans="2:5" x14ac:dyDescent="0.2">
      <c r="B4" t="s">
        <v>11</v>
      </c>
      <c r="C4">
        <v>35</v>
      </c>
      <c r="D4" t="str">
        <f>IF(C4&gt;=18,"YES PLEASE VOTE","No, underage")</f>
        <v>YES PLEASE VOTE</v>
      </c>
      <c r="E4" t="str">
        <f>IF(MOD(C4,2),"ODD","EVEN")</f>
        <v>ODD</v>
      </c>
    </row>
    <row r="5" spans="2:5" x14ac:dyDescent="0.2">
      <c r="B5" t="s">
        <v>12</v>
      </c>
      <c r="C5">
        <v>32</v>
      </c>
      <c r="D5" t="str">
        <f t="shared" ref="D5:D8" si="0">IF(C5&gt;=18,"YES PLEASE VOTE","No, underage")</f>
        <v>YES PLEASE VOTE</v>
      </c>
      <c r="E5" t="str">
        <f t="shared" ref="E5:E8" si="1">IF(MOD(C5,2),"ODD","EVEN")</f>
        <v>EVEN</v>
      </c>
    </row>
    <row r="6" spans="2:5" x14ac:dyDescent="0.2">
      <c r="B6" t="s">
        <v>13</v>
      </c>
      <c r="C6">
        <v>20</v>
      </c>
      <c r="D6" t="str">
        <f t="shared" si="0"/>
        <v>YES PLEASE VOTE</v>
      </c>
      <c r="E6" t="str">
        <f t="shared" si="1"/>
        <v>EVEN</v>
      </c>
    </row>
    <row r="7" spans="2:5" x14ac:dyDescent="0.2">
      <c r="B7" t="s">
        <v>14</v>
      </c>
      <c r="C7">
        <v>36</v>
      </c>
      <c r="D7" t="str">
        <f t="shared" si="0"/>
        <v>YES PLEASE VOTE</v>
      </c>
      <c r="E7" t="str">
        <f t="shared" si="1"/>
        <v>EVEN</v>
      </c>
    </row>
    <row r="8" spans="2:5" x14ac:dyDescent="0.2">
      <c r="B8" t="s">
        <v>15</v>
      </c>
      <c r="C8">
        <v>49</v>
      </c>
      <c r="D8" t="str">
        <f t="shared" si="0"/>
        <v>YES PLEASE VOTE</v>
      </c>
      <c r="E8" t="str">
        <f t="shared" si="1"/>
        <v>ODD</v>
      </c>
    </row>
    <row r="11" spans="2:5" x14ac:dyDescent="0.2">
      <c r="B11" t="s">
        <v>18</v>
      </c>
      <c r="C11" t="s">
        <v>19</v>
      </c>
      <c r="D11" t="s">
        <v>20</v>
      </c>
    </row>
    <row r="12" spans="2:5" x14ac:dyDescent="0.2">
      <c r="B12" t="s">
        <v>11</v>
      </c>
      <c r="C12">
        <v>98</v>
      </c>
      <c r="D12" t="str">
        <f>IF(C12&gt;=90,"A",IF(C12&gt;=80,"B",IF(C12&gt;=70,"C",IF(C12&gt;=60,"D",IF(C12&gt;=50,"E","F")))))</f>
        <v>A</v>
      </c>
      <c r="E12" t="str" cm="1">
        <f t="array" ref="E12">_xlfn.IFS(C12&gt;=90,"A",C12&gt;=80,"B",C12&gt;=70,"c")</f>
        <v>A</v>
      </c>
    </row>
    <row r="13" spans="2:5" x14ac:dyDescent="0.2">
      <c r="B13" t="s">
        <v>12</v>
      </c>
      <c r="C13">
        <v>86</v>
      </c>
      <c r="D13" t="str">
        <f t="shared" ref="D13:D16" si="2">IF(C13&gt;=90,"A",IF(C13&gt;=80,"B",IF(C13&gt;=70,"C",IF(C13&gt;=60,"D",IF(C13&gt;=50,"E","F")))))</f>
        <v>B</v>
      </c>
    </row>
    <row r="14" spans="2:5" x14ac:dyDescent="0.2">
      <c r="B14" t="s">
        <v>13</v>
      </c>
      <c r="C14">
        <v>36</v>
      </c>
      <c r="D14" t="str">
        <f t="shared" si="2"/>
        <v>F</v>
      </c>
    </row>
    <row r="15" spans="2:5" x14ac:dyDescent="0.2">
      <c r="B15" t="s">
        <v>14</v>
      </c>
      <c r="C15">
        <v>66</v>
      </c>
      <c r="D15" t="str">
        <f t="shared" si="2"/>
        <v>D</v>
      </c>
    </row>
    <row r="16" spans="2:5" x14ac:dyDescent="0.2">
      <c r="B16" t="s">
        <v>15</v>
      </c>
      <c r="C16">
        <v>74</v>
      </c>
      <c r="D16" t="str">
        <f t="shared" si="2"/>
        <v>C</v>
      </c>
    </row>
    <row r="18" spans="2:4" x14ac:dyDescent="0.2">
      <c r="C18" t="s">
        <v>21</v>
      </c>
      <c r="D18" t="s">
        <v>24</v>
      </c>
    </row>
    <row r="19" spans="2:4" x14ac:dyDescent="0.2">
      <c r="C19" t="s">
        <v>22</v>
      </c>
      <c r="D19" t="s">
        <v>23</v>
      </c>
    </row>
    <row r="20" spans="2:4" x14ac:dyDescent="0.2">
      <c r="C20" t="s">
        <v>25</v>
      </c>
      <c r="D20" t="s">
        <v>26</v>
      </c>
    </row>
    <row r="21" spans="2:4" x14ac:dyDescent="0.2">
      <c r="C21" t="s">
        <v>27</v>
      </c>
      <c r="D21" s="2" t="s">
        <v>28</v>
      </c>
    </row>
    <row r="22" spans="2:4" x14ac:dyDescent="0.2">
      <c r="C22" t="s">
        <v>29</v>
      </c>
      <c r="D22" s="2" t="s">
        <v>30</v>
      </c>
    </row>
    <row r="23" spans="2:4" x14ac:dyDescent="0.2">
      <c r="C23" t="s">
        <v>31</v>
      </c>
      <c r="D23" t="s">
        <v>32</v>
      </c>
    </row>
    <row r="26" spans="2:4" x14ac:dyDescent="0.2">
      <c r="B26" t="s">
        <v>35</v>
      </c>
    </row>
    <row r="29" spans="2:4" x14ac:dyDescent="0.2">
      <c r="B29">
        <v>49</v>
      </c>
      <c r="C29" t="str">
        <f>IF(MOD(B29,7)=0,"Divis","No")</f>
        <v>Divis</v>
      </c>
    </row>
    <row r="32" spans="2:4" x14ac:dyDescent="0.2">
      <c r="B32" t="s">
        <v>36</v>
      </c>
    </row>
    <row r="34" spans="2:6" x14ac:dyDescent="0.2">
      <c r="B34" t="s">
        <v>37</v>
      </c>
    </row>
    <row r="36" spans="2:6" x14ac:dyDescent="0.2">
      <c r="C36" t="s">
        <v>38</v>
      </c>
    </row>
    <row r="37" spans="2:6" x14ac:dyDescent="0.2">
      <c r="C37" t="s">
        <v>39</v>
      </c>
    </row>
    <row r="40" spans="2:6" x14ac:dyDescent="0.2">
      <c r="B40">
        <v>16</v>
      </c>
      <c r="C40" t="str">
        <f>IF(SQRT(B40)=INT(SQRT(B40)),"Pef","No.")</f>
        <v>Pef</v>
      </c>
      <c r="D40">
        <f>SQRT(B40)</f>
        <v>4</v>
      </c>
      <c r="E40">
        <f>INT(SQRT(B40))</f>
        <v>4</v>
      </c>
    </row>
    <row r="41" spans="2:6" x14ac:dyDescent="0.2">
      <c r="B41">
        <v>14</v>
      </c>
      <c r="C41" t="str">
        <f>IF(SQRT(B41)=INT(SQRT(B41)),"Pef","No.")</f>
        <v>No.</v>
      </c>
      <c r="D41">
        <f>SQRT(B41)</f>
        <v>3.7416573867739413</v>
      </c>
      <c r="E41">
        <f>INT(SQRT(B41))</f>
        <v>3</v>
      </c>
    </row>
    <row r="44" spans="2:6" x14ac:dyDescent="0.2">
      <c r="B44">
        <v>16</v>
      </c>
      <c r="C44" t="str">
        <f>IF(MOD(SQRT(B44),1)=0,"Pef","No.")</f>
        <v>Pef</v>
      </c>
      <c r="D44">
        <f>SQRT(B44)</f>
        <v>4</v>
      </c>
      <c r="E44">
        <f>MOD(SQRT(B44),1)</f>
        <v>0</v>
      </c>
    </row>
    <row r="45" spans="2:6" x14ac:dyDescent="0.2">
      <c r="B45">
        <v>14</v>
      </c>
      <c r="C45" t="str">
        <f>IF(MOD(SQRT(B45),1)=0,"Pef","No.")</f>
        <v>No.</v>
      </c>
      <c r="D45">
        <f>SQRT(B45)</f>
        <v>3.7416573867739413</v>
      </c>
      <c r="E45">
        <f>MOD(SQRT(B45),1)</f>
        <v>0.74165738677394133</v>
      </c>
    </row>
    <row r="48" spans="2:6" x14ac:dyDescent="0.2">
      <c r="B48">
        <v>16</v>
      </c>
      <c r="C48" t="str">
        <f>IF(SQRT(B48)*SQRT(B48)=B48,"Pef","No.")</f>
        <v>Pef</v>
      </c>
      <c r="D48">
        <f>SQRT(B48)</f>
        <v>4</v>
      </c>
      <c r="E48">
        <f>INT(SQRT(B48))</f>
        <v>4</v>
      </c>
      <c r="F48">
        <f>E48*E48</f>
        <v>16</v>
      </c>
    </row>
    <row r="49" spans="1:8" x14ac:dyDescent="0.2">
      <c r="B49">
        <v>14</v>
      </c>
      <c r="C49" t="str">
        <f>IF(INT(SQRT(B49))*INT(SQRT(B49))=B49,"Pef","No.")</f>
        <v>No.</v>
      </c>
      <c r="D49">
        <f>SQRT(B49)</f>
        <v>3.7416573867739413</v>
      </c>
      <c r="E49">
        <f>INT(SQRT(B49))</f>
        <v>3</v>
      </c>
      <c r="F49">
        <f>E49*E49</f>
        <v>9</v>
      </c>
    </row>
    <row r="52" spans="1:8" x14ac:dyDescent="0.2">
      <c r="A52" s="1"/>
      <c r="B52" s="1"/>
      <c r="C52" s="1"/>
      <c r="D52" s="1"/>
      <c r="E52" s="1"/>
      <c r="F52" s="1"/>
      <c r="G52" s="1"/>
      <c r="H52" s="1"/>
    </row>
    <row r="54" spans="1:8" x14ac:dyDescent="0.2">
      <c r="C54" t="s">
        <v>40</v>
      </c>
    </row>
    <row r="56" spans="1:8" x14ac:dyDescent="0.2">
      <c r="C56" s="3" t="s">
        <v>41</v>
      </c>
      <c r="D56" s="3" t="s">
        <v>42</v>
      </c>
    </row>
    <row r="57" spans="1:8" x14ac:dyDescent="0.2">
      <c r="C57" s="3">
        <v>2004</v>
      </c>
      <c r="D57" s="3" t="str">
        <f>IF(MOD(C57, 400) = 0, "Leap Year", IF(MOD(C57, 100) = 0, "Common Year", IF(MOD(C57, 4) = 0, "Leap Year", "Common Year")))</f>
        <v>Leap Year</v>
      </c>
    </row>
    <row r="58" spans="1:8" x14ac:dyDescent="0.2">
      <c r="C58" s="3">
        <v>2003</v>
      </c>
      <c r="D58" s="3" t="str">
        <f t="shared" ref="D58:D63" si="3">IF(MOD(C58, 400) = 0, "Leap Year", IF(MOD(C58, 100) = 0, "Common Year", IF(MOD(C58, 4) = 0, "Leap Year", "Common Year")))</f>
        <v>Common Year</v>
      </c>
    </row>
    <row r="59" spans="1:8" x14ac:dyDescent="0.2">
      <c r="C59" s="3">
        <v>2000</v>
      </c>
      <c r="D59" s="3" t="str">
        <f t="shared" si="3"/>
        <v>Leap Year</v>
      </c>
    </row>
    <row r="60" spans="1:8" x14ac:dyDescent="0.2">
      <c r="C60" s="3">
        <v>2010</v>
      </c>
      <c r="D60" s="3" t="str">
        <f t="shared" si="3"/>
        <v>Common Year</v>
      </c>
    </row>
    <row r="61" spans="1:8" x14ac:dyDescent="0.2">
      <c r="C61" s="3">
        <v>2016</v>
      </c>
      <c r="D61" s="3" t="str">
        <f t="shared" si="3"/>
        <v>Leap Year</v>
      </c>
    </row>
    <row r="62" spans="1:8" x14ac:dyDescent="0.2">
      <c r="C62" s="3">
        <v>2020</v>
      </c>
      <c r="D62" s="3" t="str">
        <f t="shared" si="3"/>
        <v>Leap Year</v>
      </c>
    </row>
    <row r="63" spans="1:8" x14ac:dyDescent="0.2">
      <c r="C63" s="3">
        <v>2100</v>
      </c>
      <c r="D63" s="3" t="str">
        <f>IF(MOD(C63, 400) = 0, "Leap Year", IF(MOD(C63, 100) = 0, "Common Year", IF(MOD(C63, 4) = 0, "Leap Year", "Common Year")))</f>
        <v>Common Year</v>
      </c>
    </row>
    <row r="65" spans="1:7" x14ac:dyDescent="0.2">
      <c r="D65" t="str">
        <f>IF(OR(MOD(C57, 400) = 0, AND(MOD(C57, 4) = 0, MOD(C57, 100) &lt;&gt; 0)), "Leap Year", "Common Year")</f>
        <v>Leap Year</v>
      </c>
    </row>
    <row r="66" spans="1:7" x14ac:dyDescent="0.2">
      <c r="D66" t="str">
        <f ca="1">_xlfn.FORMULATEXT(D65)</f>
        <v>=IF(OR(MOD(C57, 400) = 0, AND(MOD(C57, 4) = 0, MOD(C57, 100) &lt;&gt; 0)), "Leap Year", "Common Year")</v>
      </c>
    </row>
    <row r="69" spans="1:7" x14ac:dyDescent="0.2">
      <c r="A69" s="1"/>
      <c r="B69" s="1"/>
      <c r="C69" s="1"/>
      <c r="D69" s="1"/>
      <c r="E69" s="1"/>
      <c r="F69" s="1"/>
      <c r="G69" s="1"/>
    </row>
    <row r="72" spans="1:7" x14ac:dyDescent="0.2">
      <c r="C72" t="s">
        <v>44</v>
      </c>
      <c r="D72" t="s">
        <v>45</v>
      </c>
    </row>
    <row r="73" spans="1:7" x14ac:dyDescent="0.2">
      <c r="C73">
        <v>6</v>
      </c>
      <c r="D73">
        <v>0</v>
      </c>
    </row>
    <row r="75" spans="1:7" x14ac:dyDescent="0.2">
      <c r="C75" t="s">
        <v>46</v>
      </c>
      <c r="D75" t="str">
        <f>IFERROR(C73/D73,"Check with xyz@abc.com")</f>
        <v>Check with xyz@abc.com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0046-F139-CE43-B2E6-6262E4087EDC}">
  <dimension ref="A4:H39"/>
  <sheetViews>
    <sheetView topLeftCell="A7" zoomScale="252" workbookViewId="0">
      <selection activeCell="B43" sqref="B43"/>
    </sheetView>
  </sheetViews>
  <sheetFormatPr baseColWidth="10" defaultRowHeight="16" x14ac:dyDescent="0.2"/>
  <sheetData>
    <row r="4" spans="2:4" x14ac:dyDescent="0.2">
      <c r="B4" t="s">
        <v>48</v>
      </c>
    </row>
    <row r="6" spans="2:4" x14ac:dyDescent="0.2">
      <c r="B6" t="s">
        <v>49</v>
      </c>
      <c r="C6" t="s">
        <v>50</v>
      </c>
      <c r="D6" t="s">
        <v>48</v>
      </c>
    </row>
    <row r="7" spans="2:4" x14ac:dyDescent="0.2">
      <c r="B7" t="b">
        <v>0</v>
      </c>
      <c r="C7" t="b">
        <v>0</v>
      </c>
      <c r="D7" t="b">
        <f>AND(B7,C7)</f>
        <v>0</v>
      </c>
    </row>
    <row r="8" spans="2:4" x14ac:dyDescent="0.2">
      <c r="B8" t="b">
        <v>0</v>
      </c>
      <c r="C8" t="b">
        <v>1</v>
      </c>
      <c r="D8" t="b">
        <f t="shared" ref="D8:D10" si="0">AND(B8,C8)</f>
        <v>0</v>
      </c>
    </row>
    <row r="9" spans="2:4" x14ac:dyDescent="0.2">
      <c r="B9" t="b">
        <v>1</v>
      </c>
      <c r="C9" t="b">
        <v>0</v>
      </c>
      <c r="D9" t="b">
        <f t="shared" si="0"/>
        <v>0</v>
      </c>
    </row>
    <row r="10" spans="2:4" x14ac:dyDescent="0.2">
      <c r="B10" t="b">
        <v>1</v>
      </c>
      <c r="C10" t="b">
        <v>1</v>
      </c>
      <c r="D10" t="b">
        <f t="shared" si="0"/>
        <v>1</v>
      </c>
    </row>
    <row r="14" spans="2:4" x14ac:dyDescent="0.2">
      <c r="B14" t="s">
        <v>52</v>
      </c>
    </row>
    <row r="16" spans="2:4" x14ac:dyDescent="0.2">
      <c r="B16" t="s">
        <v>49</v>
      </c>
      <c r="C16" t="s">
        <v>50</v>
      </c>
      <c r="D16" t="s">
        <v>52</v>
      </c>
    </row>
    <row r="17" spans="1:8" x14ac:dyDescent="0.2">
      <c r="B17" t="b">
        <v>0</v>
      </c>
      <c r="C17" t="b">
        <v>0</v>
      </c>
      <c r="D17" t="b">
        <f>OR(B17,C17)</f>
        <v>0</v>
      </c>
    </row>
    <row r="18" spans="1:8" x14ac:dyDescent="0.2">
      <c r="B18" t="b">
        <v>0</v>
      </c>
      <c r="C18" t="b">
        <v>1</v>
      </c>
      <c r="D18" t="b">
        <f t="shared" ref="D18:D20" si="1">OR(B18,C18)</f>
        <v>1</v>
      </c>
    </row>
    <row r="19" spans="1:8" x14ac:dyDescent="0.2">
      <c r="B19" t="b">
        <v>1</v>
      </c>
      <c r="C19" t="b">
        <v>0</v>
      </c>
      <c r="D19" t="b">
        <f t="shared" si="1"/>
        <v>1</v>
      </c>
    </row>
    <row r="20" spans="1:8" x14ac:dyDescent="0.2">
      <c r="B20" t="b">
        <v>1</v>
      </c>
      <c r="C20" t="b">
        <v>1</v>
      </c>
      <c r="D20" t="b">
        <f t="shared" si="1"/>
        <v>1</v>
      </c>
    </row>
    <row r="23" spans="1:8" x14ac:dyDescent="0.2">
      <c r="B23" t="s">
        <v>54</v>
      </c>
    </row>
    <row r="24" spans="1:8" x14ac:dyDescent="0.2">
      <c r="B24" t="b">
        <v>0</v>
      </c>
      <c r="C24" t="b">
        <f>NOT(B24)</f>
        <v>1</v>
      </c>
    </row>
    <row r="25" spans="1:8" x14ac:dyDescent="0.2">
      <c r="B25" t="b">
        <v>1</v>
      </c>
      <c r="C25" t="b">
        <f>NOT(B25)</f>
        <v>0</v>
      </c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31" spans="1:8" x14ac:dyDescent="0.2">
      <c r="B31" t="s">
        <v>57</v>
      </c>
    </row>
    <row r="34" spans="2:5" x14ac:dyDescent="0.2">
      <c r="B34">
        <v>3</v>
      </c>
      <c r="D34" t="b">
        <f>ISEVEN(B34)</f>
        <v>0</v>
      </c>
      <c r="E34" t="b">
        <f>ISODD(B34)</f>
        <v>1</v>
      </c>
    </row>
    <row r="36" spans="2:5" x14ac:dyDescent="0.2">
      <c r="B36" t="s">
        <v>56</v>
      </c>
      <c r="D36" t="b">
        <f>ISTEXT(B36)</f>
        <v>1</v>
      </c>
    </row>
    <row r="39" spans="2:5" x14ac:dyDescent="0.2">
      <c r="D39" t="b">
        <f>_xlfn.ISFORMULA(D34)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2026-09-22T15:33:57Z</dcterms:created>
  <dcterms:modified xsi:type="dcterms:W3CDTF">2026-09-22T17:28:21Z</dcterms:modified>
</cp:coreProperties>
</file>