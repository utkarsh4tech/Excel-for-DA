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D9037EC2-1277-6F45-8F96-7B797994FF6D}" xr6:coauthVersionLast="47" xr6:coauthVersionMax="47" xr10:uidLastSave="{00000000-0000-0000-0000-000000000000}"/>
  <bookViews>
    <workbookView xWindow="0" yWindow="600" windowWidth="38400" windowHeight="21000" xr2:uid="{E84A1245-3007-FC46-8DE9-32A677E49DBC}"/>
  </bookViews>
  <sheets>
    <sheet name="agenda" sheetId="1" r:id="rId1"/>
    <sheet name="Sheet2" sheetId="2" r:id="rId2"/>
    <sheet name="Sheet3" sheetId="3" r:id="rId3"/>
  </sheets>
  <definedNames>
    <definedName name="GST">Sheet2!$H$33</definedName>
    <definedName name="salary">Sheet3!$F$6:$F$21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3" l="1"/>
  <c r="G35" i="3"/>
  <c r="G47" i="3"/>
  <c r="F36" i="3"/>
  <c r="F35" i="3"/>
  <c r="F47" i="3"/>
  <c r="C36" i="3"/>
  <c r="C37" i="3"/>
  <c r="C38" i="3"/>
  <c r="C39" i="3"/>
  <c r="C40" i="3"/>
  <c r="C41" i="3"/>
  <c r="C42" i="3"/>
  <c r="C35" i="3"/>
  <c r="B32" i="3"/>
  <c r="G149" i="2" a="1"/>
  <c r="E155" i="2"/>
  <c r="E151" i="2"/>
  <c r="E150" i="2"/>
  <c r="E149" i="2"/>
  <c r="G115" i="2"/>
  <c r="G113" i="2"/>
  <c r="G111" i="2"/>
  <c r="G109" i="2"/>
  <c r="G107" i="2"/>
  <c r="G105" i="2"/>
  <c r="I113" i="2"/>
  <c r="I112" i="2"/>
  <c r="I111" i="2"/>
  <c r="I110" i="2"/>
  <c r="I109" i="2"/>
  <c r="I108" i="2"/>
  <c r="I107" i="2"/>
  <c r="I106" i="2"/>
  <c r="I105" i="2"/>
  <c r="I53" i="2"/>
  <c r="I54" i="2"/>
  <c r="I55" i="2"/>
  <c r="I56" i="2"/>
  <c r="I57" i="2"/>
  <c r="I58" i="2"/>
  <c r="I59" i="2"/>
  <c r="I60" i="2"/>
  <c r="I52" i="2"/>
  <c r="G60" i="2"/>
  <c r="G58" i="2"/>
  <c r="G56" i="2"/>
  <c r="G54" i="2"/>
  <c r="G52" i="2"/>
  <c r="M10" i="3"/>
  <c r="M11" i="3"/>
  <c r="M12" i="3"/>
  <c r="M13" i="3"/>
  <c r="M14" i="3"/>
  <c r="M15" i="3"/>
  <c r="M16" i="3"/>
  <c r="M17" i="3"/>
  <c r="M9" i="3"/>
  <c r="K17" i="3"/>
  <c r="K15" i="3"/>
  <c r="K13" i="3"/>
  <c r="K11" i="3"/>
  <c r="K9" i="3"/>
  <c r="J25" i="2"/>
  <c r="J23" i="2"/>
  <c r="H25" i="2" a="1"/>
  <c r="H23" i="2"/>
  <c r="J21" i="2"/>
  <c r="H21" i="2"/>
  <c r="H19" i="2"/>
  <c r="J19" i="2"/>
  <c r="D16" i="2" a="1"/>
  <c r="J17" i="2"/>
  <c r="H17" i="2"/>
  <c r="G149" i="2" l="1"/>
  <c r="E152" i="2"/>
  <c r="D122" i="2"/>
  <c r="H25" i="2"/>
  <c r="D16" i="2"/>
  <c r="E154" i="2" l="1"/>
  <c r="E15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<sst xmlns="http://schemas.openxmlformats.org/spreadsheetml/2006/main" count="162" uniqueCount="119">
  <si>
    <t>STATISTICS</t>
  </si>
  <si>
    <t>1) Central Tendencies</t>
  </si>
  <si>
    <t>Central Tendency</t>
  </si>
  <si>
    <t>MEAN</t>
  </si>
  <si>
    <t>MEDIAN</t>
  </si>
  <si>
    <t>MODE</t>
  </si>
  <si>
    <t>MEAN ( Arithmetic )</t>
  </si>
  <si>
    <t xml:space="preserve">AVERAGE </t>
  </si>
  <si>
    <t>SUM/COUNT</t>
  </si>
  <si>
    <t>AVERAGE()</t>
  </si>
  <si>
    <t>Middle Value in sorted Data</t>
  </si>
  <si>
    <t>MEDIAN()</t>
  </si>
  <si>
    <t xml:space="preserve">Value with highest frequency </t>
  </si>
  <si>
    <t>Most repeated value</t>
  </si>
  <si>
    <t>MODE()</t>
  </si>
  <si>
    <t>MODE.SNGL()</t>
  </si>
  <si>
    <t>MODE.MULT()</t>
  </si>
  <si>
    <t>Data</t>
  </si>
  <si>
    <t>Sorted Data</t>
  </si>
  <si>
    <t>middle value when odd numbers of
 values are there and it is avg of middle two if even</t>
  </si>
  <si>
    <t>Department</t>
  </si>
  <si>
    <t>Name</t>
  </si>
  <si>
    <t>Position</t>
  </si>
  <si>
    <t>Salary</t>
  </si>
  <si>
    <t>Sales</t>
  </si>
  <si>
    <t>Wolfgang Ramjac</t>
  </si>
  <si>
    <t>Sales Representative</t>
  </si>
  <si>
    <t>Finance</t>
  </si>
  <si>
    <t>Paul Hill</t>
  </si>
  <si>
    <t>Finance Manager</t>
  </si>
  <si>
    <t>Gary Miller</t>
  </si>
  <si>
    <t>Financial Analyst</t>
  </si>
  <si>
    <t>Ewan Thompson</t>
  </si>
  <si>
    <t>Regional Sales Manager</t>
  </si>
  <si>
    <t>Peter Ramsy</t>
  </si>
  <si>
    <t>Procurement</t>
  </si>
  <si>
    <t>Corinna Schmidt</t>
  </si>
  <si>
    <t>Category Manager</t>
  </si>
  <si>
    <t>Stevie Bridge</t>
  </si>
  <si>
    <t>Sales Manager</t>
  </si>
  <si>
    <t>Crystal Doyle</t>
  </si>
  <si>
    <t>Finance Director</t>
  </si>
  <si>
    <t>Tom Wood</t>
  </si>
  <si>
    <t>Lead Buyer</t>
  </si>
  <si>
    <t>Matilda Collier</t>
  </si>
  <si>
    <t>Zac Fletcher</t>
  </si>
  <si>
    <t>Sales Assistant</t>
  </si>
  <si>
    <t>Ashton Kelly</t>
  </si>
  <si>
    <t>Cora Briggs</t>
  </si>
  <si>
    <t>Buyer</t>
  </si>
  <si>
    <t>Jude Bell</t>
  </si>
  <si>
    <t>Aydin Merritt</t>
  </si>
  <si>
    <t>James Willard</t>
  </si>
  <si>
    <t>AVG Salary</t>
  </si>
  <si>
    <t>Median Salary</t>
  </si>
  <si>
    <t>Mode salary</t>
  </si>
  <si>
    <t>numerical</t>
  </si>
  <si>
    <t>Numerical / TEXT</t>
  </si>
  <si>
    <t>MAX salary</t>
  </si>
  <si>
    <t>MIN salary</t>
  </si>
  <si>
    <t>AVERAGE / MEAN</t>
  </si>
  <si>
    <t>Numbers</t>
  </si>
  <si>
    <t>Arithmetic mean of given num = SUM / COUNT</t>
  </si>
  <si>
    <t>Middle value IN THE SORTED DATA</t>
  </si>
  <si>
    <t>Numbers &amp; Text</t>
  </si>
  <si>
    <t>MOST repeated Value OR  Value with highest Freq</t>
  </si>
  <si>
    <t>2) Percentiles and Quartiles</t>
  </si>
  <si>
    <t xml:space="preserve">QUARTER </t>
  </si>
  <si>
    <t>QUAD --&gt; 4</t>
  </si>
  <si>
    <t>QUARTILES</t>
  </si>
  <si>
    <t>DIVIDE my data into 4 equal parts (~Quarters)</t>
  </si>
  <si>
    <t>QUARTERS are parts of the dataset -- 4 eql parts of dataset</t>
  </si>
  <si>
    <t xml:space="preserve">QUARTILES means the value which are at border of 2 quartes </t>
  </si>
  <si>
    <t>MIN (0th Quartile)</t>
  </si>
  <si>
    <t>Q1</t>
  </si>
  <si>
    <t>Q2</t>
  </si>
  <si>
    <t>Q3</t>
  </si>
  <si>
    <t>MAX ( 4th Quartile)</t>
  </si>
  <si>
    <t>PERCENTILE</t>
  </si>
  <si>
    <t>95th%ile</t>
  </si>
  <si>
    <t>OUTLIERs</t>
  </si>
  <si>
    <t>Salary (in K)</t>
  </si>
  <si>
    <t>OUTLIER</t>
  </si>
  <si>
    <t>Some numerical value which does not follow the same trend</t>
  </si>
  <si>
    <t>IQR</t>
  </si>
  <si>
    <t>INTER QUARTILE RANGE ( = Q3 - Q1 ) or ( = 75th%ile - 25th%ile )</t>
  </si>
  <si>
    <t>OUTLIER DETECTION</t>
  </si>
  <si>
    <t>RULE</t>
  </si>
  <si>
    <t>LB</t>
  </si>
  <si>
    <t>Q1 - 1.5 * IQR</t>
  </si>
  <si>
    <t>(any value smaller than LB)</t>
  </si>
  <si>
    <t xml:space="preserve">Q3+ 1.5 * IQR </t>
  </si>
  <si>
    <t xml:space="preserve">(any value greated than UB) </t>
  </si>
  <si>
    <t>UB</t>
  </si>
  <si>
    <t>AVERAGE</t>
  </si>
  <si>
    <t>Which among AVERAGE and MEDIAN is robust to OUTLIERS</t>
  </si>
  <si>
    <t>Middle value in sorted data</t>
  </si>
  <si>
    <t>VARIANCE</t>
  </si>
  <si>
    <t>STD DEV</t>
  </si>
  <si>
    <t>variance measures how much values are away from the MEAN</t>
  </si>
  <si>
    <t>x_i - x_bar</t>
  </si>
  <si>
    <t>SQRT of VAR</t>
  </si>
  <si>
    <t>VAR</t>
  </si>
  <si>
    <t>VAR_Man</t>
  </si>
  <si>
    <t>std_DEV_MAN</t>
  </si>
  <si>
    <t>SQUARED UNITs</t>
  </si>
  <si>
    <t>Same scale and units of measurement as original DATA</t>
  </si>
  <si>
    <t>VAR.P</t>
  </si>
  <si>
    <t>VAR.S</t>
  </si>
  <si>
    <t>POPULATION VARIANCE</t>
  </si>
  <si>
    <t>SAMPLE VARIANCE</t>
  </si>
  <si>
    <t>Big Data</t>
  </si>
  <si>
    <t>Subset</t>
  </si>
  <si>
    <t>STDEV.P</t>
  </si>
  <si>
    <t>STDEV.S</t>
  </si>
  <si>
    <t>POPULATION Std Dev</t>
  </si>
  <si>
    <t>SAMPLE Std Dev</t>
  </si>
  <si>
    <t>3) OUTLIERS</t>
  </si>
  <si>
    <t>4) Std Dev and 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</si>
</sst>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20"/>
      <color theme="1"/>
      <name val="Aptos Narrow (Body)"/>
    </font>
    <font>
      <sz val="22"/>
      <color theme="1"/>
      <name val="Aptos Narrow (Body)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4"/>
      <color theme="1"/>
      <name val="Aptos Narrow (Body)"/>
    </font>
    <font>
      <sz val="28"/>
      <color theme="1"/>
      <name val="Aptos Narrow (Body)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3" fillId="3" borderId="1" xfId="0" applyFont="1" applyFill="1" applyBorder="1"/>
    <xf numFmtId="0" fontId="4" fillId="0" borderId="0" xfId="0" applyFont="1"/>
    <xf numFmtId="3" fontId="4" fillId="0" borderId="0" xfId="0" applyNumberFormat="1" applyFont="1"/>
    <xf numFmtId="9" fontId="0" fillId="0" borderId="0" xfId="0" applyNumberFormat="1"/>
    <xf numFmtId="0" fontId="5" fillId="4" borderId="0" xfId="0" applyFont="1" applyFill="1"/>
    <xf numFmtId="0" fontId="5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ustomXml" Target="../ink/ink7.xml"/><Relationship Id="rId18" Type="http://schemas.openxmlformats.org/officeDocument/2006/relationships/image" Target="../media/image11.png"/><Relationship Id="rId26" Type="http://schemas.openxmlformats.org/officeDocument/2006/relationships/image" Target="../media/image15.png"/><Relationship Id="rId3" Type="http://schemas.openxmlformats.org/officeDocument/2006/relationships/customXml" Target="../ink/ink2.xml"/><Relationship Id="rId21" Type="http://schemas.openxmlformats.org/officeDocument/2006/relationships/customXml" Target="../ink/ink11.xml"/><Relationship Id="rId7" Type="http://schemas.openxmlformats.org/officeDocument/2006/relationships/customXml" Target="../ink/ink4.xml"/><Relationship Id="rId12" Type="http://schemas.openxmlformats.org/officeDocument/2006/relationships/image" Target="../media/image8.png"/><Relationship Id="rId17" Type="http://schemas.openxmlformats.org/officeDocument/2006/relationships/customXml" Target="../ink/ink9.xml"/><Relationship Id="rId25" Type="http://schemas.openxmlformats.org/officeDocument/2006/relationships/customXml" Target="../ink/ink13.xml"/><Relationship Id="rId2" Type="http://schemas.openxmlformats.org/officeDocument/2006/relationships/image" Target="../media/image3.pn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29" Type="http://schemas.openxmlformats.org/officeDocument/2006/relationships/customXml" Target="../ink/ink15.xml"/><Relationship Id="rId1" Type="http://schemas.openxmlformats.org/officeDocument/2006/relationships/customXml" Target="../ink/ink1.xml"/><Relationship Id="rId6" Type="http://schemas.openxmlformats.org/officeDocument/2006/relationships/image" Target="../media/image5.png"/><Relationship Id="rId11" Type="http://schemas.openxmlformats.org/officeDocument/2006/relationships/customXml" Target="../ink/ink6.xml"/><Relationship Id="rId24" Type="http://schemas.openxmlformats.org/officeDocument/2006/relationships/image" Target="../media/image14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6.png"/><Relationship Id="rId10" Type="http://schemas.openxmlformats.org/officeDocument/2006/relationships/image" Target="../media/image7.png"/><Relationship Id="rId19" Type="http://schemas.openxmlformats.org/officeDocument/2006/relationships/customXml" Target="../ink/ink10.xml"/><Relationship Id="rId4" Type="http://schemas.openxmlformats.org/officeDocument/2006/relationships/image" Target="../media/image4.png"/><Relationship Id="rId9" Type="http://schemas.openxmlformats.org/officeDocument/2006/relationships/customXml" Target="../ink/ink5.xml"/><Relationship Id="rId14" Type="http://schemas.openxmlformats.org/officeDocument/2006/relationships/image" Target="../media/image9.png"/><Relationship Id="rId22" Type="http://schemas.openxmlformats.org/officeDocument/2006/relationships/image" Target="../media/image13.png"/><Relationship Id="rId27" Type="http://schemas.openxmlformats.org/officeDocument/2006/relationships/customXml" Target="../ink/ink14.xml"/><Relationship Id="rId30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742139</xdr:colOff>
      <xdr:row>67</xdr:row>
      <xdr:rowOff>176018</xdr:rowOff>
    </xdr:from>
    <xdr:to>
      <xdr:col>9</xdr:col>
      <xdr:colOff>334486</xdr:colOff>
      <xdr:row>82</xdr:row>
      <xdr:rowOff>174355</xdr:rowOff>
    </xdr:to>
    <xdr:pic>
      <xdr:nvPicPr>
        <xdr:cNvPr id="2" name="Picture 1" descr="How to Calculate Percentile for Each Group in R and Exploratory | by Kan  Nishida | learn data science">
          <a:extLst>
            <a:ext uri="{FF2B5EF4-FFF2-40B4-BE49-F238E27FC236}">
              <a16:creationId xmlns:a16="http://schemas.microsoft.com/office/drawing/2014/main" id="{B9C4ABE6-60A4-335B-8830-FE1C4CC677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7900" y="15572808"/>
          <a:ext cx="6339549" cy="30557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68277</xdr:colOff>
      <xdr:row>84</xdr:row>
      <xdr:rowOff>52262</xdr:rowOff>
    </xdr:from>
    <xdr:to>
      <xdr:col>7</xdr:col>
      <xdr:colOff>512181</xdr:colOff>
      <xdr:row>100</xdr:row>
      <xdr:rowOff>32776</xdr:rowOff>
    </xdr:to>
    <xdr:pic>
      <xdr:nvPicPr>
        <xdr:cNvPr id="3" name="Picture 2" descr="What is a Percentile | Definition of Percentile">
          <a:extLst>
            <a:ext uri="{FF2B5EF4-FFF2-40B4-BE49-F238E27FC236}">
              <a16:creationId xmlns:a16="http://schemas.microsoft.com/office/drawing/2014/main" id="{8F9B768C-A4C2-A242-5FA7-F6C72AB8C6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9800" y="18914114"/>
          <a:ext cx="4572710" cy="32417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588700</xdr:colOff>
      <xdr:row>51</xdr:row>
      <xdr:rowOff>187324</xdr:rowOff>
    </xdr:from>
    <xdr:to>
      <xdr:col>4</xdr:col>
      <xdr:colOff>936820</xdr:colOff>
      <xdr:row>52</xdr:row>
      <xdr:rowOff>62156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F3191CFE-061F-679C-9B6C-C82DB0020CC5}"/>
                </a:ext>
              </a:extLst>
            </xdr14:cNvPr>
            <xdr14:cNvContentPartPr/>
          </xdr14:nvContentPartPr>
          <xdr14:nvPr macro=""/>
          <xdr14:xfrm>
            <a:off x="4143240" y="10624680"/>
            <a:ext cx="348120" cy="7920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F3191CFE-061F-679C-9B6C-C82DB0020CC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137120" y="10618560"/>
              <a:ext cx="360360" cy="9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453930</xdr:colOff>
      <xdr:row>51</xdr:row>
      <xdr:rowOff>73924</xdr:rowOff>
    </xdr:from>
    <xdr:to>
      <xdr:col>3</xdr:col>
      <xdr:colOff>1060170</xdr:colOff>
      <xdr:row>53</xdr:row>
      <xdr:rowOff>91068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285F4F11-5554-20F9-4CC9-567A11868DAE}"/>
                </a:ext>
              </a:extLst>
            </xdr14:cNvPr>
            <xdr14:cNvContentPartPr/>
          </xdr14:nvContentPartPr>
          <xdr14:nvPr macro=""/>
          <xdr14:xfrm>
            <a:off x="2928240" y="10511280"/>
            <a:ext cx="606240" cy="42588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85F4F11-5554-20F9-4CC9-567A11868DAE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922120" y="10505160"/>
              <a:ext cx="618480" cy="438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281784</xdr:colOff>
      <xdr:row>49</xdr:row>
      <xdr:rowOff>146059</xdr:rowOff>
    </xdr:from>
    <xdr:to>
      <xdr:col>8</xdr:col>
      <xdr:colOff>391194</xdr:colOff>
      <xdr:row>53</xdr:row>
      <xdr:rowOff>93228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AA4781C0-A73C-7BDC-8ADF-BDFB168E4D45}"/>
                </a:ext>
              </a:extLst>
            </xdr14:cNvPr>
            <xdr14:cNvContentPartPr/>
          </xdr14:nvContentPartPr>
          <xdr14:nvPr macro=""/>
          <xdr14:xfrm>
            <a:off x="5259600" y="10174680"/>
            <a:ext cx="2583720" cy="76464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AA4781C0-A73C-7BDC-8ADF-BDFB168E4D45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253481" y="10168560"/>
              <a:ext cx="2595958" cy="77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456744</xdr:colOff>
      <xdr:row>54</xdr:row>
      <xdr:rowOff>86500</xdr:rowOff>
    </xdr:from>
    <xdr:to>
      <xdr:col>8</xdr:col>
      <xdr:colOff>542034</xdr:colOff>
      <xdr:row>54</xdr:row>
      <xdr:rowOff>123580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E06D4588-2326-14EC-9290-91C49204ED85}"/>
                </a:ext>
              </a:extLst>
            </xdr14:cNvPr>
            <xdr14:cNvContentPartPr/>
          </xdr14:nvContentPartPr>
          <xdr14:nvPr macro=""/>
          <xdr14:xfrm>
            <a:off x="5434560" y="11136960"/>
            <a:ext cx="2559600" cy="3708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E06D4588-2326-14EC-9290-91C49204ED85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428440" y="11130840"/>
              <a:ext cx="2571840" cy="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675254</xdr:colOff>
      <xdr:row>55</xdr:row>
      <xdr:rowOff>63572</xdr:rowOff>
    </xdr:from>
    <xdr:to>
      <xdr:col>7</xdr:col>
      <xdr:colOff>127324</xdr:colOff>
      <xdr:row>56</xdr:row>
      <xdr:rowOff>179605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473461EA-CCF2-CD15-A106-D18AAB1418E2}"/>
                </a:ext>
              </a:extLst>
            </xdr14:cNvPr>
            <xdr14:cNvContentPartPr/>
          </xdr14:nvContentPartPr>
          <xdr14:nvPr macro=""/>
          <xdr14:xfrm>
            <a:off x="6477840" y="11318400"/>
            <a:ext cx="276840" cy="32040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473461EA-CCF2-CD15-A106-D18AAB1418E2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471720" y="11312280"/>
              <a:ext cx="289080" cy="33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627090</xdr:colOff>
      <xdr:row>58</xdr:row>
      <xdr:rowOff>45549</xdr:rowOff>
    </xdr:from>
    <xdr:to>
      <xdr:col>4</xdr:col>
      <xdr:colOff>1088740</xdr:colOff>
      <xdr:row>60</xdr:row>
      <xdr:rowOff>46853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3951270F-76B5-E831-1203-6F1DCEE223A3}"/>
                </a:ext>
              </a:extLst>
            </xdr14:cNvPr>
            <xdr14:cNvContentPartPr/>
          </xdr14:nvContentPartPr>
          <xdr14:nvPr macro=""/>
          <xdr14:xfrm>
            <a:off x="3101400" y="11913480"/>
            <a:ext cx="1541880" cy="41004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3951270F-76B5-E831-1203-6F1DCEE223A3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095280" y="11907360"/>
              <a:ext cx="1554120" cy="422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17904</xdr:colOff>
      <xdr:row>56</xdr:row>
      <xdr:rowOff>179245</xdr:rowOff>
    </xdr:from>
    <xdr:to>
      <xdr:col>6</xdr:col>
      <xdr:colOff>219494</xdr:colOff>
      <xdr:row>60</xdr:row>
      <xdr:rowOff>88973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2BB99BFC-CCB2-142B-C584-562456968A80}"/>
                </a:ext>
              </a:extLst>
            </xdr14:cNvPr>
            <xdr14:cNvContentPartPr/>
          </xdr14:nvContentPartPr>
          <xdr14:nvPr macro=""/>
          <xdr14:xfrm>
            <a:off x="4995720" y="11638440"/>
            <a:ext cx="1026360" cy="72720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2BB99BFC-CCB2-142B-C584-562456968A80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989600" y="11632320"/>
              <a:ext cx="1038600" cy="73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698644</xdr:colOff>
      <xdr:row>46</xdr:row>
      <xdr:rowOff>83443</xdr:rowOff>
    </xdr:from>
    <xdr:to>
      <xdr:col>9</xdr:col>
      <xdr:colOff>516103</xdr:colOff>
      <xdr:row>51</xdr:row>
      <xdr:rowOff>73924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BE6831A5-AD09-700F-5815-E63E608A1F41}"/>
                </a:ext>
              </a:extLst>
            </xdr14:cNvPr>
            <xdr14:cNvContentPartPr/>
          </xdr14:nvContentPartPr>
          <xdr14:nvPr macro=""/>
          <xdr14:xfrm>
            <a:off x="7326000" y="9498960"/>
            <a:ext cx="1467000" cy="101232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BE6831A5-AD09-700F-5815-E63E608A1F41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7319880" y="9492840"/>
              <a:ext cx="1479240" cy="102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675720</xdr:colOff>
      <xdr:row>36</xdr:row>
      <xdr:rowOff>63961</xdr:rowOff>
    </xdr:from>
    <xdr:to>
      <xdr:col>0</xdr:col>
      <xdr:colOff>676080</xdr:colOff>
      <xdr:row>36</xdr:row>
      <xdr:rowOff>64321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A24FDB7E-CA5E-49D1-B1C9-62444ED74806}"/>
                </a:ext>
              </a:extLst>
            </xdr14:cNvPr>
            <xdr14:cNvContentPartPr/>
          </xdr14:nvContentPartPr>
          <xdr14:nvPr macro=""/>
          <xdr14:xfrm>
            <a:off x="675720" y="7435800"/>
            <a:ext cx="360" cy="36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A24FDB7E-CA5E-49D1-B1C9-62444ED74806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669600" y="74296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671040</xdr:colOff>
      <xdr:row>40</xdr:row>
      <xdr:rowOff>80250</xdr:rowOff>
    </xdr:from>
    <xdr:to>
      <xdr:col>0</xdr:col>
      <xdr:colOff>671400</xdr:colOff>
      <xdr:row>40</xdr:row>
      <xdr:rowOff>100770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2B9243A5-4D28-1A03-B766-D96E0FD57EB1}"/>
                </a:ext>
              </a:extLst>
            </xdr14:cNvPr>
            <xdr14:cNvContentPartPr/>
          </xdr14:nvContentPartPr>
          <xdr14:nvPr macro=""/>
          <xdr14:xfrm>
            <a:off x="671040" y="8269560"/>
            <a:ext cx="360" cy="2052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2B9243A5-4D28-1A03-B766-D96E0FD57EB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664920" y="8263440"/>
              <a:ext cx="12600" cy="3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613800</xdr:colOff>
      <xdr:row>41</xdr:row>
      <xdr:rowOff>27082</xdr:rowOff>
    </xdr:from>
    <xdr:to>
      <xdr:col>0</xdr:col>
      <xdr:colOff>808560</xdr:colOff>
      <xdr:row>41</xdr:row>
      <xdr:rowOff>188722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5EA729D1-A860-9385-5159-7A99C7767C58}"/>
                </a:ext>
              </a:extLst>
            </xdr14:cNvPr>
            <xdr14:cNvContentPartPr/>
          </xdr14:nvContentPartPr>
          <xdr14:nvPr macro=""/>
          <xdr14:xfrm>
            <a:off x="613800" y="8420760"/>
            <a:ext cx="194760" cy="16164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5EA729D1-A860-9385-5159-7A99C7767C58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607669" y="8414640"/>
              <a:ext cx="207023" cy="17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660960</xdr:colOff>
      <xdr:row>39</xdr:row>
      <xdr:rowOff>141337</xdr:rowOff>
    </xdr:from>
    <xdr:to>
      <xdr:col>0</xdr:col>
      <xdr:colOff>678240</xdr:colOff>
      <xdr:row>39</xdr:row>
      <xdr:rowOff>194977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0103C460-D4F1-3E74-F09A-1C32E9206179}"/>
                </a:ext>
              </a:extLst>
            </xdr14:cNvPr>
            <xdr14:cNvContentPartPr/>
          </xdr14:nvContentPartPr>
          <xdr14:nvPr macro=""/>
          <xdr14:xfrm>
            <a:off x="660960" y="8126280"/>
            <a:ext cx="17280" cy="5364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0103C460-D4F1-3E74-F09A-1C32E9206179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654840" y="8120160"/>
              <a:ext cx="29520" cy="65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686880</xdr:colOff>
      <xdr:row>38</xdr:row>
      <xdr:rowOff>77145</xdr:rowOff>
    </xdr:from>
    <xdr:to>
      <xdr:col>0</xdr:col>
      <xdr:colOff>692280</xdr:colOff>
      <xdr:row>39</xdr:row>
      <xdr:rowOff>39817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0A3B0650-DA80-3D00-1780-6504BEB13716}"/>
                </a:ext>
              </a:extLst>
            </xdr14:cNvPr>
            <xdr14:cNvContentPartPr/>
          </xdr14:nvContentPartPr>
          <xdr14:nvPr macro=""/>
          <xdr14:xfrm>
            <a:off x="686880" y="7857720"/>
            <a:ext cx="5400" cy="167040"/>
          </xdr14:xfrm>
        </xdr:contentPart>
      </mc:Choice>
      <mc:Fallback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0A3B0650-DA80-3D00-1780-6504BEB13716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680760" y="7851587"/>
              <a:ext cx="17640" cy="1793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643320</xdr:colOff>
      <xdr:row>37</xdr:row>
      <xdr:rowOff>44633</xdr:rowOff>
    </xdr:from>
    <xdr:to>
      <xdr:col>0</xdr:col>
      <xdr:colOff>666720</xdr:colOff>
      <xdr:row>37</xdr:row>
      <xdr:rowOff>101513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EA67FF58-D0A9-D644-9A20-B20846FFFC58}"/>
                </a:ext>
              </a:extLst>
            </xdr14:cNvPr>
            <xdr14:cNvContentPartPr/>
          </xdr14:nvContentPartPr>
          <xdr14:nvPr macro=""/>
          <xdr14:xfrm>
            <a:off x="643320" y="7620840"/>
            <a:ext cx="23400" cy="5688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EA67FF58-D0A9-D644-9A20-B20846FFFC58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637200" y="7614720"/>
              <a:ext cx="356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572400</xdr:colOff>
      <xdr:row>34</xdr:row>
      <xdr:rowOff>101177</xdr:rowOff>
    </xdr:from>
    <xdr:to>
      <xdr:col>0</xdr:col>
      <xdr:colOff>824760</xdr:colOff>
      <xdr:row>35</xdr:row>
      <xdr:rowOff>176889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66" name="Ink 65">
              <a:extLst>
                <a:ext uri="{FF2B5EF4-FFF2-40B4-BE49-F238E27FC236}">
                  <a16:creationId xmlns:a16="http://schemas.microsoft.com/office/drawing/2014/main" id="{02555320-788E-4981-9C2F-1F7B586B9189}"/>
                </a:ext>
              </a:extLst>
            </xdr14:cNvPr>
            <xdr14:cNvContentPartPr/>
          </xdr14:nvContentPartPr>
          <xdr14:nvPr macro=""/>
          <xdr14:xfrm>
            <a:off x="572400" y="7064280"/>
            <a:ext cx="252360" cy="280080"/>
          </xdr14:xfrm>
        </xdr:contentPart>
      </mc:Choice>
      <mc:Fallback>
        <xdr:pic>
          <xdr:nvPicPr>
            <xdr:cNvPr id="66" name="Ink 65">
              <a:extLst>
                <a:ext uri="{FF2B5EF4-FFF2-40B4-BE49-F238E27FC236}">
                  <a16:creationId xmlns:a16="http://schemas.microsoft.com/office/drawing/2014/main" id="{02555320-788E-4981-9C2F-1F7B586B918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66280" y="7058160"/>
              <a:ext cx="264600" cy="2923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1:56.79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19 24575,'8'-3'0,"23"1"0,14 2 0,4 0 0,3 0 0,29 0 0,-29 0 0,-1 0 0,28 0 0,-10 0 0,-21 0 0,-10-4 0,-28 1 0,-3-2 0,-3 3 0</inkml:trace>
  <inkml:trace contextRef="#ctx0" brushRef="#br0" timeOffset="599">165 220 24575,'17'0'0,"55"0"0,13 0-1217,-15 0 0,3 0 1217,-11 0 0,-2 0 388,-8 0 1,-1 0-389,13 0 0,-5 0 0,-3 0 0,12 0 0,-56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1:51.8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0 152 24575,'11'4'0,"4"12"0,13 17 0,8 21-8503,7 11 8503,-5-8 1719,14 20-1719,-25-38 0,12 17 0,-19-26 0,-1-2 0,-1-1 6784,5 7-6784,-2-10 0,6 14 0,-7-15 0,0 1 0,-7-10 0,1 1 0,-4-5 0,8 12 0,-6-13 0,5 6 0,-3-15 0,-2-2 0,2-14 0,0-3 0,-7-4 0,10-14 0,-3-21 0,7 7 0,-6-4 0,9 16 0,-3 7 0,5-10 0,-4 11 0,-10 9 0,0-4 0,-6 14 0,3-14 0,-5 11 0,1 1 0,-3 0 0,5-6 0,-8 10 0,4-7 0,-3 13 0,1-3 0,1 0 0,-2-3 0,4 1 0,-3 0 0,7-1 0,-3 1 0,4 0 0,-4-1 0,-1 1 0,-4 0 0,4-1 0,-3 1 0,4 0 0,-3-1 0,0-3 0,1-2 0,-1 1 0,-2 0 0,0 5 0,4-7 0,-3 5 0,3-4 0,-2 5 0,1 1 0,-1 0 0,0 3 0,-2 2 0</inkml:trace>
  <inkml:trace contextRef="#ctx0" brushRef="#br0" timeOffset="2190">930 870 24575,'7'4'0,"0"4"0,0 8 0,0 6 0,-2-2 0,0-2 0,2 19 0,1-14 0,-2 12 0,1-18 0,-3-8 0,1 0 0,4 3 0,-4-3 0,6 7 0,-5-6 0,4 3 0,-7-5 0,-1-4 0,-4-6 0,-5-5 0,0-3 0,0-1 0,-9-20 0,8-9 0,-11-23 0,2-10 0,2 14 0,-8-27 0,13 38 0,-6-6 0,12 34 0,0 9 0,4 4 0,0-2 0,0-1 0,2 1 0,3 0 0,6-3 0,1 2 0,4 1 0,-6 2 0,1 5 0,-4 0 0,2 2 0,0 2 0,5 6 0,-4 3 0,3 5 0,-1 0 0,-1 0 0,-1-2 0,1 2 0,-6-8 0,2 2 0,-3 2 0,3-2 0,-2 3 0,2 1 0,-5 0 0,0 5 0,-2-1 0,0-1 0,-2-4 0,-1-3 0,-3-2 0,1-3 0,-4 0 0,1 1 0,-3-5 0,1 3 0,-12 0 0,2-1 0,-5 5 0,6-4 0,10-1 0,5-1 0</inkml:trace>
  <inkml:trace contextRef="#ctx0" brushRef="#br0" timeOffset="4342">1084 869 24575,'5'-2'0,"-3"2"0,0 4 0,-2 6 0,0-1 0,0 3 0,0-3 0,0 4 0,0-2 0,0 2 0,0 0 0,3-2 0,-1 2 0,3-4 0,1 1 0,1 1 0,3-3 0,-3 0 0,2-3 0,-2-3 0,10 0 0,-5-2 0,9 0 0,-10 0 0,6 0 0,-5-2 0,0 0 0,-1-1 0,-2-5 0,1 2 0,-1-3 0,-2 2 0,-1 0 0,-3 0 0,2-6 0,-5 2 0,0-9 0,-5 10 0,0-6 0,-14-1 0,7 6 0,-5-1 0,6 7 0,3 5 0,-12 0 0,9 0 0,-7 0 0,9 0 0,2 0 0,-2 0 0,2 2 0,-3-1 0,-3 1 0,4 2 0,-1-3 0,9 3 0,4-4 0,8 0 0,3 0 0,31 0 0,-21-4 0,27-7 0,-39 2 0,6-4 0,-12 6 0,3-4 0,-2-4 0,-2-2 0,1-5 0,-5 4 0,3-4 0,-4-1 0,0 8 0,0-7 0,0 8 0,0-1 0,0 2 0,0 3 0,2 3 0,0 2 0,5 7 0,0 10 0,2 3 0,-1 13 0,5 22 0,-4-9 0,7 24 0,-9-36 0,8 33 0,-6-32 0,5 27 0,-5-33 0,-5-2 0,2 3 0,-3-9 0,4 6 0,-4-5 0,3-4 0,-5-2 0,3 0 0,-4-4 0,0 1 0,-6-8 0,-10-14 0,-2-4 0,1-2 0,-4-8 0,18 9 0,-15-9 0,17 6 0,-3 10 0,4-21 0,0 10 0,2-16 0,3 16 0,1-7 0,7 9 0,-7-2 0,5 10 0,-5 4 0,8-9 0,-6 9 0,5-8 0,-8 11 0,6 0 0,-3 1 0,9 2 0,-2 1 0,-1 2 0,7 0 0,-9 0 0,9 0 0,-11 0 0,10 8 0,-10-3 0,6 7 0,-9-7 0,0 2 0,1 4 0,-2-3 0,0 9 0,-4 6 0,-2-1 0,-2 8 0,-4-12 0,-2 0 0,-10-2 0,7-6 0,-8 3 0,8-8 0,-11 4 0,11-6 0,-5 3 0,10-3 0,-1-1 0,4 0 0,-1-2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2:00.7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1165 726 24575,'-2'-2'0,"-7"0"0,-7 2 0,-18 0 0,-41 0 0,-5 0-370,22 0 0,-2 0 370,-38 0 0,23 0 0,-1 0 182,16 0-182,10 0 0,-13 0 0,37 0 0,-30 0 0,11 0 0,-9 0 0,-2 0 558,26 0-558,-26 0 0,25 0 0,-9 0 0,25 2 0,16 0 0,10 5 0,7 3 0,6 6 0,2-2 0,-6 0 0,13 5 0,-12-4 0,14 4 0,-16-8 0,-2-4 0,-3-1 0,-4 2 0,3 1 0,-4-2 0,1 2 0,-1-4 0,2 8 0,3-3 0,17 9 0,-15-6 0,11 0 0,-20-4 0,2-4 0,0 2 0,-1-3 0,0 1 0,2 1 0,-3 0 0,4 0 0,-4-1 0,0-1 0,0 1 0,0-2 0,-2 1 0,2-2 0,-1 3 0,3 1 0,7 2 0,1 3 0,41 13 0,4 4 0,-14-10 0,3 0 0,-1-2 0,-3-1 0,19 5 0,-15-8 0,-36-6 0,-10-3 0,-5 2 0,-5-1 0,-6-1 0,-10 7 0,1-4 0,-8 5 0,8-2 0,2-2 0,-8 7 0,10-4 0,-14 7 0,10-5 0,2-2 0,-8 5 0,9-7 0,-10 7 0,13-7 0,-12 11 0,5-6 0,-7 6 0,-3-3 0,13-6 0,-6-1 0,14-2 0,1-2 0,2 1 0,-8 1 0,5 0 0,-7 0 0,12-4 0,-4 3 0,4-5 0,-6 7 0,5-5 0,-7 10 0,8-7 0,-11 7 0,10-8 0,-9 3 0,7-2 0,-5 0 0,1 3 0,-6 1 0,-4 5 0,1 2 0,-2-3 0,8-2 0,2-4 0,3-3 0,3 4 0,3-4 0,8 0 0,17 1 0,13 2 0,20 5 0,-2 0 0,40-1 0,-20-2 0,23-5 0,-15 0 0,-34-5 0,29 0 0,-27 0 0,12 0 0,-17 0 0,-22 0 0,-3 0 0,1 0 0,-4 0 0,7 0 0,-4 0 0,2 0 0,6 0 0,-6 0 0,-1 0 0,10 4 0,-14-3 0,11 4 0,-15-5 0,-1 0 0,-5 0 0,-1 0 0</inkml:trace>
  <inkml:trace contextRef="#ctx0" brushRef="#br0" timeOffset="1125">2284 679 24575,'-5'0'0,"-2"0"0,0 0 0,-11 0 0,3 0 0,-8 0 0,4 0 0,-3 0 0,6 0 0,-9 2 0,1 9 0,0-1 0,-7 9 0,0 2 0,5 0 0,-8 4 0,4 0 0,1-3 0,0 2 0,10-1 0,5-8 0,0 11 0,0-7 0,-3 5 0,3 2 0,2-10 0,2 13 0,2-5 0,-1 8 0,3-2 0,-2-7 0,5 22 0,1-13 0,2 15 0,0-16 0,0-8 0,5 15 0,-2-16 0,5 16 0,-4-21 0,1 1 0,2 3 0,3 2 0,7 6 0,7 7 0,-1-13 0,2 2 0,1-7 0,3 1 0,-1-4 0,-5-1 0,-5-4 0,-8-4 0,11 7 0,3 1 0,0 2 0,-1-2 0,-2 1 0,-5-5 0,6 6 0,-3-7 0,-7 0 0,-1-4 0,-4-3 0,0 0 0,6-2 0,-2 0 0,6 0 0,-11 0 0,2 0 0</inkml:trace>
  <inkml:trace contextRef="#ctx0" brushRef="#br0" timeOffset="3167">2550 1383 24575,'0'-4'0,"0"-1"0,0-2 0,2-10 0,0 1 0,5-9 0,8 1 0,5 1 0,3 4 0,0 4 0,0 4 0,-8 2 0,2-4 0,-7 10 0,-1-1 0,0 4 0,0 0 0,5 0 0,-4 2 0,6 3 0,-1 6 0,-2-1 0,3 1 0,-7-4 0,0 0 0,1 4 0,3 8 0,-3 0 0,7 8 0,1 0 0,4 5 0,-3 12 0,-1-10 0,-1 20-6784,-8-27 6784,1 7 0,-7-17 0,-1-3 0,2 8 0,-2-2 0,-2 3 0,-3-9 6784,-7 8-6784,-14 4 0,-11 7 0,-4-1 0,8-9 0,-7 1 0,17-7 0,-13 7 0,14-10 0,2-4 0,-6 3 0,12-7 0,-5 3 0,16-13 0,8-4 0,15-8 0,9-8 0,21-9 0,-2-5 0,3 3 0,-19 10 0,-3 2 0,-17 12 0,10-8 0,-16 11 0,7-8 0,-7 4 0,7-10 0,-5 6 0,2-4 0,-6 4 0,1 2 0,-4-9 0,3 8 0,-3-5 0,-1 2 0,2 1 0,-3 0 0,1 6 0,-2 4 0,2-2 0,2-7 0,-1-1 0,1-8 0,-4 7 0,0 0 0,-4 7 0,3 3 0,-5 4 0,3 4 0,-3 4 0,-6 12 0,0 3 0,0 9 0,3-1 0,6-4 0,-3-1 0,5 8 0,-7-9 0,7 9 0,-3-15 0,4 2 0,0-7 0,0 12 0,0-7 0,0 4 0,0-2 0,6 4 0,-2-5 0,3 7 0,-3-13 0,1 3 0,2-3 0,2 1 0,1 1 0,-3 0 0,-1-3 0,1-2 0,6 3 0,-2-4 0,9 7 0,-10-6 0,3 1 0,-3-4 0,3 2 0,-3-5 0,4 3 0,-5-4 0,0 0 0,1 0 0,-1 0 0,6 0 0,-6-2 0,4 2 0,-9-4 0,1 1 0,0-2 0,1-1 0,-3-2 0,3-1 0,-1 0 0,0-1 0,0 1 0,-1-4 0,-2-6 0,1 3 0,1-1 0,-1 7 0,-1 5 0,0 1 0</inkml:trace>
  <inkml:trace contextRef="#ctx0" brushRef="#br0" timeOffset="3725">3352 1590 24575,'0'9'0,"0"-1"0,0 7 0,0-5 0,0 4 0,0 1 0,0 0 0,0 10 0,0 10 0,0-8 0,6 7 0,0-8 0,6 7 0,-7-6 0,6 1 0,-8-16 0,6-1 0,-2-2 0,0 0 0,2-1 0,-2-4 0,0-2 0,0-2 0,2 0 0,1 0 0,1 0 0,-4-2 0,0-2 0,0-4 0,4 1 0,-3 0 0,1 1 0,-3 0 0,-5-5 0,3 4 0,-4-3 0,0 6 0,0 2 0</inkml:trace>
  <inkml:trace contextRef="#ctx0" brushRef="#br0" timeOffset="4709">3403 1577 24575,'-3'-2'0,"1"-3"0,2-2 0,0-1 0,0 0 0,2 0 0,0-1 0,1 0 0,-7-3 0,-2 2 0,-5 1 0,1 4 0,1 3 0,2 2 0,0 2 0,0 3 0,2 2 0,0 2 0,3-1 0,4-4 0,7-2 0,3-2 0,3 0 0,-4 0 0,-6-2 0,-3 0 0,-6-5 0,-2 4 0,-3-1 0,0 4 0,-1 0 0,1 0 0,-4 0 0,4 2 0,0-2 0,7 2 0</inkml:trace>
  <inkml:trace contextRef="#ctx0" brushRef="#br0" timeOffset="5743">3935 1468 24575,'2'-5'0,"19"0"0,15-2 0,27-4 0,25-4 0,-37 10 0,3 0-3358,10 0 1,-1 1 3357,31 4 0,-35 0 0,0 0 1364,40 0-1364,-21-5 0,-5 4 0,-60-4 0,-9 5 0</inkml:trace>
  <inkml:trace contextRef="#ctx0" brushRef="#br0" timeOffset="6467">5278 1137 24575,'11'14'0,"6"8"0,-3-2 0,10 14 0,-1 1 0,2 2 0,4 7 0,-12-21 0,21 29 0,-16-24 0,25 36 0,-21-27 0,4 4 0,-6-11 0,13 15 0,-11-18 0,10 14 0,-14-14 0,-4-8 0,0 3 0,-9-13 0,0-5 0,-2-1 0,2-3 0,-4 0 0,-1 0 0</inkml:trace>
  <inkml:trace contextRef="#ctx0" brushRef="#br0" timeOffset="7392">5790 1206 24575,'-2'5'0,"-2"0"0,-12 15 0,0-5 0,-15 16 0,-4-8 0,3 2 0,-41 21 0,22-4 0,8-13 0,-1-1 0,-24 21 0,21-12 0,2-1 0,-11 12 0,-5 12 0,45-34 0,0-3 0,4-4 0,0 0 0,3-6 0,0 1 0,6 0 0,-6-2 0,7-1 0,-1-4 0,1-8 0,6-2 0,-3-3 0,3 0 0</inkml:trace>
  <inkml:trace contextRef="#ctx0" brushRef="#br0" timeOffset="8158">5123 1126 24575,'-2'-4'0,"1"1"0,14 1 0,0 2 0,30-8 0,9 7 0,30-7 0,9 8 0,-16 0 0,-17 0 0,3 0 0,36 0 0,-40 0 0,0 0 0,-3 0 0,-5 0 0,2 0 0,-8 0 0,-26 0 0,-10 0 0,0 0 0,0 0 0,-4 0 0,-1 0 0</inkml:trace>
  <inkml:trace contextRef="#ctx0" brushRef="#br0" timeOffset="9159">6206 445 24575,'4'2'0,"7"2"0,-3 1 0,21 17 0,-16-11 0,36 36 0,-31-27 0,27 36 0,-29-33 0,9 21 0,-5-1 0,-1 10 0,5 14 0,-7-8 0,-1-10 0,13 36 0,-9-26 0,-6-9 0,0 1 0,6 17 0,-8 5 0,5 7 0,-1-10 0,-6 10 0,1-21 0,-6 11 0,0-1 0,0-5 0,-5-14 0,0-8 0,-2-20 0,-2 9 0,-6-15 0,2-4 0,-5 5 0,2-4 0,-10 4 0,8-4 0,-10-3 0,5 4 0,-4-3 0,-3 3 0,5-7 0,9-2 0,0-3 0</inkml:trace>
  <inkml:trace contextRef="#ctx0" brushRef="#br0" timeOffset="10266">6703 140 24575,'0'-6'0,"2"-4"0,2-4 0,9-1 0,10-5 0,7 5 0,2-3 0,-5 8 0,3 1 0,-6 3 0,7 2 0,-7-1 0,-6 0 0,-5 3 0,-5 2 0,-2 4 0,1 3 0,-2 7 0,6 8 0,-5-1 0,1 20 0,-5 1 0,-2 4 0,-2 2 0,-4-13 0,-1-8 0,-5-1 0,-3-1 0,-2-10 0,1 5 0,-4-7 0,1-2 0,0 3 0,1-7 0,13-2 0,11-3 0,7-2 0,6 0 0,7 0 0,16 0 0,8 0 0,-1 0 0,-15 0 0,-15 0 0,-9 0 0,1 0 0,-2 0 0,1-2 0,-5 1 0,-1-1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2:12.48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24575,'15'0'0,"26"0"0,36 0 0,-23 0 0,6 0 0,33 0 0,5 0-2364,-13-1 0,0 2 2364,-12 0 0,3 0 0,-2 2 0,18 2 0,-3 2 0,1 4 0,2 1 0,-18-6 0,1-2 0,-1 0 0,18 5 0,-1-2 0,-23-6 0,0-2 0,-2 1 0,14 0 0,-4 0 0,-7 0 0,-2 0 85,-1 0 0,1 0-85,9 0 0,4 0 0,14 0 0,2 0 0,-15 0 0,0 0 0,8 0 0,-3 0 0,-24 0 0,-6 0 0,30 0 0,-32 0 0,3 0 0,-2 0 0,2 0 0,18 0 0,3 0 0,2 0 0,3 0 0,-13 0 0,4 0 0,-5 0 0,6-1 0,-2 2-2250,17 3 1,-4 1 2249,11-3 0,-41 3 0,1-1-445,2-3 0,2-2 445,12 1 0,1 0-1251,3 0 1,-2 0 1250,-17 0 0,-2 0 0,3 0 0,1 0 81,3 0 1,1 0-82,9 0 0,2 0 0,9 2 0,-3 1 0,-23-2 0,-1-1 0,8 3 0,3-1 0,7-1 0,0-2 0,-5 1 0,0 0-30,13 0 0,-5 0 30,4 0 131,-15 0 0,0 0-131,19 0 0,-21 0 0,2 0 0,28 0 0,-34 0 4102,37 0-4102,-34 0 0,18 0 119,-31 0 1,-26 0-1,-17 0 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2:14.28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0 512 24575,'9'0'0,"-1"0"0,-4 6 0,2 0 0,4 13 0,-4-7 0,2 9 0,-8-10 0,2 2 0,5 4 0,-2-1 0,6 11 0,-4-8 0,2 10 0,-2-13 0,-2 8 0,-3-14 0,2 5 0,-3-5 0,7 8 0,-7-6 0,3 2 0,-4-1 0,2-7 0,-1 4 0,1-2 0,-2 1 0,0 0 0,0-2 0,-4-6 0,3-6 0,-8-5 0,6-26 0,-9-5 0,3-25 0,-6 0 0,5 15 0,-2-11 0,2 9 0,-2-14 0,2 22 0,3 9 0,5 19 0,2 4 0,0-5 0,0 6 0,-4 0 0,3 5 0,-1 2 0,4 3 0,5 4 0,7 10 0,17 20 0,2-4 0,22 28 0,1-13 0,4 8 0,0-3 0,-12-10 0,-10-10 0,-3-3 0,2-1 0,0-4 0,-4 5 0,-7-11 0,-4 2 0,-3-4 0,8 3 0,-4-3 0,-5-4 0,0 3 0,-8-8 0,2 3 0,-6-6 0,-1 0 0,1-2 0,-2-11 0,2 0 0,-3-18 0,-1 3 0,1-6 0,-3-24 0,0 5 0,0-22 0,3 15 0,-3 11 0,3-28 0,-3 20 0,0-32 0,0 40 0,0 12 0,0 19 0,0 9 0,0 0 0,0-1 0,0 1 0,0 2 0,0 2 0,0 3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2:16.76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449 346 24575,'7'-2'0,"0"-1"0,-2 1 0,-1-3 0,1 1 0,-3-3 0,-2-1 0,-2 2 0,-5-3 0,-2-1 0,-5-3 0,2 5 0,-17-4 0,-3 4 0,-30-8 0,1-4 0,-3 5 0,-16-10 0,39 18 0,-9-6 0,39 13 0,9 7 0,0-2 0,2 6 0,0 5 0,2-3 0,4 7 0,2-8 0,3 6 0,-1-6 0,5 8 0,-4-9 0,8 6 0,-11-12 0,9 8 0,-8-9 0,16 9 0,-1-9 0,18 9 0,3-3 0,-9-3 0,10 1 0,-21-2 0,6 1 0,-9-1 0,-10 0 0,3-3 0,-7 3 0,1-1 0,2 8 0,-4-2 0,5 2 0,-5 3 0,2 2 0,-6 2 0,1 0 0,-6-6 0,1-3 0,-19 12 0,-7-4 0,-13 9 0,-16-6 0,18-7 0,-53 0 0,45-10 0,-28-1 0,47-4 0,6 0 0,5-3 0,8-5 0,-2-1 0,9 0 0,-3 5 0</inkml:trace>
  <inkml:trace contextRef="#ctx0" brushRef="#br0" timeOffset="1167">805 1 24575,'3'9'0,"3"7"0,0 20 0,-1-4 0,2 14 0,3 8 0,-6-17 0,5 27 0,-6-39 0,3 16 0,0-2 0,0-1 0,-3 10 0,-1-25 0,2 2 0,1-6 0,4-2 0,-4-1 0,4-5 0,0-4 0,3 0 0,0 0 0,-1-2 0,-2-3 0,1 0 0,-1-2 0,-2-6 0,-2 4 0,-3-4 0</inkml:trace>
  <inkml:trace contextRef="#ctx0" brushRef="#br0" timeOffset="1542">680 453 24575,'12'0'0,"9"0"0,15 0 0,64 0 0,-9 0 0,-3-1 0,0-2 0,-36-1 0,-3-1 0,8 2 0,-6-2 0,-13-6 0,-13 8 0,-19 1 0,2 2 0</inkml:trace>
  <inkml:trace contextRef="#ctx0" brushRef="#br0" timeOffset="2133">1471 318 24458,'-6'0'0,"-2"0"59,1 0-59,0 2 19,-2 7-19,2 3 0,-3 1 10,1 1-10,0 2 29,3 2-29,0 0 0,6-4 0,0 3 0,0-8 0,0 10 0,0-13 0,0 5 0,6-4 0,0 2 0,9 0 0,-4-1 0,2-4 0,0-2 0,6-2 0,8 0 0,-4 0 0,11 0 0,0-6 0,32-7 0,-18 0 0,30-14 0,-47 11 0,5-9 0,-23 6 0,-5-4 0,-8-12 0,1 14 0,-5-4 0,4 23 0</inkml:trace>
  <inkml:trace contextRef="#ctx0" brushRef="#br0" timeOffset="2668">1757 97 20035,'-3'-4'0,"1"-3"2128,2 6-2128,0-1 770,0 13-770,0 1 398,7 18-398,-2 5 1244,10 14-1244,-4 2 0,9 10 0,-6-15 0,0 5 0,-8-24 0,1 3 0,-4-13 0,4-1 0,-5-5 0,2-2 0,-1-1 0,1 1 0,1-5 0,0 3 0,1-2 0,-3 0 0,2-3 0</inkml:trace>
  <inkml:trace contextRef="#ctx0" brushRef="#br0" timeOffset="3735">2271 669 24575,'0'-7'0,"2"2"0,0 9 0,5 6 0,-4 6 0,5 18 0,-4-8 0,3 16 0,-4-10 0,0 19 0,-3-15 0,0 10 0,0-27 0,-4-9 0,-1-13 0,-9-16 0,8 6 0,-19-38 0,12-5 0,-13-28 0,11 10 0,-2 3 0,5 12 0,3 10 0,3-1 0,6 30 0,0-5 0,6 8 0,1-2 0,7 0 0,-2 7 0,12-3 0,-12 9 0,14-5 0,-12 8 0,9 1 0,-8 2 0,5 2 0,-8 5 0,-1 7 0,3 7 0,-5-4 0,-1 5 0,-4-4 0,-4 6 0,0-1 0,-2-5 0,-15 9 0,-5-10 0,-14 13 0,4-10 0,6-5 0,-4 3 0,-6-8 0,6 1 0,-2-5 0,23-4 0,2-2 0</inkml:trace>
  <inkml:trace contextRef="#ctx0" brushRef="#br0" timeOffset="5375">2344 596 24575,'7'0'0,"0"2"0,0 3 0,-2 2 0,-1 2 0,-1 0 0,-3 5 0,0 6 0,0-4 0,0 8 0,4-6 0,1 2 0,6 3 0,3-5 0,-2-6 0,2-3 0,-5-7 0,-2-4 0,4-3 0,3-9 0,11-11 0,-1-4 0,-4-9 0,-11 13 0,-7-2 0,-6 11 0,-2 2 0,-1 5 0,3 2 0,-1 2 0,1 3 0,-11 0 0,-3 2 0,-7 2 0,10 0 0,2 3 0,10-1 0,3 1 0,9 0 0,8-3 0,6 0 0,0-2 0,12-2 0,-16-3 0,9-2 0,-12-1 0,2-11 0,-4 4 0,0-9 0,-8 5 0,-3 4 0,4-14 0,-6 12 0,5-21 0,-11 14 0,4 4 0,-7 3 0,9 16 0,-5-1 0,9 9 0,1 8 0,-2 4 0,2 27 0,5 3 0,1 4 0,2 4 0,16 26 0,-11-26 0,-1-3 0,5 4 0,-3 4 0,4-2 0,-8-5 0,6-1 0,-16-31 0,5-2 0,-10-13 0,3 1 0,-8-11 0,-6-8 0,-2-4 0,-3-12 0,-17-38 0,15 21 0,0-8 0,1-3 0,2-16 0,-3-21 0,6 18 0,4 30 0,9-1 0,3 22 0,7-6 0,2 12 0,1 8 0,10 2 0,-4 6 0,4 0 0,1 0 0,-5 2 0,3 5 0,0 2 0,-11 3 0,6 8 0,-9-5 0,2 4 0,-3-6 0,-7 5 0,1 5 0,-8 2 0,2-4 0,-10-4 0,5-5 0,-13 8 0,-3 0 0,6-6 0,-12 4 0,23-14 0,-5 2 0,10-6 0</inkml:trace>
  <inkml:trace contextRef="#ctx0" brushRef="#br0" timeOffset="5834">3747 266 24575,'5'0'0,"0"0"0,5 0 0,3-2 0,13-4 0,23 0 0,12 0 0,15 0 0,-18 5-6784,5-5 6784,-37 3 0,6 0 0,-28 1 0</inkml:trace>
  <inkml:trace contextRef="#ctx0" brushRef="#br0" timeOffset="6309">3762 476 24575,'5'0'0,"17"0"0,21 0 0,6 0 0,3 0 0,32 0 0,-28 0 0,-3 0 0,-9 0 0,14 0 0,-37 0 0,7 0 0,-22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2:24.67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1329 24575,'14'0'0,"9"-4"0,6-2 0,4-1 0,-10-1 0,-1 2 0,-7 3 0,2-2 0,-4 3 0,-1 0 0,-2-1 0,-5 1 0,6 8 0,-1 2 0,6 8 0,-4-4 0,6 6 0,-4-4 0,5 5 0,-5-3 0,-1-2 0,-2 1 0,7 8 0,-2-3 0,7 4 0,-11-10 0,3 2 0,3 6 0,-4-5 0,17 14 0,-23-26 0,9 2 0,-22-23 0,4-5 0,-9-17 0,0-15 0,-2-1 0,-1-13 0,-1-6 0,2 22 0,1-1-644,-2-32 1,-1-2 643,-1 20 0,1 5 0,6-38 0,-3 28 0,-2 1 0,-7-28-2622,5 23 0,-1 2 2622,-6-6-56,3 24 1,3 5 55,9 12 0,-12-17 0,12 37 927,6 6-927,-3 6 0,6-3 0,6 1 0,75-16 0,16 11-590,-8 4 1,5 1 589,-26 5 0,1 1 0,-6 2 0,5 0 0,3 0-943,23 0 1,6 0-1,-2 0 943,-12 0 0,-2 0 0,5 0 0,-4 0 0,7 0 0,-3 0 0,-10 0 0,11 0 0,-4 0 0,-8 0 0,5 0 0,-8 0-464,-4 0 1,-2 0 463,23 0 0,-4 0 0,-34 0 0,-8 0 0,14 0 0,-28 0 0,-17 0 4869,-10 0-4869,2 0 1003,0 0 1,-3 0-1,-2 0 1</inkml:trace>
  <inkml:trace contextRef="#ctx0" brushRef="#br0" timeOffset="1147">686 751 24575,'4'-3'0,"1"3"0,4 5 0,5 6 0,1 7 0,14 19 0,3 6 0,5 18 0,-2-11 0,1 9 0,20 21 0,-12-21 0,-14-12 0,-3-3 0,-2-10 0,9 22 0,-8-19 0,4 2 0,-8-6 0,-11-18 0,-5-2 0,-1-6 0,2-2 0,0-5 0,9-15 0,-1-2 0,10-23 0,-2 0 0,13-20 0,-2 10 0,-4 6 0,0 0 0,-12 3 0,3 3 0,-9 4 0,-6 21 0,-6 3 0,2 3 0,0-2 0,1 2 0,-1-7 0,0 2 0,0-4 0,3 2 0,0 4 0,-1-11 0,1 11 0,4-12 0,-4 12 0,4-3 0,-4 5 0,-1-1 0,-1 6 0,-1 1 0</inkml:trace>
  <inkml:trace contextRef="#ctx0" brushRef="#br0" timeOffset="2232">1610 1844 24575,'8'4'0,"-2"4"0,3 1 0,-3 9 0,-1-5 0,2 5 0,-4-7 0,-1 1 0,2 1 0,-3-3 0,3 4 0,-4-11 0,-4-6 0,-2-7 0,-3-9 0,-4-3 0,4-5 0,-3-10 0,5-1 0,1-4 0,-10-34 0,7 39 0,-6-26 0,10 49 0,5-1 0,0 3 0,2-3 0,4 1 0,2 7 0,3-1 0,-1 7 0,-1-4 0,0 5 0,20 0 0,-3 0 0,18 3 0,-17 0 0,-1 3 0,-8 5 0,-6-3 0,1 6 0,-6-1 0,1-3 0,-2 12 0,-1-3 0,-3 5 0,0-6 0,-2 5 0,0-9 0,-6 8 0,3-13 0,-17 4 0,11-5 0,-24 9 0,8-8 0,-22 8 0,2-8 0,1-1 0,8-3 0,12-5 0,14 0 0,4 0 0</inkml:trace>
  <inkml:trace contextRef="#ctx0" brushRef="#br0" timeOffset="2697">1896 1784 24575,'9'0'0,"-1"0"0,-2 6 0,-3 4 0,-1 6 0,-2 3 0,0-5 0,0 0 0,0-5 0,0 0 0,0 2 0,0-3 0,0 3 0,4-4 0,1 0 0,4-2 0,1-3 0,-1-2 0,0 0 0,-2 0 0,0-9 0,-5 7 0,0-6 0</inkml:trace>
  <inkml:trace contextRef="#ctx0" brushRef="#br0" timeOffset="3872">1970 1707 24575,'-28'-5'0,"6"1"0,9 6 0,10-2 0,10 2 0,5-2 0,6 0 0,0 0 0,8 0 0,-6 0 0,11-2 0,-16 0 0,4-7 0,-9 1 0,-1-7 0,0 4 0,-6-4 0,1-4 0,-4-2 0,0-10 0,0 7 0,0 2 0,0 0 0,0 7 0,0 3 0,0 9 0,2 18 0,3 12 0,0 2 0,5 6 0,-2 7 0,0-11 0,2 23 0,4-1 0,-3-6 0,3 4 0,-6-21 0,-2-11 0,-1 6 0,-1-1 0,-3-4 0,1 2 0,-2-13 0,0-2 0,0 2 0,-4-10 0,-4 0 0,-2-11 0,-2-5 0,3-1 0,1-12 0,-5-11 0,9 3 0,-6-10 0,0-3 0,7-2 0,-9-34 0,12 52 0,0 13 0,6 2 0,0 7 0,9 1 0,-3 4 0,0 5 0,5 1 0,0 0 0,8 2 0,-1 0 0,6 8 0,-9 0 0,2 8 0,-12-4 0,0 1 0,5 5 0,1 0 0,2 0 0,-5-1 0,-6-6 0,-1 2 0,-4-4 0,-3 2 0,-9-1 0,-3 3 0,-15 0 0,-1-6 0,4 2 0,7-8 0,13 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2:58.63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2811 24575,'2'-10'0,"2"-7"0,-1-2 0,-1-4 0,0-20 0,-2-2 0,0-36 0,0 5 0,0 1 0,0 6 0,0-3 0,0-24-457,6 19 1,1 0 456,4-20 0,12 9-438,-1 7 438,-2-7 0,-7 35 0,0 1 0,5-28 0,-1 2 0,6 1 0,-1 20 0,-1 12 0,2-2 0,24-30 0,-12 28 0,1-2 0,-6 8 0,1-1-402,7-9 1,1 1 401,-7 11 0,-1 3 0,25-24 0,13-5 0,0 12 0,-29 22 0,0 1 0,31-22 0,-2 10 855,-28 16-855,18-4 0,10-10 0,-3 6 0,17-7 0,-17 19 0,0 7 0,0 2 0,0 2 439,-7-2-439,6-3 860,-23 9-860,7-2 0,-29 10 0,9-2 0,-6 3 0,1 0 0,-1 0 0,-10 0 0,-4 0 0,9 0 0,-3 0 0,8 0 0,-1 0 0,1 3 0,16 3 0,-13 0 0,8 1 0,-20-4 0,2 3 0,-9-5 0,4 3 0,-4-2 0,3 1 0,3-1 0,1 5 0,9-4 0,4 4 0,5 0 0,4 2 0,-12-4 0,-2 1 0,-15-6 0,-6-4 0,0-1 0,-7-3 0,3 0 0,-2 2 0,-3-4 0,4 4 0,-6-5 0,6 6 0,-4-4 0,2 6 0,0-8 0,1 8 0,0-10 0,-1 5 0,-4-5 0,2 3 0,-5-2 0,10 3 0,-8 0 0,12 3 0,2 2 0,9 4 0,4 2 0,3 1 0,-1 2 0,8 0 0,-6 1 0,4-1 0,-10-1 0,-5 1 0,2-1 0,-4 1 0,5 0 0,-5-1 0,-1 1 0,1-1 0,-2 3 0,0 0 0,-3 7 0,-2-4 0,0 3 0,-2 1 0,-3-4 0,-6 8 0,-3 0 0,2-3 0,-3 10 0,-4 2 0,4-1 0,-10 4 0,10-11 0,1-1 0,0-1 0,7-6 0,-2 0 0,6-8 0,-1 1 0</inkml:trace>
  <inkml:trace contextRef="#ctx0" brushRef="#br0" timeOffset="1086">2844 121 24575,'0'17'0,"0"2"0,-2 12 0,-6 14 0,-3 1 0,-1-4 0,-1 13 0,3-24 0,-3 27 0,4-21 0,1-1 0,1-10 0,4-8 0,-2-3 0,3-4 0,0-3 0,-1-7 0,1-3 0,2-10 0,0-5 0,0-5 0,0-13 0,3-6 0,3-4 0,3 3 0,0 14 0,-2-12 0,1 4 0,1-4 0,0 7 0,1 15 0,-5 0 0,4 4 0,-2-5 0,9 0 0,-6 5 0,3 2 0,-3 8 0,-3 1 0,10 10 0,-6 0 0,9 9 0,-8 4 0,5 4 0,-5 6 0,11 6 0,-8-7 0,5 1 0,-2 4 0,-5-8 0,4 14 0,-6-17 0,4 4 0,-7-12 0,3 1 0,-7-10 0,1-1 0,-2-3 0,-1 0 0</inkml:trace>
  <inkml:trace contextRef="#ctx0" brushRef="#br0" timeOffset="1616">2771 517 24575,'0'-10'0,"0"1"0,6-4 0,4 2 0,10-5 0,0 4 0,6 1 0,-3 0 0,0 8 0,2-7 0,-1 3 0,-5-1 0,-4-1 0,-6 4 0,-2-2 0,2 4 0,1-5 0,15 0 0,13 2-6784,26-13 6784,-4 12 0,26-19 0,-49 18 0,9-4 0,-42 12 0</inkml:trace>
  <inkml:trace contextRef="#ctx0" brushRef="#br0" timeOffset="2433">3368 268 24575,'4'5'0,"7"1"0,-3 2 0,4 1 0,-6 0 0,6 8 0,-5-5 0,9 9 0,-9-11 0,5 8 0,-2-4 0,3 8 0,-2-5 0,-1 0 0,-1-3 0,-2-9 0,2 2 0,-2-5 0,-2 0 0,-1 1 0,5-8 0,3-4 0,3-4 0,-6-2 0,12-15 0,-13 13 0,18-20 0,-20 22 0,9-12 0,-5 0 0,3 6 0,-2 0 0,-4 11 0,-1 3 0,-3 2 0,1 3 0</inkml:trace>
  <inkml:trace contextRef="#ctx0" brushRef="#br0" timeOffset="3992">3843 206 24575,'3'-5'0,"-3"3"0,-5-1 0,-2 3 0,-3 0 0,-3 0 0,2 0 0,-6 5 0,6-4 0,-2 9 0,4-7 0,-1 6 0,1-2 0,-1 0 0,1 2 0,2-2 0,2 0 0,3 0 0,2 0 0,0 0 0,0 4 0,0-3 0,0 3 0,0 2 0,0-3 0,0 3 0,0-4 0,0 1 0,0 1 0,2 1 0,3 0 0,0-3 0,1-3 0,-1-1 0,2 0 0,-2-1 0,11 5 0,-2-3 0,4 1 0,-3-5 0,-5-2 0,1 0 0,-1-4 0,-3 1 0,-3-6 0,0-6 0,-1-1 0,-1-7 0,3 11 0,-3-9 0,5-1 0,-3-3 0,0-1 0,-4 11 0,0 2 0,0 4 0,0-1 0,0 1 0,0-1 0,0 1 0,0 0 0,2 2 0,3 0 0,4 4 0,-1 1 0,5 8 0,-6 0 0,0 7 0,0-3 0,-2 11 0,4-5 0,6 30 0,2-7 0,5 55 0,1-27 0,-3 21 0,-7-41 0,-2 2 0,-7-16 0,2 3 0,-4-6 0,-2-15 0,0 6 0,0-2 0,0-4 0,0 7 0,0-6 0,-2-3 0,-2 0 0,-4-6 0,-1-2 0,-4 8 0,-4-5 0,2 5 0,-1-6 0,-1 2 0,1-6 0,-3 3 0,6-3 0,4-1 0,-1 0 0,3-2 0,-2-4 0,6 1 0,-5-6 0,-1-4 0,3-2 0,-1-5 0,7 1 0,0 1 0,0-1 0,7-18 0,3 13 0,7-14 0,17 0 0,-13 15 0,13-15 0,-17 18 0,-3 2 0,-1 2 0,-6 5 0,-2 6 0,-3 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3:08.87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24575,'0'0'0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3:10.43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21874,'0'7'0,"0"0"1302,0 0-1302,0 0 114,0 6 0,0-6 0,0 1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3:11.72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20 184 24575,'0'-4'0,"-5"-3"0,4 0 0,-3-3 0,0 1 0,3-9 0,-3 7 0,4-7 0,0 9 0,0 0 0,2 1 0,9 2 0,2 1 0,3 2 0,-3-1 0,-3 2 0,3-1 0,-3 1 0,4 2 0,-7 0 0,2 6 0,-2 4 0,0 2 0,2 9 0,-4-3 0,3 6 0,-4-3 0,-1-5 0,-1-2 0,2-1 0,-3 1 0,3 1 0,-4 2 0,0-4 0,-4 5 0,1-2 0,-6 1 0,2-1 0,-3-3 0,-1 1 0,-1 0 0,0-4 0,0-1 0,3-5 0,2-1 0,2-3 0,3-9 0,7-9 0,3-2 0,8-8 0,2 5 0,3-4 0,-1 3 0,0 2 0,4-8 0,-7 4 0,8-9 0,-14 16 0,4-2 0,-6 10 0,-2-2 0,2-1 0,-6 6 0,3-3 0,-3 7 0,-1 3 0,0 8 0,-2 5 0,0 10 0,-4 2 0,-3-1 0,-5 0 0,4 3 0,-2-6 0,9 6 0,-4-8 0,3-4 0,0-1 0,-1-4 0,1 0 0,2 0 0,0 1 0,4-1 0,-1-2 0,6 0 0,-2-3 0,-2-1 0,-1-1 0</inkml:trace>
  <inkml:trace contextRef="#ctx0" brushRef="#br0" timeOffset="1201">458 241 24575,'-4'7'0,"-3"6"0,-3-2 0,0 8 0,2-6 0,5-1 0,-4 2 0,5 5 0,-3-3 0,0 3 0,3-9 0,2-1 0,4-2 0,1 2 0,2-4 0,0 4 0,0-6 0,4 5 0,-3-7 0,3 3 0,-4-4 0,6 0 0,-2-2 0,2-1 0,-4-5 0,-2 0 0,0-2 0,-2 4 0,-3-1 0,0 0 0,2-3 0,-3-1 0,3-1 0,-4 0 0,0 1 0,0 1 0,0-7 0,0 6 0,0-7 0,0 5 0,0 3 0,0-2 0,0 3 0,-2 4 0,-2-4 0,-2 6 0,0-1 0,-1 4 0,2-2 0,-2 1 0,2-3 0,-1-2 0,0-4 0,-2-2 0,-1-3 0,-1 2 0,4-5 0,-3-6 0,7 6 0,-8-11 0,9 17 0,-9-4 0,9 8 0,-3-1 0,4 0 0,2 1 0,1 4 0,3 2 0,3 8 0,-1-1 0,5 15 0,-3-7 0,1 11 0,1-7 0,-5 0 0,-3 0 0,-2-6 0,-2 6 0,0-7 0,0 20 0,0-9 0,-2 14 0,-1-4 0,-4-7 0,2 2 0,-4-10 0,1-2 0,1-2 0,3-7 0,1-1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3:10.1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47 1 24575,'-5'16'0,"1"-2"0,-2-1 0,2-1 0,-5-2 0,7-4 0,0-4 0</inkml:trace>
  <inkml:trace contextRef="#ctx0" brushRef="#br0" timeOffset="108">10 79 24575,'-5'9'0,"1"3"0,4-3 0,0 7 0,0-6 0,0-1 0,0-5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3:09.59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 0 18021,'0'10'0,"0"-1"0,0-4 0,0-1 0</inkml:trace>
  <inkml:trace contextRef="#ctx0" brushRef="#br0" timeOffset="176">4 125 24575,'5'13'0,"-3"13"0,1-5 0,-3 9 0,0-7 0,0-4 0,0 7 0,0-7 0,0-5 0,0-6 0</inkml:trace>
  <inkml:trace contextRef="#ctx0" brushRef="#br0" timeOffset="351">14 435 24575,'-2'11'0,"-3"-3"0,2-1 0,-1-5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3:09.19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24575,'0'0'0</inkml:trace>
  <inkml:trace contextRef="#ctx0" brushRef="#br0" timeOffset="199">65 148 24575,'0'5'0,"0"-1"0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7T17:33:05.84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41 24575,'0'-7'0,"2"2"0,11-1 0,0 5 0,10-3 0,-5 4 0,0 0 0,1 0 0,3 4 0,5 2 0,-3 3 0,-4-1 0,-7-2 0,-8-1 0,2-1 0,-2 3 0,-1 0 0,1 0 0,-3 10 0,1-4 0,-3 7 0,0-4 0,-3-4 0,1-1 0,-3-3 0,0 0 0,1-3 0,3-2 0,6-10 0,17-10 0,-4-1 0,11-3 0,-11 9 0,-1 1 0,-1 2 0,-6 1 0,-2 0 0,-3 4 0,-1-2 0,-1 2 0,-1-2 0,-2 0 0,0-1 0,0 0 0,0-3 0,4-3 0,-3 4 0,3-1 0,-4 9 0,0 2 0,0 5 0,0 1 0,0 3 0,0-1 0,0 4 0,0-2 0,0 2 0,0-4 0,0 0 0,0 13 0,0-10 0,2 9 0,1-7 0,-1-6 0,0 5 0,0-4 0,-1 1 0,5 1 0,-5-2 0,9 0 0,-6-2 0,9 4 0,-6-5 0,5 0 0,-3-3 0,0-3 0,-4 0 0,0 0 0</inkml:trace>
  <inkml:trace contextRef="#ctx0" brushRef="#br0" timeOffset="500">561 104 24575,'4'-2'0,"3"6"0,-4 6 0,5 2 0,-7 5 0,3-6 0,-4 6 0,0-2 0,0-1 0,0 3 0,0-2 0,0-1 0,0 0 0,0-3 0,0-3 0,0 2 0,0 0 0,0 2 0,0 1 0,0 3 0,0-3 0,0 0 0,0-8 0,0-1 0</inkml:trace>
  <inkml:trace contextRef="#ctx0" brushRef="#br0" timeOffset="1900">276 629 24575,'0'-5'0,"-4"-2"0,3 0 0,-3-2 0,4-1 0,0 1 0,0-4 0,0 2 0,0-6 0,2 6 0,2-2 0,6-1 0,-3 6 0,2-3 0,-2 6 0,0 3 0,2 0 0,0 2 0,1 0 0,-1 0 0,0 0 0,0 0 0,1 8 0,-3-4 0,-3 9 0,-2-2 0,3 3 0,-4 1 0,3-2 0,-4-2 0,0 1 0,0 6 0,0-5 0,0 3 0,0-3 0,0-3 0,-9 8 0,3-4 0,-7 0 0,7 0 0,-4-7 0,6 0 0,0-7 0,10-7 0,0 1 0,10-15 0,-8 12 0,10-14 0,-7 7 0,2 2 0,-4-1 0,-4 7 0,1-3 0,1 1 0,-2 1 0,6-5 0,-6 4 0,2-3 0,-7 9 0,-5 5 0,-2 8 0,-2 5 0,-3 2 0,0 3 0,1-1 0,-1 1 0,5-5 0,-4 8 0,5-11 0,-1 11 0,5-12 0,2 4 0,0-7 0,2 0 0,7-3 0,3-1 0,2-1 0,-1-2 0,-3 0 0,3 0 0,-3 0 0,4 0 0,-5-2 0,-2-3 0,-2 2 0,-3-1 0</inkml:trace>
  <inkml:trace contextRef="#ctx0" brushRef="#br0" timeOffset="2610">537 681 24575,'7'-9'0,"0"-1"0,3 1 0,-1 0 0,2-1 0,-3 3 0,5 0 0,-8 3 0,6-1 0,-6 2 0,0 3 0,-3 3 0,-2 3 0,0 6 0,-8 6 0,-1 2 0,-3-2 0,1 0 0,4-8 0,-2 3 0,-1-3 0,3 1 0,0-3 0,5 2 0,0-5 0,4 0 0,7-3 0,5-2 0,5 0 0,2 0 0,1 0 0,-3 0 0,3 0 0,-8 0 0,-5 0 0,-5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6894-5664-9E44-AC8E-0613F0A18E69}">
  <dimension ref="C5:J24"/>
  <sheetViews>
    <sheetView tabSelected="1" topLeftCell="B14" zoomScale="219" workbookViewId="0">
      <selection activeCell="C24" sqref="C24"/>
    </sheetView>
  </sheetViews>
  <sheetFormatPr baseColWidth="10" defaultRowHeight="16" x14ac:dyDescent="0.2"/>
  <sheetData>
    <row r="5" spans="3:10" x14ac:dyDescent="0.2">
      <c r="C5" s="2" t="s">
        <v>0</v>
      </c>
      <c r="D5" s="1"/>
      <c r="E5" s="1"/>
    </row>
    <row r="6" spans="3:10" x14ac:dyDescent="0.2">
      <c r="C6" s="1"/>
      <c r="D6" s="1"/>
      <c r="E6" s="1"/>
    </row>
    <row r="9" spans="3:10" x14ac:dyDescent="0.2">
      <c r="C9" t="s">
        <v>1</v>
      </c>
    </row>
    <row r="11" spans="3:10" x14ac:dyDescent="0.2">
      <c r="D11" s="10" t="s">
        <v>60</v>
      </c>
      <c r="E11" s="10"/>
      <c r="F11" s="10" t="s">
        <v>61</v>
      </c>
      <c r="G11" s="10"/>
      <c r="H11" s="11" t="s">
        <v>62</v>
      </c>
      <c r="I11" s="11"/>
      <c r="J11" s="11"/>
    </row>
    <row r="12" spans="3:10" x14ac:dyDescent="0.2">
      <c r="D12" s="10"/>
      <c r="E12" s="10"/>
      <c r="F12" s="10"/>
      <c r="G12" s="10"/>
      <c r="H12" s="11"/>
      <c r="I12" s="11"/>
      <c r="J12" s="11"/>
    </row>
    <row r="13" spans="3:10" x14ac:dyDescent="0.2">
      <c r="D13" s="10" t="s">
        <v>4</v>
      </c>
      <c r="E13" s="10"/>
      <c r="F13" s="10" t="s">
        <v>61</v>
      </c>
      <c r="G13" s="10"/>
      <c r="H13" s="11" t="s">
        <v>63</v>
      </c>
      <c r="I13" s="11"/>
      <c r="J13" s="11"/>
    </row>
    <row r="14" spans="3:10" x14ac:dyDescent="0.2">
      <c r="D14" s="10"/>
      <c r="E14" s="10"/>
      <c r="F14" s="10"/>
      <c r="G14" s="10"/>
      <c r="H14" s="11"/>
      <c r="I14" s="11"/>
      <c r="J14" s="11"/>
    </row>
    <row r="15" spans="3:10" x14ac:dyDescent="0.2">
      <c r="D15" s="10" t="s">
        <v>5</v>
      </c>
      <c r="E15" s="10"/>
      <c r="F15" s="10" t="s">
        <v>64</v>
      </c>
      <c r="G15" s="10"/>
      <c r="H15" s="11" t="s">
        <v>65</v>
      </c>
      <c r="I15" s="11"/>
      <c r="J15" s="11"/>
    </row>
    <row r="19" spans="3:3" x14ac:dyDescent="0.2">
      <c r="C19" t="s">
        <v>66</v>
      </c>
    </row>
    <row r="22" spans="3:3" x14ac:dyDescent="0.2">
      <c r="C22" t="s">
        <v>117</v>
      </c>
    </row>
    <row r="24" spans="3:3" x14ac:dyDescent="0.2">
      <c r="C24" t="s">
        <v>118</v>
      </c>
    </row>
  </sheetData>
  <mergeCells count="1">
    <mergeCell ref="C5:E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AE282-F0C8-6840-ACDB-BD39E7290B90}">
  <dimension ref="A3:K168"/>
  <sheetViews>
    <sheetView topLeftCell="A146" zoomScale="243" zoomScaleNormal="243" workbookViewId="0">
      <selection activeCell="B149" sqref="B149:B156"/>
    </sheetView>
  </sheetViews>
  <sheetFormatPr baseColWidth="10" defaultRowHeight="16" x14ac:dyDescent="0.2"/>
  <cols>
    <col min="8" max="8" width="12.6640625" bestFit="1" customWidth="1"/>
    <col min="10" max="10" width="25.1640625" customWidth="1"/>
  </cols>
  <sheetData>
    <row r="3" spans="1:11" x14ac:dyDescent="0.2">
      <c r="B3" s="3" t="s">
        <v>2</v>
      </c>
      <c r="C3" s="1"/>
      <c r="D3" s="1"/>
    </row>
    <row r="4" spans="1:11" x14ac:dyDescent="0.2">
      <c r="B4" s="1"/>
      <c r="C4" s="1"/>
      <c r="D4" s="1"/>
    </row>
    <row r="6" spans="1:11" x14ac:dyDescent="0.2">
      <c r="A6" t="s">
        <v>56</v>
      </c>
      <c r="C6" t="s">
        <v>6</v>
      </c>
      <c r="E6" t="s">
        <v>7</v>
      </c>
      <c r="F6" t="s">
        <v>8</v>
      </c>
      <c r="H6" t="s">
        <v>9</v>
      </c>
    </row>
    <row r="8" spans="1:11" ht="153" x14ac:dyDescent="0.2">
      <c r="A8" t="s">
        <v>56</v>
      </c>
      <c r="C8" t="s">
        <v>4</v>
      </c>
      <c r="E8" t="s">
        <v>10</v>
      </c>
      <c r="H8" t="s">
        <v>11</v>
      </c>
      <c r="J8" s="5" t="s">
        <v>19</v>
      </c>
    </row>
    <row r="10" spans="1:11" x14ac:dyDescent="0.2">
      <c r="A10" t="s">
        <v>57</v>
      </c>
      <c r="C10" t="s">
        <v>5</v>
      </c>
      <c r="E10" t="s">
        <v>12</v>
      </c>
      <c r="H10" t="s">
        <v>14</v>
      </c>
    </row>
    <row r="11" spans="1:11" x14ac:dyDescent="0.2">
      <c r="E11" t="s">
        <v>13</v>
      </c>
      <c r="H11" t="s">
        <v>15</v>
      </c>
      <c r="I11" t="s">
        <v>16</v>
      </c>
    </row>
    <row r="14" spans="1:11" x14ac:dyDescent="0.2"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2">
      <c r="C15" t="s">
        <v>17</v>
      </c>
      <c r="D15" t="s">
        <v>18</v>
      </c>
    </row>
    <row r="16" spans="1:11" x14ac:dyDescent="0.2">
      <c r="C16">
        <v>64</v>
      </c>
      <c r="D16" cm="1">
        <f t="array" ref="D16:D36">_xlfn._xlws.SORT(C16:C36)</f>
        <v>-3</v>
      </c>
    </row>
    <row r="17" spans="3:10" x14ac:dyDescent="0.2">
      <c r="C17">
        <v>67</v>
      </c>
      <c r="D17">
        <v>1</v>
      </c>
      <c r="F17" t="s">
        <v>3</v>
      </c>
      <c r="H17">
        <f>AVERAGE(C16:C36)</f>
        <v>31.428571428571427</v>
      </c>
      <c r="J17" t="str">
        <f ca="1">_xlfn.FORMULATEXT(H17)</f>
        <v>=AVERAGE(C16:C36)</v>
      </c>
    </row>
    <row r="18" spans="3:10" x14ac:dyDescent="0.2">
      <c r="C18">
        <v>20</v>
      </c>
      <c r="D18">
        <v>4</v>
      </c>
    </row>
    <row r="19" spans="3:10" x14ac:dyDescent="0.2">
      <c r="C19">
        <v>56</v>
      </c>
      <c r="D19">
        <v>11</v>
      </c>
      <c r="F19" t="s">
        <v>4</v>
      </c>
      <c r="H19">
        <f>MEDIAN(C16:C36)</f>
        <v>22</v>
      </c>
      <c r="J19" t="str">
        <f ca="1">_xlfn.FORMULATEXT(H19)</f>
        <v>=MEDIAN(C16:C36)</v>
      </c>
    </row>
    <row r="20" spans="3:10" x14ac:dyDescent="0.2">
      <c r="C20">
        <v>22</v>
      </c>
      <c r="D20">
        <v>13</v>
      </c>
    </row>
    <row r="21" spans="3:10" x14ac:dyDescent="0.2">
      <c r="C21">
        <v>64</v>
      </c>
      <c r="D21">
        <v>14</v>
      </c>
      <c r="F21" t="s">
        <v>5</v>
      </c>
      <c r="H21">
        <f>MODE(C16:C36)</f>
        <v>22</v>
      </c>
      <c r="J21" t="str">
        <f ca="1">_xlfn.FORMULATEXT(H21)</f>
        <v>=MODE(C16:C36)</v>
      </c>
    </row>
    <row r="22" spans="3:10" x14ac:dyDescent="0.2">
      <c r="C22">
        <v>17</v>
      </c>
      <c r="D22">
        <v>17</v>
      </c>
    </row>
    <row r="23" spans="3:10" x14ac:dyDescent="0.2">
      <c r="C23">
        <v>13</v>
      </c>
      <c r="D23">
        <v>19</v>
      </c>
      <c r="H23">
        <f>_xlfn.MODE.SNGL(C16:C36)</f>
        <v>22</v>
      </c>
      <c r="J23" t="str">
        <f ca="1">_xlfn.FORMULATEXT(H23)</f>
        <v>=MODE.SNGL(C16:C36)</v>
      </c>
    </row>
    <row r="24" spans="3:10" x14ac:dyDescent="0.2">
      <c r="C24">
        <v>19</v>
      </c>
      <c r="D24">
        <v>20</v>
      </c>
    </row>
    <row r="25" spans="3:10" x14ac:dyDescent="0.2">
      <c r="C25">
        <v>60</v>
      </c>
      <c r="D25">
        <v>22</v>
      </c>
      <c r="H25" cm="1">
        <f t="array" ref="H25">_xlfn.MODE.MULT(C16:C36)</f>
        <v>22</v>
      </c>
      <c r="J25" t="str">
        <f ca="1">_xlfn.FORMULATEXT(H25)</f>
        <v>=MODE.MULT(C16:C36)</v>
      </c>
    </row>
    <row r="26" spans="3:10" x14ac:dyDescent="0.2">
      <c r="C26">
        <v>63</v>
      </c>
      <c r="D26">
        <v>22</v>
      </c>
    </row>
    <row r="27" spans="3:10" x14ac:dyDescent="0.2">
      <c r="C27">
        <v>22</v>
      </c>
      <c r="D27">
        <v>22</v>
      </c>
    </row>
    <row r="28" spans="3:10" x14ac:dyDescent="0.2">
      <c r="C28">
        <v>22</v>
      </c>
      <c r="D28">
        <v>25</v>
      </c>
    </row>
    <row r="29" spans="3:10" x14ac:dyDescent="0.2">
      <c r="C29">
        <v>4</v>
      </c>
      <c r="D29">
        <v>45</v>
      </c>
    </row>
    <row r="30" spans="3:10" x14ac:dyDescent="0.2">
      <c r="C30">
        <v>25</v>
      </c>
      <c r="D30">
        <v>54</v>
      </c>
    </row>
    <row r="31" spans="3:10" x14ac:dyDescent="0.2">
      <c r="C31">
        <v>45</v>
      </c>
      <c r="D31">
        <v>56</v>
      </c>
    </row>
    <row r="32" spans="3:10" x14ac:dyDescent="0.2">
      <c r="C32">
        <v>-3</v>
      </c>
      <c r="D32">
        <v>60</v>
      </c>
    </row>
    <row r="33" spans="1:10" x14ac:dyDescent="0.2">
      <c r="C33">
        <v>54</v>
      </c>
      <c r="D33">
        <v>63</v>
      </c>
      <c r="H33" s="9">
        <v>0.18</v>
      </c>
    </row>
    <row r="34" spans="1:10" x14ac:dyDescent="0.2">
      <c r="C34">
        <v>1</v>
      </c>
      <c r="D34">
        <v>64</v>
      </c>
    </row>
    <row r="35" spans="1:10" x14ac:dyDescent="0.2">
      <c r="C35">
        <v>14</v>
      </c>
      <c r="D35">
        <v>64</v>
      </c>
    </row>
    <row r="36" spans="1:10" x14ac:dyDescent="0.2">
      <c r="C36">
        <v>11</v>
      </c>
      <c r="D36">
        <v>67</v>
      </c>
    </row>
    <row r="39" spans="1:10" x14ac:dyDescent="0.2">
      <c r="A39" s="4"/>
      <c r="B39" s="4"/>
      <c r="C39" s="4"/>
      <c r="D39" s="4"/>
      <c r="E39" s="4"/>
      <c r="F39" s="4"/>
      <c r="G39" s="4"/>
      <c r="H39" s="4"/>
      <c r="I39" s="4"/>
      <c r="J39" s="4"/>
    </row>
    <row r="41" spans="1:10" x14ac:dyDescent="0.2">
      <c r="B41" t="s">
        <v>67</v>
      </c>
    </row>
    <row r="43" spans="1:10" x14ac:dyDescent="0.2">
      <c r="B43" t="s">
        <v>68</v>
      </c>
    </row>
    <row r="45" spans="1:10" x14ac:dyDescent="0.2">
      <c r="B45" s="18" t="s">
        <v>69</v>
      </c>
      <c r="C45" s="18"/>
    </row>
    <row r="46" spans="1:10" x14ac:dyDescent="0.2">
      <c r="B46" s="18"/>
      <c r="C46" s="18"/>
    </row>
    <row r="47" spans="1:10" x14ac:dyDescent="0.2">
      <c r="D47" t="s">
        <v>70</v>
      </c>
    </row>
    <row r="48" spans="1:10" x14ac:dyDescent="0.2">
      <c r="D48" t="s">
        <v>71</v>
      </c>
    </row>
    <row r="49" spans="1:10" x14ac:dyDescent="0.2">
      <c r="D49" t="s">
        <v>72</v>
      </c>
    </row>
    <row r="50" spans="1:10" x14ac:dyDescent="0.2">
      <c r="B50" s="12">
        <v>-18</v>
      </c>
    </row>
    <row r="51" spans="1:10" x14ac:dyDescent="0.2">
      <c r="B51" s="12">
        <v>-14</v>
      </c>
    </row>
    <row r="52" spans="1:10" x14ac:dyDescent="0.2">
      <c r="B52" s="13">
        <v>-13</v>
      </c>
      <c r="E52" t="s">
        <v>73</v>
      </c>
      <c r="G52">
        <f>QUARTILE(B50:B57,0)</f>
        <v>-18</v>
      </c>
      <c r="I52" t="str">
        <f ca="1">IFERROR(_xlfn.FORMULATEXT(G52),"")</f>
        <v>=QUARTILE(B50:B57,0)</v>
      </c>
    </row>
    <row r="53" spans="1:10" x14ac:dyDescent="0.2">
      <c r="B53" s="13">
        <v>-9</v>
      </c>
      <c r="I53" t="str">
        <f t="shared" ref="I53:I60" ca="1" si="0">IFERROR(_xlfn.FORMULATEXT(G53),"")</f>
        <v/>
      </c>
    </row>
    <row r="54" spans="1:10" x14ac:dyDescent="0.2">
      <c r="B54" s="14">
        <v>-2</v>
      </c>
      <c r="E54" t="s">
        <v>74</v>
      </c>
      <c r="G54">
        <f>QUARTILE(B50:B57,1)</f>
        <v>-13.25</v>
      </c>
      <c r="I54" t="str">
        <f t="shared" ca="1" si="0"/>
        <v>=QUARTILE(B50:B57,1)</v>
      </c>
    </row>
    <row r="55" spans="1:10" x14ac:dyDescent="0.2">
      <c r="B55" s="14">
        <v>-2</v>
      </c>
      <c r="I55" t="str">
        <f t="shared" ca="1" si="0"/>
        <v/>
      </c>
    </row>
    <row r="56" spans="1:10" x14ac:dyDescent="0.2">
      <c r="B56" s="15">
        <v>1</v>
      </c>
      <c r="E56" t="s">
        <v>75</v>
      </c>
      <c r="G56" s="16">
        <f>QUARTILE(B50:B57,2)</f>
        <v>-5.5</v>
      </c>
      <c r="I56" t="str">
        <f t="shared" ca="1" si="0"/>
        <v>=QUARTILE(B50:B57,2)</v>
      </c>
    </row>
    <row r="57" spans="1:10" x14ac:dyDescent="0.2">
      <c r="B57" s="15">
        <v>2</v>
      </c>
      <c r="I57" t="str">
        <f t="shared" ca="1" si="0"/>
        <v/>
      </c>
    </row>
    <row r="58" spans="1:10" x14ac:dyDescent="0.2">
      <c r="E58" t="s">
        <v>76</v>
      </c>
      <c r="G58" s="16">
        <f>QUARTILE(B50:B57,3)</f>
        <v>-1.25</v>
      </c>
      <c r="I58" t="str">
        <f t="shared" ca="1" si="0"/>
        <v>=QUARTILE(B50:B57,3)</v>
      </c>
    </row>
    <row r="59" spans="1:10" x14ac:dyDescent="0.2">
      <c r="I59" t="str">
        <f t="shared" ca="1" si="0"/>
        <v/>
      </c>
    </row>
    <row r="60" spans="1:10" x14ac:dyDescent="0.2">
      <c r="E60" t="s">
        <v>77</v>
      </c>
      <c r="G60">
        <f>QUARTILE(B50:B57,4)</f>
        <v>2</v>
      </c>
      <c r="I60" t="str">
        <f t="shared" ca="1" si="0"/>
        <v>=QUARTILE(B50:B57,4)</v>
      </c>
    </row>
    <row r="63" spans="1:10" x14ac:dyDescent="0.2">
      <c r="A63" s="4"/>
      <c r="B63" s="4"/>
      <c r="C63" s="4"/>
      <c r="D63" s="4"/>
      <c r="E63" s="4"/>
      <c r="F63" s="4"/>
      <c r="G63" s="4"/>
      <c r="H63" s="4"/>
      <c r="I63" s="4"/>
      <c r="J63" s="4"/>
    </row>
    <row r="65" spans="2:3" x14ac:dyDescent="0.2">
      <c r="B65" s="17" t="s">
        <v>78</v>
      </c>
      <c r="C65" s="17"/>
    </row>
    <row r="66" spans="2:3" x14ac:dyDescent="0.2">
      <c r="B66" s="17"/>
      <c r="C66" s="17"/>
    </row>
    <row r="105" spans="2:9" x14ac:dyDescent="0.2">
      <c r="B105">
        <v>-18</v>
      </c>
      <c r="E105" t="s">
        <v>73</v>
      </c>
      <c r="G105">
        <f>PERCENTILE($B$105:$B$112,0%)</f>
        <v>-18</v>
      </c>
      <c r="I105" t="str">
        <f ca="1">IFERROR(_xlfn.FORMULATEXT(G105),"")</f>
        <v>=PERCENTILE($B$105:$B$112,0%)</v>
      </c>
    </row>
    <row r="106" spans="2:9" x14ac:dyDescent="0.2">
      <c r="B106">
        <v>-14</v>
      </c>
      <c r="I106" t="str">
        <f t="shared" ref="I106:I111" ca="1" si="1">IFERROR(_xlfn.FORMULATEXT(G106),"")</f>
        <v/>
      </c>
    </row>
    <row r="107" spans="2:9" x14ac:dyDescent="0.2">
      <c r="B107">
        <v>-13</v>
      </c>
      <c r="E107" t="s">
        <v>74</v>
      </c>
      <c r="G107">
        <f>PERCENTILE($B$105:$B$112,25%)</f>
        <v>-13.25</v>
      </c>
      <c r="I107" t="str">
        <f t="shared" ca="1" si="1"/>
        <v>=PERCENTILE($B$105:$B$112,25%)</v>
      </c>
    </row>
    <row r="108" spans="2:9" x14ac:dyDescent="0.2">
      <c r="B108">
        <v>-9</v>
      </c>
      <c r="I108" t="str">
        <f t="shared" ca="1" si="1"/>
        <v/>
      </c>
    </row>
    <row r="109" spans="2:9" x14ac:dyDescent="0.2">
      <c r="B109">
        <v>-2</v>
      </c>
      <c r="E109" t="s">
        <v>75</v>
      </c>
      <c r="G109">
        <f>PERCENTILE($B$105:$B$112,50%)</f>
        <v>-5.5</v>
      </c>
      <c r="I109" t="str">
        <f t="shared" ca="1" si="1"/>
        <v>=PERCENTILE($B$105:$B$112,50%)</v>
      </c>
    </row>
    <row r="110" spans="2:9" x14ac:dyDescent="0.2">
      <c r="B110">
        <v>-2</v>
      </c>
      <c r="I110" t="str">
        <f t="shared" ca="1" si="1"/>
        <v/>
      </c>
    </row>
    <row r="111" spans="2:9" x14ac:dyDescent="0.2">
      <c r="B111">
        <v>1</v>
      </c>
      <c r="E111" t="s">
        <v>76</v>
      </c>
      <c r="G111">
        <f>PERCENTILE($B$105:$B$112,75%)</f>
        <v>-1.25</v>
      </c>
      <c r="I111" t="str">
        <f t="shared" ca="1" si="1"/>
        <v>=PERCENTILE($B$105:$B$112,75%)</v>
      </c>
    </row>
    <row r="112" spans="2:9" x14ac:dyDescent="0.2">
      <c r="B112">
        <v>2</v>
      </c>
      <c r="I112" t="str">
        <f ca="1">IFERROR(_xlfn.FORMULATEXT(G112),"")</f>
        <v/>
      </c>
    </row>
    <row r="113" spans="1:10" x14ac:dyDescent="0.2">
      <c r="E113" t="s">
        <v>77</v>
      </c>
      <c r="G113" s="16">
        <f>PERCENTILE($B$105:$B$112,100%)</f>
        <v>2</v>
      </c>
      <c r="I113" t="str">
        <f ca="1">IFERROR(_xlfn.FORMULATEXT(G113),"")</f>
        <v>=PERCENTILE($B$105:$B$112,100%)</v>
      </c>
    </row>
    <row r="115" spans="1:10" x14ac:dyDescent="0.2">
      <c r="E115" t="s">
        <v>79</v>
      </c>
      <c r="G115">
        <f>PERCENTILE(B105:B112,95%)</f>
        <v>1.6499999999999995</v>
      </c>
    </row>
    <row r="118" spans="1:10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</row>
    <row r="119" spans="1:10" x14ac:dyDescent="0.2">
      <c r="E119" s="17" t="s">
        <v>80</v>
      </c>
      <c r="F119" s="17"/>
    </row>
    <row r="120" spans="1:10" x14ac:dyDescent="0.2">
      <c r="E120" s="17"/>
      <c r="F120" s="17"/>
    </row>
    <row r="121" spans="1:10" x14ac:dyDescent="0.2">
      <c r="B121" t="s">
        <v>81</v>
      </c>
    </row>
    <row r="122" spans="1:10" x14ac:dyDescent="0.2">
      <c r="B122">
        <v>49</v>
      </c>
      <c r="D122">
        <f>AVERAGE(B122:B129)</f>
        <v>81.25</v>
      </c>
    </row>
    <row r="123" spans="1:10" x14ac:dyDescent="0.2">
      <c r="B123">
        <v>38</v>
      </c>
    </row>
    <row r="124" spans="1:10" x14ac:dyDescent="0.2">
      <c r="B124">
        <v>54</v>
      </c>
    </row>
    <row r="125" spans="1:10" x14ac:dyDescent="0.2">
      <c r="B125">
        <v>98</v>
      </c>
    </row>
    <row r="126" spans="1:10" x14ac:dyDescent="0.2">
      <c r="B126">
        <v>36</v>
      </c>
    </row>
    <row r="127" spans="1:10" x14ac:dyDescent="0.2">
      <c r="B127">
        <v>84</v>
      </c>
    </row>
    <row r="128" spans="1:10" x14ac:dyDescent="0.2">
      <c r="B128">
        <v>91</v>
      </c>
    </row>
    <row r="129" spans="2:6" x14ac:dyDescent="0.2">
      <c r="B129">
        <v>200</v>
      </c>
    </row>
    <row r="131" spans="2:6" x14ac:dyDescent="0.2">
      <c r="D131" t="s">
        <v>82</v>
      </c>
    </row>
    <row r="133" spans="2:6" x14ac:dyDescent="0.2">
      <c r="E133" t="s">
        <v>83</v>
      </c>
    </row>
    <row r="136" spans="2:6" x14ac:dyDescent="0.2">
      <c r="B136" t="s">
        <v>86</v>
      </c>
    </row>
    <row r="138" spans="2:6" x14ac:dyDescent="0.2">
      <c r="B138" t="s">
        <v>84</v>
      </c>
      <c r="D138" t="s">
        <v>85</v>
      </c>
    </row>
    <row r="140" spans="2:6" x14ac:dyDescent="0.2">
      <c r="B140" t="s">
        <v>87</v>
      </c>
    </row>
    <row r="142" spans="2:6" x14ac:dyDescent="0.2">
      <c r="B142" t="s">
        <v>88</v>
      </c>
      <c r="D142" t="s">
        <v>89</v>
      </c>
      <c r="F142" t="s">
        <v>90</v>
      </c>
    </row>
    <row r="144" spans="2:6" x14ac:dyDescent="0.2">
      <c r="B144" t="s">
        <v>93</v>
      </c>
      <c r="D144" t="s">
        <v>91</v>
      </c>
      <c r="F144" t="s">
        <v>92</v>
      </c>
    </row>
    <row r="148" spans="2:7" x14ac:dyDescent="0.2">
      <c r="B148" t="s">
        <v>81</v>
      </c>
    </row>
    <row r="149" spans="2:7" x14ac:dyDescent="0.2">
      <c r="B149">
        <v>49</v>
      </c>
      <c r="D149" t="s">
        <v>74</v>
      </c>
      <c r="E149">
        <f>QUARTILE($B$149:$B$156,1)</f>
        <v>46.25</v>
      </c>
      <c r="G149" t="str" cm="1">
        <f t="array" aca="1" ref="G149:G155" ca="1">_xlfn.FORMULATEXT(E149:E155)</f>
        <v>=QUARTILE($B$149:$B$156,1)</v>
      </c>
    </row>
    <row r="150" spans="2:7" x14ac:dyDescent="0.2">
      <c r="B150">
        <v>38</v>
      </c>
      <c r="D150" t="s">
        <v>75</v>
      </c>
      <c r="E150">
        <f>QUARTILE($B$149:$B$156,2)</f>
        <v>69</v>
      </c>
      <c r="G150" t="str">
        <f ca="1"/>
        <v>=QUARTILE($B$149:$B$156,2)</v>
      </c>
    </row>
    <row r="151" spans="2:7" x14ac:dyDescent="0.2">
      <c r="B151">
        <v>54</v>
      </c>
      <c r="D151" t="s">
        <v>76</v>
      </c>
      <c r="E151">
        <f>QUARTILE($B$149:$B$156,3)</f>
        <v>92.75</v>
      </c>
      <c r="G151" t="str">
        <f ca="1"/>
        <v>=QUARTILE($B$149:$B$156,3)</v>
      </c>
    </row>
    <row r="152" spans="2:7" x14ac:dyDescent="0.2">
      <c r="B152">
        <v>98</v>
      </c>
      <c r="D152" t="s">
        <v>84</v>
      </c>
      <c r="E152">
        <f>E151-E149</f>
        <v>46.5</v>
      </c>
      <c r="G152" t="str">
        <f ca="1"/>
        <v>=E151-E149</v>
      </c>
    </row>
    <row r="153" spans="2:7" x14ac:dyDescent="0.2">
      <c r="B153">
        <v>36</v>
      </c>
      <c r="D153" t="s">
        <v>93</v>
      </c>
      <c r="E153">
        <f>E151+1.5*E152</f>
        <v>162.5</v>
      </c>
      <c r="G153" t="str">
        <f ca="1"/>
        <v>=E151+1.5*E152</v>
      </c>
    </row>
    <row r="154" spans="2:7" x14ac:dyDescent="0.2">
      <c r="B154">
        <v>84</v>
      </c>
      <c r="D154" t="s">
        <v>88</v>
      </c>
      <c r="E154">
        <f>E149-1.5*E152</f>
        <v>-23.5</v>
      </c>
      <c r="G154" t="str">
        <f ca="1"/>
        <v>=E149-1.5*E152</v>
      </c>
    </row>
    <row r="155" spans="2:7" x14ac:dyDescent="0.2">
      <c r="B155">
        <v>91</v>
      </c>
      <c r="D155" t="s">
        <v>94</v>
      </c>
      <c r="E155">
        <f>AVERAGE(B149:B156)</f>
        <v>118.75</v>
      </c>
      <c r="G155" t="str">
        <f ca="1"/>
        <v>=AVERAGE(B149:B156)</v>
      </c>
    </row>
    <row r="156" spans="2:7" x14ac:dyDescent="0.2">
      <c r="B156">
        <v>500</v>
      </c>
    </row>
    <row r="163" spans="4:5" x14ac:dyDescent="0.2">
      <c r="D163" t="s">
        <v>95</v>
      </c>
    </row>
    <row r="166" spans="4:5" x14ac:dyDescent="0.2">
      <c r="D166" t="s">
        <v>94</v>
      </c>
      <c r="E166" t="s">
        <v>8</v>
      </c>
    </row>
    <row r="168" spans="4:5" x14ac:dyDescent="0.2">
      <c r="D168" t="s">
        <v>4</v>
      </c>
      <c r="E168" t="s">
        <v>96</v>
      </c>
    </row>
  </sheetData>
  <mergeCells count="4">
    <mergeCell ref="B3:D4"/>
    <mergeCell ref="B65:C66"/>
    <mergeCell ref="B45:C46"/>
    <mergeCell ref="E119:F120"/>
  </mergeCells>
  <conditionalFormatting sqref="B149:B156">
    <cfRule type="cellIs" dxfId="1" priority="1" operator="notBetween">
      <formula>$E$154</formula>
      <formula>$E$153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6E86-9CC3-654F-AF30-5C3B34A64BB0}">
  <dimension ref="A5:P47"/>
  <sheetViews>
    <sheetView topLeftCell="A40" zoomScale="174" zoomScaleNormal="174" workbookViewId="0">
      <selection activeCell="E43" sqref="E43"/>
    </sheetView>
  </sheetViews>
  <sheetFormatPr baseColWidth="10" defaultRowHeight="16" x14ac:dyDescent="0.2"/>
  <cols>
    <col min="4" max="4" width="14.1640625" bestFit="1" customWidth="1"/>
    <col min="5" max="5" width="18.6640625" bestFit="1" customWidth="1"/>
  </cols>
  <sheetData>
    <row r="5" spans="3:13" ht="17" thickBot="1" x14ac:dyDescent="0.25">
      <c r="C5" s="6" t="s">
        <v>20</v>
      </c>
      <c r="D5" s="6" t="s">
        <v>21</v>
      </c>
      <c r="E5" s="6" t="s">
        <v>22</v>
      </c>
      <c r="F5" s="6" t="s">
        <v>23</v>
      </c>
    </row>
    <row r="6" spans="3:13" x14ac:dyDescent="0.2">
      <c r="C6" s="7" t="s">
        <v>24</v>
      </c>
      <c r="D6" s="7" t="s">
        <v>25</v>
      </c>
      <c r="E6" s="7" t="s">
        <v>26</v>
      </c>
      <c r="F6" s="8">
        <v>116000</v>
      </c>
    </row>
    <row r="7" spans="3:13" x14ac:dyDescent="0.2">
      <c r="C7" s="7" t="s">
        <v>27</v>
      </c>
      <c r="D7" s="7" t="s">
        <v>28</v>
      </c>
      <c r="E7" s="7" t="s">
        <v>29</v>
      </c>
      <c r="F7" s="8">
        <v>108357</v>
      </c>
    </row>
    <row r="8" spans="3:13" x14ac:dyDescent="0.2">
      <c r="C8" s="7" t="s">
        <v>27</v>
      </c>
      <c r="D8" s="7" t="s">
        <v>30</v>
      </c>
      <c r="E8" s="7" t="s">
        <v>31</v>
      </c>
      <c r="F8" s="8">
        <v>65270</v>
      </c>
    </row>
    <row r="9" spans="3:13" x14ac:dyDescent="0.2">
      <c r="C9" s="7" t="s">
        <v>24</v>
      </c>
      <c r="D9" s="7" t="s">
        <v>32</v>
      </c>
      <c r="E9" s="7" t="s">
        <v>33</v>
      </c>
      <c r="F9" s="8">
        <v>70270</v>
      </c>
      <c r="I9" t="s">
        <v>53</v>
      </c>
      <c r="K9">
        <f>AVERAGE(salary)</f>
        <v>76081.9375</v>
      </c>
      <c r="M9" t="str">
        <f ca="1">IFERROR(_xlfn.FORMULATEXT(K9),"")</f>
        <v>=AVERAGE(salary)</v>
      </c>
    </row>
    <row r="10" spans="3:13" x14ac:dyDescent="0.2">
      <c r="C10" s="7" t="s">
        <v>24</v>
      </c>
      <c r="D10" s="7" t="s">
        <v>34</v>
      </c>
      <c r="E10" s="7" t="s">
        <v>26</v>
      </c>
      <c r="F10" s="8">
        <v>65432</v>
      </c>
      <c r="M10" t="str">
        <f t="shared" ref="M10:M17" ca="1" si="0">IFERROR(_xlfn.FORMULATEXT(K10),"")</f>
        <v/>
      </c>
    </row>
    <row r="11" spans="3:13" x14ac:dyDescent="0.2">
      <c r="C11" s="7" t="s">
        <v>35</v>
      </c>
      <c r="D11" s="7" t="s">
        <v>36</v>
      </c>
      <c r="E11" s="7" t="s">
        <v>37</v>
      </c>
      <c r="F11" s="8">
        <v>86055</v>
      </c>
      <c r="I11" t="s">
        <v>54</v>
      </c>
      <c r="K11">
        <f>MEDIAN(salary)</f>
        <v>65235</v>
      </c>
      <c r="M11" t="str">
        <f t="shared" ca="1" si="0"/>
        <v>=MEDIAN(salary)</v>
      </c>
    </row>
    <row r="12" spans="3:13" x14ac:dyDescent="0.2">
      <c r="C12" s="7" t="s">
        <v>24</v>
      </c>
      <c r="D12" s="7" t="s">
        <v>38</v>
      </c>
      <c r="E12" s="7" t="s">
        <v>39</v>
      </c>
      <c r="F12" s="8">
        <v>125600</v>
      </c>
      <c r="M12" t="str">
        <f t="shared" ca="1" si="0"/>
        <v/>
      </c>
    </row>
    <row r="13" spans="3:13" x14ac:dyDescent="0.2">
      <c r="C13" s="7" t="s">
        <v>27</v>
      </c>
      <c r="D13" s="7" t="s">
        <v>40</v>
      </c>
      <c r="E13" s="7" t="s">
        <v>41</v>
      </c>
      <c r="F13" s="8">
        <v>145000</v>
      </c>
      <c r="I13" t="s">
        <v>55</v>
      </c>
      <c r="K13">
        <f>MODE(salary)</f>
        <v>65200</v>
      </c>
      <c r="M13" t="str">
        <f t="shared" ca="1" si="0"/>
        <v>=MODE(salary)</v>
      </c>
    </row>
    <row r="14" spans="3:13" x14ac:dyDescent="0.2">
      <c r="C14" s="7" t="s">
        <v>35</v>
      </c>
      <c r="D14" s="7" t="s">
        <v>42</v>
      </c>
      <c r="E14" s="7" t="s">
        <v>43</v>
      </c>
      <c r="F14" s="8">
        <v>65200</v>
      </c>
      <c r="M14" t="str">
        <f t="shared" ca="1" si="0"/>
        <v/>
      </c>
    </row>
    <row r="15" spans="3:13" x14ac:dyDescent="0.2">
      <c r="C15" s="7" t="s">
        <v>24</v>
      </c>
      <c r="D15" s="7" t="s">
        <v>44</v>
      </c>
      <c r="E15" s="7" t="s">
        <v>26</v>
      </c>
      <c r="F15" s="8">
        <v>65200</v>
      </c>
      <c r="I15" t="s">
        <v>58</v>
      </c>
      <c r="K15">
        <f>MAX(salary)</f>
        <v>145000</v>
      </c>
      <c r="M15" t="str">
        <f t="shared" ca="1" si="0"/>
        <v>=MAX(salary)</v>
      </c>
    </row>
    <row r="16" spans="3:13" x14ac:dyDescent="0.2">
      <c r="C16" s="7" t="s">
        <v>24</v>
      </c>
      <c r="D16" s="7" t="s">
        <v>45</v>
      </c>
      <c r="E16" s="7" t="s">
        <v>46</v>
      </c>
      <c r="F16" s="8">
        <v>41200</v>
      </c>
      <c r="M16" t="str">
        <f t="shared" ca="1" si="0"/>
        <v/>
      </c>
    </row>
    <row r="17" spans="1:16" x14ac:dyDescent="0.2">
      <c r="C17" s="7" t="s">
        <v>35</v>
      </c>
      <c r="D17" s="7" t="s">
        <v>47</v>
      </c>
      <c r="E17" s="7" t="s">
        <v>43</v>
      </c>
      <c r="F17" s="8">
        <v>57800</v>
      </c>
      <c r="I17" t="s">
        <v>59</v>
      </c>
      <c r="K17">
        <f>MIN(salary)</f>
        <v>41200</v>
      </c>
      <c r="M17" t="str">
        <f t="shared" ca="1" si="0"/>
        <v>=MIN(salary)</v>
      </c>
    </row>
    <row r="18" spans="1:16" x14ac:dyDescent="0.2">
      <c r="C18" s="7" t="s">
        <v>35</v>
      </c>
      <c r="D18" s="7" t="s">
        <v>48</v>
      </c>
      <c r="E18" s="7" t="s">
        <v>49</v>
      </c>
      <c r="F18" s="8">
        <v>51300</v>
      </c>
    </row>
    <row r="19" spans="1:16" x14ac:dyDescent="0.2">
      <c r="C19" s="7" t="s">
        <v>35</v>
      </c>
      <c r="D19" s="7" t="s">
        <v>50</v>
      </c>
      <c r="E19" s="7" t="s">
        <v>43</v>
      </c>
      <c r="F19" s="8">
        <v>56500</v>
      </c>
    </row>
    <row r="20" spans="1:16" x14ac:dyDescent="0.2">
      <c r="C20" s="7" t="s">
        <v>24</v>
      </c>
      <c r="D20" s="7" t="s">
        <v>51</v>
      </c>
      <c r="E20" s="7" t="s">
        <v>26</v>
      </c>
      <c r="F20" s="8">
        <v>48500</v>
      </c>
    </row>
    <row r="21" spans="1:16" x14ac:dyDescent="0.2">
      <c r="C21" s="7" t="s">
        <v>24</v>
      </c>
      <c r="D21" s="7" t="s">
        <v>52</v>
      </c>
      <c r="E21" s="7" t="s">
        <v>26</v>
      </c>
      <c r="F21" s="8">
        <v>49627</v>
      </c>
    </row>
    <row r="25" spans="1:16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8" spans="1:16" x14ac:dyDescent="0.2">
      <c r="C28" s="19" t="s">
        <v>97</v>
      </c>
      <c r="D28" s="1"/>
      <c r="E28" s="1"/>
      <c r="G28" s="20" t="s">
        <v>98</v>
      </c>
      <c r="H28" s="1"/>
      <c r="I28" s="1"/>
    </row>
    <row r="29" spans="1:16" x14ac:dyDescent="0.2">
      <c r="C29" s="1"/>
      <c r="D29" s="1"/>
      <c r="E29" s="1"/>
      <c r="G29" s="1"/>
      <c r="H29" s="1"/>
      <c r="I29" s="1"/>
    </row>
    <row r="32" spans="1:16" x14ac:dyDescent="0.2">
      <c r="B32">
        <f>AVERAGE(B35:B42)</f>
        <v>118.75</v>
      </c>
      <c r="D32" t="s">
        <v>99</v>
      </c>
      <c r="I32" t="s">
        <v>101</v>
      </c>
    </row>
    <row r="34" spans="2:14" x14ac:dyDescent="0.2">
      <c r="C34" t="s">
        <v>100</v>
      </c>
    </row>
    <row r="35" spans="2:14" x14ac:dyDescent="0.2">
      <c r="B35">
        <v>49</v>
      </c>
      <c r="C35">
        <f>B35-$B$32</f>
        <v>-69.75</v>
      </c>
      <c r="E35" t="s">
        <v>102</v>
      </c>
      <c r="F35">
        <f>_xlfn.VAR.P(B35:B42)</f>
        <v>21273.1875</v>
      </c>
      <c r="G35" t="str">
        <f ca="1">_xlfn.FORMULATEXT(F35)</f>
        <v>=VAR.P(B35:B42)</v>
      </c>
      <c r="I35" t="s">
        <v>105</v>
      </c>
    </row>
    <row r="36" spans="2:14" x14ac:dyDescent="0.2">
      <c r="B36">
        <v>38</v>
      </c>
      <c r="C36">
        <f t="shared" ref="C36:C42" si="1">B36-$B$32</f>
        <v>-80.75</v>
      </c>
      <c r="E36" t="s">
        <v>98</v>
      </c>
      <c r="F36">
        <f>_xlfn.STDEV.P(B35:B42)</f>
        <v>145.85330815583168</v>
      </c>
      <c r="G36" t="str">
        <f ca="1">_xlfn.FORMULATEXT(F36)</f>
        <v>=STDEV.P(B35:B42)</v>
      </c>
      <c r="I36" t="s">
        <v>106</v>
      </c>
    </row>
    <row r="37" spans="2:14" x14ac:dyDescent="0.2">
      <c r="B37">
        <v>54</v>
      </c>
      <c r="C37">
        <f t="shared" si="1"/>
        <v>-64.75</v>
      </c>
    </row>
    <row r="38" spans="2:14" x14ac:dyDescent="0.2">
      <c r="B38">
        <v>98</v>
      </c>
      <c r="C38">
        <f t="shared" si="1"/>
        <v>-20.75</v>
      </c>
    </row>
    <row r="39" spans="2:14" x14ac:dyDescent="0.2">
      <c r="B39">
        <v>36</v>
      </c>
      <c r="C39">
        <f t="shared" si="1"/>
        <v>-82.75</v>
      </c>
      <c r="I39" t="s">
        <v>107</v>
      </c>
      <c r="K39" t="s">
        <v>109</v>
      </c>
      <c r="N39" t="s">
        <v>111</v>
      </c>
    </row>
    <row r="40" spans="2:14" x14ac:dyDescent="0.2">
      <c r="B40">
        <v>84</v>
      </c>
      <c r="C40">
        <f t="shared" si="1"/>
        <v>-34.75</v>
      </c>
      <c r="I40" t="s">
        <v>108</v>
      </c>
      <c r="K40" t="s">
        <v>110</v>
      </c>
      <c r="N40" t="s">
        <v>112</v>
      </c>
    </row>
    <row r="41" spans="2:14" x14ac:dyDescent="0.2">
      <c r="B41">
        <v>91</v>
      </c>
      <c r="C41">
        <f t="shared" si="1"/>
        <v>-27.75</v>
      </c>
    </row>
    <row r="42" spans="2:14" x14ac:dyDescent="0.2">
      <c r="B42">
        <v>500</v>
      </c>
      <c r="C42">
        <f t="shared" si="1"/>
        <v>381.25</v>
      </c>
      <c r="I42" t="s">
        <v>113</v>
      </c>
      <c r="K42" t="s">
        <v>115</v>
      </c>
      <c r="N42" t="s">
        <v>111</v>
      </c>
    </row>
    <row r="43" spans="2:14" x14ac:dyDescent="0.2">
      <c r="I43" t="s">
        <v>114</v>
      </c>
      <c r="K43" t="s">
        <v>116</v>
      </c>
      <c r="N43" t="s">
        <v>112</v>
      </c>
    </row>
    <row r="46" spans="2:14" x14ac:dyDescent="0.2">
      <c r="F46" t="s">
        <v>103</v>
      </c>
      <c r="G46" t="s">
        <v>104</v>
      </c>
    </row>
    <row r="47" spans="2:14" x14ac:dyDescent="0.2">
      <c r="F47">
        <f>SUMSQ(C35:C42)/COUNT(C35:C42)</f>
        <v>21273.1875</v>
      </c>
      <c r="G47">
        <f>SQRT(F47)</f>
        <v>145.85330815583168</v>
      </c>
    </row>
  </sheetData>
  <mergeCells count="2">
    <mergeCell ref="C28:E29"/>
    <mergeCell ref="G28:I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agenda</vt:lpstr>
      <vt:lpstr>Sheet2</vt:lpstr>
      <vt:lpstr>Sheet3</vt:lpstr>
      <vt:lpstr>GST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2026-05-17T15:35:22Z</dcterms:created>
  <dcterms:modified xsi:type="dcterms:W3CDTF">2026-05-17T17:35:33Z</dcterms:modified>
</cp:coreProperties>
</file>