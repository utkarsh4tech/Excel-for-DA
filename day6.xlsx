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2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utkarsh/Downloads/Accio_excel/Excel-for-DA/"/>
    </mc:Choice>
  </mc:AlternateContent>
  <xr:revisionPtr revIDLastSave="0" documentId="13_ncr:1_{074FB8E3-1321-E941-BA1F-2A06D23B2DD9}" xr6:coauthVersionLast="47" xr6:coauthVersionMax="47" xr10:uidLastSave="{00000000-0000-0000-0000-000000000000}"/>
  <bookViews>
    <workbookView xWindow="380" yWindow="500" windowWidth="28040" windowHeight="16940" activeTab="1" xr2:uid="{5B0DF54E-D68B-A944-95FC-CE5717091DAE}"/>
  </bookViews>
  <sheets>
    <sheet name="Sheet1" sheetId="1" r:id="rId1"/>
    <sheet name="Sheet2" sheetId="2" r:id="rId2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1" i="2" l="1"/>
  <c r="B41" i="2"/>
  <c r="L17" i="1"/>
  <c r="J17" i="1" a="1"/>
  <c r="J17" i="1" s="1"/>
  <c r="L15" i="1"/>
  <c r="B39" i="2"/>
  <c r="B36" i="2"/>
  <c r="B32" i="2"/>
  <c r="J19" i="1" a="1"/>
  <c r="J19" i="1" s="1"/>
  <c r="J18" i="1" a="1"/>
  <c r="J18" i="1" s="1"/>
  <c r="J20" i="1" a="1"/>
  <c r="J20" i="1"/>
  <c r="J21" i="1" a="1"/>
  <c r="J21" i="1" s="1"/>
  <c r="J22" i="1" a="1"/>
  <c r="J22" i="1" s="1"/>
  <c r="J23" i="1" a="1"/>
  <c r="J23" i="1"/>
  <c r="J24" i="1" a="1"/>
  <c r="J24" i="1"/>
  <c r="J25" i="1" a="1"/>
  <c r="J25" i="1" s="1"/>
  <c r="J26" i="1" a="1"/>
  <c r="J26" i="1" s="1"/>
  <c r="K7" i="1"/>
  <c r="K8" i="1"/>
  <c r="J7" i="1"/>
  <c r="K9" i="1"/>
  <c r="K10" i="1"/>
  <c r="K11" i="1"/>
  <c r="L12" i="1" a="1"/>
  <c r="L12" i="1" s="1"/>
  <c r="J9" i="1"/>
  <c r="J8" i="1"/>
  <c r="J10" i="1"/>
  <c r="J11" i="1"/>
  <c r="I8" i="1"/>
  <c r="I9" i="1"/>
  <c r="I10" i="1"/>
  <c r="I11" i="1"/>
  <c r="I7" i="1"/>
  <c r="D2" i="1"/>
  <c r="D3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4" i="1"/>
  <c r="D5" i="1"/>
  <c r="D6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<sst xmlns="http://schemas.openxmlformats.org/spreadsheetml/2006/main" count="292" uniqueCount="55">
  <si>
    <t>job_title_short</t>
  </si>
  <si>
    <t>job_country</t>
  </si>
  <si>
    <t>salary_year_avg</t>
  </si>
  <si>
    <t>Senior Data Scientist</t>
  </si>
  <si>
    <t>Sudan</t>
  </si>
  <si>
    <t>Data Engineer</t>
  </si>
  <si>
    <t>United States</t>
  </si>
  <si>
    <t>Senior Data Analyst</t>
  </si>
  <si>
    <t>Machine Learning Engineer</t>
  </si>
  <si>
    <t>Data Scientist</t>
  </si>
  <si>
    <t>Senior Data Engineer</t>
  </si>
  <si>
    <t>Data Analyst</t>
  </si>
  <si>
    <t>France</t>
  </si>
  <si>
    <t>Software Engineer</t>
  </si>
  <si>
    <t>Mexico</t>
  </si>
  <si>
    <t>Canada</t>
  </si>
  <si>
    <t>Croatia</t>
  </si>
  <si>
    <t>Germany</t>
  </si>
  <si>
    <t>Business Analyst</t>
  </si>
  <si>
    <t>Spain</t>
  </si>
  <si>
    <t>India</t>
  </si>
  <si>
    <t>Cloud Engineer</t>
  </si>
  <si>
    <t>Visa_needed?</t>
  </si>
  <si>
    <t>IF()</t>
  </si>
  <si>
    <t>LOGICAL FUNCTIONs</t>
  </si>
  <si>
    <t>YES OR NO kind of stuff</t>
  </si>
  <si>
    <t>TRUE or FALSE</t>
  </si>
  <si>
    <t>0 and 1</t>
  </si>
  <si>
    <t>CONDITION YOU WANT TO CHECK</t>
  </si>
  <si>
    <t>VALUE IF COND TRUE</t>
  </si>
  <si>
    <t>FALSE VALUE</t>
  </si>
  <si>
    <t>Age</t>
  </si>
  <si>
    <t>Adult ?</t>
  </si>
  <si>
    <t>IFERROR</t>
  </si>
  <si>
    <t>ERROR HANDLING.. CUSTOM ERROR MESSAGE</t>
  </si>
  <si>
    <t>FIRST PART is value (which can give error)</t>
  </si>
  <si>
    <t xml:space="preserve">Second part is the ERROR MESSAGE / DEFAULT VALUE </t>
  </si>
  <si>
    <t>IFS</t>
  </si>
  <si>
    <t>9-s</t>
  </si>
  <si>
    <t>8-A+</t>
  </si>
  <si>
    <t>7-A</t>
  </si>
  <si>
    <t>6-B</t>
  </si>
  <si>
    <t>5-C</t>
  </si>
  <si>
    <t>4-D</t>
  </si>
  <si>
    <t xml:space="preserve">ANY func starting with IS -- going to be LOGICAL </t>
  </si>
  <si>
    <t>Catch if there is error at a place</t>
  </si>
  <si>
    <t>ISEVEN checks if the NUMBER is even (%2==0) or not</t>
  </si>
  <si>
    <t>ISODD checks if the NUMBER is ODD (%2!=0) or not</t>
  </si>
  <si>
    <t>S</t>
  </si>
  <si>
    <t>ISLOGICAL</t>
  </si>
  <si>
    <t>CHECKS if value is logical ACTUALLY (TRUE OR FALSE)</t>
  </si>
  <si>
    <t>ISNUMBER</t>
  </si>
  <si>
    <t>iSTEXT</t>
  </si>
  <si>
    <t>CHECKS if the given ADDRESS is a NUMBER</t>
  </si>
  <si>
    <t>CHECKS if the given address is TEXT ( inside DOUBLE QUOTES)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</si>
</sst>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12"/>
      <color theme="1"/>
      <name val="Aptos Narrow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0" fillId="2" borderId="0" xfId="0" applyFill="1"/>
    <xf numFmtId="2" fontId="0" fillId="0" borderId="0" xfId="0" applyNumberFormat="1"/>
    <xf numFmtId="49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724370</xdr:colOff>
      <xdr:row>5</xdr:row>
      <xdr:rowOff>122297</xdr:rowOff>
    </xdr:from>
    <xdr:to>
      <xdr:col>7</xdr:col>
      <xdr:colOff>519759</xdr:colOff>
      <xdr:row>8</xdr:row>
      <xdr:rowOff>150519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BEDF4F3-F1CE-D4D7-4634-E686862042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552222" y="1133593"/>
          <a:ext cx="4762500" cy="635000"/>
        </a:xfrm>
        <a:prstGeom prst="rect">
          <a:avLst/>
        </a:prstGeom>
      </xdr:spPr>
    </xdr:pic>
    <xdr:clientData/>
  </xdr:twoCellAnchor>
  <xdr:twoCellAnchor editAs="oneCell">
    <xdr:from>
      <xdr:col>3</xdr:col>
      <xdr:colOff>0</xdr:colOff>
      <xdr:row>16</xdr:row>
      <xdr:rowOff>202259</xdr:rowOff>
    </xdr:from>
    <xdr:to>
      <xdr:col>11</xdr:col>
      <xdr:colOff>616186</xdr:colOff>
      <xdr:row>20</xdr:row>
      <xdr:rowOff>79022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6A5AC09-3EDC-960D-8261-675224E43E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483556" y="3438407"/>
          <a:ext cx="7239000" cy="685800"/>
        </a:xfrm>
        <a:prstGeom prst="rect">
          <a:avLst/>
        </a:prstGeom>
      </xdr:spPr>
    </xdr:pic>
    <xdr:clientData/>
  </xdr:twoCellAnchor>
  <xdr:twoCellAnchor editAs="oneCell">
    <xdr:from>
      <xdr:col>1</xdr:col>
      <xdr:colOff>479778</xdr:colOff>
      <xdr:row>24</xdr:row>
      <xdr:rowOff>106848</xdr:rowOff>
    </xdr:from>
    <xdr:to>
      <xdr:col>8</xdr:col>
      <xdr:colOff>274695</xdr:colOff>
      <xdr:row>29</xdr:row>
      <xdr:rowOff>188420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54A7AF-B6CC-64EF-9ADE-37185CEDEE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07630" y="4961070"/>
          <a:ext cx="5589880" cy="1092869"/>
        </a:xfrm>
        <a:prstGeom prst="rect">
          <a:avLst/>
        </a:prstGeom>
      </xdr:spPr>
    </xdr:pic>
    <xdr:clientData/>
  </xdr:twoCellAnchor>
  <xdr:twoCellAnchor editAs="oneCell">
    <xdr:from>
      <xdr:col>1</xdr:col>
      <xdr:colOff>719665</xdr:colOff>
      <xdr:row>34</xdr:row>
      <xdr:rowOff>15003</xdr:rowOff>
    </xdr:from>
    <xdr:to>
      <xdr:col>4</xdr:col>
      <xdr:colOff>342899</xdr:colOff>
      <xdr:row>37</xdr:row>
      <xdr:rowOff>101599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8CF6E46B-D8C9-966C-3086-EEFCCF2779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547517" y="6891818"/>
          <a:ext cx="2106789" cy="69337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0261B-3F47-C74A-B683-9C8347FC3417}">
  <dimension ref="A1:L129"/>
  <sheetViews>
    <sheetView topLeftCell="E7" zoomScale="161" workbookViewId="0">
      <selection activeCell="I17" sqref="I17:J25"/>
    </sheetView>
  </sheetViews>
  <sheetFormatPr baseColWidth="10" defaultRowHeight="16" x14ac:dyDescent="0.2"/>
  <cols>
    <col min="1" max="1" width="21.6640625" bestFit="1" customWidth="1"/>
    <col min="2" max="2" width="11.1640625" bestFit="1" customWidth="1"/>
    <col min="3" max="3" width="13.6640625" bestFit="1" customWidth="1"/>
  </cols>
  <sheetData>
    <row r="1" spans="1:12" x14ac:dyDescent="0.2">
      <c r="A1" s="1" t="s">
        <v>0</v>
      </c>
      <c r="B1" s="1" t="s">
        <v>1</v>
      </c>
      <c r="C1" s="1" t="s">
        <v>2</v>
      </c>
      <c r="D1" s="1" t="s">
        <v>22</v>
      </c>
    </row>
    <row r="2" spans="1:12" x14ac:dyDescent="0.2">
      <c r="A2" s="2" t="s">
        <v>3</v>
      </c>
      <c r="B2" s="2" t="s">
        <v>4</v>
      </c>
      <c r="C2" s="2">
        <v>128050</v>
      </c>
      <c r="D2" t="str">
        <f>IF(B2="United States","NOT NEEDED", "H1B")</f>
        <v>H1B</v>
      </c>
    </row>
    <row r="3" spans="1:12" x14ac:dyDescent="0.2">
      <c r="A3" s="2" t="s">
        <v>5</v>
      </c>
      <c r="B3" s="2" t="s">
        <v>6</v>
      </c>
      <c r="C3" s="2">
        <v>140000</v>
      </c>
      <c r="D3" t="str">
        <f>IF(B3="United States","NOT NEEDED", "H1B")</f>
        <v>NOT NEEDED</v>
      </c>
    </row>
    <row r="4" spans="1:12" x14ac:dyDescent="0.2">
      <c r="A4" s="2" t="s">
        <v>7</v>
      </c>
      <c r="B4" s="2" t="s">
        <v>6</v>
      </c>
      <c r="C4" s="2">
        <v>156000</v>
      </c>
      <c r="D4" t="str">
        <f t="shared" ref="D4:D67" si="0">IF(B4="United States","NOT NEEDED", "H1B")</f>
        <v>NOT NEEDED</v>
      </c>
    </row>
    <row r="5" spans="1:12" x14ac:dyDescent="0.2">
      <c r="A5" s="2" t="s">
        <v>8</v>
      </c>
      <c r="B5" s="2" t="s">
        <v>6</v>
      </c>
      <c r="C5" s="2">
        <v>140000</v>
      </c>
      <c r="D5" t="str">
        <f t="shared" si="0"/>
        <v>NOT NEEDED</v>
      </c>
    </row>
    <row r="6" spans="1:12" x14ac:dyDescent="0.2">
      <c r="A6" s="2" t="s">
        <v>9</v>
      </c>
      <c r="B6" s="2" t="s">
        <v>6</v>
      </c>
      <c r="C6" s="3"/>
      <c r="D6" t="str">
        <f t="shared" si="0"/>
        <v>NOT NEEDED</v>
      </c>
      <c r="H6" t="s">
        <v>31</v>
      </c>
      <c r="I6" t="s">
        <v>32</v>
      </c>
    </row>
    <row r="7" spans="1:12" x14ac:dyDescent="0.2">
      <c r="A7" s="2" t="s">
        <v>5</v>
      </c>
      <c r="B7" s="2" t="s">
        <v>4</v>
      </c>
      <c r="C7" s="3"/>
      <c r="D7" t="str">
        <f t="shared" si="0"/>
        <v>H1B</v>
      </c>
      <c r="H7">
        <v>15</v>
      </c>
      <c r="I7" t="str">
        <f>IF(H7&gt;=18,"ADULT","MINOR")</f>
        <v>MINOR</v>
      </c>
      <c r="J7" s="5" t="e">
        <f>IF(H7&gt;=18,H7/3,H7/0)</f>
        <v>#DIV/0!</v>
      </c>
      <c r="K7" t="str">
        <f>IFERROR(IF(H7&gt;=18,H7/3,H7/0),"WE DIVIDED YOUR AGE BY 0")</f>
        <v>WE DIVIDED YOUR AGE BY 0</v>
      </c>
    </row>
    <row r="8" spans="1:12" x14ac:dyDescent="0.2">
      <c r="A8" s="2" t="s">
        <v>5</v>
      </c>
      <c r="B8" s="2" t="s">
        <v>6</v>
      </c>
      <c r="C8" s="2">
        <v>135000</v>
      </c>
      <c r="D8" t="str">
        <f t="shared" si="0"/>
        <v>NOT NEEDED</v>
      </c>
      <c r="H8">
        <v>13</v>
      </c>
      <c r="I8" t="str">
        <f t="shared" ref="I8:I11" si="1">IF(H8&gt;=18,"ADULT","MINOR")</f>
        <v>MINOR</v>
      </c>
      <c r="J8" s="5" t="e">
        <f t="shared" ref="J8:J11" si="2">IF(H8&gt;=18,H8/3,H8/0)</f>
        <v>#DIV/0!</v>
      </c>
      <c r="K8" t="str">
        <f>IFERROR(IF(H8&gt;=18,H8/3,H8/0),"WE DIVIDED YOUR AGE BY 0")</f>
        <v>WE DIVIDED YOUR AGE BY 0</v>
      </c>
    </row>
    <row r="9" spans="1:12" x14ac:dyDescent="0.2">
      <c r="A9" s="2" t="s">
        <v>10</v>
      </c>
      <c r="B9" s="2" t="s">
        <v>6</v>
      </c>
      <c r="C9" s="2">
        <v>120000</v>
      </c>
      <c r="D9" t="str">
        <f t="shared" si="0"/>
        <v>NOT NEEDED</v>
      </c>
      <c r="H9">
        <v>18</v>
      </c>
      <c r="I9" t="str">
        <f t="shared" si="1"/>
        <v>ADULT</v>
      </c>
      <c r="J9" s="5">
        <f>IF(H9&gt;=18,H9/3,H9/0)</f>
        <v>6</v>
      </c>
      <c r="K9">
        <f t="shared" ref="K8:K11" si="3">IFERROR(IF(H9&gt;=18,H9/3,H9/0),"DIVIDE BY ZERO - UTKARSH")</f>
        <v>6</v>
      </c>
    </row>
    <row r="10" spans="1:12" x14ac:dyDescent="0.2">
      <c r="A10" s="2" t="s">
        <v>7</v>
      </c>
      <c r="B10" s="2" t="s">
        <v>6</v>
      </c>
      <c r="C10" s="2">
        <v>170000</v>
      </c>
      <c r="D10" t="str">
        <f t="shared" si="0"/>
        <v>NOT NEEDED</v>
      </c>
      <c r="H10">
        <v>19</v>
      </c>
      <c r="I10" t="str">
        <f t="shared" si="1"/>
        <v>ADULT</v>
      </c>
      <c r="J10" s="5">
        <f t="shared" si="2"/>
        <v>6.333333333333333</v>
      </c>
      <c r="K10">
        <f t="shared" si="3"/>
        <v>6.333333333333333</v>
      </c>
    </row>
    <row r="11" spans="1:12" x14ac:dyDescent="0.2">
      <c r="A11" s="2" t="s">
        <v>9</v>
      </c>
      <c r="B11" s="2" t="s">
        <v>6</v>
      </c>
      <c r="C11" s="2">
        <v>224500</v>
      </c>
      <c r="D11" t="str">
        <f t="shared" si="0"/>
        <v>NOT NEEDED</v>
      </c>
      <c r="H11">
        <v>20</v>
      </c>
      <c r="I11" t="str">
        <f t="shared" si="1"/>
        <v>ADULT</v>
      </c>
      <c r="J11" s="5">
        <f t="shared" si="2"/>
        <v>6.666666666666667</v>
      </c>
      <c r="K11">
        <f t="shared" si="3"/>
        <v>6.666666666666667</v>
      </c>
    </row>
    <row r="12" spans="1:12" x14ac:dyDescent="0.2">
      <c r="A12" s="2" t="s">
        <v>9</v>
      </c>
      <c r="B12" s="2" t="s">
        <v>6</v>
      </c>
      <c r="C12" s="3"/>
      <c r="D12" t="str">
        <f t="shared" si="0"/>
        <v>NOT NEEDED</v>
      </c>
      <c r="L12" t="e" cm="1">
        <f t="array" ref="L12">QUA</f>
        <v>#NAME?</v>
      </c>
    </row>
    <row r="13" spans="1:12" x14ac:dyDescent="0.2">
      <c r="A13" s="2" t="s">
        <v>9</v>
      </c>
      <c r="B13" s="2" t="s">
        <v>6</v>
      </c>
      <c r="C13" s="2">
        <v>225000</v>
      </c>
      <c r="D13" t="str">
        <f t="shared" si="0"/>
        <v>NOT NEEDED</v>
      </c>
    </row>
    <row r="14" spans="1:12" x14ac:dyDescent="0.2">
      <c r="A14" s="2" t="s">
        <v>5</v>
      </c>
      <c r="B14" s="2" t="s">
        <v>6</v>
      </c>
      <c r="C14" s="3"/>
      <c r="D14" t="str">
        <f t="shared" si="0"/>
        <v>NOT NEEDED</v>
      </c>
    </row>
    <row r="15" spans="1:12" x14ac:dyDescent="0.2">
      <c r="A15" s="2" t="s">
        <v>9</v>
      </c>
      <c r="B15" s="2" t="s">
        <v>6</v>
      </c>
      <c r="C15" s="2">
        <v>157500</v>
      </c>
      <c r="D15" t="str">
        <f t="shared" si="0"/>
        <v>NOT NEEDED</v>
      </c>
      <c r="G15" t="s">
        <v>38</v>
      </c>
      <c r="I15">
        <v>8</v>
      </c>
      <c r="J15" t="s">
        <v>48</v>
      </c>
      <c r="L15" t="b">
        <f>_xlfn.ISFORMULA(J15)</f>
        <v>0</v>
      </c>
    </row>
    <row r="16" spans="1:12" x14ac:dyDescent="0.2">
      <c r="A16" s="2" t="s">
        <v>11</v>
      </c>
      <c r="B16" s="2" t="s">
        <v>6</v>
      </c>
      <c r="C16" s="2">
        <v>149508.5</v>
      </c>
      <c r="D16" t="str">
        <f t="shared" si="0"/>
        <v>NOT NEEDED</v>
      </c>
      <c r="G16" t="s">
        <v>39</v>
      </c>
    </row>
    <row r="17" spans="1:12" x14ac:dyDescent="0.2">
      <c r="A17" s="2" t="s">
        <v>9</v>
      </c>
      <c r="B17" s="2" t="s">
        <v>6</v>
      </c>
      <c r="C17" s="3"/>
      <c r="D17" t="str">
        <f t="shared" si="0"/>
        <v>NOT NEEDED</v>
      </c>
      <c r="G17" t="s">
        <v>40</v>
      </c>
      <c r="I17">
        <v>9.6</v>
      </c>
      <c r="J17" t="str" cm="1">
        <f t="array" ref="J17">IFERROR(_xlfn.IFS(I17&gt;=9,"S",I17&gt;=8,"A+",I17&gt;=7,"A",I17&gt;=6,"B",I17&gt;=5,"C",I17&gt;=4,"D"),"NOT PASS")</f>
        <v>S</v>
      </c>
      <c r="L17" t="b">
        <f>_xlfn.ISFORMULA(J17)</f>
        <v>1</v>
      </c>
    </row>
    <row r="18" spans="1:12" x14ac:dyDescent="0.2">
      <c r="A18" s="2" t="s">
        <v>5</v>
      </c>
      <c r="B18" s="2" t="s">
        <v>6</v>
      </c>
      <c r="C18" s="2">
        <v>112500</v>
      </c>
      <c r="D18" t="str">
        <f t="shared" si="0"/>
        <v>NOT NEEDED</v>
      </c>
      <c r="G18" t="s">
        <v>41</v>
      </c>
      <c r="I18">
        <v>7.3</v>
      </c>
      <c r="J18" t="str" cm="1">
        <f t="array" ref="J18">IFERROR(_xlfn.IFS(I18&gt;=9,"S",I18&gt;=8,"A+",I18&gt;=7,"A",I18&gt;=6,"B",I18&gt;=5,"C",I18&gt;=4,"D"),"NOT PASS")</f>
        <v>A</v>
      </c>
    </row>
    <row r="19" spans="1:12" x14ac:dyDescent="0.2">
      <c r="A19" s="2" t="s">
        <v>5</v>
      </c>
      <c r="B19" s="2" t="s">
        <v>6</v>
      </c>
      <c r="C19" s="2">
        <v>115000</v>
      </c>
      <c r="D19" t="str">
        <f t="shared" si="0"/>
        <v>NOT NEEDED</v>
      </c>
      <c r="G19" t="s">
        <v>42</v>
      </c>
      <c r="I19">
        <v>2</v>
      </c>
      <c r="J19" t="str" cm="1">
        <f t="array" ref="J19">IFERROR(_xlfn.IFS(I19&gt;=9,"S",I19&gt;=8,"A+",I19&gt;=7,"A",I19&gt;=6,"B",I19&gt;=5,"C",I19&gt;=4,"D"),"NOT PASS")</f>
        <v>NOT PASS</v>
      </c>
    </row>
    <row r="20" spans="1:12" x14ac:dyDescent="0.2">
      <c r="A20" s="2" t="s">
        <v>9</v>
      </c>
      <c r="B20" s="2" t="s">
        <v>6</v>
      </c>
      <c r="C20" s="2">
        <v>98901.5</v>
      </c>
      <c r="D20" t="str">
        <f t="shared" si="0"/>
        <v>NOT NEEDED</v>
      </c>
      <c r="G20" t="s">
        <v>43</v>
      </c>
      <c r="I20">
        <v>6.7</v>
      </c>
      <c r="J20" t="str" cm="1">
        <f t="array" ref="J20">IFERROR(_xlfn.IFS(I20&gt;=9,"S",I20&gt;=8,"A+",I20&gt;=7,"A",I20&gt;=6,"B",I20&gt;=5,"C",I20&gt;=4,"D"),"NOT PASS")</f>
        <v>B</v>
      </c>
    </row>
    <row r="21" spans="1:12" x14ac:dyDescent="0.2">
      <c r="A21" s="2" t="s">
        <v>10</v>
      </c>
      <c r="B21" s="2" t="s">
        <v>6</v>
      </c>
      <c r="C21" s="2">
        <v>173500</v>
      </c>
      <c r="D21" t="str">
        <f t="shared" si="0"/>
        <v>NOT NEEDED</v>
      </c>
      <c r="I21">
        <v>5.5</v>
      </c>
      <c r="J21" t="str" cm="1">
        <f t="array" ref="J21">IFERROR(_xlfn.IFS(I21&gt;=9,"S",I21&gt;=8,"A+",I21&gt;=7,"A",I21&gt;=6,"B",I21&gt;=5,"C",I21&gt;=4,"D"),"NOT PASS")</f>
        <v>C</v>
      </c>
    </row>
    <row r="22" spans="1:12" x14ac:dyDescent="0.2">
      <c r="A22" s="2" t="s">
        <v>11</v>
      </c>
      <c r="B22" s="2" t="s">
        <v>6</v>
      </c>
      <c r="C22" s="3"/>
      <c r="D22" t="str">
        <f t="shared" si="0"/>
        <v>NOT NEEDED</v>
      </c>
      <c r="I22">
        <v>7.8</v>
      </c>
      <c r="J22" t="str" cm="1">
        <f t="array" ref="J22">IFERROR(_xlfn.IFS(I22&gt;=9,"S",I22&gt;=8,"A+",I22&gt;=7,"A",I22&gt;=6,"B",I22&gt;=5,"C",I22&gt;=4,"D"),"NOT PASS")</f>
        <v>A</v>
      </c>
    </row>
    <row r="23" spans="1:12" x14ac:dyDescent="0.2">
      <c r="A23" s="2" t="s">
        <v>9</v>
      </c>
      <c r="B23" s="2" t="s">
        <v>12</v>
      </c>
      <c r="C23" s="2">
        <v>88128</v>
      </c>
      <c r="D23" t="str">
        <f t="shared" si="0"/>
        <v>H1B</v>
      </c>
      <c r="I23">
        <v>8.6</v>
      </c>
      <c r="J23" t="str" cm="1">
        <f t="array" ref="J23">IFERROR(_xlfn.IFS(I23&gt;=9,"S",I23&gt;=8,"A+",I23&gt;=7,"A",I23&gt;=6,"B",I23&gt;=5,"C",I23&gt;=4,"D"),"NOT PASS")</f>
        <v>A+</v>
      </c>
    </row>
    <row r="24" spans="1:12" x14ac:dyDescent="0.2">
      <c r="A24" s="2" t="s">
        <v>3</v>
      </c>
      <c r="B24" s="2" t="s">
        <v>6</v>
      </c>
      <c r="C24" s="2">
        <v>170000</v>
      </c>
      <c r="D24" t="str">
        <f t="shared" si="0"/>
        <v>NOT NEEDED</v>
      </c>
      <c r="I24">
        <v>9.5</v>
      </c>
      <c r="J24" t="str" cm="1">
        <f t="array" ref="J24">IFERROR(_xlfn.IFS(I24&gt;=9,"S",I24&gt;=8,"A+",I24&gt;=7,"A",I24&gt;=6,"B",I24&gt;=5,"C",I24&gt;=4,"D"),"NOT PASS")</f>
        <v>S</v>
      </c>
    </row>
    <row r="25" spans="1:12" x14ac:dyDescent="0.2">
      <c r="A25" s="2" t="s">
        <v>5</v>
      </c>
      <c r="B25" s="2" t="s">
        <v>6</v>
      </c>
      <c r="C25" s="3"/>
      <c r="D25" t="str">
        <f t="shared" si="0"/>
        <v>NOT NEEDED</v>
      </c>
      <c r="I25">
        <v>4.5</v>
      </c>
      <c r="J25" t="str" cm="1">
        <f t="array" ref="J25">IFERROR(_xlfn.IFS(I25&gt;=9,"S",I25&gt;=8,"A+",I25&gt;=7,"A",I25&gt;=6,"B",I25&gt;=5,"C",I25&gt;=4,"D"),"NOT PASS")</f>
        <v>D</v>
      </c>
    </row>
    <row r="26" spans="1:12" x14ac:dyDescent="0.2">
      <c r="A26" s="2" t="s">
        <v>9</v>
      </c>
      <c r="B26" s="2" t="s">
        <v>6</v>
      </c>
      <c r="C26" s="2">
        <v>125000</v>
      </c>
      <c r="D26" t="str">
        <f t="shared" si="0"/>
        <v>NOT NEEDED</v>
      </c>
      <c r="I26">
        <v>5.8</v>
      </c>
      <c r="J26" t="str" cm="1">
        <f t="array" ref="J26">IFERROR(_xlfn.IFS(I26&gt;=9,"S",I26&gt;=8,"A+",I26&gt;=7,"A",I26&gt;=6,"B",I26&gt;=5,"C",I26&gt;=4,"D"),"NOT PASS")</f>
        <v>C</v>
      </c>
    </row>
    <row r="27" spans="1:12" x14ac:dyDescent="0.2">
      <c r="A27" s="2" t="s">
        <v>5</v>
      </c>
      <c r="B27" s="2" t="s">
        <v>6</v>
      </c>
      <c r="C27" s="3"/>
      <c r="D27" t="str">
        <f t="shared" si="0"/>
        <v>NOT NEEDED</v>
      </c>
    </row>
    <row r="28" spans="1:12" x14ac:dyDescent="0.2">
      <c r="A28" s="2" t="s">
        <v>10</v>
      </c>
      <c r="B28" s="2" t="s">
        <v>4</v>
      </c>
      <c r="C28" s="2">
        <v>260775</v>
      </c>
      <c r="D28" t="str">
        <f t="shared" si="0"/>
        <v>H1B</v>
      </c>
    </row>
    <row r="29" spans="1:12" x14ac:dyDescent="0.2">
      <c r="A29" s="2" t="s">
        <v>10</v>
      </c>
      <c r="B29" s="2" t="s">
        <v>6</v>
      </c>
      <c r="C29" s="3"/>
      <c r="D29" t="str">
        <f t="shared" si="0"/>
        <v>NOT NEEDED</v>
      </c>
    </row>
    <row r="30" spans="1:12" x14ac:dyDescent="0.2">
      <c r="A30" s="2" t="s">
        <v>10</v>
      </c>
      <c r="B30" s="2" t="s">
        <v>6</v>
      </c>
      <c r="C30" s="2">
        <v>125000</v>
      </c>
      <c r="D30" t="str">
        <f t="shared" si="0"/>
        <v>NOT NEEDED</v>
      </c>
    </row>
    <row r="31" spans="1:12" x14ac:dyDescent="0.2">
      <c r="A31" s="2" t="s">
        <v>9</v>
      </c>
      <c r="B31" s="2" t="s">
        <v>6</v>
      </c>
      <c r="C31" s="3"/>
      <c r="D31" t="str">
        <f t="shared" si="0"/>
        <v>NOT NEEDED</v>
      </c>
    </row>
    <row r="32" spans="1:12" x14ac:dyDescent="0.2">
      <c r="A32" s="2" t="s">
        <v>11</v>
      </c>
      <c r="B32" s="2" t="s">
        <v>6</v>
      </c>
      <c r="C32" s="2">
        <v>125000</v>
      </c>
      <c r="D32" t="str">
        <f t="shared" si="0"/>
        <v>NOT NEEDED</v>
      </c>
    </row>
    <row r="33" spans="1:4" x14ac:dyDescent="0.2">
      <c r="A33" s="2" t="s">
        <v>9</v>
      </c>
      <c r="B33" s="2" t="s">
        <v>6</v>
      </c>
      <c r="C33" s="3"/>
      <c r="D33" t="str">
        <f t="shared" si="0"/>
        <v>NOT NEEDED</v>
      </c>
    </row>
    <row r="34" spans="1:4" x14ac:dyDescent="0.2">
      <c r="A34" s="2" t="s">
        <v>5</v>
      </c>
      <c r="B34" s="2" t="s">
        <v>6</v>
      </c>
      <c r="C34" s="2">
        <v>97500</v>
      </c>
      <c r="D34" t="str">
        <f t="shared" si="0"/>
        <v>NOT NEEDED</v>
      </c>
    </row>
    <row r="35" spans="1:4" x14ac:dyDescent="0.2">
      <c r="A35" s="2" t="s">
        <v>10</v>
      </c>
      <c r="B35" s="2" t="s">
        <v>6</v>
      </c>
      <c r="C35" s="2">
        <v>147500</v>
      </c>
      <c r="D35" t="str">
        <f t="shared" si="0"/>
        <v>NOT NEEDED</v>
      </c>
    </row>
    <row r="36" spans="1:4" x14ac:dyDescent="0.2">
      <c r="A36" s="2" t="s">
        <v>11</v>
      </c>
      <c r="B36" s="2" t="s">
        <v>6</v>
      </c>
      <c r="C36" s="2">
        <v>84000</v>
      </c>
      <c r="D36" t="str">
        <f t="shared" si="0"/>
        <v>NOT NEEDED</v>
      </c>
    </row>
    <row r="37" spans="1:4" x14ac:dyDescent="0.2">
      <c r="A37" s="2" t="s">
        <v>5</v>
      </c>
      <c r="B37" s="2" t="s">
        <v>6</v>
      </c>
      <c r="C37" s="3"/>
      <c r="D37" t="str">
        <f t="shared" si="0"/>
        <v>NOT NEEDED</v>
      </c>
    </row>
    <row r="38" spans="1:4" x14ac:dyDescent="0.2">
      <c r="A38" s="2" t="s">
        <v>9</v>
      </c>
      <c r="B38" s="2" t="s">
        <v>6</v>
      </c>
      <c r="C38" s="2">
        <v>105800</v>
      </c>
      <c r="D38" t="str">
        <f t="shared" si="0"/>
        <v>NOT NEEDED</v>
      </c>
    </row>
    <row r="39" spans="1:4" x14ac:dyDescent="0.2">
      <c r="A39" s="2" t="s">
        <v>5</v>
      </c>
      <c r="B39" s="2" t="s">
        <v>6</v>
      </c>
      <c r="C39" s="3"/>
      <c r="D39" t="str">
        <f t="shared" si="0"/>
        <v>NOT NEEDED</v>
      </c>
    </row>
    <row r="40" spans="1:4" x14ac:dyDescent="0.2">
      <c r="A40" s="2" t="s">
        <v>10</v>
      </c>
      <c r="B40" s="2" t="s">
        <v>6</v>
      </c>
      <c r="C40" s="2">
        <v>160000</v>
      </c>
      <c r="D40" t="str">
        <f t="shared" si="0"/>
        <v>NOT NEEDED</v>
      </c>
    </row>
    <row r="41" spans="1:4" x14ac:dyDescent="0.2">
      <c r="A41" s="2" t="s">
        <v>9</v>
      </c>
      <c r="B41" s="2" t="s">
        <v>6</v>
      </c>
      <c r="C41" s="2">
        <v>98496</v>
      </c>
      <c r="D41" t="str">
        <f t="shared" si="0"/>
        <v>NOT NEEDED</v>
      </c>
    </row>
    <row r="42" spans="1:4" x14ac:dyDescent="0.2">
      <c r="A42" s="2" t="s">
        <v>5</v>
      </c>
      <c r="B42" s="2" t="s">
        <v>6</v>
      </c>
      <c r="C42" s="2">
        <v>115000</v>
      </c>
      <c r="D42" t="str">
        <f t="shared" si="0"/>
        <v>NOT NEEDED</v>
      </c>
    </row>
    <row r="43" spans="1:4" x14ac:dyDescent="0.2">
      <c r="A43" s="2" t="s">
        <v>5</v>
      </c>
      <c r="B43" s="2" t="s">
        <v>6</v>
      </c>
      <c r="C43" s="2">
        <v>182500</v>
      </c>
      <c r="D43" t="str">
        <f t="shared" si="0"/>
        <v>NOT NEEDED</v>
      </c>
    </row>
    <row r="44" spans="1:4" x14ac:dyDescent="0.2">
      <c r="A44" s="2" t="s">
        <v>5</v>
      </c>
      <c r="B44" s="2" t="s">
        <v>6</v>
      </c>
      <c r="C44" s="3"/>
      <c r="D44" t="str">
        <f t="shared" si="0"/>
        <v>NOT NEEDED</v>
      </c>
    </row>
    <row r="45" spans="1:4" x14ac:dyDescent="0.2">
      <c r="A45" s="2" t="s">
        <v>10</v>
      </c>
      <c r="B45" s="2" t="s">
        <v>6</v>
      </c>
      <c r="C45" s="2">
        <v>200000</v>
      </c>
      <c r="D45" t="str">
        <f t="shared" si="0"/>
        <v>NOT NEEDED</v>
      </c>
    </row>
    <row r="46" spans="1:4" x14ac:dyDescent="0.2">
      <c r="A46" s="2" t="s">
        <v>13</v>
      </c>
      <c r="B46" s="2" t="s">
        <v>14</v>
      </c>
      <c r="C46" s="2">
        <v>155000</v>
      </c>
      <c r="D46" t="str">
        <f t="shared" si="0"/>
        <v>H1B</v>
      </c>
    </row>
    <row r="47" spans="1:4" x14ac:dyDescent="0.2">
      <c r="A47" s="2" t="s">
        <v>5</v>
      </c>
      <c r="B47" s="2" t="s">
        <v>6</v>
      </c>
      <c r="C47" s="2">
        <v>102500</v>
      </c>
      <c r="D47" t="str">
        <f t="shared" si="0"/>
        <v>NOT NEEDED</v>
      </c>
    </row>
    <row r="48" spans="1:4" x14ac:dyDescent="0.2">
      <c r="A48" s="2" t="s">
        <v>5</v>
      </c>
      <c r="B48" s="2" t="s">
        <v>6</v>
      </c>
      <c r="C48" s="3"/>
      <c r="D48" t="str">
        <f t="shared" si="0"/>
        <v>NOT NEEDED</v>
      </c>
    </row>
    <row r="49" spans="1:4" x14ac:dyDescent="0.2">
      <c r="A49" s="2" t="s">
        <v>9</v>
      </c>
      <c r="B49" s="2" t="s">
        <v>6</v>
      </c>
      <c r="C49" s="2">
        <v>115000</v>
      </c>
      <c r="D49" t="str">
        <f t="shared" si="0"/>
        <v>NOT NEEDED</v>
      </c>
    </row>
    <row r="50" spans="1:4" x14ac:dyDescent="0.2">
      <c r="A50" s="2" t="s">
        <v>9</v>
      </c>
      <c r="B50" s="2" t="s">
        <v>6</v>
      </c>
      <c r="C50" s="2">
        <v>80000</v>
      </c>
      <c r="D50" t="str">
        <f t="shared" si="0"/>
        <v>NOT NEEDED</v>
      </c>
    </row>
    <row r="51" spans="1:4" x14ac:dyDescent="0.2">
      <c r="A51" s="2" t="s">
        <v>5</v>
      </c>
      <c r="B51" s="2" t="s">
        <v>6</v>
      </c>
      <c r="C51" s="3"/>
      <c r="D51" t="str">
        <f t="shared" si="0"/>
        <v>NOT NEEDED</v>
      </c>
    </row>
    <row r="52" spans="1:4" x14ac:dyDescent="0.2">
      <c r="A52" s="2" t="s">
        <v>7</v>
      </c>
      <c r="B52" s="2" t="s">
        <v>6</v>
      </c>
      <c r="C52" s="2">
        <v>96500</v>
      </c>
      <c r="D52" t="str">
        <f t="shared" si="0"/>
        <v>NOT NEEDED</v>
      </c>
    </row>
    <row r="53" spans="1:4" x14ac:dyDescent="0.2">
      <c r="A53" s="2" t="s">
        <v>5</v>
      </c>
      <c r="B53" s="2" t="s">
        <v>6</v>
      </c>
      <c r="C53" s="2">
        <v>225000</v>
      </c>
      <c r="D53" t="str">
        <f t="shared" si="0"/>
        <v>NOT NEEDED</v>
      </c>
    </row>
    <row r="54" spans="1:4" x14ac:dyDescent="0.2">
      <c r="A54" s="2" t="s">
        <v>11</v>
      </c>
      <c r="B54" s="2" t="s">
        <v>6</v>
      </c>
      <c r="C54" s="3"/>
      <c r="D54" t="str">
        <f t="shared" si="0"/>
        <v>NOT NEEDED</v>
      </c>
    </row>
    <row r="55" spans="1:4" x14ac:dyDescent="0.2">
      <c r="A55" s="2" t="s">
        <v>9</v>
      </c>
      <c r="B55" s="2" t="s">
        <v>6</v>
      </c>
      <c r="C55" s="2">
        <v>57500</v>
      </c>
      <c r="D55" t="str">
        <f t="shared" si="0"/>
        <v>NOT NEEDED</v>
      </c>
    </row>
    <row r="56" spans="1:4" x14ac:dyDescent="0.2">
      <c r="A56" s="2" t="s">
        <v>11</v>
      </c>
      <c r="B56" s="2" t="s">
        <v>15</v>
      </c>
      <c r="C56" s="3"/>
      <c r="D56" t="str">
        <f t="shared" si="0"/>
        <v>H1B</v>
      </c>
    </row>
    <row r="57" spans="1:4" x14ac:dyDescent="0.2">
      <c r="A57" s="2" t="s">
        <v>3</v>
      </c>
      <c r="B57" s="2" t="s">
        <v>6</v>
      </c>
      <c r="C57" s="3"/>
      <c r="D57" t="str">
        <f t="shared" si="0"/>
        <v>NOT NEEDED</v>
      </c>
    </row>
    <row r="58" spans="1:4" x14ac:dyDescent="0.2">
      <c r="A58" s="2" t="s">
        <v>5</v>
      </c>
      <c r="B58" s="2" t="s">
        <v>6</v>
      </c>
      <c r="C58" s="3"/>
      <c r="D58" t="str">
        <f t="shared" si="0"/>
        <v>NOT NEEDED</v>
      </c>
    </row>
    <row r="59" spans="1:4" x14ac:dyDescent="0.2">
      <c r="A59" s="2" t="s">
        <v>10</v>
      </c>
      <c r="B59" s="2" t="s">
        <v>6</v>
      </c>
      <c r="C59" s="2">
        <v>160000</v>
      </c>
      <c r="D59" t="str">
        <f t="shared" si="0"/>
        <v>NOT NEEDED</v>
      </c>
    </row>
    <row r="60" spans="1:4" x14ac:dyDescent="0.2">
      <c r="A60" s="2" t="s">
        <v>10</v>
      </c>
      <c r="B60" s="2" t="s">
        <v>4</v>
      </c>
      <c r="C60" s="2">
        <v>92000</v>
      </c>
      <c r="D60" t="str">
        <f t="shared" si="0"/>
        <v>H1B</v>
      </c>
    </row>
    <row r="61" spans="1:4" x14ac:dyDescent="0.2">
      <c r="A61" s="2" t="s">
        <v>9</v>
      </c>
      <c r="B61" s="2" t="s">
        <v>6</v>
      </c>
      <c r="C61" s="2">
        <v>140000</v>
      </c>
      <c r="D61" t="str">
        <f t="shared" si="0"/>
        <v>NOT NEEDED</v>
      </c>
    </row>
    <row r="62" spans="1:4" x14ac:dyDescent="0.2">
      <c r="A62" s="2" t="s">
        <v>5</v>
      </c>
      <c r="B62" s="2" t="s">
        <v>6</v>
      </c>
      <c r="C62" s="2">
        <v>170000</v>
      </c>
      <c r="D62" t="str">
        <f t="shared" si="0"/>
        <v>NOT NEEDED</v>
      </c>
    </row>
    <row r="63" spans="1:4" x14ac:dyDescent="0.2">
      <c r="A63" s="2" t="s">
        <v>9</v>
      </c>
      <c r="B63" s="2" t="s">
        <v>6</v>
      </c>
      <c r="C63" s="3"/>
      <c r="D63" t="str">
        <f t="shared" si="0"/>
        <v>NOT NEEDED</v>
      </c>
    </row>
    <row r="64" spans="1:4" x14ac:dyDescent="0.2">
      <c r="A64" s="2" t="s">
        <v>3</v>
      </c>
      <c r="B64" s="2" t="s">
        <v>4</v>
      </c>
      <c r="C64" s="2">
        <v>100000</v>
      </c>
      <c r="D64" t="str">
        <f t="shared" si="0"/>
        <v>H1B</v>
      </c>
    </row>
    <row r="65" spans="1:4" x14ac:dyDescent="0.2">
      <c r="A65" s="2" t="s">
        <v>13</v>
      </c>
      <c r="B65" s="2" t="s">
        <v>4</v>
      </c>
      <c r="C65" s="3"/>
      <c r="D65" t="str">
        <f t="shared" si="0"/>
        <v>H1B</v>
      </c>
    </row>
    <row r="66" spans="1:4" x14ac:dyDescent="0.2">
      <c r="A66" s="2" t="s">
        <v>10</v>
      </c>
      <c r="B66" s="2" t="s">
        <v>4</v>
      </c>
      <c r="C66" s="3"/>
      <c r="D66" t="str">
        <f t="shared" si="0"/>
        <v>H1B</v>
      </c>
    </row>
    <row r="67" spans="1:4" x14ac:dyDescent="0.2">
      <c r="A67" s="2" t="s">
        <v>5</v>
      </c>
      <c r="B67" s="2" t="s">
        <v>16</v>
      </c>
      <c r="C67" s="2">
        <v>134241</v>
      </c>
      <c r="D67" t="str">
        <f t="shared" si="0"/>
        <v>H1B</v>
      </c>
    </row>
    <row r="68" spans="1:4" x14ac:dyDescent="0.2">
      <c r="A68" s="2" t="s">
        <v>5</v>
      </c>
      <c r="B68" s="2" t="s">
        <v>6</v>
      </c>
      <c r="C68" s="3"/>
      <c r="D68" t="str">
        <f t="shared" ref="D68:D129" si="4">IF(B68="United States","NOT NEEDED", "H1B")</f>
        <v>NOT NEEDED</v>
      </c>
    </row>
    <row r="69" spans="1:4" x14ac:dyDescent="0.2">
      <c r="A69" s="2" t="s">
        <v>9</v>
      </c>
      <c r="B69" s="2" t="s">
        <v>6</v>
      </c>
      <c r="C69" s="3"/>
      <c r="D69" t="str">
        <f t="shared" si="4"/>
        <v>NOT NEEDED</v>
      </c>
    </row>
    <row r="70" spans="1:4" x14ac:dyDescent="0.2">
      <c r="A70" s="2" t="s">
        <v>10</v>
      </c>
      <c r="B70" s="2" t="s">
        <v>6</v>
      </c>
      <c r="C70" s="2">
        <v>173500</v>
      </c>
      <c r="D70" t="str">
        <f t="shared" si="4"/>
        <v>NOT NEEDED</v>
      </c>
    </row>
    <row r="71" spans="1:4" x14ac:dyDescent="0.2">
      <c r="A71" s="2" t="s">
        <v>5</v>
      </c>
      <c r="B71" s="2" t="s">
        <v>4</v>
      </c>
      <c r="C71" s="2">
        <v>112500</v>
      </c>
      <c r="D71" t="str">
        <f t="shared" si="4"/>
        <v>H1B</v>
      </c>
    </row>
    <row r="72" spans="1:4" x14ac:dyDescent="0.2">
      <c r="A72" s="2" t="s">
        <v>5</v>
      </c>
      <c r="B72" s="2" t="s">
        <v>6</v>
      </c>
      <c r="C72" s="3"/>
      <c r="D72" t="str">
        <f t="shared" si="4"/>
        <v>NOT NEEDED</v>
      </c>
    </row>
    <row r="73" spans="1:4" x14ac:dyDescent="0.2">
      <c r="A73" s="2" t="s">
        <v>11</v>
      </c>
      <c r="B73" s="2" t="s">
        <v>6</v>
      </c>
      <c r="C73" s="3"/>
      <c r="D73" t="str">
        <f t="shared" si="4"/>
        <v>NOT NEEDED</v>
      </c>
    </row>
    <row r="74" spans="1:4" x14ac:dyDescent="0.2">
      <c r="A74" s="2" t="s">
        <v>5</v>
      </c>
      <c r="B74" s="2" t="s">
        <v>17</v>
      </c>
      <c r="C74" s="2">
        <v>98301.5</v>
      </c>
      <c r="D74" t="str">
        <f t="shared" si="4"/>
        <v>H1B</v>
      </c>
    </row>
    <row r="75" spans="1:4" x14ac:dyDescent="0.2">
      <c r="A75" s="2" t="s">
        <v>5</v>
      </c>
      <c r="B75" s="2" t="s">
        <v>6</v>
      </c>
      <c r="C75" s="3"/>
      <c r="D75" t="str">
        <f t="shared" si="4"/>
        <v>NOT NEEDED</v>
      </c>
    </row>
    <row r="76" spans="1:4" x14ac:dyDescent="0.2">
      <c r="A76" s="2" t="s">
        <v>5</v>
      </c>
      <c r="B76" s="2" t="s">
        <v>6</v>
      </c>
      <c r="C76" s="3"/>
      <c r="D76" t="str">
        <f t="shared" si="4"/>
        <v>NOT NEEDED</v>
      </c>
    </row>
    <row r="77" spans="1:4" x14ac:dyDescent="0.2">
      <c r="A77" s="2" t="s">
        <v>9</v>
      </c>
      <c r="B77" s="2" t="s">
        <v>6</v>
      </c>
      <c r="C77" s="2">
        <v>85000</v>
      </c>
      <c r="D77" t="str">
        <f t="shared" si="4"/>
        <v>NOT NEEDED</v>
      </c>
    </row>
    <row r="78" spans="1:4" x14ac:dyDescent="0.2">
      <c r="A78" s="2" t="s">
        <v>9</v>
      </c>
      <c r="B78" s="2" t="s">
        <v>6</v>
      </c>
      <c r="C78" s="2">
        <v>90000</v>
      </c>
      <c r="D78" t="str">
        <f t="shared" si="4"/>
        <v>NOT NEEDED</v>
      </c>
    </row>
    <row r="79" spans="1:4" x14ac:dyDescent="0.2">
      <c r="A79" s="2" t="s">
        <v>10</v>
      </c>
      <c r="B79" s="2" t="s">
        <v>6</v>
      </c>
      <c r="C79" s="3"/>
      <c r="D79" t="str">
        <f t="shared" si="4"/>
        <v>NOT NEEDED</v>
      </c>
    </row>
    <row r="80" spans="1:4" x14ac:dyDescent="0.2">
      <c r="A80" s="2" t="s">
        <v>3</v>
      </c>
      <c r="B80" s="2" t="s">
        <v>6</v>
      </c>
      <c r="C80" s="2">
        <v>116700</v>
      </c>
      <c r="D80" t="str">
        <f t="shared" si="4"/>
        <v>NOT NEEDED</v>
      </c>
    </row>
    <row r="81" spans="1:4" x14ac:dyDescent="0.2">
      <c r="A81" s="2" t="s">
        <v>5</v>
      </c>
      <c r="B81" s="2" t="s">
        <v>6</v>
      </c>
      <c r="C81" s="3"/>
      <c r="D81" t="str">
        <f t="shared" si="4"/>
        <v>NOT NEEDED</v>
      </c>
    </row>
    <row r="82" spans="1:4" x14ac:dyDescent="0.2">
      <c r="A82" s="2" t="s">
        <v>5</v>
      </c>
      <c r="B82" s="2" t="s">
        <v>17</v>
      </c>
      <c r="C82" s="2">
        <v>163500</v>
      </c>
      <c r="D82" t="str">
        <f t="shared" si="4"/>
        <v>H1B</v>
      </c>
    </row>
    <row r="83" spans="1:4" x14ac:dyDescent="0.2">
      <c r="A83" s="2" t="s">
        <v>11</v>
      </c>
      <c r="B83" s="2" t="s">
        <v>6</v>
      </c>
      <c r="C83" s="2">
        <v>75000</v>
      </c>
      <c r="D83" t="str">
        <f t="shared" si="4"/>
        <v>NOT NEEDED</v>
      </c>
    </row>
    <row r="84" spans="1:4" x14ac:dyDescent="0.2">
      <c r="A84" s="2" t="s">
        <v>18</v>
      </c>
      <c r="B84" s="2" t="s">
        <v>6</v>
      </c>
      <c r="C84" s="3"/>
      <c r="D84" t="str">
        <f t="shared" si="4"/>
        <v>NOT NEEDED</v>
      </c>
    </row>
    <row r="85" spans="1:4" x14ac:dyDescent="0.2">
      <c r="A85" s="2" t="s">
        <v>9</v>
      </c>
      <c r="B85" s="2" t="s">
        <v>4</v>
      </c>
      <c r="C85" s="2">
        <v>69962.5</v>
      </c>
      <c r="D85" t="str">
        <f t="shared" si="4"/>
        <v>H1B</v>
      </c>
    </row>
    <row r="86" spans="1:4" x14ac:dyDescent="0.2">
      <c r="A86" s="2" t="s">
        <v>11</v>
      </c>
      <c r="B86" s="2" t="s">
        <v>6</v>
      </c>
      <c r="C86" s="3"/>
      <c r="D86" t="str">
        <f t="shared" si="4"/>
        <v>NOT NEEDED</v>
      </c>
    </row>
    <row r="87" spans="1:4" x14ac:dyDescent="0.2">
      <c r="A87" s="2" t="s">
        <v>9</v>
      </c>
      <c r="B87" s="2" t="s">
        <v>6</v>
      </c>
      <c r="C87" s="3"/>
      <c r="D87" t="str">
        <f t="shared" si="4"/>
        <v>NOT NEEDED</v>
      </c>
    </row>
    <row r="88" spans="1:4" x14ac:dyDescent="0.2">
      <c r="A88" s="2" t="s">
        <v>5</v>
      </c>
      <c r="B88" s="2" t="s">
        <v>6</v>
      </c>
      <c r="C88" s="3"/>
      <c r="D88" t="str">
        <f t="shared" si="4"/>
        <v>NOT NEEDED</v>
      </c>
    </row>
    <row r="89" spans="1:4" x14ac:dyDescent="0.2">
      <c r="A89" s="2" t="s">
        <v>3</v>
      </c>
      <c r="B89" s="2" t="s">
        <v>6</v>
      </c>
      <c r="C89" s="3"/>
      <c r="D89" t="str">
        <f t="shared" si="4"/>
        <v>NOT NEEDED</v>
      </c>
    </row>
    <row r="90" spans="1:4" x14ac:dyDescent="0.2">
      <c r="A90" s="2" t="s">
        <v>5</v>
      </c>
      <c r="B90" s="2" t="s">
        <v>6</v>
      </c>
      <c r="C90" s="2">
        <v>122340</v>
      </c>
      <c r="D90" t="str">
        <f t="shared" si="4"/>
        <v>NOT NEEDED</v>
      </c>
    </row>
    <row r="91" spans="1:4" x14ac:dyDescent="0.2">
      <c r="A91" s="2" t="s">
        <v>9</v>
      </c>
      <c r="B91" s="2" t="s">
        <v>6</v>
      </c>
      <c r="C91" s="3"/>
      <c r="D91" t="str">
        <f t="shared" si="4"/>
        <v>NOT NEEDED</v>
      </c>
    </row>
    <row r="92" spans="1:4" x14ac:dyDescent="0.2">
      <c r="A92" s="2" t="s">
        <v>10</v>
      </c>
      <c r="B92" s="2" t="s">
        <v>6</v>
      </c>
      <c r="C92" s="2">
        <v>160000</v>
      </c>
      <c r="D92" t="str">
        <f t="shared" si="4"/>
        <v>NOT NEEDED</v>
      </c>
    </row>
    <row r="93" spans="1:4" x14ac:dyDescent="0.2">
      <c r="A93" s="2" t="s">
        <v>3</v>
      </c>
      <c r="B93" s="2" t="s">
        <v>19</v>
      </c>
      <c r="C93" s="2">
        <v>157500</v>
      </c>
      <c r="D93" t="str">
        <f t="shared" si="4"/>
        <v>H1B</v>
      </c>
    </row>
    <row r="94" spans="1:4" x14ac:dyDescent="0.2">
      <c r="A94" s="2" t="s">
        <v>3</v>
      </c>
      <c r="B94" s="2" t="s">
        <v>6</v>
      </c>
      <c r="C94" s="2">
        <v>170000</v>
      </c>
      <c r="D94" t="str">
        <f t="shared" si="4"/>
        <v>NOT NEEDED</v>
      </c>
    </row>
    <row r="95" spans="1:4" x14ac:dyDescent="0.2">
      <c r="A95" s="2" t="s">
        <v>9</v>
      </c>
      <c r="B95" s="2" t="s">
        <v>6</v>
      </c>
      <c r="C95" s="3"/>
      <c r="D95" t="str">
        <f t="shared" si="4"/>
        <v>NOT NEEDED</v>
      </c>
    </row>
    <row r="96" spans="1:4" x14ac:dyDescent="0.2">
      <c r="A96" s="2" t="s">
        <v>9</v>
      </c>
      <c r="B96" s="2" t="s">
        <v>6</v>
      </c>
      <c r="C96" s="3"/>
      <c r="D96" t="str">
        <f t="shared" si="4"/>
        <v>NOT NEEDED</v>
      </c>
    </row>
    <row r="97" spans="1:4" x14ac:dyDescent="0.2">
      <c r="A97" s="2" t="s">
        <v>5</v>
      </c>
      <c r="B97" s="2" t="s">
        <v>6</v>
      </c>
      <c r="C97" s="2">
        <v>102500</v>
      </c>
      <c r="D97" t="str">
        <f t="shared" si="4"/>
        <v>NOT NEEDED</v>
      </c>
    </row>
    <row r="98" spans="1:4" x14ac:dyDescent="0.2">
      <c r="A98" s="2" t="s">
        <v>9</v>
      </c>
      <c r="B98" s="2" t="s">
        <v>6</v>
      </c>
      <c r="C98" s="3"/>
      <c r="D98" t="str">
        <f t="shared" si="4"/>
        <v>NOT NEEDED</v>
      </c>
    </row>
    <row r="99" spans="1:4" x14ac:dyDescent="0.2">
      <c r="A99" s="2" t="s">
        <v>3</v>
      </c>
      <c r="B99" s="2" t="s">
        <v>6</v>
      </c>
      <c r="C99" s="3"/>
      <c r="D99" t="str">
        <f t="shared" si="4"/>
        <v>NOT NEEDED</v>
      </c>
    </row>
    <row r="100" spans="1:4" x14ac:dyDescent="0.2">
      <c r="A100" s="2" t="s">
        <v>5</v>
      </c>
      <c r="B100" s="2" t="s">
        <v>6</v>
      </c>
      <c r="C100" s="3"/>
      <c r="D100" t="str">
        <f t="shared" si="4"/>
        <v>NOT NEEDED</v>
      </c>
    </row>
    <row r="101" spans="1:4" x14ac:dyDescent="0.2">
      <c r="A101" s="2" t="s">
        <v>13</v>
      </c>
      <c r="B101" s="2" t="s">
        <v>20</v>
      </c>
      <c r="C101" s="2">
        <v>50400</v>
      </c>
      <c r="D101" t="str">
        <f t="shared" si="4"/>
        <v>H1B</v>
      </c>
    </row>
    <row r="102" spans="1:4" x14ac:dyDescent="0.2">
      <c r="A102" s="2" t="s">
        <v>5</v>
      </c>
      <c r="B102" s="2" t="s">
        <v>6</v>
      </c>
      <c r="C102" s="3"/>
      <c r="D102" t="str">
        <f t="shared" si="4"/>
        <v>NOT NEEDED</v>
      </c>
    </row>
    <row r="103" spans="1:4" x14ac:dyDescent="0.2">
      <c r="A103" s="2" t="s">
        <v>5</v>
      </c>
      <c r="B103" s="2" t="s">
        <v>6</v>
      </c>
      <c r="C103" s="2">
        <v>112500</v>
      </c>
      <c r="D103" t="str">
        <f t="shared" si="4"/>
        <v>NOT NEEDED</v>
      </c>
    </row>
    <row r="104" spans="1:4" x14ac:dyDescent="0.2">
      <c r="A104" s="2" t="s">
        <v>11</v>
      </c>
      <c r="B104" s="2" t="s">
        <v>6</v>
      </c>
      <c r="C104" s="2">
        <v>100000</v>
      </c>
      <c r="D104" t="str">
        <f t="shared" si="4"/>
        <v>NOT NEEDED</v>
      </c>
    </row>
    <row r="105" spans="1:4" x14ac:dyDescent="0.2">
      <c r="A105" s="2" t="s">
        <v>5</v>
      </c>
      <c r="B105" s="2" t="s">
        <v>6</v>
      </c>
      <c r="C105" s="2">
        <v>75000</v>
      </c>
      <c r="D105" t="str">
        <f t="shared" si="4"/>
        <v>NOT NEEDED</v>
      </c>
    </row>
    <row r="106" spans="1:4" x14ac:dyDescent="0.2">
      <c r="A106" s="2" t="s">
        <v>9</v>
      </c>
      <c r="B106" s="2" t="s">
        <v>6</v>
      </c>
      <c r="C106" s="2">
        <v>109750</v>
      </c>
      <c r="D106" t="str">
        <f t="shared" si="4"/>
        <v>NOT NEEDED</v>
      </c>
    </row>
    <row r="107" spans="1:4" x14ac:dyDescent="0.2">
      <c r="A107" s="2" t="s">
        <v>5</v>
      </c>
      <c r="B107" s="2" t="s">
        <v>20</v>
      </c>
      <c r="C107" s="2">
        <v>147500</v>
      </c>
      <c r="D107" t="str">
        <f t="shared" si="4"/>
        <v>H1B</v>
      </c>
    </row>
    <row r="108" spans="1:4" x14ac:dyDescent="0.2">
      <c r="A108" s="2" t="s">
        <v>11</v>
      </c>
      <c r="B108" s="2" t="s">
        <v>6</v>
      </c>
      <c r="C108" s="3"/>
      <c r="D108" t="str">
        <f t="shared" si="4"/>
        <v>NOT NEEDED</v>
      </c>
    </row>
    <row r="109" spans="1:4" x14ac:dyDescent="0.2">
      <c r="A109" s="2" t="s">
        <v>5</v>
      </c>
      <c r="B109" s="2" t="s">
        <v>6</v>
      </c>
      <c r="C109" s="3"/>
      <c r="D109" t="str">
        <f t="shared" si="4"/>
        <v>NOT NEEDED</v>
      </c>
    </row>
    <row r="110" spans="1:4" x14ac:dyDescent="0.2">
      <c r="A110" s="2" t="s">
        <v>11</v>
      </c>
      <c r="B110" s="2" t="s">
        <v>6</v>
      </c>
      <c r="C110" s="3"/>
      <c r="D110" t="str">
        <f t="shared" si="4"/>
        <v>NOT NEEDED</v>
      </c>
    </row>
    <row r="111" spans="1:4" x14ac:dyDescent="0.2">
      <c r="A111" s="2" t="s">
        <v>9</v>
      </c>
      <c r="B111" s="2" t="s">
        <v>20</v>
      </c>
      <c r="C111" s="2">
        <v>79200</v>
      </c>
      <c r="D111" t="str">
        <f t="shared" si="4"/>
        <v>H1B</v>
      </c>
    </row>
    <row r="112" spans="1:4" x14ac:dyDescent="0.2">
      <c r="A112" s="2" t="s">
        <v>5</v>
      </c>
      <c r="B112" s="2" t="s">
        <v>6</v>
      </c>
      <c r="C112" s="3"/>
      <c r="D112" t="str">
        <f t="shared" si="4"/>
        <v>NOT NEEDED</v>
      </c>
    </row>
    <row r="113" spans="1:4" x14ac:dyDescent="0.2">
      <c r="A113" s="2" t="s">
        <v>9</v>
      </c>
      <c r="B113" s="2" t="s">
        <v>6</v>
      </c>
      <c r="C113" s="3"/>
      <c r="D113" t="str">
        <f t="shared" si="4"/>
        <v>NOT NEEDED</v>
      </c>
    </row>
    <row r="114" spans="1:4" x14ac:dyDescent="0.2">
      <c r="A114" s="2" t="s">
        <v>5</v>
      </c>
      <c r="B114" s="2" t="s">
        <v>4</v>
      </c>
      <c r="C114" s="3"/>
      <c r="D114" t="str">
        <f t="shared" si="4"/>
        <v>H1B</v>
      </c>
    </row>
    <row r="115" spans="1:4" x14ac:dyDescent="0.2">
      <c r="A115" s="2" t="s">
        <v>5</v>
      </c>
      <c r="B115" s="2" t="s">
        <v>6</v>
      </c>
      <c r="C115" s="3"/>
      <c r="D115" t="str">
        <f t="shared" si="4"/>
        <v>NOT NEEDED</v>
      </c>
    </row>
    <row r="116" spans="1:4" x14ac:dyDescent="0.2">
      <c r="A116" s="2" t="s">
        <v>5</v>
      </c>
      <c r="B116" s="2" t="s">
        <v>4</v>
      </c>
      <c r="C116" s="3"/>
      <c r="D116" t="str">
        <f t="shared" si="4"/>
        <v>H1B</v>
      </c>
    </row>
    <row r="117" spans="1:4" x14ac:dyDescent="0.2">
      <c r="A117" s="2" t="s">
        <v>9</v>
      </c>
      <c r="B117" s="2" t="s">
        <v>6</v>
      </c>
      <c r="C117" s="2">
        <v>135000</v>
      </c>
      <c r="D117" t="str">
        <f t="shared" si="4"/>
        <v>NOT NEEDED</v>
      </c>
    </row>
    <row r="118" spans="1:4" x14ac:dyDescent="0.2">
      <c r="A118" s="2" t="s">
        <v>11</v>
      </c>
      <c r="B118" s="2" t="s">
        <v>6</v>
      </c>
      <c r="C118" s="3"/>
      <c r="D118" t="str">
        <f t="shared" si="4"/>
        <v>NOT NEEDED</v>
      </c>
    </row>
    <row r="119" spans="1:4" x14ac:dyDescent="0.2">
      <c r="A119" s="2" t="s">
        <v>9</v>
      </c>
      <c r="B119" s="2" t="s">
        <v>4</v>
      </c>
      <c r="C119" s="2">
        <v>155000</v>
      </c>
      <c r="D119" t="str">
        <f t="shared" si="4"/>
        <v>H1B</v>
      </c>
    </row>
    <row r="120" spans="1:4" x14ac:dyDescent="0.2">
      <c r="A120" s="2" t="s">
        <v>5</v>
      </c>
      <c r="B120" s="2" t="s">
        <v>6</v>
      </c>
      <c r="C120" s="2">
        <v>58926</v>
      </c>
      <c r="D120" t="str">
        <f t="shared" si="4"/>
        <v>NOT NEEDED</v>
      </c>
    </row>
    <row r="121" spans="1:4" x14ac:dyDescent="0.2">
      <c r="A121" s="2" t="s">
        <v>10</v>
      </c>
      <c r="B121" s="2" t="s">
        <v>6</v>
      </c>
      <c r="C121" s="2">
        <v>135000</v>
      </c>
      <c r="D121" t="str">
        <f t="shared" si="4"/>
        <v>NOT NEEDED</v>
      </c>
    </row>
    <row r="122" spans="1:4" x14ac:dyDescent="0.2">
      <c r="A122" s="2" t="s">
        <v>10</v>
      </c>
      <c r="B122" s="2" t="s">
        <v>6</v>
      </c>
      <c r="C122" s="3"/>
      <c r="D122" t="str">
        <f t="shared" si="4"/>
        <v>NOT NEEDED</v>
      </c>
    </row>
    <row r="123" spans="1:4" x14ac:dyDescent="0.2">
      <c r="A123" s="2" t="s">
        <v>5</v>
      </c>
      <c r="B123" s="2" t="s">
        <v>6</v>
      </c>
      <c r="C123" s="2">
        <v>108415.5</v>
      </c>
      <c r="D123" t="str">
        <f t="shared" si="4"/>
        <v>NOT NEEDED</v>
      </c>
    </row>
    <row r="124" spans="1:4" x14ac:dyDescent="0.2">
      <c r="A124" s="2" t="s">
        <v>5</v>
      </c>
      <c r="B124" s="2" t="s">
        <v>6</v>
      </c>
      <c r="C124" s="3"/>
      <c r="D124" t="str">
        <f t="shared" si="4"/>
        <v>NOT NEEDED</v>
      </c>
    </row>
    <row r="125" spans="1:4" x14ac:dyDescent="0.2">
      <c r="A125" s="2" t="s">
        <v>5</v>
      </c>
      <c r="B125" s="2" t="s">
        <v>6</v>
      </c>
      <c r="C125" s="3"/>
      <c r="D125" t="str">
        <f t="shared" si="4"/>
        <v>NOT NEEDED</v>
      </c>
    </row>
    <row r="126" spans="1:4" x14ac:dyDescent="0.2">
      <c r="A126" s="2" t="s">
        <v>5</v>
      </c>
      <c r="B126" s="2" t="s">
        <v>6</v>
      </c>
      <c r="C126" s="3"/>
      <c r="D126" t="str">
        <f t="shared" si="4"/>
        <v>NOT NEEDED</v>
      </c>
    </row>
    <row r="127" spans="1:4" x14ac:dyDescent="0.2">
      <c r="A127" s="2" t="s">
        <v>7</v>
      </c>
      <c r="B127" s="2" t="s">
        <v>6</v>
      </c>
      <c r="C127" s="2">
        <v>150000</v>
      </c>
      <c r="D127" t="str">
        <f t="shared" si="4"/>
        <v>NOT NEEDED</v>
      </c>
    </row>
    <row r="128" spans="1:4" x14ac:dyDescent="0.2">
      <c r="A128" s="2" t="s">
        <v>21</v>
      </c>
      <c r="B128" s="2" t="s">
        <v>4</v>
      </c>
      <c r="C128" s="3"/>
      <c r="D128" t="str">
        <f t="shared" si="4"/>
        <v>H1B</v>
      </c>
    </row>
    <row r="129" spans="1:4" x14ac:dyDescent="0.2">
      <c r="A129" s="2" t="s">
        <v>11</v>
      </c>
      <c r="B129" s="2" t="s">
        <v>20</v>
      </c>
      <c r="C129" s="2">
        <v>111175</v>
      </c>
      <c r="D129" t="str">
        <f t="shared" si="4"/>
        <v>H1B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357F18-3BD0-914B-B941-120AF1F8585F}">
  <dimension ref="B4:H51"/>
  <sheetViews>
    <sheetView tabSelected="1" zoomScale="270" workbookViewId="0">
      <selection activeCell="E52" sqref="E52"/>
    </sheetView>
  </sheetViews>
  <sheetFormatPr baseColWidth="10" defaultRowHeight="16" x14ac:dyDescent="0.2"/>
  <sheetData>
    <row r="4" spans="2:8" x14ac:dyDescent="0.2">
      <c r="B4" t="s">
        <v>24</v>
      </c>
      <c r="E4" t="s">
        <v>25</v>
      </c>
    </row>
    <row r="5" spans="2:8" x14ac:dyDescent="0.2">
      <c r="E5" s="4" t="s">
        <v>26</v>
      </c>
      <c r="F5" s="4"/>
      <c r="G5" s="4" t="s">
        <v>27</v>
      </c>
    </row>
    <row r="6" spans="2:8" x14ac:dyDescent="0.2">
      <c r="B6" t="s">
        <v>23</v>
      </c>
    </row>
    <row r="12" spans="2:8" x14ac:dyDescent="0.2">
      <c r="C12" t="s">
        <v>28</v>
      </c>
      <c r="F12" t="s">
        <v>29</v>
      </c>
      <c r="H12" t="s">
        <v>30</v>
      </c>
    </row>
    <row r="15" spans="2:8" x14ac:dyDescent="0.2">
      <c r="B15" t="s">
        <v>33</v>
      </c>
      <c r="D15" t="s">
        <v>34</v>
      </c>
    </row>
    <row r="23" spans="2:5" x14ac:dyDescent="0.2">
      <c r="E23" t="s">
        <v>35</v>
      </c>
    </row>
    <row r="24" spans="2:5" x14ac:dyDescent="0.2">
      <c r="E24" t="s">
        <v>36</v>
      </c>
    </row>
    <row r="27" spans="2:5" x14ac:dyDescent="0.2">
      <c r="B27" t="s">
        <v>37</v>
      </c>
    </row>
    <row r="32" spans="2:5" x14ac:dyDescent="0.2">
      <c r="B32" t="e">
        <f>5/0</f>
        <v>#DIV/0!</v>
      </c>
    </row>
    <row r="34" spans="2:6" x14ac:dyDescent="0.2">
      <c r="B34" t="s">
        <v>44</v>
      </c>
    </row>
    <row r="36" spans="2:6" x14ac:dyDescent="0.2">
      <c r="B36" t="b">
        <f>ISERR(B32)</f>
        <v>1</v>
      </c>
      <c r="F36" t="s">
        <v>45</v>
      </c>
    </row>
    <row r="39" spans="2:6" x14ac:dyDescent="0.2">
      <c r="B39" t="b">
        <f>ISEVEN(23)</f>
        <v>0</v>
      </c>
      <c r="E39" t="s">
        <v>46</v>
      </c>
    </row>
    <row r="41" spans="2:6" x14ac:dyDescent="0.2">
      <c r="B41" t="b">
        <f>ISODD(33)</f>
        <v>1</v>
      </c>
      <c r="C41" t="b">
        <f>ISLOGICAL(B41)</f>
        <v>1</v>
      </c>
      <c r="E41" t="s">
        <v>47</v>
      </c>
    </row>
    <row r="43" spans="2:6" x14ac:dyDescent="0.2">
      <c r="B43" t="s">
        <v>49</v>
      </c>
      <c r="E43" t="s">
        <v>50</v>
      </c>
    </row>
    <row r="45" spans="2:6" x14ac:dyDescent="0.2">
      <c r="B45" t="s">
        <v>51</v>
      </c>
      <c r="D45" t="s">
        <v>53</v>
      </c>
    </row>
    <row r="47" spans="2:6" x14ac:dyDescent="0.2">
      <c r="B47" t="s">
        <v>52</v>
      </c>
      <c r="D47" t="s">
        <v>54</v>
      </c>
    </row>
    <row r="50" spans="2:2" x14ac:dyDescent="0.2">
      <c r="B50" s="6"/>
    </row>
    <row r="51" spans="2:2" x14ac:dyDescent="0.2">
      <c r="B51" s="6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Utkarsh Sahu</dc:creator>
  <cp:lastModifiedBy>Utkarsh Sahu</cp:lastModifiedBy>
  <dcterms:created xsi:type="dcterms:W3CDTF">2025-11-30T15:17:48Z</dcterms:created>
  <dcterms:modified xsi:type="dcterms:W3CDTF">2025-11-30T16:35:39Z</dcterms:modified>
</cp:coreProperties>
</file>