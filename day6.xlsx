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drawings/drawing2.xml" ContentType="application/vnd.openxmlformats-officedocument.drawing+xml"/>
  <Override PartName="/xl/ink/ink4.xml" ContentType="application/inkml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F0C1A03C-A492-8347-84AA-DE5D2663CD3F}" xr6:coauthVersionLast="47" xr6:coauthVersionMax="47" xr10:uidLastSave="{00000000-0000-0000-0000-000000000000}"/>
  <bookViews>
    <workbookView xWindow="0" yWindow="600" windowWidth="28800" windowHeight="17400" xr2:uid="{AA873D0A-0169-AA4D-8FF3-837BDFA22737}"/>
  </bookViews>
  <sheets>
    <sheet name="agenda" sheetId="1" r:id="rId1"/>
    <sheet name="Sheet2" sheetId="2" r:id="rId2"/>
    <sheet name="Sheet1" sheetId="3" r:id="rId3"/>
  </sheets>
  <definedNames>
    <definedName name="_xlchart.v1.0" hidden="1">Sheet2!$C$68:$C$87</definedName>
    <definedName name="_xlchart.v1.1" hidden="1">Sheet2!$C$68:$C$87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4" i="1" l="1"/>
  <c r="B72" i="1"/>
  <c r="C9" i="3"/>
  <c r="C8" i="3"/>
  <c r="D70" i="2"/>
  <c r="D68" i="2"/>
  <c r="C68" i="2" a="1"/>
  <c r="E87" i="2"/>
  <c r="E85" i="2"/>
  <c r="E70" i="2"/>
  <c r="E68" i="2"/>
  <c r="C65" i="2"/>
  <c r="E39" i="2"/>
  <c r="F39" i="2"/>
  <c r="F22" i="2"/>
  <c r="F20" i="2"/>
  <c r="G22" i="2"/>
  <c r="G20" i="2"/>
  <c r="B20" i="2"/>
  <c r="F4" i="2"/>
  <c r="E4" i="2"/>
  <c r="F3" i="2"/>
  <c r="E3" i="2"/>
  <c r="C12" i="3" l="1"/>
  <c r="C15" i="2"/>
  <c r="D15" i="2" s="1"/>
  <c r="C16" i="2"/>
  <c r="D16" i="2" s="1"/>
  <c r="C17" i="2"/>
  <c r="D17" i="2" s="1"/>
  <c r="C14" i="2"/>
  <c r="D14" i="2" s="1"/>
  <c r="D20" i="2" s="1"/>
  <c r="D22" i="2" s="1"/>
  <c r="C17" i="3" l="1"/>
  <c r="C15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<sst xmlns="http://schemas.openxmlformats.org/spreadsheetml/2006/main" count="38" uniqueCount="34">
  <si>
    <t>ADVANCE STATS</t>
  </si>
  <si>
    <t>1) 3 Measures of central tendency</t>
  </si>
  <si>
    <t>MEAN</t>
  </si>
  <si>
    <t>Influenced by the OUTLIERs</t>
  </si>
  <si>
    <t>Salary</t>
  </si>
  <si>
    <t>Median</t>
  </si>
  <si>
    <t>Mode</t>
  </si>
  <si>
    <t>Measures of dispersion</t>
  </si>
  <si>
    <t>RANGE</t>
  </si>
  <si>
    <t>VAR</t>
  </si>
  <si>
    <t>Std Dev</t>
  </si>
  <si>
    <t>Max - Min</t>
  </si>
  <si>
    <t>x_i-mu</t>
  </si>
  <si>
    <t>(x_i-mu)^2</t>
  </si>
  <si>
    <t xml:space="preserve"> </t>
  </si>
  <si>
    <t>Sample VS Population</t>
  </si>
  <si>
    <t>Sample</t>
  </si>
  <si>
    <t>Population</t>
  </si>
  <si>
    <t>Whole Data (in context)</t>
  </si>
  <si>
    <t>Subset of the data</t>
  </si>
  <si>
    <t>Percentiles &amp; Quartiles</t>
  </si>
  <si>
    <t>100% max</t>
  </si>
  <si>
    <t>0% min</t>
  </si>
  <si>
    <t>50% middle/Medianß</t>
  </si>
  <si>
    <t>PERCENTILEs</t>
  </si>
  <si>
    <t>Relative Standing ( Position/rank) expressed as percentage</t>
  </si>
  <si>
    <t>QUARTILE</t>
  </si>
  <si>
    <t>QUARTER</t>
  </si>
  <si>
    <t>For outlier</t>
  </si>
  <si>
    <t>Q1</t>
  </si>
  <si>
    <t>Q3</t>
  </si>
  <si>
    <t xml:space="preserve">IQR </t>
  </si>
  <si>
    <t>UPPER LIMIT</t>
  </si>
  <si>
    <t>LOWER 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</si>
</sst>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boxWhisker" uniqueId="{00000000-A433-D04E-B079-8CEF791B2C0D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6" Type="http://schemas.openxmlformats.org/officeDocument/2006/relationships/customXml" Target="../ink/ink3.xml"/><Relationship Id="rId5" Type="http://schemas.openxmlformats.org/officeDocument/2006/relationships/image" Target="../media/image3.png"/><Relationship Id="rId4" Type="http://schemas.openxmlformats.org/officeDocument/2006/relationships/customXml" Target="../ink/ink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50.png"/><Relationship Id="rId1" Type="http://schemas.openxmlformats.org/officeDocument/2006/relationships/customXml" Target="../ink/ink4.xml"/><Relationship Id="rId5" Type="http://schemas.microsoft.com/office/2014/relationships/chartEx" Target="../charts/chartEx1.xml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254662</xdr:colOff>
      <xdr:row>25</xdr:row>
      <xdr:rowOff>142212</xdr:rowOff>
    </xdr:from>
    <xdr:to>
      <xdr:col>5</xdr:col>
      <xdr:colOff>435097</xdr:colOff>
      <xdr:row>31</xdr:row>
      <xdr:rowOff>171588</xdr:rowOff>
    </xdr:to>
    <xdr:pic>
      <xdr:nvPicPr>
        <xdr:cNvPr id="2" name="Picture 1" descr="Mean, Variance and Standard Deviation - GeeksforGeeks">
          <a:extLst>
            <a:ext uri="{FF2B5EF4-FFF2-40B4-BE49-F238E27FC236}">
              <a16:creationId xmlns:a16="http://schemas.microsoft.com/office/drawing/2014/main" id="{7B73DE3E-5652-2BD3-A7D9-CE51419118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8308" y="5185832"/>
          <a:ext cx="2660904" cy="12398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178394</xdr:colOff>
      <xdr:row>41</xdr:row>
      <xdr:rowOff>163984</xdr:rowOff>
    </xdr:from>
    <xdr:to>
      <xdr:col>3</xdr:col>
      <xdr:colOff>294771</xdr:colOff>
      <xdr:row>45</xdr:row>
      <xdr:rowOff>191124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21566F9D-05E9-AF6A-08DA-138A702F0D0D}"/>
                </a:ext>
              </a:extLst>
            </xdr14:cNvPr>
            <xdr14:cNvContentPartPr/>
          </xdr14:nvContentPartPr>
          <xdr14:nvPr macro=""/>
          <xdr14:xfrm>
            <a:off x="1832040" y="8435520"/>
            <a:ext cx="943200" cy="83412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21566F9D-05E9-AF6A-08DA-138A702F0D0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823040" y="8426520"/>
              <a:ext cx="960840" cy="851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466754</xdr:colOff>
      <xdr:row>44</xdr:row>
      <xdr:rowOff>62389</xdr:rowOff>
    </xdr:from>
    <xdr:to>
      <xdr:col>2</xdr:col>
      <xdr:colOff>732074</xdr:colOff>
      <xdr:row>45</xdr:row>
      <xdr:rowOff>54684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C34958D-41FA-EBC3-2295-78DAB7BE1295}"/>
                </a:ext>
              </a:extLst>
            </xdr14:cNvPr>
            <xdr14:cNvContentPartPr/>
          </xdr14:nvContentPartPr>
          <xdr14:nvPr macro=""/>
          <xdr14:xfrm>
            <a:off x="2120400" y="8939160"/>
            <a:ext cx="265320" cy="19404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BC34958D-41FA-EBC3-2295-78DAB7BE1295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2114280" y="8933040"/>
              <a:ext cx="277560" cy="206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720097</xdr:colOff>
      <xdr:row>44</xdr:row>
      <xdr:rowOff>86509</xdr:rowOff>
    </xdr:from>
    <xdr:to>
      <xdr:col>2</xdr:col>
      <xdr:colOff>703994</xdr:colOff>
      <xdr:row>47</xdr:row>
      <xdr:rowOff>79955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6B786E69-5A79-9A8A-5497-A8231629B3F7}"/>
                </a:ext>
              </a:extLst>
            </xdr14:cNvPr>
            <xdr14:cNvContentPartPr/>
          </xdr14:nvContentPartPr>
          <xdr14:nvPr macro=""/>
          <xdr14:xfrm>
            <a:off x="1546920" y="8963280"/>
            <a:ext cx="810720" cy="598680"/>
          </xdr14:xfrm>
        </xdr:contentPart>
      </mc:Choice>
      <mc:Fallback xmlns=""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6B786E69-5A79-9A8A-5497-A8231629B3F7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1540800" y="8957156"/>
              <a:ext cx="822960" cy="61092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0</xdr:colOff>
      <xdr:row>55</xdr:row>
      <xdr:rowOff>0</xdr:rowOff>
    </xdr:from>
    <xdr:to>
      <xdr:col>3</xdr:col>
      <xdr:colOff>330602</xdr:colOff>
      <xdr:row>64</xdr:row>
      <xdr:rowOff>159607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96C4926-EDDC-C6BE-09D6-783A00C8F0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26823" y="11095964"/>
          <a:ext cx="1984248" cy="197531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353400</xdr:colOff>
      <xdr:row>20</xdr:row>
      <xdr:rowOff>45435</xdr:rowOff>
    </xdr:from>
    <xdr:to>
      <xdr:col>6</xdr:col>
      <xdr:colOff>449160</xdr:colOff>
      <xdr:row>20</xdr:row>
      <xdr:rowOff>51555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D9551969-E0C5-23EB-3F1F-C059A7ECF05B}"/>
                </a:ext>
              </a:extLst>
            </xdr14:cNvPr>
            <xdr14:cNvContentPartPr/>
          </xdr14:nvContentPartPr>
          <xdr14:nvPr macro=""/>
          <xdr14:xfrm>
            <a:off x="5306400" y="4093560"/>
            <a:ext cx="95760" cy="612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D9551969-E0C5-23EB-3F1F-C059A7ECF05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300280" y="4087440"/>
              <a:ext cx="108000" cy="18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384968</xdr:colOff>
      <xdr:row>28</xdr:row>
      <xdr:rowOff>158751</xdr:rowOff>
    </xdr:from>
    <xdr:to>
      <xdr:col>4</xdr:col>
      <xdr:colOff>551084</xdr:colOff>
      <xdr:row>36</xdr:row>
      <xdr:rowOff>95430</xdr:rowOff>
    </xdr:to>
    <xdr:pic>
      <xdr:nvPicPr>
        <xdr:cNvPr id="4" name="Picture 3" descr="How Percentiles Work | Tiger Data">
          <a:extLst>
            <a:ext uri="{FF2B5EF4-FFF2-40B4-BE49-F238E27FC236}">
              <a16:creationId xmlns:a16="http://schemas.microsoft.com/office/drawing/2014/main" id="{6E721613-12B0-64F5-9BA2-2F6664AA5F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0468" y="5826126"/>
          <a:ext cx="2642616" cy="15559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349597</xdr:colOff>
      <xdr:row>72</xdr:row>
      <xdr:rowOff>70554</xdr:rowOff>
    </xdr:from>
    <xdr:to>
      <xdr:col>8</xdr:col>
      <xdr:colOff>5427</xdr:colOff>
      <xdr:row>79</xdr:row>
      <xdr:rowOff>58049</xdr:rowOff>
    </xdr:to>
    <xdr:pic>
      <xdr:nvPicPr>
        <xdr:cNvPr id="5" name="Picture 4" descr="box_plot_">
          <a:extLst>
            <a:ext uri="{FF2B5EF4-FFF2-40B4-BE49-F238E27FC236}">
              <a16:creationId xmlns:a16="http://schemas.microsoft.com/office/drawing/2014/main" id="{E6310DAB-B393-01D7-BD9A-52112D0303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24469" y="14529016"/>
          <a:ext cx="3780616" cy="13931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422275</xdr:colOff>
      <xdr:row>82</xdr:row>
      <xdr:rowOff>22225</xdr:rowOff>
    </xdr:from>
    <xdr:to>
      <xdr:col>12</xdr:col>
      <xdr:colOff>41275</xdr:colOff>
      <xdr:row>95</xdr:row>
      <xdr:rowOff>123825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F3198D9C-F602-7AF9-029A-07D972E89B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75275" y="1668462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16:37:14.958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213 409 24575,'8'-23'0,"8"-7"0,11-9 0,12-6 0,14-4 0,16-2 0,-26 25 0,3 2 0,4 1 0,3 1 0,1 3 0,0 3 0,0 3 0,1 3 0,2 2 0,2 3 0,1 1 0,2 2 0,10 3 0,3 3 0,2 5 0,1 2 0,-3 3 0,-1 3 0,-6 1 0,-3 2 0,-10 0 0,-3 1 0,40 19 0,-12 0 0,-3 4 0,-9-1 0,1 6 0,-5 2 0,-5 2 0,-4 6 0,-10-3 0,-5 2 0,-5 3 0,-5-3 0,-4 0 0,-2-1 0,-4 0 0,-1 5 0,-2 5 0,-3 6 0,-4 5 0,-3 10 0,-3 9 0,-3-46 0,-1 0 0,-1 0 0,-2 1 0,-1-2 0,-2 0 0,-12 43 0,-8-9 0,-3-11 0,-8-9 0,-10-6 0,-14-4 0,-12-3 0,-7-6 0,-3-7 0,2-8 0,1-10 0,-3-9 0,-4-6 0,-7-3 0,-2-5 0,-1-4 0,0-6 0,47 5 0,1-1 0,-4-1 0,-1-1 0,-1-1 0,1 0 0,3 0 0,1 0 0,-39-12 0,18 1 0,15 0 0,6-4 0,1-1 0,-4-5 0,-9-5 0,-8-10 0,-2-8 0,3-5 0,7-5 0,9-2 0,9-2 0,8-4 0,8-3 0,4-9 0,3-11 0,11 44 0,0 0 0,0-1 0,0 0 0,1 4 0,-1 1 0,-7-43 0,3 8 0,4 6 0,3 5 0,4 12 0,2 11 0,1 8 0,1 4 0,1 3 0,3 3 0,3 5 0,1 5 0,1 4 0,1 2 0,2 1 0,0-1 0,-1 1 0,0 2 0,-1 1 0,-2 3 0,-2 1 0,-1 3 0,0 1 0,1 1 0,4-1 0,4-1 0,4-3 0,2 0 0,1-2 0,0 0 0,-3 2 0,-1 1 0,-3 2 0,-3 2 0,-1 1 0,-1 1 0,-1 0 0,0-1 0,0 0 0,2-1 0,0-1 0,0 1 0,0 0 0,-1 0 0,0 0 0,1 0 0,1-1 0,1 0 0,1-1 0,-1 1 0,0 1 0,1-1 0,0 1 0,-1 0 0,-2 0 0,-2 2 0,-2 0 0,-3 0 0,-1 0 0,-2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16:37:20.27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121 79 24575,'-7'0'0,"-3"1"0,-1 2 0,-1 3 0,1 4 0,2 5 0,0 6 0,0 4 0,0 6 0,-1 1 0,2 1 0,1-2 0,2-3 0,2-4 0,2-3 0,1-3 0,2-3 0,5-1 0,9 0 0,13 1 0,15 3 0,13 3 0,4-1 0,4-1 0,-4-7 0,-3-4 0,-2-4 0,-8-5 0,-5-5 0,-3-4 0,-5-5 0,-4-4 0,-3-1 0,-6-1 0,-6 2 0,-6 2 0,-5 3 0,-3 1 0,-1-2 0,-3-2 0,-5-6 0,-6-9 0,-7-6 0,-2-4 0,0 1 0,2 6 0,4 7 0,2 9 0,1 4 0,-1 2 0,-3 0 0,-4-1 0,-1 1 0,1 2 0,2 4 0,4 3 0,2 2 0,3 1 0,2 1 0,1 0 0,-1 0 0,-1 0 0,-3 1 0,-1 1 0,-1 1 0,0 0 0,-1-1 0,1-2 0,2 1 0,2-1 0,1 0 0,2 0 0,-1 0 0,0 1 0,-3 0 0,-2-1 0,-3 0 0,0 0 0,2 0 0,1 0 0,4 0 0,2 0 0,2 0 0,1 0 0,0 0 0,-2 1 0,-1 0 0,-2 1 0,1 1 0,2-1 0,3 0 0,1-1 0,1 1 0,-2 1 0,-1 2 0,-4 1 0,-1 2 0,0 1 0,2-3 0,5-2 0,1-3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16:37:23.590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1645 1 24575,'0'0'0</inkml:trace>
  <inkml:trace contextRef="#ctx0" brushRef="#br0" timeOffset="267">1645 1 24575,'0'0'0</inkml:trace>
  <inkml:trace contextRef="#ctx0" brushRef="#br0" timeOffset="1500">1585 73 24575,'-7'11'0,"-7"9"0,-9 10 0,-7 6 0,4-6 0,6-8 0,9-10 0,5-6 0,-4 7 0,-8 9 0,-6 9 0,-4 3 0,6-8 0,7-10 0,6-9 0,3-3 0,-7 7 0,-6 11 0,-7 10 0,2 3 0,5-7 0,7-10 0,6-8 0,-3 6 0,-12 16 0,-15 19 0,-14 18 0,1-5 0,10-16 0,14-20 0,14-16 0,7-7 0,0 2 0,-5 8 0,-5 10 0,-7 8 0,-4 2 0,0-5 0,4-8 0,6-9 0,6-7 0,5-3 0,3 0 0,0-2 0,1 1 0</inkml:trace>
  <inkml:trace contextRef="#ctx0" brushRef="#br0" timeOffset="2484">2251 492 24575,'0'0'0</inkml:trace>
  <inkml:trace contextRef="#ctx0" brushRef="#br0" timeOffset="2717">2251 492 24575,'0'0'0</inkml:trace>
  <inkml:trace contextRef="#ctx0" brushRef="#br0" timeOffset="2917">2241 504 24575,'0'0'0</inkml:trace>
  <inkml:trace contextRef="#ctx0" brushRef="#br0" timeOffset="3267">2188 528 24575,'0'0'0</inkml:trace>
  <inkml:trace contextRef="#ctx0" brushRef="#br0" timeOffset="4651">2234 517 24575,'-6'-1'0,"-16"9"0,-21 16 0,-18 13 0,-17 14 0,1 0 0,10-5 0,10-7 0,14-9 0,7-4 0,2-2 0,3 1 0,0-1 0,2 1 0,0-1 0,2-2 0,1-3 0,3-2 0,2-2 0,-3 3 0,-3 3 0,-4 4 0,-2 3 0,2-3 0,6-4 0,7-6 0,8-6 0,5-4 0,4-2 0,0-2 0,1 0 0</inkml:trace>
  <inkml:trace contextRef="#ctx0" brushRef="#br0" timeOffset="13117">296 1057 24575,'-10'8'0,"-6"6"0,-8 10 0,-9 7 0,-2 2 0,-1-2 0,2-3 0,4-4 0,3-3 0,7-5 0,6-4 0,6-5 0,3-2 0,2-2 0,2-2 0,2-4 0,2-2 0,4-2 0,6-1 0,5-1 0,3 2 0,2 3 0,-1 1 0,-1 3 0,0 2 0,0 4 0,-1 5 0,-1 2 0,-3 0 0,-4 0 0,-3-3 0,-1 0 0,0-2 0,1 2 0,-1-2 0,0-1 0,-1-2 0,-3-3 0,-1-1 0,-3-1 0</inkml:trace>
  <inkml:trace contextRef="#ctx0" brushRef="#br0" timeOffset="14667">413 1008 24575,'0'9'0,"0"5"0,-1 7 0,-1 4 0,-2 1 0,-1 0 0,1 0 0,2 0 0,1 3 0,1 2 0,0 1 0,1-1 0,3-2 0,4 0 0,4 3 0,6 4 0,6 6 0,4 3 0,1-2 0,-2-4 0,-6-10 0,-5-10 0,-6-9 0,-4-6 0,-2-3 0,-2-1 0,0 0 0,-1-1 0,0-1 0,-1 0 0,0 0 0,0 1 0,0-2 0,0 0 0,-1-4 0,-1-2 0,1 3 0,0 1 0</inkml:trace>
  <inkml:trace contextRef="#ctx0" brushRef="#br0" timeOffset="15650">396 1058 24575,'1'-10'0,"0"-8"0,-1-17 0,0-12 0,1-6 0,1 5 0,1 12 0,0 15 0,-2 15 0,-1 5 0,-2 4 0</inkml:trace>
  <inkml:trace contextRef="#ctx0" brushRef="#br0" timeOffset="16450">297 1166 24575,'0'0'0</inkml:trace>
  <inkml:trace contextRef="#ctx0" brushRef="#br0" timeOffset="18484">517 1093 24575,'4'-3'0,"2"-3"0,5-3 0,0-1 0,1 0 0,-4 3 0,-4 4 0,-2 2 0</inkml:trace>
  <inkml:trace contextRef="#ctx0" brushRef="#br0" timeOffset="19334">530 1202 24575,'13'0'0,"2"0"0,3 0 0,0 0 0,-8 0 0,-3 0 0</inkml:trace>
  <inkml:trace contextRef="#ctx0" brushRef="#br0" timeOffset="20084">508 1389 24575,'14'0'0,"2"0"0,3 0 0,0 0 0,-5 0 0,-6 0 0,-5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16:43:46.274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265 1 24575,'-20'0'0,"-7"0"0,-9 0 0,-6 0 0,1 0 0,8 0 0,8 1 0,9 1 0,6 0 0,4 0 0,3 0 0,1 1 0,0-1 0,1-1 0,0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D809C-A335-DA45-8956-D9585644425C}">
  <dimension ref="A2:E74"/>
  <sheetViews>
    <sheetView tabSelected="1" topLeftCell="A70" zoomScale="384" workbookViewId="0">
      <selection activeCell="B71" sqref="B71"/>
    </sheetView>
  </sheetViews>
  <sheetFormatPr baseColWidth="10" defaultRowHeight="16" x14ac:dyDescent="0.2"/>
  <sheetData>
    <row r="2" spans="2:3" x14ac:dyDescent="0.2">
      <c r="B2" s="3" t="s">
        <v>0</v>
      </c>
      <c r="C2" s="3"/>
    </row>
    <row r="3" spans="2:3" x14ac:dyDescent="0.2">
      <c r="B3" s="3"/>
      <c r="C3" s="3"/>
    </row>
    <row r="6" spans="2:3" x14ac:dyDescent="0.2">
      <c r="B6" t="s">
        <v>1</v>
      </c>
    </row>
    <row r="9" spans="2:3" x14ac:dyDescent="0.2">
      <c r="B9" t="s">
        <v>2</v>
      </c>
    </row>
    <row r="10" spans="2:3" x14ac:dyDescent="0.2">
      <c r="C10" t="s">
        <v>3</v>
      </c>
    </row>
    <row r="13" spans="2:3" x14ac:dyDescent="0.2">
      <c r="B13" t="s">
        <v>5</v>
      </c>
    </row>
    <row r="15" spans="2:3" x14ac:dyDescent="0.2">
      <c r="B15" t="s">
        <v>6</v>
      </c>
    </row>
    <row r="17" spans="1:5" x14ac:dyDescent="0.2">
      <c r="A17" s="1"/>
      <c r="B17" s="1"/>
      <c r="C17" s="1"/>
      <c r="D17" s="1"/>
      <c r="E17" s="1"/>
    </row>
    <row r="19" spans="1:5" x14ac:dyDescent="0.2">
      <c r="B19" t="s">
        <v>7</v>
      </c>
    </row>
    <row r="22" spans="1:5" x14ac:dyDescent="0.2">
      <c r="B22" t="s">
        <v>8</v>
      </c>
      <c r="D22" t="s">
        <v>11</v>
      </c>
    </row>
    <row r="24" spans="1:5" x14ac:dyDescent="0.2">
      <c r="B24" t="s">
        <v>9</v>
      </c>
    </row>
    <row r="26" spans="1:5" x14ac:dyDescent="0.2">
      <c r="B26" t="s">
        <v>10</v>
      </c>
    </row>
    <row r="35" spans="2:4" x14ac:dyDescent="0.2">
      <c r="B35" t="s">
        <v>15</v>
      </c>
    </row>
    <row r="37" spans="2:4" x14ac:dyDescent="0.2">
      <c r="B37" t="s">
        <v>17</v>
      </c>
      <c r="D37" t="s">
        <v>18</v>
      </c>
    </row>
    <row r="39" spans="2:4" x14ac:dyDescent="0.2">
      <c r="B39" t="s">
        <v>16</v>
      </c>
      <c r="D39" t="s">
        <v>19</v>
      </c>
    </row>
    <row r="50" spans="1:5" x14ac:dyDescent="0.2">
      <c r="A50" s="1"/>
      <c r="B50" s="1"/>
      <c r="C50" s="1"/>
      <c r="D50" s="1"/>
      <c r="E50" s="1"/>
    </row>
    <row r="52" spans="1:5" x14ac:dyDescent="0.2">
      <c r="B52" t="s">
        <v>24</v>
      </c>
    </row>
    <row r="54" spans="1:5" x14ac:dyDescent="0.2">
      <c r="B54" t="s">
        <v>25</v>
      </c>
    </row>
    <row r="70" spans="2:2" x14ac:dyDescent="0.2">
      <c r="B70" t="s">
        <v>28</v>
      </c>
    </row>
    <row r="72" spans="2:2" x14ac:dyDescent="0.2">
      <c r="B72" t="str">
        <f>" &gt; Q3 + 1.5 (Q3 - Q1)"</f>
        <v xml:space="preserve"> &gt; Q3 + 1.5 (Q3 - Q1)</v>
      </c>
    </row>
    <row r="74" spans="2:2" x14ac:dyDescent="0.2">
      <c r="B74" t="str">
        <f>"&lt; Q1 - 1.5 ( Q3 - Q1 )"</f>
        <v>&lt; Q1 - 1.5 ( Q3 - Q1 )</v>
      </c>
    </row>
  </sheetData>
  <mergeCells count="1">
    <mergeCell ref="B2:C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549A6-0D72-C748-8AC4-C3958BB72F61}">
  <dimension ref="A2:T87"/>
  <sheetViews>
    <sheetView topLeftCell="C77" zoomScale="200" workbookViewId="0">
      <selection activeCell="E83" sqref="E83:F87"/>
    </sheetView>
  </sheetViews>
  <sheetFormatPr baseColWidth="10" defaultRowHeight="16" x14ac:dyDescent="0.2"/>
  <sheetData>
    <row r="2" spans="1:6" x14ac:dyDescent="0.2">
      <c r="B2" s="1" t="s">
        <v>4</v>
      </c>
      <c r="E2">
        <v>4</v>
      </c>
      <c r="F2">
        <v>5</v>
      </c>
    </row>
    <row r="3" spans="1:6" x14ac:dyDescent="0.2">
      <c r="B3">
        <v>10000</v>
      </c>
      <c r="D3" t="s">
        <v>2</v>
      </c>
      <c r="E3">
        <f>AVERAGE(B3:B6)</f>
        <v>15750</v>
      </c>
      <c r="F3">
        <f>AVERAGE(B3:B7)</f>
        <v>39600</v>
      </c>
    </row>
    <row r="4" spans="1:6" x14ac:dyDescent="0.2">
      <c r="B4">
        <v>15000</v>
      </c>
      <c r="D4" t="s">
        <v>5</v>
      </c>
      <c r="E4">
        <f>MEDIAN(B3:B6)</f>
        <v>16500</v>
      </c>
      <c r="F4">
        <f>MEDIAN(B3:B7)</f>
        <v>18000</v>
      </c>
    </row>
    <row r="5" spans="1:6" x14ac:dyDescent="0.2">
      <c r="B5">
        <v>20000</v>
      </c>
    </row>
    <row r="6" spans="1:6" x14ac:dyDescent="0.2">
      <c r="B6">
        <v>18000</v>
      </c>
    </row>
    <row r="7" spans="1:6" x14ac:dyDescent="0.2">
      <c r="B7">
        <v>135000</v>
      </c>
    </row>
    <row r="9" spans="1:6" x14ac:dyDescent="0.2">
      <c r="A9" s="1"/>
      <c r="B9" s="1"/>
      <c r="C9" s="1"/>
      <c r="D9" s="1"/>
      <c r="E9" s="1"/>
      <c r="F9" s="1"/>
    </row>
    <row r="10" spans="1:6" x14ac:dyDescent="0.2">
      <c r="A10" s="1"/>
      <c r="B10" s="1"/>
      <c r="C10" s="1"/>
      <c r="D10" s="1"/>
      <c r="E10" s="1"/>
      <c r="F10" s="1"/>
    </row>
    <row r="13" spans="1:6" x14ac:dyDescent="0.2">
      <c r="B13" s="1" t="s">
        <v>4</v>
      </c>
      <c r="C13" t="s">
        <v>12</v>
      </c>
      <c r="D13" t="s">
        <v>13</v>
      </c>
    </row>
    <row r="14" spans="1:6" x14ac:dyDescent="0.2">
      <c r="B14">
        <v>10000</v>
      </c>
      <c r="C14">
        <f>B14-$B$20</f>
        <v>-5750</v>
      </c>
      <c r="D14">
        <f>C14^2</f>
        <v>33062500</v>
      </c>
    </row>
    <row r="15" spans="1:6" x14ac:dyDescent="0.2">
      <c r="B15">
        <v>15000</v>
      </c>
      <c r="C15">
        <f t="shared" ref="C15:C17" si="0">B15-$B$20</f>
        <v>-750</v>
      </c>
      <c r="D15">
        <f t="shared" ref="D15:D17" si="1">C15^2</f>
        <v>562500</v>
      </c>
    </row>
    <row r="16" spans="1:6" x14ac:dyDescent="0.2">
      <c r="B16">
        <v>20000</v>
      </c>
      <c r="C16">
        <f t="shared" si="0"/>
        <v>4250</v>
      </c>
      <c r="D16">
        <f t="shared" si="1"/>
        <v>18062500</v>
      </c>
    </row>
    <row r="17" spans="1:20" x14ac:dyDescent="0.2">
      <c r="B17">
        <v>18000</v>
      </c>
      <c r="C17">
        <f t="shared" si="0"/>
        <v>2250</v>
      </c>
      <c r="D17">
        <f t="shared" si="1"/>
        <v>5062500</v>
      </c>
    </row>
    <row r="20" spans="1:20" x14ac:dyDescent="0.2">
      <c r="B20">
        <f>AVERAGE(B14:B17)</f>
        <v>15750</v>
      </c>
      <c r="D20">
        <f>SUM(D14:D17)/4</f>
        <v>14187500</v>
      </c>
      <c r="F20">
        <f>_xlfn.VAR.S(B14:B17)</f>
        <v>18916666.666666668</v>
      </c>
      <c r="G20" t="str">
        <f ca="1">_xlfn.FORMULATEXT(F20)</f>
        <v>=VAR.S(B14:B17)</v>
      </c>
    </row>
    <row r="21" spans="1:20" x14ac:dyDescent="0.2">
      <c r="F21" t="s">
        <v>14</v>
      </c>
    </row>
    <row r="22" spans="1:20" x14ac:dyDescent="0.2">
      <c r="D22">
        <f>SQRT(D20)</f>
        <v>3766.629793329841</v>
      </c>
      <c r="F22">
        <f>_xlfn.STDEV.S(B14:B17)</f>
        <v>4349.3294502332965</v>
      </c>
      <c r="G22" t="str">
        <f t="shared" ref="G22" ca="1" si="2">_xlfn.FORMULATEXT(F22)</f>
        <v>=STDEV.S(B14:B17)</v>
      </c>
    </row>
    <row r="25" spans="1:20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7" spans="1:20" x14ac:dyDescent="0.2">
      <c r="B27" s="2" t="s">
        <v>20</v>
      </c>
      <c r="C27" s="2"/>
    </row>
    <row r="28" spans="1:20" x14ac:dyDescent="0.2">
      <c r="B28" s="2"/>
      <c r="C28" s="2"/>
    </row>
    <row r="39" spans="3:6" x14ac:dyDescent="0.2">
      <c r="C39">
        <v>29</v>
      </c>
      <c r="E39">
        <f>PERCENTILE(C39:C58,93%)</f>
        <v>363</v>
      </c>
      <c r="F39" t="str">
        <f ca="1">_xlfn.FORMULATEXT(E39)</f>
        <v>=PERCENTILE(C39:C58,93%)</v>
      </c>
    </row>
    <row r="40" spans="3:6" x14ac:dyDescent="0.2">
      <c r="C40">
        <v>-45</v>
      </c>
    </row>
    <row r="41" spans="3:6" x14ac:dyDescent="0.2">
      <c r="C41">
        <v>371</v>
      </c>
    </row>
    <row r="42" spans="3:6" x14ac:dyDescent="0.2">
      <c r="C42">
        <v>363</v>
      </c>
      <c r="E42" t="s">
        <v>21</v>
      </c>
    </row>
    <row r="43" spans="3:6" x14ac:dyDescent="0.2">
      <c r="C43">
        <v>303</v>
      </c>
      <c r="E43" t="s">
        <v>22</v>
      </c>
    </row>
    <row r="44" spans="3:6" x14ac:dyDescent="0.2">
      <c r="C44">
        <v>-12</v>
      </c>
      <c r="E44" t="s">
        <v>23</v>
      </c>
    </row>
    <row r="45" spans="3:6" x14ac:dyDescent="0.2">
      <c r="C45">
        <v>103</v>
      </c>
    </row>
    <row r="46" spans="3:6" x14ac:dyDescent="0.2">
      <c r="C46">
        <v>51</v>
      </c>
    </row>
    <row r="47" spans="3:6" x14ac:dyDescent="0.2">
      <c r="C47">
        <v>64</v>
      </c>
    </row>
    <row r="48" spans="3:6" x14ac:dyDescent="0.2">
      <c r="C48">
        <v>42</v>
      </c>
    </row>
    <row r="49" spans="1:6" x14ac:dyDescent="0.2">
      <c r="C49">
        <v>-35</v>
      </c>
    </row>
    <row r="50" spans="1:6" x14ac:dyDescent="0.2">
      <c r="C50">
        <v>172</v>
      </c>
    </row>
    <row r="51" spans="1:6" x14ac:dyDescent="0.2">
      <c r="C51">
        <v>363</v>
      </c>
    </row>
    <row r="52" spans="1:6" x14ac:dyDescent="0.2">
      <c r="C52">
        <v>32</v>
      </c>
    </row>
    <row r="53" spans="1:6" x14ac:dyDescent="0.2">
      <c r="C53">
        <v>350</v>
      </c>
    </row>
    <row r="54" spans="1:6" x14ac:dyDescent="0.2">
      <c r="C54">
        <v>-32</v>
      </c>
    </row>
    <row r="55" spans="1:6" x14ac:dyDescent="0.2">
      <c r="C55">
        <v>245</v>
      </c>
    </row>
    <row r="56" spans="1:6" x14ac:dyDescent="0.2">
      <c r="C56">
        <v>146</v>
      </c>
    </row>
    <row r="57" spans="1:6" x14ac:dyDescent="0.2">
      <c r="C57">
        <v>326</v>
      </c>
    </row>
    <row r="58" spans="1:6" x14ac:dyDescent="0.2">
      <c r="C58">
        <v>67</v>
      </c>
    </row>
    <row r="60" spans="1:6" x14ac:dyDescent="0.2">
      <c r="A60" s="1"/>
      <c r="B60" s="1"/>
      <c r="C60" s="1"/>
      <c r="D60" s="1"/>
      <c r="E60" s="1"/>
      <c r="F60" s="1"/>
    </row>
    <row r="63" spans="1:6" x14ac:dyDescent="0.2">
      <c r="B63" t="s">
        <v>26</v>
      </c>
    </row>
    <row r="65" spans="2:5" x14ac:dyDescent="0.2">
      <c r="B65" t="s">
        <v>27</v>
      </c>
      <c r="C65" s="4" t="str">
        <f>"1/4"</f>
        <v>1/4</v>
      </c>
    </row>
    <row r="68" spans="2:5" x14ac:dyDescent="0.2">
      <c r="B68">
        <v>29</v>
      </c>
      <c r="C68" s="5" cm="1">
        <f t="array" ref="C68:C87">_xlfn._xlws.SORT(B68:B87)</f>
        <v>-45</v>
      </c>
      <c r="D68">
        <f>QUARTILE(B68:B87,2)</f>
        <v>85</v>
      </c>
      <c r="E68" t="str">
        <f ca="1">_xlfn.FORMULATEXT(D68)</f>
        <v>=QUARTILE(B68:B87,2)</v>
      </c>
    </row>
    <row r="69" spans="2:5" x14ac:dyDescent="0.2">
      <c r="B69">
        <v>-45</v>
      </c>
      <c r="C69" s="5">
        <v>-35</v>
      </c>
    </row>
    <row r="70" spans="2:5" x14ac:dyDescent="0.2">
      <c r="B70">
        <v>900</v>
      </c>
      <c r="C70" s="5">
        <v>-32</v>
      </c>
      <c r="D70">
        <f>PERCENTILE(B68:B87,50%)</f>
        <v>85</v>
      </c>
      <c r="E70" t="str">
        <f ca="1">_xlfn.FORMULATEXT(D70)</f>
        <v>=PERCENTILE(B68:B87,50%)</v>
      </c>
    </row>
    <row r="71" spans="2:5" x14ac:dyDescent="0.2">
      <c r="B71">
        <v>363</v>
      </c>
      <c r="C71" s="5">
        <v>-12</v>
      </c>
    </row>
    <row r="72" spans="2:5" x14ac:dyDescent="0.2">
      <c r="B72">
        <v>303</v>
      </c>
      <c r="C72" s="5">
        <v>29</v>
      </c>
    </row>
    <row r="73" spans="2:5" x14ac:dyDescent="0.2">
      <c r="B73">
        <v>-12</v>
      </c>
      <c r="C73" s="6">
        <v>32</v>
      </c>
    </row>
    <row r="74" spans="2:5" x14ac:dyDescent="0.2">
      <c r="B74">
        <v>103</v>
      </c>
      <c r="C74" s="6">
        <v>42</v>
      </c>
    </row>
    <row r="75" spans="2:5" x14ac:dyDescent="0.2">
      <c r="B75">
        <v>51</v>
      </c>
      <c r="C75" s="6">
        <v>51</v>
      </c>
    </row>
    <row r="76" spans="2:5" x14ac:dyDescent="0.2">
      <c r="B76">
        <v>64</v>
      </c>
      <c r="C76" s="6">
        <v>64</v>
      </c>
    </row>
    <row r="77" spans="2:5" x14ac:dyDescent="0.2">
      <c r="B77">
        <v>42</v>
      </c>
      <c r="C77" s="6">
        <v>67</v>
      </c>
    </row>
    <row r="78" spans="2:5" x14ac:dyDescent="0.2">
      <c r="B78">
        <v>-35</v>
      </c>
      <c r="C78" s="7">
        <v>103</v>
      </c>
    </row>
    <row r="79" spans="2:5" x14ac:dyDescent="0.2">
      <c r="B79">
        <v>172</v>
      </c>
      <c r="C79" s="7">
        <v>146</v>
      </c>
    </row>
    <row r="80" spans="2:5" x14ac:dyDescent="0.2">
      <c r="B80">
        <v>363</v>
      </c>
      <c r="C80" s="7">
        <v>172</v>
      </c>
    </row>
    <row r="81" spans="2:5" x14ac:dyDescent="0.2">
      <c r="B81">
        <v>32</v>
      </c>
      <c r="C81" s="7">
        <v>245</v>
      </c>
    </row>
    <row r="82" spans="2:5" x14ac:dyDescent="0.2">
      <c r="B82">
        <v>350</v>
      </c>
      <c r="C82" s="7">
        <v>303</v>
      </c>
    </row>
    <row r="83" spans="2:5" x14ac:dyDescent="0.2">
      <c r="B83">
        <v>-32</v>
      </c>
      <c r="C83" s="8">
        <v>326</v>
      </c>
      <c r="E83" t="s">
        <v>28</v>
      </c>
    </row>
    <row r="84" spans="2:5" x14ac:dyDescent="0.2">
      <c r="B84">
        <v>245</v>
      </c>
      <c r="C84" s="8">
        <v>350</v>
      </c>
    </row>
    <row r="85" spans="2:5" x14ac:dyDescent="0.2">
      <c r="B85">
        <v>146</v>
      </c>
      <c r="C85" s="8">
        <v>363</v>
      </c>
      <c r="E85" t="str">
        <f>" &gt; Q3 + 1.5 (Q3 - Q1)"</f>
        <v xml:space="preserve"> &gt; Q3 + 1.5 (Q3 - Q1)</v>
      </c>
    </row>
    <row r="86" spans="2:5" x14ac:dyDescent="0.2">
      <c r="B86">
        <v>326</v>
      </c>
      <c r="C86" s="8">
        <v>363</v>
      </c>
    </row>
    <row r="87" spans="2:5" x14ac:dyDescent="0.2">
      <c r="B87">
        <v>67</v>
      </c>
      <c r="C87" s="8">
        <v>900</v>
      </c>
      <c r="E87" t="str">
        <f>"&lt; Q1 - 1.5 ( Q3 - Q1 )"</f>
        <v>&lt; Q1 - 1.5 ( Q3 - Q1 )</v>
      </c>
    </row>
  </sheetData>
  <mergeCells count="1">
    <mergeCell ref="B27:C2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59A75-C29F-A845-8AC5-C55F4BC8F2BD}">
  <dimension ref="B5:D24"/>
  <sheetViews>
    <sheetView topLeftCell="A4" zoomScale="174" workbookViewId="0">
      <selection activeCell="C15" sqref="C15"/>
    </sheetView>
  </sheetViews>
  <sheetFormatPr baseColWidth="10" defaultRowHeight="16" x14ac:dyDescent="0.2"/>
  <sheetData>
    <row r="5" spans="2:4" x14ac:dyDescent="0.2">
      <c r="D5">
        <v>29</v>
      </c>
    </row>
    <row r="6" spans="2:4" x14ac:dyDescent="0.2">
      <c r="D6">
        <v>-45</v>
      </c>
    </row>
    <row r="7" spans="2:4" x14ac:dyDescent="0.2">
      <c r="D7">
        <v>900</v>
      </c>
    </row>
    <row r="8" spans="2:4" x14ac:dyDescent="0.2">
      <c r="B8" t="s">
        <v>29</v>
      </c>
      <c r="C8">
        <f>QUARTILE(D5:D24,1)</f>
        <v>31.25</v>
      </c>
      <c r="D8">
        <v>363</v>
      </c>
    </row>
    <row r="9" spans="2:4" x14ac:dyDescent="0.2">
      <c r="B9" t="s">
        <v>30</v>
      </c>
      <c r="C9">
        <f>QUARTILE(D5:D24,3)</f>
        <v>308.75</v>
      </c>
      <c r="D9">
        <v>303</v>
      </c>
    </row>
    <row r="10" spans="2:4" x14ac:dyDescent="0.2">
      <c r="D10">
        <v>-12</v>
      </c>
    </row>
    <row r="11" spans="2:4" x14ac:dyDescent="0.2">
      <c r="D11">
        <v>103</v>
      </c>
    </row>
    <row r="12" spans="2:4" x14ac:dyDescent="0.2">
      <c r="B12" t="s">
        <v>31</v>
      </c>
      <c r="C12">
        <f>C9-C8</f>
        <v>277.5</v>
      </c>
      <c r="D12">
        <v>51</v>
      </c>
    </row>
    <row r="13" spans="2:4" x14ac:dyDescent="0.2">
      <c r="D13">
        <v>64</v>
      </c>
    </row>
    <row r="14" spans="2:4" x14ac:dyDescent="0.2">
      <c r="D14">
        <v>42</v>
      </c>
    </row>
    <row r="15" spans="2:4" x14ac:dyDescent="0.2">
      <c r="B15" t="s">
        <v>32</v>
      </c>
      <c r="C15">
        <f>C9+1.5*C12</f>
        <v>725</v>
      </c>
      <c r="D15">
        <v>-400</v>
      </c>
    </row>
    <row r="16" spans="2:4" x14ac:dyDescent="0.2">
      <c r="D16">
        <v>172</v>
      </c>
    </row>
    <row r="17" spans="2:4" x14ac:dyDescent="0.2">
      <c r="B17" t="s">
        <v>33</v>
      </c>
      <c r="C17">
        <f>C8-1.5*C12</f>
        <v>-385</v>
      </c>
      <c r="D17">
        <v>363</v>
      </c>
    </row>
    <row r="18" spans="2:4" x14ac:dyDescent="0.2">
      <c r="D18">
        <v>32</v>
      </c>
    </row>
    <row r="19" spans="2:4" x14ac:dyDescent="0.2">
      <c r="D19">
        <v>350</v>
      </c>
    </row>
    <row r="20" spans="2:4" x14ac:dyDescent="0.2">
      <c r="D20">
        <v>-32</v>
      </c>
    </row>
    <row r="21" spans="2:4" x14ac:dyDescent="0.2">
      <c r="D21">
        <v>245</v>
      </c>
    </row>
    <row r="22" spans="2:4" x14ac:dyDescent="0.2">
      <c r="D22">
        <v>146</v>
      </c>
    </row>
    <row r="23" spans="2:4" x14ac:dyDescent="0.2">
      <c r="D23">
        <v>326</v>
      </c>
    </row>
    <row r="24" spans="2:4" x14ac:dyDescent="0.2">
      <c r="D24">
        <v>67</v>
      </c>
    </row>
  </sheetData>
  <conditionalFormatting sqref="D6:D24">
    <cfRule type="cellIs" dxfId="0" priority="1" operator="notBetween">
      <formula>$C$17</formula>
      <formula>$C$15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agenda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2026-08-09T15:34:29Z</dcterms:created>
  <dcterms:modified xsi:type="dcterms:W3CDTF">2026-08-11T16:19:04Z</dcterms:modified>
</cp:coreProperties>
</file>