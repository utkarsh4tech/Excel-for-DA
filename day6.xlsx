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drawings/drawing2.xml" ContentType="application/vnd.openxmlformats-officedocument.drawing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F0FF6A10-6722-7047-B798-0E5F83FCC4A3}" xr6:coauthVersionLast="47" xr6:coauthVersionMax="47" xr10:uidLastSave="{00000000-0000-0000-0000-000000000000}"/>
  <bookViews>
    <workbookView xWindow="0" yWindow="600" windowWidth="28800" windowHeight="17400" activeTab="2" xr2:uid="{CCC94A23-119C-9F45-9D42-5CBBD8A7CC54}"/>
  </bookViews>
  <sheets>
    <sheet name="AGENDA" sheetId="1" r:id="rId1"/>
    <sheet name="Sheet2" sheetId="2" r:id="rId2"/>
    <sheet name="Sheet4" sheetId="4" r:id="rId3"/>
    <sheet name="Sheet3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C29" i="4"/>
  <c r="C30" i="4"/>
  <c r="C31" i="4"/>
  <c r="C32" i="4"/>
  <c r="C34" i="4"/>
  <c r="C35" i="4"/>
  <c r="C36" i="4"/>
  <c r="C37" i="4"/>
  <c r="C38" i="4"/>
  <c r="C39" i="4"/>
  <c r="C40" i="4"/>
  <c r="C41" i="4"/>
  <c r="C42" i="4"/>
  <c r="C28" i="4"/>
  <c r="G39" i="4"/>
  <c r="G37" i="4"/>
  <c r="G32" i="4"/>
  <c r="G34" i="4" s="1"/>
  <c r="G30" i="4"/>
  <c r="D16" i="4"/>
  <c r="F11" i="4"/>
  <c r="D11" i="4"/>
  <c r="D9" i="4"/>
  <c r="K90" i="2"/>
  <c r="J90" i="2"/>
  <c r="K89" i="2"/>
  <c r="J89" i="2"/>
  <c r="J88" i="2"/>
  <c r="K88" i="2"/>
  <c r="H58" i="2"/>
  <c r="H56" i="2"/>
  <c r="D78" i="2"/>
  <c r="F56" i="2"/>
  <c r="D76" i="2"/>
  <c r="D56" i="2"/>
  <c r="C56" i="2"/>
  <c r="C54" i="2"/>
  <c r="D55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C55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F54" i="2"/>
  <c r="Z5" i="3"/>
  <c r="Y5" i="3"/>
  <c r="Q5" i="3"/>
  <c r="T5" i="3"/>
  <c r="W5" i="3"/>
  <c r="V5" i="3"/>
  <c r="S5" i="3"/>
  <c r="S4" i="3"/>
  <c r="P5" i="3"/>
  <c r="Q4" i="3"/>
  <c r="P4" i="3"/>
  <c r="Z4" i="3"/>
  <c r="Y4" i="3"/>
  <c r="V4" i="3"/>
  <c r="W4" i="3"/>
  <c r="T4" i="3"/>
  <c r="F34" i="2"/>
  <c r="F35" i="2"/>
  <c r="E29" i="2"/>
  <c r="E31" i="2"/>
  <c r="F26" i="2"/>
  <c r="D15" i="2"/>
  <c r="D13" i="2"/>
  <c r="D11" i="2"/>
  <c r="D7" i="2"/>
  <c r="D5" i="2"/>
  <c r="D3" i="2"/>
  <c r="C21" i="1"/>
  <c r="F15" i="2"/>
  <c r="F13" i="2"/>
  <c r="F11" i="2"/>
  <c r="F7" i="2"/>
  <c r="F5" i="2"/>
  <c r="F3" i="2"/>
</calcChain>
</file>

<file path=xl/sharedStrings.xml><?xml version="1.0" encoding="utf-8"?>
<sst xmlns="http://schemas.openxmlformats.org/spreadsheetml/2006/main" count="95" uniqueCount="67">
  <si>
    <t>STATISTICAL FUNCTIONS</t>
  </si>
  <si>
    <t>MEAN</t>
  </si>
  <si>
    <t>MEDIAN</t>
  </si>
  <si>
    <t>MODE</t>
  </si>
  <si>
    <t>MODE.SNGL</t>
  </si>
  <si>
    <t>MODE.MULT</t>
  </si>
  <si>
    <t>QUARTILES</t>
  </si>
  <si>
    <t>QUARTER</t>
  </si>
  <si>
    <t>Unsorted</t>
  </si>
  <si>
    <t>Sorted</t>
  </si>
  <si>
    <t>A function to find the different quartiles of the data set</t>
  </si>
  <si>
    <t>PERCENTILE</t>
  </si>
  <si>
    <t>Near By Position</t>
  </si>
  <si>
    <t xml:space="preserve">19th </t>
  </si>
  <si>
    <t>20th</t>
  </si>
  <si>
    <t>MIN</t>
  </si>
  <si>
    <t>MAX</t>
  </si>
  <si>
    <t>STD DEV</t>
  </si>
  <si>
    <t>VAR</t>
  </si>
  <si>
    <t>I</t>
  </si>
  <si>
    <t>II</t>
  </si>
  <si>
    <t>III</t>
  </si>
  <si>
    <t>IV</t>
  </si>
  <si>
    <t>x</t>
  </si>
  <si>
    <t>y</t>
  </si>
  <si>
    <t>X</t>
  </si>
  <si>
    <t>Y</t>
  </si>
  <si>
    <t>Mean</t>
  </si>
  <si>
    <t>Std</t>
  </si>
  <si>
    <t>SQRT(VARIANCE)</t>
  </si>
  <si>
    <t>A metric to capture how much values are far away from the mean</t>
  </si>
  <si>
    <t>VALUE-MEAN</t>
  </si>
  <si>
    <t>VARIANCE</t>
  </si>
  <si>
    <t>Unsorted (CM)</t>
  </si>
  <si>
    <t>cm</t>
  </si>
  <si>
    <t>cm^2</t>
  </si>
  <si>
    <t>5 +/- 0.05</t>
  </si>
  <si>
    <t>MEAN +/- std_dev</t>
  </si>
  <si>
    <t xml:space="preserve">POPULATION </t>
  </si>
  <si>
    <t>VS</t>
  </si>
  <si>
    <t>SAMPLE</t>
  </si>
  <si>
    <t>ENTIRE DATASET</t>
  </si>
  <si>
    <t>SUBSET of POP. Where we do Exp/Analysis</t>
  </si>
  <si>
    <t>AGE</t>
  </si>
  <si>
    <t>POP</t>
  </si>
  <si>
    <t>STD_DEV</t>
  </si>
  <si>
    <t>OUTLIERS</t>
  </si>
  <si>
    <t>salary</t>
  </si>
  <si>
    <t>average salary</t>
  </si>
  <si>
    <t>Average</t>
  </si>
  <si>
    <t>ANY DATA POINT which is not following the general TREND</t>
  </si>
  <si>
    <t>OUTLIER DETECTION</t>
  </si>
  <si>
    <t>Q1</t>
  </si>
  <si>
    <t>Q3</t>
  </si>
  <si>
    <t>IQR</t>
  </si>
  <si>
    <t>1st QUARTILE</t>
  </si>
  <si>
    <t>3rd QUARTILE</t>
  </si>
  <si>
    <t>Q3-Q1</t>
  </si>
  <si>
    <t>inter quartile range</t>
  </si>
  <si>
    <t>ANY VALUE which is</t>
  </si>
  <si>
    <t>LARGER THAN Q3 + 1.5 * IQR</t>
  </si>
  <si>
    <t>SMALLER than Q1 - 1.5 * IQR</t>
  </si>
  <si>
    <t>Is classified as an OUTLIER</t>
  </si>
  <si>
    <t>Observation</t>
  </si>
  <si>
    <t xml:space="preserve">IQR </t>
  </si>
  <si>
    <t>LOWER_LIMIT</t>
  </si>
  <si>
    <t>UPPER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</si>
</sst>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6" x14ac:knownFonts="1"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theme="3" tint="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0" fontId="0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9" fontId="0" fillId="0" borderId="0" xfId="0" applyNumberFormat="1"/>
    <xf numFmtId="16" fontId="0" fillId="5" borderId="0" xfId="0" applyNumberFormat="1" applyFill="1"/>
    <xf numFmtId="9" fontId="0" fillId="5" borderId="0" xfId="0" applyNumberFormat="1" applyFill="1"/>
    <xf numFmtId="0" fontId="2" fillId="0" borderId="0" xfId="0" applyFont="1"/>
    <xf numFmtId="0" fontId="5" fillId="7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2" fillId="11" borderId="1" xfId="0" applyFont="1" applyFill="1" applyBorder="1"/>
    <xf numFmtId="0" fontId="2" fillId="12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9" borderId="2" xfId="0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4" fillId="10" borderId="2" xfId="0" applyFont="1" applyFill="1" applyBorder="1" applyAlignment="1">
      <alignment horizontal="center"/>
    </xf>
    <xf numFmtId="0" fontId="4" fillId="10" borderId="3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171" fontId="2" fillId="15" borderId="1" xfId="0" applyNumberFormat="1" applyFont="1" applyFill="1" applyBorder="1"/>
    <xf numFmtId="171" fontId="2" fillId="0" borderId="0" xfId="0" applyNumberFormat="1" applyFont="1"/>
    <xf numFmtId="171" fontId="2" fillId="16" borderId="1" xfId="0" applyNumberFormat="1" applyFont="1" applyFill="1" applyBorder="1"/>
    <xf numFmtId="171" fontId="2" fillId="17" borderId="1" xfId="0" applyNumberFormat="1" applyFont="1" applyFill="1" applyBorder="1"/>
    <xf numFmtId="171" fontId="2" fillId="18" borderId="1" xfId="0" applyNumberFormat="1" applyFont="1" applyFill="1" applyBorder="1"/>
    <xf numFmtId="0" fontId="0" fillId="0" borderId="4" xfId="0" applyBorder="1"/>
    <xf numFmtId="0" fontId="0" fillId="19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Sheet3!$C$2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Sheet3!$B$3:$B$144</c:f>
              <c:numCache>
                <c:formatCode>General</c:formatCode>
                <c:ptCount val="142"/>
                <c:pt idx="0">
                  <c:v>55.993030150000003</c:v>
                </c:pt>
                <c:pt idx="1">
                  <c:v>50.032253789999999</c:v>
                </c:pt>
                <c:pt idx="2">
                  <c:v>51.288458660000003</c:v>
                </c:pt>
                <c:pt idx="3">
                  <c:v>51.170536890000001</c:v>
                </c:pt>
                <c:pt idx="4">
                  <c:v>44.377914529999998</c:v>
                </c:pt>
                <c:pt idx="5">
                  <c:v>45.010270069999997</c:v>
                </c:pt>
                <c:pt idx="6">
                  <c:v>48.559816720000001</c:v>
                </c:pt>
                <c:pt idx="7">
                  <c:v>42.142268289999997</c:v>
                </c:pt>
                <c:pt idx="8">
                  <c:v>41.026971570000001</c:v>
                </c:pt>
                <c:pt idx="9">
                  <c:v>34.575309009999998</c:v>
                </c:pt>
                <c:pt idx="10">
                  <c:v>31.168600720000001</c:v>
                </c:pt>
                <c:pt idx="11">
                  <c:v>32.644254070000002</c:v>
                </c:pt>
                <c:pt idx="12">
                  <c:v>26.66664565</c:v>
                </c:pt>
                <c:pt idx="13">
                  <c:v>26.459262330000001</c:v>
                </c:pt>
                <c:pt idx="14">
                  <c:v>25.538007650000001</c:v>
                </c:pt>
                <c:pt idx="15">
                  <c:v>26.320711190000001</c:v>
                </c:pt>
                <c:pt idx="16">
                  <c:v>26.163387459999999</c:v>
                </c:pt>
                <c:pt idx="17">
                  <c:v>25.213790459999998</c:v>
                </c:pt>
                <c:pt idx="18">
                  <c:v>26.859529559999999</c:v>
                </c:pt>
                <c:pt idx="19">
                  <c:v>31.76066917</c:v>
                </c:pt>
                <c:pt idx="20">
                  <c:v>39.793290570000003</c:v>
                </c:pt>
                <c:pt idx="21">
                  <c:v>45.617439189999999</c:v>
                </c:pt>
                <c:pt idx="22">
                  <c:v>53.771460679999997</c:v>
                </c:pt>
                <c:pt idx="23">
                  <c:v>56.45143367</c:v>
                </c:pt>
                <c:pt idx="24">
                  <c:v>66.093720200000007</c:v>
                </c:pt>
                <c:pt idx="25">
                  <c:v>56.925839420000003</c:v>
                </c:pt>
                <c:pt idx="26">
                  <c:v>58.98825385</c:v>
                </c:pt>
                <c:pt idx="27">
                  <c:v>57.902266050000001</c:v>
                </c:pt>
                <c:pt idx="28">
                  <c:v>64.812866959999994</c:v>
                </c:pt>
                <c:pt idx="29">
                  <c:v>60.349793519999999</c:v>
                </c:pt>
                <c:pt idx="30">
                  <c:v>48.890555759999998</c:v>
                </c:pt>
                <c:pt idx="31">
                  <c:v>47.549506350000001</c:v>
                </c:pt>
                <c:pt idx="32">
                  <c:v>30.889430829999998</c:v>
                </c:pt>
                <c:pt idx="33">
                  <c:v>28.972835719999999</c:v>
                </c:pt>
                <c:pt idx="34">
                  <c:v>35.16136075</c:v>
                </c:pt>
                <c:pt idx="35">
                  <c:v>45.870369169999996</c:v>
                </c:pt>
                <c:pt idx="36">
                  <c:v>32.831420610000002</c:v>
                </c:pt>
                <c:pt idx="37">
                  <c:v>39.485574790000001</c:v>
                </c:pt>
                <c:pt idx="38">
                  <c:v>33.446182929999999</c:v>
                </c:pt>
                <c:pt idx="39">
                  <c:v>21.863581279999998</c:v>
                </c:pt>
                <c:pt idx="40">
                  <c:v>25.16587084</c:v>
                </c:pt>
                <c:pt idx="41">
                  <c:v>22.95947898</c:v>
                </c:pt>
                <c:pt idx="42">
                  <c:v>25.58605524</c:v>
                </c:pt>
                <c:pt idx="43">
                  <c:v>26.314310070000001</c:v>
                </c:pt>
                <c:pt idx="44">
                  <c:v>33.037301249999999</c:v>
                </c:pt>
                <c:pt idx="45">
                  <c:v>36.468889480000001</c:v>
                </c:pt>
                <c:pt idx="46">
                  <c:v>26.513553099999999</c:v>
                </c:pt>
                <c:pt idx="47">
                  <c:v>36.027091210000002</c:v>
                </c:pt>
                <c:pt idx="48">
                  <c:v>42.681040410000001</c:v>
                </c:pt>
                <c:pt idx="49">
                  <c:v>45.041077129999998</c:v>
                </c:pt>
                <c:pt idx="50">
                  <c:v>47.352416460000001</c:v>
                </c:pt>
                <c:pt idx="51">
                  <c:v>53.846194029999999</c:v>
                </c:pt>
                <c:pt idx="52">
                  <c:v>55.12963938</c:v>
                </c:pt>
                <c:pt idx="53">
                  <c:v>52.188119960000002</c:v>
                </c:pt>
                <c:pt idx="54">
                  <c:v>58.67266308</c:v>
                </c:pt>
                <c:pt idx="55">
                  <c:v>82.144311599999995</c:v>
                </c:pt>
                <c:pt idx="56">
                  <c:v>75.686571139999998</c:v>
                </c:pt>
                <c:pt idx="57">
                  <c:v>85.344964500000003</c:v>
                </c:pt>
                <c:pt idx="58">
                  <c:v>83.844653510000001</c:v>
                </c:pt>
                <c:pt idx="59">
                  <c:v>85.664760659999999</c:v>
                </c:pt>
                <c:pt idx="60">
                  <c:v>77.93100493</c:v>
                </c:pt>
                <c:pt idx="61">
                  <c:v>73.031833019999993</c:v>
                </c:pt>
                <c:pt idx="62">
                  <c:v>70.102804500000005</c:v>
                </c:pt>
                <c:pt idx="63">
                  <c:v>57.144694690000001</c:v>
                </c:pt>
                <c:pt idx="64">
                  <c:v>46.962461990000001</c:v>
                </c:pt>
                <c:pt idx="65">
                  <c:v>50.564933809999999</c:v>
                </c:pt>
                <c:pt idx="66">
                  <c:v>53.719676569999997</c:v>
                </c:pt>
                <c:pt idx="67">
                  <c:v>54.200232319999998</c:v>
                </c:pt>
                <c:pt idx="68">
                  <c:v>47.875198339999997</c:v>
                </c:pt>
                <c:pt idx="69">
                  <c:v>51.47345851</c:v>
                </c:pt>
                <c:pt idx="70">
                  <c:v>52.751222220000002</c:v>
                </c:pt>
                <c:pt idx="71">
                  <c:v>48.562223000000003</c:v>
                </c:pt>
                <c:pt idx="72">
                  <c:v>53.081241689999999</c:v>
                </c:pt>
                <c:pt idx="73">
                  <c:v>56.475383370000003</c:v>
                </c:pt>
                <c:pt idx="74">
                  <c:v>49.570911410000001</c:v>
                </c:pt>
                <c:pt idx="75">
                  <c:v>37.6277033</c:v>
                </c:pt>
                <c:pt idx="76">
                  <c:v>32.26370009</c:v>
                </c:pt>
                <c:pt idx="77">
                  <c:v>32.542380340000001</c:v>
                </c:pt>
                <c:pt idx="78">
                  <c:v>52.825017189999997</c:v>
                </c:pt>
                <c:pt idx="79">
                  <c:v>58.528289540000003</c:v>
                </c:pt>
                <c:pt idx="80">
                  <c:v>56.265834259999998</c:v>
                </c:pt>
                <c:pt idx="81">
                  <c:v>57.075892420000002</c:v>
                </c:pt>
                <c:pt idx="82">
                  <c:v>54.256402379999997</c:v>
                </c:pt>
                <c:pt idx="83">
                  <c:v>62.685671249999999</c:v>
                </c:pt>
                <c:pt idx="84">
                  <c:v>68.085605860000001</c:v>
                </c:pt>
                <c:pt idx="85">
                  <c:v>65.118121959999996</c:v>
                </c:pt>
                <c:pt idx="86">
                  <c:v>68.745631299999999</c:v>
                </c:pt>
                <c:pt idx="87">
                  <c:v>63.090225140000001</c:v>
                </c:pt>
                <c:pt idx="88">
                  <c:v>77.204589319999997</c:v>
                </c:pt>
                <c:pt idx="89">
                  <c:v>82.033908479999994</c:v>
                </c:pt>
                <c:pt idx="90">
                  <c:v>81.577945920000005</c:v>
                </c:pt>
                <c:pt idx="91">
                  <c:v>85.180143279999996</c:v>
                </c:pt>
                <c:pt idx="92">
                  <c:v>84.28682499</c:v>
                </c:pt>
                <c:pt idx="93">
                  <c:v>85.622486710000004</c:v>
                </c:pt>
                <c:pt idx="94">
                  <c:v>85.604499020000006</c:v>
                </c:pt>
                <c:pt idx="95">
                  <c:v>84.424785830000005</c:v>
                </c:pt>
                <c:pt idx="96">
                  <c:v>85.57098508</c:v>
                </c:pt>
                <c:pt idx="97">
                  <c:v>84.626724199999998</c:v>
                </c:pt>
                <c:pt idx="98">
                  <c:v>73.396154929999994</c:v>
                </c:pt>
                <c:pt idx="99">
                  <c:v>73.507447729999996</c:v>
                </c:pt>
                <c:pt idx="100">
                  <c:v>63.356488110000001</c:v>
                </c:pt>
                <c:pt idx="101">
                  <c:v>72.959046869999995</c:v>
                </c:pt>
                <c:pt idx="102">
                  <c:v>64.020841649999994</c:v>
                </c:pt>
                <c:pt idx="103">
                  <c:v>61.124463239999997</c:v>
                </c:pt>
                <c:pt idx="104">
                  <c:v>75.674207330000002</c:v>
                </c:pt>
                <c:pt idx="105">
                  <c:v>69.513583159999996</c:v>
                </c:pt>
                <c:pt idx="106">
                  <c:v>58.572135469999999</c:v>
                </c:pt>
                <c:pt idx="107">
                  <c:v>70.981940989999998</c:v>
                </c:pt>
                <c:pt idx="108">
                  <c:v>65.223030399999999</c:v>
                </c:pt>
                <c:pt idx="109">
                  <c:v>65.31504391</c:v>
                </c:pt>
                <c:pt idx="110">
                  <c:v>64.010240679999995</c:v>
                </c:pt>
                <c:pt idx="111">
                  <c:v>57.140935929999998</c:v>
                </c:pt>
                <c:pt idx="112">
                  <c:v>56.36515326</c:v>
                </c:pt>
                <c:pt idx="113">
                  <c:v>43.046183239999998</c:v>
                </c:pt>
                <c:pt idx="114">
                  <c:v>52.081755559999998</c:v>
                </c:pt>
                <c:pt idx="115">
                  <c:v>42.87903652</c:v>
                </c:pt>
                <c:pt idx="116">
                  <c:v>51.566994800000003</c:v>
                </c:pt>
                <c:pt idx="117">
                  <c:v>58.839125119999999</c:v>
                </c:pt>
                <c:pt idx="118">
                  <c:v>60.755789139999997</c:v>
                </c:pt>
                <c:pt idx="119">
                  <c:v>54.761156120000003</c:v>
                </c:pt>
                <c:pt idx="120">
                  <c:v>53.569904999999999</c:v>
                </c:pt>
                <c:pt idx="121">
                  <c:v>48.914618240000003</c:v>
                </c:pt>
                <c:pt idx="122">
                  <c:v>52.64613731</c:v>
                </c:pt>
                <c:pt idx="123">
                  <c:v>49.838492989999999</c:v>
                </c:pt>
                <c:pt idx="124">
                  <c:v>52.684066399999999</c:v>
                </c:pt>
                <c:pt idx="125">
                  <c:v>65.807219029999999</c:v>
                </c:pt>
                <c:pt idx="126">
                  <c:v>60.67392092</c:v>
                </c:pt>
                <c:pt idx="127">
                  <c:v>63.394712869999999</c:v>
                </c:pt>
                <c:pt idx="128">
                  <c:v>64.80200945</c:v>
                </c:pt>
                <c:pt idx="129">
                  <c:v>65.025939809999997</c:v>
                </c:pt>
                <c:pt idx="130">
                  <c:v>65.755551539999999</c:v>
                </c:pt>
                <c:pt idx="131">
                  <c:v>69.967734120000003</c:v>
                </c:pt>
                <c:pt idx="132">
                  <c:v>68.892784019999993</c:v>
                </c:pt>
                <c:pt idx="133">
                  <c:v>61.826546559999997</c:v>
                </c:pt>
                <c:pt idx="134">
                  <c:v>60.787970080000001</c:v>
                </c:pt>
                <c:pt idx="135">
                  <c:v>61.91560964</c:v>
                </c:pt>
                <c:pt idx="136">
                  <c:v>45.028997529999998</c:v>
                </c:pt>
                <c:pt idx="137">
                  <c:v>39.921362809999998</c:v>
                </c:pt>
                <c:pt idx="138">
                  <c:v>84.794277879999996</c:v>
                </c:pt>
                <c:pt idx="139">
                  <c:v>55.662958740000001</c:v>
                </c:pt>
                <c:pt idx="140">
                  <c:v>50.492247509999999</c:v>
                </c:pt>
                <c:pt idx="141">
                  <c:v>51.467101139999997</c:v>
                </c:pt>
              </c:numCache>
            </c:numRef>
          </c:xVal>
          <c:yVal>
            <c:numRef>
              <c:f>Sheet3!$C$3:$C$144</c:f>
              <c:numCache>
                <c:formatCode>General</c:formatCode>
                <c:ptCount val="142"/>
                <c:pt idx="0">
                  <c:v>79.277263700000006</c:v>
                </c:pt>
                <c:pt idx="1">
                  <c:v>79.013071199999999</c:v>
                </c:pt>
                <c:pt idx="2">
                  <c:v>82.435939840000003</c:v>
                </c:pt>
                <c:pt idx="3">
                  <c:v>79.165294110000005</c:v>
                </c:pt>
                <c:pt idx="4">
                  <c:v>78.164627999999993</c:v>
                </c:pt>
                <c:pt idx="5">
                  <c:v>77.880863120000001</c:v>
                </c:pt>
                <c:pt idx="6">
                  <c:v>78.788370599999993</c:v>
                </c:pt>
                <c:pt idx="7">
                  <c:v>76.880634549999996</c:v>
                </c:pt>
                <c:pt idx="8">
                  <c:v>76.409588459999995</c:v>
                </c:pt>
                <c:pt idx="9">
                  <c:v>72.724841179999999</c:v>
                </c:pt>
                <c:pt idx="10">
                  <c:v>69.245421320000005</c:v>
                </c:pt>
                <c:pt idx="11">
                  <c:v>70.73255503</c:v>
                </c:pt>
                <c:pt idx="12">
                  <c:v>62.98097121</c:v>
                </c:pt>
                <c:pt idx="13">
                  <c:v>62.634673370000002</c:v>
                </c:pt>
                <c:pt idx="14">
                  <c:v>60.630236109999998</c:v>
                </c:pt>
                <c:pt idx="15">
                  <c:v>62.396281119999998</c:v>
                </c:pt>
                <c:pt idx="16">
                  <c:v>62.026814899999998</c:v>
                </c:pt>
                <c:pt idx="17">
                  <c:v>60.2733986</c:v>
                </c:pt>
                <c:pt idx="18">
                  <c:v>63.141834670000001</c:v>
                </c:pt>
                <c:pt idx="19">
                  <c:v>69.797655390000003</c:v>
                </c:pt>
                <c:pt idx="20">
                  <c:v>75.807964220000002</c:v>
                </c:pt>
                <c:pt idx="21">
                  <c:v>78.119970230000007</c:v>
                </c:pt>
                <c:pt idx="22">
                  <c:v>79.302931639999997</c:v>
                </c:pt>
                <c:pt idx="23">
                  <c:v>79.247107020000001</c:v>
                </c:pt>
                <c:pt idx="24">
                  <c:v>77.017818259999999</c:v>
                </c:pt>
                <c:pt idx="25">
                  <c:v>79.206318620000005</c:v>
                </c:pt>
                <c:pt idx="26">
                  <c:v>78.917258959999998</c:v>
                </c:pt>
                <c:pt idx="27">
                  <c:v>79.080867819999995</c:v>
                </c:pt>
                <c:pt idx="28">
                  <c:v>77.48693892</c:v>
                </c:pt>
                <c:pt idx="29">
                  <c:v>78.729445870000006</c:v>
                </c:pt>
                <c:pt idx="30">
                  <c:v>16.806543520000002</c:v>
                </c:pt>
                <c:pt idx="31">
                  <c:v>17.071404520000002</c:v>
                </c:pt>
                <c:pt idx="32">
                  <c:v>26.329037230000001</c:v>
                </c:pt>
                <c:pt idx="33">
                  <c:v>29.05046892</c:v>
                </c:pt>
                <c:pt idx="34">
                  <c:v>22.786849650000001</c:v>
                </c:pt>
                <c:pt idx="35">
                  <c:v>17.489393369999998</c:v>
                </c:pt>
                <c:pt idx="36">
                  <c:v>24.797538150000001</c:v>
                </c:pt>
                <c:pt idx="37">
                  <c:v>20.03305005</c:v>
                </c:pt>
                <c:pt idx="38">
                  <c:v>24.19064341</c:v>
                </c:pt>
                <c:pt idx="39">
                  <c:v>46.052593350000002</c:v>
                </c:pt>
                <c:pt idx="40">
                  <c:v>35.76661395</c:v>
                </c:pt>
                <c:pt idx="41">
                  <c:v>51.287706790000001</c:v>
                </c:pt>
                <c:pt idx="42">
                  <c:v>60.846583359999997</c:v>
                </c:pt>
                <c:pt idx="43">
                  <c:v>33.2971681</c:v>
                </c:pt>
                <c:pt idx="44">
                  <c:v>24.56446249</c:v>
                </c:pt>
                <c:pt idx="45">
                  <c:v>21.876114470000001</c:v>
                </c:pt>
                <c:pt idx="46">
                  <c:v>32.918749820000002</c:v>
                </c:pt>
                <c:pt idx="47">
                  <c:v>22.195438540000001</c:v>
                </c:pt>
                <c:pt idx="48">
                  <c:v>18.542536200000001</c:v>
                </c:pt>
                <c:pt idx="49">
                  <c:v>17.73451773</c:v>
                </c:pt>
                <c:pt idx="50">
                  <c:v>17.134745429999999</c:v>
                </c:pt>
                <c:pt idx="51">
                  <c:v>16.387318100000002</c:v>
                </c:pt>
                <c:pt idx="52">
                  <c:v>16.35324687</c:v>
                </c:pt>
                <c:pt idx="53">
                  <c:v>16.418217469999998</c:v>
                </c:pt>
                <c:pt idx="54">
                  <c:v>16.663372429999999</c:v>
                </c:pt>
                <c:pt idx="55">
                  <c:v>33.195221869999997</c:v>
                </c:pt>
                <c:pt idx="56">
                  <c:v>24.741510389999998</c:v>
                </c:pt>
                <c:pt idx="57">
                  <c:v>52.886419869999997</c:v>
                </c:pt>
                <c:pt idx="58">
                  <c:v>58.616060230000002</c:v>
                </c:pt>
                <c:pt idx="59">
                  <c:v>45.54275277</c:v>
                </c:pt>
                <c:pt idx="60">
                  <c:v>68.690061880000002</c:v>
                </c:pt>
                <c:pt idx="61">
                  <c:v>73.120574730000001</c:v>
                </c:pt>
                <c:pt idx="62">
                  <c:v>75.683206850000005</c:v>
                </c:pt>
                <c:pt idx="63">
                  <c:v>79.19410259</c:v>
                </c:pt>
                <c:pt idx="64">
                  <c:v>78.666559000000007</c:v>
                </c:pt>
                <c:pt idx="65">
                  <c:v>79.077298549999995</c:v>
                </c:pt>
                <c:pt idx="66">
                  <c:v>79.30693617</c:v>
                </c:pt>
                <c:pt idx="67">
                  <c:v>79.325002339999998</c:v>
                </c:pt>
                <c:pt idx="68">
                  <c:v>78.675853430000004</c:v>
                </c:pt>
                <c:pt idx="69">
                  <c:v>79.159867000000006</c:v>
                </c:pt>
                <c:pt idx="70">
                  <c:v>79.293659930000004</c:v>
                </c:pt>
                <c:pt idx="71">
                  <c:v>78.782383530000004</c:v>
                </c:pt>
                <c:pt idx="72">
                  <c:v>79.297250770000005</c:v>
                </c:pt>
                <c:pt idx="73">
                  <c:v>79.167840100000006</c:v>
                </c:pt>
                <c:pt idx="74">
                  <c:v>79.038123880000001</c:v>
                </c:pt>
                <c:pt idx="75">
                  <c:v>74.557504339999994</c:v>
                </c:pt>
                <c:pt idx="76">
                  <c:v>70.316638900000001</c:v>
                </c:pt>
                <c:pt idx="77">
                  <c:v>70.702417209999993</c:v>
                </c:pt>
                <c:pt idx="78">
                  <c:v>85.578133879999996</c:v>
                </c:pt>
                <c:pt idx="79">
                  <c:v>78.978704250000007</c:v>
                </c:pt>
                <c:pt idx="80">
                  <c:v>79.252939490000003</c:v>
                </c:pt>
                <c:pt idx="81">
                  <c:v>79.193922540000003</c:v>
                </c:pt>
                <c:pt idx="82">
                  <c:v>79.313864850000002</c:v>
                </c:pt>
                <c:pt idx="83">
                  <c:v>78.174743269999993</c:v>
                </c:pt>
                <c:pt idx="84">
                  <c:v>76.112317500000003</c:v>
                </c:pt>
                <c:pt idx="85">
                  <c:v>77.399188449999997</c:v>
                </c:pt>
                <c:pt idx="86">
                  <c:v>75.790055449999997</c:v>
                </c:pt>
                <c:pt idx="87">
                  <c:v>78.0414095</c:v>
                </c:pt>
                <c:pt idx="88">
                  <c:v>69.312149770000005</c:v>
                </c:pt>
                <c:pt idx="89">
                  <c:v>62.68186979</c:v>
                </c:pt>
                <c:pt idx="90">
                  <c:v>63.894925499999999</c:v>
                </c:pt>
                <c:pt idx="91">
                  <c:v>53.781676660000002</c:v>
                </c:pt>
                <c:pt idx="92">
                  <c:v>57.256168090000003</c:v>
                </c:pt>
                <c:pt idx="93">
                  <c:v>45.024165859999997</c:v>
                </c:pt>
                <c:pt idx="94">
                  <c:v>50.762337909999999</c:v>
                </c:pt>
                <c:pt idx="95">
                  <c:v>38.761410159999997</c:v>
                </c:pt>
                <c:pt idx="96">
                  <c:v>44.560096440000002</c:v>
                </c:pt>
                <c:pt idx="97">
                  <c:v>39.487077509999999</c:v>
                </c:pt>
                <c:pt idx="98">
                  <c:v>22.81624794</c:v>
                </c:pt>
                <c:pt idx="99">
                  <c:v>22.85698876</c:v>
                </c:pt>
                <c:pt idx="100">
                  <c:v>17.724068840000001</c:v>
                </c:pt>
                <c:pt idx="101">
                  <c:v>22.511499830000002</c:v>
                </c:pt>
                <c:pt idx="102">
                  <c:v>17.883581249999999</c:v>
                </c:pt>
                <c:pt idx="103">
                  <c:v>17.116353360000002</c:v>
                </c:pt>
                <c:pt idx="104">
                  <c:v>24.782500970000001</c:v>
                </c:pt>
                <c:pt idx="105">
                  <c:v>20.27935789</c:v>
                </c:pt>
                <c:pt idx="106">
                  <c:v>16.64270381</c:v>
                </c:pt>
                <c:pt idx="107">
                  <c:v>21.145888100000001</c:v>
                </c:pt>
                <c:pt idx="108">
                  <c:v>18.397195119999999</c:v>
                </c:pt>
                <c:pt idx="109">
                  <c:v>18.3337483</c:v>
                </c:pt>
                <c:pt idx="110">
                  <c:v>17.924478189999999</c:v>
                </c:pt>
                <c:pt idx="111">
                  <c:v>16.598610539999999</c:v>
                </c:pt>
                <c:pt idx="112">
                  <c:v>16.326546369999999</c:v>
                </c:pt>
                <c:pt idx="113">
                  <c:v>18.40255939</c:v>
                </c:pt>
                <c:pt idx="114">
                  <c:v>16.45387453</c:v>
                </c:pt>
                <c:pt idx="115">
                  <c:v>18.489411029999999</c:v>
                </c:pt>
                <c:pt idx="116">
                  <c:v>16.48571364</c:v>
                </c:pt>
                <c:pt idx="117">
                  <c:v>16.63763522</c:v>
                </c:pt>
                <c:pt idx="118">
                  <c:v>17.03323151</c:v>
                </c:pt>
                <c:pt idx="119">
                  <c:v>16.3661891</c:v>
                </c:pt>
                <c:pt idx="120">
                  <c:v>16.339712550000002</c:v>
                </c:pt>
                <c:pt idx="121">
                  <c:v>16.798637079999999</c:v>
                </c:pt>
                <c:pt idx="122">
                  <c:v>16.384836379999999</c:v>
                </c:pt>
                <c:pt idx="123">
                  <c:v>16.676330279999998</c:v>
                </c:pt>
                <c:pt idx="124">
                  <c:v>16.407962779999998</c:v>
                </c:pt>
                <c:pt idx="125">
                  <c:v>18.140764950000001</c:v>
                </c:pt>
                <c:pt idx="126">
                  <c:v>17.05180236</c:v>
                </c:pt>
                <c:pt idx="127">
                  <c:v>17.70053514</c:v>
                </c:pt>
                <c:pt idx="128">
                  <c:v>18.21687863</c:v>
                </c:pt>
                <c:pt idx="129">
                  <c:v>18.287824499999999</c:v>
                </c:pt>
                <c:pt idx="130">
                  <c:v>18.51621583</c:v>
                </c:pt>
                <c:pt idx="131">
                  <c:v>20.53898878</c:v>
                </c:pt>
                <c:pt idx="132">
                  <c:v>20.032448840000001</c:v>
                </c:pt>
                <c:pt idx="133">
                  <c:v>17.269655449999998</c:v>
                </c:pt>
                <c:pt idx="134">
                  <c:v>17.04620486</c:v>
                </c:pt>
                <c:pt idx="135">
                  <c:v>17.282191220000001</c:v>
                </c:pt>
                <c:pt idx="136">
                  <c:v>17.724447300000001</c:v>
                </c:pt>
                <c:pt idx="137">
                  <c:v>19.70184953</c:v>
                </c:pt>
                <c:pt idx="138">
                  <c:v>55.56865037</c:v>
                </c:pt>
                <c:pt idx="139">
                  <c:v>83.356479620000002</c:v>
                </c:pt>
                <c:pt idx="140">
                  <c:v>78.997532070000005</c:v>
                </c:pt>
                <c:pt idx="141">
                  <c:v>79.201844579999999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31-3C42-A50B-3DC2ABF9B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427775"/>
        <c:axId val="1942434495"/>
      </c:scatterChart>
      <c:valAx>
        <c:axId val="1942427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434495"/>
        <c:crosses val="autoZero"/>
        <c:crossBetween val="midCat"/>
      </c:valAx>
      <c:valAx>
        <c:axId val="194243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427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Sheet3!$F$2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Sheet3!$E$3:$E$144</c:f>
              <c:numCache>
                <c:formatCode>General</c:formatCode>
                <c:ptCount val="142"/>
                <c:pt idx="0">
                  <c:v>55.384599999999999</c:v>
                </c:pt>
                <c:pt idx="1">
                  <c:v>51.538499999999999</c:v>
                </c:pt>
                <c:pt idx="2">
                  <c:v>46.153799999999997</c:v>
                </c:pt>
                <c:pt idx="3">
                  <c:v>42.820500000000003</c:v>
                </c:pt>
                <c:pt idx="4">
                  <c:v>40.769199999999998</c:v>
                </c:pt>
                <c:pt idx="5">
                  <c:v>38.7179</c:v>
                </c:pt>
                <c:pt idx="6">
                  <c:v>35.640999999999998</c:v>
                </c:pt>
                <c:pt idx="7">
                  <c:v>33.076900000000002</c:v>
                </c:pt>
                <c:pt idx="8">
                  <c:v>28.974399999999999</c:v>
                </c:pt>
                <c:pt idx="9">
                  <c:v>26.1538</c:v>
                </c:pt>
                <c:pt idx="10">
                  <c:v>23.076899999999998</c:v>
                </c:pt>
                <c:pt idx="11">
                  <c:v>22.307700000000001</c:v>
                </c:pt>
                <c:pt idx="12">
                  <c:v>22.307700000000001</c:v>
                </c:pt>
                <c:pt idx="13">
                  <c:v>23.333300000000001</c:v>
                </c:pt>
                <c:pt idx="14">
                  <c:v>25.897400000000001</c:v>
                </c:pt>
                <c:pt idx="15">
                  <c:v>29.487200000000001</c:v>
                </c:pt>
                <c:pt idx="16">
                  <c:v>32.820500000000003</c:v>
                </c:pt>
                <c:pt idx="17">
                  <c:v>35.384599999999999</c:v>
                </c:pt>
                <c:pt idx="18">
                  <c:v>40.256399999999999</c:v>
                </c:pt>
                <c:pt idx="19">
                  <c:v>44.102600000000002</c:v>
                </c:pt>
                <c:pt idx="20">
                  <c:v>46.666699999999999</c:v>
                </c:pt>
                <c:pt idx="21">
                  <c:v>50</c:v>
                </c:pt>
                <c:pt idx="22">
                  <c:v>53.076900000000002</c:v>
                </c:pt>
                <c:pt idx="23">
                  <c:v>56.666699999999999</c:v>
                </c:pt>
                <c:pt idx="24">
                  <c:v>59.230800000000002</c:v>
                </c:pt>
                <c:pt idx="25">
                  <c:v>61.2821</c:v>
                </c:pt>
                <c:pt idx="26">
                  <c:v>61.538499999999999</c:v>
                </c:pt>
                <c:pt idx="27">
                  <c:v>61.794899999999998</c:v>
                </c:pt>
                <c:pt idx="28">
                  <c:v>57.435899999999997</c:v>
                </c:pt>
                <c:pt idx="29">
                  <c:v>54.8718</c:v>
                </c:pt>
                <c:pt idx="30">
                  <c:v>52.564100000000003</c:v>
                </c:pt>
                <c:pt idx="31">
                  <c:v>48.205100000000002</c:v>
                </c:pt>
                <c:pt idx="32">
                  <c:v>49.487200000000001</c:v>
                </c:pt>
                <c:pt idx="33">
                  <c:v>51.025599999999997</c:v>
                </c:pt>
                <c:pt idx="34">
                  <c:v>45.384599999999999</c:v>
                </c:pt>
                <c:pt idx="35">
                  <c:v>42.820500000000003</c:v>
                </c:pt>
                <c:pt idx="36">
                  <c:v>38.7179</c:v>
                </c:pt>
                <c:pt idx="37">
                  <c:v>35.1282</c:v>
                </c:pt>
                <c:pt idx="38">
                  <c:v>32.564100000000003</c:v>
                </c:pt>
                <c:pt idx="39">
                  <c:v>30</c:v>
                </c:pt>
                <c:pt idx="40">
                  <c:v>33.589700000000001</c:v>
                </c:pt>
                <c:pt idx="41">
                  <c:v>36.666699999999999</c:v>
                </c:pt>
                <c:pt idx="42">
                  <c:v>38.205100000000002</c:v>
                </c:pt>
                <c:pt idx="43">
                  <c:v>29.743600000000001</c:v>
                </c:pt>
                <c:pt idx="44">
                  <c:v>29.743600000000001</c:v>
                </c:pt>
                <c:pt idx="45">
                  <c:v>30</c:v>
                </c:pt>
                <c:pt idx="46">
                  <c:v>32.051299999999998</c:v>
                </c:pt>
                <c:pt idx="47">
                  <c:v>35.897399999999998</c:v>
                </c:pt>
                <c:pt idx="48">
                  <c:v>41.025599999999997</c:v>
                </c:pt>
                <c:pt idx="49">
                  <c:v>44.102600000000002</c:v>
                </c:pt>
                <c:pt idx="50">
                  <c:v>47.179499999999997</c:v>
                </c:pt>
                <c:pt idx="51">
                  <c:v>49.487200000000001</c:v>
                </c:pt>
                <c:pt idx="52">
                  <c:v>51.538499999999999</c:v>
                </c:pt>
                <c:pt idx="53">
                  <c:v>53.589700000000001</c:v>
                </c:pt>
                <c:pt idx="54">
                  <c:v>55.1282</c:v>
                </c:pt>
                <c:pt idx="55">
                  <c:v>56.666699999999999</c:v>
                </c:pt>
                <c:pt idx="56">
                  <c:v>59.230800000000002</c:v>
                </c:pt>
                <c:pt idx="57">
                  <c:v>62.307699999999997</c:v>
                </c:pt>
                <c:pt idx="58">
                  <c:v>64.871799999999993</c:v>
                </c:pt>
                <c:pt idx="59">
                  <c:v>67.948700000000002</c:v>
                </c:pt>
                <c:pt idx="60">
                  <c:v>70.512799999999999</c:v>
                </c:pt>
                <c:pt idx="61">
                  <c:v>71.538499999999999</c:v>
                </c:pt>
                <c:pt idx="62">
                  <c:v>71.538499999999999</c:v>
                </c:pt>
                <c:pt idx="63">
                  <c:v>69.487200000000001</c:v>
                </c:pt>
                <c:pt idx="64">
                  <c:v>46.923099999999998</c:v>
                </c:pt>
                <c:pt idx="65">
                  <c:v>48.205100000000002</c:v>
                </c:pt>
                <c:pt idx="66">
                  <c:v>50</c:v>
                </c:pt>
                <c:pt idx="67">
                  <c:v>53.076900000000002</c:v>
                </c:pt>
                <c:pt idx="68">
                  <c:v>55.384599999999999</c:v>
                </c:pt>
                <c:pt idx="69">
                  <c:v>56.666699999999999</c:v>
                </c:pt>
                <c:pt idx="70">
                  <c:v>56.153799999999997</c:v>
                </c:pt>
                <c:pt idx="71">
                  <c:v>53.846200000000003</c:v>
                </c:pt>
                <c:pt idx="72">
                  <c:v>51.2821</c:v>
                </c:pt>
                <c:pt idx="73">
                  <c:v>50</c:v>
                </c:pt>
                <c:pt idx="74">
                  <c:v>47.948700000000002</c:v>
                </c:pt>
                <c:pt idx="75">
                  <c:v>29.743600000000001</c:v>
                </c:pt>
                <c:pt idx="76">
                  <c:v>29.743600000000001</c:v>
                </c:pt>
                <c:pt idx="77">
                  <c:v>31.2821</c:v>
                </c:pt>
                <c:pt idx="78">
                  <c:v>57.948700000000002</c:v>
                </c:pt>
                <c:pt idx="79">
                  <c:v>61.794899999999998</c:v>
                </c:pt>
                <c:pt idx="80">
                  <c:v>64.871799999999993</c:v>
                </c:pt>
                <c:pt idx="81">
                  <c:v>68.461500000000001</c:v>
                </c:pt>
                <c:pt idx="82">
                  <c:v>70.769199999999998</c:v>
                </c:pt>
                <c:pt idx="83">
                  <c:v>72.051299999999998</c:v>
                </c:pt>
                <c:pt idx="84">
                  <c:v>73.846199999999996</c:v>
                </c:pt>
                <c:pt idx="85">
                  <c:v>75.128200000000007</c:v>
                </c:pt>
                <c:pt idx="86">
                  <c:v>76.666700000000006</c:v>
                </c:pt>
                <c:pt idx="87">
                  <c:v>77.692300000000003</c:v>
                </c:pt>
                <c:pt idx="88">
                  <c:v>79.743600000000001</c:v>
                </c:pt>
                <c:pt idx="89">
                  <c:v>81.794899999999998</c:v>
                </c:pt>
                <c:pt idx="90">
                  <c:v>83.333299999999994</c:v>
                </c:pt>
                <c:pt idx="91">
                  <c:v>85.128200000000007</c:v>
                </c:pt>
                <c:pt idx="92">
                  <c:v>86.410300000000007</c:v>
                </c:pt>
                <c:pt idx="93">
                  <c:v>87.948700000000002</c:v>
                </c:pt>
                <c:pt idx="94">
                  <c:v>89.487200000000001</c:v>
                </c:pt>
                <c:pt idx="95">
                  <c:v>93.333299999999994</c:v>
                </c:pt>
                <c:pt idx="96">
                  <c:v>95.384600000000006</c:v>
                </c:pt>
                <c:pt idx="97">
                  <c:v>98.205100000000002</c:v>
                </c:pt>
                <c:pt idx="98">
                  <c:v>56.666699999999999</c:v>
                </c:pt>
                <c:pt idx="99">
                  <c:v>59.230800000000002</c:v>
                </c:pt>
                <c:pt idx="100">
                  <c:v>60.769199999999998</c:v>
                </c:pt>
                <c:pt idx="101">
                  <c:v>63.076900000000002</c:v>
                </c:pt>
                <c:pt idx="102">
                  <c:v>64.102599999999995</c:v>
                </c:pt>
                <c:pt idx="103">
                  <c:v>64.358999999999995</c:v>
                </c:pt>
                <c:pt idx="104">
                  <c:v>74.358999999999995</c:v>
                </c:pt>
                <c:pt idx="105">
                  <c:v>71.2821</c:v>
                </c:pt>
                <c:pt idx="106">
                  <c:v>67.948700000000002</c:v>
                </c:pt>
                <c:pt idx="107">
                  <c:v>65.897400000000005</c:v>
                </c:pt>
                <c:pt idx="108">
                  <c:v>63.076900000000002</c:v>
                </c:pt>
                <c:pt idx="109">
                  <c:v>61.2821</c:v>
                </c:pt>
                <c:pt idx="110">
                  <c:v>58.7179</c:v>
                </c:pt>
                <c:pt idx="111">
                  <c:v>55.1282</c:v>
                </c:pt>
                <c:pt idx="112">
                  <c:v>52.307699999999997</c:v>
                </c:pt>
                <c:pt idx="113">
                  <c:v>49.743600000000001</c:v>
                </c:pt>
                <c:pt idx="114">
                  <c:v>47.435899999999997</c:v>
                </c:pt>
                <c:pt idx="115">
                  <c:v>44.8718</c:v>
                </c:pt>
                <c:pt idx="116">
                  <c:v>48.7179</c:v>
                </c:pt>
                <c:pt idx="117">
                  <c:v>51.2821</c:v>
                </c:pt>
                <c:pt idx="118">
                  <c:v>54.102600000000002</c:v>
                </c:pt>
                <c:pt idx="119">
                  <c:v>56.153799999999997</c:v>
                </c:pt>
                <c:pt idx="120">
                  <c:v>52.051299999999998</c:v>
                </c:pt>
                <c:pt idx="121">
                  <c:v>48.7179</c:v>
                </c:pt>
                <c:pt idx="122">
                  <c:v>47.179499999999997</c:v>
                </c:pt>
                <c:pt idx="123">
                  <c:v>46.153799999999997</c:v>
                </c:pt>
                <c:pt idx="124">
                  <c:v>50.512799999999999</c:v>
                </c:pt>
                <c:pt idx="125">
                  <c:v>53.846200000000003</c:v>
                </c:pt>
                <c:pt idx="126">
                  <c:v>57.435899999999997</c:v>
                </c:pt>
                <c:pt idx="127">
                  <c:v>60</c:v>
                </c:pt>
                <c:pt idx="128">
                  <c:v>64.102599999999995</c:v>
                </c:pt>
                <c:pt idx="129">
                  <c:v>66.923100000000005</c:v>
                </c:pt>
                <c:pt idx="130">
                  <c:v>71.2821</c:v>
                </c:pt>
                <c:pt idx="131">
                  <c:v>74.358999999999995</c:v>
                </c:pt>
                <c:pt idx="132">
                  <c:v>78.205100000000002</c:v>
                </c:pt>
                <c:pt idx="133">
                  <c:v>67.948700000000002</c:v>
                </c:pt>
                <c:pt idx="134">
                  <c:v>68.461500000000001</c:v>
                </c:pt>
                <c:pt idx="135">
                  <c:v>68.205100000000002</c:v>
                </c:pt>
                <c:pt idx="136">
                  <c:v>37.692300000000003</c:v>
                </c:pt>
                <c:pt idx="137">
                  <c:v>39.487200000000001</c:v>
                </c:pt>
                <c:pt idx="138">
                  <c:v>91.2821</c:v>
                </c:pt>
                <c:pt idx="139">
                  <c:v>50</c:v>
                </c:pt>
                <c:pt idx="140">
                  <c:v>47.948700000000002</c:v>
                </c:pt>
                <c:pt idx="141">
                  <c:v>44.102600000000002</c:v>
                </c:pt>
              </c:numCache>
            </c:numRef>
          </c:xVal>
          <c:yVal>
            <c:numRef>
              <c:f>Sheet3!$F$3:$F$144</c:f>
              <c:numCache>
                <c:formatCode>General</c:formatCode>
                <c:ptCount val="142"/>
                <c:pt idx="0">
                  <c:v>97.179500000000004</c:v>
                </c:pt>
                <c:pt idx="1">
                  <c:v>96.025599999999997</c:v>
                </c:pt>
                <c:pt idx="2">
                  <c:v>94.487200000000001</c:v>
                </c:pt>
                <c:pt idx="3">
                  <c:v>91.410300000000007</c:v>
                </c:pt>
                <c:pt idx="4">
                  <c:v>88.333299999999994</c:v>
                </c:pt>
                <c:pt idx="5">
                  <c:v>84.871799999999993</c:v>
                </c:pt>
                <c:pt idx="6">
                  <c:v>79.871799999999993</c:v>
                </c:pt>
                <c:pt idx="7">
                  <c:v>77.564099999999996</c:v>
                </c:pt>
                <c:pt idx="8">
                  <c:v>74.487200000000001</c:v>
                </c:pt>
                <c:pt idx="9">
                  <c:v>71.410300000000007</c:v>
                </c:pt>
                <c:pt idx="10">
                  <c:v>66.410300000000007</c:v>
                </c:pt>
                <c:pt idx="11">
                  <c:v>61.794899999999998</c:v>
                </c:pt>
                <c:pt idx="12">
                  <c:v>57.179499999999997</c:v>
                </c:pt>
                <c:pt idx="13">
                  <c:v>52.948700000000002</c:v>
                </c:pt>
                <c:pt idx="14">
                  <c:v>51.025599999999997</c:v>
                </c:pt>
                <c:pt idx="15">
                  <c:v>51.025599999999997</c:v>
                </c:pt>
                <c:pt idx="16">
                  <c:v>51.025599999999997</c:v>
                </c:pt>
                <c:pt idx="17">
                  <c:v>51.410299999999999</c:v>
                </c:pt>
                <c:pt idx="18">
                  <c:v>51.410299999999999</c:v>
                </c:pt>
                <c:pt idx="19">
                  <c:v>52.948700000000002</c:v>
                </c:pt>
                <c:pt idx="20">
                  <c:v>54.102600000000002</c:v>
                </c:pt>
                <c:pt idx="21">
                  <c:v>55.256399999999999</c:v>
                </c:pt>
                <c:pt idx="22">
                  <c:v>55.640999999999998</c:v>
                </c:pt>
                <c:pt idx="23">
                  <c:v>56.025599999999997</c:v>
                </c:pt>
                <c:pt idx="24">
                  <c:v>57.948700000000002</c:v>
                </c:pt>
                <c:pt idx="25">
                  <c:v>62.179499999999997</c:v>
                </c:pt>
                <c:pt idx="26">
                  <c:v>66.410300000000007</c:v>
                </c:pt>
                <c:pt idx="27">
                  <c:v>69.102599999999995</c:v>
                </c:pt>
                <c:pt idx="28">
                  <c:v>55.256399999999999</c:v>
                </c:pt>
                <c:pt idx="29">
                  <c:v>49.8718</c:v>
                </c:pt>
                <c:pt idx="30">
                  <c:v>46.025599999999997</c:v>
                </c:pt>
                <c:pt idx="31">
                  <c:v>38.333300000000001</c:v>
                </c:pt>
                <c:pt idx="32">
                  <c:v>42.179499999999997</c:v>
                </c:pt>
                <c:pt idx="33">
                  <c:v>44.102600000000002</c:v>
                </c:pt>
                <c:pt idx="34">
                  <c:v>36.410299999999999</c:v>
                </c:pt>
                <c:pt idx="35">
                  <c:v>32.564100000000003</c:v>
                </c:pt>
                <c:pt idx="36">
                  <c:v>31.410299999999999</c:v>
                </c:pt>
                <c:pt idx="37">
                  <c:v>30.256399999999999</c:v>
                </c:pt>
                <c:pt idx="38">
                  <c:v>32.179499999999997</c:v>
                </c:pt>
                <c:pt idx="39">
                  <c:v>36.794899999999998</c:v>
                </c:pt>
                <c:pt idx="40">
                  <c:v>41.410299999999999</c:v>
                </c:pt>
                <c:pt idx="41">
                  <c:v>45.640999999999998</c:v>
                </c:pt>
                <c:pt idx="42">
                  <c:v>49.102600000000002</c:v>
                </c:pt>
                <c:pt idx="43">
                  <c:v>36.025599999999997</c:v>
                </c:pt>
                <c:pt idx="44">
                  <c:v>32.179499999999997</c:v>
                </c:pt>
                <c:pt idx="45">
                  <c:v>29.102599999999999</c:v>
                </c:pt>
                <c:pt idx="46">
                  <c:v>26.794899999999998</c:v>
                </c:pt>
                <c:pt idx="47">
                  <c:v>25.256399999999999</c:v>
                </c:pt>
                <c:pt idx="48">
                  <c:v>25.256399999999999</c:v>
                </c:pt>
                <c:pt idx="49">
                  <c:v>25.640999999999998</c:v>
                </c:pt>
                <c:pt idx="50">
                  <c:v>28.718</c:v>
                </c:pt>
                <c:pt idx="51">
                  <c:v>31.410299999999999</c:v>
                </c:pt>
                <c:pt idx="52">
                  <c:v>34.8718</c:v>
                </c:pt>
                <c:pt idx="53">
                  <c:v>37.564100000000003</c:v>
                </c:pt>
                <c:pt idx="54">
                  <c:v>40.640999999999998</c:v>
                </c:pt>
                <c:pt idx="55">
                  <c:v>42.179499999999997</c:v>
                </c:pt>
                <c:pt idx="56">
                  <c:v>44.487200000000001</c:v>
                </c:pt>
                <c:pt idx="57">
                  <c:v>46.025599999999997</c:v>
                </c:pt>
                <c:pt idx="58">
                  <c:v>46.794899999999998</c:v>
                </c:pt>
                <c:pt idx="59">
                  <c:v>47.948700000000002</c:v>
                </c:pt>
                <c:pt idx="60">
                  <c:v>53.718000000000004</c:v>
                </c:pt>
                <c:pt idx="61">
                  <c:v>60.640999999999998</c:v>
                </c:pt>
                <c:pt idx="62">
                  <c:v>64.487200000000001</c:v>
                </c:pt>
                <c:pt idx="63">
                  <c:v>69.487200000000001</c:v>
                </c:pt>
                <c:pt idx="64">
                  <c:v>79.871799999999993</c:v>
                </c:pt>
                <c:pt idx="65">
                  <c:v>84.102599999999995</c:v>
                </c:pt>
                <c:pt idx="66">
                  <c:v>85.256399999999999</c:v>
                </c:pt>
                <c:pt idx="67">
                  <c:v>85.256399999999999</c:v>
                </c:pt>
                <c:pt idx="68">
                  <c:v>86.025599999999997</c:v>
                </c:pt>
                <c:pt idx="69">
                  <c:v>86.025599999999997</c:v>
                </c:pt>
                <c:pt idx="70">
                  <c:v>82.948700000000002</c:v>
                </c:pt>
                <c:pt idx="71">
                  <c:v>80.641000000000005</c:v>
                </c:pt>
                <c:pt idx="72">
                  <c:v>78.718000000000004</c:v>
                </c:pt>
                <c:pt idx="73">
                  <c:v>78.718000000000004</c:v>
                </c:pt>
                <c:pt idx="74">
                  <c:v>77.564099999999996</c:v>
                </c:pt>
                <c:pt idx="75">
                  <c:v>59.8718</c:v>
                </c:pt>
                <c:pt idx="76">
                  <c:v>62.179499999999997</c:v>
                </c:pt>
                <c:pt idx="77">
                  <c:v>62.564100000000003</c:v>
                </c:pt>
                <c:pt idx="78">
                  <c:v>99.487200000000001</c:v>
                </c:pt>
                <c:pt idx="79">
                  <c:v>99.102599999999995</c:v>
                </c:pt>
                <c:pt idx="80">
                  <c:v>97.564099999999996</c:v>
                </c:pt>
                <c:pt idx="81">
                  <c:v>94.102599999999995</c:v>
                </c:pt>
                <c:pt idx="82">
                  <c:v>91.025599999999997</c:v>
                </c:pt>
                <c:pt idx="83">
                  <c:v>86.410300000000007</c:v>
                </c:pt>
                <c:pt idx="84">
                  <c:v>83.333299999999994</c:v>
                </c:pt>
                <c:pt idx="85">
                  <c:v>79.102599999999995</c:v>
                </c:pt>
                <c:pt idx="86">
                  <c:v>75.256399999999999</c:v>
                </c:pt>
                <c:pt idx="87">
                  <c:v>71.410300000000007</c:v>
                </c:pt>
                <c:pt idx="88">
                  <c:v>66.794899999999998</c:v>
                </c:pt>
                <c:pt idx="89">
                  <c:v>60.256399999999999</c:v>
                </c:pt>
                <c:pt idx="90">
                  <c:v>55.256399999999999</c:v>
                </c:pt>
                <c:pt idx="91">
                  <c:v>51.410299999999999</c:v>
                </c:pt>
                <c:pt idx="92">
                  <c:v>47.564100000000003</c:v>
                </c:pt>
                <c:pt idx="93">
                  <c:v>46.025599999999997</c:v>
                </c:pt>
                <c:pt idx="94">
                  <c:v>42.564100000000003</c:v>
                </c:pt>
                <c:pt idx="95">
                  <c:v>39.8718</c:v>
                </c:pt>
                <c:pt idx="96">
                  <c:v>36.794899999999998</c:v>
                </c:pt>
                <c:pt idx="97">
                  <c:v>33.718000000000004</c:v>
                </c:pt>
                <c:pt idx="98">
                  <c:v>40.640999999999998</c:v>
                </c:pt>
                <c:pt idx="99">
                  <c:v>38.333300000000001</c:v>
                </c:pt>
                <c:pt idx="100">
                  <c:v>33.718000000000004</c:v>
                </c:pt>
                <c:pt idx="101">
                  <c:v>29.102599999999999</c:v>
                </c:pt>
                <c:pt idx="102">
                  <c:v>25.256399999999999</c:v>
                </c:pt>
                <c:pt idx="103">
                  <c:v>24.102599999999999</c:v>
                </c:pt>
                <c:pt idx="104">
                  <c:v>22.948699999999999</c:v>
                </c:pt>
                <c:pt idx="105">
                  <c:v>22.948699999999999</c:v>
                </c:pt>
                <c:pt idx="106">
                  <c:v>22.179500000000001</c:v>
                </c:pt>
                <c:pt idx="107">
                  <c:v>20.256399999999999</c:v>
                </c:pt>
                <c:pt idx="108">
                  <c:v>19.102599999999999</c:v>
                </c:pt>
                <c:pt idx="109">
                  <c:v>19.102599999999999</c:v>
                </c:pt>
                <c:pt idx="110">
                  <c:v>18.333300000000001</c:v>
                </c:pt>
                <c:pt idx="111">
                  <c:v>18.333300000000001</c:v>
                </c:pt>
                <c:pt idx="112">
                  <c:v>18.333300000000001</c:v>
                </c:pt>
                <c:pt idx="113">
                  <c:v>17.5641</c:v>
                </c:pt>
                <c:pt idx="114">
                  <c:v>16.025600000000001</c:v>
                </c:pt>
                <c:pt idx="115">
                  <c:v>13.718</c:v>
                </c:pt>
                <c:pt idx="116">
                  <c:v>14.8718</c:v>
                </c:pt>
                <c:pt idx="117">
                  <c:v>14.8718</c:v>
                </c:pt>
                <c:pt idx="118">
                  <c:v>14.8718</c:v>
                </c:pt>
                <c:pt idx="119">
                  <c:v>14.102600000000001</c:v>
                </c:pt>
                <c:pt idx="120">
                  <c:v>12.5641</c:v>
                </c:pt>
                <c:pt idx="121">
                  <c:v>11.025600000000001</c:v>
                </c:pt>
                <c:pt idx="122">
                  <c:v>9.8718000000000004</c:v>
                </c:pt>
                <c:pt idx="123">
                  <c:v>6.0255999999999998</c:v>
                </c:pt>
                <c:pt idx="124">
                  <c:v>9.4871999999999996</c:v>
                </c:pt>
                <c:pt idx="125">
                  <c:v>10.256399999999999</c:v>
                </c:pt>
                <c:pt idx="126">
                  <c:v>10.256399999999999</c:v>
                </c:pt>
                <c:pt idx="127">
                  <c:v>10.641</c:v>
                </c:pt>
                <c:pt idx="128">
                  <c:v>10.641</c:v>
                </c:pt>
                <c:pt idx="129">
                  <c:v>10.641</c:v>
                </c:pt>
                <c:pt idx="130">
                  <c:v>10.641</c:v>
                </c:pt>
                <c:pt idx="131">
                  <c:v>10.641</c:v>
                </c:pt>
                <c:pt idx="132">
                  <c:v>10.641</c:v>
                </c:pt>
                <c:pt idx="133">
                  <c:v>8.718</c:v>
                </c:pt>
                <c:pt idx="134">
                  <c:v>5.2564000000000002</c:v>
                </c:pt>
                <c:pt idx="135">
                  <c:v>2.9487000000000001</c:v>
                </c:pt>
                <c:pt idx="136">
                  <c:v>25.769200000000001</c:v>
                </c:pt>
                <c:pt idx="137">
                  <c:v>25.384599999999999</c:v>
                </c:pt>
                <c:pt idx="138">
                  <c:v>41.538499999999999</c:v>
                </c:pt>
                <c:pt idx="139">
                  <c:v>95.769199999999998</c:v>
                </c:pt>
                <c:pt idx="140">
                  <c:v>95</c:v>
                </c:pt>
                <c:pt idx="141">
                  <c:v>92.692300000000003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11-F24C-99BD-8CB048AD0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385471"/>
        <c:axId val="1701391743"/>
      </c:scatterChart>
      <c:valAx>
        <c:axId val="170138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91743"/>
        <c:crosses val="autoZero"/>
        <c:crossBetween val="midCat"/>
      </c:valAx>
      <c:valAx>
        <c:axId val="170139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38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png"/><Relationship Id="rId7" Type="http://schemas.openxmlformats.org/officeDocument/2006/relationships/customXml" Target="../ink/ink3.xml"/><Relationship Id="rId12" Type="http://schemas.openxmlformats.org/officeDocument/2006/relationships/image" Target="../media/image7.png"/><Relationship Id="rId2" Type="http://schemas.openxmlformats.org/officeDocument/2006/relationships/customXml" Target="../ink/ink1.xml"/><Relationship Id="rId1" Type="http://schemas.openxmlformats.org/officeDocument/2006/relationships/image" Target="../media/image1.jpeg"/><Relationship Id="rId6" Type="http://schemas.openxmlformats.org/officeDocument/2006/relationships/image" Target="../media/image4.png"/><Relationship Id="rId11" Type="http://schemas.openxmlformats.org/officeDocument/2006/relationships/customXml" Target="../ink/ink5.xml"/><Relationship Id="rId5" Type="http://schemas.openxmlformats.org/officeDocument/2006/relationships/image" Target="../media/image3.png"/><Relationship Id="rId10" Type="http://schemas.openxmlformats.org/officeDocument/2006/relationships/image" Target="../media/image6.png"/><Relationship Id="rId4" Type="http://schemas.openxmlformats.org/officeDocument/2006/relationships/customXml" Target="../ink/ink2.xml"/><Relationship Id="rId9" Type="http://schemas.openxmlformats.org/officeDocument/2006/relationships/customXml" Target="../ink/ink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customXml" Target="../ink/ink12.xml"/><Relationship Id="rId18" Type="http://schemas.openxmlformats.org/officeDocument/2006/relationships/image" Target="../media/image16.png"/><Relationship Id="rId26" Type="http://schemas.openxmlformats.org/officeDocument/2006/relationships/image" Target="../media/image20.png"/><Relationship Id="rId3" Type="http://schemas.openxmlformats.org/officeDocument/2006/relationships/customXml" Target="../ink/ink7.xml"/><Relationship Id="rId21" Type="http://schemas.openxmlformats.org/officeDocument/2006/relationships/customXml" Target="../ink/ink16.xml"/><Relationship Id="rId7" Type="http://schemas.openxmlformats.org/officeDocument/2006/relationships/customXml" Target="../ink/ink9.xml"/><Relationship Id="rId12" Type="http://schemas.openxmlformats.org/officeDocument/2006/relationships/image" Target="../media/image13.png"/><Relationship Id="rId17" Type="http://schemas.openxmlformats.org/officeDocument/2006/relationships/customXml" Target="../ink/ink14.xml"/><Relationship Id="rId25" Type="http://schemas.openxmlformats.org/officeDocument/2006/relationships/customXml" Target="../ink/ink18.xml"/><Relationship Id="rId2" Type="http://schemas.openxmlformats.org/officeDocument/2006/relationships/image" Target="../media/image8.png"/><Relationship Id="rId16" Type="http://schemas.openxmlformats.org/officeDocument/2006/relationships/image" Target="../media/image15.png"/><Relationship Id="rId20" Type="http://schemas.openxmlformats.org/officeDocument/2006/relationships/image" Target="../media/image17.png"/><Relationship Id="rId29" Type="http://schemas.openxmlformats.org/officeDocument/2006/relationships/image" Target="../media/image22.png"/><Relationship Id="rId1" Type="http://schemas.openxmlformats.org/officeDocument/2006/relationships/customXml" Target="../ink/ink6.xml"/><Relationship Id="rId6" Type="http://schemas.openxmlformats.org/officeDocument/2006/relationships/image" Target="../media/image10.png"/><Relationship Id="rId11" Type="http://schemas.openxmlformats.org/officeDocument/2006/relationships/customXml" Target="../ink/ink11.xml"/><Relationship Id="rId24" Type="http://schemas.openxmlformats.org/officeDocument/2006/relationships/image" Target="../media/image19.png"/><Relationship Id="rId5" Type="http://schemas.openxmlformats.org/officeDocument/2006/relationships/customXml" Target="../ink/ink8.xml"/><Relationship Id="rId15" Type="http://schemas.openxmlformats.org/officeDocument/2006/relationships/customXml" Target="../ink/ink13.xml"/><Relationship Id="rId23" Type="http://schemas.openxmlformats.org/officeDocument/2006/relationships/customXml" Target="../ink/ink17.xml"/><Relationship Id="rId28" Type="http://schemas.openxmlformats.org/officeDocument/2006/relationships/customXml" Target="../ink/ink19.xml"/><Relationship Id="rId10" Type="http://schemas.openxmlformats.org/officeDocument/2006/relationships/image" Target="../media/image12.png"/><Relationship Id="rId19" Type="http://schemas.openxmlformats.org/officeDocument/2006/relationships/customXml" Target="../ink/ink15.xml"/><Relationship Id="rId4" Type="http://schemas.openxmlformats.org/officeDocument/2006/relationships/image" Target="../media/image9.png"/><Relationship Id="rId9" Type="http://schemas.openxmlformats.org/officeDocument/2006/relationships/customXml" Target="../ink/ink10.xml"/><Relationship Id="rId14" Type="http://schemas.openxmlformats.org/officeDocument/2006/relationships/image" Target="../media/image14.png"/><Relationship Id="rId22" Type="http://schemas.openxmlformats.org/officeDocument/2006/relationships/image" Target="../media/image18.png"/><Relationship Id="rId27" Type="http://schemas.openxmlformats.org/officeDocument/2006/relationships/image" Target="../media/image2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444397</xdr:colOff>
      <xdr:row>25</xdr:row>
      <xdr:rowOff>80000</xdr:rowOff>
    </xdr:from>
    <xdr:to>
      <xdr:col>6</xdr:col>
      <xdr:colOff>535597</xdr:colOff>
      <xdr:row>37</xdr:row>
      <xdr:rowOff>40100</xdr:rowOff>
    </xdr:to>
    <xdr:pic>
      <xdr:nvPicPr>
        <xdr:cNvPr id="39" name="Picture 38" descr="What is a Percentile | Definition of Percentile">
          <a:extLst>
            <a:ext uri="{FF2B5EF4-FFF2-40B4-BE49-F238E27FC236}">
              <a16:creationId xmlns:a16="http://schemas.microsoft.com/office/drawing/2014/main" id="{B371E6D8-BD27-10E3-28DC-CF66FCB97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4397" y="5205000"/>
          <a:ext cx="3391200" cy="242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159380</xdr:colOff>
      <xdr:row>29</xdr:row>
      <xdr:rowOff>14440</xdr:rowOff>
    </xdr:from>
    <xdr:to>
      <xdr:col>6</xdr:col>
      <xdr:colOff>233160</xdr:colOff>
      <xdr:row>29</xdr:row>
      <xdr:rowOff>41080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8CDD96D6-2935-963D-4747-F10E143EA198}"/>
                </a:ext>
              </a:extLst>
            </xdr14:cNvPr>
            <xdr14:cNvContentPartPr/>
          </xdr14:nvContentPartPr>
          <xdr14:nvPr macro=""/>
          <xdr14:xfrm>
            <a:off x="4286880" y="5907240"/>
            <a:ext cx="899280" cy="2664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8CDD96D6-2935-963D-4747-F10E143EA19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280760" y="5901120"/>
              <a:ext cx="911520" cy="3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3540</xdr:colOff>
      <xdr:row>31</xdr:row>
      <xdr:rowOff>139760</xdr:rowOff>
    </xdr:from>
    <xdr:to>
      <xdr:col>3</xdr:col>
      <xdr:colOff>242580</xdr:colOff>
      <xdr:row>32</xdr:row>
      <xdr:rowOff>19360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A917AC90-D03C-31D7-F44C-C17676519331}"/>
                </a:ext>
              </a:extLst>
            </xdr14:cNvPr>
            <xdr14:cNvContentPartPr/>
          </xdr14:nvContentPartPr>
          <xdr14:nvPr macro=""/>
          <xdr14:xfrm>
            <a:off x="2480040" y="6438960"/>
            <a:ext cx="239040" cy="8280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A917AC90-D03C-31D7-F44C-C17676519331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473920" y="6432840"/>
              <a:ext cx="251280" cy="9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50801</xdr:colOff>
      <xdr:row>44</xdr:row>
      <xdr:rowOff>133350</xdr:rowOff>
    </xdr:from>
    <xdr:to>
      <xdr:col>7</xdr:col>
      <xdr:colOff>56389</xdr:colOff>
      <xdr:row>57</xdr:row>
      <xdr:rowOff>189448</xdr:rowOff>
    </xdr:to>
    <xdr:pic>
      <xdr:nvPicPr>
        <xdr:cNvPr id="42" name="Picture 41" descr="Chapter 11 Two Sample Inferential Statistics | PSY317L &amp; PSY120R Textbook">
          <a:extLst>
            <a:ext uri="{FF2B5EF4-FFF2-40B4-BE49-F238E27FC236}">
              <a16:creationId xmlns:a16="http://schemas.microsoft.com/office/drawing/2014/main" id="{6A8FD29A-FCA6-E1BB-628B-22EED19B7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1801" y="9074150"/>
          <a:ext cx="4133088" cy="26976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289308</xdr:colOff>
      <xdr:row>42</xdr:row>
      <xdr:rowOff>16347</xdr:rowOff>
    </xdr:from>
    <xdr:to>
      <xdr:col>1</xdr:col>
      <xdr:colOff>410988</xdr:colOff>
      <xdr:row>42</xdr:row>
      <xdr:rowOff>149547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4D768636-88EB-414A-6EB9-BC73E107191D}"/>
                </a:ext>
              </a:extLst>
            </xdr14:cNvPr>
            <xdr14:cNvContentPartPr/>
          </xdr14:nvContentPartPr>
          <xdr14:nvPr macro=""/>
          <xdr14:xfrm>
            <a:off x="1115640" y="8634600"/>
            <a:ext cx="121680" cy="1332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4D768636-88EB-414A-6EB9-BC73E107191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109520" y="8628480"/>
              <a:ext cx="133920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286656</xdr:colOff>
      <xdr:row>60</xdr:row>
      <xdr:rowOff>6330</xdr:rowOff>
    </xdr:from>
    <xdr:to>
      <xdr:col>4</xdr:col>
      <xdr:colOff>670152</xdr:colOff>
      <xdr:row>62</xdr:row>
      <xdr:rowOff>84097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67D5D2C0-8C01-F2B2-7E7E-CF46467631A6}"/>
                </a:ext>
              </a:extLst>
            </xdr14:cNvPr>
            <xdr14:cNvContentPartPr/>
          </xdr14:nvContentPartPr>
          <xdr14:nvPr macro=""/>
          <xdr14:xfrm>
            <a:off x="1939320" y="12318120"/>
            <a:ext cx="2036160" cy="48816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67D5D2C0-8C01-F2B2-7E7E-CF46467631A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933200" y="12312000"/>
              <a:ext cx="2048400" cy="500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792588</xdr:colOff>
      <xdr:row>65</xdr:row>
      <xdr:rowOff>115067</xdr:rowOff>
    </xdr:from>
    <xdr:to>
      <xdr:col>5</xdr:col>
      <xdr:colOff>289861</xdr:colOff>
      <xdr:row>69</xdr:row>
      <xdr:rowOff>139921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666FAD6A-97F1-B74E-5BC4-6D96F4A8C608}"/>
                </a:ext>
              </a:extLst>
            </xdr14:cNvPr>
            <xdr14:cNvContentPartPr/>
          </xdr14:nvContentPartPr>
          <xdr14:nvPr macro=""/>
          <xdr14:xfrm>
            <a:off x="1618920" y="13452840"/>
            <a:ext cx="2802600" cy="845640"/>
          </xdr14:xfrm>
        </xdr:contentPart>
      </mc:Choice>
      <mc:Fallback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666FAD6A-97F1-B74E-5BC4-6D96F4A8C608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612800" y="13446720"/>
              <a:ext cx="2814840" cy="857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825709</xdr:colOff>
      <xdr:row>19</xdr:row>
      <xdr:rowOff>159172</xdr:rowOff>
    </xdr:from>
    <xdr:to>
      <xdr:col>8</xdr:col>
      <xdr:colOff>342161</xdr:colOff>
      <xdr:row>20</xdr:row>
      <xdr:rowOff>58424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45D146D-636C-D541-A757-F6D252818126}"/>
                </a:ext>
              </a:extLst>
            </xdr14:cNvPr>
            <xdr14:cNvContentPartPr/>
          </xdr14:nvContentPartPr>
          <xdr14:nvPr macro=""/>
          <xdr14:xfrm>
            <a:off x="3302838" y="3981746"/>
            <a:ext cx="3645000" cy="10044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45D146D-636C-D541-A757-F6D25281812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296745" y="3975878"/>
              <a:ext cx="3657186" cy="1121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792720</xdr:colOff>
      <xdr:row>19</xdr:row>
      <xdr:rowOff>95092</xdr:rowOff>
    </xdr:from>
    <xdr:to>
      <xdr:col>7</xdr:col>
      <xdr:colOff>262471</xdr:colOff>
      <xdr:row>20</xdr:row>
      <xdr:rowOff>116744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896C121C-A9CD-D845-BE88-6064BC039AA3}"/>
                </a:ext>
              </a:extLst>
            </xdr14:cNvPr>
            <xdr14:cNvContentPartPr/>
          </xdr14:nvContentPartPr>
          <xdr14:nvPr macro=""/>
          <xdr14:xfrm>
            <a:off x="4095558" y="3917666"/>
            <a:ext cx="1946880" cy="22284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96C121C-A9CD-D845-BE88-6064BC039AA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089439" y="3911556"/>
              <a:ext cx="1959118" cy="235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725400</xdr:colOff>
      <xdr:row>20</xdr:row>
      <xdr:rowOff>87224</xdr:rowOff>
    </xdr:from>
    <xdr:to>
      <xdr:col>6</xdr:col>
      <xdr:colOff>363501</xdr:colOff>
      <xdr:row>21</xdr:row>
      <xdr:rowOff>28596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7D4B443-03B7-6D4F-8A49-4D2C67A81860}"/>
                </a:ext>
              </a:extLst>
            </xdr14:cNvPr>
            <xdr14:cNvContentPartPr/>
          </xdr14:nvContentPartPr>
          <xdr14:nvPr macro=""/>
          <xdr14:xfrm>
            <a:off x="4028238" y="4110986"/>
            <a:ext cx="1289520" cy="1425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7D4B443-03B7-6D4F-8A49-4D2C67A8186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022118" y="4104866"/>
              <a:ext cx="1301760" cy="154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180751</xdr:colOff>
      <xdr:row>20</xdr:row>
      <xdr:rowOff>150944</xdr:rowOff>
    </xdr:from>
    <xdr:to>
      <xdr:col>7</xdr:col>
      <xdr:colOff>406111</xdr:colOff>
      <xdr:row>21</xdr:row>
      <xdr:rowOff>174396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8D45427-8CE5-8540-B137-974589BA3154}"/>
                </a:ext>
              </a:extLst>
            </xdr14:cNvPr>
            <xdr14:cNvContentPartPr/>
          </xdr14:nvContentPartPr>
          <xdr14:nvPr macro=""/>
          <xdr14:xfrm>
            <a:off x="5960718" y="4174706"/>
            <a:ext cx="225360" cy="22464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8D45427-8CE5-8540-B137-974589BA315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954598" y="4168586"/>
              <a:ext cx="237600" cy="23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293890</xdr:colOff>
      <xdr:row>20</xdr:row>
      <xdr:rowOff>105944</xdr:rowOff>
    </xdr:from>
    <xdr:to>
      <xdr:col>5</xdr:col>
      <xdr:colOff>416290</xdr:colOff>
      <xdr:row>21</xdr:row>
      <xdr:rowOff>36516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BB72F4B-0C9D-6740-940F-D328129AA805}"/>
                </a:ext>
              </a:extLst>
            </xdr14:cNvPr>
            <xdr14:cNvContentPartPr/>
          </xdr14:nvContentPartPr>
          <xdr14:nvPr macro=""/>
          <xdr14:xfrm>
            <a:off x="4422438" y="4129706"/>
            <a:ext cx="122400" cy="1317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8BB72F4B-0C9D-6740-940F-D328129AA80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416336" y="4123586"/>
              <a:ext cx="134604" cy="14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745560</xdr:colOff>
      <xdr:row>18</xdr:row>
      <xdr:rowOff>62280</xdr:rowOff>
    </xdr:from>
    <xdr:to>
      <xdr:col>5</xdr:col>
      <xdr:colOff>73210</xdr:colOff>
      <xdr:row>19</xdr:row>
      <xdr:rowOff>38212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A0CE4889-9549-F94A-ABE4-2083814AA476}"/>
                </a:ext>
              </a:extLst>
            </xdr14:cNvPr>
            <xdr14:cNvContentPartPr/>
          </xdr14:nvContentPartPr>
          <xdr14:nvPr macro=""/>
          <xdr14:xfrm>
            <a:off x="4048398" y="3683666"/>
            <a:ext cx="153360" cy="17712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A0CE4889-9549-F94A-ABE4-2083814AA476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042278" y="3677546"/>
              <a:ext cx="16560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771970</xdr:colOff>
      <xdr:row>18</xdr:row>
      <xdr:rowOff>70200</xdr:rowOff>
    </xdr:from>
    <xdr:to>
      <xdr:col>6</xdr:col>
      <xdr:colOff>195741</xdr:colOff>
      <xdr:row>19</xdr:row>
      <xdr:rowOff>43972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E5BC38DA-D165-6546-9D01-6169EF5EF4AC}"/>
                </a:ext>
              </a:extLst>
            </xdr14:cNvPr>
            <xdr14:cNvContentPartPr/>
          </xdr14:nvContentPartPr>
          <xdr14:nvPr macro=""/>
          <xdr14:xfrm>
            <a:off x="4900518" y="3691586"/>
            <a:ext cx="249480" cy="17496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E5BC38DA-D165-6546-9D01-6169EF5EF4A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894398" y="3685479"/>
              <a:ext cx="261720" cy="18717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194071</xdr:colOff>
      <xdr:row>18</xdr:row>
      <xdr:rowOff>0</xdr:rowOff>
    </xdr:from>
    <xdr:to>
      <xdr:col>7</xdr:col>
      <xdr:colOff>376231</xdr:colOff>
      <xdr:row>19</xdr:row>
      <xdr:rowOff>40012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D84ED2E-9ADA-2942-9822-02F3AE979229}"/>
                </a:ext>
              </a:extLst>
            </xdr14:cNvPr>
            <xdr14:cNvContentPartPr/>
          </xdr14:nvContentPartPr>
          <xdr14:nvPr macro=""/>
          <xdr14:xfrm>
            <a:off x="5974038" y="3621386"/>
            <a:ext cx="182160" cy="24120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D84ED2E-9ADA-2942-9822-02F3AE979229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967918" y="3615266"/>
              <a:ext cx="194400" cy="25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96403</xdr:colOff>
      <xdr:row>19</xdr:row>
      <xdr:rowOff>121551</xdr:rowOff>
    </xdr:from>
    <xdr:to>
      <xdr:col>6</xdr:col>
      <xdr:colOff>112963</xdr:colOff>
      <xdr:row>20</xdr:row>
      <xdr:rowOff>40243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76579A95-0A74-1546-BEC7-B84345E0F4C1}"/>
                </a:ext>
              </a:extLst>
            </xdr14:cNvPr>
            <xdr14:cNvContentPartPr/>
          </xdr14:nvContentPartPr>
          <xdr14:nvPr macro=""/>
          <xdr14:xfrm>
            <a:off x="5050660" y="3944125"/>
            <a:ext cx="16560" cy="11988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76579A95-0A74-1546-BEC7-B84345E0F4C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5044540" y="3938005"/>
              <a:ext cx="28800" cy="13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780741</xdr:colOff>
      <xdr:row>36</xdr:row>
      <xdr:rowOff>159188</xdr:rowOff>
    </xdr:from>
    <xdr:to>
      <xdr:col>3</xdr:col>
      <xdr:colOff>465511</xdr:colOff>
      <xdr:row>37</xdr:row>
      <xdr:rowOff>99480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9829D52-149A-0D57-C9B0-2C9061333323}"/>
                </a:ext>
              </a:extLst>
            </xdr14:cNvPr>
            <xdr14:cNvContentPartPr/>
          </xdr14:nvContentPartPr>
          <xdr14:nvPr macro=""/>
          <xdr14:xfrm>
            <a:off x="2432160" y="7401960"/>
            <a:ext cx="510480" cy="14148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9829D52-149A-0D57-C9B0-2C906133332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426040" y="7395840"/>
              <a:ext cx="522720" cy="153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575671</xdr:colOff>
      <xdr:row>36</xdr:row>
      <xdr:rowOff>115988</xdr:rowOff>
    </xdr:from>
    <xdr:to>
      <xdr:col>4</xdr:col>
      <xdr:colOff>41922</xdr:colOff>
      <xdr:row>37</xdr:row>
      <xdr:rowOff>40080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C2B536DF-62FA-9423-AC92-74914C5890F9}"/>
                </a:ext>
              </a:extLst>
            </xdr14:cNvPr>
            <xdr14:cNvContentPartPr/>
          </xdr14:nvContentPartPr>
          <xdr14:nvPr macro=""/>
          <xdr14:xfrm>
            <a:off x="3052800" y="7358760"/>
            <a:ext cx="291960" cy="1252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C2B536DF-62FA-9423-AC92-74914C5890F9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046680" y="7352622"/>
              <a:ext cx="304200" cy="13755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18031</xdr:colOff>
      <xdr:row>31</xdr:row>
      <xdr:rowOff>169368</xdr:rowOff>
    </xdr:from>
    <xdr:to>
      <xdr:col>3</xdr:col>
      <xdr:colOff>466231</xdr:colOff>
      <xdr:row>32</xdr:row>
      <xdr:rowOff>85540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80E1404E-ED7A-F2FF-4F0D-8B920A76CF2E}"/>
                </a:ext>
              </a:extLst>
            </xdr14:cNvPr>
            <xdr14:cNvContentPartPr/>
          </xdr14:nvContentPartPr>
          <xdr14:nvPr macro=""/>
          <xdr14:xfrm>
            <a:off x="2495160" y="6406200"/>
            <a:ext cx="448200" cy="11736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80E1404E-ED7A-F2FF-4F0D-8B920A76CF2E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89035" y="6400080"/>
              <a:ext cx="460450" cy="12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803421</xdr:colOff>
      <xdr:row>41</xdr:row>
      <xdr:rowOff>163047</xdr:rowOff>
    </xdr:from>
    <xdr:to>
      <xdr:col>3</xdr:col>
      <xdr:colOff>520231</xdr:colOff>
      <xdr:row>42</xdr:row>
      <xdr:rowOff>79579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5DA33C9A-EE83-C5AD-C711-C9662CDEB10A}"/>
                </a:ext>
              </a:extLst>
            </xdr14:cNvPr>
            <xdr14:cNvContentPartPr/>
          </xdr14:nvContentPartPr>
          <xdr14:nvPr macro=""/>
          <xdr14:xfrm>
            <a:off x="2454840" y="8411760"/>
            <a:ext cx="542520" cy="1177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5DA33C9A-EE83-C5AD-C711-C9662CDEB10A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448716" y="8405640"/>
              <a:ext cx="554768" cy="12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532947</xdr:colOff>
      <xdr:row>59</xdr:row>
      <xdr:rowOff>96384</xdr:rowOff>
    </xdr:from>
    <xdr:to>
      <xdr:col>12</xdr:col>
      <xdr:colOff>235404</xdr:colOff>
      <xdr:row>63</xdr:row>
      <xdr:rowOff>92755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DE3E32F9-1100-7B3D-C4B9-C8F72B66C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844018" y="12138705"/>
          <a:ext cx="6324600" cy="812800"/>
        </a:xfrm>
        <a:prstGeom prst="rect">
          <a:avLst/>
        </a:prstGeom>
      </xdr:spPr>
    </xdr:pic>
    <xdr:clientData/>
  </xdr:twoCellAnchor>
  <xdr:twoCellAnchor editAs="oneCell">
    <xdr:from>
      <xdr:col>6</xdr:col>
      <xdr:colOff>40993</xdr:colOff>
      <xdr:row>36</xdr:row>
      <xdr:rowOff>160303</xdr:rowOff>
    </xdr:from>
    <xdr:to>
      <xdr:col>10</xdr:col>
      <xdr:colOff>481481</xdr:colOff>
      <xdr:row>39</xdr:row>
      <xdr:rowOff>13821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8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EB0C1D50-0D69-9FF3-0C22-C9631082787F}"/>
                </a:ext>
              </a:extLst>
            </xdr14:cNvPr>
            <xdr14:cNvContentPartPr/>
          </xdr14:nvContentPartPr>
          <xdr14:nvPr macro=""/>
          <xdr14:xfrm>
            <a:off x="5007600" y="7508160"/>
            <a:ext cx="3751560" cy="46584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EB0C1D50-0D69-9FF3-0C22-C9631082787F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5001480" y="7502040"/>
              <a:ext cx="3763800" cy="4780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7</xdr:row>
      <xdr:rowOff>193040</xdr:rowOff>
    </xdr:from>
    <xdr:to>
      <xdr:col>16</xdr:col>
      <xdr:colOff>782320</xdr:colOff>
      <xdr:row>18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82D11F-59CF-2449-B3DD-B1F489707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325120</xdr:colOff>
      <xdr:row>7</xdr:row>
      <xdr:rowOff>121920</xdr:rowOff>
    </xdr:from>
    <xdr:to>
      <xdr:col>21</xdr:col>
      <xdr:colOff>223520</xdr:colOff>
      <xdr:row>18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C32D8C1-3EA4-6643-B851-AFB23D643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4:48.2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 24575,'3'-1'0,"2"0"0,10 1 0,8 0 0,11 0 0,7 0 0,1 0 0,3 0 0,-2 0 0,0 0 0,-2 0 0,-3 1 0,0 0 0,0 2 0,0 0 0,1-2 0,-2 0 0,-1-1 0,-2 0 0,0 0 0,1 0 0,2 0 0,3 0 0,2 0 0,0 1 0,5 1 0,3 1 0,0 0 0,0-1 0,-1 0 0,0-1 0,-1 1 0,2-1 0,0 1 0,-7 0 0,0 0 0,-3 0 0,3 1 0,5-1 0,-5-1 0,-3 0 0,-5-1 0,-3 0 0,-2 1 0,-1 0 0,3 0 0,4 2 0,5 0 0,3 1 0,0 0 0,1 1 0,2-2 0,3-1 0,5-1 0,2-1 0,-2 0 0,-2 0 0,-5 0 0,-7 0 0,-5 0 0,-9 0 0,-8 0 0,-6 0 0,-4 0 0,-3 1 0,-2 0 0,-2 0 0,-1-1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5:01.4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664 103 24575,'-14'0'0,"-8"0"0,-11 0 0,-10 0 0,-4 0 0,0 0 0,2 0 0,5 0 0,2 0 0,5 0 0,2 0 0,1 0 0,3 0 0,2 0 0,3 0 0,3 0 0,0 1 0,3 0 0,0 1 0,2 0 0,1 1 0,3 0 0,2-1 0,2 0 0,2-1 0,1 0 0,0-2 0,2-2 0,2-3 0,4-2 0,1-3 0,0-1 0,-1 0 0,0 0 0,0 0 0,-1 2 0,-1 1 0,0 2 0,-1 2 0,0 1 0,-1 1 0,0 0 0,-1 1 0,-2 8 0,-2 3 0,-3 9 0,-2 1 0,0 0 0,-1-1 0,1-1 0,0-4 0,2-2 0,1-2 0,2-1 0,1-1 0,1-1 0,1 0 0,0-2 0,1 0 0,0 0 0,0-1 0,0-1 0,2-5 0,3-2 0,4-2 0,4 2 0,1 3 0,2 2 0,0 2 0,1 2 0,1 4 0,0 2 0,-1 1 0,-3-3 0,-2-1 0,-3-1 0,-2-2 0,-3 0 0,-2-2 0,-2 0 0,-1-2 0,0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3:34.9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125 0 24575,'0'26'0,"0"6"0,0 12 0,0 9 0,0-1 0,0-6 0,0-13 0,0-13 0,0-7 0,0-4 0,0-4 0,-2-1 0,-1-2 0,-2-1 0,-1-1 0,-1-3 0,-1-3 0,-3-3 0,-3-3 0,-1 0 0,1 0 0,0 1 0,3 3 0,2 2 0,4 2 0,4 3 0,6 3 0,5 3 0,4 3 0,1 1 0,1 3 0,-1-1 0,-3 0 0,-2-2 0,-1-1 0,0 0 0,-2-2 0,-2 0 0,0-2 0,-1-1 0,-1-1 0,1 0 0,-2 1 0,1-1 0,-1 0 0,1-1 0,1-2 0,2-2 0,6-7 0,6-7 0,4-7 0,2-2 0,-3 2 0,0 3 0,-4 5 0,-3 6 0,-4 4 0,-1 3 0,-5 2 0,-1 0 0,-4 1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9:00.86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1355 24575,'2'-30'0,"7"-16"0,15-19 0,19-22 0,-11 35 0,5 0 0,6-5 0,4 0 0,7-4 0,3 1 0,5 2 0,2 1 0,2 5 0,1 2 0,3 3 0,1 2 0,3 5 0,1 3 0,1 2 0,2 2 0,2 1 0,1 3 0,1 2 0,0 1 0,1 2 0,0 2 0,1 0 0,1 1 0,-3 2 0,-1 1 0,-2 1 0,0 1 0,-1 3 0,1 1 0,2 2 0,1 2 0,7 2 0,2 1 0,5 2 0,3 1-152,-29 1 1,0 1 0,2-1 151,2 2 0,1-1 0,0 1 0,1 1 0,0 0 0,0 0 0,0 2 0,0-1 0,-1 2 0,-2 1 0,-1 0 0,-2 1 0,28 5 0,-2 0-6,-9 1 0,-4 1 6,-9 1 0,-3 1 0,-6-1 0,-2 1 0,-3 0 0,0 0 0,1 1 0,0 0 0,3 0 0,-1 2 227,-1-2 0,-2 1-227,-4 0 0,-4 0 12,30 13-12,-28-7 0,-17-3 0,-14-5 0,-5 2 0,-3 3 0,-2 2 0,-4 1 0,-3-3 0,-4-5 0,-2-2 0,0-4 0,0-3 0,0-2 0,0-2 0,0-3 0,0-4 0,0-1 0,0-4 0,0 2 0,0 1 0,0 3 0,0 1 0</inkml:trace>
  <inkml:trace contextRef="#ctx0" brushRef="#br0" timeOffset="1700">5122 539 24575,'8'-3'0,"13"3"0,21 8 0,17 11 0,11 8 0,3 8 0,-5 0 0,-8-2 0,-12-6 0,-15-8 0,-13-9 0,-9-7 0,-6-3 0,-2-5 0,-3-3 0,1-2 0,-1-4 0,0-3 0,0-6 0,0-5 0,0-4 0,0-1 0,0 1 0,0 3 0,0 4 0,0 5 0,0 6 0,0 6 0,0 2 0,0 2 0,0 0 0,0 0 0,0 0 0,1 0 0,1-1 0,1 2 0,-1-2 0,0 0 0,-1 0 0,-1 0 0,0 4 0,0-1 0</inkml:trace>
  <inkml:trace contextRef="#ctx0" brushRef="#br0" timeOffset="4533">2586 318 24575,'-9'0'0,"-8"0"0,-10 0 0,-7 0 0,-2 6 0,4 7 0,7 6 0,9 3 0,9-3 0,4-1 0,3 0 0,5 5 0,7 2 0,7-4 0,6-7 0,-2-7 0,-2-7 0,-3-3 0,-5-3 0,-3-1 0,-6 1 0,-5 3 0,-9 2 0,-8 2 0,-6 4 0,-3 3 0,3 3 0,4 0 0,5 1 0,3-2 0,4 2 0,3-1 0,1 1 0,1-2 0,2 0 0,1-2 0,0-1 0,5-3 0,5-2 0,5-1 0,5-1 0,-1 0 0,2-3 0,-1-2 0,1-4 0,1-1 0,-1 3 0,0 2 0,-2 2 0,-2 0 0,-3 1 0,-3 1 0,-3 0 0,-4 1 0,-1 0 0</inkml:trace>
  <inkml:trace contextRef="#ctx0" brushRef="#br0" timeOffset="5317">2711 420 24575,'-1'-4'0,"17"2"0,24 11 0,25 10 0,11 8 0,-6 6 0,-14-5 0,-17-5 0,-11-6 0,-12-6 0,-8-6 0,-4-2 0</inkml:trace>
  <inkml:trace contextRef="#ctx0" brushRef="#br0" timeOffset="6066">3039 394 24575,'-2'-2'0,"0"10"0,-5 13 0,-5 18 0,-6 10 0,-7 6 0,2-2 0,0-7 0,7-11 0,4-12 0,3-9 0,5-7 0,2-4 0</inkml:trace>
  <inkml:trace contextRef="#ctx0" brushRef="#br0" timeOffset="7700">3278 171 24575,'-2'5'0,"1"13"0,1 19 0,1 18 0,1 10 0,5 2 0,2-2 0,4-5 0,2-3 0,-1-7 0,-1-8 0,-1-8 0,-3-6 0,-1-6 0,-2-5 0,-2-4 0,-2-6 0,0-8 0,-1-9 0,-2-8 0,-1-6 0,-2-7 0,-1-3 0,-1-6 0,0-9 0,-2-9 0,0-7 0,2 1 0,3 5 0,4 12 0,4 14 0,5 10 0,5 11 0,5 7 0,4 3 0,5 2 0,3 1 0,-2 3 0,-9 4 0,-7 4 0,-7 2 0,-5 1 0,-2 3 0,-5 4 0,-5 1 0,-3 1 0,-4-1 0,1-5 0,1-2 0,0-2 0,1-3 0,0-2 0,1-2 0,-1-2 0,2-2 0,0-2 0,3-2 0,4 0 0,3-2 0,1 1 0,1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49:15.4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7784 0 24575,'-9'29'0,"-18"26"0,4-13 0,-4 4 0,-9 10 0,-3 2 0,-4 3 0,-4 0 0,-2-1 0,-3-2 0,-3 0 0,-4-1 0,-4 2 0,-4-1 0,-7 3 0,-4 1-457,15-14 0,-2 1 1,-3 2 456,-10 5 0,-2 1 0,-3 1 0,14-9 0,-3 0 0,0 1 0,-2 0-502,-5 4 0,-3 1 0,0 0 1,1-1 501,2-3 0,0 0 0,0-2 0,0-1 0,4-2 0,0-2 0,1-1 0,0-2-243,5-5 0,1-1 0,1-2 0,0-2 243,-13 3 0,0-3 0,1-3-110,4-3 0,1-4 0,1-2 110,5-4 0,1-2 0,2-2 0,-28 0 0,1-3 0,2-3 0,0-3 0,0-1 0,0-3 0,1-3 0,1-3 566,4-2 0,3-3-566,9-3 0,2-1 994,7-1 0,1-1-994,5 0 0,1-1 570,2-2 0,1-1-570,-2-1 0,1 0 209,-1-2 1,-1 0-210,0 0 0,0 1 0,-1 1 0,-2 1 0,0-1 0,-1 2 0,-3-1 0,-1 1 0,-4-1 0,1-1 0,-3-1 0,1-1 0,1 0 0,0-1 0,2 0 0,1 0 0,1-2 0,0 0 0,1-1 0,0-1 0,-1-1 0,0-1 0,1-1 0,-1-1 0,1-1 0,0-1 0,5 3 0,1-1 0,5 3 0,1 0 0,7 4 0,2 0 0,-31-30 0,7-3 0,8-4 0,2-5 0,2 1 0,-1-2 0,1-1 0,5 2 0,7 3 0,7 7 0,8 13 0,9 14 0,5 14 0,5 10 0,3 5 0,0 3 0,-1 1 0,0 4 0,-3 7 0,-3 8 0,-4 11 0,-3 11 0,-4 12 0,-6 12 0,-2 9 0,-1 1 0,3-9 0,5-14 0,7-17 0,6-16 0,5-12 0,3-10 0,1-10 0,1-9 0,1-9 0,0-4 0,0-2 0,1 2 0,2 2 0,1 4 0,2 4 0,2 1 0,0 1 0,2-1 0,-1-2 0,1 1 0,-1 0 0,0 4 0,-1 5 0,-1 5 0,-1 3 0,0 5 0,0 1 0,1 1 0,-2 1 0,0 0 0,0 0 0,-1 0 0,1 0 0,-1 0 0,1 0 0,2 0 0,5-1 0,9-3 0,10-3 0,10-2 0,9-1 0,12 4 0,12 2 0,8 3 0,1 2 0,-6 2 0,-14 3 0,-12 2 0,-17 0 0,-10-2 0,-8-1 0,-8-3 0,-4 0 0,-4-2 0,-1 1 0</inkml:trace>
  <inkml:trace contextRef="#ctx0" brushRef="#br0" timeOffset="817">1722 828 15084,'-6'0'0,"25"0"4012,34 0-4012,-6 0 0,6 0 820,10 0 1,3 0-821,5 0 0,0 0 443,-1 0 0,-3 0-443,-10 0 0,-2 0 2952,39 0-2952,-27 0 0,-18 0 0,-13 0 0,-14 0 0,-12 0 0,-5 0 0,-4 0 0</inkml:trace>
  <inkml:trace contextRef="#ctx0" brushRef="#br0" timeOffset="2100">2382 828 24575,'-2'17'0,"0"17"0,2 20 0,0 12 0,0 0 0,0-6 0,0-11 0,0-8 0,0-11 0,0-7 0,0-3 0,0-2 0,0-3 0,-1-3 0,0-3 0,-2-2 0,-4-2 0,-5-2 0,-10-3 0,-10 0 0,-11 0 0,-6 0 0,1 0 0,5 0 0,11 0 0,11 0 0,10-1 0,8-2 0,8-1 0,10-1 0,8-2 0,9 0 0,6-1 0,-1 1 0,2 2 0,5 2 0,9 2 0,9 1 0,9 0 0,0 0 0,-7 0 0,-12 0 0,-17 0 0,-17 0 0,-9 1 0,-6 2 0,-2 0 0,-1 0 0,0-1 0</inkml:trace>
  <inkml:trace contextRef="#ctx0" brushRef="#br0" timeOffset="6234">2718 1160 24575,'2'25'0,"2"6"0,5 10 0,2 2 0,-1-4 0,-2-10 0,-3-10 0,-2-9 0,-1-5 0,-2-6 0,0-8 0,0-11 0,0-6 0,0-4 0,1 2 0,1 5 0,5 3 0,6 4 0,9 0 0,7 2 0,4 5 0,1 3 0,-1 5 0,-2 3 0,-2 7 0,-4 9 0,-2 10 0,-3 9 0,-1 6 0,-3 0 0,-3-5 0,-3-9 0,0-10 0,-3-8 0,0-6 0,2-6 0,5-9 0,8-10 0,6-11 0,2-7 0,-1-4 0,-4-1 0,-6-2 0,-5-9 0,-7-14 0,-11-16 0,-17-14 0,6 49 0,-4 1 0,-2 1 0,-1 3 0,-20-29 0,10 23 0,10 22 0,11 18 0,7 13 0,3 11 0,1 9 0,0 16 0,2 19 0,4 28 0,0-28 0,2 4 0,2 9 0,2 2 0,3 7 0,1 0 0,1 0 0,1-1 0,-1-6 0,1-1 0,-1-8 0,0-1 0,-1-7 0,0-2 0,15 35 0,0-18 0,-3-21 0,-5-19 0,-2-14 0,-3-11 0,-1-9 0,-1-9 0,-2-8 0,-1-7 0,-3-1 0,-4 1 0,-3 2 0,-2 1 0,-4 3 0,-6 0 0,-8 2 0,-14-1 0,-12-1 0,-12-4 0,-6-1 0,3 2 0,8 5 0,14 7 0,15 6 0,10 3 0,7 0 0,4 0 0,8-4 0,13-3 0,19-11 0,24-16 0,15-17 0,-35 20 0,0-3 0,-2 0 0,-2 0 0,26-33 0,-19 12 0,-18 14 0,-14 12 0,-9 7 0,-5 4 0,-7 0 0,-7-1 0,-8 3 0,-8 5 0,-3 6 0,-1 5 0,1 2 0,4 3 0,7 6 0,8 5 0,6 6 0,6 2 0,1-2 0,0-2 0,2-3 0,4-2 0,9 0 0,12 4 0,11 6 0,15 5 0,10 2 0,6-4 0,0-4 0,-8-9 0,-9-6 0,-13-7 0,-10-7 0,-8-7 0,-10-6 0,-5-1 0,-3 2 0,-9 2 0,-9 4 0,-13 1 0,-11 1 0,-7 1 0,-1 2 0,6 3 0,11 3 0,13 2 0,14 1 0,12-1 0,11-1 0,8-3 0,3-2 0,-4 2 0,-7 1 0,-6 3 0,-5 1 0,-2 0 0,0 1 0,-1 2 0,1 6 0,0 7 0,0 7 0,0 4 0,2 3 0,-1 2 0,1-1 0,1-3 0,2-5 0,2-3 0,8-2 0,16-1 0,14-2 0,14-5 0,3-5 0,-8-5 0,-12-5 0,-17-6 0,-12-5 0,-8-5 0,-7-1 0,-2-2 0,-6-6 0,-10-7 0,-10-9 0,-15-7 0,-9 4 0,-1 8 0,5 15 0,10 12 0,11 9 0,8 6 0,7 6 0,5 5 0,1 5 0,1 1 0,0-1 0,1 0 0,6 3 0,11 8 0,13 7 0,10 4 0,7-1 0,2-6 0,2-4 0,-5-6 0,-9-6 0,-9-8 0,-11-5 0,-5-3 0,-7 0 0,-2 0 0</inkml:trace>
  <inkml:trace contextRef="#ctx0" brushRef="#br0" timeOffset="7517">4570 1236 24575,'4'22'0,"5"7"0,5 8 0,4-1 0,-2-9 0,-5-9 0,-4-9 0,-3-7 0,-3-8 0,-1-9 0,0-5 0,0-5 0,0-2 0,1-3 0,6-2 0,8-3 0,9-1 0,7 3 0,2 5 0,1 10 0,-2 9 0,-4 6 0,-5 7 0,-6 8 0,-6 7 0,-3 6 0,-4 2 0,0-1 0,1-3 0,0-4 0,-1-3 0,0-4 0,0-3 0,-2-4 0,0-3 0</inkml:trace>
  <inkml:trace contextRef="#ctx0" brushRef="#br0" timeOffset="9333">5200 1092 24575,'0'-3'0,"0"6"0,0 7 0,0 6 0,0 5 0,0 1 0,0 0 0,0-3 0,0-4 0,1-4 0,1-3 0,3-3 0,3-1 0,5-3 0,4-1 0,6 0 0,11 1 0,11 2 0,9 0 0,4 0 0,-4-3 0,-11-3 0,-13-4 0,-13-6 0,-7-4 0,-6-3 0,-3 1 0,-3 1 0,-7 3 0,-7 5 0,-9 5 0,-3 3 0,-1 3 0,3 4 0,5 4 0,5 4 0,5 3 0,5 0 0,3-1 0,2 1 0,1-1 0,2 0 0,3 0 0,5-1 0,6-1 0,4-3 0,1-2 0,-2-3 0,-1-3 0,-2-2 0,-1-1 0,-1-2 0,1-3 0,-1-1 0,-2 0 0,0 2 0,-1 1 0,1 0 0,-1 2 0,0-1 0,-2 1 0,0 1 0,0 0 0,0 1 0,2-1 0,0 0 0,-6 0 0,0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88 105 24575,'28'0'0,"20"0"0,13 0 0,11 0 0,11 0 0,7 0-1305,-15 0 0,6 0 1,4 0-1,2 0 0,4 0 1305,2 0 0,3 0 0,3 0 0,2 0 0,4 0 0,3 0-521,-20 0 1,3 0 0,2 0 0,2 0 0,1 0 0,2 0 0,1 0 0,0 0 0,2 0 520,-9 0 0,1 0 0,2 0 0,0 0 0,1 0 0,2 0 0,-1 0 0,2 0 0,-1 0 0,1 0 0,0 0-143,-3 0 0,1 0 0,0 0 0,1 0 1,0 0-1,0 0 0,1 0 0,0 0 0,0 0 1,0 0-1,1 0 0,-1 0 143,-6 0 0,2 0 0,-1 0 0,2 0 0,-1 0 0,0 0 0,1 0 0,-1 0 0,-1 0 0,0 0 0,-1 0 0,-1 0 0,-1 0 0,7 0 0,-1 0 0,0 0 0,-1 0 0,0 0 0,-2 0 0,0 0 0,0 0 0,-2 0 0,0 0 0,-1 0 0,12 0 0,-1 0 0,-1 0 0,-1 0 0,-1 0 0,0 0 0,-3 0 0,0 0 0,-2 0-164,-2 0 1,0 0 0,-2 0 0,-1 0 0,-2 0-1,-1 0 1,-1 0 0,-3 0 163,12 0 0,-3 0 0,-2 1 0,-2-1 0,-1 0 0,-3 1 159,5 0 1,-3-1 0,-1 1 0,-4 0 0,-3 1-160,23 0 0,-6 0 0,-6 1 1747,18 1 1,-12 0-1748,-35 0 0,-9 0 5225,9 0-5225,-33 0 823,-16 0 0,-7-2 0,-2 0 1</inkml:trace>
  <inkml:trace contextRef="#ctx0" brushRef="#br0" timeOffset="1">10029 75 24575,'6'-2'0,"7"1"0,9 1 0,5 0 0,0-1 0,-8 0 0,-6 1 0,-5 2 0,-5 1 0,-1 1 0,-2 1 0,0-1 0,0 0 0,0 0 0,0 0 0,0 0 0,0 1 0,0 1 0,-1 0 0,-2 1 0,-3 0 0,-3 0 0,-2 0 0,-2 1 0,-1 1 0,-1 1 0,0 1 0,-2 3 0,-2 1 0,-2 3 0,1 0 0,1-2 0,6-3 0,5-7 0,5-3 0</inkml:trace>
  <inkml:trace contextRef="#ctx0" brushRef="#br0" timeOffset="2">157 1 24575,'-10'-1'0,"-5"5"0,-8 7 0,-5 6 0,1 2 0,4-2 0,7-4 0,7-5 0,5-1 0,2-3 0,3-1 0,0 0 0,5-3 0,7 0 0,8 0 0,7 2 0,4 4 0,5 7 0,1 7 0,0 4 0,-6-2 0,-7-4 0,-8-5 0,-7-6 0,-5-3 0,-2-2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 0 24575,'-2'7'0,"0"6"0,2 10 0,0 11 0,0 8 0,0 3 0,0-1 0,0-2 0,0-1 0,1-1 0,1-2 0,-1-5 0,0-6 0,-1-6 0,0-5 0,0-5 0,0-4 0,1-3 0,-1-3 0</inkml:trace>
  <inkml:trace contextRef="#ctx0" brushRef="#br0" timeOffset="1">5408 119 24575,'-2'4'0,"0"16"0,2 19 0,0 19 0,0 9 0,0 0 0,0-4 0,0-6 0,0-11 0,0-11 0,0-13 0,0-9 0,0-7 0,0-3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6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2865 77 24575,'-10'0'0,"0"0"0,0 0 0,-2 0 0,-2 0 0,-1 0 0,1 0 0,2 0 0,4 0 0,3 1 0,2 0 0,3 1 0,1 0 0,0 1 0,2 0 0,0 2 0,1 1 0,2 2 0,-1-1 0,1-1 0,-1 0 0,0 0 0,-1-1 0,0 2 0,1 3 0,-1 1 0,1 1 0,-2-1 0,-1-2 0,0-5 0,0-5 0,4-3 0,3-1 0,2 1 0,1 3 0,0 0 0,0 1 0,-1 0 0,-1 0 0,-1 3 0,-2 1 0,-3 3 0,-2 1 0,-2 2 0,0 0 0,0 1 0,0 1 0,0 0 0,0 2 0,0 2 0,-1 4 0,-4-1 0,-1-5 0,-1-6 0,-1-6 0,0-1 0,-2 1 0,-1 0 0,0-1 0,2 0 0,1-1 0,-1 1 0,0 2 0,0 0 0,0-1 0,4-5 0,3-8 0,2 4 0,-1-1 0</inkml:trace>
  <inkml:trace contextRef="#ctx0" brushRef="#br0" timeOffset="1">3132 141 24575,'-4'2'0,"2"1"0,0 5 0,2 6 0,-1 7 0,-1 3 0,0-1 0,0-6 0,0-5 0,3-4 0,1-3 0,3-2 0,1-1 0,1-2 0,1 0 0,-1 0 0,2 0 0,0-2 0,3-2 0,0-2 0,-2-3 0,-2 1 0,-3 0 0,-3 1 0,-2-1 0,0-1 0,0 0 0,0 1 0,0 0 0,0-1 0,0 0 0,0 2 0,-2 1 0,-3 3 0,-2 1 0,-3 1 0,-1 1 0,-1 0 0,1 0 0,1 0 0,1 0 0,3 0 0,2 0 0,2 0 0,0 0 0</inkml:trace>
  <inkml:trace contextRef="#ctx0" brushRef="#br0" timeOffset="2">3469 94 24575,'0'15'0,"0"4"0,0 5 0,0 2 0,0-1 0,-2-1 0,-1-4 0,-1-3 0,0-3 0,0-3 0,0 0 0,-1-2 0,2 0 0,0-3 0,1-2 0,1-2 0</inkml:trace>
  <inkml:trace contextRef="#ctx0" brushRef="#br0" timeOffset="3">3324 183 24575,'0'0'0</inkml:trace>
  <inkml:trace contextRef="#ctx0" brushRef="#br0" timeOffset="4">3582 288 24575,'0'0'0</inkml:trace>
  <inkml:trace contextRef="#ctx0" brushRef="#br0" timeOffset="5">1 111 24575,'20'-2'0,"4"1"0,4 1 0,0 0 0,-1 0 0,-4 6 0,-4 4 0,-3 4 0,-5 4 0,-3 0 0,-3-1 0,-2 1 0,-2-1 0,0-2 0,-1 0 0,0 1 0,0-2 0,-2 0 0,-2 0 0,-4-1 0,-6 2 0,-3 0 0,-2-2 0,1-1 0,3-3 0,5-5 0,4-5 0,3-7 0,4-4 0,4 0 0,3 1 0,4 4 0,2 2 0,1 2 0,2 1 0,2 1 0,5 1 0,6 0 0,4 0 0,2 0 0,-3 0 0,-6 0 0,-5 0 0,-6 0 0,-7 0 0,-4 0 0</inkml:trace>
  <inkml:trace contextRef="#ctx0" brushRef="#br0" timeOffset="6">621 23 24575,'-13'0'0,"-2"0"0,0 0 0,4 1 0,5 0 0,7 2 0,3 1 0,3 2 0,0 0 0,-1 1 0,0-2 0,-1-2 0,-1-1 0,0-2 0,-1 1 0,1-3 0,0-2 0,1-3 0,2-3 0,2 0 0,0 2 0,4 4 0,5 4 0,6 7 0,4 8 0,2 8 0,-3 4 0,-6-1 0,-8-3 0,-6-4 0,-5-4 0,-1-2 0,-2-1 0,-2-2 0,-3-1 0,-6-1 0,-7 0 0,-7 1 0,-10 0 0,-7 1 0,-1-1 0,7-3 0,11-2 0,11-7 0,8-5 0,5-4 0,1-3 0,1 0 0,0 7 0,0 2 0</inkml:trace>
  <inkml:trace contextRef="#ctx0" brushRef="#br0" timeOffset="7">599 1 24575,'63'0'0,"26"0"0,-36 0 0,2 0 0,-2 0 0,-2 0 0,22 0 0,-34 0 0,-21 0 0,-14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24575,'17'0'0,"22"0"0,17 0 0,9 0 0,-11 0 0,-19 0 0,-15 1 0,-13 5 0,-5 5 0,-5 8 0,-4 10 0,-6 16 0,-3 22 0,-2 20 0,-1 9 0,0-4 0,4-21 0,4-21 0,4-21 0,4-17 0,1-5 0,1-7 0</inkml:trace>
  <inkml:trace contextRef="#ctx0" brushRef="#br0" timeOffset="1">626 157 24575,'-7'0'0,"-4"0"0,-9 0 0,-6 0 0,-7 0 0,0 2 0,1 4 0,4 3 0,7 2 0,8-1 0,6-1 0,6-2 0,2 0 0,2-2 0,2 0 0,2-1 0,2 0 0,-1-1 0,2 0 0,0-1 0,2-1 0,3-1 0,2 0 0,1 0 0,-1 0 0,-2 0 0,-2 0 0,-2 0 0,-1 1 0,-2 3 0,0 1 0,-3 5 0,-2 2 0,-2 3 0,-1 3 0,0-1 0,-1 1 0,-2 0 0,-3-3 0,-3-2 0,-2-2 0,-4-2 0,-5-2 0,-6-2 0,-4-2 0,-1-2 0,4-1 0,7-3-1696,5-3 0,8 2 0,3-2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340 1 24575,'-6'8'0,"-8"10"0,-11 17 0,-6 11 0,-6 8 0,5-5 0,8-12 0,4-7 0,8-9 0,3-5 0,1-4 0,1-3 0,1-1 0,1 0 0,0-1 0,3-3 0,0-1 0</inkml:trace>
  <inkml:trace contextRef="#ctx0" brushRef="#br0" timeOffset="1">0 158 24575,'0'0'0</inkml:trace>
  <inkml:trace contextRef="#ctx0" brushRef="#br0" timeOffset="2">287 240 24575,'0'0'0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78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1 194 24575,'0'20'0,"0"2"0,0 5 0,0 2 0,1-1 0,2-2 0,4-5 0,4-5 0,3-7 0,3-3 0,2-3 0,0-1 0,-1-1 0,-4-1 0,-2-2 0,-1-4 0,1-5 0,0-6 0,0-3 0,0-2 0,-1-4 0,0-6 0,-1-2 0,-2 1 0,-3 3 0,-5 4 0,-7 1 0,-8 3 0,-9 0 0,-4 1 0,-1 2 0,3 4 0,3 4 0,3 4 0,4 5 0,4 3 0,2 4 0,3 4 0,2 4 0,2 2 0,2 0 0,1 0 0,0 0 0,0-2 0,0-1 0,1-1 0,5 3 0,7 5 0,7 5 0,5 1 0,4-1 0,4-4 0,1-5 0,0-2 0,-2-1 0,-4-2 0,-6 1 0,-5-1 0,-3 4 0,-3 3 0,-2 2 0,-2 2 0,-2 0 0,-2-1 0,-2 0 0,-1-3-1696,0-5 0,0-6 0,0-3 0</inkml:trace>
  <inkml:trace contextRef="#ctx0" brushRef="#br0" timeOffset="1">426 398 24575,'0'15'0,"0"0"0,0 2 0,0-1 0,0-6 0,0-2 0,0-5 0,0-2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8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31 142 24575,'0'9'0,"0"3"0,0 3 0,2 3 0,3 2 0,5-1 0,4-3 0,1-3 0,1-2 0,0-2 0,-1-2 0,1-2 0,0-1 0,-1-3 0,0-1 0,-2 0 0,-1 0 0,0-2 0,-1-5 0,-2-4 0,-2-2 0,-4-1 0,-1 2 0,-1 0 0,-2 0 0,-2-1 0,-3-2 0,-5-3 0,-5-5 0,-6-3 0,-4-3 0,-4 2 0,0 3 0,3 5 0,4 7 0,6 4 0,4 5 0,4 3 0,2 2 0,2 3 0,0 4 0,2 1 0,2 0 0,0 0 0,1-2 0,1-2 0,1 0 0,1-1 0,2-2 0,2 0 0,1 1 0,4 1 0,8 6 0,8 6 0,9 6 0,4 6 0,-1-2 0,-5 0 0,-8-3 0,-7-1 0,-5 1 0,-4 1 0,-1 1 0,-3-4 0,-2-4 0,-1-4 0,-1-4 0,-2-5 0,0-2 0</inkml:trace>
  <inkml:trace contextRef="#ctx0" brushRef="#br0" timeOffset="1">465 358 24575,'5'-2'0,"3"1"0,7 1 0,0 0 0,-4 2 0,-5 4 0,-3 5 0,-2 4 0,-1 3 0,-1-2 0,-2 0 0,0-4 0,-2-2 0,1-1 0,-1-3 0,0-1 0,1-3 0,0 1 0,3-3 0,4-3 0,5-2 0,3-3 0,3 0 0,3 2 0,6 1 0,5 2 0,1 2 0,-3 0 0,-7 1 0,-7 0 0,-7 0 0,-1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04.282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1 191 24575,'0'9'0,"0"1"0,0 2 0,1-2 0,2-5 0,10-2 0,13 4 0,13 5 0,9 5 0,5 3 0,-1-2 0,-4-3 0,-9-4 0,-10-5 0,-10-3 0,-6-3 0,-5-2 0,-4-4 0,-3-3 0,0-2 0,-2-5 0,-5-7 0,-8-12 0,-9-9 0,-9-5 0,-4 0 0,1 8 0,3 10 0,5 12 0,5 10 0,4 6 0,2 2 0,2 2 0,0 1 0,0 3 0,0 2 0,2 1 0,4-1 0,4 0 0,3-1 0,1 0 0,0-1 0,2 0 0,2-3 0,5 0 0,6 2 0,9 7 0,7 7 0,6 6 0,-2 4 0,-5-1 0,-7-2 0,-7-1 0,-4 4 0,-1 7 0,-2 5 0,-3 2 0,-3-3 0,-2-9 0,0-10 0,-1-12 0,0-4 0</inkml:trace>
  <inkml:trace contextRef="#ctx0" brushRef="#br0" timeOffset="1">456 461 24575,'11'0'0,"-3"2"0,-5 7 0,-6 5 0,-5 6 0,-2 1 0,1-2 0,0-2 0,1-3 0,1-3 0,2-4 0,3-3 0,4-3 0,3-3 0,4-1 0,2-1 0,0 2 0,0 0 0,-2 1 0,-1 1 0,-2 2 0,-2 1 0,0 2 0,0 2 0,-1 0 0,-2 0 0,0 1 0,-1-1 0,0 0 0,-2 1 0,-3-2 0,-6 0 0,-7-1 0,-3-2 0,-3-1 0,0-1 0,3-1 0,2 0 0,4 0 0,6 0 0,4-2 0,3-1 0,1 1 0,1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5:54:11.6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 1 24575,'0'5'0,"0"0"0,0-1 0,0-1 0,0 0 0,0 1 0,0 1 0,0 3 0,0 4 0,0 4 0,1 5 0,1 1 0,2 1 0,1 1 0,1-1 0,-1 0 0,-1-1 0,0 0 0,-1-2 0,-1-1 0,1-3 0,0-3 0,-2-3 0,0-5 0,0-1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2:56.0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1 151 24575,'14'-2'0,"12"1"0,16-2 0,13-2 0,9-5 0,1-2 0,-3 0 0,-5 1 0,-9 3 0,-11 3 0,-9 2 0,-9 1 0,-8 0 0,-6 1 0,-2 1 0</inkml:trace>
  <inkml:trace contextRef="#ctx0" brushRef="#br0" timeOffset="1432">800 22 24575,'-10'-2'0,"-4"1"0,-4 1 0,-1 0 0,4 0 0,7 0 0,4 3 0,3 4 0,2 3 0,0 6 0,4 4 0,0 5 0,2 4 0,0-1 0,-1-5 0,-1-7 0,0-9 0,0-5 0,-1-5 0,0-5 0,1-1 0,1 0 0,1 3 0,6 3 0,8 2 0,8 5 0,3 6 0,-2 6 0,-7 3 0,-8-1 0,-8-3 0,-3-2 0,-4 0 0,-3-2 0,-6 1 0,-7 0 0,-10 4 0,-10 0 0,-10 0 0,-3-1 0,1-5 0,8-3 0,19-4 0,8-2 0</inkml:trace>
  <inkml:trace contextRef="#ctx0" brushRef="#br0" timeOffset="2866">1189 3 24575,'-5'-1'0,"-2"-1"0,0 2 0,0 1 0,3 1 0,3 5 0,1 5 0,-1 7 0,1 8 0,1 6 0,4 7 0,4 0 0,3-3 0,3-8 0,0-9 0,1-7 0,2-6 0,3-3 0,2-2 0,1-3 0,-1-3 0,-3-3 0,-2-3 0,-4-1 0,-4 0 0,-2-1 0,-3 0 0,-2-1 0,-2-1 0,-3-1 0,-2-2 0,-4-4 0,-6-3 0,-5-2 0,-4 1 0,-3 2 0,1 6 0,1 6 0,3 7 0,3 2 0,2 2 0,4 0 0,2 0 0,2 2 0,5-2 0,1 1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2:59.87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136 50 24575,'0'10'0,"0"8"0,0 10 0,0 11 0,0 3 0,0-1 0,0-4 0,0-7 0,0-8 0,0-8 0,0-6 0,0-3 0,0-3 0,0-1 0</inkml:trace>
  <inkml:trace contextRef="#ctx0" brushRef="#br0" timeOffset="483">0 125 24575,'0'0'0</inkml:trace>
  <inkml:trace contextRef="#ctx0" brushRef="#br0" timeOffset="866">234 286 24575,'0'0'0</inkml:trace>
  <inkml:trace contextRef="#ctx0" brushRef="#br0" timeOffset="1533">369 245 24575,'0'10'0,"0"-1"0,0-1 0,0-2 0,0 0 0,0-1 0,0-1 0,0 0 0,0-3 0,0 1 0</inkml:trace>
  <inkml:trace contextRef="#ctx0" brushRef="#br0" timeOffset="2300">359 205 24575,'0'0'0</inkml:trace>
  <inkml:trace contextRef="#ctx0" brushRef="#br0" timeOffset="4283">371 336 24575,'9'0'0,"7"0"0,8 0 0,4 0 0,-2-2 0,-4-3 0,-4-4 0,-5-5 0,-5-4 0,-5-2 0,-1-6 0,-2-8 0,0-7 0,-3-5 0,-3 3 0,-1 8 0,-1 11 0,2 12 0,1 7 0,-1 4 0,1 2 0,0 2 0,0 4 0,2 3 0,1 2 0,1 2 0,1 3 0,0 5 0,0 5 0,0 3 0,1 0 0,1-3 0,3-5 0,3-5 0,2-5 0,-1-3 0,1-3 0,1-3 0,3-2 0,3-1 0,3 0 0,1 0 0,0 0 0,-3-1 0,-3 0 0,-4-2 0,-3-1 0,-2-1 0,-3 0 0,-2 0 0,-1-2 0,0-1 0,0-3 0,-1-4 0,-1-1 0,-2 1 0,-1 3 0,0 3 0,0 5 0,-1 2 0,-2 1 0,-2 1 0,-1 0 0,1 2 0,1 3 0,2 3 0,2 1 0,2 0 0,2 0 0,0-1 0,1-1 0,0 0 0,1-2 0,2 1 0,1-1 0,3 0 0,5 2 0,7 1 0,7 3 0,6 0 0,1 1 0,-4-2 0,-7-4 0,-6-2 0,-10-4 0,-2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3:05.1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64 24575,'14'0'0,"18"0"0,21 0 0,9 0 0,-2 0 0,-14 0 0,-18 0 0,-13 0 0,-10 0 0</inkml:trace>
  <inkml:trace contextRef="#ctx0" brushRef="#br0" timeOffset="1100">470 34 24575,'17'0'0,"6"0"0,11 0 0,8 0 0,1 6 0,-4 10 0,-10 11 0,-10 10 0,-9 2 0,-9-2 0,-11-3 0,-12-3 0,-11-6 0,-7-6 0,2-6 0,7-7 0,12-4 0,10-6 0,6-3 0,3-2 0,2-1 0,4 2 0,4 3 0,3 2 0,4 1 0,5 0 0,4 1 0,5 0 0,3 1 0,2 0 0,2 0 0,-3 0 0,-7 0 0,-9 0 0,-10 0 0,-5 0 0</inkml:trace>
  <inkml:trace contextRef="#ctx0" brushRef="#br0" timeOffset="2450">1048 3 24575,'-5'-1'0,"-1"-1"0,-1 3 0,1 2 0,4 3 0,4 3 0,3 2 0,0 0 0,1-1 0,0-1 0,0-2 0,1-3 0,0-2 0,3-2 0,1 0 0,1-2 0,-1-1 0,-1-1 0,-2 2 0,4 1 0,4 2 0,5 7 0,1 6 0,-3 6 0,-5 3 0,-6-3 0,-4-3 0,-4-4 0,-6-3 0,-8-1 0,-11-2 0,-12-2 0,-7-1 0,-1-2 0,5-2 0,11-3 0,14 2 0,8-1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03:09.8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1 134 24575,'34'0'0,"16"0"0,22 0 0,7 0 0,-5 0 0,-17 0 0,-21 0 0,-17 0 0,-12 0 0</inkml:trace>
  <inkml:trace contextRef="#ctx0" brushRef="#br0" timeOffset="833">742 3 24575,'10'-1'0,"9"-1"0,10 2 0,9 0 0,3 0 0,-9 0 0,-9 1 0,-13 7 0,-5 11 0,-3 16 0,2 14 0,0 4 0,-1-3 0,0-11 0,-2-10 0,1-10 0,-1-6 0,0-6 0,-1-3 0,1-3 0</inkml:trace>
  <inkml:trace contextRef="#ctx0" brushRef="#br0" timeOffset="2117">1336 28 24575,'-13'0'0,"-2"0"0,-4 0 0,0 0 0,6 1 0,8 2 0,6 4 0,3 4 0,1 4 0,0 1 0,1-1 0,-1-4 0,0-5 0,-1-3 0,2-2 0,-1-1 0,1-1 0,2-1 0,4-1 0,6 1 0,7 1 0,6 1 0,2 2 0,-3 4 0,-8 5 0,-8 4 0,-7 4 0,-5 0 0,-8 0 0,-7-1 0,-10-3 0,-10-4 0,-10-4 0,-5-5 0,-2-6 0,5-4 0,11-2 0,16 2 0,7 4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5T16:36:01.04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399 928 24575,'37'0'0,"18"0"0,13 0 0,7 0 0,-11 0 0,-17 0 0,-12 0 0,-19 0 0,-9 0 0</inkml:trace>
  <inkml:trace contextRef="#ctx0" brushRef="#br0" timeOffset="1217">1256 789 24575,'-11'-2'0,"-13"2"0,-18 7 0,-10 7 0,1 7 0,11 5 0,15 0 0,9 2 0,8 1 0,4 3 0,3 1 0,1 1 0,0-1 0,2-4 0,5-1 0,7-2 0,13 2 0,9-1 0,8 0 0,5-3 0,0-6 0,-1-6 0,-3-7 0,-4-8 0,-6-9 0,-8-7 0,-7-5 0,-7 0 0,-7 3 0,-4 3 0,-8 3 0,-8 4 0,-11 0 0,-10 2 0,-8 2 0,-6 3 0,-4 2 0,1 3 0,20-1 0,10 0 0</inkml:trace>
  <inkml:trace contextRef="#ctx0" brushRef="#br0" timeOffset="-1849">0 102 24575,'96'0'0,"-24"0"0,13 0 0,12 0 0,-24 0 0,7 0 0,6 0 0,5 0 0,3 0 0,2 0 0,1 0-984,-13 0 1,1 0 0,3 0 0,1 0 0,2 0 0,2 0 0,1 0 0,2 0 0,0 0 0,2 0 868,-10 0 0,2 0 1,1 0-1,2 0 1,1 0-1,1 0 0,0 0 1,1 0-1,1 0 1,0 0-1,0 0 1,0 0-1,0 0-39,-2 0 0,1 0 0,1 0 0,0 0 0,0 0 0,1 0 0,0 0 0,0 0 1,0 0-1,0 0 0,-1 0 0,0 0 0,0 0 0,-2 0 154,4 0 0,-1 0 0,0 0 0,0 0 0,0 0 0,-1 0 0,0 0 0,0 0 0,-1 0 0,0 0 0,0 0 0,-1 0 0,0 0-74,3 0 1,-1 0 0,1 0 0,-1 0 0,0 0-1,0 0 1,-2 0 0,1 0 0,-2 0 0,-1 0-1,0 0 1,-2 0 73,8 0 0,-2 0 0,-1 0 0,0 0 0,-1 0 0,-2 0 0,0 0 0,-2 0 0,0 0 0,-2 0-161,8 0 1,-1 0 0,-1 0-1,-2 0 1,-1 0 0,-1 0-1,-1 0 1,-2 0 160,16 0 0,-1 0 0,-2 0 0,-2 0 0,-2 0 0,-3 0 367,2 0 1,-2 0 0,-2 0 0,-4 0 0,-4-1-368,-3 1 0,-4-1 0,-4 0 0,-2 0 1103,6 0 0,-4-1 1,-7-1-1104,1-1 0,-7-2 4948,25-4-4948,-40 2 3960,-22 3-3960,-12 2 1581,-6-1-1581,-6-2 0,0 3 0,-1 0 0</inkml:trace>
  <inkml:trace contextRef="#ctx0" brushRef="#br0" timeOffset="-733">1216 58 24575,'0'10'0,"0"19"0,0 33 0,0 26 0,0 11 0,0-4 0,0-18 0,0-25 0,0-25 0,0-14 0</inkml:trace>
  <inkml:trace contextRef="#ctx0" brushRef="#br0" timeOffset="2350">9906 46 24575,'-2'6'0,"1"8"0,1 9 0,0 12 0,0 5 0,0 2 0,0-3 0,0-9 0,0-6 0,0-10 0,0-7 0,0-3 0</inkml:trace>
  <inkml:trace contextRef="#ctx0" brushRef="#br0" timeOffset="3700">9610 666 24575,'3'-2'0,"7"0"0,7 2 0,5 0 0,-1 0 0,-7 1 0,-9 6 0,-7 7 0,-8 12 0,-10 10 0,-7 2 0,-3-4 0,4-10 0,6-11 0,7-8 0,7-7 0,4-6 0,2-1 0,3-1 0,2 2 0,2 4 0,1 2 0,-1 1 0,-1 1 0,0 1 0,1 2 0,1 3 0,0 2 0,1 0 0,-2 1 0,-3 1 0,-2 4 0,-1 4 0,-1 4 0,0 4 0,-4 2 0,-5 1 0,-5-3 0,-6-5 0,-1-4 0,-2-6 0,1-5 0,3-3 0,4-2 0,7-1 0,4 0 0</inkml:trace>
  <inkml:trace contextRef="#ctx0" brushRef="#br0" timeOffset="5034">9968 852 24575,'-3'-2'0,"-2"0"0,-5 5 0,-3 9 0,-4 10 0,0 13 0,1 6 0,4 0 0,5-2 0,4-6 0,4-6 0,9-6 0,10-4 0,14-2 0,9-4 0,1-4 0,-2-5 0,-7-3 0,-6-4 0,-6-3 0,-6-4 0,-5-2 0,-3-4 0,-2-5 0,-2-8 0,0-4 0,-1 0 0,-2 6 0,-1 8 0,-1 6 0,-1 4 0,-4 2 0,-7 1 0,-6 1 0,-9-1 0,-12 2 0,-15 3 0,-10 2 0,-10 2 0,-5 2 0,36-1 0,5 1 0</inkml:trace>
  <inkml:trace contextRef="#ctx0" brushRef="#br0" timeOffset="12417">4717 1 24575,'0'9'0,"0"9"0,0 11 0,0 10 0,0 3 0,0-3 0,0-6 0,0-8 0,0-12 0,0-5 0</inkml:trace>
  <inkml:trace contextRef="#ctx0" brushRef="#br0" timeOffset="13200">4675 514 24575,'0'29'0,"0"10"0,0 14 0,0 7 0,0-2 0,0-9 0,0-12 0,0-17 0,0-12 0</inkml:trace>
  <inkml:trace contextRef="#ctx0" brushRef="#br0" timeOffset="14750">4821 597 24575,'5'-2'0,"4"0"0,5 2 0,0 0 0,0 0 0,-5 2 0,-6 5 0,-2 11 0,-5 10 0,-3 6 0,-4-3 0,0-8 0,1-10 0,2-7 0,2-3 0,1-4 0,1-5 0,3-4 0,0-6 0,3-1 0,3 2 0,3 4 0,2 6 0,1 3 0,-1 1 0,0 3 0,-2 4 0,1 6 0,0 7 0,1 4 0,0 1 0,-2-2 0,-3-4 0,-3 0 0,-1-4 0,-1-1 0,0-2 0,-1-3 0,-2 1 0,-4-2 0,-3-1 0,-3-3 0,-2-2 0,1-1 0,0 0 0,4 0 0,0-1 0,3 0 0,1-2 0,3 1 0,2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709CF-A8A9-BC4C-9BF6-635474048E4E}">
  <dimension ref="A3:J105"/>
  <sheetViews>
    <sheetView zoomScale="229" workbookViewId="0">
      <selection activeCell="D97" sqref="D97"/>
    </sheetView>
  </sheetViews>
  <sheetFormatPr baseColWidth="10" defaultRowHeight="16" x14ac:dyDescent="0.2"/>
  <sheetData>
    <row r="3" spans="1:10" x14ac:dyDescent="0.2">
      <c r="B3" s="2" t="s">
        <v>0</v>
      </c>
      <c r="C3" s="1"/>
      <c r="D3" s="1"/>
      <c r="E3" s="1"/>
    </row>
    <row r="4" spans="1:10" x14ac:dyDescent="0.2">
      <c r="B4" s="1"/>
      <c r="C4" s="1"/>
      <c r="D4" s="1"/>
      <c r="E4" s="1"/>
    </row>
    <row r="5" spans="1:10" x14ac:dyDescent="0.2">
      <c r="B5" s="1"/>
      <c r="C5" s="1"/>
      <c r="D5" s="1"/>
      <c r="E5" s="1"/>
    </row>
    <row r="7" spans="1:10" x14ac:dyDescent="0.2">
      <c r="B7" t="s">
        <v>1</v>
      </c>
    </row>
    <row r="9" spans="1:10" x14ac:dyDescent="0.2">
      <c r="B9" t="s">
        <v>2</v>
      </c>
    </row>
    <row r="11" spans="1:10" x14ac:dyDescent="0.2">
      <c r="B11" t="s">
        <v>3</v>
      </c>
      <c r="D11" t="s">
        <v>4</v>
      </c>
      <c r="F11" t="s">
        <v>5</v>
      </c>
    </row>
    <row r="14" spans="1:10" x14ac:dyDescent="0.2">
      <c r="A14" s="3"/>
      <c r="B14" s="3"/>
      <c r="C14" s="3"/>
      <c r="D14" s="3"/>
      <c r="E14" s="3"/>
      <c r="F14" s="3"/>
      <c r="G14" s="3"/>
      <c r="H14" s="3"/>
      <c r="I14" s="3"/>
      <c r="J14" s="3"/>
    </row>
    <row r="17" spans="1:8" x14ac:dyDescent="0.2">
      <c r="B17" t="s">
        <v>6</v>
      </c>
      <c r="D17" t="s">
        <v>10</v>
      </c>
    </row>
    <row r="21" spans="1:8" x14ac:dyDescent="0.2">
      <c r="B21" s="6" t="s">
        <v>7</v>
      </c>
      <c r="C21" s="9" t="str">
        <f>"1/4"</f>
        <v>1/4</v>
      </c>
      <c r="D21" s="10">
        <v>0.25</v>
      </c>
    </row>
    <row r="24" spans="1:8" x14ac:dyDescent="0.2">
      <c r="A24" s="3"/>
      <c r="B24" s="3"/>
      <c r="C24" s="3"/>
      <c r="D24" s="3"/>
      <c r="E24" s="3"/>
      <c r="F24" s="3"/>
      <c r="G24" s="3"/>
      <c r="H24" s="3"/>
    </row>
    <row r="27" spans="1:8" x14ac:dyDescent="0.2">
      <c r="B27" t="s">
        <v>11</v>
      </c>
    </row>
    <row r="40" spans="1:9" x14ac:dyDescent="0.2">
      <c r="A40" s="3"/>
      <c r="B40" s="3"/>
      <c r="C40" s="3"/>
      <c r="D40" s="3"/>
      <c r="E40" s="3"/>
      <c r="F40" s="3"/>
      <c r="G40" s="3"/>
      <c r="H40" s="3"/>
      <c r="I40" s="3"/>
    </row>
    <row r="42" spans="1:9" x14ac:dyDescent="0.2">
      <c r="B42" t="s">
        <v>17</v>
      </c>
      <c r="D42" t="s">
        <v>18</v>
      </c>
      <c r="F42" t="s">
        <v>30</v>
      </c>
    </row>
    <row r="44" spans="1:9" x14ac:dyDescent="0.2">
      <c r="B44" t="s">
        <v>29</v>
      </c>
    </row>
    <row r="60" spans="1:9" x14ac:dyDescent="0.2">
      <c r="A60" s="3"/>
      <c r="B60" s="3"/>
      <c r="C60" s="3"/>
      <c r="D60" s="3"/>
      <c r="E60" s="3"/>
      <c r="F60" s="3"/>
      <c r="G60" s="3"/>
      <c r="H60" s="3"/>
      <c r="I60" s="3"/>
    </row>
    <row r="63" spans="1:9" x14ac:dyDescent="0.2">
      <c r="B63" t="s">
        <v>38</v>
      </c>
      <c r="D63" t="s">
        <v>39</v>
      </c>
      <c r="F63" t="s">
        <v>40</v>
      </c>
    </row>
    <row r="65" spans="1:9" x14ac:dyDescent="0.2">
      <c r="B65" t="s">
        <v>41</v>
      </c>
      <c r="F65" t="s">
        <v>42</v>
      </c>
    </row>
    <row r="75" spans="1:9" x14ac:dyDescent="0.2">
      <c r="A75" s="3"/>
      <c r="B75" s="3"/>
      <c r="C75" s="3"/>
      <c r="D75" s="3"/>
      <c r="E75" s="3"/>
      <c r="F75" s="3"/>
      <c r="G75" s="3"/>
      <c r="H75" s="3"/>
      <c r="I75" s="3"/>
    </row>
    <row r="78" spans="1:9" x14ac:dyDescent="0.2">
      <c r="B78" t="s">
        <v>46</v>
      </c>
    </row>
    <row r="80" spans="1:9" x14ac:dyDescent="0.2">
      <c r="D80" t="s">
        <v>50</v>
      </c>
    </row>
    <row r="84" spans="2:5" x14ac:dyDescent="0.2">
      <c r="B84" t="s">
        <v>51</v>
      </c>
    </row>
    <row r="87" spans="2:5" x14ac:dyDescent="0.2">
      <c r="C87" t="s">
        <v>52</v>
      </c>
      <c r="E87" t="s">
        <v>55</v>
      </c>
    </row>
    <row r="89" spans="2:5" x14ac:dyDescent="0.2">
      <c r="C89" t="s">
        <v>53</v>
      </c>
      <c r="E89" t="s">
        <v>56</v>
      </c>
    </row>
    <row r="91" spans="2:5" x14ac:dyDescent="0.2">
      <c r="C91" t="s">
        <v>54</v>
      </c>
      <c r="E91" t="s">
        <v>57</v>
      </c>
    </row>
    <row r="92" spans="2:5" x14ac:dyDescent="0.2">
      <c r="C92" t="s">
        <v>58</v>
      </c>
    </row>
    <row r="95" spans="2:5" x14ac:dyDescent="0.2">
      <c r="C95" t="s">
        <v>59</v>
      </c>
    </row>
    <row r="97" spans="1:9" x14ac:dyDescent="0.2">
      <c r="C97" s="3" t="s">
        <v>61</v>
      </c>
      <c r="D97" s="3"/>
      <c r="E97" s="3"/>
    </row>
    <row r="99" spans="1:9" x14ac:dyDescent="0.2">
      <c r="C99" s="3" t="s">
        <v>60</v>
      </c>
      <c r="D99" s="3"/>
      <c r="E99" s="3"/>
    </row>
    <row r="102" spans="1:9" x14ac:dyDescent="0.2">
      <c r="C102" t="s">
        <v>62</v>
      </c>
    </row>
    <row r="105" spans="1:9" x14ac:dyDescent="0.2">
      <c r="A105" s="3"/>
      <c r="B105" s="3"/>
      <c r="C105" s="3"/>
      <c r="D105" s="3"/>
      <c r="E105" s="3"/>
      <c r="F105" s="3"/>
      <c r="G105" s="3"/>
      <c r="H105" s="3"/>
      <c r="I105" s="3"/>
    </row>
  </sheetData>
  <mergeCells count="1">
    <mergeCell ref="B3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9A3D-FFBD-DC44-91C5-82A4CD0B6DC0}">
  <dimension ref="A2:K183"/>
  <sheetViews>
    <sheetView topLeftCell="A76" zoomScale="167" workbookViewId="0">
      <selection activeCell="I94" sqref="I94"/>
    </sheetView>
  </sheetViews>
  <sheetFormatPr baseColWidth="10" defaultRowHeight="16" x14ac:dyDescent="0.2"/>
  <sheetData>
    <row r="2" spans="2:7" x14ac:dyDescent="0.2">
      <c r="B2" t="s">
        <v>8</v>
      </c>
      <c r="C2" t="s">
        <v>9</v>
      </c>
    </row>
    <row r="3" spans="2:7" x14ac:dyDescent="0.2">
      <c r="B3">
        <v>16</v>
      </c>
      <c r="C3" s="4">
        <v>-6</v>
      </c>
      <c r="D3">
        <f>AVERAGE(B3:B22)</f>
        <v>13.65</v>
      </c>
      <c r="F3" t="str">
        <f ca="1">_xlfn.FORMULATEXT(D3)</f>
        <v>=AVERAGE(B3:B22)</v>
      </c>
    </row>
    <row r="4" spans="2:7" x14ac:dyDescent="0.2">
      <c r="B4">
        <v>14</v>
      </c>
      <c r="C4" s="4">
        <v>-6</v>
      </c>
    </row>
    <row r="5" spans="2:7" x14ac:dyDescent="0.2">
      <c r="B5">
        <v>27</v>
      </c>
      <c r="C5" s="4">
        <v>-5</v>
      </c>
      <c r="D5">
        <f>MEDIAN(B3:B22)</f>
        <v>15.5</v>
      </c>
      <c r="F5" t="str">
        <f t="shared" ref="F4:F7" ca="1" si="0">_xlfn.FORMULATEXT(D5)</f>
        <v>=MEDIAN(B3:B22)</v>
      </c>
    </row>
    <row r="6" spans="2:7" x14ac:dyDescent="0.2">
      <c r="B6">
        <v>22</v>
      </c>
      <c r="C6" s="4">
        <v>0</v>
      </c>
    </row>
    <row r="7" spans="2:7" x14ac:dyDescent="0.2">
      <c r="B7">
        <v>30</v>
      </c>
      <c r="C7" s="4">
        <v>2</v>
      </c>
      <c r="D7">
        <f>MODE(B3:B22)</f>
        <v>30</v>
      </c>
      <c r="F7" t="str">
        <f t="shared" ca="1" si="0"/>
        <v>=MODE(B3:B22)</v>
      </c>
    </row>
    <row r="8" spans="2:7" x14ac:dyDescent="0.2">
      <c r="B8">
        <v>2</v>
      </c>
      <c r="C8" s="5">
        <v>3</v>
      </c>
      <c r="D8" s="3"/>
      <c r="E8" s="3"/>
      <c r="F8" s="3"/>
      <c r="G8" s="3"/>
    </row>
    <row r="9" spans="2:7" x14ac:dyDescent="0.2">
      <c r="B9">
        <v>23</v>
      </c>
      <c r="C9" s="5">
        <v>6</v>
      </c>
    </row>
    <row r="10" spans="2:7" x14ac:dyDescent="0.2">
      <c r="B10">
        <v>-5</v>
      </c>
      <c r="C10" s="5">
        <v>9</v>
      </c>
    </row>
    <row r="11" spans="2:7" x14ac:dyDescent="0.2">
      <c r="B11">
        <v>-6</v>
      </c>
      <c r="C11" s="5">
        <v>14</v>
      </c>
      <c r="D11">
        <f>QUARTILE(B3:B22,1)</f>
        <v>2.75</v>
      </c>
      <c r="F11" t="str">
        <f t="shared" ref="F11:F15" ca="1" si="1">_xlfn.FORMULATEXT(D11)</f>
        <v>=QUARTILE(B3:B22,1)</v>
      </c>
    </row>
    <row r="12" spans="2:7" x14ac:dyDescent="0.2">
      <c r="B12">
        <v>-6</v>
      </c>
      <c r="C12" s="5">
        <v>15</v>
      </c>
    </row>
    <row r="13" spans="2:7" x14ac:dyDescent="0.2">
      <c r="B13">
        <v>9</v>
      </c>
      <c r="C13" s="6">
        <v>16</v>
      </c>
      <c r="D13">
        <f>QUARTILE(B3:B22,2)</f>
        <v>15.5</v>
      </c>
      <c r="F13" t="str">
        <f t="shared" ca="1" si="1"/>
        <v>=QUARTILE(B3:B22,2)</v>
      </c>
    </row>
    <row r="14" spans="2:7" x14ac:dyDescent="0.2">
      <c r="B14">
        <v>6</v>
      </c>
      <c r="C14" s="6">
        <v>18</v>
      </c>
    </row>
    <row r="15" spans="2:7" x14ac:dyDescent="0.2">
      <c r="B15">
        <v>15</v>
      </c>
      <c r="C15" s="6">
        <v>21</v>
      </c>
      <c r="D15">
        <f>QUARTILE(B3:B22,3)</f>
        <v>23.5</v>
      </c>
      <c r="F15" t="str">
        <f t="shared" ca="1" si="1"/>
        <v>=QUARTILE(B3:B22,3)</v>
      </c>
    </row>
    <row r="16" spans="2:7" x14ac:dyDescent="0.2">
      <c r="B16">
        <v>30</v>
      </c>
      <c r="C16" s="6">
        <v>22</v>
      </c>
    </row>
    <row r="17" spans="1:10" x14ac:dyDescent="0.2">
      <c r="B17">
        <v>25</v>
      </c>
      <c r="C17" s="6">
        <v>23</v>
      </c>
    </row>
    <row r="18" spans="1:10" x14ac:dyDescent="0.2">
      <c r="B18">
        <v>18</v>
      </c>
      <c r="C18" s="7">
        <v>25</v>
      </c>
    </row>
    <row r="19" spans="1:10" x14ac:dyDescent="0.2">
      <c r="B19">
        <v>21</v>
      </c>
      <c r="C19" s="7">
        <v>27</v>
      </c>
    </row>
    <row r="20" spans="1:10" x14ac:dyDescent="0.2">
      <c r="B20">
        <v>3</v>
      </c>
      <c r="C20" s="7">
        <v>29</v>
      </c>
    </row>
    <row r="21" spans="1:10" x14ac:dyDescent="0.2">
      <c r="B21">
        <v>29</v>
      </c>
      <c r="C21" s="7">
        <v>30</v>
      </c>
    </row>
    <row r="22" spans="1:10" x14ac:dyDescent="0.2">
      <c r="B22">
        <v>0</v>
      </c>
      <c r="C22" s="7">
        <v>30</v>
      </c>
    </row>
    <row r="24" spans="1:10" x14ac:dyDescent="0.2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2">
      <c r="F25" t="s">
        <v>12</v>
      </c>
    </row>
    <row r="26" spans="1:10" x14ac:dyDescent="0.2">
      <c r="E26" s="8">
        <v>0.3</v>
      </c>
      <c r="F26">
        <f>20*E26</f>
        <v>6</v>
      </c>
    </row>
    <row r="27" spans="1:10" x14ac:dyDescent="0.2">
      <c r="B27" t="s">
        <v>8</v>
      </c>
      <c r="C27" t="s">
        <v>9</v>
      </c>
    </row>
    <row r="28" spans="1:10" x14ac:dyDescent="0.2">
      <c r="B28">
        <v>16</v>
      </c>
      <c r="C28" s="4">
        <v>-6</v>
      </c>
    </row>
    <row r="29" spans="1:10" x14ac:dyDescent="0.2">
      <c r="B29">
        <v>14</v>
      </c>
      <c r="C29" s="4">
        <v>-6</v>
      </c>
      <c r="E29">
        <f>PERCENTILE(B28:B47,E26)</f>
        <v>5.1000000000000005</v>
      </c>
    </row>
    <row r="30" spans="1:10" x14ac:dyDescent="0.2">
      <c r="B30">
        <v>27</v>
      </c>
      <c r="C30" s="4">
        <v>-5</v>
      </c>
    </row>
    <row r="31" spans="1:10" x14ac:dyDescent="0.2">
      <c r="B31">
        <v>22</v>
      </c>
      <c r="C31" s="4">
        <v>0</v>
      </c>
      <c r="E31">
        <f>PERCENTILE(C28:C47,99%)</f>
        <v>30</v>
      </c>
    </row>
    <row r="32" spans="1:10" x14ac:dyDescent="0.2">
      <c r="B32">
        <v>30</v>
      </c>
      <c r="C32" s="4">
        <v>2</v>
      </c>
    </row>
    <row r="33" spans="2:6" x14ac:dyDescent="0.2">
      <c r="B33">
        <v>2</v>
      </c>
      <c r="C33" s="5">
        <v>3</v>
      </c>
    </row>
    <row r="34" spans="2:6" x14ac:dyDescent="0.2">
      <c r="B34">
        <v>23</v>
      </c>
      <c r="C34" s="5">
        <v>6</v>
      </c>
      <c r="E34" t="s">
        <v>15</v>
      </c>
      <c r="F34">
        <f>PERCENTILE(B28:B47,0)</f>
        <v>-6</v>
      </c>
    </row>
    <row r="35" spans="2:6" x14ac:dyDescent="0.2">
      <c r="B35">
        <v>-5</v>
      </c>
      <c r="C35" s="5">
        <v>9</v>
      </c>
      <c r="E35" t="s">
        <v>16</v>
      </c>
      <c r="F35">
        <f>PERCENTILE(B28:B47,100%)</f>
        <v>30</v>
      </c>
    </row>
    <row r="36" spans="2:6" x14ac:dyDescent="0.2">
      <c r="B36">
        <v>-6</v>
      </c>
      <c r="C36" s="5">
        <v>14</v>
      </c>
    </row>
    <row r="37" spans="2:6" x14ac:dyDescent="0.2">
      <c r="B37">
        <v>-6</v>
      </c>
      <c r="C37" s="5">
        <v>15</v>
      </c>
    </row>
    <row r="38" spans="2:6" x14ac:dyDescent="0.2">
      <c r="B38">
        <v>9</v>
      </c>
      <c r="C38" s="6">
        <v>16</v>
      </c>
    </row>
    <row r="39" spans="2:6" x14ac:dyDescent="0.2">
      <c r="B39">
        <v>6</v>
      </c>
      <c r="C39" s="6">
        <v>18</v>
      </c>
    </row>
    <row r="40" spans="2:6" x14ac:dyDescent="0.2">
      <c r="B40">
        <v>15</v>
      </c>
      <c r="C40" s="6">
        <v>21</v>
      </c>
    </row>
    <row r="41" spans="2:6" x14ac:dyDescent="0.2">
      <c r="B41">
        <v>30</v>
      </c>
      <c r="C41" s="6">
        <v>22</v>
      </c>
    </row>
    <row r="42" spans="2:6" x14ac:dyDescent="0.2">
      <c r="B42">
        <v>25</v>
      </c>
      <c r="C42" s="6">
        <v>23</v>
      </c>
    </row>
    <row r="43" spans="2:6" x14ac:dyDescent="0.2">
      <c r="B43">
        <v>18</v>
      </c>
      <c r="C43" s="7">
        <v>25</v>
      </c>
    </row>
    <row r="44" spans="2:6" x14ac:dyDescent="0.2">
      <c r="B44">
        <v>21</v>
      </c>
      <c r="C44" s="7">
        <v>27</v>
      </c>
    </row>
    <row r="45" spans="2:6" x14ac:dyDescent="0.2">
      <c r="B45">
        <v>3</v>
      </c>
      <c r="C45" s="7">
        <v>29</v>
      </c>
    </row>
    <row r="46" spans="2:6" x14ac:dyDescent="0.2">
      <c r="B46">
        <v>29</v>
      </c>
      <c r="C46" s="7">
        <v>30</v>
      </c>
      <c r="D46" t="s">
        <v>13</v>
      </c>
    </row>
    <row r="47" spans="2:6" x14ac:dyDescent="0.2">
      <c r="B47">
        <v>0</v>
      </c>
      <c r="C47" s="7">
        <v>30</v>
      </c>
      <c r="D47" t="s">
        <v>14</v>
      </c>
    </row>
    <row r="50" spans="1:10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3" spans="1:10" x14ac:dyDescent="0.2">
      <c r="B53" t="s">
        <v>33</v>
      </c>
      <c r="C53" t="s">
        <v>31</v>
      </c>
    </row>
    <row r="54" spans="1:10" x14ac:dyDescent="0.2">
      <c r="B54">
        <v>16</v>
      </c>
      <c r="C54">
        <f>B54-$F$54</f>
        <v>2.3499999999999996</v>
      </c>
      <c r="D54">
        <f>C54^2</f>
        <v>5.5224999999999982</v>
      </c>
      <c r="E54" t="s">
        <v>1</v>
      </c>
      <c r="F54">
        <f>AVERAGE(B54:B73)</f>
        <v>13.65</v>
      </c>
      <c r="G54" t="s">
        <v>34</v>
      </c>
    </row>
    <row r="55" spans="1:10" x14ac:dyDescent="0.2">
      <c r="B55">
        <v>14</v>
      </c>
      <c r="C55">
        <f t="shared" ref="C55:C73" si="2">B55-$F$54</f>
        <v>0.34999999999999964</v>
      </c>
      <c r="D55">
        <f t="shared" ref="D55:D73" si="3">C55^2</f>
        <v>0.12249999999999975</v>
      </c>
      <c r="H55" s="3" t="s">
        <v>17</v>
      </c>
    </row>
    <row r="56" spans="1:10" x14ac:dyDescent="0.2">
      <c r="B56">
        <v>27</v>
      </c>
      <c r="C56">
        <f>B56-$F$54</f>
        <v>13.35</v>
      </c>
      <c r="D56">
        <f>C56^2</f>
        <v>178.2225</v>
      </c>
      <c r="E56" s="3" t="s">
        <v>32</v>
      </c>
      <c r="F56">
        <f>_xlfn.VAR.P(B54:B73)</f>
        <v>147.5275</v>
      </c>
      <c r="G56" t="s">
        <v>35</v>
      </c>
      <c r="H56">
        <f>SQRT(F56)</f>
        <v>12.146089905809195</v>
      </c>
      <c r="I56" t="s">
        <v>34</v>
      </c>
    </row>
    <row r="57" spans="1:10" x14ac:dyDescent="0.2">
      <c r="B57">
        <v>22</v>
      </c>
      <c r="C57">
        <f t="shared" si="2"/>
        <v>8.35</v>
      </c>
      <c r="D57">
        <f t="shared" si="3"/>
        <v>69.722499999999997</v>
      </c>
    </row>
    <row r="58" spans="1:10" x14ac:dyDescent="0.2">
      <c r="B58">
        <v>30</v>
      </c>
      <c r="C58">
        <f t="shared" si="2"/>
        <v>16.350000000000001</v>
      </c>
      <c r="D58">
        <f t="shared" si="3"/>
        <v>267.32250000000005</v>
      </c>
      <c r="H58">
        <f>_xlfn.STDEV.P(B54:B73)</f>
        <v>12.146089905809195</v>
      </c>
    </row>
    <row r="59" spans="1:10" x14ac:dyDescent="0.2">
      <c r="B59">
        <v>2</v>
      </c>
      <c r="C59">
        <f t="shared" si="2"/>
        <v>-11.65</v>
      </c>
      <c r="D59">
        <f t="shared" si="3"/>
        <v>135.7225</v>
      </c>
    </row>
    <row r="60" spans="1:10" x14ac:dyDescent="0.2">
      <c r="B60">
        <v>23</v>
      </c>
      <c r="C60">
        <f t="shared" si="2"/>
        <v>9.35</v>
      </c>
      <c r="D60">
        <f t="shared" si="3"/>
        <v>87.422499999999999</v>
      </c>
    </row>
    <row r="61" spans="1:10" x14ac:dyDescent="0.2">
      <c r="B61">
        <v>-5</v>
      </c>
      <c r="C61">
        <f t="shared" si="2"/>
        <v>-18.649999999999999</v>
      </c>
      <c r="D61">
        <f t="shared" si="3"/>
        <v>347.82249999999993</v>
      </c>
    </row>
    <row r="62" spans="1:10" x14ac:dyDescent="0.2">
      <c r="B62">
        <v>-6</v>
      </c>
      <c r="C62">
        <f t="shared" si="2"/>
        <v>-19.649999999999999</v>
      </c>
      <c r="D62">
        <f t="shared" si="3"/>
        <v>386.12249999999995</v>
      </c>
    </row>
    <row r="63" spans="1:10" x14ac:dyDescent="0.2">
      <c r="B63">
        <v>-6</v>
      </c>
      <c r="C63">
        <f t="shared" si="2"/>
        <v>-19.649999999999999</v>
      </c>
      <c r="D63">
        <f t="shared" si="3"/>
        <v>386.12249999999995</v>
      </c>
    </row>
    <row r="64" spans="1:10" x14ac:dyDescent="0.2">
      <c r="B64">
        <v>9</v>
      </c>
      <c r="C64">
        <f t="shared" si="2"/>
        <v>-4.6500000000000004</v>
      </c>
      <c r="D64">
        <f t="shared" si="3"/>
        <v>21.622500000000002</v>
      </c>
    </row>
    <row r="65" spans="2:7" x14ac:dyDescent="0.2">
      <c r="B65">
        <v>6</v>
      </c>
      <c r="C65">
        <f t="shared" si="2"/>
        <v>-7.65</v>
      </c>
      <c r="D65">
        <f t="shared" si="3"/>
        <v>58.522500000000008</v>
      </c>
    </row>
    <row r="66" spans="2:7" x14ac:dyDescent="0.2">
      <c r="B66">
        <v>15</v>
      </c>
      <c r="C66">
        <f t="shared" si="2"/>
        <v>1.3499999999999996</v>
      </c>
      <c r="D66">
        <f t="shared" si="3"/>
        <v>1.8224999999999991</v>
      </c>
    </row>
    <row r="67" spans="2:7" x14ac:dyDescent="0.2">
      <c r="B67">
        <v>30</v>
      </c>
      <c r="C67">
        <f t="shared" si="2"/>
        <v>16.350000000000001</v>
      </c>
      <c r="D67">
        <f t="shared" si="3"/>
        <v>267.32250000000005</v>
      </c>
      <c r="G67" t="s">
        <v>36</v>
      </c>
    </row>
    <row r="68" spans="2:7" x14ac:dyDescent="0.2">
      <c r="B68">
        <v>25</v>
      </c>
      <c r="C68">
        <f t="shared" si="2"/>
        <v>11.35</v>
      </c>
      <c r="D68">
        <f t="shared" si="3"/>
        <v>128.82249999999999</v>
      </c>
    </row>
    <row r="69" spans="2:7" x14ac:dyDescent="0.2">
      <c r="B69">
        <v>18</v>
      </c>
      <c r="C69">
        <f t="shared" si="2"/>
        <v>4.3499999999999996</v>
      </c>
      <c r="D69">
        <f t="shared" si="3"/>
        <v>18.922499999999996</v>
      </c>
      <c r="G69" t="s">
        <v>37</v>
      </c>
    </row>
    <row r="70" spans="2:7" x14ac:dyDescent="0.2">
      <c r="B70">
        <v>21</v>
      </c>
      <c r="C70">
        <f t="shared" si="2"/>
        <v>7.35</v>
      </c>
      <c r="D70">
        <f t="shared" si="3"/>
        <v>54.022499999999994</v>
      </c>
    </row>
    <row r="71" spans="2:7" x14ac:dyDescent="0.2">
      <c r="B71">
        <v>3</v>
      </c>
      <c r="C71">
        <f t="shared" si="2"/>
        <v>-10.65</v>
      </c>
      <c r="D71">
        <f t="shared" si="3"/>
        <v>113.42250000000001</v>
      </c>
    </row>
    <row r="72" spans="2:7" x14ac:dyDescent="0.2">
      <c r="B72">
        <v>29</v>
      </c>
      <c r="C72">
        <f t="shared" si="2"/>
        <v>15.35</v>
      </c>
      <c r="D72">
        <f t="shared" si="3"/>
        <v>235.6225</v>
      </c>
    </row>
    <row r="73" spans="2:7" x14ac:dyDescent="0.2">
      <c r="B73">
        <v>0</v>
      </c>
      <c r="C73">
        <f t="shared" si="2"/>
        <v>-13.65</v>
      </c>
      <c r="D73">
        <f t="shared" si="3"/>
        <v>186.32250000000002</v>
      </c>
    </row>
    <row r="76" spans="2:7" x14ac:dyDescent="0.2">
      <c r="D76">
        <f>SUM(D54:D73)</f>
        <v>2950.5500000000006</v>
      </c>
    </row>
    <row r="78" spans="2:7" x14ac:dyDescent="0.2">
      <c r="D78">
        <f>D76/(20)</f>
        <v>147.52750000000003</v>
      </c>
    </row>
    <row r="82" spans="1:1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spans="1:11" x14ac:dyDescent="0.2">
      <c r="B83" t="s">
        <v>43</v>
      </c>
    </row>
    <row r="84" spans="1:11" x14ac:dyDescent="0.2">
      <c r="B84">
        <v>19</v>
      </c>
      <c r="D84">
        <v>19</v>
      </c>
    </row>
    <row r="85" spans="1:11" x14ac:dyDescent="0.2">
      <c r="B85">
        <v>50</v>
      </c>
      <c r="D85">
        <v>50</v>
      </c>
    </row>
    <row r="86" spans="1:11" x14ac:dyDescent="0.2">
      <c r="B86">
        <v>20</v>
      </c>
      <c r="D86">
        <v>20</v>
      </c>
    </row>
    <row r="87" spans="1:11" x14ac:dyDescent="0.2">
      <c r="B87">
        <v>76</v>
      </c>
      <c r="D87">
        <v>76</v>
      </c>
      <c r="J87" s="39" t="s">
        <v>44</v>
      </c>
      <c r="K87" s="39" t="s">
        <v>40</v>
      </c>
    </row>
    <row r="88" spans="1:11" x14ac:dyDescent="0.2">
      <c r="B88">
        <v>69</v>
      </c>
      <c r="D88">
        <v>69</v>
      </c>
      <c r="I88" t="s">
        <v>1</v>
      </c>
      <c r="J88" s="3">
        <f>AVERAGE(B84:B183)</f>
        <v>46.97</v>
      </c>
      <c r="K88" s="3">
        <f>AVERAGE(D84:D106)</f>
        <v>48.869565217391305</v>
      </c>
    </row>
    <row r="89" spans="1:11" x14ac:dyDescent="0.2">
      <c r="B89">
        <v>66</v>
      </c>
      <c r="D89">
        <v>66</v>
      </c>
      <c r="I89" t="s">
        <v>18</v>
      </c>
      <c r="J89">
        <f>_xlfn.VAR.P(B84:B183)</f>
        <v>484.02910000000003</v>
      </c>
      <c r="K89">
        <f>_xlfn.VAR.S(D84:D106)</f>
        <v>474.0276679841898</v>
      </c>
    </row>
    <row r="90" spans="1:11" x14ac:dyDescent="0.2">
      <c r="B90">
        <v>17</v>
      </c>
      <c r="D90">
        <v>17</v>
      </c>
      <c r="I90" t="s">
        <v>45</v>
      </c>
      <c r="J90" s="3">
        <f>_xlfn.STDEV.P(B84:B183)</f>
        <v>22.000661353695712</v>
      </c>
      <c r="K90" s="3">
        <f>_xlfn.STDEV.S(D84:D106)</f>
        <v>21.772176464106426</v>
      </c>
    </row>
    <row r="91" spans="1:11" x14ac:dyDescent="0.2">
      <c r="B91">
        <v>70</v>
      </c>
      <c r="D91">
        <v>48</v>
      </c>
    </row>
    <row r="92" spans="1:11" x14ac:dyDescent="0.2">
      <c r="B92">
        <v>80</v>
      </c>
      <c r="D92">
        <v>74</v>
      </c>
    </row>
    <row r="93" spans="1:11" x14ac:dyDescent="0.2">
      <c r="B93">
        <v>41</v>
      </c>
      <c r="D93">
        <v>31</v>
      </c>
    </row>
    <row r="94" spans="1:11" x14ac:dyDescent="0.2">
      <c r="B94">
        <v>70</v>
      </c>
      <c r="D94">
        <v>63</v>
      </c>
    </row>
    <row r="95" spans="1:11" x14ac:dyDescent="0.2">
      <c r="B95">
        <v>76</v>
      </c>
      <c r="D95">
        <v>68</v>
      </c>
    </row>
    <row r="96" spans="1:11" x14ac:dyDescent="0.2">
      <c r="B96">
        <v>48</v>
      </c>
      <c r="D96">
        <v>45</v>
      </c>
    </row>
    <row r="97" spans="2:4" x14ac:dyDescent="0.2">
      <c r="B97">
        <v>74</v>
      </c>
      <c r="D97">
        <v>23</v>
      </c>
    </row>
    <row r="98" spans="2:4" x14ac:dyDescent="0.2">
      <c r="B98">
        <v>31</v>
      </c>
      <c r="D98">
        <v>67</v>
      </c>
    </row>
    <row r="99" spans="2:4" x14ac:dyDescent="0.2">
      <c r="B99">
        <v>63</v>
      </c>
      <c r="D99">
        <v>13</v>
      </c>
    </row>
    <row r="100" spans="2:4" x14ac:dyDescent="0.2">
      <c r="B100">
        <v>68</v>
      </c>
      <c r="D100">
        <v>41</v>
      </c>
    </row>
    <row r="101" spans="2:4" x14ac:dyDescent="0.2">
      <c r="B101">
        <v>45</v>
      </c>
      <c r="D101">
        <v>73</v>
      </c>
    </row>
    <row r="102" spans="2:4" x14ac:dyDescent="0.2">
      <c r="B102">
        <v>78</v>
      </c>
      <c r="D102">
        <v>74</v>
      </c>
    </row>
    <row r="103" spans="2:4" x14ac:dyDescent="0.2">
      <c r="B103">
        <v>64</v>
      </c>
      <c r="D103">
        <v>28</v>
      </c>
    </row>
    <row r="104" spans="2:4" x14ac:dyDescent="0.2">
      <c r="B104">
        <v>58</v>
      </c>
      <c r="D104">
        <v>73</v>
      </c>
    </row>
    <row r="105" spans="2:4" x14ac:dyDescent="0.2">
      <c r="B105">
        <v>23</v>
      </c>
      <c r="D105">
        <v>37</v>
      </c>
    </row>
    <row r="106" spans="2:4" x14ac:dyDescent="0.2">
      <c r="B106">
        <v>67</v>
      </c>
      <c r="D106">
        <v>49</v>
      </c>
    </row>
    <row r="107" spans="2:4" x14ac:dyDescent="0.2">
      <c r="B107">
        <v>13</v>
      </c>
    </row>
    <row r="108" spans="2:4" x14ac:dyDescent="0.2">
      <c r="B108">
        <v>42</v>
      </c>
    </row>
    <row r="109" spans="2:4" x14ac:dyDescent="0.2">
      <c r="B109">
        <v>29</v>
      </c>
    </row>
    <row r="110" spans="2:4" x14ac:dyDescent="0.2">
      <c r="B110">
        <v>62</v>
      </c>
    </row>
    <row r="111" spans="2:4" x14ac:dyDescent="0.2">
      <c r="B111">
        <v>27</v>
      </c>
    </row>
    <row r="112" spans="2:4" x14ac:dyDescent="0.2">
      <c r="B112">
        <v>41</v>
      </c>
    </row>
    <row r="113" spans="2:2" x14ac:dyDescent="0.2">
      <c r="B113">
        <v>73</v>
      </c>
    </row>
    <row r="114" spans="2:2" x14ac:dyDescent="0.2">
      <c r="B114">
        <v>38</v>
      </c>
    </row>
    <row r="115" spans="2:2" x14ac:dyDescent="0.2">
      <c r="B115">
        <v>32</v>
      </c>
    </row>
    <row r="116" spans="2:2" x14ac:dyDescent="0.2">
      <c r="B116">
        <v>18</v>
      </c>
    </row>
    <row r="117" spans="2:2" x14ac:dyDescent="0.2">
      <c r="B117">
        <v>19</v>
      </c>
    </row>
    <row r="118" spans="2:2" x14ac:dyDescent="0.2">
      <c r="B118">
        <v>49</v>
      </c>
    </row>
    <row r="119" spans="2:2" x14ac:dyDescent="0.2">
      <c r="B119">
        <v>24</v>
      </c>
    </row>
    <row r="120" spans="2:2" x14ac:dyDescent="0.2">
      <c r="B120">
        <v>12</v>
      </c>
    </row>
    <row r="121" spans="2:2" x14ac:dyDescent="0.2">
      <c r="B121">
        <v>31</v>
      </c>
    </row>
    <row r="122" spans="2:2" x14ac:dyDescent="0.2">
      <c r="B122">
        <v>16</v>
      </c>
    </row>
    <row r="123" spans="2:2" x14ac:dyDescent="0.2">
      <c r="B123">
        <v>47</v>
      </c>
    </row>
    <row r="124" spans="2:2" x14ac:dyDescent="0.2">
      <c r="B124">
        <v>32</v>
      </c>
    </row>
    <row r="125" spans="2:2" x14ac:dyDescent="0.2">
      <c r="B125">
        <v>33</v>
      </c>
    </row>
    <row r="126" spans="2:2" x14ac:dyDescent="0.2">
      <c r="B126">
        <v>53</v>
      </c>
    </row>
    <row r="127" spans="2:2" x14ac:dyDescent="0.2">
      <c r="B127">
        <v>23</v>
      </c>
    </row>
    <row r="128" spans="2:2" x14ac:dyDescent="0.2">
      <c r="B128">
        <v>45</v>
      </c>
    </row>
    <row r="129" spans="2:2" x14ac:dyDescent="0.2">
      <c r="B129">
        <v>37</v>
      </c>
    </row>
    <row r="130" spans="2:2" x14ac:dyDescent="0.2">
      <c r="B130">
        <v>63</v>
      </c>
    </row>
    <row r="131" spans="2:2" x14ac:dyDescent="0.2">
      <c r="B131">
        <v>23</v>
      </c>
    </row>
    <row r="132" spans="2:2" x14ac:dyDescent="0.2">
      <c r="B132">
        <v>74</v>
      </c>
    </row>
    <row r="133" spans="2:2" x14ac:dyDescent="0.2">
      <c r="B133">
        <v>28</v>
      </c>
    </row>
    <row r="134" spans="2:2" x14ac:dyDescent="0.2">
      <c r="B134">
        <v>73</v>
      </c>
    </row>
    <row r="135" spans="2:2" x14ac:dyDescent="0.2">
      <c r="B135">
        <v>37</v>
      </c>
    </row>
    <row r="136" spans="2:2" x14ac:dyDescent="0.2">
      <c r="B136">
        <v>49</v>
      </c>
    </row>
    <row r="137" spans="2:2" x14ac:dyDescent="0.2">
      <c r="B137">
        <v>77</v>
      </c>
    </row>
    <row r="138" spans="2:2" x14ac:dyDescent="0.2">
      <c r="B138">
        <v>75</v>
      </c>
    </row>
    <row r="139" spans="2:2" x14ac:dyDescent="0.2">
      <c r="B139">
        <v>15</v>
      </c>
    </row>
    <row r="140" spans="2:2" x14ac:dyDescent="0.2">
      <c r="B140">
        <v>39</v>
      </c>
    </row>
    <row r="141" spans="2:2" x14ac:dyDescent="0.2">
      <c r="B141">
        <v>67</v>
      </c>
    </row>
    <row r="142" spans="2:2" x14ac:dyDescent="0.2">
      <c r="B142">
        <v>57</v>
      </c>
    </row>
    <row r="143" spans="2:2" x14ac:dyDescent="0.2">
      <c r="B143">
        <v>70</v>
      </c>
    </row>
    <row r="144" spans="2:2" x14ac:dyDescent="0.2">
      <c r="B144">
        <v>18</v>
      </c>
    </row>
    <row r="145" spans="2:2" x14ac:dyDescent="0.2">
      <c r="B145">
        <v>70</v>
      </c>
    </row>
    <row r="146" spans="2:2" x14ac:dyDescent="0.2">
      <c r="B146">
        <v>64</v>
      </c>
    </row>
    <row r="147" spans="2:2" x14ac:dyDescent="0.2">
      <c r="B147">
        <v>70</v>
      </c>
    </row>
    <row r="148" spans="2:2" x14ac:dyDescent="0.2">
      <c r="B148">
        <v>20</v>
      </c>
    </row>
    <row r="149" spans="2:2" x14ac:dyDescent="0.2">
      <c r="B149">
        <v>79</v>
      </c>
    </row>
    <row r="150" spans="2:2" x14ac:dyDescent="0.2">
      <c r="B150">
        <v>33</v>
      </c>
    </row>
    <row r="151" spans="2:2" x14ac:dyDescent="0.2">
      <c r="B151">
        <v>72</v>
      </c>
    </row>
    <row r="152" spans="2:2" x14ac:dyDescent="0.2">
      <c r="B152">
        <v>13</v>
      </c>
    </row>
    <row r="153" spans="2:2" x14ac:dyDescent="0.2">
      <c r="B153">
        <v>10</v>
      </c>
    </row>
    <row r="154" spans="2:2" x14ac:dyDescent="0.2">
      <c r="B154">
        <v>39</v>
      </c>
    </row>
    <row r="155" spans="2:2" x14ac:dyDescent="0.2">
      <c r="B155">
        <v>22</v>
      </c>
    </row>
    <row r="156" spans="2:2" x14ac:dyDescent="0.2">
      <c r="B156">
        <v>79</v>
      </c>
    </row>
    <row r="157" spans="2:2" x14ac:dyDescent="0.2">
      <c r="B157">
        <v>55</v>
      </c>
    </row>
    <row r="158" spans="2:2" x14ac:dyDescent="0.2">
      <c r="B158">
        <v>54</v>
      </c>
    </row>
    <row r="159" spans="2:2" x14ac:dyDescent="0.2">
      <c r="B159">
        <v>27</v>
      </c>
    </row>
    <row r="160" spans="2:2" x14ac:dyDescent="0.2">
      <c r="B160">
        <v>21</v>
      </c>
    </row>
    <row r="161" spans="2:2" x14ac:dyDescent="0.2">
      <c r="B161">
        <v>24</v>
      </c>
    </row>
    <row r="162" spans="2:2" x14ac:dyDescent="0.2">
      <c r="B162">
        <v>61</v>
      </c>
    </row>
    <row r="163" spans="2:2" x14ac:dyDescent="0.2">
      <c r="B163">
        <v>59</v>
      </c>
    </row>
    <row r="164" spans="2:2" x14ac:dyDescent="0.2">
      <c r="B164">
        <v>10</v>
      </c>
    </row>
    <row r="165" spans="2:2" x14ac:dyDescent="0.2">
      <c r="B165">
        <v>71</v>
      </c>
    </row>
    <row r="166" spans="2:2" x14ac:dyDescent="0.2">
      <c r="B166">
        <v>64</v>
      </c>
    </row>
    <row r="167" spans="2:2" x14ac:dyDescent="0.2">
      <c r="B167">
        <v>26</v>
      </c>
    </row>
    <row r="168" spans="2:2" x14ac:dyDescent="0.2">
      <c r="B168">
        <v>15</v>
      </c>
    </row>
    <row r="169" spans="2:2" x14ac:dyDescent="0.2">
      <c r="B169">
        <v>80</v>
      </c>
    </row>
    <row r="170" spans="2:2" x14ac:dyDescent="0.2">
      <c r="B170">
        <v>67</v>
      </c>
    </row>
    <row r="171" spans="2:2" x14ac:dyDescent="0.2">
      <c r="B171">
        <v>50</v>
      </c>
    </row>
    <row r="172" spans="2:2" x14ac:dyDescent="0.2">
      <c r="B172">
        <v>70</v>
      </c>
    </row>
    <row r="173" spans="2:2" x14ac:dyDescent="0.2">
      <c r="B173">
        <v>71</v>
      </c>
    </row>
    <row r="174" spans="2:2" x14ac:dyDescent="0.2">
      <c r="B174">
        <v>18</v>
      </c>
    </row>
    <row r="175" spans="2:2" x14ac:dyDescent="0.2">
      <c r="B175">
        <v>81</v>
      </c>
    </row>
    <row r="176" spans="2:2" x14ac:dyDescent="0.2">
      <c r="B176">
        <v>35</v>
      </c>
    </row>
    <row r="177" spans="2:2" x14ac:dyDescent="0.2">
      <c r="B177">
        <v>12</v>
      </c>
    </row>
    <row r="178" spans="2:2" x14ac:dyDescent="0.2">
      <c r="B178">
        <v>63</v>
      </c>
    </row>
    <row r="179" spans="2:2" x14ac:dyDescent="0.2">
      <c r="B179">
        <v>34</v>
      </c>
    </row>
    <row r="180" spans="2:2" x14ac:dyDescent="0.2">
      <c r="B180">
        <v>70</v>
      </c>
    </row>
    <row r="181" spans="2:2" x14ac:dyDescent="0.2">
      <c r="B181">
        <v>51</v>
      </c>
    </row>
    <row r="182" spans="2:2" x14ac:dyDescent="0.2">
      <c r="B182">
        <v>44</v>
      </c>
    </row>
    <row r="183" spans="2:2" x14ac:dyDescent="0.2">
      <c r="B183">
        <v>59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53C1D-1FB8-E647-B76D-BEEAD5B6C4C9}">
  <dimension ref="A6:J45"/>
  <sheetViews>
    <sheetView tabSelected="1" topLeftCell="A30" zoomScale="208" workbookViewId="0">
      <selection activeCell="C37" sqref="C37"/>
    </sheetView>
  </sheetViews>
  <sheetFormatPr baseColWidth="10" defaultRowHeight="16" x14ac:dyDescent="0.2"/>
  <sheetData>
    <row r="6" spans="2:6" x14ac:dyDescent="0.2">
      <c r="B6" t="s">
        <v>46</v>
      </c>
    </row>
    <row r="8" spans="2:6" x14ac:dyDescent="0.2">
      <c r="B8" t="s">
        <v>47</v>
      </c>
      <c r="D8" t="s">
        <v>48</v>
      </c>
    </row>
    <row r="9" spans="2:6" x14ac:dyDescent="0.2">
      <c r="B9">
        <v>10000</v>
      </c>
      <c r="D9">
        <f>AVERAGE(B9:B12)</f>
        <v>20000</v>
      </c>
    </row>
    <row r="10" spans="2:6" x14ac:dyDescent="0.2">
      <c r="B10">
        <v>15000</v>
      </c>
    </row>
    <row r="11" spans="2:6" x14ac:dyDescent="0.2">
      <c r="B11">
        <v>25000</v>
      </c>
      <c r="D11">
        <f>_xlfn.STDEV.P(B9:B12)</f>
        <v>7905.6941504209481</v>
      </c>
      <c r="F11">
        <f>_xlfn.STDEV.S(B9:B12)</f>
        <v>9128.709291752768</v>
      </c>
    </row>
    <row r="12" spans="2:6" x14ac:dyDescent="0.2">
      <c r="B12">
        <v>30000</v>
      </c>
    </row>
    <row r="15" spans="2:6" x14ac:dyDescent="0.2">
      <c r="B15" t="s">
        <v>47</v>
      </c>
      <c r="D15" t="s">
        <v>49</v>
      </c>
    </row>
    <row r="16" spans="2:6" x14ac:dyDescent="0.2">
      <c r="B16">
        <v>10000</v>
      </c>
      <c r="D16">
        <f>AVERAGE(B16:B20)</f>
        <v>4616000</v>
      </c>
    </row>
    <row r="17" spans="1:7" x14ac:dyDescent="0.2">
      <c r="B17">
        <v>15000</v>
      </c>
    </row>
    <row r="18" spans="1:7" x14ac:dyDescent="0.2">
      <c r="B18">
        <v>25000</v>
      </c>
    </row>
    <row r="19" spans="1:7" x14ac:dyDescent="0.2">
      <c r="B19">
        <v>30000</v>
      </c>
    </row>
    <row r="20" spans="1:7" x14ac:dyDescent="0.2">
      <c r="B20">
        <v>23000000</v>
      </c>
    </row>
    <row r="23" spans="1:7" x14ac:dyDescent="0.2">
      <c r="A23" s="3"/>
      <c r="B23" s="3"/>
      <c r="C23" s="3"/>
      <c r="D23" s="3"/>
      <c r="E23" s="3"/>
      <c r="F23" s="3"/>
      <c r="G23" s="3"/>
    </row>
    <row r="26" spans="1:7" x14ac:dyDescent="0.2">
      <c r="B26" t="s">
        <v>63</v>
      </c>
    </row>
    <row r="28" spans="1:7" x14ac:dyDescent="0.2">
      <c r="B28">
        <v>40</v>
      </c>
      <c r="C28" t="b">
        <f>OR(B28&lt;$G$37,B28&gt;$G$39)</f>
        <v>0</v>
      </c>
    </row>
    <row r="29" spans="1:7" x14ac:dyDescent="0.2">
      <c r="B29">
        <v>40</v>
      </c>
      <c r="C29" t="b">
        <f t="shared" ref="C29:C42" si="0">OR(B29&lt;$G$37,B29&gt;$G$39)</f>
        <v>0</v>
      </c>
    </row>
    <row r="30" spans="1:7" x14ac:dyDescent="0.2">
      <c r="B30">
        <v>23</v>
      </c>
      <c r="C30" t="b">
        <f t="shared" si="0"/>
        <v>0</v>
      </c>
      <c r="E30" t="s">
        <v>52</v>
      </c>
      <c r="G30">
        <f>QUARTILE($B$28:$B$42,1)</f>
        <v>25</v>
      </c>
    </row>
    <row r="31" spans="1:7" x14ac:dyDescent="0.2">
      <c r="B31">
        <v>27</v>
      </c>
      <c r="C31" t="b">
        <f t="shared" si="0"/>
        <v>0</v>
      </c>
    </row>
    <row r="32" spans="1:7" x14ac:dyDescent="0.2">
      <c r="B32">
        <v>44</v>
      </c>
      <c r="C32" t="b">
        <f t="shared" si="0"/>
        <v>0</v>
      </c>
      <c r="E32" t="s">
        <v>53</v>
      </c>
      <c r="G32">
        <f>QUARTILE($B$28:$B$42,3)</f>
        <v>43.5</v>
      </c>
    </row>
    <row r="33" spans="1:10" x14ac:dyDescent="0.2">
      <c r="B33">
        <v>43</v>
      </c>
      <c r="C33" t="b">
        <f>OR(B33&lt;$G$37,B33&gt;$G$39)</f>
        <v>0</v>
      </c>
    </row>
    <row r="34" spans="1:10" x14ac:dyDescent="0.2">
      <c r="B34">
        <v>43</v>
      </c>
      <c r="C34" t="b">
        <f t="shared" si="0"/>
        <v>0</v>
      </c>
      <c r="E34" t="s">
        <v>64</v>
      </c>
      <c r="G34">
        <f>G32-G30</f>
        <v>18.5</v>
      </c>
    </row>
    <row r="35" spans="1:10" x14ac:dyDescent="0.2">
      <c r="B35">
        <v>19</v>
      </c>
      <c r="C35" t="b">
        <f t="shared" si="0"/>
        <v>0</v>
      </c>
    </row>
    <row r="36" spans="1:10" x14ac:dyDescent="0.2">
      <c r="B36">
        <v>58</v>
      </c>
      <c r="C36" t="b">
        <f t="shared" si="0"/>
        <v>0</v>
      </c>
    </row>
    <row r="37" spans="1:10" x14ac:dyDescent="0.2">
      <c r="B37">
        <v>28</v>
      </c>
      <c r="C37" t="b">
        <f t="shared" si="0"/>
        <v>0</v>
      </c>
      <c r="E37" s="40" t="s">
        <v>65</v>
      </c>
      <c r="F37" s="40"/>
      <c r="G37" s="40">
        <f>G30-1.5*G34</f>
        <v>-2.75</v>
      </c>
    </row>
    <row r="38" spans="1:10" x14ac:dyDescent="0.2">
      <c r="B38">
        <v>455</v>
      </c>
      <c r="C38" t="b">
        <f t="shared" si="0"/>
        <v>1</v>
      </c>
    </row>
    <row r="39" spans="1:10" x14ac:dyDescent="0.2">
      <c r="B39">
        <v>19</v>
      </c>
      <c r="C39" t="b">
        <f t="shared" si="0"/>
        <v>0</v>
      </c>
      <c r="E39" s="40" t="s">
        <v>66</v>
      </c>
      <c r="F39" s="40"/>
      <c r="G39" s="40">
        <f>G32+1.5*G34</f>
        <v>71.25</v>
      </c>
    </row>
    <row r="40" spans="1:10" x14ac:dyDescent="0.2">
      <c r="B40">
        <v>18</v>
      </c>
      <c r="C40" t="b">
        <f t="shared" si="0"/>
        <v>0</v>
      </c>
    </row>
    <row r="41" spans="1:10" x14ac:dyDescent="0.2">
      <c r="B41">
        <v>32</v>
      </c>
      <c r="C41" t="b">
        <f t="shared" si="0"/>
        <v>0</v>
      </c>
    </row>
    <row r="42" spans="1:10" x14ac:dyDescent="0.2">
      <c r="B42">
        <v>630</v>
      </c>
      <c r="C42" t="b">
        <f t="shared" si="0"/>
        <v>1</v>
      </c>
    </row>
    <row r="45" spans="1:10" x14ac:dyDescent="0.2">
      <c r="A45" s="3"/>
      <c r="B45" s="3"/>
      <c r="C45" s="3"/>
      <c r="D45" s="3"/>
      <c r="E45" s="3"/>
      <c r="F45" s="3"/>
      <c r="G45" s="3"/>
      <c r="H45" s="3"/>
      <c r="I45" s="3"/>
      <c r="J45" s="3"/>
    </row>
  </sheetData>
  <conditionalFormatting sqref="C28:C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97A5A-5BF1-3742-93F0-FDD9A1D6D4DF}">
  <dimension ref="A1:Z144"/>
  <sheetViews>
    <sheetView topLeftCell="D1" zoomScale="108" workbookViewId="0">
      <selection activeCell="I19" sqref="I19"/>
    </sheetView>
  </sheetViews>
  <sheetFormatPr baseColWidth="10" defaultRowHeight="16" x14ac:dyDescent="0.2"/>
  <cols>
    <col min="16" max="17" width="11.6640625" bestFit="1" customWidth="1"/>
    <col min="19" max="20" width="11.6640625" bestFit="1" customWidth="1"/>
  </cols>
  <sheetData>
    <row r="1" spans="1:26" x14ac:dyDescent="0.2">
      <c r="A1" s="11"/>
      <c r="B1" s="20" t="s">
        <v>19</v>
      </c>
      <c r="C1" s="21"/>
      <c r="D1" s="11"/>
      <c r="E1" s="22" t="s">
        <v>20</v>
      </c>
      <c r="F1" s="23"/>
      <c r="G1" s="11"/>
      <c r="H1" s="24" t="s">
        <v>21</v>
      </c>
      <c r="I1" s="25"/>
      <c r="J1" s="11"/>
      <c r="K1" s="26" t="s">
        <v>22</v>
      </c>
      <c r="L1" s="27"/>
    </row>
    <row r="2" spans="1:26" ht="19" x14ac:dyDescent="0.25">
      <c r="A2" s="11"/>
      <c r="B2" s="12" t="s">
        <v>23</v>
      </c>
      <c r="C2" s="12" t="s">
        <v>24</v>
      </c>
      <c r="D2" s="11"/>
      <c r="E2" s="13" t="s">
        <v>23</v>
      </c>
      <c r="F2" s="13" t="s">
        <v>24</v>
      </c>
      <c r="G2" s="11"/>
      <c r="H2" s="14" t="s">
        <v>23</v>
      </c>
      <c r="I2" s="14" t="s">
        <v>24</v>
      </c>
      <c r="J2" s="11"/>
      <c r="K2" s="15" t="s">
        <v>23</v>
      </c>
      <c r="L2" s="15" t="s">
        <v>24</v>
      </c>
      <c r="O2" s="11"/>
      <c r="P2" s="32" t="s">
        <v>19</v>
      </c>
      <c r="Q2" s="33"/>
      <c r="R2" s="11"/>
      <c r="S2" s="22" t="s">
        <v>20</v>
      </c>
      <c r="T2" s="23"/>
      <c r="U2" s="11"/>
      <c r="V2" s="24" t="s">
        <v>21</v>
      </c>
      <c r="W2" s="25"/>
      <c r="X2" s="11"/>
      <c r="Y2" s="26" t="s">
        <v>22</v>
      </c>
      <c r="Z2" s="27"/>
    </row>
    <row r="3" spans="1:26" x14ac:dyDescent="0.2">
      <c r="A3" s="11"/>
      <c r="B3" s="16">
        <v>55.993030150000003</v>
      </c>
      <c r="C3" s="16">
        <v>79.277263700000006</v>
      </c>
      <c r="D3" s="11"/>
      <c r="E3" s="17">
        <v>55.384599999999999</v>
      </c>
      <c r="F3" s="17">
        <v>97.179500000000004</v>
      </c>
      <c r="G3" s="11"/>
      <c r="H3" s="18">
        <v>58.213608260000001</v>
      </c>
      <c r="I3" s="18">
        <v>91.881891510000003</v>
      </c>
      <c r="J3" s="11"/>
      <c r="K3" s="19">
        <v>38.337757179999997</v>
      </c>
      <c r="L3" s="19">
        <v>92.472719049999995</v>
      </c>
      <c r="O3" s="11"/>
      <c r="P3" s="28" t="s">
        <v>25</v>
      </c>
      <c r="Q3" s="28" t="s">
        <v>26</v>
      </c>
      <c r="R3" s="11"/>
      <c r="S3" s="29" t="s">
        <v>25</v>
      </c>
      <c r="T3" s="29" t="s">
        <v>26</v>
      </c>
      <c r="U3" s="11"/>
      <c r="V3" s="30" t="s">
        <v>25</v>
      </c>
      <c r="W3" s="30" t="s">
        <v>26</v>
      </c>
      <c r="X3" s="11"/>
      <c r="Y3" s="31" t="s">
        <v>25</v>
      </c>
      <c r="Z3" s="31" t="s">
        <v>26</v>
      </c>
    </row>
    <row r="4" spans="1:26" x14ac:dyDescent="0.2">
      <c r="A4" s="11"/>
      <c r="B4" s="16">
        <v>50.032253789999999</v>
      </c>
      <c r="C4" s="16">
        <v>79.013071199999999</v>
      </c>
      <c r="D4" s="11"/>
      <c r="E4" s="17">
        <v>51.538499999999999</v>
      </c>
      <c r="F4" s="17">
        <v>96.025599999999997</v>
      </c>
      <c r="G4" s="11"/>
      <c r="H4" s="18">
        <v>58.196053689999999</v>
      </c>
      <c r="I4" s="18">
        <v>92.214988649999995</v>
      </c>
      <c r="J4" s="11"/>
      <c r="K4" s="19">
        <v>35.751870789999998</v>
      </c>
      <c r="L4" s="19">
        <v>94.116768030000003</v>
      </c>
      <c r="O4" s="28" t="s">
        <v>27</v>
      </c>
      <c r="P4" s="34">
        <f>AVERAGE($B$3:$B$144)</f>
        <v>54.26731970598594</v>
      </c>
      <c r="Q4" s="34">
        <f>AVERAGE($B$3:$B$144)</f>
        <v>54.26731970598594</v>
      </c>
      <c r="R4" s="35"/>
      <c r="S4" s="36">
        <f>AVERAGE($E$3:$E$144)</f>
        <v>54.263273239436643</v>
      </c>
      <c r="T4" s="36">
        <f>AVERAGE(F3:F144)</f>
        <v>47.832252816901374</v>
      </c>
      <c r="U4" s="35"/>
      <c r="V4" s="37">
        <f>AVERAGE(H3:H144)</f>
        <v>54.26734110478872</v>
      </c>
      <c r="W4" s="37">
        <f>AVERAGE(I3:I144)</f>
        <v>47.83954522535209</v>
      </c>
      <c r="X4" s="35"/>
      <c r="Y4" s="38">
        <f>AVERAGE(K3:K144)</f>
        <v>54.260150334154929</v>
      </c>
      <c r="Z4" s="38">
        <f>AVERAGE(L3:L144)</f>
        <v>47.839717279450717</v>
      </c>
    </row>
    <row r="5" spans="1:26" x14ac:dyDescent="0.2">
      <c r="A5" s="11"/>
      <c r="B5" s="16">
        <v>51.288458660000003</v>
      </c>
      <c r="C5" s="16">
        <v>82.435939840000003</v>
      </c>
      <c r="D5" s="11"/>
      <c r="E5" s="17">
        <v>46.153799999999997</v>
      </c>
      <c r="F5" s="17">
        <v>94.487200000000001</v>
      </c>
      <c r="G5" s="11"/>
      <c r="H5" s="18">
        <v>58.718230720000001</v>
      </c>
      <c r="I5" s="18">
        <v>90.310532089999995</v>
      </c>
      <c r="J5" s="11"/>
      <c r="K5" s="19">
        <v>32.767217960000004</v>
      </c>
      <c r="L5" s="19">
        <v>88.518294580000003</v>
      </c>
      <c r="O5" s="28" t="s">
        <v>28</v>
      </c>
      <c r="P5" s="34">
        <f>_xlfn.STDEV.P($B$3:$B$144)</f>
        <v>16.700894265150971</v>
      </c>
      <c r="Q5" s="34">
        <f>_xlfn.STDEV.P($C$3:$C$144)</f>
        <v>26.835044482889582</v>
      </c>
      <c r="S5" s="34">
        <f>_xlfn.STDEV.P($E$3:$E$144)</f>
        <v>16.706005551356565</v>
      </c>
      <c r="T5" s="34">
        <f>_xlfn.STDEV.P($F$3:$F$144)</f>
        <v>26.840392949306839</v>
      </c>
      <c r="V5" s="34">
        <f>_xlfn.STDEV.P($H$3:$H$144)</f>
        <v>16.709809263923034</v>
      </c>
      <c r="W5" s="34">
        <f>_xlfn.STDEV.P($I$3:$I$144)</f>
        <v>26.83528224151376</v>
      </c>
      <c r="Y5" s="34">
        <f>_xlfn.STDEV.P($H$3:$H$144)</f>
        <v>16.709809263923034</v>
      </c>
      <c r="Z5" s="34">
        <f>_xlfn.STDEV.P($I$3:$I$144)</f>
        <v>26.83528224151376</v>
      </c>
    </row>
    <row r="6" spans="1:26" x14ac:dyDescent="0.2">
      <c r="A6" s="11"/>
      <c r="B6" s="16">
        <v>51.170536890000001</v>
      </c>
      <c r="C6" s="16">
        <v>79.165294110000005</v>
      </c>
      <c r="D6" s="11"/>
      <c r="E6" s="17">
        <v>42.820500000000003</v>
      </c>
      <c r="F6" s="17">
        <v>91.410300000000007</v>
      </c>
      <c r="G6" s="11"/>
      <c r="H6" s="18">
        <v>57.278372869999998</v>
      </c>
      <c r="I6" s="18">
        <v>89.907606720000004</v>
      </c>
      <c r="J6" s="11"/>
      <c r="K6" s="19">
        <v>33.729606779999997</v>
      </c>
      <c r="L6" s="19">
        <v>88.62226579</v>
      </c>
    </row>
    <row r="7" spans="1:26" x14ac:dyDescent="0.2">
      <c r="A7" s="11"/>
      <c r="B7" s="16">
        <v>44.377914529999998</v>
      </c>
      <c r="C7" s="16">
        <v>78.164627999999993</v>
      </c>
      <c r="D7" s="11"/>
      <c r="E7" s="17">
        <v>40.769199999999998</v>
      </c>
      <c r="F7" s="17">
        <v>88.333299999999994</v>
      </c>
      <c r="G7" s="11"/>
      <c r="H7" s="18">
        <v>58.082020489999998</v>
      </c>
      <c r="I7" s="18">
        <v>92.008145010000007</v>
      </c>
      <c r="J7" s="11"/>
      <c r="K7" s="19">
        <v>37.238249330000002</v>
      </c>
      <c r="L7" s="19">
        <v>83.724928410000004</v>
      </c>
    </row>
    <row r="8" spans="1:26" x14ac:dyDescent="0.2">
      <c r="A8" s="11"/>
      <c r="B8" s="16">
        <v>45.010270069999997</v>
      </c>
      <c r="C8" s="16">
        <v>77.880863120000001</v>
      </c>
      <c r="D8" s="11"/>
      <c r="E8" s="17">
        <v>38.7179</v>
      </c>
      <c r="F8" s="17">
        <v>84.871799999999993</v>
      </c>
      <c r="G8" s="11"/>
      <c r="H8" s="18">
        <v>57.489447769999998</v>
      </c>
      <c r="I8" s="18">
        <v>88.085285560000003</v>
      </c>
      <c r="J8" s="11"/>
      <c r="K8" s="19">
        <v>36.027198220000002</v>
      </c>
      <c r="L8" s="19">
        <v>82.040780650000002</v>
      </c>
    </row>
    <row r="9" spans="1:26" x14ac:dyDescent="0.2">
      <c r="A9" s="11"/>
      <c r="B9" s="16">
        <v>48.559816720000001</v>
      </c>
      <c r="C9" s="16">
        <v>78.788370599999993</v>
      </c>
      <c r="D9" s="11"/>
      <c r="E9" s="17">
        <v>35.640999999999998</v>
      </c>
      <c r="F9" s="17">
        <v>79.871799999999993</v>
      </c>
      <c r="G9" s="11"/>
      <c r="H9" s="18">
        <v>28.08874132</v>
      </c>
      <c r="I9" s="18">
        <v>63.510794429999997</v>
      </c>
      <c r="J9" s="11"/>
      <c r="K9" s="19">
        <v>39.239280780000001</v>
      </c>
      <c r="L9" s="19">
        <v>79.263723839999997</v>
      </c>
    </row>
    <row r="10" spans="1:26" x14ac:dyDescent="0.2">
      <c r="A10" s="11"/>
      <c r="B10" s="16">
        <v>42.142268289999997</v>
      </c>
      <c r="C10" s="16">
        <v>76.880634549999996</v>
      </c>
      <c r="D10" s="11"/>
      <c r="E10" s="17">
        <v>33.076900000000002</v>
      </c>
      <c r="F10" s="17">
        <v>77.564099999999996</v>
      </c>
      <c r="G10" s="11"/>
      <c r="H10" s="18">
        <v>28.085468209999998</v>
      </c>
      <c r="I10" s="18">
        <v>63.590196949999999</v>
      </c>
      <c r="J10" s="11"/>
      <c r="K10" s="19">
        <v>39.784524939999997</v>
      </c>
      <c r="L10" s="19">
        <v>82.260565900000003</v>
      </c>
    </row>
    <row r="11" spans="1:26" x14ac:dyDescent="0.2">
      <c r="A11" s="11"/>
      <c r="B11" s="16">
        <v>41.026971570000001</v>
      </c>
      <c r="C11" s="16">
        <v>76.409588459999995</v>
      </c>
      <c r="D11" s="11"/>
      <c r="E11" s="17">
        <v>28.974399999999999</v>
      </c>
      <c r="F11" s="17">
        <v>74.487200000000001</v>
      </c>
      <c r="G11" s="11"/>
      <c r="H11" s="18">
        <v>28.08727305</v>
      </c>
      <c r="I11" s="18">
        <v>63.123282809999999</v>
      </c>
      <c r="J11" s="11"/>
      <c r="K11" s="19">
        <v>35.166029389999999</v>
      </c>
      <c r="L11" s="19">
        <v>84.156491979999998</v>
      </c>
    </row>
    <row r="12" spans="1:26" x14ac:dyDescent="0.2">
      <c r="A12" s="11"/>
      <c r="B12" s="16">
        <v>34.575309009999998</v>
      </c>
      <c r="C12" s="16">
        <v>72.724841179999999</v>
      </c>
      <c r="D12" s="11"/>
      <c r="E12" s="17">
        <v>26.1538</v>
      </c>
      <c r="F12" s="17">
        <v>71.410300000000007</v>
      </c>
      <c r="G12" s="11"/>
      <c r="H12" s="18">
        <v>27.578025220000001</v>
      </c>
      <c r="I12" s="18">
        <v>62.821038659999999</v>
      </c>
      <c r="J12" s="11"/>
      <c r="K12" s="19">
        <v>40.622115919999999</v>
      </c>
      <c r="L12" s="19">
        <v>78.542104210000005</v>
      </c>
    </row>
    <row r="13" spans="1:26" x14ac:dyDescent="0.2">
      <c r="A13" s="11"/>
      <c r="B13" s="16">
        <v>31.168600720000001</v>
      </c>
      <c r="C13" s="16">
        <v>69.245421320000005</v>
      </c>
      <c r="D13" s="11"/>
      <c r="E13" s="17">
        <v>23.076899999999998</v>
      </c>
      <c r="F13" s="17">
        <v>66.410300000000007</v>
      </c>
      <c r="G13" s="11"/>
      <c r="H13" s="18">
        <v>27.779919110000002</v>
      </c>
      <c r="I13" s="18">
        <v>63.518147519999999</v>
      </c>
      <c r="J13" s="11"/>
      <c r="K13" s="19">
        <v>39.181907090000003</v>
      </c>
      <c r="L13" s="19">
        <v>79.819037199999997</v>
      </c>
    </row>
    <row r="14" spans="1:26" x14ac:dyDescent="0.2">
      <c r="A14" s="11"/>
      <c r="B14" s="16">
        <v>32.644254070000002</v>
      </c>
      <c r="C14" s="16">
        <v>70.73255503</v>
      </c>
      <c r="D14" s="11"/>
      <c r="E14" s="17">
        <v>22.307700000000001</v>
      </c>
      <c r="F14" s="17">
        <v>61.794899999999998</v>
      </c>
      <c r="G14" s="11"/>
      <c r="H14" s="18">
        <v>28.588999810000001</v>
      </c>
      <c r="I14" s="18">
        <v>63.024080570000002</v>
      </c>
      <c r="J14" s="11"/>
      <c r="K14" s="19">
        <v>42.43088899</v>
      </c>
      <c r="L14" s="19">
        <v>75.133634639999997</v>
      </c>
    </row>
    <row r="15" spans="1:26" x14ac:dyDescent="0.2">
      <c r="A15" s="11"/>
      <c r="B15" s="16">
        <v>26.66664565</v>
      </c>
      <c r="C15" s="16">
        <v>62.98097121</v>
      </c>
      <c r="D15" s="11"/>
      <c r="E15" s="17">
        <v>22.307700000000001</v>
      </c>
      <c r="F15" s="17">
        <v>57.179499999999997</v>
      </c>
      <c r="G15" s="11"/>
      <c r="H15" s="18">
        <v>28.739141499999999</v>
      </c>
      <c r="I15" s="18">
        <v>62.720863889999997</v>
      </c>
      <c r="J15" s="11"/>
      <c r="K15" s="19">
        <v>43.081255859999999</v>
      </c>
      <c r="L15" s="19">
        <v>75.346701640000006</v>
      </c>
    </row>
    <row r="16" spans="1:26" x14ac:dyDescent="0.2">
      <c r="A16" s="11"/>
      <c r="B16" s="16">
        <v>26.459262330000001</v>
      </c>
      <c r="C16" s="16">
        <v>62.634673370000002</v>
      </c>
      <c r="D16" s="11"/>
      <c r="E16" s="17">
        <v>23.333300000000001</v>
      </c>
      <c r="F16" s="17">
        <v>52.948700000000002</v>
      </c>
      <c r="G16" s="11"/>
      <c r="H16" s="18">
        <v>27.024603240000001</v>
      </c>
      <c r="I16" s="18">
        <v>62.901858859999997</v>
      </c>
      <c r="J16" s="11"/>
      <c r="K16" s="19">
        <v>44.360719430000003</v>
      </c>
      <c r="L16" s="19">
        <v>70.474207050000004</v>
      </c>
    </row>
    <row r="17" spans="1:12" x14ac:dyDescent="0.2">
      <c r="A17" s="11"/>
      <c r="B17" s="16">
        <v>25.538007650000001</v>
      </c>
      <c r="C17" s="16">
        <v>60.630236109999998</v>
      </c>
      <c r="D17" s="11"/>
      <c r="E17" s="17">
        <v>25.897400000000001</v>
      </c>
      <c r="F17" s="17">
        <v>51.025599999999997</v>
      </c>
      <c r="G17" s="11"/>
      <c r="H17" s="18">
        <v>28.8013367</v>
      </c>
      <c r="I17" s="18">
        <v>63.389040389999998</v>
      </c>
      <c r="J17" s="11"/>
      <c r="K17" s="19">
        <v>44.32477884</v>
      </c>
      <c r="L17" s="19">
        <v>71.045904399999998</v>
      </c>
    </row>
    <row r="18" spans="1:12" x14ac:dyDescent="0.2">
      <c r="A18" s="11"/>
      <c r="B18" s="16">
        <v>26.320711190000001</v>
      </c>
      <c r="C18" s="16">
        <v>62.396281119999998</v>
      </c>
      <c r="D18" s="11"/>
      <c r="E18" s="17">
        <v>29.487200000000001</v>
      </c>
      <c r="F18" s="17">
        <v>51.025599999999997</v>
      </c>
      <c r="G18" s="11"/>
      <c r="H18" s="18">
        <v>27.186463839999998</v>
      </c>
      <c r="I18" s="18">
        <v>63.558729649999997</v>
      </c>
      <c r="J18" s="11"/>
      <c r="K18" s="19">
        <v>47.552160200000003</v>
      </c>
      <c r="L18" s="19">
        <v>66.460403720000002</v>
      </c>
    </row>
    <row r="19" spans="1:12" x14ac:dyDescent="0.2">
      <c r="A19" s="11"/>
      <c r="B19" s="16">
        <v>26.163387459999999</v>
      </c>
      <c r="C19" s="16">
        <v>62.026814899999998</v>
      </c>
      <c r="D19" s="11"/>
      <c r="E19" s="17">
        <v>32.820500000000003</v>
      </c>
      <c r="F19" s="17">
        <v>51.025599999999997</v>
      </c>
      <c r="G19" s="11"/>
      <c r="H19" s="18">
        <v>29.285146600000001</v>
      </c>
      <c r="I19" s="18">
        <v>63.38360583</v>
      </c>
      <c r="J19" s="11"/>
      <c r="K19" s="19">
        <v>48.664924620000001</v>
      </c>
      <c r="L19" s="19">
        <v>64.961004939999995</v>
      </c>
    </row>
    <row r="20" spans="1:12" x14ac:dyDescent="0.2">
      <c r="A20" s="11"/>
      <c r="B20" s="16">
        <v>25.213790459999998</v>
      </c>
      <c r="C20" s="16">
        <v>60.2733986</v>
      </c>
      <c r="D20" s="11"/>
      <c r="E20" s="17">
        <v>35.384599999999999</v>
      </c>
      <c r="F20" s="17">
        <v>51.410299999999999</v>
      </c>
      <c r="G20" s="11"/>
      <c r="H20" s="18">
        <v>39.402945299999999</v>
      </c>
      <c r="I20" s="18">
        <v>51.150857199999997</v>
      </c>
      <c r="J20" s="11"/>
      <c r="K20" s="19">
        <v>46.280631960000001</v>
      </c>
      <c r="L20" s="19">
        <v>68.028423149999995</v>
      </c>
    </row>
    <row r="21" spans="1:12" x14ac:dyDescent="0.2">
      <c r="A21" s="11"/>
      <c r="B21" s="16">
        <v>26.859529559999999</v>
      </c>
      <c r="C21" s="16">
        <v>63.141834670000001</v>
      </c>
      <c r="D21" s="11"/>
      <c r="E21" s="17">
        <v>40.256399999999999</v>
      </c>
      <c r="F21" s="17">
        <v>51.410299999999999</v>
      </c>
      <c r="G21" s="11"/>
      <c r="H21" s="18">
        <v>28.81132844</v>
      </c>
      <c r="I21" s="18">
        <v>61.357854060000001</v>
      </c>
      <c r="J21" s="11"/>
      <c r="K21" s="19">
        <v>50.563244480000002</v>
      </c>
      <c r="L21" s="19">
        <v>62.623827970000001</v>
      </c>
    </row>
    <row r="22" spans="1:12" x14ac:dyDescent="0.2">
      <c r="A22" s="11"/>
      <c r="B22" s="16">
        <v>31.76066917</v>
      </c>
      <c r="C22" s="16">
        <v>69.797655390000003</v>
      </c>
      <c r="D22" s="11"/>
      <c r="E22" s="17">
        <v>44.102600000000002</v>
      </c>
      <c r="F22" s="17">
        <v>52.948700000000002</v>
      </c>
      <c r="G22" s="11"/>
      <c r="H22" s="18">
        <v>34.303957910000001</v>
      </c>
      <c r="I22" s="18">
        <v>56.542125910000003</v>
      </c>
      <c r="J22" s="11"/>
      <c r="K22" s="19">
        <v>52.630964229999996</v>
      </c>
      <c r="L22" s="19">
        <v>59.963935790000001</v>
      </c>
    </row>
    <row r="23" spans="1:12" x14ac:dyDescent="0.2">
      <c r="A23" s="11"/>
      <c r="B23" s="16">
        <v>39.793290570000003</v>
      </c>
      <c r="C23" s="16">
        <v>75.807964220000002</v>
      </c>
      <c r="D23" s="11"/>
      <c r="E23" s="17">
        <v>46.666699999999999</v>
      </c>
      <c r="F23" s="17">
        <v>54.102600000000002</v>
      </c>
      <c r="G23" s="11"/>
      <c r="H23" s="18">
        <v>29.602760979999999</v>
      </c>
      <c r="I23" s="18">
        <v>60.15734672</v>
      </c>
      <c r="J23" s="11"/>
      <c r="K23" s="19">
        <v>54.636206440000002</v>
      </c>
      <c r="L23" s="19">
        <v>57.493842440000002</v>
      </c>
    </row>
    <row r="24" spans="1:12" x14ac:dyDescent="0.2">
      <c r="A24" s="11"/>
      <c r="B24" s="16">
        <v>45.617439189999999</v>
      </c>
      <c r="C24" s="16">
        <v>78.119970230000007</v>
      </c>
      <c r="D24" s="11"/>
      <c r="E24" s="17">
        <v>50</v>
      </c>
      <c r="F24" s="17">
        <v>55.256399999999999</v>
      </c>
      <c r="G24" s="11"/>
      <c r="H24" s="18">
        <v>49.116156859999997</v>
      </c>
      <c r="I24" s="18">
        <v>63.660000619999998</v>
      </c>
      <c r="J24" s="11"/>
      <c r="K24" s="19">
        <v>51.346027139999997</v>
      </c>
      <c r="L24" s="19">
        <v>61.600553040000001</v>
      </c>
    </row>
    <row r="25" spans="1:12" x14ac:dyDescent="0.2">
      <c r="A25" s="11"/>
      <c r="B25" s="16">
        <v>53.771460679999997</v>
      </c>
      <c r="C25" s="16">
        <v>79.302931639999997</v>
      </c>
      <c r="D25" s="11"/>
      <c r="E25" s="17">
        <v>53.076900000000002</v>
      </c>
      <c r="F25" s="17">
        <v>55.640999999999998</v>
      </c>
      <c r="G25" s="11"/>
      <c r="H25" s="18">
        <v>39.617545829999997</v>
      </c>
      <c r="I25" s="18">
        <v>62.925187960000002</v>
      </c>
      <c r="J25" s="11"/>
      <c r="K25" s="19">
        <v>57.134855350000002</v>
      </c>
      <c r="L25" s="19">
        <v>53.877965799999998</v>
      </c>
    </row>
    <row r="26" spans="1:12" x14ac:dyDescent="0.2">
      <c r="A26" s="11"/>
      <c r="B26" s="16">
        <v>56.45143367</v>
      </c>
      <c r="C26" s="16">
        <v>79.247107020000001</v>
      </c>
      <c r="D26" s="11"/>
      <c r="E26" s="17">
        <v>56.666699999999999</v>
      </c>
      <c r="F26" s="17">
        <v>56.025599999999997</v>
      </c>
      <c r="G26" s="11"/>
      <c r="H26" s="18">
        <v>43.233084660000003</v>
      </c>
      <c r="I26" s="18">
        <v>63.165218719999999</v>
      </c>
      <c r="J26" s="11"/>
      <c r="K26" s="19">
        <v>54.171241569999999</v>
      </c>
      <c r="L26" s="19">
        <v>58.059807900000003</v>
      </c>
    </row>
    <row r="27" spans="1:12" x14ac:dyDescent="0.2">
      <c r="A27" s="11"/>
      <c r="B27" s="16">
        <v>66.093720200000007</v>
      </c>
      <c r="C27" s="16">
        <v>77.017818259999999</v>
      </c>
      <c r="D27" s="11"/>
      <c r="E27" s="17">
        <v>59.230800000000002</v>
      </c>
      <c r="F27" s="17">
        <v>57.948700000000002</v>
      </c>
      <c r="G27" s="11"/>
      <c r="H27" s="18">
        <v>64.892787940000005</v>
      </c>
      <c r="I27" s="18">
        <v>65.814176759999995</v>
      </c>
      <c r="J27" s="11"/>
      <c r="K27" s="19">
        <v>50.942382309999999</v>
      </c>
      <c r="L27" s="19">
        <v>62.097393940000003</v>
      </c>
    </row>
    <row r="28" spans="1:12" x14ac:dyDescent="0.2">
      <c r="A28" s="11"/>
      <c r="B28" s="16">
        <v>56.925839420000003</v>
      </c>
      <c r="C28" s="16">
        <v>79.206318620000005</v>
      </c>
      <c r="D28" s="11"/>
      <c r="E28" s="17">
        <v>61.2821</v>
      </c>
      <c r="F28" s="17">
        <v>62.179499999999997</v>
      </c>
      <c r="G28" s="11"/>
      <c r="H28" s="18">
        <v>62.49014932</v>
      </c>
      <c r="I28" s="18">
        <v>74.584289609999999</v>
      </c>
      <c r="J28" s="11"/>
      <c r="K28" s="19">
        <v>66.512924459999994</v>
      </c>
      <c r="L28" s="19">
        <v>59.071281849999998</v>
      </c>
    </row>
    <row r="29" spans="1:12" x14ac:dyDescent="0.2">
      <c r="A29" s="11"/>
      <c r="B29" s="16">
        <v>58.98825385</v>
      </c>
      <c r="C29" s="16">
        <v>78.917258959999998</v>
      </c>
      <c r="D29" s="11"/>
      <c r="E29" s="17">
        <v>61.538499999999999</v>
      </c>
      <c r="F29" s="17">
        <v>66.410300000000007</v>
      </c>
      <c r="G29" s="11"/>
      <c r="H29" s="18">
        <v>68.988084430000001</v>
      </c>
      <c r="I29" s="18">
        <v>63.232147310000002</v>
      </c>
      <c r="J29" s="11"/>
      <c r="K29" s="19">
        <v>64.397909499999997</v>
      </c>
      <c r="L29" s="19">
        <v>56.174875399999998</v>
      </c>
    </row>
    <row r="30" spans="1:12" x14ac:dyDescent="0.2">
      <c r="A30" s="11"/>
      <c r="B30" s="16">
        <v>57.902266050000001</v>
      </c>
      <c r="C30" s="16">
        <v>79.080867819999995</v>
      </c>
      <c r="D30" s="11"/>
      <c r="E30" s="17">
        <v>61.794899999999998</v>
      </c>
      <c r="F30" s="17">
        <v>69.102599999999995</v>
      </c>
      <c r="G30" s="11"/>
      <c r="H30" s="18">
        <v>62.105618630000002</v>
      </c>
      <c r="I30" s="18">
        <v>75.990870760000007</v>
      </c>
      <c r="J30" s="11"/>
      <c r="K30" s="19">
        <v>68.686593290000005</v>
      </c>
      <c r="L30" s="19">
        <v>62.237343989999999</v>
      </c>
    </row>
    <row r="31" spans="1:12" x14ac:dyDescent="0.2">
      <c r="A31" s="11"/>
      <c r="B31" s="16">
        <v>64.812866959999994</v>
      </c>
      <c r="C31" s="16">
        <v>77.48693892</v>
      </c>
      <c r="D31" s="11"/>
      <c r="E31" s="17">
        <v>57.435899999999997</v>
      </c>
      <c r="F31" s="17">
        <v>55.256399999999999</v>
      </c>
      <c r="G31" s="11"/>
      <c r="H31" s="18">
        <v>32.461846739999999</v>
      </c>
      <c r="I31" s="18">
        <v>62.881902920000002</v>
      </c>
      <c r="J31" s="11"/>
      <c r="K31" s="19">
        <v>65.027793709999997</v>
      </c>
      <c r="L31" s="19">
        <v>57.096257350000002</v>
      </c>
    </row>
    <row r="32" spans="1:12" x14ac:dyDescent="0.2">
      <c r="A32" s="11"/>
      <c r="B32" s="16">
        <v>60.349793519999999</v>
      </c>
      <c r="C32" s="16">
        <v>78.729445870000006</v>
      </c>
      <c r="D32" s="11"/>
      <c r="E32" s="17">
        <v>54.8718</v>
      </c>
      <c r="F32" s="17">
        <v>49.8718</v>
      </c>
      <c r="G32" s="11"/>
      <c r="H32" s="18">
        <v>41.327200650000002</v>
      </c>
      <c r="I32" s="18">
        <v>49.07025127</v>
      </c>
      <c r="J32" s="11"/>
      <c r="K32" s="19">
        <v>53.304503169999997</v>
      </c>
      <c r="L32" s="19">
        <v>40.883844549999999</v>
      </c>
    </row>
    <row r="33" spans="1:12" x14ac:dyDescent="0.2">
      <c r="A33" s="11"/>
      <c r="B33" s="16">
        <v>48.890555759999998</v>
      </c>
      <c r="C33" s="16">
        <v>16.806543520000002</v>
      </c>
      <c r="D33" s="11"/>
      <c r="E33" s="17">
        <v>52.564100000000003</v>
      </c>
      <c r="F33" s="17">
        <v>46.025599999999997</v>
      </c>
      <c r="G33" s="11"/>
      <c r="H33" s="18">
        <v>44.007149929999997</v>
      </c>
      <c r="I33" s="18">
        <v>46.449673779999998</v>
      </c>
      <c r="J33" s="11"/>
      <c r="K33" s="19">
        <v>52.945178089999999</v>
      </c>
      <c r="L33" s="19">
        <v>40.38462569</v>
      </c>
    </row>
    <row r="34" spans="1:12" x14ac:dyDescent="0.2">
      <c r="A34" s="11"/>
      <c r="B34" s="16">
        <v>47.549506350000001</v>
      </c>
      <c r="C34" s="16">
        <v>17.071404520000002</v>
      </c>
      <c r="D34" s="11"/>
      <c r="E34" s="17">
        <v>48.205100000000002</v>
      </c>
      <c r="F34" s="17">
        <v>38.333300000000001</v>
      </c>
      <c r="G34" s="11"/>
      <c r="H34" s="18">
        <v>44.074060690000003</v>
      </c>
      <c r="I34" s="18">
        <v>34.553203889999999</v>
      </c>
      <c r="J34" s="11"/>
      <c r="K34" s="19">
        <v>45.225738200000002</v>
      </c>
      <c r="L34" s="19">
        <v>30.555225920000002</v>
      </c>
    </row>
    <row r="35" spans="1:12" x14ac:dyDescent="0.2">
      <c r="A35" s="11"/>
      <c r="B35" s="16">
        <v>30.889430829999998</v>
      </c>
      <c r="C35" s="16">
        <v>26.329037230000001</v>
      </c>
      <c r="D35" s="11"/>
      <c r="E35" s="17">
        <v>49.487200000000001</v>
      </c>
      <c r="F35" s="17">
        <v>42.179499999999997</v>
      </c>
      <c r="G35" s="11"/>
      <c r="H35" s="18">
        <v>44.001315239999997</v>
      </c>
      <c r="I35" s="18">
        <v>33.90420735</v>
      </c>
      <c r="J35" s="11"/>
      <c r="K35" s="19">
        <v>50.843304619999998</v>
      </c>
      <c r="L35" s="19">
        <v>37.7446281</v>
      </c>
    </row>
    <row r="36" spans="1:12" x14ac:dyDescent="0.2">
      <c r="A36" s="11"/>
      <c r="B36" s="16">
        <v>28.972835719999999</v>
      </c>
      <c r="C36" s="16">
        <v>29.05046892</v>
      </c>
      <c r="D36" s="11"/>
      <c r="E36" s="17">
        <v>51.025599999999997</v>
      </c>
      <c r="F36" s="17">
        <v>44.102600000000002</v>
      </c>
      <c r="G36" s="11"/>
      <c r="H36" s="18">
        <v>45.006300449999998</v>
      </c>
      <c r="I36" s="18">
        <v>38.299019549999997</v>
      </c>
      <c r="J36" s="11"/>
      <c r="K36" s="19">
        <v>49.659293939999998</v>
      </c>
      <c r="L36" s="19">
        <v>36.27344274</v>
      </c>
    </row>
    <row r="37" spans="1:12" x14ac:dyDescent="0.2">
      <c r="A37" s="11"/>
      <c r="B37" s="16">
        <v>35.16136075</v>
      </c>
      <c r="C37" s="16">
        <v>22.786849650000001</v>
      </c>
      <c r="D37" s="11"/>
      <c r="E37" s="17">
        <v>45.384599999999999</v>
      </c>
      <c r="F37" s="17">
        <v>36.410299999999999</v>
      </c>
      <c r="G37" s="11"/>
      <c r="H37" s="18">
        <v>44.443840610000002</v>
      </c>
      <c r="I37" s="18">
        <v>36.019083299999998</v>
      </c>
      <c r="J37" s="11"/>
      <c r="K37" s="19">
        <v>47.142788930000002</v>
      </c>
      <c r="L37" s="19">
        <v>32.02506417</v>
      </c>
    </row>
    <row r="38" spans="1:12" x14ac:dyDescent="0.2">
      <c r="A38" s="11"/>
      <c r="B38" s="16">
        <v>45.870369169999996</v>
      </c>
      <c r="C38" s="16">
        <v>17.489393369999998</v>
      </c>
      <c r="D38" s="11"/>
      <c r="E38" s="17">
        <v>42.820500000000003</v>
      </c>
      <c r="F38" s="17">
        <v>32.564100000000003</v>
      </c>
      <c r="G38" s="11"/>
      <c r="H38" s="18">
        <v>42.178713399999999</v>
      </c>
      <c r="I38" s="18">
        <v>26.492119479999999</v>
      </c>
      <c r="J38" s="11"/>
      <c r="K38" s="19">
        <v>41.270056529999998</v>
      </c>
      <c r="L38" s="19">
        <v>21.72181715</v>
      </c>
    </row>
    <row r="39" spans="1:12" x14ac:dyDescent="0.2">
      <c r="A39" s="11"/>
      <c r="B39" s="16">
        <v>32.831420610000002</v>
      </c>
      <c r="C39" s="16">
        <v>24.797538150000001</v>
      </c>
      <c r="D39" s="11"/>
      <c r="E39" s="17">
        <v>38.7179</v>
      </c>
      <c r="F39" s="17">
        <v>31.410299999999999</v>
      </c>
      <c r="G39" s="11"/>
      <c r="H39" s="18">
        <v>44.04456562</v>
      </c>
      <c r="I39" s="18">
        <v>35.662238279999997</v>
      </c>
      <c r="J39" s="11"/>
      <c r="K39" s="19">
        <v>47.130127160000001</v>
      </c>
      <c r="L39" s="19">
        <v>31.309902919999999</v>
      </c>
    </row>
    <row r="40" spans="1:12" x14ac:dyDescent="0.2">
      <c r="A40" s="11"/>
      <c r="B40" s="16">
        <v>39.485574790000001</v>
      </c>
      <c r="C40" s="16">
        <v>20.03305005</v>
      </c>
      <c r="D40" s="11"/>
      <c r="E40" s="17">
        <v>35.1282</v>
      </c>
      <c r="F40" s="17">
        <v>30.256399999999999</v>
      </c>
      <c r="G40" s="11"/>
      <c r="H40" s="18">
        <v>41.64045402</v>
      </c>
      <c r="I40" s="18">
        <v>27.093095420000001</v>
      </c>
      <c r="J40" s="11"/>
      <c r="K40" s="19">
        <v>40.915971579999997</v>
      </c>
      <c r="L40" s="19">
        <v>23.541592390000002</v>
      </c>
    </row>
    <row r="41" spans="1:12" x14ac:dyDescent="0.2">
      <c r="A41" s="11"/>
      <c r="B41" s="16">
        <v>33.446182929999999</v>
      </c>
      <c r="C41" s="16">
        <v>24.19064341</v>
      </c>
      <c r="D41" s="11"/>
      <c r="E41" s="17">
        <v>32.564100000000003</v>
      </c>
      <c r="F41" s="17">
        <v>32.179499999999997</v>
      </c>
      <c r="G41" s="11"/>
      <c r="H41" s="18">
        <v>41.938330010000001</v>
      </c>
      <c r="I41" s="18">
        <v>24.991522979999999</v>
      </c>
      <c r="J41" s="11"/>
      <c r="K41" s="19">
        <v>38.660163969999999</v>
      </c>
      <c r="L41" s="19">
        <v>21.689549639999999</v>
      </c>
    </row>
    <row r="42" spans="1:12" x14ac:dyDescent="0.2">
      <c r="A42" s="11"/>
      <c r="B42" s="16">
        <v>21.863581279999998</v>
      </c>
      <c r="C42" s="16">
        <v>46.052593350000002</v>
      </c>
      <c r="D42" s="11"/>
      <c r="E42" s="17">
        <v>30</v>
      </c>
      <c r="F42" s="17">
        <v>36.794899999999998</v>
      </c>
      <c r="G42" s="11"/>
      <c r="H42" s="18">
        <v>44.053927510000001</v>
      </c>
      <c r="I42" s="18">
        <v>33.55639249</v>
      </c>
      <c r="J42" s="11"/>
      <c r="K42" s="19">
        <v>42.612550830000004</v>
      </c>
      <c r="L42" s="19">
        <v>24.195053770000001</v>
      </c>
    </row>
    <row r="43" spans="1:12" x14ac:dyDescent="0.2">
      <c r="A43" s="11"/>
      <c r="B43" s="16">
        <v>25.16587084</v>
      </c>
      <c r="C43" s="16">
        <v>35.76661395</v>
      </c>
      <c r="D43" s="11"/>
      <c r="E43" s="17">
        <v>33.589700000000001</v>
      </c>
      <c r="F43" s="17">
        <v>41.410299999999999</v>
      </c>
      <c r="G43" s="11"/>
      <c r="H43" s="18">
        <v>39.206719329999999</v>
      </c>
      <c r="I43" s="18">
        <v>51.533715700000002</v>
      </c>
      <c r="J43" s="11"/>
      <c r="K43" s="19">
        <v>41.209039500000003</v>
      </c>
      <c r="L43" s="19">
        <v>24.128709189999999</v>
      </c>
    </row>
    <row r="44" spans="1:12" x14ac:dyDescent="0.2">
      <c r="A44" s="11"/>
      <c r="B44" s="16">
        <v>22.95947898</v>
      </c>
      <c r="C44" s="16">
        <v>51.287706790000001</v>
      </c>
      <c r="D44" s="11"/>
      <c r="E44" s="17">
        <v>36.666699999999999</v>
      </c>
      <c r="F44" s="17">
        <v>45.640999999999998</v>
      </c>
      <c r="G44" s="11"/>
      <c r="H44" s="18">
        <v>28.704449230000002</v>
      </c>
      <c r="I44" s="18">
        <v>61.777525400000002</v>
      </c>
      <c r="J44" s="11"/>
      <c r="K44" s="19">
        <v>50.649221150000002</v>
      </c>
      <c r="L44" s="19">
        <v>37.483790740000003</v>
      </c>
    </row>
    <row r="45" spans="1:12" x14ac:dyDescent="0.2">
      <c r="A45" s="11"/>
      <c r="B45" s="16">
        <v>25.58605524</v>
      </c>
      <c r="C45" s="16">
        <v>60.846583359999997</v>
      </c>
      <c r="D45" s="11"/>
      <c r="E45" s="17">
        <v>38.205100000000002</v>
      </c>
      <c r="F45" s="17">
        <v>49.102600000000002</v>
      </c>
      <c r="G45" s="11"/>
      <c r="H45" s="18">
        <v>31.7086629</v>
      </c>
      <c r="I45" s="18">
        <v>58.837754369999999</v>
      </c>
      <c r="J45" s="11"/>
      <c r="K45" s="19">
        <v>52.131901939999999</v>
      </c>
      <c r="L45" s="19">
        <v>39.364602079999997</v>
      </c>
    </row>
    <row r="46" spans="1:12" x14ac:dyDescent="0.2">
      <c r="A46" s="11"/>
      <c r="B46" s="16">
        <v>26.314310070000001</v>
      </c>
      <c r="C46" s="16">
        <v>33.2971681</v>
      </c>
      <c r="D46" s="11"/>
      <c r="E46" s="17">
        <v>29.743600000000001</v>
      </c>
      <c r="F46" s="17">
        <v>36.025599999999997</v>
      </c>
      <c r="G46" s="11"/>
      <c r="H46" s="18">
        <v>42.811711469999999</v>
      </c>
      <c r="I46" s="18">
        <v>30.020448420000001</v>
      </c>
      <c r="J46" s="11"/>
      <c r="K46" s="19">
        <v>39.797271270000003</v>
      </c>
      <c r="L46" s="19">
        <v>16.083549649999998</v>
      </c>
    </row>
    <row r="47" spans="1:12" x14ac:dyDescent="0.2">
      <c r="A47" s="11"/>
      <c r="B47" s="16">
        <v>33.037301249999999</v>
      </c>
      <c r="C47" s="16">
        <v>24.56446249</v>
      </c>
      <c r="D47" s="11"/>
      <c r="E47" s="17">
        <v>29.743600000000001</v>
      </c>
      <c r="F47" s="17">
        <v>32.179499999999997</v>
      </c>
      <c r="G47" s="11"/>
      <c r="H47" s="18">
        <v>43.300614889999999</v>
      </c>
      <c r="I47" s="18">
        <v>31.5264262</v>
      </c>
      <c r="J47" s="11"/>
      <c r="K47" s="19">
        <v>43.549881480000003</v>
      </c>
      <c r="L47" s="19">
        <v>24.307210940000001</v>
      </c>
    </row>
    <row r="48" spans="1:12" x14ac:dyDescent="0.2">
      <c r="A48" s="11"/>
      <c r="B48" s="16">
        <v>36.468889480000001</v>
      </c>
      <c r="C48" s="16">
        <v>21.876114470000001</v>
      </c>
      <c r="D48" s="11"/>
      <c r="E48" s="17">
        <v>30</v>
      </c>
      <c r="F48" s="17">
        <v>29.102599999999999</v>
      </c>
      <c r="G48" s="11"/>
      <c r="H48" s="18">
        <v>40.398632910000003</v>
      </c>
      <c r="I48" s="18">
        <v>16.347008379999998</v>
      </c>
      <c r="J48" s="11"/>
      <c r="K48" s="19">
        <v>36.714663340000001</v>
      </c>
      <c r="L48" s="19">
        <v>17.381809860000001</v>
      </c>
    </row>
    <row r="49" spans="1:12" x14ac:dyDescent="0.2">
      <c r="A49" s="11"/>
      <c r="B49" s="16">
        <v>26.513553099999999</v>
      </c>
      <c r="C49" s="16">
        <v>32.918749820000002</v>
      </c>
      <c r="D49" s="11"/>
      <c r="E49" s="17">
        <v>32.051299999999998</v>
      </c>
      <c r="F49" s="17">
        <v>26.794899999999998</v>
      </c>
      <c r="G49" s="11"/>
      <c r="H49" s="18">
        <v>40.435691579999997</v>
      </c>
      <c r="I49" s="18">
        <v>20.232670679999998</v>
      </c>
      <c r="J49" s="11"/>
      <c r="K49" s="19">
        <v>37.224610130000002</v>
      </c>
      <c r="L49" s="19">
        <v>17.980064479999999</v>
      </c>
    </row>
    <row r="50" spans="1:12" x14ac:dyDescent="0.2">
      <c r="A50" s="11"/>
      <c r="B50" s="16">
        <v>36.027091210000002</v>
      </c>
      <c r="C50" s="16">
        <v>22.195438540000001</v>
      </c>
      <c r="D50" s="11"/>
      <c r="E50" s="17">
        <v>35.897399999999998</v>
      </c>
      <c r="F50" s="17">
        <v>25.256399999999999</v>
      </c>
      <c r="G50" s="11"/>
      <c r="H50" s="18">
        <v>40.936546669999998</v>
      </c>
      <c r="I50" s="18">
        <v>16.913004839999999</v>
      </c>
      <c r="J50" s="11"/>
      <c r="K50" s="19">
        <v>40.512447850000001</v>
      </c>
      <c r="L50" s="19">
        <v>22.96221457</v>
      </c>
    </row>
    <row r="51" spans="1:12" x14ac:dyDescent="0.2">
      <c r="A51" s="11"/>
      <c r="B51" s="16">
        <v>42.681040410000001</v>
      </c>
      <c r="C51" s="16">
        <v>18.542536200000001</v>
      </c>
      <c r="D51" s="11"/>
      <c r="E51" s="17">
        <v>41.025599999999997</v>
      </c>
      <c r="F51" s="17">
        <v>25.256399999999999</v>
      </c>
      <c r="G51" s="11"/>
      <c r="H51" s="18">
        <v>39.661573670000003</v>
      </c>
      <c r="I51" s="18">
        <v>15.609355580000001</v>
      </c>
      <c r="J51" s="11"/>
      <c r="K51" s="19">
        <v>40.222062790000003</v>
      </c>
      <c r="L51" s="19">
        <v>20.614621700000001</v>
      </c>
    </row>
    <row r="52" spans="1:12" x14ac:dyDescent="0.2">
      <c r="A52" s="11"/>
      <c r="B52" s="16">
        <v>45.041077129999998</v>
      </c>
      <c r="C52" s="16">
        <v>17.73451773</v>
      </c>
      <c r="D52" s="11"/>
      <c r="E52" s="17">
        <v>44.102600000000002</v>
      </c>
      <c r="F52" s="17">
        <v>25.640999999999998</v>
      </c>
      <c r="G52" s="11"/>
      <c r="H52" s="18">
        <v>40.899259180000001</v>
      </c>
      <c r="I52" s="18">
        <v>20.798528950000001</v>
      </c>
      <c r="J52" s="11"/>
      <c r="K52" s="19">
        <v>44.124961210000002</v>
      </c>
      <c r="L52" s="19">
        <v>23.366245289999998</v>
      </c>
    </row>
    <row r="53" spans="1:12" x14ac:dyDescent="0.2">
      <c r="A53" s="11"/>
      <c r="B53" s="16">
        <v>47.352416460000001</v>
      </c>
      <c r="C53" s="16">
        <v>17.134745429999999</v>
      </c>
      <c r="D53" s="11"/>
      <c r="E53" s="17">
        <v>47.179499999999997</v>
      </c>
      <c r="F53" s="17">
        <v>28.718</v>
      </c>
      <c r="G53" s="11"/>
      <c r="H53" s="18">
        <v>41.968616830000002</v>
      </c>
      <c r="I53" s="18">
        <v>26.497072599999999</v>
      </c>
      <c r="J53" s="11"/>
      <c r="K53" s="19">
        <v>42.346261599999998</v>
      </c>
      <c r="L53" s="19">
        <v>24.558326940000001</v>
      </c>
    </row>
    <row r="54" spans="1:12" x14ac:dyDescent="0.2">
      <c r="A54" s="11"/>
      <c r="B54" s="16">
        <v>53.846194029999999</v>
      </c>
      <c r="C54" s="16">
        <v>16.387318100000002</v>
      </c>
      <c r="D54" s="11"/>
      <c r="E54" s="17">
        <v>49.487200000000001</v>
      </c>
      <c r="F54" s="17">
        <v>31.410299999999999</v>
      </c>
      <c r="G54" s="11"/>
      <c r="H54" s="18">
        <v>40.38340582</v>
      </c>
      <c r="I54" s="18">
        <v>21.391225519999999</v>
      </c>
      <c r="J54" s="11"/>
      <c r="K54" s="19">
        <v>44.189084370000003</v>
      </c>
      <c r="L54" s="19">
        <v>28.772625470000001</v>
      </c>
    </row>
    <row r="55" spans="1:12" x14ac:dyDescent="0.2">
      <c r="A55" s="11"/>
      <c r="B55" s="16">
        <v>55.12963938</v>
      </c>
      <c r="C55" s="16">
        <v>16.35324687</v>
      </c>
      <c r="D55" s="11"/>
      <c r="E55" s="17">
        <v>51.538499999999999</v>
      </c>
      <c r="F55" s="17">
        <v>34.8718</v>
      </c>
      <c r="G55" s="11"/>
      <c r="H55" s="18">
        <v>56.53812645</v>
      </c>
      <c r="I55" s="18">
        <v>32.444245469999998</v>
      </c>
      <c r="J55" s="11"/>
      <c r="K55" s="19">
        <v>45.814245309999997</v>
      </c>
      <c r="L55" s="19">
        <v>31.05697967</v>
      </c>
    </row>
    <row r="56" spans="1:12" x14ac:dyDescent="0.2">
      <c r="A56" s="11"/>
      <c r="B56" s="16">
        <v>52.188119960000002</v>
      </c>
      <c r="C56" s="16">
        <v>16.418217469999998</v>
      </c>
      <c r="D56" s="11"/>
      <c r="E56" s="17">
        <v>53.589700000000001</v>
      </c>
      <c r="F56" s="17">
        <v>37.564100000000003</v>
      </c>
      <c r="G56" s="11"/>
      <c r="H56" s="18">
        <v>52.970691279999997</v>
      </c>
      <c r="I56" s="18">
        <v>29.040196689999998</v>
      </c>
      <c r="J56" s="11"/>
      <c r="K56" s="19">
        <v>46.64311927</v>
      </c>
      <c r="L56" s="19">
        <v>31.407219059999999</v>
      </c>
    </row>
    <row r="57" spans="1:12" x14ac:dyDescent="0.2">
      <c r="A57" s="11"/>
      <c r="B57" s="16">
        <v>58.67266308</v>
      </c>
      <c r="C57" s="16">
        <v>16.663372429999999</v>
      </c>
      <c r="D57" s="11"/>
      <c r="E57" s="17">
        <v>55.1282</v>
      </c>
      <c r="F57" s="17">
        <v>40.640999999999998</v>
      </c>
      <c r="G57" s="11"/>
      <c r="H57" s="18">
        <v>54.620952590000002</v>
      </c>
      <c r="I57" s="18">
        <v>30.344524450000002</v>
      </c>
      <c r="J57" s="11"/>
      <c r="K57" s="19">
        <v>52.1898883</v>
      </c>
      <c r="L57" s="19">
        <v>39.367796490000003</v>
      </c>
    </row>
    <row r="58" spans="1:12" x14ac:dyDescent="0.2">
      <c r="A58" s="11"/>
      <c r="B58" s="16">
        <v>82.144311599999995</v>
      </c>
      <c r="C58" s="16">
        <v>33.195221869999997</v>
      </c>
      <c r="D58" s="11"/>
      <c r="E58" s="17">
        <v>56.666699999999999</v>
      </c>
      <c r="F58" s="17">
        <v>42.179499999999997</v>
      </c>
      <c r="G58" s="11"/>
      <c r="H58" s="18">
        <v>65.099044390000003</v>
      </c>
      <c r="I58" s="18">
        <v>27.24155756</v>
      </c>
      <c r="J58" s="11"/>
      <c r="K58" s="19">
        <v>51.100317359999998</v>
      </c>
      <c r="L58" s="19">
        <v>38.095699979999999</v>
      </c>
    </row>
    <row r="59" spans="1:12" x14ac:dyDescent="0.2">
      <c r="A59" s="11"/>
      <c r="B59" s="16">
        <v>75.686571139999998</v>
      </c>
      <c r="C59" s="16">
        <v>24.741510389999998</v>
      </c>
      <c r="D59" s="11"/>
      <c r="E59" s="17">
        <v>59.230800000000002</v>
      </c>
      <c r="F59" s="17">
        <v>44.487200000000001</v>
      </c>
      <c r="G59" s="11"/>
      <c r="H59" s="18">
        <v>63.055990909999998</v>
      </c>
      <c r="I59" s="18">
        <v>29.70909567</v>
      </c>
      <c r="J59" s="11"/>
      <c r="K59" s="19">
        <v>65.400834149999994</v>
      </c>
      <c r="L59" s="19">
        <v>42.614032039999998</v>
      </c>
    </row>
    <row r="60" spans="1:12" x14ac:dyDescent="0.2">
      <c r="A60" s="11"/>
      <c r="B60" s="16">
        <v>85.344964500000003</v>
      </c>
      <c r="C60" s="16">
        <v>52.886419869999997</v>
      </c>
      <c r="D60" s="11"/>
      <c r="E60" s="17">
        <v>62.307699999999997</v>
      </c>
      <c r="F60" s="17">
        <v>46.025599999999997</v>
      </c>
      <c r="G60" s="11"/>
      <c r="H60" s="18">
        <v>70.960136230000003</v>
      </c>
      <c r="I60" s="18">
        <v>41.259501290000003</v>
      </c>
      <c r="J60" s="11"/>
      <c r="K60" s="19">
        <v>64.852039829999995</v>
      </c>
      <c r="L60" s="19">
        <v>43.133734840000002</v>
      </c>
    </row>
    <row r="61" spans="1:12" x14ac:dyDescent="0.2">
      <c r="A61" s="11"/>
      <c r="B61" s="16">
        <v>83.844653510000001</v>
      </c>
      <c r="C61" s="16">
        <v>58.616060230000002</v>
      </c>
      <c r="D61" s="11"/>
      <c r="E61" s="17">
        <v>64.871799999999993</v>
      </c>
      <c r="F61" s="17">
        <v>46.794899999999998</v>
      </c>
      <c r="G61" s="11"/>
      <c r="H61" s="18">
        <v>69.895819239999994</v>
      </c>
      <c r="I61" s="18">
        <v>43.453759269999999</v>
      </c>
      <c r="J61" s="11"/>
      <c r="K61" s="19">
        <v>63.403806009999997</v>
      </c>
      <c r="L61" s="19">
        <v>44.84749369</v>
      </c>
    </row>
    <row r="62" spans="1:12" x14ac:dyDescent="0.2">
      <c r="A62" s="11"/>
      <c r="B62" s="16">
        <v>85.664760659999999</v>
      </c>
      <c r="C62" s="16">
        <v>45.54275277</v>
      </c>
      <c r="D62" s="11"/>
      <c r="E62" s="17">
        <v>67.948700000000002</v>
      </c>
      <c r="F62" s="17">
        <v>47.948700000000002</v>
      </c>
      <c r="G62" s="11"/>
      <c r="H62" s="18">
        <v>70.595892860000006</v>
      </c>
      <c r="I62" s="18">
        <v>41.96474387</v>
      </c>
      <c r="J62" s="11"/>
      <c r="K62" s="19">
        <v>65.371548869999998</v>
      </c>
      <c r="L62" s="19">
        <v>42.695971319999998</v>
      </c>
    </row>
    <row r="63" spans="1:12" x14ac:dyDescent="0.2">
      <c r="A63" s="11"/>
      <c r="B63" s="16">
        <v>77.93100493</v>
      </c>
      <c r="C63" s="16">
        <v>68.690061880000002</v>
      </c>
      <c r="D63" s="11"/>
      <c r="E63" s="17">
        <v>70.512799999999999</v>
      </c>
      <c r="F63" s="17">
        <v>53.718000000000004</v>
      </c>
      <c r="G63" s="11"/>
      <c r="H63" s="18">
        <v>69.647021429999995</v>
      </c>
      <c r="I63" s="18">
        <v>44.044445019999998</v>
      </c>
      <c r="J63" s="11"/>
      <c r="K63" s="19">
        <v>61.908039700000003</v>
      </c>
      <c r="L63" s="19">
        <v>53.190352070000003</v>
      </c>
    </row>
    <row r="64" spans="1:12" x14ac:dyDescent="0.2">
      <c r="A64" s="11"/>
      <c r="B64" s="16">
        <v>73.031833019999993</v>
      </c>
      <c r="C64" s="16">
        <v>73.120574730000001</v>
      </c>
      <c r="D64" s="11"/>
      <c r="E64" s="17">
        <v>71.538499999999999</v>
      </c>
      <c r="F64" s="17">
        <v>60.640999999999998</v>
      </c>
      <c r="G64" s="11"/>
      <c r="H64" s="18">
        <v>77.392982489999994</v>
      </c>
      <c r="I64" s="18">
        <v>63.371459059999999</v>
      </c>
      <c r="J64" s="11"/>
      <c r="K64" s="19">
        <v>71.826652999999993</v>
      </c>
      <c r="L64" s="19">
        <v>65.686230359999996</v>
      </c>
    </row>
    <row r="65" spans="1:12" x14ac:dyDescent="0.2">
      <c r="A65" s="11"/>
      <c r="B65" s="16">
        <v>70.102804500000005</v>
      </c>
      <c r="C65" s="16">
        <v>75.683206850000005</v>
      </c>
      <c r="D65" s="11"/>
      <c r="E65" s="17">
        <v>71.538499999999999</v>
      </c>
      <c r="F65" s="17">
        <v>64.487200000000001</v>
      </c>
      <c r="G65" s="11"/>
      <c r="H65" s="18">
        <v>64.400787190000003</v>
      </c>
      <c r="I65" s="18">
        <v>67.448718450000001</v>
      </c>
      <c r="J65" s="11"/>
      <c r="K65" s="19">
        <v>72.65462316</v>
      </c>
      <c r="L65" s="19">
        <v>66.878277609999998</v>
      </c>
    </row>
    <row r="66" spans="1:12" x14ac:dyDescent="0.2">
      <c r="A66" s="11"/>
      <c r="B66" s="16">
        <v>57.144694690000001</v>
      </c>
      <c r="C66" s="16">
        <v>79.19410259</v>
      </c>
      <c r="D66" s="11"/>
      <c r="E66" s="17">
        <v>69.487200000000001</v>
      </c>
      <c r="F66" s="17">
        <v>69.487200000000001</v>
      </c>
      <c r="G66" s="11"/>
      <c r="H66" s="18">
        <v>63.868959830000001</v>
      </c>
      <c r="I66" s="18">
        <v>70.213738829999997</v>
      </c>
      <c r="J66" s="11"/>
      <c r="K66" s="19">
        <v>76.888578159999994</v>
      </c>
      <c r="L66" s="19">
        <v>72.165472080000001</v>
      </c>
    </row>
    <row r="67" spans="1:12" x14ac:dyDescent="0.2">
      <c r="A67" s="11"/>
      <c r="B67" s="16">
        <v>46.962461990000001</v>
      </c>
      <c r="C67" s="16">
        <v>78.666559000000007</v>
      </c>
      <c r="D67" s="11"/>
      <c r="E67" s="17">
        <v>46.923099999999998</v>
      </c>
      <c r="F67" s="17">
        <v>79.871799999999993</v>
      </c>
      <c r="G67" s="11"/>
      <c r="H67" s="18">
        <v>56.594421320000002</v>
      </c>
      <c r="I67" s="18">
        <v>86.927006219999996</v>
      </c>
      <c r="J67" s="11"/>
      <c r="K67" s="19">
        <v>43.74461968</v>
      </c>
      <c r="L67" s="19">
        <v>71.267961080000006</v>
      </c>
    </row>
    <row r="68" spans="1:12" x14ac:dyDescent="0.2">
      <c r="A68" s="11"/>
      <c r="B68" s="16">
        <v>50.564933809999999</v>
      </c>
      <c r="C68" s="16">
        <v>79.077298549999995</v>
      </c>
      <c r="D68" s="11"/>
      <c r="E68" s="17">
        <v>48.205100000000002</v>
      </c>
      <c r="F68" s="17">
        <v>84.102599999999995</v>
      </c>
      <c r="G68" s="11"/>
      <c r="H68" s="18">
        <v>56.531337290000003</v>
      </c>
      <c r="I68" s="18">
        <v>87.499811070000007</v>
      </c>
      <c r="J68" s="11"/>
      <c r="K68" s="19">
        <v>39.054248440000002</v>
      </c>
      <c r="L68" s="19">
        <v>83.119020699999993</v>
      </c>
    </row>
    <row r="69" spans="1:12" x14ac:dyDescent="0.2">
      <c r="A69" s="11"/>
      <c r="B69" s="16">
        <v>53.719676569999997</v>
      </c>
      <c r="C69" s="16">
        <v>79.30693617</v>
      </c>
      <c r="D69" s="11"/>
      <c r="E69" s="17">
        <v>50</v>
      </c>
      <c r="F69" s="17">
        <v>85.256399999999999</v>
      </c>
      <c r="G69" s="11"/>
      <c r="H69" s="18">
        <v>59.652158370000002</v>
      </c>
      <c r="I69" s="18">
        <v>87.809461589999998</v>
      </c>
      <c r="J69" s="11"/>
      <c r="K69" s="19">
        <v>39.931674630000003</v>
      </c>
      <c r="L69" s="19">
        <v>79.939188000000001</v>
      </c>
    </row>
    <row r="70" spans="1:12" x14ac:dyDescent="0.2">
      <c r="A70" s="11"/>
      <c r="B70" s="16">
        <v>54.200232319999998</v>
      </c>
      <c r="C70" s="16">
        <v>79.325002339999998</v>
      </c>
      <c r="D70" s="11"/>
      <c r="E70" s="17">
        <v>53.076900000000002</v>
      </c>
      <c r="F70" s="17">
        <v>85.256399999999999</v>
      </c>
      <c r="G70" s="11"/>
      <c r="H70" s="18">
        <v>56.6365087</v>
      </c>
      <c r="I70" s="18">
        <v>85.637495560000005</v>
      </c>
      <c r="J70" s="11"/>
      <c r="K70" s="19">
        <v>39.762826109999999</v>
      </c>
      <c r="L70" s="19">
        <v>76.405967450000006</v>
      </c>
    </row>
    <row r="71" spans="1:12" x14ac:dyDescent="0.2">
      <c r="A71" s="11"/>
      <c r="B71" s="16">
        <v>47.875198339999997</v>
      </c>
      <c r="C71" s="16">
        <v>78.675853430000004</v>
      </c>
      <c r="D71" s="11"/>
      <c r="E71" s="17">
        <v>55.384599999999999</v>
      </c>
      <c r="F71" s="17">
        <v>86.025599999999997</v>
      </c>
      <c r="G71" s="11"/>
      <c r="H71" s="18">
        <v>58.672288000000002</v>
      </c>
      <c r="I71" s="18">
        <v>90.077160309999996</v>
      </c>
      <c r="J71" s="11"/>
      <c r="K71" s="19">
        <v>41.323383290000002</v>
      </c>
      <c r="L71" s="19">
        <v>80.211868600000003</v>
      </c>
    </row>
    <row r="72" spans="1:12" x14ac:dyDescent="0.2">
      <c r="A72" s="11"/>
      <c r="B72" s="16">
        <v>51.47345851</v>
      </c>
      <c r="C72" s="16">
        <v>79.159867000000006</v>
      </c>
      <c r="D72" s="11"/>
      <c r="E72" s="17">
        <v>56.666699999999999</v>
      </c>
      <c r="F72" s="17">
        <v>86.025599999999997</v>
      </c>
      <c r="G72" s="11"/>
      <c r="H72" s="18">
        <v>58.221612729999997</v>
      </c>
      <c r="I72" s="18">
        <v>90.411018769999998</v>
      </c>
      <c r="J72" s="11"/>
      <c r="K72" s="19">
        <v>41.787323229999998</v>
      </c>
      <c r="L72" s="19">
        <v>83.988077989999994</v>
      </c>
    </row>
    <row r="73" spans="1:12" x14ac:dyDescent="0.2">
      <c r="A73" s="11"/>
      <c r="B73" s="16">
        <v>52.751222220000002</v>
      </c>
      <c r="C73" s="16">
        <v>79.293659930000004</v>
      </c>
      <c r="D73" s="11"/>
      <c r="E73" s="17">
        <v>56.153799999999997</v>
      </c>
      <c r="F73" s="17">
        <v>82.948700000000002</v>
      </c>
      <c r="G73" s="11"/>
      <c r="H73" s="18">
        <v>57.914664479999999</v>
      </c>
      <c r="I73" s="18">
        <v>89.953802769999996</v>
      </c>
      <c r="J73" s="11"/>
      <c r="K73" s="19">
        <v>39.755649069999997</v>
      </c>
      <c r="L73" s="19">
        <v>79.657096640000006</v>
      </c>
    </row>
    <row r="74" spans="1:12" x14ac:dyDescent="0.2">
      <c r="A74" s="11"/>
      <c r="B74" s="16">
        <v>48.562223000000003</v>
      </c>
      <c r="C74" s="16">
        <v>78.782383530000004</v>
      </c>
      <c r="D74" s="11"/>
      <c r="E74" s="17">
        <v>53.846200000000003</v>
      </c>
      <c r="F74" s="17">
        <v>80.641000000000005</v>
      </c>
      <c r="G74" s="11"/>
      <c r="H74" s="18">
        <v>55.315509059999997</v>
      </c>
      <c r="I74" s="18">
        <v>80.251860690000001</v>
      </c>
      <c r="J74" s="11"/>
      <c r="K74" s="19">
        <v>40.749879399999998</v>
      </c>
      <c r="L74" s="19">
        <v>77.20465729</v>
      </c>
    </row>
    <row r="75" spans="1:12" x14ac:dyDescent="0.2">
      <c r="A75" s="11"/>
      <c r="B75" s="16">
        <v>53.081241689999999</v>
      </c>
      <c r="C75" s="16">
        <v>79.297250770000005</v>
      </c>
      <c r="D75" s="11"/>
      <c r="E75" s="17">
        <v>51.2821</v>
      </c>
      <c r="F75" s="17">
        <v>78.718000000000004</v>
      </c>
      <c r="G75" s="11"/>
      <c r="H75" s="18">
        <v>54.575728589999997</v>
      </c>
      <c r="I75" s="18">
        <v>77.536288470000002</v>
      </c>
      <c r="J75" s="11"/>
      <c r="K75" s="19">
        <v>43.8568985</v>
      </c>
      <c r="L75" s="19">
        <v>77.609843650000002</v>
      </c>
    </row>
    <row r="76" spans="1:12" x14ac:dyDescent="0.2">
      <c r="A76" s="11"/>
      <c r="B76" s="16">
        <v>56.475383370000003</v>
      </c>
      <c r="C76" s="16">
        <v>79.167840100000006</v>
      </c>
      <c r="D76" s="11"/>
      <c r="E76" s="17">
        <v>50</v>
      </c>
      <c r="F76" s="17">
        <v>78.718000000000004</v>
      </c>
      <c r="G76" s="11"/>
      <c r="H76" s="18">
        <v>54.41309365</v>
      </c>
      <c r="I76" s="18">
        <v>78.229086589999994</v>
      </c>
      <c r="J76" s="11"/>
      <c r="K76" s="19">
        <v>42.367822500000003</v>
      </c>
      <c r="L76" s="19">
        <v>73.638271829999994</v>
      </c>
    </row>
    <row r="77" spans="1:12" x14ac:dyDescent="0.2">
      <c r="A77" s="11"/>
      <c r="B77" s="16">
        <v>49.570911410000001</v>
      </c>
      <c r="C77" s="16">
        <v>79.038123880000001</v>
      </c>
      <c r="D77" s="11"/>
      <c r="E77" s="17">
        <v>47.948700000000002</v>
      </c>
      <c r="F77" s="17">
        <v>77.564099999999996</v>
      </c>
      <c r="G77" s="11"/>
      <c r="H77" s="18">
        <v>55.074505899999998</v>
      </c>
      <c r="I77" s="18">
        <v>79.817546419999999</v>
      </c>
      <c r="J77" s="11"/>
      <c r="K77" s="19">
        <v>39.462959840000003</v>
      </c>
      <c r="L77" s="19">
        <v>78.459973899999994</v>
      </c>
    </row>
    <row r="78" spans="1:12" x14ac:dyDescent="0.2">
      <c r="A78" s="11"/>
      <c r="B78" s="16">
        <v>37.6277033</v>
      </c>
      <c r="C78" s="16">
        <v>74.557504339999994</v>
      </c>
      <c r="D78" s="11"/>
      <c r="E78" s="17">
        <v>29.743600000000001</v>
      </c>
      <c r="F78" s="17">
        <v>59.8718</v>
      </c>
      <c r="G78" s="11"/>
      <c r="H78" s="18">
        <v>29.432960520000002</v>
      </c>
      <c r="I78" s="18">
        <v>60.801776539999999</v>
      </c>
      <c r="J78" s="11"/>
      <c r="K78" s="19">
        <v>44.517333950000001</v>
      </c>
      <c r="L78" s="19">
        <v>70.369349830000004</v>
      </c>
    </row>
    <row r="79" spans="1:12" x14ac:dyDescent="0.2">
      <c r="A79" s="11"/>
      <c r="B79" s="16">
        <v>32.26370009</v>
      </c>
      <c r="C79" s="16">
        <v>70.316638900000001</v>
      </c>
      <c r="D79" s="11"/>
      <c r="E79" s="17">
        <v>29.743600000000001</v>
      </c>
      <c r="F79" s="17">
        <v>62.179499999999997</v>
      </c>
      <c r="G79" s="11"/>
      <c r="H79" s="18">
        <v>29.422686070000001</v>
      </c>
      <c r="I79" s="18">
        <v>63.068464820000003</v>
      </c>
      <c r="J79" s="11"/>
      <c r="K79" s="19">
        <v>41.636093000000002</v>
      </c>
      <c r="L79" s="19">
        <v>76.249222919999994</v>
      </c>
    </row>
    <row r="80" spans="1:12" x14ac:dyDescent="0.2">
      <c r="A80" s="11"/>
      <c r="B80" s="16">
        <v>32.542380340000001</v>
      </c>
      <c r="C80" s="16">
        <v>70.702417209999993</v>
      </c>
      <c r="D80" s="11"/>
      <c r="E80" s="17">
        <v>31.2821</v>
      </c>
      <c r="F80" s="17">
        <v>62.564100000000003</v>
      </c>
      <c r="G80" s="11"/>
      <c r="H80" s="18">
        <v>29.00561416</v>
      </c>
      <c r="I80" s="18">
        <v>63.390751330000001</v>
      </c>
      <c r="J80" s="11"/>
      <c r="K80" s="19">
        <v>45.422932179999997</v>
      </c>
      <c r="L80" s="19">
        <v>69.095501670000004</v>
      </c>
    </row>
    <row r="81" spans="1:12" x14ac:dyDescent="0.2">
      <c r="A81" s="11"/>
      <c r="B81" s="16">
        <v>52.825017189999997</v>
      </c>
      <c r="C81" s="16">
        <v>85.578133879999996</v>
      </c>
      <c r="D81" s="11"/>
      <c r="E81" s="17">
        <v>57.948700000000002</v>
      </c>
      <c r="F81" s="17">
        <v>99.487200000000001</v>
      </c>
      <c r="G81" s="11"/>
      <c r="H81" s="18">
        <v>58.461838589999999</v>
      </c>
      <c r="I81" s="18">
        <v>90.265326389999998</v>
      </c>
      <c r="J81" s="11"/>
      <c r="K81" s="19">
        <v>42.002856270000002</v>
      </c>
      <c r="L81" s="19">
        <v>97.837614720000005</v>
      </c>
    </row>
    <row r="82" spans="1:12" x14ac:dyDescent="0.2">
      <c r="A82" s="11"/>
      <c r="B82" s="16">
        <v>58.528289540000003</v>
      </c>
      <c r="C82" s="16">
        <v>78.978704250000007</v>
      </c>
      <c r="D82" s="11"/>
      <c r="E82" s="17">
        <v>61.794899999999998</v>
      </c>
      <c r="F82" s="17">
        <v>99.102599999999995</v>
      </c>
      <c r="G82" s="11"/>
      <c r="H82" s="18">
        <v>57.997804739999999</v>
      </c>
      <c r="I82" s="18">
        <v>92.159908610000002</v>
      </c>
      <c r="J82" s="11"/>
      <c r="K82" s="19">
        <v>76.105629030000003</v>
      </c>
      <c r="L82" s="19">
        <v>95.304980580000006</v>
      </c>
    </row>
    <row r="83" spans="1:12" x14ac:dyDescent="0.2">
      <c r="A83" s="11"/>
      <c r="B83" s="16">
        <v>56.265834259999998</v>
      </c>
      <c r="C83" s="16">
        <v>79.252939490000003</v>
      </c>
      <c r="D83" s="11"/>
      <c r="E83" s="17">
        <v>64.871799999999993</v>
      </c>
      <c r="F83" s="17">
        <v>97.564099999999996</v>
      </c>
      <c r="G83" s="11"/>
      <c r="H83" s="18">
        <v>57.549474080000003</v>
      </c>
      <c r="I83" s="18">
        <v>90.748906559999995</v>
      </c>
      <c r="J83" s="11"/>
      <c r="K83" s="19">
        <v>79.20256268</v>
      </c>
      <c r="L83" s="19">
        <v>92.407215629999996</v>
      </c>
    </row>
    <row r="84" spans="1:12" x14ac:dyDescent="0.2">
      <c r="A84" s="11"/>
      <c r="B84" s="16">
        <v>57.075892420000002</v>
      </c>
      <c r="C84" s="16">
        <v>79.193922540000003</v>
      </c>
      <c r="D84" s="11"/>
      <c r="E84" s="17">
        <v>68.461500000000001</v>
      </c>
      <c r="F84" s="17">
        <v>94.102599999999995</v>
      </c>
      <c r="G84" s="11"/>
      <c r="H84" s="18">
        <v>59.529928460000001</v>
      </c>
      <c r="I84" s="18">
        <v>88.327274149999994</v>
      </c>
      <c r="J84" s="11"/>
      <c r="K84" s="19">
        <v>84.848244089999994</v>
      </c>
      <c r="L84" s="19">
        <v>95.424804530000003</v>
      </c>
    </row>
    <row r="85" spans="1:12" x14ac:dyDescent="0.2">
      <c r="A85" s="11"/>
      <c r="B85" s="16">
        <v>54.256402379999997</v>
      </c>
      <c r="C85" s="16">
        <v>79.313864850000002</v>
      </c>
      <c r="D85" s="11"/>
      <c r="E85" s="17">
        <v>70.769199999999998</v>
      </c>
      <c r="F85" s="17">
        <v>91.025599999999997</v>
      </c>
      <c r="G85" s="11"/>
      <c r="H85" s="18">
        <v>58.249391060000001</v>
      </c>
      <c r="I85" s="18">
        <v>92.129681480000002</v>
      </c>
      <c r="J85" s="11"/>
      <c r="K85" s="19">
        <v>81.56447532</v>
      </c>
      <c r="L85" s="19">
        <v>83.792907229999997</v>
      </c>
    </row>
    <row r="86" spans="1:12" x14ac:dyDescent="0.2">
      <c r="A86" s="11"/>
      <c r="B86" s="16">
        <v>62.685671249999999</v>
      </c>
      <c r="C86" s="16">
        <v>78.174743269999993</v>
      </c>
      <c r="D86" s="11"/>
      <c r="E86" s="17">
        <v>72.051299999999998</v>
      </c>
      <c r="F86" s="17">
        <v>86.410300000000007</v>
      </c>
      <c r="G86" s="11"/>
      <c r="H86" s="18">
        <v>58.024514009999997</v>
      </c>
      <c r="I86" s="18">
        <v>91.694421169999998</v>
      </c>
      <c r="J86" s="11"/>
      <c r="K86" s="19">
        <v>85.446186400000002</v>
      </c>
      <c r="L86" s="19">
        <v>83.078293840000001</v>
      </c>
    </row>
    <row r="87" spans="1:12" x14ac:dyDescent="0.2">
      <c r="A87" s="11"/>
      <c r="B87" s="16">
        <v>68.085605860000001</v>
      </c>
      <c r="C87" s="16">
        <v>76.112317500000003</v>
      </c>
      <c r="D87" s="11"/>
      <c r="E87" s="17">
        <v>73.846199999999996</v>
      </c>
      <c r="F87" s="17">
        <v>83.333299999999994</v>
      </c>
      <c r="G87" s="11"/>
      <c r="H87" s="18">
        <v>58.382124490000002</v>
      </c>
      <c r="I87" s="18">
        <v>90.553476070000002</v>
      </c>
      <c r="J87" s="11"/>
      <c r="K87" s="19">
        <v>80.312491379999997</v>
      </c>
      <c r="L87" s="19">
        <v>76.516238950000002</v>
      </c>
    </row>
    <row r="88" spans="1:12" x14ac:dyDescent="0.2">
      <c r="A88" s="11"/>
      <c r="B88" s="16">
        <v>65.118121959999996</v>
      </c>
      <c r="C88" s="16">
        <v>77.399188449999997</v>
      </c>
      <c r="D88" s="11"/>
      <c r="E88" s="17">
        <v>75.128200000000007</v>
      </c>
      <c r="F88" s="17">
        <v>79.102599999999995</v>
      </c>
      <c r="G88" s="11"/>
      <c r="H88" s="18">
        <v>62.566759040000001</v>
      </c>
      <c r="I88" s="18">
        <v>77.743934760000002</v>
      </c>
      <c r="J88" s="11"/>
      <c r="K88" s="19">
        <v>80.766232299999999</v>
      </c>
      <c r="L88" s="19">
        <v>79.896065680000007</v>
      </c>
    </row>
    <row r="89" spans="1:12" x14ac:dyDescent="0.2">
      <c r="A89" s="11"/>
      <c r="B89" s="16">
        <v>68.745631299999999</v>
      </c>
      <c r="C89" s="16">
        <v>75.790055449999997</v>
      </c>
      <c r="D89" s="11"/>
      <c r="E89" s="17">
        <v>76.666700000000006</v>
      </c>
      <c r="F89" s="17">
        <v>75.256399999999999</v>
      </c>
      <c r="G89" s="11"/>
      <c r="H89" s="18">
        <v>72.175824309999996</v>
      </c>
      <c r="I89" s="18">
        <v>63.128929419999999</v>
      </c>
      <c r="J89" s="11"/>
      <c r="K89" s="19">
        <v>82.67011248</v>
      </c>
      <c r="L89" s="19">
        <v>81.711479850000003</v>
      </c>
    </row>
    <row r="90" spans="1:12" x14ac:dyDescent="0.2">
      <c r="A90" s="11"/>
      <c r="B90" s="16">
        <v>63.090225140000001</v>
      </c>
      <c r="C90" s="16">
        <v>78.0414095</v>
      </c>
      <c r="D90" s="11"/>
      <c r="E90" s="17">
        <v>77.692300000000003</v>
      </c>
      <c r="F90" s="17">
        <v>71.410300000000007</v>
      </c>
      <c r="G90" s="11"/>
      <c r="H90" s="18">
        <v>79.472761570000003</v>
      </c>
      <c r="I90" s="18">
        <v>63.408686119999999</v>
      </c>
      <c r="J90" s="11"/>
      <c r="K90" s="19">
        <v>77.163625479999993</v>
      </c>
      <c r="L90" s="19">
        <v>73.523718959999997</v>
      </c>
    </row>
    <row r="91" spans="1:12" x14ac:dyDescent="0.2">
      <c r="A91" s="11"/>
      <c r="B91" s="16">
        <v>77.204589319999997</v>
      </c>
      <c r="C91" s="16">
        <v>69.312149770000005</v>
      </c>
      <c r="D91" s="11"/>
      <c r="E91" s="17">
        <v>79.743600000000001</v>
      </c>
      <c r="F91" s="17">
        <v>66.794899999999998</v>
      </c>
      <c r="G91" s="11"/>
      <c r="H91" s="18">
        <v>80.357700879999996</v>
      </c>
      <c r="I91" s="18">
        <v>63.295437540000002</v>
      </c>
      <c r="J91" s="11"/>
      <c r="K91" s="19">
        <v>74.070700029999998</v>
      </c>
      <c r="L91" s="19">
        <v>68.479564289999999</v>
      </c>
    </row>
    <row r="92" spans="1:12" x14ac:dyDescent="0.2">
      <c r="A92" s="11"/>
      <c r="B92" s="16">
        <v>82.033908479999994</v>
      </c>
      <c r="C92" s="16">
        <v>62.68186979</v>
      </c>
      <c r="D92" s="11"/>
      <c r="E92" s="17">
        <v>81.794899999999998</v>
      </c>
      <c r="F92" s="17">
        <v>60.256399999999999</v>
      </c>
      <c r="G92" s="11"/>
      <c r="H92" s="18">
        <v>78.757236140000003</v>
      </c>
      <c r="I92" s="18">
        <v>53.332620009999999</v>
      </c>
      <c r="J92" s="11"/>
      <c r="K92" s="19">
        <v>74.11423087</v>
      </c>
      <c r="L92" s="19">
        <v>71.926363519999995</v>
      </c>
    </row>
    <row r="93" spans="1:12" x14ac:dyDescent="0.2">
      <c r="A93" s="11"/>
      <c r="B93" s="16">
        <v>81.577945920000005</v>
      </c>
      <c r="C93" s="16">
        <v>63.894925499999999</v>
      </c>
      <c r="D93" s="11"/>
      <c r="E93" s="17">
        <v>83.333299999999994</v>
      </c>
      <c r="F93" s="17">
        <v>55.256399999999999</v>
      </c>
      <c r="G93" s="11"/>
      <c r="H93" s="18">
        <v>82.540239589999999</v>
      </c>
      <c r="I93" s="18">
        <v>56.541052290000003</v>
      </c>
      <c r="J93" s="11"/>
      <c r="K93" s="19">
        <v>68.942075459999998</v>
      </c>
      <c r="L93" s="19">
        <v>62.635150580000001</v>
      </c>
    </row>
    <row r="94" spans="1:12" x14ac:dyDescent="0.2">
      <c r="A94" s="11"/>
      <c r="B94" s="16">
        <v>85.180143279999996</v>
      </c>
      <c r="C94" s="16">
        <v>53.781676660000002</v>
      </c>
      <c r="D94" s="11"/>
      <c r="E94" s="17">
        <v>85.128200000000007</v>
      </c>
      <c r="F94" s="17">
        <v>51.410299999999999</v>
      </c>
      <c r="G94" s="11"/>
      <c r="H94" s="18">
        <v>86.435897190000006</v>
      </c>
      <c r="I94" s="18">
        <v>59.792761810000002</v>
      </c>
      <c r="J94" s="11"/>
      <c r="K94" s="19">
        <v>73.242002330000005</v>
      </c>
      <c r="L94" s="19">
        <v>67.353271129999996</v>
      </c>
    </row>
    <row r="95" spans="1:12" x14ac:dyDescent="0.2">
      <c r="A95" s="11"/>
      <c r="B95" s="16">
        <v>84.28682499</v>
      </c>
      <c r="C95" s="16">
        <v>57.256168090000003</v>
      </c>
      <c r="D95" s="11"/>
      <c r="E95" s="17">
        <v>86.410300000000007</v>
      </c>
      <c r="F95" s="17">
        <v>47.564100000000003</v>
      </c>
      <c r="G95" s="11"/>
      <c r="H95" s="18">
        <v>79.488684419999998</v>
      </c>
      <c r="I95" s="18">
        <v>53.65167426</v>
      </c>
      <c r="J95" s="11"/>
      <c r="K95" s="19">
        <v>71.867013159999999</v>
      </c>
      <c r="L95" s="19">
        <v>34.329157590000001</v>
      </c>
    </row>
    <row r="96" spans="1:12" x14ac:dyDescent="0.2">
      <c r="A96" s="11"/>
      <c r="B96" s="16">
        <v>85.622486710000004</v>
      </c>
      <c r="C96" s="16">
        <v>45.024165859999997</v>
      </c>
      <c r="D96" s="11"/>
      <c r="E96" s="17">
        <v>87.948700000000002</v>
      </c>
      <c r="F96" s="17">
        <v>46.025599999999997</v>
      </c>
      <c r="G96" s="11"/>
      <c r="H96" s="18">
        <v>81.530420320000005</v>
      </c>
      <c r="I96" s="18">
        <v>56.025364570000001</v>
      </c>
      <c r="J96" s="11"/>
      <c r="K96" s="19">
        <v>71.569188850000003</v>
      </c>
      <c r="L96" s="19">
        <v>34.699218610000003</v>
      </c>
    </row>
    <row r="97" spans="1:12" x14ac:dyDescent="0.2">
      <c r="A97" s="11"/>
      <c r="B97" s="16">
        <v>85.604499020000006</v>
      </c>
      <c r="C97" s="16">
        <v>50.762337909999999</v>
      </c>
      <c r="D97" s="11"/>
      <c r="E97" s="17">
        <v>89.487200000000001</v>
      </c>
      <c r="F97" s="17">
        <v>42.564100000000003</v>
      </c>
      <c r="G97" s="11"/>
      <c r="H97" s="18">
        <v>79.186788570000004</v>
      </c>
      <c r="I97" s="18">
        <v>53.234791850000001</v>
      </c>
      <c r="J97" s="11"/>
      <c r="K97" s="19">
        <v>71.48290969</v>
      </c>
      <c r="L97" s="19">
        <v>34.680516990000001</v>
      </c>
    </row>
    <row r="98" spans="1:12" x14ac:dyDescent="0.2">
      <c r="A98" s="11"/>
      <c r="B98" s="16">
        <v>84.424785830000005</v>
      </c>
      <c r="C98" s="16">
        <v>38.761410159999997</v>
      </c>
      <c r="D98" s="11"/>
      <c r="E98" s="17">
        <v>93.333299999999994</v>
      </c>
      <c r="F98" s="17">
        <v>39.8718</v>
      </c>
      <c r="G98" s="11"/>
      <c r="H98" s="18">
        <v>77.89905795</v>
      </c>
      <c r="I98" s="18">
        <v>51.822458330000003</v>
      </c>
      <c r="J98" s="11"/>
      <c r="K98" s="19">
        <v>78.128522050000001</v>
      </c>
      <c r="L98" s="19">
        <v>23.139231840000001</v>
      </c>
    </row>
    <row r="99" spans="1:12" x14ac:dyDescent="0.2">
      <c r="A99" s="11"/>
      <c r="B99" s="16">
        <v>85.57098508</v>
      </c>
      <c r="C99" s="16">
        <v>44.560096440000002</v>
      </c>
      <c r="D99" s="11"/>
      <c r="E99" s="17">
        <v>95.384600000000006</v>
      </c>
      <c r="F99" s="17">
        <v>36.794899999999998</v>
      </c>
      <c r="G99" s="11"/>
      <c r="H99" s="18">
        <v>75.130714209999994</v>
      </c>
      <c r="I99" s="18">
        <v>23.372441970000001</v>
      </c>
      <c r="J99" s="11"/>
      <c r="K99" s="19">
        <v>78.789825250000007</v>
      </c>
      <c r="L99" s="19">
        <v>25.597193350000001</v>
      </c>
    </row>
    <row r="100" spans="1:12" x14ac:dyDescent="0.2">
      <c r="A100" s="11"/>
      <c r="B100" s="16">
        <v>84.626724199999998</v>
      </c>
      <c r="C100" s="16">
        <v>39.487077509999999</v>
      </c>
      <c r="D100" s="11"/>
      <c r="E100" s="17">
        <v>98.205100000000002</v>
      </c>
      <c r="F100" s="17">
        <v>33.718000000000004</v>
      </c>
      <c r="G100" s="11"/>
      <c r="H100" s="18">
        <v>76.058013750000001</v>
      </c>
      <c r="I100" s="18">
        <v>16.383749689999998</v>
      </c>
      <c r="J100" s="11"/>
      <c r="K100" s="19">
        <v>77.781546800000001</v>
      </c>
      <c r="L100" s="19">
        <v>23.447214469999999</v>
      </c>
    </row>
    <row r="101" spans="1:12" x14ac:dyDescent="0.2">
      <c r="A101" s="11"/>
      <c r="B101" s="16">
        <v>73.396154929999994</v>
      </c>
      <c r="C101" s="16">
        <v>22.81624794</v>
      </c>
      <c r="D101" s="11"/>
      <c r="E101" s="17">
        <v>56.666699999999999</v>
      </c>
      <c r="F101" s="17">
        <v>40.640999999999998</v>
      </c>
      <c r="G101" s="11"/>
      <c r="H101" s="18">
        <v>57.614674389999998</v>
      </c>
      <c r="I101" s="18">
        <v>33.822447650000001</v>
      </c>
      <c r="J101" s="11"/>
      <c r="K101" s="19">
        <v>48.53062937</v>
      </c>
      <c r="L101" s="19">
        <v>34.152450010000003</v>
      </c>
    </row>
    <row r="102" spans="1:12" x14ac:dyDescent="0.2">
      <c r="A102" s="11"/>
      <c r="B102" s="16">
        <v>73.507447729999996</v>
      </c>
      <c r="C102" s="16">
        <v>22.85698876</v>
      </c>
      <c r="D102" s="11"/>
      <c r="E102" s="17">
        <v>59.230800000000002</v>
      </c>
      <c r="F102" s="17">
        <v>38.333300000000001</v>
      </c>
      <c r="G102" s="11"/>
      <c r="H102" s="18">
        <v>56.17139753</v>
      </c>
      <c r="I102" s="18">
        <v>32.117988769999997</v>
      </c>
      <c r="J102" s="11"/>
      <c r="K102" s="19">
        <v>65.530781469999994</v>
      </c>
      <c r="L102" s="19">
        <v>42.281084700000001</v>
      </c>
    </row>
    <row r="103" spans="1:12" x14ac:dyDescent="0.2">
      <c r="A103" s="11"/>
      <c r="B103" s="16">
        <v>63.356488110000001</v>
      </c>
      <c r="C103" s="16">
        <v>17.724068840000001</v>
      </c>
      <c r="D103" s="11"/>
      <c r="E103" s="17">
        <v>60.769199999999998</v>
      </c>
      <c r="F103" s="17">
        <v>33.718000000000004</v>
      </c>
      <c r="G103" s="11"/>
      <c r="H103" s="18">
        <v>66.287890599999997</v>
      </c>
      <c r="I103" s="18">
        <v>26.117109750000001</v>
      </c>
      <c r="J103" s="11"/>
      <c r="K103" s="19">
        <v>70.118034140000006</v>
      </c>
      <c r="L103" s="19">
        <v>36.448184789999999</v>
      </c>
    </row>
    <row r="104" spans="1:12" x14ac:dyDescent="0.2">
      <c r="A104" s="11"/>
      <c r="B104" s="16">
        <v>72.959046869999995</v>
      </c>
      <c r="C104" s="16">
        <v>22.511499830000002</v>
      </c>
      <c r="D104" s="11"/>
      <c r="E104" s="17">
        <v>63.076900000000002</v>
      </c>
      <c r="F104" s="17">
        <v>29.102599999999999</v>
      </c>
      <c r="G104" s="11"/>
      <c r="H104" s="18">
        <v>67.881719619999998</v>
      </c>
      <c r="I104" s="18">
        <v>24.23601841</v>
      </c>
      <c r="J104" s="11"/>
      <c r="K104" s="19">
        <v>70.472262610000001</v>
      </c>
      <c r="L104" s="19">
        <v>36.08805306</v>
      </c>
    </row>
    <row r="105" spans="1:12" x14ac:dyDescent="0.2">
      <c r="A105" s="11"/>
      <c r="B105" s="16">
        <v>64.020841649999994</v>
      </c>
      <c r="C105" s="16">
        <v>17.883581249999999</v>
      </c>
      <c r="D105" s="11"/>
      <c r="E105" s="17">
        <v>64.102599999999995</v>
      </c>
      <c r="F105" s="17">
        <v>25.256399999999999</v>
      </c>
      <c r="G105" s="11"/>
      <c r="H105" s="18">
        <v>64.028081299999997</v>
      </c>
      <c r="I105" s="18">
        <v>27.672685510000001</v>
      </c>
      <c r="J105" s="11"/>
      <c r="K105" s="19">
        <v>76.791130069999994</v>
      </c>
      <c r="L105" s="19">
        <v>28.07200817</v>
      </c>
    </row>
    <row r="106" spans="1:12" x14ac:dyDescent="0.2">
      <c r="A106" s="11"/>
      <c r="B106" s="16">
        <v>61.124463239999997</v>
      </c>
      <c r="C106" s="16">
        <v>17.116353360000002</v>
      </c>
      <c r="D106" s="11"/>
      <c r="E106" s="17">
        <v>64.358999999999995</v>
      </c>
      <c r="F106" s="17">
        <v>24.102599999999999</v>
      </c>
      <c r="G106" s="11"/>
      <c r="H106" s="18">
        <v>77.496651749999998</v>
      </c>
      <c r="I106" s="18">
        <v>14.94852356</v>
      </c>
      <c r="J106" s="11"/>
      <c r="K106" s="19">
        <v>72.409354590000007</v>
      </c>
      <c r="L106" s="19">
        <v>33.039256969999997</v>
      </c>
    </row>
    <row r="107" spans="1:12" x14ac:dyDescent="0.2">
      <c r="A107" s="11"/>
      <c r="B107" s="16">
        <v>75.674207330000002</v>
      </c>
      <c r="C107" s="16">
        <v>24.782500970000001</v>
      </c>
      <c r="D107" s="11"/>
      <c r="E107" s="17">
        <v>74.358999999999995</v>
      </c>
      <c r="F107" s="17">
        <v>22.948699999999999</v>
      </c>
      <c r="G107" s="11"/>
      <c r="H107" s="18">
        <v>77.634651759999997</v>
      </c>
      <c r="I107" s="18">
        <v>14.46185393</v>
      </c>
      <c r="J107" s="11"/>
      <c r="K107" s="19">
        <v>76.271299819999996</v>
      </c>
      <c r="L107" s="19">
        <v>25.569544149999999</v>
      </c>
    </row>
    <row r="108" spans="1:12" x14ac:dyDescent="0.2">
      <c r="A108" s="11"/>
      <c r="B108" s="16">
        <v>69.513583159999996</v>
      </c>
      <c r="C108" s="16">
        <v>20.27935789</v>
      </c>
      <c r="D108" s="11"/>
      <c r="E108" s="17">
        <v>71.2821</v>
      </c>
      <c r="F108" s="17">
        <v>22.948699999999999</v>
      </c>
      <c r="G108" s="11"/>
      <c r="H108" s="18">
        <v>77.86372643</v>
      </c>
      <c r="I108" s="18">
        <v>14.61067765</v>
      </c>
      <c r="J108" s="11"/>
      <c r="K108" s="19">
        <v>76.95325914</v>
      </c>
      <c r="L108" s="19">
        <v>27.770610739999999</v>
      </c>
    </row>
    <row r="109" spans="1:12" x14ac:dyDescent="0.2">
      <c r="A109" s="11"/>
      <c r="B109" s="16">
        <v>58.572135469999999</v>
      </c>
      <c r="C109" s="16">
        <v>16.64270381</v>
      </c>
      <c r="D109" s="11"/>
      <c r="E109" s="17">
        <v>67.948700000000002</v>
      </c>
      <c r="F109" s="17">
        <v>22.179500000000001</v>
      </c>
      <c r="G109" s="11"/>
      <c r="H109" s="18">
        <v>77.33815817</v>
      </c>
      <c r="I109" s="18">
        <v>15.890054660000001</v>
      </c>
      <c r="J109" s="11"/>
      <c r="K109" s="19">
        <v>75.107730090000004</v>
      </c>
      <c r="L109" s="19">
        <v>30.016983419999999</v>
      </c>
    </row>
    <row r="110" spans="1:12" x14ac:dyDescent="0.2">
      <c r="A110" s="11"/>
      <c r="B110" s="16">
        <v>70.981940989999998</v>
      </c>
      <c r="C110" s="16">
        <v>21.145888100000001</v>
      </c>
      <c r="D110" s="11"/>
      <c r="E110" s="17">
        <v>65.897400000000005</v>
      </c>
      <c r="F110" s="17">
        <v>20.256399999999999</v>
      </c>
      <c r="G110" s="11"/>
      <c r="H110" s="18">
        <v>76.180416530000002</v>
      </c>
      <c r="I110" s="18">
        <v>15.91257375</v>
      </c>
      <c r="J110" s="11"/>
      <c r="K110" s="19">
        <v>75.969285200000002</v>
      </c>
      <c r="L110" s="19">
        <v>29.038865380000001</v>
      </c>
    </row>
    <row r="111" spans="1:12" x14ac:dyDescent="0.2">
      <c r="A111" s="11"/>
      <c r="B111" s="16">
        <v>65.223030399999999</v>
      </c>
      <c r="C111" s="16">
        <v>18.397195119999999</v>
      </c>
      <c r="D111" s="11"/>
      <c r="E111" s="17">
        <v>63.076900000000002</v>
      </c>
      <c r="F111" s="17">
        <v>19.102599999999999</v>
      </c>
      <c r="G111" s="11"/>
      <c r="H111" s="18">
        <v>77.252651090000001</v>
      </c>
      <c r="I111" s="18">
        <v>15.15151702</v>
      </c>
      <c r="J111" s="11"/>
      <c r="K111" s="19">
        <v>75.283887010000001</v>
      </c>
      <c r="L111" s="19">
        <v>24.874753170000002</v>
      </c>
    </row>
    <row r="112" spans="1:12" x14ac:dyDescent="0.2">
      <c r="A112" s="11"/>
      <c r="B112" s="16">
        <v>65.31504391</v>
      </c>
      <c r="C112" s="16">
        <v>18.3337483</v>
      </c>
      <c r="D112" s="11"/>
      <c r="E112" s="17">
        <v>61.2821</v>
      </c>
      <c r="F112" s="17">
        <v>19.102599999999999</v>
      </c>
      <c r="G112" s="11"/>
      <c r="H112" s="18">
        <v>77.413375279999997</v>
      </c>
      <c r="I112" s="18">
        <v>15.22192798</v>
      </c>
      <c r="J112" s="11"/>
      <c r="K112" s="19">
        <v>77.052240639999994</v>
      </c>
      <c r="L112" s="19">
        <v>27.905639090000001</v>
      </c>
    </row>
    <row r="113" spans="1:12" x14ac:dyDescent="0.2">
      <c r="A113" s="11"/>
      <c r="B113" s="16">
        <v>64.010240679999995</v>
      </c>
      <c r="C113" s="16">
        <v>17.924478189999999</v>
      </c>
      <c r="D113" s="11"/>
      <c r="E113" s="17">
        <v>58.7179</v>
      </c>
      <c r="F113" s="17">
        <v>18.333300000000001</v>
      </c>
      <c r="G113" s="11"/>
      <c r="H113" s="18">
        <v>76.731849400000002</v>
      </c>
      <c r="I113" s="18">
        <v>16.216846140000001</v>
      </c>
      <c r="J113" s="11"/>
      <c r="K113" s="19">
        <v>42.826756340000003</v>
      </c>
      <c r="L113" s="19">
        <v>25.556959410000001</v>
      </c>
    </row>
    <row r="114" spans="1:12" x14ac:dyDescent="0.2">
      <c r="A114" s="11"/>
      <c r="B114" s="16">
        <v>57.140935929999998</v>
      </c>
      <c r="C114" s="16">
        <v>16.598610539999999</v>
      </c>
      <c r="D114" s="11"/>
      <c r="E114" s="17">
        <v>55.1282</v>
      </c>
      <c r="F114" s="17">
        <v>18.333300000000001</v>
      </c>
      <c r="G114" s="11"/>
      <c r="H114" s="18">
        <v>49.47110541</v>
      </c>
      <c r="I114" s="18">
        <v>25.063019310000001</v>
      </c>
      <c r="J114" s="11"/>
      <c r="K114" s="19">
        <v>42.080660690000002</v>
      </c>
      <c r="L114" s="19">
        <v>24.94652645</v>
      </c>
    </row>
    <row r="115" spans="1:12" x14ac:dyDescent="0.2">
      <c r="A115" s="11"/>
      <c r="B115" s="16">
        <v>56.36515326</v>
      </c>
      <c r="C115" s="16">
        <v>16.326546369999999</v>
      </c>
      <c r="D115" s="11"/>
      <c r="E115" s="17">
        <v>52.307699999999997</v>
      </c>
      <c r="F115" s="17">
        <v>18.333300000000001</v>
      </c>
      <c r="G115" s="11"/>
      <c r="H115" s="18">
        <v>42.476539940000002</v>
      </c>
      <c r="I115" s="18">
        <v>18.338473560000001</v>
      </c>
      <c r="J115" s="11"/>
      <c r="K115" s="19">
        <v>39.878304649999997</v>
      </c>
      <c r="L115" s="19">
        <v>18.324929220000001</v>
      </c>
    </row>
    <row r="116" spans="1:12" x14ac:dyDescent="0.2">
      <c r="A116" s="11"/>
      <c r="B116" s="16">
        <v>43.046183239999998</v>
      </c>
      <c r="C116" s="16">
        <v>18.40255939</v>
      </c>
      <c r="D116" s="11"/>
      <c r="E116" s="17">
        <v>49.743600000000001</v>
      </c>
      <c r="F116" s="17">
        <v>17.5641</v>
      </c>
      <c r="G116" s="11"/>
      <c r="H116" s="18">
        <v>43.59511586</v>
      </c>
      <c r="I116" s="18">
        <v>19.994200979999999</v>
      </c>
      <c r="J116" s="11"/>
      <c r="K116" s="19">
        <v>36.475499169999999</v>
      </c>
      <c r="L116" s="19">
        <v>17.718947790000001</v>
      </c>
    </row>
    <row r="117" spans="1:12" x14ac:dyDescent="0.2">
      <c r="A117" s="11"/>
      <c r="B117" s="16">
        <v>52.081755559999998</v>
      </c>
      <c r="C117" s="16">
        <v>16.45387453</v>
      </c>
      <c r="D117" s="11"/>
      <c r="E117" s="17">
        <v>47.435899999999997</v>
      </c>
      <c r="F117" s="17">
        <v>16.025600000000001</v>
      </c>
      <c r="G117" s="11"/>
      <c r="H117" s="18">
        <v>50.339969670000002</v>
      </c>
      <c r="I117" s="18">
        <v>26.471396609999999</v>
      </c>
      <c r="J117" s="11"/>
      <c r="K117" s="19">
        <v>37.103073639999998</v>
      </c>
      <c r="L117" s="19">
        <v>15.44561165</v>
      </c>
    </row>
    <row r="118" spans="1:12" x14ac:dyDescent="0.2">
      <c r="A118" s="11"/>
      <c r="B118" s="16">
        <v>42.87903652</v>
      </c>
      <c r="C118" s="16">
        <v>18.489411029999999</v>
      </c>
      <c r="D118" s="11"/>
      <c r="E118" s="17">
        <v>44.8718</v>
      </c>
      <c r="F118" s="17">
        <v>13.718</v>
      </c>
      <c r="G118" s="11"/>
      <c r="H118" s="18">
        <v>40.748980260000003</v>
      </c>
      <c r="I118" s="18">
        <v>16.182141659999999</v>
      </c>
      <c r="J118" s="11"/>
      <c r="K118" s="19">
        <v>34.14896821</v>
      </c>
      <c r="L118" s="19">
        <v>13.52386987</v>
      </c>
    </row>
    <row r="119" spans="1:12" x14ac:dyDescent="0.2">
      <c r="A119" s="11"/>
      <c r="B119" s="16">
        <v>51.566994800000003</v>
      </c>
      <c r="C119" s="16">
        <v>16.48571364</v>
      </c>
      <c r="D119" s="11"/>
      <c r="E119" s="17">
        <v>48.7179</v>
      </c>
      <c r="F119" s="17">
        <v>14.8718</v>
      </c>
      <c r="G119" s="11"/>
      <c r="H119" s="18">
        <v>38.386525579999997</v>
      </c>
      <c r="I119" s="18">
        <v>14.580215150000001</v>
      </c>
      <c r="J119" s="11"/>
      <c r="K119" s="19">
        <v>37.579421910000001</v>
      </c>
      <c r="L119" s="19">
        <v>15.015890130000001</v>
      </c>
    </row>
    <row r="120" spans="1:12" x14ac:dyDescent="0.2">
      <c r="A120" s="11"/>
      <c r="B120" s="16">
        <v>58.839125119999999</v>
      </c>
      <c r="C120" s="16">
        <v>16.63763522</v>
      </c>
      <c r="D120" s="11"/>
      <c r="E120" s="17">
        <v>51.2821</v>
      </c>
      <c r="F120" s="17">
        <v>14.8718</v>
      </c>
      <c r="G120" s="11"/>
      <c r="H120" s="18">
        <v>38.404015209999997</v>
      </c>
      <c r="I120" s="18">
        <v>14.45194845</v>
      </c>
      <c r="J120" s="11"/>
      <c r="K120" s="19">
        <v>41.064305789999999</v>
      </c>
      <c r="L120" s="19">
        <v>12.214468930000001</v>
      </c>
    </row>
    <row r="121" spans="1:12" x14ac:dyDescent="0.2">
      <c r="A121" s="11"/>
      <c r="B121" s="16">
        <v>60.755789139999997</v>
      </c>
      <c r="C121" s="16">
        <v>17.03323151</v>
      </c>
      <c r="D121" s="11"/>
      <c r="E121" s="17">
        <v>54.102600000000002</v>
      </c>
      <c r="F121" s="17">
        <v>14.8718</v>
      </c>
      <c r="G121" s="11"/>
      <c r="H121" s="18">
        <v>38.76427889</v>
      </c>
      <c r="I121" s="18">
        <v>14.365590470000001</v>
      </c>
      <c r="J121" s="11"/>
      <c r="K121" s="19">
        <v>42.195266150000002</v>
      </c>
      <c r="L121" s="19">
        <v>20.919372190000001</v>
      </c>
    </row>
    <row r="122" spans="1:12" x14ac:dyDescent="0.2">
      <c r="A122" s="11"/>
      <c r="B122" s="16">
        <v>54.761156120000003</v>
      </c>
      <c r="C122" s="16">
        <v>16.3661891</v>
      </c>
      <c r="D122" s="11"/>
      <c r="E122" s="17">
        <v>56.153799999999997</v>
      </c>
      <c r="F122" s="17">
        <v>14.102600000000001</v>
      </c>
      <c r="G122" s="11"/>
      <c r="H122" s="18">
        <v>41.470142330000002</v>
      </c>
      <c r="I122" s="18">
        <v>17.278033440000002</v>
      </c>
      <c r="J122" s="11"/>
      <c r="K122" s="19">
        <v>36.60557824</v>
      </c>
      <c r="L122" s="19">
        <v>15.748875890000001</v>
      </c>
    </row>
    <row r="123" spans="1:12" x14ac:dyDescent="0.2">
      <c r="A123" s="11"/>
      <c r="B123" s="16">
        <v>53.569904999999999</v>
      </c>
      <c r="C123" s="16">
        <v>16.339712550000002</v>
      </c>
      <c r="D123" s="11"/>
      <c r="E123" s="17">
        <v>52.051299999999998</v>
      </c>
      <c r="F123" s="17">
        <v>12.5641</v>
      </c>
      <c r="G123" s="11"/>
      <c r="H123" s="18">
        <v>47.15540481</v>
      </c>
      <c r="I123" s="18">
        <v>22.377932529999999</v>
      </c>
      <c r="J123" s="11"/>
      <c r="K123" s="19">
        <v>39.431161209999999</v>
      </c>
      <c r="L123" s="19">
        <v>19.323840749999999</v>
      </c>
    </row>
    <row r="124" spans="1:12" x14ac:dyDescent="0.2">
      <c r="A124" s="11"/>
      <c r="B124" s="16">
        <v>48.914618240000003</v>
      </c>
      <c r="C124" s="16">
        <v>16.798637079999999</v>
      </c>
      <c r="D124" s="11"/>
      <c r="E124" s="17">
        <v>48.7179</v>
      </c>
      <c r="F124" s="17">
        <v>11.025600000000001</v>
      </c>
      <c r="G124" s="11"/>
      <c r="H124" s="18">
        <v>39.582566749999998</v>
      </c>
      <c r="I124" s="18">
        <v>17.648452840000001</v>
      </c>
      <c r="J124" s="11"/>
      <c r="K124" s="19">
        <v>37.562076339999997</v>
      </c>
      <c r="L124" s="19">
        <v>11.928445699999999</v>
      </c>
    </row>
    <row r="125" spans="1:12" x14ac:dyDescent="0.2">
      <c r="A125" s="11"/>
      <c r="B125" s="16">
        <v>52.64613731</v>
      </c>
      <c r="C125" s="16">
        <v>16.384836379999999</v>
      </c>
      <c r="D125" s="11"/>
      <c r="E125" s="17">
        <v>47.179499999999997</v>
      </c>
      <c r="F125" s="17">
        <v>9.8718000000000004</v>
      </c>
      <c r="G125" s="11"/>
      <c r="H125" s="18">
        <v>41.740243820000003</v>
      </c>
      <c r="I125" s="18">
        <v>17.829324310000001</v>
      </c>
      <c r="J125" s="11"/>
      <c r="K125" s="19">
        <v>34.238110040000002</v>
      </c>
      <c r="L125" s="19">
        <v>13.713158229999999</v>
      </c>
    </row>
    <row r="126" spans="1:12" x14ac:dyDescent="0.2">
      <c r="A126" s="11"/>
      <c r="B126" s="16">
        <v>49.838492989999999</v>
      </c>
      <c r="C126" s="16">
        <v>16.676330279999998</v>
      </c>
      <c r="D126" s="11"/>
      <c r="E126" s="17">
        <v>46.153799999999997</v>
      </c>
      <c r="F126" s="17">
        <v>6.0255999999999998</v>
      </c>
      <c r="G126" s="11"/>
      <c r="H126" s="18">
        <v>39.311871889999999</v>
      </c>
      <c r="I126" s="18">
        <v>15.64071697</v>
      </c>
      <c r="J126" s="11"/>
      <c r="K126" s="19">
        <v>34.140941040000001</v>
      </c>
      <c r="L126" s="19">
        <v>4.5776613499999996</v>
      </c>
    </row>
    <row r="127" spans="1:12" x14ac:dyDescent="0.2">
      <c r="A127" s="11"/>
      <c r="B127" s="16">
        <v>52.684066399999999</v>
      </c>
      <c r="C127" s="16">
        <v>16.407962779999998</v>
      </c>
      <c r="D127" s="11"/>
      <c r="E127" s="17">
        <v>50.512799999999999</v>
      </c>
      <c r="F127" s="17">
        <v>9.4871999999999996</v>
      </c>
      <c r="G127" s="11"/>
      <c r="H127" s="18">
        <v>41.679847690000003</v>
      </c>
      <c r="I127" s="18">
        <v>17.745919010000001</v>
      </c>
      <c r="J127" s="11"/>
      <c r="K127" s="19">
        <v>36.659267700000001</v>
      </c>
      <c r="L127" s="19">
        <v>17.68196446</v>
      </c>
    </row>
    <row r="128" spans="1:12" x14ac:dyDescent="0.2">
      <c r="A128" s="11"/>
      <c r="B128" s="16">
        <v>65.807219029999999</v>
      </c>
      <c r="C128" s="16">
        <v>18.140764950000001</v>
      </c>
      <c r="D128" s="11"/>
      <c r="E128" s="17">
        <v>53.846200000000003</v>
      </c>
      <c r="F128" s="17">
        <v>10.256399999999999</v>
      </c>
      <c r="G128" s="11"/>
      <c r="H128" s="18">
        <v>39.087464449999999</v>
      </c>
      <c r="I128" s="18">
        <v>15.12230394</v>
      </c>
      <c r="J128" s="11"/>
      <c r="K128" s="19">
        <v>40.643719279999999</v>
      </c>
      <c r="L128" s="19">
        <v>20.240861370000001</v>
      </c>
    </row>
    <row r="129" spans="1:12" x14ac:dyDescent="0.2">
      <c r="A129" s="11"/>
      <c r="B129" s="16">
        <v>60.67392092</v>
      </c>
      <c r="C129" s="16">
        <v>17.05180236</v>
      </c>
      <c r="D129" s="11"/>
      <c r="E129" s="17">
        <v>57.435899999999997</v>
      </c>
      <c r="F129" s="17">
        <v>10.256399999999999</v>
      </c>
      <c r="G129" s="11"/>
      <c r="H129" s="18">
        <v>41.481502859999999</v>
      </c>
      <c r="I129" s="18">
        <v>18.047437439999999</v>
      </c>
      <c r="J129" s="11"/>
      <c r="K129" s="19">
        <v>36.792481590000001</v>
      </c>
      <c r="L129" s="19">
        <v>13.39213473</v>
      </c>
    </row>
    <row r="130" spans="1:12" x14ac:dyDescent="0.2">
      <c r="A130" s="11"/>
      <c r="B130" s="16">
        <v>63.394712869999999</v>
      </c>
      <c r="C130" s="16">
        <v>17.70053514</v>
      </c>
      <c r="D130" s="11"/>
      <c r="E130" s="17">
        <v>60</v>
      </c>
      <c r="F130" s="17">
        <v>10.641</v>
      </c>
      <c r="G130" s="11"/>
      <c r="H130" s="18">
        <v>77.606086550000001</v>
      </c>
      <c r="I130" s="18">
        <v>15.16287254</v>
      </c>
      <c r="J130" s="11"/>
      <c r="K130" s="19">
        <v>75.948300639999999</v>
      </c>
      <c r="L130" s="19">
        <v>22.744795910000001</v>
      </c>
    </row>
    <row r="131" spans="1:12" x14ac:dyDescent="0.2">
      <c r="A131" s="11"/>
      <c r="B131" s="16">
        <v>64.80200945</v>
      </c>
      <c r="C131" s="16">
        <v>18.21687863</v>
      </c>
      <c r="D131" s="11"/>
      <c r="E131" s="17">
        <v>64.102599999999995</v>
      </c>
      <c r="F131" s="17">
        <v>10.641</v>
      </c>
      <c r="G131" s="11"/>
      <c r="H131" s="18">
        <v>75.982661519999994</v>
      </c>
      <c r="I131" s="18">
        <v>16.30692238</v>
      </c>
      <c r="J131" s="11"/>
      <c r="K131" s="19">
        <v>76.840692469999993</v>
      </c>
      <c r="L131" s="19">
        <v>20.918547220000001</v>
      </c>
    </row>
    <row r="132" spans="1:12" x14ac:dyDescent="0.2">
      <c r="A132" s="11"/>
      <c r="B132" s="16">
        <v>65.025939809999997</v>
      </c>
      <c r="C132" s="16">
        <v>18.287824499999999</v>
      </c>
      <c r="D132" s="11"/>
      <c r="E132" s="17">
        <v>66.923100000000005</v>
      </c>
      <c r="F132" s="17">
        <v>10.641</v>
      </c>
      <c r="G132" s="11"/>
      <c r="H132" s="18">
        <v>76.945757240000006</v>
      </c>
      <c r="I132" s="18">
        <v>15.858478330000001</v>
      </c>
      <c r="J132" s="11"/>
      <c r="K132" s="19">
        <v>81.950477640000003</v>
      </c>
      <c r="L132" s="19">
        <v>19.87455821</v>
      </c>
    </row>
    <row r="133" spans="1:12" x14ac:dyDescent="0.2">
      <c r="A133" s="11"/>
      <c r="B133" s="16">
        <v>65.755551539999999</v>
      </c>
      <c r="C133" s="16">
        <v>18.51621583</v>
      </c>
      <c r="D133" s="11"/>
      <c r="E133" s="17">
        <v>71.2821</v>
      </c>
      <c r="F133" s="17">
        <v>10.641</v>
      </c>
      <c r="G133" s="11"/>
      <c r="H133" s="18">
        <v>77.543720070000006</v>
      </c>
      <c r="I133" s="18">
        <v>15.25394915</v>
      </c>
      <c r="J133" s="11"/>
      <c r="K133" s="19">
        <v>81.643705690000004</v>
      </c>
      <c r="L133" s="19">
        <v>16.591759979999999</v>
      </c>
    </row>
    <row r="134" spans="1:12" x14ac:dyDescent="0.2">
      <c r="A134" s="11"/>
      <c r="B134" s="16">
        <v>69.967734120000003</v>
      </c>
      <c r="C134" s="16">
        <v>20.53898878</v>
      </c>
      <c r="D134" s="11"/>
      <c r="E134" s="17">
        <v>74.358999999999995</v>
      </c>
      <c r="F134" s="17">
        <v>10.641</v>
      </c>
      <c r="G134" s="11"/>
      <c r="H134" s="18">
        <v>77.584739839999997</v>
      </c>
      <c r="I134" s="18">
        <v>15.83003939</v>
      </c>
      <c r="J134" s="11"/>
      <c r="K134" s="19">
        <v>84.610219779999994</v>
      </c>
      <c r="L134" s="19">
        <v>14.2477619</v>
      </c>
    </row>
    <row r="135" spans="1:12" x14ac:dyDescent="0.2">
      <c r="A135" s="11"/>
      <c r="B135" s="16">
        <v>68.892784019999993</v>
      </c>
      <c r="C135" s="16">
        <v>20.032448840000001</v>
      </c>
      <c r="D135" s="11"/>
      <c r="E135" s="17">
        <v>78.205100000000002</v>
      </c>
      <c r="F135" s="17">
        <v>10.641</v>
      </c>
      <c r="G135" s="11"/>
      <c r="H135" s="18">
        <v>76.822304259999996</v>
      </c>
      <c r="I135" s="18">
        <v>15.59516532</v>
      </c>
      <c r="J135" s="11"/>
      <c r="K135" s="19">
        <v>84.102879430000002</v>
      </c>
      <c r="L135" s="19">
        <v>8.9806557900000001</v>
      </c>
    </row>
    <row r="136" spans="1:12" x14ac:dyDescent="0.2">
      <c r="A136" s="11"/>
      <c r="B136" s="16">
        <v>61.826546559999997</v>
      </c>
      <c r="C136" s="16">
        <v>17.269655449999998</v>
      </c>
      <c r="D136" s="11"/>
      <c r="E136" s="17">
        <v>67.948700000000002</v>
      </c>
      <c r="F136" s="17">
        <v>8.718</v>
      </c>
      <c r="G136" s="11"/>
      <c r="H136" s="18">
        <v>77.348571660000005</v>
      </c>
      <c r="I136" s="18">
        <v>15.77452924</v>
      </c>
      <c r="J136" s="11"/>
      <c r="K136" s="19">
        <v>80.180025450000002</v>
      </c>
      <c r="L136" s="19">
        <v>19.088844129999998</v>
      </c>
    </row>
    <row r="137" spans="1:12" x14ac:dyDescent="0.2">
      <c r="A137" s="11"/>
      <c r="B137" s="16">
        <v>60.787970080000001</v>
      </c>
      <c r="C137" s="16">
        <v>17.04620486</v>
      </c>
      <c r="D137" s="11"/>
      <c r="E137" s="17">
        <v>68.461500000000001</v>
      </c>
      <c r="F137" s="17">
        <v>5.2564000000000002</v>
      </c>
      <c r="G137" s="11"/>
      <c r="H137" s="18">
        <v>77.573152690000001</v>
      </c>
      <c r="I137" s="18">
        <v>14.780645829999999</v>
      </c>
      <c r="J137" s="11"/>
      <c r="K137" s="19">
        <v>80.573272990000007</v>
      </c>
      <c r="L137" s="19">
        <v>8.3656389020000006</v>
      </c>
    </row>
    <row r="138" spans="1:12" x14ac:dyDescent="0.2">
      <c r="A138" s="11"/>
      <c r="B138" s="16">
        <v>61.91560964</v>
      </c>
      <c r="C138" s="16">
        <v>17.282191220000001</v>
      </c>
      <c r="D138" s="11"/>
      <c r="E138" s="17">
        <v>68.205100000000002</v>
      </c>
      <c r="F138" s="17">
        <v>2.9487000000000001</v>
      </c>
      <c r="G138" s="11"/>
      <c r="H138" s="18">
        <v>77.972610680000003</v>
      </c>
      <c r="I138" s="18">
        <v>14.95569875</v>
      </c>
      <c r="J138" s="11"/>
      <c r="K138" s="19">
        <v>79.004326860000006</v>
      </c>
      <c r="L138" s="19">
        <v>10.62819777</v>
      </c>
    </row>
    <row r="139" spans="1:12" x14ac:dyDescent="0.2">
      <c r="A139" s="11"/>
      <c r="B139" s="16">
        <v>45.028997529999998</v>
      </c>
      <c r="C139" s="16">
        <v>17.724447300000001</v>
      </c>
      <c r="D139" s="11"/>
      <c r="E139" s="17">
        <v>37.692300000000003</v>
      </c>
      <c r="F139" s="17">
        <v>25.769200000000001</v>
      </c>
      <c r="G139" s="11"/>
      <c r="H139" s="18">
        <v>41.528919760000001</v>
      </c>
      <c r="I139" s="18">
        <v>24.916425189999998</v>
      </c>
      <c r="J139" s="11"/>
      <c r="K139" s="19">
        <v>40.048186469999997</v>
      </c>
      <c r="L139" s="19">
        <v>24.261487930000001</v>
      </c>
    </row>
    <row r="140" spans="1:12" x14ac:dyDescent="0.2">
      <c r="A140" s="11"/>
      <c r="B140" s="16">
        <v>39.921362809999998</v>
      </c>
      <c r="C140" s="16">
        <v>19.70184953</v>
      </c>
      <c r="D140" s="11"/>
      <c r="E140" s="17">
        <v>39.487200000000001</v>
      </c>
      <c r="F140" s="17">
        <v>25.384599999999999</v>
      </c>
      <c r="G140" s="11"/>
      <c r="H140" s="18">
        <v>43.7225508</v>
      </c>
      <c r="I140" s="18">
        <v>19.077327799999999</v>
      </c>
      <c r="J140" s="11"/>
      <c r="K140" s="19">
        <v>34.794593540000001</v>
      </c>
      <c r="L140" s="19">
        <v>13.969683460000001</v>
      </c>
    </row>
    <row r="141" spans="1:12" x14ac:dyDescent="0.2">
      <c r="A141" s="11"/>
      <c r="B141" s="16">
        <v>84.794277879999996</v>
      </c>
      <c r="C141" s="16">
        <v>55.56865037</v>
      </c>
      <c r="D141" s="11"/>
      <c r="E141" s="17">
        <v>91.2821</v>
      </c>
      <c r="F141" s="17">
        <v>41.538499999999999</v>
      </c>
      <c r="G141" s="11"/>
      <c r="H141" s="18">
        <v>79.326078179999996</v>
      </c>
      <c r="I141" s="18">
        <v>52.900391290000002</v>
      </c>
      <c r="J141" s="11"/>
      <c r="K141" s="19">
        <v>79.221764440000001</v>
      </c>
      <c r="L141" s="19">
        <v>22.094591479999998</v>
      </c>
    </row>
    <row r="142" spans="1:12" x14ac:dyDescent="0.2">
      <c r="A142" s="11"/>
      <c r="B142" s="16">
        <v>55.662958740000001</v>
      </c>
      <c r="C142" s="16">
        <v>83.356479620000002</v>
      </c>
      <c r="D142" s="11"/>
      <c r="E142" s="17">
        <v>50</v>
      </c>
      <c r="F142" s="17">
        <v>95.769199999999998</v>
      </c>
      <c r="G142" s="11"/>
      <c r="H142" s="18">
        <v>56.663974080000003</v>
      </c>
      <c r="I142" s="18">
        <v>87.940125010000003</v>
      </c>
      <c r="J142" s="11"/>
      <c r="K142" s="19">
        <v>36.030879769999999</v>
      </c>
      <c r="L142" s="19">
        <v>93.121733239999998</v>
      </c>
    </row>
    <row r="143" spans="1:12" x14ac:dyDescent="0.2">
      <c r="A143" s="11"/>
      <c r="B143" s="16">
        <v>50.492247509999999</v>
      </c>
      <c r="C143" s="16">
        <v>78.997532070000005</v>
      </c>
      <c r="D143" s="11"/>
      <c r="E143" s="17">
        <v>47.948700000000002</v>
      </c>
      <c r="F143" s="17">
        <v>95</v>
      </c>
      <c r="G143" s="11"/>
      <c r="H143" s="18">
        <v>57.82178923</v>
      </c>
      <c r="I143" s="18">
        <v>90.693166550000001</v>
      </c>
      <c r="J143" s="11"/>
      <c r="K143" s="19">
        <v>34.499558309999998</v>
      </c>
      <c r="L143" s="19">
        <v>86.609985050000006</v>
      </c>
    </row>
    <row r="144" spans="1:12" x14ac:dyDescent="0.2">
      <c r="A144" s="11"/>
      <c r="B144" s="16">
        <v>51.467101139999997</v>
      </c>
      <c r="C144" s="16">
        <v>79.201844579999999</v>
      </c>
      <c r="D144" s="11"/>
      <c r="E144" s="17">
        <v>44.102600000000002</v>
      </c>
      <c r="F144" s="17">
        <v>92.692300000000003</v>
      </c>
      <c r="G144" s="11"/>
      <c r="H144" s="18">
        <v>58.2431719</v>
      </c>
      <c r="I144" s="18">
        <v>92.104327870000006</v>
      </c>
      <c r="J144" s="11"/>
      <c r="K144" s="19">
        <v>31.10686656</v>
      </c>
      <c r="L144" s="19">
        <v>89.461635240000007</v>
      </c>
    </row>
  </sheetData>
  <mergeCells count="8">
    <mergeCell ref="V2:W2"/>
    <mergeCell ref="Y2:Z2"/>
    <mergeCell ref="B1:C1"/>
    <mergeCell ref="E1:F1"/>
    <mergeCell ref="H1:I1"/>
    <mergeCell ref="K1:L1"/>
    <mergeCell ref="P2:Q2"/>
    <mergeCell ref="S2:T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2026-04-05T15:31:34Z</dcterms:created>
  <dcterms:modified xsi:type="dcterms:W3CDTF">2026-04-05T17:32:52Z</dcterms:modified>
</cp:coreProperties>
</file>