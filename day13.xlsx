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D06AF3F9-5E7C-E949-8474-DC73662A3635}" xr6:coauthVersionLast="47" xr6:coauthVersionMax="47" xr10:uidLastSave="{00000000-0000-0000-0000-000000000000}"/>
  <bookViews>
    <workbookView xWindow="0" yWindow="600" windowWidth="38400" windowHeight="21000" activeTab="3" xr2:uid="{F924A18B-A2AA-5941-9A30-DDBEA0E0F5B5}"/>
  </bookViews>
  <sheets>
    <sheet name="agenda" sheetId="1" r:id="rId1"/>
    <sheet name="Date" sheetId="2" r:id="rId2"/>
    <sheet name="TIME" sheetId="3" r:id="rId3"/>
    <sheet name="OFFSET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4" l="1"/>
  <c r="D12" i="4"/>
  <c r="C34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23" i="2"/>
  <c r="E24" i="2"/>
  <c r="E25" i="2"/>
  <c r="E26" i="2"/>
  <c r="E27" i="2"/>
  <c r="E28" i="2"/>
  <c r="E15" i="2"/>
  <c r="E16" i="2"/>
  <c r="E17" i="2"/>
  <c r="E18" i="2"/>
  <c r="E19" i="2"/>
  <c r="E20" i="2"/>
  <c r="E21" i="2"/>
  <c r="E22" i="2"/>
  <c r="E34" i="3"/>
  <c r="E32" i="3"/>
  <c r="E29" i="3"/>
  <c r="E30" i="3"/>
  <c r="E31" i="3"/>
  <c r="E13" i="2"/>
  <c r="E14" i="2"/>
  <c r="C31" i="3"/>
  <c r="E12" i="2"/>
  <c r="C12" i="2"/>
  <c r="E11" i="2"/>
  <c r="E21" i="3"/>
  <c r="E22" i="3"/>
  <c r="E23" i="3"/>
  <c r="E24" i="3"/>
  <c r="E25" i="3"/>
  <c r="E26" i="3"/>
  <c r="E27" i="3"/>
  <c r="E28" i="3"/>
  <c r="E20" i="3"/>
  <c r="C20" i="3"/>
  <c r="E5" i="2"/>
  <c r="E6" i="2"/>
  <c r="E7" i="2"/>
  <c r="E8" i="2"/>
  <c r="E9" i="2"/>
  <c r="E10" i="2"/>
  <c r="E4" i="2"/>
  <c r="C4" i="2"/>
  <c r="C20" i="2" l="1"/>
  <c r="C18" i="2"/>
  <c r="C16" i="2"/>
  <c r="C30" i="2" s="1"/>
  <c r="C28" i="3"/>
  <c r="C25" i="3"/>
  <c r="C22" i="3"/>
  <c r="C10" i="2"/>
  <c r="C8" i="2"/>
  <c r="C6" i="2"/>
  <c r="C32" i="2" l="1"/>
  <c r="C22" i="2"/>
  <c r="C28" i="2"/>
  <c r="C26" i="2"/>
  <c r="C24" i="2"/>
  <c r="C34" i="3"/>
  <c r="C14" i="2"/>
</calcChain>
</file>

<file path=xl/sharedStrings.xml><?xml version="1.0" encoding="utf-8"?>
<sst xmlns="http://schemas.openxmlformats.org/spreadsheetml/2006/main" count="47" uniqueCount="46">
  <si>
    <t>Date Time Func</t>
  </si>
  <si>
    <t xml:space="preserve">DATE </t>
  </si>
  <si>
    <t>WHOLE NUM</t>
  </si>
  <si>
    <t>TIME</t>
  </si>
  <si>
    <t>DECIMAL</t>
  </si>
  <si>
    <t>TODAY</t>
  </si>
  <si>
    <t>NOW</t>
  </si>
  <si>
    <t>YEAR</t>
  </si>
  <si>
    <t>MONTH</t>
  </si>
  <si>
    <t>DAY</t>
  </si>
  <si>
    <t>To get Today's date</t>
  </si>
  <si>
    <t>excracts the YEAR part from the date ( serial num )</t>
  </si>
  <si>
    <t>excracts the MONTH part from the date ( serial num )</t>
  </si>
  <si>
    <t>excracts the DAY part from the date ( serial num )</t>
  </si>
  <si>
    <t>HOUR</t>
  </si>
  <si>
    <t>MINUTE</t>
  </si>
  <si>
    <t>SECONDS</t>
  </si>
  <si>
    <t>excracts the HOUR part from the TIME ( serial num )</t>
  </si>
  <si>
    <t>excracts the MINUTE part from the TIME ( serial num )</t>
  </si>
  <si>
    <t>excracts the SECOND part from the TIME ( serial num )</t>
  </si>
  <si>
    <t>Current TIME</t>
  </si>
  <si>
    <t>TIMEVALUE</t>
  </si>
  <si>
    <t>DATEVALUE</t>
  </si>
  <si>
    <t>Return corresponding serial number for the DATE AS TEXT</t>
  </si>
  <si>
    <t>Return corresponding serial number for the TIME AS TEXT</t>
  </si>
  <si>
    <t>DATE</t>
  </si>
  <si>
    <t>CONSTRUCT the date using day, month and year</t>
  </si>
  <si>
    <t>CONSTRUCT the Time using hour, min and sec</t>
  </si>
  <si>
    <t>EDATE</t>
  </si>
  <si>
    <t>EOMONTH</t>
  </si>
  <si>
    <t xml:space="preserve">RETURN SERIALNUM and only add the months, </t>
  </si>
  <si>
    <t>RETURN serial num of the LAST DAY OF THAT MONTH after adding the months given in input</t>
  </si>
  <si>
    <t>WEEKDAY</t>
  </si>
  <si>
    <t>WEEkNUM</t>
  </si>
  <si>
    <t>TELL THE DAY ( of week ) as per the date , LIKE MONDAY, TUES, etc ( convention)</t>
  </si>
  <si>
    <t>TELLS the WEEK num In that year, numerically ( refer the actual calander)</t>
  </si>
  <si>
    <t>DATEDIF</t>
  </si>
  <si>
    <t/>
  </si>
  <si>
    <t>To tell difference b/w two dates in desired unit</t>
  </si>
  <si>
    <t>DAYS</t>
  </si>
  <si>
    <t>START</t>
  </si>
  <si>
    <t>END</t>
  </si>
  <si>
    <t xml:space="preserve">Y Axis </t>
  </si>
  <si>
    <t>Down is +ve and UP is -ve</t>
  </si>
  <si>
    <t>X axis</t>
  </si>
  <si>
    <t>Right is +ve and Left is _ve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</si>
</sst>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0" fillId="2" borderId="0" xfId="0" applyFill="1"/>
    <xf numFmtId="14" fontId="0" fillId="0" borderId="0" xfId="0" applyNumberFormat="1"/>
    <xf numFmtId="0" fontId="0" fillId="0" borderId="0" xfId="0" applyNumberFormat="1"/>
    <xf numFmtId="22" fontId="0" fillId="0" borderId="0" xfId="0" applyNumberFormat="1"/>
    <xf numFmtId="18" fontId="0" fillId="0" borderId="0" xfId="0" applyNumberFormat="1"/>
    <xf numFmtId="0" fontId="0" fillId="0" borderId="0" xfId="0" quotePrefix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564445</xdr:colOff>
      <xdr:row>68</xdr:row>
      <xdr:rowOff>192424</xdr:rowOff>
    </xdr:from>
    <xdr:to>
      <xdr:col>4</xdr:col>
      <xdr:colOff>678745</xdr:colOff>
      <xdr:row>81</xdr:row>
      <xdr:rowOff>152271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743148-E96A-4384-9603-CD7C4A5C89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1869" y="14149596"/>
          <a:ext cx="2596573" cy="26281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421629</xdr:colOff>
      <xdr:row>20</xdr:row>
      <xdr:rowOff>183298</xdr:rowOff>
    </xdr:from>
    <xdr:to>
      <xdr:col>10</xdr:col>
      <xdr:colOff>786482</xdr:colOff>
      <xdr:row>32</xdr:row>
      <xdr:rowOff>54595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37580-C0ED-5F36-0D6A-E8C42A954F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95547" y="4242061"/>
          <a:ext cx="2839389" cy="23065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2DA5C-D470-A64E-B61C-60271E5F66A0}">
  <dimension ref="A3:K93"/>
  <sheetViews>
    <sheetView topLeftCell="A88" zoomScale="198" zoomScaleNormal="198" workbookViewId="0">
      <selection activeCell="F87" sqref="F87"/>
    </sheetView>
  </sheetViews>
  <sheetFormatPr baseColWidth="10" defaultRowHeight="16" x14ac:dyDescent="0.2"/>
  <sheetData>
    <row r="3" spans="1:10" x14ac:dyDescent="0.2">
      <c r="C3" s="1" t="s">
        <v>0</v>
      </c>
      <c r="D3" s="1"/>
    </row>
    <row r="4" spans="1:10" x14ac:dyDescent="0.2">
      <c r="C4" s="1"/>
      <c r="D4" s="1"/>
    </row>
    <row r="7" spans="1:10" x14ac:dyDescent="0.2">
      <c r="C7" s="2" t="s">
        <v>1</v>
      </c>
      <c r="D7" s="2"/>
      <c r="E7" s="2" t="s">
        <v>2</v>
      </c>
    </row>
    <row r="8" spans="1:10" x14ac:dyDescent="0.2">
      <c r="C8" s="2"/>
      <c r="D8" s="2"/>
      <c r="E8" s="2"/>
    </row>
    <row r="9" spans="1:10" x14ac:dyDescent="0.2">
      <c r="C9" s="2" t="s">
        <v>3</v>
      </c>
      <c r="D9" s="2"/>
      <c r="E9" s="2" t="s">
        <v>4</v>
      </c>
    </row>
    <row r="12" spans="1:10" x14ac:dyDescent="0.2">
      <c r="A12" s="3"/>
      <c r="B12" s="3"/>
      <c r="C12" s="3"/>
      <c r="D12" s="3"/>
      <c r="E12" s="3"/>
      <c r="F12" s="3"/>
      <c r="G12" s="3"/>
      <c r="H12" s="3"/>
      <c r="I12" s="3"/>
      <c r="J12" s="3"/>
    </row>
    <row r="14" spans="1:10" x14ac:dyDescent="0.2">
      <c r="C14" s="2" t="s">
        <v>5</v>
      </c>
      <c r="D14" s="5"/>
      <c r="E14" t="s">
        <v>10</v>
      </c>
    </row>
    <row r="15" spans="1:10" x14ac:dyDescent="0.2">
      <c r="C15" s="2"/>
      <c r="D15" s="5"/>
    </row>
    <row r="16" spans="1:10" x14ac:dyDescent="0.2">
      <c r="C16" s="2" t="s">
        <v>7</v>
      </c>
      <c r="D16" s="5"/>
      <c r="E16" s="2" t="s">
        <v>11</v>
      </c>
      <c r="F16" s="2"/>
      <c r="G16" s="2"/>
      <c r="H16" s="2"/>
    </row>
    <row r="17" spans="1:10" x14ac:dyDescent="0.2">
      <c r="C17" s="2"/>
      <c r="D17" s="5"/>
      <c r="E17" s="2"/>
      <c r="F17" s="2"/>
      <c r="G17" s="2"/>
      <c r="H17" s="2"/>
    </row>
    <row r="18" spans="1:10" x14ac:dyDescent="0.2">
      <c r="C18" s="2" t="s">
        <v>8</v>
      </c>
      <c r="E18" s="2" t="s">
        <v>12</v>
      </c>
      <c r="F18" s="2"/>
      <c r="G18" s="2"/>
      <c r="H18" s="2"/>
    </row>
    <row r="19" spans="1:10" x14ac:dyDescent="0.2">
      <c r="C19" s="2"/>
      <c r="E19" s="2"/>
      <c r="F19" s="2"/>
      <c r="G19" s="2"/>
      <c r="H19" s="2"/>
    </row>
    <row r="20" spans="1:10" x14ac:dyDescent="0.2">
      <c r="C20" s="2" t="s">
        <v>9</v>
      </c>
      <c r="E20" s="2" t="s">
        <v>13</v>
      </c>
      <c r="F20" s="2"/>
      <c r="G20" s="2"/>
      <c r="H20" s="2"/>
    </row>
    <row r="24" spans="1:10" x14ac:dyDescent="0.2">
      <c r="A24" s="3"/>
      <c r="B24" s="3"/>
      <c r="C24" s="3"/>
      <c r="D24" s="3"/>
      <c r="E24" s="3"/>
      <c r="F24" s="3"/>
      <c r="G24" s="3"/>
      <c r="H24" s="3"/>
      <c r="I24" s="3"/>
      <c r="J24" s="3"/>
    </row>
    <row r="27" spans="1:10" x14ac:dyDescent="0.2">
      <c r="C27" t="s">
        <v>6</v>
      </c>
      <c r="E27" t="s">
        <v>20</v>
      </c>
    </row>
    <row r="29" spans="1:10" x14ac:dyDescent="0.2">
      <c r="C29" s="2" t="s">
        <v>14</v>
      </c>
      <c r="E29" s="2" t="s">
        <v>17</v>
      </c>
      <c r="F29" s="2"/>
      <c r="G29" s="2"/>
      <c r="H29" s="2"/>
    </row>
    <row r="30" spans="1:10" x14ac:dyDescent="0.2">
      <c r="C30" s="2"/>
      <c r="E30" s="2"/>
      <c r="F30" s="2"/>
      <c r="G30" s="2"/>
      <c r="H30" s="2"/>
    </row>
    <row r="31" spans="1:10" x14ac:dyDescent="0.2">
      <c r="C31" s="2" t="s">
        <v>15</v>
      </c>
      <c r="E31" s="2" t="s">
        <v>18</v>
      </c>
      <c r="F31" s="2"/>
      <c r="G31" s="2"/>
      <c r="H31" s="2"/>
    </row>
    <row r="32" spans="1:10" x14ac:dyDescent="0.2">
      <c r="C32" s="2"/>
      <c r="E32" s="2"/>
      <c r="F32" s="2"/>
      <c r="G32" s="2"/>
      <c r="H32" s="2"/>
    </row>
    <row r="33" spans="1:10" x14ac:dyDescent="0.2">
      <c r="C33" s="2" t="s">
        <v>16</v>
      </c>
      <c r="E33" s="2" t="s">
        <v>19</v>
      </c>
      <c r="F33" s="2"/>
      <c r="G33" s="2"/>
      <c r="H33" s="2"/>
    </row>
    <row r="38" spans="1:10" x14ac:dyDescent="0.2">
      <c r="A38" s="3"/>
      <c r="B38" s="3"/>
      <c r="C38" s="3"/>
      <c r="D38" s="3"/>
      <c r="E38" s="3"/>
      <c r="F38" s="3"/>
      <c r="G38" s="3"/>
      <c r="H38" s="3"/>
      <c r="I38" s="3"/>
      <c r="J38" s="3"/>
    </row>
    <row r="41" spans="1:10" x14ac:dyDescent="0.2">
      <c r="C41" t="s">
        <v>21</v>
      </c>
      <c r="E41" t="s">
        <v>24</v>
      </c>
    </row>
    <row r="43" spans="1:10" x14ac:dyDescent="0.2">
      <c r="C43" t="s">
        <v>22</v>
      </c>
      <c r="E43" t="s">
        <v>23</v>
      </c>
    </row>
    <row r="46" spans="1:10" x14ac:dyDescent="0.2">
      <c r="A46" s="3"/>
      <c r="B46" s="3"/>
      <c r="C46" s="3"/>
      <c r="D46" s="3"/>
      <c r="E46" s="3"/>
      <c r="F46" s="3"/>
      <c r="G46" s="3"/>
      <c r="H46" s="3"/>
      <c r="I46" s="3"/>
      <c r="J46" s="3"/>
    </row>
    <row r="48" spans="1:10" x14ac:dyDescent="0.2">
      <c r="C48" s="2" t="s">
        <v>25</v>
      </c>
      <c r="D48" s="2"/>
      <c r="E48" s="2" t="s">
        <v>26</v>
      </c>
      <c r="F48" s="2"/>
      <c r="G48" s="2"/>
    </row>
    <row r="49" spans="1:10" x14ac:dyDescent="0.2">
      <c r="C49" s="2"/>
      <c r="D49" s="2"/>
      <c r="E49" s="2"/>
      <c r="F49" s="2"/>
      <c r="G49" s="2"/>
    </row>
    <row r="50" spans="1:10" x14ac:dyDescent="0.2">
      <c r="C50" s="2" t="s">
        <v>3</v>
      </c>
      <c r="D50" s="2"/>
      <c r="E50" s="2" t="s">
        <v>27</v>
      </c>
      <c r="F50" s="2"/>
      <c r="G50" s="2"/>
    </row>
    <row r="53" spans="1:10" x14ac:dyDescent="0.2">
      <c r="A53" s="3"/>
      <c r="B53" s="3"/>
      <c r="C53" s="3"/>
      <c r="D53" s="3"/>
      <c r="E53" s="3"/>
      <c r="F53" s="3"/>
      <c r="G53" s="3"/>
      <c r="H53" s="3"/>
      <c r="I53" s="3"/>
      <c r="J53" s="3"/>
    </row>
    <row r="56" spans="1:10" x14ac:dyDescent="0.2">
      <c r="C56" s="2" t="s">
        <v>28</v>
      </c>
      <c r="E56" s="2" t="s">
        <v>30</v>
      </c>
    </row>
    <row r="57" spans="1:10" x14ac:dyDescent="0.2">
      <c r="C57" s="2"/>
      <c r="E57" s="2"/>
    </row>
    <row r="58" spans="1:10" x14ac:dyDescent="0.2">
      <c r="C58" s="2" t="s">
        <v>29</v>
      </c>
      <c r="E58" s="2" t="s">
        <v>31</v>
      </c>
    </row>
    <row r="62" spans="1:10" x14ac:dyDescent="0.2">
      <c r="A62" s="3"/>
      <c r="B62" s="3"/>
      <c r="C62" s="3"/>
      <c r="D62" s="3"/>
      <c r="E62" s="3"/>
      <c r="F62" s="3"/>
      <c r="G62" s="3"/>
      <c r="H62" s="3"/>
      <c r="I62" s="3"/>
      <c r="J62" s="3"/>
    </row>
    <row r="65" spans="3:6" x14ac:dyDescent="0.2">
      <c r="C65" s="2" t="s">
        <v>32</v>
      </c>
      <c r="E65" s="2" t="s">
        <v>34</v>
      </c>
      <c r="F65" s="2"/>
    </row>
    <row r="66" spans="3:6" x14ac:dyDescent="0.2">
      <c r="C66" s="2"/>
      <c r="E66" s="2"/>
      <c r="F66" s="2"/>
    </row>
    <row r="67" spans="3:6" x14ac:dyDescent="0.2">
      <c r="C67" s="2" t="s">
        <v>33</v>
      </c>
      <c r="E67" s="2" t="s">
        <v>35</v>
      </c>
      <c r="F67" s="2"/>
    </row>
    <row r="84" spans="1:1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</row>
    <row r="87" spans="1:11" x14ac:dyDescent="0.2">
      <c r="B87" t="s">
        <v>36</v>
      </c>
      <c r="D87" t="s">
        <v>38</v>
      </c>
    </row>
    <row r="90" spans="1:1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</row>
    <row r="93" spans="1:11" x14ac:dyDescent="0.2">
      <c r="B93" t="s">
        <v>39</v>
      </c>
    </row>
  </sheetData>
  <mergeCells count="1">
    <mergeCell ref="C3:D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5C62B-B6BC-5942-8F4B-934183A384C4}">
  <dimension ref="C4:E46"/>
  <sheetViews>
    <sheetView zoomScale="194" workbookViewId="0">
      <selection activeCell="C33" sqref="C33"/>
    </sheetView>
  </sheetViews>
  <sheetFormatPr baseColWidth="10" defaultRowHeight="16" x14ac:dyDescent="0.2"/>
  <sheetData>
    <row r="4" spans="3:5" x14ac:dyDescent="0.2">
      <c r="C4" s="4">
        <f ca="1">TODAY()</f>
        <v>46171</v>
      </c>
      <c r="E4" t="str">
        <f ca="1">IFERROR(_xlfn.FORMULATEXT(C4),"")</f>
        <v>=TODAY()</v>
      </c>
    </row>
    <row r="5" spans="3:5" x14ac:dyDescent="0.2">
      <c r="E5" t="str">
        <f t="shared" ref="E5" ca="1" si="0">IFERROR(_xlfn.FORMULATEXT(C5),"")</f>
        <v/>
      </c>
    </row>
    <row r="6" spans="3:5" x14ac:dyDescent="0.2">
      <c r="C6">
        <f ca="1">YEAR(C4)</f>
        <v>2026</v>
      </c>
      <c r="E6" t="str">
        <f ca="1">IFERROR(_xlfn.FORMULATEXT(C6),"")</f>
        <v>=YEAR(C4)</v>
      </c>
    </row>
    <row r="7" spans="3:5" x14ac:dyDescent="0.2">
      <c r="E7" t="str">
        <f ca="1">IFERROR(_xlfn.FORMULATEXT(C7),"")</f>
        <v/>
      </c>
    </row>
    <row r="8" spans="3:5" x14ac:dyDescent="0.2">
      <c r="C8">
        <f ca="1">MONTH(C4)</f>
        <v>5</v>
      </c>
      <c r="E8" t="str">
        <f ca="1">IFERROR(_xlfn.FORMULATEXT(C8),"")</f>
        <v>=MONTH(C4)</v>
      </c>
    </row>
    <row r="9" spans="3:5" x14ac:dyDescent="0.2">
      <c r="E9" t="str">
        <f ca="1">IFERROR(_xlfn.FORMULATEXT(C9),"")</f>
        <v/>
      </c>
    </row>
    <row r="10" spans="3:5" x14ac:dyDescent="0.2">
      <c r="C10">
        <f ca="1">DAY(C4)</f>
        <v>29</v>
      </c>
      <c r="E10" t="str">
        <f ca="1">IFERROR(_xlfn.FORMULATEXT(C10),"")</f>
        <v>=DAY(C4)</v>
      </c>
    </row>
    <row r="11" spans="3:5" x14ac:dyDescent="0.2">
      <c r="E11" t="str">
        <f t="shared" ref="E11:E13" ca="1" si="1">IFERROR(_xlfn.FORMULATEXT(C11),"")</f>
        <v/>
      </c>
    </row>
    <row r="12" spans="3:5" x14ac:dyDescent="0.2">
      <c r="C12">
        <f>DATEVALUE("29/05/2026")</f>
        <v>46171</v>
      </c>
      <c r="E12" t="str">
        <f ca="1">IFERROR(_xlfn.FORMULATEXT(C12),"")</f>
        <v>=DATEVALUE("29/05/2026")</v>
      </c>
    </row>
    <row r="13" spans="3:5" x14ac:dyDescent="0.2">
      <c r="E13" t="str">
        <f ca="1">IFERROR(_xlfn.FORMULATEXT(C13),"")</f>
        <v/>
      </c>
    </row>
    <row r="14" spans="3:5" x14ac:dyDescent="0.2">
      <c r="C14" s="4">
        <f ca="1">DATE(C6,C8,C10)</f>
        <v>46171</v>
      </c>
      <c r="E14" t="str">
        <f ca="1">IFERROR(_xlfn.FORMULATEXT(C14),"")</f>
        <v>=DATE(C6,C8,C10)</v>
      </c>
    </row>
    <row r="15" spans="3:5" x14ac:dyDescent="0.2">
      <c r="E15" t="str">
        <f t="shared" ref="E15:E46" ca="1" si="2">IFERROR(_xlfn.FORMULATEXT(C15),"")</f>
        <v/>
      </c>
    </row>
    <row r="16" spans="3:5" x14ac:dyDescent="0.2">
      <c r="C16" s="4">
        <f ca="1">EDATE(C4,12)</f>
        <v>46536</v>
      </c>
      <c r="E16" t="str">
        <f t="shared" ca="1" si="2"/>
        <v>=EDATE(C4,12)</v>
      </c>
    </row>
    <row r="17" spans="3:5" x14ac:dyDescent="0.2">
      <c r="E17" t="str">
        <f t="shared" ca="1" si="2"/>
        <v/>
      </c>
    </row>
    <row r="18" spans="3:5" x14ac:dyDescent="0.2">
      <c r="C18" s="4">
        <f ca="1">EOMONTH(C4,12)</f>
        <v>46538</v>
      </c>
      <c r="E18" t="str">
        <f t="shared" ca="1" si="2"/>
        <v>=EOMONTH(C4,12)</v>
      </c>
    </row>
    <row r="19" spans="3:5" x14ac:dyDescent="0.2">
      <c r="E19" t="str">
        <f t="shared" ca="1" si="2"/>
        <v/>
      </c>
    </row>
    <row r="20" spans="3:5" x14ac:dyDescent="0.2">
      <c r="C20">
        <f ca="1">WEEKDAY(C4,11)</f>
        <v>5</v>
      </c>
      <c r="E20" t="str">
        <f t="shared" ca="1" si="2"/>
        <v>=WEEKDAY(C4,11)</v>
      </c>
    </row>
    <row r="21" spans="3:5" x14ac:dyDescent="0.2">
      <c r="E21" t="str">
        <f t="shared" ca="1" si="2"/>
        <v/>
      </c>
    </row>
    <row r="22" spans="3:5" x14ac:dyDescent="0.2">
      <c r="C22">
        <f ca="1">WEEKNUM(C18)</f>
        <v>23</v>
      </c>
      <c r="E22" t="str">
        <f t="shared" ca="1" si="2"/>
        <v>=WEEKNUM(C18)</v>
      </c>
    </row>
    <row r="23" spans="3:5" x14ac:dyDescent="0.2">
      <c r="E23" t="str">
        <f t="shared" ca="1" si="2"/>
        <v/>
      </c>
    </row>
    <row r="24" spans="3:5" x14ac:dyDescent="0.2">
      <c r="C24">
        <f ca="1">DATEDIF(C16,C18,"D")</f>
        <v>2</v>
      </c>
      <c r="E24" t="str">
        <f t="shared" ca="1" si="2"/>
        <v>=DATEDIF(C16,C18,"D")</v>
      </c>
    </row>
    <row r="25" spans="3:5" x14ac:dyDescent="0.2">
      <c r="E25" t="str">
        <f t="shared" ca="1" si="2"/>
        <v/>
      </c>
    </row>
    <row r="26" spans="3:5" x14ac:dyDescent="0.2">
      <c r="C26">
        <f ca="1">DATEDIF(C16,C18,"M")</f>
        <v>0</v>
      </c>
      <c r="E26" t="str">
        <f t="shared" ca="1" si="2"/>
        <v>=DATEDIF(C16,C18,"M")</v>
      </c>
    </row>
    <row r="27" spans="3:5" x14ac:dyDescent="0.2">
      <c r="C27" s="8" t="s">
        <v>37</v>
      </c>
      <c r="E27" t="str">
        <f t="shared" ca="1" si="2"/>
        <v/>
      </c>
    </row>
    <row r="28" spans="3:5" x14ac:dyDescent="0.2">
      <c r="C28">
        <f ca="1">DATEDIF(C4,C18,"Y")</f>
        <v>1</v>
      </c>
      <c r="E28" t="str">
        <f t="shared" ca="1" si="2"/>
        <v>=DATEDIF(C4,C18,"Y")</v>
      </c>
    </row>
    <row r="29" spans="3:5" x14ac:dyDescent="0.2">
      <c r="E29" t="str">
        <f t="shared" ca="1" si="2"/>
        <v/>
      </c>
    </row>
    <row r="30" spans="3:5" x14ac:dyDescent="0.2">
      <c r="C30">
        <f ca="1">_xlfn.DAYS(C16,C4)</f>
        <v>365</v>
      </c>
      <c r="E30" t="str">
        <f t="shared" ca="1" si="2"/>
        <v>=DAYS(C16,C4)</v>
      </c>
    </row>
    <row r="31" spans="3:5" x14ac:dyDescent="0.2">
      <c r="E31" t="str">
        <f t="shared" ca="1" si="2"/>
        <v/>
      </c>
    </row>
    <row r="32" spans="3:5" x14ac:dyDescent="0.2">
      <c r="C32">
        <f ca="1">DAYS360(C4,C18,TRUE)</f>
        <v>361</v>
      </c>
      <c r="E32" t="str">
        <f t="shared" ca="1" si="2"/>
        <v>=DAYS360(C4,C18,TRUE)</v>
      </c>
    </row>
    <row r="33" spans="3:5" x14ac:dyDescent="0.2">
      <c r="E33" t="str">
        <f t="shared" ca="1" si="2"/>
        <v/>
      </c>
    </row>
    <row r="34" spans="3:5" x14ac:dyDescent="0.2">
      <c r="C34">
        <f>YEARFRAC(DATE(2027,5,29),DATE(2026,4,13),2)</f>
        <v>1.1416666666666666</v>
      </c>
      <c r="E34" t="str">
        <f t="shared" ca="1" si="2"/>
        <v>=YEARFRAC(DATE(2027,5,29),DATE(2026,4,13),2)</v>
      </c>
    </row>
    <row r="35" spans="3:5" x14ac:dyDescent="0.2">
      <c r="E35" t="str">
        <f t="shared" ca="1" si="2"/>
        <v/>
      </c>
    </row>
    <row r="36" spans="3:5" x14ac:dyDescent="0.2">
      <c r="E36" t="str">
        <f t="shared" ca="1" si="2"/>
        <v/>
      </c>
    </row>
    <row r="37" spans="3:5" x14ac:dyDescent="0.2">
      <c r="E37" t="str">
        <f t="shared" ca="1" si="2"/>
        <v/>
      </c>
    </row>
    <row r="38" spans="3:5" x14ac:dyDescent="0.2">
      <c r="E38" t="str">
        <f t="shared" ca="1" si="2"/>
        <v/>
      </c>
    </row>
    <row r="39" spans="3:5" x14ac:dyDescent="0.2">
      <c r="E39" t="str">
        <f t="shared" ca="1" si="2"/>
        <v/>
      </c>
    </row>
    <row r="40" spans="3:5" x14ac:dyDescent="0.2">
      <c r="E40" t="str">
        <f t="shared" ca="1" si="2"/>
        <v/>
      </c>
    </row>
    <row r="41" spans="3:5" x14ac:dyDescent="0.2">
      <c r="E41" t="str">
        <f t="shared" ca="1" si="2"/>
        <v/>
      </c>
    </row>
    <row r="42" spans="3:5" x14ac:dyDescent="0.2">
      <c r="E42" t="str">
        <f t="shared" ca="1" si="2"/>
        <v/>
      </c>
    </row>
    <row r="43" spans="3:5" x14ac:dyDescent="0.2">
      <c r="E43" t="str">
        <f t="shared" ca="1" si="2"/>
        <v/>
      </c>
    </row>
    <row r="44" spans="3:5" x14ac:dyDescent="0.2">
      <c r="E44" t="str">
        <f t="shared" ca="1" si="2"/>
        <v/>
      </c>
    </row>
    <row r="45" spans="3:5" x14ac:dyDescent="0.2">
      <c r="E45" t="str">
        <f t="shared" ca="1" si="2"/>
        <v/>
      </c>
    </row>
    <row r="46" spans="3:5" x14ac:dyDescent="0.2">
      <c r="E46" t="str">
        <f t="shared" ca="1" si="2"/>
        <v/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DA3ED-7994-B045-AEE1-2F5533033FA4}">
  <dimension ref="C20:H34"/>
  <sheetViews>
    <sheetView topLeftCell="A23" zoomScale="227" workbookViewId="0">
      <selection activeCell="B28" sqref="B28"/>
    </sheetView>
  </sheetViews>
  <sheetFormatPr baseColWidth="10" defaultRowHeight="16" x14ac:dyDescent="0.2"/>
  <cols>
    <col min="3" max="3" width="15.33203125" bestFit="1" customWidth="1"/>
  </cols>
  <sheetData>
    <row r="20" spans="3:8" x14ac:dyDescent="0.2">
      <c r="C20" s="6">
        <f ca="1">NOW()</f>
        <v>46171.934552777777</v>
      </c>
      <c r="E20" t="str">
        <f ca="1">IFERROR(_xlfn.FORMULATEXT(C20),"")</f>
        <v>=NOW()</v>
      </c>
      <c r="H20" s="4"/>
    </row>
    <row r="21" spans="3:8" x14ac:dyDescent="0.2">
      <c r="E21" t="str">
        <f t="shared" ref="E21:E33" ca="1" si="0">IFERROR(_xlfn.FORMULATEXT(C21),"")</f>
        <v/>
      </c>
    </row>
    <row r="22" spans="3:8" x14ac:dyDescent="0.2">
      <c r="C22">
        <f ca="1">HOUR(C20)</f>
        <v>22</v>
      </c>
      <c r="E22" t="str">
        <f t="shared" ca="1" si="0"/>
        <v>=HOUR(C20)</v>
      </c>
    </row>
    <row r="23" spans="3:8" x14ac:dyDescent="0.2">
      <c r="E23" t="str">
        <f t="shared" ca="1" si="0"/>
        <v/>
      </c>
    </row>
    <row r="24" spans="3:8" x14ac:dyDescent="0.2">
      <c r="E24" t="str">
        <f t="shared" ca="1" si="0"/>
        <v/>
      </c>
    </row>
    <row r="25" spans="3:8" x14ac:dyDescent="0.2">
      <c r="C25">
        <f ca="1">MINUTE(C20)</f>
        <v>25</v>
      </c>
      <c r="E25" t="str">
        <f t="shared" ca="1" si="0"/>
        <v>=MINUTE(C20)</v>
      </c>
    </row>
    <row r="26" spans="3:8" x14ac:dyDescent="0.2">
      <c r="E26" t="str">
        <f t="shared" ca="1" si="0"/>
        <v/>
      </c>
    </row>
    <row r="27" spans="3:8" x14ac:dyDescent="0.2">
      <c r="E27" t="str">
        <f t="shared" ca="1" si="0"/>
        <v/>
      </c>
    </row>
    <row r="28" spans="3:8" x14ac:dyDescent="0.2">
      <c r="C28">
        <f ca="1">SECOND(C20)</f>
        <v>45</v>
      </c>
      <c r="E28" t="str">
        <f t="shared" ca="1" si="0"/>
        <v>=SECOND(C20)</v>
      </c>
    </row>
    <row r="29" spans="3:8" x14ac:dyDescent="0.2">
      <c r="E29" t="str">
        <f t="shared" ca="1" si="0"/>
        <v/>
      </c>
    </row>
    <row r="30" spans="3:8" x14ac:dyDescent="0.2">
      <c r="E30" t="str">
        <f t="shared" ca="1" si="0"/>
        <v/>
      </c>
    </row>
    <row r="31" spans="3:8" x14ac:dyDescent="0.2">
      <c r="C31">
        <f>TIMEVALUE("12:00:00")</f>
        <v>0.5</v>
      </c>
      <c r="E31" t="str">
        <f t="shared" ca="1" si="0"/>
        <v>=TIMEVALUE("12:00:00")</v>
      </c>
    </row>
    <row r="32" spans="3:8" x14ac:dyDescent="0.2">
      <c r="E32" t="str">
        <f t="shared" ca="1" si="0"/>
        <v/>
      </c>
    </row>
    <row r="33" spans="3:5" x14ac:dyDescent="0.2">
      <c r="C33" s="7"/>
    </row>
    <row r="34" spans="3:5" x14ac:dyDescent="0.2">
      <c r="C34" s="7">
        <f ca="1">TIME(C22,C25,C28)</f>
        <v>0.93454861111111109</v>
      </c>
      <c r="E34" t="str">
        <f t="shared" ref="E34" ca="1" si="1">IFERROR(_xlfn.FORMULATEXT(C34),"")</f>
        <v>=TIME(C22,C25,C28)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1637-CE30-704B-B184-40363FAED2C4}">
  <dimension ref="C3:J12"/>
  <sheetViews>
    <sheetView tabSelected="1" zoomScale="208" workbookViewId="0">
      <selection activeCell="E11" sqref="E11"/>
    </sheetView>
  </sheetViews>
  <sheetFormatPr baseColWidth="10" defaultRowHeight="16" x14ac:dyDescent="0.2"/>
  <sheetData>
    <row r="3" spans="3:10" x14ac:dyDescent="0.2">
      <c r="C3" s="9" t="s">
        <v>40</v>
      </c>
    </row>
    <row r="4" spans="3:10" x14ac:dyDescent="0.2">
      <c r="I4" t="s">
        <v>42</v>
      </c>
      <c r="J4" t="s">
        <v>43</v>
      </c>
    </row>
    <row r="6" spans="3:10" x14ac:dyDescent="0.2">
      <c r="I6" t="s">
        <v>44</v>
      </c>
      <c r="J6" t="s">
        <v>45</v>
      </c>
    </row>
    <row r="10" spans="3:10" x14ac:dyDescent="0.2">
      <c r="G10" s="10" t="s">
        <v>41</v>
      </c>
    </row>
    <row r="12" spans="3:10" x14ac:dyDescent="0.2">
      <c r="C12" t="str">
        <f ca="1">OFFSET(G10,-7,-4)</f>
        <v>START</v>
      </c>
      <c r="D12" t="str">
        <f ca="1">_xlfn.FORMULATEXT(C12)</f>
        <v>=OFFSET(G10,-7,-4)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Date</vt:lpstr>
      <vt:lpstr>TIME</vt:lpstr>
      <vt:lpstr>OFFSET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2026-05-29T15:36:32Z</dcterms:created>
  <dcterms:modified xsi:type="dcterms:W3CDTF">2026-05-29T17:01:46Z</dcterms:modified>
</cp:coreProperties>
</file>