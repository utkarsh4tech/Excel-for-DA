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drawings/drawing2.xml" ContentType="application/vnd.openxmlformats-officedocument.drawing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FB5B869D-F2A2-594C-837B-1B504D31D1EC}" xr6:coauthVersionLast="47" xr6:coauthVersionMax="47" xr10:uidLastSave="{00000000-0000-0000-0000-000000000000}"/>
  <bookViews>
    <workbookView xWindow="0" yWindow="620" windowWidth="28800" windowHeight="17400" xr2:uid="{546DFF2D-0797-4846-93E7-63D3AFC71422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6" i="2" l="1"/>
  <c r="D208" i="2"/>
  <c r="D201" i="2"/>
  <c r="D195" i="2"/>
  <c r="E159" i="2"/>
  <c r="B157" i="2"/>
  <c r="C101" i="2"/>
  <c r="C108" i="2"/>
  <c r="C99" i="2"/>
  <c r="D65" i="2"/>
  <c r="C97" i="2"/>
  <c r="B97" i="2"/>
  <c r="C85" i="2"/>
  <c r="G22" i="2"/>
  <c r="C88" i="2"/>
  <c r="C78" i="2"/>
  <c r="E75" i="2"/>
  <c r="D75" i="2"/>
  <c r="B75" i="2"/>
  <c r="D72" i="2"/>
  <c r="E68" i="2"/>
  <c r="C68" i="2"/>
  <c r="C59" i="2"/>
  <c r="E59" i="2"/>
  <c r="C53" i="2"/>
  <c r="E53" i="2"/>
  <c r="E48" i="2"/>
  <c r="E43" i="2"/>
  <c r="C43" i="2"/>
  <c r="B38" i="2"/>
  <c r="E38" i="2"/>
  <c r="E30" i="2"/>
  <c r="E25" i="2"/>
  <c r="E20" i="2"/>
  <c r="E14" i="2"/>
  <c r="E12" i="2"/>
  <c r="I6" i="2"/>
  <c r="H6" i="2"/>
  <c r="G41" i="2" l="1"/>
</calcChain>
</file>

<file path=xl/sharedStrings.xml><?xml version="1.0" encoding="utf-8"?>
<sst xmlns="http://schemas.openxmlformats.org/spreadsheetml/2006/main" count="77" uniqueCount="67">
  <si>
    <t>DATE TIME FUNCTIONS</t>
  </si>
  <si>
    <t>Date &amp; Time?</t>
  </si>
  <si>
    <t>EXCEL stores date as WHOLE NUMBERS</t>
  </si>
  <si>
    <t>EXCEL STORES Time as Decimal part.</t>
  </si>
  <si>
    <t>EARLIEST DATE</t>
  </si>
  <si>
    <t>TODAY?</t>
  </si>
  <si>
    <t>TODAY</t>
  </si>
  <si>
    <t>Gives date of today</t>
  </si>
  <si>
    <t>NOW?</t>
  </si>
  <si>
    <t>NOW</t>
  </si>
  <si>
    <t>Current time</t>
  </si>
  <si>
    <t>0 is start and 1 is end</t>
  </si>
  <si>
    <t>MM DD YYYY</t>
  </si>
  <si>
    <t>YEAR</t>
  </si>
  <si>
    <t>MONTH</t>
  </si>
  <si>
    <t>excracts the MONTH part from the date ( serial num )</t>
  </si>
  <si>
    <t>DAY</t>
  </si>
  <si>
    <t>excracts the DAY part from the date ( serial num )</t>
  </si>
  <si>
    <t>excracts the YEAR part from the date ( serial num )</t>
  </si>
  <si>
    <t>HOUR</t>
  </si>
  <si>
    <t>MINUTE</t>
  </si>
  <si>
    <t>SECONDS</t>
  </si>
  <si>
    <t>excracts the HOUR part from the TIME ( serial num )</t>
  </si>
  <si>
    <t>excracts the MINUTE part from the TIME ( serial num )</t>
  </si>
  <si>
    <t>excracts the SECOND part from the TIME ( serial num )</t>
  </si>
  <si>
    <t>HOURs</t>
  </si>
  <si>
    <t>SECOND</t>
  </si>
  <si>
    <t>EDATE</t>
  </si>
  <si>
    <t>EOMONTH</t>
  </si>
  <si>
    <t>DATEVALUE</t>
  </si>
  <si>
    <t>TIMEVALUE</t>
  </si>
  <si>
    <t>EDATE(START_DATE,MONTHS)</t>
  </si>
  <si>
    <t xml:space="preserve">RETURN SERIALNUM and only add the months, </t>
  </si>
  <si>
    <t>RETURN serial num of the LAST DAY OF THAT MONTH after adding the months given in input</t>
  </si>
  <si>
    <t>RETURN SERIAL NUMBER FOR A DATE</t>
  </si>
  <si>
    <t>RETURN SERIAL NUMBER FOR A TIME</t>
  </si>
  <si>
    <t>DATE</t>
  </si>
  <si>
    <t>TIME</t>
  </si>
  <si>
    <t>WEEKDAY</t>
  </si>
  <si>
    <t>WEEkNUM</t>
  </si>
  <si>
    <t>CONSTRUCT the date using day, month and year</t>
  </si>
  <si>
    <t>CONSTRUCT the Time using hour, min and sec</t>
  </si>
  <si>
    <t>TAKES INPUT as Year, month and day</t>
  </si>
  <si>
    <t>Takes INPUT as HOUR, min and sec</t>
  </si>
  <si>
    <t>MONDAY</t>
  </si>
  <si>
    <t>TELL THE DAY ( of week ) as per the date , LIKE MONDAY, TUES, etc ( convention)</t>
  </si>
  <si>
    <t>WED</t>
  </si>
  <si>
    <t>WEEKNUM</t>
  </si>
  <si>
    <t>TELLS the WEEK num In that year, numerically ( refer the actual calander)</t>
  </si>
  <si>
    <t>https://support.microsoft.com/en-us/office/weeknum-function-e5c43a03-b4ab-426c-b411-b18c13c75340</t>
  </si>
  <si>
    <t>DATEDIF</t>
  </si>
  <si>
    <t>Start</t>
  </si>
  <si>
    <t>End</t>
  </si>
  <si>
    <t>TELLS the diff in two dates ( in given format)</t>
  </si>
  <si>
    <t xml:space="preserve">DAYS </t>
  </si>
  <si>
    <t>DAYS</t>
  </si>
  <si>
    <t>Difference in two dates in Days</t>
  </si>
  <si>
    <t>DAYS360</t>
  </si>
  <si>
    <t>DAY360</t>
  </si>
  <si>
    <t>YEARFRAC</t>
  </si>
  <si>
    <t>YEAR in FRACTIOn</t>
  </si>
  <si>
    <t>WORKDAY</t>
  </si>
  <si>
    <t>Difference in two dates in Days assuming 360 days a year</t>
  </si>
  <si>
    <t>Year Frac</t>
  </si>
  <si>
    <t>Decimal representation of the Years passed b/w start and end date</t>
  </si>
  <si>
    <t>Workday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</si>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</sst>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  <xf numFmtId="0" fontId="0" fillId="2" borderId="0" xfId="0" applyFill="1"/>
    <xf numFmtId="15" fontId="0" fillId="0" borderId="0" xfId="0" applyNumberFormat="1"/>
    <xf numFmtId="14" fontId="0" fillId="2" borderId="0" xfId="0" applyNumberFormat="1" applyFill="1"/>
    <xf numFmtId="22" fontId="0" fillId="0" borderId="0" xfId="0" applyNumberFormat="1"/>
    <xf numFmtId="165" fontId="0" fillId="0" borderId="0" xfId="0" applyNumberFormat="1"/>
    <xf numFmtId="0" fontId="1" fillId="2" borderId="0" xfId="0" applyFont="1" applyFill="1"/>
    <xf numFmtId="18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ustomXml" Target="../ink/ink22.xml"/><Relationship Id="rId21" Type="http://schemas.openxmlformats.org/officeDocument/2006/relationships/customXml" Target="../ink/ink20.xml"/><Relationship Id="rId34" Type="http://schemas.openxmlformats.org/officeDocument/2006/relationships/customXml" Target="../ink/ink25.xml"/><Relationship Id="rId42" Type="http://schemas.openxmlformats.org/officeDocument/2006/relationships/image" Target="../media/image34.png"/><Relationship Id="rId47" Type="http://schemas.openxmlformats.org/officeDocument/2006/relationships/customXml" Target="../ink/ink31.xml"/><Relationship Id="rId50" Type="http://schemas.openxmlformats.org/officeDocument/2006/relationships/image" Target="../media/image38.png"/><Relationship Id="rId55" Type="http://schemas.openxmlformats.org/officeDocument/2006/relationships/customXml" Target="../ink/ink35.xml"/><Relationship Id="rId63" Type="http://schemas.openxmlformats.org/officeDocument/2006/relationships/customXml" Target="../ink/ink39.xml"/><Relationship Id="rId7" Type="http://schemas.openxmlformats.org/officeDocument/2006/relationships/customXml" Target="../ink/ink14.xml"/><Relationship Id="rId2" Type="http://schemas.openxmlformats.org/officeDocument/2006/relationships/image" Target="../media/image11.png"/><Relationship Id="rId16" Type="http://schemas.openxmlformats.org/officeDocument/2006/relationships/image" Target="../media/image19.png"/><Relationship Id="rId29" Type="http://schemas.openxmlformats.org/officeDocument/2006/relationships/image" Target="../media/image26.png"/><Relationship Id="rId11" Type="http://schemas.openxmlformats.org/officeDocument/2006/relationships/customXml" Target="../ink/ink15.xml"/><Relationship Id="rId24" Type="http://schemas.openxmlformats.org/officeDocument/2006/relationships/image" Target="../media/image23.png"/><Relationship Id="rId32" Type="http://schemas.openxmlformats.org/officeDocument/2006/relationships/image" Target="../media/image28.png"/><Relationship Id="rId37" Type="http://schemas.openxmlformats.org/officeDocument/2006/relationships/image" Target="../media/image31.png"/><Relationship Id="rId40" Type="http://schemas.openxmlformats.org/officeDocument/2006/relationships/image" Target="../media/image33.png"/><Relationship Id="rId45" Type="http://schemas.openxmlformats.org/officeDocument/2006/relationships/customXml" Target="../ink/ink30.xml"/><Relationship Id="rId53" Type="http://schemas.openxmlformats.org/officeDocument/2006/relationships/customXml" Target="../ink/ink34.xml"/><Relationship Id="rId58" Type="http://schemas.openxmlformats.org/officeDocument/2006/relationships/image" Target="../media/image42.png"/><Relationship Id="rId66" Type="http://schemas.openxmlformats.org/officeDocument/2006/relationships/image" Target="../media/image46.png"/><Relationship Id="rId5" Type="http://schemas.openxmlformats.org/officeDocument/2006/relationships/customXml" Target="../ink/ink13.xml"/><Relationship Id="rId61" Type="http://schemas.openxmlformats.org/officeDocument/2006/relationships/customXml" Target="../ink/ink38.xml"/><Relationship Id="rId19" Type="http://schemas.openxmlformats.org/officeDocument/2006/relationships/customXml" Target="../ink/ink19.xml"/><Relationship Id="rId14" Type="http://schemas.openxmlformats.org/officeDocument/2006/relationships/image" Target="../media/image18.png"/><Relationship Id="rId22" Type="http://schemas.openxmlformats.org/officeDocument/2006/relationships/image" Target="../media/image22.png"/><Relationship Id="rId27" Type="http://schemas.openxmlformats.org/officeDocument/2006/relationships/image" Target="../media/image25.png"/><Relationship Id="rId30" Type="http://schemas.openxmlformats.org/officeDocument/2006/relationships/customXml" Target="../ink/ink24.xml"/><Relationship Id="rId35" Type="http://schemas.openxmlformats.org/officeDocument/2006/relationships/image" Target="../media/image30.png"/><Relationship Id="rId43" Type="http://schemas.openxmlformats.org/officeDocument/2006/relationships/customXml" Target="../ink/ink29.xml"/><Relationship Id="rId48" Type="http://schemas.openxmlformats.org/officeDocument/2006/relationships/image" Target="../media/image37.png"/><Relationship Id="rId56" Type="http://schemas.openxmlformats.org/officeDocument/2006/relationships/image" Target="../media/image41.png"/><Relationship Id="rId64" Type="http://schemas.openxmlformats.org/officeDocument/2006/relationships/image" Target="../media/image45.png"/><Relationship Id="rId8" Type="http://schemas.openxmlformats.org/officeDocument/2006/relationships/image" Target="../media/image14.png"/><Relationship Id="rId51" Type="http://schemas.openxmlformats.org/officeDocument/2006/relationships/customXml" Target="../ink/ink33.xml"/><Relationship Id="rId3" Type="http://schemas.openxmlformats.org/officeDocument/2006/relationships/customXml" Target="../ink/ink12.xml"/><Relationship Id="rId12" Type="http://schemas.openxmlformats.org/officeDocument/2006/relationships/image" Target="../media/image17.png"/><Relationship Id="rId17" Type="http://schemas.openxmlformats.org/officeDocument/2006/relationships/customXml" Target="../ink/ink18.xml"/><Relationship Id="rId25" Type="http://schemas.openxmlformats.org/officeDocument/2006/relationships/image" Target="../media/image24.png"/><Relationship Id="rId33" Type="http://schemas.openxmlformats.org/officeDocument/2006/relationships/image" Target="../media/image29.png"/><Relationship Id="rId38" Type="http://schemas.openxmlformats.org/officeDocument/2006/relationships/image" Target="../media/image32.png"/><Relationship Id="rId46" Type="http://schemas.openxmlformats.org/officeDocument/2006/relationships/image" Target="../media/image36.png"/><Relationship Id="rId59" Type="http://schemas.openxmlformats.org/officeDocument/2006/relationships/customXml" Target="../ink/ink37.xml"/><Relationship Id="rId20" Type="http://schemas.openxmlformats.org/officeDocument/2006/relationships/image" Target="../media/image21.png"/><Relationship Id="rId41" Type="http://schemas.openxmlformats.org/officeDocument/2006/relationships/customXml" Target="../ink/ink28.xml"/><Relationship Id="rId54" Type="http://schemas.openxmlformats.org/officeDocument/2006/relationships/image" Target="../media/image40.png"/><Relationship Id="rId62" Type="http://schemas.openxmlformats.org/officeDocument/2006/relationships/image" Target="../media/image44.png"/><Relationship Id="rId1" Type="http://schemas.openxmlformats.org/officeDocument/2006/relationships/customXml" Target="../ink/ink11.xml"/><Relationship Id="rId6" Type="http://schemas.openxmlformats.org/officeDocument/2006/relationships/image" Target="../media/image13.png"/><Relationship Id="rId15" Type="http://schemas.openxmlformats.org/officeDocument/2006/relationships/customXml" Target="../ink/ink17.xml"/><Relationship Id="rId23" Type="http://schemas.openxmlformats.org/officeDocument/2006/relationships/customXml" Target="../ink/ink21.xml"/><Relationship Id="rId28" Type="http://schemas.openxmlformats.org/officeDocument/2006/relationships/customXml" Target="../ink/ink23.xml"/><Relationship Id="rId36" Type="http://schemas.openxmlformats.org/officeDocument/2006/relationships/customXml" Target="../ink/ink26.xml"/><Relationship Id="rId49" Type="http://schemas.openxmlformats.org/officeDocument/2006/relationships/customXml" Target="../ink/ink32.xml"/><Relationship Id="rId57" Type="http://schemas.openxmlformats.org/officeDocument/2006/relationships/customXml" Target="../ink/ink36.xml"/><Relationship Id="rId10" Type="http://schemas.openxmlformats.org/officeDocument/2006/relationships/image" Target="../media/image16.png"/><Relationship Id="rId31" Type="http://schemas.openxmlformats.org/officeDocument/2006/relationships/image" Target="../media/image27.png"/><Relationship Id="rId44" Type="http://schemas.openxmlformats.org/officeDocument/2006/relationships/image" Target="../media/image35.png"/><Relationship Id="rId52" Type="http://schemas.openxmlformats.org/officeDocument/2006/relationships/image" Target="../media/image39.png"/><Relationship Id="rId60" Type="http://schemas.openxmlformats.org/officeDocument/2006/relationships/image" Target="../media/image43.png"/><Relationship Id="rId65" Type="http://schemas.openxmlformats.org/officeDocument/2006/relationships/customXml" Target="../ink/ink40.xml"/><Relationship Id="rId4" Type="http://schemas.openxmlformats.org/officeDocument/2006/relationships/image" Target="../media/image12.png"/><Relationship Id="rId9" Type="http://schemas.openxmlformats.org/officeDocument/2006/relationships/image" Target="../media/image15.png"/><Relationship Id="rId13" Type="http://schemas.openxmlformats.org/officeDocument/2006/relationships/customXml" Target="../ink/ink16.xml"/><Relationship Id="rId18" Type="http://schemas.openxmlformats.org/officeDocument/2006/relationships/image" Target="../media/image20.png"/><Relationship Id="rId39" Type="http://schemas.openxmlformats.org/officeDocument/2006/relationships/customXml" Target="../ink/ink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921</xdr:colOff>
      <xdr:row>7</xdr:row>
      <xdr:rowOff>23938</xdr:rowOff>
    </xdr:from>
    <xdr:to>
      <xdr:col>6</xdr:col>
      <xdr:colOff>579697</xdr:colOff>
      <xdr:row>8</xdr:row>
      <xdr:rowOff>42632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56A2D2E6-1CF6-0E60-A98B-4D80B17AC72A}"/>
                </a:ext>
              </a:extLst>
            </xdr14:cNvPr>
            <xdr14:cNvContentPartPr/>
          </xdr14:nvContentPartPr>
          <xdr14:nvPr macro=""/>
          <xdr14:xfrm>
            <a:off x="4119840" y="1465560"/>
            <a:ext cx="1402560" cy="22464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56A2D2E6-1CF6-0E60-A98B-4D80B17AC72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112280" y="1458000"/>
              <a:ext cx="1417680" cy="23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273185</xdr:colOff>
      <xdr:row>6</xdr:row>
      <xdr:rowOff>196404</xdr:rowOff>
    </xdr:from>
    <xdr:to>
      <xdr:col>4</xdr:col>
      <xdr:colOff>613025</xdr:colOff>
      <xdr:row>7</xdr:row>
      <xdr:rowOff>189538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ADA73383-9B2C-46A1-A382-FE4272013EA6}"/>
                </a:ext>
              </a:extLst>
            </xdr14:cNvPr>
            <xdr14:cNvContentPartPr/>
          </xdr14:nvContentPartPr>
          <xdr14:nvPr macro=""/>
          <xdr14:xfrm>
            <a:off x="3568320" y="1432080"/>
            <a:ext cx="339840" cy="19908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ADA73383-9B2C-46A1-A382-FE4272013EA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560760" y="1424520"/>
              <a:ext cx="354960" cy="21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1039777</xdr:colOff>
      <xdr:row>4</xdr:row>
      <xdr:rowOff>161896</xdr:rowOff>
    </xdr:from>
    <xdr:to>
      <xdr:col>6</xdr:col>
      <xdr:colOff>1090897</xdr:colOff>
      <xdr:row>12</xdr:row>
      <xdr:rowOff>152329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77B3513C-BBDC-6882-6649-5B5C0E5863D0}"/>
                </a:ext>
              </a:extLst>
            </xdr14:cNvPr>
            <xdr14:cNvContentPartPr/>
          </xdr14:nvContentPartPr>
          <xdr14:nvPr macro=""/>
          <xdr14:xfrm>
            <a:off x="5982480" y="985680"/>
            <a:ext cx="51120" cy="163800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77B3513C-BBDC-6882-6649-5B5C0E5863D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974920" y="978120"/>
              <a:ext cx="66240" cy="165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631848</xdr:colOff>
      <xdr:row>3</xdr:row>
      <xdr:rowOff>67962</xdr:rowOff>
    </xdr:from>
    <xdr:to>
      <xdr:col>9</xdr:col>
      <xdr:colOff>177064</xdr:colOff>
      <xdr:row>5</xdr:row>
      <xdr:rowOff>126590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B6B3E220-2522-CA8E-A1D4-C25E2DB2A87E}"/>
                </a:ext>
              </a:extLst>
            </xdr14:cNvPr>
            <xdr14:cNvContentPartPr/>
          </xdr14:nvContentPartPr>
          <xdr14:nvPr macro=""/>
          <xdr14:xfrm>
            <a:off x="7874280" y="685800"/>
            <a:ext cx="369000" cy="47052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B6B3E220-2522-CA8E-A1D4-C25E2DB2A87E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7866720" y="678240"/>
              <a:ext cx="384120" cy="48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21031</xdr:colOff>
      <xdr:row>3</xdr:row>
      <xdr:rowOff>200082</xdr:rowOff>
    </xdr:from>
    <xdr:to>
      <xdr:col>8</xdr:col>
      <xdr:colOff>50808</xdr:colOff>
      <xdr:row>5</xdr:row>
      <xdr:rowOff>153230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C8D3E2C9-651C-5D66-6035-C42F4A29B089}"/>
                </a:ext>
              </a:extLst>
            </xdr14:cNvPr>
            <xdr14:cNvContentPartPr/>
          </xdr14:nvContentPartPr>
          <xdr14:nvPr macro=""/>
          <xdr14:xfrm>
            <a:off x="6439680" y="817920"/>
            <a:ext cx="853560" cy="36504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C8D3E2C9-651C-5D66-6035-C42F4A29B089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432120" y="810360"/>
              <a:ext cx="86868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451025</xdr:colOff>
      <xdr:row>10</xdr:row>
      <xdr:rowOff>66701</xdr:rowOff>
    </xdr:from>
    <xdr:to>
      <xdr:col>6</xdr:col>
      <xdr:colOff>793177</xdr:colOff>
      <xdr:row>11</xdr:row>
      <xdr:rowOff>149115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8C3305B5-9DD4-AF80-89DE-A3782512FAC2}"/>
                </a:ext>
              </a:extLst>
            </xdr14:cNvPr>
            <xdr14:cNvContentPartPr/>
          </xdr14:nvContentPartPr>
          <xdr14:nvPr macro=""/>
          <xdr14:xfrm>
            <a:off x="3746160" y="2126160"/>
            <a:ext cx="1989720" cy="288360"/>
          </xdr14:xfrm>
        </xdr:contentPart>
      </mc:Choice>
      <mc:Fallback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8C3305B5-9DD4-AF80-89DE-A3782512FAC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738600" y="2118600"/>
              <a:ext cx="200484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735889</xdr:colOff>
      <xdr:row>4</xdr:row>
      <xdr:rowOff>19336</xdr:rowOff>
    </xdr:from>
    <xdr:to>
      <xdr:col>6</xdr:col>
      <xdr:colOff>798577</xdr:colOff>
      <xdr:row>9</xdr:row>
      <xdr:rowOff>141966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98BB0A4C-542E-0C15-FE20-4B50165689C5}"/>
                </a:ext>
              </a:extLst>
            </xdr14:cNvPr>
            <xdr14:cNvContentPartPr/>
          </xdr14:nvContentPartPr>
          <xdr14:nvPr macro=""/>
          <xdr14:xfrm>
            <a:off x="3207240" y="843120"/>
            <a:ext cx="2534040" cy="115236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98BB0A4C-542E-0C15-FE20-4B50165689C5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199680" y="835560"/>
              <a:ext cx="2549160" cy="116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173208</xdr:colOff>
      <xdr:row>10</xdr:row>
      <xdr:rowOff>15941</xdr:rowOff>
    </xdr:from>
    <xdr:to>
      <xdr:col>9</xdr:col>
      <xdr:colOff>115144</xdr:colOff>
      <xdr:row>10</xdr:row>
      <xdr:rowOff>198461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7A7FC17E-D36D-862C-3E27-8963DD8952F2}"/>
                </a:ext>
              </a:extLst>
            </xdr14:cNvPr>
            <xdr14:cNvContentPartPr/>
          </xdr14:nvContentPartPr>
          <xdr14:nvPr macro=""/>
          <xdr14:xfrm>
            <a:off x="7415640" y="2075400"/>
            <a:ext cx="765720" cy="18252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7A7FC17E-D36D-862C-3E27-8963DD8952F2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7408080" y="2067840"/>
              <a:ext cx="780840" cy="19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202111</xdr:colOff>
      <xdr:row>6</xdr:row>
      <xdr:rowOff>158244</xdr:rowOff>
    </xdr:from>
    <xdr:to>
      <xdr:col>10</xdr:col>
      <xdr:colOff>233840</xdr:colOff>
      <xdr:row>9</xdr:row>
      <xdr:rowOff>32886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117F397D-9D2F-554D-11CE-0BDA42E8A622}"/>
                </a:ext>
              </a:extLst>
            </xdr14:cNvPr>
            <xdr14:cNvContentPartPr/>
          </xdr14:nvContentPartPr>
          <xdr14:nvPr macro=""/>
          <xdr14:xfrm>
            <a:off x="6620760" y="1393920"/>
            <a:ext cx="2503080" cy="49248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117F397D-9D2F-554D-11CE-0BDA42E8A622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6613200" y="1386360"/>
              <a:ext cx="2518200" cy="50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692640</xdr:colOff>
      <xdr:row>63</xdr:row>
      <xdr:rowOff>181965</xdr:rowOff>
    </xdr:from>
    <xdr:to>
      <xdr:col>1</xdr:col>
      <xdr:colOff>726736</xdr:colOff>
      <xdr:row>65</xdr:row>
      <xdr:rowOff>194154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0FF8C7C5-EF5E-4F63-42C1-72B257CBAA45}"/>
                </a:ext>
              </a:extLst>
            </xdr14:cNvPr>
            <xdr14:cNvContentPartPr/>
          </xdr14:nvContentPartPr>
          <xdr14:nvPr macro=""/>
          <xdr14:xfrm>
            <a:off x="692640" y="13156560"/>
            <a:ext cx="857880" cy="42408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0FF8C7C5-EF5E-4F63-42C1-72B257CBAA45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688322" y="13152240"/>
              <a:ext cx="866516" cy="432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935787</xdr:colOff>
      <xdr:row>4</xdr:row>
      <xdr:rowOff>203596</xdr:rowOff>
    </xdr:from>
    <xdr:to>
      <xdr:col>8</xdr:col>
      <xdr:colOff>1367427</xdr:colOff>
      <xdr:row>5</xdr:row>
      <xdr:rowOff>4748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835BBCB-1627-8236-58EB-9BC62E0F70BF}"/>
                </a:ext>
              </a:extLst>
            </xdr14:cNvPr>
            <xdr14:cNvContentPartPr/>
          </xdr14:nvContentPartPr>
          <xdr14:nvPr macro=""/>
          <xdr14:xfrm>
            <a:off x="8979120" y="1022040"/>
            <a:ext cx="431640" cy="540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835BBCB-1627-8236-58EB-9BC62E0F70B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974800" y="1017720"/>
              <a:ext cx="440280" cy="1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1261178</xdr:colOff>
      <xdr:row>3</xdr:row>
      <xdr:rowOff>76647</xdr:rowOff>
    </xdr:from>
    <xdr:to>
      <xdr:col>8</xdr:col>
      <xdr:colOff>1134506</xdr:colOff>
      <xdr:row>5</xdr:row>
      <xdr:rowOff>17344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F599409-14EE-2977-790B-82AA3FBF3691}"/>
                </a:ext>
              </a:extLst>
            </xdr14:cNvPr>
            <xdr14:cNvContentPartPr/>
          </xdr14:nvContentPartPr>
          <xdr14:nvPr macro=""/>
          <xdr14:xfrm>
            <a:off x="7385400" y="690480"/>
            <a:ext cx="1792440" cy="3499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2F599409-14EE-2977-790B-82AA3FBF3691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381081" y="686041"/>
              <a:ext cx="1801078" cy="3587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1819898</xdr:colOff>
      <xdr:row>5</xdr:row>
      <xdr:rowOff>47224</xdr:rowOff>
    </xdr:from>
    <xdr:to>
      <xdr:col>9</xdr:col>
      <xdr:colOff>29403</xdr:colOff>
      <xdr:row>7</xdr:row>
      <xdr:rowOff>190602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2F5495F-5E3A-8F9B-F036-D496E4C9AB56}"/>
                </a:ext>
              </a:extLst>
            </xdr14:cNvPr>
            <xdr14:cNvContentPartPr/>
          </xdr14:nvContentPartPr>
          <xdr14:nvPr macro=""/>
          <xdr14:xfrm>
            <a:off x="7944120" y="1070280"/>
            <a:ext cx="1680840" cy="55260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52F5495F-5E3A-8F9B-F036-D496E4C9AB5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939791" y="1065886"/>
              <a:ext cx="1689499" cy="56138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1770578</xdr:colOff>
      <xdr:row>11</xdr:row>
      <xdr:rowOff>29878</xdr:rowOff>
    </xdr:from>
    <xdr:to>
      <xdr:col>8</xdr:col>
      <xdr:colOff>1167626</xdr:colOff>
      <xdr:row>12</xdr:row>
      <xdr:rowOff>149987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A57114E0-D774-9803-4476-021CFAB8980B}"/>
                </a:ext>
              </a:extLst>
            </xdr14:cNvPr>
            <xdr14:cNvContentPartPr/>
          </xdr14:nvContentPartPr>
          <xdr14:nvPr macro=""/>
          <xdr14:xfrm>
            <a:off x="7894800" y="2280600"/>
            <a:ext cx="1316160" cy="32472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A57114E0-D774-9803-4476-021CFAB8980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7890480" y="2276280"/>
              <a:ext cx="1324800" cy="333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627865</xdr:colOff>
      <xdr:row>92</xdr:row>
      <xdr:rowOff>49192</xdr:rowOff>
    </xdr:from>
    <xdr:to>
      <xdr:col>6</xdr:col>
      <xdr:colOff>88185</xdr:colOff>
      <xdr:row>96</xdr:row>
      <xdr:rowOff>87092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D44710B-0B9F-F5B9-178C-7C755C8D5D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0112" y="18428518"/>
          <a:ext cx="3313129" cy="837001"/>
        </a:xfrm>
        <a:prstGeom prst="rect">
          <a:avLst/>
        </a:prstGeom>
      </xdr:spPr>
    </xdr:pic>
    <xdr:clientData/>
  </xdr:twoCellAnchor>
  <xdr:twoCellAnchor editAs="oneCell">
    <xdr:from>
      <xdr:col>3</xdr:col>
      <xdr:colOff>1155843</xdr:colOff>
      <xdr:row>102</xdr:row>
      <xdr:rowOff>156966</xdr:rowOff>
    </xdr:from>
    <xdr:to>
      <xdr:col>6</xdr:col>
      <xdr:colOff>236734</xdr:colOff>
      <xdr:row>116</xdr:row>
      <xdr:rowOff>77912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18243-D342-F70D-B7FE-240A87A79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508090" y="20534045"/>
          <a:ext cx="2933700" cy="2717800"/>
        </a:xfrm>
        <a:prstGeom prst="rect">
          <a:avLst/>
        </a:prstGeom>
      </xdr:spPr>
    </xdr:pic>
    <xdr:clientData/>
  </xdr:twoCellAnchor>
  <xdr:twoCellAnchor editAs="oneCell">
    <xdr:from>
      <xdr:col>6</xdr:col>
      <xdr:colOff>247384</xdr:colOff>
      <xdr:row>109</xdr:row>
      <xdr:rowOff>93054</xdr:rowOff>
    </xdr:from>
    <xdr:to>
      <xdr:col>6</xdr:col>
      <xdr:colOff>351064</xdr:colOff>
      <xdr:row>109</xdr:row>
      <xdr:rowOff>191334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8C9B8A84-ED1B-BCFA-FFF6-4A89E92A3CD8}"/>
                </a:ext>
              </a:extLst>
            </xdr14:cNvPr>
            <xdr14:cNvContentPartPr/>
          </xdr14:nvContentPartPr>
          <xdr14:nvPr macro=""/>
          <xdr14:xfrm>
            <a:off x="8452440" y="21868560"/>
            <a:ext cx="103680" cy="9828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8C9B8A84-ED1B-BCFA-FFF6-4A89E92A3CD8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8448120" y="21864240"/>
              <a:ext cx="112320" cy="10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205624</xdr:colOff>
      <xdr:row>111</xdr:row>
      <xdr:rowOff>2744</xdr:rowOff>
    </xdr:from>
    <xdr:to>
      <xdr:col>6</xdr:col>
      <xdr:colOff>263944</xdr:colOff>
      <xdr:row>111</xdr:row>
      <xdr:rowOff>155384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3C0B463-4883-31B3-1F6B-EA4A72B579E0}"/>
                </a:ext>
              </a:extLst>
            </xdr14:cNvPr>
            <xdr14:cNvContentPartPr/>
          </xdr14:nvContentPartPr>
          <xdr14:nvPr macro=""/>
          <xdr14:xfrm>
            <a:off x="8410680" y="22177800"/>
            <a:ext cx="58320" cy="15264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3C0B463-4883-31B3-1F6B-EA4A72B579E0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8406360" y="22173480"/>
              <a:ext cx="66960" cy="16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203464</xdr:colOff>
      <xdr:row>112</xdr:row>
      <xdr:rowOff>111489</xdr:rowOff>
    </xdr:from>
    <xdr:to>
      <xdr:col>6</xdr:col>
      <xdr:colOff>298864</xdr:colOff>
      <xdr:row>112</xdr:row>
      <xdr:rowOff>184569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9339BD0-0B9D-30CB-94CF-ABEA5C172590}"/>
                </a:ext>
              </a:extLst>
            </xdr14:cNvPr>
            <xdr14:cNvContentPartPr/>
          </xdr14:nvContentPartPr>
          <xdr14:nvPr macro=""/>
          <xdr14:xfrm>
            <a:off x="8408520" y="22486320"/>
            <a:ext cx="95400" cy="730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9339BD0-0B9D-30CB-94CF-ABEA5C172590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8404200" y="22482000"/>
              <a:ext cx="104040" cy="8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241624</xdr:colOff>
      <xdr:row>107</xdr:row>
      <xdr:rowOff>69245</xdr:rowOff>
    </xdr:from>
    <xdr:to>
      <xdr:col>6</xdr:col>
      <xdr:colOff>437464</xdr:colOff>
      <xdr:row>108</xdr:row>
      <xdr:rowOff>65310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D5CD3978-CBBF-991A-3C5A-88B50E407DE3}"/>
                </a:ext>
              </a:extLst>
            </xdr14:cNvPr>
            <xdr14:cNvContentPartPr/>
          </xdr14:nvContentPartPr>
          <xdr14:nvPr macro=""/>
          <xdr14:xfrm>
            <a:off x="8446680" y="21445200"/>
            <a:ext cx="195840" cy="19584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D5CD3978-CBBF-991A-3C5A-88B50E407DE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8442360" y="21440880"/>
              <a:ext cx="204480" cy="20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195904</xdr:colOff>
      <xdr:row>114</xdr:row>
      <xdr:rowOff>16858</xdr:rowOff>
    </xdr:from>
    <xdr:to>
      <xdr:col>6</xdr:col>
      <xdr:colOff>437104</xdr:colOff>
      <xdr:row>114</xdr:row>
      <xdr:rowOff>125578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00878B0F-A5C7-8EA2-1BB8-7EE876DF29EE}"/>
                </a:ext>
              </a:extLst>
            </xdr14:cNvPr>
            <xdr14:cNvContentPartPr/>
          </xdr14:nvContentPartPr>
          <xdr14:nvPr macro=""/>
          <xdr14:xfrm>
            <a:off x="8400960" y="22791240"/>
            <a:ext cx="241200" cy="10872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00878B0F-A5C7-8EA2-1BB8-7EE876DF29EE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8396640" y="22786920"/>
              <a:ext cx="249840" cy="11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546904</xdr:colOff>
      <xdr:row>107</xdr:row>
      <xdr:rowOff>89765</xdr:rowOff>
    </xdr:from>
    <xdr:to>
      <xdr:col>6</xdr:col>
      <xdr:colOff>686224</xdr:colOff>
      <xdr:row>114</xdr:row>
      <xdr:rowOff>37018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50CEA034-C06E-A20D-7081-E76354C4F965}"/>
                </a:ext>
              </a:extLst>
            </xdr14:cNvPr>
            <xdr14:cNvContentPartPr/>
          </xdr14:nvContentPartPr>
          <xdr14:nvPr macro=""/>
          <xdr14:xfrm>
            <a:off x="8751960" y="21465720"/>
            <a:ext cx="139320" cy="134568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50CEA034-C06E-A20D-7081-E76354C4F965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8747640" y="21461476"/>
              <a:ext cx="147960" cy="13541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1501618</xdr:colOff>
      <xdr:row>107</xdr:row>
      <xdr:rowOff>111725</xdr:rowOff>
    </xdr:from>
    <xdr:to>
      <xdr:col>3</xdr:col>
      <xdr:colOff>1257273</xdr:colOff>
      <xdr:row>113</xdr:row>
      <xdr:rowOff>75513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5C9493A0-1348-68C7-A69A-19B57B60304B}"/>
                </a:ext>
              </a:extLst>
            </xdr14:cNvPr>
            <xdr14:cNvContentPartPr/>
          </xdr14:nvContentPartPr>
          <xdr14:nvPr macro=""/>
          <xdr14:xfrm>
            <a:off x="4148640" y="21487680"/>
            <a:ext cx="1460880" cy="116244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5C9493A0-1348-68C7-A69A-19B57B60304B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4144310" y="21483436"/>
              <a:ext cx="1469539" cy="11709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827640</xdr:colOff>
      <xdr:row>118</xdr:row>
      <xdr:rowOff>199775</xdr:rowOff>
    </xdr:from>
    <xdr:to>
      <xdr:col>6</xdr:col>
      <xdr:colOff>394984</xdr:colOff>
      <xdr:row>151</xdr:row>
      <xdr:rowOff>163122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1FB2F62-7BEB-6E8E-7A6C-D082CCB95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7640" y="23773258"/>
          <a:ext cx="7772400" cy="6555931"/>
        </a:xfrm>
        <a:prstGeom prst="rect">
          <a:avLst/>
        </a:prstGeom>
      </xdr:spPr>
    </xdr:pic>
    <xdr:clientData/>
  </xdr:twoCellAnchor>
  <xdr:twoCellAnchor editAs="oneCell">
    <xdr:from>
      <xdr:col>0</xdr:col>
      <xdr:colOff>723240</xdr:colOff>
      <xdr:row>121</xdr:row>
      <xdr:rowOff>89391</xdr:rowOff>
    </xdr:from>
    <xdr:to>
      <xdr:col>3</xdr:col>
      <xdr:colOff>474633</xdr:colOff>
      <xdr:row>124</xdr:row>
      <xdr:rowOff>193505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88B27D6E-DDF9-31FC-DC50-B27AD5F7571C}"/>
                </a:ext>
              </a:extLst>
            </xdr14:cNvPr>
            <xdr14:cNvContentPartPr/>
          </xdr14:nvContentPartPr>
          <xdr14:nvPr macro=""/>
          <xdr14:xfrm>
            <a:off x="723240" y="24262200"/>
            <a:ext cx="4103640" cy="70344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88B27D6E-DDF9-31FC-DC50-B27AD5F7571C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718911" y="24257943"/>
              <a:ext cx="4112298" cy="7119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806104</xdr:colOff>
      <xdr:row>105</xdr:row>
      <xdr:rowOff>87196</xdr:rowOff>
    </xdr:from>
    <xdr:to>
      <xdr:col>6</xdr:col>
      <xdr:colOff>897544</xdr:colOff>
      <xdr:row>107</xdr:row>
      <xdr:rowOff>86885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44111FB8-5EB9-16A9-455D-292416B36D0A}"/>
                </a:ext>
              </a:extLst>
            </xdr14:cNvPr>
            <xdr14:cNvContentPartPr/>
          </xdr14:nvContentPartPr>
          <xdr14:nvPr macro=""/>
          <xdr14:xfrm>
            <a:off x="8183520" y="21063600"/>
            <a:ext cx="919080" cy="39924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44111FB8-5EB9-16A9-455D-292416B36D0A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8179200" y="21059280"/>
              <a:ext cx="927720" cy="40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1414233</xdr:colOff>
      <xdr:row>108</xdr:row>
      <xdr:rowOff>189870</xdr:rowOff>
    </xdr:from>
    <xdr:to>
      <xdr:col>3</xdr:col>
      <xdr:colOff>1771353</xdr:colOff>
      <xdr:row>110</xdr:row>
      <xdr:rowOff>39079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0EE64BFA-F6FC-2F46-D01A-3E8D6116CCDA}"/>
                </a:ext>
              </a:extLst>
            </xdr14:cNvPr>
            <xdr14:cNvContentPartPr/>
          </xdr14:nvContentPartPr>
          <xdr14:nvPr macro=""/>
          <xdr14:xfrm>
            <a:off x="5766480" y="21765600"/>
            <a:ext cx="357120" cy="24876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0EE64BFA-F6FC-2F46-D01A-3E8D6116CCDA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5762160" y="21761280"/>
              <a:ext cx="365760" cy="257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343152</xdr:colOff>
      <xdr:row>161</xdr:row>
      <xdr:rowOff>12700</xdr:rowOff>
    </xdr:from>
    <xdr:to>
      <xdr:col>5</xdr:col>
      <xdr:colOff>292100</xdr:colOff>
      <xdr:row>188</xdr:row>
      <xdr:rowOff>18766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983A5AC-53DE-57B0-6280-2D2FD1229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168652" y="32727900"/>
          <a:ext cx="6489448" cy="5492466"/>
        </a:xfrm>
        <a:prstGeom prst="rect">
          <a:avLst/>
        </a:prstGeom>
      </xdr:spPr>
    </xdr:pic>
    <xdr:clientData/>
  </xdr:twoCellAnchor>
  <xdr:twoCellAnchor editAs="oneCell">
    <xdr:from>
      <xdr:col>1</xdr:col>
      <xdr:colOff>1409700</xdr:colOff>
      <xdr:row>217</xdr:row>
      <xdr:rowOff>52196</xdr:rowOff>
    </xdr:from>
    <xdr:to>
      <xdr:col>3</xdr:col>
      <xdr:colOff>1530350</xdr:colOff>
      <xdr:row>223</xdr:row>
      <xdr:rowOff>133350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B3E2D28-D20D-5F26-C9D6-91F333B2E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235200" y="44146596"/>
          <a:ext cx="3638550" cy="1300354"/>
        </a:xfrm>
        <a:prstGeom prst="rect">
          <a:avLst/>
        </a:prstGeom>
      </xdr:spPr>
    </xdr:pic>
    <xdr:clientData/>
  </xdr:twoCellAnchor>
  <xdr:twoCellAnchor editAs="oneCell">
    <xdr:from>
      <xdr:col>2</xdr:col>
      <xdr:colOff>941120</xdr:colOff>
      <xdr:row>220</xdr:row>
      <xdr:rowOff>105560</xdr:rowOff>
    </xdr:from>
    <xdr:to>
      <xdr:col>2</xdr:col>
      <xdr:colOff>1639160</xdr:colOff>
      <xdr:row>222</xdr:row>
      <xdr:rowOff>10920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63211980-1C63-05A4-17C8-28D424DB9A62}"/>
                </a:ext>
              </a:extLst>
            </xdr14:cNvPr>
            <xdr14:cNvContentPartPr/>
          </xdr14:nvContentPartPr>
          <xdr14:nvPr macro=""/>
          <xdr14:xfrm>
            <a:off x="3582720" y="44809560"/>
            <a:ext cx="698040" cy="31176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63211980-1C63-05A4-17C8-28D424DB9A62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578400" y="44805240"/>
              <a:ext cx="706680" cy="32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1029960</xdr:colOff>
      <xdr:row>217</xdr:row>
      <xdr:rowOff>192440</xdr:rowOff>
    </xdr:from>
    <xdr:to>
      <xdr:col>3</xdr:col>
      <xdr:colOff>1118880</xdr:colOff>
      <xdr:row>219</xdr:row>
      <xdr:rowOff>191040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0CCF87E4-4C93-A0DE-0A12-1A34FEA0FCC7}"/>
                </a:ext>
              </a:extLst>
            </xdr14:cNvPr>
            <xdr14:cNvContentPartPr/>
          </xdr14:nvContentPartPr>
          <xdr14:nvPr macro=""/>
          <xdr14:xfrm>
            <a:off x="5373360" y="44286840"/>
            <a:ext cx="88920" cy="40500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0CCF87E4-4C93-A0DE-0A12-1A34FEA0FCC7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5369040" y="44282520"/>
              <a:ext cx="97560" cy="41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120650</xdr:colOff>
      <xdr:row>215</xdr:row>
      <xdr:rowOff>165100</xdr:rowOff>
    </xdr:from>
    <xdr:to>
      <xdr:col>6</xdr:col>
      <xdr:colOff>704850</xdr:colOff>
      <xdr:row>228</xdr:row>
      <xdr:rowOff>88900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DAF17993-14FC-B8D8-FDC3-97A783EF1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318250" y="43853100"/>
          <a:ext cx="2578100" cy="2565400"/>
        </a:xfrm>
        <a:prstGeom prst="rect">
          <a:avLst/>
        </a:prstGeom>
      </xdr:spPr>
    </xdr:pic>
    <xdr:clientData/>
  </xdr:twoCellAnchor>
  <xdr:twoCellAnchor editAs="oneCell">
    <xdr:from>
      <xdr:col>4</xdr:col>
      <xdr:colOff>184120</xdr:colOff>
      <xdr:row>225</xdr:row>
      <xdr:rowOff>195120</xdr:rowOff>
    </xdr:from>
    <xdr:to>
      <xdr:col>4</xdr:col>
      <xdr:colOff>414160</xdr:colOff>
      <xdr:row>226</xdr:row>
      <xdr:rowOff>188840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0E8995B7-3655-7DD1-D698-D3D532511930}"/>
                </a:ext>
              </a:extLst>
            </xdr14:cNvPr>
            <xdr14:cNvContentPartPr/>
          </xdr14:nvContentPartPr>
          <xdr14:nvPr macro=""/>
          <xdr14:xfrm>
            <a:off x="6381720" y="45915120"/>
            <a:ext cx="230040" cy="19692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0E8995B7-3655-7DD1-D698-D3D53251193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6377400" y="45910800"/>
              <a:ext cx="238680" cy="20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591280</xdr:colOff>
      <xdr:row>224</xdr:row>
      <xdr:rowOff>84400</xdr:rowOff>
    </xdr:from>
    <xdr:to>
      <xdr:col>6</xdr:col>
      <xdr:colOff>534540</xdr:colOff>
      <xdr:row>226</xdr:row>
      <xdr:rowOff>6680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A227C64A-BAF2-0B67-DBB8-DE5E7CF61E42}"/>
                </a:ext>
              </a:extLst>
            </xdr14:cNvPr>
            <xdr14:cNvContentPartPr/>
          </xdr14:nvContentPartPr>
          <xdr14:nvPr macro=""/>
          <xdr14:xfrm>
            <a:off x="6788880" y="45601200"/>
            <a:ext cx="1937160" cy="32868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A227C64A-BAF2-0B67-DBB8-DE5E7CF61E42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6784559" y="45596880"/>
              <a:ext cx="1945802" cy="33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162080</xdr:colOff>
      <xdr:row>215</xdr:row>
      <xdr:rowOff>26800</xdr:rowOff>
    </xdr:from>
    <xdr:to>
      <xdr:col>3</xdr:col>
      <xdr:colOff>418680</xdr:colOff>
      <xdr:row>216</xdr:row>
      <xdr:rowOff>96480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B3521BCF-640A-D919-F47A-919867C5A283}"/>
                </a:ext>
              </a:extLst>
            </xdr14:cNvPr>
            <xdr14:cNvContentPartPr/>
          </xdr14:nvContentPartPr>
          <xdr14:nvPr macro=""/>
          <xdr14:xfrm>
            <a:off x="2803680" y="43714800"/>
            <a:ext cx="1958400" cy="27288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B3521BCF-640A-D919-F47A-919867C5A283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2799360" y="43710480"/>
              <a:ext cx="1967040" cy="28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210400</xdr:colOff>
      <xdr:row>225</xdr:row>
      <xdr:rowOff>116280</xdr:rowOff>
    </xdr:from>
    <xdr:to>
      <xdr:col>4</xdr:col>
      <xdr:colOff>433600</xdr:colOff>
      <xdr:row>227</xdr:row>
      <xdr:rowOff>28120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C41620C2-13C6-F694-9CA8-BD642774C408}"/>
                </a:ext>
              </a:extLst>
            </xdr14:cNvPr>
            <xdr14:cNvContentPartPr/>
          </xdr14:nvContentPartPr>
          <xdr14:nvPr macro=""/>
          <xdr14:xfrm>
            <a:off x="6408000" y="45836280"/>
            <a:ext cx="223200" cy="31824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C41620C2-13C6-F694-9CA8-BD642774C408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6403680" y="45831960"/>
              <a:ext cx="231840" cy="32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988720</xdr:colOff>
      <xdr:row>223</xdr:row>
      <xdr:rowOff>188240</xdr:rowOff>
    </xdr:from>
    <xdr:to>
      <xdr:col>4</xdr:col>
      <xdr:colOff>1066840</xdr:colOff>
      <xdr:row>224</xdr:row>
      <xdr:rowOff>69640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07FF4355-EE68-C404-BFE9-9FA298B5D52A}"/>
                </a:ext>
              </a:extLst>
            </xdr14:cNvPr>
            <xdr14:cNvContentPartPr/>
          </xdr14:nvContentPartPr>
          <xdr14:nvPr macro=""/>
          <xdr14:xfrm>
            <a:off x="7186320" y="45501840"/>
            <a:ext cx="78120" cy="8460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07FF4355-EE68-C404-BFE9-9FA298B5D52A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7182000" y="45497520"/>
              <a:ext cx="86760" cy="9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179600</xdr:colOff>
      <xdr:row>223</xdr:row>
      <xdr:rowOff>151160</xdr:rowOff>
    </xdr:from>
    <xdr:to>
      <xdr:col>5</xdr:col>
      <xdr:colOff>668480</xdr:colOff>
      <xdr:row>225</xdr:row>
      <xdr:rowOff>73080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4564584C-BAFC-81CB-5450-D2E962A436A6}"/>
                </a:ext>
              </a:extLst>
            </xdr14:cNvPr>
            <xdr14:cNvContentPartPr/>
          </xdr14:nvContentPartPr>
          <xdr14:nvPr macro=""/>
          <xdr14:xfrm>
            <a:off x="7545600" y="45464760"/>
            <a:ext cx="488880" cy="32832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4564584C-BAFC-81CB-5450-D2E962A436A6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7541283" y="45460435"/>
              <a:ext cx="497514" cy="33696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620440</xdr:colOff>
      <xdr:row>224</xdr:row>
      <xdr:rowOff>34360</xdr:rowOff>
    </xdr:from>
    <xdr:to>
      <xdr:col>4</xdr:col>
      <xdr:colOff>686680</xdr:colOff>
      <xdr:row>224</xdr:row>
      <xdr:rowOff>133720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351B61CE-F0C6-F6F8-371D-0875AB096B1B}"/>
                </a:ext>
              </a:extLst>
            </xdr14:cNvPr>
            <xdr14:cNvContentPartPr/>
          </xdr14:nvContentPartPr>
          <xdr14:nvPr macro=""/>
          <xdr14:xfrm>
            <a:off x="6818040" y="45551160"/>
            <a:ext cx="66240" cy="9936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351B61CE-F0C6-F6F8-371D-0875AB096B1B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6813720" y="45546840"/>
              <a:ext cx="7488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234160</xdr:colOff>
      <xdr:row>224</xdr:row>
      <xdr:rowOff>26440</xdr:rowOff>
    </xdr:from>
    <xdr:to>
      <xdr:col>4</xdr:col>
      <xdr:colOff>297520</xdr:colOff>
      <xdr:row>224</xdr:row>
      <xdr:rowOff>136240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1377F4F2-DC49-9C9F-97AD-664BAD7F7A7F}"/>
                </a:ext>
              </a:extLst>
            </xdr14:cNvPr>
            <xdr14:cNvContentPartPr/>
          </xdr14:nvContentPartPr>
          <xdr14:nvPr macro=""/>
          <xdr14:xfrm>
            <a:off x="6431760" y="45543240"/>
            <a:ext cx="63360" cy="10980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1377F4F2-DC49-9C9F-97AD-664BAD7F7A7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6427440" y="45538920"/>
              <a:ext cx="72000" cy="118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168780</xdr:colOff>
      <xdr:row>223</xdr:row>
      <xdr:rowOff>65480</xdr:rowOff>
    </xdr:from>
    <xdr:to>
      <xdr:col>6</xdr:col>
      <xdr:colOff>294780</xdr:colOff>
      <xdr:row>223</xdr:row>
      <xdr:rowOff>186080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E45CC640-D883-AF67-AF02-974A8EF1F81D}"/>
                </a:ext>
              </a:extLst>
            </xdr14:cNvPr>
            <xdr14:cNvContentPartPr/>
          </xdr14:nvContentPartPr>
          <xdr14:nvPr macro=""/>
          <xdr14:xfrm>
            <a:off x="8360280" y="45379080"/>
            <a:ext cx="126000" cy="120600"/>
          </xdr14:xfrm>
        </xdr:contentPart>
      </mc:Choice>
      <mc:Fallback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E45CC640-D883-AF67-AF02-974A8EF1F81D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8355960" y="45374760"/>
              <a:ext cx="134640" cy="12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510420</xdr:colOff>
      <xdr:row>223</xdr:row>
      <xdr:rowOff>48560</xdr:rowOff>
    </xdr:from>
    <xdr:to>
      <xdr:col>6</xdr:col>
      <xdr:colOff>580260</xdr:colOff>
      <xdr:row>223</xdr:row>
      <xdr:rowOff>119120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7021EF1B-58C1-CD39-521A-1E61D9C8C0F4}"/>
                </a:ext>
              </a:extLst>
            </xdr14:cNvPr>
            <xdr14:cNvContentPartPr/>
          </xdr14:nvContentPartPr>
          <xdr14:nvPr macro=""/>
          <xdr14:xfrm>
            <a:off x="8701920" y="45362160"/>
            <a:ext cx="69840" cy="7056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7021EF1B-58C1-CD39-521A-1E61D9C8C0F4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8697578" y="45357840"/>
              <a:ext cx="78525" cy="7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525560</xdr:colOff>
      <xdr:row>222</xdr:row>
      <xdr:rowOff>116400</xdr:rowOff>
    </xdr:from>
    <xdr:to>
      <xdr:col>5</xdr:col>
      <xdr:colOff>606920</xdr:colOff>
      <xdr:row>223</xdr:row>
      <xdr:rowOff>2120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60" name="Ink 59">
              <a:extLst>
                <a:ext uri="{FF2B5EF4-FFF2-40B4-BE49-F238E27FC236}">
                  <a16:creationId xmlns:a16="http://schemas.microsoft.com/office/drawing/2014/main" id="{E7B13B07-0743-0B1F-C244-0F9359207F83}"/>
                </a:ext>
              </a:extLst>
            </xdr14:cNvPr>
            <xdr14:cNvContentPartPr/>
          </xdr14:nvContentPartPr>
          <xdr14:nvPr macro=""/>
          <xdr14:xfrm>
            <a:off x="7891560" y="45226800"/>
            <a:ext cx="81360" cy="88920"/>
          </xdr14:xfrm>
        </xdr:contentPart>
      </mc:Choice>
      <mc:Fallback>
        <xdr:pic>
          <xdr:nvPicPr>
            <xdr:cNvPr id="60" name="Ink 59">
              <a:extLst>
                <a:ext uri="{FF2B5EF4-FFF2-40B4-BE49-F238E27FC236}">
                  <a16:creationId xmlns:a16="http://schemas.microsoft.com/office/drawing/2014/main" id="{E7B13B07-0743-0B1F-C244-0F9359207F83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7887240" y="45222480"/>
              <a:ext cx="90000" cy="9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250880</xdr:colOff>
      <xdr:row>212</xdr:row>
      <xdr:rowOff>109720</xdr:rowOff>
    </xdr:from>
    <xdr:to>
      <xdr:col>5</xdr:col>
      <xdr:colOff>439520</xdr:colOff>
      <xdr:row>212</xdr:row>
      <xdr:rowOff>182080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EE97800E-2E27-F2EF-4574-BD505B056131}"/>
                </a:ext>
              </a:extLst>
            </xdr14:cNvPr>
            <xdr14:cNvContentPartPr/>
          </xdr14:nvContentPartPr>
          <xdr14:nvPr macro=""/>
          <xdr14:xfrm>
            <a:off x="7616880" y="43188120"/>
            <a:ext cx="188640" cy="7236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EE97800E-2E27-F2EF-4574-BD505B056131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7612560" y="43183800"/>
              <a:ext cx="197280" cy="8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323960</xdr:colOff>
      <xdr:row>213</xdr:row>
      <xdr:rowOff>115320</xdr:rowOff>
    </xdr:from>
    <xdr:to>
      <xdr:col>5</xdr:col>
      <xdr:colOff>476960</xdr:colOff>
      <xdr:row>214</xdr:row>
      <xdr:rowOff>19400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AD03C8A2-D705-425C-7F71-A1B28E37E2E6}"/>
                </a:ext>
              </a:extLst>
            </xdr14:cNvPr>
            <xdr14:cNvContentPartPr/>
          </xdr14:nvContentPartPr>
          <xdr14:nvPr macro=""/>
          <xdr14:xfrm>
            <a:off x="7689960" y="43396920"/>
            <a:ext cx="153000" cy="10728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AD03C8A2-D705-425C-7F71-A1B28E37E2E6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7685630" y="43392600"/>
              <a:ext cx="161660" cy="11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280600</xdr:colOff>
      <xdr:row>214</xdr:row>
      <xdr:rowOff>5000</xdr:rowOff>
    </xdr:from>
    <xdr:to>
      <xdr:col>5</xdr:col>
      <xdr:colOff>31280</xdr:colOff>
      <xdr:row>215</xdr:row>
      <xdr:rowOff>118600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95256025-EC80-24C1-C059-F75B1DAC1D56}"/>
                </a:ext>
              </a:extLst>
            </xdr14:cNvPr>
            <xdr14:cNvContentPartPr/>
          </xdr14:nvContentPartPr>
          <xdr14:nvPr macro=""/>
          <xdr14:xfrm>
            <a:off x="6478200" y="43489800"/>
            <a:ext cx="919080" cy="316800"/>
          </xdr14:xfrm>
        </xdr:contentPart>
      </mc:Choice>
      <mc:Fallback>
        <xdr:pic>
          <xdr:nvPicPr>
            <xdr:cNvPr id="67" name="Ink 66">
              <a:extLst>
                <a:ext uri="{FF2B5EF4-FFF2-40B4-BE49-F238E27FC236}">
                  <a16:creationId xmlns:a16="http://schemas.microsoft.com/office/drawing/2014/main" id="{95256025-EC80-24C1-C059-F75B1DAC1D56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6473880" y="43485480"/>
              <a:ext cx="927720" cy="3254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7:57.1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 46 4188,'-14'-6'9830,"0"0"-6098,23 0-3642,28 0 595,35 1-2844,21 2-104,-3-1-525,-22 1 5392,-25-1-445,-33 2-720,-13 3 1080,-18 9-1080,4 14 90,2 17-899,11 17-271,8 15-269,3 5 0,-7-3 0,-17-18-450,-22-21-2338,-20-23-2879,-6-16 5577,10-7 0,24 3 0,17 2 0</inkml:trace>
  <inkml:trace contextRef="#ctx0" brushRef="#br0" timeOffset="416">680 278 8882,'27'-26'8545,"-9"-3"-6656,-14 2-1439,-27 9 89,-14 21-179,-14 20-270,9 15 0,15 9-90,27-4 90,24-9-90,17-19 180,2-16 719,-1-16 271,-15-1-1260,-6 2-2069,-6 10 270,-8 11-2698,4 15 4587,-1 2 0,-2-5 0,-1-6 0</inkml:trace>
  <inkml:trace contextRef="#ctx0" brushRef="#br0" timeOffset="816">883 366 12120,'17'-43'8275,"-1"6"-5666,0 8-630,7 15-1080,8 17-449,6 28-90,-5 11-360,-7 0-270,-9-3 180,-8-34 90,1-3-90,4-37 90,5-5 90,6-6 270,11 2-180,-3 25-180,6 17-1350,-12 27-3957,-8 17-2968,-8 2 8275,-5-6 0,-2-19 0,-1-9 0</inkml:trace>
  <inkml:trace contextRef="#ctx0" brushRef="#br0" timeOffset="1232">1911 366 18147,'-6'11'3148,"1"4"-2878,1 12-360,-8 13-2159,-10 10-2518,-10 2 4767,2-16 0,11-15 0,10-15 0</inkml:trace>
  <inkml:trace contextRef="#ctx0" brushRef="#br0" timeOffset="1616">2019 232 9691,'21'-43'8546,"8"5"-7197,14 12-540,4 21-89,-8 30-180,-23 26 179,-27 23-89,-15 6 539,-3-4-629,14-19-630,29-24-2609,30-24-1978,40-21 1394,-33 0 0,0-1 3283,36-12 0,-29 9 0,-36 7 0</inkml:trace>
  <inkml:trace contextRef="#ctx0" brushRef="#br0" timeOffset="1983">2732 282 9152,'-12'-35'9830,"-9"6"-6618,-5 26-2402,-15 15 89,5 17-539,6 19-360,23 8-629,22-3 179,24-20 360,19-32 450,8-35 89,-11-30-269,-24-12-180,-36 4-270,-31 20-3058,-18 27-5217,0 27 8545,16 12 0,18 0 0,14-7 0</inkml:trace>
  <inkml:trace contextRef="#ctx0" brushRef="#br0" timeOffset="2733">3152 186 8342,'-52'-55'9830,"25"18"-6617,59 42-1864,3 22-180,-13 16-89,-15 12-271,-13 7-179,-2-1-450,2-7-270,13-11-2249,23-18-2068,29-20 629,25-24 2698,-34-1 1,0-5 1124,0-8 0,-2-6 989,-2-3 1,-5-4 314,-6 1 0,-6-1 1350,6-34-450,-34 28-900,-28 33-360,-14 33-629,3 24-1529,16 40-1170,37-4 1350,22 0 1168,47-36 1441,-7-37-541,-3-20-719,-52-12-2069,-52 17-2069,-36 10 3778,7 21 0,-1 5 0,-13 6 0,-12 16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7:56.09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0 193 11580,'3'-51'7916,"17"-13"-6387,28 27-989,21 5-360,-2 23 89,12 60-179,-50 9-90,-2 31 0,-34-31 45,-23-9 0,-9-6 585,-1-14-136,-2 1 1,0-9 855,3-32-451,11-6 450,19-14-629,23 18-360,20 4-450,27 22-1259,-1 4-2969,19 12-2428,-4-10-2069,-6-9 8815,-13-7 0,-30-7 0,-19 0 0</inkml:trace>
  <inkml:trace contextRef="#ctx0" brushRef="#br0" timeOffset="364">644 207 7553,'-37'-23'9830,"15"9"-7357,-11-2-1844,56 9-301,18-2-58,35-2 704,-5 3 465,-3 9-222,-29 14-677,-5 9-181,-18 26-449,-12 8-2338,-5 22-2339,-1-4-2249,5-14 7016,4-20 0,0-23 0,-2-13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23.3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29 151 9152,'-5'-71'6296,"1"19"-4947,-1 25 181,-3 65-721,4 17 1,2 14-451,2 8 1,2 9 0,1 5-402,-1-12 0,1 4 1,1 2-1,0 2 239,-1-8 1,2 3 0,-1 1 0,1 0 0,-1-1-242,1 0 1,0 0 0,0 0 0,-1 0 0,1-1 110,1 15 1,-1-1-1,0 0 1,1-2-23,-1-7 0,0 0 0,1-2 0,-1-1-197,2 16 0,0-2 1,-1-2 121,-2-8 0,0-1 0,0 0-30,-2 0 0,-1-1 0,-1 0-30,0 0 0,-1-1 0,-1-3 60,1-9 0,-1-3 0,0 2-36,1 5 0,-1 0 0,1-3-24,1 9 0,-1-3 45,1 2 0,1-2 257,-1-9 1,1-4-1068,0-15 1,0-2-314,-1 45 1168,-4-26 0,2-38 0,-3-9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28.1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7 330 8702,'-2'-34'6656,"8"-5"-4047,12-13-1980,19-2 631,17 4-181,20 3-449,13 13-271,-38 22 1,1 6-45,3 5 0,0 6 89,2 7 1,-2 6-180,0 4 0,-2 5-45,-2 6 0,-3 4-45,-5 2 0,-4 3-45,-2 4 0,-5 4-45,-3 2 0,-5 3 45,-5 3 0,-4 3-90,-6 9 0,-4 0 45,-4-12 0,-4 0-45,-6 12 0,-5-3 0,-1-18 0,-4-2 0,-4 2 0,-3-2 0,-33 24-90,-10-21 0,-11-19-90,-9-19 180,-4-14-90,1-13 90,8-10 0,12-11 0,11-11 0,10-16 0,7-13 0,10-6 0,10-5 0,11 4-90,8 11 180,9-8-90,4 20 180,7-9 90,2 14-1,1 10 1,4-2-90,0 10 90,5-5-90,1 9-180,-3 6 90,0 6-180,3 6 90,7 6-270,7 3-540,-7 4-1798,-1 1-2609,-14 1-4614,0 1 9680,-5 4 0,-5-3 1,-5 2-1</inkml:trace>
  <inkml:trace contextRef="#ctx0" brushRef="#br0" timeOffset="916">563 629 10321,'-10'-8'5757,"-3"3"-5128,1 6-449,-1 12-180,8 1 90,9 9 630,15-11 629,4-8-539,-1-6 89,-8-10-449,-14-4-450,-5 5-270,-8 9 0,5 12 0,4 16 810,9-3 90,7-19-1,-5-25-359,-2-21-180,-11-40 90,-7-4 630,-3-8 269,-6-3-989,7 38-90,1 10-4138,7 26 2159,5 23-1888,5 15 3867,5 24 0,-2-13 0,-1 0 0</inkml:trace>
  <inkml:trace contextRef="#ctx0" brushRef="#br0" timeOffset="1183">575 620 10411,'-7'11'9445,"0"0"-9265,18-13 179,7-8-269,37-22-2069,11-9-719,-3 5-2879,-5 6 5577,-30 19 0,-12 5 0,-9 4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23.9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23 132 10501,'-22'-3'9830,"24"0"-8956,11-2 25,79-3-1124,-41 4 1,5 0-1261,39-5 1,4-1-315,-21 1 0,-3 0 90,2-1 0,-6-1 1709,15-7 0,-53 9 0,-16 1 0</inkml:trace>
  <inkml:trace contextRef="#ctx0" brushRef="#br0" timeOffset="233">769 1 10771,'-25'7'9830,"-6"16"-5718,3 20-2403,5 21-1080,17-12 1,4 6-765,2 11 0,2 4-1349,1 13 0,2 3-2114,3 6 0,1-3-1318,-1-23 1,1-6 4006,7 29 0,-8-61 1,-5-25-1</inkml:trace>
  <inkml:trace contextRef="#ctx0" brushRef="#br0" timeOffset="450">976 710 10591,'1'-38'9830,"-1"12"-6797,3 10-4473,5 35-3057,6 15 1888,-1 6 2609,-2 1 0,-8-27 0,1 1 0</inkml:trace>
  <inkml:trace contextRef="#ctx0" brushRef="#br0" timeOffset="617">1025 456 8882,'-14'-39'7196,"-1"4"-7196,-2-4 0,6 18 0,8 15 0</inkml:trace>
  <inkml:trace contextRef="#ctx0" brushRef="#br0" timeOffset="1417">1190 572 15808,'13'3'5397,"1"5"-5217,0 21 449,1 13-449,2 16-180,-4-3 0,-5-18 0,0-23-90,5-47 180,10-25 450,7-19 539,-1 11 451,1 22-91,0 38-720,0 21-359,2 26-270,-7 3 0,-2-3-90,-2-22 0,13-26 0,1-20 270,9-17 90,-11 9-360,-1 16 0,-7 26 0,8 19 0,7 15 0,15-2-90,16-17 90,11-26 0,-3-37 90,-16-29-90,-26-9 0,-29 10 0,-24 35 0,-9 39 0,4 40 0,17 33 0,22 12-6477,17-13-539,12-29 7016,-3-33 0,-16-14 0,-12-9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17.3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150 404 8702,'-7'-18'5127,"-1"6"-5037,-17 6 630,-7 25-361,-4 11 271,3 30-90,24 3-180,24 5-181,36-17 1,34-34 225,-33-24 0,-1-11 44,-1-9 1,-6-7-225,-9-6 0,-10-3-45,-17-48-180,-49 24-720,-36 34-1708,-17 53 269,52 8 0,5 6 2159,-16 41 0,31-25 0,19-21 0</inkml:trace>
  <inkml:trace contextRef="#ctx0" brushRef="#br0" timeOffset="301">700 284 10231,'-7'-34'9265,"2"11"-8905,3 10 449,11 40-449,8 35-630,-6-15 0,1 4-1439,2 7 0,0 2-1529,0-1 0,0-1 3238,10 26 0,-7-32 0,-10-36 0</inkml:trace>
  <inkml:trace contextRef="#ctx0" brushRef="#br0" timeOffset="584">1392 165 8432,'20'-75'9830,"-7"21"-6707,-5 19-2494,-11 55 91,-8 55-585,2-16 0,-1 6-1035,-2 10 1,-1 3-1260,-1 1 0,1-1-2698,2-8 0,2-5 4857,-2 17 0,7-36 0,4-38 0</inkml:trace>
  <inkml:trace contextRef="#ctx0" brushRef="#br0" timeOffset="1384">1852 360 13020,'9'-28'3957,"4"6"-3327,13 18-180,-3 27-91,-4 20 541,-26 46 89,-13-8 361,-10 11-541,13-29-539,27-23-450,22-17-3868,55-21-2878,9-13 6926,-43 3 0,-3-1 0,12-3 0,-36 5 0</inkml:trace>
  <inkml:trace contextRef="#ctx0" brushRef="#br0" timeOffset="1735">2509 321 8342,'-48'-21'9805,"15"5"-8186,-4-7-1170,60 8-359,8 0 90,45 4 1979,-11 9-1349,-16 4 449,-8 23-629,-26 25-900,-3 14-2699,-8 32 1,-3-45 0,0 0-6027,1 40 8147,2-18 0,-1-43 0,-2-22 0</inkml:trace>
  <inkml:trace contextRef="#ctx0" brushRef="#br0" timeOffset="2017">3346 179 9961,'10'-78'9830,"-7"19"-7247,-13 30-874,-5 52-809,-4 55-990,9-17 0,0 5-1439,0 10 0,-1 2-990,-1-1 0,1-3 2519,2-9 0,1-7 0,-1 8 0,6-30 0</inkml:trace>
  <inkml:trace contextRef="#ctx0" brushRef="#br0" timeOffset="2450">3833 335 8162,'-11'-30'9445,"12"0"-7016,13-5-2070,22 18 181,12 29-180,-14 16 449,-19 28-89,-29 2-270,-14 7-180,-3-5-360,12-10-1799,25-12-2699,27-15 4588,25-15 0,-19-6 0,-5-7 0</inkml:trace>
  <inkml:trace contextRef="#ctx0" brushRef="#br0" timeOffset="2817">4421 260 9422,'-14'-64'9830,"0"27"-4639,-2 81-5101,7 28 90,12 26-90,17-3-90,17-23 0,9-45 0,-2-47 0,-12-40-90,-22-19-90,-25 0-2429,-23 17-2338,-12 27 4947,4 24 0,18 10 0,15 7 0</inkml:trace>
  <inkml:trace contextRef="#ctx0" brushRef="#br0" timeOffset="3484">4782 193 12570,'4'-36'6296,"9"9"-5936,18 20 360,6 24 179,3 26 91,-13 22-271,-15 12-449,-16 5-90,-6-9-720,1-14-359,19-26-181,25-31 631,37-52 449,-25 4 0,1-8 404,5-12 1,-2-2-45,-6 4 0,-5 2 179,-10 13 1,-7 6 180,-12 0-91,-27 47-359,-13 40-180,2 36-180,19 20 0,26-9 180,27-30 270,16-41 629,-2-41-449,-24-24-450,-39-7-2429,-48 9-3867,-31 24 6206,31 21 0,1 5 0,-21 10 0,10 13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03.04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1327 14369,'1'15'2428,"0"2"-2068,2-3 270,2 10 809,3 33-899,2 20-270,1 21-225,-4-43 0,-1-2 224,3 19-89,0-14-180,-6-43 90,-6-44-90,-2-27 135,0 1 0,0-2 225,-4-34 89,4 33 1,-1 2 270,-1-8-450,-1 3 0,4 22-90,11 8-1,19 12 1,64 14-180,-18 3 45,-9 4 0,4 0 0,-8-3 0,2-2 0,22-1 0,4-1-45,-6 1 0,2-1 0,15-1 0,0 0 45,-10 2 0,-3 1-45,-6-1 0,1 0 0,11-1 0,2 0 0,-8 0 0,-2-1 0,-6 0 0,0 0 0,12-1 0,-1-1 0,-15 0 0,0 0 45,9 0 0,2-1-45,0 1 0,1 1 0,2 1 0,1 0 0,-3 1 0,0 0 0,-3-1 0,-1 1 0,-2 0 0,0-1 0,-7 1 0,1 1 0,3 0 0,1 2 0,3 1 0,3 0 0,6 2 0,2 0 0,-24 0 0,0 1 0,0-1 0,2 0 0,0 0 0,1 0-103,3 0 1,0 0 0,0-1 102,1-1 0,1 1 0,0-1 90,5-1 0,1 1 0,0 0 30,3-1 0,1 1 0,-1-1 0,2 2 0,1-1 0,-1 1-60,-1 0 0,1 1 0,-1 0-30,-4 0 0,-1 2 0,-1-1 30,-5 0 0,-2 0 0,0 0 254,28 2 1,-3 1 0,-11 0 0,-3 0-135,-7 0 0,-4 1-90,-10-1 0,-4 1 90,28 2 179,-20-1 91,-24-3-143,-9-1-307,-10 0 0,-10 2 0,1 22 0,-6 19 0,-3 38 0,-6-33 0,0 1-1440,-2 1 1,-1-1-5037,-3 36 6476,-2-27 0,4-34 0,0-13 0</inkml:trace>
  <inkml:trace contextRef="#ctx0" brushRef="#br0" timeOffset="416">2429 407 19586,'8'12'2878,"11"30"-2608,2 23-1485,-6-16 1,1 2-900,-1 3 1,-1 0 2113,8 40 0,-10-42 0,-6-21 0</inkml:trace>
  <inkml:trace contextRef="#ctx0" brushRef="#br0" timeOffset="783">2438 580 9152,'-32'-56'3268,"0"1"0,4 6 0,3 2-2188,-8-20-541,37 26-179,59 42-315,2 17 0,7 8 0,14 11 0,1 5-45,-26-9 0,0 2 0,-4 0 45,9 11 0,-9 1 0,-21-6 0,-12 0-45,-28 24-90,-47-9-1709,-31-8-900,3-12 2699,1-6 0,45-18 0,7-3 0</inkml:trace>
  <inkml:trace contextRef="#ctx0" brushRef="#br0" timeOffset="1700">3333 796 9062,'40'-39'7915,"-17"-11"-6655,-31 12-721,-10 5 91,-36 31-450,16 29-90,-6 18 0,39 25-90,27-20 90,18-7 809,21-45-539,-17-20 360,8-31 89,-24 4-449,-8 6 0,-8 15-270,-5 37-90,6 11-90,15 18-90,31-15 180,3-23 90,20-51 0,-51-4 0,-9-9 89,-1 1 1,-6-4 225,-7-22 0,-8-1-1,-6 21 1,-4 6-225,-8-35 90,-14 45 270,14 99-360,7 30-135,14 0 0,9 6-45,7-5 0,8-1-225,5 0 0,6-6-135,2-17 0,6-11 180,2-19 1,1-13-1,43-30 360,-14-41 539,-30-16-89,-34-1-90,-24 23 449,-25 29-359,3 41-630,1 38-180,28 35-1979,27 7-1709,23-15-539,14-36-810,1-39 5217,-10-26 0,-22 2 0,-14 1 0</inkml:trace>
  <inkml:trace contextRef="#ctx0" brushRef="#br0" timeOffset="2033">3501 413 10591,'-8'-9'9535,"29"-6"-9176,50 4-1034,1 5 1,10 1-1485,14 4 1,3 1 2158,-29 0 0,-1 0 0,-5 0 0,-1 1 0,-9 0 0,13-1 0</inkml:trace>
  <inkml:trace contextRef="#ctx0" brushRef="#br0" timeOffset="4250">1217 2804 12660,'-15'-53'6566,"22"1"-6026,29-1 269,22 26-449,5 36-180,-7 42-180,-20 32 0,-29-31 0,-8 2-45,-9-2 0,-6-1-45,-31 34 270,-6-30 719,15-37 91,22-29 179,25-18-629,26-5-360,20 10-1439,21 19-2609,14 19-1079,6 12 4947,-7-4 0,-39-7 0,-17-11 0</inkml:trace>
  <inkml:trace contextRef="#ctx0" brushRef="#br0" timeOffset="4650">1958 2716 7892,'-16'-32'9715,"0"7"-6387,-8-13-3148,25 28 90,20 8-180,33 13 0,13-4 1259,-1-7-540,-20-2 1080,-12 4-1169,-24 9 269,-5 28-539,-11 15-720,-6 33-2788,1 2-4048,2 2 7106,4-19 0,5-33 0,1-17 0</inkml:trace>
  <inkml:trace contextRef="#ctx0" brushRef="#br0" timeOffset="4900">2073 2903 11940,'-28'-15'8365,"14"2"-7915,27 1-1799,24 3-4228,55-5 5577,-1-3 0,-17 5 0,-25 0 0</inkml:trace>
  <inkml:trace contextRef="#ctx0" brushRef="#br0" timeOffset="5150">2845 2537 8162,'-8'-24'9830,"-2"4"-4908,-3 11-4292,0 19 1438,-9 47-1438,-6 32-1035,12-34 0,-1 4-2743,-4 18 0,2 0-180,5-22 0,2-1 2649,0 3 1,1-6 0,4-7-1,5-25 1</inkml:trace>
  <inkml:trace contextRef="#ctx0" brushRef="#br0" timeOffset="5533">3051 2886 12390,'-15'-53'8545,"-2"15"-8185,8 42-90,1 28-360,11 21-540,20 24 450,8-18 270,26-23 810,2-61 179,-13-16-90,-18-40-809,-36 28-360,-31 1-2788,-12 41-2609,-3 25 5577,16 11 0,19-2 0,15-10 0</inkml:trace>
  <inkml:trace contextRef="#ctx0" brushRef="#br0" timeOffset="5783">3515 2769 10681,'13'-41'9830,"-4"11"-6797,-5 17-2854,-4 19 451,-3 42-1170,2 22-1304,2-21 1,3 3-901,1 0 1,3-2 2743,12 32 0,-7-37 0,-4-25 0</inkml:trace>
  <inkml:trace contextRef="#ctx0" brushRef="#br0" timeOffset="6066">4044 2653 9691,'7'-63'9830,"-2"6"-7786,-4 38 294,-4 34-988,-9 63-1126,1-17 1,-2 5-1439,-2 7 0,-1 1-1710,1-1 1,0-3 2923,4-16 0,2-6 0,1 4 0,5-30 0</inkml:trace>
  <inkml:trace contextRef="#ctx0" brushRef="#br0" timeOffset="6633">4581 2680 4918,'-9'-16'9830,"9"-7"-4825,20-11-3566,9 8-181,12 26-898,-21 31 192,-19 34-372,-28 18 1081,-8 4-362,7-11-629,24-21-720,32-23-3957,36-24-1800,33-19 6207,-46 1 0,0-2 0,32-8 0,-20 2 0</inkml:trace>
  <inkml:trace contextRef="#ctx0" brushRef="#br0" timeOffset="7016">5295 2705 8162,'-35'-56'9830,"-2"11"-2390,-3 23-6630,7 30-90,17 31-541,17 29-628,25 12-271,18-9 360,17-27 360,6-41 270,-9-30 270,-17-41-450,-37 1-90,-23-4-2069,-40 21-3418,0 35-899,-2 17 6386,23 17 0,22-4 0,10-5 0</inkml:trace>
  <inkml:trace contextRef="#ctx0" brushRef="#br0" timeOffset="7683">5644 2662 10051,'-11'-33'8995,"9"12"-7736,19-13-719,20 30-90,7 7 539,-7 30 181,-28 21-721,-10 0-179,-16 14-1169,7-15-361,4-13-539,30-9 720,31-50 1259,13-22 359,-21-2 1,-3-9 359,-11 2 1,-4 0 270,17-34 898,-23 15-1798,-25 54 450,-7 27-450,-10 49-900,11 34 135,12-42 1,7-1-46,32 31 810,23-41 1259,7-50 0,-16-37-989,-28-17-1979,-46 7-5038,-33 28-3354,-22 38 8960,21 9 1,17 6 0,27-18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47.15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95 109 7533,'-34'-2'9830,"1"-1"-2840,5 0-5911,43-7-2608,38-5-675,-6 5 1,5-1-181,3 1 1,-1 1-1125,33-5 2428,-23 6 8456,-32 3-4678,-15-4-1618,-17 9-1,-8 7 270,-1 27-1438,4 24-2880,6 29 720,1-35 1,2 0-2250,1-1 1,1-2 4497,4 20 0,-2-29 0,-5-32 0</inkml:trace>
  <inkml:trace contextRef="#ctx0" brushRef="#br0" timeOffset="183">735 432 8252,'9'-20'7286,"-4"21"-15651,3 6 8365,-6 15 0,1-1 0,-2-12 0</inkml:trace>
  <inkml:trace contextRef="#ctx0" brushRef="#br0" timeOffset="1000">843 219 11580,'-5'-42'0,"3"7"-629,9 26 1708,13 21 90,-3 0 3059,16 25-1889,-14-15-1530,4 4 1260,3 5-1349,-8-6-450,1 4-1,-6-7-89,-1-13-180,3-13 270,16-23 540,-1-8-541,-1-3 271,-2 9-270,-5 20-180,6 6 0,2 10-90,0 4-90,-1-4 180,9-12-90,1-4 180,38 5-270,-10 13-180,22 14-270,6 6 450,-13-22 270,5-19 450,-28-29 1619,-19-22-2249,-23 10 0,-29 23 0,-17 43 0,-8 41-540,24 19-7915,37 4-1376,42-15 8315,-9-26 0,-5-20 0,-38-15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38:38.95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1378 262 8072,'-5'-20'8725,"-2"0"-8095,-2 4-270,3 21 539,11 8-449,15 9 450,14-18 359,2-20-270,-10-16-539,-17-6-540,-13 8-2698,-23 15-2429,6 35 5217,-5 15 0,13-4 0,9-5 0</inkml:trace>
  <inkml:trace contextRef="#ctx0" brushRef="#br0" timeOffset="300">1502 593 12570,'-22'-12'4587,"6"7"-4497,1 11 90,13 5 0,5 3 1259,4-3-1169,0-9-720,-5-5-4677,-3-7 5127,-7 0 0,3 5 0,1 2 0</inkml:trace>
  <inkml:trace contextRef="#ctx0" brushRef="#br0" timeOffset="733">1958 301 9512,'-20'-25'7735,"-7"7"-6296,-8 41-1079,8 8-90,3 42-180,33 17 0,12-15-90,33 1 540,-7-56 1079,20-32-270,-27-41-719,-18-31-630,-36-8-2429,-38 11-90,-3 38-2338,-7 39 4857,33 30 0,11-2 0,15-4 0</inkml:trace>
  <inkml:trace contextRef="#ctx0" brushRef="#br0" timeOffset="1233">2405 423 15088,'6'-27'5667,"-13"16"-5397,-11 29-180,4 23-360,22 12-180,24 0 360,22-15 180,11-21 630,-2-24 179,-18-26-179,-32-24-180,-43-29-360,4 38 0,-4-1-136,-3 0 1,3 1-45,-10-40-89,41 21 178,30 17 451,20 27 0,-2 34-450,-12 35-3328,-15 27-2879,-12 15 6117,-9-7 0,-2-31 0,0-21 0</inkml:trace>
  <inkml:trace contextRef="#ctx0" brushRef="#br0" timeOffset="-1066">0 236 8972,'18'-35'7825,"11"1"-6116,20-2-809,12 26-450,5 33-270,-10 34-90,-19 19-90,-30 10 0,-34-7-90,-26-20 180,-14-27 179,2-30 361,21-20 269,21-10 1,26 4-180,33 9-451,21 15-1258,22 12-2159,0 9-1350,-3 0-3507,-6-3 8005,-24-8 0,-14-6 0,-24-4 0</inkml:trace>
  <inkml:trace contextRef="#ctx0" brushRef="#br0" timeOffset="-817">753 222 9332,'-10'-32'9830,"-1"1"-4639,3 18-4651,4 21-270,5 22-1440,4 39-3597,1 13-149,-1-31 1,0 0 3511,2 22 1,0-26-1,-5-38 1</inkml:trace>
  <inkml:trace contextRef="#ctx0" brushRef="#br0" timeOffset="2417">3051 346 8162,'-12'-8'9830,"-5"-2"-5088,14 3-4202,12 3-91,39 5-1978,24 4-1169,19 2 539,0-4 1170,-13-7 1438,-19-13 1081,-24-12-91,-25-9 450,-17 3-720,-14 0-539,4 16-540,11 18-540,22 25 0,9 24 360,4 16 270,-15 3-90,-22-2-1799,-17-7-6566,-9-11 8275,5-16 0,10-13 0,12-13 0</inkml:trace>
  <inkml:trace contextRef="#ctx0" brushRef="#br0" timeOffset="2950">4340 360 8972,'-4'-43'9534,"-8"3"-8454,-16-16-630,-16 26-271,-12 25-179,-2 25 90,9 15-90,18-4 90,24 7-90,26-26 90,11 0 270,20-20-270,-6 2 0,2 5-180,-1 30 0,-14 15 180,-2 16 450,-23 12 539,-22-18-719,-13-4-1619,-31-24-2429,5-21-6143,-1-11 9590,26-9 0,18 5 1,10 3-1</inkml:trace>
  <inkml:trace contextRef="#ctx0" brushRef="#br0" timeOffset="3416">4729 247 11041,'0'-17'8905,"-3"-7"-14032,0 6 5127,4 26 0,-1-1 0,5 29 0</inkml:trace>
  <inkml:trace contextRef="#ctx0" brushRef="#br0" timeOffset="3567">4743 597 13469,'-12'-5'-765,"11"-2"1,-3 2-1,10 1 1</inkml:trace>
  <inkml:trace contextRef="#ctx0" brushRef="#br0" timeOffset="3966">5164 312 13649,'-9'-38'7196,"-13"20"-6476,-4 29-361,0 32-808,18 22 89,24 4 90,24-15 810,19-26 1259,5-31-180,-9-32-810,-28-24-629,-37-15-2338,-33 7-3149,-18 21 5307,5 34 0,22 10 0,18 12 0</inkml:trace>
  <inkml:trace contextRef="#ctx0" brushRef="#br0" timeOffset="4483">5547 362 9152,'25'-17'9830,"-22"17"-5448,-4 6-4023,-25 36-538,13 9-181,7 14 180,21-7 90,20-20 270,14-24 270,-1-28-1,-16-39-359,-33-28-90,-29-14 45,-1 39 0,-3 2-315,-18-22 180,8 12 0,57 27 360,22 37 180,24 14 90,-6 30-540,-13 12-2519,-13 5-3777,-10 1 6296,-9-4 0,-4-25 0,-2-10 0</inkml:trace>
  <inkml:trace contextRef="#ctx0" brushRef="#br0" timeOffset="5283">6128 340 9691,'-9'-27'9355,"-2"2"-8006,-1-3-809,-3 32-360,6 31-90,-2 34-90,6 9 90,3-9-90,8-36 0,-1-32 0,2-28 0,-2-39 540,1-12 809,2-20 90,-1 7-989,-2 22-180,-2 26-91,3 26-89,-3 20 0,6 24 0,-2 2 180,3 5-180,-3-9 0,-1-7-180,-1-7 0,4-4 90,2-1 0,9 1-90,2 6 180,3 7 270,-3 2 180,-12 3-361,-23 1-1348,-17 0-3238,-24 2-3239,1-4 7646,13-6 0,17-7 0,17-7 0</inkml:trace>
  <inkml:trace contextRef="#ctx0" brushRef="#br0" timeOffset="5916">6328 386 8702,'9'-15'7646,"2"-8"-3509,-1-3-3957,-1 13-90,-5 12 0,-2 43-90,-3 5 90,2 16-90,3-13 90,3-23 90,9-38 180,-2-32 359,3-35 451,-6-9-181,-2 2-449,-2 21-91,-4 15-359,-1 46 0,7 29-90,3 17 0,18 7 90,21-37 450,16-18 449,12-19 91,-8-4-720,-16 5-360,-21 16 0,-10 31-450,-12 24-4497,1 33-4884,0 17 9680,-4-25 0,0-18 0,-7-38 1</inkml:trace>
  <inkml:trace contextRef="#ctx0" brushRef="#br0" timeOffset="7599">101 1171 7803,'-6'-28'8815,"-1"2"-8636,8 7 451,16 32-180,25 31-90,28 25-91,-25-34 1,3-3-45,0-4 0,4-6-45,23-4 0,6-10 0,1-8 0,2-5-90,10-2 0,5-4-31,-19-2 1,3-3 0,-2 0 0,-11 2 0,-1-1 0,0-1-30,6-1 0,1-1 0,0 1 90,3-2 0,0 2 0,-3 1 105,15 0 0,-3 3-45,6 2 0,-1 5 179,-7 11 1,-4 7-135,-15 2 0,-3 3-135,4 3 0,0 1-45,-3 1 0,-2-1 45,33 4-45,-46-13 0,1-5 0,-1-9 0,0-7-45,39-28 45,-34 8 0,-1-4 0,-5-1 0,-2-1-1,-1 2 1,-1 3 135,29-10 0,24 21-90,-8 21-45,-17 8 0,6 3-90,7 4 0,1 2 45,4-1 0,1-1 0,-3-2 0,1-5-45,9-11 0,-1-5 45,-14-5 0,-1-2 0,13-4 0,-3-1 0,-19 2 0,-6 1 0,-11 4 0,-4 3 0,35 0-45,-29 10 0,3 5-45,-1 3 0,2 2-45,23 7 1,2 3 134,-6-1 0,-2 0 0,-3-2 0,-2-4 179,-11-7 1,-4-6 0,35-25-1439,-31-21-5307,-41-23 6566,-43 8 0,-18 10 0,-15 18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31:58.691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747 668 24575,'3'-5'0,"19"-1"0,36-6 0,23 1 0,14 0 0,-12 5 0,-30 6 0,-19-1 0,-22 2 0,-10 5 0,-2 10 0,-5 11 0,-5 6 0,-6 1 0,-4-3 0,-2-2 0,1-1 0,0-2 0,1-1 0,3-2 0,4-5 0,8-5 0,10-5 0,12-6 0,12-8 0,15-8 0,12-7 0,8-3 0,6 2 0,-2 4 0,-11 6 0,-17 4 0,-16 5 0,-15 1 0,-5 1 0</inkml:trace>
  <inkml:trace contextRef="#ctx0" brushRef="#br0" timeOffset="1483">0 1177 24575,'0'-8'0,"0"-6"0,0-3 0,4-3 0,4 4 0,6 3 0,7 1 0,2 4 0,0 2 0,-4 3 0,-1 2 0,0 1 0,2 1 0,7 2 0,1 0 0,2 0 0,-3-2 0,-5-1 0,-1 0 0,0-1 0,4-4 0,2-9 0,-2-6 0,-3-5 0,-6-1 0,-5 2 0,-3-1 0,-3 4 0,-2 1 0,-1 10 0,-1 3 0</inkml:trace>
  <inkml:trace contextRef="#ctx0" brushRef="#br0" timeOffset="3567">1836 314 24575,'-4'-3'0,"-3"2"0,-5 5 0,-6 6 0,-3 8 0,1 5 0,3 0 0,8-3 0,6-3 0,3-4 0,0 1 0,0-1 0,0 1 0,0 1 0,1 1 0,2 8 0,4 7 0,3 9 0,4 6 0,6 5 0,4-2 0,5-6 0,2-6 0,1-11 0,1-8 0,1-7 0,-1-6 0,1-4 0,-1-4 0,0-6 0,-1-6 0,-5-8 0,-4-3 0,-5-3 0,-2-4 0,-2-6 0,1-8 0,4-16 0,7-20 0,-11 33 0,0-2 0,1-4 0,-2-1 0,-2 3 0,-2 1 0,1-33 0,-7 26 0,-11 27 0,-6 19 0,-7 8 0,-4 5 0,2 4 0,-2 3 0,0 4 0,-2 1 0,-1 1 0,1-1 0,-1 1 0,1-1 0,-3 1 0,0-1 0,-1 3 0,-2 0 0,4 2 0,3 1 0,6 0 0,4 1 0,3 0 0,0 1 0,-1 2 0,-3 1 0,-3 0 0,-2 1 0,1-4 0,3-5 0,6-6 0,5-4 0,4-4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50:44.839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1 6 24575,'21'0'0,"12"0"0,17 0 0,13 0 0,0 0 0,-2 0 0,-3 0 0,-5 0 0,-1 0 0,0 0 0,0 0 0,-2 0 0,-4 0 0,-3 0 0,-5 0 0,-5-1 0,-3-1 0,-2 1 0,0 0 0,0 1 0,-2 0 0,-2 0 0,-3 0 0,1 0 0,1 0 0,2 0 0,0 0 0,-1 1 0,0 1 0,0 0 0,-1 1 0,-2-1 0,-3 0 0,-8-1 0,-5 0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50:48.755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4980 901 24575,'-5'-13'0,"-11"-9"0,-15-11 0,-15-11 0,-10-6 0,-4-1 0,3 2 0,8 7 0,9 8 0,7 5 0,2 4 0,-5-4 0,-9-2 0,-9-1 0,-9-2 0,-6 2 0,0 2 0,1 3 0,9 4 0,9 3 0,6 5 0,-1 2 0,-15 0 0,-23-3 0,34 5 0,-2 0 0,-6-1 0,-1-1 0,-4-2 0,-1 1 0,1-1 0,0 2 0,-1 0 0,0 1 0,4 1 0,1 1 0,6 2 0,1 0 0,-43-3 0,14 2 0,9 5 0,6 2 0,7 1 0,0 1 0,-5 0 0,-7 0 0,-10 0 0,-3 0 0,0 4 0,-8 4 0,41-2 0,-1 2 0,-2 0 0,-1 2 0,-3 0 0,0 0 0,3 1 0,2 1 0,-44 11 0,9 1 0,10-2 0,4 0 0,-1 0 0,-3 1 0,-7 4 0,-1 0 0,0 2 0,4-1 0,11-3 0,7-1 0,10-2 0,7-3 0,6 0 0,6-1 0,0 1 0,1 3 0,-3 0 0,-2 3 0,1-2 0,2-1 0,4-3 0,4-1 0,3-2 0,6-3 0,3-1 0,3 0 0,-1 3 0,-3 4 0,-4 6 0,-4 3 0,-3 0 0,4-2 0,3-5 0,7-7 0,5-6 0,4-7 0,3-7 0,1-9 0,-2-7 0,0-9 0,-4-5 0,-2-2 0,0 4 0,0 5 0,4 9 0,1 6 0,2 6 0,1 7 0,0 8 0,0 9 0,0 5 0,1 5 0,0 1 0,1 1 0,-1-2 0,-1-1 0,0-4 0,0 0 0,0-2 0,1-3 0,1-1 0,-1-5 0,1-3 0,1-1 0,0-2 0,1 0 0,1 1 0,0 2 0,1-1 0,0 0 0,0-2 0,1-2 0,-1-1 0,0-1 0,1-3 0,1-2 0,1-2 0,0-2 0,2 2 0,-1 0 0,0-1 0,-1 1 0,-1 0 0,0 0 0,0 2 0,-2 0 0,0 1 0,-1-1 0,1 2 0,0 0 0,1 1 0,0 2 0,0 0 0,-2 0 0,0 0 0,1 0 0,0 0 0,1 0 0,1 0 0,-1 0 0,2 0 0,-2-1 0,-2-5 0,-3 4 0,-2-4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5:50:52.854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4190 449 24575,'5'-2'0,"2"0"0,4 2 0,1 0 0,1 0 0,-1 0 0,2 0 0,2 0 0,2 0 0,2 0 0,-1 0 0,-1 0 0,2 0 0,4 0 0,4 0 0,1-1 0,0 0 0,-3-1 0,-4 0 0,-4-1 0,-2 2 0,-1 0 0,0 1 0,0 0 0,-2 0 0,-3-1 0,-4 0 0,-2-2 0,-2 0 0,-1-1 0,-1-1 0,0 0 0,2-1 0,-1 0 0,0-2 0,1 0 0,-1-3 0,1-3 0,-1-3 0,0-2 0,-1-3 0,0-1 0,0 0 0,0 1 0,0 4 0,0 2 0,0 6 0,0 2 0,0 2 0,0 0 0,0 0 0,-2-1 0,-1-1 0,-1-1 0,-3 0 0,0-1 0,-3 1 0,0 1 0,0 0 0,-1 2 0,1-1 0,-1 0 0,-3 0 0,-3-2 0,-3 1 0,0 1 0,4 2 0,4 2 0,1 0 0,-3-1 0,-3-1 0,-4 0 0,-2-1 0,2 3 0,1 0 0,1 1 0,2 1 0,1 0 0,0-1 0,4 2 0,2 0 0,3 0 0,2 1 0,-1 3 0,2 3 0,-1 2 0,0 1 0,1 0 0,-1 0 0,1 1 0,-1-1 0,1 2 0,-1 3 0,0 4 0,0 3 0,0 1 0,-1 0 0,1 0 0,2-3 0,0-4 0,1-2 0,1-3 0,0 1 0,1-1 0,0 1 0,0 0 0,0-1 0,0 2 0,1 1 0,2 2 0,3 1 0,1 1 0,2-1 0,-1-1 0,0-3 0,-1-3 0,0-4 0,-2-2 0,0-2 0,-2-1 0,1 1 0,1-5 0,-2 3 0,0-3 0</inkml:trace>
  <inkml:trace contextRef="#ctx0" brushRef="#br0" timeOffset="2800">4430 309 24575,'-2'-2'0,"-14"14"0,-26 24 0,-4 2 0,-8 6 0,-18 11 0,-7 3-509,16-13 1,-3 1 0,-2 1 508,-9 3 0,-1 0 0,-2 0 0,-2-2 0,0 0 0,-2-1 0,-2-1 0,-1 0 0,0-1 0,3-4 0,0 0 0,2-3 0,9-5 0,2-2 0,1-1 185,-21 6 0,5-4-185,13-7 0,3-4 0,11-5 0,2-3 0,5-2 0,2-3 0,-33 1 0,14-4 1155,11-5-1155,3 0 0,-4 0 0,-10 0 0,-7-2 0,-11-9 0,38 1 0,0-2 0,-4-3 0,-1-3 0,-5-1 0,0-2 0,1-1 0,1 0 0,2-1 0,1 0 0,3-1 0,1-2 0,4 1 0,1-2 0,1 0 0,3-1 0,-29-26 0,13 4 0,13 7 0,10 8 0,5 5 0,2 1 0,0 0 0,-1-1 0,0 2 0,4 3 0,1 2 0,3 1 0,0-3 0,-3-2 0,-1-3 0,0-1 0,0 2 0,0 1 0,0 1 0,1 3 0,0 2 0,3 4 0,3 5 0,3 4 0,3 5 0,2 3 0,2 2 0,1 5 0,2 7 0,-1 9 0,-1 8 0,-1 4 0,-2 1 0,0-1 0,-2-1 0,-1-2 0,1-3 0,2-6 0,4-7 0,2-4 0,2-2 0,1-5 0,0-7 0,0-7 0,0-10 0,3-5 0,2-3 0,2-2 0,2-1 0,0 1 0,-1 1 0,-1 5 0,-1 4 0,-1 3 0,1 4 0,-1 3 0,1 3 0,-1 3 0,0 1 0,1 2 0,0 1 0,1 0 0,0 0 0,0 0 0,1 0 0,5 0 0,8 0 0,11 0 0,10 0 0,5 0 0,6 0 0,6 0 0,2-2 0,-3 0 0,-12-2 0,-15 1 0,-12 1 0,-9 3 0,-6 2 0,-3-1 0,-1 2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10:41.591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3655 1 24575,'-19'1'0,"-14"10"0,-20 14 0,-16 14 0,-1 6 0,1 3 0,7-3 0,0-2 0,-11 4 0,-11 1 0,37-22 0,-2 0 0,-5 1 0,-2 0 0,-2-1 0,-2 1 0,-2 2 0,-1 0 0,-4-1 0,1 0 0,4-3 0,0-1 0,2-1 0,0-1 0,4-2 0,1-2 0,5-1 0,0-2 0,0 1 0,0-2 0,1-2 0,0 0 0,-1-2 0,0 0 0,-1-1 0,0-2 0,-47 5 0,4-6 0,5-3 0,7-2 0,4-1 0,5 0 0,4-1 0,1-6 0,0-8 0,-5-10 0,-17-11 0,42 15 0,-1-1 0,-3 0 0,1-2 0,-2 0 0,1 0 0,4 1 0,1 0 0,-42-21 0,16 6 0,20 6 0,16 6 0,13 6 0,9 4 0,5 5 0,3 3 0,2 1 0,1 3 0,0 1 0,1 3 0,2 5 0,0 3 0,1 3 0,0 1 0,0 0 0,0 1 0,0 0 0,0-1 0,0 0 0,0-2 0,0 2 0,0 0 0,0 0 0,0 0 0,-1-2 0,-2 0 0,0 1 0,0-1 0,1-2 0,0-2 0,1-4 0,0-3 0,1-8 0,0-6 0,0-5 0,0 1 0,0 2 0,0 1 0,0 3 0,0-1 0,1 0 0,2 0 0,1 0 0,1 2 0,0 2 0,2 0 0,-1 1 0,1 2 0,0-1 0,0 1 0,1 0 0,1 0 0,0 0 0,2-2 0,-1 0 0,2 0 0,4 0 0,6-1 0,6 0 0,5 1 0,-1 2 0,-1 0 0,-5 3 0,-5 1 0,-5 2 0,-5 2 0,-6 0 0,-4 1 0,-2 0 0,-2 2 0,0 2 0,-4 1 0,4-2 0,-2-1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20.432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82 0 24575,'-1'3'0,"8"-2"0,5 0 0,5-1 0,0 0 0,-5 2 0,-2 3 0,-2 6 0,1 4 0,-1 2 0,0-1 0,-2-2 0,-3 3 0,-2-1 0,-1 3 0,0 1 0,-2 0 0,-6 0 0,-7-1 0,-8-1 0,-7-3 0,-3-3 0,2-5 0,6-3 0,7-5 0,9-6 0,5-8 0,4-5 0,3-1 0,6 5 0,8 7 0,8 4 0,6 5 0,2 6 0,-4 5 0,-3 3 0,-4 0 0,-3-3 0,-1-4 0,-2-4 0,-1-2 0,-2-1 0,-7 0 0,-1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22.016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100 1 24575,'4'0'0,"3"0"0,5 0 0,-2 0 0,-4 4 0,-4 8 0,-1 8 0,-1 7 0,0 3 0,-2 1 0,-3-2 0,-4-3 0,-3-5 0,-3-5 0,-2-5 0,0-4 0,1-4 0,4-7 0,4-6 0,6-8 0,2-8 0,6 1 0,7 4 0,7 6 0,4 8 0,-5 5 0,-4 6 0,-3 8 0,-3 7 0,-2 7 0,-3-1 0,-1-2 0,-1 0 0,-1-3 0,-1 0 0,0-2 0,0 1 0,-3-2 0,-4 0 0,-5 0 0,-4-3 0,-2 0 0,0-2 0,2-4 0,0-3 0,1-4 0,1-8 0,1-8 0,6 5 0,1-3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23.632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0 0 24575,'0'24'0,"0"1"0,0 0 0,0-5 0,0-6 0,1-5 0,3-2 0,5-6 0,5-6 0,6-6 0,3-5 0,6 0 0,3 1 0,3 6 0,-4 4 0,-5 4 0,-8 1 0,-7-1 0,-4-1 0,-4-2 0,-2 0 0,-1 0 0,-2 1 0,-3 4 0,-3 8 0,-2 8 0,-1 8 0,2 2 0,3-4 0,2-3 0,2-3 0,0-4 0,1-1 0,1-7 0,0-1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16.817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270 108 24575,'0'7'0,"0"3"0,0 6 0,0 8 0,0 10 0,0 14 0,0 9 0,0 2 0,0-7 0,0-16 0,0-11 0,0-15 0,0-5 0</inkml:trace>
  <inkml:trace contextRef="#ctx0" brushRef="#br0" timeOffset="2016">476 5 24575,'-4'-2'0,"-6"0"0,-12 1 0,-17 1 0,-12 0 0,-4 0 0,6 0 0,12 0 0,10 0 0,11 0 0,5 0 0,4 0 0,-2 2 0,-3 4 0,-1 6 0,-3 5 0,0 3 0,-1-1 0,1 0 0,1 1 0,4-1 0,3-2 0,1 0 0,3-4 0,2 0 0,1 0 0,1-1 0,0 2 0,0 0 0,0-2 0,0-1 0,0-1 0,0 1 0,2 1 0,2 0 0,3 2 0,2-1 0,1 3 0,4 2 0,4 3 0,2 2 0,1-1 0,0-2 0,-3-2 0,-1-3 0,-2-2 0,0-2 0,-1-3 0,-2-3 0,0-1 0,-2-1 0,2 0 0,2-2 0,3-1 0,1 0 0,2 0 0,1-1 0,1-6 0,3-9 0,2-10 0,1-7 0,-1-3 0,-3 0 0,-5 0 0,-4 4 0,-6 2 0,-5 4 0,-2 2 0,-2 0 0,0-1 0,-2-1 0,-2-1 0,-4 0 0,-3 4 0,-3 4 0,-1 7 0,-2 6 0,-3 4 0,-3 1 0,0 1 0,1 0 0,2 2 0,2 3 0,4 4 0,7-4 0,2 0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26.516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669 0 24575,'-16'0'0,"-17"0"0,-24 0 0,-30 0 0,35 0 0,-1 0 0,0 0 0,0 0 0,-40 0 0,25 0 0,22 0 0,21 0 0,12 0 0,8 2 0,2 1 0,2 6 0,0 6 0,1 6 0,0 5 0,0-1 0,0-2 0,0-4 0,0-5 0,2-5 0,1-7 0,3-8 0,5-10 0,7-8 0,7-2 0,7 5 0,2 7 0,-2 8 0,-5 5 0,-3 8 0,-3 8 0,-3 8 0,-2 4 0,-5 0 0,-2-2 0,-5-3 0,-3-3 0,-1-2 0,-4-2 0,-3-2 0,-7 0 0,-8-2 0,-6-4 0,-8-2 0,-3-3 0,2-2 0,5-1 0,7-4 0,4-8 0,5-10-1696,3-5 0,7 11 0,2 3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31.416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29 1 24575,'3'3'0,"-1"5"0,-2 17 0,0 42 0,0-7 0,0 9 0,0 22 0,0 8-474,1-21 1,0 4 0,1 2 473,2 5 0,0 2 0,1 0 0,1 3 0,1 0 0,1-1 0,0-1 0,0-2 0,0-1 0,0-9 0,-1-3 0,0-1 172,2 25 1,0-6-173,-1-15 0,0-4 0,-1-11 0,0-3 0,0-3 0,-1-2 0,0-2 0,-2 1 0,0 2 0,-2 0 537,1 3 1,-2-1-538,0 1 0,0-1 0,-1-2 0,0-2 0,0-1 0,0-2 0,0 47 0,0-9 0,1-10 0,3-8 0,-1-4 0,3-2 0,-1-2 0,-1-5 0,1-9 0,-2-12 0,-1-9 0,-1-10 0,-1-5 0,0-3 0,0-2 0,-1-3 0,-2-3 0,-5-3 0,-4-5 0,-2-5 0,-2-5 0,-5-6 0,-4-5 0,-5-5 0,-1-1 0,4 3 0,7 5 0,7 7 0,5 4 0,4 6 0,2 1 0,5 5 0,7 8 0,10 10 0,4 9 0,3 3 0,-4-3 0,-4-5 0,-4-5 0,-5-5 0,-4-4 0,-1-1 0,-3-2 0,0 0 0,1 0 0,0-1 0,0 0 0,-1-1 0,0 1 0,2-2 0,-1 0 0,3-2 0,-1 1 0,2-4 0,4-7 0,6-10 0,7-9 0,5-5 0,-1 2 0,-4 4 0,-6 7 0,-4 7 0,-4 3 0,-4 5 0,-4 2 0,-8 1 0,-8 6 0,-5 3 0,-3 2 0,-2 2 0,-1 1 0,0-1 0,0 1 0,3-3 0,5-3 0,3-3 0,3-2 0,2 1 0,0 1 0,0-1 0,-1 0 0,-1-1 0,1 0 0,0 0 0,2 0 0,0 0 0,1 0 0,2 0 0,2 0 0,1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4:35.399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 0 24575,'0'11'0,"0"15"0,9 28 0,18 31 0,-5-29 0,5 2 0,7 7 0,3 1 0,2 1 0,3 1 0,1 0 0,1-1 0,1 0 0,1 0 0,2 4 0,1 0 0,2 3 0,1 0 0,3 4 0,2 1 0,1 2 0,1-1 0,1-2 0,1-1 0,-1-1 0,-1-1 0,-2-4 0,-2-2 0,-1-3 0,-2-2 0,-5-5 0,0-3 0,-5-5 0,0-2 0,-3-7 0,-1-3 0,30 24 0,4-9 0,7-11 0,-33-22 0,2-1 0,7 1 0,3-1 0,5 0 0,0 0 0,0-1 0,0-1 0,-3-3 0,-2-1 0,-6-1 0,-2-2 0,32 7 0,-11-3 0,-10 0 0,-3-1 0,5 1 0,5 0 0,3-2 0,-4 0 0,-6-1 0,-6 0 0,2 3 0,5 0 0,9 4 0,5 2 0,-7 0 0,-6 1 0,-5 1 0,-1 4 0,2 4 0,-5-2 0,-10-3 0,-12-8 0,-10-4 0,-8-3 0,-3-3 0,-2-1 0,1 1 0,2 0 0,2 2 0,2 0 0,-1-3 0,-1-2 0,-2-4 0,-2-2 0,-5-6 0,-3-10 0,-2-9 0,-3-7 0,-5 1 0,-3 6 0,-3 7 0,-1 7 0,1 11 0,12 26 0,15 20 0,17 17 0,8 2 0,-6-21 0,-12-14 0,-18-17 0,-21-8 0,-19-3 0,-16-2 0,-8-4 0,2-5 0,8-5 0,16-1 0,13 4 0,13 6 0,6 3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6:59:28.102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904 1840 22795,'10'-5'0,"48"2"0,7 1 0,15 1 0,3 1 0,11 0 0,9 0-1565,-28 0 1,4 0 0,5 0 0,3 0-1,4 0 1,4 0 1564,-10 0 0,4 0 0,3 0 0,3 0 0,3 0 0,1 0 0,3 0 0,1 0 0,1 0-172,-17 0 0,3 0 1,1 0-1,1 0 1,2 0-1,1 0 1,1 0-1,1 0 0,0 0 1,1 0-1,0 0 1,-1 0-1,1 0 172,-3 0 0,1 0 0,0 0 0,1 0 0,0 0 0,1 0 0,0 0 0,0 0 0,0 0 0,0 0 0,1 0 0,-1 0 0,-1 0 0,1 0-65,0 0 0,0 0 0,0 0 1,1 0-1,0 0 0,0 0 1,0 0-1,-1 0 0,0 0 1,-1 0-1,0 0 0,-2 0 1,-1 0-1,-1 0 65,11 1 0,0-1 0,-1 0 0,-1 0 0,-1 0 0,-1 0 0,-1 0 0,-1 0 0,-2 0 0,-1 0 0,-1-1-161,5 1 0,-2 0 0,-1-1 0,-2 0 0,-1 1 1,0-1-1,-2 0 0,-1 0 0,1 0 161,2 0 0,-1-1 0,0 1 0,-1-1 0,-1 1 0,-2-1 0,-1 0 0,-3 0 197,9 0 1,-2 0 0,-3 0 0,-1-1 0,-2 1 0,0 0-198,11-1 0,-2 0 0,-1-1 0,-2 1 0,-4 0 624,3 1 0,-3-1 0,-4 1 0,-3-1-624,7 0 0,-5-1 0,-5 0 2083,16-3 0,-9-1-2083,-30 2 0,-7-1 4229,20-5-4229,-33 3 2668,-16 4-2668,-8 0 1005,-5-3-1005,-13-20 0,-19-37 0,-1 0 0,-4-9 0,5 11 0,-2-4 0,0 0 0,-2-5 0,0-1 0,0 1 0,1 3 0,1 1 0,2 4 0,-5-10 0,3 7 0,-13-24 0,16 35 0,10 28 0,3 11 0,-1 5 0,-9 1 0,-31-5 0,-4 2 0,-11-1 0,-5 1 0,-9-2 0,-7 1-677,18 3 0,-4 0 1,-4-1-1,-3 1 0,-1 0 677,-1 1 0,-2 0 0,-3 1 0,-1-1 0,-2 1 0,-1 0-608,5 1 0,-1 1 0,-2-1 0,-1 1 0,0 0 0,-2 0 0,0 1 608,6 0 0,-1 0 0,0 1 0,-2 0 0,1 0 0,-2 0 0,0 0 0,-1 1-410,5-1 0,0 1 1,-2 0-1,0 0 1,0 0-1,0 0 1,-1 1-1,1-1 1,0 0 409,0 0 0,0 0 0,1 1 0,-1-1 0,0 0 0,0 1 0,1-1 0,0 1 0,1 0 0,-9 0 0,1-1 0,0 1 0,0 0 0,1 0 0,1 1 0,1-1 0,2 1-210,-3-1-1,1 1 1,0 0 0,3 0 0,0 0 0,2 1 0,2 0 210,-1 0 0,3 1 0,0 0 0,2 0 0,1 1 0,1-1 98,-9 0 0,2 1 0,0-1 0,2 1 0,1 0-98,-12 0 0,2 0 0,0 0 0,0 0 0,-2 0 0,0 0 0,0 0 0,0 0 0,2 0 0,0 0 0,0 0 0,1 0 0,0-1 0,1 0 0,0-1 0,1 1 461,2-1 0,0 1 1,1-1-1,2 0-461,8 0 0,1 1 0,1-1 0,2 0 1186,-17 0 0,2 0 0,2 1-1186,8 0 0,2 1 0,2 0 0,6 0 0,1 0 0,1 0 1299,-26 0 0,3 0-1299,7 0 0,2 0 1020,2 0 1,2 0-1021,6 0 0,2 0 785,7 0 0,2 0-785,5 0 0,3 0 695,-30 0-695,15 0 0,16 0 0,11 0 0,12 2 0,11 3 0,7 3 0,6 3 0,2 2 0,0 9 0,0 28 0,2-2 0,0 8 0,1 28 0,-1 9 0,1-13 0,0 5 0,0 2-392,1 11 1,1 2 0,0 0 391,2 1 0,2-1 0,0-2 0,1-9 0,2-2 0,0-5 0,6 20 0,1-9 0,-1-24 0,-1-7 0,8 16 0,-6-33 0,-7-25 0,-4-12 1174,-2-4-1174,0-2 0,1-2 0,1 0 0,0 0 0,5-1 0,25-4 0,10 1 0,12 2 0,5 0 0,9 0 0,4 1-475,0-1 1,5 1 0,2 0 0,1 0 474,8 0 0,3-1 0,0 0 0,-1 0 0,-3-1 0,0 0 0,-1 0 0,-3-1-104,11-2 0,-3 0 1,-7-1 103,9-3 0,-10 0 0,-29 3 0,-7 0 0,1-2 0,-34 6 0,-11 3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04:11.820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2552 3 24575,'-6'0'0,"-12"0"0,-52 0 0,13 0 0,-6 0 0,-26 0 0,-8 0 0,21-1 0,-2 0 0,-1 1-271,0 0 0,-1 1 0,0 1 271,1 2 0,0 0 0,2 3 0,8 0 0,3 3 0,2 1 100,-17 7 0,6 4-100,13-2 0,5 3 0,-33 20 0,17 0 0,9 3 0,6 1 613,3 5-613,4-2 0,4-2 0,5-4 0,2-2 0,-6 7 0,-6 8 0,-8 7 0,-5 7 0,6-7 0,7-7 0,13-13 0,15-16 0,10-10 0,7-6 0,3-6 0,2-8 0,1-14 0,1-14 0,0-13 0,0-8 0,0-1 0,1 3 0,1 7 0,0 13 0,-1 11 0,-1 16 0,-1 16 0,-1 13 0,-3 13 0,-1 4 0,-1 1 0,2-4 0,1-3 0,2-5 0,2-2 0,0-2 0,0-3 0,0-5 0,0-4 0,1-5 0,2-5 0,3-4 0,6-8 0,6-6 0,3-6 0,2 0 0,0 5 0,1 4 0,-2 4 0,-2 1 0,-1 2 0,-2 1 0,0 0 0,-2 0 0,-2 0 0,-1 0 0,-2 0 0,-2 0 0,-1 0 0,-2 0 0,0-2 0,1-3 0,1-2 0,-2-1 0,-1 1 0,-3 1 0,-1 2 0,0 2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04:35.770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356 0 24575,'-41'0'0,"-16"0"0,-13 0 0,-2 0 0,13 0 0,24 1 0,16 2 0,17 6 0,9 6 0,3 8 0,2 6 0,0 6 0,1 6 0,0 7 0,-1 9 0,-2 10 0,-3 6 0,-3-3 0,-1-6 0,-1-14 0,0-12 0,-1-11 0,-1-8 0,1-8 0,1-4 0,3-5 0,4-1 0,5-4 0,11-4 0,27-4 0,-5 5 0,6 2 0,14 0 0,4 1 0,8 2 0,1 0 0,-4 1 0,-4 0 0,-17 0 0,-6 0 0,18 0-1696,-30 2 0,-24-2 0,-4 2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6:37.739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101 822 24575,'26'-3'0,"31"1"0,-10 2 0,6 0 0,12 0 0,2 0 0,1 0 0,0 0 0,-6 0 0,-2 0 0,36 0 0,-21 0 0,-10 0 0,-4 0 0,5 0 0,3 2 0,-5 2 0,-10 1 0,-16 1 0,-12-1 0,-8 1 0,-3-2 0,0 0 0,1 0 0,3-2 0,4 0 0,3-1 0,4 1 0,6-1 0,2-1 0,4 0 0,-2 0 0,-5 0 0,-7 0 0,-7 0 0,-6 0 0,-4 0 0,0 0 0,0 0 0,1 0 0,1-1 0,0-2 0,2-3 0,0-2 0,2-3 0,1-2 0,-1-2 0,-2-5 0,-2-3 0,-2-4 0,0-2 0,-2-1 0,-1 1 0,-1 1 0,-3 2 0,-2-2 0,-1-3 0,-3-3 0,-2-2 0,-2 2 0,-1 7 0,2 6 0,0 5 0,0 2 0,0 2 0,-1 0 0,0 0 0,0 2 0,-1 1 0,-1 4 0,0 0 0,-1 0 0,-1 1 0,1 0 0,-1 0 0,1 0 0,-3-1 0,-3 0 0,-8-3 0,-13-6 0,-14-7 0,-22-9 0,-15-7 0,-5-1 0,4 4 0,11 7 0,12 8 0,9 6 0,8 5 0,7 3 0,2 2 0,0 2 0,-1 1 0,-3 0 0,-3 0 0,-5 0 0,-6 0 0,-2 1 0,1 2 0,6 1 0,4 1 0,6 0 0,0-1 0,-3 0 0,0 1 0,0 0 0,4 0 0,6 0 0,8 1 0,7 2 0,7 2 0,4 3 0,3 5 0,0 3 0,-1 1 0,0-3 0,-1-3 0,1 0 0,-2 0 0,1 0 0,0-2 0,-1-1 0,1-1 0,1 0 0,0-2 0,2 0 0,0 0 0,0 1 0,1 1 0,-1 2 0,0 0 0,1 1 0,0 0 0,0 2 0,0 1 0,0 1 0,1 0 0,0-2 0,2-2 0,1-2 0,0 1 0,0-2 0,0-1 0,0 1 0,1 2 0,3 4 0,3 9 0,4 7 0,0 6 0,3 3 0,-1-3 0,0-8 0,-3-11 0,-3-7 0,-2-7 0,-1-3 0,6-3 0,-7-1 0,6 0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6:40.621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42 1 24575,'5'0'0,"3"0"0,2 0 0,1 2 0,0 2 0,-2 2 0,0 2 0,1 0 0,-3 2 0,-3 3 0,-1 4 0,-3 2 0,0 1 0,0 0 0,0-2 0,0 0 0,0 1 0,0 3 0,0 3 0,-3 5 0,-2 5 0,-4 5 0,-1 1 0,1 0 0,3-7 0,3-6 0,2-6 0,1-5 0,0-3 0,0-2 0,3-3 0,2-2 0,3-3 0,4-3 0,4 0 0,3-3 0,1-3 0,-1-1 0,-3-2 0,-4 0 0,-1 1 0,-3 0 0,-1 1 0,-3-1 0,-2 1 0,-1-1 0,-1 0 0,-1 0 0,-5 0 0,-6 1 0,-7 2 0,-7 2 0,-1 1 0,-2 1 0,4 2 0,4 3 0,5 4 0,5 3 0,5 3 0,3 3 0,3 2 0,0 0 0,0 0 0,3 0 0,2-2 0,2 0 0,0-2 0,0-2 0,-2 2 0,-1 9 0,0 11 0,0 16 0,-1 12 0,-1 4 0,-2-6 0,0-14 0,0-17 0,-1-12 0,-1-6 0,-3-5 0,-3-2 0,-2-2 0,1-2 0,1-1 0,0-1 0,0 0 0,0 0 0,0 0 0,2 0 0,1 0 0,1-3 0,1 3 0,2-3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8:54.673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608 0 24575,'-23'0'0,"-12"0"0,-17 0 0,-16 0 0,4 0 0,4 0 0,16 0 0,16 0 0,9 0 0,10 0 0,2 0 0,1 0 0,0 0 0,0 1 0,0 0 0,0 1 0,-1 2 0,0 1 0,-8 0 0,-7 2 0,-6-1 0,-1 0 0,4-1 0,8 0 0,7 0 0,4 1 0,4 2 0,1 2 0,1 5 0,0 4 0,0 5 0,1 1 0,0 1 0,2-1 0,-1-1 0,1-2 0,-1 1 0,0 4 0,-1 7 0,-1 4 0,0 2 0,0-6 0,0-9 0,0-8 0,0-6 0,2-4 0,2-3 0,1-3 0,2-1 0,2 0 0,4 0 0,5 0 0,4 0 0,9 0 0,10 0 0,6 2 0,3 2 0,-3 3 0,-3 0 0,-2-1 0,-1-4 0,-2 0 0,-4-3 0,-5-5 0,-6-8 0,-3-10 0,-4-8 0,-4-2 0,-2-4 0,-5 1 0,-3 1 0,-2 3 0,-1 5 0,0 4 0,-1 4 0,-2 2 0,-1 2 0,-1 5 0,0 4 0,0 2 0,0 2 0,3 1 0,0 0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8:55.889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5115 55 24575,'17'13'0,"15"14"0,13 9 0,8 5 0,-7-6 0,-15-12 0,-10-7 0,-11-6 0,-4-4 0,-4-4 0,0 0 0</inkml:trace>
  <inkml:trace contextRef="#ctx0" brushRef="#br0" timeOffset="700">5364 74 24575,'-18'26'0,"-25"43"0,9-12 0,-4 5 0,-9 15 0,-3 3 0,0 1 0,1-2 0,7-12 0,2-3 0,8-15 0,3-4 0,-3 10 0,14-29 0,15-24 0,3-4 0,0-3 0</inkml:trace>
  <inkml:trace contextRef="#ctx0" brushRef="#br0" timeOffset="1600">4230 1 24575,'0'7'0,"2"10"0,15 18 0,11 15 0,9 9 0,3 0 0,-9-9 0,-6-8 0,-6-10 0,-5-8 0,-2-3 0,2-4 0,-1 0 0,0-4 0,-3-4 0,-4-4 0,-2-3 0</inkml:trace>
  <inkml:trace contextRef="#ctx0" brushRef="#br0" timeOffset="2517">4481 19 24575,'-1'14'0,"-10"23"0,-18 32 0,7-22 0,-1 3 0,-2 0 0,0 0 0,-19 39 0,12-23 0,9-21 0,7-14 0,7-14 0,4-8 0,4-6 0,0-1 0</inkml:trace>
  <inkml:trace contextRef="#ctx0" brushRef="#br0" timeOffset="4017">2957 50 24575,'11'0'0,"1"0"0,4 0 0,8 0 0,18 0 0,36 0 0,-26 0 0,2 0 0,5 0 0,0 0 0,-4 0 0,-3 0 0,23 0 0,-27 0 0,-26-1 0,-17 0 0,-3 0 0,-5 0 0</inkml:trace>
  <inkml:trace contextRef="#ctx0" brushRef="#br0" timeOffset="5017">2057 92 24575,'27'0'0,"21"0"0,26 0 0,15 0 0,-3-1 0,-20-1 0,-19 1 0,-19-1 0,-16 2 0,-6 0 0</inkml:trace>
  <inkml:trace contextRef="#ctx0" brushRef="#br0" timeOffset="5917">986 82 24575,'4'2'0,"22"0"0,33-2 0,29 0 0,-37 0 0,0 0 0,40 0 0,-29 0 0,-30 0 0,-19 0 0</inkml:trace>
  <inkml:trace contextRef="#ctx0" brushRef="#br0" timeOffset="6950">1 81 24575,'42'0'0,"21"0"0,17 0 0,5 0 0,-17 0 0,-26 0 0,-18 0 0,-15 0 0,-6 0 0,-2 0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09.155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0 314 24575,'37'0'0,"56"0"0,-5 0 0,13 0-886,-17 0 0,5 0 0,2 0 886,-15 0 0,3 0 0,0 0 0,-2 0 0,21 0 0,-1 0 0,-4 0 172,-13 0 1,-4 0 0,-2 0-173,22 0 0,-6 0 256,-18 0 1,0 0-257,10 0 0,4 0 0,10 0 0,6 0-381,-22 0 1,4 0 0,2 0 380,10 0 0,2 0 0,-1 0 0,-5 0 0,0 0 0,-3 0 356,-6 0 1,-1 0 0,-5 0-357,18 0 0,-7 0 125,-17-1 1,-3 0-126,-9 0 0,-3 0 0,-5-1 0,-1 1 0,48-3 1226,-2 2-1226,-44 0 0,1 0 110,0 0 1,-1 1-111,0-1 0,-1 1 0,0 0 0,-1 0 0,41 1 0,-10 0 0,-14 0 0,-20 0 0,-16 0 0,-14-2 0,-10-7 0,-5-13 0,-1-15 0,-1-11 0,-2-1 0,-2 10 0,-5 13 0,-4 12 0,-3 6 0,-2 3 0,-1 0 0,1-1 0,1 0 0,2 1 0,0 1 0,1 1 0,2 2 0,1 1 0,3 0 0,0 0 0,0 0 0,3 0 0,4 0 0,7 1 0,8 3 0,8 5 0,21 11 0,33 17 0,-16-8 0,5 4 0,14 5 0,4 3 0,5 2 0,0 1 0,-8-4 0,-4-2 0,-18-9 0,-6-3 0,14 10 0,-37-16 0,-18-9 0,-8-4 0,-4-1 0,-5 0 0,-4 2 0,-14 4 0,-17 7 0,-17 11 0,-16 9 0,-6 2 0,6-5 0,14-10 0,21-10 0,17-8 0,13-5 0,5-2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37.005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1 261 24575,'13'1'0,"17"8"0,14 8 0,15 9 0,5 6 0,-4 2 0,0 3 0,-9-2 0,-5-3 0,-7-5 0,-9-6 0,-7-5 0,-2-4 0,-3 1 0,-3-2 0,0-1 0,-4-2 0,-2-2 0,-3-2 0,-3 1 0,-1-1 0,-2 0 0,0 1 0,0 0 0,0 1 0,0-3 0,0-1 0</inkml:trace>
  <inkml:trace contextRef="#ctx0" brushRef="#br0" timeOffset="1683">482 1 24575,'-4'11'0,"-13"23"0,-13 21 0,-12 20 0,-5 6 0,8-15 0,8-14 0,10-18 0,8-12 0,6-7 0,2-2 0,0-2 0,-1 2 0,-1 1 0,0 2 0,-2 1 0,0 1 0,1 1 0,-1 0 0,0-1 0,1-2 0,0-3 0,2-2 0,1-2 0,0 0 0,2-2 0,0-2 0,-1 0 0,2 0 0,-1 0 0,0 0 0,1-1 0,0-1 0,1 2 0,0-1 0,-1 2 0,0 2 0,-1 1 0,1 0 0,-1 1 0,1-1 0,-1 1 0,-1-1 0,-3 4 0,-1 3 0,-1 3 0,-1 0 0,1-3 0,3-5 0,1-4 0,3-5 0,-1-6 0,2 1 0,1-3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47.222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107 1 24575,'4'0'0,"0"0"0,0 1 0,-1 2 0,-2 2 0,0 3 0,-1 1 0,0 4 0,-3 4 0,-3 2 0,-3 1 0,-4 2 0,0 1 0,1-1 0,-1-1 0,2-5 0,-1-2 0,2-4 0,2-3 0,0-3 0,3-4 0,4-4 0,9-6 0,11-4 0,10-3 0,6 2 0,-2 7 0,-6 4 0,-7 5 0,-5 3 0,-5 4 0,-2-1 0,-1-1 0,-3-4 0,-3-1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42.738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1052 100 24575,'0'9'0,"0"0"0,0 0 0,0-3 0,0-1 0,0 0 0,0-1 0,0 0 0,0 1 0,0-1 0,0-1 0,0-4 0,0-5 0,1-7 0,4-6 0,3-4 0,6 0 0,4 1 0,-1 3 0,0 3 0,-2 5 0,-4 5 0,-3 3 0,-1 3 0,-2 1 0,-1 4 0,0 2 0,-1 5 0,-1 2 0,-1 0 0,-1 0 0,0 1 0,0-2 0,0 0 0,0-1 0,0-1 0,0-1 0,0 0 0,0-1 0,0 0 0,-3 1 0,-2-1 0,-5 1 0,-2-1 0,-2 1 0,0-2 0,1-2 0,1-2 0,5-1 0,4-3 0,6-3 0,10-5 0,7-2 0,6-4 0,1-1 0,1 1 0,-1 0 0,-1 2 0,-3 2 0,-3 2 0,-4 3 0,-3 2 0,-4 2 0,-4 0 0,-2 1 0</inkml:trace>
  <inkml:trace contextRef="#ctx0" brushRef="#br0" timeOffset="2101">2 467 24575,'0'-3'0,"-1"10"0,11 8 0,24 16 0,27 12 0,23 6 0,-38-22 0,0-1 0,0 2 0,-3-1 0,32 19 0,-18-7 0,-21-13 0,-15-12 0,-13-8 0,-3-3 0</inkml:trace>
  <inkml:trace contextRef="#ctx0" brushRef="#br0" timeOffset="2900">410 505 24575,'0'13'0,"-9"16"0,-11 17 0,-11 17 0,-7 9 0,7-12 0,7-12 0,10-18 0,6-11 0,2-7 0,1-4 0,2-4 0,1-2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48.989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14 1 24575,'-3'0'0,"7"0"0,13 0 0,12 0 0,6 0 0,-3 0 0,-8 0 0,-9 1 0,-9 2 0,-8 6 0,-7 6 0,-8 6 0,-4 5 0,-2 2 0,1-1 0,6-7 0,5-10 0,6-12 0,9-8 0,6-3 0,6 2 0,2 6 0,0 3 0,-2 2 0,-2 1 0,-3 3 0,-1 4 0,-2 5 0,-2 1 0,-3-2 0,-1-2 0,-1 0 0,-1-1 0,0 0 0,-2 1 0,-6 0 0,-4-1 0,-8 2 0,-4-1 0,-1-1 0,1-3 0,3-3 0,4-5 0,4-3 0,5-4 0,2-3 0,4 5 0,1 0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51.289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0 0 24575,'0'11'0,"0"3"0,0 7 0,0 4 0,0 0 0,0-1 0,0-2 0,0-3 0,0-3 0,1-4 0,4-6 0,4-5 0,6-7 0,3-3 0,3-3 0,0 2 0,-3 3 0,-2 3 0,-3 1 0,-2 1 0,-1 0 0,-2-1 0,-3 1 0,-3-1 0,-1 0 0,0-4 0,-1-1 0,0-2 0,0 2 0,0 3 0,0 5 0,0 5 0,0 5 0,0 3 0,0 1 0,0-1 0,-1-1 0,0 0 0,-1 0 0,0 0 0,0 1 0,0 0 0,1-1 0,-1-1 0,1-2 0,1 1 0,0-1 0,-1 0 0,-1 0 0,1-2 0,0-2 0,1-3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54.655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 0 24575,'21'9'0,"6"8"0,5 12 0,2 7 0,-5 1 0,-4-3 0,-4-4 0,1-2 0,3 0 0,1-4 0,0-3 0,-5-4 0,-5-7 0,-4-4 0,-6-1 0,-2-3 0,-3-1 0,-1-1 0</inkml:trace>
  <inkml:trace contextRef="#ctx0" brushRef="#br0" timeOffset="900">196 39 24575,'-9'12'0,"-6"8"0,-6 9 0,-6 8 0,2 1 0,4-7 0,6-8 0,6-9 0,3-6 0,2-3 0,2-2 0,-1 0 0,2-2 0,0 0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52.638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 48 24575,'5'10'0,"10"7"0,13 9 0,4 3 0,0-3 0,-9-6 0,-9-9 0,-7-6 0,-5-2 0</inkml:trace>
  <inkml:trace contextRef="#ctx0" brushRef="#br0" timeOffset="750">193 0 24575,'-12'6'0,"-8"12"0,-8 9 0,-4 7 0,4-4 0,14-14 0,5-7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29:58.172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150 0 24575,'-5'0'0,"-3"0"0,-6 0 0,-3 0 0,-3 1 0,1 1 0,4 2 0,2 1 0,4-1 0,3 1 0,3 1 0,2 1 0,1 1 0,0 1 0,0 0 0,0 0 0,0 1 0,1-2 0,3-2 0,1-2 0,2-2 0,0-1 0,1-1 0,0 0 0,1-1 0,3-3 0,2-1 0,2-1 0,0 0 0,-2 2 0,1 1 0,-3 2 0,0 1 0,-1 0 0,-2 0 0,0 2 0,-1 2 0,-3 3 0,-2 2 0,-2 1 0,-1 2 0,0 0 0,0 2 0,-2-1 0,-1 0 0,-4 0 0,-3 1 0,-2-2 0,0 1 0,-1-3 0,-1-2 0,-1-2 0,-2-3 0,-2-2 0,-1-1 0,1 0 0,2-2 0,4-3 0,2-2 0,3-3-1696,1-5 0,4 7 0,-1-1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30:03.289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30 91 24575,'30'-3'0,"21"1"0,27 2 0,15 0 0,-3 0 0,-19 0 0,-22 0 0,-27 0 0,-13 0 0</inkml:trace>
  <inkml:trace contextRef="#ctx0" brushRef="#br0" timeOffset="1200">92 1 24575,'-10'0'0,"-2"0"0,-2 1 0,-2 3 0,3 1 0,1 2 0,5-1 0,2-1 0,3 0 0,2-1 0,0 0 0,0 0 0,0 2 0,0 0 0,0 2 0,1-1 0,1 1 0,4 0 0,1 1 0,3 0 0,3 1 0,1 0 0,3 0 0,-1 0 0,-1-1 0,-3 1 0,-1 0 0,-4-1 0,-2-1 0,-2-4 0,-2-1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30:05.822"/>
    </inkml:context>
    <inkml:brush xml:id="br0">
      <inkml:brushProperty name="width" value="0.025" units="cm"/>
      <inkml:brushProperty name="height" value="0.025" units="cm"/>
      <inkml:brushProperty name="color" value="#FF0066"/>
    </inkml:brush>
  </inkml:definitions>
  <inkml:trace contextRef="#ctx0" brushRef="#br0">108 75 24575,'3'0'0,"10"0"0,16 0 0,18 0 0,11 0 0,-2 0 0,-9 0 0,-19 0 0,-11 0 0,-7 0 0,-6 0 0,0 0 0</inkml:trace>
  <inkml:trace contextRef="#ctx0" brushRef="#br0" timeOffset="1467">100 3 24575,'-10'-2'0,"-7"2"0,-8 6 0,1 0 0,7-1 0,11-3 0,9-2 0,8 0 0,3 0 0,4 0 0,1 1 0,0 2 0,-1 2 0,-1 3 0,-4 0 0,-2 2 0,-2-1 0,1 0 0,-2 1 0,-1-1 0,-1 0 0,-1 1 0,-1 0 0,0 3 0,-1 5 0,0 4 0,0 4 0,-2-1 0,-1-2 0,0-3 0,0-5 0,-1-6 0,-2-3 0,-3-7 0,-4-7 0,-1-7 0,4 5 0,2-1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7T17:30:51.273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833 631 24575,'95'0'0,"-38"0"0,5 0 0,22 0 0,5 0 0,6 0 0,1 0 0,-7 0 0,-2 0 0,-6 0 0,-2 0 0,-14 0 0,-3 0 0,-4 0 0,-2 0 0,-3 0 0,-1 0 0,46 0 0,-3-4 0,-15-5 0,-12-5 0,-17-3 0,-18 0 0,-13 4 0,-10 2 0,-6 1 0,-3-1 0,-1-2 0,-1 0 0,-3 0 0,-1 0 0,-3 1 0,1 0 0,0 0 0,1 1 0,2 1 0,0-1 0,2 2 0,-1 0 0,1-1 0,0 0 0,-2-2 0,0-2 0,-2-2 0,-2-3 0,-5-8 0,-7-11 0,-8-12 0,-7-8 0,-3 5 0,2 12 0,6 16 0,5 15 0,3 7 0,-1 2 0,-7 3 0,-15 2 0,-30-1 0,20-1 0,-4-1 0,-13-1 0,-4 0 0,-7 1 0,-2 0 0,-1 0 0,0 1 0,5 0 0,1 0 0,7 0 0,2 0 0,8-1 0,3 0 0,4 0 0,1 0 0,2-1 0,0 0 0,-3 0 0,-1 0 0,-1 0 0,0 0 0,1 0 0,-1 1 0,2 0 0,1 0 0,3 0 0,1 0 0,-43 1 0,22-2 0,24 1 0,24 1 0,14 2 0,8 4 0,2 3 0,3 5 0,2 5 0,4 4 0,2 3 0,0 1 0,1 3 0,5 10 0,7 19 0,10 25 0,-14-34 0,1 2 0,0 2 0,-1-1 0,0-3 0,-1-3 0,14 25 0,-5-27 0,-4-23 0,2-15 0,11-5 0,24-3 0,-8-3 0,8-3 0,18-1 0,7-2 0,-20 0 0,3 0 0,0-1 0,2-1 0,1 0 0,-2 0 0,22-4 0,-5 1 0,-16 2 0,-6 1 0,20-4 0,-37 6 0,-28 4 0,-12 3 0,-7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8C940-2B8F-AD45-98F3-A296B7F7DA93}">
  <dimension ref="B5:F63"/>
  <sheetViews>
    <sheetView tabSelected="1" topLeftCell="A50" zoomScale="185" workbookViewId="0">
      <selection activeCell="B64" sqref="B64"/>
    </sheetView>
  </sheetViews>
  <sheetFormatPr baseColWidth="10" defaultRowHeight="16" x14ac:dyDescent="0.2"/>
  <cols>
    <col min="7" max="7" width="19.33203125" customWidth="1"/>
  </cols>
  <sheetData>
    <row r="5" spans="3:6" x14ac:dyDescent="0.2">
      <c r="C5" t="s">
        <v>0</v>
      </c>
    </row>
    <row r="8" spans="3:6" x14ac:dyDescent="0.2">
      <c r="C8" t="s">
        <v>1</v>
      </c>
    </row>
    <row r="12" spans="3:6" x14ac:dyDescent="0.2">
      <c r="F12" s="1"/>
    </row>
    <row r="13" spans="3:6" x14ac:dyDescent="0.2">
      <c r="C13" s="3">
        <v>46049</v>
      </c>
      <c r="D13" s="1">
        <v>46049</v>
      </c>
    </row>
    <row r="15" spans="3:6" x14ac:dyDescent="0.2">
      <c r="F15" s="1"/>
    </row>
    <row r="16" spans="3:6" x14ac:dyDescent="0.2">
      <c r="C16" s="4" t="s">
        <v>2</v>
      </c>
      <c r="D16" s="4"/>
      <c r="E16" s="4"/>
    </row>
    <row r="17" spans="2:5" x14ac:dyDescent="0.2">
      <c r="C17" s="4" t="s">
        <v>3</v>
      </c>
      <c r="D17" s="4"/>
      <c r="E17" s="4"/>
    </row>
    <row r="22" spans="2:5" x14ac:dyDescent="0.2">
      <c r="B22" s="11" t="s">
        <v>6</v>
      </c>
      <c r="D22" t="s">
        <v>7</v>
      </c>
    </row>
    <row r="23" spans="2:5" x14ac:dyDescent="0.2">
      <c r="B23" s="11"/>
    </row>
    <row r="24" spans="2:5" x14ac:dyDescent="0.2">
      <c r="B24" s="11" t="s">
        <v>9</v>
      </c>
      <c r="D24" t="s">
        <v>10</v>
      </c>
    </row>
    <row r="25" spans="2:5" x14ac:dyDescent="0.2">
      <c r="B25" s="11"/>
    </row>
    <row r="26" spans="2:5" x14ac:dyDescent="0.2">
      <c r="B26" s="11" t="s">
        <v>13</v>
      </c>
      <c r="D26" t="s">
        <v>18</v>
      </c>
    </row>
    <row r="27" spans="2:5" x14ac:dyDescent="0.2">
      <c r="B27" s="11"/>
    </row>
    <row r="28" spans="2:5" x14ac:dyDescent="0.2">
      <c r="B28" s="11" t="s">
        <v>14</v>
      </c>
      <c r="D28" t="s">
        <v>15</v>
      </c>
    </row>
    <row r="29" spans="2:5" x14ac:dyDescent="0.2">
      <c r="B29" s="11"/>
    </row>
    <row r="30" spans="2:5" x14ac:dyDescent="0.2">
      <c r="B30" s="11" t="s">
        <v>16</v>
      </c>
      <c r="D30" t="s">
        <v>17</v>
      </c>
    </row>
    <row r="31" spans="2:5" x14ac:dyDescent="0.2">
      <c r="B31" s="11"/>
    </row>
    <row r="32" spans="2:5" x14ac:dyDescent="0.2">
      <c r="B32" s="11"/>
    </row>
    <row r="33" spans="2:4" x14ac:dyDescent="0.2">
      <c r="B33" s="11" t="s">
        <v>19</v>
      </c>
      <c r="D33" t="s">
        <v>22</v>
      </c>
    </row>
    <row r="34" spans="2:4" x14ac:dyDescent="0.2">
      <c r="B34" s="11"/>
    </row>
    <row r="35" spans="2:4" x14ac:dyDescent="0.2">
      <c r="B35" s="11" t="s">
        <v>20</v>
      </c>
      <c r="D35" t="s">
        <v>23</v>
      </c>
    </row>
    <row r="36" spans="2:4" x14ac:dyDescent="0.2">
      <c r="B36" s="11"/>
    </row>
    <row r="37" spans="2:4" x14ac:dyDescent="0.2">
      <c r="B37" s="11" t="s">
        <v>21</v>
      </c>
      <c r="D37" t="s">
        <v>24</v>
      </c>
    </row>
    <row r="38" spans="2:4" x14ac:dyDescent="0.2">
      <c r="B38" s="11"/>
    </row>
    <row r="39" spans="2:4" x14ac:dyDescent="0.2">
      <c r="B39" s="11" t="s">
        <v>27</v>
      </c>
      <c r="D39" t="s">
        <v>32</v>
      </c>
    </row>
    <row r="40" spans="2:4" x14ac:dyDescent="0.2">
      <c r="B40" s="11"/>
    </row>
    <row r="41" spans="2:4" x14ac:dyDescent="0.2">
      <c r="B41" s="11" t="s">
        <v>28</v>
      </c>
      <c r="D41" t="s">
        <v>33</v>
      </c>
    </row>
    <row r="42" spans="2:4" x14ac:dyDescent="0.2">
      <c r="B42" s="11"/>
    </row>
    <row r="43" spans="2:4" x14ac:dyDescent="0.2">
      <c r="B43" s="11" t="s">
        <v>29</v>
      </c>
      <c r="D43" t="s">
        <v>34</v>
      </c>
    </row>
    <row r="44" spans="2:4" x14ac:dyDescent="0.2">
      <c r="B44" s="11"/>
    </row>
    <row r="45" spans="2:4" x14ac:dyDescent="0.2">
      <c r="B45" s="11" t="s">
        <v>30</v>
      </c>
      <c r="D45" t="s">
        <v>35</v>
      </c>
    </row>
    <row r="46" spans="2:4" x14ac:dyDescent="0.2">
      <c r="B46" s="11"/>
    </row>
    <row r="47" spans="2:4" x14ac:dyDescent="0.2">
      <c r="B47" s="11" t="s">
        <v>36</v>
      </c>
      <c r="D47" t="s">
        <v>40</v>
      </c>
    </row>
    <row r="48" spans="2:4" x14ac:dyDescent="0.2">
      <c r="B48" s="11"/>
    </row>
    <row r="49" spans="2:4" x14ac:dyDescent="0.2">
      <c r="B49" s="11" t="s">
        <v>37</v>
      </c>
      <c r="D49" t="s">
        <v>41</v>
      </c>
    </row>
    <row r="51" spans="2:4" x14ac:dyDescent="0.2">
      <c r="B51" t="s">
        <v>38</v>
      </c>
      <c r="D51" t="s">
        <v>45</v>
      </c>
    </row>
    <row r="53" spans="2:4" x14ac:dyDescent="0.2">
      <c r="B53" t="s">
        <v>39</v>
      </c>
      <c r="D53" t="s">
        <v>48</v>
      </c>
    </row>
    <row r="55" spans="2:4" x14ac:dyDescent="0.2">
      <c r="B55" t="s">
        <v>50</v>
      </c>
      <c r="D55" t="s">
        <v>53</v>
      </c>
    </row>
    <row r="57" spans="2:4" x14ac:dyDescent="0.2">
      <c r="B57" t="s">
        <v>55</v>
      </c>
      <c r="D57" t="s">
        <v>56</v>
      </c>
    </row>
    <row r="59" spans="2:4" x14ac:dyDescent="0.2">
      <c r="B59" t="s">
        <v>57</v>
      </c>
      <c r="D59" t="s">
        <v>62</v>
      </c>
    </row>
    <row r="61" spans="2:4" x14ac:dyDescent="0.2">
      <c r="B61" t="s">
        <v>63</v>
      </c>
      <c r="D61" t="s">
        <v>64</v>
      </c>
    </row>
    <row r="63" spans="2:4" x14ac:dyDescent="0.2">
      <c r="B63" t="s">
        <v>65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7A74-3659-504E-8F78-422222B1675E}">
  <dimension ref="A5:J231"/>
  <sheetViews>
    <sheetView topLeftCell="A217" zoomScale="187" workbookViewId="0">
      <selection activeCell="B229" sqref="B229"/>
    </sheetView>
  </sheetViews>
  <sheetFormatPr baseColWidth="10" defaultRowHeight="16" x14ac:dyDescent="0.2"/>
  <cols>
    <col min="2" max="2" width="23.83203125" customWidth="1"/>
    <col min="3" max="3" width="22.33203125" customWidth="1"/>
    <col min="4" max="4" width="24.33203125" customWidth="1"/>
    <col min="5" max="5" width="15.33203125" bestFit="1" customWidth="1"/>
    <col min="7" max="7" width="21" bestFit="1" customWidth="1"/>
    <col min="8" max="8" width="25.1640625" customWidth="1"/>
    <col min="9" max="9" width="20.33203125" customWidth="1"/>
  </cols>
  <sheetData>
    <row r="5" spans="3:9" x14ac:dyDescent="0.2">
      <c r="C5" t="s">
        <v>4</v>
      </c>
      <c r="F5" t="s">
        <v>12</v>
      </c>
    </row>
    <row r="6" spans="3:9" x14ac:dyDescent="0.2">
      <c r="C6" s="4">
        <v>1</v>
      </c>
      <c r="D6" s="4"/>
      <c r="E6" s="6">
        <v>1</v>
      </c>
      <c r="H6" s="7">
        <f ca="1">NOW()</f>
        <v>46049.959447569447</v>
      </c>
      <c r="I6" s="3">
        <f ca="1">NOW()</f>
        <v>46049.959447569447</v>
      </c>
    </row>
    <row r="7" spans="3:9" x14ac:dyDescent="0.2">
      <c r="C7">
        <v>17</v>
      </c>
      <c r="E7" s="1">
        <v>17</v>
      </c>
    </row>
    <row r="8" spans="3:9" x14ac:dyDescent="0.2">
      <c r="C8" s="4">
        <v>46049</v>
      </c>
      <c r="D8" s="4"/>
      <c r="E8" s="6">
        <v>46049</v>
      </c>
    </row>
    <row r="9" spans="3:9" x14ac:dyDescent="0.2">
      <c r="G9" s="1">
        <v>46049</v>
      </c>
      <c r="I9" t="s">
        <v>11</v>
      </c>
    </row>
    <row r="10" spans="3:9" x14ac:dyDescent="0.2">
      <c r="C10" s="4">
        <v>46149</v>
      </c>
      <c r="E10" s="6">
        <v>46149</v>
      </c>
    </row>
    <row r="11" spans="3:9" x14ac:dyDescent="0.2">
      <c r="H11" s="8">
        <v>46049.75</v>
      </c>
      <c r="I11" s="3">
        <v>46049.75</v>
      </c>
    </row>
    <row r="12" spans="3:9" x14ac:dyDescent="0.2">
      <c r="C12" t="s">
        <v>5</v>
      </c>
      <c r="E12" s="1">
        <f ca="1">TODAY()</f>
        <v>46049</v>
      </c>
    </row>
    <row r="13" spans="3:9" x14ac:dyDescent="0.2">
      <c r="G13" s="1">
        <v>45091</v>
      </c>
    </row>
    <row r="14" spans="3:9" x14ac:dyDescent="0.2">
      <c r="C14" t="s">
        <v>8</v>
      </c>
      <c r="E14" s="7">
        <f ca="1">NOW()</f>
        <v>46049.959447569447</v>
      </c>
    </row>
    <row r="16" spans="3:9" x14ac:dyDescent="0.2">
      <c r="C16" s="4"/>
      <c r="D16" s="4"/>
      <c r="E16" s="4"/>
      <c r="F16" s="4"/>
    </row>
    <row r="18" spans="3:7" x14ac:dyDescent="0.2">
      <c r="C18" t="s">
        <v>13</v>
      </c>
    </row>
    <row r="20" spans="3:7" x14ac:dyDescent="0.2">
      <c r="C20" s="6">
        <v>1</v>
      </c>
      <c r="E20">
        <f>YEAR(1)</f>
        <v>1900</v>
      </c>
    </row>
    <row r="22" spans="3:7" x14ac:dyDescent="0.2">
      <c r="G22" s="1">
        <f>DATE(E20,E25,E30)</f>
        <v>128</v>
      </c>
    </row>
    <row r="23" spans="3:7" x14ac:dyDescent="0.2">
      <c r="C23" t="s">
        <v>14</v>
      </c>
    </row>
    <row r="25" spans="3:7" x14ac:dyDescent="0.2">
      <c r="C25" s="6">
        <v>122</v>
      </c>
      <c r="E25">
        <f>MONTH(C25)</f>
        <v>5</v>
      </c>
    </row>
    <row r="28" spans="3:7" x14ac:dyDescent="0.2">
      <c r="C28" t="s">
        <v>16</v>
      </c>
    </row>
    <row r="30" spans="3:7" x14ac:dyDescent="0.2">
      <c r="C30" s="6">
        <v>140</v>
      </c>
      <c r="E30">
        <f>DAY(C10)</f>
        <v>7</v>
      </c>
    </row>
    <row r="33" spans="2:7" x14ac:dyDescent="0.2">
      <c r="B33" s="4"/>
      <c r="C33" s="4"/>
      <c r="D33" s="4"/>
      <c r="E33" s="4"/>
      <c r="F33" s="4"/>
      <c r="G33" s="4"/>
    </row>
    <row r="36" spans="2:7" x14ac:dyDescent="0.2">
      <c r="C36" s="4" t="s">
        <v>25</v>
      </c>
    </row>
    <row r="38" spans="2:7" x14ac:dyDescent="0.2">
      <c r="B38" s="8">
        <f ca="1">NOW()</f>
        <v>46049.959447569447</v>
      </c>
      <c r="C38">
        <v>46049.75</v>
      </c>
      <c r="E38">
        <f ca="1">HOUR(NOW())</f>
        <v>23</v>
      </c>
    </row>
    <row r="41" spans="2:7" x14ac:dyDescent="0.2">
      <c r="C41" s="9" t="s">
        <v>20</v>
      </c>
      <c r="G41" s="10">
        <f ca="1">TIME(E38,E43,E48)</f>
        <v>0.95944444444444443</v>
      </c>
    </row>
    <row r="43" spans="2:7" x14ac:dyDescent="0.2">
      <c r="C43" s="7">
        <f ca="1">NOW()</f>
        <v>46049.959447569447</v>
      </c>
      <c r="E43">
        <f ca="1">MINUTE(NOW())</f>
        <v>1</v>
      </c>
    </row>
    <row r="46" spans="2:7" x14ac:dyDescent="0.2">
      <c r="C46" s="4" t="s">
        <v>26</v>
      </c>
    </row>
    <row r="48" spans="2:7" x14ac:dyDescent="0.2">
      <c r="E48">
        <f ca="1">SECOND(NOW())</f>
        <v>36</v>
      </c>
    </row>
    <row r="50" spans="2:6" x14ac:dyDescent="0.2">
      <c r="B50" s="4"/>
      <c r="C50" s="4"/>
      <c r="D50" s="4"/>
      <c r="E50" s="4"/>
      <c r="F50" s="4"/>
    </row>
    <row r="52" spans="2:6" x14ac:dyDescent="0.2">
      <c r="B52" t="s">
        <v>31</v>
      </c>
    </row>
    <row r="53" spans="2:6" x14ac:dyDescent="0.2">
      <c r="C53" s="1">
        <f ca="1">EDATE(TODAY(),4)</f>
        <v>46169</v>
      </c>
      <c r="E53" t="str">
        <f>"=EDATE(TODAY(),5)"</f>
        <v>=EDATE(TODAY(),5)</v>
      </c>
    </row>
    <row r="56" spans="2:6" x14ac:dyDescent="0.2">
      <c r="B56" t="s">
        <v>28</v>
      </c>
    </row>
    <row r="59" spans="2:6" x14ac:dyDescent="0.2">
      <c r="C59" s="1">
        <f ca="1">EOMONTH(TODAY(),-5)</f>
        <v>45900</v>
      </c>
      <c r="E59" t="str">
        <f>"=EOMONTH(TODAY(),4)"</f>
        <v>=EOMONTH(TODAY(),4)</v>
      </c>
    </row>
    <row r="61" spans="2:6" x14ac:dyDescent="0.2">
      <c r="B61" s="4"/>
      <c r="C61" s="4"/>
      <c r="D61" s="4"/>
      <c r="E61" s="4"/>
      <c r="F61" s="4"/>
    </row>
    <row r="64" spans="2:6" x14ac:dyDescent="0.2">
      <c r="E64" s="1"/>
    </row>
    <row r="65" spans="2:5" x14ac:dyDescent="0.2">
      <c r="B65" t="s">
        <v>29</v>
      </c>
      <c r="D65">
        <f>DATEVALUE("31/07/2025")</f>
        <v>45869</v>
      </c>
    </row>
    <row r="68" spans="2:5" x14ac:dyDescent="0.2">
      <c r="C68" s="7">
        <f ca="1">NOW()</f>
        <v>46049.959447569447</v>
      </c>
      <c r="D68" s="8">
        <v>46049.918391203704</v>
      </c>
      <c r="E68" s="3">
        <f ca="1">NOW()</f>
        <v>46049.959447569447</v>
      </c>
    </row>
    <row r="70" spans="2:5" x14ac:dyDescent="0.2">
      <c r="B70" t="s">
        <v>30</v>
      </c>
    </row>
    <row r="72" spans="2:5" x14ac:dyDescent="0.2">
      <c r="D72">
        <f>TIMEVALUE("27/01/2026  22:02:29")</f>
        <v>0.91839120370423188</v>
      </c>
    </row>
    <row r="75" spans="2:5" x14ac:dyDescent="0.2">
      <c r="B75" s="7">
        <f ca="1">NOW()</f>
        <v>46049.959447569447</v>
      </c>
      <c r="D75">
        <f>DATEVALUE("27/01/2026 22:04")</f>
        <v>46049</v>
      </c>
      <c r="E75">
        <f>TIMEVALUE("27/01/2026 22:04")</f>
        <v>0.91944444444379769</v>
      </c>
    </row>
    <row r="78" spans="2:5" x14ac:dyDescent="0.2">
      <c r="C78">
        <f>D75+E75</f>
        <v>46049.919444444444</v>
      </c>
      <c r="E78" s="8">
        <v>46049.919444444444</v>
      </c>
    </row>
    <row r="81" spans="2:5" x14ac:dyDescent="0.2">
      <c r="B81" s="4"/>
      <c r="C81" s="4"/>
      <c r="D81" s="4"/>
      <c r="E81" s="4"/>
    </row>
    <row r="85" spans="2:5" x14ac:dyDescent="0.2">
      <c r="B85" t="s">
        <v>36</v>
      </c>
      <c r="C85" s="1">
        <f>DATE(2003,2,8)</f>
        <v>37660</v>
      </c>
      <c r="D85" t="s">
        <v>42</v>
      </c>
    </row>
    <row r="88" spans="2:5" x14ac:dyDescent="0.2">
      <c r="B88" t="s">
        <v>37</v>
      </c>
      <c r="C88" s="8">
        <f>TIME(21,40,12)</f>
        <v>0.9029166666666667</v>
      </c>
      <c r="D88" t="s">
        <v>43</v>
      </c>
    </row>
    <row r="92" spans="2:5" x14ac:dyDescent="0.2">
      <c r="B92" s="4"/>
      <c r="C92" s="4"/>
      <c r="D92" s="4"/>
      <c r="E92" s="4"/>
    </row>
    <row r="94" spans="2:5" x14ac:dyDescent="0.2">
      <c r="B94" t="s">
        <v>38</v>
      </c>
    </row>
    <row r="97" spans="1:4" x14ac:dyDescent="0.2">
      <c r="B97" t="str">
        <f>"27/01/2026 22:15"</f>
        <v>27/01/2026 22:15</v>
      </c>
      <c r="C97">
        <f>WEEKDAY(B97,2)</f>
        <v>2</v>
      </c>
    </row>
    <row r="99" spans="1:4" x14ac:dyDescent="0.2">
      <c r="A99" t="s">
        <v>44</v>
      </c>
      <c r="B99" s="1">
        <v>46048</v>
      </c>
      <c r="C99">
        <f>WEEKDAY(B99,2)</f>
        <v>1</v>
      </c>
    </row>
    <row r="101" spans="1:4" x14ac:dyDescent="0.2">
      <c r="A101" t="s">
        <v>46</v>
      </c>
      <c r="B101" s="1">
        <v>46109</v>
      </c>
      <c r="C101">
        <f>WEEKDAY(B101,2)</f>
        <v>6</v>
      </c>
    </row>
    <row r="104" spans="1:4" x14ac:dyDescent="0.2">
      <c r="B104" s="4"/>
      <c r="C104" s="4"/>
      <c r="D104" s="4"/>
    </row>
    <row r="106" spans="1:4" x14ac:dyDescent="0.2">
      <c r="B106" t="s">
        <v>47</v>
      </c>
    </row>
    <row r="108" spans="1:4" x14ac:dyDescent="0.2">
      <c r="C108">
        <f>WEEKNUM(B101,14)</f>
        <v>13</v>
      </c>
    </row>
    <row r="109" spans="1:4" x14ac:dyDescent="0.2">
      <c r="B109" s="1">
        <v>46048</v>
      </c>
    </row>
    <row r="110" spans="1:4" x14ac:dyDescent="0.2">
      <c r="B110" s="2">
        <v>46049</v>
      </c>
    </row>
    <row r="111" spans="1:4" x14ac:dyDescent="0.2">
      <c r="B111" s="2">
        <v>46050</v>
      </c>
    </row>
    <row r="112" spans="1:4" x14ac:dyDescent="0.2">
      <c r="B112" s="2">
        <v>46051</v>
      </c>
    </row>
    <row r="113" spans="2:6" x14ac:dyDescent="0.2">
      <c r="B113" s="2">
        <v>46052</v>
      </c>
    </row>
    <row r="114" spans="2:6" x14ac:dyDescent="0.2">
      <c r="B114" s="2">
        <v>46053</v>
      </c>
    </row>
    <row r="118" spans="2:6" x14ac:dyDescent="0.2">
      <c r="F118" t="s">
        <v>49</v>
      </c>
    </row>
    <row r="156" spans="2:5" x14ac:dyDescent="0.2">
      <c r="B156" s="4"/>
      <c r="C156" s="4"/>
      <c r="D156" s="4"/>
      <c r="E156" s="4"/>
    </row>
    <row r="157" spans="2:5" x14ac:dyDescent="0.2">
      <c r="B157" t="str">
        <f>"=DATEDIF(B159,C159,'d')"</f>
        <v>=DATEDIF(B159,C159,'d')</v>
      </c>
    </row>
    <row r="158" spans="2:5" x14ac:dyDescent="0.2">
      <c r="B158" t="s">
        <v>51</v>
      </c>
      <c r="C158" t="s">
        <v>52</v>
      </c>
    </row>
    <row r="159" spans="2:5" x14ac:dyDescent="0.2">
      <c r="B159" s="1">
        <v>45684</v>
      </c>
      <c r="C159" s="1">
        <v>46049</v>
      </c>
      <c r="E159">
        <f>DATEDIF(B159,C159,"y")</f>
        <v>1</v>
      </c>
    </row>
    <row r="191" spans="2:5" x14ac:dyDescent="0.2">
      <c r="B191" s="4"/>
      <c r="C191" s="4"/>
      <c r="D191" s="4"/>
      <c r="E191" s="4"/>
    </row>
    <row r="193" spans="2:4" x14ac:dyDescent="0.2">
      <c r="B193" t="s">
        <v>54</v>
      </c>
    </row>
    <row r="195" spans="2:4" x14ac:dyDescent="0.2">
      <c r="B195" s="1">
        <v>45684</v>
      </c>
      <c r="C195" s="1">
        <v>46047</v>
      </c>
      <c r="D195">
        <f>_xlfn.DAYS(C195,B195)</f>
        <v>363</v>
      </c>
    </row>
    <row r="198" spans="2:4" x14ac:dyDescent="0.2">
      <c r="B198" t="s">
        <v>58</v>
      </c>
    </row>
    <row r="201" spans="2:4" x14ac:dyDescent="0.2">
      <c r="B201" s="1">
        <v>45684</v>
      </c>
      <c r="C201" s="1">
        <v>46047</v>
      </c>
      <c r="D201">
        <f>DAYS360(B201,C201,TRUE)</f>
        <v>358</v>
      </c>
    </row>
    <row r="205" spans="2:4" x14ac:dyDescent="0.2">
      <c r="B205" t="s">
        <v>59</v>
      </c>
      <c r="C205" t="s">
        <v>60</v>
      </c>
    </row>
    <row r="208" spans="2:4" x14ac:dyDescent="0.2">
      <c r="B208" s="1">
        <v>44953</v>
      </c>
      <c r="C208" s="1">
        <v>46047</v>
      </c>
      <c r="D208">
        <f>YEARFRAC(B208,C208,3)</f>
        <v>2.9972602739726026</v>
      </c>
    </row>
    <row r="211" spans="2:10" x14ac:dyDescent="0.2">
      <c r="B211" s="4"/>
      <c r="C211" s="4"/>
      <c r="D211" s="4"/>
      <c r="E211" s="4"/>
      <c r="F211" s="4"/>
      <c r="G211" s="4"/>
      <c r="H211" s="4"/>
      <c r="I211" s="4"/>
      <c r="J211" s="4"/>
    </row>
    <row r="213" spans="2:10" x14ac:dyDescent="0.2">
      <c r="B213" t="s">
        <v>61</v>
      </c>
      <c r="E213" s="1">
        <v>46048</v>
      </c>
    </row>
    <row r="214" spans="2:10" x14ac:dyDescent="0.2">
      <c r="E214" s="1">
        <v>46044</v>
      </c>
    </row>
    <row r="215" spans="2:10" x14ac:dyDescent="0.2">
      <c r="E215" s="1">
        <v>2</v>
      </c>
    </row>
    <row r="216" spans="2:10" x14ac:dyDescent="0.2">
      <c r="B216" s="1">
        <v>46049</v>
      </c>
      <c r="D216" s="1">
        <f>WORKDAY(B216,-5,E213:E215)</f>
        <v>46038</v>
      </c>
    </row>
    <row r="217" spans="2:10" x14ac:dyDescent="0.2">
      <c r="D217" s="1"/>
      <c r="G217" s="5">
        <v>1</v>
      </c>
    </row>
    <row r="219" spans="2:10" x14ac:dyDescent="0.2">
      <c r="C219" s="4"/>
      <c r="D219" s="4"/>
    </row>
    <row r="226" spans="2:4" x14ac:dyDescent="0.2">
      <c r="B226" s="4"/>
      <c r="C226" s="4"/>
      <c r="D226" s="4"/>
    </row>
    <row r="227" spans="2:4" x14ac:dyDescent="0.2">
      <c r="B227" s="4"/>
      <c r="C227" s="4"/>
      <c r="D227" s="4"/>
    </row>
    <row r="231" spans="2:4" x14ac:dyDescent="0.2">
      <c r="B231" t="s">
        <v>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2026-01-27T15:09:15Z</dcterms:created>
  <dcterms:modified xsi:type="dcterms:W3CDTF">2026-01-27T17:32:23Z</dcterms:modified>
</cp:coreProperties>
</file>