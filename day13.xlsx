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3F2D6B30-27CE-684E-8637-CA16960C2261}" xr6:coauthVersionLast="47" xr6:coauthVersionMax="47" xr10:uidLastSave="{00000000-0000-0000-0000-000000000000}"/>
  <bookViews>
    <workbookView xWindow="0" yWindow="600" windowWidth="28800" windowHeight="17400" activeTab="1" xr2:uid="{E0D7CCD6-910A-2241-A058-E3077A752EE8}"/>
  </bookViews>
  <sheets>
    <sheet name="agenda" sheetId="1" r:id="rId1"/>
    <sheet name="DATE" sheetId="2" r:id="rId2"/>
    <sheet name="TIME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2" l="1"/>
  <c r="C90" i="2"/>
  <c r="E89" i="2" s="1"/>
  <c r="B90" i="2"/>
  <c r="C81" i="2"/>
  <c r="C83" i="2" s="1"/>
  <c r="B85" i="2" s="1"/>
  <c r="B83" i="2"/>
  <c r="B72" i="2"/>
  <c r="B73" i="2"/>
  <c r="C75" i="2" s="1"/>
  <c r="D56" i="2"/>
  <c r="B56" i="2"/>
  <c r="D50" i="2"/>
  <c r="D44" i="2"/>
  <c r="D51" i="2"/>
  <c r="B51" i="2"/>
  <c r="D45" i="2"/>
  <c r="B45" i="2"/>
  <c r="D37" i="2"/>
  <c r="C37" i="2"/>
  <c r="B19" i="3"/>
  <c r="C19" i="3"/>
  <c r="B15" i="3"/>
  <c r="C15" i="3"/>
  <c r="C30" i="2"/>
  <c r="C29" i="2"/>
  <c r="B11" i="3"/>
  <c r="B10" i="3"/>
  <c r="B9" i="3"/>
  <c r="C10" i="3"/>
  <c r="C11" i="3"/>
  <c r="C9" i="3"/>
  <c r="D20" i="2"/>
  <c r="C20" i="2"/>
  <c r="C17" i="2"/>
  <c r="C16" i="2"/>
  <c r="D19" i="2"/>
  <c r="C19" i="2"/>
  <c r="D17" i="2"/>
  <c r="D16" i="2"/>
  <c r="D13" i="2"/>
  <c r="C13" i="2"/>
  <c r="D14" i="2"/>
  <c r="C14" i="2"/>
  <c r="D4" i="3"/>
  <c r="B4" i="3"/>
  <c r="D6" i="2"/>
  <c r="C6" i="2"/>
  <c r="E10" i="1"/>
  <c r="D10" i="1"/>
</calcChain>
</file>

<file path=xl/sharedStrings.xml><?xml version="1.0" encoding="utf-8"?>
<sst xmlns="http://schemas.openxmlformats.org/spreadsheetml/2006/main" count="67" uniqueCount="57">
  <si>
    <t>DATE &amp; TIME Funcs</t>
  </si>
  <si>
    <t xml:space="preserve">Date </t>
  </si>
  <si>
    <t>Time</t>
  </si>
  <si>
    <t>INTEGER</t>
  </si>
  <si>
    <t>DECIMAL</t>
  </si>
  <si>
    <t>DD MM YYYY</t>
  </si>
  <si>
    <t>DD MM YY</t>
  </si>
  <si>
    <t>MM DD YYYY</t>
  </si>
  <si>
    <t>TODAY</t>
  </si>
  <si>
    <t>To get current date</t>
  </si>
  <si>
    <t>NOW</t>
  </si>
  <si>
    <t>To get current date &amp; time</t>
  </si>
  <si>
    <t>YEAR</t>
  </si>
  <si>
    <t>MONTH</t>
  </si>
  <si>
    <t>DAY</t>
  </si>
  <si>
    <t>Extract YEAR from DATE / SERIAL  NUM</t>
  </si>
  <si>
    <t>Extract MONTH from DATE / SERIAL  NUM</t>
  </si>
  <si>
    <t>Extract DAY from DATE / SERIAL  NUM</t>
  </si>
  <si>
    <t>HOUR</t>
  </si>
  <si>
    <t>excracts the HOUR part from the TIME ( serial num )</t>
  </si>
  <si>
    <t>MINUTE</t>
  </si>
  <si>
    <t>excracts the MINUTE part from the TIME ( serial num )</t>
  </si>
  <si>
    <t>SECONDS</t>
  </si>
  <si>
    <t>excracts the SECOND part from the TIME ( serial num )</t>
  </si>
  <si>
    <t xml:space="preserve">DATE </t>
  </si>
  <si>
    <t>To build a date</t>
  </si>
  <si>
    <t>TIME</t>
  </si>
  <si>
    <t>To build a TIME</t>
  </si>
  <si>
    <t>DATE</t>
  </si>
  <si>
    <t>readable</t>
  </si>
  <si>
    <t>TIMEVALUE</t>
  </si>
  <si>
    <t>Return corresponding serial number for the TIME AS TEXT</t>
  </si>
  <si>
    <t>DATEVALUE</t>
  </si>
  <si>
    <t>Return corresponding serial number for the DATE AS TEXT</t>
  </si>
  <si>
    <t>EOMONTH</t>
  </si>
  <si>
    <t>RETURN serial num of the LAST DAY OF THAT MONTH after adding the months given in input</t>
  </si>
  <si>
    <t>EDATE</t>
  </si>
  <si>
    <t xml:space="preserve">RETURN SERIALNUM and only add the months, </t>
  </si>
  <si>
    <t>START DATE</t>
  </si>
  <si>
    <t>WEEKDAY</t>
  </si>
  <si>
    <t>TELL THE DAY ( of week ) as per the date , LIKE MONDAY, TUES, etc ( convention)</t>
  </si>
  <si>
    <t>WEEkNUM</t>
  </si>
  <si>
    <t>TELLS the WEEK num In that year, numerically ( refer the actual calander)</t>
  </si>
  <si>
    <t>WEEKNUM</t>
  </si>
  <si>
    <t>Which week is going on?</t>
  </si>
  <si>
    <t>DOB</t>
  </si>
  <si>
    <t>https://support.microsoft.com/en-us/excel/functions/weeknum-function</t>
  </si>
  <si>
    <t>DATEDIF</t>
  </si>
  <si>
    <t>To tell difference b/w two dates in desired unit</t>
  </si>
  <si>
    <t>start date</t>
  </si>
  <si>
    <t>end date</t>
  </si>
  <si>
    <r>
      <t>"Y"</t>
    </r>
    <r>
      <rPr>
        <sz val="16"/>
        <color theme="1"/>
        <rFont val="Aptos Display"/>
        <scheme val="major"/>
      </rPr>
      <t>: Complete years between the two dates.</t>
    </r>
  </si>
  <si>
    <r>
      <t>"M"</t>
    </r>
    <r>
      <rPr>
        <sz val="16"/>
        <color theme="1"/>
        <rFont val="Aptos Display"/>
        <scheme val="major"/>
      </rPr>
      <t>: Complete months between the two dates.</t>
    </r>
  </si>
  <si>
    <r>
      <t>"D"</t>
    </r>
    <r>
      <rPr>
        <sz val="16"/>
        <color theme="1"/>
        <rFont val="Aptos Display"/>
        <scheme val="major"/>
      </rPr>
      <t>: Total number of days between the dates.</t>
    </r>
  </si>
  <si>
    <r>
      <t>"YM"</t>
    </r>
    <r>
      <rPr>
        <sz val="16"/>
        <color theme="1"/>
        <rFont val="Aptos Display"/>
        <scheme val="major"/>
      </rPr>
      <t>: Remaining months after full years have been subtracted.</t>
    </r>
  </si>
  <si>
    <r>
      <t>"YD"</t>
    </r>
    <r>
      <rPr>
        <sz val="16"/>
        <color theme="1"/>
        <rFont val="Aptos Display"/>
        <scheme val="major"/>
      </rPr>
      <t>: Remaining days assuming the start and end dates are in the same year</t>
    </r>
  </si>
  <si>
    <t>https://support.microsoft.com/en-us/excel/functions/datedif-function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</si>
</sst>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[$-F400]h:mm:ss\ AM/PM"/>
    <numFmt numFmtId="168" formatCode="[$-409]hh:mm:ss\ AM/PM;@"/>
  </numFmts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theme="1"/>
      <name val="Aptos Display"/>
      <scheme val="major"/>
    </font>
    <font>
      <sz val="14"/>
      <color theme="1"/>
      <name val="Aptos Display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2" borderId="0" xfId="0" applyFill="1"/>
    <xf numFmtId="168" fontId="0" fillId="0" borderId="0" xfId="0" applyNumberFormat="1"/>
    <xf numFmtId="14" fontId="0" fillId="2" borderId="0" xfId="0" applyNumberFormat="1" applyFill="1"/>
    <xf numFmtId="0" fontId="1" fillId="0" borderId="0" xfId="0" applyFont="1"/>
    <xf numFmtId="18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528510</xdr:colOff>
      <xdr:row>56</xdr:row>
      <xdr:rowOff>151189</xdr:rowOff>
    </xdr:from>
    <xdr:to>
      <xdr:col>2</xdr:col>
      <xdr:colOff>640522</xdr:colOff>
      <xdr:row>65</xdr:row>
      <xdr:rowOff>787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C24636-B998-79BC-CF53-003BEE1B1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8510" y="11636406"/>
          <a:ext cx="1760646" cy="1695437"/>
        </a:xfrm>
        <a:prstGeom prst="rect">
          <a:avLst/>
        </a:prstGeom>
      </xdr:spPr>
    </xdr:pic>
    <xdr:clientData/>
  </xdr:twoCellAnchor>
  <xdr:twoCellAnchor editAs="oneCell">
    <xdr:from>
      <xdr:col>2</xdr:col>
      <xdr:colOff>847980</xdr:colOff>
      <xdr:row>57</xdr:row>
      <xdr:rowOff>67049</xdr:rowOff>
    </xdr:from>
    <xdr:to>
      <xdr:col>7</xdr:col>
      <xdr:colOff>682602</xdr:colOff>
      <xdr:row>61</xdr:row>
      <xdr:rowOff>205092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E27EB6B-400A-AC33-261D-7BBC4C27DFC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7327" t="24529" r="-2137" b="22311"/>
        <a:stretch>
          <a:fillRect/>
        </a:stretch>
      </xdr:blipFill>
      <xdr:spPr>
        <a:xfrm>
          <a:off x="2496614" y="11757360"/>
          <a:ext cx="4133690" cy="9584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2DA9-262D-F449-8764-2E2C4FA8E71C}">
  <dimension ref="A2:H72"/>
  <sheetViews>
    <sheetView topLeftCell="A63" zoomScale="200" workbookViewId="0">
      <selection activeCell="B72" sqref="B72:D72"/>
    </sheetView>
  </sheetViews>
  <sheetFormatPr baseColWidth="10" defaultRowHeight="16" x14ac:dyDescent="0.2"/>
  <sheetData>
    <row r="2" spans="2:8" x14ac:dyDescent="0.2">
      <c r="B2" s="1" t="s">
        <v>0</v>
      </c>
      <c r="C2" s="1"/>
    </row>
    <row r="3" spans="2:8" x14ac:dyDescent="0.2">
      <c r="B3" s="1"/>
      <c r="C3" s="1"/>
    </row>
    <row r="5" spans="2:8" x14ac:dyDescent="0.2">
      <c r="B5" t="s">
        <v>1</v>
      </c>
      <c r="D5" t="s">
        <v>3</v>
      </c>
      <c r="F5" t="s">
        <v>5</v>
      </c>
      <c r="G5" t="s">
        <v>6</v>
      </c>
      <c r="H5" t="s">
        <v>7</v>
      </c>
    </row>
    <row r="7" spans="2:8" x14ac:dyDescent="0.2">
      <c r="B7" t="s">
        <v>2</v>
      </c>
      <c r="D7" t="s">
        <v>4</v>
      </c>
    </row>
    <row r="10" spans="2:8" x14ac:dyDescent="0.2">
      <c r="D10" s="2">
        <f ca="1">TODAY()</f>
        <v>46259</v>
      </c>
      <c r="E10" s="4">
        <f ca="1">TODAY()</f>
        <v>46259</v>
      </c>
    </row>
    <row r="12" spans="2:8" x14ac:dyDescent="0.2">
      <c r="D12" s="2">
        <v>1</v>
      </c>
      <c r="E12" s="3">
        <v>1</v>
      </c>
    </row>
    <row r="15" spans="2:8" x14ac:dyDescent="0.2">
      <c r="D15" s="5">
        <v>0.75</v>
      </c>
      <c r="E15">
        <v>0.75</v>
      </c>
    </row>
    <row r="17" spans="1:8" x14ac:dyDescent="0.2">
      <c r="A17" s="6"/>
      <c r="B17" s="6"/>
      <c r="C17" s="6"/>
      <c r="D17" s="6"/>
      <c r="E17" s="6"/>
      <c r="F17" s="6"/>
      <c r="G17" s="6"/>
      <c r="H17" s="6"/>
    </row>
    <row r="20" spans="1:8" x14ac:dyDescent="0.2">
      <c r="B20" t="s">
        <v>8</v>
      </c>
      <c r="D20" t="s">
        <v>9</v>
      </c>
    </row>
    <row r="22" spans="1:8" x14ac:dyDescent="0.2">
      <c r="B22" t="s">
        <v>10</v>
      </c>
      <c r="D22" t="s">
        <v>11</v>
      </c>
    </row>
    <row r="24" spans="1:8" x14ac:dyDescent="0.2">
      <c r="A24" s="6"/>
      <c r="B24" s="6"/>
      <c r="C24" s="6"/>
      <c r="D24" s="6"/>
      <c r="E24" s="6"/>
      <c r="F24" s="6"/>
    </row>
    <row r="26" spans="1:8" x14ac:dyDescent="0.2">
      <c r="B26" t="s">
        <v>12</v>
      </c>
      <c r="D26" t="s">
        <v>15</v>
      </c>
    </row>
    <row r="28" spans="1:8" x14ac:dyDescent="0.2">
      <c r="B28" t="s">
        <v>13</v>
      </c>
      <c r="D28" t="s">
        <v>16</v>
      </c>
    </row>
    <row r="30" spans="1:8" x14ac:dyDescent="0.2">
      <c r="B30" t="s">
        <v>14</v>
      </c>
      <c r="D30" t="s">
        <v>17</v>
      </c>
    </row>
    <row r="33" spans="1:8" x14ac:dyDescent="0.2">
      <c r="A33" s="6"/>
      <c r="B33" s="6"/>
      <c r="C33" s="6"/>
      <c r="D33" s="6"/>
      <c r="E33" s="6"/>
      <c r="F33" s="6"/>
    </row>
    <row r="35" spans="1:8" x14ac:dyDescent="0.2">
      <c r="B35" s="9" t="s">
        <v>18</v>
      </c>
      <c r="C35" s="9"/>
      <c r="D35" s="9" t="s">
        <v>19</v>
      </c>
    </row>
    <row r="36" spans="1:8" x14ac:dyDescent="0.2">
      <c r="B36" s="9"/>
      <c r="C36" s="9"/>
      <c r="D36" s="9"/>
    </row>
    <row r="37" spans="1:8" x14ac:dyDescent="0.2">
      <c r="B37" s="9" t="s">
        <v>20</v>
      </c>
      <c r="C37" s="9"/>
      <c r="D37" s="9" t="s">
        <v>21</v>
      </c>
    </row>
    <row r="38" spans="1:8" x14ac:dyDescent="0.2">
      <c r="B38" s="9"/>
      <c r="C38" s="9"/>
      <c r="D38" s="9"/>
    </row>
    <row r="39" spans="1:8" x14ac:dyDescent="0.2">
      <c r="B39" s="9" t="s">
        <v>22</v>
      </c>
      <c r="C39" s="9"/>
      <c r="D39" s="9" t="s">
        <v>23</v>
      </c>
    </row>
    <row r="41" spans="1:8" x14ac:dyDescent="0.2">
      <c r="A41" s="6"/>
      <c r="B41" s="6"/>
      <c r="C41" s="6"/>
      <c r="D41" s="6"/>
      <c r="E41" s="6"/>
      <c r="F41" s="6"/>
      <c r="G41" s="6"/>
    </row>
    <row r="44" spans="1:8" x14ac:dyDescent="0.2">
      <c r="B44" s="9" t="s">
        <v>24</v>
      </c>
      <c r="C44" s="9"/>
      <c r="D44" s="9" t="s">
        <v>25</v>
      </c>
      <c r="F44" t="s">
        <v>29</v>
      </c>
    </row>
    <row r="45" spans="1:8" x14ac:dyDescent="0.2">
      <c r="B45" s="9"/>
      <c r="C45" s="9"/>
      <c r="D45" s="9"/>
    </row>
    <row r="46" spans="1:8" x14ac:dyDescent="0.2">
      <c r="B46" s="9" t="s">
        <v>26</v>
      </c>
      <c r="C46" s="9"/>
      <c r="D46" s="9" t="s">
        <v>27</v>
      </c>
      <c r="F46" t="s">
        <v>29</v>
      </c>
    </row>
    <row r="48" spans="1:8" x14ac:dyDescent="0.2">
      <c r="A48" s="6"/>
      <c r="B48" s="6"/>
      <c r="C48" s="6"/>
      <c r="D48" s="6"/>
      <c r="E48" s="6"/>
      <c r="F48" s="6"/>
      <c r="G48" s="6"/>
      <c r="H48" s="6"/>
    </row>
    <row r="50" spans="1:7" x14ac:dyDescent="0.2">
      <c r="B50" s="9" t="s">
        <v>30</v>
      </c>
      <c r="C50" s="9"/>
      <c r="D50" s="9" t="s">
        <v>31</v>
      </c>
    </row>
    <row r="51" spans="1:7" x14ac:dyDescent="0.2">
      <c r="B51" s="9"/>
      <c r="C51" s="9"/>
      <c r="D51" s="9"/>
    </row>
    <row r="52" spans="1:7" x14ac:dyDescent="0.2">
      <c r="B52" s="9" t="s">
        <v>32</v>
      </c>
      <c r="C52" s="9"/>
      <c r="D52" s="9" t="s">
        <v>33</v>
      </c>
    </row>
    <row r="54" spans="1:7" x14ac:dyDescent="0.2">
      <c r="A54" s="6"/>
      <c r="B54" s="6"/>
      <c r="C54" s="6"/>
      <c r="D54" s="6"/>
      <c r="E54" s="6"/>
      <c r="F54" s="6"/>
      <c r="G54" s="6"/>
    </row>
    <row r="56" spans="1:7" x14ac:dyDescent="0.2">
      <c r="B56" s="9" t="s">
        <v>34</v>
      </c>
      <c r="C56" s="9"/>
      <c r="D56" s="9" t="s">
        <v>35</v>
      </c>
    </row>
    <row r="58" spans="1:7" x14ac:dyDescent="0.2">
      <c r="B58" s="9" t="s">
        <v>36</v>
      </c>
      <c r="C58" s="9"/>
      <c r="D58" s="9" t="s">
        <v>37</v>
      </c>
    </row>
    <row r="61" spans="1:7" x14ac:dyDescent="0.2">
      <c r="A61" s="6"/>
      <c r="B61" s="6"/>
      <c r="C61" s="6"/>
      <c r="D61" s="6"/>
      <c r="E61" s="6"/>
      <c r="F61" s="6"/>
      <c r="G61" s="6"/>
    </row>
    <row r="63" spans="1:7" x14ac:dyDescent="0.2">
      <c r="B63" t="s">
        <v>39</v>
      </c>
      <c r="D63" t="s">
        <v>40</v>
      </c>
    </row>
    <row r="65" spans="1:8" x14ac:dyDescent="0.2">
      <c r="B65" t="s">
        <v>41</v>
      </c>
      <c r="D65" t="s">
        <v>42</v>
      </c>
    </row>
    <row r="69" spans="1:8" x14ac:dyDescent="0.2">
      <c r="A69" s="6"/>
      <c r="B69" s="6"/>
      <c r="C69" s="6"/>
      <c r="D69" s="6"/>
      <c r="E69" s="6"/>
      <c r="F69" s="6"/>
      <c r="G69" s="6"/>
      <c r="H69" s="6"/>
    </row>
    <row r="72" spans="1:8" x14ac:dyDescent="0.2">
      <c r="B72" s="9" t="s">
        <v>47</v>
      </c>
      <c r="C72" s="9"/>
      <c r="D72" s="9" t="s">
        <v>48</v>
      </c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37E61-B543-204B-8BD2-30DA74C2B042}">
  <dimension ref="A4:G100"/>
  <sheetViews>
    <sheetView tabSelected="1" topLeftCell="A64" zoomScale="322" workbookViewId="0">
      <selection activeCell="C70" sqref="C70"/>
    </sheetView>
  </sheetViews>
  <sheetFormatPr baseColWidth="10" defaultRowHeight="16" x14ac:dyDescent="0.2"/>
  <cols>
    <col min="3" max="3" width="13.1640625" bestFit="1" customWidth="1"/>
  </cols>
  <sheetData>
    <row r="4" spans="1:7" x14ac:dyDescent="0.2">
      <c r="C4" t="s">
        <v>8</v>
      </c>
    </row>
    <row r="6" spans="1:7" x14ac:dyDescent="0.2">
      <c r="C6" s="2">
        <f ca="1">TODAY()</f>
        <v>46259</v>
      </c>
      <c r="D6" t="str">
        <f ca="1">_xlfn.FORMULATEXT(C6)</f>
        <v>=TODAY()</v>
      </c>
    </row>
    <row r="9" spans="1:7" x14ac:dyDescent="0.2">
      <c r="A9" s="6"/>
      <c r="B9" s="6"/>
      <c r="C9" s="6"/>
      <c r="D9" s="6"/>
      <c r="E9" s="6"/>
      <c r="F9" s="8"/>
      <c r="G9" s="6"/>
    </row>
    <row r="11" spans="1:7" x14ac:dyDescent="0.2">
      <c r="C11" s="2">
        <v>45317</v>
      </c>
      <c r="D11" s="4">
        <v>45317</v>
      </c>
    </row>
    <row r="13" spans="1:7" x14ac:dyDescent="0.2">
      <c r="C13">
        <f>YEAR($C$11)</f>
        <v>2024</v>
      </c>
      <c r="D13">
        <f>YEAR(45317)</f>
        <v>2024</v>
      </c>
    </row>
    <row r="14" spans="1:7" x14ac:dyDescent="0.2">
      <c r="C14" t="str">
        <f ca="1">_xlfn.FORMULATEXT(C13)</f>
        <v>=YEAR($C$11)</v>
      </c>
      <c r="D14" t="str">
        <f ca="1">_xlfn.FORMULATEXT(D13)</f>
        <v>=YEAR(45317)</v>
      </c>
    </row>
    <row r="16" spans="1:7" x14ac:dyDescent="0.2">
      <c r="C16">
        <f>MONTH(C11)</f>
        <v>1</v>
      </c>
      <c r="D16">
        <f>MONTH(45317)</f>
        <v>1</v>
      </c>
    </row>
    <row r="17" spans="1:6" x14ac:dyDescent="0.2">
      <c r="C17" t="str">
        <f ca="1">_xlfn.FORMULATEXT($C16)</f>
        <v>=MONTH(C11)</v>
      </c>
      <c r="D17" t="str">
        <f ca="1">_xlfn.FORMULATEXT(D16)</f>
        <v>=MONTH(45317)</v>
      </c>
    </row>
    <row r="19" spans="1:6" x14ac:dyDescent="0.2">
      <c r="C19">
        <f>DAY($C$11)</f>
        <v>26</v>
      </c>
      <c r="D19">
        <f>DAY(45317)</f>
        <v>26</v>
      </c>
    </row>
    <row r="20" spans="1:6" x14ac:dyDescent="0.2">
      <c r="C20" t="str">
        <f ca="1">_xlfn.FORMULATEXT($C19)</f>
        <v>=DAY($C$11)</v>
      </c>
      <c r="D20" t="str">
        <f ca="1">_xlfn.FORMULATEXT(D19)</f>
        <v>=DAY(45317)</v>
      </c>
    </row>
    <row r="22" spans="1:6" x14ac:dyDescent="0.2">
      <c r="A22" s="6"/>
      <c r="B22" s="6"/>
      <c r="C22" s="6"/>
      <c r="D22" s="6"/>
      <c r="E22" s="6"/>
      <c r="F22" s="6"/>
    </row>
    <row r="24" spans="1:6" x14ac:dyDescent="0.2">
      <c r="C24" t="s">
        <v>28</v>
      </c>
    </row>
    <row r="25" spans="1:6" x14ac:dyDescent="0.2">
      <c r="D25" t="s">
        <v>12</v>
      </c>
    </row>
    <row r="26" spans="1:6" x14ac:dyDescent="0.2">
      <c r="D26" t="s">
        <v>13</v>
      </c>
    </row>
    <row r="27" spans="1:6" x14ac:dyDescent="0.2">
      <c r="D27" t="s">
        <v>14</v>
      </c>
    </row>
    <row r="29" spans="1:6" x14ac:dyDescent="0.2">
      <c r="C29" s="2">
        <f>DATE(2002,11,13)</f>
        <v>37573</v>
      </c>
    </row>
    <row r="30" spans="1:6" x14ac:dyDescent="0.2">
      <c r="C30" t="str">
        <f ca="1">_xlfn.FORMULATEXT($C29)</f>
        <v>=DATE(2002,11,13)</v>
      </c>
    </row>
    <row r="33" spans="1:6" x14ac:dyDescent="0.2">
      <c r="A33" s="6"/>
      <c r="B33" s="6"/>
      <c r="C33" s="6"/>
      <c r="D33" s="6"/>
      <c r="E33" s="6"/>
      <c r="F33" s="6"/>
    </row>
    <row r="35" spans="1:6" x14ac:dyDescent="0.2">
      <c r="C35" t="s">
        <v>32</v>
      </c>
    </row>
    <row r="37" spans="1:6" x14ac:dyDescent="0.2">
      <c r="C37">
        <f>DATEVALUE("23/04/2003")</f>
        <v>37734</v>
      </c>
      <c r="D37" t="str">
        <f ca="1">_xlfn.FORMULATEXT(C37)</f>
        <v>=DATEVALUE("23/04/2003")</v>
      </c>
    </row>
    <row r="40" spans="1:6" x14ac:dyDescent="0.2">
      <c r="A40" s="6"/>
      <c r="B40" s="6"/>
      <c r="C40" s="6"/>
      <c r="D40" s="6"/>
      <c r="E40" s="6"/>
    </row>
    <row r="42" spans="1:6" x14ac:dyDescent="0.2">
      <c r="B42" t="s">
        <v>34</v>
      </c>
    </row>
    <row r="44" spans="1:6" x14ac:dyDescent="0.2">
      <c r="B44" t="s">
        <v>38</v>
      </c>
      <c r="D44" s="2">
        <f>EOMONTH(B45,4)</f>
        <v>37802</v>
      </c>
    </row>
    <row r="45" spans="1:6" x14ac:dyDescent="0.2">
      <c r="B45" s="2">
        <f>DATE(2003,2,8)</f>
        <v>37660</v>
      </c>
      <c r="D45" t="str">
        <f ca="1">_xlfn.FORMULATEXT(D44)</f>
        <v>=EOMONTH(B45,4)</v>
      </c>
    </row>
    <row r="48" spans="1:6" x14ac:dyDescent="0.2">
      <c r="B48" s="9" t="s">
        <v>36</v>
      </c>
    </row>
    <row r="50" spans="1:6" x14ac:dyDescent="0.2">
      <c r="B50" t="s">
        <v>38</v>
      </c>
      <c r="D50" s="2">
        <f>EDATE(B51,4)</f>
        <v>37780</v>
      </c>
    </row>
    <row r="51" spans="1:6" x14ac:dyDescent="0.2">
      <c r="B51" s="2">
        <f>DATE(2003,2,8)</f>
        <v>37660</v>
      </c>
      <c r="D51" t="str">
        <f ca="1">_xlfn.FORMULATEXT(D50)</f>
        <v>=EDATE(B51,4)</v>
      </c>
    </row>
    <row r="53" spans="1:6" x14ac:dyDescent="0.2">
      <c r="A53" s="6"/>
      <c r="B53" s="6"/>
      <c r="C53" s="6"/>
      <c r="D53" s="6"/>
      <c r="E53" s="6"/>
      <c r="F53" s="6"/>
    </row>
    <row r="56" spans="1:6" x14ac:dyDescent="0.2">
      <c r="B56" s="2">
        <f>DATE(2025,2,19)</f>
        <v>45707</v>
      </c>
      <c r="D56">
        <f>WEEKDAY(B56,2)</f>
        <v>3</v>
      </c>
    </row>
    <row r="68" spans="1:5" x14ac:dyDescent="0.2">
      <c r="A68" s="6"/>
      <c r="B68" s="6"/>
      <c r="C68" s="6"/>
      <c r="D68" s="6"/>
      <c r="E68" s="6"/>
    </row>
    <row r="70" spans="1:5" x14ac:dyDescent="0.2">
      <c r="B70" t="s">
        <v>43</v>
      </c>
      <c r="D70" t="s">
        <v>46</v>
      </c>
    </row>
    <row r="72" spans="1:5" x14ac:dyDescent="0.2">
      <c r="B72" s="2">
        <f>DATE(2025,2,19)</f>
        <v>45707</v>
      </c>
      <c r="D72" t="s">
        <v>44</v>
      </c>
    </row>
    <row r="73" spans="1:5" x14ac:dyDescent="0.2">
      <c r="B73" s="2">
        <f ca="1">TODAY()</f>
        <v>46259</v>
      </c>
    </row>
    <row r="75" spans="1:5" x14ac:dyDescent="0.2">
      <c r="C75">
        <f ca="1">WEEKNUM(B73)</f>
        <v>35</v>
      </c>
    </row>
    <row r="80" spans="1:5" x14ac:dyDescent="0.2">
      <c r="B80" t="s">
        <v>45</v>
      </c>
      <c r="C80" t="s">
        <v>8</v>
      </c>
    </row>
    <row r="81" spans="1:5" x14ac:dyDescent="0.2">
      <c r="B81" s="2">
        <v>46133</v>
      </c>
      <c r="C81" s="2">
        <f ca="1">TODAY()</f>
        <v>46259</v>
      </c>
    </row>
    <row r="83" spans="1:5" x14ac:dyDescent="0.2">
      <c r="B83">
        <f>WEEKNUM(B81)</f>
        <v>17</v>
      </c>
      <c r="C83">
        <f ca="1">WEEKNUM(C81)</f>
        <v>35</v>
      </c>
    </row>
    <row r="85" spans="1:5" x14ac:dyDescent="0.2">
      <c r="B85">
        <f ca="1">C83-B83</f>
        <v>18</v>
      </c>
    </row>
    <row r="87" spans="1:5" x14ac:dyDescent="0.2">
      <c r="A87" s="6"/>
      <c r="B87" s="6"/>
      <c r="C87" s="6"/>
      <c r="D87" s="6"/>
      <c r="E87" s="6"/>
    </row>
    <row r="89" spans="1:5" x14ac:dyDescent="0.2">
      <c r="B89" t="s">
        <v>49</v>
      </c>
      <c r="C89" t="s">
        <v>50</v>
      </c>
      <c r="E89">
        <f ca="1">DATEDIF(B90,C90,"M")</f>
        <v>20</v>
      </c>
    </row>
    <row r="90" spans="1:5" x14ac:dyDescent="0.2">
      <c r="B90" s="2">
        <f>DATE(2024,12,4)</f>
        <v>45630</v>
      </c>
      <c r="C90" s="2">
        <f ca="1">TODAY()</f>
        <v>46259</v>
      </c>
      <c r="E90" t="str">
        <f ca="1">_xlfn.FORMULATEXT(E89)</f>
        <v>=DATEDIF(B90,C90,"M")</v>
      </c>
    </row>
    <row r="93" spans="1:5" ht="20" x14ac:dyDescent="0.25">
      <c r="C93" s="11" t="s">
        <v>51</v>
      </c>
    </row>
    <row r="94" spans="1:5" ht="20" x14ac:dyDescent="0.25">
      <c r="C94" s="11" t="s">
        <v>52</v>
      </c>
    </row>
    <row r="95" spans="1:5" ht="20" x14ac:dyDescent="0.25">
      <c r="C95" s="11" t="s">
        <v>53</v>
      </c>
    </row>
    <row r="96" spans="1:5" ht="20" x14ac:dyDescent="0.25">
      <c r="C96" s="11" t="s">
        <v>54</v>
      </c>
    </row>
    <row r="97" spans="3:3" ht="20" x14ac:dyDescent="0.25">
      <c r="C97" s="11" t="s">
        <v>55</v>
      </c>
    </row>
    <row r="100" spans="3:3" x14ac:dyDescent="0.2">
      <c r="C100" t="s">
        <v>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8084D-AFC0-D044-8BF4-03B8A51D96F2}">
  <dimension ref="A4:E22"/>
  <sheetViews>
    <sheetView topLeftCell="A18" zoomScale="390" workbookViewId="0">
      <selection activeCell="A22" sqref="A22:E22"/>
    </sheetView>
  </sheetViews>
  <sheetFormatPr baseColWidth="10" defaultRowHeight="16" x14ac:dyDescent="0.2"/>
  <cols>
    <col min="2" max="2" width="15.33203125" bestFit="1" customWidth="1"/>
  </cols>
  <sheetData>
    <row r="4" spans="1:5" x14ac:dyDescent="0.2">
      <c r="B4" s="7">
        <f ca="1">NOW()</f>
        <v>46259.940649421296</v>
      </c>
      <c r="D4">
        <f ca="1">RAND()</f>
        <v>0.67686992192986239</v>
      </c>
    </row>
    <row r="7" spans="1:5" x14ac:dyDescent="0.2">
      <c r="A7" s="6"/>
      <c r="B7" s="6"/>
      <c r="C7" s="6"/>
      <c r="D7" s="6"/>
      <c r="E7" s="6"/>
    </row>
    <row r="9" spans="1:5" x14ac:dyDescent="0.2">
      <c r="B9">
        <f ca="1">HOUR(NOW())</f>
        <v>22</v>
      </c>
      <c r="C9" t="str">
        <f ca="1">_xlfn.FORMULATEXT(B9)</f>
        <v>=HOUR(NOW())</v>
      </c>
    </row>
    <row r="10" spans="1:5" x14ac:dyDescent="0.2">
      <c r="B10">
        <f ca="1">MINUTE(NOW())</f>
        <v>34</v>
      </c>
      <c r="C10" t="str">
        <f t="shared" ref="C10:C11" ca="1" si="0">_xlfn.FORMULATEXT(B10)</f>
        <v>=MINUTE(NOW())</v>
      </c>
    </row>
    <row r="11" spans="1:5" x14ac:dyDescent="0.2">
      <c r="B11">
        <f ca="1">SECOND(NOW())</f>
        <v>32</v>
      </c>
      <c r="C11" t="str">
        <f t="shared" ca="1" si="0"/>
        <v>=SECOND(NOW())</v>
      </c>
    </row>
    <row r="13" spans="1:5" x14ac:dyDescent="0.2">
      <c r="A13" s="6"/>
      <c r="B13" s="6"/>
      <c r="C13" s="6"/>
      <c r="D13" s="6"/>
      <c r="E13" s="6"/>
    </row>
    <row r="15" spans="1:5" x14ac:dyDescent="0.2">
      <c r="B15" s="10">
        <f>TIME(10,23,45)</f>
        <v>0.43315972222222221</v>
      </c>
      <c r="C15" t="str">
        <f t="shared" ref="C15" ca="1" si="1">_xlfn.FORMULATEXT(B15)</f>
        <v>=TIME(10,23,45)</v>
      </c>
    </row>
    <row r="17" spans="1:5" x14ac:dyDescent="0.2">
      <c r="A17" s="6"/>
      <c r="B17" s="6"/>
      <c r="C17" s="6"/>
      <c r="D17" s="6"/>
      <c r="E17" s="6"/>
    </row>
    <row r="19" spans="1:5" x14ac:dyDescent="0.2">
      <c r="B19">
        <f>TIMEVALUE("9:30 PM")</f>
        <v>0.89583333333333337</v>
      </c>
      <c r="C19" t="str">
        <f ca="1">_xlfn.FORMULATEXT(B19)</f>
        <v>=TIMEVALUE("9:30 PM")</v>
      </c>
    </row>
    <row r="22" spans="1:5" x14ac:dyDescent="0.2">
      <c r="A22" s="6"/>
      <c r="B22" s="6"/>
      <c r="C22" s="6"/>
      <c r="D22" s="6"/>
      <c r="E22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DATE</vt:lpstr>
      <vt:lpstr>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2026-08-25T15:38:17Z</dcterms:created>
  <dcterms:modified xsi:type="dcterms:W3CDTF">2026-08-25T17:07:54Z</dcterms:modified>
</cp:coreProperties>
</file>