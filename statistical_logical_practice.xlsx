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A160DB81-6E73-DA4A-8E12-0A064AF7BDB1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data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H4" i="2" a="1"/>
  <c r="H4" i="2" s="1"/>
  <c r="C16" i="2"/>
  <c r="C13" i="2" a="1"/>
  <c r="C13" i="2" s="1"/>
  <c r="F14" i="2"/>
  <c r="L6" i="2" a="1"/>
  <c r="L6" i="2" s="1"/>
  <c r="I5" i="2"/>
  <c r="K5" i="2"/>
  <c r="I5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K19" i="1"/>
  <c r="K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<sst xmlns="http://schemas.openxmlformats.org/spreadsheetml/2006/main" count="331" uniqueCount="139">
  <si>
    <t>Employee_ID</t>
  </si>
  <si>
    <t>Department</t>
  </si>
  <si>
    <t>Tenure_Years</t>
  </si>
  <si>
    <t>Monthly_Sales_K</t>
  </si>
  <si>
    <t>Project_Score (Out of 100)</t>
  </si>
  <si>
    <t>Training_Hours</t>
  </si>
  <si>
    <t>Salary_K (Per Annum)</t>
  </si>
  <si>
    <t>Performance_Rating</t>
  </si>
  <si>
    <t>A001</t>
  </si>
  <si>
    <t>Sales</t>
  </si>
  <si>
    <t>Excellent</t>
  </si>
  <si>
    <t>A002</t>
  </si>
  <si>
    <t>Tech</t>
  </si>
  <si>
    <t>High</t>
  </si>
  <si>
    <t>A003</t>
  </si>
  <si>
    <t>Marketing</t>
  </si>
  <si>
    <t>Medium</t>
  </si>
  <si>
    <t>A004</t>
  </si>
  <si>
    <t>A005</t>
  </si>
  <si>
    <t>HR</t>
  </si>
  <si>
    <t>A006</t>
  </si>
  <si>
    <t>A007</t>
  </si>
  <si>
    <t>A008</t>
  </si>
  <si>
    <t>A009</t>
  </si>
  <si>
    <t>A010</t>
  </si>
  <si>
    <t>A011</t>
  </si>
  <si>
    <t>A012</t>
  </si>
  <si>
    <t>A013</t>
  </si>
  <si>
    <t>Low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</si>
  <si>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</si>
  <si>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</si>
  <si>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</si>
  <si>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</si>
  <si>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</si>
  <si>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</si>
  <si>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</si>
  <si>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</si>
  <si>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</si>
  <si>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</si>
  <si>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</si>
  <si>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</si>
  <si>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</si>
  <si>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</si>
  <si>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</si>
  <si>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</si>
  <si>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</si>
  <si>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</si>
  <si>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</si>
  <si>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</si>
  <si>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</si>
  <si>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</si>
  <si>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</si>
  <si>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</si>
  <si>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</si>
  <si>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</si>
  <si>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</si>
  <si>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</si>
  <si>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</si>
  <si>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</si>
  <si>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</si>
  <si>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</si>
  <si>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</si>
  <si>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</si>
  <si>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</si>
  <si>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</si>
  <si>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</si>
  <si>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</si>
  <si>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</si>
  <si>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</si>
  <si>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</si>
  <si>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</si>
  <si>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</si>
  <si>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</si>
  <si>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</si>
  <si>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</si>
  <si>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</si>
  <si>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</si>
  <si>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</si>
  <si>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</si>
  <si>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</si>
  <si>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</si>
  <si>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</si>
  <si>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</si>
  <si>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</si>
  <si>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</si>
  <si>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</si>
  <si>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</si>
  <si>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</si>
  <si>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</si>
  <si>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</si>
  <si>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</si>
  <si>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</si>
  <si>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</si>
  <si>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</si>
  <si>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</si>
  <si>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</si>
  <si>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</si>
  <si>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</si>
  <si>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</si>
  <si>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</si>
  <si>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</si>
  <si>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</si>
  <si>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</si>
  <si>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</si>
  <si>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</si>
  <si>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</si>
  <si>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</si>
  <si>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</si>
  <si>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</si>
  <si>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</si>
  <si>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</si>
  <si>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</si>
  <si>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</si>
  <si>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</si>
  <si>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</si>
  <si>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</si>
  <si>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Q#</t>
  </si>
  <si>
    <t>Question</t>
  </si>
  <si>
    <t>M1</t>
  </si>
  <si>
    <t>Find the 4th highest Monthly_Sales_K achieved by an employee whose Tenure_Years is greater than 5 years.</t>
  </si>
  <si>
    <t>M2</t>
  </si>
  <si>
    <t>Calculate the 90th percentile of Project_Score. Flag an employee as "Top Tier Potential" if their Project_Score is above this percentile AND their Training_Hours are greater than 30. Otherwise, show "Standard".</t>
  </si>
  <si>
    <t>M3</t>
  </si>
  <si>
    <t>What is the 2nd lowest Salary_K among all employees whose Performance_Rating is "Excellent"?</t>
  </si>
  <si>
    <t>M4</t>
  </si>
  <si>
    <t>Count the total number of employees who are either in the Tech department OR have a Project_Score less than 65.</t>
  </si>
  <si>
    <t>M5</t>
  </si>
  <si>
    <t>Find the highest Monthly_Sales_K in the Sales department and the lowest Monthly_Sales_K in the Marketing department. What is the difference between these two values?</t>
  </si>
  <si>
    <t>M6</t>
  </si>
  <si>
    <t>Assign a RANK to each employee based on their Training_Hours, where the employee with the fewest hours receives rank 1 (ascending rank).</t>
  </si>
  <si>
    <t>M7</t>
  </si>
  <si>
    <t>Calculate the AVERAGE Salary_K for employees in a fictional department called "Finance". Since this department doesn't exist in the data, use IFERROR to return the text "Department Not Found" instead of an error value.</t>
  </si>
  <si>
    <t>H8</t>
  </si>
  <si>
    <t>Create a single formula for each row (to be copied down) that checks data quality and returns "Valid" or "Check":
Return "Check" if: (A) Employee_ID is BLANK OR (B) Monthly_Sales_K is BLANK OR (C) the Performance_Rating is missing (i.e., BLANK) for an employee whose Project_Score is greater than 90.</t>
  </si>
  <si>
    <t>H9</t>
  </si>
  <si>
    <t>Calculate the average Salary_K only for those employees who fall in the bottom 15% of Project_Score and who have less than 10 Training_Hours. (This requires an array formula that handles multiple complex conditions).</t>
  </si>
  <si>
    <t>H10</t>
  </si>
  <si>
    <t>Assign a conditional rank (1, 2, 3...) to only the employees in the Tech department based on their Project_Score (highest score gets rank 1). For employees NOT in the Tech department, the cell should return "N/A". (Requires advanced use of RANK with IF, wrapped by IFERROR to handle potential #N/A errors from the filter).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</si>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</sst>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1A1924"/>
      <name val="Helvetica Neue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data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_Performance_Metrics" displayName="Employee_Performance_Metrics" ref="A1:I101">
  <autoFilter ref="A1:I101" xr:uid="{00000000-000C-0000-FFFF-FFFF00000000}"/>
  <sortState xmlns:xlrd2="http://schemas.microsoft.com/office/spreadsheetml/2017/richdata2" ref="A2:I101">
    <sortCondition ref="A1:A101"/>
  </sortState>
  <tableColumns count="9">
    <tableColumn id="1" xr3:uid="{00000000-0010-0000-0000-000001000000}" name="Employee_ID"/>
    <tableColumn id="2" xr3:uid="{00000000-0010-0000-0000-000002000000}" name="Department"/>
    <tableColumn id="3" xr3:uid="{00000000-0010-0000-0000-000003000000}" name="Tenure_Years"/>
    <tableColumn id="4" xr3:uid="{00000000-0010-0000-0000-000004000000}" name="Monthly_Sales_K"/>
    <tableColumn id="5" xr3:uid="{00000000-0010-0000-0000-000005000000}" name="Project_Score (Out of 100)"/>
    <tableColumn id="6" xr3:uid="{00000000-0010-0000-0000-000006000000}" name="Training_Hours"/>
    <tableColumn id="7" xr3:uid="{00000000-0010-0000-0000-000007000000}" name="Salary_K (Per Annum)"/>
    <tableColumn id="8" xr3:uid="{00000000-0010-0000-0000-000008000000}" name="Performance_Rating"/>
    <tableColumn id="9" xr3:uid="{AAA2D705-BA83-EE48-8FF4-44C161480315}" name="Column1" dataDxfId="0">
      <calculatedColumnFormula>IF(AND(data!E2 &gt; PERCENTILE(data!E$2:E$101, 0.9),data!F2 &gt; 30), "Top Tier Potential", "Standard")</calculatedColumnFormula>
    </tableColumn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"/>
  <sheetViews>
    <sheetView zoomScale="159" workbookViewId="0">
      <pane ySplit="1" topLeftCell="A86" activePane="bottomLeft" state="frozen"/>
      <selection pane="bottomLeft" activeCell="J8" sqref="J8"/>
    </sheetView>
  </sheetViews>
  <sheetFormatPr baseColWidth="10" defaultColWidth="12.6640625" defaultRowHeight="15.75" customHeight="1"/>
  <cols>
    <col min="1" max="1" width="15" customWidth="1"/>
    <col min="2" max="2" width="17.5" customWidth="1"/>
    <col min="3" max="3" width="18.6640625" customWidth="1"/>
    <col min="4" max="4" width="21.33203125" customWidth="1"/>
    <col min="5" max="5" width="28.33203125" customWidth="1"/>
    <col min="6" max="6" width="20" customWidth="1"/>
    <col min="7" max="7" width="24.83203125" customWidth="1"/>
    <col min="8" max="8" width="23.8320312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138</v>
      </c>
    </row>
    <row r="2" spans="1:9" ht="22.5" customHeight="1">
      <c r="A2" s="2" t="s">
        <v>8</v>
      </c>
      <c r="B2" s="2" t="s">
        <v>9</v>
      </c>
      <c r="C2" s="2">
        <v>3.5</v>
      </c>
      <c r="D2" s="2">
        <v>120</v>
      </c>
      <c r="E2" s="2">
        <v>88</v>
      </c>
      <c r="F2" s="2">
        <v>15</v>
      </c>
      <c r="G2" s="2">
        <v>85</v>
      </c>
      <c r="H2" s="2" t="s">
        <v>10</v>
      </c>
      <c r="I2" t="str">
        <f>IF(AND(data!E2 &gt; PERCENTILE(data!E$2:E$101, 0.9),data!F2 &gt; 30), "Top Tier Potential", "Standard")</f>
        <v>Standard</v>
      </c>
    </row>
    <row r="3" spans="1:9" ht="22.5" customHeight="1">
      <c r="A3" s="2" t="s">
        <v>11</v>
      </c>
      <c r="B3" s="2" t="s">
        <v>12</v>
      </c>
      <c r="C3" s="2">
        <v>1.2</v>
      </c>
      <c r="D3" s="2">
        <v>0</v>
      </c>
      <c r="E3" s="2">
        <v>95</v>
      </c>
      <c r="F3" s="2">
        <v>40</v>
      </c>
      <c r="G3" s="2">
        <v>70</v>
      </c>
      <c r="H3" s="2" t="s">
        <v>13</v>
      </c>
      <c r="I3" t="str">
        <f>IF(AND(data!E3 &gt; PERCENTILE(data!E$2:E$101, 0.9),data!F3 &gt; 30), "Top Tier Potential", "Standard")</f>
        <v>Top Tier Potential</v>
      </c>
    </row>
    <row r="4" spans="1:9" ht="22.5" customHeight="1">
      <c r="A4" s="2" t="s">
        <v>14</v>
      </c>
      <c r="B4" s="2" t="s">
        <v>15</v>
      </c>
      <c r="C4" s="2">
        <v>7.1</v>
      </c>
      <c r="D4" s="2">
        <v>55</v>
      </c>
      <c r="E4" s="2">
        <v>72</v>
      </c>
      <c r="F4" s="2">
        <v>8</v>
      </c>
      <c r="G4" s="2">
        <v>95</v>
      </c>
      <c r="H4" s="2" t="s">
        <v>16</v>
      </c>
      <c r="I4" t="str">
        <f>IF(AND(data!E4 &gt; PERCENTILE(data!E$2:E$101, 0.9),data!F4 &gt; 30), "Top Tier Potential", "Standard")</f>
        <v>Standard</v>
      </c>
    </row>
    <row r="5" spans="1:9" ht="22.5" customHeight="1">
      <c r="A5" s="2" t="s">
        <v>17</v>
      </c>
      <c r="B5" s="2" t="s">
        <v>9</v>
      </c>
      <c r="C5" s="2">
        <v>0.8</v>
      </c>
      <c r="D5" s="2">
        <v>155</v>
      </c>
      <c r="E5" s="2">
        <v>81</v>
      </c>
      <c r="F5" s="2">
        <v>25</v>
      </c>
      <c r="G5" s="2">
        <v>65</v>
      </c>
      <c r="H5" s="2" t="s">
        <v>10</v>
      </c>
      <c r="I5" t="str">
        <f>IF(AND(data!E5 &gt; PERCENTILE(data!E$2:E$101, 0.9),data!F5 &gt; 30), "Top Tier Potential", "Standard")</f>
        <v>Standard</v>
      </c>
    </row>
    <row r="6" spans="1:9" ht="22.5" customHeight="1">
      <c r="A6" s="2" t="s">
        <v>18</v>
      </c>
      <c r="B6" s="2" t="s">
        <v>19</v>
      </c>
      <c r="C6" s="2">
        <v>5.9</v>
      </c>
      <c r="D6" s="2">
        <v>0</v>
      </c>
      <c r="E6" s="2">
        <v>60</v>
      </c>
      <c r="F6" s="2">
        <v>12</v>
      </c>
      <c r="G6" s="2">
        <v>75</v>
      </c>
      <c r="H6" s="2" t="s">
        <v>16</v>
      </c>
      <c r="I6" t="str">
        <f>IF(AND(data!E6 &gt; PERCENTILE(data!E$2:E$101, 0.9),data!F6 &gt; 30), "Top Tier Potential", "Standard")</f>
        <v>Standard</v>
      </c>
    </row>
    <row r="7" spans="1:9" ht="22.5" customHeight="1">
      <c r="A7" s="2" t="s">
        <v>20</v>
      </c>
      <c r="B7" s="2" t="s">
        <v>12</v>
      </c>
      <c r="C7" s="2">
        <v>3.1</v>
      </c>
      <c r="D7" s="2">
        <v>0</v>
      </c>
      <c r="E7" s="2">
        <v>78</v>
      </c>
      <c r="F7" s="2">
        <v>33</v>
      </c>
      <c r="G7" s="2">
        <v>88</v>
      </c>
      <c r="H7" s="2" t="s">
        <v>13</v>
      </c>
      <c r="I7" t="str">
        <f>IF(AND(data!E7 &gt; PERCENTILE(data!E$2:E$101, 0.9),data!F7 &gt; 30), "Top Tier Potential", "Standard")</f>
        <v>Standard</v>
      </c>
    </row>
    <row r="8" spans="1:9" ht="22.5" customHeight="1">
      <c r="A8" s="2" t="s">
        <v>21</v>
      </c>
      <c r="B8" s="2" t="s">
        <v>9</v>
      </c>
      <c r="C8" s="2">
        <v>4.9000000000000004</v>
      </c>
      <c r="D8" s="2">
        <v>102</v>
      </c>
      <c r="E8" s="2">
        <v>92</v>
      </c>
      <c r="F8" s="2">
        <v>18</v>
      </c>
      <c r="G8" s="2">
        <v>98</v>
      </c>
      <c r="H8" s="2" t="s">
        <v>10</v>
      </c>
      <c r="I8" t="str">
        <f>IF(AND(data!E8 &gt; PERCENTILE(data!E$2:E$101, 0.9),data!F8 &gt; 30), "Top Tier Potential", "Standard")</f>
        <v>Standard</v>
      </c>
    </row>
    <row r="9" spans="1:9" ht="22.5" customHeight="1">
      <c r="A9" s="2" t="s">
        <v>22</v>
      </c>
      <c r="B9" s="2" t="s">
        <v>15</v>
      </c>
      <c r="C9" s="2">
        <v>0.5</v>
      </c>
      <c r="D9" s="2">
        <v>40</v>
      </c>
      <c r="E9" s="2">
        <v>65</v>
      </c>
      <c r="F9" s="2">
        <v>5</v>
      </c>
      <c r="G9" s="2">
        <v>55</v>
      </c>
      <c r="H9" s="2" t="s">
        <v>16</v>
      </c>
      <c r="I9" t="str">
        <f>IF(AND(data!E9 &gt; PERCENTILE(data!E$2:E$101, 0.9),data!F9 &gt; 30), "Top Tier Potential", "Standard")</f>
        <v>Standard</v>
      </c>
    </row>
    <row r="10" spans="1:9" ht="22.5" customHeight="1">
      <c r="A10" s="2" t="s">
        <v>23</v>
      </c>
      <c r="B10" s="2" t="s">
        <v>19</v>
      </c>
      <c r="C10" s="2">
        <v>1.5</v>
      </c>
      <c r="D10" s="2">
        <v>0</v>
      </c>
      <c r="E10" s="2">
        <v>70</v>
      </c>
      <c r="F10" s="2">
        <v>20</v>
      </c>
      <c r="G10" s="2">
        <v>68</v>
      </c>
      <c r="H10" s="2" t="s">
        <v>16</v>
      </c>
      <c r="I10" t="str">
        <f>IF(AND(data!E10 &gt; PERCENTILE(data!E$2:E$101, 0.9),data!F10 &gt; 30), "Top Tier Potential", "Standard")</f>
        <v>Standard</v>
      </c>
    </row>
    <row r="11" spans="1:9" ht="22.5" customHeight="1">
      <c r="A11" s="2" t="s">
        <v>24</v>
      </c>
      <c r="B11" s="2" t="s">
        <v>9</v>
      </c>
      <c r="C11" s="2">
        <v>2.2000000000000002</v>
      </c>
      <c r="D11" s="2">
        <v>135</v>
      </c>
      <c r="E11" s="2">
        <v>85</v>
      </c>
      <c r="F11" s="2">
        <v>10</v>
      </c>
      <c r="G11" s="2">
        <v>78</v>
      </c>
      <c r="H11" s="2" t="s">
        <v>10</v>
      </c>
      <c r="I11" t="str">
        <f>IF(AND(data!E11 &gt; PERCENTILE(data!E$2:E$101, 0.9),data!F11 &gt; 30), "Top Tier Potential", "Standard")</f>
        <v>Standard</v>
      </c>
    </row>
    <row r="12" spans="1:9" ht="22.5" customHeight="1">
      <c r="A12" s="2" t="s">
        <v>25</v>
      </c>
      <c r="B12" s="2" t="s">
        <v>12</v>
      </c>
      <c r="C12" s="2">
        <v>8</v>
      </c>
      <c r="D12" s="2">
        <v>0</v>
      </c>
      <c r="E12" s="2">
        <v>98</v>
      </c>
      <c r="F12" s="2">
        <v>50</v>
      </c>
      <c r="G12" s="2">
        <v>110</v>
      </c>
      <c r="H12" s="2" t="s">
        <v>13</v>
      </c>
      <c r="I12" t="str">
        <f>IF(AND(data!E12 &gt; PERCENTILE(data!E$2:E$101, 0.9),data!F12 &gt; 30), "Top Tier Potential", "Standard")</f>
        <v>Top Tier Potential</v>
      </c>
    </row>
    <row r="13" spans="1:9" ht="22.5" customHeight="1">
      <c r="A13" s="2" t="s">
        <v>26</v>
      </c>
      <c r="B13" s="2" t="s">
        <v>15</v>
      </c>
      <c r="C13" s="2">
        <v>1</v>
      </c>
      <c r="D13" s="2">
        <v>30</v>
      </c>
      <c r="E13" s="2">
        <v>75</v>
      </c>
      <c r="F13" s="2">
        <v>15</v>
      </c>
      <c r="G13" s="2">
        <v>60</v>
      </c>
      <c r="H13" s="2" t="s">
        <v>16</v>
      </c>
      <c r="I13" t="str">
        <f>IF(AND(data!E13 &gt; PERCENTILE(data!E$2:E$101, 0.9),data!F13 &gt; 30), "Top Tier Potential", "Standard")</f>
        <v>Standard</v>
      </c>
    </row>
    <row r="14" spans="1:9" ht="22.5" customHeight="1">
      <c r="A14" s="2" t="s">
        <v>27</v>
      </c>
      <c r="B14" s="2" t="s">
        <v>19</v>
      </c>
      <c r="C14" s="2">
        <v>0.3</v>
      </c>
      <c r="D14" s="2">
        <v>0</v>
      </c>
      <c r="E14" s="2">
        <v>55</v>
      </c>
      <c r="F14" s="2">
        <v>2</v>
      </c>
      <c r="G14" s="2">
        <v>50</v>
      </c>
      <c r="H14" s="2" t="s">
        <v>28</v>
      </c>
      <c r="I14" t="str">
        <f>IF(AND(data!E14 &gt; PERCENTILE(data!E$2:E$101, 0.9),data!F14 &gt; 30), "Top Tier Potential", "Standard")</f>
        <v>Standard</v>
      </c>
    </row>
    <row r="15" spans="1:9" ht="22.5" customHeight="1">
      <c r="A15" s="2" t="s">
        <v>29</v>
      </c>
      <c r="B15" s="2" t="s">
        <v>9</v>
      </c>
      <c r="C15" s="2">
        <v>6.5</v>
      </c>
      <c r="D15" s="2">
        <v>90</v>
      </c>
      <c r="E15" s="2">
        <v>80</v>
      </c>
      <c r="F15" s="2">
        <v>22</v>
      </c>
      <c r="G15" s="2">
        <v>90</v>
      </c>
      <c r="H15" s="2" t="s">
        <v>13</v>
      </c>
      <c r="I15" t="str">
        <f>IF(AND(data!E15 &gt; PERCENTILE(data!E$2:E$101, 0.9),data!F15 &gt; 30), "Top Tier Potential", "Standard")</f>
        <v>Standard</v>
      </c>
    </row>
    <row r="16" spans="1:9" ht="22.5" customHeight="1">
      <c r="A16" s="2" t="s">
        <v>30</v>
      </c>
      <c r="B16" s="2" t="s">
        <v>12</v>
      </c>
      <c r="C16" s="2">
        <v>4</v>
      </c>
      <c r="D16" s="2">
        <v>0</v>
      </c>
      <c r="E16" s="2">
        <v>89</v>
      </c>
      <c r="F16" s="2">
        <v>38</v>
      </c>
      <c r="G16" s="2">
        <v>95</v>
      </c>
      <c r="H16" s="2" t="s">
        <v>13</v>
      </c>
      <c r="I16" t="str">
        <f>IF(AND(data!E16 &gt; PERCENTILE(data!E$2:E$101, 0.9),data!F16 &gt; 30), "Top Tier Potential", "Standard")</f>
        <v>Standard</v>
      </c>
    </row>
    <row r="17" spans="1:11" ht="22.5" customHeight="1">
      <c r="A17" s="2" t="s">
        <v>31</v>
      </c>
      <c r="B17" s="2" t="s">
        <v>15</v>
      </c>
      <c r="C17" s="2">
        <v>2.8</v>
      </c>
      <c r="D17" s="2">
        <v>62</v>
      </c>
      <c r="E17" s="2">
        <v>79</v>
      </c>
      <c r="F17" s="2">
        <v>14</v>
      </c>
      <c r="G17" s="2">
        <v>82</v>
      </c>
      <c r="H17" s="2" t="s">
        <v>16</v>
      </c>
      <c r="I17" t="str">
        <f>IF(AND(data!E17 &gt; PERCENTILE(data!E$2:E$101, 0.9),data!F17 &gt; 30), "Top Tier Potential", "Standard")</f>
        <v>Standard</v>
      </c>
    </row>
    <row r="18" spans="1:11" ht="22.5" customHeight="1">
      <c r="A18" s="2" t="s">
        <v>32</v>
      </c>
      <c r="B18" s="2" t="s">
        <v>9</v>
      </c>
      <c r="C18" s="2">
        <v>1.9</v>
      </c>
      <c r="D18" s="2">
        <v>145</v>
      </c>
      <c r="E18" s="2">
        <v>87</v>
      </c>
      <c r="F18" s="2">
        <v>30</v>
      </c>
      <c r="G18" s="2">
        <v>75</v>
      </c>
      <c r="H18" s="2" t="s">
        <v>10</v>
      </c>
      <c r="I18" t="str">
        <f>IF(AND(data!E18 &gt; PERCENTILE(data!E$2:E$101, 0.9),data!F18 &gt; 30), "Top Tier Potential", "Standard")</f>
        <v>Standard</v>
      </c>
    </row>
    <row r="19" spans="1:11" ht="22.5" customHeight="1">
      <c r="A19" s="2" t="s">
        <v>33</v>
      </c>
      <c r="B19" s="2" t="s">
        <v>19</v>
      </c>
      <c r="C19" s="2">
        <v>7.5</v>
      </c>
      <c r="D19" s="2">
        <v>0</v>
      </c>
      <c r="E19" s="2">
        <v>62</v>
      </c>
      <c r="F19" s="2">
        <v>10</v>
      </c>
      <c r="G19" s="2">
        <v>80</v>
      </c>
      <c r="H19" s="2" t="s">
        <v>16</v>
      </c>
      <c r="I19" t="str">
        <f>IF(AND(data!E19 &gt; PERCENTILE(data!E$2:E$101, 0.9),data!F19 &gt; 30), "Top Tier Potential", "Standard")</f>
        <v>Standard</v>
      </c>
      <c r="K19">
        <f>PERCENTILE(data!E$2:E$101, 0.9)</f>
        <v>92</v>
      </c>
    </row>
    <row r="20" spans="1:11" ht="22.5" customHeight="1">
      <c r="A20" s="2" t="s">
        <v>34</v>
      </c>
      <c r="B20" s="2" t="s">
        <v>12</v>
      </c>
      <c r="C20" s="2">
        <v>0.9</v>
      </c>
      <c r="D20" s="2">
        <v>0</v>
      </c>
      <c r="E20" s="2">
        <v>74</v>
      </c>
      <c r="F20" s="2">
        <v>28</v>
      </c>
      <c r="G20" s="2">
        <v>65</v>
      </c>
      <c r="H20" s="2" t="s">
        <v>13</v>
      </c>
      <c r="I20" t="str">
        <f>IF(AND(data!E20 &gt; PERCENTILE(data!E$2:E$101, 0.9),data!F20 &gt; 30), "Top Tier Potential", "Standard")</f>
        <v>Standard</v>
      </c>
    </row>
    <row r="21" spans="1:11" ht="22.5" customHeight="1">
      <c r="A21" s="2" t="s">
        <v>35</v>
      </c>
      <c r="B21" s="2" t="s">
        <v>15</v>
      </c>
      <c r="C21" s="2">
        <v>5.2</v>
      </c>
      <c r="D21" s="2">
        <v>70</v>
      </c>
      <c r="E21" s="2">
        <v>83</v>
      </c>
      <c r="F21" s="2">
        <v>17</v>
      </c>
      <c r="G21" s="2">
        <v>105</v>
      </c>
      <c r="H21" s="2" t="s">
        <v>13</v>
      </c>
      <c r="I21" t="str">
        <f>IF(AND(data!E21 &gt; PERCENTILE(data!E$2:E$101, 0.9),data!F21 &gt; 30), "Top Tier Potential", "Standard")</f>
        <v>Standard</v>
      </c>
    </row>
    <row r="22" spans="1:11" ht="22.5" customHeight="1">
      <c r="A22" s="2" t="s">
        <v>36</v>
      </c>
      <c r="B22" s="2" t="s">
        <v>9</v>
      </c>
      <c r="C22" s="2">
        <v>3.8</v>
      </c>
      <c r="D22" s="2">
        <v>115</v>
      </c>
      <c r="E22" s="2">
        <v>90</v>
      </c>
      <c r="F22" s="2">
        <v>16</v>
      </c>
      <c r="G22" s="2">
        <v>82</v>
      </c>
      <c r="H22" s="2" t="s">
        <v>10</v>
      </c>
      <c r="I22" t="str">
        <f>IF(AND(data!E22 &gt; PERCENTILE(data!E$2:E$101, 0.9),data!F22 &gt; 30), "Top Tier Potential", "Standard")</f>
        <v>Standard</v>
      </c>
    </row>
    <row r="23" spans="1:11" ht="22.5" customHeight="1">
      <c r="A23" s="2" t="s">
        <v>37</v>
      </c>
      <c r="B23" s="2" t="s">
        <v>12</v>
      </c>
      <c r="C23" s="2">
        <v>2.5</v>
      </c>
      <c r="D23" s="2">
        <v>0</v>
      </c>
      <c r="E23" s="2">
        <v>86</v>
      </c>
      <c r="F23" s="2">
        <v>35</v>
      </c>
      <c r="G23" s="2">
        <v>78</v>
      </c>
      <c r="H23" s="2" t="s">
        <v>13</v>
      </c>
      <c r="I23" t="str">
        <f>IF(AND(data!E23 &gt; PERCENTILE(data!E$2:E$101, 0.9),data!F23 &gt; 30), "Top Tier Potential", "Standard")</f>
        <v>Standard</v>
      </c>
    </row>
    <row r="24" spans="1:11" ht="22.5" customHeight="1">
      <c r="A24" s="2" t="s">
        <v>38</v>
      </c>
      <c r="B24" s="2" t="s">
        <v>19</v>
      </c>
      <c r="C24" s="2">
        <v>1.1000000000000001</v>
      </c>
      <c r="D24" s="2">
        <v>0</v>
      </c>
      <c r="E24" s="2">
        <v>68</v>
      </c>
      <c r="F24" s="2">
        <v>9</v>
      </c>
      <c r="G24" s="2">
        <v>62</v>
      </c>
      <c r="H24" s="2" t="s">
        <v>16</v>
      </c>
      <c r="I24" t="str">
        <f>IF(AND(data!E24 &gt; PERCENTILE(data!E$2:E$101, 0.9),data!F24 &gt; 30), "Top Tier Potential", "Standard")</f>
        <v>Standard</v>
      </c>
    </row>
    <row r="25" spans="1:11" ht="22.5" customHeight="1">
      <c r="A25" s="2" t="s">
        <v>39</v>
      </c>
      <c r="B25" s="2" t="s">
        <v>15</v>
      </c>
      <c r="C25" s="2">
        <v>6</v>
      </c>
      <c r="D25" s="2">
        <v>48</v>
      </c>
      <c r="E25" s="2">
        <v>76</v>
      </c>
      <c r="F25" s="2">
        <v>11</v>
      </c>
      <c r="G25" s="2">
        <v>92</v>
      </c>
      <c r="H25" s="2" t="s">
        <v>16</v>
      </c>
      <c r="I25" t="str">
        <f>IF(AND(data!E25 &gt; PERCENTILE(data!E$2:E$101, 0.9),data!F25 &gt; 30), "Top Tier Potential", "Standard")</f>
        <v>Standard</v>
      </c>
    </row>
    <row r="26" spans="1:11" ht="22.5" customHeight="1">
      <c r="A26" s="2" t="s">
        <v>40</v>
      </c>
      <c r="B26" s="2" t="s">
        <v>9</v>
      </c>
      <c r="C26" s="2">
        <v>0.7</v>
      </c>
      <c r="D26" s="2">
        <v>160</v>
      </c>
      <c r="E26" s="2">
        <v>84</v>
      </c>
      <c r="F26" s="2">
        <v>28</v>
      </c>
      <c r="G26" s="2">
        <v>68</v>
      </c>
      <c r="H26" s="2" t="s">
        <v>10</v>
      </c>
      <c r="I26" t="str">
        <f>IF(AND(data!E26 &gt; PERCENTILE(data!E$2:E$101, 0.9),data!F26 &gt; 30), "Top Tier Potential", "Standard")</f>
        <v>Standard</v>
      </c>
    </row>
    <row r="27" spans="1:11" ht="22.5" customHeight="1">
      <c r="A27" s="2" t="s">
        <v>41</v>
      </c>
      <c r="B27" s="2" t="s">
        <v>12</v>
      </c>
      <c r="C27" s="2">
        <v>5.5</v>
      </c>
      <c r="D27" s="2">
        <v>0</v>
      </c>
      <c r="E27" s="2">
        <v>91</v>
      </c>
      <c r="F27" s="2">
        <v>45</v>
      </c>
      <c r="G27" s="2">
        <v>100</v>
      </c>
      <c r="H27" s="2" t="s">
        <v>13</v>
      </c>
      <c r="I27" t="str">
        <f>IF(AND(data!E27 &gt; PERCENTILE(data!E$2:E$101, 0.9),data!F27 &gt; 30), "Top Tier Potential", "Standard")</f>
        <v>Standard</v>
      </c>
      <c r="K27">
        <f>+N31</f>
        <v>0</v>
      </c>
    </row>
    <row r="28" spans="1:11" ht="22.5" customHeight="1">
      <c r="A28" s="2" t="s">
        <v>42</v>
      </c>
      <c r="B28" s="2" t="s">
        <v>19</v>
      </c>
      <c r="C28" s="2">
        <v>4.2</v>
      </c>
      <c r="D28" s="2">
        <v>0</v>
      </c>
      <c r="E28" s="2">
        <v>58</v>
      </c>
      <c r="F28" s="2">
        <v>7</v>
      </c>
      <c r="G28" s="2">
        <v>70</v>
      </c>
      <c r="H28" s="2" t="s">
        <v>16</v>
      </c>
      <c r="I28" t="str">
        <f>IF(AND(data!E28 &gt; PERCENTILE(data!E$2:E$101, 0.9),data!F28 &gt; 30), "Top Tier Potential", "Standard")</f>
        <v>Standard</v>
      </c>
    </row>
    <row r="29" spans="1:11" ht="22.5" customHeight="1">
      <c r="A29" s="2" t="s">
        <v>43</v>
      </c>
      <c r="B29" s="2" t="s">
        <v>9</v>
      </c>
      <c r="C29" s="2">
        <v>1.5</v>
      </c>
      <c r="D29" s="2">
        <v>125</v>
      </c>
      <c r="E29" s="2">
        <v>89</v>
      </c>
      <c r="F29" s="2">
        <v>20</v>
      </c>
      <c r="G29" s="2">
        <v>72</v>
      </c>
      <c r="H29" s="2" t="s">
        <v>10</v>
      </c>
      <c r="I29" t="str">
        <f>IF(AND(data!E29 &gt; PERCENTILE(data!E$2:E$101, 0.9),data!F29 &gt; 30), "Top Tier Potential", "Standard")</f>
        <v>Standard</v>
      </c>
    </row>
    <row r="30" spans="1:11" ht="22.5" customHeight="1">
      <c r="A30" s="2" t="s">
        <v>44</v>
      </c>
      <c r="B30" s="2" t="s">
        <v>15</v>
      </c>
      <c r="C30" s="2">
        <v>3.3</v>
      </c>
      <c r="D30" s="2">
        <v>58</v>
      </c>
      <c r="E30" s="2">
        <v>73</v>
      </c>
      <c r="F30" s="2">
        <v>13</v>
      </c>
      <c r="G30" s="2">
        <v>85</v>
      </c>
      <c r="H30" s="2" t="s">
        <v>16</v>
      </c>
      <c r="I30" t="str">
        <f>IF(AND(data!E30 &gt; PERCENTILE(data!E$2:E$101, 0.9),data!F30 &gt; 30), "Top Tier Potential", "Standard")</f>
        <v>Standard</v>
      </c>
    </row>
    <row r="31" spans="1:11" ht="22.5" customHeight="1">
      <c r="A31" s="2" t="s">
        <v>45</v>
      </c>
      <c r="B31" s="2" t="s">
        <v>12</v>
      </c>
      <c r="C31" s="2">
        <v>7</v>
      </c>
      <c r="D31" s="2">
        <v>0</v>
      </c>
      <c r="E31" s="2">
        <v>93</v>
      </c>
      <c r="F31" s="2">
        <v>42</v>
      </c>
      <c r="G31" s="2">
        <v>108</v>
      </c>
      <c r="H31" s="2" t="s">
        <v>13</v>
      </c>
      <c r="I31" t="str">
        <f>IF(AND(data!E31 &gt; PERCENTILE(data!E$2:E$101, 0.9),data!F31 &gt; 30), "Top Tier Potential", "Standard")</f>
        <v>Top Tier Potential</v>
      </c>
    </row>
    <row r="32" spans="1:11" ht="22.5" customHeight="1">
      <c r="A32" s="2" t="s">
        <v>46</v>
      </c>
      <c r="B32" s="2" t="s">
        <v>9</v>
      </c>
      <c r="C32" s="2">
        <v>2.9</v>
      </c>
      <c r="D32" s="2">
        <v>105</v>
      </c>
      <c r="E32" s="2">
        <v>86</v>
      </c>
      <c r="F32" s="2">
        <v>17</v>
      </c>
      <c r="G32" s="2">
        <v>80</v>
      </c>
      <c r="H32" s="2" t="s">
        <v>10</v>
      </c>
      <c r="I32" t="str">
        <f>IF(AND(data!E32 &gt; PERCENTILE(data!E$2:E$101, 0.9),data!F32 &gt; 30), "Top Tier Potential", "Standard")</f>
        <v>Standard</v>
      </c>
    </row>
    <row r="33" spans="1:9" ht="22.5" customHeight="1">
      <c r="A33" s="2" t="s">
        <v>47</v>
      </c>
      <c r="B33" s="2" t="s">
        <v>19</v>
      </c>
      <c r="C33" s="2">
        <v>6.8</v>
      </c>
      <c r="D33" s="2">
        <v>0</v>
      </c>
      <c r="E33" s="2">
        <v>64</v>
      </c>
      <c r="F33" s="2">
        <v>11</v>
      </c>
      <c r="G33" s="2">
        <v>78</v>
      </c>
      <c r="H33" s="2" t="s">
        <v>16</v>
      </c>
      <c r="I33" t="str">
        <f>IF(AND(data!E33 &gt; PERCENTILE(data!E$2:E$101, 0.9),data!F33 &gt; 30), "Top Tier Potential", "Standard")</f>
        <v>Standard</v>
      </c>
    </row>
    <row r="34" spans="1:9" ht="22.5" customHeight="1">
      <c r="A34" s="2" t="s">
        <v>48</v>
      </c>
      <c r="B34" s="2" t="s">
        <v>12</v>
      </c>
      <c r="C34" s="2">
        <v>1.8</v>
      </c>
      <c r="D34" s="2">
        <v>0</v>
      </c>
      <c r="E34" s="2">
        <v>76</v>
      </c>
      <c r="F34" s="2">
        <v>31</v>
      </c>
      <c r="G34" s="2">
        <v>72</v>
      </c>
      <c r="H34" s="2" t="s">
        <v>13</v>
      </c>
      <c r="I34" t="str">
        <f>IF(AND(data!E34 &gt; PERCENTILE(data!E$2:E$101, 0.9),data!F34 &gt; 30), "Top Tier Potential", "Standard")</f>
        <v>Standard</v>
      </c>
    </row>
    <row r="35" spans="1:9" ht="22.5" customHeight="1">
      <c r="A35" s="2" t="s">
        <v>49</v>
      </c>
      <c r="B35" s="2" t="s">
        <v>15</v>
      </c>
      <c r="C35" s="2">
        <v>0.4</v>
      </c>
      <c r="D35" s="2">
        <v>35</v>
      </c>
      <c r="E35" s="2">
        <v>67</v>
      </c>
      <c r="F35" s="2">
        <v>4</v>
      </c>
      <c r="G35" s="2">
        <v>58</v>
      </c>
      <c r="H35" s="2" t="s">
        <v>28</v>
      </c>
      <c r="I35" t="str">
        <f>IF(AND(data!E35 &gt; PERCENTILE(data!E$2:E$101, 0.9),data!F35 &gt; 30), "Top Tier Potential", "Standard")</f>
        <v>Standard</v>
      </c>
    </row>
    <row r="36" spans="1:9" ht="22.5" customHeight="1">
      <c r="A36" s="2" t="s">
        <v>50</v>
      </c>
      <c r="B36" s="2" t="s">
        <v>9</v>
      </c>
      <c r="C36" s="2">
        <v>5</v>
      </c>
      <c r="D36" s="2">
        <v>95</v>
      </c>
      <c r="E36" s="2">
        <v>82</v>
      </c>
      <c r="F36" s="2">
        <v>24</v>
      </c>
      <c r="G36" s="2">
        <v>88</v>
      </c>
      <c r="H36" s="2" t="s">
        <v>13</v>
      </c>
      <c r="I36" t="str">
        <f>IF(AND(data!E36 &gt; PERCENTILE(data!E$2:E$101, 0.9),data!F36 &gt; 30), "Top Tier Potential", "Standard")</f>
        <v>Standard</v>
      </c>
    </row>
    <row r="37" spans="1:9" ht="22.5" customHeight="1">
      <c r="A37" s="2" t="s">
        <v>51</v>
      </c>
      <c r="B37" s="2" t="s">
        <v>12</v>
      </c>
      <c r="C37" s="2">
        <v>3.7</v>
      </c>
      <c r="D37" s="2">
        <v>0</v>
      </c>
      <c r="E37" s="2">
        <v>96</v>
      </c>
      <c r="F37" s="2">
        <v>48</v>
      </c>
      <c r="G37" s="2">
        <v>98</v>
      </c>
      <c r="H37" s="2" t="s">
        <v>13</v>
      </c>
      <c r="I37" t="str">
        <f>IF(AND(data!E37 &gt; PERCENTILE(data!E$2:E$101, 0.9),data!F37 &gt; 30), "Top Tier Potential", "Standard")</f>
        <v>Top Tier Potential</v>
      </c>
    </row>
    <row r="38" spans="1:9" ht="22.5" customHeight="1">
      <c r="A38" s="2" t="s">
        <v>52</v>
      </c>
      <c r="B38" s="2" t="s">
        <v>19</v>
      </c>
      <c r="C38" s="2">
        <v>2.1</v>
      </c>
      <c r="D38" s="2">
        <v>0</v>
      </c>
      <c r="E38" s="2">
        <v>66</v>
      </c>
      <c r="F38" s="2">
        <v>18</v>
      </c>
      <c r="G38" s="2">
        <v>65</v>
      </c>
      <c r="H38" s="2" t="s">
        <v>16</v>
      </c>
      <c r="I38" t="str">
        <f>IF(AND(data!E38 &gt; PERCENTILE(data!E$2:E$101, 0.9),data!F38 &gt; 30), "Top Tier Potential", "Standard")</f>
        <v>Standard</v>
      </c>
    </row>
    <row r="39" spans="1:9" ht="22.5" customHeight="1">
      <c r="A39" s="2" t="s">
        <v>53</v>
      </c>
      <c r="B39" s="2" t="s">
        <v>9</v>
      </c>
      <c r="C39" s="2">
        <v>7.8</v>
      </c>
      <c r="D39" s="2">
        <v>85</v>
      </c>
      <c r="E39" s="2">
        <v>77</v>
      </c>
      <c r="F39" s="2">
        <v>19</v>
      </c>
      <c r="G39" s="2">
        <v>92</v>
      </c>
      <c r="H39" s="2" t="s">
        <v>13</v>
      </c>
      <c r="I39" t="str">
        <f>IF(AND(data!E39 &gt; PERCENTILE(data!E$2:E$101, 0.9),data!F39 &gt; 30), "Top Tier Potential", "Standard")</f>
        <v>Standard</v>
      </c>
    </row>
    <row r="40" spans="1:9" ht="22.5" customHeight="1">
      <c r="A40" s="2" t="s">
        <v>54</v>
      </c>
      <c r="B40" s="2" t="s">
        <v>15</v>
      </c>
      <c r="C40" s="2">
        <v>1.4</v>
      </c>
      <c r="D40" s="2">
        <v>50</v>
      </c>
      <c r="E40" s="2">
        <v>71</v>
      </c>
      <c r="F40" s="2">
        <v>10</v>
      </c>
      <c r="G40" s="2">
        <v>65</v>
      </c>
      <c r="H40" s="2" t="s">
        <v>16</v>
      </c>
      <c r="I40" t="str">
        <f>IF(AND(data!E40 &gt; PERCENTILE(data!E$2:E$101, 0.9),data!F40 &gt; 30), "Top Tier Potential", "Standard")</f>
        <v>Standard</v>
      </c>
    </row>
    <row r="41" spans="1:9" ht="22.5" customHeight="1">
      <c r="A41" s="2" t="s">
        <v>55</v>
      </c>
      <c r="B41" s="2" t="s">
        <v>12</v>
      </c>
      <c r="C41" s="2">
        <v>6.2</v>
      </c>
      <c r="D41" s="2">
        <v>0</v>
      </c>
      <c r="E41" s="2">
        <v>94</v>
      </c>
      <c r="F41" s="2">
        <v>41</v>
      </c>
      <c r="G41" s="2">
        <v>102</v>
      </c>
      <c r="H41" s="2" t="s">
        <v>13</v>
      </c>
      <c r="I41" t="str">
        <f>IF(AND(data!E41 &gt; PERCENTILE(data!E$2:E$101, 0.9),data!F41 &gt; 30), "Top Tier Potential", "Standard")</f>
        <v>Top Tier Potential</v>
      </c>
    </row>
    <row r="42" spans="1:9" ht="22.5" customHeight="1">
      <c r="A42" s="2" t="s">
        <v>56</v>
      </c>
      <c r="B42" s="2" t="s">
        <v>9</v>
      </c>
      <c r="C42" s="2">
        <v>0.5</v>
      </c>
      <c r="D42" s="2">
        <v>170</v>
      </c>
      <c r="E42" s="2">
        <v>80</v>
      </c>
      <c r="F42" s="2">
        <v>27</v>
      </c>
      <c r="G42" s="2">
        <v>62</v>
      </c>
      <c r="H42" s="2" t="s">
        <v>10</v>
      </c>
      <c r="I42" t="str">
        <f>IF(AND(data!E42 &gt; PERCENTILE(data!E$2:E$101, 0.9),data!F42 &gt; 30), "Top Tier Potential", "Standard")</f>
        <v>Standard</v>
      </c>
    </row>
    <row r="43" spans="1:9" ht="22.5" customHeight="1">
      <c r="A43" s="2" t="s">
        <v>57</v>
      </c>
      <c r="B43" s="2" t="s">
        <v>19</v>
      </c>
      <c r="C43" s="2">
        <v>3</v>
      </c>
      <c r="D43" s="2">
        <v>0</v>
      </c>
      <c r="E43" s="2">
        <v>59</v>
      </c>
      <c r="F43" s="2">
        <v>6</v>
      </c>
      <c r="G43" s="2">
        <v>68</v>
      </c>
      <c r="H43" s="2" t="s">
        <v>16</v>
      </c>
      <c r="I43" t="str">
        <f>IF(AND(data!E43 &gt; PERCENTILE(data!E$2:E$101, 0.9),data!F43 &gt; 30), "Top Tier Potential", "Standard")</f>
        <v>Standard</v>
      </c>
    </row>
    <row r="44" spans="1:9" ht="22.5" customHeight="1">
      <c r="A44" s="2" t="s">
        <v>58</v>
      </c>
      <c r="B44" s="2" t="s">
        <v>12</v>
      </c>
      <c r="C44" s="2">
        <v>4.5</v>
      </c>
      <c r="D44" s="2">
        <v>0</v>
      </c>
      <c r="E44" s="2">
        <v>84</v>
      </c>
      <c r="F44" s="2">
        <v>36</v>
      </c>
      <c r="G44" s="2">
        <v>90</v>
      </c>
      <c r="H44" s="2" t="s">
        <v>13</v>
      </c>
      <c r="I44" t="str">
        <f>IF(AND(data!E44 &gt; PERCENTILE(data!E$2:E$101, 0.9),data!F44 &gt; 30), "Top Tier Potential", "Standard")</f>
        <v>Standard</v>
      </c>
    </row>
    <row r="45" spans="1:9" ht="22.5" customHeight="1">
      <c r="A45" s="2" t="s">
        <v>59</v>
      </c>
      <c r="B45" s="2" t="s">
        <v>15</v>
      </c>
      <c r="C45" s="2">
        <v>5.8</v>
      </c>
      <c r="D45" s="2">
        <v>65</v>
      </c>
      <c r="E45" s="2">
        <v>78</v>
      </c>
      <c r="F45" s="2">
        <v>15</v>
      </c>
      <c r="G45" s="2">
        <v>90</v>
      </c>
      <c r="H45" s="2" t="s">
        <v>16</v>
      </c>
      <c r="I45" t="str">
        <f>IF(AND(data!E45 &gt; PERCENTILE(data!E$2:E$101, 0.9),data!F45 &gt; 30), "Top Tier Potential", "Standard")</f>
        <v>Standard</v>
      </c>
    </row>
    <row r="46" spans="1:9" ht="22.5" customHeight="1">
      <c r="A46" s="2" t="s">
        <v>60</v>
      </c>
      <c r="B46" s="2" t="s">
        <v>9</v>
      </c>
      <c r="C46" s="2">
        <v>2.7</v>
      </c>
      <c r="D46" s="2">
        <v>118</v>
      </c>
      <c r="E46" s="2">
        <v>91</v>
      </c>
      <c r="F46" s="2">
        <v>21</v>
      </c>
      <c r="G46" s="2">
        <v>84</v>
      </c>
      <c r="H46" s="2" t="s">
        <v>10</v>
      </c>
      <c r="I46" t="str">
        <f>IF(AND(data!E46 &gt; PERCENTILE(data!E$2:E$101, 0.9),data!F46 &gt; 30), "Top Tier Potential", "Standard")</f>
        <v>Standard</v>
      </c>
    </row>
    <row r="47" spans="1:9" ht="22.5" customHeight="1">
      <c r="A47" s="2" t="s">
        <v>61</v>
      </c>
      <c r="B47" s="2" t="s">
        <v>19</v>
      </c>
      <c r="C47" s="2">
        <v>1.7</v>
      </c>
      <c r="D47" s="2">
        <v>0</v>
      </c>
      <c r="E47" s="2">
        <v>61</v>
      </c>
      <c r="F47" s="2">
        <v>8</v>
      </c>
      <c r="G47" s="2">
        <v>60</v>
      </c>
      <c r="H47" s="2" t="s">
        <v>28</v>
      </c>
      <c r="I47" t="str">
        <f>IF(AND(data!E47 &gt; PERCENTILE(data!E$2:E$101, 0.9),data!F47 &gt; 30), "Top Tier Potential", "Standard")</f>
        <v>Standard</v>
      </c>
    </row>
    <row r="48" spans="1:9" ht="22.5" customHeight="1">
      <c r="A48" s="2" t="s">
        <v>62</v>
      </c>
      <c r="B48" s="2" t="s">
        <v>12</v>
      </c>
      <c r="C48" s="2">
        <v>8.5</v>
      </c>
      <c r="D48" s="2">
        <v>0</v>
      </c>
      <c r="E48" s="2">
        <v>97</v>
      </c>
      <c r="F48" s="2">
        <v>55</v>
      </c>
      <c r="G48" s="2">
        <v>115</v>
      </c>
      <c r="H48" s="2" t="s">
        <v>13</v>
      </c>
      <c r="I48" t="str">
        <f>IF(AND(data!E48 &gt; PERCENTILE(data!E$2:E$101, 0.9),data!F48 &gt; 30), "Top Tier Potential", "Standard")</f>
        <v>Top Tier Potential</v>
      </c>
    </row>
    <row r="49" spans="1:9" ht="22.5" customHeight="1">
      <c r="A49" s="2" t="s">
        <v>63</v>
      </c>
      <c r="B49" s="2" t="s">
        <v>15</v>
      </c>
      <c r="C49" s="2">
        <v>0.9</v>
      </c>
      <c r="D49" s="2">
        <v>42</v>
      </c>
      <c r="E49" s="2">
        <v>69</v>
      </c>
      <c r="F49" s="2">
        <v>7</v>
      </c>
      <c r="G49" s="2">
        <v>57</v>
      </c>
      <c r="H49" s="2" t="s">
        <v>16</v>
      </c>
      <c r="I49" t="str">
        <f>IF(AND(data!E49 &gt; PERCENTILE(data!E$2:E$101, 0.9),data!F49 &gt; 30), "Top Tier Potential", "Standard")</f>
        <v>Standard</v>
      </c>
    </row>
    <row r="50" spans="1:9" ht="22.5" customHeight="1">
      <c r="A50" s="2" t="s">
        <v>64</v>
      </c>
      <c r="B50" s="2" t="s">
        <v>9</v>
      </c>
      <c r="C50" s="2">
        <v>6.1</v>
      </c>
      <c r="D50" s="2">
        <v>80</v>
      </c>
      <c r="E50" s="2">
        <v>79</v>
      </c>
      <c r="F50" s="2">
        <v>23</v>
      </c>
      <c r="G50" s="2">
        <v>86</v>
      </c>
      <c r="H50" s="2" t="s">
        <v>13</v>
      </c>
      <c r="I50" t="str">
        <f>IF(AND(data!E50 &gt; PERCENTILE(data!E$2:E$101, 0.9),data!F50 &gt; 30), "Top Tier Potential", "Standard")</f>
        <v>Standard</v>
      </c>
    </row>
    <row r="51" spans="1:9" ht="22.5" customHeight="1">
      <c r="A51" s="2" t="s">
        <v>65</v>
      </c>
      <c r="B51" s="2" t="s">
        <v>19</v>
      </c>
      <c r="C51" s="2">
        <v>4.8</v>
      </c>
      <c r="D51" s="2">
        <v>0</v>
      </c>
      <c r="E51" s="2">
        <v>63</v>
      </c>
      <c r="F51" s="2">
        <v>13</v>
      </c>
      <c r="G51" s="2">
        <v>72</v>
      </c>
      <c r="H51" s="2" t="s">
        <v>16</v>
      </c>
      <c r="I51" t="str">
        <f>IF(AND(data!E51 &gt; PERCENTILE(data!E$2:E$101, 0.9),data!F51 &gt; 30), "Top Tier Potential", "Standard")</f>
        <v>Standard</v>
      </c>
    </row>
    <row r="52" spans="1:9" ht="22.5" customHeight="1">
      <c r="A52" s="2" t="s">
        <v>66</v>
      </c>
      <c r="B52" s="2" t="s">
        <v>12</v>
      </c>
      <c r="C52" s="2">
        <v>2.2999999999999998</v>
      </c>
      <c r="D52" s="2">
        <v>0</v>
      </c>
      <c r="E52" s="2">
        <v>75</v>
      </c>
      <c r="F52" s="2">
        <v>29</v>
      </c>
      <c r="G52" s="2">
        <v>74</v>
      </c>
      <c r="H52" s="2" t="s">
        <v>13</v>
      </c>
      <c r="I52" t="str">
        <f>IF(AND(data!E52 &gt; PERCENTILE(data!E$2:E$101, 0.9),data!F52 &gt; 30), "Top Tier Potential", "Standard")</f>
        <v>Standard</v>
      </c>
    </row>
    <row r="53" spans="1:9" ht="22.5" customHeight="1">
      <c r="A53" s="2" t="s">
        <v>67</v>
      </c>
      <c r="B53" s="2" t="s">
        <v>15</v>
      </c>
      <c r="C53" s="2">
        <v>3.9</v>
      </c>
      <c r="D53" s="2">
        <v>52</v>
      </c>
      <c r="E53" s="2">
        <v>74</v>
      </c>
      <c r="F53" s="2">
        <v>12</v>
      </c>
      <c r="G53" s="2">
        <v>80</v>
      </c>
      <c r="H53" s="2" t="s">
        <v>16</v>
      </c>
      <c r="I53" t="str">
        <f>IF(AND(data!E53 &gt; PERCENTILE(data!E$2:E$101, 0.9),data!F53 &gt; 30), "Top Tier Potential", "Standard")</f>
        <v>Standard</v>
      </c>
    </row>
    <row r="54" spans="1:9" ht="22.5" customHeight="1">
      <c r="A54" s="2" t="s">
        <v>68</v>
      </c>
      <c r="B54" s="2" t="s">
        <v>9</v>
      </c>
      <c r="C54" s="2">
        <v>1.1000000000000001</v>
      </c>
      <c r="D54" s="2">
        <v>130</v>
      </c>
      <c r="E54" s="2">
        <v>83</v>
      </c>
      <c r="F54" s="2">
        <v>26</v>
      </c>
      <c r="G54" s="2">
        <v>70</v>
      </c>
      <c r="H54" s="2" t="s">
        <v>10</v>
      </c>
      <c r="I54" t="str">
        <f>IF(AND(data!E54 &gt; PERCENTILE(data!E$2:E$101, 0.9),data!F54 &gt; 30), "Top Tier Potential", "Standard")</f>
        <v>Standard</v>
      </c>
    </row>
    <row r="55" spans="1:9" ht="22.5" customHeight="1">
      <c r="A55" s="2" t="s">
        <v>69</v>
      </c>
      <c r="B55" s="2" t="s">
        <v>19</v>
      </c>
      <c r="C55" s="2">
        <v>7.3</v>
      </c>
      <c r="D55" s="2">
        <v>0</v>
      </c>
      <c r="E55" s="2">
        <v>67</v>
      </c>
      <c r="F55" s="2">
        <v>14</v>
      </c>
      <c r="G55" s="2">
        <v>82</v>
      </c>
      <c r="H55" s="2" t="s">
        <v>16</v>
      </c>
      <c r="I55" t="str">
        <f>IF(AND(data!E55 &gt; PERCENTILE(data!E$2:E$101, 0.9),data!F55 &gt; 30), "Top Tier Potential", "Standard")</f>
        <v>Standard</v>
      </c>
    </row>
    <row r="56" spans="1:9" ht="22.5" customHeight="1">
      <c r="A56" s="2" t="s">
        <v>70</v>
      </c>
      <c r="B56" s="2" t="s">
        <v>12</v>
      </c>
      <c r="C56" s="2">
        <v>0.6</v>
      </c>
      <c r="D56" s="2">
        <v>0</v>
      </c>
      <c r="E56" s="2">
        <v>79</v>
      </c>
      <c r="F56" s="2">
        <v>25</v>
      </c>
      <c r="G56" s="2">
        <v>62</v>
      </c>
      <c r="H56" s="2" t="s">
        <v>13</v>
      </c>
      <c r="I56" t="str">
        <f>IF(AND(data!E56 &gt; PERCENTILE(data!E$2:E$101, 0.9),data!F56 &gt; 30), "Top Tier Potential", "Standard")</f>
        <v>Standard</v>
      </c>
    </row>
    <row r="57" spans="1:9" ht="22.5" customHeight="1">
      <c r="A57" s="2" t="s">
        <v>71</v>
      </c>
      <c r="B57" s="2" t="s">
        <v>15</v>
      </c>
      <c r="C57" s="2">
        <v>5.4</v>
      </c>
      <c r="D57" s="2">
        <v>72</v>
      </c>
      <c r="E57" s="2">
        <v>81</v>
      </c>
      <c r="F57" s="2">
        <v>19</v>
      </c>
      <c r="G57" s="2">
        <v>100</v>
      </c>
      <c r="H57" s="2" t="s">
        <v>13</v>
      </c>
      <c r="I57" t="str">
        <f>IF(AND(data!E57 &gt; PERCENTILE(data!E$2:E$101, 0.9),data!F57 &gt; 30), "Top Tier Potential", "Standard")</f>
        <v>Standard</v>
      </c>
    </row>
    <row r="58" spans="1:9" ht="22.5" customHeight="1">
      <c r="A58" s="2" t="s">
        <v>72</v>
      </c>
      <c r="B58" s="2" t="s">
        <v>9</v>
      </c>
      <c r="C58" s="2">
        <v>4.0999999999999996</v>
      </c>
      <c r="D58" s="2">
        <v>110</v>
      </c>
      <c r="E58" s="2">
        <v>88</v>
      </c>
      <c r="F58" s="2">
        <v>18</v>
      </c>
      <c r="G58" s="2">
        <v>86</v>
      </c>
      <c r="H58" s="2" t="s">
        <v>10</v>
      </c>
      <c r="I58" t="str">
        <f>IF(AND(data!E58 &gt; PERCENTILE(data!E$2:E$101, 0.9),data!F58 &gt; 30), "Top Tier Potential", "Standard")</f>
        <v>Standard</v>
      </c>
    </row>
    <row r="59" spans="1:9" ht="22.5" customHeight="1">
      <c r="A59" s="2" t="s">
        <v>73</v>
      </c>
      <c r="B59" s="2" t="s">
        <v>19</v>
      </c>
      <c r="C59" s="2">
        <v>0.7</v>
      </c>
      <c r="D59" s="2">
        <v>0</v>
      </c>
      <c r="E59" s="2">
        <v>56</v>
      </c>
      <c r="F59" s="2">
        <v>3</v>
      </c>
      <c r="G59" s="2">
        <v>55</v>
      </c>
      <c r="H59" s="2" t="s">
        <v>28</v>
      </c>
      <c r="I59" t="str">
        <f>IF(AND(data!E59 &gt; PERCENTILE(data!E$2:E$101, 0.9),data!F59 &gt; 30), "Top Tier Potential", "Standard")</f>
        <v>Standard</v>
      </c>
    </row>
    <row r="60" spans="1:9" ht="22.5" customHeight="1">
      <c r="A60" s="2" t="s">
        <v>74</v>
      </c>
      <c r="B60" s="2" t="s">
        <v>12</v>
      </c>
      <c r="C60" s="2">
        <v>3.4</v>
      </c>
      <c r="D60" s="2">
        <v>0</v>
      </c>
      <c r="E60" s="2">
        <v>85</v>
      </c>
      <c r="F60" s="2">
        <v>37</v>
      </c>
      <c r="G60" s="2">
        <v>84</v>
      </c>
      <c r="H60" s="2" t="s">
        <v>13</v>
      </c>
      <c r="I60" t="str">
        <f>IF(AND(data!E60 &gt; PERCENTILE(data!E$2:E$101, 0.9),data!F60 &gt; 30), "Top Tier Potential", "Standard")</f>
        <v>Standard</v>
      </c>
    </row>
    <row r="61" spans="1:9" ht="22.5" customHeight="1">
      <c r="A61" s="2" t="s">
        <v>75</v>
      </c>
      <c r="B61" s="2" t="s">
        <v>15</v>
      </c>
      <c r="C61" s="2">
        <v>6.6</v>
      </c>
      <c r="D61" s="2">
        <v>45</v>
      </c>
      <c r="E61" s="2">
        <v>77</v>
      </c>
      <c r="F61" s="2">
        <v>10</v>
      </c>
      <c r="G61" s="2">
        <v>98</v>
      </c>
      <c r="H61" s="2" t="s">
        <v>16</v>
      </c>
      <c r="I61" t="str">
        <f>IF(AND(data!E61 &gt; PERCENTILE(data!E$2:E$101, 0.9),data!F61 &gt; 30), "Top Tier Potential", "Standard")</f>
        <v>Standard</v>
      </c>
    </row>
    <row r="62" spans="1:9" ht="22.5" customHeight="1">
      <c r="A62" s="2" t="s">
        <v>76</v>
      </c>
      <c r="B62" s="2" t="s">
        <v>9</v>
      </c>
      <c r="C62" s="2">
        <v>2.4</v>
      </c>
      <c r="D62" s="2">
        <v>108</v>
      </c>
      <c r="E62" s="2">
        <v>87</v>
      </c>
      <c r="F62" s="2">
        <v>17</v>
      </c>
      <c r="G62" s="2">
        <v>79</v>
      </c>
      <c r="H62" s="2" t="s">
        <v>10</v>
      </c>
      <c r="I62" t="str">
        <f>IF(AND(data!E62 &gt; PERCENTILE(data!E$2:E$101, 0.9),data!F62 &gt; 30), "Top Tier Potential", "Standard")</f>
        <v>Standard</v>
      </c>
    </row>
    <row r="63" spans="1:9" ht="22.5" customHeight="1">
      <c r="A63" s="2" t="s">
        <v>77</v>
      </c>
      <c r="B63" s="2" t="s">
        <v>19</v>
      </c>
      <c r="C63" s="2">
        <v>5.3</v>
      </c>
      <c r="D63" s="2">
        <v>0</v>
      </c>
      <c r="E63" s="2">
        <v>65</v>
      </c>
      <c r="F63" s="2">
        <v>9</v>
      </c>
      <c r="G63" s="2">
        <v>74</v>
      </c>
      <c r="H63" s="2" t="s">
        <v>16</v>
      </c>
      <c r="I63" t="str">
        <f>IF(AND(data!E63 &gt; PERCENTILE(data!E$2:E$101, 0.9),data!F63 &gt; 30), "Top Tier Potential", "Standard")</f>
        <v>Standard</v>
      </c>
    </row>
    <row r="64" spans="1:9" ht="22.5" customHeight="1">
      <c r="A64" s="2" t="s">
        <v>78</v>
      </c>
      <c r="B64" s="2" t="s">
        <v>12</v>
      </c>
      <c r="C64" s="2">
        <v>1.6</v>
      </c>
      <c r="D64" s="2">
        <v>0</v>
      </c>
      <c r="E64" s="2">
        <v>73</v>
      </c>
      <c r="F64" s="2">
        <v>32</v>
      </c>
      <c r="G64" s="2">
        <v>68</v>
      </c>
      <c r="H64" s="2" t="s">
        <v>13</v>
      </c>
      <c r="I64" t="str">
        <f>IF(AND(data!E64 &gt; PERCENTILE(data!E$2:E$101, 0.9),data!F64 &gt; 30), "Top Tier Potential", "Standard")</f>
        <v>Standard</v>
      </c>
    </row>
    <row r="65" spans="1:9" ht="22.5" customHeight="1">
      <c r="A65" s="2" t="s">
        <v>79</v>
      </c>
      <c r="B65" s="2" t="s">
        <v>15</v>
      </c>
      <c r="C65" s="2">
        <v>0.2</v>
      </c>
      <c r="D65" s="2">
        <v>38</v>
      </c>
      <c r="E65" s="2">
        <v>64</v>
      </c>
      <c r="F65" s="2">
        <v>1</v>
      </c>
      <c r="G65" s="2">
        <v>52</v>
      </c>
      <c r="H65" s="2" t="s">
        <v>28</v>
      </c>
      <c r="I65" t="str">
        <f>IF(AND(data!E65 &gt; PERCENTILE(data!E$2:E$101, 0.9),data!F65 &gt; 30), "Top Tier Potential", "Standard")</f>
        <v>Standard</v>
      </c>
    </row>
    <row r="66" spans="1:9" ht="22.5" customHeight="1">
      <c r="A66" s="2" t="s">
        <v>80</v>
      </c>
      <c r="B66" s="2" t="s">
        <v>9</v>
      </c>
      <c r="C66" s="2">
        <v>6.9</v>
      </c>
      <c r="D66" s="2">
        <v>75</v>
      </c>
      <c r="E66" s="2">
        <v>76</v>
      </c>
      <c r="F66" s="2">
        <v>21</v>
      </c>
      <c r="G66" s="2">
        <v>90</v>
      </c>
      <c r="H66" s="2" t="s">
        <v>13</v>
      </c>
      <c r="I66" t="str">
        <f>IF(AND(data!E66 &gt; PERCENTILE(data!E$2:E$101, 0.9),data!F66 &gt; 30), "Top Tier Potential", "Standard")</f>
        <v>Standard</v>
      </c>
    </row>
    <row r="67" spans="1:9" ht="22.5" customHeight="1">
      <c r="A67" s="2" t="s">
        <v>81</v>
      </c>
      <c r="B67" s="2" t="s">
        <v>12</v>
      </c>
      <c r="C67" s="2">
        <v>4.7</v>
      </c>
      <c r="D67" s="2">
        <v>0</v>
      </c>
      <c r="E67" s="2">
        <v>90</v>
      </c>
      <c r="F67" s="2">
        <v>43</v>
      </c>
      <c r="G67" s="2">
        <v>104</v>
      </c>
      <c r="H67" s="2" t="s">
        <v>13</v>
      </c>
      <c r="I67" t="str">
        <f>IF(AND(data!E67 &gt; PERCENTILE(data!E$2:E$101, 0.9),data!F67 &gt; 30), "Top Tier Potential", "Standard")</f>
        <v>Standard</v>
      </c>
    </row>
    <row r="68" spans="1:9" ht="22.5" customHeight="1">
      <c r="A68" s="2" t="s">
        <v>82</v>
      </c>
      <c r="B68" s="2" t="s">
        <v>19</v>
      </c>
      <c r="C68" s="2">
        <v>2.6</v>
      </c>
      <c r="D68" s="2">
        <v>0</v>
      </c>
      <c r="E68" s="2">
        <v>69</v>
      </c>
      <c r="F68" s="2">
        <v>16</v>
      </c>
      <c r="G68" s="2">
        <v>66</v>
      </c>
      <c r="H68" s="2" t="s">
        <v>16</v>
      </c>
      <c r="I68" t="str">
        <f>IF(AND(data!E68 &gt; PERCENTILE(data!E$2:E$101, 0.9),data!F68 &gt; 30), "Top Tier Potential", "Standard")</f>
        <v>Standard</v>
      </c>
    </row>
    <row r="69" spans="1:9" ht="22.5" customHeight="1">
      <c r="A69" s="2" t="s">
        <v>83</v>
      </c>
      <c r="B69" s="2" t="s">
        <v>9</v>
      </c>
      <c r="C69" s="2">
        <v>8.1999999999999993</v>
      </c>
      <c r="D69" s="2">
        <v>70</v>
      </c>
      <c r="E69" s="2">
        <v>75</v>
      </c>
      <c r="F69" s="2">
        <v>20</v>
      </c>
      <c r="G69" s="2">
        <v>95</v>
      </c>
      <c r="H69" s="2" t="s">
        <v>13</v>
      </c>
      <c r="I69" t="str">
        <f>IF(AND(data!E69 &gt; PERCENTILE(data!E$2:E$101, 0.9),data!F69 &gt; 30), "Top Tier Potential", "Standard")</f>
        <v>Standard</v>
      </c>
    </row>
    <row r="70" spans="1:9" ht="22.5" customHeight="1">
      <c r="A70" s="2" t="s">
        <v>84</v>
      </c>
      <c r="B70" s="2" t="s">
        <v>15</v>
      </c>
      <c r="C70" s="2">
        <v>1.8</v>
      </c>
      <c r="D70" s="2">
        <v>53</v>
      </c>
      <c r="E70" s="2">
        <v>70</v>
      </c>
      <c r="F70" s="2">
        <v>11</v>
      </c>
      <c r="G70" s="2">
        <v>67</v>
      </c>
      <c r="H70" s="2" t="s">
        <v>16</v>
      </c>
      <c r="I70" t="str">
        <f>IF(AND(data!E70 &gt; PERCENTILE(data!E$2:E$101, 0.9),data!F70 &gt; 30), "Top Tier Potential", "Standard")</f>
        <v>Standard</v>
      </c>
    </row>
    <row r="71" spans="1:9" ht="22.5" customHeight="1">
      <c r="A71" s="2" t="s">
        <v>85</v>
      </c>
      <c r="B71" s="2" t="s">
        <v>12</v>
      </c>
      <c r="C71" s="2">
        <v>5.7</v>
      </c>
      <c r="D71" s="2">
        <v>0</v>
      </c>
      <c r="E71" s="2">
        <v>92</v>
      </c>
      <c r="F71" s="2">
        <v>39</v>
      </c>
      <c r="G71" s="2">
        <v>96</v>
      </c>
      <c r="H71" s="2" t="s">
        <v>13</v>
      </c>
      <c r="I71" t="str">
        <f>IF(AND(data!E71 &gt; PERCENTILE(data!E$2:E$101, 0.9),data!F71 &gt; 30), "Top Tier Potential", "Standard")</f>
        <v>Standard</v>
      </c>
    </row>
    <row r="72" spans="1:9" ht="22.5" customHeight="1">
      <c r="A72" s="2" t="s">
        <v>86</v>
      </c>
      <c r="B72" s="2" t="s">
        <v>9</v>
      </c>
      <c r="C72" s="2">
        <v>0.9</v>
      </c>
      <c r="D72" s="2">
        <v>165</v>
      </c>
      <c r="E72" s="2">
        <v>85</v>
      </c>
      <c r="F72" s="2">
        <v>30</v>
      </c>
      <c r="G72" s="2">
        <v>70</v>
      </c>
      <c r="H72" s="2" t="s">
        <v>10</v>
      </c>
      <c r="I72" t="str">
        <f>IF(AND(data!E72 &gt; PERCENTILE(data!E$2:E$101, 0.9),data!F72 &gt; 30), "Top Tier Potential", "Standard")</f>
        <v>Standard</v>
      </c>
    </row>
    <row r="73" spans="1:9" ht="22.5" customHeight="1">
      <c r="A73" s="2" t="s">
        <v>87</v>
      </c>
      <c r="B73" s="2" t="s">
        <v>19</v>
      </c>
      <c r="C73" s="2">
        <v>3.6</v>
      </c>
      <c r="D73" s="2">
        <v>0</v>
      </c>
      <c r="E73" s="2">
        <v>57</v>
      </c>
      <c r="F73" s="2">
        <v>5</v>
      </c>
      <c r="G73" s="2">
        <v>67</v>
      </c>
      <c r="H73" s="2" t="s">
        <v>16</v>
      </c>
      <c r="I73" t="str">
        <f>IF(AND(data!E73 &gt; PERCENTILE(data!E$2:E$101, 0.9),data!F73 &gt; 30), "Top Tier Potential", "Standard")</f>
        <v>Standard</v>
      </c>
    </row>
    <row r="74" spans="1:9" ht="22.5" customHeight="1">
      <c r="A74" s="2" t="s">
        <v>88</v>
      </c>
      <c r="B74" s="2" t="s">
        <v>12</v>
      </c>
      <c r="C74" s="2">
        <v>4.3</v>
      </c>
      <c r="D74" s="2">
        <v>0</v>
      </c>
      <c r="E74" s="2">
        <v>82</v>
      </c>
      <c r="F74" s="2">
        <v>34</v>
      </c>
      <c r="G74" s="2">
        <v>86</v>
      </c>
      <c r="H74" s="2" t="s">
        <v>13</v>
      </c>
      <c r="I74" t="str">
        <f>IF(AND(data!E74 &gt; PERCENTILE(data!E$2:E$101, 0.9),data!F74 &gt; 30), "Top Tier Potential", "Standard")</f>
        <v>Standard</v>
      </c>
    </row>
    <row r="75" spans="1:9" ht="22.5" customHeight="1">
      <c r="A75" s="2" t="s">
        <v>89</v>
      </c>
      <c r="B75" s="2" t="s">
        <v>15</v>
      </c>
      <c r="C75" s="2">
        <v>6.4</v>
      </c>
      <c r="D75" s="2">
        <v>60</v>
      </c>
      <c r="E75" s="2">
        <v>75</v>
      </c>
      <c r="F75" s="2">
        <v>16</v>
      </c>
      <c r="G75" s="2">
        <v>95</v>
      </c>
      <c r="H75" s="2" t="s">
        <v>16</v>
      </c>
      <c r="I75" t="str">
        <f>IF(AND(data!E75 &gt; PERCENTILE(data!E$2:E$101, 0.9),data!F75 &gt; 30), "Top Tier Potential", "Standard")</f>
        <v>Standard</v>
      </c>
    </row>
    <row r="76" spans="1:9" ht="22.5" customHeight="1">
      <c r="A76" s="2" t="s">
        <v>90</v>
      </c>
      <c r="B76" s="2" t="s">
        <v>9</v>
      </c>
      <c r="C76" s="2">
        <v>2</v>
      </c>
      <c r="D76" s="2">
        <v>122</v>
      </c>
      <c r="E76" s="2">
        <v>86</v>
      </c>
      <c r="F76" s="2">
        <v>25</v>
      </c>
      <c r="G76" s="2">
        <v>76</v>
      </c>
      <c r="H76" s="2" t="s">
        <v>10</v>
      </c>
      <c r="I76" t="str">
        <f>IF(AND(data!E76 &gt; PERCENTILE(data!E$2:E$101, 0.9),data!F76 &gt; 30), "Top Tier Potential", "Standard")</f>
        <v>Standard</v>
      </c>
    </row>
    <row r="77" spans="1:9" ht="22.5" customHeight="1">
      <c r="A77" s="2" t="s">
        <v>91</v>
      </c>
      <c r="B77" s="2" t="s">
        <v>19</v>
      </c>
      <c r="C77" s="2">
        <v>1.3</v>
      </c>
      <c r="D77" s="2">
        <v>0</v>
      </c>
      <c r="E77" s="2">
        <v>60</v>
      </c>
      <c r="F77" s="2">
        <v>7</v>
      </c>
      <c r="G77" s="2">
        <v>64</v>
      </c>
      <c r="H77" s="2" t="s">
        <v>28</v>
      </c>
      <c r="I77" t="str">
        <f>IF(AND(data!E77 &gt; PERCENTILE(data!E$2:E$101, 0.9),data!F77 &gt; 30), "Top Tier Potential", "Standard")</f>
        <v>Standard</v>
      </c>
    </row>
    <row r="78" spans="1:9" ht="22.5" customHeight="1">
      <c r="A78" s="2" t="s">
        <v>92</v>
      </c>
      <c r="B78" s="2" t="s">
        <v>12</v>
      </c>
      <c r="C78" s="2">
        <v>7.6</v>
      </c>
      <c r="D78" s="2">
        <v>0</v>
      </c>
      <c r="E78" s="2">
        <v>95</v>
      </c>
      <c r="F78" s="2">
        <v>47</v>
      </c>
      <c r="G78" s="2">
        <v>112</v>
      </c>
      <c r="H78" s="2" t="s">
        <v>13</v>
      </c>
      <c r="I78" t="str">
        <f>IF(AND(data!E78 &gt; PERCENTILE(data!E$2:E$101, 0.9),data!F78 &gt; 30), "Top Tier Potential", "Standard")</f>
        <v>Top Tier Potential</v>
      </c>
    </row>
    <row r="79" spans="1:9" ht="22.5" customHeight="1">
      <c r="A79" s="2" t="s">
        <v>93</v>
      </c>
      <c r="B79" s="2" t="s">
        <v>15</v>
      </c>
      <c r="C79" s="2">
        <v>0.7</v>
      </c>
      <c r="D79" s="2">
        <v>46</v>
      </c>
      <c r="E79" s="2">
        <v>68</v>
      </c>
      <c r="F79" s="2">
        <v>6</v>
      </c>
      <c r="G79" s="2">
        <v>59</v>
      </c>
      <c r="H79" s="2" t="s">
        <v>16</v>
      </c>
      <c r="I79" t="str">
        <f>IF(AND(data!E79 &gt; PERCENTILE(data!E$2:E$101, 0.9),data!F79 &gt; 30), "Top Tier Potential", "Standard")</f>
        <v>Standard</v>
      </c>
    </row>
    <row r="80" spans="1:9" ht="22.5" customHeight="1">
      <c r="A80" s="2" t="s">
        <v>94</v>
      </c>
      <c r="B80" s="2" t="s">
        <v>9</v>
      </c>
      <c r="C80" s="2">
        <v>5.6</v>
      </c>
      <c r="D80" s="2">
        <v>99</v>
      </c>
      <c r="E80" s="2">
        <v>81</v>
      </c>
      <c r="F80" s="2">
        <v>22</v>
      </c>
      <c r="G80" s="2">
        <v>87</v>
      </c>
      <c r="H80" s="2" t="s">
        <v>13</v>
      </c>
      <c r="I80" t="str">
        <f>IF(AND(data!E80 &gt; PERCENTILE(data!E$2:E$101, 0.9),data!F80 &gt; 30), "Top Tier Potential", "Standard")</f>
        <v>Standard</v>
      </c>
    </row>
    <row r="81" spans="1:9" ht="22.5" customHeight="1">
      <c r="A81" s="2" t="s">
        <v>95</v>
      </c>
      <c r="B81" s="2" t="s">
        <v>19</v>
      </c>
      <c r="C81" s="2">
        <v>4</v>
      </c>
      <c r="D81" s="2">
        <v>0</v>
      </c>
      <c r="E81" s="2">
        <v>62</v>
      </c>
      <c r="F81" s="2">
        <v>10</v>
      </c>
      <c r="G81" s="2">
        <v>70</v>
      </c>
      <c r="H81" s="2" t="s">
        <v>16</v>
      </c>
      <c r="I81" t="str">
        <f>IF(AND(data!E81 &gt; PERCENTILE(data!E$2:E$101, 0.9),data!F81 &gt; 30), "Top Tier Potential", "Standard")</f>
        <v>Standard</v>
      </c>
    </row>
    <row r="82" spans="1:9" ht="22.5" customHeight="1">
      <c r="A82" s="2" t="s">
        <v>96</v>
      </c>
      <c r="B82" s="2" t="s">
        <v>12</v>
      </c>
      <c r="C82" s="2">
        <v>2.9</v>
      </c>
      <c r="D82" s="2">
        <v>0</v>
      </c>
      <c r="E82" s="2">
        <v>80</v>
      </c>
      <c r="F82" s="2">
        <v>30</v>
      </c>
      <c r="G82" s="2">
        <v>76</v>
      </c>
      <c r="H82" s="2" t="s">
        <v>13</v>
      </c>
      <c r="I82" t="str">
        <f>IF(AND(data!E82 &gt; PERCENTILE(data!E$2:E$101, 0.9),data!F82 &gt; 30), "Top Tier Potential", "Standard")</f>
        <v>Standard</v>
      </c>
    </row>
    <row r="83" spans="1:9" ht="22.5" customHeight="1">
      <c r="A83" s="2" t="s">
        <v>97</v>
      </c>
      <c r="B83" s="2" t="s">
        <v>15</v>
      </c>
      <c r="C83" s="2">
        <v>3.7</v>
      </c>
      <c r="D83" s="2">
        <v>56</v>
      </c>
      <c r="E83" s="2">
        <v>74</v>
      </c>
      <c r="F83" s="2">
        <v>13</v>
      </c>
      <c r="G83" s="2">
        <v>83</v>
      </c>
      <c r="H83" s="2" t="s">
        <v>16</v>
      </c>
      <c r="I83" t="str">
        <f>IF(AND(data!E83 &gt; PERCENTILE(data!E$2:E$101, 0.9),data!F83 &gt; 30), "Top Tier Potential", "Standard")</f>
        <v>Standard</v>
      </c>
    </row>
    <row r="84" spans="1:9" ht="22.5" customHeight="1">
      <c r="A84" s="2" t="s">
        <v>98</v>
      </c>
      <c r="B84" s="2" t="s">
        <v>9</v>
      </c>
      <c r="C84" s="2">
        <v>1.4</v>
      </c>
      <c r="D84" s="2">
        <v>133</v>
      </c>
      <c r="E84" s="2">
        <v>89</v>
      </c>
      <c r="F84" s="2">
        <v>28</v>
      </c>
      <c r="G84" s="2">
        <v>74</v>
      </c>
      <c r="H84" s="2" t="s">
        <v>10</v>
      </c>
      <c r="I84" t="str">
        <f>IF(AND(data!E84 &gt; PERCENTILE(data!E$2:E$101, 0.9),data!F84 &gt; 30), "Top Tier Potential", "Standard")</f>
        <v>Standard</v>
      </c>
    </row>
    <row r="85" spans="1:9" ht="22.5" customHeight="1">
      <c r="A85" s="2" t="s">
        <v>99</v>
      </c>
      <c r="B85" s="2" t="s">
        <v>19</v>
      </c>
      <c r="C85" s="2">
        <v>6.3</v>
      </c>
      <c r="D85" s="2">
        <v>0</v>
      </c>
      <c r="E85" s="2">
        <v>66</v>
      </c>
      <c r="F85" s="2">
        <v>12</v>
      </c>
      <c r="G85" s="2">
        <v>76</v>
      </c>
      <c r="H85" s="2" t="s">
        <v>16</v>
      </c>
      <c r="I85" t="str">
        <f>IF(AND(data!E85 &gt; PERCENTILE(data!E$2:E$101, 0.9),data!F85 &gt; 30), "Top Tier Potential", "Standard")</f>
        <v>Standard</v>
      </c>
    </row>
    <row r="86" spans="1:9" ht="22.5" customHeight="1">
      <c r="A86" s="2" t="s">
        <v>100</v>
      </c>
      <c r="B86" s="2" t="s">
        <v>12</v>
      </c>
      <c r="C86" s="2">
        <v>0.8</v>
      </c>
      <c r="D86" s="2">
        <v>0</v>
      </c>
      <c r="E86" s="2">
        <v>77</v>
      </c>
      <c r="F86" s="2">
        <v>26</v>
      </c>
      <c r="G86" s="2">
        <v>64</v>
      </c>
      <c r="H86" s="2" t="s">
        <v>13</v>
      </c>
      <c r="I86" t="str">
        <f>IF(AND(data!E86 &gt; PERCENTILE(data!E$2:E$101, 0.9),data!F86 &gt; 30), "Top Tier Potential", "Standard")</f>
        <v>Standard</v>
      </c>
    </row>
    <row r="87" spans="1:9" ht="22.5" customHeight="1">
      <c r="A87" s="2" t="s">
        <v>101</v>
      </c>
      <c r="B87" s="2" t="s">
        <v>15</v>
      </c>
      <c r="C87" s="2">
        <v>5.0999999999999996</v>
      </c>
      <c r="D87" s="2">
        <v>68</v>
      </c>
      <c r="E87" s="2">
        <v>79</v>
      </c>
      <c r="F87" s="2">
        <v>14</v>
      </c>
      <c r="G87" s="2">
        <v>97</v>
      </c>
      <c r="H87" s="2" t="s">
        <v>16</v>
      </c>
      <c r="I87" t="str">
        <f>IF(AND(data!E87 &gt; PERCENTILE(data!E$2:E$101, 0.9),data!F87 &gt; 30), "Top Tier Potential", "Standard")</f>
        <v>Standard</v>
      </c>
    </row>
    <row r="88" spans="1:9" ht="22.5" customHeight="1">
      <c r="A88" s="2" t="s">
        <v>102</v>
      </c>
      <c r="B88" s="2" t="s">
        <v>9</v>
      </c>
      <c r="C88" s="2">
        <v>4.5</v>
      </c>
      <c r="D88" s="2">
        <v>104</v>
      </c>
      <c r="E88" s="2">
        <v>93</v>
      </c>
      <c r="F88" s="2">
        <v>19</v>
      </c>
      <c r="G88" s="2">
        <v>90</v>
      </c>
      <c r="H88" s="2" t="s">
        <v>10</v>
      </c>
      <c r="I88" t="str">
        <f>IF(AND(data!E88 &gt; PERCENTILE(data!E$2:E$101, 0.9),data!F88 &gt; 30), "Top Tier Potential", "Standard")</f>
        <v>Standard</v>
      </c>
    </row>
    <row r="89" spans="1:9" ht="22.5" customHeight="1">
      <c r="A89" s="2" t="s">
        <v>103</v>
      </c>
      <c r="B89" s="2" t="s">
        <v>19</v>
      </c>
      <c r="C89" s="2">
        <v>0.4</v>
      </c>
      <c r="D89" s="2">
        <v>0</v>
      </c>
      <c r="E89" s="2">
        <v>58</v>
      </c>
      <c r="F89" s="2">
        <v>4</v>
      </c>
      <c r="G89" s="2">
        <v>58</v>
      </c>
      <c r="H89" s="2" t="s">
        <v>28</v>
      </c>
      <c r="I89" t="str">
        <f>IF(AND(data!E89 &gt; PERCENTILE(data!E$2:E$101, 0.9),data!F89 &gt; 30), "Top Tier Potential", "Standard")</f>
        <v>Standard</v>
      </c>
    </row>
    <row r="90" spans="1:9" ht="22.5" customHeight="1">
      <c r="A90" s="2" t="s">
        <v>104</v>
      </c>
      <c r="B90" s="2" t="s">
        <v>12</v>
      </c>
      <c r="C90" s="2">
        <v>3.6</v>
      </c>
      <c r="D90" s="2">
        <v>0</v>
      </c>
      <c r="E90" s="2">
        <v>81</v>
      </c>
      <c r="F90" s="2">
        <v>33</v>
      </c>
      <c r="G90" s="2">
        <v>82</v>
      </c>
      <c r="H90" s="2" t="s">
        <v>13</v>
      </c>
      <c r="I90" t="str">
        <f>IF(AND(data!E90 &gt; PERCENTILE(data!E$2:E$101, 0.9),data!F90 &gt; 30), "Top Tier Potential", "Standard")</f>
        <v>Standard</v>
      </c>
    </row>
    <row r="91" spans="1:9" ht="22.5" customHeight="1">
      <c r="A91" s="2" t="s">
        <v>105</v>
      </c>
      <c r="B91" s="2" t="s">
        <v>15</v>
      </c>
      <c r="C91" s="2">
        <v>7.4</v>
      </c>
      <c r="D91" s="2">
        <v>43</v>
      </c>
      <c r="E91" s="2">
        <v>73</v>
      </c>
      <c r="F91" s="2">
        <v>9</v>
      </c>
      <c r="G91" s="2">
        <v>102</v>
      </c>
      <c r="H91" s="2" t="s">
        <v>16</v>
      </c>
      <c r="I91" t="str">
        <f>IF(AND(data!E91 &gt; PERCENTILE(data!E$2:E$101, 0.9),data!F91 &gt; 30), "Top Tier Potential", "Standard")</f>
        <v>Standard</v>
      </c>
    </row>
    <row r="92" spans="1:9" ht="22.5" customHeight="1">
      <c r="A92" s="2" t="s">
        <v>106</v>
      </c>
      <c r="B92" s="2" t="s">
        <v>9</v>
      </c>
      <c r="C92" s="2">
        <v>2.6</v>
      </c>
      <c r="D92" s="2">
        <v>112</v>
      </c>
      <c r="E92" s="2">
        <v>88</v>
      </c>
      <c r="F92" s="2">
        <v>16</v>
      </c>
      <c r="G92" s="2">
        <v>81</v>
      </c>
      <c r="H92" s="2" t="s">
        <v>10</v>
      </c>
      <c r="I92" t="str">
        <f>IF(AND(data!E92 &gt; PERCENTILE(data!E$2:E$101, 0.9),data!F92 &gt; 30), "Top Tier Potential", "Standard")</f>
        <v>Standard</v>
      </c>
    </row>
    <row r="93" spans="1:9" ht="22.5" customHeight="1">
      <c r="A93" s="2" t="s">
        <v>107</v>
      </c>
      <c r="B93" s="2" t="s">
        <v>19</v>
      </c>
      <c r="C93" s="2">
        <v>5</v>
      </c>
      <c r="D93" s="2">
        <v>0</v>
      </c>
      <c r="E93" s="2">
        <v>60</v>
      </c>
      <c r="F93" s="2">
        <v>8</v>
      </c>
      <c r="G93" s="2">
        <v>71</v>
      </c>
      <c r="H93" s="2" t="s">
        <v>16</v>
      </c>
      <c r="I93" t="str">
        <f>IF(AND(data!E93 &gt; PERCENTILE(data!E$2:E$101, 0.9),data!F93 &gt; 30), "Top Tier Potential", "Standard")</f>
        <v>Standard</v>
      </c>
    </row>
    <row r="94" spans="1:9" ht="22.5" customHeight="1">
      <c r="A94" s="2" t="s">
        <v>108</v>
      </c>
      <c r="B94" s="2" t="s">
        <v>12</v>
      </c>
      <c r="C94" s="2">
        <v>1</v>
      </c>
      <c r="D94" s="2">
        <v>0</v>
      </c>
      <c r="E94" s="2">
        <v>72</v>
      </c>
      <c r="F94" s="2">
        <v>27</v>
      </c>
      <c r="G94" s="2">
        <v>66</v>
      </c>
      <c r="H94" s="2" t="s">
        <v>13</v>
      </c>
      <c r="I94" t="str">
        <f>IF(AND(data!E94 &gt; PERCENTILE(data!E$2:E$101, 0.9),data!F94 &gt; 30), "Top Tier Potential", "Standard")</f>
        <v>Standard</v>
      </c>
    </row>
    <row r="95" spans="1:9" ht="22.5" customHeight="1">
      <c r="A95" s="2" t="s">
        <v>109</v>
      </c>
      <c r="B95" s="2" t="s">
        <v>15</v>
      </c>
      <c r="C95" s="2">
        <v>0.1</v>
      </c>
      <c r="D95" s="2">
        <v>32</v>
      </c>
      <c r="E95" s="2">
        <v>63</v>
      </c>
      <c r="F95" s="2">
        <v>3</v>
      </c>
      <c r="G95" s="2">
        <v>50</v>
      </c>
      <c r="H95" s="2" t="s">
        <v>28</v>
      </c>
      <c r="I95" t="str">
        <f>IF(AND(data!E95 &gt; PERCENTILE(data!E$2:E$101, 0.9),data!F95 &gt; 30), "Top Tier Potential", "Standard")</f>
        <v>Standard</v>
      </c>
    </row>
    <row r="96" spans="1:9" ht="22.5" customHeight="1">
      <c r="A96" s="2" t="s">
        <v>110</v>
      </c>
      <c r="B96" s="2" t="s">
        <v>9</v>
      </c>
      <c r="C96" s="2">
        <v>6.7</v>
      </c>
      <c r="D96" s="2">
        <v>88</v>
      </c>
      <c r="E96" s="2">
        <v>80</v>
      </c>
      <c r="F96" s="2">
        <v>24</v>
      </c>
      <c r="G96" s="2">
        <v>92</v>
      </c>
      <c r="H96" s="2" t="s">
        <v>13</v>
      </c>
      <c r="I96" t="str">
        <f>IF(AND(data!E96 &gt; PERCENTILE(data!E$2:E$101, 0.9),data!F96 &gt; 30), "Top Tier Potential", "Standard")</f>
        <v>Standard</v>
      </c>
    </row>
    <row r="97" spans="1:9" ht="22.5" customHeight="1">
      <c r="A97" s="2" t="s">
        <v>111</v>
      </c>
      <c r="B97" s="2" t="s">
        <v>12</v>
      </c>
      <c r="C97" s="2">
        <v>2.5</v>
      </c>
      <c r="D97" s="2">
        <v>0</v>
      </c>
      <c r="E97" s="2">
        <v>83</v>
      </c>
      <c r="F97" s="2">
        <v>35</v>
      </c>
      <c r="G97" s="2">
        <v>78</v>
      </c>
      <c r="H97" s="2" t="s">
        <v>13</v>
      </c>
      <c r="I97" t="str">
        <f>IF(AND(data!E97 &gt; PERCENTILE(data!E$2:E$101, 0.9),data!F97 &gt; 30), "Top Tier Potential", "Standard")</f>
        <v>Standard</v>
      </c>
    </row>
    <row r="98" spans="1:9" ht="22.5" customHeight="1">
      <c r="A98" s="2" t="s">
        <v>112</v>
      </c>
      <c r="B98" s="2" t="s">
        <v>15</v>
      </c>
      <c r="C98" s="2">
        <v>1.9</v>
      </c>
      <c r="D98" s="2">
        <v>68</v>
      </c>
      <c r="E98" s="2">
        <v>77</v>
      </c>
      <c r="F98" s="2">
        <v>18</v>
      </c>
      <c r="G98" s="2">
        <v>68</v>
      </c>
      <c r="H98" s="2" t="s">
        <v>16</v>
      </c>
      <c r="I98" t="str">
        <f>IF(AND(data!E98 &gt; PERCENTILE(data!E$2:E$101, 0.9),data!F98 &gt; 30), "Top Tier Potential", "Standard")</f>
        <v>Standard</v>
      </c>
    </row>
    <row r="99" spans="1:9" ht="22.5" customHeight="1">
      <c r="A99" s="2" t="s">
        <v>113</v>
      </c>
      <c r="B99" s="2" t="s">
        <v>9</v>
      </c>
      <c r="C99" s="2">
        <v>4.2</v>
      </c>
      <c r="D99" s="2">
        <v>130</v>
      </c>
      <c r="E99" s="2">
        <v>90</v>
      </c>
      <c r="F99" s="2">
        <v>10</v>
      </c>
      <c r="G99" s="2">
        <v>90</v>
      </c>
      <c r="H99" s="2" t="s">
        <v>10</v>
      </c>
      <c r="I99" t="str">
        <f>IF(AND(data!E99 &gt; PERCENTILE(data!E$2:E$101, 0.9),data!F99 &gt; 30), "Top Tier Potential", "Standard")</f>
        <v>Standard</v>
      </c>
    </row>
    <row r="100" spans="1:9" ht="22.5" customHeight="1">
      <c r="A100" s="2" t="s">
        <v>114</v>
      </c>
      <c r="B100" s="2" t="s">
        <v>19</v>
      </c>
      <c r="C100" s="2">
        <v>0.5</v>
      </c>
      <c r="D100" s="2">
        <v>0</v>
      </c>
      <c r="E100" s="2">
        <v>65</v>
      </c>
      <c r="F100" s="2">
        <v>5</v>
      </c>
      <c r="G100" s="2">
        <v>60</v>
      </c>
      <c r="H100" s="2" t="s">
        <v>16</v>
      </c>
      <c r="I100" t="str">
        <f>IF(AND(data!E100 &gt; PERCENTILE(data!E$2:E$101, 0.9),data!F100 &gt; 30), "Top Tier Potential", "Standard")</f>
        <v>Standard</v>
      </c>
    </row>
    <row r="101" spans="1:9" ht="22.5" customHeight="1">
      <c r="A101" s="2" t="s">
        <v>115</v>
      </c>
      <c r="B101" s="2" t="s">
        <v>12</v>
      </c>
      <c r="C101" s="2">
        <v>6</v>
      </c>
      <c r="D101" s="2">
        <v>0</v>
      </c>
      <c r="E101" s="2">
        <v>92</v>
      </c>
      <c r="F101" s="2">
        <v>22</v>
      </c>
      <c r="G101" s="2">
        <v>105</v>
      </c>
      <c r="H101" s="2" t="s">
        <v>13</v>
      </c>
      <c r="I101" t="str">
        <f>IF(AND(data!E101 &gt; PERCENTILE(data!E$2:E$101, 0.9),data!F101 &gt; 30), "Top Tier Potential", "Standard")</f>
        <v>Standard</v>
      </c>
    </row>
  </sheetData>
  <dataValidations count="3">
    <dataValidation type="list" allowBlank="1" showDropDown="1" showErrorMessage="1" sqref="H2:H101" xr:uid="{00000000-0002-0000-0000-000000000000}">
      <formula1>"Excellent,High,Medium,Low"</formula1>
    </dataValidation>
    <dataValidation type="list" allowBlank="1" showDropDown="1" showErrorMessage="1" sqref="B2:B101" xr:uid="{00000000-0002-0000-0000-000001000000}">
      <formula1>"Sales,Tech,Marketing,HR"</formula1>
    </dataValidation>
    <dataValidation type="custom" allowBlank="1" showDropDown="1" sqref="C2:G101" xr:uid="{00000000-0002-0000-0000-000002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6"/>
  <sheetViews>
    <sheetView tabSelected="1" topLeftCell="D1" zoomScale="244" workbookViewId="0">
      <selection activeCell="I3" sqref="I3"/>
    </sheetView>
  </sheetViews>
  <sheetFormatPr baseColWidth="10" defaultColWidth="12.6640625" defaultRowHeight="15.75" customHeight="1"/>
  <sheetData>
    <row r="1" spans="1:12" ht="15.75" customHeight="1">
      <c r="A1" s="3" t="s">
        <v>116</v>
      </c>
      <c r="B1" s="3" t="s">
        <v>117</v>
      </c>
    </row>
    <row r="2" spans="1:12" ht="15.75" customHeight="1">
      <c r="A2" s="4" t="s">
        <v>118</v>
      </c>
      <c r="B2" s="3" t="s">
        <v>119</v>
      </c>
      <c r="I2" s="5" cm="1">
        <f t="array" ref="I2">LARGE(IF(data!C2:C101&gt;5, data!D2:D101), 4)</f>
        <v>85</v>
      </c>
    </row>
    <row r="3" spans="1:12" ht="15.75" customHeight="1">
      <c r="A3" s="4" t="s">
        <v>120</v>
      </c>
      <c r="B3" s="3" t="s">
        <v>121</v>
      </c>
    </row>
    <row r="4" spans="1:12" ht="15.75" customHeight="1">
      <c r="A4" s="4" t="s">
        <v>122</v>
      </c>
      <c r="B4" s="3" t="s">
        <v>123</v>
      </c>
      <c r="H4" cm="1">
        <f t="array" ref="H4">SMALL(IF(data!H2:H101="Excellent", data!G2:G101), 2)</f>
        <v>65</v>
      </c>
    </row>
    <row r="5" spans="1:12" ht="15.75" customHeight="1">
      <c r="A5" s="4" t="s">
        <v>124</v>
      </c>
      <c r="B5" s="3" t="s">
        <v>125</v>
      </c>
      <c r="I5" s="6">
        <f>COUNTIF(Employee_Performance_Metrics[Department],"Tech")+COUNTIF(Employee_Performance_Metrics[Project_Score (Out of 100)],"&lt;65")-COUNTIFS(B2:B101,"Tech", E2:E101,"&lt;65")</f>
        <v>43</v>
      </c>
      <c r="K5">
        <f>COUNTIFS(B2:B101,"Tech", E2:E101,"&lt;65")</f>
        <v>0</v>
      </c>
    </row>
    <row r="6" spans="1:12" ht="15.75" customHeight="1">
      <c r="A6" s="4" t="s">
        <v>126</v>
      </c>
      <c r="B6" s="3" t="s">
        <v>127</v>
      </c>
      <c r="L6" cm="1">
        <f t="array" ref="L6">MAX(IF(data!B2:B101="Sales", data!D2:D101)) - MIN(IF(data!B2:B101="Marketing", data!D2:D101))</f>
        <v>140</v>
      </c>
    </row>
    <row r="7" spans="1:12" ht="15.75" customHeight="1">
      <c r="A7" s="4" t="s">
        <v>128</v>
      </c>
      <c r="B7" s="3" t="s">
        <v>129</v>
      </c>
    </row>
    <row r="8" spans="1:12" ht="15.75" customHeight="1">
      <c r="A8" s="4" t="s">
        <v>130</v>
      </c>
      <c r="B8" s="3" t="s">
        <v>131</v>
      </c>
    </row>
    <row r="9" spans="1:12" ht="15.75" customHeight="1">
      <c r="A9" s="4" t="s">
        <v>132</v>
      </c>
      <c r="B9" s="3" t="s">
        <v>133</v>
      </c>
    </row>
    <row r="10" spans="1:12" ht="15.75" customHeight="1">
      <c r="A10" s="4" t="s">
        <v>134</v>
      </c>
      <c r="B10" s="3" t="s">
        <v>135</v>
      </c>
    </row>
    <row r="11" spans="1:12" ht="15.75" customHeight="1">
      <c r="A11" s="4" t="s">
        <v>136</v>
      </c>
      <c r="B11" s="3" t="s">
        <v>137</v>
      </c>
    </row>
    <row r="13" spans="1:12" ht="15.75" customHeight="1">
      <c r="C13" cm="1">
        <f t="array" ref="C13">AVERAGE(IF((data!E2:E101 &lt;= PERCENTILE(data!E2:E101, 0.15)) * (data!F2:F101 &lt; 10), data!G2:G101))</f>
        <v>60.454545454545453</v>
      </c>
    </row>
    <row r="14" spans="1:12" ht="15.75" customHeight="1">
      <c r="F14">
        <f>PERCENTILE(data!E2:E101, 0.15)</f>
        <v>64</v>
      </c>
    </row>
    <row r="16" spans="1:12" ht="15.75" customHeight="1">
      <c r="C16">
        <f>AVERAGEIFS(data!G2:G101,data!E2:E101,"&lt;64",data!F2:F101,"&lt;10")</f>
        <v>61.3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CB8C-D537-BD4D-A667-75974783B11E}">
  <dimension ref="A1"/>
  <sheetViews>
    <sheetView zoomScale="200" workbookViewId="0">
      <selection activeCell="C6" sqref="C6"/>
    </sheetView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 Sahu</cp:lastModifiedBy>
  <dcterms:modified xsi:type="dcterms:W3CDTF">2025-12-04T15:41:08Z</dcterms:modified>
</cp:coreProperties>
</file>