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drawings/drawing2.xml" ContentType="application/vnd.openxmlformats-officedocument.drawing+xml"/>
  <Override PartName="/xl/ink/ink8.xml" ContentType="application/inkml+xml"/>
  <Override PartName="/xl/ink/ink9.xml" ContentType="application/inkml+xml"/>
  <Override PartName="/xl/ink/ink10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71CC1D2F-7E34-BD47-BF40-E90BAAA67893}" xr6:coauthVersionLast="47" xr6:coauthVersionMax="47" xr10:uidLastSave="{00000000-0000-0000-0000-000000000000}"/>
  <bookViews>
    <workbookView xWindow="20" yWindow="600" windowWidth="28800" windowHeight="17400" activeTab="1" xr2:uid="{1F109D54-E0B1-C14A-AF6B-5F8BBC0610E7}"/>
  </bookViews>
  <sheets>
    <sheet name="agenda" sheetId="1" r:id="rId1"/>
    <sheet name="MATHS" sheetId="3" r:id="rId2"/>
    <sheet name="Sheet2" sheetId="2" r:id="rId3"/>
  </sheets>
  <definedNames>
    <definedName name="PIE">agenda!$B$52</definedName>
    <definedName name="SP_Light">agenda!$B$56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3" l="1"/>
  <c r="D49" i="3"/>
  <c r="D29" i="3"/>
  <c r="C41" i="3"/>
  <c r="B22" i="3"/>
  <c r="B16" i="3"/>
  <c r="B15" i="3"/>
  <c r="B14" i="3"/>
  <c r="B13" i="3"/>
  <c r="D58" i="1"/>
  <c r="D52" i="1"/>
  <c r="D55" i="1"/>
  <c r="H17" i="2"/>
  <c r="J11" i="2"/>
  <c r="F12" i="2"/>
  <c r="H12" i="2"/>
</calcChain>
</file>

<file path=xl/sharedStrings.xml><?xml version="1.0" encoding="utf-8"?>
<sst xmlns="http://schemas.openxmlformats.org/spreadsheetml/2006/main" count="72" uniqueCount="68">
  <si>
    <t>Different type of Data Types in EXCEL</t>
  </si>
  <si>
    <t>TEXT</t>
  </si>
  <si>
    <t>Numbers</t>
  </si>
  <si>
    <t>Anything inside double quotes in going to be text</t>
  </si>
  <si>
    <t>any combination of numeral which is not a text</t>
  </si>
  <si>
    <t>Currency</t>
  </si>
  <si>
    <t>Accounting</t>
  </si>
  <si>
    <t xml:space="preserve">Specific data type ( this also a kind of currency only) </t>
  </si>
  <si>
    <t>Short Date</t>
  </si>
  <si>
    <t>Long Date</t>
  </si>
  <si>
    <t>Time</t>
  </si>
  <si>
    <t>DD/MM/YYYY</t>
  </si>
  <si>
    <t>India</t>
  </si>
  <si>
    <t>US</t>
  </si>
  <si>
    <t>MM/DD/YYYY</t>
  </si>
  <si>
    <t>hh:mm</t>
  </si>
  <si>
    <t>hh:mm:ss</t>
  </si>
  <si>
    <t>AM PM</t>
  </si>
  <si>
    <t>24 hr</t>
  </si>
  <si>
    <t>decimal part is corresponding to your time</t>
  </si>
  <si>
    <t xml:space="preserve">DATE TIME </t>
  </si>
  <si>
    <t>is consisting of two parts,</t>
  </si>
  <si>
    <t>WHOLE NUM is corresponding to the DATE</t>
  </si>
  <si>
    <t>DECIMAL part is corresponding to TIME</t>
  </si>
  <si>
    <t>percentage</t>
  </si>
  <si>
    <t>PER CENT TAGE</t>
  </si>
  <si>
    <t>out of 100</t>
  </si>
  <si>
    <t>SCIENTEFIC</t>
  </si>
  <si>
    <t>fractions</t>
  </si>
  <si>
    <t>BASIC MATHEMATICS</t>
  </si>
  <si>
    <t>enter a mathematical eq to get a solution</t>
  </si>
  <si>
    <t>start with "="</t>
  </si>
  <si>
    <t>addition</t>
  </si>
  <si>
    <t>substraction</t>
  </si>
  <si>
    <t>Multiply</t>
  </si>
  <si>
    <t>division</t>
  </si>
  <si>
    <t>BODMAS</t>
  </si>
  <si>
    <t>Nr</t>
  </si>
  <si>
    <t>Dr</t>
  </si>
  <si>
    <t>formulas</t>
  </si>
  <si>
    <t>SUM</t>
  </si>
  <si>
    <t xml:space="preserve">AUTOFILL </t>
  </si>
  <si>
    <t>Flashfill</t>
  </si>
  <si>
    <t>Inv_num</t>
  </si>
  <si>
    <t>CH-2026-178</t>
  </si>
  <si>
    <t>IN-2025-87</t>
  </si>
  <si>
    <t>CN-2014-899</t>
  </si>
  <si>
    <t>Inv</t>
  </si>
  <si>
    <t>NAME</t>
  </si>
  <si>
    <t>Utkarsh Sahu</t>
  </si>
  <si>
    <t>Vijay Kumar Gupta</t>
  </si>
  <si>
    <t>Abhinav Pandey</t>
  </si>
  <si>
    <t>utkarsh.s@company.com</t>
  </si>
  <si>
    <t>vijay.g@company.com</t>
  </si>
  <si>
    <t>abhinav.p@company.com</t>
  </si>
  <si>
    <t>sahu.utkarsh@demo.in</t>
  </si>
  <si>
    <t>gupta.vijay@demo.in</t>
  </si>
  <si>
    <t>pandey.abhinav@demo.in</t>
  </si>
  <si>
    <t>Pooja mishra</t>
  </si>
  <si>
    <t xml:space="preserve"> </t>
  </si>
  <si>
    <t>text AUTOFILL</t>
  </si>
  <si>
    <t>AVERAGE</t>
  </si>
  <si>
    <t>ONE NUM representative of data</t>
  </si>
  <si>
    <t>CENtral tendency</t>
  </si>
  <si>
    <t>Mean (average)</t>
  </si>
  <si>
    <t xml:space="preserve">Median </t>
  </si>
  <si>
    <t>mode</t>
  </si>
  <si>
    <t>exactly middle of sorted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</si>
</sst>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₹&quot;* #,##0.00_);_(&quot;₹&quot;* \(#,##0.00\);_(&quot;₹&quot;* &quot;-&quot;??_);_(@_)"/>
    <numFmt numFmtId="43" formatCode="_(* #,##0.00_);_(* \(#,##0.00\);_(* &quot;-&quot;??_);_(@_)"/>
    <numFmt numFmtId="165" formatCode="&quot;₹&quot;#,##0.00"/>
    <numFmt numFmtId="166" formatCode="[$-F800]dddd\,\ mmmm\ dd\,\ yyyy"/>
    <numFmt numFmtId="167" formatCode="[$-F400]h:mm:ss\ AM/PM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NumberFormat="1"/>
    <xf numFmtId="165" fontId="0" fillId="0" borderId="0" xfId="0" applyNumberFormat="1"/>
    <xf numFmtId="44" fontId="0" fillId="0" borderId="0" xfId="0" applyNumberFormat="1"/>
    <xf numFmtId="14" fontId="0" fillId="0" borderId="0" xfId="0" applyNumberFormat="1"/>
    <xf numFmtId="166" fontId="0" fillId="0" borderId="0" xfId="0" applyNumberFormat="1"/>
    <xf numFmtId="167" fontId="0" fillId="0" borderId="0" xfId="0" applyNumberFormat="1"/>
    <xf numFmtId="2" fontId="0" fillId="0" borderId="0" xfId="0" applyNumberFormat="1"/>
    <xf numFmtId="15" fontId="0" fillId="0" borderId="0" xfId="0" applyNumberFormat="1"/>
    <xf numFmtId="14" fontId="3" fillId="0" borderId="0" xfId="0" applyNumberFormat="1" applyFont="1"/>
    <xf numFmtId="0" fontId="0" fillId="2" borderId="0" xfId="0" applyFill="1"/>
    <xf numFmtId="16" fontId="0" fillId="0" borderId="0" xfId="0" applyNumberFormat="1"/>
    <xf numFmtId="10" fontId="0" fillId="0" borderId="0" xfId="0" applyNumberFormat="1"/>
    <xf numFmtId="11" fontId="0" fillId="0" borderId="0" xfId="0" applyNumberFormat="1"/>
    <xf numFmtId="12" fontId="0" fillId="0" borderId="0" xfId="0" applyNumberFormat="1"/>
    <xf numFmtId="13" fontId="0" fillId="0" borderId="0" xfId="0" applyNumberFormat="1"/>
    <xf numFmtId="43" fontId="0" fillId="0" borderId="0" xfId="1" applyFont="1"/>
    <xf numFmtId="0" fontId="0" fillId="3" borderId="0" xfId="0" applyFill="1"/>
    <xf numFmtId="0" fontId="2" fillId="0" borderId="0" xfId="2"/>
    <xf numFmtId="0" fontId="0" fillId="0" borderId="0" xfId="0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7.png"/><Relationship Id="rId3" Type="http://schemas.openxmlformats.org/officeDocument/2006/relationships/customXml" Target="../ink/ink2.xml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customXml" Target="../ink/ink3.xml"/><Relationship Id="rId15" Type="http://schemas.openxmlformats.org/officeDocument/2006/relationships/image" Target="../media/image8.png"/><Relationship Id="rId10" Type="http://schemas.openxmlformats.org/officeDocument/2006/relationships/customXml" Target="../ink/ink5.xml"/><Relationship Id="rId4" Type="http://schemas.openxmlformats.org/officeDocument/2006/relationships/image" Target="../media/image2.png"/><Relationship Id="rId9" Type="http://schemas.openxmlformats.org/officeDocument/2006/relationships/image" Target="../media/image5.png"/><Relationship Id="rId14" Type="http://schemas.openxmlformats.org/officeDocument/2006/relationships/customXml" Target="../ink/ink7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7" Type="http://schemas.openxmlformats.org/officeDocument/2006/relationships/image" Target="../media/image12.png"/><Relationship Id="rId2" Type="http://schemas.openxmlformats.org/officeDocument/2006/relationships/customXml" Target="../ink/ink8.xml"/><Relationship Id="rId1" Type="http://schemas.openxmlformats.org/officeDocument/2006/relationships/image" Target="../media/image9.jpeg"/><Relationship Id="rId6" Type="http://schemas.openxmlformats.org/officeDocument/2006/relationships/customXml" Target="../ink/ink10.xml"/><Relationship Id="rId5" Type="http://schemas.openxmlformats.org/officeDocument/2006/relationships/image" Target="../media/image11.png"/><Relationship Id="rId4" Type="http://schemas.openxmlformats.org/officeDocument/2006/relationships/customXml" Target="../ink/ink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774177</xdr:colOff>
      <xdr:row>20</xdr:row>
      <xdr:rowOff>56363</xdr:rowOff>
    </xdr:from>
    <xdr:to>
      <xdr:col>5</xdr:col>
      <xdr:colOff>132998</xdr:colOff>
      <xdr:row>21</xdr:row>
      <xdr:rowOff>27249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5F2977F9-1ED1-7F8A-6BC3-9DFF980DDB30}"/>
                </a:ext>
              </a:extLst>
            </xdr14:cNvPr>
            <xdr14:cNvContentPartPr/>
          </xdr14:nvContentPartPr>
          <xdr14:nvPr macro=""/>
          <xdr14:xfrm>
            <a:off x="4989600" y="4159440"/>
            <a:ext cx="184320" cy="17604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5F2977F9-1ED1-7F8A-6BC3-9DFF980DDB3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983492" y="4153320"/>
              <a:ext cx="196536" cy="18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684537</xdr:colOff>
      <xdr:row>21</xdr:row>
      <xdr:rowOff>119049</xdr:rowOff>
    </xdr:from>
    <xdr:to>
      <xdr:col>5</xdr:col>
      <xdr:colOff>200678</xdr:colOff>
      <xdr:row>21</xdr:row>
      <xdr:rowOff>120129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BD6CDBAB-F14C-D26C-5812-323DB8D8C9A2}"/>
                </a:ext>
              </a:extLst>
            </xdr14:cNvPr>
            <xdr14:cNvContentPartPr/>
          </xdr14:nvContentPartPr>
          <xdr14:nvPr macro=""/>
          <xdr14:xfrm>
            <a:off x="4899960" y="4427280"/>
            <a:ext cx="341640" cy="108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BD6CDBAB-F14C-D26C-5812-323DB8D8C9A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893840" y="4421160"/>
              <a:ext cx="353880" cy="1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702897</xdr:colOff>
      <xdr:row>22</xdr:row>
      <xdr:rowOff>16135</xdr:rowOff>
    </xdr:from>
    <xdr:to>
      <xdr:col>5</xdr:col>
      <xdr:colOff>259358</xdr:colOff>
      <xdr:row>22</xdr:row>
      <xdr:rowOff>177775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DBC9E592-AD72-65B9-24FE-1DD22421DE4F}"/>
                </a:ext>
              </a:extLst>
            </xdr14:cNvPr>
            <xdr14:cNvContentPartPr/>
          </xdr14:nvContentPartPr>
          <xdr14:nvPr macro=""/>
          <xdr14:xfrm>
            <a:off x="4918320" y="4529520"/>
            <a:ext cx="381960" cy="16164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DBC9E592-AD72-65B9-24FE-1DD22421DE4F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912200" y="4523400"/>
              <a:ext cx="394200" cy="17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483577</xdr:colOff>
      <xdr:row>30</xdr:row>
      <xdr:rowOff>123993</xdr:rowOff>
    </xdr:from>
    <xdr:to>
      <xdr:col>3</xdr:col>
      <xdr:colOff>1184030</xdr:colOff>
      <xdr:row>32</xdr:row>
      <xdr:rowOff>53730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0C1AAEA-AE4B-239E-E5B9-467A21FC3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34577" y="6278608"/>
          <a:ext cx="1525953" cy="340045"/>
        </a:xfrm>
        <a:prstGeom prst="rect">
          <a:avLst/>
        </a:prstGeom>
      </xdr:spPr>
    </xdr:pic>
    <xdr:clientData/>
  </xdr:twoCellAnchor>
  <xdr:twoCellAnchor editAs="oneCell">
    <xdr:from>
      <xdr:col>3</xdr:col>
      <xdr:colOff>250539</xdr:colOff>
      <xdr:row>31</xdr:row>
      <xdr:rowOff>177030</xdr:rowOff>
    </xdr:from>
    <xdr:to>
      <xdr:col>3</xdr:col>
      <xdr:colOff>955419</xdr:colOff>
      <xdr:row>33</xdr:row>
      <xdr:rowOff>143056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A2BDFEBD-BA52-6DC5-63AE-EB5A8BF3FC12}"/>
                </a:ext>
              </a:extLst>
            </xdr14:cNvPr>
            <xdr14:cNvContentPartPr/>
          </xdr14:nvContentPartPr>
          <xdr14:nvPr macro=""/>
          <xdr14:xfrm>
            <a:off x="2728080" y="6523560"/>
            <a:ext cx="704880" cy="37548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A2BDFEBD-BA52-6DC5-63AE-EB5A8BF3FC12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2721963" y="6517434"/>
              <a:ext cx="717114" cy="3877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676066</xdr:colOff>
      <xdr:row>40</xdr:row>
      <xdr:rowOff>183089</xdr:rowOff>
    </xdr:from>
    <xdr:to>
      <xdr:col>2</xdr:col>
      <xdr:colOff>800626</xdr:colOff>
      <xdr:row>40</xdr:row>
      <xdr:rowOff>186689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D4FFB7F8-9218-D1B4-9084-EC8F88B62AC9}"/>
                </a:ext>
              </a:extLst>
            </xdr14:cNvPr>
            <xdr14:cNvContentPartPr/>
          </xdr14:nvContentPartPr>
          <xdr14:nvPr macro=""/>
          <xdr14:xfrm>
            <a:off x="2327760" y="8372160"/>
            <a:ext cx="124560" cy="360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D4FFB7F8-9218-D1B4-9084-EC8F88B62AC9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2321640" y="8366040"/>
              <a:ext cx="136800" cy="1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753826</xdr:colOff>
      <xdr:row>40</xdr:row>
      <xdr:rowOff>200729</xdr:rowOff>
    </xdr:from>
    <xdr:to>
      <xdr:col>3</xdr:col>
      <xdr:colOff>1593339</xdr:colOff>
      <xdr:row>42</xdr:row>
      <xdr:rowOff>157395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6FA4048E-D9B6-43F6-EB12-8AE9A5241FE1}"/>
                </a:ext>
              </a:extLst>
            </xdr14:cNvPr>
            <xdr14:cNvContentPartPr/>
          </xdr14:nvContentPartPr>
          <xdr14:nvPr macro=""/>
          <xdr14:xfrm>
            <a:off x="2405520" y="8389800"/>
            <a:ext cx="1665360" cy="36612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6FA4048E-D9B6-43F6-EB12-8AE9A5241FE1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2399400" y="8383680"/>
              <a:ext cx="1677600" cy="37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555106</xdr:colOff>
      <xdr:row>38</xdr:row>
      <xdr:rowOff>8623</xdr:rowOff>
    </xdr:from>
    <xdr:to>
      <xdr:col>3</xdr:col>
      <xdr:colOff>1309659</xdr:colOff>
      <xdr:row>40</xdr:row>
      <xdr:rowOff>74009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06E30AB2-6620-4640-435D-862DC323726D}"/>
                </a:ext>
              </a:extLst>
            </xdr14:cNvPr>
            <xdr14:cNvContentPartPr/>
          </xdr14:nvContentPartPr>
          <xdr14:nvPr macro=""/>
          <xdr14:xfrm>
            <a:off x="2206800" y="7788240"/>
            <a:ext cx="1580400" cy="47484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06E30AB2-6620-4640-435D-862DC323726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200680" y="7782120"/>
              <a:ext cx="1592640" cy="487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601717</xdr:colOff>
      <xdr:row>9</xdr:row>
      <xdr:rowOff>115454</xdr:rowOff>
    </xdr:from>
    <xdr:to>
      <xdr:col>9</xdr:col>
      <xdr:colOff>88900</xdr:colOff>
      <xdr:row>23</xdr:row>
      <xdr:rowOff>55417</xdr:rowOff>
    </xdr:to>
    <xdr:pic>
      <xdr:nvPicPr>
        <xdr:cNvPr id="2" name="Picture 1" descr="BODMAS Rule - Definition and Examples (PEMDAS) - Teachoo">
          <a:extLst>
            <a:ext uri="{FF2B5EF4-FFF2-40B4-BE49-F238E27FC236}">
              <a16:creationId xmlns:a16="http://schemas.microsoft.com/office/drawing/2014/main" id="{EE8B7922-4855-9519-D1AE-0294500142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73717" y="1933863"/>
          <a:ext cx="2789183" cy="27685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818606</xdr:colOff>
      <xdr:row>50</xdr:row>
      <xdr:rowOff>183520</xdr:rowOff>
    </xdr:from>
    <xdr:to>
      <xdr:col>1</xdr:col>
      <xdr:colOff>969446</xdr:colOff>
      <xdr:row>51</xdr:row>
      <xdr:rowOff>127200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9A4548B9-E687-2810-C852-5F06B0D6376A}"/>
                </a:ext>
              </a:extLst>
            </xdr14:cNvPr>
            <xdr14:cNvContentPartPr/>
          </xdr14:nvContentPartPr>
          <xdr14:nvPr macro=""/>
          <xdr14:xfrm>
            <a:off x="1645920" y="10343520"/>
            <a:ext cx="150840" cy="14688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9A4548B9-E687-2810-C852-5F06B0D6376A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39800" y="10337400"/>
              <a:ext cx="163080" cy="15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509366</xdr:colOff>
      <xdr:row>47</xdr:row>
      <xdr:rowOff>197320</xdr:rowOff>
    </xdr:from>
    <xdr:to>
      <xdr:col>2</xdr:col>
      <xdr:colOff>42526</xdr:colOff>
      <xdr:row>50</xdr:row>
      <xdr:rowOff>39160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839038BA-1C26-F488-5CF4-5BFBC67E13E9}"/>
                </a:ext>
              </a:extLst>
            </xdr14:cNvPr>
            <xdr14:cNvContentPartPr/>
          </xdr14:nvContentPartPr>
          <xdr14:nvPr macro=""/>
          <xdr14:xfrm>
            <a:off x="1336680" y="9747720"/>
            <a:ext cx="803160" cy="45144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839038BA-1C26-F488-5CF4-5BFBC67E13E9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330560" y="9741600"/>
              <a:ext cx="815400" cy="46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653366</xdr:colOff>
      <xdr:row>47</xdr:row>
      <xdr:rowOff>39640</xdr:rowOff>
    </xdr:from>
    <xdr:to>
      <xdr:col>1</xdr:col>
      <xdr:colOff>729686</xdr:colOff>
      <xdr:row>47</xdr:row>
      <xdr:rowOff>189400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27CF0FE-BEA4-E82C-5917-49AC84F5A14A}"/>
                </a:ext>
              </a:extLst>
            </xdr14:cNvPr>
            <xdr14:cNvContentPartPr/>
          </xdr14:nvContentPartPr>
          <xdr14:nvPr macro=""/>
          <xdr14:xfrm>
            <a:off x="1480680" y="9590040"/>
            <a:ext cx="76320" cy="14976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27CF0FE-BEA4-E82C-5917-49AC84F5A14A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474560" y="9583920"/>
              <a:ext cx="88560" cy="162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6:31:56.39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18 24575,'0'10'0,"0"14"0,0 24 0,0 24 0,0 11 0,0-4 0,0-17 0,0-20 0,0-16 0,0-12 0,0-7 0,0-5 0,0-1 0,0-2 0</inkml:trace>
  <inkml:trace contextRef="#ctx0" brushRef="#br0" timeOffset="1482">356 2 24575,'-6'0'0,"-8"0"0,-16 5 0,-16 6 0,-10 7 0,7 2 0,17-4 0,16-6 0,11-5 0,4-1 0,2 3 0,1 0 0,3 1 0,3-1 0,0 1 0,-1 2 0,2 1 0,2 3 0,6 6 0,6 5 0,2 2 0,-1-2 0,-2-8 0,-3-6 0,-1-7 0,1-2 0,1-6 0,3-4 0,1-5 0,-1-3 0,0-1 0,-3 0 0,-3 0 0,-3-2 0,-3-2 0,-2-2 0,-4-2 0,-1-2 0,-7 1 0,-9 1 0,-12 6 0,-13 7 0,-9 7 0,-2 5 0,4 5 0,7 8-1696,8 4 0,13-4 0,7-3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6:31:58.8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2 24575,'39'0'0,"26"0"0,-14 0 0,6 0 0,13 0 0,3 0 0,0 0 0,-1 0 0,-4 0 0,-2 0 0,-13 0 0,-3 0 0,22 0 0,-18 0 0,-21 0 0,-13 0 0,-8 0 0,-4 0 0,-3 0 0,-1-1 0,-2 1 0,0-1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6:31:59.6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24575,'2'21'0,"0"23"0,-2 34 0,0 14 0,0-6 0,0-21 0,0-28 0,0-18 0,0-13 0,0-6 0</inkml:trace>
  <inkml:trace contextRef="#ctx0" brushRef="#br0" timeOffset="1267">193 153 24575,'0'9'0,"0"3"0,1 7 0,2 3 0,3 1 0,5-2 0,2-4 0,2-4 0,0-4 0,2-5 0,3-2 0,3-6 0,5-6 0,1-8 0,0-5 0,-1-2 0,-4 1 0,-5 2 0,-7 0 0,-6 0 0,-9-3 0,-12 1 0,-14 1 0,-16 4 0,-8 5 0,-2 4 0,5 4 0,11 3 0,10 3 0,12 4 0,9 6 0,5 5 0,2 5 0,1 2 0,0-1 0,1-2 0,0-8 0,0-5 0</inkml:trace>
  <inkml:trace contextRef="#ctx0" brushRef="#br0" timeOffset="2700">724 55 24575,'-1'-4'0,"0"3"0,1 1 0,-1 6 0,1 5 0,0 4 0,0 6 0,0 3 0,1 5 0,3 3 0,2-1 0,2-4 0,1-5 0,-1-6 0,-1-4 0,1-3 0,0-2 0,3-3 0,5-1 0,5-2 0,7-2 0,5-5 0,3-8 0,0-9 0,-4-4 0,-4 1 0,-9 2 0,-7 3 0,-4 0 0,-7 0 0,-8 0 0,-12 1 0,-9 2 0,-8 4 0,-8 1 0,-1 1 0,-1-1 0,7 2 0,9 3 0,10 4 0,7 2 0,6 3 0,4 2 0,2 2 0,1 1 0,0-2 0,0-2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6:35:07.13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314 1 24575,'13'0'0,"17"0"0,25 0 0,23 0 0,4 0 0,-7 0 0,-14 0 0,-15 0 0,-9 0 0,-7 0 0,-5 0 0,-1 0 0,0 0 0,-1 0 0,1 1 0,0 0 0,-1 0 0,-2 1 0,-1-1 0,-2-1 0,1 0 0,0 0 0,-1 0 0,1 0 0,0 0 0,-1 0 0,0 0 0,-1 1 0,-1 0 0,-2 0 0,-1 0 0,-3 1 0,-2-1 0,-1 0 0,-3 0 0,0-1 0,-3 1 0,0-1 0,-1 0 0</inkml:trace>
  <inkml:trace contextRef="#ctx0" brushRef="#br0" timeOffset="1800">821 64 24575,'-11'34'0,"-12"13"0,-13 23 0,-5 4 0,5-8 0,11-19 0,11-21 0,5-10 0,5-8 0,1-5 0,1-2 0,0-5 0,-1-6 0,1-7 0,-1-3 0,2-1 0,0 1 0,0 2 0,1 0 0,0 1 0,0 4 0,0 3 0,0 4 0,0 7 0,0 7 0,0 7 0,0 7 0,0 4 0,0 2 0,0 1 0,0 1 0,0-1 0,0-6 0,0-5 0,1-6 0,0-6 0,2-3 0,2-2 0,2-4 0,3-3 0,3-3 0,2-2 0,2 0 0,0 1 0,-1 1 0,-3 2 0,-2 0 0,-4 2 0,-3 2 0,-4 2 0,-1 0 0,-1 1 0</inkml:trace>
  <inkml:trace contextRef="#ctx0" brushRef="#br0" timeOffset="3651">1 743 24575,'0'3'0,"0"4"0,0 8 0,0 1 0,0 0 0,0-1 0,0-4 0,0-2 0,0-2 0,0-2 0,1-1 0,2-2 0,3-1 0,1-1 0,3 0 0,0 0 0,1-2 0,-1-1 0,0 1 0,-2-1 0,-2 1 0,0 2 0,0-1 0,1 1 0,0-1 0,0 0 0,0-1 0,-3 0 0,-1-1 0,-1 0 0,-2 0 0,0-1 0,-2 1 0,0 0 0,-2 2 0,0 0 0,-1 1 0,0 1 0,0 3 0,0 3 0,0 3 0,1 1 0,0 0 0,2 0 0,0-2 0,2 0 0,0-1 0,0-2 0,0 0 0,0 0 0,0 0 0,0 1 0,0-1 0,0 0 0,0-1 0,0 1 0,0-1 0,0-1 0,0 1 0,1-1 0,0-1 0,-1 0 0,1-1 0,-1-2 0</inkml:trace>
  <inkml:trace contextRef="#ctx0" brushRef="#br0" timeOffset="4200">228 946 24575,'0'0'0</inkml:trace>
  <inkml:trace contextRef="#ctx0" brushRef="#br0" timeOffset="5717">459 783 24575,'-16'-1'0,"-3"-1"0,-3 2 0,0 0 0,5 0 0,6 0 0,5 1 0,3 0 0,2 3 0,3 3 0,2 1 0,1 3 0,-1 0 0,1 0 0,0-2 0,1-1 0,-1-2 0,0 0 0,1-2 0,1-1 0,3-1 0,2-1 0,-2-1 0,0 0 0,-2 0 0,-3 0 0,0 1 0,-1 1 0,-1 2 0,0 1 0,-2 1 0,0 2 0,-1 1 0,-2 1 0,-2 0 0,-3-1 0,-3 0 0,0-1 0,0 0 0,0-1 0,1-2 0,0-2 0,2-1 0,2-2 0,1-2 0,3 1 0,0-1 0</inkml:trace>
  <inkml:trace contextRef="#ctx0" brushRef="#br0" timeOffset="7400">691 896 24575,'0'8'0,"0"3"0,0 5 0,0 4 0,1 0 0,2-1 0,3-2 0,3-3 0,1-4 0,2-4 0,1-2 0,0-3 0,2-3 0,-1-2 0,-2-3 0,0-3 0,-3-2 0,-2-2 0,-3-1 0,-3-1 0,-6-1 0,-7 0 0,-7 3 0,-5 4 0,2 4 0,3 4 0,4 2 0,4 0 0,2-1 0,3-1 0,1-5 0,1-4 0,0-3 0,1-2 0,0-1 0,2 1 0,0 0 0,3 0 0,4 2 0,4 2 0,6 3 0,2 4 0,3 3 0,1 2 0,1 4 0,-3 5 0,-5 7 0,-6 5 0,-5 3 0,-4 1 0,-6-1 0,-1-2 0,-3-3 0,2-3 0,1-6 0,4-4 0,1-4 0</inkml:trace>
  <inkml:trace contextRef="#ctx0" brushRef="#br0" timeOffset="10883">1126 102 24575,'0'46'0,"0"7"0,3 10 0,0-3 0,2-16 0,0-14 0,-2-13 0,-1-8 0,-2-4 0,0-1 0,-4-5 0,-5-3 0,-6-7 0,-4-3 0,1 0 0,1 0 0,5 3 0,3 2 0,3 3 0,2 2 0,3 4 0,5 7 0,5 6 0,4 5 0,2 1 0,-1-2 0,-3-3 0,-3-4 0,-1-4 0,0-2 0,-1-3 0,-1 0 0,1-1 0,1-1 0,1-3 0,1-4 0,3-4 0,2-3 0,0-1 0,0 2 0,-3 3 0,-1 2 0,-3 4 0,-1 1 0,-3 3 0,-1 0 0</inkml:trace>
  <inkml:trace contextRef="#ctx0" brushRef="#br0" timeOffset="11917">1022 749 24575,'3'8'0,"6"9"0,9 11 0,6 6 0,0 1 0,-5-9 0,-8-10 0,-5-8 0,-2-3 0,-1-2 0,0-1 0,-2-1 0,0-1 0</inkml:trace>
  <inkml:trace contextRef="#ctx0" brushRef="#br0" timeOffset="12917">1148 763 24575,'-13'18'0,"0"-1"0,-1 2 0,3-4 0,5-5 0,3-4 0,3-2 0,-1 1 0,-3 5 0,-3 4 0,-3 4 0,0-1 0,2-3 0,2-5 0,3-3 0,0-2 0,2-2 0,0-1 0</inkml:trace>
  <inkml:trace contextRef="#ctx0" brushRef="#br0" timeOffset="13883">1296 772 24575,'0'12'0,"0"9"0,0 10 0,0 4 0,0-7 0,0-8 0,0-9 0,0-5 0,1-3 0,-1-1 0</inkml:trace>
  <inkml:trace contextRef="#ctx0" brushRef="#br0" timeOffset="15184">1434 830 24575,'0'2'0,"0"5"0,0 9 0,0 5 0,2 1 0,2-4 0,1-4 0,1-5 0,0-4 0,3-1 0,1-3 0,1 0 0,1-1 0,1-2 0,-1-2 0,0-2 0,0-4 0,-1-2 0,-2-3 0,0-1 0,-4-2 0,-2-1 0,-6 1 0,-9 2 0,-7 3 0,-7 2 0,0 3 0,3 4 0,5 2 0,5 1 0,5 3 0,3 2 0,2 2 0,1 2 0,1-3 0,0-1 0</inkml:trace>
  <inkml:trace contextRef="#ctx0" brushRef="#br0" timeOffset="17100">1281 4 24575,'0'6'0,"0"2"0,1 1 0,5 3 0,4-1 0,5 1 0,2-2 0,-2-3 0,-1-2 0,-1-3 0,-3-4 0,1-4 0,0-4 0,0-2 0,0 0 0,1 1 0,1 4 0,5 1 0,12 4 0,16 6 0,9 7 0,3 5 0,-10 4 0,-15-3 0,-12-4 0,-10-3 0,-5-3 0,-1-2 0,-1-1 0,1-1 0,1-3 0,0-2 0,2-4 0,0-3 0,0-5 0,0-1 0,0-1 0,-1 1 0,-1 0 0,-1 3 0,-1 3 0,-2 5 0,-2 2 0</inkml:trace>
  <inkml:trace contextRef="#ctx0" brushRef="#br0" timeOffset="18716">1766 267 24575,'-1'8'0,"8"11"0,7 8 0,5 8 0,0-5 0,-7-9 0,-4-8 0,-4-7 0,-2-1 0,1 1 0,-1 0 0,1 1 0,0 0 0,-1-2 0,-1 0 0,-1-1 0,-3-3 0,-7-7 0,-7-6 0,-4-7 0,-3-3 0,3 4 0,5 4 0,4 4 0,4 5 0,4 3 0,4 3 0,6 4 0,6 3 0,5 5 0,2 0 0,-1 0 0,-2-2 0,-3-2 0,-2-2 0,-1-2 0,-1-2 0,0-2 0,1 0 0,2-4 0,1-3 0,0-4 0,0-5 0,-2-2 0,-3 0 0,-3-1 0,-2 3 0,-2 3 0,0 3 0,-1 4 0,0 2 0</inkml:trace>
  <inkml:trace contextRef="#ctx0" brushRef="#br0" timeOffset="20917">1796 561 24575,'-3'-3'0,"-2"1"0,-1 2 0,0 0 0,2 0 0,0 0 0,2 1 0,1 0 0,0 1 0,0 0 0,0 1 0,0 0 0,1 1 0,0 0 0,0 1 0,0 2 0,0 1 0,0 1 0,2 0 0,0-1 0,2-1 0,0-1 0,0 0 0,1-2 0,1-1 0,1 0 0,2 1 0,1-1 0,1-1 0,0-1 0,-1-1 0,-2 0 0,-1-1 0,-3 0 0,0-3 0,-3-3 0,-1-4 0,0-1 0,-1-1 0,-1 2 0,-1 3 0,1 5 0,1 3 0,3 7 0,3 5 0,3 4 0,0 1 0,-1-1 0,-2-2 0,-2-2 0,-1-2 0,-2-1 0,0-1 0,0 0 0,0-1 0,-2 1 0,-2-1 0,-3 1 0,-2-1 0,-1-1 0,0 0 0,0-2 0,0-2 0,3 0 0,2-2 0,1 0 0,1-2 0,1 2 0,1-2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6:37:03.85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4 24575,'0'3'0,"4"-1"0,5-2 0,7 0 0,8 0 0,7 0 0,7 0 0,2 0 0,0 0 0,-3-1 0,-6 0 0,-7-1 0,-5 0 0,-6 1 0,-4 0 0,-4 0 0,-1 1 0,-4 0 0,0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6:37:07.20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24575,'3'11'0,"6"9"0,13 14 0,14 11 0,14 11 0,12 4 0,6-1 0,3-3 0,6-4 0,-34-25 0,2-1 0,8 3 0,3 0 0,7 3 0,3 0 0,5 2 0,1-2 0,2 1 0,1-2 0,-1-1 0,-1-2 0,-4-2 0,0-3 0,-2-1 0,1-1 0,2-1 0,1-2 0,3-1 0,1 0 0,9-1 0,2-2 0,4 0 0,1-3 0,0 0 0,-1-3 0,2-1 0,-1-2 0,-5-1 0,-3-1 0,-6-1 0,-4-1 0,-10-1 0,-4 0 0,29 0 0,-35 0 0,-21-1 0,-18 0 0,-9-1 0,-4 0 0,-2-1 0,0 1 0,1-2 0,-1 1 0,1-1 0,0-2 0,2-5 0,0 0 0,2 3 0,2 3 0,4 2 0,4-2 0,11-4 0,9-2 0,11-4 0,4-1 0,0 1 0,2-1 0,-4 0 0,2 0 0,-1-1 0,0 0 0,0 0 0,-1 0 0,-1 0 0,-2-1 0,-2 0 0,-1-2 0,2-1 0,3-3 0,2-2 0,5-4 0,-2 0 0,-1-1 0,3-2 0,-5 5 0,-1 2 0,-5 1 0,-4 2 0,-3 0 0,-1-2 0,-2 0 0,-1 2 0,-3 0 0,-4 2 0,-3 0 0,-3 2 0,-3 3 0,-3 3 0,-4 5 0,-2 3 0,-2 1 0,0 3 0,-2-1 0,0 1 0,-4 0 0,-3-1 0,-5 2 0,-5-2 0,-1 0 0,3 2 0,0-1 0,0 1 0,1 0 0,0 0 0,3 0 0,3 0 0,1 2 0,1-1 0,1 0 0,3-1 0,7-1 0,5-3 0,6-1 0,2-1 0,-3 1 0,-2 1 0,-4 1 0,-3 1 0,-3 1 0,-3 2 0,0 4 0,-1 3 0,0 4 0,0 3 0,0 2 0,0 0 0,1 0 0,0 1 0,2 0 0,-1-3 0,0-2 0,0-3 0,-1-2 0,0-2 0,-1-3 0,0-2 0,-1-1 0,0-1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6:37:11.17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1190 24575,'0'-8'0,"0"-9"0,6-20 0,14-30 0,1 17 0,5-5 0,8-7 0,4-2 0,7-6 0,4 1 0,2 2 0,2 3 0,-2 6 0,2 4 0,-1 5 0,0 3 0,-4 8 0,0 2 0,-1 4 0,0 2 0,-1 2 0,-1 2 0,0 2 0,1 1 0,45-18 0,2 9 0,1 9 0,3 10 0,-4 7 0,-4 6 0,1 2 0,5 6 0,-43-1 0,1 1 0,3 3 0,2 1 0,1 3 0,0 0 0,-1 3 0,0 0 0,-4 0 0,-2 1 0,38 14 0,-10-2 0,-9-2 0,-7-2 0,4 2 0,-5-3 0,-2-2 0,0 1 0,-6-2 0,-3 1 0,-1 3 0,-3 3 0,-5 2 0,-6 2 0,-6-1 0,-8-3 0,-7-3 0,-4-6 0,-4-6 0,-3-5 0,-2-4 0,-2-2 0,-1-2 0,0-2 0,0-3 0,0-1 0,0-1 0,0 1 0,0 0 0,0-1 0,0-3 0,0-2 0,3 1 0,8 7 0,11 7 0,10 8 0,6 3 0,-4-1 0,-2 0 0,2 0 0,3 2 0,6 2 0,-1 1 0,-6-3 0,-3 0 0,-2-2 0,0 0 0,2 2 0,6 0 0,3 2 0,4 1 0,-2 1 0,-3-1 0,0 2 0,1 2 0,8 3 0,4 1 0,-2-1 0,-5-5 0,-10-5 0,-8-4 0,-4-2 0,-1 0 0,-2-1 0,-3-1 0,-4-1 0,-2-2 0,-2 0 0,0 1 0,-2-1 0,-2-1 0,-1-2 0,-3-5 0,-2-5 0,-3-5 0,-3-2 0,-3-1 0,-1 2 0,-1 0 0,-1 2 0,-2-2 0,0 1 0,0 0 0,3 2 0,3 3 0,3 1 0,1 1 0,1 1 0,1 0 0,0 1 0,1 1 0,3 3 0,3 3 0,2 2 0,3 2 0,0 0 0,-1 1 0,0-1 0,0 2 0,0-1 0,-2 0 0,-2 0 0,-3-2 0,-1 0 0,-2 0 0,0-1 0,0-1 0,-1 0 0,0 0 0,-3 1 0,-1-1 0,-2 0 0,-1 1 0,-1 0 0,-4 2 0,0 2 0,-2 1 0,2 1 0,3 0 0,2-2 0,2 0 0,2-1 0,1-1 0,0-1 0,1 0 0,1-1 0,0-1 0,1-2 0,1-4 0,-1-2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7:22:03.23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52 36 24575,'0'6'0,"0"2"0,0 5 0,0 7 0,0 13 0,0 10 0,0 10 0,0 3 0,0-5 0,0-11 0,0-15 0,0-10 0,0-9 0,-1-12 0,-3-17 0,-4-14 0,-3-13 0,0-2 0,4 7 0,3 8 0,2 12 0,1 7 0,1 3 0,0 3 0,0-1 0,0 2 0,0 2 0,-1 1 0,0 1 0,1 1 0,0 0 0,0 1 0,0 0 0,0 1 0,3 1 0,2 0 0,3 0 0,0 2 0,-1 1 0,1 1 0,-1 2 0,1 2 0,0 3 0,2 3 0,0 5 0,1 2 0,-1 1 0,-2 0 0,-1-3 0,1-1 0,1-1 0,4 1 0,4 3 0,6 4 0,7 6 0,6 4 0,2 2 0,-1-1 0,-6-4 0,-8-7 0,-9-8 0,-7-6 0,-3-3 0,-1-3 0,-2-2 0,1-6 0,-1-12 0,1-18 0,-2-12 0,0-8 0,0 5 0,0 11 0,0 11 0,0 11 0,0 8 0,0 3 0,0 2 0,0 0 0,0 2 0,0 0 0,0-1 0,0 0 0,0-1 0,-1 0 0,0 1 0,1 0 0,0 2 0,0-2 0,0 1 0,0-1 0,-1 2 0,1 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7:21:56.454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747 0 24575,'-30'0'0,"-25"0"0,-28 0 0,-16 0 0,47 0 0,0 0 0,-39 0 0,16 0 0,13 0 0,14 0 0,10 0 0,8 0 0,11 0 0,10 0 0,6 0 0,6 2 0,7 1 0,5 4 0,5 4 0,4 3 0,0 2 0,-1 3 0,-2 1 0,0 4 0,5 5 0,11 6 0,14 8 0,5 0 0,1 0 0,-5-5 0,-13-9 0,-8-7 0,-13-7 0,-6-5 0,-6-4 0,-3-2 0,-1-1 0,-2 1 0,0-1 0,-2 2 0,-4 0 0,-4 0 0,-3 2 0,-2 1 0,-5 6 0,-7 7 0,-12 12 0,-12 15 0,-7 12 0,-1 6 0,4-1 0,9-10 0,12-14 0,9-11 0,11-14 0,7-7 0,5-6 0,3-3 0,3-3 0,6-3 0,3-2 0,7-1 0,9 1 0,14 3 0,19 6 0,22 10 0,-35-1 0,1 2 0,0 1 0,0 1 0,40 13 0,-20-7 0,-23-7 0,-17-5 0,-15-6 0,-9-1 0,-3-3 0</inkml:trace>
  <inkml:trace contextRef="#ctx0" brushRef="#br0" timeOffset="915">1138 213 24575,'0'18'0,"8"3"0,15 16 0,21 12 0,19 10 0,2-1 0,-3-4 0,-6-4 0,-8-5 0,-2 2 0,-8-8 0,-7-7 0,-7-8 0,-9-10 0,-7-7 0,-4-7 0,-2-7 0,-1 3 0,-1-4 0</inkml:trace>
  <inkml:trace contextRef="#ctx0" brushRef="#br0" timeOffset="1815">1428 193 24575,'-8'27'0,"-11"19"0,-12 26 0,-8 19 0,-2 0 0,8-14 0,6-17 0,8-18 0,5-11 0,3-7 0,3-7 0,3-7 0,2-4 0,2-3 0,1-3 0</inkml:trace>
  <inkml:trace contextRef="#ctx0" brushRef="#br0" timeOffset="2932">2015 718 24575,'0'5'0,"0"0"0,0 1 0,0 2 0,0 1 0,2 3 0,3 2 0,3 1 0,1-2 0,0-2 0,-1-3 0,-2-3 0,0-1 0,1-3 0,0 0 0,3-3 0,1-3 0,0-2 0,2-4 0,-1 0 0,1-1 0,0 1 0,-2 2 0,-4 3 0,-3 3 0,-3 2 0</inkml:trace>
  <inkml:trace contextRef="#ctx0" brushRef="#br0" timeOffset="3448">2008 582 24575,'0'0'0</inkml:trace>
  <inkml:trace contextRef="#ctx0" brushRef="#br0" timeOffset="4348">106 1250 24575,'7'0'0,"11"0"0,31 0 0,44 0 0,-23 0 0,7 0 0,18 0 0,5 0-389,-26 0 1,2 0-1,2 0 389,5 0 0,2 0 0,-1 0 0,-3 0 0,0 0 0,-1 0 0,-4 0 0,0 0 0,-3 0 142,22 0 1,-6 0-143,-17 0 0,-3 0 0,-11 0 0,-4 0 0,23 0 0,-18 1 0,-21 0 881,-13 0-881,-10 0 0,-4-1 0,-7 0 0,-1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19T17:22:05.21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1 181 24575,'0'17'0,"0"10"0,0 10 0,0 6 0,0-2 0,0-9 0,0-11 0,0-9 0,0-8 0,0-5 0,0-9 0,0-11 0,0-13 0,0-10 0,0-5 0,0-1 0,0 3 0,0 7 0,1 9 0,-1 11 0,1 9 0,0 12 0,0 9 0,4 9 0,3 8 0,3 3 0,1 1 0,1-1 0,2 0 0,4 3 0,5 1 0,-2-4 0,-2-5 0,-6-8 0,-5-7 0,-3-5 0,-1-3 0,-1-1 0,-1-3 0,0-8 0,-2-15 0,0-21 0,-1-14 0,0-8 0,0 5 0,0 14 0,2 14 0,0 15 0,1 11 0,0 5 0,-2 3 0,0 2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bhinav.p@company.com" TargetMode="External"/><Relationship Id="rId2" Type="http://schemas.openxmlformats.org/officeDocument/2006/relationships/hyperlink" Target="mailto:vijay.g@company.com" TargetMode="External"/><Relationship Id="rId1" Type="http://schemas.openxmlformats.org/officeDocument/2006/relationships/hyperlink" Target="mailto:utkarsh.s@company.com" TargetMode="External"/><Relationship Id="rId6" Type="http://schemas.openxmlformats.org/officeDocument/2006/relationships/hyperlink" Target="mailto:pandey.abhinav@demo.in" TargetMode="External"/><Relationship Id="rId5" Type="http://schemas.openxmlformats.org/officeDocument/2006/relationships/hyperlink" Target="mailto:gupta.vijay@demo.in" TargetMode="External"/><Relationship Id="rId4" Type="http://schemas.openxmlformats.org/officeDocument/2006/relationships/hyperlink" Target="mailto:sahu.utkarsh@demo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D3315-3384-7F43-9AAC-A26DBE64DEA9}">
  <dimension ref="A4:F61"/>
  <sheetViews>
    <sheetView topLeftCell="A56" zoomScale="229" workbookViewId="0">
      <selection activeCell="B64" sqref="B64"/>
    </sheetView>
  </sheetViews>
  <sheetFormatPr baseColWidth="10" defaultRowHeight="16" x14ac:dyDescent="0.2"/>
  <cols>
    <col min="2" max="2" width="15.5" bestFit="1" customWidth="1"/>
    <col min="4" max="4" width="22.83203125" bestFit="1" customWidth="1"/>
  </cols>
  <sheetData>
    <row r="4" spans="2:6" x14ac:dyDescent="0.2">
      <c r="B4" t="s">
        <v>0</v>
      </c>
    </row>
    <row r="6" spans="2:6" x14ac:dyDescent="0.2">
      <c r="B6" t="s">
        <v>1</v>
      </c>
      <c r="D6" t="s">
        <v>3</v>
      </c>
    </row>
    <row r="8" spans="2:6" x14ac:dyDescent="0.2">
      <c r="B8" t="s">
        <v>2</v>
      </c>
      <c r="D8" t="s">
        <v>4</v>
      </c>
    </row>
    <row r="10" spans="2:6" x14ac:dyDescent="0.2">
      <c r="B10" t="s">
        <v>5</v>
      </c>
      <c r="D10" s="2">
        <v>-10</v>
      </c>
    </row>
    <row r="12" spans="2:6" x14ac:dyDescent="0.2">
      <c r="B12" t="s">
        <v>6</v>
      </c>
      <c r="C12" s="1"/>
      <c r="D12" s="3">
        <v>-10</v>
      </c>
      <c r="F12" t="s">
        <v>7</v>
      </c>
    </row>
    <row r="15" spans="2:6" x14ac:dyDescent="0.2">
      <c r="B15" t="s">
        <v>8</v>
      </c>
      <c r="D15" s="7">
        <v>46072</v>
      </c>
    </row>
    <row r="17" spans="2:6" x14ac:dyDescent="0.2">
      <c r="B17" t="s">
        <v>9</v>
      </c>
      <c r="D17" s="5">
        <v>46072</v>
      </c>
    </row>
    <row r="19" spans="2:6" x14ac:dyDescent="0.2">
      <c r="B19" t="s">
        <v>10</v>
      </c>
      <c r="D19" s="6">
        <v>0.89236111111111116</v>
      </c>
    </row>
    <row r="21" spans="2:6" x14ac:dyDescent="0.2">
      <c r="B21" t="s">
        <v>24</v>
      </c>
      <c r="D21" t="s">
        <v>25</v>
      </c>
    </row>
    <row r="22" spans="2:6" x14ac:dyDescent="0.2">
      <c r="D22" t="s">
        <v>26</v>
      </c>
    </row>
    <row r="25" spans="2:6" x14ac:dyDescent="0.2">
      <c r="B25" s="11"/>
      <c r="D25" s="12">
        <v>0.1</v>
      </c>
      <c r="F25" s="7">
        <v>0.01</v>
      </c>
    </row>
    <row r="27" spans="2:6" x14ac:dyDescent="0.2">
      <c r="D27" s="12">
        <v>1.1000000000000001</v>
      </c>
    </row>
    <row r="30" spans="2:6" x14ac:dyDescent="0.2">
      <c r="B30" t="s">
        <v>27</v>
      </c>
      <c r="D30" s="13">
        <v>4583478484</v>
      </c>
    </row>
    <row r="37" spans="2:6" x14ac:dyDescent="0.2">
      <c r="D37">
        <v>3.6359999999999997E-5</v>
      </c>
      <c r="E37" s="13">
        <v>3.6359999999999997E-5</v>
      </c>
    </row>
    <row r="41" spans="2:6" x14ac:dyDescent="0.2">
      <c r="B41" t="s">
        <v>28</v>
      </c>
      <c r="C41">
        <v>1.25</v>
      </c>
      <c r="D41" s="14">
        <v>1.25</v>
      </c>
    </row>
    <row r="43" spans="2:6" x14ac:dyDescent="0.2">
      <c r="C43">
        <v>200.75</v>
      </c>
      <c r="D43" s="14">
        <v>200.75</v>
      </c>
    </row>
    <row r="44" spans="2:6" x14ac:dyDescent="0.2">
      <c r="D44" s="15"/>
    </row>
    <row r="47" spans="2:6" x14ac:dyDescent="0.2">
      <c r="B47" s="10"/>
      <c r="C47" s="10"/>
      <c r="D47" s="10"/>
      <c r="E47" s="10"/>
      <c r="F47" s="10"/>
    </row>
    <row r="52" spans="1:5" x14ac:dyDescent="0.2">
      <c r="B52">
        <v>3.14</v>
      </c>
      <c r="D52">
        <f>PIE</f>
        <v>3.14</v>
      </c>
    </row>
    <row r="55" spans="1:5" x14ac:dyDescent="0.2">
      <c r="D55">
        <f>B52*2</f>
        <v>6.28</v>
      </c>
    </row>
    <row r="56" spans="1:5" x14ac:dyDescent="0.2">
      <c r="B56" s="16">
        <v>300000000</v>
      </c>
    </row>
    <row r="58" spans="1:5" x14ac:dyDescent="0.2">
      <c r="D58">
        <f>SP_Light/100</f>
        <v>3000000</v>
      </c>
    </row>
    <row r="61" spans="1:5" x14ac:dyDescent="0.2">
      <c r="A61" s="10"/>
      <c r="B61" s="10"/>
      <c r="C61" s="10"/>
      <c r="D61" s="10"/>
      <c r="E61" s="1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6F8A1-A60B-C54B-AF5D-6DFC77D9D53F}">
  <dimension ref="B3:E61"/>
  <sheetViews>
    <sheetView tabSelected="1" topLeftCell="A60" zoomScale="350" workbookViewId="0">
      <selection activeCell="B65" sqref="B65"/>
    </sheetView>
  </sheetViews>
  <sheetFormatPr baseColWidth="10" defaultRowHeight="16" x14ac:dyDescent="0.2"/>
  <cols>
    <col min="2" max="2" width="16.6640625" bestFit="1" customWidth="1"/>
  </cols>
  <sheetData>
    <row r="3" spans="2:5" x14ac:dyDescent="0.2">
      <c r="B3" t="s">
        <v>29</v>
      </c>
    </row>
    <row r="7" spans="2:5" x14ac:dyDescent="0.2">
      <c r="B7" t="s">
        <v>30</v>
      </c>
    </row>
    <row r="9" spans="2:5" x14ac:dyDescent="0.2">
      <c r="B9" t="s">
        <v>31</v>
      </c>
    </row>
    <row r="13" spans="2:5" x14ac:dyDescent="0.2">
      <c r="B13" t="str">
        <f>"+"</f>
        <v>+</v>
      </c>
      <c r="C13" t="s">
        <v>32</v>
      </c>
      <c r="E13" t="s">
        <v>36</v>
      </c>
    </row>
    <row r="14" spans="2:5" x14ac:dyDescent="0.2">
      <c r="B14" t="str">
        <f>"-"</f>
        <v>-</v>
      </c>
      <c r="C14" t="s">
        <v>33</v>
      </c>
    </row>
    <row r="15" spans="2:5" x14ac:dyDescent="0.2">
      <c r="B15" t="str">
        <f>"*"</f>
        <v>*</v>
      </c>
      <c r="C15" t="s">
        <v>34</v>
      </c>
    </row>
    <row r="16" spans="2:5" x14ac:dyDescent="0.2">
      <c r="B16" t="str">
        <f>"/"</f>
        <v>/</v>
      </c>
      <c r="C16" t="s">
        <v>35</v>
      </c>
    </row>
    <row r="19" spans="2:4" x14ac:dyDescent="0.2">
      <c r="B19" t="s">
        <v>37</v>
      </c>
      <c r="C19" t="s">
        <v>38</v>
      </c>
    </row>
    <row r="20" spans="2:4" x14ac:dyDescent="0.2">
      <c r="B20">
        <v>100</v>
      </c>
      <c r="C20">
        <v>20</v>
      </c>
    </row>
    <row r="22" spans="2:4" x14ac:dyDescent="0.2">
      <c r="B22">
        <f>B20/C20</f>
        <v>5</v>
      </c>
    </row>
    <row r="26" spans="2:4" x14ac:dyDescent="0.2">
      <c r="B26">
        <v>10</v>
      </c>
    </row>
    <row r="27" spans="2:4" x14ac:dyDescent="0.2">
      <c r="B27">
        <v>20</v>
      </c>
    </row>
    <row r="28" spans="2:4" x14ac:dyDescent="0.2">
      <c r="B28">
        <v>30</v>
      </c>
    </row>
    <row r="29" spans="2:4" x14ac:dyDescent="0.2">
      <c r="B29">
        <v>40</v>
      </c>
      <c r="D29">
        <f>AVERAGE(B26:B34)</f>
        <v>50</v>
      </c>
    </row>
    <row r="30" spans="2:4" x14ac:dyDescent="0.2">
      <c r="B30">
        <v>50</v>
      </c>
    </row>
    <row r="31" spans="2:4" x14ac:dyDescent="0.2">
      <c r="B31">
        <v>60</v>
      </c>
    </row>
    <row r="32" spans="2:4" x14ac:dyDescent="0.2">
      <c r="B32">
        <v>70</v>
      </c>
    </row>
    <row r="33" spans="2:3" x14ac:dyDescent="0.2">
      <c r="B33">
        <v>80</v>
      </c>
    </row>
    <row r="34" spans="2:3" x14ac:dyDescent="0.2">
      <c r="B34">
        <v>90</v>
      </c>
    </row>
    <row r="36" spans="2:3" x14ac:dyDescent="0.2">
      <c r="B36" s="17" t="s">
        <v>39</v>
      </c>
    </row>
    <row r="39" spans="2:3" x14ac:dyDescent="0.2">
      <c r="B39" t="s">
        <v>40</v>
      </c>
    </row>
    <row r="41" spans="2:3" x14ac:dyDescent="0.2">
      <c r="C41">
        <f>SUM(B26,B28,-5)</f>
        <v>35</v>
      </c>
    </row>
    <row r="44" spans="2:3" x14ac:dyDescent="0.2">
      <c r="B44" t="s">
        <v>61</v>
      </c>
    </row>
    <row r="46" spans="2:3" x14ac:dyDescent="0.2">
      <c r="B46" t="s">
        <v>62</v>
      </c>
    </row>
    <row r="49" spans="2:4" x14ac:dyDescent="0.2">
      <c r="D49" t="str">
        <f>"=AVERAGE(B26:B34)"</f>
        <v>=AVERAGE(B26:B34)</v>
      </c>
    </row>
    <row r="50" spans="2:4" x14ac:dyDescent="0.2">
      <c r="D50">
        <f>AVERAGE(B26:B34)</f>
        <v>50</v>
      </c>
    </row>
    <row r="55" spans="2:4" x14ac:dyDescent="0.2">
      <c r="B55" t="s">
        <v>63</v>
      </c>
    </row>
    <row r="57" spans="2:4" x14ac:dyDescent="0.2">
      <c r="B57" t="s">
        <v>64</v>
      </c>
    </row>
    <row r="59" spans="2:4" x14ac:dyDescent="0.2">
      <c r="B59" t="s">
        <v>65</v>
      </c>
      <c r="D59" t="s">
        <v>67</v>
      </c>
    </row>
    <row r="61" spans="2:4" x14ac:dyDescent="0.2">
      <c r="B61" t="s">
        <v>66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39D14-463C-304F-9654-F37F1C014A85}">
  <dimension ref="B3:L63"/>
  <sheetViews>
    <sheetView topLeftCell="D57" zoomScale="349" workbookViewId="0">
      <selection activeCell="E61" sqref="E61"/>
    </sheetView>
  </sheetViews>
  <sheetFormatPr baseColWidth="10" defaultRowHeight="16" x14ac:dyDescent="0.2"/>
  <cols>
    <col min="8" max="8" width="22.83203125" bestFit="1" customWidth="1"/>
  </cols>
  <sheetData>
    <row r="3" spans="2:12" x14ac:dyDescent="0.2">
      <c r="G3" s="1"/>
    </row>
    <row r="5" spans="2:12" x14ac:dyDescent="0.2">
      <c r="B5">
        <v>1</v>
      </c>
      <c r="D5" s="8">
        <v>32874</v>
      </c>
    </row>
    <row r="6" spans="2:12" x14ac:dyDescent="0.2">
      <c r="D6" s="4"/>
      <c r="J6" t="s">
        <v>12</v>
      </c>
      <c r="L6" t="s">
        <v>13</v>
      </c>
    </row>
    <row r="7" spans="2:12" x14ac:dyDescent="0.2">
      <c r="D7" s="4">
        <v>0</v>
      </c>
      <c r="F7">
        <v>0</v>
      </c>
      <c r="J7" t="s">
        <v>11</v>
      </c>
      <c r="L7" t="s">
        <v>14</v>
      </c>
    </row>
    <row r="8" spans="2:12" x14ac:dyDescent="0.2">
      <c r="D8" s="4">
        <v>1</v>
      </c>
      <c r="F8">
        <v>1</v>
      </c>
      <c r="H8" s="4">
        <v>1</v>
      </c>
    </row>
    <row r="9" spans="2:12" x14ac:dyDescent="0.2">
      <c r="F9">
        <v>2</v>
      </c>
      <c r="H9" s="9">
        <v>2</v>
      </c>
      <c r="J9" s="4">
        <v>46072</v>
      </c>
    </row>
    <row r="11" spans="2:12" x14ac:dyDescent="0.2">
      <c r="J11" s="4" t="str">
        <f>"19 - 02 - 2026"</f>
        <v>19 - 02 - 2026</v>
      </c>
    </row>
    <row r="12" spans="2:12" x14ac:dyDescent="0.2">
      <c r="F12" s="7">
        <f ca="1">TODAY()</f>
        <v>46072</v>
      </c>
      <c r="H12" s="4">
        <f ca="1">TODAY()</f>
        <v>46072</v>
      </c>
    </row>
    <row r="17" spans="4:11" x14ac:dyDescent="0.2">
      <c r="H17" s="5">
        <f ca="1">TODAY()</f>
        <v>46072</v>
      </c>
    </row>
    <row r="19" spans="4:11" x14ac:dyDescent="0.2">
      <c r="G19" s="6"/>
    </row>
    <row r="22" spans="4:11" x14ac:dyDescent="0.2">
      <c r="D22" s="10"/>
      <c r="E22" s="10"/>
      <c r="F22" s="10"/>
      <c r="G22" s="10"/>
      <c r="H22" s="10"/>
      <c r="I22" s="10"/>
      <c r="J22" s="10"/>
      <c r="K22" s="10"/>
    </row>
    <row r="26" spans="4:11" x14ac:dyDescent="0.2">
      <c r="E26" t="s">
        <v>15</v>
      </c>
      <c r="G26" t="s">
        <v>16</v>
      </c>
    </row>
    <row r="28" spans="4:11" x14ac:dyDescent="0.2">
      <c r="E28" t="s">
        <v>17</v>
      </c>
      <c r="G28" t="s">
        <v>18</v>
      </c>
    </row>
    <row r="29" spans="4:11" x14ac:dyDescent="0.2">
      <c r="H29" s="7"/>
    </row>
    <row r="31" spans="4:11" x14ac:dyDescent="0.2">
      <c r="E31" t="s">
        <v>19</v>
      </c>
    </row>
    <row r="35" spans="2:8" x14ac:dyDescent="0.2">
      <c r="C35" t="s">
        <v>20</v>
      </c>
      <c r="F35" s="6"/>
    </row>
    <row r="37" spans="2:8" x14ac:dyDescent="0.2">
      <c r="C37" t="s">
        <v>21</v>
      </c>
    </row>
    <row r="39" spans="2:8" x14ac:dyDescent="0.2">
      <c r="C39" t="s">
        <v>22</v>
      </c>
    </row>
    <row r="41" spans="2:8" x14ac:dyDescent="0.2">
      <c r="C41" t="s">
        <v>23</v>
      </c>
    </row>
    <row r="44" spans="2:8" x14ac:dyDescent="0.2">
      <c r="B44" s="10"/>
      <c r="C44" s="10"/>
      <c r="D44" s="10"/>
      <c r="E44" s="10"/>
      <c r="F44" s="10"/>
      <c r="G44" s="10"/>
      <c r="H44" s="10"/>
    </row>
    <row r="48" spans="2:8" x14ac:dyDescent="0.2">
      <c r="C48" t="s">
        <v>41</v>
      </c>
      <c r="E48" t="s">
        <v>42</v>
      </c>
      <c r="G48" t="s">
        <v>60</v>
      </c>
    </row>
    <row r="49" spans="3:9" x14ac:dyDescent="0.2">
      <c r="G49" t="s">
        <v>59</v>
      </c>
    </row>
    <row r="51" spans="3:9" x14ac:dyDescent="0.2">
      <c r="E51" t="s">
        <v>43</v>
      </c>
      <c r="F51" t="s">
        <v>47</v>
      </c>
      <c r="H51" t="s">
        <v>48</v>
      </c>
    </row>
    <row r="52" spans="3:9" x14ac:dyDescent="0.2">
      <c r="C52">
        <v>5</v>
      </c>
      <c r="E52" t="s">
        <v>44</v>
      </c>
      <c r="F52">
        <v>2026</v>
      </c>
      <c r="H52" t="s">
        <v>49</v>
      </c>
      <c r="I52" s="18" t="s">
        <v>52</v>
      </c>
    </row>
    <row r="53" spans="3:9" x14ac:dyDescent="0.2">
      <c r="C53">
        <v>10</v>
      </c>
      <c r="E53" t="s">
        <v>45</v>
      </c>
      <c r="F53">
        <v>2025</v>
      </c>
      <c r="H53" t="s">
        <v>50</v>
      </c>
      <c r="I53" s="18" t="s">
        <v>53</v>
      </c>
    </row>
    <row r="54" spans="3:9" x14ac:dyDescent="0.2">
      <c r="C54">
        <v>15</v>
      </c>
      <c r="E54" t="s">
        <v>46</v>
      </c>
      <c r="F54">
        <v>2014</v>
      </c>
      <c r="H54" t="s">
        <v>51</v>
      </c>
      <c r="I54" s="18" t="s">
        <v>54</v>
      </c>
    </row>
    <row r="55" spans="3:9" x14ac:dyDescent="0.2">
      <c r="C55">
        <v>20</v>
      </c>
      <c r="H55" t="s">
        <v>58</v>
      </c>
      <c r="I55" s="19"/>
    </row>
    <row r="56" spans="3:9" x14ac:dyDescent="0.2">
      <c r="C56">
        <v>25</v>
      </c>
    </row>
    <row r="57" spans="3:9" x14ac:dyDescent="0.2">
      <c r="C57">
        <v>30</v>
      </c>
    </row>
    <row r="58" spans="3:9" x14ac:dyDescent="0.2">
      <c r="C58">
        <v>35</v>
      </c>
      <c r="H58" t="s">
        <v>48</v>
      </c>
    </row>
    <row r="59" spans="3:9" x14ac:dyDescent="0.2">
      <c r="C59">
        <v>40</v>
      </c>
      <c r="H59" t="s">
        <v>49</v>
      </c>
      <c r="I59" s="18" t="s">
        <v>55</v>
      </c>
    </row>
    <row r="60" spans="3:9" x14ac:dyDescent="0.2">
      <c r="H60" t="s">
        <v>50</v>
      </c>
      <c r="I60" s="18" t="s">
        <v>56</v>
      </c>
    </row>
    <row r="61" spans="3:9" x14ac:dyDescent="0.2">
      <c r="H61" t="s">
        <v>51</v>
      </c>
      <c r="I61" s="18" t="s">
        <v>57</v>
      </c>
    </row>
    <row r="63" spans="3:9" x14ac:dyDescent="0.2">
      <c r="D63" s="17"/>
      <c r="E63" s="17"/>
      <c r="F63" s="17"/>
      <c r="G63" s="17"/>
      <c r="H63" s="17"/>
    </row>
  </sheetData>
  <hyperlinks>
    <hyperlink ref="I52" r:id="rId1" xr:uid="{7069CB28-C286-3E4B-8887-DE2ED8FA16F0}"/>
    <hyperlink ref="I53" r:id="rId2" xr:uid="{3B23EADB-C8EE-3B4B-8C1C-A3FD080212DB}"/>
    <hyperlink ref="I54" r:id="rId3" xr:uid="{72CB2BCA-0F6A-444C-814A-E76B627AF657}"/>
    <hyperlink ref="I59" r:id="rId4" xr:uid="{4CF8D5CA-E0CC-954F-9267-545EF7E73A60}"/>
    <hyperlink ref="I60" r:id="rId5" xr:uid="{D5463A49-BB26-4E4C-92F1-CC2B2EAE92FB}"/>
    <hyperlink ref="I61" r:id="rId6" xr:uid="{50812EAD-9523-3E4C-B48B-B29D9BBA2B5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agenda</vt:lpstr>
      <vt:lpstr>MATHS</vt:lpstr>
      <vt:lpstr>Sheet2</vt:lpstr>
      <vt:lpstr>PIE</vt:lpstr>
      <vt:lpstr>SP_Light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2026-02-19T15:36:30Z</dcterms:created>
  <dcterms:modified xsi:type="dcterms:W3CDTF">2026-02-19T17:27:11Z</dcterms:modified>
</cp:coreProperties>
</file>