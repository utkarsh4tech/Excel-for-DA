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A166D531-0591-E347-86FD-606777BD05A7}" xr6:coauthVersionLast="47" xr6:coauthVersionMax="47" xr10:uidLastSave="{00000000-0000-0000-0000-000000000000}"/>
  <bookViews>
    <workbookView xWindow="380" yWindow="500" windowWidth="28040" windowHeight="16940" xr2:uid="{954CE489-094B-0E44-AB5C-13E5B22EA76A}"/>
  </bookViews>
  <sheets>
    <sheet name="Sheet1" sheetId="1" r:id="rId1"/>
    <sheet name="Sheet2" sheetId="2" r:id="rId2"/>
    <sheet name="Sheet3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3" l="1"/>
  <c r="B41" i="3"/>
  <c r="C38" i="3"/>
  <c r="B33" i="3"/>
  <c r="A29" i="3"/>
  <c r="A31" i="3" s="1" a="1"/>
  <c r="A31" i="3" s="1"/>
  <c r="A5" i="3" a="1"/>
  <c r="A5" i="3" s="1"/>
  <c r="B7" i="3" s="1"/>
  <c r="A11" i="3"/>
  <c r="A13" i="3" s="1" a="1"/>
  <c r="A13" i="3" s="1"/>
  <c r="A6" i="3"/>
  <c r="R2" i="2" a="1"/>
  <c r="R2" i="2" s="1"/>
  <c r="R3" i="2" a="1"/>
  <c r="R3" i="2" s="1"/>
  <c r="R4" i="2" a="1"/>
  <c r="R4" i="2" s="1"/>
  <c r="R5" i="2" a="1"/>
  <c r="R5" i="2" s="1"/>
  <c r="R6" i="2" a="1"/>
  <c r="R6" i="2" s="1"/>
  <c r="R7" i="2" a="1"/>
  <c r="R7" i="2" s="1"/>
  <c r="B19" i="3"/>
  <c r="B17" i="3"/>
  <c r="A9" i="3"/>
  <c r="I23" i="1"/>
  <c r="D19" i="1"/>
  <c r="D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<sst xmlns="http://schemas.openxmlformats.org/spreadsheetml/2006/main" count="2350" uniqueCount="813">
  <si>
    <t>LEN</t>
  </si>
  <si>
    <t xml:space="preserve">Number of char </t>
  </si>
  <si>
    <t>LEFT()</t>
  </si>
  <si>
    <t>RIGHT()</t>
  </si>
  <si>
    <t>MID()</t>
  </si>
  <si>
    <t>TRIM()</t>
  </si>
  <si>
    <t>UPPER ()</t>
  </si>
  <si>
    <t>Capital</t>
  </si>
  <si>
    <t>LOWER()</t>
  </si>
  <si>
    <t xml:space="preserve">Small </t>
  </si>
  <si>
    <t>Proper()</t>
  </si>
  <si>
    <t>starting Char for each word is capital</t>
  </si>
  <si>
    <t>CONCAT</t>
  </si>
  <si>
    <t>Shreya</t>
  </si>
  <si>
    <t>SPLIT</t>
  </si>
  <si>
    <t>Number value</t>
  </si>
  <si>
    <t xml:space="preserve">Convert text to number independent of locale </t>
  </si>
  <si>
    <t>TEXTSPLIT()</t>
  </si>
  <si>
    <t>SPLIT THE TEXT</t>
  </si>
  <si>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</si>
  <si>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</si>
  <si>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</si>
  <si>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</si>
  <si>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</si>
  <si>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</si>
  <si>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</si>
  <si>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JOB_month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</si>
  <si>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</si>
  <si>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</si>
  <si>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</si>
  <si>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</si>
  <si>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</si>
  <si>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</si>
  <si>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</si>
  <si>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</si>
  <si>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</si>
  <si>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Senior Data Scientist</t>
  </si>
  <si>
    <t>Senior Data Scientist Data and Analytics Performance Operations</t>
  </si>
  <si>
    <t>Bennington, NE</t>
  </si>
  <si>
    <t>via ZipRecruiter</t>
  </si>
  <si>
    <t>Full-time</t>
  </si>
  <si>
    <t>Sudan</t>
  </si>
  <si>
    <t>April</t>
  </si>
  <si>
    <t>4/24/23 9:51</t>
  </si>
  <si>
    <t>year</t>
  </si>
  <si>
    <t>Cox Communications</t>
  </si>
  <si>
    <t>['sql', 'python', 'aws', 'pyspark', 'tableau', 'power bi', 'git']</t>
  </si>
  <si>
    <t>Data Engineer</t>
  </si>
  <si>
    <t>Data Engineer - MA</t>
  </si>
  <si>
    <t>Mesa, AZ</t>
  </si>
  <si>
    <t>via Indeed</t>
  </si>
  <si>
    <t>Georgia</t>
  </si>
  <si>
    <t>March</t>
  </si>
  <si>
    <t>3/13/23 12:51</t>
  </si>
  <si>
    <t>United States</t>
  </si>
  <si>
    <t>Worldgate LLC</t>
  </si>
  <si>
    <t>['sql', 'nosql', 'java', 'python', 'kafka', 'spark', 'hadoop']</t>
  </si>
  <si>
    <t>Senior Data Analyst</t>
  </si>
  <si>
    <t>Supervisory Information Technology Specialist (Associate Director...</t>
  </si>
  <si>
    <t>Alexandria, VA</t>
  </si>
  <si>
    <t>New York, United States</t>
  </si>
  <si>
    <t>July</t>
  </si>
  <si>
    <t>National Technical Information Service</t>
  </si>
  <si>
    <t>Machine Learning Engineer</t>
  </si>
  <si>
    <t>Machine Learning Research Scientist</t>
  </si>
  <si>
    <t>Pittsburgh, PA</t>
  </si>
  <si>
    <t>via Ai-Jobs.net</t>
  </si>
  <si>
    <t>Illinois, United States</t>
  </si>
  <si>
    <t>4/13/23 16:05</t>
  </si>
  <si>
    <t>Bosch Group</t>
  </si>
  <si>
    <t>['pytorch', 'tensorflow']</t>
  </si>
  <si>
    <t>Data Scientist</t>
  </si>
  <si>
    <t>Data Scientist, AWS</t>
  </si>
  <si>
    <t>Irving, TX</t>
  </si>
  <si>
    <t>via Snagajob</t>
  </si>
  <si>
    <t>Full-time and Part-time</t>
  </si>
  <si>
    <t>Texas, United States</t>
  </si>
  <si>
    <t>October</t>
  </si>
  <si>
    <t>10/15/23 6:02</t>
  </si>
  <si>
    <t>hour</t>
  </si>
  <si>
    <t>Presidio, Inc.</t>
  </si>
  <si>
    <t>['python', 'r', 'sql', 'c', 'aws', 'gcp', 'bigquery', 'hadoop', 'scikit-learn', 'tensorflow', 'keras', 'pytorch', 'mxnet', 'matplotlib', 'seaborn', 'ggplot2', 'spark', 'tableau', 'git']</t>
  </si>
  <si>
    <t>Tysons, VA</t>
  </si>
  <si>
    <t>LMI Consulting, LLC</t>
  </si>
  <si>
    <t>['python', 'java', 'sql', 'snowflake', 'pyspark', 'scikit-learn']</t>
  </si>
  <si>
    <t>Sr. Data Engineer (remote)</t>
  </si>
  <si>
    <t>Anywhere</t>
  </si>
  <si>
    <t>10/26/23 19:07</t>
  </si>
  <si>
    <t>MultiPlan Inc.</t>
  </si>
  <si>
    <t>['python', 'java', 'sql', 'nosql', 'mongodb', 'mongodb', 'azure', 'snowflake', 'kafka', 'spark', 'hadoop', 'docker', 'kubernetes']</t>
  </si>
  <si>
    <t>Senior Data Engineer</t>
  </si>
  <si>
    <t>Senior Data Engineer - Cloud Infrastructure and Video</t>
  </si>
  <si>
    <t>Coplay, PA</t>
  </si>
  <si>
    <t>September</t>
  </si>
  <si>
    <t>Sports Info Solutions</t>
  </si>
  <si>
    <t>['python', 'rust', 'c++', 'java', 'aws', 'gcp', 'azure']</t>
  </si>
  <si>
    <t>Senior Data Analyst Remote</t>
  </si>
  <si>
    <t>California, United States</t>
  </si>
  <si>
    <t>Arsenault</t>
  </si>
  <si>
    <t>['sql', 'nosql', 'python', 'tableau']</t>
  </si>
  <si>
    <t>Data Scientist - TikTok Ads</t>
  </si>
  <si>
    <t>Mountain View, CA</t>
  </si>
  <si>
    <t>via LinkedIn</t>
  </si>
  <si>
    <t>January</t>
  </si>
  <si>
    <t>TikTok</t>
  </si>
  <si>
    <t>['r', 'python', 'matlab', 'sql']</t>
  </si>
  <si>
    <t>University Grad Data Science (PhD Only) - Now Hiring</t>
  </si>
  <si>
    <t>San Francisco, CA</t>
  </si>
  <si>
    <t>Pinterest</t>
  </si>
  <si>
    <t>Staff Data Scientist - Riot Data, Emerging Games</t>
  </si>
  <si>
    <t>Los Angeles, CA (+1 other)</t>
  </si>
  <si>
    <t>via Hitmarker</t>
  </si>
  <si>
    <t>Riot Games</t>
  </si>
  <si>
    <t>['python', 'sql', 'scikit-learn', 'spark', 'airflow']</t>
  </si>
  <si>
    <t>Data Engineer - Now Hiring</t>
  </si>
  <si>
    <t>Bellevue, WA</t>
  </si>
  <si>
    <t>Northwest Software, Inc</t>
  </si>
  <si>
    <t>['sql', 'nosql', 'python', 'go', 'c++', 'postgresql', 'aws', 'azure', 'airflow', 'spark', 'pytorch', 'tensorflow', 'kafka', 'kubernetes']</t>
  </si>
  <si>
    <t>Data Scientist - Technical Platform</t>
  </si>
  <si>
    <t>['sql', 'python']</t>
  </si>
  <si>
    <t>Data Analyst</t>
  </si>
  <si>
    <t>Sr/Lead Data Analyst LIVE - USDS</t>
  </si>
  <si>
    <t>Los Angeles, CA</t>
  </si>
  <si>
    <t>['sql', 'python', 'express']</t>
  </si>
  <si>
    <t>Contractor</t>
  </si>
  <si>
    <t>Florida, United States</t>
  </si>
  <si>
    <t>10/20/23 16:08</t>
  </si>
  <si>
    <t>Forsyth Barnes</t>
  </si>
  <si>
    <t>Mid to Senior Level Data Engineer--Consulting Services--Mainly...</t>
  </si>
  <si>
    <t>Colorado</t>
  </si>
  <si>
    <t>December</t>
  </si>
  <si>
    <t>12/17/23 13:06</t>
  </si>
  <si>
    <t>EMW Staffing Solutions LLC</t>
  </si>
  <si>
    <t>['nosql', 'sql', 'sql server', 'mysql', 'oracle', 'redshift', 'snowflake', 'azure', 'bigquery', 'aws', 'excel', 'power bi', 'tableau']</t>
  </si>
  <si>
    <t>Cupertino, CA</t>
  </si>
  <si>
    <t>via Ladders</t>
  </si>
  <si>
    <t>June</t>
  </si>
  <si>
    <t>Volt Technical Resources</t>
  </si>
  <si>
    <t>['python', 'sql', 'aws']</t>
  </si>
  <si>
    <t>Huntsville, AL</t>
  </si>
  <si>
    <t>via Federal Government Jobs</t>
  </si>
  <si>
    <t>August</t>
  </si>
  <si>
    <t>8/16/23 0:04</t>
  </si>
  <si>
    <t>U.S. Army Corps of Engineers</t>
  </si>
  <si>
    <t>['python', 'sql', 'sas', 'sas', 'oracle', 'tableau']</t>
  </si>
  <si>
    <t>Senior Data Engineer (Hybrid)</t>
  </si>
  <si>
    <t>Annapolis, MD</t>
  </si>
  <si>
    <t>via SaluteMyJob</t>
  </si>
  <si>
    <t>12/19/23 7:09</t>
  </si>
  <si>
    <t>Capital One</t>
  </si>
  <si>
    <t>['scala', 'nosql', 'python', 'sql', 'java', 'mongo', 'shell', 'mysql', 'cassandra', 'aws', 'azure', 'redshift', 'snowflake', 'hadoop', 'spark', 'kafka', 'angular']</t>
  </si>
  <si>
    <t>York, PA</t>
  </si>
  <si>
    <t>via JobAffairs4u.com</t>
  </si>
  <si>
    <t>12/17/23 11:00</t>
  </si>
  <si>
    <t>Jobs Near Me</t>
  </si>
  <si>
    <t>['sql', 'javascript', 'sas', 'sas', 'excel', 'spss']</t>
  </si>
  <si>
    <t>Data Scientist - Computer Vision</t>
  </si>
  <si>
    <t>Paris, France</t>
  </si>
  <si>
    <t>France</t>
  </si>
  <si>
    <t>1/30/23 8:13</t>
  </si>
  <si>
    <t>digiRocks</t>
  </si>
  <si>
    <t>['python', 'c++', 'pytorch', 'tensorflow', 'keras']</t>
  </si>
  <si>
    <t>Jacksonville, FL</t>
  </si>
  <si>
    <t>November</t>
  </si>
  <si>
    <t>SoFi</t>
  </si>
  <si>
    <t>['sql', 'python', 'excel', 'tableau']</t>
  </si>
  <si>
    <t>7/14/23 14:07</t>
  </si>
  <si>
    <t>Gravity IT Resources</t>
  </si>
  <si>
    <t>['sql', 'sql server']</t>
  </si>
  <si>
    <t>Marketing Data Scientist</t>
  </si>
  <si>
    <t>7/20/23 21:03</t>
  </si>
  <si>
    <t>Harnham</t>
  </si>
  <si>
    <t>['sql', 'r', 'python']</t>
  </si>
  <si>
    <t>Data Engineer III (Hybrid/Remote)</t>
  </si>
  <si>
    <t>Seattle, WA</t>
  </si>
  <si>
    <t>American Family Mutual Insurance Company</t>
  </si>
  <si>
    <t>['python', 'sql', 'nosql', 'aws', 'gcp', 'azure', 'spark', 'hadoop', 'docker', 'terraform', 'jenkins', 'git']</t>
  </si>
  <si>
    <t>Senior Data Engineer, TikTok Multimedia</t>
  </si>
  <si>
    <t>11/19/23 13:40</t>
  </si>
  <si>
    <t>['sql', 'python', 'go', 'c++', 'hadoop', 'spark']</t>
  </si>
  <si>
    <t>Alpharetta, GA</t>
  </si>
  <si>
    <t>February</t>
  </si>
  <si>
    <t>Insight Global</t>
  </si>
  <si>
    <t>['sql', 'python', 'java', 'azure', 'databricks', 'aws', 'redshift', 'hadoop', 'spark', 'pyspark']</t>
  </si>
  <si>
    <t>Antioch, IL</t>
  </si>
  <si>
    <t>AbbVie</t>
  </si>
  <si>
    <t>['sql', 'python', 'sas', 'sas', 'r', 'oracle', 'aws', 'spark', 'airflow']</t>
  </si>
  <si>
    <t>Senior Actuarial Consultant and Data Scientist - Remote</t>
  </si>
  <si>
    <t>Las Vegas, NV</t>
  </si>
  <si>
    <t>via Las Vegas, NV - Geebo</t>
  </si>
  <si>
    <t>1/27/23 0:05</t>
  </si>
  <si>
    <t>UnitedHealth Group</t>
  </si>
  <si>
    <t>['r', 'python', 'vba', 'sas', 'sas', 'sql', 'databricks', 'excel']</t>
  </si>
  <si>
    <t>HR Data Risk &amp; Control Analyst (Hybrid)</t>
  </si>
  <si>
    <t>6/19/23 8:01</t>
  </si>
  <si>
    <t>Citigroup, Inc</t>
  </si>
  <si>
    <t>Intern - Data Scientist - Summer 2024 - Now Hiring</t>
  </si>
  <si>
    <t>Full-time, Part-time, and Internship</t>
  </si>
  <si>
    <t>Lumen</t>
  </si>
  <si>
    <t>['sql', 'python', 'c', 'azure', 'kafka', 'jupyter']</t>
  </si>
  <si>
    <t>Eliassen Group</t>
  </si>
  <si>
    <t>['python', 'r', 'sas', 'sas', 'sql', 'postgresql', 'redshift', 'aws', 'hadoop', 'spark', 'unix', 'linux', 'terraform', 'ansible']</t>
  </si>
  <si>
    <t>Senior Data Engineer (Remote, Publishing)</t>
  </si>
  <si>
    <t>via Motion Recruitment</t>
  </si>
  <si>
    <t>6/24/23 7:08</t>
  </si>
  <si>
    <t>Motion Recruitment</t>
  </si>
  <si>
    <t>New York, NY</t>
  </si>
  <si>
    <t>New York University</t>
  </si>
  <si>
    <t>['r', 'tableau', 'spss', 'sheets', 'excel']</t>
  </si>
  <si>
    <t>Data Engineer - Clearance Required - Now Hiring</t>
  </si>
  <si>
    <t>['python', 'redis', 'cassandra', 'aws', 'kafka', 'hadoop', 'spark', 'kubernetes']</t>
  </si>
  <si>
    <t>Data Scientist Digital Effectiveness Operations &amp; Technology Analytics</t>
  </si>
  <si>
    <t>Sun City, AZ</t>
  </si>
  <si>
    <t>1/29/23 10:04</t>
  </si>
  <si>
    <t>['sql', 'python', 'aws', 'pandas', 'numpy', 'scikit-learn', 'pyspark', 'tableau']</t>
  </si>
  <si>
    <t>Malvern, PA</t>
  </si>
  <si>
    <t>6/26/23 15:05</t>
  </si>
  <si>
    <t>['go', 'python', 'sql', 'aws', 'pyspark']</t>
  </si>
  <si>
    <t>Azure Solution Architect/Sr Data Engineer</t>
  </si>
  <si>
    <t>Allendale, NJ</t>
  </si>
  <si>
    <t>via Dice</t>
  </si>
  <si>
    <t>2/16/23 23:06</t>
  </si>
  <si>
    <t>IDC Technologies</t>
  </si>
  <si>
    <t>['sql', 'azure', 'oracle', 'excel']</t>
  </si>
  <si>
    <t>Santa Ana, CA</t>
  </si>
  <si>
    <t>Office of General Counsel</t>
  </si>
  <si>
    <t>Falls Church, VA</t>
  </si>
  <si>
    <t>6/24/23 10:07</t>
  </si>
  <si>
    <t>Northrop Grumman</t>
  </si>
  <si>
    <t>['sql', 'python', 'r', 'java', 'sql server', 'azure', 'aws', 'alteryx', 'ssis', 'tableau']</t>
  </si>
  <si>
    <t>Data Engineer, Data &amp; Insights - USDS</t>
  </si>
  <si>
    <t>11/29/23 13:41</t>
  </si>
  <si>
    <t>['swift', 'java', 'sql', 'nosql', 'cassandra', 'kafka', 'gdpr', 'express', 'flow']</t>
  </si>
  <si>
    <t>Associate, Data Engineer</t>
  </si>
  <si>
    <t>Grand Rapids, MI</t>
  </si>
  <si>
    <t>KPMG</t>
  </si>
  <si>
    <t>['python', 'sql', 'go', 'jira']</t>
  </si>
  <si>
    <t>M Science</t>
  </si>
  <si>
    <t>['databricks', 'snowflake', 'aws', 'airflow', 'tableau', 'git']</t>
  </si>
  <si>
    <t>Software Engineer</t>
  </si>
  <si>
    <t>Software Engineer - Data Engineering/Enterprise App Platforms</t>
  </si>
  <si>
    <t>Mexico</t>
  </si>
  <si>
    <t>Cisco</t>
  </si>
  <si>
    <t>['python', 'golang', 'shell', 'java', 'javascript', 'html', 'css', 'sql', 'mongo', 'elasticsearch', 'sql server', 'neo4j', 'snowflake', 'oracle', 'aws', 'gcp', 'azure', 'kafka', 'angular', 'jquery', 'linux', 'github', 'jenkins', 'ansible']</t>
  </si>
  <si>
    <t>St. Louis, MO</t>
  </si>
  <si>
    <t>via JobServe</t>
  </si>
  <si>
    <t>Federal Reserve System</t>
  </si>
  <si>
    <t>['python', 'sql', 'postgresql', 'aws', 'pandas', 'flow', 'docker', 'git', 'terraform']</t>
  </si>
  <si>
    <t>Associate, Data Engineer - Now Hiring</t>
  </si>
  <si>
    <t>Data Scientist - Marketing Analytics</t>
  </si>
  <si>
    <t>1/24/23 16:02</t>
  </si>
  <si>
    <t>Cottonwood Financial</t>
  </si>
  <si>
    <t>['sql', 'sas', 'sas', 'python', 'r']</t>
  </si>
  <si>
    <t>Junior Data Scientist</t>
  </si>
  <si>
    <t>Indianapolis, IN</t>
  </si>
  <si>
    <t>9/29/23 20:04</t>
  </si>
  <si>
    <t>Acadia Technologies, Inc.</t>
  </si>
  <si>
    <t>Mossville, IL</t>
  </si>
  <si>
    <t>May</t>
  </si>
  <si>
    <t>Aditi Consulting</t>
  </si>
  <si>
    <t>['sql', 'visual basic', 'python', 'aurora', 'snowflake', 'power bi']</t>
  </si>
  <si>
    <t>Senior Data Analyst Business Optimization Intelligence</t>
  </si>
  <si>
    <t>Bailey's Crossroads, VA</t>
  </si>
  <si>
    <t>['sql', 'snowflake', 'aws', 'microstrategy', 'tableau', 'excel']</t>
  </si>
  <si>
    <t>Desk Aligned Data Engineer - Macro Trading - $400k</t>
  </si>
  <si>
    <t>10/15/23 17:08</t>
  </si>
  <si>
    <t>Paragon Alpha - Hedge Fund Talent Business</t>
  </si>
  <si>
    <t>['python', 'sql', 'airflow']</t>
  </si>
  <si>
    <t>Sr. Data Analyst (Healthcare Reporting/Data Analytics)- REMOTE</t>
  </si>
  <si>
    <t>SGA Inc.</t>
  </si>
  <si>
    <t>['sql', 'power bi', 'excel']</t>
  </si>
  <si>
    <t>Associate Data Scientist</t>
  </si>
  <si>
    <t>3/14/23 18:46</t>
  </si>
  <si>
    <t>Brooksource</t>
  </si>
  <si>
    <t>['sql', 'python', 'r', 'azure', 'git']</t>
  </si>
  <si>
    <t>Junior Data Analyst</t>
  </si>
  <si>
    <t>Edmonton, AB, Canada</t>
  </si>
  <si>
    <t>via Get.It</t>
  </si>
  <si>
    <t>Part-time</t>
  </si>
  <si>
    <t>Canada</t>
  </si>
  <si>
    <t>Trans-Tach</t>
  </si>
  <si>
    <t>['sql', 'python', 'excel']</t>
  </si>
  <si>
    <t>Senior Data Scientist - Clearance Required - Now Hiring</t>
  </si>
  <si>
    <t>['python', 'java', 'r', 'matlab', 'sql', 'databricks', 'spark', 'pyspark', 'scikit-learn', 'qlik']</t>
  </si>
  <si>
    <t>Lead Data Engineer - CLOUD</t>
  </si>
  <si>
    <t>Melville, NY</t>
  </si>
  <si>
    <t>Northwell Health</t>
  </si>
  <si>
    <t>['nosql', 'sql', 'javascript', 'python', 'bigquery', 'gcp', 'hadoop', 'spark']</t>
  </si>
  <si>
    <t>['sql', 'python', 'scala', 'java', 'nosql', 'aws', 'pyspark', 'kafka', 'airflow']</t>
  </si>
  <si>
    <t>7/22/23 2:02</t>
  </si>
  <si>
    <t>Interactive Resources - iR</t>
  </si>
  <si>
    <t>['sql', 'linux']</t>
  </si>
  <si>
    <t>Data Scientist II, Tech</t>
  </si>
  <si>
    <t>9/30/23 8:02</t>
  </si>
  <si>
    <t>Uber</t>
  </si>
  <si>
    <t>Founding Data Engineer</t>
  </si>
  <si>
    <t>via Y Combinator</t>
  </si>
  <si>
    <t>12/26/23 20:07</t>
  </si>
  <si>
    <t>Confido</t>
  </si>
  <si>
    <t>['go', 'python', 'aws', 'node.js', 'flow']</t>
  </si>
  <si>
    <t>Data scientist to polish projects and build portfolio. - Contract...</t>
  </si>
  <si>
    <t>via Upwork</t>
  </si>
  <si>
    <t>Contractor and Temp work</t>
  </si>
  <si>
    <t>Upwork</t>
  </si>
  <si>
    <t>Senior Data Scientist, Wireless Product</t>
  </si>
  <si>
    <t>Nederland, CO</t>
  </si>
  <si>
    <t>DISH</t>
  </si>
  <si>
    <t>['python', 'r', 'sql', 'aws', 'snowflake']</t>
  </si>
  <si>
    <t>Software/Data Engineer - Python/AWS</t>
  </si>
  <si>
    <t>Washington, DC</t>
  </si>
  <si>
    <t>10/13/23 4:16</t>
  </si>
  <si>
    <t>Flex Employee Services</t>
  </si>
  <si>
    <t>['python', 'sql', 'java', 'sas', 'sas', 'postgresql', 'aws', 'oracle', 'aurora', 'redshift', 'pyspark', 'spring', 'angular', 'jenkins', 'bitbucket']</t>
  </si>
  <si>
    <t>Sr.Azure Data Engineer</t>
  </si>
  <si>
    <t>Charleston, SC</t>
  </si>
  <si>
    <t>via Dice.com</t>
  </si>
  <si>
    <t>JConnect Inc</t>
  </si>
  <si>
    <t>['sql', 'sql server', 'azure', 'databricks', 'pyspark', 'ssis']</t>
  </si>
  <si>
    <t>Data Engineering Manager</t>
  </si>
  <si>
    <t>Rijeka, Croatia</t>
  </si>
  <si>
    <t>Croatia</t>
  </si>
  <si>
    <t>6/15/23 14:58</t>
  </si>
  <si>
    <t>iOLAP</t>
  </si>
  <si>
    <t>Data Engineer Analytics - W2</t>
  </si>
  <si>
    <t>Hartford, CT</t>
  </si>
  <si>
    <t>7/26/23 18:06</t>
  </si>
  <si>
    <t>Sunrise Systems Inc</t>
  </si>
  <si>
    <t>['sql']</t>
  </si>
  <si>
    <t>Houston, TX</t>
  </si>
  <si>
    <t>8/30/23 18:05</t>
  </si>
  <si>
    <t>Connvertex Technologies Inc.</t>
  </si>
  <si>
    <t>Harrisonburg, VA</t>
  </si>
  <si>
    <t>11/20/23 9:05</t>
  </si>
  <si>
    <t>Tampa, FL</t>
  </si>
  <si>
    <t>10/28/23 10:32</t>
  </si>
  <si>
    <t>Jobot</t>
  </si>
  <si>
    <t>['sql', 'azure', 'tableau']</t>
  </si>
  <si>
    <t>Lead Data Engineer - Full-time / Part-time</t>
  </si>
  <si>
    <t>Rockford, IL</t>
  </si>
  <si>
    <t>['python', 'scala', 'sql', 'java', 'nosql', 'mongo', 'shell', 'mysql', 'cassandra', 'aws', 'azure', 'redshift', 'snowflake', 'spark', 'hadoop', 'kafka']</t>
  </si>
  <si>
    <t>Escrow Data Analyst</t>
  </si>
  <si>
    <t>Ocala, FL</t>
  </si>
  <si>
    <t>Essex Mortgage</t>
  </si>
  <si>
    <t>['word', 'excel', 'powerpoint']</t>
  </si>
  <si>
    <t>IT &amp; Strategy Talent Programme - AI/ML and Data Engineer</t>
  </si>
  <si>
    <t>Hamburg, Germany</t>
  </si>
  <si>
    <t>Germany</t>
  </si>
  <si>
    <t>Vattenfall</t>
  </si>
  <si>
    <t>['azure']</t>
  </si>
  <si>
    <t>Big Data Engineer</t>
  </si>
  <si>
    <t>Jessup, MD</t>
  </si>
  <si>
    <t>8/26/23 16:01</t>
  </si>
  <si>
    <t>Robert Half</t>
  </si>
  <si>
    <t>['db2', 'power bi']</t>
  </si>
  <si>
    <t>Azure Data Engineer</t>
  </si>
  <si>
    <t>Vertisystem</t>
  </si>
  <si>
    <t>['python', 'sql', 'powershell', 'bash', 'azure', 'databricks', 'pandas', 'github']</t>
  </si>
  <si>
    <t>Fremont, CA</t>
  </si>
  <si>
    <t>SoundThinking</t>
  </si>
  <si>
    <t>['python', 'r', 'sql', 'aws', 'pandas', 'numpy', 'tidyverse', 'matplotlib', 'ggplot2']</t>
  </si>
  <si>
    <t>Lead Data Scientist</t>
  </si>
  <si>
    <t>Homestead, PA</t>
  </si>
  <si>
    <t>6/26/23 11:56</t>
  </si>
  <si>
    <t>Highmark</t>
  </si>
  <si>
    <t>['python', 'sql', 'r', 'bigquery', 'flow']</t>
  </si>
  <si>
    <t>Senior Data Engineer - Principal Associate - Full-time / Part-time</t>
  </si>
  <si>
    <t>Paris, TX</t>
  </si>
  <si>
    <t>['java', 'scala', 'python', 'nosql', 'sql', 'mongo', 'shell', 'mysql', 'cassandra', 'redshift', 'snowflake', 'aws', 'azure', 'hadoop', 'kafka', 'spark']</t>
  </si>
  <si>
    <t>El Mirage, AZ</t>
  </si>
  <si>
    <t>['sql', 'r', 'python', 'scala', 'java', 'c++', 'sas', 'sas', 'aws', 'spark', 'ggplot2', 'pandas', 'numpy', 'scikit-learn', 'tableau']</t>
  </si>
  <si>
    <t>5/24/23 18:05</t>
  </si>
  <si>
    <t>Leadstack Inc</t>
  </si>
  <si>
    <t>['python', 'sql', 'azure', 'databricks', 'spark', 'power bi']</t>
  </si>
  <si>
    <t>(Senior) Analytics Engineer / Data Engineer (all genders)</t>
  </si>
  <si>
    <t>Göppingen, Germany</t>
  </si>
  <si>
    <t>TeamViewer</t>
  </si>
  <si>
    <t>['sql', 'go', 'git']</t>
  </si>
  <si>
    <t>Newnan, GA</t>
  </si>
  <si>
    <t>JB HARRIS TRANSPORT</t>
  </si>
  <si>
    <t>['sql', 'power bi', 'dax']</t>
  </si>
  <si>
    <t>Business Analyst</t>
  </si>
  <si>
    <t>7/28/23 12:37</t>
  </si>
  <si>
    <t>['sql', 'sas', 'sas', 'sql server', 'word', 'excel', 'webex']</t>
  </si>
  <si>
    <t>Data Scientist (Manufacturing)</t>
  </si>
  <si>
    <t>Austin, TX</t>
  </si>
  <si>
    <t>3/29/23 11:52</t>
  </si>
  <si>
    <t>Sustainment</t>
  </si>
  <si>
    <t>HR Reporting Data Analyst</t>
  </si>
  <si>
    <t>Exton, PA</t>
  </si>
  <si>
    <t>['sql', 'oracle', 'excel', 'tableau']</t>
  </si>
  <si>
    <t>Data Scientist Technical Specialist - Full-time / Part-time</t>
  </si>
  <si>
    <t>Reston, VA</t>
  </si>
  <si>
    <t>CoSolutions, Inc.</t>
  </si>
  <si>
    <t>['c#', 'c++', 'python', 'hadoop', 'pandas', 'jupyter', 'windows', 'tableau', 'excel']</t>
  </si>
  <si>
    <t>Data Analyst/ Data Engineer</t>
  </si>
  <si>
    <t>Plano, TX</t>
  </si>
  <si>
    <t>Pyramid Consulting, Inc</t>
  </si>
  <si>
    <t>['python', 'sql', 'aws', 'databricks', 'tableau']</t>
  </si>
  <si>
    <t>Senior Data Scientist - Language Modeling and AI</t>
  </si>
  <si>
    <t>Belle, MO</t>
  </si>
  <si>
    <t>9/20/23 1:02</t>
  </si>
  <si>
    <t>EDWARD JONES</t>
  </si>
  <si>
    <t>['python', 'r', 'scala', 'tensorflow', 'pytorch']</t>
  </si>
  <si>
    <t>Cleared Data Engineer (All Levels)</t>
  </si>
  <si>
    <t>Chantilly, VA</t>
  </si>
  <si>
    <t>3/31/23 14:09</t>
  </si>
  <si>
    <t>Noblis</t>
  </si>
  <si>
    <t>['python', 'sql', 'java', 'mongodb', 'mongodb', 'javascript', 'postgresql', 'mysql', 'oracle', 'hadoop', 'spark', 'docker', 'kubernetes', 'git']</t>
  </si>
  <si>
    <t>Data Scientist 4</t>
  </si>
  <si>
    <t>via Genesis10 - Talentify</t>
  </si>
  <si>
    <t>2/17/23 0:06</t>
  </si>
  <si>
    <t>Genesis10</t>
  </si>
  <si>
    <t>['python', 'r', 'java', 'nosql', 'mongo', 'neo4j', 'cassandra', 'databricks', 'azure', 'aws', 'hadoop', 'pyspark', 'spark', 'kafka', 'airflow', 'tableau', 'yarn', 'git', 'bitbucket', 'jenkins']</t>
  </si>
  <si>
    <t>4/18/23 16:07</t>
  </si>
  <si>
    <t>TheoremOne</t>
  </si>
  <si>
    <t>['sql', 'java', 'scala', 'python', 'aws', 'spark', 'hadoop', 'kafka', 'airflow']</t>
  </si>
  <si>
    <t>Senior Data Scientist (f/m/d) Spain</t>
  </si>
  <si>
    <t>Barcelona, Spain</t>
  </si>
  <si>
    <t>Spain</t>
  </si>
  <si>
    <t>7/26/23 23:46</t>
  </si>
  <si>
    <t>SIGNA Sports United</t>
  </si>
  <si>
    <t>5/16/23 21:02</t>
  </si>
  <si>
    <t>['python', 'sql']</t>
  </si>
  <si>
    <t>Data Scientist Needed to build a reccomendation system</t>
  </si>
  <si>
    <t>12/29/23 13:02</t>
  </si>
  <si>
    <t>['python', 'r', 'scala', 'tensorflow', 'pytorch', 'scikit-learn', 'pandas', 'numpy']</t>
  </si>
  <si>
    <t>11/13/23 14:04</t>
  </si>
  <si>
    <t>Hanker Solutions Pvt.Ltd</t>
  </si>
  <si>
    <t>['oracle']</t>
  </si>
  <si>
    <t>Chicago, IL</t>
  </si>
  <si>
    <t>1/13/23 19:09</t>
  </si>
  <si>
    <t>Alliant Credit Union</t>
  </si>
  <si>
    <t>Data Scientist 3</t>
  </si>
  <si>
    <t>Annapolis Junction, MD</t>
  </si>
  <si>
    <t>iNovex Information Systems</t>
  </si>
  <si>
    <t>Senior Data Scientist - Clearance Required - Full-time / Part-time</t>
  </si>
  <si>
    <t>9/28/23 6:02</t>
  </si>
  <si>
    <t>Data Engineer (Cloud) (W2 Only)</t>
  </si>
  <si>
    <t>Columbus, OH</t>
  </si>
  <si>
    <t>BayOne Solutions</t>
  </si>
  <si>
    <t>['sql', 'sql server', 'aws']</t>
  </si>
  <si>
    <t>Graduate Power BI Developer</t>
  </si>
  <si>
    <t>Mumbai, Maharashtra, India</t>
  </si>
  <si>
    <t>India</t>
  </si>
  <si>
    <t>6/17/23 10:09</t>
  </si>
  <si>
    <t>YouGov</t>
  </si>
  <si>
    <t>Cloud Data Engineer II - Full-time / Part-time</t>
  </si>
  <si>
    <t>Dubuque, IA</t>
  </si>
  <si>
    <t>8/25/23 18:11</t>
  </si>
  <si>
    <t>Heartland Financial USA Inc</t>
  </si>
  <si>
    <t>['sql', 'java', 'sql server', 'snowflake', 'git']</t>
  </si>
  <si>
    <t>9/25/23 22:04</t>
  </si>
  <si>
    <t>Rhythmos</t>
  </si>
  <si>
    <t>['python', 'java', 'sql', 'no-sql', 'scala', 'nosql', 'aws', 'gcp', 'kafka', 'spark', 'docker', 'kubernetes', 'confluence']</t>
  </si>
  <si>
    <t>Orlando, FL</t>
  </si>
  <si>
    <t>via BeBee</t>
  </si>
  <si>
    <t>12/13/23 9:02</t>
  </si>
  <si>
    <t>Siemens Energy</t>
  </si>
  <si>
    <t>Willow Grove, PA</t>
  </si>
  <si>
    <t>7/18/23 21:07</t>
  </si>
  <si>
    <t>Kane Partners LLC</t>
  </si>
  <si>
    <t>['python', 'sql', 'azure']</t>
  </si>
  <si>
    <t>TechOps Data Scientist (Wilsonville, OR or Huntsville, AL)</t>
  </si>
  <si>
    <t>Siemens</t>
  </si>
  <si>
    <t>['sas', 'sas', 'java', 'scala', 'c++', 'matlab', 'mongodb', 'mongodb', 'cassandra', 'excel', 'tableau', 'qlik']</t>
  </si>
  <si>
    <t>Data Engineer 2</t>
  </si>
  <si>
    <t>Bengaluru, Karnataka, India</t>
  </si>
  <si>
    <t>Publicis Groupe</t>
  </si>
  <si>
    <t>['sql', 'shell', 'python', 'nosql', 'aws', 'redshift', 'hadoop', 'spark', 'pyspark', 'airflow', 'docker']</t>
  </si>
  <si>
    <t>Director, Data and Analytics</t>
  </si>
  <si>
    <t>Elmhurst, IL</t>
  </si>
  <si>
    <t>Kellogg Company</t>
  </si>
  <si>
    <t>['r', 'aws', 'redshift']</t>
  </si>
  <si>
    <t>Raleigh, NC</t>
  </si>
  <si>
    <t>12/29/23 7:08</t>
  </si>
  <si>
    <t>['nosql', 'sql', 'python', 'c', 'aws', 'azure', 'gcp', 'spark', 'airflow', 'tableau', 'git', 'terraform', 'docker', 'kubernetes']</t>
  </si>
  <si>
    <t>Student Worker/Intern - Data Analysis</t>
  </si>
  <si>
    <t>Dallas, TX</t>
  </si>
  <si>
    <t>UNT System</t>
  </si>
  <si>
    <t>['sas', 'sas', 'python', 'word', 'spreadsheet', 'tableau', 'excel']</t>
  </si>
  <si>
    <t>Staff Data Scientist</t>
  </si>
  <si>
    <t>5/24/23 6:09</t>
  </si>
  <si>
    <t>Databricks</t>
  </si>
  <si>
    <t>['scala', 'python', 'sql', 'databricks', 'spark', 'excel', 'unify']</t>
  </si>
  <si>
    <t>Data Engineer - Full-time</t>
  </si>
  <si>
    <t>Dublin, OH</t>
  </si>
  <si>
    <t>8/17/23 11:11</t>
  </si>
  <si>
    <t>['sql', 'gcp', 'airflow']</t>
  </si>
  <si>
    <t>Data Scientist &amp; Python Developer (remote opportunity)</t>
  </si>
  <si>
    <t>Tivity Health Services, LLC</t>
  </si>
  <si>
    <t>['python', 'sql', 'aws', 'pandas', 'numpy', 'matplotlib', 'seaborn', 'plotly', 'nltk', 'pytorch', 'django', 'flask']</t>
  </si>
  <si>
    <t>Data Engineer, Lead - Now Hiring</t>
  </si>
  <si>
    <t>Arlington, VA</t>
  </si>
  <si>
    <t>Booz Allen Hamilton</t>
  </si>
  <si>
    <t>['python', 'sql', 'scala', 'java', 'nosql', 'mongodb', 'mongodb', 'shell', 'cassandra', 'mysql', 'aws', 'azure', 'databricks', 'redshift', 'snowflake', 'spark', 'airflow', 'hadoop', 'kafka', 'unix', 'linux']</t>
  </si>
  <si>
    <t>9/15/23 19:06</t>
  </si>
  <si>
    <t>['sql', 'looker']</t>
  </si>
  <si>
    <t>Data Engineering Consultant (Hybrid) - Now Hiring</t>
  </si>
  <si>
    <t>Burnsville, MN</t>
  </si>
  <si>
    <t>9/17/23 17:14</t>
  </si>
  <si>
    <t>Securian Financial Group</t>
  </si>
  <si>
    <t>['sql', 'aws', 'flow']</t>
  </si>
  <si>
    <t>Greenwood Village, CO</t>
  </si>
  <si>
    <t>5/26/23 0:03</t>
  </si>
  <si>
    <t>Ascendion</t>
  </si>
  <si>
    <t>Product Management Data Analyst - Now Hiring</t>
  </si>
  <si>
    <t>4/30/23 11:00</t>
  </si>
  <si>
    <t>LPL Financial</t>
  </si>
  <si>
    <t>['erlang', 'sql', 'r', 'python', 'tableau', 'alteryx']</t>
  </si>
  <si>
    <t>Baltimore, MD</t>
  </si>
  <si>
    <t>via Adzuna</t>
  </si>
  <si>
    <t>6/27/23 19:31</t>
  </si>
  <si>
    <t>['scala', 'nosql', 'python', 'java', 'elasticsearch', 'cassandra', 'aws', 'azure', 'redshift', 'snowflake', 'hadoop', 'spark', 'airflow', 'kafka', 'angular']</t>
  </si>
  <si>
    <t>Sr Data Engineer - (in-person in Aliso Viejo)</t>
  </si>
  <si>
    <t>Irvine, CA</t>
  </si>
  <si>
    <t>Adroit Worldwide Media, Inc. (AWM Smart Shelf)</t>
  </si>
  <si>
    <t>['sql', 'python', 'gcp', 'power bi', 'tableau']</t>
  </si>
  <si>
    <t>Senior Data Engineer - Full-time / Part-time</t>
  </si>
  <si>
    <t>Orange, CA</t>
  </si>
  <si>
    <t>8/22/23 6:11</t>
  </si>
  <si>
    <t>ENGIE North America Inc.</t>
  </si>
  <si>
    <t>['sql', 'swift']</t>
  </si>
  <si>
    <t>Dayton, OH</t>
  </si>
  <si>
    <t>['python', 'r', 'azure', 'aws', 'gcp', 'tensorflow', 'hadoop']</t>
  </si>
  <si>
    <t>Lead Data Engineer - Now Hiring</t>
  </si>
  <si>
    <t>Morristown, NJ</t>
  </si>
  <si>
    <t>Zelis Healthcare, LLC</t>
  </si>
  <si>
    <t>['python', 'sql', 't-sql', 'sql server', 'snowflake', 'azure', 'git', 'jira', 'confluence']</t>
  </si>
  <si>
    <t>Sr. Data Engineer - (Hybrid)</t>
  </si>
  <si>
    <t>Oak Brook, IL</t>
  </si>
  <si>
    <t>The Chamberlain Group</t>
  </si>
  <si>
    <t>['nosql', 'databricks', 'azure', 'spark', 'kafka', 'qlik', 'power bi']</t>
  </si>
  <si>
    <t>Portland, OR</t>
  </si>
  <si>
    <t>Yorkshire Global Solutions Inc.</t>
  </si>
  <si>
    <t>['python', 'sql', 'nosql', 'java', 'scala', 'shell', 'aws', 'pyspark', 'hadoop', 'spark', 'kafka', 'spring']</t>
  </si>
  <si>
    <t>['sql', 'r', 'python', 'tableau']</t>
  </si>
  <si>
    <t>Cloud Engineer</t>
  </si>
  <si>
    <t>Network engineer</t>
  </si>
  <si>
    <t>Atlanta, GA</t>
  </si>
  <si>
    <t>via Talent.com</t>
  </si>
  <si>
    <t>Full-time and Temp work</t>
  </si>
  <si>
    <t>10/15/23 0:05</t>
  </si>
  <si>
    <t>titandata.com</t>
  </si>
  <si>
    <t>['python']</t>
  </si>
  <si>
    <t>Data Analyst - Operations - Onboarding and Subscription Management</t>
  </si>
  <si>
    <t>Chennai, Tamil Nadu, India</t>
  </si>
  <si>
    <t>7/20/23 18:12</t>
  </si>
  <si>
    <t>Arcadia</t>
  </si>
  <si>
    <t>['sql', 'electron', 'excel', 'powerpoint', 'word']</t>
  </si>
  <si>
    <t>Sr. Data Engineer</t>
  </si>
  <si>
    <t>6/26/23 7:06</t>
  </si>
  <si>
    <t>Resonate</t>
  </si>
  <si>
    <t>['scala', 'java', 'sql', 'aws', 'kafka', 'splunk']</t>
  </si>
  <si>
    <t>Gaithersburg, MD</t>
  </si>
  <si>
    <t>4/26/23 15:03</t>
  </si>
  <si>
    <t>Tri-Force Consulting Services Inc</t>
  </si>
  <si>
    <t>South Bend, IN</t>
  </si>
  <si>
    <t>10/16/23 16:25</t>
  </si>
  <si>
    <t>['java', 'scala', 'python', 'nosql', 'mongo', 'shell', 'cassandra', 'redshift', 'snowflake', 'aws', 'azure', 'spark', 'hadoop', 'kafka']</t>
  </si>
  <si>
    <t>Head of Data Science</t>
  </si>
  <si>
    <t>5/26/23 22:04</t>
  </si>
  <si>
    <t>Demandbase</t>
  </si>
  <si>
    <t>['sql', 'go', 'sql server', 'oracle', 'snowflake', 'azure', 'tableau', 'power bi']</t>
  </si>
  <si>
    <t>Data Engineer (JO-01)</t>
  </si>
  <si>
    <t>St Paul, MN</t>
  </si>
  <si>
    <t>via WDHN Jobs</t>
  </si>
  <si>
    <t>Ledgent Technology</t>
  </si>
  <si>
    <t>['sql', 'mongodb', 'mongodb', 'azure']</t>
  </si>
  <si>
    <t>(CA Only Remote) Data Scientist-E-Commerce</t>
  </si>
  <si>
    <t>10/28/23 10:35</t>
  </si>
  <si>
    <t>['sql', 'python', 'bigquery', 'excel']</t>
  </si>
  <si>
    <t>Earth Observation Data Scientist - Contract to Hire</t>
  </si>
  <si>
    <t>['aws']</t>
  </si>
  <si>
    <t>Data Scientist in Programmatic Advertising - Contract to Hire</t>
  </si>
  <si>
    <t>12/15/23 18:03</t>
  </si>
  <si>
    <t>['python', 'java', 'scala', 'aws', 'azure', 'gcp', 'spark', 'hadoop']</t>
  </si>
  <si>
    <t>Sr.Data Analyst</t>
  </si>
  <si>
    <t>6/29/23 7:01</t>
  </si>
  <si>
    <t>Vanguard Group</t>
  </si>
  <si>
    <t>CyberCoders</t>
  </si>
  <si>
    <t>['python', 'azure', 'pytorch', 'tensorflow', 'opencv', 'datarobot']</t>
  </si>
  <si>
    <t>Senior Director, Data Engineer - Remote - Now Hiring</t>
  </si>
  <si>
    <t>Charlotte, NC</t>
  </si>
  <si>
    <t>8/19/23 15:06</t>
  </si>
  <si>
    <t>GXO Logistics</t>
  </si>
  <si>
    <t>['excel']</t>
  </si>
  <si>
    <t>4/17/23 7:39</t>
  </si>
  <si>
    <t>Maven Wave Partners</t>
  </si>
  <si>
    <t>['python', 'java', 'sql', 'aws', 'azure', 'gcp', 'bigquery', 'redshift', 'snowflake', 'spark', 'hadoop']</t>
  </si>
  <si>
    <t>The Hartford Financial Services Group, Inc</t>
  </si>
  <si>
    <t>['sql', 'r', 'oracle', 'snowflake', 'aws']</t>
  </si>
  <si>
    <t>Healthcare Data Analyst I</t>
  </si>
  <si>
    <t>10/13/23 12:01</t>
  </si>
  <si>
    <t>Navient - Xtend Healthcare</t>
  </si>
  <si>
    <t>['c', 'sql', 'excel']</t>
  </si>
  <si>
    <t>Beam</t>
  </si>
  <si>
    <t>['sql', 'python', 'r', 'aws', 'gcp', 'pytorch', 'tensorflow', 'scikit-learn']</t>
  </si>
  <si>
    <t>People Source Consulting</t>
  </si>
  <si>
    <t>['python', 'scala', 'java', 'sql', 'nosql', 'hadoop', 'spark']</t>
  </si>
  <si>
    <t>Tallinn, Estonia</t>
  </si>
  <si>
    <t>Estonia</t>
  </si>
  <si>
    <t>Jobbatical</t>
  </si>
  <si>
    <t>['sql', 'python', 'node', 'looker', 'github']</t>
  </si>
  <si>
    <t>Data Scientist (Healthcare)</t>
  </si>
  <si>
    <t>Nea Smyrni, Greece</t>
  </si>
  <si>
    <t>Greece</t>
  </si>
  <si>
    <t>WINGS-ICT-SOLUTIONS</t>
  </si>
  <si>
    <t>['python', 'pytorch', 'tensorflow']</t>
  </si>
  <si>
    <t>8/31/23 12:15</t>
  </si>
  <si>
    <t>Want to be Data Scientist</t>
  </si>
  <si>
    <t>11/30/23 16:55</t>
  </si>
  <si>
    <t>Tech Consulting</t>
  </si>
  <si>
    <t>['python', 'java', 'r', 'sql', 'pandas', 'numpy', 'matplotlib', 'seaborn', 'tableau', 'power bi']</t>
  </si>
  <si>
    <t>Senior Data Engineer (AWS, python, Devops, Snowflake)</t>
  </si>
  <si>
    <t>3/30/23 12:05</t>
  </si>
  <si>
    <t>['python', 'java', 'scala', 'nosql', 'sql', 'mongo', 'shell', 'mysql', 'cassandra', 'aws', 'snowflake', 'redshift', 'azure', 'hadoop', 'kafka', 'spark']</t>
  </si>
  <si>
    <t>McKinney, TX</t>
  </si>
  <si>
    <t>['nosql', 'databricks', 'spark']</t>
  </si>
  <si>
    <t>Linux/Data Engineer</t>
  </si>
  <si>
    <t>Fort Meade, MD</t>
  </si>
  <si>
    <t>VSolvit</t>
  </si>
  <si>
    <t>['java', 'linux', 'flow', 'docker', 'kubernetes']</t>
  </si>
  <si>
    <t>Sr-level Data Analyst/Engineer</t>
  </si>
  <si>
    <t>Augusta, GA</t>
  </si>
  <si>
    <t>Peraton</t>
  </si>
  <si>
    <t>['assembly', 'python', 'aws', 'azure', 'pandas', 'matplotlib', 'jupyter']</t>
  </si>
  <si>
    <t>Principal Data Engineer (San Diego)</t>
  </si>
  <si>
    <t>San Diego, CA</t>
  </si>
  <si>
    <t>via WJHL Jobs</t>
  </si>
  <si>
    <t>3/25/23 14:10</t>
  </si>
  <si>
    <t>['r', 'sql', 'python', 'c++', 'javascript', 'sql server', 'aws', 'pandas', 'tensorflow', 'pytorch', 'matplotlib', 'seaborn', 'django', 'flask', 'linux', 'tableau', 'docker']</t>
  </si>
  <si>
    <t>Marketing Data Analyst</t>
  </si>
  <si>
    <t>Bank of America Corporation</t>
  </si>
  <si>
    <t>['sas', 'sas', 'python', 'spark', 'microstrategy', 'excel', 'tableau']</t>
  </si>
  <si>
    <t>ML Pipeline Data Engineer for Weather Data</t>
  </si>
  <si>
    <t>3/15/23 16:05</t>
  </si>
  <si>
    <t>['aws', 'kubernetes']</t>
  </si>
  <si>
    <t>Senior IT Analyst (Data Scientist)</t>
  </si>
  <si>
    <t>Caterpillar, Inc</t>
  </si>
  <si>
    <t>['python', 'snowflake']</t>
  </si>
  <si>
    <t>[Job-10949] Senior Data Architect, Brasil</t>
  </si>
  <si>
    <t>Brazil</t>
  </si>
  <si>
    <t>7/18/23 9:43</t>
  </si>
  <si>
    <t>CI&amp;T</t>
  </si>
  <si>
    <t>['sql', 'no-sql', 'mongodb', 'mongodb', 'mysql', 'neo4j', 'cassandra', 'snowflake', 'redshift', 'bigquery', 'databricks', 'aws', 'spark']</t>
  </si>
  <si>
    <t>Data Scientist active TS/SCI - Full-time / Part-time</t>
  </si>
  <si>
    <t>['scala', 'python', 'java']</t>
  </si>
  <si>
    <t>Entry Level Data Analyst</t>
  </si>
  <si>
    <t>8/22/23 6:01</t>
  </si>
  <si>
    <t>Tableau Data Engineer (Healthcare) - Remote (12-month contract)</t>
  </si>
  <si>
    <t>Full-time and Contractor</t>
  </si>
  <si>
    <t>Amazee Global Ventures Inc,</t>
  </si>
  <si>
    <t>['sql', 'tableau']</t>
  </si>
  <si>
    <t>IT Junior Analyst - REMOTE</t>
  </si>
  <si>
    <t>10/31/23 21:01</t>
  </si>
  <si>
    <t>Agility 360</t>
  </si>
  <si>
    <t>Ipswich, MA</t>
  </si>
  <si>
    <t>New England Biolabs</t>
  </si>
  <si>
    <t>['sql', 'java', 'c#', 'python', 'sql server', 'databricks', 'azure', 'aws', 'sap']</t>
  </si>
  <si>
    <t>Mooresville, NC</t>
  </si>
  <si>
    <t>Lowe’s</t>
  </si>
  <si>
    <t>['python', 'java', 'scala', 'rust', 'sql', 'hadoop', 'spark']</t>
  </si>
  <si>
    <t>Data Analyst II (Healthcare Analytics)</t>
  </si>
  <si>
    <t>Lake View Terrace, CA</t>
  </si>
  <si>
    <t>Health Net</t>
  </si>
  <si>
    <t>['sql', 'python', 'r', 'excel']</t>
  </si>
  <si>
    <t>Data Science Intern - Now Hiring</t>
  </si>
  <si>
    <t>Experian</t>
  </si>
  <si>
    <t>['python', 'r', 'java', 'c++', 'c']</t>
  </si>
  <si>
    <t>Senior Data Scientist, Customer Modeling - Now Hiring</t>
  </si>
  <si>
    <t>Miami, FL</t>
  </si>
  <si>
    <t>Lennar Corporation</t>
  </si>
  <si>
    <t>Data Science Lead</t>
  </si>
  <si>
    <t>Cyprus</t>
  </si>
  <si>
    <t>12/31/23 2:29</t>
  </si>
  <si>
    <t>Palta</t>
  </si>
  <si>
    <t>Data Engineer (Hybrid location)</t>
  </si>
  <si>
    <t>2/17/23 7:11</t>
  </si>
  <si>
    <t>Columbia Sportswear</t>
  </si>
  <si>
    <t>['sql', 'azure', 'databricks', 'pyspark']</t>
  </si>
  <si>
    <t>Sr Business Data Analyst - Now Hiring</t>
  </si>
  <si>
    <t>Westwood, MA</t>
  </si>
  <si>
    <t>Citizens</t>
  </si>
  <si>
    <t>['sas', 'sas', 'sql', 'oracle', 'redshift', 'windows', 'tableau']</t>
  </si>
  <si>
    <t>4/19/23 0:00</t>
  </si>
  <si>
    <t>['go', 'flow']</t>
  </si>
  <si>
    <t>(Senior) Machine Learning Inference Engineer</t>
  </si>
  <si>
    <t>Munich, Germany</t>
  </si>
  <si>
    <t>Brainlab</t>
  </si>
  <si>
    <t>8/27/23 6:08</t>
  </si>
  <si>
    <t>AstraZeneca</t>
  </si>
  <si>
    <t>['swift', 'python', 'sql', 'redshift', 'oracle', 'aws', 'databricks', 'pandas', 'numpy', 'kubernetes', 'bitbucket', 'git']</t>
  </si>
  <si>
    <t>Senior Data Engineer (Python / AWS) - Now Hiring</t>
  </si>
  <si>
    <t>Matthews, NC</t>
  </si>
  <si>
    <t>10/18/23 20:45</t>
  </si>
  <si>
    <t>['python', 'aws', 'aurora']</t>
  </si>
  <si>
    <t>4/27/23 17:01</t>
  </si>
  <si>
    <t>CA-One Tech Cloud Inc.</t>
  </si>
  <si>
    <t>['python', 'sql', 'azure', 'databricks']</t>
  </si>
  <si>
    <t>Data Engineer (TS/SCI)</t>
  </si>
  <si>
    <t>Spring Lake, NC</t>
  </si>
  <si>
    <t>via Spring Lake NC Geebo.com Free Classifieds Ads - Geebo</t>
  </si>
  <si>
    <t>9/18/23 23:52</t>
  </si>
  <si>
    <t>Gables Search Group</t>
  </si>
  <si>
    <t>['java', 'python', 'pandas', 'pyspark', 'hadoop', 'github']</t>
  </si>
  <si>
    <t>Seville, Spain</t>
  </si>
  <si>
    <t>2/27/23 8:15</t>
  </si>
  <si>
    <t>AxesinMotion</t>
  </si>
  <si>
    <t>Research Analyst (Data Scientist II) - Now Hiring</t>
  </si>
  <si>
    <t>CNA Corporation</t>
  </si>
  <si>
    <t>Business System Analyst</t>
  </si>
  <si>
    <t>2/14/23 14:50</t>
  </si>
  <si>
    <t>Arthur Grand Technologies Inc</t>
  </si>
  <si>
    <t>DBI - Sr. Data Science Analyst (Non-Civil Service)</t>
  </si>
  <si>
    <t>City of Dallas, TX</t>
  </si>
  <si>
    <t>['matlab', 'keras', 'tensorflow', 'pytorch', 'tableau', 'spss']</t>
  </si>
  <si>
    <t>Senior Data Scientist Digital Effectiveness Operations ...</t>
  </si>
  <si>
    <t>Derby, KS</t>
  </si>
  <si>
    <t>['sql', 'python', 'aws', 'pandas', 'numpy', 'scikit-learn', 'pyspark', 'tableau', 'git']</t>
  </si>
  <si>
    <t>Systems &amp; Data Engineer</t>
  </si>
  <si>
    <t>Boston, MA</t>
  </si>
  <si>
    <t>1/26/23 16:12</t>
  </si>
  <si>
    <t>New England Board of Higher Education</t>
  </si>
  <si>
    <t>['sql', 'python', 'r', 'java', 'scala', 'aws', 'azure', 'tableau']</t>
  </si>
  <si>
    <t>2024 University Graduate - Data Science Engineer - Now Hiring</t>
  </si>
  <si>
    <t>9/24/23 14:26</t>
  </si>
  <si>
    <t>Adobe</t>
  </si>
  <si>
    <t>['sql', 'mongo', 'python', 'r', 'aws', 'azure', 'openstack', 'hadoop']</t>
  </si>
  <si>
    <t>Sr. Data Engineer (On-site NYC)</t>
  </si>
  <si>
    <t>Oakridge Staffing</t>
  </si>
  <si>
    <t>['python', 'sql', 'postgresql', 'aws', 'redshift', 'bigquery', 'spark', 'airflow', 'looker', 'docker']</t>
  </si>
  <si>
    <t>Data Scientist Jobs</t>
  </si>
  <si>
    <t>via Clearance Jobs</t>
  </si>
  <si>
    <t>STEMboard</t>
  </si>
  <si>
    <t>['r', 'python', 'databricks', 'ibm cloud', 'snowflake', 'numpy', 'pandas', 'tableau', 'power bi']</t>
  </si>
  <si>
    <t>Senior Data Engineer (Python, AWS, Airflow, Snowflake)</t>
  </si>
  <si>
    <t>['python', 'java', 'scala', 'nosql', 'sql', 'mongo', 'shell', 'mysql', 'cassandra', 'aws', 'snowflake', 'redshift', 'azure', 'airflow', 'hadoop', 'kafka', 'spark']</t>
  </si>
  <si>
    <t>Lead Data Engineer, Remote (Buffalo, NY)</t>
  </si>
  <si>
    <t>Buffalo, NY</t>
  </si>
  <si>
    <t>via Built In</t>
  </si>
  <si>
    <t>2/21/23 11:27</t>
  </si>
  <si>
    <t>Delaware North</t>
  </si>
  <si>
    <t>['python', 'mongodb', 'mongodb', 'javascript', 'nosql', 'postgresql', 'mysql', 'redshift', 'airflow', 'django']</t>
  </si>
  <si>
    <t>Visa</t>
  </si>
  <si>
    <t>['python', 'sql', 'aws', 'gcp', 'azure', 'hadoop', 'spark', 'pandas', 'numpy', 'ssis', 'tableau', 'power bi']</t>
  </si>
  <si>
    <t>1/18/23 15:12</t>
  </si>
  <si>
    <t>HirePlace</t>
  </si>
  <si>
    <t>['no-sql', 'sql', 'python', 'scala', 'java', 'bash', 'powershell', 'azure', 'databricks', 'spark']</t>
  </si>
  <si>
    <t>Cedar Rapids, IA</t>
  </si>
  <si>
    <t>3/14/23 19:14</t>
  </si>
  <si>
    <t>['sql', 'go', 'sql server', 'azure', 'databricks', 'spark', 'kafka', 'ssis']</t>
  </si>
  <si>
    <t>Data Visualization Engineer</t>
  </si>
  <si>
    <t>iShare Inc.</t>
  </si>
  <si>
    <t>Texas</t>
  </si>
  <si>
    <t>InterEx Group</t>
  </si>
  <si>
    <t>['python', 'sql', 'postgresql', 'mysql', 'aws', 'redshift', 'snowflake', 'spark', 'docker', 'kubernetes']</t>
  </si>
  <si>
    <t>W2 Data Scientist</t>
  </si>
  <si>
    <t>3/22/23 22:12</t>
  </si>
  <si>
    <t>['python', 'r', 'databricks', 'azure', 'alteryx']</t>
  </si>
  <si>
    <t>SAS Programming Data Analyst - Now Hiring</t>
  </si>
  <si>
    <t>8/15/23 18:01</t>
  </si>
  <si>
    <t>University of Texas at Austin</t>
  </si>
  <si>
    <t>['sas', 'sas', 'c', 'excel']</t>
  </si>
  <si>
    <t>5/31/23 21:07</t>
  </si>
  <si>
    <t>['sql', 'snowflake', 'jira']</t>
  </si>
  <si>
    <t>Waco, TX</t>
  </si>
  <si>
    <t>12/21/23 11:01</t>
  </si>
  <si>
    <t>Glazer's Beer and Beverage of TX, LLC</t>
  </si>
  <si>
    <t>['c', 'word', 'excel', 'outlook']</t>
  </si>
  <si>
    <t>Data Scientist - Now Hiring</t>
  </si>
  <si>
    <t>Annandale, VA</t>
  </si>
  <si>
    <t>ECS Federal, LLC</t>
  </si>
  <si>
    <t>['sql', 'python', 'java', 'spark']</t>
  </si>
  <si>
    <t>Norfolk, VA</t>
  </si>
  <si>
    <t>8/25/23 11:09</t>
  </si>
  <si>
    <t>PRA Group</t>
  </si>
  <si>
    <t>['t-sql', 'sql', 'sql server', 'azure', 'ssis']</t>
  </si>
  <si>
    <t>Data Scientist - Payments</t>
  </si>
  <si>
    <t>4/25/23 9:03</t>
  </si>
  <si>
    <t>Rippling</t>
  </si>
  <si>
    <t>['c']</t>
  </si>
  <si>
    <t>Business Data Analyst</t>
  </si>
  <si>
    <t>Lincoln, RI</t>
  </si>
  <si>
    <t>8/17/23 22:00</t>
  </si>
  <si>
    <t>Point32Health</t>
  </si>
  <si>
    <t>['sql', 'sas', 'sas']</t>
  </si>
  <si>
    <t>SQL</t>
  </si>
  <si>
    <t>Python</t>
  </si>
  <si>
    <t>AWS</t>
  </si>
  <si>
    <t>SUBSTITUE</t>
  </si>
  <si>
    <t>we use this to substitute some part of string to another string</t>
  </si>
  <si>
    <t>REPLACE()</t>
  </si>
  <si>
    <t>we replace part of the string by giving strating and how many char we want to replace</t>
  </si>
  <si>
    <t>TEXTJOIN()</t>
  </si>
  <si>
    <t>sql</t>
  </si>
  <si>
    <t xml:space="preserve"> aws</t>
  </si>
  <si>
    <t xml:space="preserve"> pyspark</t>
  </si>
  <si>
    <t xml:space="preserve"> tableau</t>
  </si>
  <si>
    <t>Join different texts with a delimeter of our choice</t>
  </si>
  <si>
    <t>TEXT()</t>
  </si>
  <si>
    <t>change value into a specific format</t>
  </si>
  <si>
    <t>khan??</t>
  </si>
  <si>
    <t>my name is khan s khan ….. khan)</t>
  </si>
  <si>
    <t>SEARCH ()</t>
  </si>
  <si>
    <t>first occurrence of a str or char in another strring from l to right</t>
  </si>
  <si>
    <t>FIND</t>
  </si>
  <si>
    <t>same as search but CASE SENSITIVE</t>
  </si>
  <si>
    <t>Unicode</t>
  </si>
  <si>
    <t>gives a number corresponding to character</t>
  </si>
  <si>
    <t>UNICHAR</t>
  </si>
  <si>
    <t>Gives char for given unicode</t>
  </si>
  <si>
    <t>UNI -- UNIVERSAL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</si>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</sst>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22" fontId="2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" Type="http://schemas.openxmlformats.org/officeDocument/2006/relationships/customXml" Target="../ink/ink2.xml"/><Relationship Id="rId21" Type="http://schemas.openxmlformats.org/officeDocument/2006/relationships/customXml" Target="../ink/ink11.xml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24" Type="http://schemas.openxmlformats.org/officeDocument/2006/relationships/image" Target="../media/image12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customXml" Target="../ink/ink12.xml"/><Relationship Id="rId10" Type="http://schemas.openxmlformats.org/officeDocument/2006/relationships/image" Target="../media/image5.png"/><Relationship Id="rId19" Type="http://schemas.openxmlformats.org/officeDocument/2006/relationships/customXml" Target="../ink/ink10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Relationship Id="rId22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727560</xdr:colOff>
      <xdr:row>36</xdr:row>
      <xdr:rowOff>133280</xdr:rowOff>
    </xdr:from>
    <xdr:to>
      <xdr:col>1</xdr:col>
      <xdr:colOff>505794</xdr:colOff>
      <xdr:row>38</xdr:row>
      <xdr:rowOff>124984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4146D958-74B2-B461-8263-472AC0268184}"/>
                </a:ext>
              </a:extLst>
            </xdr14:cNvPr>
            <xdr14:cNvContentPartPr/>
          </xdr14:nvContentPartPr>
          <xdr14:nvPr macro=""/>
          <xdr14:xfrm>
            <a:off x="727560" y="7462440"/>
            <a:ext cx="602280" cy="398880"/>
          </xdr14:xfrm>
        </xdr:contentPart>
      </mc:Choice>
      <mc:Fallback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4146D958-74B2-B461-8263-472AC026818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20000" y="7454880"/>
              <a:ext cx="617400" cy="41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24474</xdr:colOff>
      <xdr:row>34</xdr:row>
      <xdr:rowOff>179735</xdr:rowOff>
    </xdr:from>
    <xdr:to>
      <xdr:col>1</xdr:col>
      <xdr:colOff>402834</xdr:colOff>
      <xdr:row>35</xdr:row>
      <xdr:rowOff>43467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89" name="Ink 88">
              <a:extLst>
                <a:ext uri="{FF2B5EF4-FFF2-40B4-BE49-F238E27FC236}">
                  <a16:creationId xmlns:a16="http://schemas.microsoft.com/office/drawing/2014/main" id="{78B269CC-A9D0-121D-BE98-C4825A3BFFC6}"/>
                </a:ext>
              </a:extLst>
            </xdr14:cNvPr>
            <xdr14:cNvContentPartPr/>
          </xdr14:nvContentPartPr>
          <xdr14:nvPr macro=""/>
          <xdr14:xfrm>
            <a:off x="848520" y="7101720"/>
            <a:ext cx="378360" cy="67320"/>
          </xdr14:xfrm>
        </xdr:contentPart>
      </mc:Choice>
      <mc:Fallback>
        <xdr:pic>
          <xdr:nvPicPr>
            <xdr:cNvPr id="89" name="Ink 88">
              <a:extLst>
                <a:ext uri="{FF2B5EF4-FFF2-40B4-BE49-F238E27FC236}">
                  <a16:creationId xmlns:a16="http://schemas.microsoft.com/office/drawing/2014/main" id="{78B269CC-A9D0-121D-BE98-C4825A3BFFC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40960" y="7094160"/>
              <a:ext cx="393480" cy="82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11514</xdr:colOff>
      <xdr:row>35</xdr:row>
      <xdr:rowOff>185307</xdr:rowOff>
    </xdr:from>
    <xdr:to>
      <xdr:col>2</xdr:col>
      <xdr:colOff>742308</xdr:colOff>
      <xdr:row>36</xdr:row>
      <xdr:rowOff>50840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90" name="Ink 89">
              <a:extLst>
                <a:ext uri="{FF2B5EF4-FFF2-40B4-BE49-F238E27FC236}">
                  <a16:creationId xmlns:a16="http://schemas.microsoft.com/office/drawing/2014/main" id="{EB2BC6B9-1032-2F72-1B3E-363E7DE512FE}"/>
                </a:ext>
              </a:extLst>
            </xdr14:cNvPr>
            <xdr14:cNvContentPartPr/>
          </xdr14:nvContentPartPr>
          <xdr14:nvPr macro=""/>
          <xdr14:xfrm>
            <a:off x="835560" y="7310880"/>
            <a:ext cx="1554840" cy="69120"/>
          </xdr14:xfrm>
        </xdr:contentPart>
      </mc:Choice>
      <mc:Fallback>
        <xdr:pic>
          <xdr:nvPicPr>
            <xdr:cNvPr id="90" name="Ink 89">
              <a:extLst>
                <a:ext uri="{FF2B5EF4-FFF2-40B4-BE49-F238E27FC236}">
                  <a16:creationId xmlns:a16="http://schemas.microsoft.com/office/drawing/2014/main" id="{EB2BC6B9-1032-2F72-1B3E-363E7DE512F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828000" y="7303320"/>
              <a:ext cx="1569960" cy="8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176743</xdr:colOff>
      <xdr:row>33</xdr:row>
      <xdr:rowOff>104683</xdr:rowOff>
    </xdr:from>
    <xdr:to>
      <xdr:col>4</xdr:col>
      <xdr:colOff>761377</xdr:colOff>
      <xdr:row>34</xdr:row>
      <xdr:rowOff>72815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06" name="Ink 105">
              <a:extLst>
                <a:ext uri="{FF2B5EF4-FFF2-40B4-BE49-F238E27FC236}">
                  <a16:creationId xmlns:a16="http://schemas.microsoft.com/office/drawing/2014/main" id="{EC6BD4A3-D689-F781-B057-600B9CA9EF5F}"/>
                </a:ext>
              </a:extLst>
            </xdr14:cNvPr>
            <xdr14:cNvContentPartPr/>
          </xdr14:nvContentPartPr>
          <xdr14:nvPr macro=""/>
          <xdr14:xfrm>
            <a:off x="2648880" y="6823080"/>
            <a:ext cx="1408680" cy="171720"/>
          </xdr14:xfrm>
        </xdr:contentPart>
      </mc:Choice>
      <mc:Fallback>
        <xdr:pic>
          <xdr:nvPicPr>
            <xdr:cNvPr id="106" name="Ink 105">
              <a:extLst>
                <a:ext uri="{FF2B5EF4-FFF2-40B4-BE49-F238E27FC236}">
                  <a16:creationId xmlns:a16="http://schemas.microsoft.com/office/drawing/2014/main" id="{EC6BD4A3-D689-F781-B057-600B9CA9EF5F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641320" y="6815865"/>
              <a:ext cx="1423800" cy="1868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190423</xdr:colOff>
      <xdr:row>34</xdr:row>
      <xdr:rowOff>113495</xdr:rowOff>
    </xdr:from>
    <xdr:to>
      <xdr:col>3</xdr:col>
      <xdr:colOff>485263</xdr:colOff>
      <xdr:row>34</xdr:row>
      <xdr:rowOff>134015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6E250054-591F-8A4F-BDE7-A63658002ECC}"/>
                </a:ext>
              </a:extLst>
            </xdr14:cNvPr>
            <xdr14:cNvContentPartPr/>
          </xdr14:nvContentPartPr>
          <xdr14:nvPr macro=""/>
          <xdr14:xfrm>
            <a:off x="2662560" y="7035480"/>
            <a:ext cx="294840" cy="20520"/>
          </xdr14:xfrm>
        </xdr:contentPart>
      </mc:Choice>
      <mc:Fallback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6E250054-591F-8A4F-BDE7-A63658002ECC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655000" y="7028280"/>
              <a:ext cx="309960" cy="35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354583</xdr:colOff>
      <xdr:row>34</xdr:row>
      <xdr:rowOff>164255</xdr:rowOff>
    </xdr:from>
    <xdr:to>
      <xdr:col>3</xdr:col>
      <xdr:colOff>492823</xdr:colOff>
      <xdr:row>35</xdr:row>
      <xdr:rowOff>38067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09" name="Ink 108">
              <a:extLst>
                <a:ext uri="{FF2B5EF4-FFF2-40B4-BE49-F238E27FC236}">
                  <a16:creationId xmlns:a16="http://schemas.microsoft.com/office/drawing/2014/main" id="{CA206ACC-7D8C-473F-E900-71586263F228}"/>
                </a:ext>
              </a:extLst>
            </xdr14:cNvPr>
            <xdr14:cNvContentPartPr/>
          </xdr14:nvContentPartPr>
          <xdr14:nvPr macro=""/>
          <xdr14:xfrm>
            <a:off x="2826720" y="7086240"/>
            <a:ext cx="138240" cy="77400"/>
          </xdr14:xfrm>
        </xdr:contentPart>
      </mc:Choice>
      <mc:Fallback>
        <xdr:pic>
          <xdr:nvPicPr>
            <xdr:cNvPr id="109" name="Ink 108">
              <a:extLst>
                <a:ext uri="{FF2B5EF4-FFF2-40B4-BE49-F238E27FC236}">
                  <a16:creationId xmlns:a16="http://schemas.microsoft.com/office/drawing/2014/main" id="{CA206ACC-7D8C-473F-E900-71586263F228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819520" y="7078680"/>
              <a:ext cx="153360" cy="9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659143</xdr:colOff>
      <xdr:row>34</xdr:row>
      <xdr:rowOff>157415</xdr:rowOff>
    </xdr:from>
    <xdr:to>
      <xdr:col>3</xdr:col>
      <xdr:colOff>791263</xdr:colOff>
      <xdr:row>35</xdr:row>
      <xdr:rowOff>33387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10" name="Ink 109">
              <a:extLst>
                <a:ext uri="{FF2B5EF4-FFF2-40B4-BE49-F238E27FC236}">
                  <a16:creationId xmlns:a16="http://schemas.microsoft.com/office/drawing/2014/main" id="{73E4EEF4-2491-6922-AE5C-46D26EB8DB17}"/>
                </a:ext>
              </a:extLst>
            </xdr14:cNvPr>
            <xdr14:cNvContentPartPr/>
          </xdr14:nvContentPartPr>
          <xdr14:nvPr macro=""/>
          <xdr14:xfrm>
            <a:off x="3131280" y="7079400"/>
            <a:ext cx="132120" cy="79560"/>
          </xdr14:xfrm>
        </xdr:contentPart>
      </mc:Choice>
      <mc:Fallback>
        <xdr:pic>
          <xdr:nvPicPr>
            <xdr:cNvPr id="110" name="Ink 109">
              <a:extLst>
                <a:ext uri="{FF2B5EF4-FFF2-40B4-BE49-F238E27FC236}">
                  <a16:creationId xmlns:a16="http://schemas.microsoft.com/office/drawing/2014/main" id="{73E4EEF4-2491-6922-AE5C-46D26EB8DB17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123720" y="7071840"/>
              <a:ext cx="147240" cy="9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231097</xdr:colOff>
      <xdr:row>32</xdr:row>
      <xdr:rowOff>148791</xdr:rowOff>
    </xdr:from>
    <xdr:to>
      <xdr:col>5</xdr:col>
      <xdr:colOff>47851</xdr:colOff>
      <xdr:row>34</xdr:row>
      <xdr:rowOff>172175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111" name="Ink 110">
              <a:extLst>
                <a:ext uri="{FF2B5EF4-FFF2-40B4-BE49-F238E27FC236}">
                  <a16:creationId xmlns:a16="http://schemas.microsoft.com/office/drawing/2014/main" id="{AB90CFD6-1EDA-F2E7-D5C6-320B6ED0FAE9}"/>
                </a:ext>
              </a:extLst>
            </xdr14:cNvPr>
            <xdr14:cNvContentPartPr/>
          </xdr14:nvContentPartPr>
          <xdr14:nvPr macro=""/>
          <xdr14:xfrm>
            <a:off x="3527280" y="6663600"/>
            <a:ext cx="640800" cy="430560"/>
          </xdr14:xfrm>
        </xdr:contentPart>
      </mc:Choice>
      <mc:Fallback>
        <xdr:pic>
          <xdr:nvPicPr>
            <xdr:cNvPr id="111" name="Ink 110">
              <a:extLst>
                <a:ext uri="{FF2B5EF4-FFF2-40B4-BE49-F238E27FC236}">
                  <a16:creationId xmlns:a16="http://schemas.microsoft.com/office/drawing/2014/main" id="{AB90CFD6-1EDA-F2E7-D5C6-320B6ED0FAE9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520080" y="6656040"/>
              <a:ext cx="655920" cy="44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335497</xdr:colOff>
      <xdr:row>34</xdr:row>
      <xdr:rowOff>200975</xdr:rowOff>
    </xdr:from>
    <xdr:to>
      <xdr:col>4</xdr:col>
      <xdr:colOff>362137</xdr:colOff>
      <xdr:row>35</xdr:row>
      <xdr:rowOff>107547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12" name="Ink 111">
              <a:extLst>
                <a:ext uri="{FF2B5EF4-FFF2-40B4-BE49-F238E27FC236}">
                  <a16:creationId xmlns:a16="http://schemas.microsoft.com/office/drawing/2014/main" id="{54AD2C7B-E233-3A5F-9E51-7C6B94322649}"/>
                </a:ext>
              </a:extLst>
            </xdr14:cNvPr>
            <xdr14:cNvContentPartPr/>
          </xdr14:nvContentPartPr>
          <xdr14:nvPr macro=""/>
          <xdr14:xfrm>
            <a:off x="3631680" y="7122960"/>
            <a:ext cx="26640" cy="110160"/>
          </xdr14:xfrm>
        </xdr:contentPart>
      </mc:Choice>
      <mc:Fallback>
        <xdr:pic>
          <xdr:nvPicPr>
            <xdr:cNvPr id="112" name="Ink 111">
              <a:extLst>
                <a:ext uri="{FF2B5EF4-FFF2-40B4-BE49-F238E27FC236}">
                  <a16:creationId xmlns:a16="http://schemas.microsoft.com/office/drawing/2014/main" id="{54AD2C7B-E233-3A5F-9E51-7C6B94322649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3624120" y="7115400"/>
              <a:ext cx="41400" cy="12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367177</xdr:colOff>
      <xdr:row>35</xdr:row>
      <xdr:rowOff>30147</xdr:rowOff>
    </xdr:from>
    <xdr:to>
      <xdr:col>4</xdr:col>
      <xdr:colOff>441337</xdr:colOff>
      <xdr:row>35</xdr:row>
      <xdr:rowOff>144267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13" name="Ink 112">
              <a:extLst>
                <a:ext uri="{FF2B5EF4-FFF2-40B4-BE49-F238E27FC236}">
                  <a16:creationId xmlns:a16="http://schemas.microsoft.com/office/drawing/2014/main" id="{600D6D3E-79D8-E57F-068F-400AB3D0BF42}"/>
                </a:ext>
              </a:extLst>
            </xdr14:cNvPr>
            <xdr14:cNvContentPartPr/>
          </xdr14:nvContentPartPr>
          <xdr14:nvPr macro=""/>
          <xdr14:xfrm>
            <a:off x="3663360" y="7155720"/>
            <a:ext cx="74160" cy="114120"/>
          </xdr14:xfrm>
        </xdr:contentPart>
      </mc:Choice>
      <mc:Fallback>
        <xdr:pic>
          <xdr:nvPicPr>
            <xdr:cNvPr id="113" name="Ink 112">
              <a:extLst>
                <a:ext uri="{FF2B5EF4-FFF2-40B4-BE49-F238E27FC236}">
                  <a16:creationId xmlns:a16="http://schemas.microsoft.com/office/drawing/2014/main" id="{600D6D3E-79D8-E57F-068F-400AB3D0BF42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655800" y="7148160"/>
              <a:ext cx="89280" cy="12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246217</xdr:colOff>
      <xdr:row>34</xdr:row>
      <xdr:rowOff>152015</xdr:rowOff>
    </xdr:from>
    <xdr:to>
      <xdr:col>4</xdr:col>
      <xdr:colOff>547537</xdr:colOff>
      <xdr:row>35</xdr:row>
      <xdr:rowOff>188187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14" name="Ink 113">
              <a:extLst>
                <a:ext uri="{FF2B5EF4-FFF2-40B4-BE49-F238E27FC236}">
                  <a16:creationId xmlns:a16="http://schemas.microsoft.com/office/drawing/2014/main" id="{10958D32-D393-241E-8F20-32E3F1DFC549}"/>
                </a:ext>
              </a:extLst>
            </xdr14:cNvPr>
            <xdr14:cNvContentPartPr/>
          </xdr14:nvContentPartPr>
          <xdr14:nvPr macro=""/>
          <xdr14:xfrm>
            <a:off x="3542400" y="7074000"/>
            <a:ext cx="301320" cy="239760"/>
          </xdr14:xfrm>
        </xdr:contentPart>
      </mc:Choice>
      <mc:Fallback>
        <xdr:pic>
          <xdr:nvPicPr>
            <xdr:cNvPr id="114" name="Ink 113">
              <a:extLst>
                <a:ext uri="{FF2B5EF4-FFF2-40B4-BE49-F238E27FC236}">
                  <a16:creationId xmlns:a16="http://schemas.microsoft.com/office/drawing/2014/main" id="{10958D32-D393-241E-8F20-32E3F1DFC549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534840" y="7066440"/>
              <a:ext cx="316440" cy="254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4303</xdr:colOff>
      <xdr:row>35</xdr:row>
      <xdr:rowOff>116907</xdr:rowOff>
    </xdr:from>
    <xdr:to>
      <xdr:col>4</xdr:col>
      <xdr:colOff>219577</xdr:colOff>
      <xdr:row>37</xdr:row>
      <xdr:rowOff>78732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115" name="Ink 114">
              <a:extLst>
                <a:ext uri="{FF2B5EF4-FFF2-40B4-BE49-F238E27FC236}">
                  <a16:creationId xmlns:a16="http://schemas.microsoft.com/office/drawing/2014/main" id="{09715180-DAC1-788E-4C9E-61D75E3ED706}"/>
                </a:ext>
              </a:extLst>
            </xdr14:cNvPr>
            <xdr14:cNvContentPartPr/>
          </xdr14:nvContentPartPr>
          <xdr14:nvPr macro=""/>
          <xdr14:xfrm>
            <a:off x="2476440" y="7242480"/>
            <a:ext cx="1039320" cy="369000"/>
          </xdr14:xfrm>
        </xdr:contentPart>
      </mc:Choice>
      <mc:Fallback>
        <xdr:pic>
          <xdr:nvPicPr>
            <xdr:cNvPr id="115" name="Ink 114">
              <a:extLst>
                <a:ext uri="{FF2B5EF4-FFF2-40B4-BE49-F238E27FC236}">
                  <a16:creationId xmlns:a16="http://schemas.microsoft.com/office/drawing/2014/main" id="{09715180-DAC1-788E-4C9E-61D75E3ED70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68880" y="7234920"/>
              <a:ext cx="1054440" cy="384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1:01.2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1600 21 7533,'6'-3'5487,"0"0"-3958,0-2-1170,-6 1-179,-4 1-90,-5 1-3392,-3 2 3392,0 1 0,-10 2 0,-9 0 0,-16 2-90,6 0 0,-41 5 0,35-4-45,-11 1 0,-1 1 45,5 0 0,-10 1 0,0 0 0,15-2 0,-46 7 0,48-8 0,-13 2 3392,15-2-3392,-19-1 0,33-3 0,-33 1 0,39-3 90,-25-1-90,31-1 90,-20-1-90,24 1 0,-16-1 0,19 1 0,-15-1 0,15 2 0,-16 1 0,15 0 0,-24 3 0,21-1 0,-20 3 0,20-2 90,-15 2-90,15-2 180,-18 4-180,21-5 180,-16 4-90,17-3-90,-7 1 90,10-1-90,1 3 90,3 0 90,2 8-91,2-1 271,2 32-180,1-16 90,7 69-270,-4-48 90,2 12 0,1 1-90,-1-12 45,0 1 0,1-2-45,-1-11 90,8 43-90,-8-48 0,8 40 0,-9-46-90,7 29 180,-7-37-180,7 19 90,-8-28 90,11 10-90,-8-17 0,7 0 0,-6-4 0,3-1 0,2-1 0,13-3 0,-4 0 0,20-4 0,-2 1 0,25-4 0,-19 3 90,46-5-90,-54 9 0,55-8 0,-57 10 0,46-4 0,-45 6 0,50 0 0,-49 3 0,35 3 0,-38-2 90,37 4-90,-36-4 0,55 2 0,-55-5 0,48-3 0,-54-1 0,25-6 0,-32 3 90,26-14-90,-29 10 0,17-14 0,-28 14 90,6-13-90,-10 11 90,4-26-90,-8 22 0,-1-24 0,-3 20 0,-7-45 0,4 31 0,-3-15 0,-1 1 0,3 10 0,-11-51 0,10 55 0,-9-41 0,8 45 0,-8-35 0,10 41 0,-7-20 0,8 27-180,-6-12-90,6 17-2159,-10-14 1440,9 19-3239,-10-4 1170,10 12 3058,-5 1 0,8 1 0,1-1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1:04.45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37 9512,'1'-5'3418,"-1"-1"539,-1 0-2967,1 5-630,1 7-181,2 4-89,-2 5 0,0-5-90,0 0 90,-1-3-180,1 0 90,0 1-90,-1 0-1169,2 7 540,-1-5-3419,2 9-1079,0-9 5217,1 1 0,-2-6 0,0-3 0</inkml:trace>
  <inkml:trace contextRef="#ctx0" brushRef="#br0" timeOffset="481">288 73 9602,'-4'-8'4767,"1"1"-3688,0 1-539,0-1 0,3 1-181,2-1-89,3 2-90,3 1-90,2 3-90,-2 1 90,1 3-90,-4-1 90,1 2-90,4 8 0,-5-5 90,5 9-90,-8-8 0,-1 5 0,0-6 0,-3 10 90,0-8-90,-1 6 90,2-8-90,2-1-270,4-3-450,2-2-629,3-2-450,0 0-1439,0 0 3238,1 0 0,-5 0 0,-1 1 0</inkml:trace>
  <inkml:trace contextRef="#ctx0" brushRef="#br0" timeOffset="1000">492 48 9242,'-14'-15'7106,"1"2"-6117,9 9-449,4 0-90,2-1-91,5 2-179,2 0 0,1 3-90,1 1 0,-2 4-90,-2-1 90,-2 2-90,0 1 0,-2 2 0,0 2 0,-1 0-90,-2 1 90,1-3 0,-1 1-90,1-2 90,0-1-90,2-1 90,0 0 0,2-1 90,-1 1-90,0 0 0,0 0 270,-1-1-180,-1 1-90,-2 1 0,-3 0-270,-1-2 0,-2-1-809,-1 0 269,1-2-89,-2 2-1350,2-3-1259,-2 1 3508,0-2 0,2 1 0,1-2 0</inkml:trace>
  <inkml:trace contextRef="#ctx0" brushRef="#br0" timeOffset="1736">633 20 11041,'0'3'5577,"1"1"-5488,-2 8 1,3-5 0,1 1-90,0-2 90,1-1-90,0 0 90,1 0-90,4 0 0,-2-2 360,13 0 540,-2-6-361,0 1-89,-3-5 90,-10 2 179,1 0 271,-1-1-990,-4 8 0,0 1-90,-2 10-180,1-4-180,-1 1-179,1-2-181,0 0-3687,2 13 3147,0-10 1350,4 16 0,-4-21 0,2 4 0</inkml:trace>
  <inkml:trace contextRef="#ctx0" brushRef="#br0" timeOffset="2366">901 9 8612,'-6'-1'3148,"3"2"-2518,0 4-270,4 4-90,1-2-1,2 1-89,-1-2 540,6 7-540,-2-4 180,6 9-1,-4-6 271,4 8-360,-5-7 989,3 6-629,-7-12-180,1 6-181,-5-8-89,-3 0-180,-5-3-360,-10-5 1,4-1-631,-10-5-449,8 0-1259,-3-5 1888,7 4-809,3-1 1619,6 2 0,2 5 0,0-2 0</inkml:trace>
  <inkml:trace contextRef="#ctx0" brushRef="#br0" timeOffset="2483">889 58 8882,'12'-6'3958,"-2"2"-3239,5-3-449,-7 4 0,0 1 0,3-1-90,-3 1-180,4 0-810,2 0-899,1 1-3148,4 0 4857,-3 1 0,-7 0 0,-5 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1:10.6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1 105 12390,'9'1'989,"0"0"-629,-1-2-90,1-1-90,3 1 90,1-1-90,4 0 179,34-2-269,-20 3 0,38-1 0,-38 2-90,35 2 90,-32-1-90,55 0 90,-52-1 0,50-1 0,-54 0 0,46-3-90,-47 3 0,30-2 90,-40 3-90,20 1 0,-21 0 90,23 3 0,-25-1 0,9 0 0,-6 0 90,8 1-90,-5-1 90,18 0-180,-24-2 269,33 2-179,-30-2-90,16 2 90,-14-1 0,8 1 0,-5-1 90,27 2-180,-31-2 90,26 0 0,-28-1 90,16 0 0,-6 0 0,9 1 0,-1-1 89,7 2-269,-15-2 360,26 1-270,-32-2 90,39 0-90,-38 0 90,39-2-90,-34 1 180,44-2-180,-40 2 90,46 0-91,-45 1 91,33 3-180,-35-1 180,23 3-180,-24-1 180,62 8-180,-52-7 0,51 5 0,-62-7 0,21 0 0,-9-1 0,29 0 0,-27 0 90,9-2-90,-32 1 0,0-1 0,0 0 0,0-1 0,2 1 0,22-1 0,-15-1 0,52-2-90,-51 2 90,35-3 0,-34 2 0,8 0 90,-1-1-180,0 1 90,0 0 0,0 0 90,-8 1-90,15-2-90,-14 1 180,14-1-180,-11 1 180,-2 0-90,-2 1-90,2-1 90,1 1 0,1-1-90,-1 1 90,-3-1 0,0 0 0,-3-2 90,0-1-90,-1 0 0,-2-1 0,-1 0-90,1 0 180,-2 0-90,-5 1 0,2-1 0,-13 4 90,5-2-90,-5 2 180,5-2-90,-2 0 0,1 0 270,-6 2 179,0 0-269,-2 0-1079,0 1-3599,0-1 1080,-4-1-3328,-1-1 6656,-3-1 0,1 2 0,0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3:15.58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 92 10411,'0'-9'7466,"-1"1"-6207,0 9-629,2 6-91,0 6-89,2 5 0,0-2-90,1 3 1349,6 27-810,1 12-809,0-6 0,-3-5 0,-6-35 0,0 2 0,-1-4 180,2 5-180,-2-6 0,-1-5-90,0-4 0,-3-12 0,2-3 0,2-11-90,0 3 180,10-21-90,-4 22 0,15-25 0,-11 30 90,20-14 0,-11 20 89,8-2-89,-10 10 90,6 8 0,-9 4-90,5 8-270,-8 4-539,-4 3-541,-2 2-2068,-3 5 2249,-1-9-1260,-2 7 990,0-15-7196,2 13 8545,-1-14 0,1 4 0,-1-13 0</inkml:trace>
  <inkml:trace contextRef="#ctx0" brushRef="#br0" timeOffset="436">525 341 8072,'6'-10'3868,"-2"0"-2878,0 0-1,-1 1 90,-1-1-89,0 0-1,-1 0 1890,-6-12-2340,2 10 271,-6-12-360,3 18-1,-3-2 1,2 5-180,-1 2 90,0 2 179,-10 11-449,7-2 90,-12 23-180,14-15 0,-3 22-90,11-16-90,4 7 91,7-10 89,4-4 89,2-7 1,2-7 270,1-7 1169,7-14-989,-10 5 0,3-8 629,-10 6-449,-1 1-720,0 1 0,-2 2 0,-3 5 0,0 1 0,0-1 0,0 1 0,1 5 0,0 5 0,-1 2 0,0 2 0,0 3-1260,0 1-629,1 0-4137,1 10 4227,-2-10-8032,3 15 9657,-3-15 1,0 1 0,-2-9 0</inkml:trace>
  <inkml:trace contextRef="#ctx0" brushRef="#br0" timeOffset="820">737 369 8342,'-1'-11'4588,"1"0"-3509,-1 1 90,0 0 91,1 1-181,-1 0-90,0 1 541,1 1 179,0-2-90,0 1-1260,2 6 541,4 14-810,-2-1-90,2 9 90,-3-8-180,0 0 90,-1 0-180,1 0 0,0 0-989,3 10 809,-2-11-360,3 10 361,-3-15 179,3-4 90,-2-4 90,8-17-90,-6 6 180,8-19 270,-2 9-1,2-5 181,0 6 539,-3 7-809,-1 8 360,1 11-450,-4 2-180,2 12-180,-5-7-989,2 11-91,-3-8-89,1 4-3508,0 4 4857,1-1 0,-1-3 0,-1-6 0</inkml:trace>
  <inkml:trace contextRef="#ctx0" brushRef="#br0" timeOffset="1502">1318 474 8702,'-10'-1'4767,"0"0"-3597,0 1 359,-1 0 4048,1 0-3958,6 1-990,6 0 91,4 1-180,4-2-91,-1 0-89,1 0 450,19-2-630,-9 1 89,32-3-179,-28 2 0,19-1-180,-25 2-449,11 0 179,-15 0-1889,9 0 2249,-13 0 0,0 1 0,-6 0 0</inkml:trace>
  <inkml:trace contextRef="#ctx0" brushRef="#br0" timeOffset="1984">1951 246 8702,'2'-7'5217,"0"-2"-3418,-2 0-1079,-1-2-1,-1 3-89,-3 2 539,1 3-719,-5-1 449,-1 3-359,-5 0-270,4 2 180,-5 4-270,9-1 89,-1 9-89,9-3-90,6 6-90,7-1 90,6 1-90,2 1 0,2 1-90,-7-5 180,5 5 0,-9-6 180,3 5 450,-9-4-540,-3 0-1,-4-3 271,-8 5-360,-3-5-90,-8 4-270,-2-4-539,-1-3-990,-1-3 0,3-2-630,2-2-539,3-2-4138,5 0 7106,1-3 0,6 4 0,-1-2 0</inkml:trace>
  <inkml:trace contextRef="#ctx0" brushRef="#br0" timeOffset="2385">2228 408 8702,'-9'-1'7736,"1"1"-4498,-2 0-450,1 1-899,7 1-1079,4 2-91,4 0-89,4-2-180,-1 0-91,2-1 271,10-2-360,4 1 0,11-2-180,0-1-90,-1 0-270,-7 0-450,-4 1-719,-5 0-3958,-1 0 2339,-5 1 3058,0 0 0,-8 1 0,-2-1 0</inkml:trace>
  <inkml:trace contextRef="#ctx0" brushRef="#br0" timeOffset="2916">2598 24 9602,'0'-10'9830,"-1"2"-6168,3 4-2673,-1 3-89,3 5-91,0 3-179,0 2-90,0 1-1,0 4 181,2 10-630,8 39-450,-5-23-1349,6 33-1079,-8-42-540,3 6 89,-1-6-6475,4-3 9714,-5-12 0,0-5 0,-6-8 0</inkml:trace>
  <inkml:trace contextRef="#ctx0" brushRef="#br0" timeOffset="3266">2933 172 11311,'-4'-7'2878,"0"1"-2248,-2 3-91,-1 0 1,-1 1-90,-1 1-180,-2 0 359,-14 3-449,8 0-90,-17 3 0,13 1-180,-5 2 90,8-2-180,-1 2 180,11-4 90,-3 5 360,9-4 449,5 5-269,1-3 989,11 8-450,-3-3 1,9 5-451,-2-2-359,1 0-450,2-1-1169,-1-1-1080,1-2-359,-1-1-900,0-2-3688,-2-1 7286,-4-3 0,-6-1 0,-5-2 0</inkml:trace>
  <inkml:trace contextRef="#ctx0" brushRef="#br0" timeOffset="4586">2987 77 17337,'4'5'2429,"0"1"-1890,-1 1 1,0 1 0,0 1-90,1 1 89,0 2 91,2 6-360,-1-3-90,8 34-360,-7-27-540,6 27 90,-9-34-359,2 7-360,-1-5 539,-1-1 810,-1-8-90,-1-8 90,-1-8 0,1-6 0,0 1 0,0-4 360,5-6 90,3-1-180,2 0 629,10-4-449,-5 14-90,7-3 0,-4 13-91,-3 7-179,-4 2 90,2 15-270,-6-1-270,3 11 1,-5-7-991,6 14 991,-5-19-721,14 18 900,-12-27 0,11 5 91,-11-13-1,3-2 90,-4-2 0,1-2 0,-1-1 90,0-2 359,4-12-269,-4 7 360,4-18-450,-8 18 270,-1-10-270,-3 14 269,-3-3-269,-4 7 0,-6 3 0,3 3 0,-8 8-90,11-2 0,-8 12-90,11-10-449,-3 13 269,6-12-360,3 7 90,2-7 181,4-1 179,-1-3 90,12-7 180,-10-1 90,17-12-1,-16 6 271,9-11-360,-11 11 90,3-4-90,-5 8-180,0 2-270,-1 5-899,0 7 90,-2 1-91,1 1 91,0-3 180,0-3 899,3-3 270,0-4 89,-1-3 91,1-3 90,-3 1 539,5-6-449,-3 3 1889,13-17-1890,-10 14 1440,13-15-1169,-16 20 89,7-3-359,-6 10-360,1 3 0,-2 2 90,0 4-270,-2-2 179,2 9-179,-2-4-89,2 7-1,-2-6 90,1-2 0,1-6 90,1-6-90,0-2 179,0-3 181,0-2-90,0 1 1439,10-10-1349,-8 9 269,9-6-269,-11 10 180,3-1 90,3 8-630,-3 5 0,2 1-810,-3 12 1,-5-11-3419,7 15 2429,-5-13-1529,12 12-1889,0-8 5217,8 3 0,-11-9 0,-2-2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3:26.05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24 10501,'1'2'3868,"1"-1"-3598,8-1-90,-1 1 89,3-2 1,2 1-90,4 0 0,4 0 180,32-2-270,-16 2 0,61-3 0,-49 2-90,4-1 0,-1 1 90,-5-1-90,33 0 0,-46 1 90,37-1 0,-42 2 809,27-2-539,-43 2-90,6-1 449,-7 0-449,-5-1-360,-4 0 180,-5 1-90,-8 0 0,0 1 0,-2 1 0,-13 0 0,-12 1 0,-15 1-90,-10 1 90,-2 0 0,0 0 0,3 0 0,5 2 0,8-1-90,8 0 90,8 1 90,17-1-90,18-1-90,10-2 90,26-3 0,-12 0 0,11-2-540,19-2 271,-21 2-541,30-3-269,-31 2 359,-2 1-4857,10-2 2789,-28 3 2788,13-1 0,-24 2 0,-1 1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3:26.51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27 1 9512,'2'1'5936,"-1"0"-5666,11 3-90,-1-1 0,2 0 0,3 0-90,3 1 0,2-1 0,1 1 89,41 3-179,-31-3 90,39 2-90,-52-6 90,11-1 450,-18-2-90,-1-1-270,-9 0 0,-11 2-1,-16 3-89,-13 6 0,-22 8-270,-5 6-629,-2 7-720,12 0-990,18 1-3867,18-5 6386,12-6 0,6-8 0,3-6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3:2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60 26 7713,'-10'-6'3418,"0"1"-2699,1 0-179,1 1 449,1 1 810,-1 1-1439,4 3-90,1 1-90,4 4 0,3-1 0,2 2 0,1 0-1,2 0-89,3 2 0,1-1 90,11 4-90,5 0-90,1 0 0,20 2-180,-24-8 0,28 1 90,-33-6 90,17-4 0,-24 0 270,7-9-90,-16 3 90,-3-5 180,-11 4 0,-7 2-181,-6 4 1,-9 5-180,-4 5 0,-4 5-180,2 4-539,3 3-541,4 3-539,7 1-809,4 0-3239,5 0 4909,6-7 0,5-5 0,2-6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3:28.51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349 1102 10051,'-6'-3'5217,"0"-1"-4677,5 2-270,6 1-90,4 0 180,6 2-91,-1 0 181,4 0-90,4 1-90,4 0 989,72 5-989,-39-3 89,38 2 1,3 1-946,-18-1 646,-18-1 0,11 1 0,-11-1 30,15 2-45,-7-1 0,2 1-95,14 1 50,-29-3 0,-2 1 0,16 0 90,8-1-90,-55-4 0,16-3 0,-29 0 90,8-5-90,-15 0 763,-1-4-763,-5 1 143,-4 0-143,0 0 0,-2-1 0,0-1 0,0-2-90,0-5 90,2-6 0,0-8 0,3-18 0,2 2 0,2 0-90,-1 11 90,1 2 0,-1 9 0,0-7 0,-1 11 0,-2-35 0,0 25 0,-3-36 0,1 41 0,-10-42 0,6 41-90,-13-37 90,11 49-90,-17-17 0,11 22-90,-33-10 90,21 14-359,-60-9 269,40 11-45,-14-1 0,-2-1 135,4 2 0,-34-5-180,20 1-102,17 2 192,-36-7 180,40 5-45,1 0 0,-4-2 0,0-1 0,1 1 45,-37-10 0,31 7 0,6 2 0,18 4 0,-27-7 0,21 7 0,-10-2 0,3 2 372,-3 1-461,20 3 89,-4 1 0,19 2 0,-2 1 0,2 2 0,-2 11 0,8-1 0,-6 28 89,12-15-89,-2 17 0,6-13 0,3 36 90,2 4-90,-1-16 0,0 2 0,0-2 0,0 1 0,-2 2 0,-1 0-360,0 1 1,-1 0-181,0-1 0,-1-1-1169,1 40-359,2-12-3689,6-17 5757,0-19 0,3-8 0,-2-14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3:29.16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25 14 7892,'-6'-5'8366,"0"1"-4768,0 0-2339,3 5-719,0 4-1,3 3-89,0 2-90,0-2 0,0 2-90,0 1-91,1 2-89,1 0-1349,2 18 180,-1-11-2070,8 29-3687,4-6 2429,-2-6 4407,3-2 0,-12-28 0,-1-3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3:29.55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162 81 8882,'-1'-11'3508,"0"0"-2699,-2 1-89,-1 2 0,-1 0-91,-1 1 1,-2 0-90,-1 1-91,-2 1 811,-16-1-1080,12 4 179,-19 3-269,21 4-90,-2 1 0,8 1-90,5 1-90,1-2 1,2 2-1,2-2 0,1-1-90,4 2 90,1-2 90,5 0 0,-3-3 180,7-1 90,-5-2 90,4 1-180,-4 1 180,0 2-91,-4 2 1,8 8-90,-8-4 90,12 21-90,-13-16-180,4 13 90,-9-14-90,-1-1-90,-2 1-1349,-7 11 810,0-9-1980,-17 16 1710,9-20-4498,-22 6 5487,20-13 0,-3-1 0,14-4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3:29.96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237 205 9512,'-6'-11'3238,"0"0"-2429,-1 1 1,-1 1-91,0 0 1,0 2-90,-1-1 539,0 2-90,-11-1-629,7 4 719,-22 6-809,18 3 270,-17 14-90,14 4 269,-4 23-719,11-13 270,16 42-360,8-38 0,12 8 0,5-1-90,6-5-450,11-1 0,4-3 91,-1-10-91,7-3 0,-1-4 181,-10-9-91,36-1 180,-37-15 180,32-22 180,-27 3 180,-8-10 0,-3-4 89,-9-3 361,18-44-180,-26 27 89,-2-23-449,-11 28 0,-28-24-180,0 46-450,-34-24-539,2 34-1709,-37 5 1438,23 14-1439,6 11 1,2 5-2985,2 4 5683,-29 15 0,40-9 0,0 1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6T16:43:30.93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2886 1 11580,'-3'2'5397,"0"-1"-5127,-6 8 0,2-2-180,-2 1 90,-1 1-90,-3 0 90,-9 8-90,-22 9-90,6-3 90,-46 17-90,41-23-180,-12 2 0,-1-2 90,0-3-45,-14 2 0,-2-1 135,3-2-484,-19 5 0,0 0 484,9 0-90,-15 4 0,-1 1 90,15-3-45,-14 6 0,2 0 45,16-4-45,-8 3 0,1 1 135,19-5-135,-8 3 0,1 1 99,11-4-54,-4 3 0,2-1 0,13-4 0,-42 19 90,58-23-180,-27 12 180,38-16 784,-20 10-874,26-13 40,-12 7-40,17-9 0,-8 3 0,5-3 0,-2 1 0,2-1 0,-3 0 0,9-3 90,-11 3-90,10-2 90,-7 1 0,0 2 90,-9 4-90,4-2 90,-23 12-180,25-12 180,-22 11-180,26-12 180,-17 8-180,18-10 179,-14 7-89,16-8 90,-11 4-90,14-6 90,-7 2-90,9-6-90,-1-4 90,6-4-90,4-10 0,3-5 90,9-21-90,-4 11 360,9-15-270,-11 31 449,6-13-359,-9 20 360,2-5-90,-4 8-450,-4 3 90,0 5 0,-6 6 90,-6 12-180,1-1 0,-12 19 0,3-2 89,-4 11-178,2 4 89,10-17 0,5 2 0,17-20-90,11-2-810,27-9-359,3-6 449,4-2-1079,0-3-359,-10 3-271,12-2 540,-13 3 1979,9-1 0,-23 3 0,9-1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AB2-BBA4-9547-8C93-6AF6FF4F0B53}">
  <dimension ref="B3:I45"/>
  <sheetViews>
    <sheetView tabSelected="1" topLeftCell="A32" zoomScale="215" workbookViewId="0">
      <selection activeCell="H45" sqref="H45"/>
    </sheetView>
  </sheetViews>
  <sheetFormatPr baseColWidth="10" defaultRowHeight="16" x14ac:dyDescent="0.2"/>
  <sheetData>
    <row r="3" spans="2:4" x14ac:dyDescent="0.2">
      <c r="B3" t="s">
        <v>0</v>
      </c>
      <c r="D3" t="s">
        <v>1</v>
      </c>
    </row>
    <row r="5" spans="2:4" x14ac:dyDescent="0.2">
      <c r="B5" t="s">
        <v>2</v>
      </c>
      <c r="D5" t="str">
        <f>LEFT("HELLO WORLD", 5)</f>
        <v>HELLO</v>
      </c>
    </row>
    <row r="7" spans="2:4" x14ac:dyDescent="0.2">
      <c r="B7" t="s">
        <v>3</v>
      </c>
    </row>
    <row r="9" spans="2:4" x14ac:dyDescent="0.2">
      <c r="B9" t="s">
        <v>4</v>
      </c>
    </row>
    <row r="11" spans="2:4" x14ac:dyDescent="0.2">
      <c r="B11" t="s">
        <v>5</v>
      </c>
    </row>
    <row r="13" spans="2:4" x14ac:dyDescent="0.2">
      <c r="B13" t="s">
        <v>6</v>
      </c>
      <c r="D13" t="s">
        <v>7</v>
      </c>
    </row>
    <row r="15" spans="2:4" x14ac:dyDescent="0.2">
      <c r="B15" t="s">
        <v>8</v>
      </c>
      <c r="D15" t="s">
        <v>9</v>
      </c>
    </row>
    <row r="17" spans="2:9" x14ac:dyDescent="0.2">
      <c r="B17" t="s">
        <v>10</v>
      </c>
      <c r="D17" t="s">
        <v>11</v>
      </c>
    </row>
    <row r="19" spans="2:9" x14ac:dyDescent="0.2">
      <c r="B19" t="s">
        <v>12</v>
      </c>
      <c r="D19" t="str">
        <f>_xlfn.CONCAT("HELLO MY NAME IS ",G19)</f>
        <v>HELLO MY NAME IS Shreya</v>
      </c>
      <c r="G19" t="s">
        <v>13</v>
      </c>
    </row>
    <row r="21" spans="2:9" x14ac:dyDescent="0.2">
      <c r="B21" t="s">
        <v>14</v>
      </c>
    </row>
    <row r="23" spans="2:9" x14ac:dyDescent="0.2">
      <c r="B23" t="s">
        <v>15</v>
      </c>
      <c r="D23" t="s">
        <v>16</v>
      </c>
      <c r="I23">
        <f>_xlfn.NUMBERVALUE("14,900",",","\")</f>
        <v>14.9</v>
      </c>
    </row>
    <row r="25" spans="2:9" x14ac:dyDescent="0.2">
      <c r="B25" t="s">
        <v>17</v>
      </c>
      <c r="D25" t="s">
        <v>18</v>
      </c>
      <c r="G25" s="1"/>
    </row>
    <row r="26" spans="2:9" x14ac:dyDescent="0.2">
      <c r="G26" s="1"/>
    </row>
    <row r="27" spans="2:9" x14ac:dyDescent="0.2">
      <c r="B27" t="s">
        <v>789</v>
      </c>
      <c r="D27" t="s">
        <v>790</v>
      </c>
    </row>
    <row r="29" spans="2:9" x14ac:dyDescent="0.2">
      <c r="B29" t="s">
        <v>791</v>
      </c>
      <c r="D29" t="s">
        <v>792</v>
      </c>
    </row>
    <row r="31" spans="2:9" x14ac:dyDescent="0.2">
      <c r="B31" t="s">
        <v>793</v>
      </c>
      <c r="D31" t="s">
        <v>798</v>
      </c>
    </row>
    <row r="33" spans="2:8" x14ac:dyDescent="0.2">
      <c r="B33" t="s">
        <v>799</v>
      </c>
      <c r="D33" t="s">
        <v>800</v>
      </c>
    </row>
    <row r="35" spans="2:8" x14ac:dyDescent="0.2">
      <c r="B35" t="s">
        <v>803</v>
      </c>
      <c r="D35" t="s">
        <v>804</v>
      </c>
    </row>
    <row r="37" spans="2:8" x14ac:dyDescent="0.2">
      <c r="B37" t="s">
        <v>805</v>
      </c>
      <c r="D37" t="s">
        <v>806</v>
      </c>
    </row>
    <row r="39" spans="2:8" x14ac:dyDescent="0.2">
      <c r="B39" t="s">
        <v>807</v>
      </c>
      <c r="D39" t="s">
        <v>808</v>
      </c>
      <c r="H39" t="s">
        <v>811</v>
      </c>
    </row>
    <row r="40" spans="2:8" x14ac:dyDescent="0.2">
      <c r="B40" t="s">
        <v>809</v>
      </c>
      <c r="D40" t="s">
        <v>810</v>
      </c>
    </row>
    <row r="45" spans="2:8" x14ac:dyDescent="0.2">
      <c r="H45" t="s">
        <v>812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BA483-3B9C-A24B-B36B-45140F62E643}">
  <dimension ref="A1:AJ201"/>
  <sheetViews>
    <sheetView topLeftCell="C1" zoomScale="256" workbookViewId="0">
      <selection activeCell="H2" sqref="H2"/>
    </sheetView>
  </sheetViews>
  <sheetFormatPr baseColWidth="10" defaultRowHeight="16" x14ac:dyDescent="0.2"/>
  <cols>
    <col min="17" max="17" width="156.1640625" bestFit="1" customWidth="1"/>
  </cols>
  <sheetData>
    <row r="1" spans="1:36" x14ac:dyDescent="0.2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</row>
    <row r="2" spans="1:36" x14ac:dyDescent="0.2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b">
        <v>0</v>
      </c>
      <c r="G2" s="3" t="s">
        <v>41</v>
      </c>
      <c r="H2" s="3" t="s">
        <v>42</v>
      </c>
      <c r="I2" s="3" t="s">
        <v>43</v>
      </c>
      <c r="J2" s="3" t="b">
        <v>0</v>
      </c>
      <c r="K2" s="3" t="b">
        <v>1</v>
      </c>
      <c r="L2" s="3" t="s">
        <v>41</v>
      </c>
      <c r="M2" s="3" t="s">
        <v>44</v>
      </c>
      <c r="N2" s="3">
        <v>128050</v>
      </c>
      <c r="O2" s="4"/>
      <c r="P2" s="3" t="s">
        <v>45</v>
      </c>
      <c r="Q2" s="3" t="s">
        <v>46</v>
      </c>
      <c r="R2" t="str" cm="1">
        <f t="array" ref="R2:X2">_xlfn.TEXTSPLIT(SUBSTITUTE(SUBSTITUTE(Q2,"[",""),"]",""),",")</f>
        <v>'sql'</v>
      </c>
      <c r="S2" t="str">
        <v xml:space="preserve"> 'python'</v>
      </c>
      <c r="T2" t="str">
        <v xml:space="preserve"> 'aws'</v>
      </c>
      <c r="U2" t="str">
        <v xml:space="preserve"> 'pyspark'</v>
      </c>
      <c r="V2" t="str">
        <v xml:space="preserve"> 'tableau'</v>
      </c>
      <c r="W2" t="str">
        <v xml:space="preserve"> 'power bi'</v>
      </c>
      <c r="X2" t="str">
        <v xml:space="preserve"> 'git'</v>
      </c>
    </row>
    <row r="3" spans="1:36" x14ac:dyDescent="0.2">
      <c r="A3" s="3" t="s">
        <v>47</v>
      </c>
      <c r="B3" s="3" t="s">
        <v>48</v>
      </c>
      <c r="C3" s="3" t="s">
        <v>49</v>
      </c>
      <c r="D3" s="3" t="s">
        <v>50</v>
      </c>
      <c r="E3" s="3" t="s">
        <v>40</v>
      </c>
      <c r="F3" s="3" t="b">
        <v>0</v>
      </c>
      <c r="G3" s="3" t="s">
        <v>51</v>
      </c>
      <c r="H3" s="3" t="s">
        <v>52</v>
      </c>
      <c r="I3" s="3" t="s">
        <v>53</v>
      </c>
      <c r="J3" s="3" t="b">
        <v>1</v>
      </c>
      <c r="K3" s="3" t="b">
        <v>1</v>
      </c>
      <c r="L3" s="3" t="s">
        <v>54</v>
      </c>
      <c r="M3" s="3" t="s">
        <v>44</v>
      </c>
      <c r="N3" s="3">
        <v>140000</v>
      </c>
      <c r="O3" s="4"/>
      <c r="P3" s="3" t="s">
        <v>55</v>
      </c>
      <c r="Q3" s="3" t="s">
        <v>56</v>
      </c>
      <c r="R3" t="str" cm="1">
        <f t="array" ref="R3:X3">_xlfn.TEXTSPLIT(SUBSTITUTE(SUBSTITUTE(Q3,"[",""),"]",""),",")</f>
        <v>'sql'</v>
      </c>
      <c r="S3" t="str">
        <v xml:space="preserve"> 'nosql'</v>
      </c>
      <c r="T3" t="str">
        <v xml:space="preserve"> 'java'</v>
      </c>
      <c r="U3" t="str">
        <v xml:space="preserve"> 'python'</v>
      </c>
      <c r="V3" t="str">
        <v xml:space="preserve"> 'kafka'</v>
      </c>
      <c r="W3" t="str">
        <v xml:space="preserve"> 'spark'</v>
      </c>
      <c r="X3" t="str">
        <v xml:space="preserve"> 'hadoop'</v>
      </c>
    </row>
    <row r="4" spans="1:36" x14ac:dyDescent="0.2">
      <c r="A4" s="3" t="s">
        <v>57</v>
      </c>
      <c r="B4" s="3" t="s">
        <v>58</v>
      </c>
      <c r="C4" s="3" t="s">
        <v>59</v>
      </c>
      <c r="D4" s="3" t="s">
        <v>39</v>
      </c>
      <c r="E4" s="3" t="s">
        <v>40</v>
      </c>
      <c r="F4" s="3" t="b">
        <v>0</v>
      </c>
      <c r="G4" s="3" t="s">
        <v>60</v>
      </c>
      <c r="H4" s="3" t="s">
        <v>61</v>
      </c>
      <c r="I4" s="5">
        <v>45053.293749999997</v>
      </c>
      <c r="J4" s="3" t="b">
        <v>1</v>
      </c>
      <c r="K4" s="3" t="b">
        <v>0</v>
      </c>
      <c r="L4" s="3" t="s">
        <v>54</v>
      </c>
      <c r="M4" s="3" t="s">
        <v>44</v>
      </c>
      <c r="N4" s="3">
        <v>156000</v>
      </c>
      <c r="O4" s="4"/>
      <c r="P4" s="3" t="s">
        <v>62</v>
      </c>
      <c r="Q4" s="4"/>
      <c r="R4" t="e" cm="1">
        <f t="array" ref="R4">_xlfn.TEXTSPLIT(SUBSTITUTE(SUBSTITUTE(Q4,"[",""),"]",""),",")</f>
        <v>#VALUE!</v>
      </c>
    </row>
    <row r="5" spans="1:36" x14ac:dyDescent="0.2">
      <c r="A5" s="3" t="s">
        <v>63</v>
      </c>
      <c r="B5" s="3" t="s">
        <v>64</v>
      </c>
      <c r="C5" s="3" t="s">
        <v>65</v>
      </c>
      <c r="D5" s="3" t="s">
        <v>66</v>
      </c>
      <c r="E5" s="3" t="s">
        <v>40</v>
      </c>
      <c r="F5" s="3" t="b">
        <v>0</v>
      </c>
      <c r="G5" s="3" t="s">
        <v>67</v>
      </c>
      <c r="H5" s="3" t="s">
        <v>42</v>
      </c>
      <c r="I5" s="3" t="s">
        <v>68</v>
      </c>
      <c r="J5" s="3" t="b">
        <v>0</v>
      </c>
      <c r="K5" s="3" t="b">
        <v>1</v>
      </c>
      <c r="L5" s="3" t="s">
        <v>54</v>
      </c>
      <c r="M5" s="3" t="s">
        <v>44</v>
      </c>
      <c r="N5" s="3">
        <v>140000</v>
      </c>
      <c r="O5" s="4"/>
      <c r="P5" s="3" t="s">
        <v>69</v>
      </c>
      <c r="Q5" s="3" t="s">
        <v>70</v>
      </c>
      <c r="R5" t="str" cm="1">
        <f t="array" ref="R5:S5">_xlfn.TEXTSPLIT(SUBSTITUTE(SUBSTITUTE(Q5,"[",""),"]",""),",")</f>
        <v>'pytorch'</v>
      </c>
      <c r="S5" t="str">
        <v xml:space="preserve"> 'tensorflow'</v>
      </c>
    </row>
    <row r="6" spans="1:36" x14ac:dyDescent="0.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b">
        <v>0</v>
      </c>
      <c r="G6" s="3" t="s">
        <v>76</v>
      </c>
      <c r="H6" s="3" t="s">
        <v>77</v>
      </c>
      <c r="I6" s="3" t="s">
        <v>78</v>
      </c>
      <c r="J6" s="3" t="b">
        <v>0</v>
      </c>
      <c r="K6" s="3" t="b">
        <v>0</v>
      </c>
      <c r="L6" s="3" t="s">
        <v>54</v>
      </c>
      <c r="M6" s="3" t="s">
        <v>79</v>
      </c>
      <c r="N6" s="4"/>
      <c r="O6" s="3">
        <v>39.795001980000002</v>
      </c>
      <c r="P6" s="3" t="s">
        <v>80</v>
      </c>
      <c r="Q6" s="3" t="s">
        <v>81</v>
      </c>
      <c r="R6" t="str" cm="1">
        <f t="array" ref="R6:AJ6">_xlfn.TEXTSPLIT(SUBSTITUTE(SUBSTITUTE(Q6,"[",""),"]",""),",")</f>
        <v>'python'</v>
      </c>
      <c r="S6" t="str">
        <v xml:space="preserve"> 'r'</v>
      </c>
      <c r="T6" t="str">
        <v xml:space="preserve"> 'sql'</v>
      </c>
      <c r="U6" t="str">
        <v xml:space="preserve"> 'c'</v>
      </c>
      <c r="V6" t="str">
        <v xml:space="preserve"> 'aws'</v>
      </c>
      <c r="W6" t="str">
        <v xml:space="preserve"> 'gcp'</v>
      </c>
      <c r="X6" t="str">
        <v xml:space="preserve"> 'bigquery'</v>
      </c>
      <c r="Y6" t="str">
        <v xml:space="preserve"> 'hadoop'</v>
      </c>
      <c r="Z6" t="str">
        <v xml:space="preserve"> 'scikit-learn'</v>
      </c>
      <c r="AA6" t="str">
        <v xml:space="preserve"> 'tensorflow'</v>
      </c>
      <c r="AB6" t="str">
        <v xml:space="preserve"> 'keras'</v>
      </c>
      <c r="AC6" t="str">
        <v xml:space="preserve"> 'pytorch'</v>
      </c>
      <c r="AD6" t="str">
        <v xml:space="preserve"> 'mxnet'</v>
      </c>
      <c r="AE6" t="str">
        <v xml:space="preserve"> 'matplotlib'</v>
      </c>
      <c r="AF6" t="str">
        <v xml:space="preserve"> 'seaborn'</v>
      </c>
      <c r="AG6" t="str">
        <v xml:space="preserve"> 'ggplot2'</v>
      </c>
      <c r="AH6" t="str">
        <v xml:space="preserve"> 'spark'</v>
      </c>
      <c r="AI6" t="str">
        <v xml:space="preserve"> 'tableau'</v>
      </c>
      <c r="AJ6" t="str">
        <v xml:space="preserve"> 'git'</v>
      </c>
    </row>
    <row r="7" spans="1:36" x14ac:dyDescent="0.2">
      <c r="A7" s="3" t="s">
        <v>47</v>
      </c>
      <c r="B7" s="3" t="s">
        <v>47</v>
      </c>
      <c r="C7" s="3" t="s">
        <v>82</v>
      </c>
      <c r="D7" s="3" t="s">
        <v>74</v>
      </c>
      <c r="E7" s="3" t="s">
        <v>75</v>
      </c>
      <c r="F7" s="3" t="b">
        <v>0</v>
      </c>
      <c r="G7" s="3" t="s">
        <v>41</v>
      </c>
      <c r="H7" s="3" t="s">
        <v>77</v>
      </c>
      <c r="I7" s="5">
        <v>45209.263194444444</v>
      </c>
      <c r="J7" s="3" t="b">
        <v>0</v>
      </c>
      <c r="K7" s="3" t="b">
        <v>0</v>
      </c>
      <c r="L7" s="3" t="s">
        <v>41</v>
      </c>
      <c r="M7" s="3" t="s">
        <v>79</v>
      </c>
      <c r="N7" s="4"/>
      <c r="O7" s="3">
        <v>61.159996030000002</v>
      </c>
      <c r="P7" s="3" t="s">
        <v>83</v>
      </c>
      <c r="Q7" s="3" t="s">
        <v>84</v>
      </c>
      <c r="R7" t="str" cm="1">
        <f t="array" ref="R7:W7">_xlfn.TEXTSPLIT(SUBSTITUTE(SUBSTITUTE(Q7,"[",""),"]",""),",")</f>
        <v>'python'</v>
      </c>
      <c r="S7" t="str">
        <v xml:space="preserve"> 'java'</v>
      </c>
      <c r="T7" t="str">
        <v xml:space="preserve"> 'sql'</v>
      </c>
      <c r="U7" t="str">
        <v xml:space="preserve"> 'snowflake'</v>
      </c>
      <c r="V7" t="str">
        <v xml:space="preserve"> 'pyspark'</v>
      </c>
      <c r="W7" t="str">
        <v xml:space="preserve"> 'scikit-learn'</v>
      </c>
    </row>
    <row r="8" spans="1:36" x14ac:dyDescent="0.2">
      <c r="A8" s="3" t="s">
        <v>47</v>
      </c>
      <c r="B8" s="3" t="s">
        <v>85</v>
      </c>
      <c r="C8" s="3" t="s">
        <v>86</v>
      </c>
      <c r="D8" s="3" t="s">
        <v>50</v>
      </c>
      <c r="E8" s="3" t="s">
        <v>40</v>
      </c>
      <c r="F8" s="3" t="b">
        <v>1</v>
      </c>
      <c r="G8" s="3" t="s">
        <v>76</v>
      </c>
      <c r="H8" s="3" t="s">
        <v>77</v>
      </c>
      <c r="I8" s="3" t="s">
        <v>87</v>
      </c>
      <c r="J8" s="3" t="b">
        <v>0</v>
      </c>
      <c r="K8" s="3" t="b">
        <v>1</v>
      </c>
      <c r="L8" s="3" t="s">
        <v>54</v>
      </c>
      <c r="M8" s="3" t="s">
        <v>44</v>
      </c>
      <c r="N8" s="3">
        <v>135000</v>
      </c>
      <c r="O8" s="4"/>
      <c r="P8" s="3" t="s">
        <v>88</v>
      </c>
      <c r="Q8" s="3" t="s">
        <v>89</v>
      </c>
    </row>
    <row r="9" spans="1:36" x14ac:dyDescent="0.2">
      <c r="A9" s="3" t="s">
        <v>90</v>
      </c>
      <c r="B9" s="3" t="s">
        <v>91</v>
      </c>
      <c r="C9" s="3" t="s">
        <v>92</v>
      </c>
      <c r="D9" s="3" t="s">
        <v>39</v>
      </c>
      <c r="E9" s="3" t="s">
        <v>40</v>
      </c>
      <c r="F9" s="3" t="b">
        <v>0</v>
      </c>
      <c r="G9" s="3" t="s">
        <v>67</v>
      </c>
      <c r="H9" s="3" t="s">
        <v>93</v>
      </c>
      <c r="I9" s="5">
        <v>45147.938194444447</v>
      </c>
      <c r="J9" s="3" t="b">
        <v>0</v>
      </c>
      <c r="K9" s="3" t="b">
        <v>0</v>
      </c>
      <c r="L9" s="3" t="s">
        <v>54</v>
      </c>
      <c r="M9" s="3" t="s">
        <v>44</v>
      </c>
      <c r="N9" s="3">
        <v>120000</v>
      </c>
      <c r="O9" s="4"/>
      <c r="P9" s="3" t="s">
        <v>94</v>
      </c>
      <c r="Q9" s="3" t="s">
        <v>95</v>
      </c>
    </row>
    <row r="10" spans="1:36" x14ac:dyDescent="0.2">
      <c r="A10" s="3" t="s">
        <v>57</v>
      </c>
      <c r="B10" s="3" t="s">
        <v>96</v>
      </c>
      <c r="C10" s="3" t="s">
        <v>86</v>
      </c>
      <c r="D10" s="3" t="s">
        <v>39</v>
      </c>
      <c r="E10" s="3" t="s">
        <v>40</v>
      </c>
      <c r="F10" s="3" t="b">
        <v>1</v>
      </c>
      <c r="G10" s="3" t="s">
        <v>97</v>
      </c>
      <c r="H10" s="3" t="s">
        <v>93</v>
      </c>
      <c r="I10" s="5">
        <v>45116.334027777775</v>
      </c>
      <c r="J10" s="3" t="b">
        <v>1</v>
      </c>
      <c r="K10" s="3" t="b">
        <v>0</v>
      </c>
      <c r="L10" s="3" t="s">
        <v>54</v>
      </c>
      <c r="M10" s="3" t="s">
        <v>44</v>
      </c>
      <c r="N10" s="3">
        <v>170000</v>
      </c>
      <c r="O10" s="4"/>
      <c r="P10" s="3" t="s">
        <v>98</v>
      </c>
      <c r="Q10" s="3" t="s">
        <v>99</v>
      </c>
    </row>
    <row r="11" spans="1:36" x14ac:dyDescent="0.2">
      <c r="A11" s="3" t="s">
        <v>71</v>
      </c>
      <c r="B11" s="3" t="s">
        <v>100</v>
      </c>
      <c r="C11" s="3" t="s">
        <v>101</v>
      </c>
      <c r="D11" s="3" t="s">
        <v>102</v>
      </c>
      <c r="E11" s="3" t="s">
        <v>40</v>
      </c>
      <c r="F11" s="3" t="b">
        <v>0</v>
      </c>
      <c r="G11" s="3" t="s">
        <v>97</v>
      </c>
      <c r="H11" s="3" t="s">
        <v>103</v>
      </c>
      <c r="I11" s="5">
        <v>44958.625694444447</v>
      </c>
      <c r="J11" s="3" t="b">
        <v>0</v>
      </c>
      <c r="K11" s="3" t="b">
        <v>1</v>
      </c>
      <c r="L11" s="3" t="s">
        <v>54</v>
      </c>
      <c r="M11" s="3" t="s">
        <v>44</v>
      </c>
      <c r="N11" s="3">
        <v>224500</v>
      </c>
      <c r="O11" s="4"/>
      <c r="P11" s="3" t="s">
        <v>104</v>
      </c>
      <c r="Q11" s="3" t="s">
        <v>105</v>
      </c>
    </row>
    <row r="12" spans="1:36" x14ac:dyDescent="0.2">
      <c r="A12" s="3" t="s">
        <v>71</v>
      </c>
      <c r="B12" s="3" t="s">
        <v>106</v>
      </c>
      <c r="C12" s="3" t="s">
        <v>107</v>
      </c>
      <c r="D12" s="3" t="s">
        <v>74</v>
      </c>
      <c r="E12" s="3" t="s">
        <v>75</v>
      </c>
      <c r="F12" s="3" t="b">
        <v>0</v>
      </c>
      <c r="G12" s="3" t="s">
        <v>97</v>
      </c>
      <c r="H12" s="3" t="s">
        <v>77</v>
      </c>
      <c r="I12" s="5">
        <v>45179.767361111109</v>
      </c>
      <c r="J12" s="3" t="b">
        <v>0</v>
      </c>
      <c r="K12" s="3" t="b">
        <v>0</v>
      </c>
      <c r="L12" s="3" t="s">
        <v>54</v>
      </c>
      <c r="M12" s="3" t="s">
        <v>79</v>
      </c>
      <c r="N12" s="4"/>
      <c r="O12" s="3">
        <v>53.385002139999997</v>
      </c>
      <c r="P12" s="3" t="s">
        <v>108</v>
      </c>
      <c r="Q12" s="4"/>
    </row>
    <row r="13" spans="1:36" x14ac:dyDescent="0.2">
      <c r="A13" s="3" t="s">
        <v>71</v>
      </c>
      <c r="B13" s="3" t="s">
        <v>109</v>
      </c>
      <c r="C13" s="3" t="s">
        <v>110</v>
      </c>
      <c r="D13" s="3" t="s">
        <v>111</v>
      </c>
      <c r="E13" s="3" t="s">
        <v>40</v>
      </c>
      <c r="F13" s="3" t="b">
        <v>0</v>
      </c>
      <c r="G13" s="3" t="s">
        <v>97</v>
      </c>
      <c r="H13" s="3" t="s">
        <v>42</v>
      </c>
      <c r="I13" s="5">
        <v>45050.418749999997</v>
      </c>
      <c r="J13" s="3" t="b">
        <v>0</v>
      </c>
      <c r="K13" s="3" t="b">
        <v>1</v>
      </c>
      <c r="L13" s="3" t="s">
        <v>54</v>
      </c>
      <c r="M13" s="3" t="s">
        <v>44</v>
      </c>
      <c r="N13" s="3">
        <v>225000</v>
      </c>
      <c r="O13" s="4"/>
      <c r="P13" s="3" t="s">
        <v>112</v>
      </c>
      <c r="Q13" s="3" t="s">
        <v>113</v>
      </c>
    </row>
    <row r="14" spans="1:36" x14ac:dyDescent="0.2">
      <c r="A14" s="3" t="s">
        <v>47</v>
      </c>
      <c r="B14" s="3" t="s">
        <v>114</v>
      </c>
      <c r="C14" s="3" t="s">
        <v>115</v>
      </c>
      <c r="D14" s="3" t="s">
        <v>74</v>
      </c>
      <c r="E14" s="3" t="s">
        <v>75</v>
      </c>
      <c r="F14" s="3" t="b">
        <v>0</v>
      </c>
      <c r="G14" s="3" t="s">
        <v>97</v>
      </c>
      <c r="H14" s="3" t="s">
        <v>77</v>
      </c>
      <c r="I14" s="5">
        <v>45179.086805555555</v>
      </c>
      <c r="J14" s="3" t="b">
        <v>0</v>
      </c>
      <c r="K14" s="3" t="b">
        <v>0</v>
      </c>
      <c r="L14" s="3" t="s">
        <v>54</v>
      </c>
      <c r="M14" s="3" t="s">
        <v>79</v>
      </c>
      <c r="N14" s="4"/>
      <c r="O14" s="3">
        <v>64.440002440000001</v>
      </c>
      <c r="P14" s="3" t="s">
        <v>116</v>
      </c>
      <c r="Q14" s="3" t="s">
        <v>117</v>
      </c>
    </row>
    <row r="15" spans="1:36" x14ac:dyDescent="0.2">
      <c r="A15" s="3" t="s">
        <v>71</v>
      </c>
      <c r="B15" s="3" t="s">
        <v>118</v>
      </c>
      <c r="C15" s="3" t="s">
        <v>101</v>
      </c>
      <c r="D15" s="3" t="s">
        <v>102</v>
      </c>
      <c r="E15" s="3" t="s">
        <v>40</v>
      </c>
      <c r="F15" s="3" t="b">
        <v>0</v>
      </c>
      <c r="G15" s="3" t="s">
        <v>97</v>
      </c>
      <c r="H15" s="3" t="s">
        <v>103</v>
      </c>
      <c r="I15" s="5">
        <v>45261.169444444444</v>
      </c>
      <c r="J15" s="3" t="b">
        <v>0</v>
      </c>
      <c r="K15" s="3" t="b">
        <v>1</v>
      </c>
      <c r="L15" s="3" t="s">
        <v>54</v>
      </c>
      <c r="M15" s="3" t="s">
        <v>44</v>
      </c>
      <c r="N15" s="3">
        <v>157500</v>
      </c>
      <c r="O15" s="4"/>
      <c r="P15" s="3" t="s">
        <v>104</v>
      </c>
      <c r="Q15" s="3" t="s">
        <v>119</v>
      </c>
    </row>
    <row r="16" spans="1:36" x14ac:dyDescent="0.2">
      <c r="A16" s="3" t="s">
        <v>120</v>
      </c>
      <c r="B16" s="3" t="s">
        <v>121</v>
      </c>
      <c r="C16" s="3" t="s">
        <v>122</v>
      </c>
      <c r="D16" s="3" t="s">
        <v>50</v>
      </c>
      <c r="E16" s="3" t="s">
        <v>40</v>
      </c>
      <c r="F16" s="3" t="b">
        <v>0</v>
      </c>
      <c r="G16" s="3" t="s">
        <v>97</v>
      </c>
      <c r="H16" s="3" t="s">
        <v>77</v>
      </c>
      <c r="I16" s="5">
        <v>44995.375</v>
      </c>
      <c r="J16" s="3" t="b">
        <v>0</v>
      </c>
      <c r="K16" s="3" t="b">
        <v>1</v>
      </c>
      <c r="L16" s="3" t="s">
        <v>54</v>
      </c>
      <c r="M16" s="3" t="s">
        <v>44</v>
      </c>
      <c r="N16" s="3">
        <v>149508.5</v>
      </c>
      <c r="O16" s="4"/>
      <c r="P16" s="3" t="s">
        <v>104</v>
      </c>
      <c r="Q16" s="3" t="s">
        <v>123</v>
      </c>
    </row>
    <row r="17" spans="1:17" x14ac:dyDescent="0.2">
      <c r="A17" s="3" t="s">
        <v>71</v>
      </c>
      <c r="B17" s="3" t="s">
        <v>71</v>
      </c>
      <c r="C17" s="3" t="s">
        <v>86</v>
      </c>
      <c r="D17" s="3" t="s">
        <v>102</v>
      </c>
      <c r="E17" s="3" t="s">
        <v>124</v>
      </c>
      <c r="F17" s="3" t="b">
        <v>1</v>
      </c>
      <c r="G17" s="3" t="s">
        <v>125</v>
      </c>
      <c r="H17" s="3" t="s">
        <v>77</v>
      </c>
      <c r="I17" s="3" t="s">
        <v>126</v>
      </c>
      <c r="J17" s="3" t="b">
        <v>0</v>
      </c>
      <c r="K17" s="3" t="b">
        <v>0</v>
      </c>
      <c r="L17" s="3" t="s">
        <v>54</v>
      </c>
      <c r="M17" s="3" t="s">
        <v>79</v>
      </c>
      <c r="N17" s="4"/>
      <c r="O17" s="3">
        <v>55</v>
      </c>
      <c r="P17" s="3" t="s">
        <v>127</v>
      </c>
      <c r="Q17" s="4"/>
    </row>
    <row r="18" spans="1:17" x14ac:dyDescent="0.2">
      <c r="A18" s="3" t="s">
        <v>47</v>
      </c>
      <c r="B18" s="3" t="s">
        <v>128</v>
      </c>
      <c r="C18" s="3" t="s">
        <v>129</v>
      </c>
      <c r="D18" s="3" t="s">
        <v>102</v>
      </c>
      <c r="E18" s="3" t="s">
        <v>40</v>
      </c>
      <c r="F18" s="3" t="b">
        <v>0</v>
      </c>
      <c r="G18" s="3" t="s">
        <v>76</v>
      </c>
      <c r="H18" s="3" t="s">
        <v>130</v>
      </c>
      <c r="I18" s="3" t="s">
        <v>131</v>
      </c>
      <c r="J18" s="3" t="b">
        <v>0</v>
      </c>
      <c r="K18" s="3" t="b">
        <v>0</v>
      </c>
      <c r="L18" s="3" t="s">
        <v>54</v>
      </c>
      <c r="M18" s="3" t="s">
        <v>44</v>
      </c>
      <c r="N18" s="3">
        <v>112500</v>
      </c>
      <c r="O18" s="4"/>
      <c r="P18" s="3" t="s">
        <v>132</v>
      </c>
      <c r="Q18" s="3" t="s">
        <v>133</v>
      </c>
    </row>
    <row r="19" spans="1:17" x14ac:dyDescent="0.2">
      <c r="A19" s="3" t="s">
        <v>47</v>
      </c>
      <c r="B19" s="3" t="s">
        <v>47</v>
      </c>
      <c r="C19" s="3" t="s">
        <v>134</v>
      </c>
      <c r="D19" s="3" t="s">
        <v>135</v>
      </c>
      <c r="E19" s="3" t="s">
        <v>40</v>
      </c>
      <c r="F19" s="3" t="b">
        <v>0</v>
      </c>
      <c r="G19" s="3" t="s">
        <v>97</v>
      </c>
      <c r="H19" s="3" t="s">
        <v>136</v>
      </c>
      <c r="I19" s="5">
        <v>45205.37777777778</v>
      </c>
      <c r="J19" s="3" t="b">
        <v>0</v>
      </c>
      <c r="K19" s="3" t="b">
        <v>1</v>
      </c>
      <c r="L19" s="3" t="s">
        <v>54</v>
      </c>
      <c r="M19" s="3" t="s">
        <v>44</v>
      </c>
      <c r="N19" s="3">
        <v>115000</v>
      </c>
      <c r="O19" s="4"/>
      <c r="P19" s="3" t="s">
        <v>137</v>
      </c>
      <c r="Q19" s="3" t="s">
        <v>138</v>
      </c>
    </row>
    <row r="20" spans="1:17" x14ac:dyDescent="0.2">
      <c r="A20" s="3" t="s">
        <v>71</v>
      </c>
      <c r="B20" s="3" t="s">
        <v>71</v>
      </c>
      <c r="C20" s="3" t="s">
        <v>139</v>
      </c>
      <c r="D20" s="3" t="s">
        <v>140</v>
      </c>
      <c r="E20" s="3" t="s">
        <v>40</v>
      </c>
      <c r="F20" s="3" t="b">
        <v>0</v>
      </c>
      <c r="G20" s="3" t="s">
        <v>67</v>
      </c>
      <c r="H20" s="3" t="s">
        <v>141</v>
      </c>
      <c r="I20" s="3" t="s">
        <v>142</v>
      </c>
      <c r="J20" s="3" t="b">
        <v>0</v>
      </c>
      <c r="K20" s="3" t="b">
        <v>0</v>
      </c>
      <c r="L20" s="3" t="s">
        <v>54</v>
      </c>
      <c r="M20" s="3" t="s">
        <v>44</v>
      </c>
      <c r="N20" s="3">
        <v>98901.5</v>
      </c>
      <c r="O20" s="4"/>
      <c r="P20" s="3" t="s">
        <v>143</v>
      </c>
      <c r="Q20" s="3" t="s">
        <v>144</v>
      </c>
    </row>
    <row r="21" spans="1:17" x14ac:dyDescent="0.2">
      <c r="A21" s="3" t="s">
        <v>90</v>
      </c>
      <c r="B21" s="3" t="s">
        <v>145</v>
      </c>
      <c r="C21" s="3" t="s">
        <v>146</v>
      </c>
      <c r="D21" s="3" t="s">
        <v>147</v>
      </c>
      <c r="E21" s="3" t="s">
        <v>75</v>
      </c>
      <c r="F21" s="3" t="b">
        <v>0</v>
      </c>
      <c r="G21" s="3" t="s">
        <v>67</v>
      </c>
      <c r="H21" s="3" t="s">
        <v>130</v>
      </c>
      <c r="I21" s="3" t="s">
        <v>148</v>
      </c>
      <c r="J21" s="3" t="b">
        <v>0</v>
      </c>
      <c r="K21" s="3" t="b">
        <v>1</v>
      </c>
      <c r="L21" s="3" t="s">
        <v>54</v>
      </c>
      <c r="M21" s="3" t="s">
        <v>44</v>
      </c>
      <c r="N21" s="3">
        <v>173500</v>
      </c>
      <c r="O21" s="4"/>
      <c r="P21" s="3" t="s">
        <v>149</v>
      </c>
      <c r="Q21" s="3" t="s">
        <v>150</v>
      </c>
    </row>
    <row r="22" spans="1:17" x14ac:dyDescent="0.2">
      <c r="A22" s="3" t="s">
        <v>120</v>
      </c>
      <c r="B22" s="3" t="s">
        <v>120</v>
      </c>
      <c r="C22" s="3" t="s">
        <v>151</v>
      </c>
      <c r="D22" s="3" t="s">
        <v>152</v>
      </c>
      <c r="E22" s="3" t="s">
        <v>75</v>
      </c>
      <c r="F22" s="3" t="b">
        <v>0</v>
      </c>
      <c r="G22" s="3" t="s">
        <v>60</v>
      </c>
      <c r="H22" s="3" t="s">
        <v>130</v>
      </c>
      <c r="I22" s="3" t="s">
        <v>153</v>
      </c>
      <c r="J22" s="3" t="b">
        <v>0</v>
      </c>
      <c r="K22" s="3" t="b">
        <v>0</v>
      </c>
      <c r="L22" s="3" t="s">
        <v>54</v>
      </c>
      <c r="M22" s="3" t="s">
        <v>79</v>
      </c>
      <c r="N22" s="4"/>
      <c r="O22" s="3">
        <v>15</v>
      </c>
      <c r="P22" s="3" t="s">
        <v>154</v>
      </c>
      <c r="Q22" s="3" t="s">
        <v>155</v>
      </c>
    </row>
    <row r="23" spans="1:17" x14ac:dyDescent="0.2">
      <c r="A23" s="3" t="s">
        <v>71</v>
      </c>
      <c r="B23" s="3" t="s">
        <v>156</v>
      </c>
      <c r="C23" s="3" t="s">
        <v>157</v>
      </c>
      <c r="D23" s="3" t="s">
        <v>66</v>
      </c>
      <c r="E23" s="3" t="s">
        <v>40</v>
      </c>
      <c r="F23" s="3" t="b">
        <v>0</v>
      </c>
      <c r="G23" s="3" t="s">
        <v>158</v>
      </c>
      <c r="H23" s="3" t="s">
        <v>103</v>
      </c>
      <c r="I23" s="3" t="s">
        <v>159</v>
      </c>
      <c r="J23" s="3" t="b">
        <v>0</v>
      </c>
      <c r="K23" s="3" t="b">
        <v>0</v>
      </c>
      <c r="L23" s="3" t="s">
        <v>158</v>
      </c>
      <c r="M23" s="3" t="s">
        <v>44</v>
      </c>
      <c r="N23" s="3">
        <v>88128</v>
      </c>
      <c r="O23" s="4"/>
      <c r="P23" s="3" t="s">
        <v>160</v>
      </c>
      <c r="Q23" s="3" t="s">
        <v>161</v>
      </c>
    </row>
    <row r="24" spans="1:17" x14ac:dyDescent="0.2">
      <c r="A24" s="3" t="s">
        <v>36</v>
      </c>
      <c r="B24" s="3" t="s">
        <v>36</v>
      </c>
      <c r="C24" s="3" t="s">
        <v>162</v>
      </c>
      <c r="D24" s="3" t="s">
        <v>102</v>
      </c>
      <c r="E24" s="3" t="s">
        <v>40</v>
      </c>
      <c r="F24" s="3" t="b">
        <v>0</v>
      </c>
      <c r="G24" s="3" t="s">
        <v>125</v>
      </c>
      <c r="H24" s="3" t="s">
        <v>163</v>
      </c>
      <c r="I24" s="5">
        <v>44996.75277777778</v>
      </c>
      <c r="J24" s="3" t="b">
        <v>0</v>
      </c>
      <c r="K24" s="3" t="b">
        <v>1</v>
      </c>
      <c r="L24" s="3" t="s">
        <v>54</v>
      </c>
      <c r="M24" s="3" t="s">
        <v>44</v>
      </c>
      <c r="N24" s="3">
        <v>170000</v>
      </c>
      <c r="O24" s="4"/>
      <c r="P24" s="3" t="s">
        <v>164</v>
      </c>
      <c r="Q24" s="3" t="s">
        <v>165</v>
      </c>
    </row>
    <row r="25" spans="1:17" x14ac:dyDescent="0.2">
      <c r="A25" s="3" t="s">
        <v>47</v>
      </c>
      <c r="B25" s="3" t="s">
        <v>47</v>
      </c>
      <c r="C25" s="3" t="s">
        <v>86</v>
      </c>
      <c r="D25" s="3" t="s">
        <v>102</v>
      </c>
      <c r="E25" s="3" t="s">
        <v>124</v>
      </c>
      <c r="F25" s="3" t="b">
        <v>1</v>
      </c>
      <c r="G25" s="3" t="s">
        <v>97</v>
      </c>
      <c r="H25" s="3" t="s">
        <v>61</v>
      </c>
      <c r="I25" s="3" t="s">
        <v>166</v>
      </c>
      <c r="J25" s="3" t="b">
        <v>0</v>
      </c>
      <c r="K25" s="3" t="b">
        <v>0</v>
      </c>
      <c r="L25" s="3" t="s">
        <v>54</v>
      </c>
      <c r="M25" s="3" t="s">
        <v>79</v>
      </c>
      <c r="N25" s="4"/>
      <c r="O25" s="3">
        <v>42.5</v>
      </c>
      <c r="P25" s="3" t="s">
        <v>167</v>
      </c>
      <c r="Q25" s="3" t="s">
        <v>168</v>
      </c>
    </row>
    <row r="26" spans="1:17" x14ac:dyDescent="0.2">
      <c r="A26" s="3" t="s">
        <v>71</v>
      </c>
      <c r="B26" s="3" t="s">
        <v>169</v>
      </c>
      <c r="C26" s="4"/>
      <c r="D26" s="3" t="s">
        <v>102</v>
      </c>
      <c r="E26" s="3" t="s">
        <v>124</v>
      </c>
      <c r="F26" s="3" t="b">
        <v>0</v>
      </c>
      <c r="G26" s="3" t="s">
        <v>60</v>
      </c>
      <c r="H26" s="3" t="s">
        <v>61</v>
      </c>
      <c r="I26" s="3" t="s">
        <v>170</v>
      </c>
      <c r="J26" s="3" t="b">
        <v>0</v>
      </c>
      <c r="K26" s="3" t="b">
        <v>0</v>
      </c>
      <c r="L26" s="3" t="s">
        <v>54</v>
      </c>
      <c r="M26" s="3" t="s">
        <v>44</v>
      </c>
      <c r="N26" s="3">
        <v>125000</v>
      </c>
      <c r="O26" s="4"/>
      <c r="P26" s="3" t="s">
        <v>171</v>
      </c>
      <c r="Q26" s="3" t="s">
        <v>172</v>
      </c>
    </row>
    <row r="27" spans="1:17" x14ac:dyDescent="0.2">
      <c r="A27" s="3" t="s">
        <v>47</v>
      </c>
      <c r="B27" s="3" t="s">
        <v>173</v>
      </c>
      <c r="C27" s="3" t="s">
        <v>174</v>
      </c>
      <c r="D27" s="3" t="s">
        <v>74</v>
      </c>
      <c r="E27" s="3" t="s">
        <v>40</v>
      </c>
      <c r="F27" s="3" t="b">
        <v>0</v>
      </c>
      <c r="G27" s="3" t="s">
        <v>97</v>
      </c>
      <c r="H27" s="3" t="s">
        <v>141</v>
      </c>
      <c r="I27" s="5">
        <v>44965.755555555559</v>
      </c>
      <c r="J27" s="3" t="b">
        <v>0</v>
      </c>
      <c r="K27" s="3" t="b">
        <v>1</v>
      </c>
      <c r="L27" s="3" t="s">
        <v>54</v>
      </c>
      <c r="M27" s="3" t="s">
        <v>79</v>
      </c>
      <c r="N27" s="4"/>
      <c r="O27" s="3">
        <v>64.440002440000001</v>
      </c>
      <c r="P27" s="3" t="s">
        <v>175</v>
      </c>
      <c r="Q27" s="3" t="s">
        <v>176</v>
      </c>
    </row>
    <row r="28" spans="1:17" x14ac:dyDescent="0.2">
      <c r="A28" s="3" t="s">
        <v>90</v>
      </c>
      <c r="B28" s="3" t="s">
        <v>177</v>
      </c>
      <c r="C28" s="3" t="s">
        <v>174</v>
      </c>
      <c r="D28" s="3" t="s">
        <v>102</v>
      </c>
      <c r="E28" s="3" t="s">
        <v>40</v>
      </c>
      <c r="F28" s="3" t="b">
        <v>0</v>
      </c>
      <c r="G28" s="3" t="s">
        <v>41</v>
      </c>
      <c r="H28" s="3" t="s">
        <v>163</v>
      </c>
      <c r="I28" s="3" t="s">
        <v>178</v>
      </c>
      <c r="J28" s="3" t="b">
        <v>0</v>
      </c>
      <c r="K28" s="3" t="b">
        <v>1</v>
      </c>
      <c r="L28" s="3" t="s">
        <v>41</v>
      </c>
      <c r="M28" s="3" t="s">
        <v>44</v>
      </c>
      <c r="N28" s="3">
        <v>260775</v>
      </c>
      <c r="O28" s="4"/>
      <c r="P28" s="3" t="s">
        <v>104</v>
      </c>
      <c r="Q28" s="3" t="s">
        <v>179</v>
      </c>
    </row>
    <row r="29" spans="1:17" x14ac:dyDescent="0.2">
      <c r="A29" s="3" t="s">
        <v>90</v>
      </c>
      <c r="B29" s="3" t="s">
        <v>90</v>
      </c>
      <c r="C29" s="3" t="s">
        <v>180</v>
      </c>
      <c r="D29" s="3" t="s">
        <v>102</v>
      </c>
      <c r="E29" s="3" t="s">
        <v>124</v>
      </c>
      <c r="F29" s="3" t="b">
        <v>0</v>
      </c>
      <c r="G29" s="3" t="s">
        <v>125</v>
      </c>
      <c r="H29" s="3" t="s">
        <v>181</v>
      </c>
      <c r="I29" s="5">
        <v>44959.632638888892</v>
      </c>
      <c r="J29" s="3" t="b">
        <v>0</v>
      </c>
      <c r="K29" s="3" t="b">
        <v>0</v>
      </c>
      <c r="L29" s="3" t="s">
        <v>54</v>
      </c>
      <c r="M29" s="3" t="s">
        <v>79</v>
      </c>
      <c r="N29" s="4"/>
      <c r="O29" s="3">
        <v>69</v>
      </c>
      <c r="P29" s="3" t="s">
        <v>182</v>
      </c>
      <c r="Q29" s="3" t="s">
        <v>183</v>
      </c>
    </row>
    <row r="30" spans="1:17" x14ac:dyDescent="0.2">
      <c r="A30" s="3" t="s">
        <v>90</v>
      </c>
      <c r="B30" s="3" t="s">
        <v>90</v>
      </c>
      <c r="C30" s="3" t="s">
        <v>184</v>
      </c>
      <c r="D30" s="3" t="s">
        <v>135</v>
      </c>
      <c r="E30" s="3" t="s">
        <v>40</v>
      </c>
      <c r="F30" s="3" t="b">
        <v>0</v>
      </c>
      <c r="G30" s="3" t="s">
        <v>67</v>
      </c>
      <c r="H30" s="3" t="s">
        <v>61</v>
      </c>
      <c r="I30" s="5">
        <v>45023.255555555559</v>
      </c>
      <c r="J30" s="3" t="b">
        <v>0</v>
      </c>
      <c r="K30" s="3" t="b">
        <v>0</v>
      </c>
      <c r="L30" s="3" t="s">
        <v>54</v>
      </c>
      <c r="M30" s="3" t="s">
        <v>44</v>
      </c>
      <c r="N30" s="3">
        <v>125000</v>
      </c>
      <c r="O30" s="4"/>
      <c r="P30" s="3" t="s">
        <v>185</v>
      </c>
      <c r="Q30" s="3" t="s">
        <v>186</v>
      </c>
    </row>
    <row r="31" spans="1:17" x14ac:dyDescent="0.2">
      <c r="A31" s="3" t="s">
        <v>71</v>
      </c>
      <c r="B31" s="3" t="s">
        <v>187</v>
      </c>
      <c r="C31" s="3" t="s">
        <v>188</v>
      </c>
      <c r="D31" s="3" t="s">
        <v>189</v>
      </c>
      <c r="E31" s="3" t="s">
        <v>40</v>
      </c>
      <c r="F31" s="3" t="b">
        <v>0</v>
      </c>
      <c r="G31" s="3" t="s">
        <v>97</v>
      </c>
      <c r="H31" s="3" t="s">
        <v>103</v>
      </c>
      <c r="I31" s="3" t="s">
        <v>190</v>
      </c>
      <c r="J31" s="3" t="b">
        <v>0</v>
      </c>
      <c r="K31" s="3" t="b">
        <v>1</v>
      </c>
      <c r="L31" s="3" t="s">
        <v>54</v>
      </c>
      <c r="M31" s="3" t="s">
        <v>79</v>
      </c>
      <c r="N31" s="4"/>
      <c r="O31" s="3">
        <v>24</v>
      </c>
      <c r="P31" s="3" t="s">
        <v>191</v>
      </c>
      <c r="Q31" s="3" t="s">
        <v>192</v>
      </c>
    </row>
    <row r="32" spans="1:17" x14ac:dyDescent="0.2">
      <c r="A32" s="3" t="s">
        <v>120</v>
      </c>
      <c r="B32" s="3" t="s">
        <v>193</v>
      </c>
      <c r="C32" s="3" t="s">
        <v>73</v>
      </c>
      <c r="D32" s="3" t="s">
        <v>135</v>
      </c>
      <c r="E32" s="3" t="s">
        <v>40</v>
      </c>
      <c r="F32" s="3" t="b">
        <v>0</v>
      </c>
      <c r="G32" s="3" t="s">
        <v>76</v>
      </c>
      <c r="H32" s="3" t="s">
        <v>136</v>
      </c>
      <c r="I32" s="3" t="s">
        <v>194</v>
      </c>
      <c r="J32" s="3" t="b">
        <v>0</v>
      </c>
      <c r="K32" s="3" t="b">
        <v>0</v>
      </c>
      <c r="L32" s="3" t="s">
        <v>54</v>
      </c>
      <c r="M32" s="3" t="s">
        <v>44</v>
      </c>
      <c r="N32" s="3">
        <v>125000</v>
      </c>
      <c r="O32" s="4"/>
      <c r="P32" s="3" t="s">
        <v>195</v>
      </c>
      <c r="Q32" s="4"/>
    </row>
    <row r="33" spans="1:17" x14ac:dyDescent="0.2">
      <c r="A33" s="3" t="s">
        <v>71</v>
      </c>
      <c r="B33" s="3" t="s">
        <v>196</v>
      </c>
      <c r="C33" s="3" t="s">
        <v>86</v>
      </c>
      <c r="D33" s="3" t="s">
        <v>74</v>
      </c>
      <c r="E33" s="3" t="s">
        <v>197</v>
      </c>
      <c r="F33" s="3" t="b">
        <v>1</v>
      </c>
      <c r="G33" s="3" t="s">
        <v>97</v>
      </c>
      <c r="H33" s="3" t="s">
        <v>77</v>
      </c>
      <c r="I33" s="5">
        <v>45056.12777777778</v>
      </c>
      <c r="J33" s="3" t="b">
        <v>0</v>
      </c>
      <c r="K33" s="3" t="b">
        <v>1</v>
      </c>
      <c r="L33" s="3" t="s">
        <v>54</v>
      </c>
      <c r="M33" s="3" t="s">
        <v>79</v>
      </c>
      <c r="N33" s="4"/>
      <c r="O33" s="3">
        <v>25</v>
      </c>
      <c r="P33" s="3" t="s">
        <v>198</v>
      </c>
      <c r="Q33" s="3" t="s">
        <v>199</v>
      </c>
    </row>
    <row r="34" spans="1:17" x14ac:dyDescent="0.2">
      <c r="A34" s="3" t="s">
        <v>47</v>
      </c>
      <c r="B34" s="3" t="s">
        <v>47</v>
      </c>
      <c r="C34" s="4"/>
      <c r="D34" s="3" t="s">
        <v>102</v>
      </c>
      <c r="E34" s="3" t="s">
        <v>40</v>
      </c>
      <c r="F34" s="3" t="b">
        <v>0</v>
      </c>
      <c r="G34" s="3" t="s">
        <v>125</v>
      </c>
      <c r="H34" s="3" t="s">
        <v>52</v>
      </c>
      <c r="I34" s="5">
        <v>45110.898611111108</v>
      </c>
      <c r="J34" s="3" t="b">
        <v>0</v>
      </c>
      <c r="K34" s="3" t="b">
        <v>0</v>
      </c>
      <c r="L34" s="3" t="s">
        <v>54</v>
      </c>
      <c r="M34" s="3" t="s">
        <v>44</v>
      </c>
      <c r="N34" s="3">
        <v>97500</v>
      </c>
      <c r="O34" s="4"/>
      <c r="P34" s="3" t="s">
        <v>200</v>
      </c>
      <c r="Q34" s="3" t="s">
        <v>201</v>
      </c>
    </row>
    <row r="35" spans="1:17" x14ac:dyDescent="0.2">
      <c r="A35" s="3" t="s">
        <v>90</v>
      </c>
      <c r="B35" s="3" t="s">
        <v>202</v>
      </c>
      <c r="C35" s="3" t="s">
        <v>86</v>
      </c>
      <c r="D35" s="3" t="s">
        <v>203</v>
      </c>
      <c r="E35" s="3" t="s">
        <v>40</v>
      </c>
      <c r="F35" s="3" t="b">
        <v>1</v>
      </c>
      <c r="G35" s="3" t="s">
        <v>97</v>
      </c>
      <c r="H35" s="3" t="s">
        <v>136</v>
      </c>
      <c r="I35" s="3" t="s">
        <v>204</v>
      </c>
      <c r="J35" s="3" t="b">
        <v>0</v>
      </c>
      <c r="K35" s="3" t="b">
        <v>1</v>
      </c>
      <c r="L35" s="3" t="s">
        <v>54</v>
      </c>
      <c r="M35" s="3" t="s">
        <v>44</v>
      </c>
      <c r="N35" s="3">
        <v>147500</v>
      </c>
      <c r="O35" s="4"/>
      <c r="P35" s="3" t="s">
        <v>205</v>
      </c>
      <c r="Q35" s="3" t="s">
        <v>138</v>
      </c>
    </row>
    <row r="36" spans="1:17" x14ac:dyDescent="0.2">
      <c r="A36" s="3" t="s">
        <v>120</v>
      </c>
      <c r="B36" s="3" t="s">
        <v>120</v>
      </c>
      <c r="C36" s="3" t="s">
        <v>206</v>
      </c>
      <c r="D36" s="3" t="s">
        <v>50</v>
      </c>
      <c r="E36" s="3" t="s">
        <v>40</v>
      </c>
      <c r="F36" s="3" t="b">
        <v>0</v>
      </c>
      <c r="G36" s="3" t="s">
        <v>60</v>
      </c>
      <c r="H36" s="3" t="s">
        <v>181</v>
      </c>
      <c r="I36" s="5">
        <v>45079.374305555553</v>
      </c>
      <c r="J36" s="3" t="b">
        <v>0</v>
      </c>
      <c r="K36" s="3" t="b">
        <v>0</v>
      </c>
      <c r="L36" s="3" t="s">
        <v>54</v>
      </c>
      <c r="M36" s="3" t="s">
        <v>44</v>
      </c>
      <c r="N36" s="3">
        <v>84000</v>
      </c>
      <c r="O36" s="4"/>
      <c r="P36" s="3" t="s">
        <v>207</v>
      </c>
      <c r="Q36" s="3" t="s">
        <v>208</v>
      </c>
    </row>
    <row r="37" spans="1:17" x14ac:dyDescent="0.2">
      <c r="A37" s="3" t="s">
        <v>47</v>
      </c>
      <c r="B37" s="3" t="s">
        <v>209</v>
      </c>
      <c r="C37" s="3" t="s">
        <v>82</v>
      </c>
      <c r="D37" s="3" t="s">
        <v>74</v>
      </c>
      <c r="E37" s="3" t="s">
        <v>75</v>
      </c>
      <c r="F37" s="3" t="b">
        <v>0</v>
      </c>
      <c r="G37" s="3" t="s">
        <v>97</v>
      </c>
      <c r="H37" s="3" t="s">
        <v>163</v>
      </c>
      <c r="I37" s="5">
        <v>45057.794444444444</v>
      </c>
      <c r="J37" s="3" t="b">
        <v>0</v>
      </c>
      <c r="K37" s="3" t="b">
        <v>0</v>
      </c>
      <c r="L37" s="3" t="s">
        <v>54</v>
      </c>
      <c r="M37" s="3" t="s">
        <v>79</v>
      </c>
      <c r="N37" s="4"/>
      <c r="O37" s="3">
        <v>61.159996030000002</v>
      </c>
      <c r="P37" s="3" t="s">
        <v>83</v>
      </c>
      <c r="Q37" s="3" t="s">
        <v>210</v>
      </c>
    </row>
    <row r="38" spans="1:17" x14ac:dyDescent="0.2">
      <c r="A38" s="3" t="s">
        <v>71</v>
      </c>
      <c r="B38" s="3" t="s">
        <v>211</v>
      </c>
      <c r="C38" s="3" t="s">
        <v>212</v>
      </c>
      <c r="D38" s="3" t="s">
        <v>39</v>
      </c>
      <c r="E38" s="3" t="s">
        <v>40</v>
      </c>
      <c r="F38" s="3" t="b">
        <v>0</v>
      </c>
      <c r="G38" s="3" t="s">
        <v>97</v>
      </c>
      <c r="H38" s="3" t="s">
        <v>103</v>
      </c>
      <c r="I38" s="3" t="s">
        <v>213</v>
      </c>
      <c r="J38" s="3" t="b">
        <v>0</v>
      </c>
      <c r="K38" s="3" t="b">
        <v>1</v>
      </c>
      <c r="L38" s="3" t="s">
        <v>54</v>
      </c>
      <c r="M38" s="3" t="s">
        <v>44</v>
      </c>
      <c r="N38" s="3">
        <v>105800</v>
      </c>
      <c r="O38" s="4"/>
      <c r="P38" s="3" t="s">
        <v>45</v>
      </c>
      <c r="Q38" s="3" t="s">
        <v>214</v>
      </c>
    </row>
    <row r="39" spans="1:17" x14ac:dyDescent="0.2">
      <c r="A39" s="3" t="s">
        <v>47</v>
      </c>
      <c r="B39" s="3" t="s">
        <v>47</v>
      </c>
      <c r="C39" s="3" t="s">
        <v>215</v>
      </c>
      <c r="D39" s="3" t="s">
        <v>102</v>
      </c>
      <c r="E39" s="3" t="s">
        <v>124</v>
      </c>
      <c r="F39" s="3" t="b">
        <v>0</v>
      </c>
      <c r="G39" s="3" t="s">
        <v>60</v>
      </c>
      <c r="H39" s="3" t="s">
        <v>136</v>
      </c>
      <c r="I39" s="3" t="s">
        <v>216</v>
      </c>
      <c r="J39" s="3" t="b">
        <v>0</v>
      </c>
      <c r="K39" s="3" t="b">
        <v>0</v>
      </c>
      <c r="L39" s="3" t="s">
        <v>54</v>
      </c>
      <c r="M39" s="3" t="s">
        <v>79</v>
      </c>
      <c r="N39" s="4"/>
      <c r="O39" s="3">
        <v>55</v>
      </c>
      <c r="P39" s="3" t="s">
        <v>182</v>
      </c>
      <c r="Q39" s="3" t="s">
        <v>217</v>
      </c>
    </row>
    <row r="40" spans="1:17" x14ac:dyDescent="0.2">
      <c r="A40" s="3" t="s">
        <v>90</v>
      </c>
      <c r="B40" s="3" t="s">
        <v>218</v>
      </c>
      <c r="C40" s="3" t="s">
        <v>219</v>
      </c>
      <c r="D40" s="3" t="s">
        <v>220</v>
      </c>
      <c r="E40" s="3" t="s">
        <v>40</v>
      </c>
      <c r="F40" s="3" t="b">
        <v>0</v>
      </c>
      <c r="G40" s="3" t="s">
        <v>60</v>
      </c>
      <c r="H40" s="3" t="s">
        <v>181</v>
      </c>
      <c r="I40" s="3" t="s">
        <v>221</v>
      </c>
      <c r="J40" s="3" t="b">
        <v>1</v>
      </c>
      <c r="K40" s="3" t="b">
        <v>0</v>
      </c>
      <c r="L40" s="3" t="s">
        <v>54</v>
      </c>
      <c r="M40" s="3" t="s">
        <v>44</v>
      </c>
      <c r="N40" s="3">
        <v>160000</v>
      </c>
      <c r="O40" s="4"/>
      <c r="P40" s="3" t="s">
        <v>222</v>
      </c>
      <c r="Q40" s="3" t="s">
        <v>223</v>
      </c>
    </row>
    <row r="41" spans="1:17" x14ac:dyDescent="0.2">
      <c r="A41" s="3" t="s">
        <v>71</v>
      </c>
      <c r="B41" s="3" t="s">
        <v>71</v>
      </c>
      <c r="C41" s="3" t="s">
        <v>224</v>
      </c>
      <c r="D41" s="3" t="s">
        <v>39</v>
      </c>
      <c r="E41" s="3" t="s">
        <v>75</v>
      </c>
      <c r="F41" s="3" t="b">
        <v>0</v>
      </c>
      <c r="G41" s="3" t="s">
        <v>97</v>
      </c>
      <c r="H41" s="3" t="s">
        <v>77</v>
      </c>
      <c r="I41" s="5">
        <v>45209.293749999997</v>
      </c>
      <c r="J41" s="3" t="b">
        <v>0</v>
      </c>
      <c r="K41" s="3" t="b">
        <v>0</v>
      </c>
      <c r="L41" s="3" t="s">
        <v>54</v>
      </c>
      <c r="M41" s="3" t="s">
        <v>44</v>
      </c>
      <c r="N41" s="3">
        <v>98496</v>
      </c>
      <c r="O41" s="4"/>
      <c r="P41" s="3" t="s">
        <v>225</v>
      </c>
      <c r="Q41" s="4"/>
    </row>
    <row r="42" spans="1:17" x14ac:dyDescent="0.2">
      <c r="A42" s="3" t="s">
        <v>47</v>
      </c>
      <c r="B42" s="3" t="s">
        <v>47</v>
      </c>
      <c r="C42" s="3" t="s">
        <v>226</v>
      </c>
      <c r="D42" s="3" t="s">
        <v>135</v>
      </c>
      <c r="E42" s="3" t="s">
        <v>40</v>
      </c>
      <c r="F42" s="3" t="b">
        <v>0</v>
      </c>
      <c r="G42" s="3" t="s">
        <v>60</v>
      </c>
      <c r="H42" s="3" t="s">
        <v>136</v>
      </c>
      <c r="I42" s="3" t="s">
        <v>227</v>
      </c>
      <c r="J42" s="3" t="b">
        <v>0</v>
      </c>
      <c r="K42" s="3" t="b">
        <v>1</v>
      </c>
      <c r="L42" s="3" t="s">
        <v>54</v>
      </c>
      <c r="M42" s="3" t="s">
        <v>44</v>
      </c>
      <c r="N42" s="3">
        <v>115000</v>
      </c>
      <c r="O42" s="4"/>
      <c r="P42" s="3" t="s">
        <v>228</v>
      </c>
      <c r="Q42" s="3" t="s">
        <v>229</v>
      </c>
    </row>
    <row r="43" spans="1:17" x14ac:dyDescent="0.2">
      <c r="A43" s="3" t="s">
        <v>47</v>
      </c>
      <c r="B43" s="3" t="s">
        <v>230</v>
      </c>
      <c r="C43" s="3" t="s">
        <v>174</v>
      </c>
      <c r="D43" s="3" t="s">
        <v>102</v>
      </c>
      <c r="E43" s="3" t="s">
        <v>40</v>
      </c>
      <c r="F43" s="3" t="b">
        <v>0</v>
      </c>
      <c r="G43" s="3" t="s">
        <v>51</v>
      </c>
      <c r="H43" s="3" t="s">
        <v>163</v>
      </c>
      <c r="I43" s="3" t="s">
        <v>231</v>
      </c>
      <c r="J43" s="3" t="b">
        <v>0</v>
      </c>
      <c r="K43" s="3" t="b">
        <v>1</v>
      </c>
      <c r="L43" s="3" t="s">
        <v>54</v>
      </c>
      <c r="M43" s="3" t="s">
        <v>44</v>
      </c>
      <c r="N43" s="3">
        <v>182500</v>
      </c>
      <c r="O43" s="4"/>
      <c r="P43" s="3" t="s">
        <v>104</v>
      </c>
      <c r="Q43" s="3" t="s">
        <v>232</v>
      </c>
    </row>
    <row r="44" spans="1:17" x14ac:dyDescent="0.2">
      <c r="A44" s="3" t="s">
        <v>47</v>
      </c>
      <c r="B44" s="3" t="s">
        <v>233</v>
      </c>
      <c r="C44" s="3" t="s">
        <v>234</v>
      </c>
      <c r="D44" s="3" t="s">
        <v>74</v>
      </c>
      <c r="E44" s="3" t="s">
        <v>40</v>
      </c>
      <c r="F44" s="3" t="b">
        <v>0</v>
      </c>
      <c r="G44" s="3" t="s">
        <v>76</v>
      </c>
      <c r="H44" s="3" t="s">
        <v>93</v>
      </c>
      <c r="I44" s="5">
        <v>45025.254166666666</v>
      </c>
      <c r="J44" s="3" t="b">
        <v>0</v>
      </c>
      <c r="K44" s="3" t="b">
        <v>1</v>
      </c>
      <c r="L44" s="3" t="s">
        <v>54</v>
      </c>
      <c r="M44" s="3" t="s">
        <v>79</v>
      </c>
      <c r="N44" s="4"/>
      <c r="O44" s="3">
        <v>37.15499878</v>
      </c>
      <c r="P44" s="3" t="s">
        <v>235</v>
      </c>
      <c r="Q44" s="3" t="s">
        <v>236</v>
      </c>
    </row>
    <row r="45" spans="1:17" x14ac:dyDescent="0.2">
      <c r="A45" s="3" t="s">
        <v>90</v>
      </c>
      <c r="B45" s="3" t="s">
        <v>90</v>
      </c>
      <c r="C45" s="3" t="s">
        <v>86</v>
      </c>
      <c r="D45" s="3" t="s">
        <v>102</v>
      </c>
      <c r="E45" s="3" t="s">
        <v>40</v>
      </c>
      <c r="F45" s="3" t="b">
        <v>1</v>
      </c>
      <c r="G45" s="3" t="s">
        <v>60</v>
      </c>
      <c r="H45" s="3" t="s">
        <v>93</v>
      </c>
      <c r="I45" s="5">
        <v>45086.543055555558</v>
      </c>
      <c r="J45" s="3" t="b">
        <v>0</v>
      </c>
      <c r="K45" s="3" t="b">
        <v>0</v>
      </c>
      <c r="L45" s="3" t="s">
        <v>54</v>
      </c>
      <c r="M45" s="3" t="s">
        <v>44</v>
      </c>
      <c r="N45" s="3">
        <v>200000</v>
      </c>
      <c r="O45" s="4"/>
      <c r="P45" s="3" t="s">
        <v>237</v>
      </c>
      <c r="Q45" s="3" t="s">
        <v>238</v>
      </c>
    </row>
    <row r="46" spans="1:17" x14ac:dyDescent="0.2">
      <c r="A46" s="3" t="s">
        <v>239</v>
      </c>
      <c r="B46" s="3" t="s">
        <v>240</v>
      </c>
      <c r="C46" s="3" t="s">
        <v>86</v>
      </c>
      <c r="D46" s="3" t="s">
        <v>102</v>
      </c>
      <c r="E46" s="3" t="s">
        <v>40</v>
      </c>
      <c r="F46" s="3" t="b">
        <v>1</v>
      </c>
      <c r="G46" s="3" t="s">
        <v>241</v>
      </c>
      <c r="H46" s="3" t="s">
        <v>77</v>
      </c>
      <c r="I46" s="5">
        <v>45056.720138888886</v>
      </c>
      <c r="J46" s="3" t="b">
        <v>0</v>
      </c>
      <c r="K46" s="3" t="b">
        <v>0</v>
      </c>
      <c r="L46" s="3" t="s">
        <v>241</v>
      </c>
      <c r="M46" s="3" t="s">
        <v>44</v>
      </c>
      <c r="N46" s="3">
        <v>155000</v>
      </c>
      <c r="O46" s="4"/>
      <c r="P46" s="3" t="s">
        <v>242</v>
      </c>
      <c r="Q46" s="3" t="s">
        <v>243</v>
      </c>
    </row>
    <row r="47" spans="1:17" x14ac:dyDescent="0.2">
      <c r="A47" s="3" t="s">
        <v>47</v>
      </c>
      <c r="B47" s="3" t="s">
        <v>47</v>
      </c>
      <c r="C47" s="3" t="s">
        <v>244</v>
      </c>
      <c r="D47" s="3" t="s">
        <v>245</v>
      </c>
      <c r="E47" s="3" t="s">
        <v>40</v>
      </c>
      <c r="F47" s="3" t="b">
        <v>0</v>
      </c>
      <c r="G47" s="3" t="s">
        <v>76</v>
      </c>
      <c r="H47" s="3" t="s">
        <v>141</v>
      </c>
      <c r="I47" s="5">
        <v>45146.422222222223</v>
      </c>
      <c r="J47" s="3" t="b">
        <v>0</v>
      </c>
      <c r="K47" s="3" t="b">
        <v>1</v>
      </c>
      <c r="L47" s="3" t="s">
        <v>54</v>
      </c>
      <c r="M47" s="3" t="s">
        <v>44</v>
      </c>
      <c r="N47" s="3">
        <v>102500</v>
      </c>
      <c r="O47" s="4"/>
      <c r="P47" s="3" t="s">
        <v>246</v>
      </c>
      <c r="Q47" s="3" t="s">
        <v>247</v>
      </c>
    </row>
    <row r="48" spans="1:17" x14ac:dyDescent="0.2">
      <c r="A48" s="3" t="s">
        <v>47</v>
      </c>
      <c r="B48" s="3" t="s">
        <v>248</v>
      </c>
      <c r="C48" s="3" t="s">
        <v>65</v>
      </c>
      <c r="D48" s="3" t="s">
        <v>74</v>
      </c>
      <c r="E48" s="3" t="s">
        <v>40</v>
      </c>
      <c r="F48" s="3" t="b">
        <v>0</v>
      </c>
      <c r="G48" s="3" t="s">
        <v>60</v>
      </c>
      <c r="H48" s="3" t="s">
        <v>93</v>
      </c>
      <c r="I48" s="5">
        <v>44966.254861111112</v>
      </c>
      <c r="J48" s="3" t="b">
        <v>0</v>
      </c>
      <c r="K48" s="3" t="b">
        <v>1</v>
      </c>
      <c r="L48" s="3" t="s">
        <v>54</v>
      </c>
      <c r="M48" s="3" t="s">
        <v>79</v>
      </c>
      <c r="N48" s="4"/>
      <c r="O48" s="3">
        <v>38.215000150000002</v>
      </c>
      <c r="P48" s="3" t="s">
        <v>235</v>
      </c>
      <c r="Q48" s="3" t="s">
        <v>236</v>
      </c>
    </row>
    <row r="49" spans="1:17" x14ac:dyDescent="0.2">
      <c r="A49" s="3" t="s">
        <v>71</v>
      </c>
      <c r="B49" s="3" t="s">
        <v>249</v>
      </c>
      <c r="C49" s="3" t="s">
        <v>73</v>
      </c>
      <c r="D49" s="3" t="s">
        <v>102</v>
      </c>
      <c r="E49" s="3" t="s">
        <v>40</v>
      </c>
      <c r="F49" s="3" t="b">
        <v>0</v>
      </c>
      <c r="G49" s="3" t="s">
        <v>76</v>
      </c>
      <c r="H49" s="3" t="s">
        <v>103</v>
      </c>
      <c r="I49" s="3" t="s">
        <v>250</v>
      </c>
      <c r="J49" s="3" t="b">
        <v>0</v>
      </c>
      <c r="K49" s="3" t="b">
        <v>1</v>
      </c>
      <c r="L49" s="3" t="s">
        <v>54</v>
      </c>
      <c r="M49" s="3" t="s">
        <v>44</v>
      </c>
      <c r="N49" s="3">
        <v>115000</v>
      </c>
      <c r="O49" s="4"/>
      <c r="P49" s="3" t="s">
        <v>251</v>
      </c>
      <c r="Q49" s="3" t="s">
        <v>252</v>
      </c>
    </row>
    <row r="50" spans="1:17" x14ac:dyDescent="0.2">
      <c r="A50" s="3" t="s">
        <v>71</v>
      </c>
      <c r="B50" s="3" t="s">
        <v>253</v>
      </c>
      <c r="C50" s="3" t="s">
        <v>254</v>
      </c>
      <c r="D50" s="3" t="s">
        <v>220</v>
      </c>
      <c r="E50" s="3" t="s">
        <v>40</v>
      </c>
      <c r="F50" s="3" t="b">
        <v>0</v>
      </c>
      <c r="G50" s="3" t="s">
        <v>67</v>
      </c>
      <c r="H50" s="3" t="s">
        <v>93</v>
      </c>
      <c r="I50" s="3" t="s">
        <v>255</v>
      </c>
      <c r="J50" s="3" t="b">
        <v>0</v>
      </c>
      <c r="K50" s="3" t="b">
        <v>0</v>
      </c>
      <c r="L50" s="3" t="s">
        <v>54</v>
      </c>
      <c r="M50" s="3" t="s">
        <v>44</v>
      </c>
      <c r="N50" s="3">
        <v>80000</v>
      </c>
      <c r="O50" s="4"/>
      <c r="P50" s="3" t="s">
        <v>256</v>
      </c>
      <c r="Q50" s="4"/>
    </row>
    <row r="51" spans="1:17" x14ac:dyDescent="0.2">
      <c r="A51" s="3" t="s">
        <v>47</v>
      </c>
      <c r="B51" s="3" t="s">
        <v>47</v>
      </c>
      <c r="C51" s="3" t="s">
        <v>257</v>
      </c>
      <c r="D51" s="3" t="s">
        <v>102</v>
      </c>
      <c r="E51" s="3" t="s">
        <v>124</v>
      </c>
      <c r="F51" s="3" t="b">
        <v>0</v>
      </c>
      <c r="G51" s="3" t="s">
        <v>76</v>
      </c>
      <c r="H51" s="3" t="s">
        <v>258</v>
      </c>
      <c r="I51" s="5">
        <v>44962.84097222222</v>
      </c>
      <c r="J51" s="3" t="b">
        <v>0</v>
      </c>
      <c r="K51" s="3" t="b">
        <v>1</v>
      </c>
      <c r="L51" s="3" t="s">
        <v>54</v>
      </c>
      <c r="M51" s="3" t="s">
        <v>79</v>
      </c>
      <c r="N51" s="4"/>
      <c r="O51" s="3">
        <v>42.5</v>
      </c>
      <c r="P51" s="3" t="s">
        <v>259</v>
      </c>
      <c r="Q51" s="3" t="s">
        <v>260</v>
      </c>
    </row>
    <row r="52" spans="1:17" x14ac:dyDescent="0.2">
      <c r="A52" s="3" t="s">
        <v>57</v>
      </c>
      <c r="B52" s="3" t="s">
        <v>261</v>
      </c>
      <c r="C52" s="3" t="s">
        <v>262</v>
      </c>
      <c r="D52" s="3" t="s">
        <v>39</v>
      </c>
      <c r="E52" s="3" t="s">
        <v>40</v>
      </c>
      <c r="F52" s="3" t="b">
        <v>0</v>
      </c>
      <c r="G52" s="3" t="s">
        <v>60</v>
      </c>
      <c r="H52" s="3" t="s">
        <v>103</v>
      </c>
      <c r="I52" s="5">
        <v>45017.416666666664</v>
      </c>
      <c r="J52" s="3" t="b">
        <v>0</v>
      </c>
      <c r="K52" s="3" t="b">
        <v>1</v>
      </c>
      <c r="L52" s="3" t="s">
        <v>54</v>
      </c>
      <c r="M52" s="3" t="s">
        <v>44</v>
      </c>
      <c r="N52" s="3">
        <v>96500</v>
      </c>
      <c r="O52" s="4"/>
      <c r="P52" s="3" t="s">
        <v>45</v>
      </c>
      <c r="Q52" s="3" t="s">
        <v>263</v>
      </c>
    </row>
    <row r="53" spans="1:17" x14ac:dyDescent="0.2">
      <c r="A53" s="3" t="s">
        <v>47</v>
      </c>
      <c r="B53" s="3" t="s">
        <v>264</v>
      </c>
      <c r="C53" s="4"/>
      <c r="D53" s="3" t="s">
        <v>102</v>
      </c>
      <c r="E53" s="3" t="s">
        <v>40</v>
      </c>
      <c r="F53" s="3" t="b">
        <v>0</v>
      </c>
      <c r="G53" s="3" t="s">
        <v>76</v>
      </c>
      <c r="H53" s="3" t="s">
        <v>77</v>
      </c>
      <c r="I53" s="3" t="s">
        <v>265</v>
      </c>
      <c r="J53" s="3" t="b">
        <v>1</v>
      </c>
      <c r="K53" s="3" t="b">
        <v>0</v>
      </c>
      <c r="L53" s="3" t="s">
        <v>54</v>
      </c>
      <c r="M53" s="3" t="s">
        <v>44</v>
      </c>
      <c r="N53" s="3">
        <v>225000</v>
      </c>
      <c r="O53" s="4"/>
      <c r="P53" s="3" t="s">
        <v>266</v>
      </c>
      <c r="Q53" s="3" t="s">
        <v>267</v>
      </c>
    </row>
    <row r="54" spans="1:17" x14ac:dyDescent="0.2">
      <c r="A54" s="3" t="s">
        <v>120</v>
      </c>
      <c r="B54" s="3" t="s">
        <v>268</v>
      </c>
      <c r="C54" s="3" t="s">
        <v>86</v>
      </c>
      <c r="D54" s="3" t="s">
        <v>39</v>
      </c>
      <c r="E54" s="3" t="s">
        <v>40</v>
      </c>
      <c r="F54" s="3" t="b">
        <v>1</v>
      </c>
      <c r="G54" s="3" t="s">
        <v>51</v>
      </c>
      <c r="H54" s="3" t="s">
        <v>258</v>
      </c>
      <c r="I54" s="5">
        <v>45143.902083333334</v>
      </c>
      <c r="J54" s="3" t="b">
        <v>0</v>
      </c>
      <c r="K54" s="3" t="b">
        <v>1</v>
      </c>
      <c r="L54" s="3" t="s">
        <v>54</v>
      </c>
      <c r="M54" s="3" t="s">
        <v>79</v>
      </c>
      <c r="N54" s="4"/>
      <c r="O54" s="3">
        <v>48.209999080000003</v>
      </c>
      <c r="P54" s="3" t="s">
        <v>269</v>
      </c>
      <c r="Q54" s="3" t="s">
        <v>270</v>
      </c>
    </row>
    <row r="55" spans="1:17" x14ac:dyDescent="0.2">
      <c r="A55" s="3" t="s">
        <v>71</v>
      </c>
      <c r="B55" s="3" t="s">
        <v>271</v>
      </c>
      <c r="C55" s="3" t="s">
        <v>254</v>
      </c>
      <c r="D55" s="3" t="s">
        <v>102</v>
      </c>
      <c r="E55" s="3" t="s">
        <v>40</v>
      </c>
      <c r="F55" s="3" t="b">
        <v>0</v>
      </c>
      <c r="G55" s="3" t="s">
        <v>51</v>
      </c>
      <c r="H55" s="3" t="s">
        <v>52</v>
      </c>
      <c r="I55" s="3" t="s">
        <v>272</v>
      </c>
      <c r="J55" s="3" t="b">
        <v>0</v>
      </c>
      <c r="K55" s="3" t="b">
        <v>0</v>
      </c>
      <c r="L55" s="3" t="s">
        <v>54</v>
      </c>
      <c r="M55" s="3" t="s">
        <v>44</v>
      </c>
      <c r="N55" s="3">
        <v>57500</v>
      </c>
      <c r="O55" s="4"/>
      <c r="P55" s="3" t="s">
        <v>273</v>
      </c>
      <c r="Q55" s="3" t="s">
        <v>274</v>
      </c>
    </row>
    <row r="56" spans="1:17" x14ac:dyDescent="0.2">
      <c r="A56" s="3" t="s">
        <v>120</v>
      </c>
      <c r="B56" s="3" t="s">
        <v>275</v>
      </c>
      <c r="C56" s="3" t="s">
        <v>276</v>
      </c>
      <c r="D56" s="3" t="s">
        <v>277</v>
      </c>
      <c r="E56" s="3" t="s">
        <v>278</v>
      </c>
      <c r="F56" s="3" t="b">
        <v>0</v>
      </c>
      <c r="G56" s="3" t="s">
        <v>279</v>
      </c>
      <c r="H56" s="3" t="s">
        <v>93</v>
      </c>
      <c r="I56" s="5">
        <v>45025.427777777775</v>
      </c>
      <c r="J56" s="3" t="b">
        <v>0</v>
      </c>
      <c r="K56" s="3" t="b">
        <v>0</v>
      </c>
      <c r="L56" s="3" t="s">
        <v>279</v>
      </c>
      <c r="M56" s="3" t="s">
        <v>79</v>
      </c>
      <c r="N56" s="4"/>
      <c r="O56" s="3">
        <v>20</v>
      </c>
      <c r="P56" s="3" t="s">
        <v>280</v>
      </c>
      <c r="Q56" s="3" t="s">
        <v>281</v>
      </c>
    </row>
    <row r="57" spans="1:17" x14ac:dyDescent="0.2">
      <c r="A57" s="3" t="s">
        <v>36</v>
      </c>
      <c r="B57" s="3" t="s">
        <v>282</v>
      </c>
      <c r="C57" s="3" t="s">
        <v>82</v>
      </c>
      <c r="D57" s="3" t="s">
        <v>74</v>
      </c>
      <c r="E57" s="3" t="s">
        <v>75</v>
      </c>
      <c r="F57" s="3" t="b">
        <v>0</v>
      </c>
      <c r="G57" s="3" t="s">
        <v>51</v>
      </c>
      <c r="H57" s="3" t="s">
        <v>163</v>
      </c>
      <c r="I57" s="5">
        <v>44968.779166666667</v>
      </c>
      <c r="J57" s="3" t="b">
        <v>0</v>
      </c>
      <c r="K57" s="3" t="b">
        <v>0</v>
      </c>
      <c r="L57" s="3" t="s">
        <v>54</v>
      </c>
      <c r="M57" s="3" t="s">
        <v>79</v>
      </c>
      <c r="N57" s="4"/>
      <c r="O57" s="3">
        <v>47.620002749999998</v>
      </c>
      <c r="P57" s="3" t="s">
        <v>83</v>
      </c>
      <c r="Q57" s="3" t="s">
        <v>283</v>
      </c>
    </row>
    <row r="58" spans="1:17" x14ac:dyDescent="0.2">
      <c r="A58" s="3" t="s">
        <v>47</v>
      </c>
      <c r="B58" s="3" t="s">
        <v>284</v>
      </c>
      <c r="C58" s="3" t="s">
        <v>285</v>
      </c>
      <c r="D58" s="3" t="s">
        <v>74</v>
      </c>
      <c r="E58" s="3" t="s">
        <v>75</v>
      </c>
      <c r="F58" s="3" t="b">
        <v>0</v>
      </c>
      <c r="G58" s="3" t="s">
        <v>76</v>
      </c>
      <c r="H58" s="3" t="s">
        <v>77</v>
      </c>
      <c r="I58" s="5">
        <v>45240.754861111112</v>
      </c>
      <c r="J58" s="3" t="b">
        <v>0</v>
      </c>
      <c r="K58" s="3" t="b">
        <v>0</v>
      </c>
      <c r="L58" s="3" t="s">
        <v>54</v>
      </c>
      <c r="M58" s="3" t="s">
        <v>79</v>
      </c>
      <c r="N58" s="4"/>
      <c r="O58" s="3">
        <v>54.420001980000002</v>
      </c>
      <c r="P58" s="3" t="s">
        <v>286</v>
      </c>
      <c r="Q58" s="3" t="s">
        <v>287</v>
      </c>
    </row>
    <row r="59" spans="1:17" x14ac:dyDescent="0.2">
      <c r="A59" s="3" t="s">
        <v>90</v>
      </c>
      <c r="B59" s="3" t="s">
        <v>90</v>
      </c>
      <c r="C59" s="3" t="s">
        <v>54</v>
      </c>
      <c r="D59" s="3" t="s">
        <v>102</v>
      </c>
      <c r="E59" s="3" t="s">
        <v>40</v>
      </c>
      <c r="F59" s="3" t="b">
        <v>0</v>
      </c>
      <c r="G59" s="3" t="s">
        <v>60</v>
      </c>
      <c r="H59" s="3" t="s">
        <v>77</v>
      </c>
      <c r="I59" s="5">
        <v>45270.559027777781</v>
      </c>
      <c r="J59" s="3" t="b">
        <v>1</v>
      </c>
      <c r="K59" s="3" t="b">
        <v>0</v>
      </c>
      <c r="L59" s="3" t="s">
        <v>54</v>
      </c>
      <c r="M59" s="3" t="s">
        <v>44</v>
      </c>
      <c r="N59" s="3">
        <v>160000</v>
      </c>
      <c r="O59" s="4"/>
      <c r="P59" s="3" t="s">
        <v>171</v>
      </c>
      <c r="Q59" s="3" t="s">
        <v>288</v>
      </c>
    </row>
    <row r="60" spans="1:17" x14ac:dyDescent="0.2">
      <c r="A60" s="3" t="s">
        <v>90</v>
      </c>
      <c r="B60" s="3" t="s">
        <v>90</v>
      </c>
      <c r="C60" s="3" t="s">
        <v>162</v>
      </c>
      <c r="D60" s="3" t="s">
        <v>102</v>
      </c>
      <c r="E60" s="3" t="s">
        <v>124</v>
      </c>
      <c r="F60" s="3" t="b">
        <v>0</v>
      </c>
      <c r="G60" s="3" t="s">
        <v>41</v>
      </c>
      <c r="H60" s="3" t="s">
        <v>61</v>
      </c>
      <c r="I60" s="3" t="s">
        <v>289</v>
      </c>
      <c r="J60" s="3" t="b">
        <v>0</v>
      </c>
      <c r="K60" s="3" t="b">
        <v>1</v>
      </c>
      <c r="L60" s="3" t="s">
        <v>41</v>
      </c>
      <c r="M60" s="3" t="s">
        <v>44</v>
      </c>
      <c r="N60" s="3">
        <v>92000</v>
      </c>
      <c r="O60" s="4"/>
      <c r="P60" s="3" t="s">
        <v>290</v>
      </c>
      <c r="Q60" s="3" t="s">
        <v>291</v>
      </c>
    </row>
    <row r="61" spans="1:17" x14ac:dyDescent="0.2">
      <c r="A61" s="3" t="s">
        <v>71</v>
      </c>
      <c r="B61" s="3" t="s">
        <v>292</v>
      </c>
      <c r="C61" s="3" t="s">
        <v>206</v>
      </c>
      <c r="D61" s="3" t="s">
        <v>50</v>
      </c>
      <c r="E61" s="3" t="s">
        <v>40</v>
      </c>
      <c r="F61" s="3" t="b">
        <v>0</v>
      </c>
      <c r="G61" s="3" t="s">
        <v>60</v>
      </c>
      <c r="H61" s="3" t="s">
        <v>93</v>
      </c>
      <c r="I61" s="3" t="s">
        <v>293</v>
      </c>
      <c r="J61" s="3" t="b">
        <v>0</v>
      </c>
      <c r="K61" s="3" t="b">
        <v>1</v>
      </c>
      <c r="L61" s="3" t="s">
        <v>54</v>
      </c>
      <c r="M61" s="3" t="s">
        <v>44</v>
      </c>
      <c r="N61" s="3">
        <v>140000</v>
      </c>
      <c r="O61" s="4"/>
      <c r="P61" s="3" t="s">
        <v>294</v>
      </c>
      <c r="Q61" s="3" t="s">
        <v>119</v>
      </c>
    </row>
    <row r="62" spans="1:17" x14ac:dyDescent="0.2">
      <c r="A62" s="3" t="s">
        <v>47</v>
      </c>
      <c r="B62" s="3" t="s">
        <v>295</v>
      </c>
      <c r="C62" s="3" t="s">
        <v>206</v>
      </c>
      <c r="D62" s="3" t="s">
        <v>296</v>
      </c>
      <c r="E62" s="3" t="s">
        <v>40</v>
      </c>
      <c r="F62" s="3" t="b">
        <v>0</v>
      </c>
      <c r="G62" s="3" t="s">
        <v>125</v>
      </c>
      <c r="H62" s="3" t="s">
        <v>130</v>
      </c>
      <c r="I62" s="3" t="s">
        <v>297</v>
      </c>
      <c r="J62" s="3" t="b">
        <v>1</v>
      </c>
      <c r="K62" s="3" t="b">
        <v>0</v>
      </c>
      <c r="L62" s="3" t="s">
        <v>54</v>
      </c>
      <c r="M62" s="3" t="s">
        <v>44</v>
      </c>
      <c r="N62" s="3">
        <v>170000</v>
      </c>
      <c r="O62" s="4"/>
      <c r="P62" s="3" t="s">
        <v>298</v>
      </c>
      <c r="Q62" s="3" t="s">
        <v>299</v>
      </c>
    </row>
    <row r="63" spans="1:17" x14ac:dyDescent="0.2">
      <c r="A63" s="3" t="s">
        <v>71</v>
      </c>
      <c r="B63" s="3" t="s">
        <v>300</v>
      </c>
      <c r="C63" s="3" t="s">
        <v>86</v>
      </c>
      <c r="D63" s="3" t="s">
        <v>301</v>
      </c>
      <c r="E63" s="3" t="s">
        <v>302</v>
      </c>
      <c r="F63" s="3" t="b">
        <v>1</v>
      </c>
      <c r="G63" s="3" t="s">
        <v>76</v>
      </c>
      <c r="H63" s="3" t="s">
        <v>130</v>
      </c>
      <c r="I63" s="5">
        <v>45119.878472222219</v>
      </c>
      <c r="J63" s="3" t="b">
        <v>0</v>
      </c>
      <c r="K63" s="3" t="b">
        <v>0</v>
      </c>
      <c r="L63" s="3" t="s">
        <v>54</v>
      </c>
      <c r="M63" s="3" t="s">
        <v>79</v>
      </c>
      <c r="N63" s="4"/>
      <c r="O63" s="3">
        <v>31.5</v>
      </c>
      <c r="P63" s="3" t="s">
        <v>303</v>
      </c>
      <c r="Q63" s="4"/>
    </row>
    <row r="64" spans="1:17" x14ac:dyDescent="0.2">
      <c r="A64" s="3" t="s">
        <v>36</v>
      </c>
      <c r="B64" s="3" t="s">
        <v>304</v>
      </c>
      <c r="C64" s="3" t="s">
        <v>305</v>
      </c>
      <c r="D64" s="3" t="s">
        <v>245</v>
      </c>
      <c r="E64" s="3" t="s">
        <v>40</v>
      </c>
      <c r="F64" s="3" t="b">
        <v>0</v>
      </c>
      <c r="G64" s="3" t="s">
        <v>41</v>
      </c>
      <c r="H64" s="3" t="s">
        <v>141</v>
      </c>
      <c r="I64" s="5">
        <v>45054.861111111109</v>
      </c>
      <c r="J64" s="3" t="b">
        <v>0</v>
      </c>
      <c r="K64" s="3" t="b">
        <v>1</v>
      </c>
      <c r="L64" s="3" t="s">
        <v>41</v>
      </c>
      <c r="M64" s="3" t="s">
        <v>44</v>
      </c>
      <c r="N64" s="3">
        <v>100000</v>
      </c>
      <c r="O64" s="4"/>
      <c r="P64" s="3" t="s">
        <v>306</v>
      </c>
      <c r="Q64" s="3" t="s">
        <v>307</v>
      </c>
    </row>
    <row r="65" spans="1:17" x14ac:dyDescent="0.2">
      <c r="A65" s="3" t="s">
        <v>239</v>
      </c>
      <c r="B65" s="3" t="s">
        <v>308</v>
      </c>
      <c r="C65" s="3" t="s">
        <v>309</v>
      </c>
      <c r="D65" s="3" t="s">
        <v>39</v>
      </c>
      <c r="E65" s="3" t="s">
        <v>124</v>
      </c>
      <c r="F65" s="3" t="b">
        <v>0</v>
      </c>
      <c r="G65" s="3" t="s">
        <v>41</v>
      </c>
      <c r="H65" s="3" t="s">
        <v>77</v>
      </c>
      <c r="I65" s="3" t="s">
        <v>310</v>
      </c>
      <c r="J65" s="3" t="b">
        <v>1</v>
      </c>
      <c r="K65" s="3" t="b">
        <v>0</v>
      </c>
      <c r="L65" s="3" t="s">
        <v>41</v>
      </c>
      <c r="M65" s="3" t="s">
        <v>79</v>
      </c>
      <c r="N65" s="4"/>
      <c r="O65" s="3">
        <v>65</v>
      </c>
      <c r="P65" s="3" t="s">
        <v>311</v>
      </c>
      <c r="Q65" s="3" t="s">
        <v>312</v>
      </c>
    </row>
    <row r="66" spans="1:17" x14ac:dyDescent="0.2">
      <c r="A66" s="3" t="s">
        <v>90</v>
      </c>
      <c r="B66" s="3" t="s">
        <v>313</v>
      </c>
      <c r="C66" s="3" t="s">
        <v>314</v>
      </c>
      <c r="D66" s="3" t="s">
        <v>315</v>
      </c>
      <c r="E66" s="3" t="s">
        <v>124</v>
      </c>
      <c r="F66" s="3" t="b">
        <v>0</v>
      </c>
      <c r="G66" s="3" t="s">
        <v>41</v>
      </c>
      <c r="H66" s="3" t="s">
        <v>258</v>
      </c>
      <c r="I66" s="5">
        <v>45082.508333333331</v>
      </c>
      <c r="J66" s="3" t="b">
        <v>1</v>
      </c>
      <c r="K66" s="3" t="b">
        <v>0</v>
      </c>
      <c r="L66" s="3" t="s">
        <v>41</v>
      </c>
      <c r="M66" s="3" t="s">
        <v>79</v>
      </c>
      <c r="N66" s="4"/>
      <c r="O66" s="3">
        <v>65</v>
      </c>
      <c r="P66" s="3" t="s">
        <v>316</v>
      </c>
      <c r="Q66" s="3" t="s">
        <v>317</v>
      </c>
    </row>
    <row r="67" spans="1:17" x14ac:dyDescent="0.2">
      <c r="A67" s="3" t="s">
        <v>47</v>
      </c>
      <c r="B67" s="3" t="s">
        <v>318</v>
      </c>
      <c r="C67" s="3" t="s">
        <v>319</v>
      </c>
      <c r="D67" s="3" t="s">
        <v>66</v>
      </c>
      <c r="E67" s="3" t="s">
        <v>40</v>
      </c>
      <c r="F67" s="3" t="b">
        <v>0</v>
      </c>
      <c r="G67" s="3" t="s">
        <v>320</v>
      </c>
      <c r="H67" s="3" t="s">
        <v>136</v>
      </c>
      <c r="I67" s="3" t="s">
        <v>321</v>
      </c>
      <c r="J67" s="3" t="b">
        <v>0</v>
      </c>
      <c r="K67" s="3" t="b">
        <v>0</v>
      </c>
      <c r="L67" s="3" t="s">
        <v>320</v>
      </c>
      <c r="M67" s="3" t="s">
        <v>44</v>
      </c>
      <c r="N67" s="3">
        <v>134241</v>
      </c>
      <c r="O67" s="4"/>
      <c r="P67" s="3" t="s">
        <v>322</v>
      </c>
      <c r="Q67" s="3" t="s">
        <v>138</v>
      </c>
    </row>
    <row r="68" spans="1:17" x14ac:dyDescent="0.2">
      <c r="A68" s="3" t="s">
        <v>47</v>
      </c>
      <c r="B68" s="3" t="s">
        <v>323</v>
      </c>
      <c r="C68" s="3" t="s">
        <v>324</v>
      </c>
      <c r="D68" s="3" t="s">
        <v>39</v>
      </c>
      <c r="E68" s="3" t="s">
        <v>124</v>
      </c>
      <c r="F68" s="3" t="b">
        <v>0</v>
      </c>
      <c r="G68" s="3" t="s">
        <v>60</v>
      </c>
      <c r="H68" s="3" t="s">
        <v>61</v>
      </c>
      <c r="I68" s="3" t="s">
        <v>325</v>
      </c>
      <c r="J68" s="3" t="b">
        <v>0</v>
      </c>
      <c r="K68" s="3" t="b">
        <v>0</v>
      </c>
      <c r="L68" s="3" t="s">
        <v>54</v>
      </c>
      <c r="M68" s="3" t="s">
        <v>79</v>
      </c>
      <c r="N68" s="4"/>
      <c r="O68" s="3">
        <v>70</v>
      </c>
      <c r="P68" s="3" t="s">
        <v>326</v>
      </c>
      <c r="Q68" s="3" t="s">
        <v>327</v>
      </c>
    </row>
    <row r="69" spans="1:17" x14ac:dyDescent="0.2">
      <c r="A69" s="3" t="s">
        <v>71</v>
      </c>
      <c r="B69" s="3" t="s">
        <v>71</v>
      </c>
      <c r="C69" s="3" t="s">
        <v>328</v>
      </c>
      <c r="D69" s="3" t="s">
        <v>50</v>
      </c>
      <c r="E69" s="3" t="s">
        <v>40</v>
      </c>
      <c r="F69" s="3" t="b">
        <v>0</v>
      </c>
      <c r="G69" s="3" t="s">
        <v>76</v>
      </c>
      <c r="H69" s="3" t="s">
        <v>141</v>
      </c>
      <c r="I69" s="3" t="s">
        <v>329</v>
      </c>
      <c r="J69" s="3" t="b">
        <v>0</v>
      </c>
      <c r="K69" s="3" t="b">
        <v>0</v>
      </c>
      <c r="L69" s="3" t="s">
        <v>54</v>
      </c>
      <c r="M69" s="3" t="s">
        <v>79</v>
      </c>
      <c r="N69" s="4"/>
      <c r="O69" s="3">
        <v>57.5</v>
      </c>
      <c r="P69" s="3" t="s">
        <v>330</v>
      </c>
      <c r="Q69" s="3" t="s">
        <v>70</v>
      </c>
    </row>
    <row r="70" spans="1:17" x14ac:dyDescent="0.2">
      <c r="A70" s="3" t="s">
        <v>90</v>
      </c>
      <c r="B70" s="3" t="s">
        <v>145</v>
      </c>
      <c r="C70" s="3" t="s">
        <v>331</v>
      </c>
      <c r="D70" s="3" t="s">
        <v>147</v>
      </c>
      <c r="E70" s="3" t="s">
        <v>75</v>
      </c>
      <c r="F70" s="3" t="b">
        <v>0</v>
      </c>
      <c r="G70" s="3" t="s">
        <v>60</v>
      </c>
      <c r="H70" s="3" t="s">
        <v>163</v>
      </c>
      <c r="I70" s="3" t="s">
        <v>332</v>
      </c>
      <c r="J70" s="3" t="b">
        <v>0</v>
      </c>
      <c r="K70" s="3" t="b">
        <v>1</v>
      </c>
      <c r="L70" s="3" t="s">
        <v>54</v>
      </c>
      <c r="M70" s="3" t="s">
        <v>44</v>
      </c>
      <c r="N70" s="3">
        <v>173500</v>
      </c>
      <c r="O70" s="4"/>
      <c r="P70" s="3" t="s">
        <v>149</v>
      </c>
      <c r="Q70" s="3" t="s">
        <v>150</v>
      </c>
    </row>
    <row r="71" spans="1:17" x14ac:dyDescent="0.2">
      <c r="A71" s="3" t="s">
        <v>47</v>
      </c>
      <c r="B71" s="3" t="s">
        <v>47</v>
      </c>
      <c r="C71" s="3" t="s">
        <v>333</v>
      </c>
      <c r="D71" s="3" t="s">
        <v>102</v>
      </c>
      <c r="E71" s="3" t="s">
        <v>40</v>
      </c>
      <c r="F71" s="3" t="b">
        <v>0</v>
      </c>
      <c r="G71" s="3" t="s">
        <v>41</v>
      </c>
      <c r="H71" s="3" t="s">
        <v>77</v>
      </c>
      <c r="I71" s="3" t="s">
        <v>334</v>
      </c>
      <c r="J71" s="3" t="b">
        <v>1</v>
      </c>
      <c r="K71" s="3" t="b">
        <v>1</v>
      </c>
      <c r="L71" s="3" t="s">
        <v>41</v>
      </c>
      <c r="M71" s="3" t="s">
        <v>44</v>
      </c>
      <c r="N71" s="3">
        <v>112500</v>
      </c>
      <c r="O71" s="4"/>
      <c r="P71" s="3" t="s">
        <v>335</v>
      </c>
      <c r="Q71" s="3" t="s">
        <v>336</v>
      </c>
    </row>
    <row r="72" spans="1:17" x14ac:dyDescent="0.2">
      <c r="A72" s="3" t="s">
        <v>47</v>
      </c>
      <c r="B72" s="3" t="s">
        <v>337</v>
      </c>
      <c r="C72" s="3" t="s">
        <v>338</v>
      </c>
      <c r="D72" s="3" t="s">
        <v>74</v>
      </c>
      <c r="E72" s="3" t="s">
        <v>75</v>
      </c>
      <c r="F72" s="3" t="b">
        <v>0</v>
      </c>
      <c r="G72" s="3" t="s">
        <v>76</v>
      </c>
      <c r="H72" s="3" t="s">
        <v>77</v>
      </c>
      <c r="I72" s="5">
        <v>45179.129861111112</v>
      </c>
      <c r="J72" s="3" t="b">
        <v>0</v>
      </c>
      <c r="K72" s="3" t="b">
        <v>1</v>
      </c>
      <c r="L72" s="3" t="s">
        <v>54</v>
      </c>
      <c r="M72" s="3" t="s">
        <v>79</v>
      </c>
      <c r="N72" s="4"/>
      <c r="O72" s="3">
        <v>51.489997860000003</v>
      </c>
      <c r="P72" s="3" t="s">
        <v>149</v>
      </c>
      <c r="Q72" s="3" t="s">
        <v>339</v>
      </c>
    </row>
    <row r="73" spans="1:17" x14ac:dyDescent="0.2">
      <c r="A73" s="3" t="s">
        <v>120</v>
      </c>
      <c r="B73" s="3" t="s">
        <v>340</v>
      </c>
      <c r="C73" s="3" t="s">
        <v>341</v>
      </c>
      <c r="D73" s="3" t="s">
        <v>39</v>
      </c>
      <c r="E73" s="3" t="s">
        <v>40</v>
      </c>
      <c r="F73" s="3" t="b">
        <v>0</v>
      </c>
      <c r="G73" s="3" t="s">
        <v>125</v>
      </c>
      <c r="H73" s="3" t="s">
        <v>61</v>
      </c>
      <c r="I73" s="5">
        <v>45206.793055555558</v>
      </c>
      <c r="J73" s="3" t="b">
        <v>1</v>
      </c>
      <c r="K73" s="3" t="b">
        <v>0</v>
      </c>
      <c r="L73" s="3" t="s">
        <v>54</v>
      </c>
      <c r="M73" s="3" t="s">
        <v>79</v>
      </c>
      <c r="N73" s="4"/>
      <c r="O73" s="3">
        <v>18.5</v>
      </c>
      <c r="P73" s="3" t="s">
        <v>342</v>
      </c>
      <c r="Q73" s="3" t="s">
        <v>343</v>
      </c>
    </row>
    <row r="74" spans="1:17" x14ac:dyDescent="0.2">
      <c r="A74" s="3" t="s">
        <v>47</v>
      </c>
      <c r="B74" s="3" t="s">
        <v>344</v>
      </c>
      <c r="C74" s="3" t="s">
        <v>345</v>
      </c>
      <c r="D74" s="3" t="s">
        <v>66</v>
      </c>
      <c r="E74" s="3" t="s">
        <v>40</v>
      </c>
      <c r="F74" s="3" t="b">
        <v>0</v>
      </c>
      <c r="G74" s="3" t="s">
        <v>346</v>
      </c>
      <c r="H74" s="3" t="s">
        <v>103</v>
      </c>
      <c r="I74" s="5">
        <v>45261.863888888889</v>
      </c>
      <c r="J74" s="3" t="b">
        <v>0</v>
      </c>
      <c r="K74" s="3" t="b">
        <v>0</v>
      </c>
      <c r="L74" s="3" t="s">
        <v>346</v>
      </c>
      <c r="M74" s="3" t="s">
        <v>44</v>
      </c>
      <c r="N74" s="3">
        <v>98301.5</v>
      </c>
      <c r="O74" s="4"/>
      <c r="P74" s="3" t="s">
        <v>347</v>
      </c>
      <c r="Q74" s="3" t="s">
        <v>348</v>
      </c>
    </row>
    <row r="75" spans="1:17" x14ac:dyDescent="0.2">
      <c r="A75" s="3" t="s">
        <v>47</v>
      </c>
      <c r="B75" s="3" t="s">
        <v>349</v>
      </c>
      <c r="C75" s="3" t="s">
        <v>350</v>
      </c>
      <c r="D75" s="3" t="s">
        <v>39</v>
      </c>
      <c r="E75" s="4"/>
      <c r="F75" s="3" t="b">
        <v>0</v>
      </c>
      <c r="G75" s="3" t="s">
        <v>51</v>
      </c>
      <c r="H75" s="3" t="s">
        <v>141</v>
      </c>
      <c r="I75" s="3" t="s">
        <v>351</v>
      </c>
      <c r="J75" s="3" t="b">
        <v>0</v>
      </c>
      <c r="K75" s="3" t="b">
        <v>0</v>
      </c>
      <c r="L75" s="3" t="s">
        <v>54</v>
      </c>
      <c r="M75" s="3" t="s">
        <v>79</v>
      </c>
      <c r="N75" s="4"/>
      <c r="O75" s="3">
        <v>74.824996949999999</v>
      </c>
      <c r="P75" s="3" t="s">
        <v>352</v>
      </c>
      <c r="Q75" s="3" t="s">
        <v>353</v>
      </c>
    </row>
    <row r="76" spans="1:17" x14ac:dyDescent="0.2">
      <c r="A76" s="3" t="s">
        <v>47</v>
      </c>
      <c r="B76" s="3" t="s">
        <v>354</v>
      </c>
      <c r="C76" s="3" t="s">
        <v>86</v>
      </c>
      <c r="D76" s="3" t="s">
        <v>102</v>
      </c>
      <c r="E76" s="3" t="s">
        <v>124</v>
      </c>
      <c r="F76" s="3" t="b">
        <v>1</v>
      </c>
      <c r="G76" s="3" t="s">
        <v>97</v>
      </c>
      <c r="H76" s="3" t="s">
        <v>136</v>
      </c>
      <c r="I76" s="5">
        <v>45266.726388888892</v>
      </c>
      <c r="J76" s="3" t="b">
        <v>0</v>
      </c>
      <c r="K76" s="3" t="b">
        <v>0</v>
      </c>
      <c r="L76" s="3" t="s">
        <v>54</v>
      </c>
      <c r="M76" s="3" t="s">
        <v>79</v>
      </c>
      <c r="N76" s="4"/>
      <c r="O76" s="3">
        <v>55</v>
      </c>
      <c r="P76" s="3" t="s">
        <v>355</v>
      </c>
      <c r="Q76" s="3" t="s">
        <v>356</v>
      </c>
    </row>
    <row r="77" spans="1:17" x14ac:dyDescent="0.2">
      <c r="A77" s="3" t="s">
        <v>71</v>
      </c>
      <c r="B77" s="3" t="s">
        <v>71</v>
      </c>
      <c r="C77" s="3" t="s">
        <v>357</v>
      </c>
      <c r="D77" s="3" t="s">
        <v>50</v>
      </c>
      <c r="E77" s="3" t="s">
        <v>40</v>
      </c>
      <c r="F77" s="3" t="b">
        <v>0</v>
      </c>
      <c r="G77" s="3" t="s">
        <v>97</v>
      </c>
      <c r="H77" s="3" t="s">
        <v>93</v>
      </c>
      <c r="I77" s="5">
        <v>45269.836805555555</v>
      </c>
      <c r="J77" s="3" t="b">
        <v>0</v>
      </c>
      <c r="K77" s="3" t="b">
        <v>0</v>
      </c>
      <c r="L77" s="3" t="s">
        <v>54</v>
      </c>
      <c r="M77" s="3" t="s">
        <v>44</v>
      </c>
      <c r="N77" s="3">
        <v>85000</v>
      </c>
      <c r="O77" s="4"/>
      <c r="P77" s="3" t="s">
        <v>358</v>
      </c>
      <c r="Q77" s="3" t="s">
        <v>359</v>
      </c>
    </row>
    <row r="78" spans="1:17" x14ac:dyDescent="0.2">
      <c r="A78" s="3" t="s">
        <v>71</v>
      </c>
      <c r="B78" s="3" t="s">
        <v>360</v>
      </c>
      <c r="C78" s="3" t="s">
        <v>361</v>
      </c>
      <c r="D78" s="3" t="s">
        <v>135</v>
      </c>
      <c r="E78" s="3" t="s">
        <v>40</v>
      </c>
      <c r="F78" s="3" t="b">
        <v>0</v>
      </c>
      <c r="G78" s="3" t="s">
        <v>51</v>
      </c>
      <c r="H78" s="3" t="s">
        <v>136</v>
      </c>
      <c r="I78" s="3" t="s">
        <v>362</v>
      </c>
      <c r="J78" s="3" t="b">
        <v>0</v>
      </c>
      <c r="K78" s="3" t="b">
        <v>0</v>
      </c>
      <c r="L78" s="3" t="s">
        <v>54</v>
      </c>
      <c r="M78" s="3" t="s">
        <v>44</v>
      </c>
      <c r="N78" s="3">
        <v>90000</v>
      </c>
      <c r="O78" s="4"/>
      <c r="P78" s="3" t="s">
        <v>363</v>
      </c>
      <c r="Q78" s="3" t="s">
        <v>364</v>
      </c>
    </row>
    <row r="79" spans="1:17" x14ac:dyDescent="0.2">
      <c r="A79" s="3" t="s">
        <v>90</v>
      </c>
      <c r="B79" s="3" t="s">
        <v>365</v>
      </c>
      <c r="C79" s="3" t="s">
        <v>366</v>
      </c>
      <c r="D79" s="3" t="s">
        <v>74</v>
      </c>
      <c r="E79" s="3" t="s">
        <v>40</v>
      </c>
      <c r="F79" s="3" t="b">
        <v>0</v>
      </c>
      <c r="G79" s="3" t="s">
        <v>51</v>
      </c>
      <c r="H79" s="3" t="s">
        <v>93</v>
      </c>
      <c r="I79" s="5">
        <v>45025.107638888891</v>
      </c>
      <c r="J79" s="3" t="b">
        <v>0</v>
      </c>
      <c r="K79" s="3" t="b">
        <v>1</v>
      </c>
      <c r="L79" s="3" t="s">
        <v>54</v>
      </c>
      <c r="M79" s="3" t="s">
        <v>79</v>
      </c>
      <c r="N79" s="4"/>
      <c r="O79" s="3">
        <v>58.680000309999997</v>
      </c>
      <c r="P79" s="3" t="s">
        <v>149</v>
      </c>
      <c r="Q79" s="3" t="s">
        <v>367</v>
      </c>
    </row>
    <row r="80" spans="1:17" x14ac:dyDescent="0.2">
      <c r="A80" s="3" t="s">
        <v>36</v>
      </c>
      <c r="B80" s="3" t="s">
        <v>36</v>
      </c>
      <c r="C80" s="3" t="s">
        <v>368</v>
      </c>
      <c r="D80" s="3" t="s">
        <v>39</v>
      </c>
      <c r="E80" s="3" t="s">
        <v>40</v>
      </c>
      <c r="F80" s="3" t="b">
        <v>0</v>
      </c>
      <c r="G80" s="3" t="s">
        <v>97</v>
      </c>
      <c r="H80" s="3" t="s">
        <v>103</v>
      </c>
      <c r="I80" s="3" t="s">
        <v>213</v>
      </c>
      <c r="J80" s="3" t="b">
        <v>0</v>
      </c>
      <c r="K80" s="3" t="b">
        <v>1</v>
      </c>
      <c r="L80" s="3" t="s">
        <v>54</v>
      </c>
      <c r="M80" s="3" t="s">
        <v>44</v>
      </c>
      <c r="N80" s="3">
        <v>116700</v>
      </c>
      <c r="O80" s="4"/>
      <c r="P80" s="3" t="s">
        <v>45</v>
      </c>
      <c r="Q80" s="3" t="s">
        <v>369</v>
      </c>
    </row>
    <row r="81" spans="1:17" x14ac:dyDescent="0.2">
      <c r="A81" s="3" t="s">
        <v>47</v>
      </c>
      <c r="B81" s="3" t="s">
        <v>47</v>
      </c>
      <c r="C81" s="3" t="s">
        <v>86</v>
      </c>
      <c r="D81" s="3" t="s">
        <v>50</v>
      </c>
      <c r="E81" s="3" t="s">
        <v>124</v>
      </c>
      <c r="F81" s="3" t="b">
        <v>1</v>
      </c>
      <c r="G81" s="3" t="s">
        <v>97</v>
      </c>
      <c r="H81" s="3" t="s">
        <v>258</v>
      </c>
      <c r="I81" s="3" t="s">
        <v>370</v>
      </c>
      <c r="J81" s="3" t="b">
        <v>1</v>
      </c>
      <c r="K81" s="3" t="b">
        <v>0</v>
      </c>
      <c r="L81" s="3" t="s">
        <v>54</v>
      </c>
      <c r="M81" s="3" t="s">
        <v>79</v>
      </c>
      <c r="N81" s="4"/>
      <c r="O81" s="3">
        <v>65</v>
      </c>
      <c r="P81" s="3" t="s">
        <v>371</v>
      </c>
      <c r="Q81" s="3" t="s">
        <v>372</v>
      </c>
    </row>
    <row r="82" spans="1:17" x14ac:dyDescent="0.2">
      <c r="A82" s="3" t="s">
        <v>47</v>
      </c>
      <c r="B82" s="3" t="s">
        <v>373</v>
      </c>
      <c r="C82" s="3" t="s">
        <v>374</v>
      </c>
      <c r="D82" s="3" t="s">
        <v>66</v>
      </c>
      <c r="E82" s="3" t="s">
        <v>40</v>
      </c>
      <c r="F82" s="3" t="b">
        <v>0</v>
      </c>
      <c r="G82" s="3" t="s">
        <v>346</v>
      </c>
      <c r="H82" s="3" t="s">
        <v>163</v>
      </c>
      <c r="I82" s="5">
        <v>44937.798611111109</v>
      </c>
      <c r="J82" s="3" t="b">
        <v>0</v>
      </c>
      <c r="K82" s="3" t="b">
        <v>0</v>
      </c>
      <c r="L82" s="3" t="s">
        <v>346</v>
      </c>
      <c r="M82" s="3" t="s">
        <v>44</v>
      </c>
      <c r="N82" s="3">
        <v>163500</v>
      </c>
      <c r="O82" s="4"/>
      <c r="P82" s="3" t="s">
        <v>375</v>
      </c>
      <c r="Q82" s="3" t="s">
        <v>376</v>
      </c>
    </row>
    <row r="83" spans="1:17" x14ac:dyDescent="0.2">
      <c r="A83" s="3" t="s">
        <v>120</v>
      </c>
      <c r="B83" s="3" t="s">
        <v>120</v>
      </c>
      <c r="C83" s="3" t="s">
        <v>377</v>
      </c>
      <c r="D83" s="3" t="s">
        <v>50</v>
      </c>
      <c r="E83" s="3" t="s">
        <v>40</v>
      </c>
      <c r="F83" s="3" t="b">
        <v>0</v>
      </c>
      <c r="G83" s="3" t="s">
        <v>51</v>
      </c>
      <c r="H83" s="3" t="s">
        <v>93</v>
      </c>
      <c r="I83" s="5">
        <v>45055.792361111111</v>
      </c>
      <c r="J83" s="3" t="b">
        <v>0</v>
      </c>
      <c r="K83" s="3" t="b">
        <v>1</v>
      </c>
      <c r="L83" s="3" t="s">
        <v>54</v>
      </c>
      <c r="M83" s="3" t="s">
        <v>44</v>
      </c>
      <c r="N83" s="3">
        <v>75000</v>
      </c>
      <c r="O83" s="4"/>
      <c r="P83" s="3" t="s">
        <v>378</v>
      </c>
      <c r="Q83" s="3" t="s">
        <v>379</v>
      </c>
    </row>
    <row r="84" spans="1:17" x14ac:dyDescent="0.2">
      <c r="A84" s="3" t="s">
        <v>380</v>
      </c>
      <c r="B84" s="3" t="s">
        <v>380</v>
      </c>
      <c r="C84" s="3" t="s">
        <v>86</v>
      </c>
      <c r="D84" s="3" t="s">
        <v>39</v>
      </c>
      <c r="E84" s="3" t="s">
        <v>40</v>
      </c>
      <c r="F84" s="3" t="b">
        <v>1</v>
      </c>
      <c r="G84" s="3" t="s">
        <v>51</v>
      </c>
      <c r="H84" s="3" t="s">
        <v>61</v>
      </c>
      <c r="I84" s="3" t="s">
        <v>381</v>
      </c>
      <c r="J84" s="3" t="b">
        <v>0</v>
      </c>
      <c r="K84" s="3" t="b">
        <v>0</v>
      </c>
      <c r="L84" s="3" t="s">
        <v>54</v>
      </c>
      <c r="M84" s="3" t="s">
        <v>79</v>
      </c>
      <c r="N84" s="4"/>
      <c r="O84" s="3">
        <v>41</v>
      </c>
      <c r="P84" s="3">
        <v>9992</v>
      </c>
      <c r="Q84" s="3" t="s">
        <v>382</v>
      </c>
    </row>
    <row r="85" spans="1:17" x14ac:dyDescent="0.2">
      <c r="A85" s="3" t="s">
        <v>71</v>
      </c>
      <c r="B85" s="3" t="s">
        <v>383</v>
      </c>
      <c r="C85" s="3" t="s">
        <v>384</v>
      </c>
      <c r="D85" s="3" t="s">
        <v>66</v>
      </c>
      <c r="E85" s="3" t="s">
        <v>40</v>
      </c>
      <c r="F85" s="3" t="b">
        <v>0</v>
      </c>
      <c r="G85" s="3" t="s">
        <v>41</v>
      </c>
      <c r="H85" s="3" t="s">
        <v>52</v>
      </c>
      <c r="I85" s="3" t="s">
        <v>385</v>
      </c>
      <c r="J85" s="3" t="b">
        <v>0</v>
      </c>
      <c r="K85" s="3" t="b">
        <v>1</v>
      </c>
      <c r="L85" s="3" t="s">
        <v>41</v>
      </c>
      <c r="M85" s="3" t="s">
        <v>44</v>
      </c>
      <c r="N85" s="3">
        <v>69962.5</v>
      </c>
      <c r="O85" s="4"/>
      <c r="P85" s="3" t="s">
        <v>386</v>
      </c>
      <c r="Q85" s="4"/>
    </row>
    <row r="86" spans="1:17" x14ac:dyDescent="0.2">
      <c r="A86" s="3" t="s">
        <v>120</v>
      </c>
      <c r="B86" s="3" t="s">
        <v>387</v>
      </c>
      <c r="C86" s="3" t="s">
        <v>388</v>
      </c>
      <c r="D86" s="3" t="s">
        <v>102</v>
      </c>
      <c r="E86" s="3" t="s">
        <v>40</v>
      </c>
      <c r="F86" s="3" t="b">
        <v>0</v>
      </c>
      <c r="G86" s="3" t="s">
        <v>60</v>
      </c>
      <c r="H86" s="3" t="s">
        <v>52</v>
      </c>
      <c r="I86" s="5">
        <v>45110.917361111111</v>
      </c>
      <c r="J86" s="3" t="b">
        <v>1</v>
      </c>
      <c r="K86" s="3" t="b">
        <v>0</v>
      </c>
      <c r="L86" s="3" t="s">
        <v>54</v>
      </c>
      <c r="M86" s="3" t="s">
        <v>79</v>
      </c>
      <c r="N86" s="4"/>
      <c r="O86" s="3">
        <v>35</v>
      </c>
      <c r="P86" s="3" t="s">
        <v>182</v>
      </c>
      <c r="Q86" s="3" t="s">
        <v>389</v>
      </c>
    </row>
    <row r="87" spans="1:17" x14ac:dyDescent="0.2">
      <c r="A87" s="3" t="s">
        <v>71</v>
      </c>
      <c r="B87" s="3" t="s">
        <v>390</v>
      </c>
      <c r="C87" s="3" t="s">
        <v>391</v>
      </c>
      <c r="D87" s="3" t="s">
        <v>74</v>
      </c>
      <c r="E87" s="3" t="s">
        <v>40</v>
      </c>
      <c r="F87" s="3" t="b">
        <v>0</v>
      </c>
      <c r="G87" s="3" t="s">
        <v>51</v>
      </c>
      <c r="H87" s="3" t="s">
        <v>141</v>
      </c>
      <c r="I87" s="5">
        <v>45054.291666666664</v>
      </c>
      <c r="J87" s="3" t="b">
        <v>0</v>
      </c>
      <c r="K87" s="3" t="b">
        <v>1</v>
      </c>
      <c r="L87" s="3" t="s">
        <v>54</v>
      </c>
      <c r="M87" s="3" t="s">
        <v>79</v>
      </c>
      <c r="N87" s="4"/>
      <c r="O87" s="3">
        <v>47.620002749999998</v>
      </c>
      <c r="P87" s="3" t="s">
        <v>392</v>
      </c>
      <c r="Q87" s="3" t="s">
        <v>393</v>
      </c>
    </row>
    <row r="88" spans="1:17" x14ac:dyDescent="0.2">
      <c r="A88" s="3" t="s">
        <v>47</v>
      </c>
      <c r="B88" s="3" t="s">
        <v>394</v>
      </c>
      <c r="C88" s="3" t="s">
        <v>395</v>
      </c>
      <c r="D88" s="3" t="s">
        <v>102</v>
      </c>
      <c r="E88" s="3" t="s">
        <v>124</v>
      </c>
      <c r="F88" s="3" t="b">
        <v>0</v>
      </c>
      <c r="G88" s="3" t="s">
        <v>67</v>
      </c>
      <c r="H88" s="3" t="s">
        <v>77</v>
      </c>
      <c r="I88" s="5">
        <v>45056.672222222223</v>
      </c>
      <c r="J88" s="3" t="b">
        <v>1</v>
      </c>
      <c r="K88" s="3" t="b">
        <v>1</v>
      </c>
      <c r="L88" s="3" t="s">
        <v>54</v>
      </c>
      <c r="M88" s="3" t="s">
        <v>79</v>
      </c>
      <c r="N88" s="4"/>
      <c r="O88" s="3">
        <v>47.5</v>
      </c>
      <c r="P88" s="3" t="s">
        <v>396</v>
      </c>
      <c r="Q88" s="3" t="s">
        <v>397</v>
      </c>
    </row>
    <row r="89" spans="1:17" x14ac:dyDescent="0.2">
      <c r="A89" s="3" t="s">
        <v>36</v>
      </c>
      <c r="B89" s="3" t="s">
        <v>398</v>
      </c>
      <c r="C89" s="3" t="s">
        <v>399</v>
      </c>
      <c r="D89" s="3" t="s">
        <v>74</v>
      </c>
      <c r="E89" s="3" t="s">
        <v>75</v>
      </c>
      <c r="F89" s="3" t="b">
        <v>0</v>
      </c>
      <c r="G89" s="3" t="s">
        <v>67</v>
      </c>
      <c r="H89" s="3" t="s">
        <v>93</v>
      </c>
      <c r="I89" s="3" t="s">
        <v>400</v>
      </c>
      <c r="J89" s="3" t="b">
        <v>0</v>
      </c>
      <c r="K89" s="3" t="b">
        <v>1</v>
      </c>
      <c r="L89" s="3" t="s">
        <v>54</v>
      </c>
      <c r="M89" s="3" t="s">
        <v>79</v>
      </c>
      <c r="N89" s="4"/>
      <c r="O89" s="3">
        <v>37.854999540000001</v>
      </c>
      <c r="P89" s="3" t="s">
        <v>401</v>
      </c>
      <c r="Q89" s="3" t="s">
        <v>402</v>
      </c>
    </row>
    <row r="90" spans="1:17" x14ac:dyDescent="0.2">
      <c r="A90" s="3" t="s">
        <v>47</v>
      </c>
      <c r="B90" s="3" t="s">
        <v>403</v>
      </c>
      <c r="C90" s="3" t="s">
        <v>404</v>
      </c>
      <c r="D90" s="3" t="s">
        <v>102</v>
      </c>
      <c r="E90" s="3" t="s">
        <v>40</v>
      </c>
      <c r="F90" s="3" t="b">
        <v>0</v>
      </c>
      <c r="G90" s="3" t="s">
        <v>76</v>
      </c>
      <c r="H90" s="3" t="s">
        <v>52</v>
      </c>
      <c r="I90" s="3" t="s">
        <v>405</v>
      </c>
      <c r="J90" s="3" t="b">
        <v>0</v>
      </c>
      <c r="K90" s="3" t="b">
        <v>1</v>
      </c>
      <c r="L90" s="3" t="s">
        <v>54</v>
      </c>
      <c r="M90" s="3" t="s">
        <v>44</v>
      </c>
      <c r="N90" s="3">
        <v>122340</v>
      </c>
      <c r="O90" s="4"/>
      <c r="P90" s="3" t="s">
        <v>406</v>
      </c>
      <c r="Q90" s="3" t="s">
        <v>407</v>
      </c>
    </row>
    <row r="91" spans="1:17" x14ac:dyDescent="0.2">
      <c r="A91" s="3" t="s">
        <v>71</v>
      </c>
      <c r="B91" s="3" t="s">
        <v>408</v>
      </c>
      <c r="C91" s="3" t="s">
        <v>65</v>
      </c>
      <c r="D91" s="3" t="s">
        <v>409</v>
      </c>
      <c r="E91" s="3" t="s">
        <v>124</v>
      </c>
      <c r="F91" s="3" t="b">
        <v>0</v>
      </c>
      <c r="G91" s="3" t="s">
        <v>67</v>
      </c>
      <c r="H91" s="3" t="s">
        <v>181</v>
      </c>
      <c r="I91" s="3" t="s">
        <v>410</v>
      </c>
      <c r="J91" s="3" t="b">
        <v>0</v>
      </c>
      <c r="K91" s="3" t="b">
        <v>1</v>
      </c>
      <c r="L91" s="3" t="s">
        <v>54</v>
      </c>
      <c r="M91" s="3" t="s">
        <v>79</v>
      </c>
      <c r="N91" s="4"/>
      <c r="O91" s="3">
        <v>71.730003359999998</v>
      </c>
      <c r="P91" s="3" t="s">
        <v>411</v>
      </c>
      <c r="Q91" s="3" t="s">
        <v>412</v>
      </c>
    </row>
    <row r="92" spans="1:17" x14ac:dyDescent="0.2">
      <c r="A92" s="3" t="s">
        <v>90</v>
      </c>
      <c r="B92" s="3" t="s">
        <v>90</v>
      </c>
      <c r="C92" s="3" t="s">
        <v>134</v>
      </c>
      <c r="D92" s="3" t="s">
        <v>102</v>
      </c>
      <c r="E92" s="3" t="s">
        <v>40</v>
      </c>
      <c r="F92" s="3" t="b">
        <v>0</v>
      </c>
      <c r="G92" s="3" t="s">
        <v>60</v>
      </c>
      <c r="H92" s="3" t="s">
        <v>42</v>
      </c>
      <c r="I92" s="3" t="s">
        <v>413</v>
      </c>
      <c r="J92" s="3" t="b">
        <v>0</v>
      </c>
      <c r="K92" s="3" t="b">
        <v>0</v>
      </c>
      <c r="L92" s="3" t="s">
        <v>54</v>
      </c>
      <c r="M92" s="3" t="s">
        <v>44</v>
      </c>
      <c r="N92" s="3">
        <v>160000</v>
      </c>
      <c r="O92" s="4"/>
      <c r="P92" s="3" t="s">
        <v>414</v>
      </c>
      <c r="Q92" s="3" t="s">
        <v>415</v>
      </c>
    </row>
    <row r="93" spans="1:17" x14ac:dyDescent="0.2">
      <c r="A93" s="3" t="s">
        <v>36</v>
      </c>
      <c r="B93" s="3" t="s">
        <v>416</v>
      </c>
      <c r="C93" s="3" t="s">
        <v>417</v>
      </c>
      <c r="D93" s="3" t="s">
        <v>66</v>
      </c>
      <c r="E93" s="3" t="s">
        <v>40</v>
      </c>
      <c r="F93" s="3" t="b">
        <v>0</v>
      </c>
      <c r="G93" s="3" t="s">
        <v>418</v>
      </c>
      <c r="H93" s="3" t="s">
        <v>61</v>
      </c>
      <c r="I93" s="3" t="s">
        <v>419</v>
      </c>
      <c r="J93" s="3" t="b">
        <v>0</v>
      </c>
      <c r="K93" s="3" t="b">
        <v>0</v>
      </c>
      <c r="L93" s="3" t="s">
        <v>418</v>
      </c>
      <c r="M93" s="3" t="s">
        <v>44</v>
      </c>
      <c r="N93" s="3">
        <v>157500</v>
      </c>
      <c r="O93" s="4"/>
      <c r="P93" s="3" t="s">
        <v>420</v>
      </c>
      <c r="Q93" s="3" t="s">
        <v>138</v>
      </c>
    </row>
    <row r="94" spans="1:17" x14ac:dyDescent="0.2">
      <c r="A94" s="3" t="s">
        <v>36</v>
      </c>
      <c r="B94" s="3" t="s">
        <v>36</v>
      </c>
      <c r="C94" s="3" t="s">
        <v>309</v>
      </c>
      <c r="D94" s="3" t="s">
        <v>102</v>
      </c>
      <c r="E94" s="3" t="s">
        <v>40</v>
      </c>
      <c r="F94" s="3" t="b">
        <v>0</v>
      </c>
      <c r="G94" s="3" t="s">
        <v>60</v>
      </c>
      <c r="H94" s="3" t="s">
        <v>258</v>
      </c>
      <c r="I94" s="3" t="s">
        <v>421</v>
      </c>
      <c r="J94" s="3" t="b">
        <v>0</v>
      </c>
      <c r="K94" s="3" t="b">
        <v>1</v>
      </c>
      <c r="L94" s="3" t="s">
        <v>54</v>
      </c>
      <c r="M94" s="3" t="s">
        <v>44</v>
      </c>
      <c r="N94" s="3">
        <v>170000</v>
      </c>
      <c r="O94" s="4"/>
      <c r="P94" s="3" t="s">
        <v>171</v>
      </c>
      <c r="Q94" s="3" t="s">
        <v>422</v>
      </c>
    </row>
    <row r="95" spans="1:17" x14ac:dyDescent="0.2">
      <c r="A95" s="3" t="s">
        <v>71</v>
      </c>
      <c r="B95" s="3" t="s">
        <v>423</v>
      </c>
      <c r="C95" s="3" t="s">
        <v>86</v>
      </c>
      <c r="D95" s="3" t="s">
        <v>301</v>
      </c>
      <c r="E95" s="3" t="s">
        <v>302</v>
      </c>
      <c r="F95" s="3" t="b">
        <v>1</v>
      </c>
      <c r="G95" s="3" t="s">
        <v>67</v>
      </c>
      <c r="H95" s="3" t="s">
        <v>130</v>
      </c>
      <c r="I95" s="3" t="s">
        <v>424</v>
      </c>
      <c r="J95" s="3" t="b">
        <v>0</v>
      </c>
      <c r="K95" s="3" t="b">
        <v>0</v>
      </c>
      <c r="L95" s="3" t="s">
        <v>54</v>
      </c>
      <c r="M95" s="3" t="s">
        <v>79</v>
      </c>
      <c r="N95" s="4"/>
      <c r="O95" s="3">
        <v>85</v>
      </c>
      <c r="P95" s="3" t="s">
        <v>303</v>
      </c>
      <c r="Q95" s="3" t="s">
        <v>425</v>
      </c>
    </row>
    <row r="96" spans="1:17" x14ac:dyDescent="0.2">
      <c r="A96" s="3" t="s">
        <v>71</v>
      </c>
      <c r="B96" s="3" t="s">
        <v>71</v>
      </c>
      <c r="C96" s="3" t="s">
        <v>254</v>
      </c>
      <c r="D96" s="3" t="s">
        <v>50</v>
      </c>
      <c r="E96" s="3" t="s">
        <v>124</v>
      </c>
      <c r="F96" s="3" t="b">
        <v>0</v>
      </c>
      <c r="G96" s="3" t="s">
        <v>67</v>
      </c>
      <c r="H96" s="3" t="s">
        <v>163</v>
      </c>
      <c r="I96" s="3" t="s">
        <v>426</v>
      </c>
      <c r="J96" s="3" t="b">
        <v>0</v>
      </c>
      <c r="K96" s="3" t="b">
        <v>0</v>
      </c>
      <c r="L96" s="3" t="s">
        <v>54</v>
      </c>
      <c r="M96" s="3" t="s">
        <v>79</v>
      </c>
      <c r="N96" s="4"/>
      <c r="O96" s="3">
        <v>39</v>
      </c>
      <c r="P96" s="3" t="s">
        <v>427</v>
      </c>
      <c r="Q96" s="3" t="s">
        <v>428</v>
      </c>
    </row>
    <row r="97" spans="1:17" x14ac:dyDescent="0.2">
      <c r="A97" s="3" t="s">
        <v>47</v>
      </c>
      <c r="B97" s="3" t="s">
        <v>47</v>
      </c>
      <c r="C97" s="3" t="s">
        <v>429</v>
      </c>
      <c r="D97" s="3" t="s">
        <v>50</v>
      </c>
      <c r="E97" s="3" t="s">
        <v>40</v>
      </c>
      <c r="F97" s="3" t="b">
        <v>0</v>
      </c>
      <c r="G97" s="3" t="s">
        <v>97</v>
      </c>
      <c r="H97" s="3" t="s">
        <v>103</v>
      </c>
      <c r="I97" s="3" t="s">
        <v>430</v>
      </c>
      <c r="J97" s="3" t="b">
        <v>0</v>
      </c>
      <c r="K97" s="3" t="b">
        <v>1</v>
      </c>
      <c r="L97" s="3" t="s">
        <v>54</v>
      </c>
      <c r="M97" s="3" t="s">
        <v>44</v>
      </c>
      <c r="N97" s="3">
        <v>102500</v>
      </c>
      <c r="O97" s="4"/>
      <c r="P97" s="3" t="s">
        <v>431</v>
      </c>
      <c r="Q97" s="3" t="s">
        <v>336</v>
      </c>
    </row>
    <row r="98" spans="1:17" x14ac:dyDescent="0.2">
      <c r="A98" s="3" t="s">
        <v>71</v>
      </c>
      <c r="B98" s="3" t="s">
        <v>432</v>
      </c>
      <c r="C98" s="3" t="s">
        <v>433</v>
      </c>
      <c r="D98" s="3" t="s">
        <v>74</v>
      </c>
      <c r="E98" s="3" t="s">
        <v>75</v>
      </c>
      <c r="F98" s="3" t="b">
        <v>0</v>
      </c>
      <c r="G98" s="3" t="s">
        <v>60</v>
      </c>
      <c r="H98" s="3" t="s">
        <v>130</v>
      </c>
      <c r="I98" s="5">
        <v>45211.292361111111</v>
      </c>
      <c r="J98" s="3" t="b">
        <v>0</v>
      </c>
      <c r="K98" s="3" t="b">
        <v>0</v>
      </c>
      <c r="L98" s="3" t="s">
        <v>54</v>
      </c>
      <c r="M98" s="3" t="s">
        <v>79</v>
      </c>
      <c r="N98" s="4"/>
      <c r="O98" s="3">
        <v>44.73500061</v>
      </c>
      <c r="P98" s="3" t="s">
        <v>434</v>
      </c>
      <c r="Q98" s="4"/>
    </row>
    <row r="99" spans="1:17" x14ac:dyDescent="0.2">
      <c r="A99" s="3" t="s">
        <v>36</v>
      </c>
      <c r="B99" s="3" t="s">
        <v>435</v>
      </c>
      <c r="C99" s="3" t="s">
        <v>82</v>
      </c>
      <c r="D99" s="3" t="s">
        <v>74</v>
      </c>
      <c r="E99" s="3" t="s">
        <v>75</v>
      </c>
      <c r="F99" s="3" t="b">
        <v>0</v>
      </c>
      <c r="G99" s="3" t="s">
        <v>60</v>
      </c>
      <c r="H99" s="3" t="s">
        <v>93</v>
      </c>
      <c r="I99" s="3" t="s">
        <v>436</v>
      </c>
      <c r="J99" s="3" t="b">
        <v>0</v>
      </c>
      <c r="K99" s="3" t="b">
        <v>0</v>
      </c>
      <c r="L99" s="3" t="s">
        <v>54</v>
      </c>
      <c r="M99" s="3" t="s">
        <v>79</v>
      </c>
      <c r="N99" s="4"/>
      <c r="O99" s="3">
        <v>47.620002749999998</v>
      </c>
      <c r="P99" s="3" t="s">
        <v>83</v>
      </c>
      <c r="Q99" s="3" t="s">
        <v>283</v>
      </c>
    </row>
    <row r="100" spans="1:17" x14ac:dyDescent="0.2">
      <c r="A100" s="3" t="s">
        <v>47</v>
      </c>
      <c r="B100" s="3" t="s">
        <v>437</v>
      </c>
      <c r="C100" s="3" t="s">
        <v>438</v>
      </c>
      <c r="D100" s="3" t="s">
        <v>102</v>
      </c>
      <c r="E100" s="3" t="s">
        <v>124</v>
      </c>
      <c r="F100" s="3" t="b">
        <v>0</v>
      </c>
      <c r="G100" s="3" t="s">
        <v>51</v>
      </c>
      <c r="H100" s="3" t="s">
        <v>181</v>
      </c>
      <c r="I100" s="5">
        <v>45109.907638888886</v>
      </c>
      <c r="J100" s="3" t="b">
        <v>0</v>
      </c>
      <c r="K100" s="3" t="b">
        <v>0</v>
      </c>
      <c r="L100" s="3" t="s">
        <v>54</v>
      </c>
      <c r="M100" s="3" t="s">
        <v>79</v>
      </c>
      <c r="N100" s="4"/>
      <c r="O100" s="3">
        <v>58.5</v>
      </c>
      <c r="P100" s="3" t="s">
        <v>439</v>
      </c>
      <c r="Q100" s="3" t="s">
        <v>440</v>
      </c>
    </row>
    <row r="101" spans="1:17" x14ac:dyDescent="0.2">
      <c r="A101" s="3" t="s">
        <v>239</v>
      </c>
      <c r="B101" s="3" t="s">
        <v>441</v>
      </c>
      <c r="C101" s="3" t="s">
        <v>442</v>
      </c>
      <c r="D101" s="3" t="s">
        <v>66</v>
      </c>
      <c r="E101" s="3" t="s">
        <v>40</v>
      </c>
      <c r="F101" s="3" t="b">
        <v>0</v>
      </c>
      <c r="G101" s="3" t="s">
        <v>443</v>
      </c>
      <c r="H101" s="3" t="s">
        <v>136</v>
      </c>
      <c r="I101" s="3" t="s">
        <v>444</v>
      </c>
      <c r="J101" s="3" t="b">
        <v>0</v>
      </c>
      <c r="K101" s="3" t="b">
        <v>0</v>
      </c>
      <c r="L101" s="3" t="s">
        <v>443</v>
      </c>
      <c r="M101" s="3" t="s">
        <v>44</v>
      </c>
      <c r="N101" s="3">
        <v>50400</v>
      </c>
      <c r="O101" s="4"/>
      <c r="P101" s="3" t="s">
        <v>445</v>
      </c>
      <c r="Q101" s="3" t="s">
        <v>270</v>
      </c>
    </row>
    <row r="102" spans="1:17" x14ac:dyDescent="0.2">
      <c r="A102" s="3" t="s">
        <v>47</v>
      </c>
      <c r="B102" s="3" t="s">
        <v>446</v>
      </c>
      <c r="C102" s="3" t="s">
        <v>447</v>
      </c>
      <c r="D102" s="3" t="s">
        <v>74</v>
      </c>
      <c r="E102" s="3" t="s">
        <v>40</v>
      </c>
      <c r="F102" s="3" t="b">
        <v>0</v>
      </c>
      <c r="G102" s="3" t="s">
        <v>125</v>
      </c>
      <c r="H102" s="3" t="s">
        <v>141</v>
      </c>
      <c r="I102" s="3" t="s">
        <v>448</v>
      </c>
      <c r="J102" s="3" t="b">
        <v>0</v>
      </c>
      <c r="K102" s="3" t="b">
        <v>1</v>
      </c>
      <c r="L102" s="3" t="s">
        <v>54</v>
      </c>
      <c r="M102" s="3" t="s">
        <v>79</v>
      </c>
      <c r="N102" s="4"/>
      <c r="O102" s="3">
        <v>50.75</v>
      </c>
      <c r="P102" s="3" t="s">
        <v>449</v>
      </c>
      <c r="Q102" s="3" t="s">
        <v>450</v>
      </c>
    </row>
    <row r="103" spans="1:17" x14ac:dyDescent="0.2">
      <c r="A103" s="3" t="s">
        <v>47</v>
      </c>
      <c r="B103" s="3" t="s">
        <v>47</v>
      </c>
      <c r="C103" s="3" t="s">
        <v>86</v>
      </c>
      <c r="D103" s="3" t="s">
        <v>102</v>
      </c>
      <c r="E103" s="3" t="s">
        <v>40</v>
      </c>
      <c r="F103" s="3" t="b">
        <v>1</v>
      </c>
      <c r="G103" s="3" t="s">
        <v>76</v>
      </c>
      <c r="H103" s="3" t="s">
        <v>93</v>
      </c>
      <c r="I103" s="3" t="s">
        <v>451</v>
      </c>
      <c r="J103" s="3" t="b">
        <v>0</v>
      </c>
      <c r="K103" s="3" t="b">
        <v>1</v>
      </c>
      <c r="L103" s="3" t="s">
        <v>54</v>
      </c>
      <c r="M103" s="3" t="s">
        <v>44</v>
      </c>
      <c r="N103" s="3">
        <v>112500</v>
      </c>
      <c r="O103" s="4"/>
      <c r="P103" s="3" t="s">
        <v>452</v>
      </c>
      <c r="Q103" s="3" t="s">
        <v>453</v>
      </c>
    </row>
    <row r="104" spans="1:17" x14ac:dyDescent="0.2">
      <c r="A104" s="3" t="s">
        <v>120</v>
      </c>
      <c r="B104" s="3" t="s">
        <v>120</v>
      </c>
      <c r="C104" s="3" t="s">
        <v>454</v>
      </c>
      <c r="D104" s="3" t="s">
        <v>455</v>
      </c>
      <c r="E104" s="3" t="s">
        <v>40</v>
      </c>
      <c r="F104" s="3" t="b">
        <v>0</v>
      </c>
      <c r="G104" s="3" t="s">
        <v>125</v>
      </c>
      <c r="H104" s="3" t="s">
        <v>130</v>
      </c>
      <c r="I104" s="3" t="s">
        <v>456</v>
      </c>
      <c r="J104" s="3" t="b">
        <v>0</v>
      </c>
      <c r="K104" s="3" t="b">
        <v>1</v>
      </c>
      <c r="L104" s="3" t="s">
        <v>54</v>
      </c>
      <c r="M104" s="3" t="s">
        <v>44</v>
      </c>
      <c r="N104" s="3">
        <v>100000</v>
      </c>
      <c r="O104" s="4"/>
      <c r="P104" s="3" t="s">
        <v>457</v>
      </c>
      <c r="Q104" s="4"/>
    </row>
    <row r="105" spans="1:17" x14ac:dyDescent="0.2">
      <c r="A105" s="3" t="s">
        <v>47</v>
      </c>
      <c r="B105" s="3" t="s">
        <v>47</v>
      </c>
      <c r="C105" s="3" t="s">
        <v>458</v>
      </c>
      <c r="D105" s="3" t="s">
        <v>102</v>
      </c>
      <c r="E105" s="3" t="s">
        <v>40</v>
      </c>
      <c r="F105" s="3" t="b">
        <v>0</v>
      </c>
      <c r="G105" s="3" t="s">
        <v>97</v>
      </c>
      <c r="H105" s="3" t="s">
        <v>61</v>
      </c>
      <c r="I105" s="3" t="s">
        <v>459</v>
      </c>
      <c r="J105" s="3" t="b">
        <v>0</v>
      </c>
      <c r="K105" s="3" t="b">
        <v>0</v>
      </c>
      <c r="L105" s="3" t="s">
        <v>54</v>
      </c>
      <c r="M105" s="3" t="s">
        <v>44</v>
      </c>
      <c r="N105" s="3">
        <v>75000</v>
      </c>
      <c r="O105" s="4"/>
      <c r="P105" s="3" t="s">
        <v>460</v>
      </c>
      <c r="Q105" s="3" t="s">
        <v>461</v>
      </c>
    </row>
    <row r="106" spans="1:17" x14ac:dyDescent="0.2">
      <c r="A106" s="3" t="s">
        <v>71</v>
      </c>
      <c r="B106" s="3" t="s">
        <v>462</v>
      </c>
      <c r="C106" s="3" t="s">
        <v>139</v>
      </c>
      <c r="D106" s="3" t="s">
        <v>50</v>
      </c>
      <c r="E106" s="3" t="s">
        <v>40</v>
      </c>
      <c r="F106" s="3" t="b">
        <v>0</v>
      </c>
      <c r="G106" s="3" t="s">
        <v>125</v>
      </c>
      <c r="H106" s="3" t="s">
        <v>141</v>
      </c>
      <c r="I106" s="5">
        <v>44965.629166666666</v>
      </c>
      <c r="J106" s="3" t="b">
        <v>0</v>
      </c>
      <c r="K106" s="3" t="b">
        <v>1</v>
      </c>
      <c r="L106" s="3" t="s">
        <v>54</v>
      </c>
      <c r="M106" s="3" t="s">
        <v>44</v>
      </c>
      <c r="N106" s="3">
        <v>109750</v>
      </c>
      <c r="O106" s="4"/>
      <c r="P106" s="3" t="s">
        <v>463</v>
      </c>
      <c r="Q106" s="3" t="s">
        <v>464</v>
      </c>
    </row>
    <row r="107" spans="1:17" x14ac:dyDescent="0.2">
      <c r="A107" s="3" t="s">
        <v>47</v>
      </c>
      <c r="B107" s="3" t="s">
        <v>465</v>
      </c>
      <c r="C107" s="3" t="s">
        <v>466</v>
      </c>
      <c r="D107" s="3" t="s">
        <v>66</v>
      </c>
      <c r="E107" s="3" t="s">
        <v>40</v>
      </c>
      <c r="F107" s="3" t="b">
        <v>0</v>
      </c>
      <c r="G107" s="3" t="s">
        <v>443</v>
      </c>
      <c r="H107" s="3" t="s">
        <v>181</v>
      </c>
      <c r="I107" s="5">
        <v>45232.425694444442</v>
      </c>
      <c r="J107" s="3" t="b">
        <v>0</v>
      </c>
      <c r="K107" s="3" t="b">
        <v>0</v>
      </c>
      <c r="L107" s="3" t="s">
        <v>443</v>
      </c>
      <c r="M107" s="3" t="s">
        <v>44</v>
      </c>
      <c r="N107" s="3">
        <v>147500</v>
      </c>
      <c r="O107" s="4"/>
      <c r="P107" s="3" t="s">
        <v>467</v>
      </c>
      <c r="Q107" s="3" t="s">
        <v>468</v>
      </c>
    </row>
    <row r="108" spans="1:17" x14ac:dyDescent="0.2">
      <c r="A108" s="3" t="s">
        <v>120</v>
      </c>
      <c r="B108" s="3" t="s">
        <v>469</v>
      </c>
      <c r="C108" s="3" t="s">
        <v>470</v>
      </c>
      <c r="D108" s="3" t="s">
        <v>74</v>
      </c>
      <c r="E108" s="3" t="s">
        <v>40</v>
      </c>
      <c r="F108" s="3" t="b">
        <v>0</v>
      </c>
      <c r="G108" s="3" t="s">
        <v>67</v>
      </c>
      <c r="H108" s="3" t="s">
        <v>141</v>
      </c>
      <c r="I108" s="5">
        <v>45177.792361111111</v>
      </c>
      <c r="J108" s="3" t="b">
        <v>1</v>
      </c>
      <c r="K108" s="3" t="b">
        <v>0</v>
      </c>
      <c r="L108" s="3" t="s">
        <v>54</v>
      </c>
      <c r="M108" s="3" t="s">
        <v>79</v>
      </c>
      <c r="N108" s="4"/>
      <c r="O108" s="3">
        <v>54.954998019999998</v>
      </c>
      <c r="P108" s="3" t="s">
        <v>471</v>
      </c>
      <c r="Q108" s="3" t="s">
        <v>472</v>
      </c>
    </row>
    <row r="109" spans="1:17" x14ac:dyDescent="0.2">
      <c r="A109" s="3" t="s">
        <v>47</v>
      </c>
      <c r="B109" s="3" t="s">
        <v>47</v>
      </c>
      <c r="C109" s="3" t="s">
        <v>473</v>
      </c>
      <c r="D109" s="3" t="s">
        <v>74</v>
      </c>
      <c r="E109" s="3" t="s">
        <v>75</v>
      </c>
      <c r="F109" s="3" t="b">
        <v>0</v>
      </c>
      <c r="G109" s="3" t="s">
        <v>125</v>
      </c>
      <c r="H109" s="3" t="s">
        <v>130</v>
      </c>
      <c r="I109" s="3" t="s">
        <v>474</v>
      </c>
      <c r="J109" s="3" t="b">
        <v>0</v>
      </c>
      <c r="K109" s="3" t="b">
        <v>0</v>
      </c>
      <c r="L109" s="3" t="s">
        <v>54</v>
      </c>
      <c r="M109" s="3" t="s">
        <v>79</v>
      </c>
      <c r="N109" s="4"/>
      <c r="O109" s="3">
        <v>44.75</v>
      </c>
      <c r="P109" s="3" t="s">
        <v>80</v>
      </c>
      <c r="Q109" s="3" t="s">
        <v>475</v>
      </c>
    </row>
    <row r="110" spans="1:17" x14ac:dyDescent="0.2">
      <c r="A110" s="3" t="s">
        <v>120</v>
      </c>
      <c r="B110" s="3" t="s">
        <v>476</v>
      </c>
      <c r="C110" s="3" t="s">
        <v>477</v>
      </c>
      <c r="D110" s="3" t="s">
        <v>39</v>
      </c>
      <c r="E110" s="3" t="s">
        <v>278</v>
      </c>
      <c r="F110" s="3" t="b">
        <v>0</v>
      </c>
      <c r="G110" s="3" t="s">
        <v>76</v>
      </c>
      <c r="H110" s="3" t="s">
        <v>258</v>
      </c>
      <c r="I110" s="5">
        <v>45174.382638888892</v>
      </c>
      <c r="J110" s="3" t="b">
        <v>0</v>
      </c>
      <c r="K110" s="3" t="b">
        <v>0</v>
      </c>
      <c r="L110" s="3" t="s">
        <v>54</v>
      </c>
      <c r="M110" s="3" t="s">
        <v>79</v>
      </c>
      <c r="N110" s="4"/>
      <c r="O110" s="3">
        <v>8</v>
      </c>
      <c r="P110" s="3" t="s">
        <v>478</v>
      </c>
      <c r="Q110" s="3" t="s">
        <v>479</v>
      </c>
    </row>
    <row r="111" spans="1:17" x14ac:dyDescent="0.2">
      <c r="A111" s="3" t="s">
        <v>71</v>
      </c>
      <c r="B111" s="3" t="s">
        <v>480</v>
      </c>
      <c r="C111" s="3" t="s">
        <v>466</v>
      </c>
      <c r="D111" s="3" t="s">
        <v>66</v>
      </c>
      <c r="E111" s="3" t="s">
        <v>40</v>
      </c>
      <c r="F111" s="3" t="b">
        <v>0</v>
      </c>
      <c r="G111" s="3" t="s">
        <v>443</v>
      </c>
      <c r="H111" s="3" t="s">
        <v>258</v>
      </c>
      <c r="I111" s="3" t="s">
        <v>481</v>
      </c>
      <c r="J111" s="3" t="b">
        <v>0</v>
      </c>
      <c r="K111" s="3" t="b">
        <v>0</v>
      </c>
      <c r="L111" s="3" t="s">
        <v>443</v>
      </c>
      <c r="M111" s="3" t="s">
        <v>44</v>
      </c>
      <c r="N111" s="3">
        <v>79200</v>
      </c>
      <c r="O111" s="4"/>
      <c r="P111" s="3" t="s">
        <v>482</v>
      </c>
      <c r="Q111" s="3" t="s">
        <v>483</v>
      </c>
    </row>
    <row r="112" spans="1:17" x14ac:dyDescent="0.2">
      <c r="A112" s="3" t="s">
        <v>47</v>
      </c>
      <c r="B112" s="3" t="s">
        <v>484</v>
      </c>
      <c r="C112" s="3" t="s">
        <v>485</v>
      </c>
      <c r="D112" s="3" t="s">
        <v>74</v>
      </c>
      <c r="E112" s="3" t="s">
        <v>40</v>
      </c>
      <c r="F112" s="3" t="b">
        <v>0</v>
      </c>
      <c r="G112" s="3" t="s">
        <v>125</v>
      </c>
      <c r="H112" s="3" t="s">
        <v>141</v>
      </c>
      <c r="I112" s="3" t="s">
        <v>486</v>
      </c>
      <c r="J112" s="3" t="b">
        <v>1</v>
      </c>
      <c r="K112" s="3" t="b">
        <v>0</v>
      </c>
      <c r="L112" s="3" t="s">
        <v>54</v>
      </c>
      <c r="M112" s="3" t="s">
        <v>79</v>
      </c>
      <c r="N112" s="4"/>
      <c r="O112" s="3">
        <v>61</v>
      </c>
      <c r="P112" s="3" t="s">
        <v>352</v>
      </c>
      <c r="Q112" s="3" t="s">
        <v>487</v>
      </c>
    </row>
    <row r="113" spans="1:17" x14ac:dyDescent="0.2">
      <c r="A113" s="3" t="s">
        <v>71</v>
      </c>
      <c r="B113" s="3" t="s">
        <v>488</v>
      </c>
      <c r="C113" s="3" t="s">
        <v>86</v>
      </c>
      <c r="D113" s="3" t="s">
        <v>74</v>
      </c>
      <c r="E113" s="3" t="s">
        <v>40</v>
      </c>
      <c r="F113" s="3" t="b">
        <v>1</v>
      </c>
      <c r="G113" s="3" t="s">
        <v>51</v>
      </c>
      <c r="H113" s="3" t="s">
        <v>141</v>
      </c>
      <c r="I113" s="5">
        <v>45207.757638888892</v>
      </c>
      <c r="J113" s="3" t="b">
        <v>0</v>
      </c>
      <c r="K113" s="3" t="b">
        <v>1</v>
      </c>
      <c r="L113" s="3" t="s">
        <v>54</v>
      </c>
      <c r="M113" s="3" t="s">
        <v>79</v>
      </c>
      <c r="N113" s="4"/>
      <c r="O113" s="3">
        <v>43.709999080000003</v>
      </c>
      <c r="P113" s="3" t="s">
        <v>489</v>
      </c>
      <c r="Q113" s="3" t="s">
        <v>490</v>
      </c>
    </row>
    <row r="114" spans="1:17" x14ac:dyDescent="0.2">
      <c r="A114" s="3" t="s">
        <v>47</v>
      </c>
      <c r="B114" s="3" t="s">
        <v>491</v>
      </c>
      <c r="C114" s="3" t="s">
        <v>492</v>
      </c>
      <c r="D114" s="3" t="s">
        <v>74</v>
      </c>
      <c r="E114" s="3" t="s">
        <v>75</v>
      </c>
      <c r="F114" s="3" t="b">
        <v>0</v>
      </c>
      <c r="G114" s="3" t="s">
        <v>41</v>
      </c>
      <c r="H114" s="3" t="s">
        <v>130</v>
      </c>
      <c r="I114" s="5">
        <v>44969.282638888886</v>
      </c>
      <c r="J114" s="3" t="b">
        <v>0</v>
      </c>
      <c r="K114" s="3" t="b">
        <v>1</v>
      </c>
      <c r="L114" s="3" t="s">
        <v>41</v>
      </c>
      <c r="M114" s="3" t="s">
        <v>79</v>
      </c>
      <c r="N114" s="4"/>
      <c r="O114" s="3">
        <v>61.159996030000002</v>
      </c>
      <c r="P114" s="3" t="s">
        <v>493</v>
      </c>
      <c r="Q114" s="3" t="s">
        <v>494</v>
      </c>
    </row>
    <row r="115" spans="1:17" x14ac:dyDescent="0.2">
      <c r="A115" s="3" t="s">
        <v>47</v>
      </c>
      <c r="B115" s="3" t="s">
        <v>47</v>
      </c>
      <c r="C115" s="3" t="s">
        <v>86</v>
      </c>
      <c r="D115" s="3" t="s">
        <v>301</v>
      </c>
      <c r="E115" s="3" t="s">
        <v>302</v>
      </c>
      <c r="F115" s="3" t="b">
        <v>1</v>
      </c>
      <c r="G115" s="3" t="s">
        <v>97</v>
      </c>
      <c r="H115" s="3" t="s">
        <v>93</v>
      </c>
      <c r="I115" s="3" t="s">
        <v>495</v>
      </c>
      <c r="J115" s="3" t="b">
        <v>1</v>
      </c>
      <c r="K115" s="3" t="b">
        <v>0</v>
      </c>
      <c r="L115" s="3" t="s">
        <v>54</v>
      </c>
      <c r="M115" s="3" t="s">
        <v>79</v>
      </c>
      <c r="N115" s="4"/>
      <c r="O115" s="3">
        <v>100</v>
      </c>
      <c r="P115" s="3" t="s">
        <v>303</v>
      </c>
      <c r="Q115" s="3" t="s">
        <v>496</v>
      </c>
    </row>
    <row r="116" spans="1:17" x14ac:dyDescent="0.2">
      <c r="A116" s="3" t="s">
        <v>47</v>
      </c>
      <c r="B116" s="3" t="s">
        <v>497</v>
      </c>
      <c r="C116" s="3" t="s">
        <v>498</v>
      </c>
      <c r="D116" s="3" t="s">
        <v>74</v>
      </c>
      <c r="E116" s="3" t="s">
        <v>40</v>
      </c>
      <c r="F116" s="3" t="b">
        <v>0</v>
      </c>
      <c r="G116" s="3" t="s">
        <v>41</v>
      </c>
      <c r="H116" s="3" t="s">
        <v>93</v>
      </c>
      <c r="I116" s="3" t="s">
        <v>499</v>
      </c>
      <c r="J116" s="3" t="b">
        <v>0</v>
      </c>
      <c r="K116" s="3" t="b">
        <v>1</v>
      </c>
      <c r="L116" s="3" t="s">
        <v>41</v>
      </c>
      <c r="M116" s="3" t="s">
        <v>79</v>
      </c>
      <c r="N116" s="4"/>
      <c r="O116" s="3">
        <v>50.965000150000002</v>
      </c>
      <c r="P116" s="3" t="s">
        <v>500</v>
      </c>
      <c r="Q116" s="3" t="s">
        <v>501</v>
      </c>
    </row>
    <row r="117" spans="1:17" x14ac:dyDescent="0.2">
      <c r="A117" s="3" t="s">
        <v>71</v>
      </c>
      <c r="B117" s="3" t="s">
        <v>71</v>
      </c>
      <c r="C117" s="3" t="s">
        <v>502</v>
      </c>
      <c r="D117" s="3" t="s">
        <v>102</v>
      </c>
      <c r="E117" s="3" t="s">
        <v>124</v>
      </c>
      <c r="F117" s="3" t="b">
        <v>0</v>
      </c>
      <c r="G117" s="3" t="s">
        <v>76</v>
      </c>
      <c r="H117" s="3" t="s">
        <v>258</v>
      </c>
      <c r="I117" s="3" t="s">
        <v>503</v>
      </c>
      <c r="J117" s="3" t="b">
        <v>0</v>
      </c>
      <c r="K117" s="3" t="b">
        <v>1</v>
      </c>
      <c r="L117" s="3" t="s">
        <v>54</v>
      </c>
      <c r="M117" s="3" t="s">
        <v>44</v>
      </c>
      <c r="N117" s="3">
        <v>135000</v>
      </c>
      <c r="O117" s="4"/>
      <c r="P117" s="3" t="s">
        <v>504</v>
      </c>
      <c r="Q117" s="3" t="s">
        <v>327</v>
      </c>
    </row>
    <row r="118" spans="1:17" x14ac:dyDescent="0.2">
      <c r="A118" s="3" t="s">
        <v>120</v>
      </c>
      <c r="B118" s="3" t="s">
        <v>505</v>
      </c>
      <c r="C118" s="3" t="s">
        <v>86</v>
      </c>
      <c r="D118" s="3" t="s">
        <v>74</v>
      </c>
      <c r="E118" s="3" t="s">
        <v>40</v>
      </c>
      <c r="F118" s="3" t="b">
        <v>1</v>
      </c>
      <c r="G118" s="3" t="s">
        <v>60</v>
      </c>
      <c r="H118" s="3" t="s">
        <v>42</v>
      </c>
      <c r="I118" s="3" t="s">
        <v>506</v>
      </c>
      <c r="J118" s="3" t="b">
        <v>1</v>
      </c>
      <c r="K118" s="3" t="b">
        <v>0</v>
      </c>
      <c r="L118" s="3" t="s">
        <v>54</v>
      </c>
      <c r="M118" s="3" t="s">
        <v>79</v>
      </c>
      <c r="N118" s="4"/>
      <c r="O118" s="3">
        <v>55</v>
      </c>
      <c r="P118" s="3" t="s">
        <v>352</v>
      </c>
      <c r="Q118" s="4"/>
    </row>
    <row r="119" spans="1:17" x14ac:dyDescent="0.2">
      <c r="A119" s="3" t="s">
        <v>71</v>
      </c>
      <c r="B119" s="3" t="s">
        <v>71</v>
      </c>
      <c r="C119" s="3" t="s">
        <v>54</v>
      </c>
      <c r="D119" s="3" t="s">
        <v>50</v>
      </c>
      <c r="E119" s="3" t="s">
        <v>40</v>
      </c>
      <c r="F119" s="3" t="b">
        <v>0</v>
      </c>
      <c r="G119" s="3" t="s">
        <v>41</v>
      </c>
      <c r="H119" s="3" t="s">
        <v>181</v>
      </c>
      <c r="I119" s="5">
        <v>44987.587500000001</v>
      </c>
      <c r="J119" s="3" t="b">
        <v>0</v>
      </c>
      <c r="K119" s="3" t="b">
        <v>0</v>
      </c>
      <c r="L119" s="3" t="s">
        <v>41</v>
      </c>
      <c r="M119" s="3" t="s">
        <v>44</v>
      </c>
      <c r="N119" s="3">
        <v>155000</v>
      </c>
      <c r="O119" s="4"/>
      <c r="P119" s="3" t="s">
        <v>507</v>
      </c>
      <c r="Q119" s="3" t="s">
        <v>508</v>
      </c>
    </row>
    <row r="120" spans="1:17" x14ac:dyDescent="0.2">
      <c r="A120" s="3" t="s">
        <v>47</v>
      </c>
      <c r="B120" s="3" t="s">
        <v>47</v>
      </c>
      <c r="C120" s="3" t="s">
        <v>509</v>
      </c>
      <c r="D120" s="3" t="s">
        <v>510</v>
      </c>
      <c r="E120" s="3" t="s">
        <v>40</v>
      </c>
      <c r="F120" s="3" t="b">
        <v>0</v>
      </c>
      <c r="G120" s="3" t="s">
        <v>125</v>
      </c>
      <c r="H120" s="3" t="s">
        <v>136</v>
      </c>
      <c r="I120" s="3" t="s">
        <v>511</v>
      </c>
      <c r="J120" s="3" t="b">
        <v>0</v>
      </c>
      <c r="K120" s="3" t="b">
        <v>1</v>
      </c>
      <c r="L120" s="3" t="s">
        <v>54</v>
      </c>
      <c r="M120" s="3" t="s">
        <v>44</v>
      </c>
      <c r="N120" s="3">
        <v>58926</v>
      </c>
      <c r="O120" s="4"/>
      <c r="P120" s="3" t="s">
        <v>149</v>
      </c>
      <c r="Q120" s="3" t="s">
        <v>512</v>
      </c>
    </row>
    <row r="121" spans="1:17" x14ac:dyDescent="0.2">
      <c r="A121" s="3" t="s">
        <v>90</v>
      </c>
      <c r="B121" s="3" t="s">
        <v>513</v>
      </c>
      <c r="C121" s="3" t="s">
        <v>514</v>
      </c>
      <c r="D121" s="3" t="s">
        <v>39</v>
      </c>
      <c r="E121" s="3" t="s">
        <v>40</v>
      </c>
      <c r="F121" s="3" t="b">
        <v>0</v>
      </c>
      <c r="G121" s="3" t="s">
        <v>67</v>
      </c>
      <c r="H121" s="3" t="s">
        <v>93</v>
      </c>
      <c r="I121" s="5">
        <v>45055.838888888888</v>
      </c>
      <c r="J121" s="3" t="b">
        <v>0</v>
      </c>
      <c r="K121" s="3" t="b">
        <v>1</v>
      </c>
      <c r="L121" s="3" t="s">
        <v>54</v>
      </c>
      <c r="M121" s="3" t="s">
        <v>44</v>
      </c>
      <c r="N121" s="3">
        <v>135000</v>
      </c>
      <c r="O121" s="4"/>
      <c r="P121" s="3" t="s">
        <v>515</v>
      </c>
      <c r="Q121" s="3" t="s">
        <v>516</v>
      </c>
    </row>
    <row r="122" spans="1:17" x14ac:dyDescent="0.2">
      <c r="A122" s="3" t="s">
        <v>90</v>
      </c>
      <c r="B122" s="3" t="s">
        <v>517</v>
      </c>
      <c r="C122" s="3" t="s">
        <v>518</v>
      </c>
      <c r="D122" s="3" t="s">
        <v>74</v>
      </c>
      <c r="E122" s="3" t="s">
        <v>40</v>
      </c>
      <c r="F122" s="3" t="b">
        <v>0</v>
      </c>
      <c r="G122" s="3" t="s">
        <v>125</v>
      </c>
      <c r="H122" s="3" t="s">
        <v>141</v>
      </c>
      <c r="I122" s="3" t="s">
        <v>519</v>
      </c>
      <c r="J122" s="3" t="b">
        <v>0</v>
      </c>
      <c r="K122" s="3" t="b">
        <v>1</v>
      </c>
      <c r="L122" s="3" t="s">
        <v>54</v>
      </c>
      <c r="M122" s="3" t="s">
        <v>79</v>
      </c>
      <c r="N122" s="4"/>
      <c r="O122" s="3">
        <v>52.77999878</v>
      </c>
      <c r="P122" s="3" t="s">
        <v>520</v>
      </c>
      <c r="Q122" s="3" t="s">
        <v>521</v>
      </c>
    </row>
    <row r="123" spans="1:17" x14ac:dyDescent="0.2">
      <c r="A123" s="3" t="s">
        <v>47</v>
      </c>
      <c r="B123" s="3" t="s">
        <v>47</v>
      </c>
      <c r="C123" s="3" t="s">
        <v>522</v>
      </c>
      <c r="D123" s="3" t="s">
        <v>135</v>
      </c>
      <c r="E123" s="3" t="s">
        <v>40</v>
      </c>
      <c r="F123" s="3" t="b">
        <v>0</v>
      </c>
      <c r="G123" s="3" t="s">
        <v>97</v>
      </c>
      <c r="H123" s="3" t="s">
        <v>77</v>
      </c>
      <c r="I123" s="5">
        <v>45087.336805555555</v>
      </c>
      <c r="J123" s="3" t="b">
        <v>0</v>
      </c>
      <c r="K123" s="3" t="b">
        <v>0</v>
      </c>
      <c r="L123" s="3" t="s">
        <v>54</v>
      </c>
      <c r="M123" s="3" t="s">
        <v>44</v>
      </c>
      <c r="N123" s="3">
        <v>108415.5</v>
      </c>
      <c r="O123" s="4"/>
      <c r="P123" s="3" t="s">
        <v>182</v>
      </c>
      <c r="Q123" s="3" t="s">
        <v>523</v>
      </c>
    </row>
    <row r="124" spans="1:17" x14ac:dyDescent="0.2">
      <c r="A124" s="3" t="s">
        <v>47</v>
      </c>
      <c r="B124" s="3" t="s">
        <v>524</v>
      </c>
      <c r="C124" s="3" t="s">
        <v>525</v>
      </c>
      <c r="D124" s="3" t="s">
        <v>74</v>
      </c>
      <c r="E124" s="3" t="s">
        <v>75</v>
      </c>
      <c r="F124" s="3" t="b">
        <v>0</v>
      </c>
      <c r="G124" s="3" t="s">
        <v>125</v>
      </c>
      <c r="H124" s="3" t="s">
        <v>163</v>
      </c>
      <c r="I124" s="5">
        <v>45271.29583333333</v>
      </c>
      <c r="J124" s="3" t="b">
        <v>1</v>
      </c>
      <c r="K124" s="3" t="b">
        <v>1</v>
      </c>
      <c r="L124" s="3" t="s">
        <v>54</v>
      </c>
      <c r="M124" s="3" t="s">
        <v>79</v>
      </c>
      <c r="N124" s="4"/>
      <c r="O124" s="3">
        <v>54.420001980000002</v>
      </c>
      <c r="P124" s="3" t="s">
        <v>526</v>
      </c>
      <c r="Q124" s="3" t="s">
        <v>527</v>
      </c>
    </row>
    <row r="125" spans="1:17" x14ac:dyDescent="0.2">
      <c r="A125" s="3" t="s">
        <v>47</v>
      </c>
      <c r="B125" s="3" t="s">
        <v>528</v>
      </c>
      <c r="C125" s="3" t="s">
        <v>529</v>
      </c>
      <c r="D125" s="3" t="s">
        <v>74</v>
      </c>
      <c r="E125" s="3" t="s">
        <v>40</v>
      </c>
      <c r="F125" s="3" t="b">
        <v>0</v>
      </c>
      <c r="G125" s="3" t="s">
        <v>60</v>
      </c>
      <c r="H125" s="3" t="s">
        <v>141</v>
      </c>
      <c r="I125" s="5">
        <v>45146.254166666666</v>
      </c>
      <c r="J125" s="3" t="b">
        <v>0</v>
      </c>
      <c r="K125" s="3" t="b">
        <v>0</v>
      </c>
      <c r="L125" s="3" t="s">
        <v>54</v>
      </c>
      <c r="M125" s="3" t="s">
        <v>79</v>
      </c>
      <c r="N125" s="4"/>
      <c r="O125" s="3">
        <v>50.66999817</v>
      </c>
      <c r="P125" s="3" t="s">
        <v>530</v>
      </c>
      <c r="Q125" s="3" t="s">
        <v>531</v>
      </c>
    </row>
    <row r="126" spans="1:17" x14ac:dyDescent="0.2">
      <c r="A126" s="3" t="s">
        <v>47</v>
      </c>
      <c r="B126" s="3" t="s">
        <v>47</v>
      </c>
      <c r="C126" s="3" t="s">
        <v>532</v>
      </c>
      <c r="D126" s="3" t="s">
        <v>220</v>
      </c>
      <c r="E126" s="3" t="s">
        <v>124</v>
      </c>
      <c r="F126" s="3" t="b">
        <v>0</v>
      </c>
      <c r="G126" s="3" t="s">
        <v>76</v>
      </c>
      <c r="H126" s="3" t="s">
        <v>52</v>
      </c>
      <c r="I126" s="5">
        <v>45141.630555555559</v>
      </c>
      <c r="J126" s="3" t="b">
        <v>1</v>
      </c>
      <c r="K126" s="3" t="b">
        <v>0</v>
      </c>
      <c r="L126" s="3" t="s">
        <v>54</v>
      </c>
      <c r="M126" s="3" t="s">
        <v>79</v>
      </c>
      <c r="N126" s="4"/>
      <c r="O126" s="3">
        <v>55</v>
      </c>
      <c r="P126" s="3" t="s">
        <v>533</v>
      </c>
      <c r="Q126" s="3" t="s">
        <v>534</v>
      </c>
    </row>
    <row r="127" spans="1:17" x14ac:dyDescent="0.2">
      <c r="A127" s="3" t="s">
        <v>57</v>
      </c>
      <c r="B127" s="3" t="s">
        <v>57</v>
      </c>
      <c r="C127" s="3" t="s">
        <v>384</v>
      </c>
      <c r="D127" s="3" t="s">
        <v>102</v>
      </c>
      <c r="E127" s="3" t="s">
        <v>40</v>
      </c>
      <c r="F127" s="3" t="b">
        <v>0</v>
      </c>
      <c r="G127" s="3" t="s">
        <v>76</v>
      </c>
      <c r="H127" s="3" t="s">
        <v>258</v>
      </c>
      <c r="I127" s="5">
        <v>45021.584027777775</v>
      </c>
      <c r="J127" s="3" t="b">
        <v>1</v>
      </c>
      <c r="K127" s="3" t="b">
        <v>1</v>
      </c>
      <c r="L127" s="3" t="s">
        <v>54</v>
      </c>
      <c r="M127" s="3" t="s">
        <v>44</v>
      </c>
      <c r="N127" s="3">
        <v>150000</v>
      </c>
      <c r="O127" s="4"/>
      <c r="P127" s="3" t="s">
        <v>414</v>
      </c>
      <c r="Q127" s="3" t="s">
        <v>535</v>
      </c>
    </row>
    <row r="128" spans="1:17" x14ac:dyDescent="0.2">
      <c r="A128" s="3" t="s">
        <v>536</v>
      </c>
      <c r="B128" s="3" t="s">
        <v>537</v>
      </c>
      <c r="C128" s="3" t="s">
        <v>538</v>
      </c>
      <c r="D128" s="3" t="s">
        <v>539</v>
      </c>
      <c r="E128" s="3" t="s">
        <v>540</v>
      </c>
      <c r="F128" s="3" t="b">
        <v>0</v>
      </c>
      <c r="G128" s="3" t="s">
        <v>41</v>
      </c>
      <c r="H128" s="3" t="s">
        <v>77</v>
      </c>
      <c r="I128" s="3" t="s">
        <v>541</v>
      </c>
      <c r="J128" s="3" t="b">
        <v>1</v>
      </c>
      <c r="K128" s="3" t="b">
        <v>0</v>
      </c>
      <c r="L128" s="3" t="s">
        <v>41</v>
      </c>
      <c r="M128" s="3" t="s">
        <v>79</v>
      </c>
      <c r="N128" s="4"/>
      <c r="O128" s="3">
        <v>40</v>
      </c>
      <c r="P128" s="3" t="s">
        <v>542</v>
      </c>
      <c r="Q128" s="3" t="s">
        <v>543</v>
      </c>
    </row>
    <row r="129" spans="1:17" x14ac:dyDescent="0.2">
      <c r="A129" s="3" t="s">
        <v>120</v>
      </c>
      <c r="B129" s="3" t="s">
        <v>544</v>
      </c>
      <c r="C129" s="3" t="s">
        <v>545</v>
      </c>
      <c r="D129" s="3" t="s">
        <v>66</v>
      </c>
      <c r="E129" s="3" t="s">
        <v>40</v>
      </c>
      <c r="F129" s="3" t="b">
        <v>0</v>
      </c>
      <c r="G129" s="3" t="s">
        <v>443</v>
      </c>
      <c r="H129" s="3" t="s">
        <v>61</v>
      </c>
      <c r="I129" s="3" t="s">
        <v>546</v>
      </c>
      <c r="J129" s="3" t="b">
        <v>0</v>
      </c>
      <c r="K129" s="3" t="b">
        <v>0</v>
      </c>
      <c r="L129" s="3" t="s">
        <v>443</v>
      </c>
      <c r="M129" s="3" t="s">
        <v>44</v>
      </c>
      <c r="N129" s="3">
        <v>111175</v>
      </c>
      <c r="O129" s="4"/>
      <c r="P129" s="3" t="s">
        <v>547</v>
      </c>
      <c r="Q129" s="3" t="s">
        <v>548</v>
      </c>
    </row>
    <row r="130" spans="1:17" x14ac:dyDescent="0.2">
      <c r="A130" s="3" t="s">
        <v>47</v>
      </c>
      <c r="B130" s="3" t="s">
        <v>549</v>
      </c>
      <c r="C130" s="3" t="s">
        <v>391</v>
      </c>
      <c r="D130" s="3" t="s">
        <v>135</v>
      </c>
      <c r="E130" s="3" t="s">
        <v>40</v>
      </c>
      <c r="F130" s="3" t="b">
        <v>0</v>
      </c>
      <c r="G130" s="3" t="s">
        <v>97</v>
      </c>
      <c r="H130" s="3" t="s">
        <v>136</v>
      </c>
      <c r="I130" s="3" t="s">
        <v>550</v>
      </c>
      <c r="J130" s="3" t="b">
        <v>0</v>
      </c>
      <c r="K130" s="3" t="b">
        <v>1</v>
      </c>
      <c r="L130" s="3" t="s">
        <v>54</v>
      </c>
      <c r="M130" s="3" t="s">
        <v>44</v>
      </c>
      <c r="N130" s="3">
        <v>90000</v>
      </c>
      <c r="O130" s="4"/>
      <c r="P130" s="3" t="s">
        <v>551</v>
      </c>
      <c r="Q130" s="3" t="s">
        <v>552</v>
      </c>
    </row>
    <row r="131" spans="1:17" x14ac:dyDescent="0.2">
      <c r="A131" s="3" t="s">
        <v>71</v>
      </c>
      <c r="B131" s="3" t="s">
        <v>71</v>
      </c>
      <c r="C131" s="3" t="s">
        <v>553</v>
      </c>
      <c r="D131" s="3" t="s">
        <v>220</v>
      </c>
      <c r="E131" s="3" t="s">
        <v>124</v>
      </c>
      <c r="F131" s="3" t="b">
        <v>0</v>
      </c>
      <c r="G131" s="3" t="s">
        <v>60</v>
      </c>
      <c r="H131" s="3" t="s">
        <v>42</v>
      </c>
      <c r="I131" s="3" t="s">
        <v>554</v>
      </c>
      <c r="J131" s="3" t="b">
        <v>0</v>
      </c>
      <c r="K131" s="3" t="b">
        <v>0</v>
      </c>
      <c r="L131" s="3" t="s">
        <v>54</v>
      </c>
      <c r="M131" s="3" t="s">
        <v>79</v>
      </c>
      <c r="N131" s="4"/>
      <c r="O131" s="3">
        <v>70</v>
      </c>
      <c r="P131" s="3" t="s">
        <v>555</v>
      </c>
      <c r="Q131" s="4"/>
    </row>
    <row r="132" spans="1:17" x14ac:dyDescent="0.2">
      <c r="A132" s="3" t="s">
        <v>90</v>
      </c>
      <c r="B132" s="3" t="s">
        <v>90</v>
      </c>
      <c r="C132" s="3" t="s">
        <v>556</v>
      </c>
      <c r="D132" s="3" t="s">
        <v>147</v>
      </c>
      <c r="E132" s="3" t="s">
        <v>75</v>
      </c>
      <c r="F132" s="3" t="b">
        <v>0</v>
      </c>
      <c r="G132" s="3" t="s">
        <v>60</v>
      </c>
      <c r="H132" s="3" t="s">
        <v>77</v>
      </c>
      <c r="I132" s="3" t="s">
        <v>557</v>
      </c>
      <c r="J132" s="3" t="b">
        <v>0</v>
      </c>
      <c r="K132" s="3" t="b">
        <v>1</v>
      </c>
      <c r="L132" s="3" t="s">
        <v>54</v>
      </c>
      <c r="M132" s="3" t="s">
        <v>44</v>
      </c>
      <c r="N132" s="3">
        <v>173500</v>
      </c>
      <c r="O132" s="4"/>
      <c r="P132" s="3" t="s">
        <v>149</v>
      </c>
      <c r="Q132" s="3" t="s">
        <v>558</v>
      </c>
    </row>
    <row r="133" spans="1:17" x14ac:dyDescent="0.2">
      <c r="A133" s="3" t="s">
        <v>71</v>
      </c>
      <c r="B133" s="3" t="s">
        <v>559</v>
      </c>
      <c r="C133" s="3" t="s">
        <v>86</v>
      </c>
      <c r="D133" s="3" t="s">
        <v>102</v>
      </c>
      <c r="E133" s="3" t="s">
        <v>40</v>
      </c>
      <c r="F133" s="3" t="b">
        <v>1</v>
      </c>
      <c r="G133" s="3" t="s">
        <v>76</v>
      </c>
      <c r="H133" s="3" t="s">
        <v>258</v>
      </c>
      <c r="I133" s="3" t="s">
        <v>560</v>
      </c>
      <c r="J133" s="3" t="b">
        <v>0</v>
      </c>
      <c r="K133" s="3" t="b">
        <v>1</v>
      </c>
      <c r="L133" s="3" t="s">
        <v>54</v>
      </c>
      <c r="M133" s="3" t="s">
        <v>44</v>
      </c>
      <c r="N133" s="3">
        <v>324000</v>
      </c>
      <c r="O133" s="4"/>
      <c r="P133" s="3" t="s">
        <v>561</v>
      </c>
      <c r="Q133" s="4"/>
    </row>
    <row r="134" spans="1:17" x14ac:dyDescent="0.2">
      <c r="A134" s="3" t="s">
        <v>47</v>
      </c>
      <c r="B134" s="3" t="s">
        <v>47</v>
      </c>
      <c r="C134" s="3" t="s">
        <v>532</v>
      </c>
      <c r="D134" s="3" t="s">
        <v>102</v>
      </c>
      <c r="E134" s="3" t="s">
        <v>40</v>
      </c>
      <c r="F134" s="3" t="b">
        <v>0</v>
      </c>
      <c r="G134" s="3" t="s">
        <v>41</v>
      </c>
      <c r="H134" s="3" t="s">
        <v>130</v>
      </c>
      <c r="I134" s="5">
        <v>45058.111805555556</v>
      </c>
      <c r="J134" s="3" t="b">
        <v>0</v>
      </c>
      <c r="K134" s="3" t="b">
        <v>1</v>
      </c>
      <c r="L134" s="3" t="s">
        <v>41</v>
      </c>
      <c r="M134" s="3" t="s">
        <v>44</v>
      </c>
      <c r="N134" s="3">
        <v>102500</v>
      </c>
      <c r="O134" s="4"/>
      <c r="P134" s="3" t="s">
        <v>352</v>
      </c>
      <c r="Q134" s="3" t="s">
        <v>562</v>
      </c>
    </row>
    <row r="135" spans="1:17" x14ac:dyDescent="0.2">
      <c r="A135" s="3" t="s">
        <v>47</v>
      </c>
      <c r="B135" s="3" t="s">
        <v>563</v>
      </c>
      <c r="C135" s="3" t="s">
        <v>564</v>
      </c>
      <c r="D135" s="3" t="s">
        <v>565</v>
      </c>
      <c r="E135" s="3" t="s">
        <v>40</v>
      </c>
      <c r="F135" s="3" t="b">
        <v>0</v>
      </c>
      <c r="G135" s="3" t="s">
        <v>97</v>
      </c>
      <c r="H135" s="3" t="s">
        <v>258</v>
      </c>
      <c r="I135" s="5">
        <v>45204.42291666667</v>
      </c>
      <c r="J135" s="3" t="b">
        <v>1</v>
      </c>
      <c r="K135" s="3" t="b">
        <v>0</v>
      </c>
      <c r="L135" s="3" t="s">
        <v>54</v>
      </c>
      <c r="M135" s="3" t="s">
        <v>44</v>
      </c>
      <c r="N135" s="3">
        <v>115000</v>
      </c>
      <c r="O135" s="4"/>
      <c r="P135" s="3" t="s">
        <v>566</v>
      </c>
      <c r="Q135" s="3" t="s">
        <v>567</v>
      </c>
    </row>
    <row r="136" spans="1:17" x14ac:dyDescent="0.2">
      <c r="A136" s="3" t="s">
        <v>71</v>
      </c>
      <c r="B136" s="3" t="s">
        <v>568</v>
      </c>
      <c r="C136" s="3" t="s">
        <v>86</v>
      </c>
      <c r="D136" s="3" t="s">
        <v>102</v>
      </c>
      <c r="E136" s="3" t="s">
        <v>40</v>
      </c>
      <c r="F136" s="3" t="b">
        <v>1</v>
      </c>
      <c r="G136" s="3" t="s">
        <v>51</v>
      </c>
      <c r="H136" s="3" t="s">
        <v>77</v>
      </c>
      <c r="I136" s="3" t="s">
        <v>569</v>
      </c>
      <c r="J136" s="3" t="b">
        <v>0</v>
      </c>
      <c r="K136" s="3" t="b">
        <v>0</v>
      </c>
      <c r="L136" s="3" t="s">
        <v>54</v>
      </c>
      <c r="M136" s="3" t="s">
        <v>44</v>
      </c>
      <c r="N136" s="3">
        <v>120000</v>
      </c>
      <c r="O136" s="4"/>
      <c r="P136" s="3" t="s">
        <v>335</v>
      </c>
      <c r="Q136" s="3" t="s">
        <v>570</v>
      </c>
    </row>
    <row r="137" spans="1:17" x14ac:dyDescent="0.2">
      <c r="A137" s="3" t="s">
        <v>71</v>
      </c>
      <c r="B137" s="3" t="s">
        <v>571</v>
      </c>
      <c r="C137" s="3" t="s">
        <v>86</v>
      </c>
      <c r="D137" s="3" t="s">
        <v>301</v>
      </c>
      <c r="E137" s="3" t="s">
        <v>40</v>
      </c>
      <c r="F137" s="3" t="b">
        <v>1</v>
      </c>
      <c r="G137" s="3" t="s">
        <v>76</v>
      </c>
      <c r="H137" s="3" t="s">
        <v>181</v>
      </c>
      <c r="I137" s="5">
        <v>45140.669444444444</v>
      </c>
      <c r="J137" s="3" t="b">
        <v>0</v>
      </c>
      <c r="K137" s="3" t="b">
        <v>0</v>
      </c>
      <c r="L137" s="3" t="s">
        <v>54</v>
      </c>
      <c r="M137" s="3" t="s">
        <v>79</v>
      </c>
      <c r="N137" s="4"/>
      <c r="O137" s="3">
        <v>30.5</v>
      </c>
      <c r="P137" s="3" t="s">
        <v>303</v>
      </c>
      <c r="Q137" s="3" t="s">
        <v>572</v>
      </c>
    </row>
    <row r="138" spans="1:17" x14ac:dyDescent="0.2">
      <c r="A138" s="3" t="s">
        <v>71</v>
      </c>
      <c r="B138" s="3" t="s">
        <v>573</v>
      </c>
      <c r="C138" s="3" t="s">
        <v>86</v>
      </c>
      <c r="D138" s="3" t="s">
        <v>301</v>
      </c>
      <c r="E138" s="3" t="s">
        <v>302</v>
      </c>
      <c r="F138" s="3" t="b">
        <v>1</v>
      </c>
      <c r="G138" s="3" t="s">
        <v>67</v>
      </c>
      <c r="H138" s="3" t="s">
        <v>130</v>
      </c>
      <c r="I138" s="3" t="s">
        <v>574</v>
      </c>
      <c r="J138" s="3" t="b">
        <v>0</v>
      </c>
      <c r="K138" s="3" t="b">
        <v>0</v>
      </c>
      <c r="L138" s="3" t="s">
        <v>54</v>
      </c>
      <c r="M138" s="3" t="s">
        <v>79</v>
      </c>
      <c r="N138" s="4"/>
      <c r="O138" s="3">
        <v>42.5</v>
      </c>
      <c r="P138" s="3" t="s">
        <v>303</v>
      </c>
      <c r="Q138" s="3" t="s">
        <v>575</v>
      </c>
    </row>
    <row r="139" spans="1:17" x14ac:dyDescent="0.2">
      <c r="A139" s="3" t="s">
        <v>120</v>
      </c>
      <c r="B139" s="3" t="s">
        <v>576</v>
      </c>
      <c r="C139" s="3" t="s">
        <v>477</v>
      </c>
      <c r="D139" s="3" t="s">
        <v>135</v>
      </c>
      <c r="E139" s="3" t="s">
        <v>40</v>
      </c>
      <c r="F139" s="3" t="b">
        <v>0</v>
      </c>
      <c r="G139" s="3" t="s">
        <v>76</v>
      </c>
      <c r="H139" s="3" t="s">
        <v>136</v>
      </c>
      <c r="I139" s="3" t="s">
        <v>577</v>
      </c>
      <c r="J139" s="3" t="b">
        <v>0</v>
      </c>
      <c r="K139" s="3" t="b">
        <v>0</v>
      </c>
      <c r="L139" s="3" t="s">
        <v>54</v>
      </c>
      <c r="M139" s="3" t="s">
        <v>44</v>
      </c>
      <c r="N139" s="3">
        <v>90000</v>
      </c>
      <c r="O139" s="4"/>
      <c r="P139" s="3" t="s">
        <v>578</v>
      </c>
      <c r="Q139" s="4"/>
    </row>
    <row r="140" spans="1:17" x14ac:dyDescent="0.2">
      <c r="A140" s="3" t="s">
        <v>36</v>
      </c>
      <c r="B140" s="3" t="s">
        <v>36</v>
      </c>
      <c r="C140" s="3" t="s">
        <v>384</v>
      </c>
      <c r="D140" s="3" t="s">
        <v>50</v>
      </c>
      <c r="E140" s="3" t="s">
        <v>40</v>
      </c>
      <c r="F140" s="3" t="b">
        <v>0</v>
      </c>
      <c r="G140" s="3" t="s">
        <v>76</v>
      </c>
      <c r="H140" s="3" t="s">
        <v>103</v>
      </c>
      <c r="I140" s="5">
        <v>45017.919444444444</v>
      </c>
      <c r="J140" s="3" t="b">
        <v>0</v>
      </c>
      <c r="K140" s="3" t="b">
        <v>1</v>
      </c>
      <c r="L140" s="3" t="s">
        <v>54</v>
      </c>
      <c r="M140" s="3" t="s">
        <v>44</v>
      </c>
      <c r="N140" s="3">
        <v>145000</v>
      </c>
      <c r="O140" s="4"/>
      <c r="P140" s="3" t="s">
        <v>579</v>
      </c>
      <c r="Q140" s="3" t="s">
        <v>580</v>
      </c>
    </row>
    <row r="141" spans="1:17" x14ac:dyDescent="0.2">
      <c r="A141" s="3" t="s">
        <v>47</v>
      </c>
      <c r="B141" s="3" t="s">
        <v>581</v>
      </c>
      <c r="C141" s="3" t="s">
        <v>582</v>
      </c>
      <c r="D141" s="3" t="s">
        <v>74</v>
      </c>
      <c r="E141" s="3" t="s">
        <v>40</v>
      </c>
      <c r="F141" s="3" t="b">
        <v>0</v>
      </c>
      <c r="G141" s="3" t="s">
        <v>97</v>
      </c>
      <c r="H141" s="3" t="s">
        <v>141</v>
      </c>
      <c r="I141" s="3" t="s">
        <v>583</v>
      </c>
      <c r="J141" s="3" t="b">
        <v>0</v>
      </c>
      <c r="K141" s="3" t="b">
        <v>1</v>
      </c>
      <c r="L141" s="3" t="s">
        <v>54</v>
      </c>
      <c r="M141" s="3" t="s">
        <v>79</v>
      </c>
      <c r="N141" s="4"/>
      <c r="O141" s="3">
        <v>50.870002749999998</v>
      </c>
      <c r="P141" s="3" t="s">
        <v>584</v>
      </c>
      <c r="Q141" s="3" t="s">
        <v>585</v>
      </c>
    </row>
    <row r="142" spans="1:17" x14ac:dyDescent="0.2">
      <c r="A142" s="3" t="s">
        <v>47</v>
      </c>
      <c r="B142" s="3" t="s">
        <v>47</v>
      </c>
      <c r="C142" s="3" t="s">
        <v>65</v>
      </c>
      <c r="D142" s="3" t="s">
        <v>135</v>
      </c>
      <c r="E142" s="3" t="s">
        <v>40</v>
      </c>
      <c r="F142" s="3" t="b">
        <v>0</v>
      </c>
      <c r="G142" s="3" t="s">
        <v>51</v>
      </c>
      <c r="H142" s="3" t="s">
        <v>42</v>
      </c>
      <c r="I142" s="3" t="s">
        <v>586</v>
      </c>
      <c r="J142" s="3" t="b">
        <v>0</v>
      </c>
      <c r="K142" s="3" t="b">
        <v>0</v>
      </c>
      <c r="L142" s="3" t="s">
        <v>54</v>
      </c>
      <c r="M142" s="3" t="s">
        <v>44</v>
      </c>
      <c r="N142" s="3">
        <v>125000</v>
      </c>
      <c r="O142" s="4"/>
      <c r="P142" s="3" t="s">
        <v>587</v>
      </c>
      <c r="Q142" s="3" t="s">
        <v>588</v>
      </c>
    </row>
    <row r="143" spans="1:17" x14ac:dyDescent="0.2">
      <c r="A143" s="3" t="s">
        <v>47</v>
      </c>
      <c r="B143" s="3" t="s">
        <v>549</v>
      </c>
      <c r="C143" s="3" t="s">
        <v>324</v>
      </c>
      <c r="D143" s="3" t="s">
        <v>135</v>
      </c>
      <c r="E143" s="3" t="s">
        <v>40</v>
      </c>
      <c r="F143" s="3" t="b">
        <v>0</v>
      </c>
      <c r="G143" s="3" t="s">
        <v>67</v>
      </c>
      <c r="H143" s="3" t="s">
        <v>136</v>
      </c>
      <c r="I143" s="5">
        <v>44932.398611111108</v>
      </c>
      <c r="J143" s="3" t="b">
        <v>0</v>
      </c>
      <c r="K143" s="3" t="b">
        <v>0</v>
      </c>
      <c r="L143" s="3" t="s">
        <v>54</v>
      </c>
      <c r="M143" s="3" t="s">
        <v>44</v>
      </c>
      <c r="N143" s="3">
        <v>150000</v>
      </c>
      <c r="O143" s="4"/>
      <c r="P143" s="3" t="s">
        <v>589</v>
      </c>
      <c r="Q143" s="3" t="s">
        <v>590</v>
      </c>
    </row>
    <row r="144" spans="1:17" x14ac:dyDescent="0.2">
      <c r="A144" s="3" t="s">
        <v>120</v>
      </c>
      <c r="B144" s="3" t="s">
        <v>591</v>
      </c>
      <c r="C144" s="3" t="s">
        <v>86</v>
      </c>
      <c r="D144" s="3" t="s">
        <v>74</v>
      </c>
      <c r="E144" s="3" t="s">
        <v>75</v>
      </c>
      <c r="F144" s="3" t="b">
        <v>1</v>
      </c>
      <c r="G144" s="3" t="s">
        <v>67</v>
      </c>
      <c r="H144" s="3" t="s">
        <v>77</v>
      </c>
      <c r="I144" s="3" t="s">
        <v>592</v>
      </c>
      <c r="J144" s="3" t="b">
        <v>0</v>
      </c>
      <c r="K144" s="3" t="b">
        <v>1</v>
      </c>
      <c r="L144" s="3" t="s">
        <v>54</v>
      </c>
      <c r="M144" s="3" t="s">
        <v>79</v>
      </c>
      <c r="N144" s="4"/>
      <c r="O144" s="3">
        <v>17.959999079999999</v>
      </c>
      <c r="P144" s="3" t="s">
        <v>593</v>
      </c>
      <c r="Q144" s="3" t="s">
        <v>594</v>
      </c>
    </row>
    <row r="145" spans="1:17" x14ac:dyDescent="0.2">
      <c r="A145" s="3" t="s">
        <v>36</v>
      </c>
      <c r="B145" s="3" t="s">
        <v>36</v>
      </c>
      <c r="C145" s="3" t="s">
        <v>86</v>
      </c>
      <c r="D145" s="3" t="s">
        <v>50</v>
      </c>
      <c r="E145" s="3" t="s">
        <v>40</v>
      </c>
      <c r="F145" s="3" t="b">
        <v>1</v>
      </c>
      <c r="G145" s="3" t="s">
        <v>67</v>
      </c>
      <c r="H145" s="3" t="s">
        <v>42</v>
      </c>
      <c r="I145" s="5">
        <v>45234.808333333334</v>
      </c>
      <c r="J145" s="3" t="b">
        <v>0</v>
      </c>
      <c r="K145" s="3" t="b">
        <v>1</v>
      </c>
      <c r="L145" s="3" t="s">
        <v>54</v>
      </c>
      <c r="M145" s="3" t="s">
        <v>44</v>
      </c>
      <c r="N145" s="3">
        <v>155000</v>
      </c>
      <c r="O145" s="4"/>
      <c r="P145" s="3" t="s">
        <v>595</v>
      </c>
      <c r="Q145" s="3" t="s">
        <v>596</v>
      </c>
    </row>
    <row r="146" spans="1:17" x14ac:dyDescent="0.2">
      <c r="A146" s="3" t="s">
        <v>47</v>
      </c>
      <c r="B146" s="3" t="s">
        <v>47</v>
      </c>
      <c r="C146" s="3" t="s">
        <v>206</v>
      </c>
      <c r="D146" s="3" t="s">
        <v>102</v>
      </c>
      <c r="E146" s="3" t="s">
        <v>40</v>
      </c>
      <c r="F146" s="3" t="b">
        <v>0</v>
      </c>
      <c r="G146" s="3" t="s">
        <v>67</v>
      </c>
      <c r="H146" s="3" t="s">
        <v>163</v>
      </c>
      <c r="I146" s="5">
        <v>45180.380555555559</v>
      </c>
      <c r="J146" s="3" t="b">
        <v>0</v>
      </c>
      <c r="K146" s="3" t="b">
        <v>0</v>
      </c>
      <c r="L146" s="3" t="s">
        <v>54</v>
      </c>
      <c r="M146" s="3" t="s">
        <v>44</v>
      </c>
      <c r="N146" s="3">
        <v>145000</v>
      </c>
      <c r="O146" s="4"/>
      <c r="P146" s="3" t="s">
        <v>597</v>
      </c>
      <c r="Q146" s="3" t="s">
        <v>598</v>
      </c>
    </row>
    <row r="147" spans="1:17" x14ac:dyDescent="0.2">
      <c r="A147" s="3" t="s">
        <v>71</v>
      </c>
      <c r="B147" s="3" t="s">
        <v>71</v>
      </c>
      <c r="C147" s="3" t="s">
        <v>599</v>
      </c>
      <c r="D147" s="3" t="s">
        <v>66</v>
      </c>
      <c r="E147" s="3" t="s">
        <v>40</v>
      </c>
      <c r="F147" s="3" t="b">
        <v>0</v>
      </c>
      <c r="G147" s="3" t="s">
        <v>600</v>
      </c>
      <c r="H147" s="3" t="s">
        <v>141</v>
      </c>
      <c r="I147" s="5">
        <v>45146.577777777777</v>
      </c>
      <c r="J147" s="3" t="b">
        <v>0</v>
      </c>
      <c r="K147" s="3" t="b">
        <v>0</v>
      </c>
      <c r="L147" s="3" t="s">
        <v>600</v>
      </c>
      <c r="M147" s="3" t="s">
        <v>44</v>
      </c>
      <c r="N147" s="3">
        <v>157500</v>
      </c>
      <c r="O147" s="4"/>
      <c r="P147" s="3" t="s">
        <v>601</v>
      </c>
      <c r="Q147" s="3" t="s">
        <v>602</v>
      </c>
    </row>
    <row r="148" spans="1:17" x14ac:dyDescent="0.2">
      <c r="A148" s="3" t="s">
        <v>71</v>
      </c>
      <c r="B148" s="3" t="s">
        <v>603</v>
      </c>
      <c r="C148" s="3" t="s">
        <v>604</v>
      </c>
      <c r="D148" s="3" t="s">
        <v>66</v>
      </c>
      <c r="E148" s="3" t="s">
        <v>40</v>
      </c>
      <c r="F148" s="3" t="b">
        <v>0</v>
      </c>
      <c r="G148" s="3" t="s">
        <v>605</v>
      </c>
      <c r="H148" s="3" t="s">
        <v>61</v>
      </c>
      <c r="I148" s="5">
        <v>45084.890277777777</v>
      </c>
      <c r="J148" s="3" t="b">
        <v>0</v>
      </c>
      <c r="K148" s="3" t="b">
        <v>0</v>
      </c>
      <c r="L148" s="3" t="s">
        <v>605</v>
      </c>
      <c r="M148" s="3" t="s">
        <v>44</v>
      </c>
      <c r="N148" s="3">
        <v>90670</v>
      </c>
      <c r="O148" s="4"/>
      <c r="P148" s="3" t="s">
        <v>606</v>
      </c>
      <c r="Q148" s="3" t="s">
        <v>607</v>
      </c>
    </row>
    <row r="149" spans="1:17" x14ac:dyDescent="0.2">
      <c r="A149" s="3" t="s">
        <v>47</v>
      </c>
      <c r="B149" s="3" t="s">
        <v>233</v>
      </c>
      <c r="C149" s="3" t="s">
        <v>509</v>
      </c>
      <c r="D149" s="3" t="s">
        <v>50</v>
      </c>
      <c r="E149" s="3" t="s">
        <v>40</v>
      </c>
      <c r="F149" s="3" t="b">
        <v>0</v>
      </c>
      <c r="G149" s="3" t="s">
        <v>67</v>
      </c>
      <c r="H149" s="3" t="s">
        <v>141</v>
      </c>
      <c r="I149" s="3" t="s">
        <v>608</v>
      </c>
      <c r="J149" s="3" t="b">
        <v>0</v>
      </c>
      <c r="K149" s="3" t="b">
        <v>1</v>
      </c>
      <c r="L149" s="3" t="s">
        <v>54</v>
      </c>
      <c r="M149" s="3" t="s">
        <v>44</v>
      </c>
      <c r="N149" s="3">
        <v>67900</v>
      </c>
      <c r="O149" s="4"/>
      <c r="P149" s="3" t="s">
        <v>235</v>
      </c>
      <c r="Q149" s="3" t="s">
        <v>236</v>
      </c>
    </row>
    <row r="150" spans="1:17" x14ac:dyDescent="0.2">
      <c r="A150" s="3" t="s">
        <v>71</v>
      </c>
      <c r="B150" s="3" t="s">
        <v>609</v>
      </c>
      <c r="C150" s="3" t="s">
        <v>538</v>
      </c>
      <c r="D150" s="3" t="s">
        <v>50</v>
      </c>
      <c r="E150" s="3" t="s">
        <v>40</v>
      </c>
      <c r="F150" s="3" t="b">
        <v>0</v>
      </c>
      <c r="G150" s="3" t="s">
        <v>51</v>
      </c>
      <c r="H150" s="3" t="s">
        <v>163</v>
      </c>
      <c r="I150" s="3" t="s">
        <v>610</v>
      </c>
      <c r="J150" s="3" t="b">
        <v>0</v>
      </c>
      <c r="K150" s="3" t="b">
        <v>1</v>
      </c>
      <c r="L150" s="3" t="s">
        <v>54</v>
      </c>
      <c r="M150" s="3" t="s">
        <v>79</v>
      </c>
      <c r="N150" s="4"/>
      <c r="O150" s="3">
        <v>36.5</v>
      </c>
      <c r="P150" s="3" t="s">
        <v>611</v>
      </c>
      <c r="Q150" s="3" t="s">
        <v>612</v>
      </c>
    </row>
    <row r="151" spans="1:17" x14ac:dyDescent="0.2">
      <c r="A151" s="3" t="s">
        <v>90</v>
      </c>
      <c r="B151" s="3" t="s">
        <v>613</v>
      </c>
      <c r="C151" s="3" t="s">
        <v>338</v>
      </c>
      <c r="D151" s="3" t="s">
        <v>565</v>
      </c>
      <c r="E151" s="3" t="s">
        <v>40</v>
      </c>
      <c r="F151" s="3" t="b">
        <v>0</v>
      </c>
      <c r="G151" s="3" t="s">
        <v>60</v>
      </c>
      <c r="H151" s="3" t="s">
        <v>52</v>
      </c>
      <c r="I151" s="3" t="s">
        <v>614</v>
      </c>
      <c r="J151" s="3" t="b">
        <v>0</v>
      </c>
      <c r="K151" s="3" t="b">
        <v>1</v>
      </c>
      <c r="L151" s="3" t="s">
        <v>54</v>
      </c>
      <c r="M151" s="3" t="s">
        <v>44</v>
      </c>
      <c r="N151" s="3">
        <v>173500</v>
      </c>
      <c r="O151" s="4"/>
      <c r="P151" s="3" t="s">
        <v>149</v>
      </c>
      <c r="Q151" s="3" t="s">
        <v>615</v>
      </c>
    </row>
    <row r="152" spans="1:17" x14ac:dyDescent="0.2">
      <c r="A152" s="3" t="s">
        <v>47</v>
      </c>
      <c r="B152" s="3" t="s">
        <v>549</v>
      </c>
      <c r="C152" s="3" t="s">
        <v>616</v>
      </c>
      <c r="D152" s="3" t="s">
        <v>50</v>
      </c>
      <c r="E152" s="3" t="s">
        <v>40</v>
      </c>
      <c r="F152" s="3" t="b">
        <v>0</v>
      </c>
      <c r="G152" s="3" t="s">
        <v>76</v>
      </c>
      <c r="H152" s="3" t="s">
        <v>136</v>
      </c>
      <c r="I152" s="5">
        <v>45083.338194444441</v>
      </c>
      <c r="J152" s="3" t="b">
        <v>1</v>
      </c>
      <c r="K152" s="3" t="b">
        <v>0</v>
      </c>
      <c r="L152" s="3" t="s">
        <v>54</v>
      </c>
      <c r="M152" s="3" t="s">
        <v>44</v>
      </c>
      <c r="N152" s="3">
        <v>145000</v>
      </c>
      <c r="O152" s="4"/>
      <c r="P152" s="3" t="s">
        <v>579</v>
      </c>
      <c r="Q152" s="3" t="s">
        <v>617</v>
      </c>
    </row>
    <row r="153" spans="1:17" x14ac:dyDescent="0.2">
      <c r="A153" s="3" t="s">
        <v>47</v>
      </c>
      <c r="B153" s="3" t="s">
        <v>618</v>
      </c>
      <c r="C153" s="3" t="s">
        <v>619</v>
      </c>
      <c r="D153" s="3" t="s">
        <v>102</v>
      </c>
      <c r="E153" s="3" t="s">
        <v>40</v>
      </c>
      <c r="F153" s="3" t="b">
        <v>0</v>
      </c>
      <c r="G153" s="3" t="s">
        <v>67</v>
      </c>
      <c r="H153" s="3" t="s">
        <v>61</v>
      </c>
      <c r="I153" s="5">
        <v>45114.047222222223</v>
      </c>
      <c r="J153" s="3" t="b">
        <v>0</v>
      </c>
      <c r="K153" s="3" t="b">
        <v>1</v>
      </c>
      <c r="L153" s="3" t="s">
        <v>54</v>
      </c>
      <c r="M153" s="3" t="s">
        <v>44</v>
      </c>
      <c r="N153" s="3">
        <v>129500</v>
      </c>
      <c r="O153" s="4"/>
      <c r="P153" s="3" t="s">
        <v>620</v>
      </c>
      <c r="Q153" s="3" t="s">
        <v>621</v>
      </c>
    </row>
    <row r="154" spans="1:17" x14ac:dyDescent="0.2">
      <c r="A154" s="3" t="s">
        <v>57</v>
      </c>
      <c r="B154" s="3" t="s">
        <v>622</v>
      </c>
      <c r="C154" s="3" t="s">
        <v>623</v>
      </c>
      <c r="D154" s="3" t="s">
        <v>50</v>
      </c>
      <c r="E154" s="3" t="s">
        <v>40</v>
      </c>
      <c r="F154" s="3" t="b">
        <v>0</v>
      </c>
      <c r="G154" s="3" t="s">
        <v>51</v>
      </c>
      <c r="H154" s="3" t="s">
        <v>93</v>
      </c>
      <c r="I154" s="5">
        <v>44935.020138888889</v>
      </c>
      <c r="J154" s="3" t="b">
        <v>0</v>
      </c>
      <c r="K154" s="3" t="b">
        <v>1</v>
      </c>
      <c r="L154" s="3" t="s">
        <v>54</v>
      </c>
      <c r="M154" s="3" t="s">
        <v>44</v>
      </c>
      <c r="N154" s="3">
        <v>145500</v>
      </c>
      <c r="O154" s="4"/>
      <c r="P154" s="3" t="s">
        <v>624</v>
      </c>
      <c r="Q154" s="3" t="s">
        <v>625</v>
      </c>
    </row>
    <row r="155" spans="1:17" x14ac:dyDescent="0.2">
      <c r="A155" s="3" t="s">
        <v>47</v>
      </c>
      <c r="B155" s="3" t="s">
        <v>626</v>
      </c>
      <c r="C155" s="3" t="s">
        <v>627</v>
      </c>
      <c r="D155" s="3" t="s">
        <v>628</v>
      </c>
      <c r="E155" s="3" t="s">
        <v>40</v>
      </c>
      <c r="F155" s="3" t="b">
        <v>0</v>
      </c>
      <c r="G155" s="3" t="s">
        <v>97</v>
      </c>
      <c r="H155" s="3" t="s">
        <v>52</v>
      </c>
      <c r="I155" s="3" t="s">
        <v>629</v>
      </c>
      <c r="J155" s="3" t="b">
        <v>0</v>
      </c>
      <c r="K155" s="3" t="b">
        <v>1</v>
      </c>
      <c r="L155" s="3" t="s">
        <v>54</v>
      </c>
      <c r="M155" s="3" t="s">
        <v>44</v>
      </c>
      <c r="N155" s="3">
        <v>131000</v>
      </c>
      <c r="O155" s="4"/>
      <c r="P155" s="3" t="s">
        <v>228</v>
      </c>
      <c r="Q155" s="3" t="s">
        <v>630</v>
      </c>
    </row>
    <row r="156" spans="1:17" x14ac:dyDescent="0.2">
      <c r="A156" s="3" t="s">
        <v>120</v>
      </c>
      <c r="B156" s="3" t="s">
        <v>631</v>
      </c>
      <c r="C156" s="3" t="s">
        <v>395</v>
      </c>
      <c r="D156" s="3" t="s">
        <v>455</v>
      </c>
      <c r="E156" s="3" t="s">
        <v>40</v>
      </c>
      <c r="F156" s="3" t="b">
        <v>0</v>
      </c>
      <c r="G156" s="3" t="s">
        <v>76</v>
      </c>
      <c r="H156" s="3" t="s">
        <v>130</v>
      </c>
      <c r="I156" s="3" t="s">
        <v>456</v>
      </c>
      <c r="J156" s="3" t="b">
        <v>0</v>
      </c>
      <c r="K156" s="3" t="b">
        <v>0</v>
      </c>
      <c r="L156" s="3" t="s">
        <v>54</v>
      </c>
      <c r="M156" s="3" t="s">
        <v>44</v>
      </c>
      <c r="N156" s="3">
        <v>70000</v>
      </c>
      <c r="O156" s="4"/>
      <c r="P156" s="3" t="s">
        <v>632</v>
      </c>
      <c r="Q156" s="3" t="s">
        <v>633</v>
      </c>
    </row>
    <row r="157" spans="1:17" x14ac:dyDescent="0.2">
      <c r="A157" s="3" t="s">
        <v>47</v>
      </c>
      <c r="B157" s="3" t="s">
        <v>634</v>
      </c>
      <c r="C157" s="3" t="s">
        <v>86</v>
      </c>
      <c r="D157" s="3" t="s">
        <v>301</v>
      </c>
      <c r="E157" s="3" t="s">
        <v>124</v>
      </c>
      <c r="F157" s="3" t="b">
        <v>1</v>
      </c>
      <c r="G157" s="3" t="s">
        <v>60</v>
      </c>
      <c r="H157" s="3" t="s">
        <v>52</v>
      </c>
      <c r="I157" s="3" t="s">
        <v>635</v>
      </c>
      <c r="J157" s="3" t="b">
        <v>0</v>
      </c>
      <c r="K157" s="3" t="b">
        <v>0</v>
      </c>
      <c r="L157" s="3" t="s">
        <v>54</v>
      </c>
      <c r="M157" s="3" t="s">
        <v>79</v>
      </c>
      <c r="N157" s="4"/>
      <c r="O157" s="3">
        <v>40</v>
      </c>
      <c r="P157" s="3" t="s">
        <v>303</v>
      </c>
      <c r="Q157" s="3" t="s">
        <v>636</v>
      </c>
    </row>
    <row r="158" spans="1:17" x14ac:dyDescent="0.2">
      <c r="A158" s="3" t="s">
        <v>57</v>
      </c>
      <c r="B158" s="3" t="s">
        <v>637</v>
      </c>
      <c r="C158" s="3" t="s">
        <v>73</v>
      </c>
      <c r="D158" s="3" t="s">
        <v>135</v>
      </c>
      <c r="E158" s="3" t="s">
        <v>40</v>
      </c>
      <c r="F158" s="3" t="b">
        <v>0</v>
      </c>
      <c r="G158" s="3" t="s">
        <v>76</v>
      </c>
      <c r="H158" s="3" t="s">
        <v>258</v>
      </c>
      <c r="I158" s="5">
        <v>45082.502083333333</v>
      </c>
      <c r="J158" s="3" t="b">
        <v>0</v>
      </c>
      <c r="K158" s="3" t="b">
        <v>0</v>
      </c>
      <c r="L158" s="3" t="s">
        <v>54</v>
      </c>
      <c r="M158" s="3" t="s">
        <v>44</v>
      </c>
      <c r="N158" s="3">
        <v>125000</v>
      </c>
      <c r="O158" s="4"/>
      <c r="P158" s="3" t="s">
        <v>638</v>
      </c>
      <c r="Q158" s="3" t="s">
        <v>639</v>
      </c>
    </row>
    <row r="159" spans="1:17" x14ac:dyDescent="0.2">
      <c r="A159" s="3" t="s">
        <v>57</v>
      </c>
      <c r="B159" s="3" t="s">
        <v>640</v>
      </c>
      <c r="C159" s="3" t="s">
        <v>641</v>
      </c>
      <c r="D159" s="3" t="s">
        <v>66</v>
      </c>
      <c r="E159" s="3" t="s">
        <v>40</v>
      </c>
      <c r="F159" s="3" t="b">
        <v>0</v>
      </c>
      <c r="G159" s="3" t="s">
        <v>641</v>
      </c>
      <c r="H159" s="3" t="s">
        <v>61</v>
      </c>
      <c r="I159" s="3" t="s">
        <v>642</v>
      </c>
      <c r="J159" s="3" t="b">
        <v>1</v>
      </c>
      <c r="K159" s="3" t="b">
        <v>0</v>
      </c>
      <c r="L159" s="3" t="s">
        <v>641</v>
      </c>
      <c r="M159" s="3" t="s">
        <v>44</v>
      </c>
      <c r="N159" s="3">
        <v>165000</v>
      </c>
      <c r="O159" s="4"/>
      <c r="P159" s="3" t="s">
        <v>643</v>
      </c>
      <c r="Q159" s="3" t="s">
        <v>644</v>
      </c>
    </row>
    <row r="160" spans="1:17" x14ac:dyDescent="0.2">
      <c r="A160" s="3" t="s">
        <v>71</v>
      </c>
      <c r="B160" s="3" t="s">
        <v>645</v>
      </c>
      <c r="C160" s="3" t="s">
        <v>82</v>
      </c>
      <c r="D160" s="3" t="s">
        <v>74</v>
      </c>
      <c r="E160" s="3" t="s">
        <v>75</v>
      </c>
      <c r="F160" s="3" t="b">
        <v>0</v>
      </c>
      <c r="G160" s="3" t="s">
        <v>60</v>
      </c>
      <c r="H160" s="3" t="s">
        <v>93</v>
      </c>
      <c r="I160" s="3" t="s">
        <v>436</v>
      </c>
      <c r="J160" s="3" t="b">
        <v>0</v>
      </c>
      <c r="K160" s="3" t="b">
        <v>0</v>
      </c>
      <c r="L160" s="3" t="s">
        <v>54</v>
      </c>
      <c r="M160" s="3" t="s">
        <v>79</v>
      </c>
      <c r="N160" s="4"/>
      <c r="O160" s="3">
        <v>47.620002749999998</v>
      </c>
      <c r="P160" s="3" t="s">
        <v>83</v>
      </c>
      <c r="Q160" s="3" t="s">
        <v>646</v>
      </c>
    </row>
    <row r="161" spans="1:17" x14ac:dyDescent="0.2">
      <c r="A161" s="3" t="s">
        <v>120</v>
      </c>
      <c r="B161" s="3" t="s">
        <v>647</v>
      </c>
      <c r="C161" s="3" t="s">
        <v>122</v>
      </c>
      <c r="D161" s="3" t="s">
        <v>39</v>
      </c>
      <c r="E161" s="3" t="s">
        <v>40</v>
      </c>
      <c r="F161" s="3" t="b">
        <v>0</v>
      </c>
      <c r="G161" s="3" t="s">
        <v>97</v>
      </c>
      <c r="H161" s="3" t="s">
        <v>141</v>
      </c>
      <c r="I161" s="3" t="s">
        <v>648</v>
      </c>
      <c r="J161" s="3" t="b">
        <v>0</v>
      </c>
      <c r="K161" s="3" t="b">
        <v>0</v>
      </c>
      <c r="L161" s="3" t="s">
        <v>54</v>
      </c>
      <c r="M161" s="3" t="s">
        <v>79</v>
      </c>
      <c r="N161" s="4"/>
      <c r="O161" s="3">
        <v>28</v>
      </c>
      <c r="P161" s="3" t="s">
        <v>98</v>
      </c>
      <c r="Q161" s="3" t="s">
        <v>327</v>
      </c>
    </row>
    <row r="162" spans="1:17" x14ac:dyDescent="0.2">
      <c r="A162" s="3" t="s">
        <v>47</v>
      </c>
      <c r="B162" s="3" t="s">
        <v>649</v>
      </c>
      <c r="C162" s="3" t="s">
        <v>86</v>
      </c>
      <c r="D162" s="3" t="s">
        <v>277</v>
      </c>
      <c r="E162" s="3" t="s">
        <v>650</v>
      </c>
      <c r="F162" s="3" t="b">
        <v>1</v>
      </c>
      <c r="G162" s="3" t="s">
        <v>60</v>
      </c>
      <c r="H162" s="3" t="s">
        <v>93</v>
      </c>
      <c r="I162" s="5">
        <v>45178.458333333336</v>
      </c>
      <c r="J162" s="3" t="b">
        <v>0</v>
      </c>
      <c r="K162" s="3" t="b">
        <v>1</v>
      </c>
      <c r="L162" s="3" t="s">
        <v>54</v>
      </c>
      <c r="M162" s="3" t="s">
        <v>79</v>
      </c>
      <c r="N162" s="4"/>
      <c r="O162" s="3">
        <v>45</v>
      </c>
      <c r="P162" s="3" t="s">
        <v>651</v>
      </c>
      <c r="Q162" s="3" t="s">
        <v>652</v>
      </c>
    </row>
    <row r="163" spans="1:17" x14ac:dyDescent="0.2">
      <c r="A163" s="3" t="s">
        <v>239</v>
      </c>
      <c r="B163" s="3" t="s">
        <v>653</v>
      </c>
      <c r="C163" s="3" t="s">
        <v>86</v>
      </c>
      <c r="D163" s="3" t="s">
        <v>39</v>
      </c>
      <c r="E163" s="3" t="s">
        <v>124</v>
      </c>
      <c r="F163" s="3" t="b">
        <v>1</v>
      </c>
      <c r="G163" s="3" t="s">
        <v>76</v>
      </c>
      <c r="H163" s="3" t="s">
        <v>77</v>
      </c>
      <c r="I163" s="3" t="s">
        <v>654</v>
      </c>
      <c r="J163" s="3" t="b">
        <v>0</v>
      </c>
      <c r="K163" s="3" t="b">
        <v>0</v>
      </c>
      <c r="L163" s="3" t="s">
        <v>54</v>
      </c>
      <c r="M163" s="3" t="s">
        <v>79</v>
      </c>
      <c r="N163" s="4"/>
      <c r="O163" s="3">
        <v>33.5</v>
      </c>
      <c r="P163" s="3" t="s">
        <v>655</v>
      </c>
      <c r="Q163" s="4"/>
    </row>
    <row r="164" spans="1:17" x14ac:dyDescent="0.2">
      <c r="A164" s="3" t="s">
        <v>47</v>
      </c>
      <c r="B164" s="3" t="s">
        <v>47</v>
      </c>
      <c r="C164" s="3" t="s">
        <v>656</v>
      </c>
      <c r="D164" s="3" t="s">
        <v>74</v>
      </c>
      <c r="E164" s="3" t="s">
        <v>75</v>
      </c>
      <c r="F164" s="3" t="b">
        <v>0</v>
      </c>
      <c r="G164" s="3" t="s">
        <v>125</v>
      </c>
      <c r="H164" s="3" t="s">
        <v>163</v>
      </c>
      <c r="I164" s="5">
        <v>45057.796527777777</v>
      </c>
      <c r="J164" s="3" t="b">
        <v>0</v>
      </c>
      <c r="K164" s="3" t="b">
        <v>0</v>
      </c>
      <c r="L164" s="3" t="s">
        <v>54</v>
      </c>
      <c r="M164" s="3" t="s">
        <v>79</v>
      </c>
      <c r="N164" s="4"/>
      <c r="O164" s="3">
        <v>56.475002289999999</v>
      </c>
      <c r="P164" s="3" t="s">
        <v>657</v>
      </c>
      <c r="Q164" s="3" t="s">
        <v>658</v>
      </c>
    </row>
    <row r="165" spans="1:17" x14ac:dyDescent="0.2">
      <c r="A165" s="3" t="s">
        <v>71</v>
      </c>
      <c r="B165" s="3" t="s">
        <v>71</v>
      </c>
      <c r="C165" s="3" t="s">
        <v>659</v>
      </c>
      <c r="D165" s="3" t="s">
        <v>135</v>
      </c>
      <c r="E165" s="3" t="s">
        <v>40</v>
      </c>
      <c r="F165" s="3" t="b">
        <v>0</v>
      </c>
      <c r="G165" s="3" t="s">
        <v>67</v>
      </c>
      <c r="H165" s="3" t="s">
        <v>42</v>
      </c>
      <c r="I165" s="5">
        <v>45111.293749999997</v>
      </c>
      <c r="J165" s="3" t="b">
        <v>0</v>
      </c>
      <c r="K165" s="3" t="b">
        <v>0</v>
      </c>
      <c r="L165" s="3" t="s">
        <v>54</v>
      </c>
      <c r="M165" s="3" t="s">
        <v>44</v>
      </c>
      <c r="N165" s="3">
        <v>125000</v>
      </c>
      <c r="O165" s="4"/>
      <c r="P165" s="3" t="s">
        <v>660</v>
      </c>
      <c r="Q165" s="3" t="s">
        <v>661</v>
      </c>
    </row>
    <row r="166" spans="1:17" x14ac:dyDescent="0.2">
      <c r="A166" s="3" t="s">
        <v>120</v>
      </c>
      <c r="B166" s="3" t="s">
        <v>662</v>
      </c>
      <c r="C166" s="3" t="s">
        <v>663</v>
      </c>
      <c r="D166" s="3" t="s">
        <v>628</v>
      </c>
      <c r="E166" s="3" t="s">
        <v>40</v>
      </c>
      <c r="F166" s="3" t="b">
        <v>0</v>
      </c>
      <c r="G166" s="3" t="s">
        <v>97</v>
      </c>
      <c r="H166" s="3" t="s">
        <v>258</v>
      </c>
      <c r="I166" s="5">
        <v>45235.875694444447</v>
      </c>
      <c r="J166" s="3" t="b">
        <v>0</v>
      </c>
      <c r="K166" s="3" t="b">
        <v>1</v>
      </c>
      <c r="L166" s="3" t="s">
        <v>54</v>
      </c>
      <c r="M166" s="3" t="s">
        <v>44</v>
      </c>
      <c r="N166" s="3">
        <v>74050</v>
      </c>
      <c r="O166" s="4"/>
      <c r="P166" s="3" t="s">
        <v>664</v>
      </c>
      <c r="Q166" s="3" t="s">
        <v>665</v>
      </c>
    </row>
    <row r="167" spans="1:17" x14ac:dyDescent="0.2">
      <c r="A167" s="3" t="s">
        <v>71</v>
      </c>
      <c r="B167" s="3" t="s">
        <v>666</v>
      </c>
      <c r="C167" s="3" t="s">
        <v>86</v>
      </c>
      <c r="D167" s="3" t="s">
        <v>74</v>
      </c>
      <c r="E167" s="3" t="s">
        <v>197</v>
      </c>
      <c r="F167" s="3" t="b">
        <v>1</v>
      </c>
      <c r="G167" s="3" t="s">
        <v>76</v>
      </c>
      <c r="H167" s="3" t="s">
        <v>77</v>
      </c>
      <c r="I167" s="5">
        <v>45270.878472222219</v>
      </c>
      <c r="J167" s="3" t="b">
        <v>0</v>
      </c>
      <c r="K167" s="3" t="b">
        <v>1</v>
      </c>
      <c r="L167" s="3" t="s">
        <v>54</v>
      </c>
      <c r="M167" s="3" t="s">
        <v>79</v>
      </c>
      <c r="N167" s="4"/>
      <c r="O167" s="3">
        <v>33.114997860000003</v>
      </c>
      <c r="P167" s="3" t="s">
        <v>667</v>
      </c>
      <c r="Q167" s="3" t="s">
        <v>668</v>
      </c>
    </row>
    <row r="168" spans="1:17" x14ac:dyDescent="0.2">
      <c r="A168" s="3" t="s">
        <v>36</v>
      </c>
      <c r="B168" s="3" t="s">
        <v>669</v>
      </c>
      <c r="C168" s="3" t="s">
        <v>670</v>
      </c>
      <c r="D168" s="3" t="s">
        <v>74</v>
      </c>
      <c r="E168" s="3" t="s">
        <v>75</v>
      </c>
      <c r="F168" s="3" t="b">
        <v>0</v>
      </c>
      <c r="G168" s="3" t="s">
        <v>51</v>
      </c>
      <c r="H168" s="3" t="s">
        <v>163</v>
      </c>
      <c r="I168" s="5">
        <v>45057.800694444442</v>
      </c>
      <c r="J168" s="3" t="b">
        <v>0</v>
      </c>
      <c r="K168" s="3" t="b">
        <v>0</v>
      </c>
      <c r="L168" s="3" t="s">
        <v>54</v>
      </c>
      <c r="M168" s="3" t="s">
        <v>79</v>
      </c>
      <c r="N168" s="4"/>
      <c r="O168" s="3">
        <v>40.099998470000003</v>
      </c>
      <c r="P168" s="3" t="s">
        <v>671</v>
      </c>
      <c r="Q168" s="3" t="s">
        <v>422</v>
      </c>
    </row>
    <row r="169" spans="1:17" x14ac:dyDescent="0.2">
      <c r="A169" s="3" t="s">
        <v>71</v>
      </c>
      <c r="B169" s="3" t="s">
        <v>672</v>
      </c>
      <c r="C169" s="3" t="s">
        <v>673</v>
      </c>
      <c r="D169" s="3" t="s">
        <v>66</v>
      </c>
      <c r="E169" s="3" t="s">
        <v>40</v>
      </c>
      <c r="F169" s="3" t="b">
        <v>0</v>
      </c>
      <c r="G169" s="3" t="s">
        <v>673</v>
      </c>
      <c r="H169" s="3" t="s">
        <v>130</v>
      </c>
      <c r="I169" s="3" t="s">
        <v>674</v>
      </c>
      <c r="J169" s="3" t="b">
        <v>0</v>
      </c>
      <c r="K169" s="3" t="b">
        <v>0</v>
      </c>
      <c r="L169" s="3" t="s">
        <v>673</v>
      </c>
      <c r="M169" s="3" t="s">
        <v>44</v>
      </c>
      <c r="N169" s="3">
        <v>191000</v>
      </c>
      <c r="O169" s="4"/>
      <c r="P169" s="3" t="s">
        <v>675</v>
      </c>
      <c r="Q169" s="3" t="s">
        <v>543</v>
      </c>
    </row>
    <row r="170" spans="1:17" x14ac:dyDescent="0.2">
      <c r="A170" s="3" t="s">
        <v>47</v>
      </c>
      <c r="B170" s="3" t="s">
        <v>676</v>
      </c>
      <c r="C170" s="3" t="s">
        <v>532</v>
      </c>
      <c r="D170" s="3" t="s">
        <v>135</v>
      </c>
      <c r="E170" s="3" t="s">
        <v>40</v>
      </c>
      <c r="F170" s="3" t="b">
        <v>0</v>
      </c>
      <c r="G170" s="3" t="s">
        <v>76</v>
      </c>
      <c r="H170" s="3" t="s">
        <v>181</v>
      </c>
      <c r="I170" s="3" t="s">
        <v>677</v>
      </c>
      <c r="J170" s="3" t="b">
        <v>0</v>
      </c>
      <c r="K170" s="3" t="b">
        <v>0</v>
      </c>
      <c r="L170" s="3" t="s">
        <v>54</v>
      </c>
      <c r="M170" s="3" t="s">
        <v>44</v>
      </c>
      <c r="N170" s="3">
        <v>90000</v>
      </c>
      <c r="O170" s="4"/>
      <c r="P170" s="3" t="s">
        <v>678</v>
      </c>
      <c r="Q170" s="3" t="s">
        <v>679</v>
      </c>
    </row>
    <row r="171" spans="1:17" x14ac:dyDescent="0.2">
      <c r="A171" s="3" t="s">
        <v>57</v>
      </c>
      <c r="B171" s="3" t="s">
        <v>680</v>
      </c>
      <c r="C171" s="3" t="s">
        <v>681</v>
      </c>
      <c r="D171" s="3" t="s">
        <v>74</v>
      </c>
      <c r="E171" s="3" t="s">
        <v>75</v>
      </c>
      <c r="F171" s="3" t="b">
        <v>0</v>
      </c>
      <c r="G171" s="3" t="s">
        <v>60</v>
      </c>
      <c r="H171" s="3" t="s">
        <v>163</v>
      </c>
      <c r="I171" s="5">
        <v>45088.083333333336</v>
      </c>
      <c r="J171" s="3" t="b">
        <v>0</v>
      </c>
      <c r="K171" s="3" t="b">
        <v>0</v>
      </c>
      <c r="L171" s="3" t="s">
        <v>54</v>
      </c>
      <c r="M171" s="3" t="s">
        <v>79</v>
      </c>
      <c r="N171" s="4"/>
      <c r="O171" s="3">
        <v>27.435001369999998</v>
      </c>
      <c r="P171" s="3" t="s">
        <v>682</v>
      </c>
      <c r="Q171" s="3" t="s">
        <v>683</v>
      </c>
    </row>
    <row r="172" spans="1:17" x14ac:dyDescent="0.2">
      <c r="A172" s="3" t="s">
        <v>120</v>
      </c>
      <c r="B172" s="3" t="s">
        <v>120</v>
      </c>
      <c r="C172" s="3" t="s">
        <v>309</v>
      </c>
      <c r="D172" s="3" t="s">
        <v>220</v>
      </c>
      <c r="E172" s="3" t="s">
        <v>40</v>
      </c>
      <c r="F172" s="3" t="b">
        <v>0</v>
      </c>
      <c r="G172" s="3" t="s">
        <v>60</v>
      </c>
      <c r="H172" s="3" t="s">
        <v>42</v>
      </c>
      <c r="I172" s="3" t="s">
        <v>684</v>
      </c>
      <c r="J172" s="3" t="b">
        <v>1</v>
      </c>
      <c r="K172" s="3" t="b">
        <v>0</v>
      </c>
      <c r="L172" s="3" t="s">
        <v>54</v>
      </c>
      <c r="M172" s="3" t="s">
        <v>44</v>
      </c>
      <c r="N172" s="3">
        <v>85000</v>
      </c>
      <c r="O172" s="4"/>
      <c r="P172" s="3" t="s">
        <v>352</v>
      </c>
      <c r="Q172" s="3" t="s">
        <v>685</v>
      </c>
    </row>
    <row r="173" spans="1:17" x14ac:dyDescent="0.2">
      <c r="A173" s="3" t="s">
        <v>63</v>
      </c>
      <c r="B173" s="3" t="s">
        <v>686</v>
      </c>
      <c r="C173" s="3" t="s">
        <v>687</v>
      </c>
      <c r="D173" s="3" t="s">
        <v>66</v>
      </c>
      <c r="E173" s="3" t="s">
        <v>40</v>
      </c>
      <c r="F173" s="3" t="b">
        <v>0</v>
      </c>
      <c r="G173" s="3" t="s">
        <v>346</v>
      </c>
      <c r="H173" s="3" t="s">
        <v>181</v>
      </c>
      <c r="I173" s="5">
        <v>45232.260416666664</v>
      </c>
      <c r="J173" s="3" t="b">
        <v>0</v>
      </c>
      <c r="K173" s="3" t="b">
        <v>0</v>
      </c>
      <c r="L173" s="3" t="s">
        <v>346</v>
      </c>
      <c r="M173" s="3" t="s">
        <v>44</v>
      </c>
      <c r="N173" s="3">
        <v>89100</v>
      </c>
      <c r="O173" s="4"/>
      <c r="P173" s="3" t="s">
        <v>688</v>
      </c>
      <c r="Q173" s="3" t="s">
        <v>543</v>
      </c>
    </row>
    <row r="174" spans="1:17" x14ac:dyDescent="0.2">
      <c r="A174" s="3" t="s">
        <v>47</v>
      </c>
      <c r="B174" s="3" t="s">
        <v>47</v>
      </c>
      <c r="C174" s="3" t="s">
        <v>553</v>
      </c>
      <c r="D174" s="3" t="s">
        <v>135</v>
      </c>
      <c r="E174" s="3" t="s">
        <v>40</v>
      </c>
      <c r="F174" s="3" t="b">
        <v>0</v>
      </c>
      <c r="G174" s="3" t="s">
        <v>67</v>
      </c>
      <c r="H174" s="3" t="s">
        <v>141</v>
      </c>
      <c r="I174" s="3" t="s">
        <v>689</v>
      </c>
      <c r="J174" s="3" t="b">
        <v>0</v>
      </c>
      <c r="K174" s="3" t="b">
        <v>0</v>
      </c>
      <c r="L174" s="3" t="s">
        <v>54</v>
      </c>
      <c r="M174" s="3" t="s">
        <v>44</v>
      </c>
      <c r="N174" s="3">
        <v>100000</v>
      </c>
      <c r="O174" s="4"/>
      <c r="P174" s="3" t="s">
        <v>690</v>
      </c>
      <c r="Q174" s="3" t="s">
        <v>691</v>
      </c>
    </row>
    <row r="175" spans="1:17" x14ac:dyDescent="0.2">
      <c r="A175" s="3" t="s">
        <v>47</v>
      </c>
      <c r="B175" s="3" t="s">
        <v>692</v>
      </c>
      <c r="C175" s="3" t="s">
        <v>693</v>
      </c>
      <c r="D175" s="3" t="s">
        <v>74</v>
      </c>
      <c r="E175" s="3" t="s">
        <v>75</v>
      </c>
      <c r="F175" s="3" t="b">
        <v>0</v>
      </c>
      <c r="G175" s="3" t="s">
        <v>51</v>
      </c>
      <c r="H175" s="3" t="s">
        <v>77</v>
      </c>
      <c r="I175" s="3" t="s">
        <v>694</v>
      </c>
      <c r="J175" s="3" t="b">
        <v>0</v>
      </c>
      <c r="K175" s="3" t="b">
        <v>1</v>
      </c>
      <c r="L175" s="3" t="s">
        <v>54</v>
      </c>
      <c r="M175" s="3" t="s">
        <v>79</v>
      </c>
      <c r="N175" s="4"/>
      <c r="O175" s="3">
        <v>50.870002749999998</v>
      </c>
      <c r="P175" s="3" t="s">
        <v>335</v>
      </c>
      <c r="Q175" s="3" t="s">
        <v>695</v>
      </c>
    </row>
    <row r="176" spans="1:17" x14ac:dyDescent="0.2">
      <c r="A176" s="3" t="s">
        <v>120</v>
      </c>
      <c r="B176" s="3" t="s">
        <v>120</v>
      </c>
      <c r="C176" s="3" t="s">
        <v>384</v>
      </c>
      <c r="D176" s="3" t="s">
        <v>220</v>
      </c>
      <c r="E176" s="3" t="s">
        <v>124</v>
      </c>
      <c r="F176" s="3" t="b">
        <v>0</v>
      </c>
      <c r="G176" s="3" t="s">
        <v>76</v>
      </c>
      <c r="H176" s="3" t="s">
        <v>42</v>
      </c>
      <c r="I176" s="3" t="s">
        <v>696</v>
      </c>
      <c r="J176" s="3" t="b">
        <v>1</v>
      </c>
      <c r="K176" s="3" t="b">
        <v>0</v>
      </c>
      <c r="L176" s="3" t="s">
        <v>54</v>
      </c>
      <c r="M176" s="3" t="s">
        <v>79</v>
      </c>
      <c r="N176" s="4"/>
      <c r="O176" s="3">
        <v>62.5</v>
      </c>
      <c r="P176" s="3" t="s">
        <v>697</v>
      </c>
      <c r="Q176" s="3" t="s">
        <v>698</v>
      </c>
    </row>
    <row r="177" spans="1:17" x14ac:dyDescent="0.2">
      <c r="A177" s="3" t="s">
        <v>47</v>
      </c>
      <c r="B177" s="3" t="s">
        <v>699</v>
      </c>
      <c r="C177" s="3" t="s">
        <v>700</v>
      </c>
      <c r="D177" s="3" t="s">
        <v>701</v>
      </c>
      <c r="E177" s="3" t="s">
        <v>40</v>
      </c>
      <c r="F177" s="3" t="b">
        <v>0</v>
      </c>
      <c r="G177" s="3" t="s">
        <v>67</v>
      </c>
      <c r="H177" s="3" t="s">
        <v>93</v>
      </c>
      <c r="I177" s="3" t="s">
        <v>702</v>
      </c>
      <c r="J177" s="3" t="b">
        <v>0</v>
      </c>
      <c r="K177" s="3" t="b">
        <v>0</v>
      </c>
      <c r="L177" s="3" t="s">
        <v>54</v>
      </c>
      <c r="M177" s="3" t="s">
        <v>79</v>
      </c>
      <c r="N177" s="4"/>
      <c r="O177" s="3">
        <v>24</v>
      </c>
      <c r="P177" s="3" t="s">
        <v>703</v>
      </c>
      <c r="Q177" s="3" t="s">
        <v>704</v>
      </c>
    </row>
    <row r="178" spans="1:17" x14ac:dyDescent="0.2">
      <c r="A178" s="3" t="s">
        <v>71</v>
      </c>
      <c r="B178" s="3" t="s">
        <v>71</v>
      </c>
      <c r="C178" s="3" t="s">
        <v>705</v>
      </c>
      <c r="D178" s="3" t="s">
        <v>66</v>
      </c>
      <c r="E178" s="3" t="s">
        <v>40</v>
      </c>
      <c r="F178" s="3" t="b">
        <v>0</v>
      </c>
      <c r="G178" s="3" t="s">
        <v>418</v>
      </c>
      <c r="H178" s="3" t="s">
        <v>181</v>
      </c>
      <c r="I178" s="3" t="s">
        <v>706</v>
      </c>
      <c r="J178" s="3" t="b">
        <v>0</v>
      </c>
      <c r="K178" s="3" t="b">
        <v>0</v>
      </c>
      <c r="L178" s="3" t="s">
        <v>418</v>
      </c>
      <c r="M178" s="3" t="s">
        <v>44</v>
      </c>
      <c r="N178" s="3">
        <v>88128</v>
      </c>
      <c r="O178" s="4"/>
      <c r="P178" s="3" t="s">
        <v>707</v>
      </c>
      <c r="Q178" s="4"/>
    </row>
    <row r="179" spans="1:17" x14ac:dyDescent="0.2">
      <c r="A179" s="3" t="s">
        <v>71</v>
      </c>
      <c r="B179" s="3" t="s">
        <v>708</v>
      </c>
      <c r="C179" s="3" t="s">
        <v>86</v>
      </c>
      <c r="D179" s="3" t="s">
        <v>74</v>
      </c>
      <c r="E179" s="3" t="s">
        <v>75</v>
      </c>
      <c r="F179" s="3" t="b">
        <v>1</v>
      </c>
      <c r="G179" s="3" t="s">
        <v>51</v>
      </c>
      <c r="H179" s="3" t="s">
        <v>130</v>
      </c>
      <c r="I179" s="5">
        <v>45119.794444444444</v>
      </c>
      <c r="J179" s="3" t="b">
        <v>0</v>
      </c>
      <c r="K179" s="3" t="b">
        <v>0</v>
      </c>
      <c r="L179" s="3" t="s">
        <v>54</v>
      </c>
      <c r="M179" s="3" t="s">
        <v>79</v>
      </c>
      <c r="N179" s="4"/>
      <c r="O179" s="3">
        <v>47.620002749999998</v>
      </c>
      <c r="P179" s="3" t="s">
        <v>709</v>
      </c>
      <c r="Q179" s="4"/>
    </row>
    <row r="180" spans="1:17" x14ac:dyDescent="0.2">
      <c r="A180" s="3" t="s">
        <v>380</v>
      </c>
      <c r="B180" s="3" t="s">
        <v>710</v>
      </c>
      <c r="C180" s="3" t="s">
        <v>582</v>
      </c>
      <c r="D180" s="3" t="s">
        <v>50</v>
      </c>
      <c r="E180" s="3" t="s">
        <v>40</v>
      </c>
      <c r="F180" s="3" t="b">
        <v>0</v>
      </c>
      <c r="G180" s="3" t="s">
        <v>51</v>
      </c>
      <c r="H180" s="3" t="s">
        <v>181</v>
      </c>
      <c r="I180" s="3" t="s">
        <v>711</v>
      </c>
      <c r="J180" s="3" t="b">
        <v>0</v>
      </c>
      <c r="K180" s="3" t="b">
        <v>0</v>
      </c>
      <c r="L180" s="3" t="s">
        <v>54</v>
      </c>
      <c r="M180" s="3" t="s">
        <v>44</v>
      </c>
      <c r="N180" s="3">
        <v>105000</v>
      </c>
      <c r="O180" s="4"/>
      <c r="P180" s="3" t="s">
        <v>712</v>
      </c>
      <c r="Q180" s="3" t="s">
        <v>327</v>
      </c>
    </row>
    <row r="181" spans="1:17" x14ac:dyDescent="0.2">
      <c r="A181" s="3" t="s">
        <v>57</v>
      </c>
      <c r="B181" s="3" t="s">
        <v>713</v>
      </c>
      <c r="C181" s="3" t="s">
        <v>477</v>
      </c>
      <c r="D181" s="3" t="s">
        <v>50</v>
      </c>
      <c r="E181" s="3" t="s">
        <v>40</v>
      </c>
      <c r="F181" s="3" t="b">
        <v>0</v>
      </c>
      <c r="G181" s="3" t="s">
        <v>41</v>
      </c>
      <c r="H181" s="3" t="s">
        <v>61</v>
      </c>
      <c r="I181" s="5">
        <v>45206.874305555553</v>
      </c>
      <c r="J181" s="3" t="b">
        <v>0</v>
      </c>
      <c r="K181" s="3" t="b">
        <v>1</v>
      </c>
      <c r="L181" s="3" t="s">
        <v>41</v>
      </c>
      <c r="M181" s="3" t="s">
        <v>44</v>
      </c>
      <c r="N181" s="3">
        <v>78841</v>
      </c>
      <c r="O181" s="4"/>
      <c r="P181" s="3" t="s">
        <v>714</v>
      </c>
      <c r="Q181" s="3" t="s">
        <v>715</v>
      </c>
    </row>
    <row r="182" spans="1:17" x14ac:dyDescent="0.2">
      <c r="A182" s="3" t="s">
        <v>36</v>
      </c>
      <c r="B182" s="3" t="s">
        <v>716</v>
      </c>
      <c r="C182" s="3" t="s">
        <v>717</v>
      </c>
      <c r="D182" s="3" t="s">
        <v>39</v>
      </c>
      <c r="E182" s="3" t="s">
        <v>40</v>
      </c>
      <c r="F182" s="3" t="b">
        <v>0</v>
      </c>
      <c r="G182" s="3" t="s">
        <v>67</v>
      </c>
      <c r="H182" s="3" t="s">
        <v>181</v>
      </c>
      <c r="I182" s="5">
        <v>45232.421527777777</v>
      </c>
      <c r="J182" s="3" t="b">
        <v>0</v>
      </c>
      <c r="K182" s="3" t="b">
        <v>1</v>
      </c>
      <c r="L182" s="3" t="s">
        <v>54</v>
      </c>
      <c r="M182" s="3" t="s">
        <v>44</v>
      </c>
      <c r="N182" s="3">
        <v>116700</v>
      </c>
      <c r="O182" s="4"/>
      <c r="P182" s="3" t="s">
        <v>45</v>
      </c>
      <c r="Q182" s="3" t="s">
        <v>718</v>
      </c>
    </row>
    <row r="183" spans="1:17" x14ac:dyDescent="0.2">
      <c r="A183" s="3" t="s">
        <v>47</v>
      </c>
      <c r="B183" s="3" t="s">
        <v>719</v>
      </c>
      <c r="C183" s="3" t="s">
        <v>720</v>
      </c>
      <c r="D183" s="3" t="s">
        <v>102</v>
      </c>
      <c r="E183" s="3" t="s">
        <v>40</v>
      </c>
      <c r="F183" s="3" t="b">
        <v>0</v>
      </c>
      <c r="G183" s="3" t="s">
        <v>67</v>
      </c>
      <c r="H183" s="3" t="s">
        <v>103</v>
      </c>
      <c r="I183" s="3" t="s">
        <v>721</v>
      </c>
      <c r="J183" s="3" t="b">
        <v>0</v>
      </c>
      <c r="K183" s="3" t="b">
        <v>1</v>
      </c>
      <c r="L183" s="3" t="s">
        <v>54</v>
      </c>
      <c r="M183" s="3" t="s">
        <v>44</v>
      </c>
      <c r="N183" s="3">
        <v>75000</v>
      </c>
      <c r="O183" s="4"/>
      <c r="P183" s="3" t="s">
        <v>722</v>
      </c>
      <c r="Q183" s="3" t="s">
        <v>723</v>
      </c>
    </row>
    <row r="184" spans="1:17" x14ac:dyDescent="0.2">
      <c r="A184" s="3" t="s">
        <v>47</v>
      </c>
      <c r="B184" s="3" t="s">
        <v>724</v>
      </c>
      <c r="C184" s="3" t="s">
        <v>438</v>
      </c>
      <c r="D184" s="3" t="s">
        <v>74</v>
      </c>
      <c r="E184" s="3" t="s">
        <v>40</v>
      </c>
      <c r="F184" s="3" t="b">
        <v>0</v>
      </c>
      <c r="G184" s="3" t="s">
        <v>51</v>
      </c>
      <c r="H184" s="3" t="s">
        <v>93</v>
      </c>
      <c r="I184" s="3" t="s">
        <v>725</v>
      </c>
      <c r="J184" s="3" t="b">
        <v>0</v>
      </c>
      <c r="K184" s="3" t="b">
        <v>0</v>
      </c>
      <c r="L184" s="3" t="s">
        <v>54</v>
      </c>
      <c r="M184" s="3" t="s">
        <v>79</v>
      </c>
      <c r="N184" s="4"/>
      <c r="O184" s="3">
        <v>33.430000309999997</v>
      </c>
      <c r="P184" s="3" t="s">
        <v>726</v>
      </c>
      <c r="Q184" s="3" t="s">
        <v>727</v>
      </c>
    </row>
    <row r="185" spans="1:17" x14ac:dyDescent="0.2">
      <c r="A185" s="3" t="s">
        <v>90</v>
      </c>
      <c r="B185" s="3" t="s">
        <v>728</v>
      </c>
      <c r="C185" s="3" t="s">
        <v>206</v>
      </c>
      <c r="D185" s="3" t="s">
        <v>102</v>
      </c>
      <c r="E185" s="3" t="s">
        <v>40</v>
      </c>
      <c r="F185" s="3" t="b">
        <v>0</v>
      </c>
      <c r="G185" s="3" t="s">
        <v>51</v>
      </c>
      <c r="H185" s="3" t="s">
        <v>77</v>
      </c>
      <c r="I185" s="5">
        <v>45209.570833333331</v>
      </c>
      <c r="J185" s="3" t="b">
        <v>0</v>
      </c>
      <c r="K185" s="3" t="b">
        <v>0</v>
      </c>
      <c r="L185" s="3" t="s">
        <v>54</v>
      </c>
      <c r="M185" s="3" t="s">
        <v>44</v>
      </c>
      <c r="N185" s="3">
        <v>117500</v>
      </c>
      <c r="O185" s="4"/>
      <c r="P185" s="3" t="s">
        <v>729</v>
      </c>
      <c r="Q185" s="3" t="s">
        <v>730</v>
      </c>
    </row>
    <row r="186" spans="1:17" x14ac:dyDescent="0.2">
      <c r="A186" s="3" t="s">
        <v>71</v>
      </c>
      <c r="B186" s="3" t="s">
        <v>731</v>
      </c>
      <c r="C186" s="3" t="s">
        <v>333</v>
      </c>
      <c r="D186" s="3" t="s">
        <v>732</v>
      </c>
      <c r="E186" s="3" t="s">
        <v>40</v>
      </c>
      <c r="F186" s="3" t="b">
        <v>0</v>
      </c>
      <c r="G186" s="3" t="s">
        <v>125</v>
      </c>
      <c r="H186" s="3" t="s">
        <v>141</v>
      </c>
      <c r="I186" s="5">
        <v>45207.586111111108</v>
      </c>
      <c r="J186" s="3" t="b">
        <v>0</v>
      </c>
      <c r="K186" s="3" t="b">
        <v>0</v>
      </c>
      <c r="L186" s="3" t="s">
        <v>54</v>
      </c>
      <c r="M186" s="3" t="s">
        <v>44</v>
      </c>
      <c r="N186" s="3">
        <v>95000</v>
      </c>
      <c r="O186" s="4"/>
      <c r="P186" s="3" t="s">
        <v>733</v>
      </c>
      <c r="Q186" s="3" t="s">
        <v>734</v>
      </c>
    </row>
    <row r="187" spans="1:17" x14ac:dyDescent="0.2">
      <c r="A187" s="3" t="s">
        <v>90</v>
      </c>
      <c r="B187" s="3" t="s">
        <v>735</v>
      </c>
      <c r="C187" s="3" t="s">
        <v>139</v>
      </c>
      <c r="D187" s="3" t="s">
        <v>245</v>
      </c>
      <c r="E187" s="3" t="s">
        <v>40</v>
      </c>
      <c r="F187" s="3" t="b">
        <v>0</v>
      </c>
      <c r="G187" s="3" t="s">
        <v>41</v>
      </c>
      <c r="H187" s="3" t="s">
        <v>61</v>
      </c>
      <c r="I187" s="5">
        <v>45053.464583333334</v>
      </c>
      <c r="J187" s="3" t="b">
        <v>0</v>
      </c>
      <c r="K187" s="3" t="b">
        <v>1</v>
      </c>
      <c r="L187" s="3" t="s">
        <v>41</v>
      </c>
      <c r="M187" s="3" t="s">
        <v>44</v>
      </c>
      <c r="N187" s="3">
        <v>173500</v>
      </c>
      <c r="O187" s="4"/>
      <c r="P187" s="3" t="s">
        <v>149</v>
      </c>
      <c r="Q187" s="3" t="s">
        <v>736</v>
      </c>
    </row>
    <row r="188" spans="1:17" x14ac:dyDescent="0.2">
      <c r="A188" s="3" t="s">
        <v>47</v>
      </c>
      <c r="B188" s="3" t="s">
        <v>737</v>
      </c>
      <c r="C188" s="3" t="s">
        <v>738</v>
      </c>
      <c r="D188" s="3" t="s">
        <v>739</v>
      </c>
      <c r="E188" s="3" t="s">
        <v>40</v>
      </c>
      <c r="F188" s="3" t="b">
        <v>0</v>
      </c>
      <c r="G188" s="3" t="s">
        <v>60</v>
      </c>
      <c r="H188" s="3" t="s">
        <v>181</v>
      </c>
      <c r="I188" s="3" t="s">
        <v>740</v>
      </c>
      <c r="J188" s="3" t="b">
        <v>0</v>
      </c>
      <c r="K188" s="3" t="b">
        <v>1</v>
      </c>
      <c r="L188" s="3" t="s">
        <v>54</v>
      </c>
      <c r="M188" s="3" t="s">
        <v>44</v>
      </c>
      <c r="N188" s="3">
        <v>107850</v>
      </c>
      <c r="O188" s="4"/>
      <c r="P188" s="3" t="s">
        <v>741</v>
      </c>
      <c r="Q188" s="3" t="s">
        <v>742</v>
      </c>
    </row>
    <row r="189" spans="1:17" x14ac:dyDescent="0.2">
      <c r="A189" s="3" t="s">
        <v>90</v>
      </c>
      <c r="B189" s="3" t="s">
        <v>90</v>
      </c>
      <c r="C189" s="3" t="s">
        <v>538</v>
      </c>
      <c r="D189" s="3" t="s">
        <v>66</v>
      </c>
      <c r="E189" s="3" t="s">
        <v>40</v>
      </c>
      <c r="F189" s="3" t="b">
        <v>0</v>
      </c>
      <c r="G189" s="3" t="s">
        <v>97</v>
      </c>
      <c r="H189" s="3" t="s">
        <v>61</v>
      </c>
      <c r="I189" s="5">
        <v>45023.713194444441</v>
      </c>
      <c r="J189" s="3" t="b">
        <v>0</v>
      </c>
      <c r="K189" s="3" t="b">
        <v>1</v>
      </c>
      <c r="L189" s="3" t="s">
        <v>54</v>
      </c>
      <c r="M189" s="3" t="s">
        <v>44</v>
      </c>
      <c r="N189" s="3">
        <v>147500</v>
      </c>
      <c r="O189" s="4"/>
      <c r="P189" s="3" t="s">
        <v>743</v>
      </c>
      <c r="Q189" s="3" t="s">
        <v>744</v>
      </c>
    </row>
    <row r="190" spans="1:17" x14ac:dyDescent="0.2">
      <c r="A190" s="3" t="s">
        <v>47</v>
      </c>
      <c r="B190" s="3" t="s">
        <v>47</v>
      </c>
      <c r="C190" s="3" t="s">
        <v>86</v>
      </c>
      <c r="D190" s="3" t="s">
        <v>102</v>
      </c>
      <c r="E190" s="3" t="s">
        <v>40</v>
      </c>
      <c r="F190" s="3" t="b">
        <v>1</v>
      </c>
      <c r="G190" s="3" t="s">
        <v>125</v>
      </c>
      <c r="H190" s="3" t="s">
        <v>103</v>
      </c>
      <c r="I190" s="3" t="s">
        <v>745</v>
      </c>
      <c r="J190" s="3" t="b">
        <v>1</v>
      </c>
      <c r="K190" s="3" t="b">
        <v>0</v>
      </c>
      <c r="L190" s="3" t="s">
        <v>54</v>
      </c>
      <c r="M190" s="3" t="s">
        <v>44</v>
      </c>
      <c r="N190" s="3">
        <v>105000</v>
      </c>
      <c r="O190" s="4"/>
      <c r="P190" s="3" t="s">
        <v>746</v>
      </c>
      <c r="Q190" s="3" t="s">
        <v>747</v>
      </c>
    </row>
    <row r="191" spans="1:17" x14ac:dyDescent="0.2">
      <c r="A191" s="3" t="s">
        <v>47</v>
      </c>
      <c r="B191" s="3" t="s">
        <v>47</v>
      </c>
      <c r="C191" s="3" t="s">
        <v>748</v>
      </c>
      <c r="D191" s="3" t="s">
        <v>102</v>
      </c>
      <c r="E191" s="3" t="s">
        <v>40</v>
      </c>
      <c r="F191" s="3" t="b">
        <v>0</v>
      </c>
      <c r="G191" s="3" t="s">
        <v>76</v>
      </c>
      <c r="H191" s="3" t="s">
        <v>52</v>
      </c>
      <c r="I191" s="3" t="s">
        <v>749</v>
      </c>
      <c r="J191" s="3" t="b">
        <v>0</v>
      </c>
      <c r="K191" s="3" t="b">
        <v>0</v>
      </c>
      <c r="L191" s="3" t="s">
        <v>54</v>
      </c>
      <c r="M191" s="3" t="s">
        <v>44</v>
      </c>
      <c r="N191" s="3">
        <v>110000</v>
      </c>
      <c r="O191" s="4"/>
      <c r="P191" s="3" t="s">
        <v>352</v>
      </c>
      <c r="Q191" s="3" t="s">
        <v>750</v>
      </c>
    </row>
    <row r="192" spans="1:17" x14ac:dyDescent="0.2">
      <c r="A192" s="3" t="s">
        <v>47</v>
      </c>
      <c r="B192" s="3" t="s">
        <v>751</v>
      </c>
      <c r="C192" s="3" t="s">
        <v>107</v>
      </c>
      <c r="D192" s="3" t="s">
        <v>102</v>
      </c>
      <c r="E192" s="3" t="s">
        <v>40</v>
      </c>
      <c r="F192" s="3" t="b">
        <v>0</v>
      </c>
      <c r="G192" s="3" t="s">
        <v>51</v>
      </c>
      <c r="H192" s="3" t="s">
        <v>52</v>
      </c>
      <c r="I192" s="5">
        <v>45110.929861111108</v>
      </c>
      <c r="J192" s="3" t="b">
        <v>0</v>
      </c>
      <c r="K192" s="3" t="b">
        <v>0</v>
      </c>
      <c r="L192" s="3" t="s">
        <v>54</v>
      </c>
      <c r="M192" s="3" t="s">
        <v>44</v>
      </c>
      <c r="N192" s="3">
        <v>145000</v>
      </c>
      <c r="O192" s="4"/>
      <c r="P192" s="3" t="s">
        <v>752</v>
      </c>
      <c r="Q192" s="3" t="s">
        <v>652</v>
      </c>
    </row>
    <row r="193" spans="1:17" x14ac:dyDescent="0.2">
      <c r="A193" s="3" t="s">
        <v>90</v>
      </c>
      <c r="B193" s="3" t="s">
        <v>90</v>
      </c>
      <c r="C193" s="3" t="s">
        <v>753</v>
      </c>
      <c r="D193" s="3" t="s">
        <v>102</v>
      </c>
      <c r="E193" s="3" t="s">
        <v>124</v>
      </c>
      <c r="F193" s="3" t="b">
        <v>0</v>
      </c>
      <c r="G193" s="3" t="s">
        <v>60</v>
      </c>
      <c r="H193" s="3" t="s">
        <v>136</v>
      </c>
      <c r="I193" s="5">
        <v>45052.547222222223</v>
      </c>
      <c r="J193" s="3" t="b">
        <v>0</v>
      </c>
      <c r="K193" s="3" t="b">
        <v>0</v>
      </c>
      <c r="L193" s="3" t="s">
        <v>54</v>
      </c>
      <c r="M193" s="3" t="s">
        <v>79</v>
      </c>
      <c r="N193" s="4"/>
      <c r="O193" s="3">
        <v>85</v>
      </c>
      <c r="P193" s="3" t="s">
        <v>754</v>
      </c>
      <c r="Q193" s="3" t="s">
        <v>755</v>
      </c>
    </row>
    <row r="194" spans="1:17" x14ac:dyDescent="0.2">
      <c r="A194" s="3" t="s">
        <v>71</v>
      </c>
      <c r="B194" s="3" t="s">
        <v>756</v>
      </c>
      <c r="C194" s="3" t="s">
        <v>529</v>
      </c>
      <c r="D194" s="3" t="s">
        <v>102</v>
      </c>
      <c r="E194" s="3" t="s">
        <v>40</v>
      </c>
      <c r="F194" s="3" t="b">
        <v>0</v>
      </c>
      <c r="G194" s="3" t="s">
        <v>67</v>
      </c>
      <c r="H194" s="3" t="s">
        <v>52</v>
      </c>
      <c r="I194" s="3" t="s">
        <v>757</v>
      </c>
      <c r="J194" s="3" t="b">
        <v>0</v>
      </c>
      <c r="K194" s="3" t="b">
        <v>0</v>
      </c>
      <c r="L194" s="3" t="s">
        <v>54</v>
      </c>
      <c r="M194" s="3" t="s">
        <v>44</v>
      </c>
      <c r="N194" s="3">
        <v>106500</v>
      </c>
      <c r="O194" s="4"/>
      <c r="P194" s="3" t="s">
        <v>182</v>
      </c>
      <c r="Q194" s="3" t="s">
        <v>758</v>
      </c>
    </row>
    <row r="195" spans="1:17" x14ac:dyDescent="0.2">
      <c r="A195" s="3" t="s">
        <v>120</v>
      </c>
      <c r="B195" s="3" t="s">
        <v>759</v>
      </c>
      <c r="C195" s="3" t="s">
        <v>86</v>
      </c>
      <c r="D195" s="3" t="s">
        <v>74</v>
      </c>
      <c r="E195" s="3" t="s">
        <v>40</v>
      </c>
      <c r="F195" s="3" t="b">
        <v>1</v>
      </c>
      <c r="G195" s="3" t="s">
        <v>76</v>
      </c>
      <c r="H195" s="3" t="s">
        <v>141</v>
      </c>
      <c r="I195" s="3" t="s">
        <v>760</v>
      </c>
      <c r="J195" s="3" t="b">
        <v>0</v>
      </c>
      <c r="K195" s="3" t="b">
        <v>0</v>
      </c>
      <c r="L195" s="3" t="s">
        <v>54</v>
      </c>
      <c r="M195" s="3" t="s">
        <v>79</v>
      </c>
      <c r="N195" s="4"/>
      <c r="O195" s="3">
        <v>16.510000229999999</v>
      </c>
      <c r="P195" s="3" t="s">
        <v>761</v>
      </c>
      <c r="Q195" s="3" t="s">
        <v>762</v>
      </c>
    </row>
    <row r="196" spans="1:17" x14ac:dyDescent="0.2">
      <c r="A196" s="3" t="s">
        <v>47</v>
      </c>
      <c r="B196" s="3" t="s">
        <v>549</v>
      </c>
      <c r="C196" s="3" t="s">
        <v>86</v>
      </c>
      <c r="D196" s="3" t="s">
        <v>50</v>
      </c>
      <c r="E196" s="3" t="s">
        <v>40</v>
      </c>
      <c r="F196" s="3" t="b">
        <v>1</v>
      </c>
      <c r="G196" s="3" t="s">
        <v>97</v>
      </c>
      <c r="H196" s="3" t="s">
        <v>258</v>
      </c>
      <c r="I196" s="3" t="s">
        <v>763</v>
      </c>
      <c r="J196" s="3" t="b">
        <v>0</v>
      </c>
      <c r="K196" s="3" t="b">
        <v>1</v>
      </c>
      <c r="L196" s="3" t="s">
        <v>54</v>
      </c>
      <c r="M196" s="3" t="s">
        <v>79</v>
      </c>
      <c r="N196" s="4"/>
      <c r="O196" s="3">
        <v>70</v>
      </c>
      <c r="P196" s="3" t="s">
        <v>182</v>
      </c>
      <c r="Q196" s="3" t="s">
        <v>764</v>
      </c>
    </row>
    <row r="197" spans="1:17" x14ac:dyDescent="0.2">
      <c r="A197" s="3" t="s">
        <v>120</v>
      </c>
      <c r="B197" s="3" t="s">
        <v>120</v>
      </c>
      <c r="C197" s="3" t="s">
        <v>765</v>
      </c>
      <c r="D197" s="3" t="s">
        <v>455</v>
      </c>
      <c r="E197" s="3" t="s">
        <v>40</v>
      </c>
      <c r="F197" s="3" t="b">
        <v>0</v>
      </c>
      <c r="G197" s="3" t="s">
        <v>76</v>
      </c>
      <c r="H197" s="3" t="s">
        <v>130</v>
      </c>
      <c r="I197" s="3" t="s">
        <v>766</v>
      </c>
      <c r="J197" s="3" t="b">
        <v>0</v>
      </c>
      <c r="K197" s="3" t="b">
        <v>0</v>
      </c>
      <c r="L197" s="3" t="s">
        <v>54</v>
      </c>
      <c r="M197" s="3" t="s">
        <v>44</v>
      </c>
      <c r="N197" s="3">
        <v>65000</v>
      </c>
      <c r="O197" s="4"/>
      <c r="P197" s="3" t="s">
        <v>767</v>
      </c>
      <c r="Q197" s="3" t="s">
        <v>768</v>
      </c>
    </row>
    <row r="198" spans="1:17" x14ac:dyDescent="0.2">
      <c r="A198" s="3" t="s">
        <v>71</v>
      </c>
      <c r="B198" s="3" t="s">
        <v>769</v>
      </c>
      <c r="C198" s="3" t="s">
        <v>770</v>
      </c>
      <c r="D198" s="3" t="s">
        <v>74</v>
      </c>
      <c r="E198" s="3" t="s">
        <v>75</v>
      </c>
      <c r="F198" s="3" t="b">
        <v>0</v>
      </c>
      <c r="G198" s="3" t="s">
        <v>51</v>
      </c>
      <c r="H198" s="3" t="s">
        <v>93</v>
      </c>
      <c r="I198" s="5">
        <v>45269.837500000001</v>
      </c>
      <c r="J198" s="3" t="b">
        <v>0</v>
      </c>
      <c r="K198" s="3" t="b">
        <v>0</v>
      </c>
      <c r="L198" s="3" t="s">
        <v>54</v>
      </c>
      <c r="M198" s="3" t="s">
        <v>79</v>
      </c>
      <c r="N198" s="4"/>
      <c r="O198" s="3">
        <v>47.620002749999998</v>
      </c>
      <c r="P198" s="3" t="s">
        <v>771</v>
      </c>
      <c r="Q198" s="3" t="s">
        <v>772</v>
      </c>
    </row>
    <row r="199" spans="1:17" x14ac:dyDescent="0.2">
      <c r="A199" s="3" t="s">
        <v>47</v>
      </c>
      <c r="B199" s="3" t="s">
        <v>47</v>
      </c>
      <c r="C199" s="3" t="s">
        <v>773</v>
      </c>
      <c r="D199" s="3" t="s">
        <v>135</v>
      </c>
      <c r="E199" s="3" t="s">
        <v>40</v>
      </c>
      <c r="F199" s="3" t="b">
        <v>0</v>
      </c>
      <c r="G199" s="3" t="s">
        <v>76</v>
      </c>
      <c r="H199" s="3" t="s">
        <v>141</v>
      </c>
      <c r="I199" s="3" t="s">
        <v>774</v>
      </c>
      <c r="J199" s="3" t="b">
        <v>0</v>
      </c>
      <c r="K199" s="3" t="b">
        <v>1</v>
      </c>
      <c r="L199" s="3" t="s">
        <v>54</v>
      </c>
      <c r="M199" s="3" t="s">
        <v>44</v>
      </c>
      <c r="N199" s="3">
        <v>90000</v>
      </c>
      <c r="O199" s="4"/>
      <c r="P199" s="3" t="s">
        <v>775</v>
      </c>
      <c r="Q199" s="3" t="s">
        <v>776</v>
      </c>
    </row>
    <row r="200" spans="1:17" x14ac:dyDescent="0.2">
      <c r="A200" s="3" t="s">
        <v>71</v>
      </c>
      <c r="B200" s="3" t="s">
        <v>777</v>
      </c>
      <c r="C200" s="3" t="s">
        <v>107</v>
      </c>
      <c r="D200" s="3" t="s">
        <v>135</v>
      </c>
      <c r="E200" s="3" t="s">
        <v>40</v>
      </c>
      <c r="F200" s="3" t="b">
        <v>0</v>
      </c>
      <c r="G200" s="3" t="s">
        <v>97</v>
      </c>
      <c r="H200" s="3" t="s">
        <v>42</v>
      </c>
      <c r="I200" s="3" t="s">
        <v>778</v>
      </c>
      <c r="J200" s="3" t="b">
        <v>0</v>
      </c>
      <c r="K200" s="3" t="b">
        <v>0</v>
      </c>
      <c r="L200" s="3" t="s">
        <v>54</v>
      </c>
      <c r="M200" s="3" t="s">
        <v>44</v>
      </c>
      <c r="N200" s="3">
        <v>100000</v>
      </c>
      <c r="O200" s="4"/>
      <c r="P200" s="3" t="s">
        <v>779</v>
      </c>
      <c r="Q200" s="3" t="s">
        <v>780</v>
      </c>
    </row>
    <row r="201" spans="1:17" x14ac:dyDescent="0.2">
      <c r="A201" s="3" t="s">
        <v>120</v>
      </c>
      <c r="B201" s="3" t="s">
        <v>781</v>
      </c>
      <c r="C201" s="3" t="s">
        <v>782</v>
      </c>
      <c r="D201" s="3" t="s">
        <v>74</v>
      </c>
      <c r="E201" s="3" t="s">
        <v>40</v>
      </c>
      <c r="F201" s="3" t="b">
        <v>0</v>
      </c>
      <c r="G201" s="3" t="s">
        <v>60</v>
      </c>
      <c r="H201" s="3" t="s">
        <v>141</v>
      </c>
      <c r="I201" s="3" t="s">
        <v>783</v>
      </c>
      <c r="J201" s="3" t="b">
        <v>0</v>
      </c>
      <c r="K201" s="3" t="b">
        <v>1</v>
      </c>
      <c r="L201" s="3" t="s">
        <v>54</v>
      </c>
      <c r="M201" s="3" t="s">
        <v>79</v>
      </c>
      <c r="N201" s="4"/>
      <c r="O201" s="3">
        <v>22.69499969</v>
      </c>
      <c r="P201" s="3" t="s">
        <v>784</v>
      </c>
      <c r="Q201" s="3" t="s">
        <v>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F1847-F774-7E43-86BA-3CA956721F53}">
  <dimension ref="A1:G41"/>
  <sheetViews>
    <sheetView topLeftCell="A35" zoomScale="393" workbookViewId="0">
      <selection activeCell="C40" sqref="C40"/>
    </sheetView>
  </sheetViews>
  <sheetFormatPr baseColWidth="10" defaultRowHeight="16" x14ac:dyDescent="0.2"/>
  <sheetData>
    <row r="1" spans="1:7" x14ac:dyDescent="0.2">
      <c r="A1" t="s">
        <v>46</v>
      </c>
    </row>
    <row r="3" spans="1:7" x14ac:dyDescent="0.2">
      <c r="A3" t="s">
        <v>786</v>
      </c>
      <c r="B3" t="s">
        <v>787</v>
      </c>
      <c r="C3" t="s">
        <v>788</v>
      </c>
    </row>
    <row r="5" spans="1:7" x14ac:dyDescent="0.2">
      <c r="A5" t="str" cm="1">
        <f t="array" ref="A5:G5">SUBSTITUTE(SUBSTITUTE(_xlfn.TEXTSPLIT(A1,","),"["," "),"]"," ")</f>
        <v xml:space="preserve"> 'sql'</v>
      </c>
      <c r="B5" t="str">
        <v xml:space="preserve"> 'python'</v>
      </c>
      <c r="C5" t="str">
        <v xml:space="preserve"> 'aws'</v>
      </c>
      <c r="D5" t="str">
        <v xml:space="preserve"> 'pyspark'</v>
      </c>
      <c r="E5" t="str">
        <v xml:space="preserve"> 'tableau'</v>
      </c>
      <c r="F5" t="str">
        <v xml:space="preserve"> 'power bi'</v>
      </c>
      <c r="G5" t="str">
        <v xml:space="preserve"> 'git' </v>
      </c>
    </row>
    <row r="6" spans="1:7" x14ac:dyDescent="0.2">
      <c r="A6" t="str">
        <f>SUBSTITUTE(A1,"'","")</f>
        <v>[sql, python, aws, pyspark, tableau, power bi, git]</v>
      </c>
    </row>
    <row r="7" spans="1:7" x14ac:dyDescent="0.2">
      <c r="B7" t="str">
        <f>MID(A5,2,LEN(A5))</f>
        <v>'sql'</v>
      </c>
    </row>
    <row r="9" spans="1:7" x14ac:dyDescent="0.2">
      <c r="A9" t="str">
        <f>SUBSTITUTE(A1,"[","")</f>
        <v>'sql', 'python', 'aws', 'pyspark', 'tableau', 'power bi', 'git']</v>
      </c>
    </row>
    <row r="11" spans="1:7" x14ac:dyDescent="0.2">
      <c r="A11" t="str">
        <f>SUBSTITUTE(SUBSTITUTE(SUBSTITUTE(A1,"'",""),"[",""),"]","")</f>
        <v>sql, python, aws, pyspark, tableau, power bi, git</v>
      </c>
    </row>
    <row r="13" spans="1:7" x14ac:dyDescent="0.2">
      <c r="A13" t="str" cm="1">
        <f t="array" ref="A13:G13">_xlfn.TEXTSPLIT(A11,",")</f>
        <v>sql</v>
      </c>
      <c r="B13" t="str">
        <v xml:space="preserve"> python</v>
      </c>
      <c r="C13" t="str">
        <v xml:space="preserve"> aws</v>
      </c>
      <c r="D13" t="str">
        <v xml:space="preserve"> pyspark</v>
      </c>
      <c r="E13" t="str">
        <v xml:space="preserve"> tableau</v>
      </c>
      <c r="F13" t="str">
        <v xml:space="preserve"> power bi</v>
      </c>
      <c r="G13" t="str">
        <v xml:space="preserve"> git</v>
      </c>
    </row>
    <row r="17" spans="1:5" x14ac:dyDescent="0.2">
      <c r="B17" t="str">
        <f>SUBSTITUTE("MY NAME IS KHAN KHAN KHAN","KHAN","RAM")</f>
        <v>MY NAME IS RAM RAM RAM</v>
      </c>
    </row>
    <row r="19" spans="1:5" x14ac:dyDescent="0.2">
      <c r="B19" t="str">
        <f>REPLACE("MY NAME IS KHAN",4,4,"RANDOM")</f>
        <v>MY RANDOM IS KHAN</v>
      </c>
    </row>
    <row r="27" spans="1:5" x14ac:dyDescent="0.2">
      <c r="A27" s="6" t="s">
        <v>794</v>
      </c>
      <c r="B27" s="6"/>
      <c r="C27" s="6" t="s">
        <v>795</v>
      </c>
      <c r="D27" s="6" t="s">
        <v>796</v>
      </c>
      <c r="E27" s="6" t="s">
        <v>797</v>
      </c>
    </row>
    <row r="29" spans="1:5" x14ac:dyDescent="0.2">
      <c r="A29" t="str">
        <f>_xlfn.TEXTJOIN(";",0,A27:E27)</f>
        <v>sql;; aws; pyspark; tableau</v>
      </c>
    </row>
    <row r="31" spans="1:5" x14ac:dyDescent="0.2">
      <c r="A31" t="str" cm="1">
        <f t="array" ref="A31:E31">_xlfn.TEXTSPLIT(A29,";")</f>
        <v>sql</v>
      </c>
      <c r="B31" t="str">
        <v/>
      </c>
      <c r="C31" t="str">
        <v xml:space="preserve"> aws</v>
      </c>
      <c r="D31" t="str">
        <v xml:space="preserve"> pyspark</v>
      </c>
      <c r="E31" t="str">
        <v xml:space="preserve"> tableau</v>
      </c>
    </row>
    <row r="33" spans="2:3" x14ac:dyDescent="0.2">
      <c r="B33" t="str">
        <f>TEXT("12/03/2025","mmmm")</f>
        <v>March</v>
      </c>
    </row>
    <row r="36" spans="2:3" x14ac:dyDescent="0.2">
      <c r="B36" t="s">
        <v>802</v>
      </c>
    </row>
    <row r="38" spans="2:3" x14ac:dyDescent="0.2">
      <c r="B38" t="s">
        <v>801</v>
      </c>
      <c r="C38">
        <f>SEARCH("KHAN",B36)</f>
        <v>12</v>
      </c>
    </row>
    <row r="40" spans="2:3" x14ac:dyDescent="0.2">
      <c r="C40" t="e">
        <f>FIND("Khan",B36)</f>
        <v>#VALUE!</v>
      </c>
    </row>
    <row r="41" spans="2:3" x14ac:dyDescent="0.2">
      <c r="B41">
        <f>SEARCH("KHAN",B36,C38+1)</f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2025-12-16T15:29:38Z</dcterms:created>
  <dcterms:modified xsi:type="dcterms:W3CDTF">2025-12-16T17:23:36Z</dcterms:modified>
</cp:coreProperties>
</file>