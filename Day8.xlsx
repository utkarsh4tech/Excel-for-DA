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882661E9-2167-3641-B0F4-6A1E57336700}" xr6:coauthVersionLast="47" xr6:coauthVersionMax="47" xr10:uidLastSave="{00000000-0000-0000-0000-000000000000}"/>
  <bookViews>
    <workbookView xWindow="0" yWindow="620" windowWidth="28800" windowHeight="17400" activeTab="1" xr2:uid="{0AD87FA2-8151-2A4D-9980-9B18050A5F21}"/>
  </bookViews>
  <sheets>
    <sheet name="AGENDA" sheetId="2" r:id="rId1"/>
    <sheet name="Sheet3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4" i="3"/>
  <c r="C2" i="3"/>
</calcChain>
</file>

<file path=xl/sharedStrings.xml><?xml version="1.0" encoding="utf-8"?>
<sst xmlns="http://schemas.openxmlformats.org/spreadsheetml/2006/main" count="68" uniqueCount="62">
  <si>
    <t>B</t>
  </si>
  <si>
    <t>ADV Stats</t>
  </si>
  <si>
    <t>1) Linear Regression ( application )</t>
  </si>
  <si>
    <t>Y</t>
  </si>
  <si>
    <t>Y (o/p)</t>
  </si>
  <si>
    <t>x1, x2, x3… xN (i/ps)</t>
  </si>
  <si>
    <t>Y = B0 + B1*x1 + B2*x2 ….BN*xN</t>
  </si>
  <si>
    <t>1) Is there any substatial / statistically significant reln b/w Y and X(s)</t>
  </si>
  <si>
    <t>2) if yes, then how much</t>
  </si>
  <si>
    <t>3) what is mathematical eqn</t>
  </si>
  <si>
    <t>X</t>
  </si>
  <si>
    <t>y = 5 + 3 * X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</si>
  <si>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</si>
  <si>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</si>
  <si>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</si>
  <si>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</si>
  <si>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</si>
  <si>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</si>
  <si>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</si>
  <si>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</si>
  <si>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</si>
  <si>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</si>
  <si>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</si>
  <si>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</si>
  <si>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</si>
  <si>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</si>
  <si>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</si>
  <si>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</si>
  <si>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</si>
  <si>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</si>
  <si>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</si>
  <si>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</si>
  <si>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</si>
  <si>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</si>
  <si>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99.0%</t>
  </si>
  <si>
    <t>Upper 99.0%</t>
  </si>
  <si>
    <t>p-value</t>
  </si>
  <si>
    <t>&gt; 5% or &gt; 0.05</t>
  </si>
  <si>
    <t>THEN</t>
  </si>
  <si>
    <t>X is not a statistically significant var for Predicting Y</t>
  </si>
  <si>
    <t>A</t>
  </si>
  <si>
    <t>if 0 comes In b/w Lower to Upper, then that variable (X) is not a significant predictor</t>
  </si>
  <si>
    <t>2)</t>
  </si>
  <si>
    <t>How good?</t>
  </si>
  <si>
    <t xml:space="preserve">r^2 is 93% ==&gt; </t>
  </si>
  <si>
    <t>93% of variability In Y is explained by X</t>
  </si>
  <si>
    <t>Column1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</si>
  <si>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</si>
  <si>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</si>
  <si>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</si>
  <si>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</si>
  <si>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</si>
  <si>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</si>
  <si>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</si>
  <si>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</si>
  <si>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</si>
  <si>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</si>
  <si>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</si>
  <si>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</si>
  <si>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Largest(3)</t>
  </si>
  <si>
    <t>Smallest(4)</t>
  </si>
  <si>
    <t>Confidence Level(95.0%)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</si>
</sst>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Continuous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Sheet3!$B$4:$B$23</c:f>
              <c:numCache>
                <c:formatCode>General</c:formatCode>
                <c:ptCount val="20"/>
                <c:pt idx="0">
                  <c:v>-4.7905603655569999</c:v>
                </c:pt>
                <c:pt idx="1">
                  <c:v>5.0519360834974494</c:v>
                </c:pt>
                <c:pt idx="2">
                  <c:v>7.889755341638697</c:v>
                </c:pt>
                <c:pt idx="3">
                  <c:v>3.1180269215805585</c:v>
                </c:pt>
                <c:pt idx="4">
                  <c:v>9.6784710044406683</c:v>
                </c:pt>
                <c:pt idx="5">
                  <c:v>6.0621716343155923</c:v>
                </c:pt>
                <c:pt idx="6">
                  <c:v>6.9186579421715146</c:v>
                </c:pt>
                <c:pt idx="7">
                  <c:v>1.8840340766515742</c:v>
                </c:pt>
                <c:pt idx="8">
                  <c:v>-3.9273716993291907E-2</c:v>
                </c:pt>
                <c:pt idx="9">
                  <c:v>-7.3361506254114861E-2</c:v>
                </c:pt>
                <c:pt idx="10">
                  <c:v>-2.9868356129093261</c:v>
                </c:pt>
                <c:pt idx="11">
                  <c:v>5.2538538329554036</c:v>
                </c:pt>
                <c:pt idx="12">
                  <c:v>-3.4786295185231744</c:v>
                </c:pt>
                <c:pt idx="13">
                  <c:v>4.6736821810126692</c:v>
                </c:pt>
                <c:pt idx="14">
                  <c:v>-4.4235837200766355</c:v>
                </c:pt>
                <c:pt idx="15">
                  <c:v>7.8284166719896788</c:v>
                </c:pt>
                <c:pt idx="16">
                  <c:v>7.1990061305458681</c:v>
                </c:pt>
                <c:pt idx="17">
                  <c:v>3.6960360844135454</c:v>
                </c:pt>
                <c:pt idx="18">
                  <c:v>4.2784707384549403</c:v>
                </c:pt>
                <c:pt idx="19">
                  <c:v>-1.742298787805391</c:v>
                </c:pt>
              </c:numCache>
            </c:numRef>
          </c:xVal>
          <c:yVal>
            <c:numRef>
              <c:f>Sheet3!$C$4:$C$23</c:f>
              <c:numCache>
                <c:formatCode>General</c:formatCode>
                <c:ptCount val="20"/>
                <c:pt idx="0">
                  <c:v>22.961444780379296</c:v>
                </c:pt>
                <c:pt idx="1">
                  <c:v>-17.642353706549351</c:v>
                </c:pt>
                <c:pt idx="2">
                  <c:v>-33.570067641076115</c:v>
                </c:pt>
                <c:pt idx="3">
                  <c:v>-1.6868042463085891</c:v>
                </c:pt>
                <c:pt idx="4">
                  <c:v>-35.216044681722089</c:v>
                </c:pt>
                <c:pt idx="5">
                  <c:v>-23.672747276579933</c:v>
                </c:pt>
                <c:pt idx="6">
                  <c:v>-25.142720415123136</c:v>
                </c:pt>
                <c:pt idx="7">
                  <c:v>-6.4264327007972533</c:v>
                </c:pt>
                <c:pt idx="8">
                  <c:v>5.1822806313624579</c:v>
                </c:pt>
                <c:pt idx="9">
                  <c:v>7.5564025945210123</c:v>
                </c:pt>
                <c:pt idx="10">
                  <c:v>18.965984732944356</c:v>
                </c:pt>
                <c:pt idx="11">
                  <c:v>-18.193022259249393</c:v>
                </c:pt>
                <c:pt idx="12">
                  <c:v>17.636455165772709</c:v>
                </c:pt>
                <c:pt idx="13">
                  <c:v>-10.858938081590033</c:v>
                </c:pt>
                <c:pt idx="14">
                  <c:v>16.308016535562054</c:v>
                </c:pt>
                <c:pt idx="15">
                  <c:v>-26.981900504350488</c:v>
                </c:pt>
                <c:pt idx="16">
                  <c:v>-31.593243894898769</c:v>
                </c:pt>
                <c:pt idx="17">
                  <c:v>-6.226376368436445</c:v>
                </c:pt>
                <c:pt idx="18">
                  <c:v>-15.343845451986267</c:v>
                </c:pt>
                <c:pt idx="19">
                  <c:v>11.417958305692082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E6-374C-9529-E9D8CA80C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8355712"/>
        <c:axId val="858353920"/>
      </c:scatterChart>
      <c:valAx>
        <c:axId val="85835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353920"/>
        <c:crosses val="autoZero"/>
        <c:crossBetween val="midCat"/>
      </c:valAx>
      <c:valAx>
        <c:axId val="85835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35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34" Type="http://schemas.openxmlformats.org/officeDocument/2006/relationships/image" Target="../media/image17.png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customXml" Target="../ink/ink15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31" Type="http://schemas.openxmlformats.org/officeDocument/2006/relationships/customXml" Target="../ink/ink1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Relationship Id="rId8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773280</xdr:colOff>
      <xdr:row>5</xdr:row>
      <xdr:rowOff>163350</xdr:rowOff>
    </xdr:from>
    <xdr:to>
      <xdr:col>2</xdr:col>
      <xdr:colOff>425097</xdr:colOff>
      <xdr:row>12</xdr:row>
      <xdr:rowOff>138816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65535B98-F494-39E9-1B8F-00663E02E8EF}"/>
                </a:ext>
              </a:extLst>
            </xdr14:cNvPr>
            <xdr14:cNvContentPartPr/>
          </xdr14:nvContentPartPr>
          <xdr14:nvPr macro=""/>
          <xdr14:xfrm>
            <a:off x="773280" y="1173960"/>
            <a:ext cx="1302480" cy="139032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65535B98-F494-39E9-1B8F-00663E02E8E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67195" y="1167864"/>
              <a:ext cx="1314649" cy="14025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265828</xdr:colOff>
      <xdr:row>6</xdr:row>
      <xdr:rowOff>82188</xdr:rowOff>
    </xdr:from>
    <xdr:to>
      <xdr:col>2</xdr:col>
      <xdr:colOff>561537</xdr:colOff>
      <xdr:row>9</xdr:row>
      <xdr:rowOff>134622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74FC8A9E-B510-EF40-8D73-D66FBF5E87B3}"/>
                </a:ext>
              </a:extLst>
            </xdr14:cNvPr>
            <xdr14:cNvContentPartPr/>
          </xdr14:nvContentPartPr>
          <xdr14:nvPr macro=""/>
          <xdr14:xfrm>
            <a:off x="1091160" y="1294920"/>
            <a:ext cx="1121040" cy="65880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74FC8A9E-B510-EF40-8D73-D66FBF5E87B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82160" y="1285920"/>
              <a:ext cx="1138680" cy="67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311548</xdr:colOff>
      <xdr:row>8</xdr:row>
      <xdr:rowOff>159984</xdr:rowOff>
    </xdr:from>
    <xdr:to>
      <xdr:col>1</xdr:col>
      <xdr:colOff>472108</xdr:colOff>
      <xdr:row>9</xdr:row>
      <xdr:rowOff>121302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3DB70E1E-D9B0-0E75-A9E7-D53E49BBC794}"/>
                </a:ext>
              </a:extLst>
            </xdr14:cNvPr>
            <xdr14:cNvContentPartPr/>
          </xdr14:nvContentPartPr>
          <xdr14:nvPr macro=""/>
          <xdr14:xfrm>
            <a:off x="1136880" y="1776960"/>
            <a:ext cx="160560" cy="16344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3DB70E1E-D9B0-0E75-A9E7-D53E49BBC79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130746" y="1770840"/>
              <a:ext cx="172828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604948</xdr:colOff>
      <xdr:row>7</xdr:row>
      <xdr:rowOff>129906</xdr:rowOff>
    </xdr:from>
    <xdr:to>
      <xdr:col>1</xdr:col>
      <xdr:colOff>607828</xdr:colOff>
      <xdr:row>7</xdr:row>
      <xdr:rowOff>133506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2A246074-140E-3BD6-3AB4-71486D799B5A}"/>
                </a:ext>
              </a:extLst>
            </xdr14:cNvPr>
            <xdr14:cNvContentPartPr/>
          </xdr14:nvContentPartPr>
          <xdr14:nvPr macro=""/>
          <xdr14:xfrm>
            <a:off x="1430280" y="1544760"/>
            <a:ext cx="2880" cy="360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2A246074-140E-3BD6-3AB4-71486D799B5A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424160" y="1538640"/>
              <a:ext cx="1512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365337</xdr:colOff>
      <xdr:row>5</xdr:row>
      <xdr:rowOff>65430</xdr:rowOff>
    </xdr:from>
    <xdr:to>
      <xdr:col>2</xdr:col>
      <xdr:colOff>389457</xdr:colOff>
      <xdr:row>5</xdr:row>
      <xdr:rowOff>78390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51410163-1332-6E98-3A43-304B65280D83}"/>
                </a:ext>
              </a:extLst>
            </xdr14:cNvPr>
            <xdr14:cNvContentPartPr/>
          </xdr14:nvContentPartPr>
          <xdr14:nvPr macro=""/>
          <xdr14:xfrm>
            <a:off x="2016000" y="1076040"/>
            <a:ext cx="24120" cy="1296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51410163-1332-6E98-3A43-304B65280D83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009880" y="1069920"/>
              <a:ext cx="363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365908</xdr:colOff>
      <xdr:row>6</xdr:row>
      <xdr:rowOff>200988</xdr:rowOff>
    </xdr:from>
    <xdr:to>
      <xdr:col>1</xdr:col>
      <xdr:colOff>377428</xdr:colOff>
      <xdr:row>7</xdr:row>
      <xdr:rowOff>15066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A046A8A3-E7DA-9084-9002-B8005E2BE130}"/>
                </a:ext>
              </a:extLst>
            </xdr14:cNvPr>
            <xdr14:cNvContentPartPr/>
          </xdr14:nvContentPartPr>
          <xdr14:nvPr macro=""/>
          <xdr14:xfrm>
            <a:off x="1191240" y="1413720"/>
            <a:ext cx="11520" cy="1620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A046A8A3-E7DA-9084-9002-B8005E2BE130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185120" y="1407600"/>
              <a:ext cx="23760" cy="2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635548</xdr:colOff>
      <xdr:row>8</xdr:row>
      <xdr:rowOff>65304</xdr:rowOff>
    </xdr:from>
    <xdr:to>
      <xdr:col>1</xdr:col>
      <xdr:colOff>768388</xdr:colOff>
      <xdr:row>8</xdr:row>
      <xdr:rowOff>156744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25A05F58-AEC5-1553-DFF1-4992E7E3B97D}"/>
                </a:ext>
              </a:extLst>
            </xdr14:cNvPr>
            <xdr14:cNvContentPartPr/>
          </xdr14:nvContentPartPr>
          <xdr14:nvPr macro=""/>
          <xdr14:xfrm>
            <a:off x="1460880" y="1682280"/>
            <a:ext cx="132840" cy="9144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25A05F58-AEC5-1553-DFF1-4992E7E3B97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454777" y="1676136"/>
              <a:ext cx="145047" cy="1037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43857</xdr:colOff>
      <xdr:row>7</xdr:row>
      <xdr:rowOff>123786</xdr:rowOff>
    </xdr:from>
    <xdr:to>
      <xdr:col>2</xdr:col>
      <xdr:colOff>51417</xdr:colOff>
      <xdr:row>7</xdr:row>
      <xdr:rowOff>128106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A4947DA7-BA87-73F0-22B8-27948F0F0F93}"/>
                </a:ext>
              </a:extLst>
            </xdr14:cNvPr>
            <xdr14:cNvContentPartPr/>
          </xdr14:nvContentPartPr>
          <xdr14:nvPr macro=""/>
          <xdr14:xfrm>
            <a:off x="1694520" y="1538640"/>
            <a:ext cx="7560" cy="432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A4947DA7-BA87-73F0-22B8-27948F0F0F93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688400" y="1532520"/>
              <a:ext cx="19800" cy="1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162297</xdr:colOff>
      <xdr:row>6</xdr:row>
      <xdr:rowOff>132588</xdr:rowOff>
    </xdr:from>
    <xdr:to>
      <xdr:col>2</xdr:col>
      <xdr:colOff>166977</xdr:colOff>
      <xdr:row>6</xdr:row>
      <xdr:rowOff>144108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EF8472BD-8A7C-78BD-731A-159B82346B1E}"/>
                </a:ext>
              </a:extLst>
            </xdr14:cNvPr>
            <xdr14:cNvContentPartPr/>
          </xdr14:nvContentPartPr>
          <xdr14:nvPr macro=""/>
          <xdr14:xfrm>
            <a:off x="1812960" y="1345320"/>
            <a:ext cx="4680" cy="1152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EF8472BD-8A7C-78BD-731A-159B82346B1E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806840" y="1339200"/>
              <a:ext cx="1692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380097</xdr:colOff>
      <xdr:row>7</xdr:row>
      <xdr:rowOff>148266</xdr:rowOff>
    </xdr:from>
    <xdr:to>
      <xdr:col>2</xdr:col>
      <xdr:colOff>390897</xdr:colOff>
      <xdr:row>7</xdr:row>
      <xdr:rowOff>170226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D3356CAF-6786-2527-0CBA-DCE341385F32}"/>
                </a:ext>
              </a:extLst>
            </xdr14:cNvPr>
            <xdr14:cNvContentPartPr/>
          </xdr14:nvContentPartPr>
          <xdr14:nvPr macro=""/>
          <xdr14:xfrm>
            <a:off x="2030760" y="1563120"/>
            <a:ext cx="10800" cy="2196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D3356CAF-6786-2527-0CBA-DCE341385F32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024640" y="1557000"/>
              <a:ext cx="2304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507177</xdr:colOff>
      <xdr:row>6</xdr:row>
      <xdr:rowOff>183348</xdr:rowOff>
    </xdr:from>
    <xdr:to>
      <xdr:col>2</xdr:col>
      <xdr:colOff>522297</xdr:colOff>
      <xdr:row>6</xdr:row>
      <xdr:rowOff>185148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663824FF-656F-3090-9D42-07E43181330D}"/>
                </a:ext>
              </a:extLst>
            </xdr14:cNvPr>
            <xdr14:cNvContentPartPr/>
          </xdr14:nvContentPartPr>
          <xdr14:nvPr macro=""/>
          <xdr14:xfrm>
            <a:off x="2157840" y="1396080"/>
            <a:ext cx="15120" cy="180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663824FF-656F-3090-9D42-07E43181330D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151720" y="1389960"/>
              <a:ext cx="27360" cy="1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349137</xdr:colOff>
      <xdr:row>5</xdr:row>
      <xdr:rowOff>101070</xdr:rowOff>
    </xdr:from>
    <xdr:to>
      <xdr:col>2</xdr:col>
      <xdr:colOff>526257</xdr:colOff>
      <xdr:row>7</xdr:row>
      <xdr:rowOff>175266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3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28B9FCAB-352A-3801-F3A9-0358B83AE3FF}"/>
                </a:ext>
              </a:extLst>
            </xdr14:cNvPr>
            <xdr14:cNvContentPartPr/>
          </xdr14:nvContentPartPr>
          <xdr14:nvPr macro=""/>
          <xdr14:xfrm>
            <a:off x="1999800" y="1111680"/>
            <a:ext cx="177120" cy="47844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28B9FCAB-352A-3801-F3A9-0358B83AE3FF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990818" y="1057680"/>
              <a:ext cx="194724" cy="58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174897</xdr:colOff>
      <xdr:row>6</xdr:row>
      <xdr:rowOff>155268</xdr:rowOff>
    </xdr:from>
    <xdr:to>
      <xdr:col>2</xdr:col>
      <xdr:colOff>175257</xdr:colOff>
      <xdr:row>7</xdr:row>
      <xdr:rowOff>121986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5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27677B41-C824-2641-0C38-048E2993BBBB}"/>
                </a:ext>
              </a:extLst>
            </xdr14:cNvPr>
            <xdr14:cNvContentPartPr/>
          </xdr14:nvContentPartPr>
          <xdr14:nvPr macro=""/>
          <xdr14:xfrm>
            <a:off x="1825560" y="1368000"/>
            <a:ext cx="360" cy="16884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27677B41-C824-2641-0C38-048E2993BBBB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816560" y="1314360"/>
              <a:ext cx="18000" cy="27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766588</xdr:colOff>
      <xdr:row>8</xdr:row>
      <xdr:rowOff>49464</xdr:rowOff>
    </xdr:from>
    <xdr:to>
      <xdr:col>1</xdr:col>
      <xdr:colOff>766948</xdr:colOff>
      <xdr:row>8</xdr:row>
      <xdr:rowOff>53064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7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862B8973-1FC5-4546-7E89-FCD6A239583D}"/>
                </a:ext>
              </a:extLst>
            </xdr14:cNvPr>
            <xdr14:cNvContentPartPr/>
          </xdr14:nvContentPartPr>
          <xdr14:nvPr macro=""/>
          <xdr14:xfrm>
            <a:off x="1591920" y="1666440"/>
            <a:ext cx="360" cy="360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862B8973-1FC5-4546-7E89-FCD6A239583D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582920" y="1612800"/>
              <a:ext cx="18000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633028</xdr:colOff>
      <xdr:row>8</xdr:row>
      <xdr:rowOff>126144</xdr:rowOff>
    </xdr:from>
    <xdr:to>
      <xdr:col>1</xdr:col>
      <xdr:colOff>633388</xdr:colOff>
      <xdr:row>8</xdr:row>
      <xdr:rowOff>152784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9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EE3B543A-9264-3676-477B-BEB6D4182990}"/>
                </a:ext>
              </a:extLst>
            </xdr14:cNvPr>
            <xdr14:cNvContentPartPr/>
          </xdr14:nvContentPartPr>
          <xdr14:nvPr macro=""/>
          <xdr14:xfrm>
            <a:off x="1458360" y="1743120"/>
            <a:ext cx="360" cy="2664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EE3B543A-9264-3676-477B-BEB6D4182990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449360" y="1689480"/>
              <a:ext cx="18000" cy="13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338188</xdr:colOff>
      <xdr:row>7</xdr:row>
      <xdr:rowOff>53946</xdr:rowOff>
    </xdr:from>
    <xdr:to>
      <xdr:col>1</xdr:col>
      <xdr:colOff>461308</xdr:colOff>
      <xdr:row>9</xdr:row>
      <xdr:rowOff>107262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1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EAB1EDFE-A4A7-435F-B384-41346670E056}"/>
                </a:ext>
              </a:extLst>
            </xdr14:cNvPr>
            <xdr14:cNvContentPartPr/>
          </xdr14:nvContentPartPr>
          <xdr14:nvPr macro=""/>
          <xdr14:xfrm>
            <a:off x="1163520" y="1468800"/>
            <a:ext cx="123120" cy="457560"/>
          </xdr14:xfrm>
        </xdr:contentPart>
      </mc:Choice>
      <mc:Fallback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EAB1EDFE-A4A7-435F-B384-41346670E056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154520" y="1415160"/>
              <a:ext cx="140760" cy="56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313348</xdr:colOff>
      <xdr:row>15</xdr:row>
      <xdr:rowOff>130770</xdr:rowOff>
    </xdr:from>
    <xdr:to>
      <xdr:col>1</xdr:col>
      <xdr:colOff>313708</xdr:colOff>
      <xdr:row>15</xdr:row>
      <xdr:rowOff>131130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3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F7CC09F3-D339-F446-70CE-E59F7F3C6E43}"/>
                </a:ext>
              </a:extLst>
            </xdr14:cNvPr>
            <xdr14:cNvContentPartPr/>
          </xdr14:nvContentPartPr>
          <xdr14:nvPr macro=""/>
          <xdr14:xfrm>
            <a:off x="1138680" y="3162600"/>
            <a:ext cx="360" cy="36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F7CC09F3-D339-F446-70CE-E59F7F3C6E43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129680" y="310860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650875</xdr:colOff>
      <xdr:row>4</xdr:row>
      <xdr:rowOff>153061</xdr:rowOff>
    </xdr:from>
    <xdr:to>
      <xdr:col>11</xdr:col>
      <xdr:colOff>261938</xdr:colOff>
      <xdr:row>18</xdr:row>
      <xdr:rowOff>25531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5299E8-E3B6-22F8-DE66-4D244BE4F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6:00:57.20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608 57 24575,'1'9'0,"0"30"0,-1 56 0,0-13 0,0 12 0,0-11 0,0 5 0,0 4-615,0-13 1,0 2 0,0 2 0,0 0 614,0-1 0,0 1 0,0 0 0,0-2 0,0-4 0,0 0 0,0-2 0,0-2 93,0 12 0,0-2 0,0-4-93,0 16 0,0-7 0,0-16 0,0-7 0,0 19 0,0-41 0,0-19 1841,0-14-1841,0-5 337,0-2-337,0-1 0,0 0 0,0 1 0,-1 4 0,-2 7 0,-3 16 0,-2 11 0,1 5 0,0-4 0,3-14 0,1-9 0,3-11 0,3-8 0,6-5 0,13-4 0,19-3 0,27 0 0,-16 7 0,5 1 0,14 0 0,5 1 0,15 0 0,3 2 0,-24 1 0,1 1 0,0 1 0,4 1 0,0 1 0,1 2 0,-2 0 0,0 2 0,0 1-197,1 2 1,-1 1-1,1 2 197,0 0 0,0 1 0,-1 1 0,-4-1 0,0 0 0,-1 1 0,-1-1 0,-1 0 0,-2 0 0,24 5 0,-3-1 0,-11-3 0,-2-2 0,-6-1 0,-3-2 0,-9-2 0,-2-2 0,39 6 0,-13-2 590,-10-1-590,-14-1 0,-18-2 0,-13-1 0,-12-3 0,-6-1 0,-3-3 0,-2 0 0,-1 0 0</inkml:trace>
  <inkml:trace contextRef="#ctx0" brushRef="#br0" timeOffset="1567">36 3 24575,'-5'-1'0,"-2"0"0,1 1 0,-1 0 0,2 0 0,2 0 0,2 6 0,0-1 0,1 7 0,0-2 0,0 3 0,1 0 0,1-1 0,1-2 0,2-3 0,1-4 0,3-1 0,5-2 0,9-3 0,5-2 0,1-1 0,-4 2 0,-8 3 0,-8 2 0,-4 4 0,-4 9 0,-1 9 0,-1 6 0,-2 2 0,-2-5 0,-2-6 0,-4-7 0,0-7 0,-2-5 0,1-4 0,2-4 0,4-2 0,2-2 0,3 2 0,0 4 0,1 2 0</inkml:trace>
  <inkml:trace contextRef="#ctx0" brushRef="#br0" timeOffset="2706">3388 3334 24575,'22'2'0,"9"5"0,14 6 0,3 4 0,-5 0 0,-12-5 0,-13-6 0,-9-3 0,-6-2 0</inkml:trace>
  <inkml:trace contextRef="#ctx0" brushRef="#br0" timeOffset="3783">3621 3356 24575,'0'33'0,"0"34"0,0 33 0,0-44 0,0-1 0,0 39 0,0-32 0,0-26 0,0-19 0,-2-16 0,-1-10 0,0 2 0,0-2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6:01:05.509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0 1829 24575,'30'-23'0,"37"-25"0,-6 6 0,8-5 0,-8 6 0,5-3 0,2-1-988,11-7 0,3-1 1,2-2 987,-16 12 0,1-1 0,0 0 0,1 0 0,0 0 0,0 0 0,0 0 0,1 1 0,-2 0 0,0 2 0,-1-1 0,1 1 0,-3 2 0,1 1 0,-1 0 0,-1 0 0,17-7 0,-2 0 0,-1 2 92,-5 3 0,-2 1 0,-2 1-92,-6 3 0,0 1 0,-3 1 0,24-12 0,-2 2 318,-6 2 0,-2 3-318,-10 5 0,-3 2 0,-10 6 0,-5 2 0,21-10 1498,-26 14-1498,-18 8 553,-12 5-553,-6 4 0,-3 0 0,-1 0 0,-1 1 0,-1 0 0,0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6:01:39.468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52 7 24575,'-2'-4'0,"-1"2"0,-4 1 0,-3 4 0,0 4 0,1 5 0,2 2 0,4-3 0,3-3 0,4-4 0,2-6 0,2-4 0,-1-2 0,-2 0 0,-3 2 0,-2 2 0,-1 3 0,-1 0 0,-1 0 0,2 1 0,-1 0 0</inkml:trace>
  <inkml:trace contextRef="#ctx0" brushRef="#br0" timeOffset="1085">445 431 24575,'-7'1'0,"0"3"0,2 1 0,3 1 0,1-2 0,3-2 0,1-3 0,0-2 0,-1 0 0,-1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6:01:41.937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9 24575,'4'-3'0,"-2"1"0,-2-1 0,-1 3 0,1 3 0,0 0 0,1 0 0,0-3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6:01:44.256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66 17 24575,'0'-5'0,"-1"0"0,-3 1 0,-4 2 0,-3 2 0,-2 2 0,0 4 0,4 1 0,4 1 0,3-2 0,2-3 0,3-1 0,2-1 0,3-2 0,0-2 0,-2-1 0,-1-1 0,-2 1 0,-1 1 0,-2 3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6:01:45.858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8 33 24575,'5'0'0,"1"-1"0,-1-4 0,-1-1 0,-1-2 0,-2 1 0,-4 3 0,-1 2 0,-3 4 0,0 3 0,1 3 0,3 2 0,2-1 0,1-3 0,1-3 0,1-2 0,2-1 0,1-3 0,0-2 0,-2-1 0,-1-1 0,-3 2 0,1 3 0,-2 2 0,1 1 0,0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6:01:47.325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29 240 24575,'-1'-6'0,"-4"1"0,-1 2 0,-1 2 0,2 2 0,2 1 0,2 3 0,1 2 0,1-1 0,1-2 0,2-2 0,0-1 0,-1-2 0,-1 0 0,-2-1 0,-2 0 0,0 1 0,1 1 0,0 0 0</inkml:trace>
  <inkml:trace contextRef="#ctx0" brushRef="#br0" timeOffset="1135">358 21 24575,'4'-1'0,"-1"-1"0,0-3 0,-2 1 0,-1 0 0,-1 1 0,0 2 0,-2 1 0,2 0 0,0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6:01:49.527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20 3 24575,'-7'-1'0,"2"0"0,1 1 0,1 2 0,2 2 0,1-2 0,0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6:01:50.711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1 24575,'0'5'0,"0"1"0,0 0 0,1 1 0,1-3 0,1-2 0,0-1 0,-1-3 0,-1-1 0,-2 0 0,1 0 0,-1 3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6:01:52.495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12 25 24575,'0'-6'0,"0"-1"0,-1 1 0,-1 2 0,-1 3 0,0 4 0,1 5 0,2 3 0,1 1 0,2-1 0,2-3 0,1-3 0,0-3 0,-1-3 0,-3-4 0,-1-3 0,-4 0 0,-3 2 0,0 2 0,1 3 0,2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6:01:54.329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41 1 24575,'-7'0'0,"-1"0"0,-2 0 0,2 0 0,4 0 0,1 1 0,2 0 0,2 1 0,2-2 0,0 0 0,0 0 0,-1 0 0,-1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6:03:27.88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121 0 16383,'0'18'0,"0"0"0,0 3 0,0-2 0,0-3 0,0-3 0,0-4 0,0-1 0,0 2 0,0 9 0,0 19 0,2 29 0,3 27 0,-1-43 0,0-1 0,5 39 0,-1-27 0,-4-27 0,-1-17 0,-2-9 0,0-4 0,-1-2 0,1-1 0,-1-1 0</inkml:trace>
  <inkml:trace contextRef="#ctx0" brushRef="#br0" timeOffset="1767">0 876 16383,'0'14'0,"0"2"0,0 5 0,0-1 0,0-3 0,0 0 0,0 0 0,2 2 0,3 5 0,3 7 0,4 6 0,0 6 0,0 4 0,-1-5 0,-3-6 0,-3-12 0,-3-9 0,-1-7 0,0-5 0,-1-2 0</inkml:trace>
  <inkml:trace contextRef="#ctx0" brushRef="#br0" timeOffset="3350">470 642 16383,'0'7'0,"0"1"0,0 2 0,0 2 0,1 1 0,1 1 0,1 1 0,1-1 0,-1-2 0,-1-3 0,0-3 0,0-2 0,-1-3 0,0 0 0,0-1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6:03:32.65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1 16383,'0'23'0,"0"16"0,0 24 0,0 21 0,0 1 0,0-11 0,0-22 0,0-23 0,0-14 0,0-12 0,0-3 0,0-2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6:03:34.85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1 16383,'0'4'0,"0"-1"0,0-2 0,0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6:03:35.98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1 16383,'0'18'0,"0"0"0,0-3 0,0-4 0,0-4 0,0-5 0,0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6:03:36.80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108 1 16383,'0'0'0</inkml:trace>
  <inkml:trace contextRef="#ctx0" brushRef="#br0" timeOffset="933">106 174 16383,'0'24'0,"0"9"0,0 10 0,0 2 0,1-7 0,0-13 0,0-12 0,0-6 0,1-3 0,0 0 0,1 0 0,1 4 0,1 13 0,4 31 0,2 34 0,-4-31 0,0 3 0,0 3 0,0-1 0,0-8 0,-1-4 0,3 25 0,-2-31 0,-4-23 0,-1-11 0,-1-4 0,0-3 0,-2-6 0,1 3 0,-1-3 0</inkml:trace>
  <inkml:trace contextRef="#ctx0" brushRef="#br0" timeOffset="1933">5 1008 16383,'-2'4'0,"-1"2"0,3 6 0,0 2 0,0 1 0,0 0 0,0 0 0,0-2 0,0-1 0,0-4 0,0-1 0,0-5 0,0 1 0</inkml:trace>
  <inkml:trace contextRef="#ctx0" brushRef="#br0" timeOffset="3616">339 1046 16383,'2'14'0,"-1"9"0,-1 9 0,0 4 0,0-3 0,0-9 0,0-6 0,0-7 0,0-4 0,0-2 0,0 0 0,0 0 0,0 0 0,0-2 0,0-1 0,0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16:04:34.24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833">0 0 16383,'0'0'0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E14D0-606C-4749-A040-498732FCC5A3}">
  <dimension ref="B2:C49"/>
  <sheetViews>
    <sheetView topLeftCell="A13" zoomScale="251" workbookViewId="0">
      <selection activeCell="B22" sqref="B22"/>
    </sheetView>
  </sheetViews>
  <sheetFormatPr baseColWidth="10" defaultRowHeight="16" x14ac:dyDescent="0.2"/>
  <sheetData>
    <row r="2" spans="2:3" x14ac:dyDescent="0.2">
      <c r="B2" s="1" t="s">
        <v>1</v>
      </c>
      <c r="C2" s="1"/>
    </row>
    <row r="3" spans="2:3" x14ac:dyDescent="0.2">
      <c r="B3" s="1"/>
      <c r="C3" s="1"/>
    </row>
    <row r="5" spans="2:3" x14ac:dyDescent="0.2">
      <c r="B5" t="s">
        <v>2</v>
      </c>
    </row>
    <row r="16" spans="2:3" x14ac:dyDescent="0.2">
      <c r="B16" t="s">
        <v>4</v>
      </c>
      <c r="C16" t="s">
        <v>5</v>
      </c>
    </row>
    <row r="19" spans="2:3" x14ac:dyDescent="0.2">
      <c r="B19" t="s">
        <v>6</v>
      </c>
    </row>
    <row r="22" spans="2:3" x14ac:dyDescent="0.2">
      <c r="B22" t="s">
        <v>7</v>
      </c>
    </row>
    <row r="24" spans="2:3" x14ac:dyDescent="0.2">
      <c r="B24" t="s">
        <v>8</v>
      </c>
    </row>
    <row r="26" spans="2:3" x14ac:dyDescent="0.2">
      <c r="B26" t="s">
        <v>9</v>
      </c>
    </row>
    <row r="29" spans="2:3" x14ac:dyDescent="0.2">
      <c r="B29" t="s">
        <v>10</v>
      </c>
      <c r="C29" t="s">
        <v>3</v>
      </c>
    </row>
    <row r="30" spans="2:3" x14ac:dyDescent="0.2">
      <c r="B30">
        <v>-4.7905603655569999</v>
      </c>
      <c r="C30">
        <v>-7.5383747066544542</v>
      </c>
    </row>
    <row r="31" spans="2:3" x14ac:dyDescent="0.2">
      <c r="B31">
        <v>5.0519360834974494</v>
      </c>
      <c r="C31">
        <v>19.085411597904514</v>
      </c>
    </row>
    <row r="32" spans="2:3" x14ac:dyDescent="0.2">
      <c r="B32">
        <v>7.889755341638697</v>
      </c>
      <c r="C32">
        <v>20.196735616101911</v>
      </c>
    </row>
    <row r="33" spans="2:3" x14ac:dyDescent="0.2">
      <c r="B33">
        <v>3.1180269215805585</v>
      </c>
      <c r="C33">
        <v>9.8304331411327688</v>
      </c>
    </row>
    <row r="34" spans="2:3" x14ac:dyDescent="0.2">
      <c r="B34">
        <v>9.6784710044406683</v>
      </c>
      <c r="C34">
        <v>36.23107673713389</v>
      </c>
    </row>
    <row r="35" spans="2:3" x14ac:dyDescent="0.2">
      <c r="B35">
        <v>6.0621716343155923</v>
      </c>
      <c r="C35">
        <v>31.575810944367788</v>
      </c>
    </row>
    <row r="36" spans="2:3" x14ac:dyDescent="0.2">
      <c r="B36">
        <v>6.9186579421715146</v>
      </c>
      <c r="C36">
        <v>30.638070104264454</v>
      </c>
    </row>
    <row r="37" spans="2:3" x14ac:dyDescent="0.2">
      <c r="B37">
        <v>1.8840340766515742</v>
      </c>
      <c r="C37">
        <v>5.2757534346374957</v>
      </c>
    </row>
    <row r="38" spans="2:3" x14ac:dyDescent="0.2">
      <c r="B38">
        <v>-3.9273716993291907E-2</v>
      </c>
      <c r="C38">
        <v>6.9210048966597668</v>
      </c>
    </row>
    <row r="39" spans="2:3" x14ac:dyDescent="0.2">
      <c r="B39">
        <v>-7.3361506254114861E-2</v>
      </c>
      <c r="C39">
        <v>5.2349075629605757</v>
      </c>
    </row>
    <row r="40" spans="2:3" x14ac:dyDescent="0.2">
      <c r="B40">
        <v>-2.9868356129093261</v>
      </c>
      <c r="C40">
        <v>-10.292693492530216</v>
      </c>
    </row>
    <row r="41" spans="2:3" x14ac:dyDescent="0.2">
      <c r="B41">
        <v>5.2538538329554036</v>
      </c>
      <c r="C41">
        <v>18.853077251491751</v>
      </c>
    </row>
    <row r="42" spans="2:3" x14ac:dyDescent="0.2">
      <c r="B42">
        <v>-3.4786295185231744</v>
      </c>
      <c r="C42">
        <v>1.5862262250320303</v>
      </c>
    </row>
    <row r="43" spans="2:3" x14ac:dyDescent="0.2">
      <c r="B43">
        <v>4.6736821810126692</v>
      </c>
      <c r="C43">
        <v>20.918418641584481</v>
      </c>
    </row>
    <row r="44" spans="2:3" x14ac:dyDescent="0.2">
      <c r="B44">
        <v>-4.4235837200766355</v>
      </c>
      <c r="C44">
        <v>-9.1348818778852454</v>
      </c>
    </row>
    <row r="45" spans="2:3" x14ac:dyDescent="0.2">
      <c r="B45">
        <v>7.8284166719896788</v>
      </c>
      <c r="C45">
        <v>23.267315820427051</v>
      </c>
    </row>
    <row r="46" spans="2:3" x14ac:dyDescent="0.2">
      <c r="B46">
        <v>7.1990061305458681</v>
      </c>
      <c r="C46">
        <v>29.169199134559683</v>
      </c>
    </row>
    <row r="47" spans="2:3" x14ac:dyDescent="0.2">
      <c r="B47">
        <v>3.6960360844135454</v>
      </c>
      <c r="C47">
        <v>20.842056852559054</v>
      </c>
    </row>
    <row r="48" spans="2:3" x14ac:dyDescent="0.2">
      <c r="B48">
        <v>4.2784707384549403</v>
      </c>
      <c r="C48">
        <v>19.509481185183269</v>
      </c>
    </row>
    <row r="49" spans="2:3" x14ac:dyDescent="0.2">
      <c r="B49">
        <v>-1.742298787805391</v>
      </c>
      <c r="C49">
        <v>3.6259454522341956</v>
      </c>
    </row>
  </sheetData>
  <mergeCells count="1">
    <mergeCell ref="B2:C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2AF8-475F-2645-B4B2-A7CD8642E0CE}">
  <dimension ref="B2:M91"/>
  <sheetViews>
    <sheetView tabSelected="1" topLeftCell="A70" zoomScale="125" workbookViewId="0">
      <selection activeCell="F90" sqref="F90:G90"/>
    </sheetView>
  </sheetViews>
  <sheetFormatPr baseColWidth="10" defaultRowHeight="16" x14ac:dyDescent="0.2"/>
  <cols>
    <col min="6" max="6" width="42.83203125" bestFit="1" customWidth="1"/>
  </cols>
  <sheetData>
    <row r="2" spans="2:6" x14ac:dyDescent="0.2">
      <c r="C2" t="str">
        <f ca="1">_xlfn.FORMULATEXT(C4)</f>
        <v>=5-4*B4 + 5*NORM.S.INV(RAND())</v>
      </c>
      <c r="F2" t="s">
        <v>11</v>
      </c>
    </row>
    <row r="3" spans="2:6" x14ac:dyDescent="0.2">
      <c r="B3" s="3" t="s">
        <v>10</v>
      </c>
      <c r="C3" s="3" t="s">
        <v>3</v>
      </c>
    </row>
    <row r="4" spans="2:6" x14ac:dyDescent="0.2">
      <c r="B4" s="2">
        <v>-4.7905603655569999</v>
      </c>
      <c r="C4" s="2">
        <f ca="1">5-4*B4 + 5*_xlfn.NORM.S.INV(RAND())</f>
        <v>22.961444780379296</v>
      </c>
    </row>
    <row r="5" spans="2:6" x14ac:dyDescent="0.2">
      <c r="B5" s="2">
        <v>5.0519360834974494</v>
      </c>
      <c r="C5" s="2">
        <f t="shared" ref="C5:C23" ca="1" si="0">5-4*B5 + 5*_xlfn.NORM.S.INV(RAND())</f>
        <v>-17.642353706549351</v>
      </c>
    </row>
    <row r="6" spans="2:6" x14ac:dyDescent="0.2">
      <c r="B6" s="2">
        <v>7.889755341638697</v>
      </c>
      <c r="C6" s="2">
        <f t="shared" ca="1" si="0"/>
        <v>-33.570067641076115</v>
      </c>
    </row>
    <row r="7" spans="2:6" x14ac:dyDescent="0.2">
      <c r="B7" s="2">
        <v>3.1180269215805585</v>
      </c>
      <c r="C7" s="2">
        <f t="shared" ca="1" si="0"/>
        <v>-1.6868042463085891</v>
      </c>
    </row>
    <row r="8" spans="2:6" x14ac:dyDescent="0.2">
      <c r="B8" s="2">
        <v>9.6784710044406683</v>
      </c>
      <c r="C8" s="2">
        <f t="shared" ca="1" si="0"/>
        <v>-35.216044681722089</v>
      </c>
    </row>
    <row r="9" spans="2:6" x14ac:dyDescent="0.2">
      <c r="B9" s="2">
        <v>6.0621716343155923</v>
      </c>
      <c r="C9" s="2">
        <f t="shared" ca="1" si="0"/>
        <v>-23.672747276579933</v>
      </c>
    </row>
    <row r="10" spans="2:6" x14ac:dyDescent="0.2">
      <c r="B10" s="2">
        <v>6.9186579421715146</v>
      </c>
      <c r="C10" s="2">
        <f t="shared" ca="1" si="0"/>
        <v>-25.142720415123136</v>
      </c>
    </row>
    <row r="11" spans="2:6" x14ac:dyDescent="0.2">
      <c r="B11" s="2">
        <v>1.8840340766515742</v>
      </c>
      <c r="C11" s="2">
        <f t="shared" ca="1" si="0"/>
        <v>-6.4264327007972533</v>
      </c>
    </row>
    <row r="12" spans="2:6" x14ac:dyDescent="0.2">
      <c r="B12" s="2">
        <v>-3.9273716993291907E-2</v>
      </c>
      <c r="C12" s="2">
        <f t="shared" ca="1" si="0"/>
        <v>5.1822806313624579</v>
      </c>
    </row>
    <row r="13" spans="2:6" x14ac:dyDescent="0.2">
      <c r="B13" s="2">
        <v>-7.3361506254114861E-2</v>
      </c>
      <c r="C13" s="2">
        <f t="shared" ca="1" si="0"/>
        <v>7.5564025945210123</v>
      </c>
    </row>
    <row r="14" spans="2:6" x14ac:dyDescent="0.2">
      <c r="B14" s="2">
        <v>-2.9868356129093261</v>
      </c>
      <c r="C14" s="2">
        <f t="shared" ca="1" si="0"/>
        <v>18.965984732944356</v>
      </c>
    </row>
    <row r="15" spans="2:6" x14ac:dyDescent="0.2">
      <c r="B15" s="2">
        <v>5.2538538329554036</v>
      </c>
      <c r="C15" s="2">
        <f t="shared" ca="1" si="0"/>
        <v>-18.193022259249393</v>
      </c>
    </row>
    <row r="16" spans="2:6" x14ac:dyDescent="0.2">
      <c r="B16" s="2">
        <v>-3.4786295185231744</v>
      </c>
      <c r="C16" s="2">
        <f t="shared" ca="1" si="0"/>
        <v>17.636455165772709</v>
      </c>
    </row>
    <row r="17" spans="2:6" x14ac:dyDescent="0.2">
      <c r="B17" s="2">
        <v>4.6736821810126692</v>
      </c>
      <c r="C17" s="2">
        <f t="shared" ca="1" si="0"/>
        <v>-10.858938081590033</v>
      </c>
    </row>
    <row r="18" spans="2:6" x14ac:dyDescent="0.2">
      <c r="B18" s="2">
        <v>-4.4235837200766355</v>
      </c>
      <c r="C18" s="2">
        <f t="shared" ca="1" si="0"/>
        <v>16.308016535562054</v>
      </c>
    </row>
    <row r="19" spans="2:6" x14ac:dyDescent="0.2">
      <c r="B19" s="2">
        <v>7.8284166719896788</v>
      </c>
      <c r="C19" s="2">
        <f t="shared" ca="1" si="0"/>
        <v>-26.981900504350488</v>
      </c>
    </row>
    <row r="20" spans="2:6" x14ac:dyDescent="0.2">
      <c r="B20" s="2">
        <v>7.1990061305458681</v>
      </c>
      <c r="C20" s="2">
        <f t="shared" ca="1" si="0"/>
        <v>-31.593243894898769</v>
      </c>
    </row>
    <row r="21" spans="2:6" x14ac:dyDescent="0.2">
      <c r="B21" s="2">
        <v>3.6960360844135454</v>
      </c>
      <c r="C21" s="2">
        <f t="shared" ca="1" si="0"/>
        <v>-6.226376368436445</v>
      </c>
    </row>
    <row r="22" spans="2:6" x14ac:dyDescent="0.2">
      <c r="B22" s="2">
        <v>4.2784707384549403</v>
      </c>
      <c r="C22" s="2">
        <f t="shared" ca="1" si="0"/>
        <v>-15.343845451986267</v>
      </c>
    </row>
    <row r="23" spans="2:6" x14ac:dyDescent="0.2">
      <c r="B23" s="2">
        <v>-1.742298787805391</v>
      </c>
      <c r="C23" s="2">
        <f t="shared" ca="1" si="0"/>
        <v>11.417958305692082</v>
      </c>
      <c r="E23" t="s">
        <v>12</v>
      </c>
    </row>
    <row r="24" spans="2:6" ht="17" thickBot="1" x14ac:dyDescent="0.25"/>
    <row r="25" spans="2:6" x14ac:dyDescent="0.2">
      <c r="E25" s="7" t="s">
        <v>13</v>
      </c>
      <c r="F25" s="7"/>
    </row>
    <row r="26" spans="2:6" x14ac:dyDescent="0.2">
      <c r="E26" s="4" t="s">
        <v>14</v>
      </c>
      <c r="F26" s="4">
        <v>0.97887579953751735</v>
      </c>
    </row>
    <row r="27" spans="2:6" x14ac:dyDescent="0.2">
      <c r="E27" s="4" t="s">
        <v>15</v>
      </c>
      <c r="F27" s="4">
        <v>0.95819783092021393</v>
      </c>
    </row>
    <row r="28" spans="2:6" x14ac:dyDescent="0.2">
      <c r="E28" s="4" t="s">
        <v>16</v>
      </c>
      <c r="F28" s="4">
        <v>0.95587548819355916</v>
      </c>
    </row>
    <row r="29" spans="2:6" x14ac:dyDescent="0.2">
      <c r="E29" s="4" t="s">
        <v>17</v>
      </c>
      <c r="F29" s="4">
        <v>3.7986155313253063</v>
      </c>
    </row>
    <row r="30" spans="2:6" ht="17" thickBot="1" x14ac:dyDescent="0.25">
      <c r="E30" s="5" t="s">
        <v>18</v>
      </c>
      <c r="F30" s="5">
        <v>20</v>
      </c>
    </row>
    <row r="32" spans="2:6" ht="17" thickBot="1" x14ac:dyDescent="0.25">
      <c r="E32" t="s">
        <v>19</v>
      </c>
    </row>
    <row r="33" spans="5:13" x14ac:dyDescent="0.2">
      <c r="E33" s="6"/>
      <c r="F33" s="6" t="s">
        <v>24</v>
      </c>
      <c r="G33" s="6" t="s">
        <v>25</v>
      </c>
      <c r="H33" s="6" t="s">
        <v>26</v>
      </c>
      <c r="I33" s="6" t="s">
        <v>27</v>
      </c>
      <c r="J33" s="6" t="s">
        <v>28</v>
      </c>
    </row>
    <row r="34" spans="5:13" x14ac:dyDescent="0.2">
      <c r="E34" s="4" t="s">
        <v>20</v>
      </c>
      <c r="F34" s="4">
        <v>1</v>
      </c>
      <c r="G34" s="4">
        <v>5953.5985947848931</v>
      </c>
      <c r="H34" s="4">
        <v>5953.5985947848931</v>
      </c>
      <c r="I34" s="4">
        <v>412.59966495145608</v>
      </c>
      <c r="J34" s="4">
        <v>7.3687536649221457E-14</v>
      </c>
    </row>
    <row r="35" spans="5:13" x14ac:dyDescent="0.2">
      <c r="E35" s="4" t="s">
        <v>21</v>
      </c>
      <c r="F35" s="4">
        <v>18</v>
      </c>
      <c r="G35" s="4">
        <v>259.73063918686512</v>
      </c>
      <c r="H35" s="4">
        <v>14.42947995482584</v>
      </c>
      <c r="I35" s="4"/>
      <c r="J35" s="4"/>
    </row>
    <row r="36" spans="5:13" ht="17" thickBot="1" x14ac:dyDescent="0.25">
      <c r="E36" s="5" t="s">
        <v>22</v>
      </c>
      <c r="F36" s="5">
        <v>19</v>
      </c>
      <c r="G36" s="5">
        <v>6213.3292339717582</v>
      </c>
      <c r="H36" s="5"/>
      <c r="I36" s="5"/>
      <c r="J36" s="5"/>
    </row>
    <row r="37" spans="5:13" ht="17" thickBot="1" x14ac:dyDescent="0.25"/>
    <row r="38" spans="5:13" x14ac:dyDescent="0.2">
      <c r="E38" s="6"/>
      <c r="F38" s="6" t="s">
        <v>29</v>
      </c>
      <c r="G38" s="6" t="s">
        <v>17</v>
      </c>
      <c r="H38" s="6" t="s">
        <v>30</v>
      </c>
      <c r="I38" s="6" t="s">
        <v>31</v>
      </c>
      <c r="J38" s="6" t="s">
        <v>32</v>
      </c>
      <c r="K38" s="6" t="s">
        <v>33</v>
      </c>
      <c r="L38" s="6" t="s">
        <v>34</v>
      </c>
      <c r="M38" s="6" t="s">
        <v>35</v>
      </c>
    </row>
    <row r="39" spans="5:13" x14ac:dyDescent="0.2">
      <c r="E39" s="4" t="s">
        <v>23</v>
      </c>
      <c r="F39" s="4">
        <v>4.4131402400066859</v>
      </c>
      <c r="G39" s="4">
        <v>1.0081293543766843</v>
      </c>
      <c r="H39" s="4">
        <v>4.377553555848281</v>
      </c>
      <c r="I39" s="4">
        <v>3.6305248881775455E-4</v>
      </c>
      <c r="J39" s="4">
        <v>2.2951390599827421</v>
      </c>
      <c r="K39" s="4">
        <v>6.5311414200306297</v>
      </c>
      <c r="L39" s="4">
        <v>1.511299904612996</v>
      </c>
      <c r="M39" s="4">
        <v>7.3149805754003756</v>
      </c>
    </row>
    <row r="40" spans="5:13" ht="17" thickBot="1" x14ac:dyDescent="0.25">
      <c r="E40" s="5" t="s">
        <v>10</v>
      </c>
      <c r="F40" s="5">
        <v>-3.939338122684656</v>
      </c>
      <c r="G40" s="5">
        <v>0.19393617395840856</v>
      </c>
      <c r="H40" s="5">
        <v>-20.312549444898732</v>
      </c>
      <c r="I40" s="5">
        <v>7.3687536649221722E-14</v>
      </c>
      <c r="J40" s="5">
        <v>-4.3467829049538969</v>
      </c>
      <c r="K40" s="5">
        <v>-3.5318933404154156</v>
      </c>
      <c r="L40" s="5">
        <v>-4.4975718549346144</v>
      </c>
      <c r="M40" s="5">
        <v>-3.3811043904346976</v>
      </c>
    </row>
    <row r="48" spans="5:13" x14ac:dyDescent="0.2">
      <c r="E48" t="s">
        <v>7</v>
      </c>
    </row>
    <row r="50" spans="4:6" x14ac:dyDescent="0.2">
      <c r="D50" t="s">
        <v>40</v>
      </c>
      <c r="E50" t="s">
        <v>36</v>
      </c>
      <c r="F50" t="s">
        <v>37</v>
      </c>
    </row>
    <row r="52" spans="4:6" x14ac:dyDescent="0.2">
      <c r="E52" t="s">
        <v>38</v>
      </c>
      <c r="F52" t="s">
        <v>39</v>
      </c>
    </row>
    <row r="54" spans="4:6" x14ac:dyDescent="0.2">
      <c r="D54" t="s">
        <v>0</v>
      </c>
      <c r="E54" t="s">
        <v>41</v>
      </c>
    </row>
    <row r="58" spans="4:6" x14ac:dyDescent="0.2">
      <c r="E58" t="s">
        <v>42</v>
      </c>
      <c r="F58" t="s">
        <v>43</v>
      </c>
    </row>
    <row r="60" spans="4:6" x14ac:dyDescent="0.2">
      <c r="F60" t="s">
        <v>44</v>
      </c>
    </row>
    <row r="61" spans="4:6" x14ac:dyDescent="0.2">
      <c r="F61" t="s">
        <v>45</v>
      </c>
    </row>
    <row r="70" spans="2:12" x14ac:dyDescent="0.2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 spans="2:12" x14ac:dyDescent="0.2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</row>
    <row r="73" spans="2:12" ht="17" thickBot="1" x14ac:dyDescent="0.25"/>
    <row r="74" spans="2:12" x14ac:dyDescent="0.2">
      <c r="D74">
        <v>0.50983681931393221</v>
      </c>
      <c r="F74" s="7" t="s">
        <v>46</v>
      </c>
      <c r="G74" s="7"/>
    </row>
    <row r="75" spans="2:12" x14ac:dyDescent="0.2">
      <c r="D75">
        <v>-7.0620021587237716</v>
      </c>
      <c r="F75" s="4"/>
      <c r="G75" s="4"/>
    </row>
    <row r="76" spans="2:12" x14ac:dyDescent="0.2">
      <c r="D76">
        <v>2.5137606017815415</v>
      </c>
      <c r="F76" s="4" t="s">
        <v>47</v>
      </c>
      <c r="G76" s="4">
        <v>1.2552245708357077</v>
      </c>
    </row>
    <row r="77" spans="2:12" x14ac:dyDescent="0.2">
      <c r="D77">
        <v>2.922038457749295</v>
      </c>
      <c r="F77" s="4" t="s">
        <v>17</v>
      </c>
      <c r="G77" s="4">
        <v>2.2516897714216517</v>
      </c>
    </row>
    <row r="78" spans="2:12" x14ac:dyDescent="0.2">
      <c r="D78">
        <v>-3.4630861490732059</v>
      </c>
      <c r="F78" s="4" t="s">
        <v>48</v>
      </c>
      <c r="G78" s="4">
        <v>1.5117987105477368</v>
      </c>
    </row>
    <row r="79" spans="2:12" x14ac:dyDescent="0.2">
      <c r="D79">
        <v>16.319105735514313</v>
      </c>
      <c r="F79" s="4" t="s">
        <v>49</v>
      </c>
      <c r="G79" s="4" t="e">
        <v>#N/A</v>
      </c>
    </row>
    <row r="80" spans="2:12" x14ac:dyDescent="0.2">
      <c r="D80">
        <v>3.8032819803484017</v>
      </c>
      <c r="F80" s="4" t="s">
        <v>50</v>
      </c>
      <c r="G80" s="4">
        <v>7.1204682617963346</v>
      </c>
    </row>
    <row r="81" spans="4:7" x14ac:dyDescent="0.2">
      <c r="D81">
        <v>7.6178903428663034</v>
      </c>
      <c r="F81" s="4" t="s">
        <v>51</v>
      </c>
      <c r="G81" s="4">
        <v>50.701068267248921</v>
      </c>
    </row>
    <row r="82" spans="4:7" x14ac:dyDescent="0.2">
      <c r="D82">
        <v>-5.272480383515358</v>
      </c>
      <c r="F82" s="4" t="s">
        <v>52</v>
      </c>
      <c r="G82" s="4">
        <v>0.93908332623652591</v>
      </c>
    </row>
    <row r="83" spans="4:7" x14ac:dyDescent="0.2">
      <c r="D83">
        <v>-5.3360995379043743</v>
      </c>
      <c r="F83" s="4" t="s">
        <v>53</v>
      </c>
      <c r="G83" s="4">
        <v>0.94399236066204384</v>
      </c>
    </row>
    <row r="84" spans="4:7" x14ac:dyDescent="0.2">
      <c r="F84" s="4" t="s">
        <v>54</v>
      </c>
      <c r="G84" s="4">
        <v>23.381107894238085</v>
      </c>
    </row>
    <row r="85" spans="4:7" x14ac:dyDescent="0.2">
      <c r="F85" s="4" t="s">
        <v>55</v>
      </c>
      <c r="G85" s="4">
        <v>-7.0620021587237716</v>
      </c>
    </row>
    <row r="86" spans="4:7" x14ac:dyDescent="0.2">
      <c r="F86" s="4" t="s">
        <v>56</v>
      </c>
      <c r="G86" s="4">
        <v>16.319105735514313</v>
      </c>
    </row>
    <row r="87" spans="4:7" x14ac:dyDescent="0.2">
      <c r="F87" s="4" t="s">
        <v>57</v>
      </c>
      <c r="G87" s="4">
        <v>12.552245708357077</v>
      </c>
    </row>
    <row r="88" spans="4:7" x14ac:dyDescent="0.2">
      <c r="F88" s="4" t="s">
        <v>58</v>
      </c>
      <c r="G88" s="4">
        <v>10</v>
      </c>
    </row>
    <row r="89" spans="4:7" x14ac:dyDescent="0.2">
      <c r="F89" s="4" t="s">
        <v>59</v>
      </c>
      <c r="G89" s="4">
        <v>3.8032819803484017</v>
      </c>
    </row>
    <row r="90" spans="4:7" x14ac:dyDescent="0.2">
      <c r="F90" s="4" t="s">
        <v>60</v>
      </c>
      <c r="G90" s="4">
        <v>-3.4630861490732059</v>
      </c>
    </row>
    <row r="91" spans="4:7" ht="17" thickBot="1" x14ac:dyDescent="0.25">
      <c r="F91" s="5" t="s">
        <v>61</v>
      </c>
      <c r="G91" s="5">
        <v>5.0936761448209422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AGENDA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2026-07-02T15:38:01Z</dcterms:created>
  <dcterms:modified xsi:type="dcterms:W3CDTF">2026-07-02T17:42:42Z</dcterms:modified>
</cp:coreProperties>
</file>