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026E213F-1736-7445-89FB-057254076C95}" xr6:coauthVersionLast="47" xr6:coauthVersionMax="47" xr10:uidLastSave="{00000000-0000-0000-0000-000000000000}"/>
  <bookViews>
    <workbookView xWindow="0" yWindow="600" windowWidth="28520" windowHeight="17400" activeTab="1" xr2:uid="{93EFB322-F2F1-3348-A727-CC112E26C097}"/>
  </bookViews>
  <sheets>
    <sheet name="AGENDA" sheetId="1" r:id="rId1"/>
    <sheet name="Sheet4" sheetId="4" r:id="rId2"/>
    <sheet name="Sheet2" sheetId="2" r:id="rId3"/>
    <sheet name="Sheet3" sheetId="3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9" i="4" l="1"/>
  <c r="G269" i="4"/>
  <c r="H268" i="4"/>
  <c r="G268" i="4"/>
  <c r="G4" i="4" a="1"/>
  <c r="G4" i="4" s="1"/>
  <c r="G61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<sst xmlns="http://schemas.openxmlformats.org/spreadsheetml/2006/main" count="1688" uniqueCount="604">
  <si>
    <t>LINEAR REGRESSION</t>
  </si>
  <si>
    <t>1) IS "X" ( i/p Var) statistically significant to make predictions for "Y" ( o/p Var )</t>
  </si>
  <si>
    <t>~ If P-Value is greater than (100-Confidence)% then, X is NOT Statistically SIGNIFICANT to predict Y</t>
  </si>
  <si>
    <t>YearsExperience</t>
  </si>
  <si>
    <t>Salary</t>
  </si>
  <si>
    <t>Wt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</si>
  <si>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</si>
  <si>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</si>
  <si>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</si>
  <si>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</si>
  <si>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</si>
  <si>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</si>
  <si>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</si>
  <si>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</si>
  <si>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</si>
  <si>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</si>
  <si>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</si>
  <si>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</si>
  <si>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</si>
  <si>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</si>
  <si>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</si>
  <si>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</si>
  <si>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</si>
  <si>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</si>
  <si>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</si>
  <si>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</si>
  <si>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</si>
  <si>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</si>
  <si>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</si>
  <si>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</si>
  <si>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r>
      <t xml:space="preserve">~ If Zero comes in b/w the Lower and Upper columns , then </t>
    </r>
    <r>
      <rPr>
        <b/>
        <sz val="12"/>
        <color theme="1"/>
        <rFont val="Aptos Narrow"/>
        <scheme val="minor"/>
      </rPr>
      <t>X is NOT Statistically SIGNIFICANT to predict Y</t>
    </r>
  </si>
  <si>
    <t>is WT significant to predict Salary?</t>
  </si>
  <si>
    <t>NO</t>
  </si>
  <si>
    <t>Is YOE stastically sign. To predict Salary??</t>
  </si>
  <si>
    <t>YES</t>
  </si>
  <si>
    <t>WHAT is the mathematical eqn/ reln</t>
  </si>
  <si>
    <t xml:space="preserve">25792.2 + 9449.96 * YOE </t>
  </si>
  <si>
    <t xml:space="preserve">Salary = </t>
  </si>
  <si>
    <t>HOW good is the prediction ?</t>
  </si>
  <si>
    <t>How much good job  YOE(X) does in explaining the Variance of Salary(Y)</t>
  </si>
  <si>
    <t>2) What is the mathematical Reln</t>
  </si>
  <si>
    <t>We use the coefficients column in the END to PREDICt th eqn</t>
  </si>
  <si>
    <t>3) How good is the model</t>
  </si>
  <si>
    <t xml:space="preserve">WE use R^2 or Adj R^2 </t>
  </si>
  <si>
    <t>R^2 --&gt; when only 1 i/p</t>
  </si>
  <si>
    <t>Adj R^2 --&gt; when multiple i/p</t>
  </si>
  <si>
    <t>Are both var significant to predict Y ( salary)</t>
  </si>
  <si>
    <t>Salary = 9432.69 * YOE + 22889.81</t>
  </si>
  <si>
    <t>A / B testing</t>
  </si>
  <si>
    <t>T-test with TWO SAMPLE</t>
  </si>
  <si>
    <t>WITH_EMAIL</t>
  </si>
  <si>
    <t>WITHOUT_EMAIL</t>
  </si>
  <si>
    <t>30 Sales Avg</t>
  </si>
  <si>
    <t>user_id</t>
  </si>
  <si>
    <t>group</t>
  </si>
  <si>
    <t>traffic_source</t>
  </si>
  <si>
    <t>converted</t>
  </si>
  <si>
    <t>revenue_per_visitor_inr</t>
  </si>
  <si>
    <t>A001</t>
  </si>
  <si>
    <t>A</t>
  </si>
  <si>
    <t>Social</t>
  </si>
  <si>
    <t>A002</t>
  </si>
  <si>
    <t>A003</t>
  </si>
  <si>
    <t>Search</t>
  </si>
  <si>
    <t>A004</t>
  </si>
  <si>
    <t>A005</t>
  </si>
  <si>
    <t>A006</t>
  </si>
  <si>
    <t>A007</t>
  </si>
  <si>
    <t>A008</t>
  </si>
  <si>
    <t>A009</t>
  </si>
  <si>
    <t>A010</t>
  </si>
  <si>
    <t>A011</t>
  </si>
  <si>
    <t>A012</t>
  </si>
  <si>
    <t>A013</t>
  </si>
  <si>
    <t>A014</t>
  </si>
  <si>
    <t>A015</t>
  </si>
  <si>
    <t>A016</t>
  </si>
  <si>
    <t>A017</t>
  </si>
  <si>
    <t>A018</t>
  </si>
  <si>
    <t>A019</t>
  </si>
  <si>
    <t>A020</t>
  </si>
  <si>
    <t>A021</t>
  </si>
  <si>
    <t>A022</t>
  </si>
  <si>
    <t>A023</t>
  </si>
  <si>
    <t>A024</t>
  </si>
  <si>
    <t>A025</t>
  </si>
  <si>
    <t>A026</t>
  </si>
  <si>
    <t>A027</t>
  </si>
  <si>
    <t>A028</t>
  </si>
  <si>
    <t>A029</t>
  </si>
  <si>
    <t>A030</t>
  </si>
  <si>
    <t>A031</t>
  </si>
  <si>
    <t>A032</t>
  </si>
  <si>
    <t>A033</t>
  </si>
  <si>
    <t>A034</t>
  </si>
  <si>
    <t>A035</t>
  </si>
  <si>
    <t>A036</t>
  </si>
  <si>
    <t>A037</t>
  </si>
  <si>
    <t>A038</t>
  </si>
  <si>
    <t>A039</t>
  </si>
  <si>
    <t>A040</t>
  </si>
  <si>
    <t>A041</t>
  </si>
  <si>
    <t>A042</t>
  </si>
  <si>
    <t>A043</t>
  </si>
  <si>
    <t>A044</t>
  </si>
  <si>
    <t>A045</t>
  </si>
  <si>
    <t>A046</t>
  </si>
  <si>
    <t>A047</t>
  </si>
  <si>
    <t>A048</t>
  </si>
  <si>
    <t>A049</t>
  </si>
  <si>
    <t>A050</t>
  </si>
  <si>
    <t>A051</t>
  </si>
  <si>
    <t>A052</t>
  </si>
  <si>
    <t>A053</t>
  </si>
  <si>
    <t>A054</t>
  </si>
  <si>
    <t>A055</t>
  </si>
  <si>
    <t>A056</t>
  </si>
  <si>
    <t>A057</t>
  </si>
  <si>
    <t>A058</t>
  </si>
  <si>
    <t>A059</t>
  </si>
  <si>
    <t>A060</t>
  </si>
  <si>
    <t>A061</t>
  </si>
  <si>
    <t>A062</t>
  </si>
  <si>
    <t>A063</t>
  </si>
  <si>
    <t>A064</t>
  </si>
  <si>
    <t>A065</t>
  </si>
  <si>
    <t>A066</t>
  </si>
  <si>
    <t>A067</t>
  </si>
  <si>
    <t>A068</t>
  </si>
  <si>
    <t>A069</t>
  </si>
  <si>
    <t>A070</t>
  </si>
  <si>
    <t>A071</t>
  </si>
  <si>
    <t>A072</t>
  </si>
  <si>
    <t>A073</t>
  </si>
  <si>
    <t>A074</t>
  </si>
  <si>
    <t>A075</t>
  </si>
  <si>
    <t>A076</t>
  </si>
  <si>
    <t>A077</t>
  </si>
  <si>
    <t>A078</t>
  </si>
  <si>
    <t>A079</t>
  </si>
  <si>
    <t>A080</t>
  </si>
  <si>
    <t>A081</t>
  </si>
  <si>
    <t>A082</t>
  </si>
  <si>
    <t>A083</t>
  </si>
  <si>
    <t>A084</t>
  </si>
  <si>
    <t>A085</t>
  </si>
  <si>
    <t>A086</t>
  </si>
  <si>
    <t>A087</t>
  </si>
  <si>
    <t>A088</t>
  </si>
  <si>
    <t>A089</t>
  </si>
  <si>
    <t>A090</t>
  </si>
  <si>
    <t>A091</t>
  </si>
  <si>
    <t>A092</t>
  </si>
  <si>
    <t>A093</t>
  </si>
  <si>
    <t>A094</t>
  </si>
  <si>
    <t>A095</t>
  </si>
  <si>
    <t>A096</t>
  </si>
  <si>
    <t>A097</t>
  </si>
  <si>
    <t>A098</t>
  </si>
  <si>
    <t>A099</t>
  </si>
  <si>
    <t>A100</t>
  </si>
  <si>
    <t>A101</t>
  </si>
  <si>
    <t>A102</t>
  </si>
  <si>
    <t>A103</t>
  </si>
  <si>
    <t>A104</t>
  </si>
  <si>
    <t>A105</t>
  </si>
  <si>
    <t>A106</t>
  </si>
  <si>
    <t>A107</t>
  </si>
  <si>
    <t>A108</t>
  </si>
  <si>
    <t>A109</t>
  </si>
  <si>
    <t>A110</t>
  </si>
  <si>
    <t>A111</t>
  </si>
  <si>
    <t>A112</t>
  </si>
  <si>
    <t>A113</t>
  </si>
  <si>
    <t>A114</t>
  </si>
  <si>
    <t>A115</t>
  </si>
  <si>
    <t>A116</t>
  </si>
  <si>
    <t>A117</t>
  </si>
  <si>
    <t>A118</t>
  </si>
  <si>
    <t>A119</t>
  </si>
  <si>
    <t>A120</t>
  </si>
  <si>
    <t>A121</t>
  </si>
  <si>
    <t>A122</t>
  </si>
  <si>
    <t>A123</t>
  </si>
  <si>
    <t>A124</t>
  </si>
  <si>
    <t>A125</t>
  </si>
  <si>
    <t>A126</t>
  </si>
  <si>
    <t>A127</t>
  </si>
  <si>
    <t>A128</t>
  </si>
  <si>
    <t>A129</t>
  </si>
  <si>
    <t>A130</t>
  </si>
  <si>
    <t>A131</t>
  </si>
  <si>
    <t>A132</t>
  </si>
  <si>
    <t>A133</t>
  </si>
  <si>
    <t>A134</t>
  </si>
  <si>
    <t>A135</t>
  </si>
  <si>
    <t>A136</t>
  </si>
  <si>
    <t>A137</t>
  </si>
  <si>
    <t>A138</t>
  </si>
  <si>
    <t>A139</t>
  </si>
  <si>
    <t>A140</t>
  </si>
  <si>
    <t>A141</t>
  </si>
  <si>
    <t>A142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</si>
  <si>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</si>
  <si>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</si>
  <si>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</si>
  <si>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</si>
  <si>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</si>
  <si>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</si>
  <si>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</si>
  <si>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</si>
  <si>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</si>
  <si>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A152</t>
  </si>
  <si>
    <t>A153</t>
  </si>
  <si>
    <t>A154</t>
  </si>
  <si>
    <t>A155</t>
  </si>
  <si>
    <t>A156</t>
  </si>
  <si>
    <t>A157</t>
  </si>
  <si>
    <t>A158</t>
  </si>
  <si>
    <t>A159</t>
  </si>
  <si>
    <t>A160</t>
  </si>
  <si>
    <t>A161</t>
  </si>
  <si>
    <t>A162</t>
  </si>
  <si>
    <t>A163</t>
  </si>
  <si>
    <t>A164</t>
  </si>
  <si>
    <t>A165</t>
  </si>
  <si>
    <t>A166</t>
  </si>
  <si>
    <t>A167</t>
  </si>
  <si>
    <t>A168</t>
  </si>
  <si>
    <t>A169</t>
  </si>
  <si>
    <t>A170</t>
  </si>
  <si>
    <t>A171</t>
  </si>
  <si>
    <t>A172</t>
  </si>
  <si>
    <t>A173</t>
  </si>
  <si>
    <t>A174</t>
  </si>
  <si>
    <t>A175</t>
  </si>
  <si>
    <t>A176</t>
  </si>
  <si>
    <t>A177</t>
  </si>
  <si>
    <t>A178</t>
  </si>
  <si>
    <t>A179</t>
  </si>
  <si>
    <t>A180</t>
  </si>
  <si>
    <t>A181</t>
  </si>
  <si>
    <t>A182</t>
  </si>
  <si>
    <t>A183</t>
  </si>
  <si>
    <t>A184</t>
  </si>
  <si>
    <t>A185</t>
  </si>
  <si>
    <t>A186</t>
  </si>
  <si>
    <t>A187</t>
  </si>
  <si>
    <t>A188</t>
  </si>
  <si>
    <t>A189</t>
  </si>
  <si>
    <t>A190</t>
  </si>
  <si>
    <t>A191</t>
  </si>
  <si>
    <t>A192</t>
  </si>
  <si>
    <t>A193</t>
  </si>
  <si>
    <t>A194</t>
  </si>
  <si>
    <t>A195</t>
  </si>
  <si>
    <t>A196</t>
  </si>
  <si>
    <t>A197</t>
  </si>
  <si>
    <t>A198</t>
  </si>
  <si>
    <t>A199</t>
  </si>
  <si>
    <t>A200</t>
  </si>
  <si>
    <t>A201</t>
  </si>
  <si>
    <t>A202</t>
  </si>
  <si>
    <t>A203</t>
  </si>
  <si>
    <t>A204</t>
  </si>
  <si>
    <t>A205</t>
  </si>
  <si>
    <t>A206</t>
  </si>
  <si>
    <t>A207</t>
  </si>
  <si>
    <t>A208</t>
  </si>
  <si>
    <t>A209</t>
  </si>
  <si>
    <t>A210</t>
  </si>
  <si>
    <t>A211</t>
  </si>
  <si>
    <t>A212</t>
  </si>
  <si>
    <t>A213</t>
  </si>
  <si>
    <t>A214</t>
  </si>
  <si>
    <t>A215</t>
  </si>
  <si>
    <t>A216</t>
  </si>
  <si>
    <t>A217</t>
  </si>
  <si>
    <t>A218</t>
  </si>
  <si>
    <t>A219</t>
  </si>
  <si>
    <t>A220</t>
  </si>
  <si>
    <t>A221</t>
  </si>
  <si>
    <t>A222</t>
  </si>
  <si>
    <t>A223</t>
  </si>
  <si>
    <t>A224</t>
  </si>
  <si>
    <t>A225</t>
  </si>
  <si>
    <t>A226</t>
  </si>
  <si>
    <t>A227</t>
  </si>
  <si>
    <t>A228</t>
  </si>
  <si>
    <t>A229</t>
  </si>
  <si>
    <t>A230</t>
  </si>
  <si>
    <t>A231</t>
  </si>
  <si>
    <t>A232</t>
  </si>
  <si>
    <t>A233</t>
  </si>
  <si>
    <t>A234</t>
  </si>
  <si>
    <t>A235</t>
  </si>
  <si>
    <t>A236</t>
  </si>
  <si>
    <t>A237</t>
  </si>
  <si>
    <t>A238</t>
  </si>
  <si>
    <t>A239</t>
  </si>
  <si>
    <t>A240</t>
  </si>
  <si>
    <t>A241</t>
  </si>
  <si>
    <t>A242</t>
  </si>
  <si>
    <t>A243</t>
  </si>
  <si>
    <t>A244</t>
  </si>
  <si>
    <t>A245</t>
  </si>
  <si>
    <t>A246</t>
  </si>
  <si>
    <t>A247</t>
  </si>
  <si>
    <t>A248</t>
  </si>
  <si>
    <t>A249</t>
  </si>
  <si>
    <t>A250</t>
  </si>
  <si>
    <t>A251</t>
  </si>
  <si>
    <t>A252</t>
  </si>
  <si>
    <t>A253</t>
  </si>
  <si>
    <t>A254</t>
  </si>
  <si>
    <t>A255</t>
  </si>
  <si>
    <t>A256</t>
  </si>
  <si>
    <t>A257</t>
  </si>
  <si>
    <t>A258</t>
  </si>
  <si>
    <t>A259</t>
  </si>
  <si>
    <t>A260</t>
  </si>
  <si>
    <t>B001</t>
  </si>
  <si>
    <t>B</t>
  </si>
  <si>
    <t>B002</t>
  </si>
  <si>
    <t>B003</t>
  </si>
  <si>
    <t>B004</t>
  </si>
  <si>
    <t>B005</t>
  </si>
  <si>
    <t>B006</t>
  </si>
  <si>
    <t>B007</t>
  </si>
  <si>
    <t>B008</t>
  </si>
  <si>
    <t>B009</t>
  </si>
  <si>
    <t>B010</t>
  </si>
  <si>
    <t>B011</t>
  </si>
  <si>
    <t>B012</t>
  </si>
  <si>
    <t>B013</t>
  </si>
  <si>
    <t>B014</t>
  </si>
  <si>
    <t>B015</t>
  </si>
  <si>
    <t>B016</t>
  </si>
  <si>
    <t>B017</t>
  </si>
  <si>
    <t>B018</t>
  </si>
  <si>
    <t>B019</t>
  </si>
  <si>
    <t>B020</t>
  </si>
  <si>
    <t>B021</t>
  </si>
  <si>
    <t>B022</t>
  </si>
  <si>
    <t>B023</t>
  </si>
  <si>
    <t>B024</t>
  </si>
  <si>
    <t>B025</t>
  </si>
  <si>
    <t>B026</t>
  </si>
  <si>
    <t>B027</t>
  </si>
  <si>
    <t>B028</t>
  </si>
  <si>
    <t>B029</t>
  </si>
  <si>
    <t>B030</t>
  </si>
  <si>
    <t>B031</t>
  </si>
  <si>
    <t>B032</t>
  </si>
  <si>
    <t>B033</t>
  </si>
  <si>
    <t>B034</t>
  </si>
  <si>
    <t>B035</t>
  </si>
  <si>
    <t>B036</t>
  </si>
  <si>
    <t>B037</t>
  </si>
  <si>
    <t>B038</t>
  </si>
  <si>
    <t>B039</t>
  </si>
  <si>
    <t>B040</t>
  </si>
  <si>
    <t>B041</t>
  </si>
  <si>
    <t>B042</t>
  </si>
  <si>
    <t>B043</t>
  </si>
  <si>
    <t>B044</t>
  </si>
  <si>
    <t>B045</t>
  </si>
  <si>
    <t>B046</t>
  </si>
  <si>
    <t>B047</t>
  </si>
  <si>
    <t>B048</t>
  </si>
  <si>
    <t>B049</t>
  </si>
  <si>
    <t>B050</t>
  </si>
  <si>
    <t>B051</t>
  </si>
  <si>
    <t>B052</t>
  </si>
  <si>
    <t>B053</t>
  </si>
  <si>
    <t>B054</t>
  </si>
  <si>
    <t>B055</t>
  </si>
  <si>
    <t>B056</t>
  </si>
  <si>
    <t>B057</t>
  </si>
  <si>
    <t>B058</t>
  </si>
  <si>
    <t>B059</t>
  </si>
  <si>
    <t>B060</t>
  </si>
  <si>
    <t>B061</t>
  </si>
  <si>
    <t>B062</t>
  </si>
  <si>
    <t>B063</t>
  </si>
  <si>
    <t>B064</t>
  </si>
  <si>
    <t>B065</t>
  </si>
  <si>
    <t>B066</t>
  </si>
  <si>
    <t>B067</t>
  </si>
  <si>
    <t>B068</t>
  </si>
  <si>
    <t>B069</t>
  </si>
  <si>
    <t>B070</t>
  </si>
  <si>
    <t>B071</t>
  </si>
  <si>
    <t>B072</t>
  </si>
  <si>
    <t>B073</t>
  </si>
  <si>
    <t>B074</t>
  </si>
  <si>
    <t>B075</t>
  </si>
  <si>
    <t>B076</t>
  </si>
  <si>
    <t>B077</t>
  </si>
  <si>
    <t>B078</t>
  </si>
  <si>
    <t>B079</t>
  </si>
  <si>
    <t>B080</t>
  </si>
  <si>
    <t>B081</t>
  </si>
  <si>
    <t>B082</t>
  </si>
  <si>
    <t>B083</t>
  </si>
  <si>
    <t>B084</t>
  </si>
  <si>
    <t>B085</t>
  </si>
  <si>
    <t>B086</t>
  </si>
  <si>
    <t>B087</t>
  </si>
  <si>
    <t>B088</t>
  </si>
  <si>
    <t>B089</t>
  </si>
  <si>
    <t>B090</t>
  </si>
  <si>
    <t>B091</t>
  </si>
  <si>
    <t>B092</t>
  </si>
  <si>
    <t>B093</t>
  </si>
  <si>
    <t>B094</t>
  </si>
  <si>
    <t>B095</t>
  </si>
  <si>
    <t>B096</t>
  </si>
  <si>
    <t>B097</t>
  </si>
  <si>
    <t>B098</t>
  </si>
  <si>
    <t>B099</t>
  </si>
  <si>
    <t>B100</t>
  </si>
  <si>
    <t>B101</t>
  </si>
  <si>
    <t>B102</t>
  </si>
  <si>
    <t>B103</t>
  </si>
  <si>
    <t>B104</t>
  </si>
  <si>
    <t>B105</t>
  </si>
  <si>
    <t>B106</t>
  </si>
  <si>
    <t>B107</t>
  </si>
  <si>
    <t>B108</t>
  </si>
  <si>
    <t>B109</t>
  </si>
  <si>
    <t>B110</t>
  </si>
  <si>
    <t>B111</t>
  </si>
  <si>
    <t>B112</t>
  </si>
  <si>
    <t>B113</t>
  </si>
  <si>
    <t>B114</t>
  </si>
  <si>
    <t>B115</t>
  </si>
  <si>
    <t>B116</t>
  </si>
  <si>
    <t>B117</t>
  </si>
  <si>
    <t>B118</t>
  </si>
  <si>
    <t>B119</t>
  </si>
  <si>
    <t>B120</t>
  </si>
  <si>
    <t>B121</t>
  </si>
  <si>
    <t>B122</t>
  </si>
  <si>
    <t>B123</t>
  </si>
  <si>
    <t>B124</t>
  </si>
  <si>
    <t>B125</t>
  </si>
  <si>
    <t>B126</t>
  </si>
  <si>
    <t>B127</t>
  </si>
  <si>
    <t>B128</t>
  </si>
  <si>
    <t>B129</t>
  </si>
  <si>
    <t>B130</t>
  </si>
  <si>
    <t>B131</t>
  </si>
  <si>
    <t>B132</t>
  </si>
  <si>
    <t>B133</t>
  </si>
  <si>
    <t>B134</t>
  </si>
  <si>
    <t>B135</t>
  </si>
  <si>
    <t>B136</t>
  </si>
  <si>
    <t>B137</t>
  </si>
  <si>
    <t>B138</t>
  </si>
  <si>
    <t>B139</t>
  </si>
  <si>
    <t>B140</t>
  </si>
  <si>
    <t>B141</t>
  </si>
  <si>
    <t>B142</t>
  </si>
  <si>
    <t>B143</t>
  </si>
  <si>
    <t>B144</t>
  </si>
  <si>
    <t>B145</t>
  </si>
  <si>
    <t>B146</t>
  </si>
  <si>
    <t>B147</t>
  </si>
  <si>
    <t>B148</t>
  </si>
  <si>
    <t>B149</t>
  </si>
  <si>
    <t>B150</t>
  </si>
  <si>
    <t>B151</t>
  </si>
  <si>
    <t>B152</t>
  </si>
  <si>
    <t>B153</t>
  </si>
  <si>
    <t>B154</t>
  </si>
  <si>
    <t>B155</t>
  </si>
  <si>
    <t>B156</t>
  </si>
  <si>
    <t>B157</t>
  </si>
  <si>
    <t>B158</t>
  </si>
  <si>
    <t>B159</t>
  </si>
  <si>
    <t>B160</t>
  </si>
  <si>
    <t>B161</t>
  </si>
  <si>
    <t>B162</t>
  </si>
  <si>
    <t>B163</t>
  </si>
  <si>
    <t>B164</t>
  </si>
  <si>
    <t>B165</t>
  </si>
  <si>
    <t>B166</t>
  </si>
  <si>
    <t>B167</t>
  </si>
  <si>
    <t>B168</t>
  </si>
  <si>
    <t>B169</t>
  </si>
  <si>
    <t>B170</t>
  </si>
  <si>
    <t>B171</t>
  </si>
  <si>
    <t>B172</t>
  </si>
  <si>
    <t>B173</t>
  </si>
  <si>
    <t>B174</t>
  </si>
  <si>
    <t>B175</t>
  </si>
  <si>
    <t>B176</t>
  </si>
  <si>
    <t>B177</t>
  </si>
  <si>
    <t>B178</t>
  </si>
  <si>
    <t>B179</t>
  </si>
  <si>
    <t>B180</t>
  </si>
  <si>
    <t>B181</t>
  </si>
  <si>
    <t>B182</t>
  </si>
  <si>
    <t>B183</t>
  </si>
  <si>
    <t>B184</t>
  </si>
  <si>
    <t>B185</t>
  </si>
  <si>
    <t>B186</t>
  </si>
  <si>
    <t>B187</t>
  </si>
  <si>
    <t>B188</t>
  </si>
  <si>
    <t>B189</t>
  </si>
  <si>
    <t>B190</t>
  </si>
  <si>
    <t>B191</t>
  </si>
  <si>
    <t>B192</t>
  </si>
  <si>
    <t>B193</t>
  </si>
  <si>
    <t>B194</t>
  </si>
  <si>
    <t>B195</t>
  </si>
  <si>
    <t>B196</t>
  </si>
  <si>
    <t>B197</t>
  </si>
  <si>
    <t>B198</t>
  </si>
  <si>
    <t>B199</t>
  </si>
  <si>
    <t>B200</t>
  </si>
  <si>
    <t>B201</t>
  </si>
  <si>
    <t>B202</t>
  </si>
  <si>
    <t>B203</t>
  </si>
  <si>
    <t>B204</t>
  </si>
  <si>
    <t>B205</t>
  </si>
  <si>
    <t>B206</t>
  </si>
  <si>
    <t>B207</t>
  </si>
  <si>
    <t>B208</t>
  </si>
  <si>
    <t>B209</t>
  </si>
  <si>
    <t>B210</t>
  </si>
  <si>
    <t>B211</t>
  </si>
  <si>
    <t>B212</t>
  </si>
  <si>
    <t>B213</t>
  </si>
  <si>
    <t>B214</t>
  </si>
  <si>
    <t>B215</t>
  </si>
  <si>
    <t>B216</t>
  </si>
  <si>
    <t>B217</t>
  </si>
  <si>
    <t>B218</t>
  </si>
  <si>
    <t>B219</t>
  </si>
  <si>
    <t>B220</t>
  </si>
  <si>
    <t>B221</t>
  </si>
  <si>
    <t>B222</t>
  </si>
  <si>
    <t>B223</t>
  </si>
  <si>
    <t>B224</t>
  </si>
  <si>
    <t>B225</t>
  </si>
  <si>
    <t>B226</t>
  </si>
  <si>
    <t>B227</t>
  </si>
  <si>
    <t>B228</t>
  </si>
  <si>
    <t>B229</t>
  </si>
  <si>
    <t>B230</t>
  </si>
  <si>
    <t>B231</t>
  </si>
  <si>
    <t>B232</t>
  </si>
  <si>
    <t>B233</t>
  </si>
  <si>
    <t>B234</t>
  </si>
  <si>
    <t>B235</t>
  </si>
  <si>
    <t>B236</t>
  </si>
  <si>
    <t>B237</t>
  </si>
  <si>
    <t>B238</t>
  </si>
  <si>
    <t>B239</t>
  </si>
  <si>
    <t>B240</t>
  </si>
  <si>
    <t>B241</t>
  </si>
  <si>
    <t>B242</t>
  </si>
  <si>
    <t>B243</t>
  </si>
  <si>
    <t>B244</t>
  </si>
  <si>
    <t>B245</t>
  </si>
  <si>
    <t>B246</t>
  </si>
  <si>
    <t>B247</t>
  </si>
  <si>
    <t>B248</t>
  </si>
  <si>
    <t>B249</t>
  </si>
  <si>
    <t>B250</t>
  </si>
  <si>
    <t>B251</t>
  </si>
  <si>
    <t>B252</t>
  </si>
  <si>
    <t>B253</t>
  </si>
  <si>
    <t>B254</t>
  </si>
  <si>
    <t>B255</t>
  </si>
  <si>
    <t>B256</t>
  </si>
  <si>
    <t>B257</t>
  </si>
  <si>
    <t>B258</t>
  </si>
  <si>
    <t>B259</t>
  </si>
  <si>
    <t>B260</t>
  </si>
  <si>
    <t xml:space="preserve">WE want to check if there is </t>
  </si>
  <si>
    <t>STATISTICALLY SIGNIFICANT DIFFERENCE IN THE AVERAGES (MEAN ) OF TWO GROUPS</t>
  </si>
  <si>
    <t>20000-19000</t>
  </si>
  <si>
    <t>GRP_A_REV</t>
  </si>
  <si>
    <t>GRP_B_REV</t>
  </si>
  <si>
    <t>t-Test: Two-Sample Assuming Unequal Variances</t>
  </si>
  <si>
    <t>Variable 1</t>
  </si>
  <si>
    <t>Variable 2</t>
  </si>
  <si>
    <t>Mean</t>
  </si>
  <si>
    <t>Variance</t>
  </si>
  <si>
    <t>Hypothesized Mean Difference</t>
  </si>
  <si>
    <t>P(T&lt;=t) one-tail</t>
  </si>
  <si>
    <t>t Critical one-tail</t>
  </si>
  <si>
    <t>P(T&lt;=t) two-tail</t>
  </si>
  <si>
    <t>t Critical two-tail</t>
  </si>
  <si>
    <t>MEAN SALES WITH EMAIL MARKETING = MEAN SALES WITHOUT EMAIL MARKETING</t>
  </si>
  <si>
    <t>WHAT WE ASSUME</t>
  </si>
  <si>
    <t>MEAN_REV_EMAIL - MEAN_REV_WITHOUTEMAIL = 0</t>
  </si>
  <si>
    <t xml:space="preserve">WHEN DO WE SAY, the DIFFERENCE iN MEANS is </t>
  </si>
  <si>
    <t>LARGE ENOUGH ( Statistically Enough )</t>
  </si>
  <si>
    <t>p value &lt; 0.05 (=100-confidence)</t>
  </si>
  <si>
    <t>The difference in mean is LARGE ENOUGH / SIGNIFICANT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</si>
</sst>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26"/>
      <color theme="1"/>
      <name val="Aptos Narrow (Body)"/>
    </font>
    <font>
      <sz val="36"/>
      <color theme="1"/>
      <name val="Aptos Narrow (Body)"/>
    </font>
    <font>
      <i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2" borderId="0" xfId="0" applyFill="1"/>
    <xf numFmtId="0" fontId="0" fillId="0" borderId="0" xfId="0" applyFill="1" applyBorder="1" applyAlignment="1"/>
    <xf numFmtId="0" fontId="0" fillId="0" borderId="2" xfId="0" applyFill="1" applyBorder="1" applyAlignment="1"/>
    <xf numFmtId="0" fontId="3" fillId="0" borderId="3" xfId="0" applyFont="1" applyFill="1" applyBorder="1" applyAlignment="1">
      <alignment horizontal="center"/>
    </xf>
    <xf numFmtId="0" fontId="3" fillId="0" borderId="3" xfId="0" applyFont="1" applyFill="1" applyBorder="1" applyAlignment="1">
      <alignment horizontal="centerContinuous"/>
    </xf>
    <xf numFmtId="0" fontId="0" fillId="3" borderId="0" xfId="0" applyFill="1"/>
    <xf numFmtId="0" fontId="3" fillId="3" borderId="3" xfId="0" applyFont="1" applyFill="1" applyBorder="1" applyAlignment="1">
      <alignment horizontal="center"/>
    </xf>
    <xf numFmtId="0" fontId="0" fillId="3" borderId="0" xfId="0" applyFill="1" applyBorder="1" applyAlignment="1"/>
    <xf numFmtId="0" fontId="0" fillId="3" borderId="2" xfId="0" applyFill="1" applyBorder="1" applyAlignment="1"/>
    <xf numFmtId="0" fontId="0" fillId="4" borderId="0" xfId="0" applyFill="1" applyBorder="1" applyAlignment="1"/>
    <xf numFmtId="0" fontId="0" fillId="5" borderId="0" xfId="0" applyFill="1"/>
    <xf numFmtId="0" fontId="1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0" fillId="6" borderId="0" xfId="0" applyFill="1"/>
    <xf numFmtId="0" fontId="0" fillId="6" borderId="0" xfId="0" applyFill="1" applyBorder="1" applyAlignment="1"/>
    <xf numFmtId="0" fontId="0" fillId="2" borderId="0" xfId="0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Salary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Sheet2!$A$2:$A$31</c:f>
              <c:numCache>
                <c:formatCode>General</c:formatCode>
                <c:ptCount val="30"/>
                <c:pt idx="0">
                  <c:v>83</c:v>
                </c:pt>
                <c:pt idx="1">
                  <c:v>88</c:v>
                </c:pt>
                <c:pt idx="2">
                  <c:v>53</c:v>
                </c:pt>
                <c:pt idx="3">
                  <c:v>78</c:v>
                </c:pt>
                <c:pt idx="4">
                  <c:v>78</c:v>
                </c:pt>
                <c:pt idx="5">
                  <c:v>59</c:v>
                </c:pt>
                <c:pt idx="6">
                  <c:v>78</c:v>
                </c:pt>
                <c:pt idx="7">
                  <c:v>67</c:v>
                </c:pt>
                <c:pt idx="8">
                  <c:v>70</c:v>
                </c:pt>
                <c:pt idx="9">
                  <c:v>84</c:v>
                </c:pt>
                <c:pt idx="10">
                  <c:v>66</c:v>
                </c:pt>
                <c:pt idx="11">
                  <c:v>57</c:v>
                </c:pt>
                <c:pt idx="12">
                  <c:v>87</c:v>
                </c:pt>
                <c:pt idx="13">
                  <c:v>51</c:v>
                </c:pt>
                <c:pt idx="14">
                  <c:v>51</c:v>
                </c:pt>
                <c:pt idx="15">
                  <c:v>52</c:v>
                </c:pt>
                <c:pt idx="16">
                  <c:v>66</c:v>
                </c:pt>
                <c:pt idx="17">
                  <c:v>54</c:v>
                </c:pt>
                <c:pt idx="18">
                  <c:v>77</c:v>
                </c:pt>
                <c:pt idx="19">
                  <c:v>67</c:v>
                </c:pt>
                <c:pt idx="20">
                  <c:v>63</c:v>
                </c:pt>
                <c:pt idx="21">
                  <c:v>75</c:v>
                </c:pt>
                <c:pt idx="22">
                  <c:v>52</c:v>
                </c:pt>
                <c:pt idx="23">
                  <c:v>63</c:v>
                </c:pt>
                <c:pt idx="24">
                  <c:v>65</c:v>
                </c:pt>
                <c:pt idx="25">
                  <c:v>65</c:v>
                </c:pt>
                <c:pt idx="26">
                  <c:v>90</c:v>
                </c:pt>
                <c:pt idx="27">
                  <c:v>87</c:v>
                </c:pt>
                <c:pt idx="28">
                  <c:v>75</c:v>
                </c:pt>
                <c:pt idx="29">
                  <c:v>87</c:v>
                </c:pt>
              </c:numCache>
            </c:numRef>
          </c:xVal>
          <c:yVal>
            <c:numRef>
              <c:f>Sheet2!$B$2:$B$31</c:f>
              <c:numCache>
                <c:formatCode>General</c:formatCode>
                <c:ptCount val="30"/>
                <c:pt idx="0">
                  <c:v>39343</c:v>
                </c:pt>
                <c:pt idx="1">
                  <c:v>46205</c:v>
                </c:pt>
                <c:pt idx="2">
                  <c:v>37731</c:v>
                </c:pt>
                <c:pt idx="3">
                  <c:v>43525</c:v>
                </c:pt>
                <c:pt idx="4">
                  <c:v>39891</c:v>
                </c:pt>
                <c:pt idx="5">
                  <c:v>56642</c:v>
                </c:pt>
                <c:pt idx="6">
                  <c:v>60150</c:v>
                </c:pt>
                <c:pt idx="7">
                  <c:v>54445</c:v>
                </c:pt>
                <c:pt idx="8">
                  <c:v>64445</c:v>
                </c:pt>
                <c:pt idx="9">
                  <c:v>57189</c:v>
                </c:pt>
                <c:pt idx="10">
                  <c:v>63218</c:v>
                </c:pt>
                <c:pt idx="11">
                  <c:v>55794</c:v>
                </c:pt>
                <c:pt idx="12">
                  <c:v>56957</c:v>
                </c:pt>
                <c:pt idx="13">
                  <c:v>57081</c:v>
                </c:pt>
                <c:pt idx="14">
                  <c:v>61111</c:v>
                </c:pt>
                <c:pt idx="15">
                  <c:v>67938</c:v>
                </c:pt>
                <c:pt idx="16">
                  <c:v>66029</c:v>
                </c:pt>
                <c:pt idx="17">
                  <c:v>83088</c:v>
                </c:pt>
                <c:pt idx="18">
                  <c:v>81363</c:v>
                </c:pt>
                <c:pt idx="19">
                  <c:v>93940</c:v>
                </c:pt>
                <c:pt idx="20">
                  <c:v>91738</c:v>
                </c:pt>
                <c:pt idx="21">
                  <c:v>98273</c:v>
                </c:pt>
                <c:pt idx="22">
                  <c:v>101302</c:v>
                </c:pt>
                <c:pt idx="23">
                  <c:v>113812</c:v>
                </c:pt>
                <c:pt idx="24">
                  <c:v>109431</c:v>
                </c:pt>
                <c:pt idx="25">
                  <c:v>105582</c:v>
                </c:pt>
                <c:pt idx="26">
                  <c:v>116969</c:v>
                </c:pt>
                <c:pt idx="27">
                  <c:v>112635</c:v>
                </c:pt>
                <c:pt idx="28">
                  <c:v>122391</c:v>
                </c:pt>
                <c:pt idx="29">
                  <c:v>121872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B0-C440-8336-35085B98A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3805823"/>
        <c:axId val="578714047"/>
      </c:scatterChart>
      <c:valAx>
        <c:axId val="543805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714047"/>
        <c:crosses val="autoZero"/>
        <c:crossBetween val="midCat"/>
      </c:valAx>
      <c:valAx>
        <c:axId val="57871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805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72705</xdr:colOff>
      <xdr:row>64</xdr:row>
      <xdr:rowOff>128113</xdr:rowOff>
    </xdr:from>
    <xdr:to>
      <xdr:col>6</xdr:col>
      <xdr:colOff>798539</xdr:colOff>
      <xdr:row>77</xdr:row>
      <xdr:rowOff>103680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9709FBC3-BBC4-D0AC-08CD-223D73BE1E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21477" y="12961797"/>
          <a:ext cx="4023378" cy="25824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478209</xdr:colOff>
      <xdr:row>2</xdr:row>
      <xdr:rowOff>7840</xdr:rowOff>
    </xdr:from>
    <xdr:to>
      <xdr:col>10</xdr:col>
      <xdr:colOff>92177</xdr:colOff>
      <xdr:row>15</xdr:row>
      <xdr:rowOff>129363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B8CB823-B580-554C-B213-F8FACBFAF7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85ED2-EA5E-064A-9767-2043AEB0514D}">
  <dimension ref="A3:J64"/>
  <sheetViews>
    <sheetView topLeftCell="C67" zoomScale="350" workbookViewId="0">
      <selection activeCell="B64" sqref="B64:E64"/>
    </sheetView>
  </sheetViews>
  <sheetFormatPr baseColWidth="10" defaultRowHeight="16" x14ac:dyDescent="0.2"/>
  <sheetData>
    <row r="3" spans="2:6" x14ac:dyDescent="0.2">
      <c r="B3" s="2" t="s">
        <v>0</v>
      </c>
      <c r="C3" s="1"/>
      <c r="D3" s="1"/>
      <c r="E3" s="1"/>
      <c r="F3" s="1"/>
    </row>
    <row r="4" spans="2:6" x14ac:dyDescent="0.2">
      <c r="B4" s="1"/>
      <c r="C4" s="1"/>
      <c r="D4" s="1"/>
      <c r="E4" s="1"/>
      <c r="F4" s="1"/>
    </row>
    <row r="5" spans="2:6" x14ac:dyDescent="0.2">
      <c r="B5" s="1"/>
      <c r="C5" s="1"/>
      <c r="D5" s="1"/>
      <c r="E5" s="1"/>
      <c r="F5" s="1"/>
    </row>
    <row r="6" spans="2:6" x14ac:dyDescent="0.2">
      <c r="B6" s="1"/>
      <c r="C6" s="1"/>
      <c r="D6" s="1"/>
      <c r="E6" s="1"/>
      <c r="F6" s="1"/>
    </row>
    <row r="10" spans="2:6" x14ac:dyDescent="0.2">
      <c r="B10" t="s">
        <v>1</v>
      </c>
    </row>
    <row r="12" spans="2:6" x14ac:dyDescent="0.2">
      <c r="B12" t="s">
        <v>2</v>
      </c>
    </row>
    <row r="14" spans="2:6" x14ac:dyDescent="0.2">
      <c r="B14" t="s">
        <v>30</v>
      </c>
    </row>
    <row r="17" spans="1:8" x14ac:dyDescent="0.2">
      <c r="B17" t="s">
        <v>40</v>
      </c>
    </row>
    <row r="19" spans="1:8" x14ac:dyDescent="0.2">
      <c r="B19" t="s">
        <v>41</v>
      </c>
    </row>
    <row r="21" spans="1:8" x14ac:dyDescent="0.2">
      <c r="B21" t="s">
        <v>42</v>
      </c>
    </row>
    <row r="23" spans="1:8" x14ac:dyDescent="0.2">
      <c r="B23" t="s">
        <v>43</v>
      </c>
    </row>
    <row r="25" spans="1:8" x14ac:dyDescent="0.2">
      <c r="B25" t="s">
        <v>44</v>
      </c>
    </row>
    <row r="27" spans="1:8" x14ac:dyDescent="0.2">
      <c r="B27" t="s">
        <v>45</v>
      </c>
    </row>
    <row r="30" spans="1:8" x14ac:dyDescent="0.2">
      <c r="A30" s="15"/>
      <c r="B30" s="15"/>
      <c r="C30" s="15"/>
      <c r="D30" s="15"/>
      <c r="E30" s="15"/>
      <c r="F30" s="15"/>
      <c r="G30" s="15"/>
      <c r="H30" s="15"/>
    </row>
    <row r="32" spans="1:8" x14ac:dyDescent="0.2">
      <c r="B32" s="16" t="s">
        <v>48</v>
      </c>
      <c r="C32" s="1"/>
      <c r="D32" s="1"/>
    </row>
    <row r="33" spans="2:10" x14ac:dyDescent="0.2">
      <c r="B33" s="1"/>
      <c r="C33" s="1"/>
      <c r="D33" s="1"/>
    </row>
    <row r="34" spans="2:10" x14ac:dyDescent="0.2">
      <c r="B34" s="1"/>
      <c r="C34" s="1"/>
      <c r="D34" s="1"/>
    </row>
    <row r="35" spans="2:10" x14ac:dyDescent="0.2">
      <c r="F35" t="s">
        <v>582</v>
      </c>
    </row>
    <row r="36" spans="2:10" x14ac:dyDescent="0.2">
      <c r="D36" s="19" t="s">
        <v>583</v>
      </c>
      <c r="E36" s="19"/>
      <c r="F36" s="19"/>
      <c r="G36" s="19"/>
      <c r="H36" s="19"/>
      <c r="I36" s="19"/>
      <c r="J36" s="19"/>
    </row>
    <row r="37" spans="2:10" x14ac:dyDescent="0.2">
      <c r="B37" t="s">
        <v>49</v>
      </c>
    </row>
    <row r="42" spans="2:10" x14ac:dyDescent="0.2">
      <c r="B42" t="s">
        <v>51</v>
      </c>
      <c r="D42" t="s">
        <v>50</v>
      </c>
    </row>
    <row r="53" spans="1:4" x14ac:dyDescent="0.2">
      <c r="A53" t="s">
        <v>52</v>
      </c>
      <c r="B53">
        <v>19000</v>
      </c>
      <c r="D53">
        <v>20000</v>
      </c>
    </row>
    <row r="56" spans="1:4" x14ac:dyDescent="0.2">
      <c r="C56" t="s">
        <v>584</v>
      </c>
    </row>
    <row r="60" spans="1:4" x14ac:dyDescent="0.2">
      <c r="B60" t="s">
        <v>598</v>
      </c>
    </row>
    <row r="62" spans="1:4" x14ac:dyDescent="0.2">
      <c r="B62" t="s">
        <v>597</v>
      </c>
    </row>
    <row r="64" spans="1:4" x14ac:dyDescent="0.2">
      <c r="B64" t="s">
        <v>599</v>
      </c>
    </row>
  </sheetData>
  <mergeCells count="2">
    <mergeCell ref="B3:F6"/>
    <mergeCell ref="B32:D3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17F0B-C0C9-0949-9505-9E328ADBBEF9}">
  <dimension ref="A1:S521"/>
  <sheetViews>
    <sheetView tabSelected="1" topLeftCell="K8" zoomScale="189" workbookViewId="0">
      <selection activeCell="K22" sqref="K22"/>
    </sheetView>
  </sheetViews>
  <sheetFormatPr baseColWidth="10" defaultRowHeight="16" x14ac:dyDescent="0.2"/>
  <cols>
    <col min="4" max="4" width="9.1640625" bestFit="1" customWidth="1"/>
    <col min="5" max="5" width="20" bestFit="1" customWidth="1"/>
    <col min="11" max="11" width="40.5" bestFit="1" customWidth="1"/>
    <col min="12" max="12" width="13.1640625" bestFit="1" customWidth="1"/>
    <col min="13" max="13" width="12.5" bestFit="1" customWidth="1"/>
    <col min="16" max="16" width="40.5" bestFit="1" customWidth="1"/>
    <col min="17" max="17" width="13.1640625" bestFit="1" customWidth="1"/>
    <col min="18" max="18" width="12.5" bestFit="1" customWidth="1"/>
  </cols>
  <sheetData>
    <row r="1" spans="1:18" x14ac:dyDescent="0.2">
      <c r="A1" s="17" t="s">
        <v>53</v>
      </c>
      <c r="B1" s="17" t="s">
        <v>54</v>
      </c>
      <c r="C1" s="17" t="s">
        <v>55</v>
      </c>
      <c r="D1" s="17" t="s">
        <v>56</v>
      </c>
      <c r="E1" s="17" t="s">
        <v>57</v>
      </c>
    </row>
    <row r="2" spans="1:18" x14ac:dyDescent="0.2">
      <c r="A2" s="18" t="s">
        <v>58</v>
      </c>
      <c r="B2" s="18" t="s">
        <v>59</v>
      </c>
      <c r="C2" s="18" t="s">
        <v>60</v>
      </c>
      <c r="D2" s="18">
        <v>0</v>
      </c>
      <c r="E2" s="18">
        <v>0</v>
      </c>
    </row>
    <row r="3" spans="1:18" x14ac:dyDescent="0.2">
      <c r="A3" s="18" t="s">
        <v>61</v>
      </c>
      <c r="B3" s="18" t="s">
        <v>59</v>
      </c>
      <c r="C3" s="18" t="s">
        <v>60</v>
      </c>
      <c r="D3" s="18">
        <v>0</v>
      </c>
      <c r="E3" s="18">
        <v>0</v>
      </c>
      <c r="G3" t="s">
        <v>585</v>
      </c>
      <c r="H3" t="s">
        <v>586</v>
      </c>
    </row>
    <row r="4" spans="1:18" x14ac:dyDescent="0.2">
      <c r="A4" s="18" t="s">
        <v>62</v>
      </c>
      <c r="B4" s="18" t="s">
        <v>59</v>
      </c>
      <c r="C4" s="18" t="s">
        <v>63</v>
      </c>
      <c r="D4" s="18">
        <v>0</v>
      </c>
      <c r="E4" s="18">
        <v>0</v>
      </c>
      <c r="G4" cm="1">
        <f t="array" ref="G4:G263">_xlfn._xlws.FILTER(E2:E521,B2:B521="A")</f>
        <v>0</v>
      </c>
      <c r="H4" s="18">
        <v>3858.67</v>
      </c>
    </row>
    <row r="5" spans="1:18" x14ac:dyDescent="0.2">
      <c r="A5" s="18" t="s">
        <v>64</v>
      </c>
      <c r="B5" s="18" t="s">
        <v>59</v>
      </c>
      <c r="C5" s="18" t="s">
        <v>60</v>
      </c>
      <c r="D5" s="18">
        <v>0</v>
      </c>
      <c r="E5" s="18">
        <v>0</v>
      </c>
      <c r="G5">
        <v>0</v>
      </c>
      <c r="H5" s="18">
        <v>4155.8100000000004</v>
      </c>
    </row>
    <row r="6" spans="1:18" x14ac:dyDescent="0.2">
      <c r="A6" s="18" t="s">
        <v>65</v>
      </c>
      <c r="B6" s="18" t="s">
        <v>59</v>
      </c>
      <c r="C6" s="18" t="s">
        <v>60</v>
      </c>
      <c r="D6" s="18">
        <v>0</v>
      </c>
      <c r="E6" s="18">
        <v>0</v>
      </c>
      <c r="G6">
        <v>0</v>
      </c>
      <c r="H6" s="18">
        <v>3642.04</v>
      </c>
    </row>
    <row r="7" spans="1:18" x14ac:dyDescent="0.2">
      <c r="A7" s="18" t="s">
        <v>66</v>
      </c>
      <c r="B7" s="18" t="s">
        <v>59</v>
      </c>
      <c r="C7" s="18" t="s">
        <v>60</v>
      </c>
      <c r="D7" s="18">
        <v>1</v>
      </c>
      <c r="E7" s="18">
        <v>6342.03</v>
      </c>
      <c r="G7">
        <v>0</v>
      </c>
      <c r="H7" s="18">
        <v>0</v>
      </c>
    </row>
    <row r="8" spans="1:18" x14ac:dyDescent="0.2">
      <c r="A8" s="18" t="s">
        <v>67</v>
      </c>
      <c r="B8" s="18" t="s">
        <v>59</v>
      </c>
      <c r="C8" s="18" t="s">
        <v>60</v>
      </c>
      <c r="D8" s="18">
        <v>0</v>
      </c>
      <c r="E8" s="18">
        <v>0</v>
      </c>
      <c r="G8">
        <v>0</v>
      </c>
      <c r="H8" s="18">
        <v>0</v>
      </c>
      <c r="K8" t="s">
        <v>587</v>
      </c>
      <c r="P8" t="s">
        <v>587</v>
      </c>
    </row>
    <row r="9" spans="1:18" ht="17" thickBot="1" x14ac:dyDescent="0.25">
      <c r="A9" s="18" t="s">
        <v>68</v>
      </c>
      <c r="B9" s="18" t="s">
        <v>59</v>
      </c>
      <c r="C9" s="18" t="s">
        <v>63</v>
      </c>
      <c r="D9" s="18">
        <v>0</v>
      </c>
      <c r="E9" s="18">
        <v>0</v>
      </c>
      <c r="G9">
        <v>6342.03</v>
      </c>
      <c r="H9" s="18">
        <v>0</v>
      </c>
    </row>
    <row r="10" spans="1:18" x14ac:dyDescent="0.2">
      <c r="A10" s="18" t="s">
        <v>69</v>
      </c>
      <c r="B10" s="18" t="s">
        <v>59</v>
      </c>
      <c r="C10" s="18" t="s">
        <v>63</v>
      </c>
      <c r="D10" s="18">
        <v>1</v>
      </c>
      <c r="E10" s="18">
        <v>4520.18</v>
      </c>
      <c r="G10">
        <v>0</v>
      </c>
      <c r="H10" s="18">
        <v>0</v>
      </c>
      <c r="K10" s="8"/>
      <c r="L10" s="8" t="s">
        <v>588</v>
      </c>
      <c r="M10" s="8" t="s">
        <v>589</v>
      </c>
      <c r="P10" s="8"/>
      <c r="Q10" s="8" t="s">
        <v>588</v>
      </c>
      <c r="R10" s="8" t="s">
        <v>589</v>
      </c>
    </row>
    <row r="11" spans="1:18" x14ac:dyDescent="0.2">
      <c r="A11" s="18" t="s">
        <v>70</v>
      </c>
      <c r="B11" s="18" t="s">
        <v>59</v>
      </c>
      <c r="C11" s="18" t="s">
        <v>60</v>
      </c>
      <c r="D11" s="18">
        <v>0</v>
      </c>
      <c r="E11" s="18">
        <v>0</v>
      </c>
      <c r="G11">
        <v>0</v>
      </c>
      <c r="H11" s="18">
        <v>0</v>
      </c>
      <c r="K11" s="6" t="s">
        <v>590</v>
      </c>
      <c r="L11" s="6">
        <v>809.03930769230749</v>
      </c>
      <c r="M11" s="6">
        <v>1209.9165384615385</v>
      </c>
      <c r="P11" s="6" t="s">
        <v>590</v>
      </c>
      <c r="Q11" s="6">
        <v>809.03930769230749</v>
      </c>
      <c r="R11" s="6">
        <v>1209.9165384615385</v>
      </c>
    </row>
    <row r="12" spans="1:18" x14ac:dyDescent="0.2">
      <c r="A12" s="18" t="s">
        <v>71</v>
      </c>
      <c r="B12" s="18" t="s">
        <v>59</v>
      </c>
      <c r="C12" s="18" t="s">
        <v>60</v>
      </c>
      <c r="D12" s="18">
        <v>0</v>
      </c>
      <c r="E12" s="18">
        <v>0</v>
      </c>
      <c r="G12">
        <v>4520.18</v>
      </c>
      <c r="H12" s="18">
        <v>7465.02</v>
      </c>
      <c r="K12" s="6" t="s">
        <v>591</v>
      </c>
      <c r="L12" s="6">
        <v>3383460.3778937296</v>
      </c>
      <c r="M12" s="6">
        <v>5182806.357619632</v>
      </c>
      <c r="P12" s="6" t="s">
        <v>591</v>
      </c>
      <c r="Q12" s="6">
        <v>3383460.3778937296</v>
      </c>
      <c r="R12" s="6">
        <v>5182806.357619632</v>
      </c>
    </row>
    <row r="13" spans="1:18" x14ac:dyDescent="0.2">
      <c r="A13" s="18" t="s">
        <v>72</v>
      </c>
      <c r="B13" s="18" t="s">
        <v>59</v>
      </c>
      <c r="C13" s="18" t="s">
        <v>63</v>
      </c>
      <c r="D13" s="18">
        <v>0</v>
      </c>
      <c r="E13" s="18">
        <v>0</v>
      </c>
      <c r="G13">
        <v>0</v>
      </c>
      <c r="H13" s="18">
        <v>0</v>
      </c>
      <c r="K13" s="6" t="s">
        <v>12</v>
      </c>
      <c r="L13" s="6">
        <v>260</v>
      </c>
      <c r="M13" s="6">
        <v>260</v>
      </c>
      <c r="P13" s="6" t="s">
        <v>12</v>
      </c>
      <c r="Q13" s="6">
        <v>260</v>
      </c>
      <c r="R13" s="6">
        <v>260</v>
      </c>
    </row>
    <row r="14" spans="1:18" x14ac:dyDescent="0.2">
      <c r="A14" s="18" t="s">
        <v>73</v>
      </c>
      <c r="B14" s="18" t="s">
        <v>59</v>
      </c>
      <c r="C14" s="18" t="s">
        <v>60</v>
      </c>
      <c r="D14" s="18">
        <v>0</v>
      </c>
      <c r="E14" s="18">
        <v>0</v>
      </c>
      <c r="G14">
        <v>0</v>
      </c>
      <c r="H14" s="18">
        <v>3331.62</v>
      </c>
      <c r="K14" s="6" t="s">
        <v>592</v>
      </c>
      <c r="L14" s="6">
        <v>0</v>
      </c>
      <c r="M14" s="6"/>
      <c r="P14" s="6" t="s">
        <v>592</v>
      </c>
      <c r="Q14" s="6">
        <v>5000</v>
      </c>
      <c r="R14" s="6"/>
    </row>
    <row r="15" spans="1:18" x14ac:dyDescent="0.2">
      <c r="A15" s="18" t="s">
        <v>74</v>
      </c>
      <c r="B15" s="18" t="s">
        <v>59</v>
      </c>
      <c r="C15" s="18" t="s">
        <v>63</v>
      </c>
      <c r="D15" s="18">
        <v>0</v>
      </c>
      <c r="E15" s="18">
        <v>0</v>
      </c>
      <c r="G15">
        <v>0</v>
      </c>
      <c r="H15" s="18">
        <v>0</v>
      </c>
      <c r="K15" s="6" t="s">
        <v>18</v>
      </c>
      <c r="L15" s="6">
        <v>496</v>
      </c>
      <c r="M15" s="6"/>
      <c r="P15" s="6" t="s">
        <v>18</v>
      </c>
      <c r="Q15" s="6">
        <v>496</v>
      </c>
      <c r="R15" s="6"/>
    </row>
    <row r="16" spans="1:18" x14ac:dyDescent="0.2">
      <c r="A16" s="18" t="s">
        <v>75</v>
      </c>
      <c r="B16" s="18" t="s">
        <v>59</v>
      </c>
      <c r="C16" s="18" t="s">
        <v>60</v>
      </c>
      <c r="D16" s="18">
        <v>0</v>
      </c>
      <c r="E16" s="18">
        <v>0</v>
      </c>
      <c r="G16">
        <v>0</v>
      </c>
      <c r="H16" s="18">
        <v>0</v>
      </c>
      <c r="K16" s="6" t="s">
        <v>24</v>
      </c>
      <c r="L16" s="6">
        <v>-2.2085247318772394</v>
      </c>
      <c r="M16" s="6"/>
      <c r="P16" s="6" t="s">
        <v>24</v>
      </c>
      <c r="Q16" s="6">
        <v>-29.754673058128756</v>
      </c>
      <c r="R16" s="6"/>
    </row>
    <row r="17" spans="1:19" x14ac:dyDescent="0.2">
      <c r="A17" s="18" t="s">
        <v>76</v>
      </c>
      <c r="B17" s="18" t="s">
        <v>59</v>
      </c>
      <c r="C17" s="18" t="s">
        <v>60</v>
      </c>
      <c r="D17" s="18">
        <v>0</v>
      </c>
      <c r="E17" s="18">
        <v>0</v>
      </c>
      <c r="G17">
        <v>0</v>
      </c>
      <c r="H17" s="18">
        <v>0</v>
      </c>
      <c r="K17" s="6" t="s">
        <v>593</v>
      </c>
      <c r="L17" s="6">
        <v>1.3832137241864226E-2</v>
      </c>
      <c r="M17" s="6"/>
      <c r="P17" s="6" t="s">
        <v>593</v>
      </c>
      <c r="Q17" s="6">
        <v>1.0812444951775054E-112</v>
      </c>
      <c r="R17" s="6"/>
    </row>
    <row r="18" spans="1:19" x14ac:dyDescent="0.2">
      <c r="A18" s="18" t="s">
        <v>77</v>
      </c>
      <c r="B18" s="18" t="s">
        <v>59</v>
      </c>
      <c r="C18" s="18" t="s">
        <v>63</v>
      </c>
      <c r="D18" s="18">
        <v>0</v>
      </c>
      <c r="E18" s="18">
        <v>0</v>
      </c>
      <c r="G18">
        <v>0</v>
      </c>
      <c r="H18" s="18">
        <v>0</v>
      </c>
      <c r="K18" s="6" t="s">
        <v>594</v>
      </c>
      <c r="L18" s="6">
        <v>1.6479315230387441</v>
      </c>
      <c r="M18" s="6"/>
      <c r="P18" s="6" t="s">
        <v>594</v>
      </c>
      <c r="Q18" s="6">
        <v>1.6479315230387441</v>
      </c>
      <c r="R18" s="6"/>
    </row>
    <row r="19" spans="1:19" x14ac:dyDescent="0.2">
      <c r="A19" s="18" t="s">
        <v>78</v>
      </c>
      <c r="B19" s="18" t="s">
        <v>59</v>
      </c>
      <c r="C19" s="18" t="s">
        <v>60</v>
      </c>
      <c r="D19" s="18">
        <v>0</v>
      </c>
      <c r="E19" s="18">
        <v>0</v>
      </c>
      <c r="G19">
        <v>0</v>
      </c>
      <c r="H19" s="18">
        <v>0</v>
      </c>
      <c r="J19" s="19"/>
      <c r="K19" s="20" t="s">
        <v>595</v>
      </c>
      <c r="L19" s="20">
        <v>2.7664274483728452E-2</v>
      </c>
      <c r="M19" s="20"/>
      <c r="N19" s="19"/>
      <c r="O19" s="5"/>
      <c r="P19" s="21" t="s">
        <v>595</v>
      </c>
      <c r="Q19" s="21">
        <v>2.1624889903550108E-112</v>
      </c>
      <c r="R19" s="21"/>
      <c r="S19" s="5"/>
    </row>
    <row r="20" spans="1:19" ht="17" thickBot="1" x14ac:dyDescent="0.25">
      <c r="A20" s="18" t="s">
        <v>79</v>
      </c>
      <c r="B20" s="18" t="s">
        <v>59</v>
      </c>
      <c r="C20" s="18" t="s">
        <v>60</v>
      </c>
      <c r="D20" s="18">
        <v>0</v>
      </c>
      <c r="E20" s="18">
        <v>0</v>
      </c>
      <c r="G20">
        <v>0</v>
      </c>
      <c r="H20" s="18">
        <v>0</v>
      </c>
      <c r="K20" s="7" t="s">
        <v>596</v>
      </c>
      <c r="L20" s="7">
        <v>1.9647582832370318</v>
      </c>
      <c r="M20" s="7"/>
      <c r="P20" s="7" t="s">
        <v>596</v>
      </c>
      <c r="Q20" s="7">
        <v>1.9647582832370318</v>
      </c>
      <c r="R20" s="7"/>
    </row>
    <row r="21" spans="1:19" x14ac:dyDescent="0.2">
      <c r="A21" s="18" t="s">
        <v>80</v>
      </c>
      <c r="B21" s="18" t="s">
        <v>59</v>
      </c>
      <c r="C21" s="18" t="s">
        <v>63</v>
      </c>
      <c r="D21" s="18">
        <v>0</v>
      </c>
      <c r="E21" s="18">
        <v>0</v>
      </c>
      <c r="G21">
        <v>0</v>
      </c>
      <c r="H21" s="18">
        <v>0</v>
      </c>
    </row>
    <row r="22" spans="1:19" x14ac:dyDescent="0.2">
      <c r="A22" s="18" t="s">
        <v>81</v>
      </c>
      <c r="B22" s="18" t="s">
        <v>59</v>
      </c>
      <c r="C22" s="18" t="s">
        <v>63</v>
      </c>
      <c r="D22" s="18">
        <v>0</v>
      </c>
      <c r="E22" s="18">
        <v>0</v>
      </c>
      <c r="G22">
        <v>0</v>
      </c>
      <c r="H22" s="18">
        <v>5858.14</v>
      </c>
    </row>
    <row r="23" spans="1:19" x14ac:dyDescent="0.2">
      <c r="A23" s="18" t="s">
        <v>82</v>
      </c>
      <c r="B23" s="18" t="s">
        <v>59</v>
      </c>
      <c r="C23" s="18" t="s">
        <v>63</v>
      </c>
      <c r="D23" s="18">
        <v>0</v>
      </c>
      <c r="E23" s="18">
        <v>0</v>
      </c>
      <c r="G23">
        <v>0</v>
      </c>
      <c r="H23" s="18">
        <v>0</v>
      </c>
    </row>
    <row r="24" spans="1:19" x14ac:dyDescent="0.2">
      <c r="A24" s="18" t="s">
        <v>83</v>
      </c>
      <c r="B24" s="18" t="s">
        <v>59</v>
      </c>
      <c r="C24" s="18" t="s">
        <v>60</v>
      </c>
      <c r="D24" s="18">
        <v>0</v>
      </c>
      <c r="E24" s="18">
        <v>0</v>
      </c>
      <c r="G24">
        <v>0</v>
      </c>
      <c r="H24" s="18">
        <v>4927.71</v>
      </c>
    </row>
    <row r="25" spans="1:19" x14ac:dyDescent="0.2">
      <c r="A25" s="18" t="s">
        <v>84</v>
      </c>
      <c r="B25" s="18" t="s">
        <v>59</v>
      </c>
      <c r="C25" s="18" t="s">
        <v>60</v>
      </c>
      <c r="D25" s="18">
        <v>0</v>
      </c>
      <c r="E25" s="18">
        <v>0</v>
      </c>
      <c r="G25">
        <v>0</v>
      </c>
      <c r="H25" s="18">
        <v>0</v>
      </c>
    </row>
    <row r="26" spans="1:19" x14ac:dyDescent="0.2">
      <c r="A26" s="18" t="s">
        <v>85</v>
      </c>
      <c r="B26" s="18" t="s">
        <v>59</v>
      </c>
      <c r="C26" s="18" t="s">
        <v>60</v>
      </c>
      <c r="D26" s="18">
        <v>0</v>
      </c>
      <c r="E26" s="18">
        <v>0</v>
      </c>
      <c r="G26">
        <v>0</v>
      </c>
      <c r="H26" s="18">
        <v>0</v>
      </c>
      <c r="K26" t="s">
        <v>600</v>
      </c>
    </row>
    <row r="27" spans="1:19" x14ac:dyDescent="0.2">
      <c r="A27" s="18" t="s">
        <v>86</v>
      </c>
      <c r="B27" s="18" t="s">
        <v>59</v>
      </c>
      <c r="C27" s="18" t="s">
        <v>63</v>
      </c>
      <c r="D27" s="18">
        <v>0</v>
      </c>
      <c r="E27" s="18">
        <v>0</v>
      </c>
      <c r="G27">
        <v>0</v>
      </c>
      <c r="H27" s="18">
        <v>6420.05</v>
      </c>
    </row>
    <row r="28" spans="1:19" x14ac:dyDescent="0.2">
      <c r="A28" s="18" t="s">
        <v>87</v>
      </c>
      <c r="B28" s="18" t="s">
        <v>59</v>
      </c>
      <c r="C28" s="18" t="s">
        <v>63</v>
      </c>
      <c r="D28" s="18">
        <v>0</v>
      </c>
      <c r="E28" s="18">
        <v>0</v>
      </c>
      <c r="G28">
        <v>0</v>
      </c>
      <c r="H28" s="18">
        <v>5780.12</v>
      </c>
      <c r="K28" t="s">
        <v>601</v>
      </c>
    </row>
    <row r="29" spans="1:19" x14ac:dyDescent="0.2">
      <c r="A29" s="18" t="s">
        <v>88</v>
      </c>
      <c r="B29" s="18" t="s">
        <v>59</v>
      </c>
      <c r="C29" s="18" t="s">
        <v>60</v>
      </c>
      <c r="D29" s="18">
        <v>0</v>
      </c>
      <c r="E29" s="18">
        <v>0</v>
      </c>
      <c r="G29">
        <v>0</v>
      </c>
      <c r="H29" s="18">
        <v>0</v>
      </c>
    </row>
    <row r="30" spans="1:19" x14ac:dyDescent="0.2">
      <c r="A30" s="18" t="s">
        <v>89</v>
      </c>
      <c r="B30" s="18" t="s">
        <v>59</v>
      </c>
      <c r="C30" s="18" t="s">
        <v>63</v>
      </c>
      <c r="D30" s="18">
        <v>0</v>
      </c>
      <c r="E30" s="18">
        <v>0</v>
      </c>
      <c r="G30">
        <v>0</v>
      </c>
      <c r="H30" s="18">
        <v>0</v>
      </c>
      <c r="K30" t="s">
        <v>602</v>
      </c>
    </row>
    <row r="31" spans="1:19" x14ac:dyDescent="0.2">
      <c r="A31" s="18" t="s">
        <v>90</v>
      </c>
      <c r="B31" s="18" t="s">
        <v>59</v>
      </c>
      <c r="C31" s="18" t="s">
        <v>60</v>
      </c>
      <c r="D31" s="18">
        <v>0</v>
      </c>
      <c r="E31" s="18">
        <v>0</v>
      </c>
      <c r="G31">
        <v>0</v>
      </c>
      <c r="H31" s="18">
        <v>0</v>
      </c>
    </row>
    <row r="32" spans="1:19" x14ac:dyDescent="0.2">
      <c r="A32" s="18" t="s">
        <v>91</v>
      </c>
      <c r="B32" s="18" t="s">
        <v>59</v>
      </c>
      <c r="C32" s="18" t="s">
        <v>60</v>
      </c>
      <c r="D32" s="18">
        <v>0</v>
      </c>
      <c r="E32" s="18">
        <v>0</v>
      </c>
      <c r="G32">
        <v>0</v>
      </c>
      <c r="H32" s="18">
        <v>0</v>
      </c>
      <c r="K32" t="s">
        <v>603</v>
      </c>
    </row>
    <row r="33" spans="1:8" x14ac:dyDescent="0.2">
      <c r="A33" s="18" t="s">
        <v>92</v>
      </c>
      <c r="B33" s="18" t="s">
        <v>59</v>
      </c>
      <c r="C33" s="18" t="s">
        <v>63</v>
      </c>
      <c r="D33" s="18">
        <v>0</v>
      </c>
      <c r="E33" s="18">
        <v>0</v>
      </c>
      <c r="G33">
        <v>0</v>
      </c>
      <c r="H33" s="18">
        <v>3251.94</v>
      </c>
    </row>
    <row r="34" spans="1:8" x14ac:dyDescent="0.2">
      <c r="A34" s="18" t="s">
        <v>93</v>
      </c>
      <c r="B34" s="18" t="s">
        <v>59</v>
      </c>
      <c r="C34" s="18" t="s">
        <v>63</v>
      </c>
      <c r="D34" s="18">
        <v>1</v>
      </c>
      <c r="E34" s="18">
        <v>7583.71</v>
      </c>
      <c r="G34">
        <v>0</v>
      </c>
      <c r="H34" s="18">
        <v>0</v>
      </c>
    </row>
    <row r="35" spans="1:8" x14ac:dyDescent="0.2">
      <c r="A35" s="18" t="s">
        <v>94</v>
      </c>
      <c r="B35" s="18" t="s">
        <v>59</v>
      </c>
      <c r="C35" s="18" t="s">
        <v>63</v>
      </c>
      <c r="D35" s="18">
        <v>0</v>
      </c>
      <c r="E35" s="18">
        <v>0</v>
      </c>
      <c r="G35">
        <v>0</v>
      </c>
      <c r="H35" s="18">
        <v>3846.22</v>
      </c>
    </row>
    <row r="36" spans="1:8" x14ac:dyDescent="0.2">
      <c r="A36" s="18" t="s">
        <v>95</v>
      </c>
      <c r="B36" s="18" t="s">
        <v>59</v>
      </c>
      <c r="C36" s="18" t="s">
        <v>63</v>
      </c>
      <c r="D36" s="18">
        <v>0</v>
      </c>
      <c r="E36" s="18">
        <v>0</v>
      </c>
      <c r="G36">
        <v>7583.71</v>
      </c>
      <c r="H36" s="18">
        <v>0</v>
      </c>
    </row>
    <row r="37" spans="1:8" x14ac:dyDescent="0.2">
      <c r="A37" s="18" t="s">
        <v>96</v>
      </c>
      <c r="B37" s="18" t="s">
        <v>59</v>
      </c>
      <c r="C37" s="18" t="s">
        <v>60</v>
      </c>
      <c r="D37" s="18">
        <v>0</v>
      </c>
      <c r="E37" s="18">
        <v>0</v>
      </c>
      <c r="G37">
        <v>0</v>
      </c>
      <c r="H37" s="18">
        <v>0</v>
      </c>
    </row>
    <row r="38" spans="1:8" x14ac:dyDescent="0.2">
      <c r="A38" s="18" t="s">
        <v>97</v>
      </c>
      <c r="B38" s="18" t="s">
        <v>59</v>
      </c>
      <c r="C38" s="18" t="s">
        <v>60</v>
      </c>
      <c r="D38" s="18">
        <v>0</v>
      </c>
      <c r="E38" s="18">
        <v>0</v>
      </c>
      <c r="G38">
        <v>0</v>
      </c>
      <c r="H38" s="18">
        <v>0</v>
      </c>
    </row>
    <row r="39" spans="1:8" x14ac:dyDescent="0.2">
      <c r="A39" s="18" t="s">
        <v>98</v>
      </c>
      <c r="B39" s="18" t="s">
        <v>59</v>
      </c>
      <c r="C39" s="18" t="s">
        <v>63</v>
      </c>
      <c r="D39" s="18">
        <v>1</v>
      </c>
      <c r="E39" s="18">
        <v>3926.73</v>
      </c>
      <c r="G39">
        <v>0</v>
      </c>
      <c r="H39" s="18">
        <v>0</v>
      </c>
    </row>
    <row r="40" spans="1:8" x14ac:dyDescent="0.2">
      <c r="A40" s="18" t="s">
        <v>99</v>
      </c>
      <c r="B40" s="18" t="s">
        <v>59</v>
      </c>
      <c r="C40" s="18" t="s">
        <v>63</v>
      </c>
      <c r="D40" s="18">
        <v>0</v>
      </c>
      <c r="E40" s="18">
        <v>0</v>
      </c>
      <c r="G40">
        <v>0</v>
      </c>
      <c r="H40" s="18">
        <v>0</v>
      </c>
    </row>
    <row r="41" spans="1:8" x14ac:dyDescent="0.2">
      <c r="A41" s="18" t="s">
        <v>100</v>
      </c>
      <c r="B41" s="18" t="s">
        <v>59</v>
      </c>
      <c r="C41" s="18" t="s">
        <v>63</v>
      </c>
      <c r="D41" s="18">
        <v>0</v>
      </c>
      <c r="E41" s="18">
        <v>0</v>
      </c>
      <c r="G41">
        <v>3926.73</v>
      </c>
      <c r="H41" s="18">
        <v>0</v>
      </c>
    </row>
    <row r="42" spans="1:8" x14ac:dyDescent="0.2">
      <c r="A42" s="18" t="s">
        <v>101</v>
      </c>
      <c r="B42" s="18" t="s">
        <v>59</v>
      </c>
      <c r="C42" s="18" t="s">
        <v>63</v>
      </c>
      <c r="D42" s="18">
        <v>0</v>
      </c>
      <c r="E42" s="18">
        <v>0</v>
      </c>
      <c r="G42">
        <v>0</v>
      </c>
      <c r="H42" s="18">
        <v>0</v>
      </c>
    </row>
    <row r="43" spans="1:8" x14ac:dyDescent="0.2">
      <c r="A43" s="18" t="s">
        <v>102</v>
      </c>
      <c r="B43" s="18" t="s">
        <v>59</v>
      </c>
      <c r="C43" s="18" t="s">
        <v>63</v>
      </c>
      <c r="D43" s="18">
        <v>1</v>
      </c>
      <c r="E43" s="18">
        <v>3816.34</v>
      </c>
      <c r="G43">
        <v>0</v>
      </c>
      <c r="H43" s="18">
        <v>0</v>
      </c>
    </row>
    <row r="44" spans="1:8" x14ac:dyDescent="0.2">
      <c r="A44" s="18" t="s">
        <v>103</v>
      </c>
      <c r="B44" s="18" t="s">
        <v>59</v>
      </c>
      <c r="C44" s="18" t="s">
        <v>60</v>
      </c>
      <c r="D44" s="18">
        <v>1</v>
      </c>
      <c r="E44" s="18">
        <v>6879.04</v>
      </c>
      <c r="G44">
        <v>0</v>
      </c>
      <c r="H44" s="18">
        <v>0</v>
      </c>
    </row>
    <row r="45" spans="1:8" x14ac:dyDescent="0.2">
      <c r="A45" s="18" t="s">
        <v>104</v>
      </c>
      <c r="B45" s="18" t="s">
        <v>59</v>
      </c>
      <c r="C45" s="18" t="s">
        <v>63</v>
      </c>
      <c r="D45" s="18">
        <v>0</v>
      </c>
      <c r="E45" s="18">
        <v>0</v>
      </c>
      <c r="G45">
        <v>3816.34</v>
      </c>
      <c r="H45" s="18">
        <v>0</v>
      </c>
    </row>
    <row r="46" spans="1:8" x14ac:dyDescent="0.2">
      <c r="A46" s="18" t="s">
        <v>105</v>
      </c>
      <c r="B46" s="18" t="s">
        <v>59</v>
      </c>
      <c r="C46" s="18" t="s">
        <v>60</v>
      </c>
      <c r="D46" s="18">
        <v>0</v>
      </c>
      <c r="E46" s="18">
        <v>0</v>
      </c>
      <c r="G46">
        <v>6879.04</v>
      </c>
      <c r="H46" s="18">
        <v>3880.25</v>
      </c>
    </row>
    <row r="47" spans="1:8" x14ac:dyDescent="0.2">
      <c r="A47" s="18" t="s">
        <v>106</v>
      </c>
      <c r="B47" s="18" t="s">
        <v>59</v>
      </c>
      <c r="C47" s="18" t="s">
        <v>63</v>
      </c>
      <c r="D47" s="18">
        <v>1</v>
      </c>
      <c r="E47" s="18">
        <v>3871.95</v>
      </c>
      <c r="G47">
        <v>0</v>
      </c>
      <c r="H47" s="18">
        <v>0</v>
      </c>
    </row>
    <row r="48" spans="1:8" x14ac:dyDescent="0.2">
      <c r="A48" s="18" t="s">
        <v>107</v>
      </c>
      <c r="B48" s="18" t="s">
        <v>59</v>
      </c>
      <c r="C48" s="18" t="s">
        <v>63</v>
      </c>
      <c r="D48" s="18">
        <v>1</v>
      </c>
      <c r="E48" s="18">
        <v>1497.32</v>
      </c>
      <c r="G48">
        <v>0</v>
      </c>
      <c r="H48" s="18">
        <v>0</v>
      </c>
    </row>
    <row r="49" spans="1:8" x14ac:dyDescent="0.2">
      <c r="A49" s="18" t="s">
        <v>108</v>
      </c>
      <c r="B49" s="18" t="s">
        <v>59</v>
      </c>
      <c r="C49" s="18" t="s">
        <v>63</v>
      </c>
      <c r="D49" s="18">
        <v>0</v>
      </c>
      <c r="E49" s="18">
        <v>0</v>
      </c>
      <c r="G49">
        <v>3871.95</v>
      </c>
      <c r="H49" s="18">
        <v>0</v>
      </c>
    </row>
    <row r="50" spans="1:8" x14ac:dyDescent="0.2">
      <c r="A50" s="18" t="s">
        <v>109</v>
      </c>
      <c r="B50" s="18" t="s">
        <v>59</v>
      </c>
      <c r="C50" s="18" t="s">
        <v>63</v>
      </c>
      <c r="D50" s="18">
        <v>0</v>
      </c>
      <c r="E50" s="18">
        <v>0</v>
      </c>
      <c r="G50">
        <v>1497.32</v>
      </c>
      <c r="H50" s="18">
        <v>0</v>
      </c>
    </row>
    <row r="51" spans="1:8" x14ac:dyDescent="0.2">
      <c r="A51" s="18" t="s">
        <v>110</v>
      </c>
      <c r="B51" s="18" t="s">
        <v>59</v>
      </c>
      <c r="C51" s="18" t="s">
        <v>63</v>
      </c>
      <c r="D51" s="18">
        <v>0</v>
      </c>
      <c r="E51" s="18">
        <v>0</v>
      </c>
      <c r="G51">
        <v>0</v>
      </c>
      <c r="H51" s="18">
        <v>0</v>
      </c>
    </row>
    <row r="52" spans="1:8" x14ac:dyDescent="0.2">
      <c r="A52" s="18" t="s">
        <v>111</v>
      </c>
      <c r="B52" s="18" t="s">
        <v>59</v>
      </c>
      <c r="C52" s="18" t="s">
        <v>60</v>
      </c>
      <c r="D52" s="18">
        <v>0</v>
      </c>
      <c r="E52" s="18">
        <v>0</v>
      </c>
      <c r="G52">
        <v>0</v>
      </c>
      <c r="H52" s="18">
        <v>0</v>
      </c>
    </row>
    <row r="53" spans="1:8" x14ac:dyDescent="0.2">
      <c r="A53" s="18" t="s">
        <v>112</v>
      </c>
      <c r="B53" s="18" t="s">
        <v>59</v>
      </c>
      <c r="C53" s="18" t="s">
        <v>60</v>
      </c>
      <c r="D53" s="18">
        <v>0</v>
      </c>
      <c r="E53" s="18">
        <v>0</v>
      </c>
      <c r="G53">
        <v>0</v>
      </c>
      <c r="H53" s="18">
        <v>4893.68</v>
      </c>
    </row>
    <row r="54" spans="1:8" x14ac:dyDescent="0.2">
      <c r="A54" s="18" t="s">
        <v>113</v>
      </c>
      <c r="B54" s="18" t="s">
        <v>59</v>
      </c>
      <c r="C54" s="18" t="s">
        <v>63</v>
      </c>
      <c r="D54" s="18">
        <v>0</v>
      </c>
      <c r="E54" s="18">
        <v>0</v>
      </c>
      <c r="G54">
        <v>0</v>
      </c>
      <c r="H54" s="18">
        <v>0</v>
      </c>
    </row>
    <row r="55" spans="1:8" x14ac:dyDescent="0.2">
      <c r="A55" s="18" t="s">
        <v>114</v>
      </c>
      <c r="B55" s="18" t="s">
        <v>59</v>
      </c>
      <c r="C55" s="18" t="s">
        <v>60</v>
      </c>
      <c r="D55" s="18">
        <v>1</v>
      </c>
      <c r="E55" s="18">
        <v>4212.25</v>
      </c>
      <c r="G55">
        <v>0</v>
      </c>
      <c r="H55" s="18">
        <v>3746.62</v>
      </c>
    </row>
    <row r="56" spans="1:8" x14ac:dyDescent="0.2">
      <c r="A56" s="18" t="s">
        <v>115</v>
      </c>
      <c r="B56" s="18" t="s">
        <v>59</v>
      </c>
      <c r="C56" s="18" t="s">
        <v>60</v>
      </c>
      <c r="D56" s="18">
        <v>0</v>
      </c>
      <c r="E56" s="18">
        <v>0</v>
      </c>
      <c r="G56">
        <v>0</v>
      </c>
      <c r="H56" s="18">
        <v>0</v>
      </c>
    </row>
    <row r="57" spans="1:8" x14ac:dyDescent="0.2">
      <c r="A57" s="18" t="s">
        <v>116</v>
      </c>
      <c r="B57" s="18" t="s">
        <v>59</v>
      </c>
      <c r="C57" s="18" t="s">
        <v>60</v>
      </c>
      <c r="D57" s="18">
        <v>0</v>
      </c>
      <c r="E57" s="18">
        <v>0</v>
      </c>
      <c r="G57">
        <v>4212.25</v>
      </c>
      <c r="H57" s="18">
        <v>0</v>
      </c>
    </row>
    <row r="58" spans="1:8" x14ac:dyDescent="0.2">
      <c r="A58" s="18" t="s">
        <v>117</v>
      </c>
      <c r="B58" s="18" t="s">
        <v>59</v>
      </c>
      <c r="C58" s="18" t="s">
        <v>60</v>
      </c>
      <c r="D58" s="18">
        <v>0</v>
      </c>
      <c r="E58" s="18">
        <v>0</v>
      </c>
      <c r="G58">
        <v>0</v>
      </c>
      <c r="H58" s="18">
        <v>0</v>
      </c>
    </row>
    <row r="59" spans="1:8" x14ac:dyDescent="0.2">
      <c r="A59" s="18" t="s">
        <v>118</v>
      </c>
      <c r="B59" s="18" t="s">
        <v>59</v>
      </c>
      <c r="C59" s="18" t="s">
        <v>60</v>
      </c>
      <c r="D59" s="18">
        <v>1</v>
      </c>
      <c r="E59" s="18">
        <v>4223.87</v>
      </c>
      <c r="G59">
        <v>0</v>
      </c>
      <c r="H59" s="18">
        <v>0</v>
      </c>
    </row>
    <row r="60" spans="1:8" x14ac:dyDescent="0.2">
      <c r="A60" s="18" t="s">
        <v>119</v>
      </c>
      <c r="B60" s="18" t="s">
        <v>59</v>
      </c>
      <c r="C60" s="18" t="s">
        <v>63</v>
      </c>
      <c r="D60" s="18">
        <v>1</v>
      </c>
      <c r="E60" s="18">
        <v>4449.63</v>
      </c>
      <c r="G60">
        <v>0</v>
      </c>
      <c r="H60" s="18">
        <v>0</v>
      </c>
    </row>
    <row r="61" spans="1:8" x14ac:dyDescent="0.2">
      <c r="A61" s="18" t="s">
        <v>120</v>
      </c>
      <c r="B61" s="18" t="s">
        <v>59</v>
      </c>
      <c r="C61" s="18" t="s">
        <v>60</v>
      </c>
      <c r="D61" s="18">
        <v>0</v>
      </c>
      <c r="E61" s="18">
        <v>0</v>
      </c>
      <c r="G61">
        <v>4223.87</v>
      </c>
      <c r="H61" s="18">
        <v>5256.39</v>
      </c>
    </row>
    <row r="62" spans="1:8" x14ac:dyDescent="0.2">
      <c r="A62" s="18" t="s">
        <v>121</v>
      </c>
      <c r="B62" s="18" t="s">
        <v>59</v>
      </c>
      <c r="C62" s="18" t="s">
        <v>60</v>
      </c>
      <c r="D62" s="18">
        <v>0</v>
      </c>
      <c r="E62" s="18">
        <v>0</v>
      </c>
      <c r="G62">
        <v>4449.63</v>
      </c>
      <c r="H62" s="18">
        <v>0</v>
      </c>
    </row>
    <row r="63" spans="1:8" x14ac:dyDescent="0.2">
      <c r="A63" s="18" t="s">
        <v>122</v>
      </c>
      <c r="B63" s="18" t="s">
        <v>59</v>
      </c>
      <c r="C63" s="18" t="s">
        <v>60</v>
      </c>
      <c r="D63" s="18">
        <v>0</v>
      </c>
      <c r="E63" s="18">
        <v>0</v>
      </c>
      <c r="G63">
        <v>0</v>
      </c>
      <c r="H63" s="18">
        <v>0</v>
      </c>
    </row>
    <row r="64" spans="1:8" x14ac:dyDescent="0.2">
      <c r="A64" s="18" t="s">
        <v>123</v>
      </c>
      <c r="B64" s="18" t="s">
        <v>59</v>
      </c>
      <c r="C64" s="18" t="s">
        <v>63</v>
      </c>
      <c r="D64" s="18">
        <v>1</v>
      </c>
      <c r="E64" s="18">
        <v>3686.03</v>
      </c>
      <c r="G64">
        <v>0</v>
      </c>
      <c r="H64" s="18">
        <v>4700.29</v>
      </c>
    </row>
    <row r="65" spans="1:8" x14ac:dyDescent="0.2">
      <c r="A65" s="18" t="s">
        <v>124</v>
      </c>
      <c r="B65" s="18" t="s">
        <v>59</v>
      </c>
      <c r="C65" s="18" t="s">
        <v>60</v>
      </c>
      <c r="D65" s="18">
        <v>1</v>
      </c>
      <c r="E65" s="18">
        <v>5390.85</v>
      </c>
      <c r="G65">
        <v>0</v>
      </c>
      <c r="H65" s="18">
        <v>0</v>
      </c>
    </row>
    <row r="66" spans="1:8" x14ac:dyDescent="0.2">
      <c r="A66" s="18" t="s">
        <v>125</v>
      </c>
      <c r="B66" s="18" t="s">
        <v>59</v>
      </c>
      <c r="C66" s="18" t="s">
        <v>63</v>
      </c>
      <c r="D66" s="18">
        <v>0</v>
      </c>
      <c r="E66" s="18">
        <v>0</v>
      </c>
      <c r="G66">
        <v>3686.03</v>
      </c>
      <c r="H66" s="18">
        <v>0</v>
      </c>
    </row>
    <row r="67" spans="1:8" x14ac:dyDescent="0.2">
      <c r="A67" s="18" t="s">
        <v>126</v>
      </c>
      <c r="B67" s="18" t="s">
        <v>59</v>
      </c>
      <c r="C67" s="18" t="s">
        <v>63</v>
      </c>
      <c r="D67" s="18">
        <v>0</v>
      </c>
      <c r="E67" s="18">
        <v>0</v>
      </c>
      <c r="G67">
        <v>5390.85</v>
      </c>
      <c r="H67" s="18">
        <v>0</v>
      </c>
    </row>
    <row r="68" spans="1:8" x14ac:dyDescent="0.2">
      <c r="A68" s="18" t="s">
        <v>127</v>
      </c>
      <c r="B68" s="18" t="s">
        <v>59</v>
      </c>
      <c r="C68" s="18" t="s">
        <v>63</v>
      </c>
      <c r="D68" s="18">
        <v>0</v>
      </c>
      <c r="E68" s="18">
        <v>0</v>
      </c>
      <c r="G68">
        <v>0</v>
      </c>
      <c r="H68" s="18">
        <v>0</v>
      </c>
    </row>
    <row r="69" spans="1:8" x14ac:dyDescent="0.2">
      <c r="A69" s="18" t="s">
        <v>128</v>
      </c>
      <c r="B69" s="18" t="s">
        <v>59</v>
      </c>
      <c r="C69" s="18" t="s">
        <v>60</v>
      </c>
      <c r="D69" s="18">
        <v>1</v>
      </c>
      <c r="E69" s="18">
        <v>5274.65</v>
      </c>
      <c r="G69">
        <v>0</v>
      </c>
      <c r="H69" s="18">
        <v>0</v>
      </c>
    </row>
    <row r="70" spans="1:8" x14ac:dyDescent="0.2">
      <c r="A70" s="18" t="s">
        <v>129</v>
      </c>
      <c r="B70" s="18" t="s">
        <v>59</v>
      </c>
      <c r="C70" s="18" t="s">
        <v>63</v>
      </c>
      <c r="D70" s="18">
        <v>0</v>
      </c>
      <c r="E70" s="18">
        <v>0</v>
      </c>
      <c r="G70">
        <v>0</v>
      </c>
      <c r="H70" s="18">
        <v>0</v>
      </c>
    </row>
    <row r="71" spans="1:8" x14ac:dyDescent="0.2">
      <c r="A71" s="18" t="s">
        <v>130</v>
      </c>
      <c r="B71" s="18" t="s">
        <v>59</v>
      </c>
      <c r="C71" s="18" t="s">
        <v>60</v>
      </c>
      <c r="D71" s="18">
        <v>0</v>
      </c>
      <c r="E71" s="18">
        <v>0</v>
      </c>
      <c r="G71">
        <v>5274.65</v>
      </c>
      <c r="H71" s="18">
        <v>0</v>
      </c>
    </row>
    <row r="72" spans="1:8" x14ac:dyDescent="0.2">
      <c r="A72" s="18" t="s">
        <v>131</v>
      </c>
      <c r="B72" s="18" t="s">
        <v>59</v>
      </c>
      <c r="C72" s="18" t="s">
        <v>60</v>
      </c>
      <c r="D72" s="18">
        <v>0</v>
      </c>
      <c r="E72" s="18">
        <v>0</v>
      </c>
      <c r="G72">
        <v>0</v>
      </c>
      <c r="H72" s="18">
        <v>0</v>
      </c>
    </row>
    <row r="73" spans="1:8" x14ac:dyDescent="0.2">
      <c r="A73" s="18" t="s">
        <v>132</v>
      </c>
      <c r="B73" s="18" t="s">
        <v>59</v>
      </c>
      <c r="C73" s="18" t="s">
        <v>63</v>
      </c>
      <c r="D73" s="18">
        <v>0</v>
      </c>
      <c r="E73" s="18">
        <v>0</v>
      </c>
      <c r="G73">
        <v>0</v>
      </c>
      <c r="H73" s="18">
        <v>0</v>
      </c>
    </row>
    <row r="74" spans="1:8" x14ac:dyDescent="0.2">
      <c r="A74" s="18" t="s">
        <v>133</v>
      </c>
      <c r="B74" s="18" t="s">
        <v>59</v>
      </c>
      <c r="C74" s="18" t="s">
        <v>63</v>
      </c>
      <c r="D74" s="18">
        <v>0</v>
      </c>
      <c r="E74" s="18">
        <v>0</v>
      </c>
      <c r="G74">
        <v>0</v>
      </c>
      <c r="H74" s="18">
        <v>0</v>
      </c>
    </row>
    <row r="75" spans="1:8" x14ac:dyDescent="0.2">
      <c r="A75" s="18" t="s">
        <v>134</v>
      </c>
      <c r="B75" s="18" t="s">
        <v>59</v>
      </c>
      <c r="C75" s="18" t="s">
        <v>60</v>
      </c>
      <c r="D75" s="18">
        <v>0</v>
      </c>
      <c r="E75" s="18">
        <v>0</v>
      </c>
      <c r="G75">
        <v>0</v>
      </c>
      <c r="H75" s="18">
        <v>0</v>
      </c>
    </row>
    <row r="76" spans="1:8" x14ac:dyDescent="0.2">
      <c r="A76" s="18" t="s">
        <v>135</v>
      </c>
      <c r="B76" s="18" t="s">
        <v>59</v>
      </c>
      <c r="C76" s="18" t="s">
        <v>60</v>
      </c>
      <c r="D76" s="18">
        <v>0</v>
      </c>
      <c r="E76" s="18">
        <v>0</v>
      </c>
      <c r="G76">
        <v>0</v>
      </c>
      <c r="H76" s="18">
        <v>7126.38</v>
      </c>
    </row>
    <row r="77" spans="1:8" x14ac:dyDescent="0.2">
      <c r="A77" s="18" t="s">
        <v>136</v>
      </c>
      <c r="B77" s="18" t="s">
        <v>59</v>
      </c>
      <c r="C77" s="18" t="s">
        <v>60</v>
      </c>
      <c r="D77" s="18">
        <v>0</v>
      </c>
      <c r="E77" s="18">
        <v>0</v>
      </c>
      <c r="G77">
        <v>0</v>
      </c>
      <c r="H77" s="18">
        <v>0</v>
      </c>
    </row>
    <row r="78" spans="1:8" x14ac:dyDescent="0.2">
      <c r="A78" s="18" t="s">
        <v>137</v>
      </c>
      <c r="B78" s="18" t="s">
        <v>59</v>
      </c>
      <c r="C78" s="18" t="s">
        <v>63</v>
      </c>
      <c r="D78" s="18">
        <v>0</v>
      </c>
      <c r="E78" s="18">
        <v>0</v>
      </c>
      <c r="G78">
        <v>0</v>
      </c>
      <c r="H78" s="18">
        <v>0</v>
      </c>
    </row>
    <row r="79" spans="1:8" x14ac:dyDescent="0.2">
      <c r="A79" s="18" t="s">
        <v>138</v>
      </c>
      <c r="B79" s="18" t="s">
        <v>59</v>
      </c>
      <c r="C79" s="18" t="s">
        <v>63</v>
      </c>
      <c r="D79" s="18">
        <v>1</v>
      </c>
      <c r="E79" s="18">
        <v>4003.92</v>
      </c>
      <c r="G79">
        <v>0</v>
      </c>
      <c r="H79" s="18">
        <v>0</v>
      </c>
    </row>
    <row r="80" spans="1:8" x14ac:dyDescent="0.2">
      <c r="A80" s="18" t="s">
        <v>139</v>
      </c>
      <c r="B80" s="18" t="s">
        <v>59</v>
      </c>
      <c r="C80" s="18" t="s">
        <v>60</v>
      </c>
      <c r="D80" s="18">
        <v>0</v>
      </c>
      <c r="E80" s="18">
        <v>0</v>
      </c>
      <c r="G80">
        <v>0</v>
      </c>
      <c r="H80" s="18">
        <v>0</v>
      </c>
    </row>
    <row r="81" spans="1:8" x14ac:dyDescent="0.2">
      <c r="A81" s="18" t="s">
        <v>140</v>
      </c>
      <c r="B81" s="18" t="s">
        <v>59</v>
      </c>
      <c r="C81" s="18" t="s">
        <v>63</v>
      </c>
      <c r="D81" s="18">
        <v>0</v>
      </c>
      <c r="E81" s="18">
        <v>0</v>
      </c>
      <c r="G81">
        <v>4003.92</v>
      </c>
      <c r="H81" s="18">
        <v>0</v>
      </c>
    </row>
    <row r="82" spans="1:8" x14ac:dyDescent="0.2">
      <c r="A82" s="18" t="s">
        <v>141</v>
      </c>
      <c r="B82" s="18" t="s">
        <v>59</v>
      </c>
      <c r="C82" s="18" t="s">
        <v>63</v>
      </c>
      <c r="D82" s="18">
        <v>0</v>
      </c>
      <c r="E82" s="18">
        <v>0</v>
      </c>
      <c r="G82">
        <v>0</v>
      </c>
      <c r="H82" s="18">
        <v>0</v>
      </c>
    </row>
    <row r="83" spans="1:8" x14ac:dyDescent="0.2">
      <c r="A83" s="18" t="s">
        <v>142</v>
      </c>
      <c r="B83" s="18" t="s">
        <v>59</v>
      </c>
      <c r="C83" s="18" t="s">
        <v>60</v>
      </c>
      <c r="D83" s="18">
        <v>1</v>
      </c>
      <c r="E83" s="18">
        <v>6989.43</v>
      </c>
      <c r="G83">
        <v>0</v>
      </c>
      <c r="H83" s="18">
        <v>0</v>
      </c>
    </row>
    <row r="84" spans="1:8" x14ac:dyDescent="0.2">
      <c r="A84" s="18" t="s">
        <v>143</v>
      </c>
      <c r="B84" s="18" t="s">
        <v>59</v>
      </c>
      <c r="C84" s="18" t="s">
        <v>60</v>
      </c>
      <c r="D84" s="18">
        <v>0</v>
      </c>
      <c r="E84" s="18">
        <v>0</v>
      </c>
      <c r="G84">
        <v>0</v>
      </c>
      <c r="H84" s="18">
        <v>6308.83</v>
      </c>
    </row>
    <row r="85" spans="1:8" x14ac:dyDescent="0.2">
      <c r="A85" s="18" t="s">
        <v>144</v>
      </c>
      <c r="B85" s="18" t="s">
        <v>59</v>
      </c>
      <c r="C85" s="18" t="s">
        <v>63</v>
      </c>
      <c r="D85" s="18">
        <v>0</v>
      </c>
      <c r="E85" s="18">
        <v>0</v>
      </c>
      <c r="G85">
        <v>6989.43</v>
      </c>
      <c r="H85" s="18">
        <v>0</v>
      </c>
    </row>
    <row r="86" spans="1:8" x14ac:dyDescent="0.2">
      <c r="A86" s="18" t="s">
        <v>145</v>
      </c>
      <c r="B86" s="18" t="s">
        <v>59</v>
      </c>
      <c r="C86" s="18" t="s">
        <v>60</v>
      </c>
      <c r="D86" s="18">
        <v>0</v>
      </c>
      <c r="E86" s="18">
        <v>0</v>
      </c>
      <c r="G86">
        <v>0</v>
      </c>
      <c r="H86" s="18">
        <v>0</v>
      </c>
    </row>
    <row r="87" spans="1:8" x14ac:dyDescent="0.2">
      <c r="A87" s="18" t="s">
        <v>146</v>
      </c>
      <c r="B87" s="18" t="s">
        <v>59</v>
      </c>
      <c r="C87" s="18" t="s">
        <v>63</v>
      </c>
      <c r="D87" s="18">
        <v>0</v>
      </c>
      <c r="E87" s="18">
        <v>0</v>
      </c>
      <c r="G87">
        <v>0</v>
      </c>
      <c r="H87" s="18">
        <v>5024.82</v>
      </c>
    </row>
    <row r="88" spans="1:8" x14ac:dyDescent="0.2">
      <c r="A88" s="18" t="s">
        <v>147</v>
      </c>
      <c r="B88" s="18" t="s">
        <v>59</v>
      </c>
      <c r="C88" s="18" t="s">
        <v>63</v>
      </c>
      <c r="D88" s="18">
        <v>0</v>
      </c>
      <c r="E88" s="18">
        <v>0</v>
      </c>
      <c r="G88">
        <v>0</v>
      </c>
      <c r="H88" s="18">
        <v>0</v>
      </c>
    </row>
    <row r="89" spans="1:8" x14ac:dyDescent="0.2">
      <c r="A89" s="18" t="s">
        <v>148</v>
      </c>
      <c r="B89" s="18" t="s">
        <v>59</v>
      </c>
      <c r="C89" s="18" t="s">
        <v>60</v>
      </c>
      <c r="D89" s="18">
        <v>1</v>
      </c>
      <c r="E89" s="18">
        <v>3061.87</v>
      </c>
      <c r="G89">
        <v>0</v>
      </c>
      <c r="H89" s="18">
        <v>0</v>
      </c>
    </row>
    <row r="90" spans="1:8" x14ac:dyDescent="0.2">
      <c r="A90" s="18" t="s">
        <v>149</v>
      </c>
      <c r="B90" s="18" t="s">
        <v>59</v>
      </c>
      <c r="C90" s="18" t="s">
        <v>63</v>
      </c>
      <c r="D90" s="18">
        <v>0</v>
      </c>
      <c r="E90" s="18">
        <v>0</v>
      </c>
      <c r="G90">
        <v>0</v>
      </c>
      <c r="H90" s="18">
        <v>0</v>
      </c>
    </row>
    <row r="91" spans="1:8" x14ac:dyDescent="0.2">
      <c r="A91" s="18" t="s">
        <v>150</v>
      </c>
      <c r="B91" s="18" t="s">
        <v>59</v>
      </c>
      <c r="C91" s="18" t="s">
        <v>60</v>
      </c>
      <c r="D91" s="18">
        <v>0</v>
      </c>
      <c r="E91" s="18">
        <v>0</v>
      </c>
      <c r="G91">
        <v>3061.87</v>
      </c>
      <c r="H91" s="18">
        <v>0</v>
      </c>
    </row>
    <row r="92" spans="1:8" x14ac:dyDescent="0.2">
      <c r="A92" s="18" t="s">
        <v>151</v>
      </c>
      <c r="B92" s="18" t="s">
        <v>59</v>
      </c>
      <c r="C92" s="18" t="s">
        <v>63</v>
      </c>
      <c r="D92" s="18">
        <v>0</v>
      </c>
      <c r="E92" s="18">
        <v>0</v>
      </c>
      <c r="G92">
        <v>0</v>
      </c>
      <c r="H92" s="18">
        <v>0</v>
      </c>
    </row>
    <row r="93" spans="1:8" x14ac:dyDescent="0.2">
      <c r="A93" s="18" t="s">
        <v>152</v>
      </c>
      <c r="B93" s="18" t="s">
        <v>59</v>
      </c>
      <c r="C93" s="18" t="s">
        <v>60</v>
      </c>
      <c r="D93" s="18">
        <v>0</v>
      </c>
      <c r="E93" s="18">
        <v>0</v>
      </c>
      <c r="G93">
        <v>0</v>
      </c>
      <c r="H93" s="18">
        <v>0</v>
      </c>
    </row>
    <row r="94" spans="1:8" x14ac:dyDescent="0.2">
      <c r="A94" s="18" t="s">
        <v>153</v>
      </c>
      <c r="B94" s="18" t="s">
        <v>59</v>
      </c>
      <c r="C94" s="18" t="s">
        <v>63</v>
      </c>
      <c r="D94" s="18">
        <v>0</v>
      </c>
      <c r="E94" s="18">
        <v>0</v>
      </c>
      <c r="G94">
        <v>0</v>
      </c>
      <c r="H94" s="18">
        <v>5567.64</v>
      </c>
    </row>
    <row r="95" spans="1:8" x14ac:dyDescent="0.2">
      <c r="A95" s="18" t="s">
        <v>154</v>
      </c>
      <c r="B95" s="18" t="s">
        <v>59</v>
      </c>
      <c r="C95" s="18" t="s">
        <v>60</v>
      </c>
      <c r="D95" s="18">
        <v>0</v>
      </c>
      <c r="E95" s="18">
        <v>0</v>
      </c>
      <c r="G95">
        <v>0</v>
      </c>
      <c r="H95" s="18">
        <v>0</v>
      </c>
    </row>
    <row r="96" spans="1:8" x14ac:dyDescent="0.2">
      <c r="A96" s="18" t="s">
        <v>155</v>
      </c>
      <c r="B96" s="18" t="s">
        <v>59</v>
      </c>
      <c r="C96" s="18" t="s">
        <v>63</v>
      </c>
      <c r="D96" s="18">
        <v>1</v>
      </c>
      <c r="E96" s="18">
        <v>3249.45</v>
      </c>
      <c r="G96">
        <v>0</v>
      </c>
      <c r="H96" s="18">
        <v>2193.69</v>
      </c>
    </row>
    <row r="97" spans="1:8" x14ac:dyDescent="0.2">
      <c r="A97" s="18" t="s">
        <v>156</v>
      </c>
      <c r="B97" s="18" t="s">
        <v>59</v>
      </c>
      <c r="C97" s="18" t="s">
        <v>60</v>
      </c>
      <c r="D97" s="18">
        <v>0</v>
      </c>
      <c r="E97" s="18">
        <v>0</v>
      </c>
      <c r="G97">
        <v>0</v>
      </c>
      <c r="H97" s="18">
        <v>0</v>
      </c>
    </row>
    <row r="98" spans="1:8" x14ac:dyDescent="0.2">
      <c r="A98" s="18" t="s">
        <v>157</v>
      </c>
      <c r="B98" s="18" t="s">
        <v>59</v>
      </c>
      <c r="C98" s="18" t="s">
        <v>60</v>
      </c>
      <c r="D98" s="18">
        <v>0</v>
      </c>
      <c r="E98" s="18">
        <v>0</v>
      </c>
      <c r="G98">
        <v>3249.45</v>
      </c>
      <c r="H98" s="18">
        <v>2045.12</v>
      </c>
    </row>
    <row r="99" spans="1:8" x14ac:dyDescent="0.2">
      <c r="A99" s="18" t="s">
        <v>158</v>
      </c>
      <c r="B99" s="18" t="s">
        <v>59</v>
      </c>
      <c r="C99" s="18" t="s">
        <v>60</v>
      </c>
      <c r="D99" s="18">
        <v>0</v>
      </c>
      <c r="E99" s="18">
        <v>0</v>
      </c>
      <c r="G99">
        <v>0</v>
      </c>
      <c r="H99" s="18">
        <v>0</v>
      </c>
    </row>
    <row r="100" spans="1:8" x14ac:dyDescent="0.2">
      <c r="A100" s="18" t="s">
        <v>159</v>
      </c>
      <c r="B100" s="18" t="s">
        <v>59</v>
      </c>
      <c r="C100" s="18" t="s">
        <v>60</v>
      </c>
      <c r="D100" s="18">
        <v>0</v>
      </c>
      <c r="E100" s="18">
        <v>0</v>
      </c>
      <c r="G100">
        <v>0</v>
      </c>
      <c r="H100" s="18">
        <v>0</v>
      </c>
    </row>
    <row r="101" spans="1:8" x14ac:dyDescent="0.2">
      <c r="A101" s="18" t="s">
        <v>160</v>
      </c>
      <c r="B101" s="18" t="s">
        <v>59</v>
      </c>
      <c r="C101" s="18" t="s">
        <v>63</v>
      </c>
      <c r="D101" s="18">
        <v>0</v>
      </c>
      <c r="E101" s="18">
        <v>0</v>
      </c>
      <c r="G101">
        <v>0</v>
      </c>
      <c r="H101" s="18">
        <v>0</v>
      </c>
    </row>
    <row r="102" spans="1:8" x14ac:dyDescent="0.2">
      <c r="A102" s="18" t="s">
        <v>161</v>
      </c>
      <c r="B102" s="18" t="s">
        <v>59</v>
      </c>
      <c r="C102" s="18" t="s">
        <v>60</v>
      </c>
      <c r="D102" s="18">
        <v>0</v>
      </c>
      <c r="E102" s="18">
        <v>0</v>
      </c>
      <c r="G102">
        <v>0</v>
      </c>
      <c r="H102" s="18">
        <v>0</v>
      </c>
    </row>
    <row r="103" spans="1:8" x14ac:dyDescent="0.2">
      <c r="A103" s="18" t="s">
        <v>162</v>
      </c>
      <c r="B103" s="18" t="s">
        <v>59</v>
      </c>
      <c r="C103" s="18" t="s">
        <v>60</v>
      </c>
      <c r="D103" s="18">
        <v>0</v>
      </c>
      <c r="E103" s="18">
        <v>0</v>
      </c>
      <c r="G103">
        <v>0</v>
      </c>
      <c r="H103" s="18">
        <v>0</v>
      </c>
    </row>
    <row r="104" spans="1:8" x14ac:dyDescent="0.2">
      <c r="A104" s="18" t="s">
        <v>163</v>
      </c>
      <c r="B104" s="18" t="s">
        <v>59</v>
      </c>
      <c r="C104" s="18" t="s">
        <v>63</v>
      </c>
      <c r="D104" s="18">
        <v>0</v>
      </c>
      <c r="E104" s="18">
        <v>0</v>
      </c>
      <c r="G104">
        <v>0</v>
      </c>
      <c r="H104" s="18">
        <v>0</v>
      </c>
    </row>
    <row r="105" spans="1:8" x14ac:dyDescent="0.2">
      <c r="A105" s="18" t="s">
        <v>164</v>
      </c>
      <c r="B105" s="18" t="s">
        <v>59</v>
      </c>
      <c r="C105" s="18" t="s">
        <v>63</v>
      </c>
      <c r="D105" s="18">
        <v>0</v>
      </c>
      <c r="E105" s="18">
        <v>0</v>
      </c>
      <c r="G105">
        <v>0</v>
      </c>
      <c r="H105" s="18">
        <v>5360.14</v>
      </c>
    </row>
    <row r="106" spans="1:8" x14ac:dyDescent="0.2">
      <c r="A106" s="18" t="s">
        <v>165</v>
      </c>
      <c r="B106" s="18" t="s">
        <v>59</v>
      </c>
      <c r="C106" s="18" t="s">
        <v>60</v>
      </c>
      <c r="D106" s="18">
        <v>0</v>
      </c>
      <c r="E106" s="18">
        <v>0</v>
      </c>
      <c r="G106">
        <v>0</v>
      </c>
      <c r="H106" s="18">
        <v>0</v>
      </c>
    </row>
    <row r="107" spans="1:8" x14ac:dyDescent="0.2">
      <c r="A107" s="18" t="s">
        <v>166</v>
      </c>
      <c r="B107" s="18" t="s">
        <v>59</v>
      </c>
      <c r="C107" s="18" t="s">
        <v>60</v>
      </c>
      <c r="D107" s="18">
        <v>0</v>
      </c>
      <c r="E107" s="18">
        <v>0</v>
      </c>
      <c r="G107">
        <v>0</v>
      </c>
      <c r="H107" s="18">
        <v>0</v>
      </c>
    </row>
    <row r="108" spans="1:8" x14ac:dyDescent="0.2">
      <c r="A108" s="18" t="s">
        <v>167</v>
      </c>
      <c r="B108" s="18" t="s">
        <v>59</v>
      </c>
      <c r="C108" s="18" t="s">
        <v>60</v>
      </c>
      <c r="D108" s="18">
        <v>0</v>
      </c>
      <c r="E108" s="18">
        <v>0</v>
      </c>
      <c r="G108">
        <v>0</v>
      </c>
      <c r="H108" s="18">
        <v>0</v>
      </c>
    </row>
    <row r="109" spans="1:8" x14ac:dyDescent="0.2">
      <c r="A109" s="18" t="s">
        <v>168</v>
      </c>
      <c r="B109" s="18" t="s">
        <v>59</v>
      </c>
      <c r="C109" s="18" t="s">
        <v>63</v>
      </c>
      <c r="D109" s="18">
        <v>0</v>
      </c>
      <c r="E109" s="18">
        <v>0</v>
      </c>
      <c r="G109">
        <v>0</v>
      </c>
      <c r="H109" s="18">
        <v>6649.96</v>
      </c>
    </row>
    <row r="110" spans="1:8" x14ac:dyDescent="0.2">
      <c r="A110" s="18" t="s">
        <v>169</v>
      </c>
      <c r="B110" s="18" t="s">
        <v>59</v>
      </c>
      <c r="C110" s="18" t="s">
        <v>60</v>
      </c>
      <c r="D110" s="18">
        <v>1</v>
      </c>
      <c r="E110" s="18">
        <v>6127.89</v>
      </c>
      <c r="G110">
        <v>0</v>
      </c>
      <c r="H110" s="18">
        <v>8411.2199999999993</v>
      </c>
    </row>
    <row r="111" spans="1:8" x14ac:dyDescent="0.2">
      <c r="A111" s="18" t="s">
        <v>170</v>
      </c>
      <c r="B111" s="18" t="s">
        <v>59</v>
      </c>
      <c r="C111" s="18" t="s">
        <v>60</v>
      </c>
      <c r="D111" s="18">
        <v>0</v>
      </c>
      <c r="E111" s="18">
        <v>0</v>
      </c>
      <c r="G111">
        <v>0</v>
      </c>
      <c r="H111" s="18">
        <v>0</v>
      </c>
    </row>
    <row r="112" spans="1:8" x14ac:dyDescent="0.2">
      <c r="A112" s="18" t="s">
        <v>171</v>
      </c>
      <c r="B112" s="18" t="s">
        <v>59</v>
      </c>
      <c r="C112" s="18" t="s">
        <v>63</v>
      </c>
      <c r="D112" s="18">
        <v>0</v>
      </c>
      <c r="E112" s="18">
        <v>0</v>
      </c>
      <c r="G112">
        <v>6127.89</v>
      </c>
      <c r="H112" s="18">
        <v>0</v>
      </c>
    </row>
    <row r="113" spans="1:8" x14ac:dyDescent="0.2">
      <c r="A113" s="18" t="s">
        <v>172</v>
      </c>
      <c r="B113" s="18" t="s">
        <v>59</v>
      </c>
      <c r="C113" s="18" t="s">
        <v>60</v>
      </c>
      <c r="D113" s="18">
        <v>0</v>
      </c>
      <c r="E113" s="18">
        <v>0</v>
      </c>
      <c r="G113">
        <v>0</v>
      </c>
      <c r="H113" s="18">
        <v>0</v>
      </c>
    </row>
    <row r="114" spans="1:8" x14ac:dyDescent="0.2">
      <c r="A114" s="18" t="s">
        <v>173</v>
      </c>
      <c r="B114" s="18" t="s">
        <v>59</v>
      </c>
      <c r="C114" s="18" t="s">
        <v>60</v>
      </c>
      <c r="D114" s="18">
        <v>0</v>
      </c>
      <c r="E114" s="18">
        <v>0</v>
      </c>
      <c r="G114">
        <v>0</v>
      </c>
      <c r="H114" s="18">
        <v>0</v>
      </c>
    </row>
    <row r="115" spans="1:8" x14ac:dyDescent="0.2">
      <c r="A115" s="18" t="s">
        <v>174</v>
      </c>
      <c r="B115" s="18" t="s">
        <v>59</v>
      </c>
      <c r="C115" s="18" t="s">
        <v>60</v>
      </c>
      <c r="D115" s="18">
        <v>0</v>
      </c>
      <c r="E115" s="18">
        <v>0</v>
      </c>
      <c r="G115">
        <v>0</v>
      </c>
      <c r="H115" s="18">
        <v>0</v>
      </c>
    </row>
    <row r="116" spans="1:8" x14ac:dyDescent="0.2">
      <c r="A116" s="18" t="s">
        <v>175</v>
      </c>
      <c r="B116" s="18" t="s">
        <v>59</v>
      </c>
      <c r="C116" s="18" t="s">
        <v>60</v>
      </c>
      <c r="D116" s="18">
        <v>0</v>
      </c>
      <c r="E116" s="18">
        <v>0</v>
      </c>
      <c r="G116">
        <v>0</v>
      </c>
      <c r="H116" s="18">
        <v>0</v>
      </c>
    </row>
    <row r="117" spans="1:8" x14ac:dyDescent="0.2">
      <c r="A117" s="18" t="s">
        <v>176</v>
      </c>
      <c r="B117" s="18" t="s">
        <v>59</v>
      </c>
      <c r="C117" s="18" t="s">
        <v>63</v>
      </c>
      <c r="D117" s="18">
        <v>0</v>
      </c>
      <c r="E117" s="18">
        <v>0</v>
      </c>
      <c r="G117">
        <v>0</v>
      </c>
      <c r="H117" s="18">
        <v>0</v>
      </c>
    </row>
    <row r="118" spans="1:8" x14ac:dyDescent="0.2">
      <c r="A118" s="18" t="s">
        <v>177</v>
      </c>
      <c r="B118" s="18" t="s">
        <v>59</v>
      </c>
      <c r="C118" s="18" t="s">
        <v>60</v>
      </c>
      <c r="D118" s="18">
        <v>0</v>
      </c>
      <c r="E118" s="18">
        <v>0</v>
      </c>
      <c r="G118">
        <v>0</v>
      </c>
      <c r="H118" s="18">
        <v>0</v>
      </c>
    </row>
    <row r="119" spans="1:8" x14ac:dyDescent="0.2">
      <c r="A119" s="18" t="s">
        <v>178</v>
      </c>
      <c r="B119" s="18" t="s">
        <v>59</v>
      </c>
      <c r="C119" s="18" t="s">
        <v>63</v>
      </c>
      <c r="D119" s="18">
        <v>1</v>
      </c>
      <c r="E119" s="18">
        <v>2758.92</v>
      </c>
      <c r="G119">
        <v>0</v>
      </c>
      <c r="H119" s="18">
        <v>6506.37</v>
      </c>
    </row>
    <row r="120" spans="1:8" x14ac:dyDescent="0.2">
      <c r="A120" s="18" t="s">
        <v>179</v>
      </c>
      <c r="B120" s="18" t="s">
        <v>59</v>
      </c>
      <c r="C120" s="18" t="s">
        <v>63</v>
      </c>
      <c r="D120" s="18">
        <v>0</v>
      </c>
      <c r="E120" s="18">
        <v>0</v>
      </c>
      <c r="G120">
        <v>0</v>
      </c>
      <c r="H120" s="18">
        <v>0</v>
      </c>
    </row>
    <row r="121" spans="1:8" x14ac:dyDescent="0.2">
      <c r="A121" s="18" t="s">
        <v>180</v>
      </c>
      <c r="B121" s="18" t="s">
        <v>59</v>
      </c>
      <c r="C121" s="18" t="s">
        <v>63</v>
      </c>
      <c r="D121" s="18">
        <v>0</v>
      </c>
      <c r="E121" s="18">
        <v>0</v>
      </c>
      <c r="G121">
        <v>2758.92</v>
      </c>
      <c r="H121" s="18">
        <v>0</v>
      </c>
    </row>
    <row r="122" spans="1:8" x14ac:dyDescent="0.2">
      <c r="A122" s="18" t="s">
        <v>181</v>
      </c>
      <c r="B122" s="18" t="s">
        <v>59</v>
      </c>
      <c r="C122" s="18" t="s">
        <v>63</v>
      </c>
      <c r="D122" s="18">
        <v>0</v>
      </c>
      <c r="E122" s="18">
        <v>0</v>
      </c>
      <c r="G122">
        <v>0</v>
      </c>
      <c r="H122" s="18">
        <v>0</v>
      </c>
    </row>
    <row r="123" spans="1:8" x14ac:dyDescent="0.2">
      <c r="A123" s="18" t="s">
        <v>182</v>
      </c>
      <c r="B123" s="18" t="s">
        <v>59</v>
      </c>
      <c r="C123" s="18" t="s">
        <v>63</v>
      </c>
      <c r="D123" s="18">
        <v>1</v>
      </c>
      <c r="E123" s="18">
        <v>4076.96</v>
      </c>
      <c r="G123">
        <v>0</v>
      </c>
      <c r="H123" s="18">
        <v>0</v>
      </c>
    </row>
    <row r="124" spans="1:8" x14ac:dyDescent="0.2">
      <c r="A124" s="18" t="s">
        <v>183</v>
      </c>
      <c r="B124" s="18" t="s">
        <v>59</v>
      </c>
      <c r="C124" s="18" t="s">
        <v>60</v>
      </c>
      <c r="D124" s="18">
        <v>0</v>
      </c>
      <c r="E124" s="18">
        <v>0</v>
      </c>
      <c r="G124">
        <v>0</v>
      </c>
      <c r="H124" s="18">
        <v>0</v>
      </c>
    </row>
    <row r="125" spans="1:8" x14ac:dyDescent="0.2">
      <c r="A125" s="18" t="s">
        <v>184</v>
      </c>
      <c r="B125" s="18" t="s">
        <v>59</v>
      </c>
      <c r="C125" s="18" t="s">
        <v>60</v>
      </c>
      <c r="D125" s="18">
        <v>0</v>
      </c>
      <c r="E125" s="18">
        <v>0</v>
      </c>
      <c r="G125">
        <v>4076.96</v>
      </c>
      <c r="H125" s="18">
        <v>0</v>
      </c>
    </row>
    <row r="126" spans="1:8" x14ac:dyDescent="0.2">
      <c r="A126" s="18" t="s">
        <v>185</v>
      </c>
      <c r="B126" s="18" t="s">
        <v>59</v>
      </c>
      <c r="C126" s="18" t="s">
        <v>63</v>
      </c>
      <c r="D126" s="18">
        <v>0</v>
      </c>
      <c r="E126" s="18">
        <v>0</v>
      </c>
      <c r="G126">
        <v>0</v>
      </c>
      <c r="H126" s="18">
        <v>0</v>
      </c>
    </row>
    <row r="127" spans="1:8" x14ac:dyDescent="0.2">
      <c r="A127" s="18" t="s">
        <v>186</v>
      </c>
      <c r="B127" s="18" t="s">
        <v>59</v>
      </c>
      <c r="C127" s="18" t="s">
        <v>60</v>
      </c>
      <c r="D127" s="18">
        <v>0</v>
      </c>
      <c r="E127" s="18">
        <v>0</v>
      </c>
      <c r="G127">
        <v>0</v>
      </c>
      <c r="H127" s="18">
        <v>4034.63</v>
      </c>
    </row>
    <row r="128" spans="1:8" x14ac:dyDescent="0.2">
      <c r="A128" s="18" t="s">
        <v>187</v>
      </c>
      <c r="B128" s="18" t="s">
        <v>59</v>
      </c>
      <c r="C128" s="18" t="s">
        <v>63</v>
      </c>
      <c r="D128" s="18">
        <v>0</v>
      </c>
      <c r="E128" s="18">
        <v>0</v>
      </c>
      <c r="G128">
        <v>0</v>
      </c>
      <c r="H128" s="18">
        <v>0</v>
      </c>
    </row>
    <row r="129" spans="1:8" x14ac:dyDescent="0.2">
      <c r="A129" s="18" t="s">
        <v>188</v>
      </c>
      <c r="B129" s="18" t="s">
        <v>59</v>
      </c>
      <c r="C129" s="18" t="s">
        <v>63</v>
      </c>
      <c r="D129" s="18">
        <v>0</v>
      </c>
      <c r="E129" s="18">
        <v>0</v>
      </c>
      <c r="G129">
        <v>0</v>
      </c>
      <c r="H129" s="18">
        <v>0</v>
      </c>
    </row>
    <row r="130" spans="1:8" x14ac:dyDescent="0.2">
      <c r="A130" s="18" t="s">
        <v>189</v>
      </c>
      <c r="B130" s="18" t="s">
        <v>59</v>
      </c>
      <c r="C130" s="18" t="s">
        <v>63</v>
      </c>
      <c r="D130" s="18">
        <v>0</v>
      </c>
      <c r="E130" s="18">
        <v>0</v>
      </c>
      <c r="G130">
        <v>0</v>
      </c>
      <c r="H130" s="18">
        <v>4686.18</v>
      </c>
    </row>
    <row r="131" spans="1:8" x14ac:dyDescent="0.2">
      <c r="A131" s="18" t="s">
        <v>190</v>
      </c>
      <c r="B131" s="18" t="s">
        <v>59</v>
      </c>
      <c r="C131" s="18" t="s">
        <v>63</v>
      </c>
      <c r="D131" s="18">
        <v>0</v>
      </c>
      <c r="E131" s="18">
        <v>0</v>
      </c>
      <c r="G131">
        <v>0</v>
      </c>
      <c r="H131" s="18">
        <v>0</v>
      </c>
    </row>
    <row r="132" spans="1:8" x14ac:dyDescent="0.2">
      <c r="A132" s="18" t="s">
        <v>191</v>
      </c>
      <c r="B132" s="18" t="s">
        <v>59</v>
      </c>
      <c r="C132" s="18" t="s">
        <v>63</v>
      </c>
      <c r="D132" s="18">
        <v>0</v>
      </c>
      <c r="E132" s="18">
        <v>0</v>
      </c>
      <c r="G132">
        <v>0</v>
      </c>
      <c r="H132" s="18">
        <v>5354.33</v>
      </c>
    </row>
    <row r="133" spans="1:8" x14ac:dyDescent="0.2">
      <c r="A133" s="18" t="s">
        <v>192</v>
      </c>
      <c r="B133" s="18" t="s">
        <v>59</v>
      </c>
      <c r="C133" s="18" t="s">
        <v>60</v>
      </c>
      <c r="D133" s="18">
        <v>1</v>
      </c>
      <c r="E133" s="18">
        <v>3948.31</v>
      </c>
      <c r="G133">
        <v>0</v>
      </c>
      <c r="H133" s="18">
        <v>0</v>
      </c>
    </row>
    <row r="134" spans="1:8" x14ac:dyDescent="0.2">
      <c r="A134" s="18" t="s">
        <v>193</v>
      </c>
      <c r="B134" s="18" t="s">
        <v>59</v>
      </c>
      <c r="C134" s="18" t="s">
        <v>63</v>
      </c>
      <c r="D134" s="18">
        <v>1</v>
      </c>
      <c r="E134" s="18">
        <v>3235.34</v>
      </c>
      <c r="G134">
        <v>0</v>
      </c>
      <c r="H134" s="18">
        <v>0</v>
      </c>
    </row>
    <row r="135" spans="1:8" x14ac:dyDescent="0.2">
      <c r="A135" s="18" t="s">
        <v>194</v>
      </c>
      <c r="B135" s="18" t="s">
        <v>59</v>
      </c>
      <c r="C135" s="18" t="s">
        <v>60</v>
      </c>
      <c r="D135" s="18">
        <v>0</v>
      </c>
      <c r="E135" s="18">
        <v>0</v>
      </c>
      <c r="G135">
        <v>3948.31</v>
      </c>
      <c r="H135" s="18">
        <v>0</v>
      </c>
    </row>
    <row r="136" spans="1:8" x14ac:dyDescent="0.2">
      <c r="A136" s="18" t="s">
        <v>195</v>
      </c>
      <c r="B136" s="18" t="s">
        <v>59</v>
      </c>
      <c r="C136" s="18" t="s">
        <v>60</v>
      </c>
      <c r="D136" s="18">
        <v>0</v>
      </c>
      <c r="E136" s="18">
        <v>0</v>
      </c>
      <c r="G136">
        <v>3235.34</v>
      </c>
      <c r="H136" s="18">
        <v>0</v>
      </c>
    </row>
    <row r="137" spans="1:8" x14ac:dyDescent="0.2">
      <c r="A137" s="18" t="s">
        <v>196</v>
      </c>
      <c r="B137" s="18" t="s">
        <v>59</v>
      </c>
      <c r="C137" s="18" t="s">
        <v>63</v>
      </c>
      <c r="D137" s="18">
        <v>0</v>
      </c>
      <c r="E137" s="18">
        <v>0</v>
      </c>
      <c r="G137">
        <v>0</v>
      </c>
      <c r="H137" s="18">
        <v>0</v>
      </c>
    </row>
    <row r="138" spans="1:8" x14ac:dyDescent="0.2">
      <c r="A138" s="18" t="s">
        <v>197</v>
      </c>
      <c r="B138" s="18" t="s">
        <v>59</v>
      </c>
      <c r="C138" s="18" t="s">
        <v>60</v>
      </c>
      <c r="D138" s="18">
        <v>0</v>
      </c>
      <c r="E138" s="18">
        <v>0</v>
      </c>
      <c r="G138">
        <v>0</v>
      </c>
      <c r="H138" s="18">
        <v>2773.03</v>
      </c>
    </row>
    <row r="139" spans="1:8" x14ac:dyDescent="0.2">
      <c r="A139" s="18" t="s">
        <v>198</v>
      </c>
      <c r="B139" s="18" t="s">
        <v>59</v>
      </c>
      <c r="C139" s="18" t="s">
        <v>63</v>
      </c>
      <c r="D139" s="18">
        <v>0</v>
      </c>
      <c r="E139" s="18">
        <v>0</v>
      </c>
      <c r="G139">
        <v>0</v>
      </c>
      <c r="H139" s="18">
        <v>7167.05</v>
      </c>
    </row>
    <row r="140" spans="1:8" x14ac:dyDescent="0.2">
      <c r="A140" s="18" t="s">
        <v>199</v>
      </c>
      <c r="B140" s="18" t="s">
        <v>59</v>
      </c>
      <c r="C140" s="18" t="s">
        <v>63</v>
      </c>
      <c r="D140" s="18">
        <v>0</v>
      </c>
      <c r="E140" s="18">
        <v>0</v>
      </c>
      <c r="G140">
        <v>0</v>
      </c>
      <c r="H140" s="18">
        <v>4886.21</v>
      </c>
    </row>
    <row r="141" spans="1:8" x14ac:dyDescent="0.2">
      <c r="A141" s="18" t="s">
        <v>200</v>
      </c>
      <c r="B141" s="18" t="s">
        <v>59</v>
      </c>
      <c r="C141" s="18" t="s">
        <v>60</v>
      </c>
      <c r="D141" s="18">
        <v>0</v>
      </c>
      <c r="E141" s="18">
        <v>0</v>
      </c>
      <c r="G141">
        <v>0</v>
      </c>
      <c r="H141" s="18">
        <v>0</v>
      </c>
    </row>
    <row r="142" spans="1:8" x14ac:dyDescent="0.2">
      <c r="A142" s="18" t="s">
        <v>201</v>
      </c>
      <c r="B142" s="18" t="s">
        <v>59</v>
      </c>
      <c r="C142" s="18" t="s">
        <v>63</v>
      </c>
      <c r="D142" s="18">
        <v>0</v>
      </c>
      <c r="E142" s="18">
        <v>0</v>
      </c>
      <c r="G142">
        <v>0</v>
      </c>
      <c r="H142" s="18">
        <v>0</v>
      </c>
    </row>
    <row r="143" spans="1:8" x14ac:dyDescent="0.2">
      <c r="A143" s="18" t="s">
        <v>202</v>
      </c>
      <c r="B143" s="18" t="s">
        <v>59</v>
      </c>
      <c r="C143" s="18" t="s">
        <v>60</v>
      </c>
      <c r="D143" s="18">
        <v>0</v>
      </c>
      <c r="E143" s="18">
        <v>0</v>
      </c>
      <c r="G143">
        <v>0</v>
      </c>
      <c r="H143" s="18">
        <v>0</v>
      </c>
    </row>
    <row r="144" spans="1:8" x14ac:dyDescent="0.2">
      <c r="A144" s="18" t="s">
        <v>203</v>
      </c>
      <c r="B144" s="18" t="s">
        <v>59</v>
      </c>
      <c r="C144" s="18" t="s">
        <v>63</v>
      </c>
      <c r="D144" s="18">
        <v>0</v>
      </c>
      <c r="E144" s="18">
        <v>0</v>
      </c>
      <c r="G144">
        <v>0</v>
      </c>
      <c r="H144" s="18">
        <v>4655.47</v>
      </c>
    </row>
    <row r="145" spans="1:8" x14ac:dyDescent="0.2">
      <c r="A145" s="18" t="s">
        <v>204</v>
      </c>
      <c r="B145" s="18" t="s">
        <v>59</v>
      </c>
      <c r="C145" s="18" t="s">
        <v>63</v>
      </c>
      <c r="D145" s="18">
        <v>0</v>
      </c>
      <c r="E145" s="18">
        <v>0</v>
      </c>
      <c r="G145">
        <v>0</v>
      </c>
      <c r="H145" s="18">
        <v>0</v>
      </c>
    </row>
    <row r="146" spans="1:8" x14ac:dyDescent="0.2">
      <c r="A146" s="18" t="s">
        <v>205</v>
      </c>
      <c r="B146" s="18" t="s">
        <v>59</v>
      </c>
      <c r="C146" s="18" t="s">
        <v>63</v>
      </c>
      <c r="D146" s="18">
        <v>0</v>
      </c>
      <c r="E146" s="18">
        <v>0</v>
      </c>
      <c r="G146">
        <v>0</v>
      </c>
      <c r="H146" s="18">
        <v>0</v>
      </c>
    </row>
    <row r="147" spans="1:8" x14ac:dyDescent="0.2">
      <c r="A147" s="18" t="s">
        <v>206</v>
      </c>
      <c r="B147" s="18" t="s">
        <v>59</v>
      </c>
      <c r="C147" s="18" t="s">
        <v>63</v>
      </c>
      <c r="D147" s="18">
        <v>0</v>
      </c>
      <c r="E147" s="18">
        <v>0</v>
      </c>
      <c r="G147">
        <v>0</v>
      </c>
      <c r="H147" s="18">
        <v>0</v>
      </c>
    </row>
    <row r="148" spans="1:8" x14ac:dyDescent="0.2">
      <c r="A148" s="18" t="s">
        <v>207</v>
      </c>
      <c r="B148" s="18" t="s">
        <v>59</v>
      </c>
      <c r="C148" s="18" t="s">
        <v>63</v>
      </c>
      <c r="D148" s="18">
        <v>0</v>
      </c>
      <c r="E148" s="18">
        <v>0</v>
      </c>
      <c r="G148">
        <v>0</v>
      </c>
      <c r="H148" s="18">
        <v>0</v>
      </c>
    </row>
    <row r="149" spans="1:8" x14ac:dyDescent="0.2">
      <c r="A149" s="18" t="s">
        <v>208</v>
      </c>
      <c r="B149" s="18" t="s">
        <v>59</v>
      </c>
      <c r="C149" s="18" t="s">
        <v>60</v>
      </c>
      <c r="D149" s="18">
        <v>1</v>
      </c>
      <c r="E149" s="18">
        <v>5338.56</v>
      </c>
      <c r="G149">
        <v>0</v>
      </c>
      <c r="H149" s="18">
        <v>0</v>
      </c>
    </row>
    <row r="150" spans="1:8" x14ac:dyDescent="0.2">
      <c r="A150" s="18" t="s">
        <v>209</v>
      </c>
      <c r="B150" s="18" t="s">
        <v>59</v>
      </c>
      <c r="C150" s="18" t="s">
        <v>60</v>
      </c>
      <c r="D150" s="18">
        <v>0</v>
      </c>
      <c r="E150" s="18">
        <v>0</v>
      </c>
      <c r="G150">
        <v>0</v>
      </c>
      <c r="H150" s="18">
        <v>5594.2</v>
      </c>
    </row>
    <row r="151" spans="1:8" x14ac:dyDescent="0.2">
      <c r="A151" s="18" t="s">
        <v>210</v>
      </c>
      <c r="B151" s="18" t="s">
        <v>59</v>
      </c>
      <c r="C151" s="18" t="s">
        <v>60</v>
      </c>
      <c r="D151" s="18">
        <v>0</v>
      </c>
      <c r="E151" s="18">
        <v>0</v>
      </c>
      <c r="G151">
        <v>5338.56</v>
      </c>
      <c r="H151" s="18">
        <v>0</v>
      </c>
    </row>
    <row r="152" spans="1:8" x14ac:dyDescent="0.2">
      <c r="A152" s="18" t="s">
        <v>211</v>
      </c>
      <c r="B152" s="18" t="s">
        <v>59</v>
      </c>
      <c r="C152" s="18" t="s">
        <v>60</v>
      </c>
      <c r="D152" s="18">
        <v>0</v>
      </c>
      <c r="E152" s="18">
        <v>0</v>
      </c>
      <c r="G152">
        <v>0</v>
      </c>
      <c r="H152" s="18">
        <v>6048.21</v>
      </c>
    </row>
    <row r="153" spans="1:8" x14ac:dyDescent="0.2">
      <c r="A153" s="18" t="s">
        <v>212</v>
      </c>
      <c r="B153" s="18" t="s">
        <v>59</v>
      </c>
      <c r="C153" s="18" t="s">
        <v>60</v>
      </c>
      <c r="D153" s="18">
        <v>0</v>
      </c>
      <c r="E153" s="18">
        <v>0</v>
      </c>
      <c r="G153">
        <v>0</v>
      </c>
      <c r="H153" s="18">
        <v>0</v>
      </c>
    </row>
    <row r="154" spans="1:8" x14ac:dyDescent="0.2">
      <c r="A154" s="18" t="s">
        <v>213</v>
      </c>
      <c r="B154" s="18" t="s">
        <v>59</v>
      </c>
      <c r="C154" s="18" t="s">
        <v>60</v>
      </c>
      <c r="D154" s="18">
        <v>0</v>
      </c>
      <c r="E154" s="18">
        <v>0</v>
      </c>
      <c r="G154">
        <v>0</v>
      </c>
      <c r="H154" s="18">
        <v>4810.68</v>
      </c>
    </row>
    <row r="155" spans="1:8" x14ac:dyDescent="0.2">
      <c r="A155" s="18" t="s">
        <v>214</v>
      </c>
      <c r="B155" s="18" t="s">
        <v>59</v>
      </c>
      <c r="C155" s="18" t="s">
        <v>60</v>
      </c>
      <c r="D155" s="18">
        <v>1</v>
      </c>
      <c r="E155" s="18">
        <v>6520.48</v>
      </c>
      <c r="G155">
        <v>0</v>
      </c>
      <c r="H155" s="18">
        <v>0</v>
      </c>
    </row>
    <row r="156" spans="1:8" x14ac:dyDescent="0.2">
      <c r="A156" s="18" t="s">
        <v>215</v>
      </c>
      <c r="B156" s="18" t="s">
        <v>59</v>
      </c>
      <c r="C156" s="18" t="s">
        <v>63</v>
      </c>
      <c r="D156" s="18">
        <v>0</v>
      </c>
      <c r="E156" s="18">
        <v>0</v>
      </c>
      <c r="G156">
        <v>0</v>
      </c>
      <c r="H156" s="18">
        <v>0</v>
      </c>
    </row>
    <row r="157" spans="1:8" x14ac:dyDescent="0.2">
      <c r="A157" s="18" t="s">
        <v>216</v>
      </c>
      <c r="B157" s="18" t="s">
        <v>59</v>
      </c>
      <c r="C157" s="18" t="s">
        <v>63</v>
      </c>
      <c r="D157" s="18">
        <v>0</v>
      </c>
      <c r="E157" s="18">
        <v>0</v>
      </c>
      <c r="G157">
        <v>6520.48</v>
      </c>
      <c r="H157" s="18">
        <v>0</v>
      </c>
    </row>
    <row r="158" spans="1:8" x14ac:dyDescent="0.2">
      <c r="A158" s="18" t="s">
        <v>217</v>
      </c>
      <c r="B158" s="18" t="s">
        <v>59</v>
      </c>
      <c r="C158" s="18" t="s">
        <v>63</v>
      </c>
      <c r="D158" s="18">
        <v>0</v>
      </c>
      <c r="E158" s="18">
        <v>0</v>
      </c>
      <c r="G158">
        <v>0</v>
      </c>
      <c r="H158" s="18">
        <v>5321.13</v>
      </c>
    </row>
    <row r="159" spans="1:8" x14ac:dyDescent="0.2">
      <c r="A159" s="18" t="s">
        <v>218</v>
      </c>
      <c r="B159" s="18" t="s">
        <v>59</v>
      </c>
      <c r="C159" s="18" t="s">
        <v>60</v>
      </c>
      <c r="D159" s="18">
        <v>0</v>
      </c>
      <c r="E159" s="18">
        <v>0</v>
      </c>
      <c r="G159">
        <v>0</v>
      </c>
      <c r="H159" s="18">
        <v>0</v>
      </c>
    </row>
    <row r="160" spans="1:8" x14ac:dyDescent="0.2">
      <c r="A160" s="18" t="s">
        <v>219</v>
      </c>
      <c r="B160" s="18" t="s">
        <v>59</v>
      </c>
      <c r="C160" s="18" t="s">
        <v>63</v>
      </c>
      <c r="D160" s="18">
        <v>0</v>
      </c>
      <c r="E160" s="18">
        <v>0</v>
      </c>
      <c r="G160">
        <v>0</v>
      </c>
      <c r="H160" s="18">
        <v>0</v>
      </c>
    </row>
    <row r="161" spans="1:8" x14ac:dyDescent="0.2">
      <c r="A161" s="18" t="s">
        <v>220</v>
      </c>
      <c r="B161" s="18" t="s">
        <v>59</v>
      </c>
      <c r="C161" s="18" t="s">
        <v>60</v>
      </c>
      <c r="D161" s="18">
        <v>0</v>
      </c>
      <c r="E161" s="18">
        <v>0</v>
      </c>
      <c r="G161">
        <v>0</v>
      </c>
      <c r="H161" s="18">
        <v>0</v>
      </c>
    </row>
    <row r="162" spans="1:8" x14ac:dyDescent="0.2">
      <c r="A162" s="18" t="s">
        <v>221</v>
      </c>
      <c r="B162" s="18" t="s">
        <v>59</v>
      </c>
      <c r="C162" s="18" t="s">
        <v>60</v>
      </c>
      <c r="D162" s="18">
        <v>1</v>
      </c>
      <c r="E162" s="18">
        <v>4784.12</v>
      </c>
      <c r="G162">
        <v>0</v>
      </c>
      <c r="H162" s="18">
        <v>0</v>
      </c>
    </row>
    <row r="163" spans="1:8" x14ac:dyDescent="0.2">
      <c r="A163" s="18" t="s">
        <v>222</v>
      </c>
      <c r="B163" s="18" t="s">
        <v>59</v>
      </c>
      <c r="C163" s="18" t="s">
        <v>63</v>
      </c>
      <c r="D163" s="18">
        <v>0</v>
      </c>
      <c r="E163" s="18">
        <v>0</v>
      </c>
      <c r="G163">
        <v>0</v>
      </c>
      <c r="H163" s="18">
        <v>2545.61</v>
      </c>
    </row>
    <row r="164" spans="1:8" x14ac:dyDescent="0.2">
      <c r="A164" s="18" t="s">
        <v>223</v>
      </c>
      <c r="B164" s="18" t="s">
        <v>59</v>
      </c>
      <c r="C164" s="18" t="s">
        <v>63</v>
      </c>
      <c r="D164" s="18">
        <v>0</v>
      </c>
      <c r="E164" s="18">
        <v>0</v>
      </c>
      <c r="G164">
        <v>4784.12</v>
      </c>
      <c r="H164" s="18">
        <v>3605.52</v>
      </c>
    </row>
    <row r="165" spans="1:8" x14ac:dyDescent="0.2">
      <c r="A165" s="18" t="s">
        <v>224</v>
      </c>
      <c r="B165" s="18" t="s">
        <v>59</v>
      </c>
      <c r="C165" s="18" t="s">
        <v>63</v>
      </c>
      <c r="D165" s="18">
        <v>0</v>
      </c>
      <c r="E165" s="18">
        <v>0</v>
      </c>
      <c r="G165">
        <v>0</v>
      </c>
      <c r="H165" s="18">
        <v>5546.06</v>
      </c>
    </row>
    <row r="166" spans="1:8" x14ac:dyDescent="0.2">
      <c r="A166" s="18" t="s">
        <v>225</v>
      </c>
      <c r="B166" s="18" t="s">
        <v>59</v>
      </c>
      <c r="C166" s="18" t="s">
        <v>60</v>
      </c>
      <c r="D166" s="18">
        <v>0</v>
      </c>
      <c r="E166" s="18">
        <v>0</v>
      </c>
      <c r="G166">
        <v>0</v>
      </c>
      <c r="H166" s="18">
        <v>0</v>
      </c>
    </row>
    <row r="167" spans="1:8" x14ac:dyDescent="0.2">
      <c r="A167" s="18" t="s">
        <v>226</v>
      </c>
      <c r="B167" s="18" t="s">
        <v>59</v>
      </c>
      <c r="C167" s="18" t="s">
        <v>63</v>
      </c>
      <c r="D167" s="18">
        <v>1</v>
      </c>
      <c r="E167" s="18">
        <v>5087.8999999999996</v>
      </c>
      <c r="G167">
        <v>0</v>
      </c>
      <c r="H167" s="18">
        <v>0</v>
      </c>
    </row>
    <row r="168" spans="1:8" x14ac:dyDescent="0.2">
      <c r="A168" s="18" t="s">
        <v>227</v>
      </c>
      <c r="B168" s="18" t="s">
        <v>59</v>
      </c>
      <c r="C168" s="18" t="s">
        <v>60</v>
      </c>
      <c r="D168" s="18">
        <v>1</v>
      </c>
      <c r="E168" s="18">
        <v>3846.22</v>
      </c>
      <c r="G168">
        <v>0</v>
      </c>
      <c r="H168" s="18">
        <v>0</v>
      </c>
    </row>
    <row r="169" spans="1:8" x14ac:dyDescent="0.2">
      <c r="A169" s="18" t="s">
        <v>228</v>
      </c>
      <c r="B169" s="18" t="s">
        <v>59</v>
      </c>
      <c r="C169" s="18" t="s">
        <v>63</v>
      </c>
      <c r="D169" s="18">
        <v>0</v>
      </c>
      <c r="E169" s="18">
        <v>0</v>
      </c>
      <c r="G169">
        <v>5087.8999999999996</v>
      </c>
      <c r="H169" s="18">
        <v>0</v>
      </c>
    </row>
    <row r="170" spans="1:8" x14ac:dyDescent="0.2">
      <c r="A170" s="18" t="s">
        <v>229</v>
      </c>
      <c r="B170" s="18" t="s">
        <v>59</v>
      </c>
      <c r="C170" s="18" t="s">
        <v>63</v>
      </c>
      <c r="D170" s="18">
        <v>0</v>
      </c>
      <c r="E170" s="18">
        <v>0</v>
      </c>
      <c r="G170">
        <v>3846.22</v>
      </c>
      <c r="H170" s="18">
        <v>0</v>
      </c>
    </row>
    <row r="171" spans="1:8" x14ac:dyDescent="0.2">
      <c r="A171" s="18" t="s">
        <v>230</v>
      </c>
      <c r="B171" s="18" t="s">
        <v>59</v>
      </c>
      <c r="C171" s="18" t="s">
        <v>60</v>
      </c>
      <c r="D171" s="18">
        <v>0</v>
      </c>
      <c r="E171" s="18">
        <v>0</v>
      </c>
      <c r="G171">
        <v>0</v>
      </c>
      <c r="H171" s="18">
        <v>0</v>
      </c>
    </row>
    <row r="172" spans="1:8" x14ac:dyDescent="0.2">
      <c r="A172" s="18" t="s">
        <v>231</v>
      </c>
      <c r="B172" s="18" t="s">
        <v>59</v>
      </c>
      <c r="C172" s="18" t="s">
        <v>63</v>
      </c>
      <c r="D172" s="18">
        <v>0</v>
      </c>
      <c r="E172" s="18">
        <v>0</v>
      </c>
      <c r="G172">
        <v>0</v>
      </c>
      <c r="H172" s="18">
        <v>7222.66</v>
      </c>
    </row>
    <row r="173" spans="1:8" x14ac:dyDescent="0.2">
      <c r="A173" s="18" t="s">
        <v>232</v>
      </c>
      <c r="B173" s="18" t="s">
        <v>59</v>
      </c>
      <c r="C173" s="18" t="s">
        <v>60</v>
      </c>
      <c r="D173" s="18">
        <v>0</v>
      </c>
      <c r="E173" s="18">
        <v>0</v>
      </c>
      <c r="G173">
        <v>0</v>
      </c>
      <c r="H173" s="18">
        <v>0</v>
      </c>
    </row>
    <row r="174" spans="1:8" x14ac:dyDescent="0.2">
      <c r="A174" s="18" t="s">
        <v>233</v>
      </c>
      <c r="B174" s="18" t="s">
        <v>59</v>
      </c>
      <c r="C174" s="18" t="s">
        <v>60</v>
      </c>
      <c r="D174" s="18">
        <v>0</v>
      </c>
      <c r="E174" s="18">
        <v>0</v>
      </c>
      <c r="G174">
        <v>0</v>
      </c>
      <c r="H174" s="18">
        <v>0</v>
      </c>
    </row>
    <row r="175" spans="1:8" x14ac:dyDescent="0.2">
      <c r="A175" s="18" t="s">
        <v>234</v>
      </c>
      <c r="B175" s="18" t="s">
        <v>59</v>
      </c>
      <c r="C175" s="18" t="s">
        <v>60</v>
      </c>
      <c r="D175" s="18">
        <v>0</v>
      </c>
      <c r="E175" s="18">
        <v>0</v>
      </c>
      <c r="G175">
        <v>0</v>
      </c>
      <c r="H175" s="18">
        <v>0</v>
      </c>
    </row>
    <row r="176" spans="1:8" x14ac:dyDescent="0.2">
      <c r="A176" s="18" t="s">
        <v>235</v>
      </c>
      <c r="B176" s="18" t="s">
        <v>59</v>
      </c>
      <c r="C176" s="18" t="s">
        <v>60</v>
      </c>
      <c r="D176" s="18">
        <v>0</v>
      </c>
      <c r="E176" s="18">
        <v>0</v>
      </c>
      <c r="G176">
        <v>0</v>
      </c>
      <c r="H176" s="18">
        <v>0</v>
      </c>
    </row>
    <row r="177" spans="1:8" x14ac:dyDescent="0.2">
      <c r="A177" s="18" t="s">
        <v>236</v>
      </c>
      <c r="B177" s="18" t="s">
        <v>59</v>
      </c>
      <c r="C177" s="18" t="s">
        <v>60</v>
      </c>
      <c r="D177" s="18">
        <v>0</v>
      </c>
      <c r="E177" s="18">
        <v>0</v>
      </c>
      <c r="G177">
        <v>0</v>
      </c>
      <c r="H177" s="18">
        <v>0</v>
      </c>
    </row>
    <row r="178" spans="1:8" x14ac:dyDescent="0.2">
      <c r="A178" s="18" t="s">
        <v>237</v>
      </c>
      <c r="B178" s="18" t="s">
        <v>59</v>
      </c>
      <c r="C178" s="18" t="s">
        <v>63</v>
      </c>
      <c r="D178" s="18">
        <v>1</v>
      </c>
      <c r="E178" s="18">
        <v>4044.59</v>
      </c>
      <c r="G178">
        <v>0</v>
      </c>
      <c r="H178" s="18">
        <v>0</v>
      </c>
    </row>
    <row r="179" spans="1:8" x14ac:dyDescent="0.2">
      <c r="A179" s="18" t="s">
        <v>238</v>
      </c>
      <c r="B179" s="18" t="s">
        <v>59</v>
      </c>
      <c r="C179" s="18" t="s">
        <v>63</v>
      </c>
      <c r="D179" s="18">
        <v>0</v>
      </c>
      <c r="E179" s="18">
        <v>0</v>
      </c>
      <c r="G179">
        <v>0</v>
      </c>
      <c r="H179" s="18">
        <v>0</v>
      </c>
    </row>
    <row r="180" spans="1:8" x14ac:dyDescent="0.2">
      <c r="A180" s="18" t="s">
        <v>239</v>
      </c>
      <c r="B180" s="18" t="s">
        <v>59</v>
      </c>
      <c r="C180" s="18" t="s">
        <v>60</v>
      </c>
      <c r="D180" s="18">
        <v>1</v>
      </c>
      <c r="E180" s="18">
        <v>2675.92</v>
      </c>
      <c r="G180">
        <v>4044.59</v>
      </c>
      <c r="H180" s="18">
        <v>0</v>
      </c>
    </row>
    <row r="181" spans="1:8" x14ac:dyDescent="0.2">
      <c r="A181" s="18" t="s">
        <v>240</v>
      </c>
      <c r="B181" s="18" t="s">
        <v>59</v>
      </c>
      <c r="C181" s="18" t="s">
        <v>63</v>
      </c>
      <c r="D181" s="18">
        <v>0</v>
      </c>
      <c r="E181" s="18">
        <v>0</v>
      </c>
      <c r="G181">
        <v>0</v>
      </c>
      <c r="H181" s="18">
        <v>0</v>
      </c>
    </row>
    <row r="182" spans="1:8" x14ac:dyDescent="0.2">
      <c r="A182" s="18" t="s">
        <v>241</v>
      </c>
      <c r="B182" s="18" t="s">
        <v>59</v>
      </c>
      <c r="C182" s="18" t="s">
        <v>63</v>
      </c>
      <c r="D182" s="18">
        <v>0</v>
      </c>
      <c r="E182" s="18">
        <v>0</v>
      </c>
      <c r="G182">
        <v>2675.92</v>
      </c>
      <c r="H182" s="18">
        <v>0</v>
      </c>
    </row>
    <row r="183" spans="1:8" x14ac:dyDescent="0.2">
      <c r="A183" s="18" t="s">
        <v>242</v>
      </c>
      <c r="B183" s="18" t="s">
        <v>59</v>
      </c>
      <c r="C183" s="18" t="s">
        <v>63</v>
      </c>
      <c r="D183" s="18">
        <v>0</v>
      </c>
      <c r="E183" s="18">
        <v>0</v>
      </c>
      <c r="G183">
        <v>0</v>
      </c>
      <c r="H183" s="18">
        <v>4634.72</v>
      </c>
    </row>
    <row r="184" spans="1:8" x14ac:dyDescent="0.2">
      <c r="A184" s="18" t="s">
        <v>243</v>
      </c>
      <c r="B184" s="18" t="s">
        <v>59</v>
      </c>
      <c r="C184" s="18" t="s">
        <v>60</v>
      </c>
      <c r="D184" s="18">
        <v>0</v>
      </c>
      <c r="E184" s="18">
        <v>0</v>
      </c>
      <c r="G184">
        <v>0</v>
      </c>
      <c r="H184" s="18">
        <v>0</v>
      </c>
    </row>
    <row r="185" spans="1:8" x14ac:dyDescent="0.2">
      <c r="A185" s="18" t="s">
        <v>244</v>
      </c>
      <c r="B185" s="18" t="s">
        <v>59</v>
      </c>
      <c r="C185" s="18" t="s">
        <v>60</v>
      </c>
      <c r="D185" s="18">
        <v>0</v>
      </c>
      <c r="E185" s="18">
        <v>0</v>
      </c>
      <c r="G185">
        <v>0</v>
      </c>
      <c r="H185" s="18">
        <v>4153.32</v>
      </c>
    </row>
    <row r="186" spans="1:8" x14ac:dyDescent="0.2">
      <c r="A186" s="18" t="s">
        <v>245</v>
      </c>
      <c r="B186" s="18" t="s">
        <v>59</v>
      </c>
      <c r="C186" s="18" t="s">
        <v>63</v>
      </c>
      <c r="D186" s="18">
        <v>1</v>
      </c>
      <c r="E186" s="18">
        <v>6132.04</v>
      </c>
      <c r="G186">
        <v>0</v>
      </c>
      <c r="H186" s="18">
        <v>0</v>
      </c>
    </row>
    <row r="187" spans="1:8" x14ac:dyDescent="0.2">
      <c r="A187" s="18" t="s">
        <v>246</v>
      </c>
      <c r="B187" s="18" t="s">
        <v>59</v>
      </c>
      <c r="C187" s="18" t="s">
        <v>63</v>
      </c>
      <c r="D187" s="18">
        <v>0</v>
      </c>
      <c r="E187" s="18">
        <v>0</v>
      </c>
      <c r="G187">
        <v>0</v>
      </c>
      <c r="H187" s="18">
        <v>0</v>
      </c>
    </row>
    <row r="188" spans="1:8" x14ac:dyDescent="0.2">
      <c r="A188" s="18" t="s">
        <v>247</v>
      </c>
      <c r="B188" s="18" t="s">
        <v>59</v>
      </c>
      <c r="C188" s="18" t="s">
        <v>63</v>
      </c>
      <c r="D188" s="18">
        <v>0</v>
      </c>
      <c r="E188" s="18">
        <v>0</v>
      </c>
      <c r="G188">
        <v>6132.04</v>
      </c>
      <c r="H188" s="18">
        <v>0</v>
      </c>
    </row>
    <row r="189" spans="1:8" x14ac:dyDescent="0.2">
      <c r="A189" s="18" t="s">
        <v>248</v>
      </c>
      <c r="B189" s="18" t="s">
        <v>59</v>
      </c>
      <c r="C189" s="18" t="s">
        <v>60</v>
      </c>
      <c r="D189" s="18">
        <v>0</v>
      </c>
      <c r="E189" s="18">
        <v>0</v>
      </c>
      <c r="G189">
        <v>0</v>
      </c>
      <c r="H189" s="18">
        <v>0</v>
      </c>
    </row>
    <row r="190" spans="1:8" x14ac:dyDescent="0.2">
      <c r="A190" s="18" t="s">
        <v>249</v>
      </c>
      <c r="B190" s="18" t="s">
        <v>59</v>
      </c>
      <c r="C190" s="18" t="s">
        <v>60</v>
      </c>
      <c r="D190" s="18">
        <v>0</v>
      </c>
      <c r="E190" s="18">
        <v>0</v>
      </c>
      <c r="G190">
        <v>0</v>
      </c>
      <c r="H190" s="18">
        <v>0</v>
      </c>
    </row>
    <row r="191" spans="1:8" x14ac:dyDescent="0.2">
      <c r="A191" s="18" t="s">
        <v>250</v>
      </c>
      <c r="B191" s="18" t="s">
        <v>59</v>
      </c>
      <c r="C191" s="18" t="s">
        <v>63</v>
      </c>
      <c r="D191" s="18">
        <v>1</v>
      </c>
      <c r="E191" s="18">
        <v>2416.13</v>
      </c>
      <c r="G191">
        <v>0</v>
      </c>
      <c r="H191" s="18">
        <v>0</v>
      </c>
    </row>
    <row r="192" spans="1:8" x14ac:dyDescent="0.2">
      <c r="A192" s="18" t="s">
        <v>251</v>
      </c>
      <c r="B192" s="18" t="s">
        <v>59</v>
      </c>
      <c r="C192" s="18" t="s">
        <v>63</v>
      </c>
      <c r="D192" s="18">
        <v>0</v>
      </c>
      <c r="E192" s="18">
        <v>0</v>
      </c>
      <c r="G192">
        <v>0</v>
      </c>
      <c r="H192" s="18">
        <v>7442.61</v>
      </c>
    </row>
    <row r="193" spans="1:8" x14ac:dyDescent="0.2">
      <c r="A193" s="18" t="s">
        <v>252</v>
      </c>
      <c r="B193" s="18" t="s">
        <v>59</v>
      </c>
      <c r="C193" s="18" t="s">
        <v>63</v>
      </c>
      <c r="D193" s="18">
        <v>0</v>
      </c>
      <c r="E193" s="18">
        <v>0</v>
      </c>
      <c r="G193">
        <v>2416.13</v>
      </c>
      <c r="H193" s="18">
        <v>4326.79</v>
      </c>
    </row>
    <row r="194" spans="1:8" x14ac:dyDescent="0.2">
      <c r="A194" s="18" t="s">
        <v>253</v>
      </c>
      <c r="B194" s="18" t="s">
        <v>59</v>
      </c>
      <c r="C194" s="18" t="s">
        <v>60</v>
      </c>
      <c r="D194" s="18">
        <v>0</v>
      </c>
      <c r="E194" s="18">
        <v>0</v>
      </c>
      <c r="G194">
        <v>0</v>
      </c>
      <c r="H194" s="18">
        <v>0</v>
      </c>
    </row>
    <row r="195" spans="1:8" x14ac:dyDescent="0.2">
      <c r="A195" s="18" t="s">
        <v>254</v>
      </c>
      <c r="B195" s="18" t="s">
        <v>59</v>
      </c>
      <c r="C195" s="18" t="s">
        <v>63</v>
      </c>
      <c r="D195" s="18">
        <v>0</v>
      </c>
      <c r="E195" s="18">
        <v>0</v>
      </c>
      <c r="G195">
        <v>0</v>
      </c>
      <c r="H195" s="18">
        <v>4849.6899999999996</v>
      </c>
    </row>
    <row r="196" spans="1:8" x14ac:dyDescent="0.2">
      <c r="A196" s="18" t="s">
        <v>255</v>
      </c>
      <c r="B196" s="18" t="s">
        <v>59</v>
      </c>
      <c r="C196" s="18" t="s">
        <v>63</v>
      </c>
      <c r="D196" s="18">
        <v>1</v>
      </c>
      <c r="E196" s="18">
        <v>5659.77</v>
      </c>
      <c r="G196">
        <v>0</v>
      </c>
      <c r="H196" s="18">
        <v>0</v>
      </c>
    </row>
    <row r="197" spans="1:8" x14ac:dyDescent="0.2">
      <c r="A197" s="18" t="s">
        <v>256</v>
      </c>
      <c r="B197" s="18" t="s">
        <v>59</v>
      </c>
      <c r="C197" s="18" t="s">
        <v>60</v>
      </c>
      <c r="D197" s="18">
        <v>1</v>
      </c>
      <c r="E197" s="18">
        <v>3274.35</v>
      </c>
      <c r="G197">
        <v>0</v>
      </c>
      <c r="H197" s="18">
        <v>0</v>
      </c>
    </row>
    <row r="198" spans="1:8" x14ac:dyDescent="0.2">
      <c r="A198" s="18" t="s">
        <v>257</v>
      </c>
      <c r="B198" s="18" t="s">
        <v>59</v>
      </c>
      <c r="C198" s="18" t="s">
        <v>63</v>
      </c>
      <c r="D198" s="18">
        <v>0</v>
      </c>
      <c r="E198" s="18">
        <v>0</v>
      </c>
      <c r="G198">
        <v>5659.77</v>
      </c>
      <c r="H198" s="18">
        <v>0</v>
      </c>
    </row>
    <row r="199" spans="1:8" x14ac:dyDescent="0.2">
      <c r="A199" s="18" t="s">
        <v>258</v>
      </c>
      <c r="B199" s="18" t="s">
        <v>59</v>
      </c>
      <c r="C199" s="18" t="s">
        <v>63</v>
      </c>
      <c r="D199" s="18">
        <v>0</v>
      </c>
      <c r="E199" s="18">
        <v>0</v>
      </c>
      <c r="G199">
        <v>3274.35</v>
      </c>
      <c r="H199" s="18">
        <v>4873.76</v>
      </c>
    </row>
    <row r="200" spans="1:8" x14ac:dyDescent="0.2">
      <c r="A200" s="18" t="s">
        <v>259</v>
      </c>
      <c r="B200" s="18" t="s">
        <v>59</v>
      </c>
      <c r="C200" s="18" t="s">
        <v>63</v>
      </c>
      <c r="D200" s="18">
        <v>0</v>
      </c>
      <c r="E200" s="18">
        <v>0</v>
      </c>
      <c r="G200">
        <v>0</v>
      </c>
      <c r="H200" s="18">
        <v>0</v>
      </c>
    </row>
    <row r="201" spans="1:8" x14ac:dyDescent="0.2">
      <c r="A201" s="18" t="s">
        <v>260</v>
      </c>
      <c r="B201" s="18" t="s">
        <v>59</v>
      </c>
      <c r="C201" s="18" t="s">
        <v>63</v>
      </c>
      <c r="D201" s="18">
        <v>0</v>
      </c>
      <c r="E201" s="18">
        <v>0</v>
      </c>
      <c r="G201">
        <v>0</v>
      </c>
      <c r="H201" s="18">
        <v>0</v>
      </c>
    </row>
    <row r="202" spans="1:8" x14ac:dyDescent="0.2">
      <c r="A202" s="18" t="s">
        <v>261</v>
      </c>
      <c r="B202" s="18" t="s">
        <v>59</v>
      </c>
      <c r="C202" s="18" t="s">
        <v>63</v>
      </c>
      <c r="D202" s="18">
        <v>0</v>
      </c>
      <c r="E202" s="18">
        <v>0</v>
      </c>
      <c r="G202">
        <v>0</v>
      </c>
      <c r="H202" s="18">
        <v>0</v>
      </c>
    </row>
    <row r="203" spans="1:8" x14ac:dyDescent="0.2">
      <c r="A203" s="18" t="s">
        <v>262</v>
      </c>
      <c r="B203" s="18" t="s">
        <v>59</v>
      </c>
      <c r="C203" s="18" t="s">
        <v>60</v>
      </c>
      <c r="D203" s="18">
        <v>1</v>
      </c>
      <c r="E203" s="18">
        <v>3095.07</v>
      </c>
      <c r="G203">
        <v>0</v>
      </c>
      <c r="H203" s="18">
        <v>0</v>
      </c>
    </row>
    <row r="204" spans="1:8" x14ac:dyDescent="0.2">
      <c r="A204" s="18" t="s">
        <v>263</v>
      </c>
      <c r="B204" s="18" t="s">
        <v>59</v>
      </c>
      <c r="C204" s="18" t="s">
        <v>60</v>
      </c>
      <c r="D204" s="18">
        <v>0</v>
      </c>
      <c r="E204" s="18">
        <v>0</v>
      </c>
      <c r="G204">
        <v>0</v>
      </c>
      <c r="H204" s="18">
        <v>0</v>
      </c>
    </row>
    <row r="205" spans="1:8" x14ac:dyDescent="0.2">
      <c r="A205" s="18" t="s">
        <v>264</v>
      </c>
      <c r="B205" s="18" t="s">
        <v>59</v>
      </c>
      <c r="C205" s="18" t="s">
        <v>63</v>
      </c>
      <c r="D205" s="18">
        <v>0</v>
      </c>
      <c r="E205" s="18">
        <v>0</v>
      </c>
      <c r="G205">
        <v>3095.07</v>
      </c>
      <c r="H205" s="18">
        <v>0</v>
      </c>
    </row>
    <row r="206" spans="1:8" x14ac:dyDescent="0.2">
      <c r="A206" s="18" t="s">
        <v>265</v>
      </c>
      <c r="B206" s="18" t="s">
        <v>59</v>
      </c>
      <c r="C206" s="18" t="s">
        <v>60</v>
      </c>
      <c r="D206" s="18">
        <v>1</v>
      </c>
      <c r="E206" s="18">
        <v>6716.36</v>
      </c>
      <c r="G206">
        <v>0</v>
      </c>
      <c r="H206" s="18">
        <v>4112.6499999999996</v>
      </c>
    </row>
    <row r="207" spans="1:8" x14ac:dyDescent="0.2">
      <c r="A207" s="18" t="s">
        <v>266</v>
      </c>
      <c r="B207" s="18" t="s">
        <v>59</v>
      </c>
      <c r="C207" s="18" t="s">
        <v>60</v>
      </c>
      <c r="D207" s="18">
        <v>1</v>
      </c>
      <c r="E207" s="18">
        <v>6123.74</v>
      </c>
      <c r="G207">
        <v>0</v>
      </c>
      <c r="H207" s="18">
        <v>4237.1499999999996</v>
      </c>
    </row>
    <row r="208" spans="1:8" x14ac:dyDescent="0.2">
      <c r="A208" s="18" t="s">
        <v>267</v>
      </c>
      <c r="B208" s="18" t="s">
        <v>59</v>
      </c>
      <c r="C208" s="18" t="s">
        <v>60</v>
      </c>
      <c r="D208" s="18">
        <v>0</v>
      </c>
      <c r="E208" s="18">
        <v>0</v>
      </c>
      <c r="G208">
        <v>6716.36</v>
      </c>
      <c r="H208" s="18">
        <v>0</v>
      </c>
    </row>
    <row r="209" spans="1:8" x14ac:dyDescent="0.2">
      <c r="A209" s="18" t="s">
        <v>268</v>
      </c>
      <c r="B209" s="18" t="s">
        <v>59</v>
      </c>
      <c r="C209" s="18" t="s">
        <v>60</v>
      </c>
      <c r="D209" s="18">
        <v>0</v>
      </c>
      <c r="E209" s="18">
        <v>0</v>
      </c>
      <c r="G209">
        <v>6123.74</v>
      </c>
      <c r="H209" s="18">
        <v>6303.02</v>
      </c>
    </row>
    <row r="210" spans="1:8" x14ac:dyDescent="0.2">
      <c r="A210" s="18" t="s">
        <v>269</v>
      </c>
      <c r="B210" s="18" t="s">
        <v>59</v>
      </c>
      <c r="C210" s="18" t="s">
        <v>63</v>
      </c>
      <c r="D210" s="18">
        <v>0</v>
      </c>
      <c r="E210" s="18">
        <v>0</v>
      </c>
      <c r="G210">
        <v>0</v>
      </c>
      <c r="H210" s="18">
        <v>0</v>
      </c>
    </row>
    <row r="211" spans="1:8" x14ac:dyDescent="0.2">
      <c r="A211" s="18" t="s">
        <v>270</v>
      </c>
      <c r="B211" s="18" t="s">
        <v>59</v>
      </c>
      <c r="C211" s="18" t="s">
        <v>63</v>
      </c>
      <c r="D211" s="18">
        <v>0</v>
      </c>
      <c r="E211" s="18">
        <v>0</v>
      </c>
      <c r="G211">
        <v>0</v>
      </c>
      <c r="H211" s="18">
        <v>3078.47</v>
      </c>
    </row>
    <row r="212" spans="1:8" x14ac:dyDescent="0.2">
      <c r="A212" s="18" t="s">
        <v>271</v>
      </c>
      <c r="B212" s="18" t="s">
        <v>59</v>
      </c>
      <c r="C212" s="18" t="s">
        <v>60</v>
      </c>
      <c r="D212" s="18">
        <v>0</v>
      </c>
      <c r="E212" s="18">
        <v>0</v>
      </c>
      <c r="G212">
        <v>0</v>
      </c>
      <c r="H212" s="18">
        <v>0</v>
      </c>
    </row>
    <row r="213" spans="1:8" x14ac:dyDescent="0.2">
      <c r="A213" s="18" t="s">
        <v>272</v>
      </c>
      <c r="B213" s="18" t="s">
        <v>59</v>
      </c>
      <c r="C213" s="18" t="s">
        <v>63</v>
      </c>
      <c r="D213" s="18">
        <v>0</v>
      </c>
      <c r="E213" s="18">
        <v>0</v>
      </c>
      <c r="G213">
        <v>0</v>
      </c>
      <c r="H213" s="18">
        <v>0</v>
      </c>
    </row>
    <row r="214" spans="1:8" x14ac:dyDescent="0.2">
      <c r="A214" s="18" t="s">
        <v>273</v>
      </c>
      <c r="B214" s="18" t="s">
        <v>59</v>
      </c>
      <c r="C214" s="18" t="s">
        <v>60</v>
      </c>
      <c r="D214" s="18">
        <v>1</v>
      </c>
      <c r="E214" s="18">
        <v>5512.86</v>
      </c>
      <c r="G214">
        <v>0</v>
      </c>
      <c r="H214" s="18">
        <v>0</v>
      </c>
    </row>
    <row r="215" spans="1:8" x14ac:dyDescent="0.2">
      <c r="A215" s="18" t="s">
        <v>274</v>
      </c>
      <c r="B215" s="18" t="s">
        <v>59</v>
      </c>
      <c r="C215" s="18" t="s">
        <v>63</v>
      </c>
      <c r="D215" s="18">
        <v>0</v>
      </c>
      <c r="E215" s="18">
        <v>0</v>
      </c>
      <c r="G215">
        <v>0</v>
      </c>
      <c r="H215" s="18">
        <v>0</v>
      </c>
    </row>
    <row r="216" spans="1:8" x14ac:dyDescent="0.2">
      <c r="A216" s="18" t="s">
        <v>275</v>
      </c>
      <c r="B216" s="18" t="s">
        <v>59</v>
      </c>
      <c r="C216" s="18" t="s">
        <v>63</v>
      </c>
      <c r="D216" s="18">
        <v>0</v>
      </c>
      <c r="E216" s="18">
        <v>0</v>
      </c>
      <c r="G216">
        <v>5512.86</v>
      </c>
      <c r="H216" s="18">
        <v>0</v>
      </c>
    </row>
    <row r="217" spans="1:8" x14ac:dyDescent="0.2">
      <c r="A217" s="18" t="s">
        <v>276</v>
      </c>
      <c r="B217" s="18" t="s">
        <v>59</v>
      </c>
      <c r="C217" s="18" t="s">
        <v>60</v>
      </c>
      <c r="D217" s="18">
        <v>1</v>
      </c>
      <c r="E217" s="18">
        <v>3686.03</v>
      </c>
      <c r="G217">
        <v>0</v>
      </c>
      <c r="H217" s="18">
        <v>0</v>
      </c>
    </row>
    <row r="218" spans="1:8" x14ac:dyDescent="0.2">
      <c r="A218" s="18" t="s">
        <v>277</v>
      </c>
      <c r="B218" s="18" t="s">
        <v>59</v>
      </c>
      <c r="C218" s="18" t="s">
        <v>63</v>
      </c>
      <c r="D218" s="18">
        <v>0</v>
      </c>
      <c r="E218" s="18">
        <v>0</v>
      </c>
      <c r="G218">
        <v>0</v>
      </c>
      <c r="H218" s="18">
        <v>0</v>
      </c>
    </row>
    <row r="219" spans="1:8" x14ac:dyDescent="0.2">
      <c r="A219" s="18" t="s">
        <v>278</v>
      </c>
      <c r="B219" s="18" t="s">
        <v>59</v>
      </c>
      <c r="C219" s="18" t="s">
        <v>63</v>
      </c>
      <c r="D219" s="18">
        <v>0</v>
      </c>
      <c r="E219" s="18">
        <v>0</v>
      </c>
      <c r="G219">
        <v>3686.03</v>
      </c>
      <c r="H219" s="18">
        <v>0</v>
      </c>
    </row>
    <row r="220" spans="1:8" x14ac:dyDescent="0.2">
      <c r="A220" s="18" t="s">
        <v>279</v>
      </c>
      <c r="B220" s="18" t="s">
        <v>59</v>
      </c>
      <c r="C220" s="18" t="s">
        <v>63</v>
      </c>
      <c r="D220" s="18">
        <v>1</v>
      </c>
      <c r="E220" s="18">
        <v>5143.51</v>
      </c>
      <c r="G220">
        <v>0</v>
      </c>
      <c r="H220" s="18">
        <v>4549.2299999999996</v>
      </c>
    </row>
    <row r="221" spans="1:8" x14ac:dyDescent="0.2">
      <c r="A221" s="18" t="s">
        <v>280</v>
      </c>
      <c r="B221" s="18" t="s">
        <v>59</v>
      </c>
      <c r="C221" s="18" t="s">
        <v>60</v>
      </c>
      <c r="D221" s="18">
        <v>0</v>
      </c>
      <c r="E221" s="18">
        <v>0</v>
      </c>
      <c r="G221">
        <v>0</v>
      </c>
      <c r="H221" s="18">
        <v>0</v>
      </c>
    </row>
    <row r="222" spans="1:8" x14ac:dyDescent="0.2">
      <c r="A222" s="18" t="s">
        <v>281</v>
      </c>
      <c r="B222" s="18" t="s">
        <v>59</v>
      </c>
      <c r="C222" s="18" t="s">
        <v>60</v>
      </c>
      <c r="D222" s="18">
        <v>0</v>
      </c>
      <c r="E222" s="18">
        <v>0</v>
      </c>
      <c r="G222">
        <v>5143.51</v>
      </c>
      <c r="H222" s="18">
        <v>0</v>
      </c>
    </row>
    <row r="223" spans="1:8" x14ac:dyDescent="0.2">
      <c r="A223" s="18" t="s">
        <v>282</v>
      </c>
      <c r="B223" s="18" t="s">
        <v>59</v>
      </c>
      <c r="C223" s="18" t="s">
        <v>63</v>
      </c>
      <c r="D223" s="18">
        <v>0</v>
      </c>
      <c r="E223" s="18">
        <v>0</v>
      </c>
      <c r="G223">
        <v>0</v>
      </c>
      <c r="H223" s="18">
        <v>0</v>
      </c>
    </row>
    <row r="224" spans="1:8" x14ac:dyDescent="0.2">
      <c r="A224" s="18" t="s">
        <v>283</v>
      </c>
      <c r="B224" s="18" t="s">
        <v>59</v>
      </c>
      <c r="C224" s="18" t="s">
        <v>63</v>
      </c>
      <c r="D224" s="18">
        <v>0</v>
      </c>
      <c r="E224" s="18">
        <v>0</v>
      </c>
      <c r="G224">
        <v>0</v>
      </c>
      <c r="H224" s="18">
        <v>0</v>
      </c>
    </row>
    <row r="225" spans="1:8" x14ac:dyDescent="0.2">
      <c r="A225" s="18" t="s">
        <v>284</v>
      </c>
      <c r="B225" s="18" t="s">
        <v>59</v>
      </c>
      <c r="C225" s="18" t="s">
        <v>63</v>
      </c>
      <c r="D225" s="18">
        <v>0</v>
      </c>
      <c r="E225" s="18">
        <v>0</v>
      </c>
      <c r="G225">
        <v>0</v>
      </c>
      <c r="H225" s="18">
        <v>0</v>
      </c>
    </row>
    <row r="226" spans="1:8" x14ac:dyDescent="0.2">
      <c r="A226" s="18" t="s">
        <v>285</v>
      </c>
      <c r="B226" s="18" t="s">
        <v>59</v>
      </c>
      <c r="C226" s="18" t="s">
        <v>60</v>
      </c>
      <c r="D226" s="18">
        <v>0</v>
      </c>
      <c r="E226" s="18">
        <v>0</v>
      </c>
      <c r="G226">
        <v>0</v>
      </c>
      <c r="H226" s="18">
        <v>6444.95</v>
      </c>
    </row>
    <row r="227" spans="1:8" x14ac:dyDescent="0.2">
      <c r="A227" s="18" t="s">
        <v>286</v>
      </c>
      <c r="B227" s="18" t="s">
        <v>59</v>
      </c>
      <c r="C227" s="18" t="s">
        <v>63</v>
      </c>
      <c r="D227" s="18">
        <v>0</v>
      </c>
      <c r="E227" s="18">
        <v>0</v>
      </c>
      <c r="G227">
        <v>0</v>
      </c>
      <c r="H227" s="18">
        <v>0</v>
      </c>
    </row>
    <row r="228" spans="1:8" x14ac:dyDescent="0.2">
      <c r="A228" s="18" t="s">
        <v>287</v>
      </c>
      <c r="B228" s="18" t="s">
        <v>59</v>
      </c>
      <c r="C228" s="18" t="s">
        <v>60</v>
      </c>
      <c r="D228" s="18">
        <v>0</v>
      </c>
      <c r="E228" s="18">
        <v>0</v>
      </c>
      <c r="G228">
        <v>0</v>
      </c>
      <c r="H228" s="18">
        <v>0</v>
      </c>
    </row>
    <row r="229" spans="1:8" x14ac:dyDescent="0.2">
      <c r="A229" s="18" t="s">
        <v>288</v>
      </c>
      <c r="B229" s="18" t="s">
        <v>59</v>
      </c>
      <c r="C229" s="18" t="s">
        <v>63</v>
      </c>
      <c r="D229" s="18">
        <v>0</v>
      </c>
      <c r="E229" s="18">
        <v>0</v>
      </c>
      <c r="G229">
        <v>0</v>
      </c>
      <c r="H229" s="18">
        <v>4007.24</v>
      </c>
    </row>
    <row r="230" spans="1:8" x14ac:dyDescent="0.2">
      <c r="A230" s="18" t="s">
        <v>289</v>
      </c>
      <c r="B230" s="18" t="s">
        <v>59</v>
      </c>
      <c r="C230" s="18" t="s">
        <v>60</v>
      </c>
      <c r="D230" s="18">
        <v>0</v>
      </c>
      <c r="E230" s="18">
        <v>0</v>
      </c>
      <c r="G230">
        <v>0</v>
      </c>
      <c r="H230" s="18">
        <v>7053.34</v>
      </c>
    </row>
    <row r="231" spans="1:8" x14ac:dyDescent="0.2">
      <c r="A231" s="18" t="s">
        <v>290</v>
      </c>
      <c r="B231" s="18" t="s">
        <v>59</v>
      </c>
      <c r="C231" s="18" t="s">
        <v>63</v>
      </c>
      <c r="D231" s="18">
        <v>0</v>
      </c>
      <c r="E231" s="18">
        <v>0</v>
      </c>
      <c r="G231">
        <v>0</v>
      </c>
      <c r="H231" s="18">
        <v>7957.21</v>
      </c>
    </row>
    <row r="232" spans="1:8" x14ac:dyDescent="0.2">
      <c r="A232" s="18" t="s">
        <v>291</v>
      </c>
      <c r="B232" s="18" t="s">
        <v>59</v>
      </c>
      <c r="C232" s="18" t="s">
        <v>63</v>
      </c>
      <c r="D232" s="18">
        <v>1</v>
      </c>
      <c r="E232" s="18">
        <v>3993.96</v>
      </c>
      <c r="G232">
        <v>0</v>
      </c>
      <c r="H232" s="18">
        <v>5884.7</v>
      </c>
    </row>
    <row r="233" spans="1:8" x14ac:dyDescent="0.2">
      <c r="A233" s="18" t="s">
        <v>292</v>
      </c>
      <c r="B233" s="18" t="s">
        <v>59</v>
      </c>
      <c r="C233" s="18" t="s">
        <v>63</v>
      </c>
      <c r="D233" s="18">
        <v>0</v>
      </c>
      <c r="E233" s="18">
        <v>0</v>
      </c>
      <c r="G233">
        <v>0</v>
      </c>
      <c r="H233" s="18">
        <v>0</v>
      </c>
    </row>
    <row r="234" spans="1:8" x14ac:dyDescent="0.2">
      <c r="A234" s="18" t="s">
        <v>293</v>
      </c>
      <c r="B234" s="18" t="s">
        <v>59</v>
      </c>
      <c r="C234" s="18" t="s">
        <v>63</v>
      </c>
      <c r="D234" s="18">
        <v>0</v>
      </c>
      <c r="E234" s="18">
        <v>0</v>
      </c>
      <c r="G234">
        <v>3993.96</v>
      </c>
      <c r="H234" s="18">
        <v>0</v>
      </c>
    </row>
    <row r="235" spans="1:8" x14ac:dyDescent="0.2">
      <c r="A235" s="18" t="s">
        <v>294</v>
      </c>
      <c r="B235" s="18" t="s">
        <v>59</v>
      </c>
      <c r="C235" s="18" t="s">
        <v>60</v>
      </c>
      <c r="D235" s="18">
        <v>0</v>
      </c>
      <c r="E235" s="18">
        <v>0</v>
      </c>
      <c r="G235">
        <v>0</v>
      </c>
      <c r="H235" s="18">
        <v>0</v>
      </c>
    </row>
    <row r="236" spans="1:8" x14ac:dyDescent="0.2">
      <c r="A236" s="18" t="s">
        <v>295</v>
      </c>
      <c r="B236" s="18" t="s">
        <v>59</v>
      </c>
      <c r="C236" s="18" t="s">
        <v>63</v>
      </c>
      <c r="D236" s="18">
        <v>0</v>
      </c>
      <c r="E236" s="18">
        <v>0</v>
      </c>
      <c r="G236">
        <v>0</v>
      </c>
      <c r="H236" s="18">
        <v>5896.32</v>
      </c>
    </row>
    <row r="237" spans="1:8" x14ac:dyDescent="0.2">
      <c r="A237" s="18" t="s">
        <v>296</v>
      </c>
      <c r="B237" s="18" t="s">
        <v>59</v>
      </c>
      <c r="C237" s="18" t="s">
        <v>60</v>
      </c>
      <c r="D237" s="18">
        <v>0</v>
      </c>
      <c r="E237" s="18">
        <v>0</v>
      </c>
      <c r="G237">
        <v>0</v>
      </c>
      <c r="H237" s="18">
        <v>6737.11</v>
      </c>
    </row>
    <row r="238" spans="1:8" x14ac:dyDescent="0.2">
      <c r="A238" s="18" t="s">
        <v>297</v>
      </c>
      <c r="B238" s="18" t="s">
        <v>59</v>
      </c>
      <c r="C238" s="18" t="s">
        <v>63</v>
      </c>
      <c r="D238" s="18">
        <v>1</v>
      </c>
      <c r="E238" s="18">
        <v>5302.87</v>
      </c>
      <c r="G238">
        <v>0</v>
      </c>
      <c r="H238" s="18">
        <v>0</v>
      </c>
    </row>
    <row r="239" spans="1:8" x14ac:dyDescent="0.2">
      <c r="A239" s="18" t="s">
        <v>298</v>
      </c>
      <c r="B239" s="18" t="s">
        <v>59</v>
      </c>
      <c r="C239" s="18" t="s">
        <v>60</v>
      </c>
      <c r="D239" s="18">
        <v>0</v>
      </c>
      <c r="E239" s="18">
        <v>0</v>
      </c>
      <c r="G239">
        <v>0</v>
      </c>
      <c r="H239" s="18">
        <v>0</v>
      </c>
    </row>
    <row r="240" spans="1:8" x14ac:dyDescent="0.2">
      <c r="A240" s="18" t="s">
        <v>299</v>
      </c>
      <c r="B240" s="18" t="s">
        <v>59</v>
      </c>
      <c r="C240" s="18" t="s">
        <v>63</v>
      </c>
      <c r="D240" s="18">
        <v>1</v>
      </c>
      <c r="E240" s="18">
        <v>3586.43</v>
      </c>
      <c r="G240">
        <v>5302.87</v>
      </c>
      <c r="H240" s="18">
        <v>0</v>
      </c>
    </row>
    <row r="241" spans="1:8" x14ac:dyDescent="0.2">
      <c r="A241" s="18" t="s">
        <v>300</v>
      </c>
      <c r="B241" s="18" t="s">
        <v>59</v>
      </c>
      <c r="C241" s="18" t="s">
        <v>60</v>
      </c>
      <c r="D241" s="18">
        <v>0</v>
      </c>
      <c r="E241" s="18">
        <v>0</v>
      </c>
      <c r="G241">
        <v>0</v>
      </c>
      <c r="H241" s="18">
        <v>0</v>
      </c>
    </row>
    <row r="242" spans="1:8" x14ac:dyDescent="0.2">
      <c r="A242" s="18" t="s">
        <v>301</v>
      </c>
      <c r="B242" s="18" t="s">
        <v>59</v>
      </c>
      <c r="C242" s="18" t="s">
        <v>63</v>
      </c>
      <c r="D242" s="18">
        <v>0</v>
      </c>
      <c r="E242" s="18">
        <v>0</v>
      </c>
      <c r="G242">
        <v>3586.43</v>
      </c>
      <c r="H242" s="18">
        <v>0</v>
      </c>
    </row>
    <row r="243" spans="1:8" x14ac:dyDescent="0.2">
      <c r="A243" s="18" t="s">
        <v>302</v>
      </c>
      <c r="B243" s="18" t="s">
        <v>59</v>
      </c>
      <c r="C243" s="18" t="s">
        <v>63</v>
      </c>
      <c r="D243" s="18">
        <v>1</v>
      </c>
      <c r="E243" s="18">
        <v>4905.3</v>
      </c>
      <c r="G243">
        <v>0</v>
      </c>
      <c r="H243" s="18">
        <v>0</v>
      </c>
    </row>
    <row r="244" spans="1:8" x14ac:dyDescent="0.2">
      <c r="A244" s="18" t="s">
        <v>303</v>
      </c>
      <c r="B244" s="18" t="s">
        <v>59</v>
      </c>
      <c r="C244" s="18" t="s">
        <v>63</v>
      </c>
      <c r="D244" s="18">
        <v>0</v>
      </c>
      <c r="E244" s="18">
        <v>0</v>
      </c>
      <c r="G244">
        <v>0</v>
      </c>
      <c r="H244" s="18">
        <v>0</v>
      </c>
    </row>
    <row r="245" spans="1:8" x14ac:dyDescent="0.2">
      <c r="A245" s="18" t="s">
        <v>304</v>
      </c>
      <c r="B245" s="18" t="s">
        <v>59</v>
      </c>
      <c r="C245" s="18" t="s">
        <v>63</v>
      </c>
      <c r="D245" s="18">
        <v>0</v>
      </c>
      <c r="E245" s="18">
        <v>0</v>
      </c>
      <c r="G245">
        <v>4905.3</v>
      </c>
      <c r="H245" s="18">
        <v>5348.52</v>
      </c>
    </row>
    <row r="246" spans="1:8" x14ac:dyDescent="0.2">
      <c r="A246" s="18" t="s">
        <v>305</v>
      </c>
      <c r="B246" s="18" t="s">
        <v>59</v>
      </c>
      <c r="C246" s="18" t="s">
        <v>60</v>
      </c>
      <c r="D246" s="18">
        <v>0</v>
      </c>
      <c r="E246" s="18">
        <v>0</v>
      </c>
      <c r="G246">
        <v>0</v>
      </c>
      <c r="H246" s="18">
        <v>4965.0600000000004</v>
      </c>
    </row>
    <row r="247" spans="1:8" x14ac:dyDescent="0.2">
      <c r="A247" s="18" t="s">
        <v>306</v>
      </c>
      <c r="B247" s="18" t="s">
        <v>59</v>
      </c>
      <c r="C247" s="18" t="s">
        <v>60</v>
      </c>
      <c r="D247" s="18">
        <v>0</v>
      </c>
      <c r="E247" s="18">
        <v>0</v>
      </c>
      <c r="G247">
        <v>0</v>
      </c>
      <c r="H247" s="18">
        <v>0</v>
      </c>
    </row>
    <row r="248" spans="1:8" x14ac:dyDescent="0.2">
      <c r="A248" s="18" t="s">
        <v>307</v>
      </c>
      <c r="B248" s="18" t="s">
        <v>59</v>
      </c>
      <c r="C248" s="18" t="s">
        <v>63</v>
      </c>
      <c r="D248" s="18">
        <v>0</v>
      </c>
      <c r="E248" s="18">
        <v>0</v>
      </c>
      <c r="G248">
        <v>0</v>
      </c>
      <c r="H248" s="18">
        <v>0</v>
      </c>
    </row>
    <row r="249" spans="1:8" x14ac:dyDescent="0.2">
      <c r="A249" s="18" t="s">
        <v>308</v>
      </c>
      <c r="B249" s="18" t="s">
        <v>59</v>
      </c>
      <c r="C249" s="18" t="s">
        <v>60</v>
      </c>
      <c r="D249" s="18">
        <v>0</v>
      </c>
      <c r="E249" s="18">
        <v>0</v>
      </c>
      <c r="G249">
        <v>0</v>
      </c>
      <c r="H249" s="18">
        <v>0</v>
      </c>
    </row>
    <row r="250" spans="1:8" x14ac:dyDescent="0.2">
      <c r="A250" s="18" t="s">
        <v>309</v>
      </c>
      <c r="B250" s="18" t="s">
        <v>59</v>
      </c>
      <c r="C250" s="18" t="s">
        <v>63</v>
      </c>
      <c r="D250" s="18">
        <v>0</v>
      </c>
      <c r="E250" s="18">
        <v>0</v>
      </c>
      <c r="G250">
        <v>0</v>
      </c>
      <c r="H250" s="18">
        <v>0</v>
      </c>
    </row>
    <row r="251" spans="1:8" x14ac:dyDescent="0.2">
      <c r="A251" s="18" t="s">
        <v>310</v>
      </c>
      <c r="B251" s="18" t="s">
        <v>59</v>
      </c>
      <c r="C251" s="18" t="s">
        <v>60</v>
      </c>
      <c r="D251" s="18">
        <v>0</v>
      </c>
      <c r="E251" s="18">
        <v>0</v>
      </c>
      <c r="G251">
        <v>0</v>
      </c>
      <c r="H251" s="18">
        <v>3262.73</v>
      </c>
    </row>
    <row r="252" spans="1:8" x14ac:dyDescent="0.2">
      <c r="A252" s="18" t="s">
        <v>311</v>
      </c>
      <c r="B252" s="18" t="s">
        <v>59</v>
      </c>
      <c r="C252" s="18" t="s">
        <v>60</v>
      </c>
      <c r="D252" s="18">
        <v>0</v>
      </c>
      <c r="E252" s="18">
        <v>0</v>
      </c>
      <c r="G252">
        <v>0</v>
      </c>
      <c r="H252" s="18">
        <v>0</v>
      </c>
    </row>
    <row r="253" spans="1:8" x14ac:dyDescent="0.2">
      <c r="A253" s="18" t="s">
        <v>312</v>
      </c>
      <c r="B253" s="18" t="s">
        <v>59</v>
      </c>
      <c r="C253" s="18" t="s">
        <v>63</v>
      </c>
      <c r="D253" s="18">
        <v>1</v>
      </c>
      <c r="E253" s="18">
        <v>3385.57</v>
      </c>
      <c r="G253">
        <v>0</v>
      </c>
      <c r="H253" s="18">
        <v>0</v>
      </c>
    </row>
    <row r="254" spans="1:8" x14ac:dyDescent="0.2">
      <c r="A254" s="18" t="s">
        <v>313</v>
      </c>
      <c r="B254" s="18" t="s">
        <v>59</v>
      </c>
      <c r="C254" s="18" t="s">
        <v>60</v>
      </c>
      <c r="D254" s="18">
        <v>0</v>
      </c>
      <c r="E254" s="18">
        <v>0</v>
      </c>
      <c r="G254">
        <v>0</v>
      </c>
      <c r="H254" s="18">
        <v>0</v>
      </c>
    </row>
    <row r="255" spans="1:8" x14ac:dyDescent="0.2">
      <c r="A255" s="18" t="s">
        <v>314</v>
      </c>
      <c r="B255" s="18" t="s">
        <v>59</v>
      </c>
      <c r="C255" s="18" t="s">
        <v>63</v>
      </c>
      <c r="D255" s="18">
        <v>0</v>
      </c>
      <c r="E255" s="18">
        <v>0</v>
      </c>
      <c r="G255">
        <v>3385.57</v>
      </c>
      <c r="H255" s="18">
        <v>0</v>
      </c>
    </row>
    <row r="256" spans="1:8" x14ac:dyDescent="0.2">
      <c r="A256" s="18" t="s">
        <v>315</v>
      </c>
      <c r="B256" s="18" t="s">
        <v>59</v>
      </c>
      <c r="C256" s="18" t="s">
        <v>60</v>
      </c>
      <c r="D256" s="18">
        <v>1</v>
      </c>
      <c r="E256" s="18">
        <v>5991.77</v>
      </c>
      <c r="G256">
        <v>0</v>
      </c>
      <c r="H256" s="18">
        <v>0</v>
      </c>
    </row>
    <row r="257" spans="1:8" x14ac:dyDescent="0.2">
      <c r="A257" s="18" t="s">
        <v>316</v>
      </c>
      <c r="B257" s="18" t="s">
        <v>59</v>
      </c>
      <c r="C257" s="18" t="s">
        <v>60</v>
      </c>
      <c r="D257" s="18">
        <v>0</v>
      </c>
      <c r="E257" s="18">
        <v>0</v>
      </c>
      <c r="G257">
        <v>0</v>
      </c>
      <c r="H257" s="18">
        <v>0</v>
      </c>
    </row>
    <row r="258" spans="1:8" x14ac:dyDescent="0.2">
      <c r="A258" s="18" t="s">
        <v>317</v>
      </c>
      <c r="B258" s="18" t="s">
        <v>59</v>
      </c>
      <c r="C258" s="18" t="s">
        <v>63</v>
      </c>
      <c r="D258" s="18">
        <v>0</v>
      </c>
      <c r="E258" s="18">
        <v>0</v>
      </c>
      <c r="G258">
        <v>5991.77</v>
      </c>
      <c r="H258" s="18">
        <v>0</v>
      </c>
    </row>
    <row r="259" spans="1:8" x14ac:dyDescent="0.2">
      <c r="A259" s="18" t="s">
        <v>318</v>
      </c>
      <c r="B259" s="18" t="s">
        <v>59</v>
      </c>
      <c r="C259" s="18" t="s">
        <v>63</v>
      </c>
      <c r="D259" s="18">
        <v>0</v>
      </c>
      <c r="E259" s="18">
        <v>0</v>
      </c>
      <c r="G259">
        <v>0</v>
      </c>
      <c r="H259" s="18">
        <v>0</v>
      </c>
    </row>
    <row r="260" spans="1:8" x14ac:dyDescent="0.2">
      <c r="A260" s="18" t="s">
        <v>319</v>
      </c>
      <c r="B260" s="18" t="s">
        <v>59</v>
      </c>
      <c r="C260" s="18" t="s">
        <v>60</v>
      </c>
      <c r="D260" s="18">
        <v>0</v>
      </c>
      <c r="E260" s="18">
        <v>0</v>
      </c>
      <c r="G260">
        <v>0</v>
      </c>
      <c r="H260" s="18">
        <v>0</v>
      </c>
    </row>
    <row r="261" spans="1:8" x14ac:dyDescent="0.2">
      <c r="A261" s="18" t="s">
        <v>320</v>
      </c>
      <c r="B261" s="18" t="s">
        <v>59</v>
      </c>
      <c r="C261" s="18" t="s">
        <v>60</v>
      </c>
      <c r="D261" s="18">
        <v>0</v>
      </c>
      <c r="E261" s="18">
        <v>0</v>
      </c>
      <c r="G261">
        <v>0</v>
      </c>
      <c r="H261" s="18">
        <v>0</v>
      </c>
    </row>
    <row r="262" spans="1:8" x14ac:dyDescent="0.2">
      <c r="A262" s="18" t="s">
        <v>321</v>
      </c>
      <c r="B262" s="18" t="s">
        <v>322</v>
      </c>
      <c r="C262" s="18" t="s">
        <v>60</v>
      </c>
      <c r="D262" s="18">
        <v>1</v>
      </c>
      <c r="E262" s="18">
        <v>3858.67</v>
      </c>
      <c r="G262">
        <v>0</v>
      </c>
      <c r="H262" s="18">
        <v>0</v>
      </c>
    </row>
    <row r="263" spans="1:8" x14ac:dyDescent="0.2">
      <c r="A263" s="18" t="s">
        <v>323</v>
      </c>
      <c r="B263" s="18" t="s">
        <v>322</v>
      </c>
      <c r="C263" s="18" t="s">
        <v>60</v>
      </c>
      <c r="D263" s="18">
        <v>1</v>
      </c>
      <c r="E263" s="18">
        <v>4155.8100000000004</v>
      </c>
      <c r="G263">
        <v>0</v>
      </c>
      <c r="H263" s="18">
        <v>0</v>
      </c>
    </row>
    <row r="264" spans="1:8" x14ac:dyDescent="0.2">
      <c r="A264" s="18" t="s">
        <v>324</v>
      </c>
      <c r="B264" s="18" t="s">
        <v>322</v>
      </c>
      <c r="C264" s="18" t="s">
        <v>63</v>
      </c>
      <c r="D264" s="18">
        <v>1</v>
      </c>
      <c r="E264" s="18">
        <v>3642.04</v>
      </c>
    </row>
    <row r="265" spans="1:8" x14ac:dyDescent="0.2">
      <c r="A265" s="18" t="s">
        <v>325</v>
      </c>
      <c r="B265" s="18" t="s">
        <v>322</v>
      </c>
      <c r="C265" s="18" t="s">
        <v>60</v>
      </c>
      <c r="D265" s="18">
        <v>0</v>
      </c>
      <c r="E265" s="18">
        <v>0</v>
      </c>
    </row>
    <row r="266" spans="1:8" x14ac:dyDescent="0.2">
      <c r="A266" s="18" t="s">
        <v>326</v>
      </c>
      <c r="B266" s="18" t="s">
        <v>322</v>
      </c>
      <c r="C266" s="18" t="s">
        <v>63</v>
      </c>
      <c r="D266" s="18">
        <v>0</v>
      </c>
      <c r="E266" s="18">
        <v>0</v>
      </c>
    </row>
    <row r="267" spans="1:8" x14ac:dyDescent="0.2">
      <c r="A267" s="18" t="s">
        <v>327</v>
      </c>
      <c r="B267" s="18" t="s">
        <v>322</v>
      </c>
      <c r="C267" s="18" t="s">
        <v>63</v>
      </c>
      <c r="D267" s="18">
        <v>0</v>
      </c>
      <c r="E267" s="18">
        <v>0</v>
      </c>
    </row>
    <row r="268" spans="1:8" x14ac:dyDescent="0.2">
      <c r="A268" s="18" t="s">
        <v>328</v>
      </c>
      <c r="B268" s="18" t="s">
        <v>322</v>
      </c>
      <c r="C268" s="18" t="s">
        <v>63</v>
      </c>
      <c r="D268" s="18">
        <v>0</v>
      </c>
      <c r="E268" s="18">
        <v>0</v>
      </c>
      <c r="G268">
        <f>AVERAGE(G4:G263)</f>
        <v>809.03930769230749</v>
      </c>
      <c r="H268">
        <f>AVERAGE(H4:H263)</f>
        <v>1209.9165384615385</v>
      </c>
    </row>
    <row r="269" spans="1:8" x14ac:dyDescent="0.2">
      <c r="A269" s="18" t="s">
        <v>329</v>
      </c>
      <c r="B269" s="18" t="s">
        <v>322</v>
      </c>
      <c r="C269" s="18" t="s">
        <v>60</v>
      </c>
      <c r="D269" s="18">
        <v>0</v>
      </c>
      <c r="E269" s="18">
        <v>0</v>
      </c>
      <c r="G269">
        <f>VAR(G5:G264)</f>
        <v>3394027.7754800445</v>
      </c>
      <c r="H269">
        <f>VAR(H5:H264)</f>
        <v>5175596.3694812981</v>
      </c>
    </row>
    <row r="270" spans="1:8" x14ac:dyDescent="0.2">
      <c r="A270" s="18" t="s">
        <v>330</v>
      </c>
      <c r="B270" s="18" t="s">
        <v>322</v>
      </c>
      <c r="C270" s="18" t="s">
        <v>63</v>
      </c>
      <c r="D270" s="18">
        <v>1</v>
      </c>
      <c r="E270" s="18">
        <v>7465.02</v>
      </c>
    </row>
    <row r="271" spans="1:8" x14ac:dyDescent="0.2">
      <c r="A271" s="18" t="s">
        <v>331</v>
      </c>
      <c r="B271" s="18" t="s">
        <v>322</v>
      </c>
      <c r="C271" s="18" t="s">
        <v>60</v>
      </c>
      <c r="D271" s="18">
        <v>0</v>
      </c>
      <c r="E271" s="18">
        <v>0</v>
      </c>
    </row>
    <row r="272" spans="1:8" x14ac:dyDescent="0.2">
      <c r="A272" s="18" t="s">
        <v>332</v>
      </c>
      <c r="B272" s="18" t="s">
        <v>322</v>
      </c>
      <c r="C272" s="18" t="s">
        <v>60</v>
      </c>
      <c r="D272" s="18">
        <v>1</v>
      </c>
      <c r="E272" s="18">
        <v>3331.62</v>
      </c>
    </row>
    <row r="273" spans="1:5" x14ac:dyDescent="0.2">
      <c r="A273" s="18" t="s">
        <v>333</v>
      </c>
      <c r="B273" s="18" t="s">
        <v>322</v>
      </c>
      <c r="C273" s="18" t="s">
        <v>63</v>
      </c>
      <c r="D273" s="18">
        <v>0</v>
      </c>
      <c r="E273" s="18">
        <v>0</v>
      </c>
    </row>
    <row r="274" spans="1:5" x14ac:dyDescent="0.2">
      <c r="A274" s="18" t="s">
        <v>334</v>
      </c>
      <c r="B274" s="18" t="s">
        <v>322</v>
      </c>
      <c r="C274" s="18" t="s">
        <v>60</v>
      </c>
      <c r="D274" s="18">
        <v>0</v>
      </c>
      <c r="E274" s="18">
        <v>0</v>
      </c>
    </row>
    <row r="275" spans="1:5" x14ac:dyDescent="0.2">
      <c r="A275" s="18" t="s">
        <v>335</v>
      </c>
      <c r="B275" s="18" t="s">
        <v>322</v>
      </c>
      <c r="C275" s="18" t="s">
        <v>60</v>
      </c>
      <c r="D275" s="18">
        <v>0</v>
      </c>
      <c r="E275" s="18">
        <v>0</v>
      </c>
    </row>
    <row r="276" spans="1:5" x14ac:dyDescent="0.2">
      <c r="A276" s="18" t="s">
        <v>336</v>
      </c>
      <c r="B276" s="18" t="s">
        <v>322</v>
      </c>
      <c r="C276" s="18" t="s">
        <v>63</v>
      </c>
      <c r="D276" s="18">
        <v>0</v>
      </c>
      <c r="E276" s="18">
        <v>0</v>
      </c>
    </row>
    <row r="277" spans="1:5" x14ac:dyDescent="0.2">
      <c r="A277" s="18" t="s">
        <v>337</v>
      </c>
      <c r="B277" s="18" t="s">
        <v>322</v>
      </c>
      <c r="C277" s="18" t="s">
        <v>60</v>
      </c>
      <c r="D277" s="18">
        <v>0</v>
      </c>
      <c r="E277" s="18">
        <v>0</v>
      </c>
    </row>
    <row r="278" spans="1:5" x14ac:dyDescent="0.2">
      <c r="A278" s="18" t="s">
        <v>338</v>
      </c>
      <c r="B278" s="18" t="s">
        <v>322</v>
      </c>
      <c r="C278" s="18" t="s">
        <v>60</v>
      </c>
      <c r="D278" s="18">
        <v>0</v>
      </c>
      <c r="E278" s="18">
        <v>0</v>
      </c>
    </row>
    <row r="279" spans="1:5" x14ac:dyDescent="0.2">
      <c r="A279" s="18" t="s">
        <v>339</v>
      </c>
      <c r="B279" s="18" t="s">
        <v>322</v>
      </c>
      <c r="C279" s="18" t="s">
        <v>63</v>
      </c>
      <c r="D279" s="18">
        <v>0</v>
      </c>
      <c r="E279" s="18">
        <v>0</v>
      </c>
    </row>
    <row r="280" spans="1:5" x14ac:dyDescent="0.2">
      <c r="A280" s="18" t="s">
        <v>340</v>
      </c>
      <c r="B280" s="18" t="s">
        <v>322</v>
      </c>
      <c r="C280" s="18" t="s">
        <v>63</v>
      </c>
      <c r="D280" s="18">
        <v>1</v>
      </c>
      <c r="E280" s="18">
        <v>5858.14</v>
      </c>
    </row>
    <row r="281" spans="1:5" x14ac:dyDescent="0.2">
      <c r="A281" s="18" t="s">
        <v>341</v>
      </c>
      <c r="B281" s="18" t="s">
        <v>322</v>
      </c>
      <c r="C281" s="18" t="s">
        <v>60</v>
      </c>
      <c r="D281" s="18">
        <v>0</v>
      </c>
      <c r="E281" s="18">
        <v>0</v>
      </c>
    </row>
    <row r="282" spans="1:5" x14ac:dyDescent="0.2">
      <c r="A282" s="18" t="s">
        <v>342</v>
      </c>
      <c r="B282" s="18" t="s">
        <v>322</v>
      </c>
      <c r="C282" s="18" t="s">
        <v>60</v>
      </c>
      <c r="D282" s="18">
        <v>1</v>
      </c>
      <c r="E282" s="18">
        <v>4927.71</v>
      </c>
    </row>
    <row r="283" spans="1:5" x14ac:dyDescent="0.2">
      <c r="A283" s="18" t="s">
        <v>343</v>
      </c>
      <c r="B283" s="18" t="s">
        <v>322</v>
      </c>
      <c r="C283" s="18" t="s">
        <v>63</v>
      </c>
      <c r="D283" s="18">
        <v>0</v>
      </c>
      <c r="E283" s="18">
        <v>0</v>
      </c>
    </row>
    <row r="284" spans="1:5" x14ac:dyDescent="0.2">
      <c r="A284" s="18" t="s">
        <v>344</v>
      </c>
      <c r="B284" s="18" t="s">
        <v>322</v>
      </c>
      <c r="C284" s="18" t="s">
        <v>60</v>
      </c>
      <c r="D284" s="18">
        <v>0</v>
      </c>
      <c r="E284" s="18">
        <v>0</v>
      </c>
    </row>
    <row r="285" spans="1:5" x14ac:dyDescent="0.2">
      <c r="A285" s="18" t="s">
        <v>345</v>
      </c>
      <c r="B285" s="18" t="s">
        <v>322</v>
      </c>
      <c r="C285" s="18" t="s">
        <v>60</v>
      </c>
      <c r="D285" s="18">
        <v>1</v>
      </c>
      <c r="E285" s="18">
        <v>6420.05</v>
      </c>
    </row>
    <row r="286" spans="1:5" x14ac:dyDescent="0.2">
      <c r="A286" s="18" t="s">
        <v>346</v>
      </c>
      <c r="B286" s="18" t="s">
        <v>322</v>
      </c>
      <c r="C286" s="18" t="s">
        <v>60</v>
      </c>
      <c r="D286" s="18">
        <v>1</v>
      </c>
      <c r="E286" s="18">
        <v>5780.12</v>
      </c>
    </row>
    <row r="287" spans="1:5" x14ac:dyDescent="0.2">
      <c r="A287" s="18" t="s">
        <v>347</v>
      </c>
      <c r="B287" s="18" t="s">
        <v>322</v>
      </c>
      <c r="C287" s="18" t="s">
        <v>60</v>
      </c>
      <c r="D287" s="18">
        <v>0</v>
      </c>
      <c r="E287" s="18">
        <v>0</v>
      </c>
    </row>
    <row r="288" spans="1:5" x14ac:dyDescent="0.2">
      <c r="A288" s="18" t="s">
        <v>348</v>
      </c>
      <c r="B288" s="18" t="s">
        <v>322</v>
      </c>
      <c r="C288" s="18" t="s">
        <v>63</v>
      </c>
      <c r="D288" s="18">
        <v>0</v>
      </c>
      <c r="E288" s="18">
        <v>0</v>
      </c>
    </row>
    <row r="289" spans="1:5" x14ac:dyDescent="0.2">
      <c r="A289" s="18" t="s">
        <v>349</v>
      </c>
      <c r="B289" s="18" t="s">
        <v>322</v>
      </c>
      <c r="C289" s="18" t="s">
        <v>60</v>
      </c>
      <c r="D289" s="18">
        <v>0</v>
      </c>
      <c r="E289" s="18">
        <v>0</v>
      </c>
    </row>
    <row r="290" spans="1:5" x14ac:dyDescent="0.2">
      <c r="A290" s="18" t="s">
        <v>350</v>
      </c>
      <c r="B290" s="18" t="s">
        <v>322</v>
      </c>
      <c r="C290" s="18" t="s">
        <v>60</v>
      </c>
      <c r="D290" s="18">
        <v>0</v>
      </c>
      <c r="E290" s="18">
        <v>0</v>
      </c>
    </row>
    <row r="291" spans="1:5" x14ac:dyDescent="0.2">
      <c r="A291" s="18" t="s">
        <v>351</v>
      </c>
      <c r="B291" s="18" t="s">
        <v>322</v>
      </c>
      <c r="C291" s="18" t="s">
        <v>60</v>
      </c>
      <c r="D291" s="18">
        <v>1</v>
      </c>
      <c r="E291" s="18">
        <v>3251.94</v>
      </c>
    </row>
    <row r="292" spans="1:5" x14ac:dyDescent="0.2">
      <c r="A292" s="18" t="s">
        <v>352</v>
      </c>
      <c r="B292" s="18" t="s">
        <v>322</v>
      </c>
      <c r="C292" s="18" t="s">
        <v>63</v>
      </c>
      <c r="D292" s="18">
        <v>0</v>
      </c>
      <c r="E292" s="18">
        <v>0</v>
      </c>
    </row>
    <row r="293" spans="1:5" x14ac:dyDescent="0.2">
      <c r="A293" s="18" t="s">
        <v>353</v>
      </c>
      <c r="B293" s="18" t="s">
        <v>322</v>
      </c>
      <c r="C293" s="18" t="s">
        <v>63</v>
      </c>
      <c r="D293" s="18">
        <v>1</v>
      </c>
      <c r="E293" s="18">
        <v>3846.22</v>
      </c>
    </row>
    <row r="294" spans="1:5" x14ac:dyDescent="0.2">
      <c r="A294" s="18" t="s">
        <v>354</v>
      </c>
      <c r="B294" s="18" t="s">
        <v>322</v>
      </c>
      <c r="C294" s="18" t="s">
        <v>60</v>
      </c>
      <c r="D294" s="18">
        <v>0</v>
      </c>
      <c r="E294" s="18">
        <v>0</v>
      </c>
    </row>
    <row r="295" spans="1:5" x14ac:dyDescent="0.2">
      <c r="A295" s="18" t="s">
        <v>355</v>
      </c>
      <c r="B295" s="18" t="s">
        <v>322</v>
      </c>
      <c r="C295" s="18" t="s">
        <v>63</v>
      </c>
      <c r="D295" s="18">
        <v>0</v>
      </c>
      <c r="E295" s="18">
        <v>0</v>
      </c>
    </row>
    <row r="296" spans="1:5" x14ac:dyDescent="0.2">
      <c r="A296" s="18" t="s">
        <v>356</v>
      </c>
      <c r="B296" s="18" t="s">
        <v>322</v>
      </c>
      <c r="C296" s="18" t="s">
        <v>60</v>
      </c>
      <c r="D296" s="18">
        <v>0</v>
      </c>
      <c r="E296" s="18">
        <v>0</v>
      </c>
    </row>
    <row r="297" spans="1:5" x14ac:dyDescent="0.2">
      <c r="A297" s="18" t="s">
        <v>357</v>
      </c>
      <c r="B297" s="18" t="s">
        <v>322</v>
      </c>
      <c r="C297" s="18" t="s">
        <v>63</v>
      </c>
      <c r="D297" s="18">
        <v>0</v>
      </c>
      <c r="E297" s="18">
        <v>0</v>
      </c>
    </row>
    <row r="298" spans="1:5" x14ac:dyDescent="0.2">
      <c r="A298" s="18" t="s">
        <v>358</v>
      </c>
      <c r="B298" s="18" t="s">
        <v>322</v>
      </c>
      <c r="C298" s="18" t="s">
        <v>63</v>
      </c>
      <c r="D298" s="18">
        <v>0</v>
      </c>
      <c r="E298" s="18">
        <v>0</v>
      </c>
    </row>
    <row r="299" spans="1:5" x14ac:dyDescent="0.2">
      <c r="A299" s="18" t="s">
        <v>359</v>
      </c>
      <c r="B299" s="18" t="s">
        <v>322</v>
      </c>
      <c r="C299" s="18" t="s">
        <v>63</v>
      </c>
      <c r="D299" s="18">
        <v>0</v>
      </c>
      <c r="E299" s="18">
        <v>0</v>
      </c>
    </row>
    <row r="300" spans="1:5" x14ac:dyDescent="0.2">
      <c r="A300" s="18" t="s">
        <v>360</v>
      </c>
      <c r="B300" s="18" t="s">
        <v>322</v>
      </c>
      <c r="C300" s="18" t="s">
        <v>60</v>
      </c>
      <c r="D300" s="18">
        <v>0</v>
      </c>
      <c r="E300" s="18">
        <v>0</v>
      </c>
    </row>
    <row r="301" spans="1:5" x14ac:dyDescent="0.2">
      <c r="A301" s="18" t="s">
        <v>361</v>
      </c>
      <c r="B301" s="18" t="s">
        <v>322</v>
      </c>
      <c r="C301" s="18" t="s">
        <v>63</v>
      </c>
      <c r="D301" s="18">
        <v>0</v>
      </c>
      <c r="E301" s="18">
        <v>0</v>
      </c>
    </row>
    <row r="302" spans="1:5" x14ac:dyDescent="0.2">
      <c r="A302" s="18" t="s">
        <v>362</v>
      </c>
      <c r="B302" s="18" t="s">
        <v>322</v>
      </c>
      <c r="C302" s="18" t="s">
        <v>63</v>
      </c>
      <c r="D302" s="18">
        <v>0</v>
      </c>
      <c r="E302" s="18">
        <v>0</v>
      </c>
    </row>
    <row r="303" spans="1:5" x14ac:dyDescent="0.2">
      <c r="A303" s="18" t="s">
        <v>363</v>
      </c>
      <c r="B303" s="18" t="s">
        <v>322</v>
      </c>
      <c r="C303" s="18" t="s">
        <v>63</v>
      </c>
      <c r="D303" s="18">
        <v>0</v>
      </c>
      <c r="E303" s="18">
        <v>0</v>
      </c>
    </row>
    <row r="304" spans="1:5" x14ac:dyDescent="0.2">
      <c r="A304" s="18" t="s">
        <v>364</v>
      </c>
      <c r="B304" s="18" t="s">
        <v>322</v>
      </c>
      <c r="C304" s="18" t="s">
        <v>63</v>
      </c>
      <c r="D304" s="18">
        <v>1</v>
      </c>
      <c r="E304" s="18">
        <v>3880.25</v>
      </c>
    </row>
    <row r="305" spans="1:5" x14ac:dyDescent="0.2">
      <c r="A305" s="18" t="s">
        <v>365</v>
      </c>
      <c r="B305" s="18" t="s">
        <v>322</v>
      </c>
      <c r="C305" s="18" t="s">
        <v>63</v>
      </c>
      <c r="D305" s="18">
        <v>0</v>
      </c>
      <c r="E305" s="18">
        <v>0</v>
      </c>
    </row>
    <row r="306" spans="1:5" x14ac:dyDescent="0.2">
      <c r="A306" s="18" t="s">
        <v>366</v>
      </c>
      <c r="B306" s="18" t="s">
        <v>322</v>
      </c>
      <c r="C306" s="18" t="s">
        <v>63</v>
      </c>
      <c r="D306" s="18">
        <v>0</v>
      </c>
      <c r="E306" s="18">
        <v>0</v>
      </c>
    </row>
    <row r="307" spans="1:5" x14ac:dyDescent="0.2">
      <c r="A307" s="18" t="s">
        <v>367</v>
      </c>
      <c r="B307" s="18" t="s">
        <v>322</v>
      </c>
      <c r="C307" s="18" t="s">
        <v>63</v>
      </c>
      <c r="D307" s="18">
        <v>0</v>
      </c>
      <c r="E307" s="18">
        <v>0</v>
      </c>
    </row>
    <row r="308" spans="1:5" x14ac:dyDescent="0.2">
      <c r="A308" s="18" t="s">
        <v>368</v>
      </c>
      <c r="B308" s="18" t="s">
        <v>322</v>
      </c>
      <c r="C308" s="18" t="s">
        <v>63</v>
      </c>
      <c r="D308" s="18">
        <v>0</v>
      </c>
      <c r="E308" s="18">
        <v>0</v>
      </c>
    </row>
    <row r="309" spans="1:5" x14ac:dyDescent="0.2">
      <c r="A309" s="18" t="s">
        <v>369</v>
      </c>
      <c r="B309" s="18" t="s">
        <v>322</v>
      </c>
      <c r="C309" s="18" t="s">
        <v>63</v>
      </c>
      <c r="D309" s="18">
        <v>0</v>
      </c>
      <c r="E309" s="18">
        <v>0</v>
      </c>
    </row>
    <row r="310" spans="1:5" x14ac:dyDescent="0.2">
      <c r="A310" s="18" t="s">
        <v>370</v>
      </c>
      <c r="B310" s="18" t="s">
        <v>322</v>
      </c>
      <c r="C310" s="18" t="s">
        <v>60</v>
      </c>
      <c r="D310" s="18">
        <v>0</v>
      </c>
      <c r="E310" s="18">
        <v>0</v>
      </c>
    </row>
    <row r="311" spans="1:5" x14ac:dyDescent="0.2">
      <c r="A311" s="18" t="s">
        <v>371</v>
      </c>
      <c r="B311" s="18" t="s">
        <v>322</v>
      </c>
      <c r="C311" s="18" t="s">
        <v>60</v>
      </c>
      <c r="D311" s="18">
        <v>1</v>
      </c>
      <c r="E311" s="18">
        <v>4893.68</v>
      </c>
    </row>
    <row r="312" spans="1:5" x14ac:dyDescent="0.2">
      <c r="A312" s="18" t="s">
        <v>372</v>
      </c>
      <c r="B312" s="18" t="s">
        <v>322</v>
      </c>
      <c r="C312" s="18" t="s">
        <v>60</v>
      </c>
      <c r="D312" s="18">
        <v>0</v>
      </c>
      <c r="E312" s="18">
        <v>0</v>
      </c>
    </row>
    <row r="313" spans="1:5" x14ac:dyDescent="0.2">
      <c r="A313" s="18" t="s">
        <v>373</v>
      </c>
      <c r="B313" s="18" t="s">
        <v>322</v>
      </c>
      <c r="C313" s="18" t="s">
        <v>63</v>
      </c>
      <c r="D313" s="18">
        <v>1</v>
      </c>
      <c r="E313" s="18">
        <v>3746.62</v>
      </c>
    </row>
    <row r="314" spans="1:5" x14ac:dyDescent="0.2">
      <c r="A314" s="18" t="s">
        <v>374</v>
      </c>
      <c r="B314" s="18" t="s">
        <v>322</v>
      </c>
      <c r="C314" s="18" t="s">
        <v>60</v>
      </c>
      <c r="D314" s="18">
        <v>0</v>
      </c>
      <c r="E314" s="18">
        <v>0</v>
      </c>
    </row>
    <row r="315" spans="1:5" x14ac:dyDescent="0.2">
      <c r="A315" s="18" t="s">
        <v>375</v>
      </c>
      <c r="B315" s="18" t="s">
        <v>322</v>
      </c>
      <c r="C315" s="18" t="s">
        <v>60</v>
      </c>
      <c r="D315" s="18">
        <v>0</v>
      </c>
      <c r="E315" s="18">
        <v>0</v>
      </c>
    </row>
    <row r="316" spans="1:5" x14ac:dyDescent="0.2">
      <c r="A316" s="18" t="s">
        <v>376</v>
      </c>
      <c r="B316" s="18" t="s">
        <v>322</v>
      </c>
      <c r="C316" s="18" t="s">
        <v>60</v>
      </c>
      <c r="D316" s="18">
        <v>0</v>
      </c>
      <c r="E316" s="18">
        <v>0</v>
      </c>
    </row>
    <row r="317" spans="1:5" x14ac:dyDescent="0.2">
      <c r="A317" s="18" t="s">
        <v>377</v>
      </c>
      <c r="B317" s="18" t="s">
        <v>322</v>
      </c>
      <c r="C317" s="18" t="s">
        <v>63</v>
      </c>
      <c r="D317" s="18">
        <v>0</v>
      </c>
      <c r="E317" s="18">
        <v>0</v>
      </c>
    </row>
    <row r="318" spans="1:5" x14ac:dyDescent="0.2">
      <c r="A318" s="18" t="s">
        <v>378</v>
      </c>
      <c r="B318" s="18" t="s">
        <v>322</v>
      </c>
      <c r="C318" s="18" t="s">
        <v>63</v>
      </c>
      <c r="D318" s="18">
        <v>0</v>
      </c>
      <c r="E318" s="18">
        <v>0</v>
      </c>
    </row>
    <row r="319" spans="1:5" x14ac:dyDescent="0.2">
      <c r="A319" s="18" t="s">
        <v>379</v>
      </c>
      <c r="B319" s="18" t="s">
        <v>322</v>
      </c>
      <c r="C319" s="18" t="s">
        <v>60</v>
      </c>
      <c r="D319" s="18">
        <v>1</v>
      </c>
      <c r="E319" s="18">
        <v>5256.39</v>
      </c>
    </row>
    <row r="320" spans="1:5" x14ac:dyDescent="0.2">
      <c r="A320" s="18" t="s">
        <v>380</v>
      </c>
      <c r="B320" s="18" t="s">
        <v>322</v>
      </c>
      <c r="C320" s="18" t="s">
        <v>60</v>
      </c>
      <c r="D320" s="18">
        <v>0</v>
      </c>
      <c r="E320" s="18">
        <v>0</v>
      </c>
    </row>
    <row r="321" spans="1:5" x14ac:dyDescent="0.2">
      <c r="A321" s="18" t="s">
        <v>381</v>
      </c>
      <c r="B321" s="18" t="s">
        <v>322</v>
      </c>
      <c r="C321" s="18" t="s">
        <v>60</v>
      </c>
      <c r="D321" s="18">
        <v>0</v>
      </c>
      <c r="E321" s="18">
        <v>0</v>
      </c>
    </row>
    <row r="322" spans="1:5" x14ac:dyDescent="0.2">
      <c r="A322" s="18" t="s">
        <v>382</v>
      </c>
      <c r="B322" s="18" t="s">
        <v>322</v>
      </c>
      <c r="C322" s="18" t="s">
        <v>60</v>
      </c>
      <c r="D322" s="18">
        <v>1</v>
      </c>
      <c r="E322" s="18">
        <v>4700.29</v>
      </c>
    </row>
    <row r="323" spans="1:5" x14ac:dyDescent="0.2">
      <c r="A323" s="18" t="s">
        <v>383</v>
      </c>
      <c r="B323" s="18" t="s">
        <v>322</v>
      </c>
      <c r="C323" s="18" t="s">
        <v>60</v>
      </c>
      <c r="D323" s="18">
        <v>0</v>
      </c>
      <c r="E323" s="18">
        <v>0</v>
      </c>
    </row>
    <row r="324" spans="1:5" x14ac:dyDescent="0.2">
      <c r="A324" s="18" t="s">
        <v>384</v>
      </c>
      <c r="B324" s="18" t="s">
        <v>322</v>
      </c>
      <c r="C324" s="18" t="s">
        <v>63</v>
      </c>
      <c r="D324" s="18">
        <v>0</v>
      </c>
      <c r="E324" s="18">
        <v>0</v>
      </c>
    </row>
    <row r="325" spans="1:5" x14ac:dyDescent="0.2">
      <c r="A325" s="18" t="s">
        <v>385</v>
      </c>
      <c r="B325" s="18" t="s">
        <v>322</v>
      </c>
      <c r="C325" s="18" t="s">
        <v>60</v>
      </c>
      <c r="D325" s="18">
        <v>0</v>
      </c>
      <c r="E325" s="18">
        <v>0</v>
      </c>
    </row>
    <row r="326" spans="1:5" x14ac:dyDescent="0.2">
      <c r="A326" s="18" t="s">
        <v>386</v>
      </c>
      <c r="B326" s="18" t="s">
        <v>322</v>
      </c>
      <c r="C326" s="18" t="s">
        <v>60</v>
      </c>
      <c r="D326" s="18">
        <v>0</v>
      </c>
      <c r="E326" s="18">
        <v>0</v>
      </c>
    </row>
    <row r="327" spans="1:5" x14ac:dyDescent="0.2">
      <c r="A327" s="18" t="s">
        <v>387</v>
      </c>
      <c r="B327" s="18" t="s">
        <v>322</v>
      </c>
      <c r="C327" s="18" t="s">
        <v>60</v>
      </c>
      <c r="D327" s="18">
        <v>0</v>
      </c>
      <c r="E327" s="18">
        <v>0</v>
      </c>
    </row>
    <row r="328" spans="1:5" x14ac:dyDescent="0.2">
      <c r="A328" s="18" t="s">
        <v>388</v>
      </c>
      <c r="B328" s="18" t="s">
        <v>322</v>
      </c>
      <c r="C328" s="18" t="s">
        <v>63</v>
      </c>
      <c r="D328" s="18">
        <v>0</v>
      </c>
      <c r="E328" s="18">
        <v>0</v>
      </c>
    </row>
    <row r="329" spans="1:5" x14ac:dyDescent="0.2">
      <c r="A329" s="18" t="s">
        <v>389</v>
      </c>
      <c r="B329" s="18" t="s">
        <v>322</v>
      </c>
      <c r="C329" s="18" t="s">
        <v>63</v>
      </c>
      <c r="D329" s="18">
        <v>0</v>
      </c>
      <c r="E329" s="18">
        <v>0</v>
      </c>
    </row>
    <row r="330" spans="1:5" x14ac:dyDescent="0.2">
      <c r="A330" s="18" t="s">
        <v>390</v>
      </c>
      <c r="B330" s="18" t="s">
        <v>322</v>
      </c>
      <c r="C330" s="18" t="s">
        <v>60</v>
      </c>
      <c r="D330" s="18">
        <v>0</v>
      </c>
      <c r="E330" s="18">
        <v>0</v>
      </c>
    </row>
    <row r="331" spans="1:5" x14ac:dyDescent="0.2">
      <c r="A331" s="18" t="s">
        <v>391</v>
      </c>
      <c r="B331" s="18" t="s">
        <v>322</v>
      </c>
      <c r="C331" s="18" t="s">
        <v>63</v>
      </c>
      <c r="D331" s="18">
        <v>0</v>
      </c>
      <c r="E331" s="18">
        <v>0</v>
      </c>
    </row>
    <row r="332" spans="1:5" x14ac:dyDescent="0.2">
      <c r="A332" s="18" t="s">
        <v>392</v>
      </c>
      <c r="B332" s="18" t="s">
        <v>322</v>
      </c>
      <c r="C332" s="18" t="s">
        <v>60</v>
      </c>
      <c r="D332" s="18">
        <v>0</v>
      </c>
      <c r="E332" s="18">
        <v>0</v>
      </c>
    </row>
    <row r="333" spans="1:5" x14ac:dyDescent="0.2">
      <c r="A333" s="18" t="s">
        <v>393</v>
      </c>
      <c r="B333" s="18" t="s">
        <v>322</v>
      </c>
      <c r="C333" s="18" t="s">
        <v>63</v>
      </c>
      <c r="D333" s="18">
        <v>0</v>
      </c>
      <c r="E333" s="18">
        <v>0</v>
      </c>
    </row>
    <row r="334" spans="1:5" x14ac:dyDescent="0.2">
      <c r="A334" s="18" t="s">
        <v>394</v>
      </c>
      <c r="B334" s="18" t="s">
        <v>322</v>
      </c>
      <c r="C334" s="18" t="s">
        <v>63</v>
      </c>
      <c r="D334" s="18">
        <v>1</v>
      </c>
      <c r="E334" s="18">
        <v>7126.38</v>
      </c>
    </row>
    <row r="335" spans="1:5" x14ac:dyDescent="0.2">
      <c r="A335" s="18" t="s">
        <v>395</v>
      </c>
      <c r="B335" s="18" t="s">
        <v>322</v>
      </c>
      <c r="C335" s="18" t="s">
        <v>63</v>
      </c>
      <c r="D335" s="18">
        <v>0</v>
      </c>
      <c r="E335" s="18">
        <v>0</v>
      </c>
    </row>
    <row r="336" spans="1:5" x14ac:dyDescent="0.2">
      <c r="A336" s="18" t="s">
        <v>396</v>
      </c>
      <c r="B336" s="18" t="s">
        <v>322</v>
      </c>
      <c r="C336" s="18" t="s">
        <v>60</v>
      </c>
      <c r="D336" s="18">
        <v>0</v>
      </c>
      <c r="E336" s="18">
        <v>0</v>
      </c>
    </row>
    <row r="337" spans="1:5" x14ac:dyDescent="0.2">
      <c r="A337" s="18" t="s">
        <v>397</v>
      </c>
      <c r="B337" s="18" t="s">
        <v>322</v>
      </c>
      <c r="C337" s="18" t="s">
        <v>63</v>
      </c>
      <c r="D337" s="18">
        <v>0</v>
      </c>
      <c r="E337" s="18">
        <v>0</v>
      </c>
    </row>
    <row r="338" spans="1:5" x14ac:dyDescent="0.2">
      <c r="A338" s="18" t="s">
        <v>398</v>
      </c>
      <c r="B338" s="18" t="s">
        <v>322</v>
      </c>
      <c r="C338" s="18" t="s">
        <v>63</v>
      </c>
      <c r="D338" s="18">
        <v>0</v>
      </c>
      <c r="E338" s="18">
        <v>0</v>
      </c>
    </row>
    <row r="339" spans="1:5" x14ac:dyDescent="0.2">
      <c r="A339" s="18" t="s">
        <v>399</v>
      </c>
      <c r="B339" s="18" t="s">
        <v>322</v>
      </c>
      <c r="C339" s="18" t="s">
        <v>63</v>
      </c>
      <c r="D339" s="18">
        <v>0</v>
      </c>
      <c r="E339" s="18">
        <v>0</v>
      </c>
    </row>
    <row r="340" spans="1:5" x14ac:dyDescent="0.2">
      <c r="A340" s="18" t="s">
        <v>400</v>
      </c>
      <c r="B340" s="18" t="s">
        <v>322</v>
      </c>
      <c r="C340" s="18" t="s">
        <v>60</v>
      </c>
      <c r="D340" s="18">
        <v>0</v>
      </c>
      <c r="E340" s="18">
        <v>0</v>
      </c>
    </row>
    <row r="341" spans="1:5" x14ac:dyDescent="0.2">
      <c r="A341" s="18" t="s">
        <v>401</v>
      </c>
      <c r="B341" s="18" t="s">
        <v>322</v>
      </c>
      <c r="C341" s="18" t="s">
        <v>63</v>
      </c>
      <c r="D341" s="18">
        <v>0</v>
      </c>
      <c r="E341" s="18">
        <v>0</v>
      </c>
    </row>
    <row r="342" spans="1:5" x14ac:dyDescent="0.2">
      <c r="A342" s="18" t="s">
        <v>402</v>
      </c>
      <c r="B342" s="18" t="s">
        <v>322</v>
      </c>
      <c r="C342" s="18" t="s">
        <v>63</v>
      </c>
      <c r="D342" s="18">
        <v>1</v>
      </c>
      <c r="E342" s="18">
        <v>6308.83</v>
      </c>
    </row>
    <row r="343" spans="1:5" x14ac:dyDescent="0.2">
      <c r="A343" s="18" t="s">
        <v>403</v>
      </c>
      <c r="B343" s="18" t="s">
        <v>322</v>
      </c>
      <c r="C343" s="18" t="s">
        <v>60</v>
      </c>
      <c r="D343" s="18">
        <v>0</v>
      </c>
      <c r="E343" s="18">
        <v>0</v>
      </c>
    </row>
    <row r="344" spans="1:5" x14ac:dyDescent="0.2">
      <c r="A344" s="18" t="s">
        <v>404</v>
      </c>
      <c r="B344" s="18" t="s">
        <v>322</v>
      </c>
      <c r="C344" s="18" t="s">
        <v>60</v>
      </c>
      <c r="D344" s="18">
        <v>0</v>
      </c>
      <c r="E344" s="18">
        <v>0</v>
      </c>
    </row>
    <row r="345" spans="1:5" x14ac:dyDescent="0.2">
      <c r="A345" s="18" t="s">
        <v>405</v>
      </c>
      <c r="B345" s="18" t="s">
        <v>322</v>
      </c>
      <c r="C345" s="18" t="s">
        <v>63</v>
      </c>
      <c r="D345" s="18">
        <v>1</v>
      </c>
      <c r="E345" s="18">
        <v>5024.82</v>
      </c>
    </row>
    <row r="346" spans="1:5" x14ac:dyDescent="0.2">
      <c r="A346" s="18" t="s">
        <v>406</v>
      </c>
      <c r="B346" s="18" t="s">
        <v>322</v>
      </c>
      <c r="C346" s="18" t="s">
        <v>63</v>
      </c>
      <c r="D346" s="18">
        <v>0</v>
      </c>
      <c r="E346" s="18">
        <v>0</v>
      </c>
    </row>
    <row r="347" spans="1:5" x14ac:dyDescent="0.2">
      <c r="A347" s="18" t="s">
        <v>407</v>
      </c>
      <c r="B347" s="18" t="s">
        <v>322</v>
      </c>
      <c r="C347" s="18" t="s">
        <v>60</v>
      </c>
      <c r="D347" s="18">
        <v>0</v>
      </c>
      <c r="E347" s="18">
        <v>0</v>
      </c>
    </row>
    <row r="348" spans="1:5" x14ac:dyDescent="0.2">
      <c r="A348" s="18" t="s">
        <v>408</v>
      </c>
      <c r="B348" s="18" t="s">
        <v>322</v>
      </c>
      <c r="C348" s="18" t="s">
        <v>60</v>
      </c>
      <c r="D348" s="18">
        <v>0</v>
      </c>
      <c r="E348" s="18">
        <v>0</v>
      </c>
    </row>
    <row r="349" spans="1:5" x14ac:dyDescent="0.2">
      <c r="A349" s="18" t="s">
        <v>409</v>
      </c>
      <c r="B349" s="18" t="s">
        <v>322</v>
      </c>
      <c r="C349" s="18" t="s">
        <v>63</v>
      </c>
      <c r="D349" s="18">
        <v>0</v>
      </c>
      <c r="E349" s="18">
        <v>0</v>
      </c>
    </row>
    <row r="350" spans="1:5" x14ac:dyDescent="0.2">
      <c r="A350" s="18" t="s">
        <v>410</v>
      </c>
      <c r="B350" s="18" t="s">
        <v>322</v>
      </c>
      <c r="C350" s="18" t="s">
        <v>60</v>
      </c>
      <c r="D350" s="18">
        <v>0</v>
      </c>
      <c r="E350" s="18">
        <v>0</v>
      </c>
    </row>
    <row r="351" spans="1:5" x14ac:dyDescent="0.2">
      <c r="A351" s="18" t="s">
        <v>411</v>
      </c>
      <c r="B351" s="18" t="s">
        <v>322</v>
      </c>
      <c r="C351" s="18" t="s">
        <v>60</v>
      </c>
      <c r="D351" s="18">
        <v>0</v>
      </c>
      <c r="E351" s="18">
        <v>0</v>
      </c>
    </row>
    <row r="352" spans="1:5" x14ac:dyDescent="0.2">
      <c r="A352" s="18" t="s">
        <v>412</v>
      </c>
      <c r="B352" s="18" t="s">
        <v>322</v>
      </c>
      <c r="C352" s="18" t="s">
        <v>60</v>
      </c>
      <c r="D352" s="18">
        <v>1</v>
      </c>
      <c r="E352" s="18">
        <v>5567.64</v>
      </c>
    </row>
    <row r="353" spans="1:5" x14ac:dyDescent="0.2">
      <c r="A353" s="18" t="s">
        <v>413</v>
      </c>
      <c r="B353" s="18" t="s">
        <v>322</v>
      </c>
      <c r="C353" s="18" t="s">
        <v>60</v>
      </c>
      <c r="D353" s="18">
        <v>0</v>
      </c>
      <c r="E353" s="18">
        <v>0</v>
      </c>
    </row>
    <row r="354" spans="1:5" x14ac:dyDescent="0.2">
      <c r="A354" s="18" t="s">
        <v>414</v>
      </c>
      <c r="B354" s="18" t="s">
        <v>322</v>
      </c>
      <c r="C354" s="18" t="s">
        <v>60</v>
      </c>
      <c r="D354" s="18">
        <v>1</v>
      </c>
      <c r="E354" s="18">
        <v>2193.69</v>
      </c>
    </row>
    <row r="355" spans="1:5" x14ac:dyDescent="0.2">
      <c r="A355" s="18" t="s">
        <v>415</v>
      </c>
      <c r="B355" s="18" t="s">
        <v>322</v>
      </c>
      <c r="C355" s="18" t="s">
        <v>63</v>
      </c>
      <c r="D355" s="18">
        <v>0</v>
      </c>
      <c r="E355" s="18">
        <v>0</v>
      </c>
    </row>
    <row r="356" spans="1:5" x14ac:dyDescent="0.2">
      <c r="A356" s="18" t="s">
        <v>416</v>
      </c>
      <c r="B356" s="18" t="s">
        <v>322</v>
      </c>
      <c r="C356" s="18" t="s">
        <v>63</v>
      </c>
      <c r="D356" s="18">
        <v>1</v>
      </c>
      <c r="E356" s="18">
        <v>2045.12</v>
      </c>
    </row>
    <row r="357" spans="1:5" x14ac:dyDescent="0.2">
      <c r="A357" s="18" t="s">
        <v>417</v>
      </c>
      <c r="B357" s="18" t="s">
        <v>322</v>
      </c>
      <c r="C357" s="18" t="s">
        <v>60</v>
      </c>
      <c r="D357" s="18">
        <v>0</v>
      </c>
      <c r="E357" s="18">
        <v>0</v>
      </c>
    </row>
    <row r="358" spans="1:5" x14ac:dyDescent="0.2">
      <c r="A358" s="18" t="s">
        <v>418</v>
      </c>
      <c r="B358" s="18" t="s">
        <v>322</v>
      </c>
      <c r="C358" s="18" t="s">
        <v>60</v>
      </c>
      <c r="D358" s="18">
        <v>0</v>
      </c>
      <c r="E358" s="18">
        <v>0</v>
      </c>
    </row>
    <row r="359" spans="1:5" x14ac:dyDescent="0.2">
      <c r="A359" s="18" t="s">
        <v>419</v>
      </c>
      <c r="B359" s="18" t="s">
        <v>322</v>
      </c>
      <c r="C359" s="18" t="s">
        <v>60</v>
      </c>
      <c r="D359" s="18">
        <v>0</v>
      </c>
      <c r="E359" s="18">
        <v>0</v>
      </c>
    </row>
    <row r="360" spans="1:5" x14ac:dyDescent="0.2">
      <c r="A360" s="18" t="s">
        <v>420</v>
      </c>
      <c r="B360" s="18" t="s">
        <v>322</v>
      </c>
      <c r="C360" s="18" t="s">
        <v>63</v>
      </c>
      <c r="D360" s="18">
        <v>0</v>
      </c>
      <c r="E360" s="18">
        <v>0</v>
      </c>
    </row>
    <row r="361" spans="1:5" x14ac:dyDescent="0.2">
      <c r="A361" s="18" t="s">
        <v>421</v>
      </c>
      <c r="B361" s="18" t="s">
        <v>322</v>
      </c>
      <c r="C361" s="18" t="s">
        <v>63</v>
      </c>
      <c r="D361" s="18">
        <v>0</v>
      </c>
      <c r="E361" s="18">
        <v>0</v>
      </c>
    </row>
    <row r="362" spans="1:5" x14ac:dyDescent="0.2">
      <c r="A362" s="18" t="s">
        <v>422</v>
      </c>
      <c r="B362" s="18" t="s">
        <v>322</v>
      </c>
      <c r="C362" s="18" t="s">
        <v>63</v>
      </c>
      <c r="D362" s="18">
        <v>0</v>
      </c>
      <c r="E362" s="18">
        <v>0</v>
      </c>
    </row>
    <row r="363" spans="1:5" x14ac:dyDescent="0.2">
      <c r="A363" s="18" t="s">
        <v>423</v>
      </c>
      <c r="B363" s="18" t="s">
        <v>322</v>
      </c>
      <c r="C363" s="18" t="s">
        <v>63</v>
      </c>
      <c r="D363" s="18">
        <v>1</v>
      </c>
      <c r="E363" s="18">
        <v>5360.14</v>
      </c>
    </row>
    <row r="364" spans="1:5" x14ac:dyDescent="0.2">
      <c r="A364" s="18" t="s">
        <v>424</v>
      </c>
      <c r="B364" s="18" t="s">
        <v>322</v>
      </c>
      <c r="C364" s="18" t="s">
        <v>60</v>
      </c>
      <c r="D364" s="18">
        <v>0</v>
      </c>
      <c r="E364" s="18">
        <v>0</v>
      </c>
    </row>
    <row r="365" spans="1:5" x14ac:dyDescent="0.2">
      <c r="A365" s="18" t="s">
        <v>425</v>
      </c>
      <c r="B365" s="18" t="s">
        <v>322</v>
      </c>
      <c r="C365" s="18" t="s">
        <v>63</v>
      </c>
      <c r="D365" s="18">
        <v>0</v>
      </c>
      <c r="E365" s="18">
        <v>0</v>
      </c>
    </row>
    <row r="366" spans="1:5" x14ac:dyDescent="0.2">
      <c r="A366" s="18" t="s">
        <v>426</v>
      </c>
      <c r="B366" s="18" t="s">
        <v>322</v>
      </c>
      <c r="C366" s="18" t="s">
        <v>63</v>
      </c>
      <c r="D366" s="18">
        <v>0</v>
      </c>
      <c r="E366" s="18">
        <v>0</v>
      </c>
    </row>
    <row r="367" spans="1:5" x14ac:dyDescent="0.2">
      <c r="A367" s="18" t="s">
        <v>427</v>
      </c>
      <c r="B367" s="18" t="s">
        <v>322</v>
      </c>
      <c r="C367" s="18" t="s">
        <v>63</v>
      </c>
      <c r="D367" s="18">
        <v>1</v>
      </c>
      <c r="E367" s="18">
        <v>6649.96</v>
      </c>
    </row>
    <row r="368" spans="1:5" x14ac:dyDescent="0.2">
      <c r="A368" s="18" t="s">
        <v>428</v>
      </c>
      <c r="B368" s="18" t="s">
        <v>322</v>
      </c>
      <c r="C368" s="18" t="s">
        <v>63</v>
      </c>
      <c r="D368" s="18">
        <v>1</v>
      </c>
      <c r="E368" s="18">
        <v>8411.2199999999993</v>
      </c>
    </row>
    <row r="369" spans="1:5" x14ac:dyDescent="0.2">
      <c r="A369" s="18" t="s">
        <v>429</v>
      </c>
      <c r="B369" s="18" t="s">
        <v>322</v>
      </c>
      <c r="C369" s="18" t="s">
        <v>60</v>
      </c>
      <c r="D369" s="18">
        <v>0</v>
      </c>
      <c r="E369" s="18">
        <v>0</v>
      </c>
    </row>
    <row r="370" spans="1:5" x14ac:dyDescent="0.2">
      <c r="A370" s="18" t="s">
        <v>430</v>
      </c>
      <c r="B370" s="18" t="s">
        <v>322</v>
      </c>
      <c r="C370" s="18" t="s">
        <v>63</v>
      </c>
      <c r="D370" s="18">
        <v>0</v>
      </c>
      <c r="E370" s="18">
        <v>0</v>
      </c>
    </row>
    <row r="371" spans="1:5" x14ac:dyDescent="0.2">
      <c r="A371" s="18" t="s">
        <v>431</v>
      </c>
      <c r="B371" s="18" t="s">
        <v>322</v>
      </c>
      <c r="C371" s="18" t="s">
        <v>60</v>
      </c>
      <c r="D371" s="18">
        <v>0</v>
      </c>
      <c r="E371" s="18">
        <v>0</v>
      </c>
    </row>
    <row r="372" spans="1:5" x14ac:dyDescent="0.2">
      <c r="A372" s="18" t="s">
        <v>432</v>
      </c>
      <c r="B372" s="18" t="s">
        <v>322</v>
      </c>
      <c r="C372" s="18" t="s">
        <v>63</v>
      </c>
      <c r="D372" s="18">
        <v>0</v>
      </c>
      <c r="E372" s="18">
        <v>0</v>
      </c>
    </row>
    <row r="373" spans="1:5" x14ac:dyDescent="0.2">
      <c r="A373" s="18" t="s">
        <v>433</v>
      </c>
      <c r="B373" s="18" t="s">
        <v>322</v>
      </c>
      <c r="C373" s="18" t="s">
        <v>63</v>
      </c>
      <c r="D373" s="18">
        <v>0</v>
      </c>
      <c r="E373" s="18">
        <v>0</v>
      </c>
    </row>
    <row r="374" spans="1:5" x14ac:dyDescent="0.2">
      <c r="A374" s="18" t="s">
        <v>434</v>
      </c>
      <c r="B374" s="18" t="s">
        <v>322</v>
      </c>
      <c r="C374" s="18" t="s">
        <v>63</v>
      </c>
      <c r="D374" s="18">
        <v>0</v>
      </c>
      <c r="E374" s="18">
        <v>0</v>
      </c>
    </row>
    <row r="375" spans="1:5" x14ac:dyDescent="0.2">
      <c r="A375" s="18" t="s">
        <v>435</v>
      </c>
      <c r="B375" s="18" t="s">
        <v>322</v>
      </c>
      <c r="C375" s="18" t="s">
        <v>60</v>
      </c>
      <c r="D375" s="18">
        <v>0</v>
      </c>
      <c r="E375" s="18">
        <v>0</v>
      </c>
    </row>
    <row r="376" spans="1:5" x14ac:dyDescent="0.2">
      <c r="A376" s="18" t="s">
        <v>436</v>
      </c>
      <c r="B376" s="18" t="s">
        <v>322</v>
      </c>
      <c r="C376" s="18" t="s">
        <v>63</v>
      </c>
      <c r="D376" s="18">
        <v>0</v>
      </c>
      <c r="E376" s="18">
        <v>0</v>
      </c>
    </row>
    <row r="377" spans="1:5" x14ac:dyDescent="0.2">
      <c r="A377" s="18" t="s">
        <v>437</v>
      </c>
      <c r="B377" s="18" t="s">
        <v>322</v>
      </c>
      <c r="C377" s="18" t="s">
        <v>63</v>
      </c>
      <c r="D377" s="18">
        <v>1</v>
      </c>
      <c r="E377" s="18">
        <v>6506.37</v>
      </c>
    </row>
    <row r="378" spans="1:5" x14ac:dyDescent="0.2">
      <c r="A378" s="18" t="s">
        <v>438</v>
      </c>
      <c r="B378" s="18" t="s">
        <v>322</v>
      </c>
      <c r="C378" s="18" t="s">
        <v>63</v>
      </c>
      <c r="D378" s="18">
        <v>0</v>
      </c>
      <c r="E378" s="18">
        <v>0</v>
      </c>
    </row>
    <row r="379" spans="1:5" x14ac:dyDescent="0.2">
      <c r="A379" s="18" t="s">
        <v>439</v>
      </c>
      <c r="B379" s="18" t="s">
        <v>322</v>
      </c>
      <c r="C379" s="18" t="s">
        <v>63</v>
      </c>
      <c r="D379" s="18">
        <v>0</v>
      </c>
      <c r="E379" s="18">
        <v>0</v>
      </c>
    </row>
    <row r="380" spans="1:5" x14ac:dyDescent="0.2">
      <c r="A380" s="18" t="s">
        <v>440</v>
      </c>
      <c r="B380" s="18" t="s">
        <v>322</v>
      </c>
      <c r="C380" s="18" t="s">
        <v>63</v>
      </c>
      <c r="D380" s="18">
        <v>0</v>
      </c>
      <c r="E380" s="18">
        <v>0</v>
      </c>
    </row>
    <row r="381" spans="1:5" x14ac:dyDescent="0.2">
      <c r="A381" s="18" t="s">
        <v>441</v>
      </c>
      <c r="B381" s="18" t="s">
        <v>322</v>
      </c>
      <c r="C381" s="18" t="s">
        <v>60</v>
      </c>
      <c r="D381" s="18">
        <v>0</v>
      </c>
      <c r="E381" s="18">
        <v>0</v>
      </c>
    </row>
    <row r="382" spans="1:5" x14ac:dyDescent="0.2">
      <c r="A382" s="18" t="s">
        <v>442</v>
      </c>
      <c r="B382" s="18" t="s">
        <v>322</v>
      </c>
      <c r="C382" s="18" t="s">
        <v>63</v>
      </c>
      <c r="D382" s="18">
        <v>0</v>
      </c>
      <c r="E382" s="18">
        <v>0</v>
      </c>
    </row>
    <row r="383" spans="1:5" x14ac:dyDescent="0.2">
      <c r="A383" s="18" t="s">
        <v>443</v>
      </c>
      <c r="B383" s="18" t="s">
        <v>322</v>
      </c>
      <c r="C383" s="18" t="s">
        <v>63</v>
      </c>
      <c r="D383" s="18">
        <v>0</v>
      </c>
      <c r="E383" s="18">
        <v>0</v>
      </c>
    </row>
    <row r="384" spans="1:5" x14ac:dyDescent="0.2">
      <c r="A384" s="18" t="s">
        <v>444</v>
      </c>
      <c r="B384" s="18" t="s">
        <v>322</v>
      </c>
      <c r="C384" s="18" t="s">
        <v>63</v>
      </c>
      <c r="D384" s="18">
        <v>0</v>
      </c>
      <c r="E384" s="18">
        <v>0</v>
      </c>
    </row>
    <row r="385" spans="1:5" x14ac:dyDescent="0.2">
      <c r="A385" s="18" t="s">
        <v>445</v>
      </c>
      <c r="B385" s="18" t="s">
        <v>322</v>
      </c>
      <c r="C385" s="18" t="s">
        <v>63</v>
      </c>
      <c r="D385" s="18">
        <v>1</v>
      </c>
      <c r="E385" s="18">
        <v>4034.63</v>
      </c>
    </row>
    <row r="386" spans="1:5" x14ac:dyDescent="0.2">
      <c r="A386" s="18" t="s">
        <v>446</v>
      </c>
      <c r="B386" s="18" t="s">
        <v>322</v>
      </c>
      <c r="C386" s="18" t="s">
        <v>60</v>
      </c>
      <c r="D386" s="18">
        <v>0</v>
      </c>
      <c r="E386" s="18">
        <v>0</v>
      </c>
    </row>
    <row r="387" spans="1:5" x14ac:dyDescent="0.2">
      <c r="A387" s="18" t="s">
        <v>447</v>
      </c>
      <c r="B387" s="18" t="s">
        <v>322</v>
      </c>
      <c r="C387" s="18" t="s">
        <v>63</v>
      </c>
      <c r="D387" s="18">
        <v>0</v>
      </c>
      <c r="E387" s="18">
        <v>0</v>
      </c>
    </row>
    <row r="388" spans="1:5" x14ac:dyDescent="0.2">
      <c r="A388" s="18" t="s">
        <v>448</v>
      </c>
      <c r="B388" s="18" t="s">
        <v>322</v>
      </c>
      <c r="C388" s="18" t="s">
        <v>60</v>
      </c>
      <c r="D388" s="18">
        <v>1</v>
      </c>
      <c r="E388" s="18">
        <v>4686.18</v>
      </c>
    </row>
    <row r="389" spans="1:5" x14ac:dyDescent="0.2">
      <c r="A389" s="18" t="s">
        <v>449</v>
      </c>
      <c r="B389" s="18" t="s">
        <v>322</v>
      </c>
      <c r="C389" s="18" t="s">
        <v>63</v>
      </c>
      <c r="D389" s="18">
        <v>0</v>
      </c>
      <c r="E389" s="18">
        <v>0</v>
      </c>
    </row>
    <row r="390" spans="1:5" x14ac:dyDescent="0.2">
      <c r="A390" s="18" t="s">
        <v>450</v>
      </c>
      <c r="B390" s="18" t="s">
        <v>322</v>
      </c>
      <c r="C390" s="18" t="s">
        <v>63</v>
      </c>
      <c r="D390" s="18">
        <v>1</v>
      </c>
      <c r="E390" s="18">
        <v>5354.33</v>
      </c>
    </row>
    <row r="391" spans="1:5" x14ac:dyDescent="0.2">
      <c r="A391" s="18" t="s">
        <v>451</v>
      </c>
      <c r="B391" s="18" t="s">
        <v>322</v>
      </c>
      <c r="C391" s="18" t="s">
        <v>63</v>
      </c>
      <c r="D391" s="18">
        <v>0</v>
      </c>
      <c r="E391" s="18">
        <v>0</v>
      </c>
    </row>
    <row r="392" spans="1:5" x14ac:dyDescent="0.2">
      <c r="A392" s="18" t="s">
        <v>452</v>
      </c>
      <c r="B392" s="18" t="s">
        <v>322</v>
      </c>
      <c r="C392" s="18" t="s">
        <v>63</v>
      </c>
      <c r="D392" s="18">
        <v>0</v>
      </c>
      <c r="E392" s="18">
        <v>0</v>
      </c>
    </row>
    <row r="393" spans="1:5" x14ac:dyDescent="0.2">
      <c r="A393" s="18" t="s">
        <v>453</v>
      </c>
      <c r="B393" s="18" t="s">
        <v>322</v>
      </c>
      <c r="C393" s="18" t="s">
        <v>63</v>
      </c>
      <c r="D393" s="18">
        <v>0</v>
      </c>
      <c r="E393" s="18">
        <v>0</v>
      </c>
    </row>
    <row r="394" spans="1:5" x14ac:dyDescent="0.2">
      <c r="A394" s="18" t="s">
        <v>454</v>
      </c>
      <c r="B394" s="18" t="s">
        <v>322</v>
      </c>
      <c r="C394" s="18" t="s">
        <v>63</v>
      </c>
      <c r="D394" s="18">
        <v>0</v>
      </c>
      <c r="E394" s="18">
        <v>0</v>
      </c>
    </row>
    <row r="395" spans="1:5" x14ac:dyDescent="0.2">
      <c r="A395" s="18" t="s">
        <v>455</v>
      </c>
      <c r="B395" s="18" t="s">
        <v>322</v>
      </c>
      <c r="C395" s="18" t="s">
        <v>63</v>
      </c>
      <c r="D395" s="18">
        <v>0</v>
      </c>
      <c r="E395" s="18">
        <v>0</v>
      </c>
    </row>
    <row r="396" spans="1:5" x14ac:dyDescent="0.2">
      <c r="A396" s="18" t="s">
        <v>456</v>
      </c>
      <c r="B396" s="18" t="s">
        <v>322</v>
      </c>
      <c r="C396" s="18" t="s">
        <v>60</v>
      </c>
      <c r="D396" s="18">
        <v>1</v>
      </c>
      <c r="E396" s="18">
        <v>2773.03</v>
      </c>
    </row>
    <row r="397" spans="1:5" x14ac:dyDescent="0.2">
      <c r="A397" s="18" t="s">
        <v>457</v>
      </c>
      <c r="B397" s="18" t="s">
        <v>322</v>
      </c>
      <c r="C397" s="18" t="s">
        <v>63</v>
      </c>
      <c r="D397" s="18">
        <v>1</v>
      </c>
      <c r="E397" s="18">
        <v>7167.05</v>
      </c>
    </row>
    <row r="398" spans="1:5" x14ac:dyDescent="0.2">
      <c r="A398" s="18" t="s">
        <v>458</v>
      </c>
      <c r="B398" s="18" t="s">
        <v>322</v>
      </c>
      <c r="C398" s="18" t="s">
        <v>60</v>
      </c>
      <c r="D398" s="18">
        <v>1</v>
      </c>
      <c r="E398" s="18">
        <v>4886.21</v>
      </c>
    </row>
    <row r="399" spans="1:5" x14ac:dyDescent="0.2">
      <c r="A399" s="18" t="s">
        <v>459</v>
      </c>
      <c r="B399" s="18" t="s">
        <v>322</v>
      </c>
      <c r="C399" s="18" t="s">
        <v>63</v>
      </c>
      <c r="D399" s="18">
        <v>0</v>
      </c>
      <c r="E399" s="18">
        <v>0</v>
      </c>
    </row>
    <row r="400" spans="1:5" x14ac:dyDescent="0.2">
      <c r="A400" s="18" t="s">
        <v>460</v>
      </c>
      <c r="B400" s="18" t="s">
        <v>322</v>
      </c>
      <c r="C400" s="18" t="s">
        <v>63</v>
      </c>
      <c r="D400" s="18">
        <v>0</v>
      </c>
      <c r="E400" s="18">
        <v>0</v>
      </c>
    </row>
    <row r="401" spans="1:5" x14ac:dyDescent="0.2">
      <c r="A401" s="18" t="s">
        <v>461</v>
      </c>
      <c r="B401" s="18" t="s">
        <v>322</v>
      </c>
      <c r="C401" s="18" t="s">
        <v>60</v>
      </c>
      <c r="D401" s="18">
        <v>0</v>
      </c>
      <c r="E401" s="18">
        <v>0</v>
      </c>
    </row>
    <row r="402" spans="1:5" x14ac:dyDescent="0.2">
      <c r="A402" s="18" t="s">
        <v>462</v>
      </c>
      <c r="B402" s="18" t="s">
        <v>322</v>
      </c>
      <c r="C402" s="18" t="s">
        <v>63</v>
      </c>
      <c r="D402" s="18">
        <v>1</v>
      </c>
      <c r="E402" s="18">
        <v>4655.47</v>
      </c>
    </row>
    <row r="403" spans="1:5" x14ac:dyDescent="0.2">
      <c r="A403" s="18" t="s">
        <v>463</v>
      </c>
      <c r="B403" s="18" t="s">
        <v>322</v>
      </c>
      <c r="C403" s="18" t="s">
        <v>63</v>
      </c>
      <c r="D403" s="18">
        <v>0</v>
      </c>
      <c r="E403" s="18">
        <v>0</v>
      </c>
    </row>
    <row r="404" spans="1:5" x14ac:dyDescent="0.2">
      <c r="A404" s="18" t="s">
        <v>464</v>
      </c>
      <c r="B404" s="18" t="s">
        <v>322</v>
      </c>
      <c r="C404" s="18" t="s">
        <v>63</v>
      </c>
      <c r="D404" s="18">
        <v>0</v>
      </c>
      <c r="E404" s="18">
        <v>0</v>
      </c>
    </row>
    <row r="405" spans="1:5" x14ac:dyDescent="0.2">
      <c r="A405" s="18" t="s">
        <v>465</v>
      </c>
      <c r="B405" s="18" t="s">
        <v>322</v>
      </c>
      <c r="C405" s="18" t="s">
        <v>63</v>
      </c>
      <c r="D405" s="18">
        <v>0</v>
      </c>
      <c r="E405" s="18">
        <v>0</v>
      </c>
    </row>
    <row r="406" spans="1:5" x14ac:dyDescent="0.2">
      <c r="A406" s="18" t="s">
        <v>466</v>
      </c>
      <c r="B406" s="18" t="s">
        <v>322</v>
      </c>
      <c r="C406" s="18" t="s">
        <v>60</v>
      </c>
      <c r="D406" s="18">
        <v>0</v>
      </c>
      <c r="E406" s="18">
        <v>0</v>
      </c>
    </row>
    <row r="407" spans="1:5" x14ac:dyDescent="0.2">
      <c r="A407" s="18" t="s">
        <v>467</v>
      </c>
      <c r="B407" s="18" t="s">
        <v>322</v>
      </c>
      <c r="C407" s="18" t="s">
        <v>63</v>
      </c>
      <c r="D407" s="18">
        <v>0</v>
      </c>
      <c r="E407" s="18">
        <v>0</v>
      </c>
    </row>
    <row r="408" spans="1:5" x14ac:dyDescent="0.2">
      <c r="A408" s="18" t="s">
        <v>468</v>
      </c>
      <c r="B408" s="18" t="s">
        <v>322</v>
      </c>
      <c r="C408" s="18" t="s">
        <v>60</v>
      </c>
      <c r="D408" s="18">
        <v>1</v>
      </c>
      <c r="E408" s="18">
        <v>5594.2</v>
      </c>
    </row>
    <row r="409" spans="1:5" x14ac:dyDescent="0.2">
      <c r="A409" s="18" t="s">
        <v>469</v>
      </c>
      <c r="B409" s="18" t="s">
        <v>322</v>
      </c>
      <c r="C409" s="18" t="s">
        <v>60</v>
      </c>
      <c r="D409" s="18">
        <v>0</v>
      </c>
      <c r="E409" s="18">
        <v>0</v>
      </c>
    </row>
    <row r="410" spans="1:5" x14ac:dyDescent="0.2">
      <c r="A410" s="18" t="s">
        <v>470</v>
      </c>
      <c r="B410" s="18" t="s">
        <v>322</v>
      </c>
      <c r="C410" s="18" t="s">
        <v>60</v>
      </c>
      <c r="D410" s="18">
        <v>1</v>
      </c>
      <c r="E410" s="18">
        <v>6048.21</v>
      </c>
    </row>
    <row r="411" spans="1:5" x14ac:dyDescent="0.2">
      <c r="A411" s="18" t="s">
        <v>471</v>
      </c>
      <c r="B411" s="18" t="s">
        <v>322</v>
      </c>
      <c r="C411" s="18" t="s">
        <v>63</v>
      </c>
      <c r="D411" s="18">
        <v>0</v>
      </c>
      <c r="E411" s="18">
        <v>0</v>
      </c>
    </row>
    <row r="412" spans="1:5" x14ac:dyDescent="0.2">
      <c r="A412" s="18" t="s">
        <v>472</v>
      </c>
      <c r="B412" s="18" t="s">
        <v>322</v>
      </c>
      <c r="C412" s="18" t="s">
        <v>60</v>
      </c>
      <c r="D412" s="18">
        <v>1</v>
      </c>
      <c r="E412" s="18">
        <v>4810.68</v>
      </c>
    </row>
    <row r="413" spans="1:5" x14ac:dyDescent="0.2">
      <c r="A413" s="18" t="s">
        <v>473</v>
      </c>
      <c r="B413" s="18" t="s">
        <v>322</v>
      </c>
      <c r="C413" s="18" t="s">
        <v>63</v>
      </c>
      <c r="D413" s="18">
        <v>0</v>
      </c>
      <c r="E413" s="18">
        <v>0</v>
      </c>
    </row>
    <row r="414" spans="1:5" x14ac:dyDescent="0.2">
      <c r="A414" s="18" t="s">
        <v>474</v>
      </c>
      <c r="B414" s="18" t="s">
        <v>322</v>
      </c>
      <c r="C414" s="18" t="s">
        <v>60</v>
      </c>
      <c r="D414" s="18">
        <v>0</v>
      </c>
      <c r="E414" s="18">
        <v>0</v>
      </c>
    </row>
    <row r="415" spans="1:5" x14ac:dyDescent="0.2">
      <c r="A415" s="18" t="s">
        <v>475</v>
      </c>
      <c r="B415" s="18" t="s">
        <v>322</v>
      </c>
      <c r="C415" s="18" t="s">
        <v>63</v>
      </c>
      <c r="D415" s="18">
        <v>0</v>
      </c>
      <c r="E415" s="18">
        <v>0</v>
      </c>
    </row>
    <row r="416" spans="1:5" x14ac:dyDescent="0.2">
      <c r="A416" s="18" t="s">
        <v>476</v>
      </c>
      <c r="B416" s="18" t="s">
        <v>322</v>
      </c>
      <c r="C416" s="18" t="s">
        <v>63</v>
      </c>
      <c r="D416" s="18">
        <v>1</v>
      </c>
      <c r="E416" s="18">
        <v>5321.13</v>
      </c>
    </row>
    <row r="417" spans="1:5" x14ac:dyDescent="0.2">
      <c r="A417" s="18" t="s">
        <v>477</v>
      </c>
      <c r="B417" s="18" t="s">
        <v>322</v>
      </c>
      <c r="C417" s="18" t="s">
        <v>60</v>
      </c>
      <c r="D417" s="18">
        <v>0</v>
      </c>
      <c r="E417" s="18">
        <v>0</v>
      </c>
    </row>
    <row r="418" spans="1:5" x14ac:dyDescent="0.2">
      <c r="A418" s="18" t="s">
        <v>478</v>
      </c>
      <c r="B418" s="18" t="s">
        <v>322</v>
      </c>
      <c r="C418" s="18" t="s">
        <v>60</v>
      </c>
      <c r="D418" s="18">
        <v>0</v>
      </c>
      <c r="E418" s="18">
        <v>0</v>
      </c>
    </row>
    <row r="419" spans="1:5" x14ac:dyDescent="0.2">
      <c r="A419" s="18" t="s">
        <v>479</v>
      </c>
      <c r="B419" s="18" t="s">
        <v>322</v>
      </c>
      <c r="C419" s="18" t="s">
        <v>63</v>
      </c>
      <c r="D419" s="18">
        <v>0</v>
      </c>
      <c r="E419" s="18">
        <v>0</v>
      </c>
    </row>
    <row r="420" spans="1:5" x14ac:dyDescent="0.2">
      <c r="A420" s="18" t="s">
        <v>480</v>
      </c>
      <c r="B420" s="18" t="s">
        <v>322</v>
      </c>
      <c r="C420" s="18" t="s">
        <v>63</v>
      </c>
      <c r="D420" s="18">
        <v>0</v>
      </c>
      <c r="E420" s="18">
        <v>0</v>
      </c>
    </row>
    <row r="421" spans="1:5" x14ac:dyDescent="0.2">
      <c r="A421" s="18" t="s">
        <v>481</v>
      </c>
      <c r="B421" s="18" t="s">
        <v>322</v>
      </c>
      <c r="C421" s="18" t="s">
        <v>63</v>
      </c>
      <c r="D421" s="18">
        <v>1</v>
      </c>
      <c r="E421" s="18">
        <v>2545.61</v>
      </c>
    </row>
    <row r="422" spans="1:5" x14ac:dyDescent="0.2">
      <c r="A422" s="18" t="s">
        <v>482</v>
      </c>
      <c r="B422" s="18" t="s">
        <v>322</v>
      </c>
      <c r="C422" s="18" t="s">
        <v>63</v>
      </c>
      <c r="D422" s="18">
        <v>1</v>
      </c>
      <c r="E422" s="18">
        <v>3605.52</v>
      </c>
    </row>
    <row r="423" spans="1:5" x14ac:dyDescent="0.2">
      <c r="A423" s="18" t="s">
        <v>483</v>
      </c>
      <c r="B423" s="18" t="s">
        <v>322</v>
      </c>
      <c r="C423" s="18" t="s">
        <v>63</v>
      </c>
      <c r="D423" s="18">
        <v>1</v>
      </c>
      <c r="E423" s="18">
        <v>5546.06</v>
      </c>
    </row>
    <row r="424" spans="1:5" x14ac:dyDescent="0.2">
      <c r="A424" s="18" t="s">
        <v>484</v>
      </c>
      <c r="B424" s="18" t="s">
        <v>322</v>
      </c>
      <c r="C424" s="18" t="s">
        <v>63</v>
      </c>
      <c r="D424" s="18">
        <v>0</v>
      </c>
      <c r="E424" s="18">
        <v>0</v>
      </c>
    </row>
    <row r="425" spans="1:5" x14ac:dyDescent="0.2">
      <c r="A425" s="18" t="s">
        <v>485</v>
      </c>
      <c r="B425" s="18" t="s">
        <v>322</v>
      </c>
      <c r="C425" s="18" t="s">
        <v>60</v>
      </c>
      <c r="D425" s="18">
        <v>0</v>
      </c>
      <c r="E425" s="18">
        <v>0</v>
      </c>
    </row>
    <row r="426" spans="1:5" x14ac:dyDescent="0.2">
      <c r="A426" s="18" t="s">
        <v>486</v>
      </c>
      <c r="B426" s="18" t="s">
        <v>322</v>
      </c>
      <c r="C426" s="18" t="s">
        <v>60</v>
      </c>
      <c r="D426" s="18">
        <v>0</v>
      </c>
      <c r="E426" s="18">
        <v>0</v>
      </c>
    </row>
    <row r="427" spans="1:5" x14ac:dyDescent="0.2">
      <c r="A427" s="18" t="s">
        <v>487</v>
      </c>
      <c r="B427" s="18" t="s">
        <v>322</v>
      </c>
      <c r="C427" s="18" t="s">
        <v>63</v>
      </c>
      <c r="D427" s="18">
        <v>0</v>
      </c>
      <c r="E427" s="18">
        <v>0</v>
      </c>
    </row>
    <row r="428" spans="1:5" x14ac:dyDescent="0.2">
      <c r="A428" s="18" t="s">
        <v>488</v>
      </c>
      <c r="B428" s="18" t="s">
        <v>322</v>
      </c>
      <c r="C428" s="18" t="s">
        <v>60</v>
      </c>
      <c r="D428" s="18">
        <v>0</v>
      </c>
      <c r="E428" s="18">
        <v>0</v>
      </c>
    </row>
    <row r="429" spans="1:5" x14ac:dyDescent="0.2">
      <c r="A429" s="18" t="s">
        <v>489</v>
      </c>
      <c r="B429" s="18" t="s">
        <v>322</v>
      </c>
      <c r="C429" s="18" t="s">
        <v>63</v>
      </c>
      <c r="D429" s="18">
        <v>0</v>
      </c>
      <c r="E429" s="18">
        <v>0</v>
      </c>
    </row>
    <row r="430" spans="1:5" x14ac:dyDescent="0.2">
      <c r="A430" s="18" t="s">
        <v>490</v>
      </c>
      <c r="B430" s="18" t="s">
        <v>322</v>
      </c>
      <c r="C430" s="18" t="s">
        <v>60</v>
      </c>
      <c r="D430" s="18">
        <v>1</v>
      </c>
      <c r="E430" s="18">
        <v>7222.66</v>
      </c>
    </row>
    <row r="431" spans="1:5" x14ac:dyDescent="0.2">
      <c r="A431" s="18" t="s">
        <v>491</v>
      </c>
      <c r="B431" s="18" t="s">
        <v>322</v>
      </c>
      <c r="C431" s="18" t="s">
        <v>63</v>
      </c>
      <c r="D431" s="18">
        <v>0</v>
      </c>
      <c r="E431" s="18">
        <v>0</v>
      </c>
    </row>
    <row r="432" spans="1:5" x14ac:dyDescent="0.2">
      <c r="A432" s="18" t="s">
        <v>492</v>
      </c>
      <c r="B432" s="18" t="s">
        <v>322</v>
      </c>
      <c r="C432" s="18" t="s">
        <v>63</v>
      </c>
      <c r="D432" s="18">
        <v>0</v>
      </c>
      <c r="E432" s="18">
        <v>0</v>
      </c>
    </row>
    <row r="433" spans="1:5" x14ac:dyDescent="0.2">
      <c r="A433" s="18" t="s">
        <v>493</v>
      </c>
      <c r="B433" s="18" t="s">
        <v>322</v>
      </c>
      <c r="C433" s="18" t="s">
        <v>63</v>
      </c>
      <c r="D433" s="18">
        <v>0</v>
      </c>
      <c r="E433" s="18">
        <v>0</v>
      </c>
    </row>
    <row r="434" spans="1:5" x14ac:dyDescent="0.2">
      <c r="A434" s="18" t="s">
        <v>494</v>
      </c>
      <c r="B434" s="18" t="s">
        <v>322</v>
      </c>
      <c r="C434" s="18" t="s">
        <v>63</v>
      </c>
      <c r="D434" s="18">
        <v>0</v>
      </c>
      <c r="E434" s="18">
        <v>0</v>
      </c>
    </row>
    <row r="435" spans="1:5" x14ac:dyDescent="0.2">
      <c r="A435" s="18" t="s">
        <v>495</v>
      </c>
      <c r="B435" s="18" t="s">
        <v>322</v>
      </c>
      <c r="C435" s="18" t="s">
        <v>60</v>
      </c>
      <c r="D435" s="18">
        <v>0</v>
      </c>
      <c r="E435" s="18">
        <v>0</v>
      </c>
    </row>
    <row r="436" spans="1:5" x14ac:dyDescent="0.2">
      <c r="A436" s="18" t="s">
        <v>496</v>
      </c>
      <c r="B436" s="18" t="s">
        <v>322</v>
      </c>
      <c r="C436" s="18" t="s">
        <v>60</v>
      </c>
      <c r="D436" s="18">
        <v>0</v>
      </c>
      <c r="E436" s="18">
        <v>0</v>
      </c>
    </row>
    <row r="437" spans="1:5" x14ac:dyDescent="0.2">
      <c r="A437" s="18" t="s">
        <v>497</v>
      </c>
      <c r="B437" s="18" t="s">
        <v>322</v>
      </c>
      <c r="C437" s="18" t="s">
        <v>63</v>
      </c>
      <c r="D437" s="18">
        <v>0</v>
      </c>
      <c r="E437" s="18">
        <v>0</v>
      </c>
    </row>
    <row r="438" spans="1:5" x14ac:dyDescent="0.2">
      <c r="A438" s="18" t="s">
        <v>498</v>
      </c>
      <c r="B438" s="18" t="s">
        <v>322</v>
      </c>
      <c r="C438" s="18" t="s">
        <v>63</v>
      </c>
      <c r="D438" s="18">
        <v>0</v>
      </c>
      <c r="E438" s="18">
        <v>0</v>
      </c>
    </row>
    <row r="439" spans="1:5" x14ac:dyDescent="0.2">
      <c r="A439" s="18" t="s">
        <v>499</v>
      </c>
      <c r="B439" s="18" t="s">
        <v>322</v>
      </c>
      <c r="C439" s="18" t="s">
        <v>60</v>
      </c>
      <c r="D439" s="18">
        <v>0</v>
      </c>
      <c r="E439" s="18">
        <v>0</v>
      </c>
    </row>
    <row r="440" spans="1:5" x14ac:dyDescent="0.2">
      <c r="A440" s="18" t="s">
        <v>500</v>
      </c>
      <c r="B440" s="18" t="s">
        <v>322</v>
      </c>
      <c r="C440" s="18" t="s">
        <v>60</v>
      </c>
      <c r="D440" s="18">
        <v>0</v>
      </c>
      <c r="E440" s="18">
        <v>0</v>
      </c>
    </row>
    <row r="441" spans="1:5" x14ac:dyDescent="0.2">
      <c r="A441" s="18" t="s">
        <v>501</v>
      </c>
      <c r="B441" s="18" t="s">
        <v>322</v>
      </c>
      <c r="C441" s="18" t="s">
        <v>63</v>
      </c>
      <c r="D441" s="18">
        <v>1</v>
      </c>
      <c r="E441" s="18">
        <v>4634.72</v>
      </c>
    </row>
    <row r="442" spans="1:5" x14ac:dyDescent="0.2">
      <c r="A442" s="18" t="s">
        <v>502</v>
      </c>
      <c r="B442" s="18" t="s">
        <v>322</v>
      </c>
      <c r="C442" s="18" t="s">
        <v>63</v>
      </c>
      <c r="D442" s="18">
        <v>0</v>
      </c>
      <c r="E442" s="18">
        <v>0</v>
      </c>
    </row>
    <row r="443" spans="1:5" x14ac:dyDescent="0.2">
      <c r="A443" s="18" t="s">
        <v>503</v>
      </c>
      <c r="B443" s="18" t="s">
        <v>322</v>
      </c>
      <c r="C443" s="18" t="s">
        <v>60</v>
      </c>
      <c r="D443" s="18">
        <v>1</v>
      </c>
      <c r="E443" s="18">
        <v>4153.32</v>
      </c>
    </row>
    <row r="444" spans="1:5" x14ac:dyDescent="0.2">
      <c r="A444" s="18" t="s">
        <v>504</v>
      </c>
      <c r="B444" s="18" t="s">
        <v>322</v>
      </c>
      <c r="C444" s="18" t="s">
        <v>63</v>
      </c>
      <c r="D444" s="18">
        <v>0</v>
      </c>
      <c r="E444" s="18">
        <v>0</v>
      </c>
    </row>
    <row r="445" spans="1:5" x14ac:dyDescent="0.2">
      <c r="A445" s="18" t="s">
        <v>505</v>
      </c>
      <c r="B445" s="18" t="s">
        <v>322</v>
      </c>
      <c r="C445" s="18" t="s">
        <v>60</v>
      </c>
      <c r="D445" s="18">
        <v>0</v>
      </c>
      <c r="E445" s="18">
        <v>0</v>
      </c>
    </row>
    <row r="446" spans="1:5" x14ac:dyDescent="0.2">
      <c r="A446" s="18" t="s">
        <v>506</v>
      </c>
      <c r="B446" s="18" t="s">
        <v>322</v>
      </c>
      <c r="C446" s="18" t="s">
        <v>63</v>
      </c>
      <c r="D446" s="18">
        <v>0</v>
      </c>
      <c r="E446" s="18">
        <v>0</v>
      </c>
    </row>
    <row r="447" spans="1:5" x14ac:dyDescent="0.2">
      <c r="A447" s="18" t="s">
        <v>507</v>
      </c>
      <c r="B447" s="18" t="s">
        <v>322</v>
      </c>
      <c r="C447" s="18" t="s">
        <v>63</v>
      </c>
      <c r="D447" s="18">
        <v>0</v>
      </c>
      <c r="E447" s="18">
        <v>0</v>
      </c>
    </row>
    <row r="448" spans="1:5" x14ac:dyDescent="0.2">
      <c r="A448" s="18" t="s">
        <v>508</v>
      </c>
      <c r="B448" s="18" t="s">
        <v>322</v>
      </c>
      <c r="C448" s="18" t="s">
        <v>60</v>
      </c>
      <c r="D448" s="18">
        <v>0</v>
      </c>
      <c r="E448" s="18">
        <v>0</v>
      </c>
    </row>
    <row r="449" spans="1:5" x14ac:dyDescent="0.2">
      <c r="A449" s="18" t="s">
        <v>509</v>
      </c>
      <c r="B449" s="18" t="s">
        <v>322</v>
      </c>
      <c r="C449" s="18" t="s">
        <v>63</v>
      </c>
      <c r="D449" s="18">
        <v>0</v>
      </c>
      <c r="E449" s="18">
        <v>0</v>
      </c>
    </row>
    <row r="450" spans="1:5" x14ac:dyDescent="0.2">
      <c r="A450" s="18" t="s">
        <v>510</v>
      </c>
      <c r="B450" s="18" t="s">
        <v>322</v>
      </c>
      <c r="C450" s="18" t="s">
        <v>60</v>
      </c>
      <c r="D450" s="18">
        <v>1</v>
      </c>
      <c r="E450" s="18">
        <v>7442.61</v>
      </c>
    </row>
    <row r="451" spans="1:5" x14ac:dyDescent="0.2">
      <c r="A451" s="18" t="s">
        <v>511</v>
      </c>
      <c r="B451" s="18" t="s">
        <v>322</v>
      </c>
      <c r="C451" s="18" t="s">
        <v>63</v>
      </c>
      <c r="D451" s="18">
        <v>1</v>
      </c>
      <c r="E451" s="18">
        <v>4326.79</v>
      </c>
    </row>
    <row r="452" spans="1:5" x14ac:dyDescent="0.2">
      <c r="A452" s="18" t="s">
        <v>512</v>
      </c>
      <c r="B452" s="18" t="s">
        <v>322</v>
      </c>
      <c r="C452" s="18" t="s">
        <v>63</v>
      </c>
      <c r="D452" s="18">
        <v>0</v>
      </c>
      <c r="E452" s="18">
        <v>0</v>
      </c>
    </row>
    <row r="453" spans="1:5" x14ac:dyDescent="0.2">
      <c r="A453" s="18" t="s">
        <v>513</v>
      </c>
      <c r="B453" s="18" t="s">
        <v>322</v>
      </c>
      <c r="C453" s="18" t="s">
        <v>63</v>
      </c>
      <c r="D453" s="18">
        <v>1</v>
      </c>
      <c r="E453" s="18">
        <v>4849.6899999999996</v>
      </c>
    </row>
    <row r="454" spans="1:5" x14ac:dyDescent="0.2">
      <c r="A454" s="18" t="s">
        <v>514</v>
      </c>
      <c r="B454" s="18" t="s">
        <v>322</v>
      </c>
      <c r="C454" s="18" t="s">
        <v>60</v>
      </c>
      <c r="D454" s="18">
        <v>0</v>
      </c>
      <c r="E454" s="18">
        <v>0</v>
      </c>
    </row>
    <row r="455" spans="1:5" x14ac:dyDescent="0.2">
      <c r="A455" s="18" t="s">
        <v>515</v>
      </c>
      <c r="B455" s="18" t="s">
        <v>322</v>
      </c>
      <c r="C455" s="18" t="s">
        <v>63</v>
      </c>
      <c r="D455" s="18">
        <v>0</v>
      </c>
      <c r="E455" s="18">
        <v>0</v>
      </c>
    </row>
    <row r="456" spans="1:5" x14ac:dyDescent="0.2">
      <c r="A456" s="18" t="s">
        <v>516</v>
      </c>
      <c r="B456" s="18" t="s">
        <v>322</v>
      </c>
      <c r="C456" s="18" t="s">
        <v>60</v>
      </c>
      <c r="D456" s="18">
        <v>0</v>
      </c>
      <c r="E456" s="18">
        <v>0</v>
      </c>
    </row>
    <row r="457" spans="1:5" x14ac:dyDescent="0.2">
      <c r="A457" s="18" t="s">
        <v>517</v>
      </c>
      <c r="B457" s="18" t="s">
        <v>322</v>
      </c>
      <c r="C457" s="18" t="s">
        <v>60</v>
      </c>
      <c r="D457" s="18">
        <v>1</v>
      </c>
      <c r="E457" s="18">
        <v>4873.76</v>
      </c>
    </row>
    <row r="458" spans="1:5" x14ac:dyDescent="0.2">
      <c r="A458" s="18" t="s">
        <v>518</v>
      </c>
      <c r="B458" s="18" t="s">
        <v>322</v>
      </c>
      <c r="C458" s="18" t="s">
        <v>60</v>
      </c>
      <c r="D458" s="18">
        <v>0</v>
      </c>
      <c r="E458" s="18">
        <v>0</v>
      </c>
    </row>
    <row r="459" spans="1:5" x14ac:dyDescent="0.2">
      <c r="A459" s="18" t="s">
        <v>519</v>
      </c>
      <c r="B459" s="18" t="s">
        <v>322</v>
      </c>
      <c r="C459" s="18" t="s">
        <v>60</v>
      </c>
      <c r="D459" s="18">
        <v>0</v>
      </c>
      <c r="E459" s="18">
        <v>0</v>
      </c>
    </row>
    <row r="460" spans="1:5" x14ac:dyDescent="0.2">
      <c r="A460" s="18" t="s">
        <v>520</v>
      </c>
      <c r="B460" s="18" t="s">
        <v>322</v>
      </c>
      <c r="C460" s="18" t="s">
        <v>63</v>
      </c>
      <c r="D460" s="18">
        <v>0</v>
      </c>
      <c r="E460" s="18">
        <v>0</v>
      </c>
    </row>
    <row r="461" spans="1:5" x14ac:dyDescent="0.2">
      <c r="A461" s="18" t="s">
        <v>521</v>
      </c>
      <c r="B461" s="18" t="s">
        <v>322</v>
      </c>
      <c r="C461" s="18" t="s">
        <v>60</v>
      </c>
      <c r="D461" s="18">
        <v>0</v>
      </c>
      <c r="E461" s="18">
        <v>0</v>
      </c>
    </row>
    <row r="462" spans="1:5" x14ac:dyDescent="0.2">
      <c r="A462" s="18" t="s">
        <v>522</v>
      </c>
      <c r="B462" s="18" t="s">
        <v>322</v>
      </c>
      <c r="C462" s="18" t="s">
        <v>63</v>
      </c>
      <c r="D462" s="18">
        <v>0</v>
      </c>
      <c r="E462" s="18">
        <v>0</v>
      </c>
    </row>
    <row r="463" spans="1:5" x14ac:dyDescent="0.2">
      <c r="A463" s="18" t="s">
        <v>523</v>
      </c>
      <c r="B463" s="18" t="s">
        <v>322</v>
      </c>
      <c r="C463" s="18" t="s">
        <v>63</v>
      </c>
      <c r="D463" s="18">
        <v>0</v>
      </c>
      <c r="E463" s="18">
        <v>0</v>
      </c>
    </row>
    <row r="464" spans="1:5" x14ac:dyDescent="0.2">
      <c r="A464" s="18" t="s">
        <v>524</v>
      </c>
      <c r="B464" s="18" t="s">
        <v>322</v>
      </c>
      <c r="C464" s="18" t="s">
        <v>63</v>
      </c>
      <c r="D464" s="18">
        <v>1</v>
      </c>
      <c r="E464" s="18">
        <v>4112.6499999999996</v>
      </c>
    </row>
    <row r="465" spans="1:5" x14ac:dyDescent="0.2">
      <c r="A465" s="18" t="s">
        <v>525</v>
      </c>
      <c r="B465" s="18" t="s">
        <v>322</v>
      </c>
      <c r="C465" s="18" t="s">
        <v>60</v>
      </c>
      <c r="D465" s="18">
        <v>1</v>
      </c>
      <c r="E465" s="18">
        <v>4237.1499999999996</v>
      </c>
    </row>
    <row r="466" spans="1:5" x14ac:dyDescent="0.2">
      <c r="A466" s="18" t="s">
        <v>526</v>
      </c>
      <c r="B466" s="18" t="s">
        <v>322</v>
      </c>
      <c r="C466" s="18" t="s">
        <v>63</v>
      </c>
      <c r="D466" s="18">
        <v>0</v>
      </c>
      <c r="E466" s="18">
        <v>0</v>
      </c>
    </row>
    <row r="467" spans="1:5" x14ac:dyDescent="0.2">
      <c r="A467" s="18" t="s">
        <v>527</v>
      </c>
      <c r="B467" s="18" t="s">
        <v>322</v>
      </c>
      <c r="C467" s="18" t="s">
        <v>63</v>
      </c>
      <c r="D467" s="18">
        <v>1</v>
      </c>
      <c r="E467" s="18">
        <v>6303.02</v>
      </c>
    </row>
    <row r="468" spans="1:5" x14ac:dyDescent="0.2">
      <c r="A468" s="18" t="s">
        <v>528</v>
      </c>
      <c r="B468" s="18" t="s">
        <v>322</v>
      </c>
      <c r="C468" s="18" t="s">
        <v>63</v>
      </c>
      <c r="D468" s="18">
        <v>0</v>
      </c>
      <c r="E468" s="18">
        <v>0</v>
      </c>
    </row>
    <row r="469" spans="1:5" x14ac:dyDescent="0.2">
      <c r="A469" s="18" t="s">
        <v>529</v>
      </c>
      <c r="B469" s="18" t="s">
        <v>322</v>
      </c>
      <c r="C469" s="18" t="s">
        <v>63</v>
      </c>
      <c r="D469" s="18">
        <v>1</v>
      </c>
      <c r="E469" s="18">
        <v>3078.47</v>
      </c>
    </row>
    <row r="470" spans="1:5" x14ac:dyDescent="0.2">
      <c r="A470" s="18" t="s">
        <v>530</v>
      </c>
      <c r="B470" s="18" t="s">
        <v>322</v>
      </c>
      <c r="C470" s="18" t="s">
        <v>60</v>
      </c>
      <c r="D470" s="18">
        <v>0</v>
      </c>
      <c r="E470" s="18">
        <v>0</v>
      </c>
    </row>
    <row r="471" spans="1:5" x14ac:dyDescent="0.2">
      <c r="A471" s="18" t="s">
        <v>531</v>
      </c>
      <c r="B471" s="18" t="s">
        <v>322</v>
      </c>
      <c r="C471" s="18" t="s">
        <v>63</v>
      </c>
      <c r="D471" s="18">
        <v>0</v>
      </c>
      <c r="E471" s="18">
        <v>0</v>
      </c>
    </row>
    <row r="472" spans="1:5" x14ac:dyDescent="0.2">
      <c r="A472" s="18" t="s">
        <v>532</v>
      </c>
      <c r="B472" s="18" t="s">
        <v>322</v>
      </c>
      <c r="C472" s="18" t="s">
        <v>60</v>
      </c>
      <c r="D472" s="18">
        <v>0</v>
      </c>
      <c r="E472" s="18">
        <v>0</v>
      </c>
    </row>
    <row r="473" spans="1:5" x14ac:dyDescent="0.2">
      <c r="A473" s="18" t="s">
        <v>533</v>
      </c>
      <c r="B473" s="18" t="s">
        <v>322</v>
      </c>
      <c r="C473" s="18" t="s">
        <v>60</v>
      </c>
      <c r="D473" s="18">
        <v>0</v>
      </c>
      <c r="E473" s="18">
        <v>0</v>
      </c>
    </row>
    <row r="474" spans="1:5" x14ac:dyDescent="0.2">
      <c r="A474" s="18" t="s">
        <v>534</v>
      </c>
      <c r="B474" s="18" t="s">
        <v>322</v>
      </c>
      <c r="C474" s="18" t="s">
        <v>63</v>
      </c>
      <c r="D474" s="18">
        <v>0</v>
      </c>
      <c r="E474" s="18">
        <v>0</v>
      </c>
    </row>
    <row r="475" spans="1:5" x14ac:dyDescent="0.2">
      <c r="A475" s="18" t="s">
        <v>535</v>
      </c>
      <c r="B475" s="18" t="s">
        <v>322</v>
      </c>
      <c r="C475" s="18" t="s">
        <v>63</v>
      </c>
      <c r="D475" s="18">
        <v>0</v>
      </c>
      <c r="E475" s="18">
        <v>0</v>
      </c>
    </row>
    <row r="476" spans="1:5" x14ac:dyDescent="0.2">
      <c r="A476" s="18" t="s">
        <v>536</v>
      </c>
      <c r="B476" s="18" t="s">
        <v>322</v>
      </c>
      <c r="C476" s="18" t="s">
        <v>63</v>
      </c>
      <c r="D476" s="18">
        <v>0</v>
      </c>
      <c r="E476" s="18">
        <v>0</v>
      </c>
    </row>
    <row r="477" spans="1:5" x14ac:dyDescent="0.2">
      <c r="A477" s="18" t="s">
        <v>537</v>
      </c>
      <c r="B477" s="18" t="s">
        <v>322</v>
      </c>
      <c r="C477" s="18" t="s">
        <v>60</v>
      </c>
      <c r="D477" s="18">
        <v>0</v>
      </c>
      <c r="E477" s="18">
        <v>0</v>
      </c>
    </row>
    <row r="478" spans="1:5" x14ac:dyDescent="0.2">
      <c r="A478" s="18" t="s">
        <v>538</v>
      </c>
      <c r="B478" s="18" t="s">
        <v>322</v>
      </c>
      <c r="C478" s="18" t="s">
        <v>63</v>
      </c>
      <c r="D478" s="18">
        <v>1</v>
      </c>
      <c r="E478" s="18">
        <v>4549.2299999999996</v>
      </c>
    </row>
    <row r="479" spans="1:5" x14ac:dyDescent="0.2">
      <c r="A479" s="18" t="s">
        <v>539</v>
      </c>
      <c r="B479" s="18" t="s">
        <v>322</v>
      </c>
      <c r="C479" s="18" t="s">
        <v>60</v>
      </c>
      <c r="D479" s="18">
        <v>0</v>
      </c>
      <c r="E479" s="18">
        <v>0</v>
      </c>
    </row>
    <row r="480" spans="1:5" x14ac:dyDescent="0.2">
      <c r="A480" s="18" t="s">
        <v>540</v>
      </c>
      <c r="B480" s="18" t="s">
        <v>322</v>
      </c>
      <c r="C480" s="18" t="s">
        <v>63</v>
      </c>
      <c r="D480" s="18">
        <v>0</v>
      </c>
      <c r="E480" s="18">
        <v>0</v>
      </c>
    </row>
    <row r="481" spans="1:5" x14ac:dyDescent="0.2">
      <c r="A481" s="18" t="s">
        <v>541</v>
      </c>
      <c r="B481" s="18" t="s">
        <v>322</v>
      </c>
      <c r="C481" s="18" t="s">
        <v>60</v>
      </c>
      <c r="D481" s="18">
        <v>0</v>
      </c>
      <c r="E481" s="18">
        <v>0</v>
      </c>
    </row>
    <row r="482" spans="1:5" x14ac:dyDescent="0.2">
      <c r="A482" s="18" t="s">
        <v>542</v>
      </c>
      <c r="B482" s="18" t="s">
        <v>322</v>
      </c>
      <c r="C482" s="18" t="s">
        <v>63</v>
      </c>
      <c r="D482" s="18">
        <v>0</v>
      </c>
      <c r="E482" s="18">
        <v>0</v>
      </c>
    </row>
    <row r="483" spans="1:5" x14ac:dyDescent="0.2">
      <c r="A483" s="18" t="s">
        <v>543</v>
      </c>
      <c r="B483" s="18" t="s">
        <v>322</v>
      </c>
      <c r="C483" s="18" t="s">
        <v>63</v>
      </c>
      <c r="D483" s="18">
        <v>0</v>
      </c>
      <c r="E483" s="18">
        <v>0</v>
      </c>
    </row>
    <row r="484" spans="1:5" x14ac:dyDescent="0.2">
      <c r="A484" s="18" t="s">
        <v>544</v>
      </c>
      <c r="B484" s="18" t="s">
        <v>322</v>
      </c>
      <c r="C484" s="18" t="s">
        <v>60</v>
      </c>
      <c r="D484" s="18">
        <v>1</v>
      </c>
      <c r="E484" s="18">
        <v>6444.95</v>
      </c>
    </row>
    <row r="485" spans="1:5" x14ac:dyDescent="0.2">
      <c r="A485" s="18" t="s">
        <v>545</v>
      </c>
      <c r="B485" s="18" t="s">
        <v>322</v>
      </c>
      <c r="C485" s="18" t="s">
        <v>60</v>
      </c>
      <c r="D485" s="18">
        <v>0</v>
      </c>
      <c r="E485" s="18">
        <v>0</v>
      </c>
    </row>
    <row r="486" spans="1:5" x14ac:dyDescent="0.2">
      <c r="A486" s="18" t="s">
        <v>546</v>
      </c>
      <c r="B486" s="18" t="s">
        <v>322</v>
      </c>
      <c r="C486" s="18" t="s">
        <v>63</v>
      </c>
      <c r="D486" s="18">
        <v>0</v>
      </c>
      <c r="E486" s="18">
        <v>0</v>
      </c>
    </row>
    <row r="487" spans="1:5" x14ac:dyDescent="0.2">
      <c r="A487" s="18" t="s">
        <v>547</v>
      </c>
      <c r="B487" s="18" t="s">
        <v>322</v>
      </c>
      <c r="C487" s="18" t="s">
        <v>60</v>
      </c>
      <c r="D487" s="18">
        <v>1</v>
      </c>
      <c r="E487" s="18">
        <v>4007.24</v>
      </c>
    </row>
    <row r="488" spans="1:5" x14ac:dyDescent="0.2">
      <c r="A488" s="18" t="s">
        <v>548</v>
      </c>
      <c r="B488" s="18" t="s">
        <v>322</v>
      </c>
      <c r="C488" s="18" t="s">
        <v>63</v>
      </c>
      <c r="D488" s="18">
        <v>1</v>
      </c>
      <c r="E488" s="18">
        <v>7053.34</v>
      </c>
    </row>
    <row r="489" spans="1:5" x14ac:dyDescent="0.2">
      <c r="A489" s="18" t="s">
        <v>549</v>
      </c>
      <c r="B489" s="18" t="s">
        <v>322</v>
      </c>
      <c r="C489" s="18" t="s">
        <v>63</v>
      </c>
      <c r="D489" s="18">
        <v>1</v>
      </c>
      <c r="E489" s="18">
        <v>7957.21</v>
      </c>
    </row>
    <row r="490" spans="1:5" x14ac:dyDescent="0.2">
      <c r="A490" s="18" t="s">
        <v>550</v>
      </c>
      <c r="B490" s="18" t="s">
        <v>322</v>
      </c>
      <c r="C490" s="18" t="s">
        <v>63</v>
      </c>
      <c r="D490" s="18">
        <v>1</v>
      </c>
      <c r="E490" s="18">
        <v>5884.7</v>
      </c>
    </row>
    <row r="491" spans="1:5" x14ac:dyDescent="0.2">
      <c r="A491" s="18" t="s">
        <v>551</v>
      </c>
      <c r="B491" s="18" t="s">
        <v>322</v>
      </c>
      <c r="C491" s="18" t="s">
        <v>60</v>
      </c>
      <c r="D491" s="18">
        <v>0</v>
      </c>
      <c r="E491" s="18">
        <v>0</v>
      </c>
    </row>
    <row r="492" spans="1:5" x14ac:dyDescent="0.2">
      <c r="A492" s="18" t="s">
        <v>552</v>
      </c>
      <c r="B492" s="18" t="s">
        <v>322</v>
      </c>
      <c r="C492" s="18" t="s">
        <v>60</v>
      </c>
      <c r="D492" s="18">
        <v>0</v>
      </c>
      <c r="E492" s="18">
        <v>0</v>
      </c>
    </row>
    <row r="493" spans="1:5" x14ac:dyDescent="0.2">
      <c r="A493" s="18" t="s">
        <v>553</v>
      </c>
      <c r="B493" s="18" t="s">
        <v>322</v>
      </c>
      <c r="C493" s="18" t="s">
        <v>63</v>
      </c>
      <c r="D493" s="18">
        <v>0</v>
      </c>
      <c r="E493" s="18">
        <v>0</v>
      </c>
    </row>
    <row r="494" spans="1:5" x14ac:dyDescent="0.2">
      <c r="A494" s="18" t="s">
        <v>554</v>
      </c>
      <c r="B494" s="18" t="s">
        <v>322</v>
      </c>
      <c r="C494" s="18" t="s">
        <v>60</v>
      </c>
      <c r="D494" s="18">
        <v>1</v>
      </c>
      <c r="E494" s="18">
        <v>5896.32</v>
      </c>
    </row>
    <row r="495" spans="1:5" x14ac:dyDescent="0.2">
      <c r="A495" s="18" t="s">
        <v>555</v>
      </c>
      <c r="B495" s="18" t="s">
        <v>322</v>
      </c>
      <c r="C495" s="18" t="s">
        <v>60</v>
      </c>
      <c r="D495" s="18">
        <v>1</v>
      </c>
      <c r="E495" s="18">
        <v>6737.11</v>
      </c>
    </row>
    <row r="496" spans="1:5" x14ac:dyDescent="0.2">
      <c r="A496" s="18" t="s">
        <v>556</v>
      </c>
      <c r="B496" s="18" t="s">
        <v>322</v>
      </c>
      <c r="C496" s="18" t="s">
        <v>63</v>
      </c>
      <c r="D496" s="18">
        <v>0</v>
      </c>
      <c r="E496" s="18">
        <v>0</v>
      </c>
    </row>
    <row r="497" spans="1:5" x14ac:dyDescent="0.2">
      <c r="A497" s="18" t="s">
        <v>557</v>
      </c>
      <c r="B497" s="18" t="s">
        <v>322</v>
      </c>
      <c r="C497" s="18" t="s">
        <v>63</v>
      </c>
      <c r="D497" s="18">
        <v>0</v>
      </c>
      <c r="E497" s="18">
        <v>0</v>
      </c>
    </row>
    <row r="498" spans="1:5" x14ac:dyDescent="0.2">
      <c r="A498" s="18" t="s">
        <v>558</v>
      </c>
      <c r="B498" s="18" t="s">
        <v>322</v>
      </c>
      <c r="C498" s="18" t="s">
        <v>60</v>
      </c>
      <c r="D498" s="18">
        <v>0</v>
      </c>
      <c r="E498" s="18">
        <v>0</v>
      </c>
    </row>
    <row r="499" spans="1:5" x14ac:dyDescent="0.2">
      <c r="A499" s="18" t="s">
        <v>559</v>
      </c>
      <c r="B499" s="18" t="s">
        <v>322</v>
      </c>
      <c r="C499" s="18" t="s">
        <v>60</v>
      </c>
      <c r="D499" s="18">
        <v>0</v>
      </c>
      <c r="E499" s="18">
        <v>0</v>
      </c>
    </row>
    <row r="500" spans="1:5" x14ac:dyDescent="0.2">
      <c r="A500" s="18" t="s">
        <v>560</v>
      </c>
      <c r="B500" s="18" t="s">
        <v>322</v>
      </c>
      <c r="C500" s="18" t="s">
        <v>60</v>
      </c>
      <c r="D500" s="18">
        <v>0</v>
      </c>
      <c r="E500" s="18">
        <v>0</v>
      </c>
    </row>
    <row r="501" spans="1:5" x14ac:dyDescent="0.2">
      <c r="A501" s="18" t="s">
        <v>561</v>
      </c>
      <c r="B501" s="18" t="s">
        <v>322</v>
      </c>
      <c r="C501" s="18" t="s">
        <v>63</v>
      </c>
      <c r="D501" s="18">
        <v>0</v>
      </c>
      <c r="E501" s="18">
        <v>0</v>
      </c>
    </row>
    <row r="502" spans="1:5" x14ac:dyDescent="0.2">
      <c r="A502" s="18" t="s">
        <v>562</v>
      </c>
      <c r="B502" s="18" t="s">
        <v>322</v>
      </c>
      <c r="C502" s="18" t="s">
        <v>60</v>
      </c>
      <c r="D502" s="18">
        <v>0</v>
      </c>
      <c r="E502" s="18">
        <v>0</v>
      </c>
    </row>
    <row r="503" spans="1:5" x14ac:dyDescent="0.2">
      <c r="A503" s="18" t="s">
        <v>563</v>
      </c>
      <c r="B503" s="18" t="s">
        <v>322</v>
      </c>
      <c r="C503" s="18" t="s">
        <v>63</v>
      </c>
      <c r="D503" s="18">
        <v>1</v>
      </c>
      <c r="E503" s="18">
        <v>5348.52</v>
      </c>
    </row>
    <row r="504" spans="1:5" x14ac:dyDescent="0.2">
      <c r="A504" s="18" t="s">
        <v>564</v>
      </c>
      <c r="B504" s="18" t="s">
        <v>322</v>
      </c>
      <c r="C504" s="18" t="s">
        <v>63</v>
      </c>
      <c r="D504" s="18">
        <v>1</v>
      </c>
      <c r="E504" s="18">
        <v>4965.0600000000004</v>
      </c>
    </row>
    <row r="505" spans="1:5" x14ac:dyDescent="0.2">
      <c r="A505" s="18" t="s">
        <v>565</v>
      </c>
      <c r="B505" s="18" t="s">
        <v>322</v>
      </c>
      <c r="C505" s="18" t="s">
        <v>63</v>
      </c>
      <c r="D505" s="18">
        <v>0</v>
      </c>
      <c r="E505" s="18">
        <v>0</v>
      </c>
    </row>
    <row r="506" spans="1:5" x14ac:dyDescent="0.2">
      <c r="A506" s="18" t="s">
        <v>566</v>
      </c>
      <c r="B506" s="18" t="s">
        <v>322</v>
      </c>
      <c r="C506" s="18" t="s">
        <v>63</v>
      </c>
      <c r="D506" s="18">
        <v>0</v>
      </c>
      <c r="E506" s="18">
        <v>0</v>
      </c>
    </row>
    <row r="507" spans="1:5" x14ac:dyDescent="0.2">
      <c r="A507" s="18" t="s">
        <v>567</v>
      </c>
      <c r="B507" s="18" t="s">
        <v>322</v>
      </c>
      <c r="C507" s="18" t="s">
        <v>60</v>
      </c>
      <c r="D507" s="18">
        <v>0</v>
      </c>
      <c r="E507" s="18">
        <v>0</v>
      </c>
    </row>
    <row r="508" spans="1:5" x14ac:dyDescent="0.2">
      <c r="A508" s="18" t="s">
        <v>568</v>
      </c>
      <c r="B508" s="18" t="s">
        <v>322</v>
      </c>
      <c r="C508" s="18" t="s">
        <v>60</v>
      </c>
      <c r="D508" s="18">
        <v>0</v>
      </c>
      <c r="E508" s="18">
        <v>0</v>
      </c>
    </row>
    <row r="509" spans="1:5" x14ac:dyDescent="0.2">
      <c r="A509" s="18" t="s">
        <v>569</v>
      </c>
      <c r="B509" s="18" t="s">
        <v>322</v>
      </c>
      <c r="C509" s="18" t="s">
        <v>63</v>
      </c>
      <c r="D509" s="18">
        <v>1</v>
      </c>
      <c r="E509" s="18">
        <v>3262.73</v>
      </c>
    </row>
    <row r="510" spans="1:5" x14ac:dyDescent="0.2">
      <c r="A510" s="18" t="s">
        <v>570</v>
      </c>
      <c r="B510" s="18" t="s">
        <v>322</v>
      </c>
      <c r="C510" s="18" t="s">
        <v>60</v>
      </c>
      <c r="D510" s="18">
        <v>0</v>
      </c>
      <c r="E510" s="18">
        <v>0</v>
      </c>
    </row>
    <row r="511" spans="1:5" x14ac:dyDescent="0.2">
      <c r="A511" s="18" t="s">
        <v>571</v>
      </c>
      <c r="B511" s="18" t="s">
        <v>322</v>
      </c>
      <c r="C511" s="18" t="s">
        <v>63</v>
      </c>
      <c r="D511" s="18">
        <v>0</v>
      </c>
      <c r="E511" s="18">
        <v>0</v>
      </c>
    </row>
    <row r="512" spans="1:5" x14ac:dyDescent="0.2">
      <c r="A512" s="18" t="s">
        <v>572</v>
      </c>
      <c r="B512" s="18" t="s">
        <v>322</v>
      </c>
      <c r="C512" s="18" t="s">
        <v>60</v>
      </c>
      <c r="D512" s="18">
        <v>0</v>
      </c>
      <c r="E512" s="18">
        <v>0</v>
      </c>
    </row>
    <row r="513" spans="1:5" x14ac:dyDescent="0.2">
      <c r="A513" s="18" t="s">
        <v>573</v>
      </c>
      <c r="B513" s="18" t="s">
        <v>322</v>
      </c>
      <c r="C513" s="18" t="s">
        <v>60</v>
      </c>
      <c r="D513" s="18">
        <v>0</v>
      </c>
      <c r="E513" s="18">
        <v>0</v>
      </c>
    </row>
    <row r="514" spans="1:5" x14ac:dyDescent="0.2">
      <c r="A514" s="18" t="s">
        <v>574</v>
      </c>
      <c r="B514" s="18" t="s">
        <v>322</v>
      </c>
      <c r="C514" s="18" t="s">
        <v>60</v>
      </c>
      <c r="D514" s="18">
        <v>0</v>
      </c>
      <c r="E514" s="18">
        <v>0</v>
      </c>
    </row>
    <row r="515" spans="1:5" x14ac:dyDescent="0.2">
      <c r="A515" s="18" t="s">
        <v>575</v>
      </c>
      <c r="B515" s="18" t="s">
        <v>322</v>
      </c>
      <c r="C515" s="18" t="s">
        <v>63</v>
      </c>
      <c r="D515" s="18">
        <v>0</v>
      </c>
      <c r="E515" s="18">
        <v>0</v>
      </c>
    </row>
    <row r="516" spans="1:5" x14ac:dyDescent="0.2">
      <c r="A516" s="18" t="s">
        <v>576</v>
      </c>
      <c r="B516" s="18" t="s">
        <v>322</v>
      </c>
      <c r="C516" s="18" t="s">
        <v>63</v>
      </c>
      <c r="D516" s="18">
        <v>0</v>
      </c>
      <c r="E516" s="18">
        <v>0</v>
      </c>
    </row>
    <row r="517" spans="1:5" x14ac:dyDescent="0.2">
      <c r="A517" s="18" t="s">
        <v>577</v>
      </c>
      <c r="B517" s="18" t="s">
        <v>322</v>
      </c>
      <c r="C517" s="18" t="s">
        <v>60</v>
      </c>
      <c r="D517" s="18">
        <v>0</v>
      </c>
      <c r="E517" s="18">
        <v>0</v>
      </c>
    </row>
    <row r="518" spans="1:5" x14ac:dyDescent="0.2">
      <c r="A518" s="18" t="s">
        <v>578</v>
      </c>
      <c r="B518" s="18" t="s">
        <v>322</v>
      </c>
      <c r="C518" s="18" t="s">
        <v>63</v>
      </c>
      <c r="D518" s="18">
        <v>0</v>
      </c>
      <c r="E518" s="18">
        <v>0</v>
      </c>
    </row>
    <row r="519" spans="1:5" x14ac:dyDescent="0.2">
      <c r="A519" s="18" t="s">
        <v>579</v>
      </c>
      <c r="B519" s="18" t="s">
        <v>322</v>
      </c>
      <c r="C519" s="18" t="s">
        <v>60</v>
      </c>
      <c r="D519" s="18">
        <v>0</v>
      </c>
      <c r="E519" s="18">
        <v>0</v>
      </c>
    </row>
    <row r="520" spans="1:5" x14ac:dyDescent="0.2">
      <c r="A520" s="18" t="s">
        <v>580</v>
      </c>
      <c r="B520" s="18" t="s">
        <v>322</v>
      </c>
      <c r="C520" s="18" t="s">
        <v>63</v>
      </c>
      <c r="D520" s="18">
        <v>0</v>
      </c>
      <c r="E520" s="18">
        <v>0</v>
      </c>
    </row>
    <row r="521" spans="1:5" x14ac:dyDescent="0.2">
      <c r="A521" s="18" t="s">
        <v>581</v>
      </c>
      <c r="B521" s="18" t="s">
        <v>322</v>
      </c>
      <c r="C521" s="18" t="s">
        <v>63</v>
      </c>
      <c r="D521" s="18">
        <v>0</v>
      </c>
      <c r="E521" s="1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5CC83-81D7-1541-AA7D-89A776B79468}">
  <dimension ref="A1:N61"/>
  <sheetViews>
    <sheetView zoomScale="162" workbookViewId="0">
      <selection activeCell="H39" sqref="H39"/>
    </sheetView>
  </sheetViews>
  <sheetFormatPr baseColWidth="10" defaultRowHeight="16" x14ac:dyDescent="0.2"/>
  <cols>
    <col min="2" max="2" width="7.1640625" bestFit="1" customWidth="1"/>
    <col min="3" max="3" width="14.6640625" bestFit="1" customWidth="1"/>
  </cols>
  <sheetData>
    <row r="1" spans="1:3" x14ac:dyDescent="0.2">
      <c r="A1" s="5" t="s">
        <v>5</v>
      </c>
      <c r="B1" s="3" t="s">
        <v>4</v>
      </c>
      <c r="C1" s="3" t="s">
        <v>3</v>
      </c>
    </row>
    <row r="2" spans="1:3" x14ac:dyDescent="0.2">
      <c r="A2" s="4">
        <v>83</v>
      </c>
      <c r="B2" s="4">
        <v>39343</v>
      </c>
      <c r="C2" s="4">
        <v>1.1000000000000001</v>
      </c>
    </row>
    <row r="3" spans="1:3" x14ac:dyDescent="0.2">
      <c r="A3" s="4">
        <v>88</v>
      </c>
      <c r="B3" s="4">
        <v>46205</v>
      </c>
      <c r="C3" s="4">
        <v>1.3</v>
      </c>
    </row>
    <row r="4" spans="1:3" x14ac:dyDescent="0.2">
      <c r="A4" s="4">
        <v>53</v>
      </c>
      <c r="B4" s="4">
        <v>37731</v>
      </c>
      <c r="C4" s="4">
        <v>1.5</v>
      </c>
    </row>
    <row r="5" spans="1:3" x14ac:dyDescent="0.2">
      <c r="A5" s="4">
        <v>78</v>
      </c>
      <c r="B5" s="4">
        <v>43525</v>
      </c>
      <c r="C5" s="4">
        <v>2</v>
      </c>
    </row>
    <row r="6" spans="1:3" x14ac:dyDescent="0.2">
      <c r="A6" s="4">
        <v>78</v>
      </c>
      <c r="B6" s="4">
        <v>39891</v>
      </c>
      <c r="C6" s="4">
        <v>2.2000000000000002</v>
      </c>
    </row>
    <row r="7" spans="1:3" x14ac:dyDescent="0.2">
      <c r="A7" s="4">
        <v>59</v>
      </c>
      <c r="B7" s="4">
        <v>56642</v>
      </c>
      <c r="C7" s="4">
        <v>2.9</v>
      </c>
    </row>
    <row r="8" spans="1:3" x14ac:dyDescent="0.2">
      <c r="A8" s="4">
        <v>78</v>
      </c>
      <c r="B8" s="4">
        <v>60150</v>
      </c>
      <c r="C8" s="4">
        <v>3</v>
      </c>
    </row>
    <row r="9" spans="1:3" x14ac:dyDescent="0.2">
      <c r="A9" s="4">
        <v>67</v>
      </c>
      <c r="B9" s="4">
        <v>54445</v>
      </c>
      <c r="C9" s="4">
        <v>3.2</v>
      </c>
    </row>
    <row r="10" spans="1:3" x14ac:dyDescent="0.2">
      <c r="A10" s="4">
        <v>70</v>
      </c>
      <c r="B10" s="4">
        <v>64445</v>
      </c>
      <c r="C10" s="4">
        <v>3.2</v>
      </c>
    </row>
    <row r="11" spans="1:3" x14ac:dyDescent="0.2">
      <c r="A11" s="4">
        <v>84</v>
      </c>
      <c r="B11" s="4">
        <v>57189</v>
      </c>
      <c r="C11" s="4">
        <v>3.7</v>
      </c>
    </row>
    <row r="12" spans="1:3" x14ac:dyDescent="0.2">
      <c r="A12" s="4">
        <v>66</v>
      </c>
      <c r="B12" s="4">
        <v>63218</v>
      </c>
      <c r="C12" s="4">
        <v>3.9</v>
      </c>
    </row>
    <row r="13" spans="1:3" x14ac:dyDescent="0.2">
      <c r="A13" s="4">
        <v>57</v>
      </c>
      <c r="B13" s="4">
        <v>55794</v>
      </c>
      <c r="C13" s="4">
        <v>4</v>
      </c>
    </row>
    <row r="14" spans="1:3" x14ac:dyDescent="0.2">
      <c r="A14" s="4">
        <v>87</v>
      </c>
      <c r="B14" s="4">
        <v>56957</v>
      </c>
      <c r="C14" s="4">
        <v>4</v>
      </c>
    </row>
    <row r="15" spans="1:3" x14ac:dyDescent="0.2">
      <c r="A15" s="4">
        <v>51</v>
      </c>
      <c r="B15" s="4">
        <v>57081</v>
      </c>
      <c r="C15" s="4">
        <v>4.0999999999999996</v>
      </c>
    </row>
    <row r="16" spans="1:3" x14ac:dyDescent="0.2">
      <c r="A16" s="4">
        <v>51</v>
      </c>
      <c r="B16" s="4">
        <v>61111</v>
      </c>
      <c r="C16" s="4">
        <v>4.5</v>
      </c>
    </row>
    <row r="17" spans="1:11" x14ac:dyDescent="0.2">
      <c r="A17" s="4">
        <v>52</v>
      </c>
      <c r="B17" s="4">
        <v>67938</v>
      </c>
      <c r="C17" s="4">
        <v>4.9000000000000004</v>
      </c>
    </row>
    <row r="18" spans="1:11" x14ac:dyDescent="0.2">
      <c r="A18" s="4">
        <v>66</v>
      </c>
      <c r="B18" s="4">
        <v>66029</v>
      </c>
      <c r="C18" s="4">
        <v>5.0999999999999996</v>
      </c>
    </row>
    <row r="19" spans="1:11" x14ac:dyDescent="0.2">
      <c r="A19" s="4">
        <v>54</v>
      </c>
      <c r="B19" s="4">
        <v>83088</v>
      </c>
      <c r="C19" s="4">
        <v>5.3</v>
      </c>
    </row>
    <row r="20" spans="1:11" x14ac:dyDescent="0.2">
      <c r="A20" s="4">
        <v>77</v>
      </c>
      <c r="B20" s="4">
        <v>81363</v>
      </c>
      <c r="C20" s="4">
        <v>5.9</v>
      </c>
      <c r="F20" t="s">
        <v>6</v>
      </c>
    </row>
    <row r="21" spans="1:11" ht="17" thickBot="1" x14ac:dyDescent="0.25">
      <c r="A21" s="4">
        <v>67</v>
      </c>
      <c r="B21" s="4">
        <v>93940</v>
      </c>
      <c r="C21" s="4">
        <v>6</v>
      </c>
    </row>
    <row r="22" spans="1:11" x14ac:dyDescent="0.2">
      <c r="A22" s="4">
        <v>63</v>
      </c>
      <c r="B22" s="4">
        <v>91738</v>
      </c>
      <c r="C22" s="4">
        <v>6.8</v>
      </c>
      <c r="F22" s="9" t="s">
        <v>7</v>
      </c>
      <c r="G22" s="9"/>
    </row>
    <row r="23" spans="1:11" x14ac:dyDescent="0.2">
      <c r="A23" s="4">
        <v>75</v>
      </c>
      <c r="B23" s="4">
        <v>98273</v>
      </c>
      <c r="C23" s="4">
        <v>7.1</v>
      </c>
      <c r="F23" s="6" t="s">
        <v>8</v>
      </c>
      <c r="G23" s="6">
        <v>0.9782416184887599</v>
      </c>
    </row>
    <row r="24" spans="1:11" x14ac:dyDescent="0.2">
      <c r="A24" s="4">
        <v>52</v>
      </c>
      <c r="B24" s="4">
        <v>101302</v>
      </c>
      <c r="C24" s="4">
        <v>7.9</v>
      </c>
      <c r="F24" s="14" t="s">
        <v>9</v>
      </c>
      <c r="G24" s="14">
        <v>0.95695666414350844</v>
      </c>
    </row>
    <row r="25" spans="1:11" x14ac:dyDescent="0.2">
      <c r="A25" s="4">
        <v>63</v>
      </c>
      <c r="B25" s="4">
        <v>113812</v>
      </c>
      <c r="C25" s="4">
        <v>8.1999999999999993</v>
      </c>
      <c r="F25" s="6" t="s">
        <v>10</v>
      </c>
      <c r="G25" s="6">
        <v>0.95541940214863375</v>
      </c>
    </row>
    <row r="26" spans="1:11" x14ac:dyDescent="0.2">
      <c r="A26" s="4">
        <v>65</v>
      </c>
      <c r="B26" s="4">
        <v>109431</v>
      </c>
      <c r="C26" s="4">
        <v>8.6999999999999993</v>
      </c>
      <c r="F26" s="6" t="s">
        <v>11</v>
      </c>
      <c r="G26" s="6">
        <v>5788.3150511193935</v>
      </c>
    </row>
    <row r="27" spans="1:11" ht="17" thickBot="1" x14ac:dyDescent="0.25">
      <c r="A27" s="4">
        <v>65</v>
      </c>
      <c r="B27" s="4">
        <v>105582</v>
      </c>
      <c r="C27" s="4">
        <v>9</v>
      </c>
      <c r="F27" s="7" t="s">
        <v>12</v>
      </c>
      <c r="G27" s="7">
        <v>30</v>
      </c>
    </row>
    <row r="28" spans="1:11" x14ac:dyDescent="0.2">
      <c r="A28" s="4">
        <v>90</v>
      </c>
      <c r="B28" s="4">
        <v>116969</v>
      </c>
      <c r="C28" s="4">
        <v>9.5</v>
      </c>
    </row>
    <row r="29" spans="1:11" ht="17" thickBot="1" x14ac:dyDescent="0.25">
      <c r="A29" s="4">
        <v>87</v>
      </c>
      <c r="B29" s="4">
        <v>112635</v>
      </c>
      <c r="C29" s="4">
        <v>9.6</v>
      </c>
      <c r="F29" t="s">
        <v>13</v>
      </c>
    </row>
    <row r="30" spans="1:11" x14ac:dyDescent="0.2">
      <c r="A30" s="4">
        <v>75</v>
      </c>
      <c r="B30" s="4">
        <v>122391</v>
      </c>
      <c r="C30" s="4">
        <v>10.3</v>
      </c>
      <c r="F30" s="8"/>
      <c r="G30" s="8" t="s">
        <v>18</v>
      </c>
      <c r="H30" s="8" t="s">
        <v>19</v>
      </c>
      <c r="I30" s="8" t="s">
        <v>20</v>
      </c>
      <c r="J30" s="8" t="s">
        <v>21</v>
      </c>
      <c r="K30" s="8" t="s">
        <v>22</v>
      </c>
    </row>
    <row r="31" spans="1:11" x14ac:dyDescent="0.2">
      <c r="A31" s="4">
        <v>87</v>
      </c>
      <c r="B31" s="4">
        <v>121872</v>
      </c>
      <c r="C31" s="4">
        <v>10.5</v>
      </c>
      <c r="F31" s="6" t="s">
        <v>14</v>
      </c>
      <c r="G31" s="6">
        <v>1</v>
      </c>
      <c r="H31" s="6">
        <v>20856849300.33157</v>
      </c>
      <c r="I31" s="6">
        <v>20856849300.33157</v>
      </c>
      <c r="J31" s="6">
        <v>622.50720263302401</v>
      </c>
      <c r="K31" s="6">
        <v>1.1430681092271349E-20</v>
      </c>
    </row>
    <row r="32" spans="1:11" x14ac:dyDescent="0.2">
      <c r="F32" s="6" t="s">
        <v>15</v>
      </c>
      <c r="G32" s="6">
        <v>28</v>
      </c>
      <c r="H32" s="6">
        <v>938128551.66842878</v>
      </c>
      <c r="I32" s="6">
        <v>33504591.131015312</v>
      </c>
      <c r="J32" s="6"/>
      <c r="K32" s="6"/>
    </row>
    <row r="33" spans="5:14" ht="17" thickBot="1" x14ac:dyDescent="0.25">
      <c r="F33" s="7" t="s">
        <v>16</v>
      </c>
      <c r="G33" s="7">
        <v>29</v>
      </c>
      <c r="H33" s="7">
        <v>21794977852</v>
      </c>
      <c r="I33" s="7"/>
      <c r="J33" s="7"/>
      <c r="K33" s="7"/>
    </row>
    <row r="34" spans="5:14" ht="17" thickBot="1" x14ac:dyDescent="0.25">
      <c r="G34" s="10"/>
    </row>
    <row r="35" spans="5:14" x14ac:dyDescent="0.2">
      <c r="F35" s="8"/>
      <c r="G35" s="11" t="s">
        <v>23</v>
      </c>
      <c r="H35" s="8" t="s">
        <v>11</v>
      </c>
      <c r="I35" s="8" t="s">
        <v>24</v>
      </c>
      <c r="J35" s="8" t="s">
        <v>25</v>
      </c>
      <c r="K35" s="8" t="s">
        <v>26</v>
      </c>
      <c r="L35" s="8" t="s">
        <v>27</v>
      </c>
      <c r="M35" s="8" t="s">
        <v>28</v>
      </c>
      <c r="N35" s="8" t="s">
        <v>29</v>
      </c>
    </row>
    <row r="36" spans="5:14" x14ac:dyDescent="0.2">
      <c r="F36" s="6" t="s">
        <v>17</v>
      </c>
      <c r="G36" s="12">
        <v>25792.200198668696</v>
      </c>
      <c r="H36" s="6">
        <v>2273.0534325816047</v>
      </c>
      <c r="I36" s="6">
        <v>11.346939684288628</v>
      </c>
      <c r="J36" s="6">
        <v>5.5119502709561397E-12</v>
      </c>
      <c r="K36" s="6">
        <v>21136.061313686339</v>
      </c>
      <c r="L36" s="6">
        <v>30448.339083651052</v>
      </c>
      <c r="M36" s="6">
        <v>21136.061313686339</v>
      </c>
      <c r="N36" s="6">
        <v>30448.339083651052</v>
      </c>
    </row>
    <row r="37" spans="5:14" ht="17" thickBot="1" x14ac:dyDescent="0.25">
      <c r="F37" s="7" t="s">
        <v>3</v>
      </c>
      <c r="G37" s="13">
        <v>9449.9623214550757</v>
      </c>
      <c r="H37" s="7">
        <v>378.75457423882102</v>
      </c>
      <c r="I37" s="7">
        <v>24.950094240964781</v>
      </c>
      <c r="J37" s="7">
        <v>1.1430681092271349E-20</v>
      </c>
      <c r="K37" s="7">
        <v>8674.1187465966577</v>
      </c>
      <c r="L37" s="7">
        <v>10225.805896313494</v>
      </c>
      <c r="M37" s="7">
        <v>8674.1187465966577</v>
      </c>
      <c r="N37" s="7">
        <v>10225.805896313494</v>
      </c>
    </row>
    <row r="38" spans="5:14" x14ac:dyDescent="0.2">
      <c r="G38" s="10"/>
    </row>
    <row r="42" spans="5:14" x14ac:dyDescent="0.2">
      <c r="E42" t="s">
        <v>31</v>
      </c>
    </row>
    <row r="44" spans="5:14" x14ac:dyDescent="0.2">
      <c r="E44" t="s">
        <v>32</v>
      </c>
    </row>
    <row r="48" spans="5:14" x14ac:dyDescent="0.2">
      <c r="E48" t="s">
        <v>33</v>
      </c>
    </row>
    <row r="49" spans="5:8" x14ac:dyDescent="0.2">
      <c r="E49" t="s">
        <v>34</v>
      </c>
    </row>
    <row r="52" spans="5:8" x14ac:dyDescent="0.2">
      <c r="E52" s="10" t="s">
        <v>35</v>
      </c>
      <c r="F52" s="10"/>
      <c r="G52" s="10"/>
    </row>
    <row r="53" spans="5:8" x14ac:dyDescent="0.2">
      <c r="F53" t="s">
        <v>37</v>
      </c>
      <c r="H53" t="s">
        <v>36</v>
      </c>
    </row>
    <row r="57" spans="5:8" x14ac:dyDescent="0.2">
      <c r="E57" t="s">
        <v>38</v>
      </c>
    </row>
    <row r="58" spans="5:8" x14ac:dyDescent="0.2">
      <c r="E58" t="s">
        <v>39</v>
      </c>
    </row>
    <row r="61" spans="5:8" x14ac:dyDescent="0.2">
      <c r="E61" s="14">
        <v>0.95695666414350844</v>
      </c>
      <c r="G61">
        <f>E61*100</f>
        <v>95.695666414350839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024E2-D6AE-A744-9DD2-326C22A4B0D0}">
  <dimension ref="A1:M31"/>
  <sheetViews>
    <sheetView topLeftCell="D17" zoomScale="200" workbookViewId="0">
      <selection activeCell="E22" sqref="E22"/>
    </sheetView>
  </sheetViews>
  <sheetFormatPr baseColWidth="10" defaultRowHeight="16" x14ac:dyDescent="0.2"/>
  <cols>
    <col min="1" max="1" width="12.6640625" customWidth="1"/>
    <col min="2" max="2" width="14.6640625" bestFit="1" customWidth="1"/>
  </cols>
  <sheetData>
    <row r="1" spans="1:10" x14ac:dyDescent="0.2">
      <c r="A1" s="5" t="s">
        <v>5</v>
      </c>
      <c r="B1" s="3" t="s">
        <v>3</v>
      </c>
      <c r="C1" s="3" t="s">
        <v>4</v>
      </c>
    </row>
    <row r="2" spans="1:10" x14ac:dyDescent="0.2">
      <c r="A2" s="4">
        <v>83</v>
      </c>
      <c r="B2" s="4">
        <v>1.1000000000000001</v>
      </c>
      <c r="C2" s="4">
        <v>39343</v>
      </c>
    </row>
    <row r="3" spans="1:10" x14ac:dyDescent="0.2">
      <c r="A3" s="4">
        <v>88</v>
      </c>
      <c r="B3" s="4">
        <v>1.3</v>
      </c>
      <c r="C3" s="4">
        <v>46205</v>
      </c>
    </row>
    <row r="4" spans="1:10" x14ac:dyDescent="0.2">
      <c r="A4" s="4">
        <v>53</v>
      </c>
      <c r="B4" s="4">
        <v>1.5</v>
      </c>
      <c r="C4" s="4">
        <v>37731</v>
      </c>
      <c r="E4" t="s">
        <v>6</v>
      </c>
    </row>
    <row r="5" spans="1:10" ht="17" thickBot="1" x14ac:dyDescent="0.25">
      <c r="A5" s="4">
        <v>78</v>
      </c>
      <c r="B5" s="4">
        <v>2</v>
      </c>
      <c r="C5" s="4">
        <v>43525</v>
      </c>
    </row>
    <row r="6" spans="1:10" x14ac:dyDescent="0.2">
      <c r="A6" s="4">
        <v>78</v>
      </c>
      <c r="B6" s="4">
        <v>2.2000000000000002</v>
      </c>
      <c r="C6" s="4">
        <v>39891</v>
      </c>
      <c r="E6" s="9" t="s">
        <v>7</v>
      </c>
      <c r="F6" s="9"/>
    </row>
    <row r="7" spans="1:10" x14ac:dyDescent="0.2">
      <c r="A7" s="4">
        <v>59</v>
      </c>
      <c r="B7" s="4">
        <v>2.9</v>
      </c>
      <c r="C7" s="4">
        <v>56642</v>
      </c>
      <c r="E7" s="6" t="s">
        <v>8</v>
      </c>
      <c r="F7" s="6">
        <v>0.97844156922932124</v>
      </c>
    </row>
    <row r="8" spans="1:10" x14ac:dyDescent="0.2">
      <c r="A8" s="4">
        <v>78</v>
      </c>
      <c r="B8" s="4">
        <v>3</v>
      </c>
      <c r="C8" s="4">
        <v>60150</v>
      </c>
      <c r="E8" s="6" t="s">
        <v>9</v>
      </c>
      <c r="F8" s="6">
        <v>0.95734790439593664</v>
      </c>
    </row>
    <row r="9" spans="1:10" x14ac:dyDescent="0.2">
      <c r="A9" s="4">
        <v>67</v>
      </c>
      <c r="B9" s="4">
        <v>3.2</v>
      </c>
      <c r="C9" s="4">
        <v>54445</v>
      </c>
      <c r="E9" s="6" t="s">
        <v>10</v>
      </c>
      <c r="F9" s="6">
        <v>0.95418848990674676</v>
      </c>
    </row>
    <row r="10" spans="1:10" x14ac:dyDescent="0.2">
      <c r="A10" s="4">
        <v>70</v>
      </c>
      <c r="B10" s="4">
        <v>3.2</v>
      </c>
      <c r="C10" s="4">
        <v>64445</v>
      </c>
      <c r="E10" s="6" t="s">
        <v>11</v>
      </c>
      <c r="F10" s="6">
        <v>5867.6813485899784</v>
      </c>
    </row>
    <row r="11" spans="1:10" ht="17" thickBot="1" x14ac:dyDescent="0.25">
      <c r="A11" s="4">
        <v>84</v>
      </c>
      <c r="B11" s="4">
        <v>3.7</v>
      </c>
      <c r="C11" s="4">
        <v>57189</v>
      </c>
      <c r="E11" s="7" t="s">
        <v>12</v>
      </c>
      <c r="F11" s="7">
        <v>30</v>
      </c>
    </row>
    <row r="12" spans="1:10" x14ac:dyDescent="0.2">
      <c r="A12" s="4">
        <v>66</v>
      </c>
      <c r="B12" s="4">
        <v>3.9</v>
      </c>
      <c r="C12" s="4">
        <v>63218</v>
      </c>
    </row>
    <row r="13" spans="1:10" ht="17" thickBot="1" x14ac:dyDescent="0.25">
      <c r="A13" s="4">
        <v>57</v>
      </c>
      <c r="B13" s="4">
        <v>4</v>
      </c>
      <c r="C13" s="4">
        <v>55794</v>
      </c>
      <c r="E13" t="s">
        <v>13</v>
      </c>
    </row>
    <row r="14" spans="1:10" x14ac:dyDescent="0.2">
      <c r="A14" s="4">
        <v>87</v>
      </c>
      <c r="B14" s="4">
        <v>4</v>
      </c>
      <c r="C14" s="4">
        <v>56957</v>
      </c>
      <c r="E14" s="8"/>
      <c r="F14" s="8" t="s">
        <v>18</v>
      </c>
      <c r="G14" s="8" t="s">
        <v>19</v>
      </c>
      <c r="H14" s="8" t="s">
        <v>20</v>
      </c>
      <c r="I14" s="8" t="s">
        <v>21</v>
      </c>
      <c r="J14" s="8" t="s">
        <v>22</v>
      </c>
    </row>
    <row r="15" spans="1:10" x14ac:dyDescent="0.2">
      <c r="A15" s="4">
        <v>51</v>
      </c>
      <c r="B15" s="4">
        <v>4.0999999999999996</v>
      </c>
      <c r="C15" s="4">
        <v>57081</v>
      </c>
      <c r="E15" s="6" t="s">
        <v>14</v>
      </c>
      <c r="F15" s="6">
        <v>2</v>
      </c>
      <c r="G15" s="6">
        <v>20865376372.968052</v>
      </c>
      <c r="H15" s="6">
        <v>10432688186.484026</v>
      </c>
      <c r="I15" s="6">
        <v>303.01434258517105</v>
      </c>
      <c r="J15" s="6">
        <v>3.1929715507894268E-19</v>
      </c>
    </row>
    <row r="16" spans="1:10" x14ac:dyDescent="0.2">
      <c r="A16" s="4">
        <v>51</v>
      </c>
      <c r="B16" s="4">
        <v>4.5</v>
      </c>
      <c r="C16" s="4">
        <v>61111</v>
      </c>
      <c r="E16" s="6" t="s">
        <v>15</v>
      </c>
      <c r="F16" s="6">
        <v>27</v>
      </c>
      <c r="G16" s="6">
        <v>929601479.03194904</v>
      </c>
      <c r="H16" s="6">
        <v>34429684.408590704</v>
      </c>
      <c r="I16" s="6"/>
      <c r="J16" s="6"/>
    </row>
    <row r="17" spans="1:13" ht="17" thickBot="1" x14ac:dyDescent="0.25">
      <c r="A17" s="4">
        <v>52</v>
      </c>
      <c r="B17" s="4">
        <v>4.9000000000000004</v>
      </c>
      <c r="C17" s="4">
        <v>67938</v>
      </c>
      <c r="E17" s="7" t="s">
        <v>16</v>
      </c>
      <c r="F17" s="7">
        <v>29</v>
      </c>
      <c r="G17" s="7">
        <v>21794977852</v>
      </c>
      <c r="H17" s="7"/>
      <c r="I17" s="7"/>
      <c r="J17" s="7"/>
    </row>
    <row r="18" spans="1:13" ht="17" thickBot="1" x14ac:dyDescent="0.25">
      <c r="A18" s="4">
        <v>66</v>
      </c>
      <c r="B18" s="4">
        <v>5.0999999999999996</v>
      </c>
      <c r="C18" s="4">
        <v>66029</v>
      </c>
    </row>
    <row r="19" spans="1:13" x14ac:dyDescent="0.2">
      <c r="A19" s="4">
        <v>54</v>
      </c>
      <c r="B19" s="4">
        <v>5.3</v>
      </c>
      <c r="C19" s="4">
        <v>83088</v>
      </c>
      <c r="E19" s="8"/>
      <c r="F19" s="8" t="s">
        <v>23</v>
      </c>
      <c r="G19" s="8" t="s">
        <v>11</v>
      </c>
      <c r="H19" s="8" t="s">
        <v>24</v>
      </c>
      <c r="I19" s="8" t="s">
        <v>25</v>
      </c>
      <c r="J19" s="8" t="s">
        <v>26</v>
      </c>
      <c r="K19" s="8" t="s">
        <v>27</v>
      </c>
      <c r="L19" s="8" t="s">
        <v>28</v>
      </c>
      <c r="M19" s="8" t="s">
        <v>29</v>
      </c>
    </row>
    <row r="20" spans="1:13" x14ac:dyDescent="0.2">
      <c r="A20" s="4">
        <v>77</v>
      </c>
      <c r="B20" s="4">
        <v>5.9</v>
      </c>
      <c r="C20" s="4">
        <v>81363</v>
      </c>
      <c r="E20" s="6" t="s">
        <v>17</v>
      </c>
      <c r="F20" s="6">
        <v>22889.810643871635</v>
      </c>
      <c r="G20" s="6">
        <v>6270.7571887246877</v>
      </c>
      <c r="H20" s="6">
        <v>3.6502466855245657</v>
      </c>
      <c r="I20" s="6">
        <v>1.1077620667592166E-3</v>
      </c>
      <c r="J20" s="6">
        <v>10023.279682608194</v>
      </c>
      <c r="K20" s="6">
        <v>35756.34160513508</v>
      </c>
      <c r="L20" s="6">
        <v>10023.279682608194</v>
      </c>
      <c r="M20" s="6">
        <v>35756.34160513508</v>
      </c>
    </row>
    <row r="21" spans="1:13" x14ac:dyDescent="0.2">
      <c r="A21" s="4">
        <v>67</v>
      </c>
      <c r="B21" s="4">
        <v>6</v>
      </c>
      <c r="C21" s="4">
        <v>93940</v>
      </c>
      <c r="E21" s="6" t="s">
        <v>5</v>
      </c>
      <c r="F21" s="6">
        <v>43.019411940136756</v>
      </c>
      <c r="G21" s="6">
        <v>86.443234572236875</v>
      </c>
      <c r="H21" s="6">
        <v>0.49766083086799917</v>
      </c>
      <c r="I21" s="6">
        <v>0.62275217458807042</v>
      </c>
      <c r="J21" s="6">
        <v>-134.34745469844253</v>
      </c>
      <c r="K21" s="6">
        <v>220.38627857871606</v>
      </c>
      <c r="L21" s="6">
        <v>-134.34745469844253</v>
      </c>
      <c r="M21" s="6">
        <v>220.38627857871606</v>
      </c>
    </row>
    <row r="22" spans="1:13" ht="17" thickBot="1" x14ac:dyDescent="0.25">
      <c r="A22" s="4">
        <v>63</v>
      </c>
      <c r="B22" s="4">
        <v>6.8</v>
      </c>
      <c r="C22" s="4">
        <v>91738</v>
      </c>
      <c r="E22" s="7" t="s">
        <v>3</v>
      </c>
      <c r="F22" s="7">
        <v>9432.6922744846015</v>
      </c>
      <c r="G22" s="7">
        <v>385.51292502108635</v>
      </c>
      <c r="H22" s="7">
        <v>24.467901495050167</v>
      </c>
      <c r="I22" s="7">
        <v>5.8051790719501351E-20</v>
      </c>
      <c r="J22" s="7">
        <v>8641.6850904287603</v>
      </c>
      <c r="K22" s="7">
        <v>10223.699458540443</v>
      </c>
      <c r="L22" s="7">
        <v>8641.6850904287603</v>
      </c>
      <c r="M22" s="7">
        <v>10223.699458540443</v>
      </c>
    </row>
    <row r="23" spans="1:13" x14ac:dyDescent="0.2">
      <c r="A23" s="4">
        <v>75</v>
      </c>
      <c r="B23" s="4">
        <v>7.1</v>
      </c>
      <c r="C23" s="4">
        <v>98273</v>
      </c>
    </row>
    <row r="24" spans="1:13" x14ac:dyDescent="0.2">
      <c r="A24" s="4">
        <v>52</v>
      </c>
      <c r="B24" s="4">
        <v>7.9</v>
      </c>
      <c r="C24" s="4">
        <v>101302</v>
      </c>
    </row>
    <row r="25" spans="1:13" x14ac:dyDescent="0.2">
      <c r="A25" s="4">
        <v>63</v>
      </c>
      <c r="B25" s="4">
        <v>8.1999999999999993</v>
      </c>
      <c r="C25" s="4">
        <v>113812</v>
      </c>
      <c r="F25" t="s">
        <v>46</v>
      </c>
    </row>
    <row r="26" spans="1:13" x14ac:dyDescent="0.2">
      <c r="A26" s="4">
        <v>65</v>
      </c>
      <c r="B26" s="4">
        <v>8.6999999999999993</v>
      </c>
      <c r="C26" s="4">
        <v>109431</v>
      </c>
    </row>
    <row r="27" spans="1:13" x14ac:dyDescent="0.2">
      <c r="A27" s="4">
        <v>65</v>
      </c>
      <c r="B27" s="4">
        <v>9</v>
      </c>
      <c r="C27" s="4">
        <v>105582</v>
      </c>
    </row>
    <row r="28" spans="1:13" x14ac:dyDescent="0.2">
      <c r="A28" s="4">
        <v>90</v>
      </c>
      <c r="B28" s="4">
        <v>9.5</v>
      </c>
      <c r="C28" s="4">
        <v>116969</v>
      </c>
      <c r="F28" t="s">
        <v>47</v>
      </c>
    </row>
    <row r="29" spans="1:13" x14ac:dyDescent="0.2">
      <c r="A29" s="4">
        <v>87</v>
      </c>
      <c r="B29" s="4">
        <v>9.6</v>
      </c>
      <c r="C29" s="4">
        <v>112635</v>
      </c>
    </row>
    <row r="30" spans="1:13" x14ac:dyDescent="0.2">
      <c r="A30" s="4">
        <v>75</v>
      </c>
      <c r="B30" s="4">
        <v>10.3</v>
      </c>
      <c r="C30" s="4">
        <v>122391</v>
      </c>
    </row>
    <row r="31" spans="1:13" x14ac:dyDescent="0.2">
      <c r="A31" s="4">
        <v>87</v>
      </c>
      <c r="B31" s="4">
        <v>10.5</v>
      </c>
      <c r="C31" s="4">
        <v>121872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AGENDA</vt:lpstr>
      <vt:lpstr>Sheet4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2026-04-09T15:49:02Z</dcterms:created>
  <dcterms:modified xsi:type="dcterms:W3CDTF">2026-04-09T17:28:58Z</dcterms:modified>
</cp:coreProperties>
</file>