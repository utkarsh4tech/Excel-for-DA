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9E2D44D-663D-A84B-B02E-297C949898AD}" xr6:coauthVersionLast="47" xr6:coauthVersionMax="47" xr10:uidLastSave="{00000000-0000-0000-0000-000000000000}"/>
  <bookViews>
    <workbookView xWindow="0" yWindow="600" windowWidth="28400" windowHeight="17400" activeTab="2" xr2:uid="{86784ED5-563C-0B46-8140-5685FB935FDE}"/>
  </bookViews>
  <sheets>
    <sheet name="Agenda" sheetId="1" r:id="rId1"/>
    <sheet name="Sheet3" sheetId="3" r:id="rId2"/>
    <sheet name="Sheet4" sheetId="4" r:id="rId3"/>
    <sheet name="Sheet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4" l="1" a="1"/>
  <c r="F19" i="4" s="1"/>
  <c r="D9" i="4" a="1"/>
  <c r="D9" i="4" s="1"/>
  <c r="C115" i="3" a="1"/>
  <c r="C115" i="3" s="1"/>
  <c r="C77" i="3" a="1"/>
  <c r="C77" i="3" s="1"/>
  <c r="C57" i="3" a="1"/>
  <c r="C57" i="3" s="1"/>
  <c r="G21" i="3" a="1"/>
  <c r="G21" i="3" s="1"/>
  <c r="E24" i="3" a="1"/>
  <c r="E24" i="3" s="1"/>
  <c r="F49" i="3"/>
  <c r="C83" i="3" l="1" a="1"/>
  <c r="C83" i="3" s="1"/>
  <c r="C90" i="3" a="1"/>
  <c r="C90" i="3" s="1"/>
  <c r="E64" i="3" a="1"/>
  <c r="E64" i="3" s="1"/>
  <c r="D71" i="3" a="1"/>
  <c r="D71" i="3" l="1"/>
  <c r="F71" i="3" a="1"/>
  <c r="F7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<sst xmlns="http://schemas.openxmlformats.org/spreadsheetml/2006/main" count="127" uniqueCount="89">
  <si>
    <t>Vlookup ( Hlookup )</t>
  </si>
  <si>
    <t>XLOOKUP</t>
  </si>
  <si>
    <t>Feature</t>
  </si>
  <si>
    <t>XLOOKUP()</t>
  </si>
  <si>
    <t>Default Match Mode</t>
  </si>
  <si>
    <r>
      <t>Requires specifying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 for an exact match.</t>
    </r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</si>
  <si>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</si>
  <si>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</si>
  <si>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</si>
  <si>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</si>
  <si>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</si>
  <si>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</si>
  <si>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</si>
  <si>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Horizontal Lookup</t>
  </si>
  <si>
    <r>
      <t>Does not support horizontal lookups (</t>
    </r>
    <r>
      <rPr>
        <sz val="10"/>
        <color rgb="FF05192D"/>
        <rFont val="Arial Unicode MS"/>
        <family val="2"/>
      </rPr>
      <t>HLOOKUP()</t>
    </r>
    <r>
      <rPr>
        <sz val="12"/>
        <color rgb="FF05192D"/>
        <rFont val="Arial"/>
        <family val="2"/>
      </rPr>
      <t> is required).</t>
    </r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</si>
  <si>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</si>
  <si>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</si>
  <si>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</si>
  <si>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</si>
  <si>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</si>
  <si>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</si>
  <si>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r>
      <t>Can search in both ascending and descending order using the </t>
    </r>
    <r>
      <rPr>
        <sz val="10"/>
        <color rgb="FF05192D"/>
        <rFont val="Arial Unicode MS"/>
        <family val="2"/>
      </rPr>
      <t>search_mode</t>
    </r>
    <r>
      <rPr>
        <sz val="12"/>
        <color rgb="FF05192D"/>
        <rFont val="Arial"/>
        <family val="2"/>
      </rPr>
      <t> argument.</t>
    </r>
  </si>
  <si>
    <t>Custom Error Messages</t>
  </si>
  <si>
    <r>
      <t>Displays </t>
    </r>
    <r>
      <rPr>
        <sz val="10"/>
        <color rgb="FF05192D"/>
        <rFont val="Arial Unicode MS"/>
        <family val="2"/>
      </rPr>
      <t>#N/A</t>
    </r>
    <r>
      <rPr>
        <sz val="12"/>
        <color rgb="FF05192D"/>
        <rFont val="Arial"/>
        <family val="2"/>
      </rPr>
      <t> error when no match is found.</t>
    </r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</si>
  <si>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</si>
  <si>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</si>
  <si>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</si>
  <si>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</si>
  <si>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</si>
  <si>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</si>
  <si>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</si>
  <si>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</si>
  <si>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r>
      <t>Can be slower, especially with unsorted data or when </t>
    </r>
    <r>
      <rPr>
        <sz val="10"/>
        <color rgb="FF05192D"/>
        <rFont val="Arial Unicode MS"/>
        <family val="2"/>
      </rPr>
      <t>range_lookup</t>
    </r>
    <r>
      <rPr>
        <sz val="12"/>
        <color rgb="FF05192D"/>
        <rFont val="Arial"/>
        <family val="2"/>
      </rPr>
      <t> is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.</t>
    </r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</si>
  <si>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</si>
  <si>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</si>
  <si>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</si>
  <si>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</si>
  <si>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>VLOOKUP() / HLOOKUP()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</si>
  <si>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</si>
  <si>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</si>
  <si>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</si>
  <si>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</si>
  <si>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</si>
  <si>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</si>
  <si>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</si>
  <si>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</si>
  <si>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</si>
  <si>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</si>
  <si>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</si>
  <si>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</si>
  <si>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</si>
  <si>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</si>
  <si>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</si>
  <si>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</si>
  <si>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</si>
  <si>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</si>
  <si>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Lookup Value</t>
  </si>
  <si>
    <t>VALUE WE ARE USING TO SEARCH</t>
  </si>
  <si>
    <t>LOOKUP ARRAY</t>
  </si>
  <si>
    <t>ARRAY WHERE MY VALUE IS</t>
  </si>
  <si>
    <t>RETURN ARRAY</t>
  </si>
  <si>
    <t>THE ARRAY WHICH I WANT IN RETURN</t>
  </si>
  <si>
    <t>IF_NOT_FOUND</t>
  </si>
  <si>
    <t>ERROR MESSAGE</t>
  </si>
  <si>
    <t>MATCH_MODE</t>
  </si>
  <si>
    <t>SEARCH_MODE</t>
  </si>
  <si>
    <t>COURSE NAME</t>
  </si>
  <si>
    <t>STUDENT_ID?</t>
  </si>
  <si>
    <t>name?</t>
  </si>
  <si>
    <t>Stu</t>
  </si>
  <si>
    <t>Num</t>
  </si>
  <si>
    <t>CHOOSE ROWS</t>
  </si>
  <si>
    <t>CHOOSECOLS</t>
  </si>
  <si>
    <t>Ut*</t>
  </si>
  <si>
    <t>Utkarsh Sahu is the instructor, Utash, UT123ajs</t>
  </si>
  <si>
    <t>Jennifer 123a</t>
  </si>
  <si>
    <t>OFFSET</t>
  </si>
  <si>
    <t>INDIRECT</t>
  </si>
  <si>
    <t>FILTER</t>
  </si>
  <si>
    <t>START</t>
  </si>
  <si>
    <t>END</t>
  </si>
  <si>
    <t>hk</t>
  </si>
  <si>
    <t>m</t>
  </si>
  <si>
    <t>nrw thing</t>
  </si>
  <si>
    <t>indirect</t>
  </si>
  <si>
    <t>Utkarsh</t>
  </si>
  <si>
    <t>d30</t>
  </si>
  <si>
    <t>nrw</t>
  </si>
  <si>
    <t>7ytt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</si>
</sst>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  <font>
      <sz val="10"/>
      <color rgb="FF05192D"/>
      <name val="Arial Unicode MS"/>
      <family val="2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 applyAlignment="1">
      <alignment wrapText="1"/>
    </xf>
    <xf numFmtId="0" fontId="2" fillId="3" borderId="1" xfId="0" applyFont="1" applyFill="1" applyBorder="1"/>
    <xf numFmtId="0" fontId="2" fillId="3" borderId="2" xfId="0" applyFont="1" applyFill="1" applyBorder="1" applyAlignment="1">
      <alignment wrapText="1"/>
    </xf>
    <xf numFmtId="0" fontId="2" fillId="0" borderId="1" xfId="0" applyFont="1" applyBorder="1"/>
    <xf numFmtId="0" fontId="2" fillId="0" borderId="2" xfId="0" applyFont="1" applyBorder="1" applyAlignment="1">
      <alignment wrapText="1"/>
    </xf>
    <xf numFmtId="0" fontId="4" fillId="3" borderId="0" xfId="0" applyFont="1" applyFill="1"/>
    <xf numFmtId="0" fontId="4" fillId="0" borderId="0" xfId="0" applyFont="1"/>
    <xf numFmtId="0" fontId="0" fillId="4" borderId="0" xfId="0" applyFill="1"/>
    <xf numFmtId="0" fontId="4" fillId="4" borderId="0" xfId="0" applyFont="1" applyFill="1"/>
    <xf numFmtId="0" fontId="4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8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288363</xdr:colOff>
      <xdr:row>7</xdr:row>
      <xdr:rowOff>41451</xdr:rowOff>
    </xdr:from>
    <xdr:to>
      <xdr:col>4</xdr:col>
      <xdr:colOff>258986</xdr:colOff>
      <xdr:row>12</xdr:row>
      <xdr:rowOff>175285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0F41FF-4463-D8E5-B9D6-F23C0AFD4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1067" y="1439250"/>
          <a:ext cx="2438737" cy="1132261"/>
        </a:xfrm>
        <a:prstGeom prst="rect">
          <a:avLst/>
        </a:prstGeom>
      </xdr:spPr>
    </xdr:pic>
    <xdr:clientData/>
  </xdr:twoCellAnchor>
  <xdr:twoCellAnchor editAs="oneCell">
    <xdr:from>
      <xdr:col>3</xdr:col>
      <xdr:colOff>749957</xdr:colOff>
      <xdr:row>35</xdr:row>
      <xdr:rowOff>104009</xdr:rowOff>
    </xdr:from>
    <xdr:to>
      <xdr:col>6</xdr:col>
      <xdr:colOff>206010</xdr:colOff>
      <xdr:row>39</xdr:row>
      <xdr:rowOff>199618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765F67-0A2D-F949-9E3E-1F399C207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29741" y="7193018"/>
          <a:ext cx="1935838" cy="905781"/>
        </a:xfrm>
        <a:prstGeom prst="rect">
          <a:avLst/>
        </a:prstGeom>
      </xdr:spPr>
    </xdr:pic>
    <xdr:clientData/>
  </xdr:twoCellAnchor>
  <xdr:twoCellAnchor editAs="oneCell">
    <xdr:from>
      <xdr:col>3</xdr:col>
      <xdr:colOff>612926</xdr:colOff>
      <xdr:row>41</xdr:row>
      <xdr:rowOff>109483</xdr:rowOff>
    </xdr:from>
    <xdr:to>
      <xdr:col>6</xdr:col>
      <xdr:colOff>350345</xdr:colOff>
      <xdr:row>49</xdr:row>
      <xdr:rowOff>152302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2D51486-AF10-0140-88AB-584253EDD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92710" y="8413750"/>
          <a:ext cx="2217204" cy="16631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3B63-F9F2-1E4E-9D98-025DA4202F12}">
  <dimension ref="B2:F60"/>
  <sheetViews>
    <sheetView topLeftCell="A52" zoomScale="330" workbookViewId="0">
      <selection activeCell="B56" sqref="B56"/>
    </sheetView>
  </sheetViews>
  <sheetFormatPr baseColWidth="10" defaultRowHeight="16" x14ac:dyDescent="0.2"/>
  <sheetData>
    <row r="2" spans="2:2" x14ac:dyDescent="0.2">
      <c r="B2" t="s">
        <v>0</v>
      </c>
    </row>
    <row r="5" spans="2:2" x14ac:dyDescent="0.2">
      <c r="B5" t="s">
        <v>1</v>
      </c>
    </row>
    <row r="28" spans="3:6" x14ac:dyDescent="0.2">
      <c r="C28" s="10" t="s">
        <v>56</v>
      </c>
      <c r="D28" s="8"/>
      <c r="E28" s="8" t="s">
        <v>57</v>
      </c>
      <c r="F28" s="8"/>
    </row>
    <row r="29" spans="3:6" x14ac:dyDescent="0.2">
      <c r="C29" s="10"/>
      <c r="D29" s="8"/>
      <c r="E29" s="8"/>
      <c r="F29" s="8"/>
    </row>
    <row r="30" spans="3:6" x14ac:dyDescent="0.2">
      <c r="C30" s="10" t="s">
        <v>58</v>
      </c>
      <c r="D30" s="8"/>
      <c r="E30" s="8" t="s">
        <v>59</v>
      </c>
      <c r="F30" s="8"/>
    </row>
    <row r="31" spans="3:6" x14ac:dyDescent="0.2">
      <c r="C31" s="10"/>
      <c r="D31" s="8"/>
      <c r="E31" s="8"/>
      <c r="F31" s="8"/>
    </row>
    <row r="32" spans="3:6" x14ac:dyDescent="0.2">
      <c r="C32" s="10" t="s">
        <v>60</v>
      </c>
      <c r="D32" s="8"/>
      <c r="E32" s="8" t="s">
        <v>61</v>
      </c>
      <c r="F32" s="8"/>
    </row>
    <row r="35" spans="3:6" x14ac:dyDescent="0.2">
      <c r="C35" s="11" t="s">
        <v>62</v>
      </c>
      <c r="D35" s="8"/>
      <c r="E35" s="8" t="s">
        <v>63</v>
      </c>
      <c r="F35" s="8"/>
    </row>
    <row r="37" spans="3:6" x14ac:dyDescent="0.2">
      <c r="C37" t="s">
        <v>64</v>
      </c>
    </row>
    <row r="43" spans="3:6" x14ac:dyDescent="0.2">
      <c r="C43" t="s">
        <v>65</v>
      </c>
    </row>
    <row r="53" spans="2:6" x14ac:dyDescent="0.2">
      <c r="B53" s="13"/>
      <c r="C53" s="13"/>
      <c r="D53" s="13"/>
      <c r="E53" s="13"/>
      <c r="F53" s="13"/>
    </row>
    <row r="56" spans="2:6" x14ac:dyDescent="0.2">
      <c r="B56" t="s">
        <v>76</v>
      </c>
    </row>
    <row r="58" spans="2:6" x14ac:dyDescent="0.2">
      <c r="B58" t="s">
        <v>77</v>
      </c>
    </row>
    <row r="60" spans="2:6" x14ac:dyDescent="0.2">
      <c r="B60" t="s">
        <v>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1E989-B4A2-EB4C-A2D3-CA3BCD034966}">
  <dimension ref="A12:I118"/>
  <sheetViews>
    <sheetView topLeftCell="A113" zoomScale="263" workbookViewId="0">
      <selection activeCell="A118" sqref="A118:H118"/>
    </sheetView>
  </sheetViews>
  <sheetFormatPr baseColWidth="10" defaultRowHeight="16" x14ac:dyDescent="0.2"/>
  <cols>
    <col min="5" max="5" width="13.33203125" bestFit="1" customWidth="1"/>
  </cols>
  <sheetData>
    <row r="12" spans="5:8" x14ac:dyDescent="0.2">
      <c r="E12" s="7">
        <v>1201</v>
      </c>
      <c r="F12" s="7" t="s">
        <v>38</v>
      </c>
      <c r="G12" s="7" t="s">
        <v>39</v>
      </c>
      <c r="H12" s="7" t="s">
        <v>40</v>
      </c>
    </row>
    <row r="13" spans="5:8" x14ac:dyDescent="0.2">
      <c r="E13" s="8">
        <v>1204</v>
      </c>
      <c r="F13" s="8" t="s">
        <v>41</v>
      </c>
      <c r="G13" s="8" t="s">
        <v>42</v>
      </c>
      <c r="H13" s="8" t="s">
        <v>43</v>
      </c>
    </row>
    <row r="14" spans="5:8" x14ac:dyDescent="0.2">
      <c r="E14" s="7">
        <v>1203</v>
      </c>
      <c r="F14" s="7" t="s">
        <v>44</v>
      </c>
      <c r="G14" s="7" t="s">
        <v>45</v>
      </c>
      <c r="H14" s="7" t="s">
        <v>46</v>
      </c>
    </row>
    <row r="15" spans="5:8" x14ac:dyDescent="0.2">
      <c r="E15" s="8">
        <v>1204</v>
      </c>
      <c r="F15" s="8" t="s">
        <v>47</v>
      </c>
      <c r="G15" s="8" t="s">
        <v>48</v>
      </c>
      <c r="H15" s="8" t="s">
        <v>49</v>
      </c>
    </row>
    <row r="16" spans="5:8" x14ac:dyDescent="0.2">
      <c r="E16" s="7">
        <v>1205</v>
      </c>
      <c r="F16" s="7" t="s">
        <v>50</v>
      </c>
      <c r="G16" s="7" t="s">
        <v>51</v>
      </c>
      <c r="H16" s="7" t="s">
        <v>52</v>
      </c>
    </row>
    <row r="17" spans="4:9" x14ac:dyDescent="0.2">
      <c r="E17" s="8">
        <v>1206</v>
      </c>
      <c r="F17" s="8" t="s">
        <v>53</v>
      </c>
      <c r="G17" s="8" t="s">
        <v>54</v>
      </c>
      <c r="H17" s="8" t="s">
        <v>55</v>
      </c>
    </row>
    <row r="20" spans="4:9" x14ac:dyDescent="0.2">
      <c r="G20" s="9"/>
    </row>
    <row r="21" spans="4:9" x14ac:dyDescent="0.2">
      <c r="G21" t="str" cm="1">
        <f t="array" ref="G21:I21">_xlfn.XLOOKUP(1204,E12:E17,F12:H17,"Not present",,-1)</f>
        <v>Arjun</v>
      </c>
      <c r="H21" t="str">
        <v>MBA HR</v>
      </c>
      <c r="I21" t="str">
        <v>Fake num 4</v>
      </c>
    </row>
    <row r="24" spans="4:9" x14ac:dyDescent="0.2">
      <c r="E24" t="str" cm="1">
        <f t="array" ref="E24:G24">VLOOKUP(1204,E12:H17,{2,3,4},0)</f>
        <v>Shyaam</v>
      </c>
      <c r="F24" t="str">
        <v>Bsc Chem</v>
      </c>
      <c r="G24" t="str">
        <v>Fake num 2</v>
      </c>
    </row>
    <row r="28" spans="4:9" x14ac:dyDescent="0.2">
      <c r="D28" s="9"/>
      <c r="E28" s="9"/>
      <c r="F28" s="9"/>
      <c r="G28" s="9"/>
      <c r="H28" s="9"/>
    </row>
    <row r="33" spans="4:7" x14ac:dyDescent="0.2">
      <c r="D33" t="s">
        <v>1</v>
      </c>
    </row>
    <row r="37" spans="4:7" x14ac:dyDescent="0.2">
      <c r="D37" s="7">
        <v>1201</v>
      </c>
      <c r="E37" s="7" t="s">
        <v>38</v>
      </c>
      <c r="F37" s="7" t="s">
        <v>39</v>
      </c>
      <c r="G37" s="7" t="s">
        <v>40</v>
      </c>
    </row>
    <row r="38" spans="4:7" x14ac:dyDescent="0.2">
      <c r="D38" s="8">
        <v>1202</v>
      </c>
      <c r="E38" s="8" t="s">
        <v>41</v>
      </c>
      <c r="F38" s="8" t="s">
        <v>42</v>
      </c>
      <c r="G38" s="8" t="s">
        <v>43</v>
      </c>
    </row>
    <row r="39" spans="4:7" x14ac:dyDescent="0.2">
      <c r="D39" s="7">
        <v>1203</v>
      </c>
      <c r="E39" s="7" t="s">
        <v>44</v>
      </c>
      <c r="F39" s="7" t="s">
        <v>45</v>
      </c>
      <c r="G39" s="7" t="s">
        <v>46</v>
      </c>
    </row>
    <row r="40" spans="4:7" x14ac:dyDescent="0.2">
      <c r="D40" s="8">
        <v>1204</v>
      </c>
      <c r="E40" s="8" t="s">
        <v>47</v>
      </c>
      <c r="F40" s="8" t="s">
        <v>48</v>
      </c>
      <c r="G40" s="8" t="s">
        <v>49</v>
      </c>
    </row>
    <row r="41" spans="4:7" x14ac:dyDescent="0.2">
      <c r="D41" s="7">
        <v>1205</v>
      </c>
      <c r="E41" s="7" t="s">
        <v>50</v>
      </c>
      <c r="F41" s="7" t="s">
        <v>51</v>
      </c>
      <c r="G41" s="7" t="s">
        <v>52</v>
      </c>
    </row>
    <row r="42" spans="4:7" x14ac:dyDescent="0.2">
      <c r="D42" s="8">
        <v>1206</v>
      </c>
      <c r="E42" s="8" t="s">
        <v>53</v>
      </c>
      <c r="F42" s="8" t="s">
        <v>54</v>
      </c>
      <c r="G42" s="8" t="s">
        <v>55</v>
      </c>
    </row>
    <row r="48" spans="4:7" x14ac:dyDescent="0.2">
      <c r="E48" t="s">
        <v>66</v>
      </c>
      <c r="F48" t="s">
        <v>67</v>
      </c>
    </row>
    <row r="49" spans="3:8" x14ac:dyDescent="0.2">
      <c r="E49" s="8" t="s">
        <v>39</v>
      </c>
      <c r="F49">
        <f>_xlfn.XLOOKUP(E49,F37:F42,D37:D42)</f>
        <v>1201</v>
      </c>
    </row>
    <row r="50" spans="3:8" x14ac:dyDescent="0.2">
      <c r="H50" s="8"/>
    </row>
    <row r="51" spans="3:8" x14ac:dyDescent="0.2">
      <c r="H51" s="8"/>
    </row>
    <row r="52" spans="3:8" x14ac:dyDescent="0.2">
      <c r="H52" s="8"/>
    </row>
    <row r="53" spans="3:8" x14ac:dyDescent="0.2">
      <c r="C53" s="12"/>
      <c r="D53" s="12"/>
      <c r="E53" s="12"/>
      <c r="F53" s="12"/>
      <c r="G53" s="12"/>
      <c r="H53" s="11"/>
    </row>
    <row r="54" spans="3:8" x14ac:dyDescent="0.2">
      <c r="H54" s="8"/>
    </row>
    <row r="57" spans="3:8" x14ac:dyDescent="0.2">
      <c r="C57" cm="1">
        <f t="array" ref="C57:H60">TRANSPOSE(D37:G42)</f>
        <v>1201</v>
      </c>
      <c r="D57">
        <v>1202</v>
      </c>
      <c r="E57">
        <v>1203</v>
      </c>
      <c r="F57">
        <v>1204</v>
      </c>
      <c r="G57">
        <v>1205</v>
      </c>
      <c r="H57">
        <v>1206</v>
      </c>
    </row>
    <row r="58" spans="3:8" x14ac:dyDescent="0.2">
      <c r="C58" t="str">
        <v>Jennifer</v>
      </c>
      <c r="D58" t="str">
        <v>Shyaam</v>
      </c>
      <c r="E58" t="str">
        <v>Meena</v>
      </c>
      <c r="F58" t="str">
        <v>Arjun</v>
      </c>
      <c r="G58" t="str">
        <v>Dolly</v>
      </c>
      <c r="H58" t="str">
        <v>Sonam</v>
      </c>
    </row>
    <row r="59" spans="3:8" x14ac:dyDescent="0.2">
      <c r="C59" t="str">
        <v>Bsc Phy</v>
      </c>
      <c r="D59" t="str">
        <v>Bsc Chem</v>
      </c>
      <c r="E59" t="str">
        <v>Ba History</v>
      </c>
      <c r="F59" t="str">
        <v>MBA HR</v>
      </c>
      <c r="G59" t="str">
        <v>Ba Soci</v>
      </c>
      <c r="H59" t="str">
        <v>MBA Ops</v>
      </c>
    </row>
    <row r="60" spans="3:8" x14ac:dyDescent="0.2">
      <c r="C60" t="str">
        <v>Fake num 1</v>
      </c>
      <c r="D60" t="str">
        <v>Fake num 2</v>
      </c>
      <c r="E60" t="str">
        <v>Fake num 3</v>
      </c>
      <c r="F60" t="str">
        <v>Fake num 4</v>
      </c>
      <c r="G60" t="str">
        <v>Fake num 5</v>
      </c>
      <c r="H60" t="str">
        <v>Fake num 6</v>
      </c>
    </row>
    <row r="63" spans="3:8" x14ac:dyDescent="0.2">
      <c r="D63" t="s">
        <v>69</v>
      </c>
      <c r="E63" t="s">
        <v>68</v>
      </c>
      <c r="F63" t="s">
        <v>70</v>
      </c>
    </row>
    <row r="64" spans="3:8" x14ac:dyDescent="0.2">
      <c r="D64">
        <v>1206</v>
      </c>
      <c r="E64" t="str" cm="1">
        <f t="array" ref="E64:F64">TRANSPOSE(_xlfn.XLOOKUP(D64,C57:H57,_xlfn.CHOOSEROWS(C58:H60,1,3)))</f>
        <v>Sonam</v>
      </c>
      <c r="F64" t="str">
        <v>Fake num 6</v>
      </c>
    </row>
    <row r="67" spans="2:8" x14ac:dyDescent="0.2">
      <c r="B67" s="9"/>
      <c r="C67" s="9"/>
      <c r="D67" s="9"/>
      <c r="E67" s="9"/>
      <c r="F67" s="9"/>
      <c r="G67" s="9"/>
      <c r="H67" s="9"/>
    </row>
    <row r="71" spans="2:8" x14ac:dyDescent="0.2">
      <c r="D71" t="str" cm="1">
        <f t="array" ref="D71:D73">_xlfn.XLOOKUP(D64,C57:H57,C58:H60)</f>
        <v>Sonam</v>
      </c>
      <c r="F71" t="str" cm="1">
        <f t="array" ref="F71:H71">TRANSPOSE(_xlfn.ANCHORARRAY(D71))</f>
        <v>Sonam</v>
      </c>
      <c r="G71" t="str">
        <v>MBA Ops</v>
      </c>
      <c r="H71" t="str">
        <v>Fake num 6</v>
      </c>
    </row>
    <row r="72" spans="2:8" x14ac:dyDescent="0.2">
      <c r="D72" t="str">
        <v>MBA Ops</v>
      </c>
    </row>
    <row r="73" spans="2:8" x14ac:dyDescent="0.2">
      <c r="D73" t="str">
        <v>Fake num 6</v>
      </c>
    </row>
    <row r="77" spans="2:8" x14ac:dyDescent="0.2">
      <c r="C77" cm="1">
        <f t="array" ref="C77:H80">TRANSPOSE(D37:G42)</f>
        <v>1201</v>
      </c>
      <c r="D77">
        <v>1202</v>
      </c>
      <c r="E77">
        <v>1203</v>
      </c>
      <c r="F77">
        <v>1204</v>
      </c>
      <c r="G77">
        <v>1205</v>
      </c>
      <c r="H77">
        <v>1206</v>
      </c>
    </row>
    <row r="78" spans="2:8" x14ac:dyDescent="0.2">
      <c r="C78" t="str">
        <v>Jennifer</v>
      </c>
      <c r="D78" t="str">
        <v>Shyaam</v>
      </c>
      <c r="E78" t="str">
        <v>Meena</v>
      </c>
      <c r="F78" t="str">
        <v>Arjun</v>
      </c>
      <c r="G78" t="str">
        <v>Dolly</v>
      </c>
      <c r="H78" t="str">
        <v>Sonam</v>
      </c>
    </row>
    <row r="79" spans="2:8" x14ac:dyDescent="0.2">
      <c r="C79" t="str">
        <v>Bsc Phy</v>
      </c>
      <c r="D79" t="str">
        <v>Bsc Chem</v>
      </c>
      <c r="E79" t="str">
        <v>Ba History</v>
      </c>
      <c r="F79" t="str">
        <v>MBA HR</v>
      </c>
      <c r="G79" t="str">
        <v>Ba Soci</v>
      </c>
      <c r="H79" t="str">
        <v>MBA Ops</v>
      </c>
    </row>
    <row r="80" spans="2:8" x14ac:dyDescent="0.2">
      <c r="C80" t="str">
        <v>Fake num 1</v>
      </c>
      <c r="D80" t="str">
        <v>Fake num 2</v>
      </c>
      <c r="E80" t="str">
        <v>Fake num 3</v>
      </c>
      <c r="F80" t="str">
        <v>Fake num 4</v>
      </c>
      <c r="G80" t="str">
        <v>Fake num 5</v>
      </c>
      <c r="H80" t="str">
        <v>Fake num 6</v>
      </c>
    </row>
    <row r="82" spans="3:8" x14ac:dyDescent="0.2">
      <c r="C82" t="s">
        <v>71</v>
      </c>
    </row>
    <row r="83" spans="3:8" x14ac:dyDescent="0.2">
      <c r="C83" cm="1">
        <f t="array" ref="C83:H84">_xlfn.CHOOSEROWS(_xlfn.ANCHORARRAY(C77),1,4)</f>
        <v>1201</v>
      </c>
      <c r="D83">
        <v>1202</v>
      </c>
      <c r="E83">
        <v>1203</v>
      </c>
      <c r="F83">
        <v>1204</v>
      </c>
      <c r="G83">
        <v>1205</v>
      </c>
      <c r="H83">
        <v>1206</v>
      </c>
    </row>
    <row r="84" spans="3:8" x14ac:dyDescent="0.2">
      <c r="C84" t="str">
        <v>Fake num 1</v>
      </c>
      <c r="D84" t="str">
        <v>Fake num 2</v>
      </c>
      <c r="E84" t="str">
        <v>Fake num 3</v>
      </c>
      <c r="F84" t="str">
        <v>Fake num 4</v>
      </c>
      <c r="G84" t="str">
        <v>Fake num 5</v>
      </c>
      <c r="H84" t="str">
        <v>Fake num 6</v>
      </c>
    </row>
    <row r="88" spans="3:8" x14ac:dyDescent="0.2">
      <c r="C88" t="s">
        <v>72</v>
      </c>
    </row>
    <row r="90" spans="3:8" x14ac:dyDescent="0.2">
      <c r="C90" cm="1">
        <f t="array" ref="C90:E93">_xlfn.CHOOSECOLS(_xlfn.ANCHORARRAY(C77),1,2,4)</f>
        <v>1201</v>
      </c>
      <c r="D90">
        <v>1202</v>
      </c>
      <c r="E90">
        <v>1204</v>
      </c>
    </row>
    <row r="91" spans="3:8" x14ac:dyDescent="0.2">
      <c r="C91" t="str">
        <v>Jennifer</v>
      </c>
      <c r="D91" t="str">
        <v>Shyaam</v>
      </c>
      <c r="E91" t="str">
        <v>Arjun</v>
      </c>
    </row>
    <row r="92" spans="3:8" x14ac:dyDescent="0.2">
      <c r="C92" t="str">
        <v>Bsc Phy</v>
      </c>
      <c r="D92" t="str">
        <v>Bsc Chem</v>
      </c>
      <c r="E92" t="str">
        <v>MBA HR</v>
      </c>
    </row>
    <row r="93" spans="3:8" x14ac:dyDescent="0.2">
      <c r="C93" t="str">
        <v>Fake num 1</v>
      </c>
      <c r="D93" t="str">
        <v>Fake num 2</v>
      </c>
      <c r="E93" t="str">
        <v>Fake num 4</v>
      </c>
    </row>
    <row r="97" spans="2:6" x14ac:dyDescent="0.2">
      <c r="B97" s="9"/>
      <c r="C97" s="9"/>
      <c r="D97" s="9"/>
      <c r="E97" s="9"/>
      <c r="F97" s="9"/>
    </row>
    <row r="100" spans="2:6" x14ac:dyDescent="0.2">
      <c r="C100" t="s">
        <v>74</v>
      </c>
    </row>
    <row r="102" spans="2:6" x14ac:dyDescent="0.2">
      <c r="C102" t="s">
        <v>73</v>
      </c>
    </row>
    <row r="106" spans="2:6" x14ac:dyDescent="0.2">
      <c r="C106" s="7">
        <v>1201</v>
      </c>
      <c r="D106" s="7" t="s">
        <v>75</v>
      </c>
      <c r="E106" s="7" t="s">
        <v>39</v>
      </c>
      <c r="F106" s="7" t="s">
        <v>40</v>
      </c>
    </row>
    <row r="107" spans="2:6" x14ac:dyDescent="0.2">
      <c r="C107" s="8">
        <v>1202</v>
      </c>
      <c r="D107" s="8" t="s">
        <v>41</v>
      </c>
      <c r="E107" s="8" t="s">
        <v>42</v>
      </c>
      <c r="F107" s="8" t="s">
        <v>43</v>
      </c>
    </row>
    <row r="108" spans="2:6" x14ac:dyDescent="0.2">
      <c r="C108" s="7">
        <v>1203</v>
      </c>
      <c r="D108" s="7" t="s">
        <v>44</v>
      </c>
      <c r="E108" s="7" t="s">
        <v>45</v>
      </c>
      <c r="F108" s="7" t="s">
        <v>46</v>
      </c>
    </row>
    <row r="109" spans="2:6" x14ac:dyDescent="0.2">
      <c r="C109" s="8">
        <v>1204</v>
      </c>
      <c r="D109" s="8" t="s">
        <v>47</v>
      </c>
      <c r="E109" s="8" t="s">
        <v>48</v>
      </c>
      <c r="F109" s="8" t="s">
        <v>49</v>
      </c>
    </row>
    <row r="110" spans="2:6" x14ac:dyDescent="0.2">
      <c r="C110" s="7">
        <v>1205</v>
      </c>
      <c r="D110" s="7" t="s">
        <v>50</v>
      </c>
      <c r="E110" s="7" t="s">
        <v>51</v>
      </c>
      <c r="F110" s="7" t="s">
        <v>52</v>
      </c>
    </row>
    <row r="111" spans="2:6" x14ac:dyDescent="0.2">
      <c r="C111" s="8">
        <v>1206</v>
      </c>
      <c r="D111" s="8" t="s">
        <v>53</v>
      </c>
      <c r="E111" s="8" t="s">
        <v>54</v>
      </c>
      <c r="F111" s="8" t="s">
        <v>55</v>
      </c>
    </row>
    <row r="115" spans="1:8" x14ac:dyDescent="0.2">
      <c r="C115" t="str" cm="1">
        <f t="array" ref="C115:D115">_xlfn.XLOOKUP("*a",D106:D111,E106:F111,,2)</f>
        <v>Bsc Phy</v>
      </c>
      <c r="D115" t="str">
        <v>Fake num 1</v>
      </c>
    </row>
    <row r="118" spans="1:8" x14ac:dyDescent="0.2">
      <c r="A118" s="9"/>
      <c r="B118" s="9"/>
      <c r="C118" s="9"/>
      <c r="D118" s="9"/>
      <c r="E118" s="9"/>
      <c r="F118" s="9"/>
      <c r="G118" s="9"/>
      <c r="H118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D23AF-E2FC-434A-83A4-9A8E5F8AD31B}">
  <dimension ref="B1:H36"/>
  <sheetViews>
    <sheetView tabSelected="1" topLeftCell="A33" zoomScale="322" workbookViewId="0">
      <selection activeCell="B39" sqref="B39"/>
    </sheetView>
  </sheetViews>
  <sheetFormatPr baseColWidth="10" defaultRowHeight="16" x14ac:dyDescent="0.2"/>
  <sheetData>
    <row r="1" spans="2:6" x14ac:dyDescent="0.2">
      <c r="E1" s="15" t="s">
        <v>80</v>
      </c>
      <c r="F1">
        <v>4</v>
      </c>
    </row>
    <row r="2" spans="2:6" x14ac:dyDescent="0.2">
      <c r="E2">
        <v>7</v>
      </c>
      <c r="F2">
        <v>7</v>
      </c>
    </row>
    <row r="3" spans="2:6" x14ac:dyDescent="0.2">
      <c r="B3" t="s">
        <v>76</v>
      </c>
      <c r="E3">
        <v>8</v>
      </c>
      <c r="F3">
        <v>8</v>
      </c>
    </row>
    <row r="5" spans="2:6" x14ac:dyDescent="0.2">
      <c r="C5" s="14" t="s">
        <v>79</v>
      </c>
    </row>
    <row r="9" spans="2:6" x14ac:dyDescent="0.2">
      <c r="D9" t="str" cm="1">
        <f t="array" aca="1" ref="D9:E11" ca="1">OFFSET(C5,-4,2,3,2)</f>
        <v>END</v>
      </c>
      <c r="E9">
        <f ca="1"/>
        <v>4</v>
      </c>
    </row>
    <row r="10" spans="2:6" x14ac:dyDescent="0.2">
      <c r="D10">
        <f ca="1"/>
        <v>7</v>
      </c>
      <c r="E10">
        <f ca="1"/>
        <v>7</v>
      </c>
    </row>
    <row r="11" spans="2:6" x14ac:dyDescent="0.2">
      <c r="D11">
        <f ca="1"/>
        <v>8</v>
      </c>
      <c r="E11">
        <f ca="1"/>
        <v>8</v>
      </c>
    </row>
    <row r="16" spans="2:6" x14ac:dyDescent="0.2">
      <c r="B16" s="16" t="s">
        <v>83</v>
      </c>
      <c r="C16" s="16" t="s">
        <v>81</v>
      </c>
      <c r="D16" s="16" t="s">
        <v>82</v>
      </c>
    </row>
    <row r="17" spans="2:8" x14ac:dyDescent="0.2">
      <c r="B17" s="16"/>
      <c r="C17" s="16"/>
      <c r="D17" s="16"/>
    </row>
    <row r="18" spans="2:8" x14ac:dyDescent="0.2">
      <c r="B18" s="16"/>
      <c r="C18" s="16"/>
      <c r="D18" s="16"/>
    </row>
    <row r="19" spans="2:8" x14ac:dyDescent="0.2">
      <c r="B19" s="16"/>
      <c r="C19" s="16"/>
      <c r="D19" s="16"/>
      <c r="F19" t="str" cm="1">
        <f t="array" aca="1" ref="F19:H21" ca="1">OFFSET(B16,0,0,3,3)</f>
        <v>nrw thing</v>
      </c>
      <c r="G19" t="str">
        <f ca="1"/>
        <v>hk</v>
      </c>
      <c r="H19" t="str">
        <f ca="1"/>
        <v>m</v>
      </c>
    </row>
    <row r="20" spans="2:8" x14ac:dyDescent="0.2">
      <c r="B20" s="16"/>
      <c r="C20" s="16"/>
      <c r="D20" s="16"/>
      <c r="F20">
        <f ca="1"/>
        <v>0</v>
      </c>
      <c r="G20">
        <f ca="1"/>
        <v>0</v>
      </c>
      <c r="H20">
        <f ca="1"/>
        <v>0</v>
      </c>
    </row>
    <row r="21" spans="2:8" x14ac:dyDescent="0.2">
      <c r="B21" s="16"/>
      <c r="C21" s="16"/>
      <c r="D21" s="16"/>
      <c r="F21">
        <f ca="1"/>
        <v>0</v>
      </c>
      <c r="G21">
        <f ca="1"/>
        <v>0</v>
      </c>
      <c r="H21">
        <f ca="1"/>
        <v>0</v>
      </c>
    </row>
    <row r="22" spans="2:8" x14ac:dyDescent="0.2">
      <c r="B22" s="16"/>
      <c r="C22" s="16"/>
      <c r="D22" s="16"/>
    </row>
    <row r="23" spans="2:8" x14ac:dyDescent="0.2">
      <c r="B23" s="16"/>
      <c r="C23" s="16"/>
      <c r="D23" s="16"/>
    </row>
    <row r="28" spans="2:8" x14ac:dyDescent="0.2">
      <c r="B28" s="13"/>
      <c r="C28" s="13"/>
      <c r="D28" s="13"/>
      <c r="E28" s="13"/>
      <c r="F28" s="13"/>
    </row>
    <row r="30" spans="2:8" x14ac:dyDescent="0.2">
      <c r="D30" t="s">
        <v>85</v>
      </c>
    </row>
    <row r="32" spans="2:8" x14ac:dyDescent="0.2">
      <c r="B32" t="s">
        <v>84</v>
      </c>
    </row>
    <row r="33" spans="5:6" x14ac:dyDescent="0.2">
      <c r="E33" t="s">
        <v>86</v>
      </c>
    </row>
    <row r="34" spans="5:6" x14ac:dyDescent="0.2">
      <c r="E34" t="s">
        <v>87</v>
      </c>
    </row>
    <row r="36" spans="5:6" x14ac:dyDescent="0.2">
      <c r="F36" t="s">
        <v>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3BC24-7FEB-C04B-9216-D0AF07236CDA}">
  <dimension ref="A1:C12"/>
  <sheetViews>
    <sheetView topLeftCell="A7" zoomScale="200" workbookViewId="0">
      <selection activeCell="C12" sqref="C12"/>
    </sheetView>
  </sheetViews>
  <sheetFormatPr baseColWidth="10" defaultRowHeight="16" x14ac:dyDescent="0.2"/>
  <cols>
    <col min="1" max="1" width="29.83203125" bestFit="1" customWidth="1"/>
    <col min="2" max="3" width="52.5" customWidth="1"/>
  </cols>
  <sheetData>
    <row r="1" spans="1:3" ht="17" x14ac:dyDescent="0.2">
      <c r="A1" s="1" t="s">
        <v>2</v>
      </c>
      <c r="B1" s="2" t="s">
        <v>37</v>
      </c>
      <c r="C1" s="2" t="s">
        <v>3</v>
      </c>
    </row>
    <row r="2" spans="1:3" ht="18" x14ac:dyDescent="0.25">
      <c r="A2" s="3" t="s">
        <v>4</v>
      </c>
      <c r="B2" s="4" t="s">
        <v>5</v>
      </c>
      <c r="C2" s="4" t="s">
        <v>6</v>
      </c>
    </row>
    <row r="3" spans="1:3" ht="119" x14ac:dyDescent="0.2">
      <c r="A3" s="5" t="s">
        <v>7</v>
      </c>
      <c r="B3" s="6" t="s">
        <v>8</v>
      </c>
      <c r="C3" s="6" t="s">
        <v>9</v>
      </c>
    </row>
    <row r="4" spans="1:3" ht="170" x14ac:dyDescent="0.2">
      <c r="A4" s="3" t="s">
        <v>10</v>
      </c>
      <c r="B4" s="4" t="s">
        <v>11</v>
      </c>
      <c r="C4" s="4" t="s">
        <v>12</v>
      </c>
    </row>
    <row r="5" spans="1:3" ht="35" x14ac:dyDescent="0.2">
      <c r="A5" s="5" t="s">
        <v>13</v>
      </c>
      <c r="B5" s="6" t="s">
        <v>14</v>
      </c>
      <c r="C5" s="6" t="s">
        <v>15</v>
      </c>
    </row>
    <row r="6" spans="1:3" ht="153" x14ac:dyDescent="0.2">
      <c r="A6" s="3" t="s">
        <v>16</v>
      </c>
      <c r="B6" s="4" t="s">
        <v>17</v>
      </c>
      <c r="C6" s="4" t="s">
        <v>18</v>
      </c>
    </row>
    <row r="7" spans="1:3" ht="35" x14ac:dyDescent="0.25">
      <c r="A7" s="5" t="s">
        <v>19</v>
      </c>
      <c r="B7" s="6" t="s">
        <v>20</v>
      </c>
      <c r="C7" s="6" t="s">
        <v>21</v>
      </c>
    </row>
    <row r="8" spans="1:3" ht="35" x14ac:dyDescent="0.25">
      <c r="A8" s="3" t="s">
        <v>22</v>
      </c>
      <c r="B8" s="4" t="s">
        <v>23</v>
      </c>
      <c r="C8" s="4" t="s">
        <v>24</v>
      </c>
    </row>
    <row r="9" spans="1:3" ht="136" x14ac:dyDescent="0.2">
      <c r="A9" s="5" t="s">
        <v>25</v>
      </c>
      <c r="B9" s="6" t="s">
        <v>26</v>
      </c>
      <c r="C9" s="6" t="s">
        <v>27</v>
      </c>
    </row>
    <row r="10" spans="1:3" ht="34" x14ac:dyDescent="0.2">
      <c r="A10" s="3" t="s">
        <v>28</v>
      </c>
      <c r="B10" s="4" t="s">
        <v>29</v>
      </c>
      <c r="C10" s="4" t="s">
        <v>30</v>
      </c>
    </row>
    <row r="11" spans="1:3" ht="35" x14ac:dyDescent="0.25">
      <c r="A11" s="5" t="s">
        <v>31</v>
      </c>
      <c r="B11" s="6" t="s">
        <v>32</v>
      </c>
      <c r="C11" s="6" t="s">
        <v>33</v>
      </c>
    </row>
    <row r="12" spans="1:3" ht="34" x14ac:dyDescent="0.2">
      <c r="A12" s="3" t="s">
        <v>34</v>
      </c>
      <c r="B12" s="4" t="s">
        <v>35</v>
      </c>
      <c r="C12" s="4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Sheet3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2026-03-01T15:45:37Z</dcterms:created>
  <dcterms:modified xsi:type="dcterms:W3CDTF">2026-03-03T14:35:26Z</dcterms:modified>
</cp:coreProperties>
</file>